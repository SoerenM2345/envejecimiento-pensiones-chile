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W:\Repositorio\UAPP\Informes PGU y Pilar Solidario\2022\12. Diciembre 2022\"/>
    </mc:Choice>
  </mc:AlternateContent>
  <xr:revisionPtr revIDLastSave="0" documentId="13_ncr:1_{2C382202-F535-40B0-879B-D01FD8F27666}" xr6:coauthVersionLast="47" xr6:coauthVersionMax="47" xr10:uidLastSave="{00000000-0000-0000-0000-000000000000}"/>
  <bookViews>
    <workbookView xWindow="-28920" yWindow="-8085" windowWidth="29040" windowHeight="15840" firstSheet="8" activeTab="25" xr2:uid="{26D8F194-EB32-4EC6-A94C-427CE860A783}"/>
  </bookViews>
  <sheets>
    <sheet name="Indice General" sheetId="26" r:id="rId1"/>
    <sheet name="I. Beneficios pagados" sheetId="29" r:id="rId2"/>
    <sheet name="dinamica pgu" sheetId="24" state="hidden" r:id="rId3"/>
    <sheet name="N PBS" sheetId="22" state="hidden" r:id="rId4"/>
    <sheet name="MONTOS PBS" sheetId="20" state="hidden" r:id="rId5"/>
    <sheet name="1.1" sheetId="1" r:id="rId6"/>
    <sheet name="1.2" sheetId="3" r:id="rId7"/>
    <sheet name="DINAMICA APS" sheetId="23" state="hidden" r:id="rId8"/>
    <sheet name="1.3" sheetId="2" r:id="rId9"/>
    <sheet name="1.4" sheetId="4" r:id="rId10"/>
    <sheet name="1.5" sheetId="5" r:id="rId11"/>
    <sheet name="Hoja2" sheetId="16" state="hidden" r:id="rId12"/>
    <sheet name="II. Estado de Solicitudes" sheetId="30" r:id="rId13"/>
    <sheet name="2.1" sheetId="25" r:id="rId14"/>
    <sheet name="2.2" sheetId="7" r:id="rId15"/>
    <sheet name="Solicitudes_compl" sheetId="8" state="hidden" r:id="rId16"/>
    <sheet name="2.3" sheetId="27" r:id="rId17"/>
    <sheet name="2.4" sheetId="9" r:id="rId18"/>
    <sheet name="2.5" sheetId="28" r:id="rId19"/>
    <sheet name="2.6" sheetId="10" r:id="rId20"/>
    <sheet name="2.7" sheetId="6" r:id="rId21"/>
    <sheet name="2.8" sheetId="12" r:id="rId22"/>
    <sheet name="III. Bono por hijo" sheetId="31" r:id="rId23"/>
    <sheet name="3.1" sheetId="34" r:id="rId24"/>
    <sheet name="IV. Subsidio STJ" sheetId="35" r:id="rId25"/>
    <sheet name="4.1" sheetId="33" r:id="rId26"/>
    <sheet name="4.2" sheetId="32" r:id="rId27"/>
    <sheet name="4.3" sheetId="36" r:id="rId28"/>
    <sheet name="Regiones" sheetId="14" state="hidden" r:id="rId29"/>
    <sheet name="Comunas" sheetId="15" state="hidden" r:id="rId30"/>
    <sheet name="Hoja2 (2)" sheetId="18" state="hidden" r:id="rId31"/>
    <sheet name="Por sexo" sheetId="11" state="hidden" r:id="rId32"/>
    <sheet name="Focalización y monto del benef" sheetId="13" state="hidden" r:id="rId33"/>
  </sheets>
  <externalReferences>
    <externalReference r:id="rId34"/>
  </externalReferences>
  <definedNames>
    <definedName name="_xlnm._FilterDatabase" localSheetId="14" hidden="1">'2.2'!$A$9:$AD$30</definedName>
  </definedNames>
  <calcPr calcId="191029"/>
  <pivotCaches>
    <pivotCache cacheId="0" r:id="rId35"/>
    <pivotCache cacheId="1" r:id="rId36"/>
    <pivotCache cacheId="2" r:id="rId37"/>
    <pivotCache cacheId="3" r:id="rId3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9" i="1" l="1"/>
  <c r="G49" i="1"/>
  <c r="D49" i="1"/>
  <c r="L17" i="4"/>
  <c r="L16" i="4"/>
  <c r="L15" i="4"/>
  <c r="L14" i="4"/>
  <c r="L13" i="4"/>
  <c r="L12" i="4"/>
  <c r="L11" i="4"/>
  <c r="L10" i="4"/>
  <c r="L9" i="4"/>
  <c r="AE60" i="1"/>
  <c r="AF75" i="1"/>
  <c r="AF76" i="1"/>
  <c r="AF77" i="1"/>
  <c r="AF78" i="1"/>
  <c r="AF79" i="1"/>
  <c r="AF80" i="1"/>
  <c r="AF81" i="1"/>
  <c r="AF82" i="1"/>
  <c r="AF83" i="1"/>
  <c r="AF84" i="1"/>
  <c r="AF85" i="1"/>
  <c r="AF74" i="1"/>
  <c r="AF86" i="1"/>
  <c r="AF73" i="1"/>
  <c r="AF62" i="1"/>
  <c r="AF63" i="1"/>
  <c r="AF64" i="1"/>
  <c r="AF65" i="1"/>
  <c r="AF66" i="1"/>
  <c r="AF67" i="1"/>
  <c r="AF68" i="1"/>
  <c r="AF69" i="1"/>
  <c r="AF70" i="1"/>
  <c r="AF71" i="1"/>
  <c r="AF72" i="1"/>
  <c r="AF61" i="1"/>
  <c r="AF60" i="1"/>
  <c r="AG85" i="1"/>
  <c r="AG84" i="1"/>
  <c r="AG83" i="1"/>
  <c r="AG82" i="1"/>
  <c r="AG81" i="1"/>
  <c r="AG80" i="1"/>
  <c r="AG79" i="1"/>
  <c r="AG78" i="1"/>
  <c r="AG77" i="1"/>
  <c r="AG76" i="1"/>
  <c r="AG75" i="1"/>
  <c r="AG74" i="1"/>
  <c r="AG62" i="1"/>
  <c r="AG63" i="1"/>
  <c r="AG64" i="1"/>
  <c r="AG65" i="1"/>
  <c r="AG66" i="1"/>
  <c r="AG67" i="1"/>
  <c r="AG68" i="1"/>
  <c r="AG69" i="1"/>
  <c r="AG70" i="1"/>
  <c r="AG71" i="1"/>
  <c r="AG72" i="1"/>
  <c r="AG61" i="1"/>
  <c r="AE86" i="1"/>
  <c r="AE73" i="1"/>
  <c r="AE61" i="1"/>
  <c r="AE62" i="1"/>
  <c r="AE63" i="1"/>
  <c r="AE64" i="1"/>
  <c r="AE65" i="1"/>
  <c r="AE66" i="1"/>
  <c r="AE67" i="1"/>
  <c r="AE68" i="1"/>
  <c r="AE69" i="1"/>
  <c r="AE70" i="1"/>
  <c r="AE71" i="1"/>
  <c r="AE72" i="1"/>
  <c r="AE74" i="1"/>
  <c r="AE75" i="1"/>
  <c r="AE76" i="1"/>
  <c r="AE77" i="1"/>
  <c r="AE78" i="1"/>
  <c r="AE79" i="1"/>
  <c r="AE80" i="1"/>
  <c r="AE81" i="1"/>
  <c r="AE82" i="1"/>
  <c r="AE83" i="1"/>
  <c r="AE84" i="1"/>
  <c r="AE85" i="1"/>
  <c r="I22" i="1"/>
  <c r="L22" i="1"/>
  <c r="I17" i="4"/>
  <c r="I16" i="4"/>
  <c r="I15" i="4"/>
  <c r="I14" i="4"/>
  <c r="I13" i="4"/>
  <c r="I12" i="4"/>
  <c r="I11" i="4"/>
  <c r="I10" i="4"/>
  <c r="I9" i="4"/>
  <c r="F17" i="4"/>
  <c r="F16" i="4"/>
  <c r="F15" i="4"/>
  <c r="F14" i="4"/>
  <c r="F13" i="4"/>
  <c r="F12" i="4"/>
  <c r="F11" i="4"/>
  <c r="F10" i="4"/>
  <c r="F9" i="4"/>
  <c r="L30" i="1" l="1"/>
  <c r="I30" i="1"/>
  <c r="F30" i="1"/>
  <c r="L29" i="1"/>
  <c r="I29" i="1"/>
  <c r="F29" i="1"/>
  <c r="F22" i="1"/>
  <c r="L21" i="1"/>
  <c r="I21" i="1"/>
  <c r="F21" i="1"/>
  <c r="L18" i="2"/>
  <c r="L17" i="2"/>
  <c r="L16" i="2"/>
  <c r="L15" i="2"/>
  <c r="L14" i="2"/>
  <c r="L13" i="2"/>
  <c r="L12" i="2"/>
  <c r="L11" i="2"/>
  <c r="L10" i="2"/>
  <c r="K18" i="2"/>
  <c r="K17" i="2"/>
  <c r="K16" i="2"/>
  <c r="K15" i="2"/>
  <c r="K14" i="2"/>
  <c r="K13" i="2"/>
  <c r="K12" i="2"/>
  <c r="K11" i="2"/>
  <c r="K10" i="2"/>
  <c r="J18" i="2"/>
  <c r="J17" i="2"/>
  <c r="J16" i="2"/>
  <c r="J15" i="2"/>
  <c r="J14" i="2"/>
  <c r="J13" i="2"/>
  <c r="J12" i="2"/>
  <c r="J11" i="2"/>
  <c r="J10" i="2"/>
  <c r="I18" i="2"/>
  <c r="I17" i="2"/>
  <c r="I16" i="2"/>
  <c r="I15" i="2"/>
  <c r="I14" i="2"/>
  <c r="I13" i="2"/>
  <c r="I12" i="2"/>
  <c r="I11" i="2"/>
  <c r="I10" i="2"/>
  <c r="H18" i="2"/>
  <c r="H17" i="2"/>
  <c r="H16" i="2"/>
  <c r="H15" i="2"/>
  <c r="H14" i="2"/>
  <c r="H13" i="2"/>
  <c r="H12" i="2"/>
  <c r="H11" i="2"/>
  <c r="H10" i="2"/>
  <c r="G18" i="2"/>
  <c r="G17" i="2"/>
  <c r="G16" i="2"/>
  <c r="G15" i="2"/>
  <c r="G14" i="2"/>
  <c r="G13" i="2"/>
  <c r="G12" i="2"/>
  <c r="G11" i="2"/>
  <c r="G10" i="2"/>
  <c r="F18" i="2"/>
  <c r="F17" i="2"/>
  <c r="F16" i="2"/>
  <c r="F15" i="2"/>
  <c r="F14" i="2"/>
  <c r="F13" i="2"/>
  <c r="F12" i="2"/>
  <c r="F11" i="2"/>
  <c r="F10" i="2"/>
  <c r="E18" i="2"/>
  <c r="E17" i="2"/>
  <c r="E16" i="2"/>
  <c r="E15" i="2"/>
  <c r="E14" i="2"/>
  <c r="E13" i="2"/>
  <c r="E12" i="2"/>
  <c r="E11" i="2"/>
  <c r="E10" i="2"/>
  <c r="D18" i="2"/>
  <c r="D17" i="2"/>
  <c r="D16" i="2"/>
  <c r="D15" i="2"/>
  <c r="D14" i="2"/>
  <c r="D13" i="2"/>
  <c r="D12" i="2"/>
  <c r="D11" i="2"/>
  <c r="D10" i="2"/>
  <c r="L28" i="1"/>
  <c r="I28" i="1"/>
  <c r="F28" i="1"/>
  <c r="L27" i="1"/>
  <c r="I27" i="1"/>
  <c r="F27" i="1"/>
  <c r="L20" i="1"/>
  <c r="I20" i="1"/>
  <c r="F20" i="1"/>
  <c r="L19" i="1"/>
  <c r="I19" i="1"/>
  <c r="F19" i="1"/>
  <c r="L12" i="1"/>
  <c r="I12" i="1"/>
  <c r="F12" i="1"/>
  <c r="L11" i="1"/>
  <c r="I11" i="1"/>
  <c r="F11" i="1"/>
  <c r="I17" i="3" l="1"/>
  <c r="I16" i="3"/>
  <c r="I15" i="3"/>
  <c r="I14" i="3"/>
  <c r="I13" i="3"/>
  <c r="I12" i="3"/>
  <c r="I11" i="3"/>
  <c r="I10" i="3"/>
  <c r="I9" i="3"/>
  <c r="E86" i="1"/>
  <c r="AG86" i="1" s="1"/>
  <c r="E73" i="1"/>
  <c r="AG73" i="1" s="1"/>
  <c r="E60" i="1"/>
  <c r="AG60" i="1" s="1"/>
  <c r="L26" i="1"/>
  <c r="I26" i="1"/>
  <c r="F26" i="1"/>
  <c r="L18" i="1"/>
  <c r="I18" i="1"/>
  <c r="F18" i="1"/>
  <c r="L10" i="1"/>
  <c r="I10" i="1"/>
  <c r="F10" i="1"/>
  <c r="E55" i="5"/>
  <c r="E43" i="5"/>
  <c r="E42" i="5"/>
  <c r="C43" i="5"/>
  <c r="C42" i="5"/>
  <c r="C29" i="5"/>
  <c r="G40" i="4"/>
  <c r="C40" i="4"/>
  <c r="K17" i="4"/>
  <c r="K16" i="4"/>
  <c r="K15" i="4"/>
  <c r="K14" i="4"/>
  <c r="K13" i="4"/>
  <c r="K12" i="4"/>
  <c r="K11" i="4"/>
  <c r="K10" i="4"/>
  <c r="K9" i="4"/>
  <c r="J17" i="4"/>
  <c r="J16" i="4"/>
  <c r="J15" i="4"/>
  <c r="J14" i="4"/>
  <c r="J13" i="4"/>
  <c r="J12" i="4"/>
  <c r="J11" i="4"/>
  <c r="J10" i="4"/>
  <c r="J9" i="4"/>
  <c r="H17" i="4"/>
  <c r="H16" i="4"/>
  <c r="H15" i="4"/>
  <c r="H14" i="4"/>
  <c r="H13" i="4"/>
  <c r="H12" i="4"/>
  <c r="H11" i="4"/>
  <c r="H10" i="4"/>
  <c r="H9" i="4"/>
  <c r="G17" i="4"/>
  <c r="G16" i="4"/>
  <c r="G15" i="4"/>
  <c r="G14" i="4"/>
  <c r="G13" i="4"/>
  <c r="G12" i="4"/>
  <c r="G11" i="4"/>
  <c r="G10" i="4"/>
  <c r="G9" i="4"/>
  <c r="E17" i="4"/>
  <c r="E16" i="4"/>
  <c r="E15" i="4"/>
  <c r="E14" i="4"/>
  <c r="E13" i="4"/>
  <c r="E12" i="4"/>
  <c r="E11" i="4"/>
  <c r="E10" i="4"/>
  <c r="E9" i="4"/>
  <c r="H17" i="3" l="1"/>
  <c r="H16" i="3"/>
  <c r="H15" i="3"/>
  <c r="H14" i="3"/>
  <c r="H13" i="3"/>
  <c r="H12" i="3"/>
  <c r="H11" i="3"/>
  <c r="H10" i="3"/>
  <c r="H9" i="3"/>
  <c r="E32" i="1" l="1"/>
  <c r="F32" i="1"/>
  <c r="G32" i="1"/>
  <c r="H32" i="1"/>
  <c r="I32" i="1"/>
  <c r="J32" i="1"/>
  <c r="K32" i="1"/>
  <c r="L32" i="1"/>
  <c r="D32" i="1"/>
  <c r="E16" i="1"/>
  <c r="F16" i="1"/>
  <c r="G16" i="1"/>
  <c r="H16" i="1"/>
  <c r="I16" i="1"/>
  <c r="J16" i="1"/>
  <c r="K16" i="1"/>
  <c r="L16" i="1"/>
  <c r="D16" i="1"/>
  <c r="E24" i="1"/>
  <c r="F24" i="1"/>
  <c r="G24" i="1"/>
  <c r="H24" i="1"/>
  <c r="I24" i="1"/>
  <c r="J24" i="1"/>
  <c r="K24" i="1"/>
  <c r="L24" i="1"/>
  <c r="D24" i="1"/>
  <c r="E44" i="36" l="1"/>
  <c r="E48" i="32"/>
  <c r="H42" i="34"/>
  <c r="G42" i="34"/>
  <c r="F42" i="34"/>
  <c r="E42" i="34"/>
  <c r="H41" i="34"/>
  <c r="G41" i="34"/>
  <c r="F41" i="34"/>
  <c r="E41" i="34"/>
  <c r="O59" i="7"/>
  <c r="O58" i="7"/>
  <c r="O57" i="7"/>
  <c r="O56" i="7"/>
  <c r="O55" i="7"/>
  <c r="O54" i="7"/>
  <c r="O53" i="7"/>
  <c r="O52" i="7"/>
  <c r="O51" i="7"/>
  <c r="O50" i="7"/>
  <c r="O49" i="7"/>
  <c r="O48" i="7"/>
  <c r="O47" i="7"/>
  <c r="O46" i="7"/>
  <c r="O45" i="7"/>
  <c r="O44" i="7"/>
  <c r="O43" i="7"/>
  <c r="O42" i="7"/>
  <c r="O41" i="7"/>
  <c r="O40" i="7"/>
  <c r="O39" i="7"/>
  <c r="M59" i="7"/>
  <c r="M58" i="7"/>
  <c r="M57" i="7"/>
  <c r="M56" i="7"/>
  <c r="M55" i="7"/>
  <c r="M54" i="7"/>
  <c r="M53" i="7"/>
  <c r="M52" i="7"/>
  <c r="M51" i="7"/>
  <c r="M50" i="7"/>
  <c r="M49" i="7"/>
  <c r="M48" i="7"/>
  <c r="M47" i="7"/>
  <c r="M46" i="7"/>
  <c r="M45" i="7"/>
  <c r="M44" i="7"/>
  <c r="M43" i="7"/>
  <c r="M42" i="7"/>
  <c r="M41" i="7"/>
  <c r="M40" i="7"/>
  <c r="M39" i="7"/>
  <c r="K59" i="7"/>
  <c r="K58" i="7"/>
  <c r="K57" i="7"/>
  <c r="K56" i="7"/>
  <c r="K55" i="7"/>
  <c r="K54" i="7"/>
  <c r="K53" i="7"/>
  <c r="K52" i="7"/>
  <c r="K51" i="7"/>
  <c r="K50" i="7"/>
  <c r="K49" i="7"/>
  <c r="K48" i="7"/>
  <c r="K47" i="7"/>
  <c r="K46" i="7"/>
  <c r="K45" i="7"/>
  <c r="K44" i="7"/>
  <c r="K43" i="7"/>
  <c r="K42" i="7"/>
  <c r="K41" i="7"/>
  <c r="K40" i="7"/>
  <c r="K39" i="7"/>
  <c r="I59" i="7"/>
  <c r="I58" i="7"/>
  <c r="I57" i="7"/>
  <c r="I56" i="7"/>
  <c r="I55" i="7"/>
  <c r="I54" i="7"/>
  <c r="I53" i="7"/>
  <c r="I52" i="7"/>
  <c r="I51" i="7"/>
  <c r="I50" i="7"/>
  <c r="I49" i="7"/>
  <c r="I48" i="7"/>
  <c r="I47" i="7"/>
  <c r="I46" i="7"/>
  <c r="I45" i="7"/>
  <c r="I44" i="7"/>
  <c r="I43" i="7"/>
  <c r="I42" i="7"/>
  <c r="I41" i="7"/>
  <c r="I40" i="7"/>
  <c r="I39" i="7"/>
  <c r="G59" i="7"/>
  <c r="G58" i="7"/>
  <c r="G57" i="7"/>
  <c r="G56" i="7"/>
  <c r="G55" i="7"/>
  <c r="G54" i="7"/>
  <c r="G53" i="7"/>
  <c r="G52" i="7"/>
  <c r="G51" i="7"/>
  <c r="G50" i="7"/>
  <c r="G49" i="7"/>
  <c r="G48" i="7"/>
  <c r="G47" i="7"/>
  <c r="G46" i="7"/>
  <c r="G45" i="7"/>
  <c r="G44" i="7"/>
  <c r="G43" i="7"/>
  <c r="G42" i="7"/>
  <c r="G41" i="7"/>
  <c r="G40" i="7"/>
  <c r="G39" i="7"/>
  <c r="E59" i="7"/>
  <c r="E58" i="7"/>
  <c r="E57" i="7"/>
  <c r="E56" i="7"/>
  <c r="E55" i="7"/>
  <c r="E54" i="7"/>
  <c r="E53" i="7"/>
  <c r="E52" i="7"/>
  <c r="E51" i="7"/>
  <c r="E50" i="7"/>
  <c r="E49" i="7"/>
  <c r="E48" i="7"/>
  <c r="E47" i="7"/>
  <c r="E46" i="7"/>
  <c r="E45" i="7"/>
  <c r="E44" i="7"/>
  <c r="E43" i="7"/>
  <c r="E42" i="7"/>
  <c r="E41" i="7"/>
  <c r="E40" i="7"/>
  <c r="E39" i="7"/>
  <c r="E10" i="7"/>
  <c r="O11" i="7"/>
  <c r="O12" i="7"/>
  <c r="O13" i="7"/>
  <c r="O14" i="7"/>
  <c r="O15" i="7"/>
  <c r="O16" i="7"/>
  <c r="O17" i="7"/>
  <c r="O18" i="7"/>
  <c r="O19" i="7"/>
  <c r="O20" i="7"/>
  <c r="O21" i="7"/>
  <c r="O22" i="7"/>
  <c r="O23" i="7"/>
  <c r="O24" i="7"/>
  <c r="O25" i="7"/>
  <c r="O26" i="7"/>
  <c r="O27" i="7"/>
  <c r="O28" i="7"/>
  <c r="O29" i="7"/>
  <c r="O30" i="7"/>
  <c r="O10" i="7"/>
  <c r="C58" i="12"/>
  <c r="D58" i="12"/>
  <c r="E58" i="12"/>
  <c r="F58" i="12"/>
  <c r="G58" i="12"/>
  <c r="H58" i="12"/>
  <c r="I58" i="12"/>
  <c r="J58" i="12"/>
  <c r="K58" i="12"/>
  <c r="L58" i="12"/>
  <c r="M58" i="12"/>
  <c r="N58" i="12"/>
  <c r="O58" i="12"/>
  <c r="P58" i="12"/>
  <c r="C59" i="12"/>
  <c r="D59" i="12"/>
  <c r="E59" i="12"/>
  <c r="F59" i="12"/>
  <c r="G59" i="12"/>
  <c r="H59" i="12"/>
  <c r="I59" i="12"/>
  <c r="J59" i="12"/>
  <c r="K59" i="12"/>
  <c r="L59" i="12"/>
  <c r="M59" i="12"/>
  <c r="N59" i="12"/>
  <c r="O59" i="12"/>
  <c r="P59" i="12"/>
  <c r="C60" i="12"/>
  <c r="D60" i="12"/>
  <c r="E60" i="12"/>
  <c r="F60" i="12"/>
  <c r="G60" i="12"/>
  <c r="H60" i="12"/>
  <c r="I60" i="12"/>
  <c r="J60" i="12"/>
  <c r="K60" i="12"/>
  <c r="L60" i="12"/>
  <c r="M60" i="12"/>
  <c r="N60" i="12"/>
  <c r="O60" i="12"/>
  <c r="P60" i="12"/>
  <c r="C61" i="12"/>
  <c r="D61" i="12"/>
  <c r="E61" i="12"/>
  <c r="F61" i="12"/>
  <c r="G61" i="12"/>
  <c r="H61" i="12"/>
  <c r="I61" i="12"/>
  <c r="J61" i="12"/>
  <c r="K61" i="12"/>
  <c r="L61" i="12"/>
  <c r="M61" i="12"/>
  <c r="N61" i="12"/>
  <c r="O61" i="12"/>
  <c r="P61" i="12"/>
  <c r="C62" i="12"/>
  <c r="D62" i="12"/>
  <c r="E62" i="12"/>
  <c r="F62" i="12"/>
  <c r="G62" i="12"/>
  <c r="H62" i="12"/>
  <c r="I62" i="12"/>
  <c r="J62" i="12"/>
  <c r="K62" i="12"/>
  <c r="L62" i="12"/>
  <c r="M62" i="12"/>
  <c r="N62" i="12"/>
  <c r="O62" i="12"/>
  <c r="P62" i="12"/>
  <c r="C63" i="12"/>
  <c r="D63" i="12"/>
  <c r="E63" i="12"/>
  <c r="F63" i="12"/>
  <c r="G63" i="12"/>
  <c r="H63" i="12"/>
  <c r="I63" i="12"/>
  <c r="J63" i="12"/>
  <c r="K63" i="12"/>
  <c r="L63" i="12"/>
  <c r="M63" i="12"/>
  <c r="N63" i="12"/>
  <c r="O63" i="12"/>
  <c r="P63" i="12"/>
  <c r="C64" i="12"/>
  <c r="D64" i="12"/>
  <c r="E64" i="12"/>
  <c r="F64" i="12"/>
  <c r="G64" i="12"/>
  <c r="H64" i="12"/>
  <c r="I64" i="12"/>
  <c r="J64" i="12"/>
  <c r="K64" i="12"/>
  <c r="L64" i="12"/>
  <c r="M64" i="12"/>
  <c r="N64" i="12"/>
  <c r="O64" i="12"/>
  <c r="P64" i="12"/>
  <c r="C65" i="12"/>
  <c r="D65" i="12"/>
  <c r="E65" i="12"/>
  <c r="F65" i="12"/>
  <c r="G65" i="12"/>
  <c r="H65" i="12"/>
  <c r="I65" i="12"/>
  <c r="J65" i="12"/>
  <c r="K65" i="12"/>
  <c r="L65" i="12"/>
  <c r="M65" i="12"/>
  <c r="N65" i="12"/>
  <c r="O65" i="12"/>
  <c r="P65" i="12"/>
  <c r="C66" i="12"/>
  <c r="D66" i="12"/>
  <c r="E66" i="12"/>
  <c r="F66" i="12"/>
  <c r="G66" i="12"/>
  <c r="H66" i="12"/>
  <c r="I66" i="12"/>
  <c r="J66" i="12"/>
  <c r="K66" i="12"/>
  <c r="L66" i="12"/>
  <c r="M66" i="12"/>
  <c r="N66" i="12"/>
  <c r="O66" i="12"/>
  <c r="P66" i="12"/>
  <c r="C67" i="12"/>
  <c r="D67" i="12"/>
  <c r="E67" i="12"/>
  <c r="F67" i="12"/>
  <c r="G67" i="12"/>
  <c r="H67" i="12"/>
  <c r="I67" i="12"/>
  <c r="J67" i="12"/>
  <c r="K67" i="12"/>
  <c r="L67" i="12"/>
  <c r="M67" i="12"/>
  <c r="N67" i="12"/>
  <c r="O67" i="12"/>
  <c r="P67" i="12"/>
  <c r="C68" i="12"/>
  <c r="D68" i="12"/>
  <c r="E68" i="12"/>
  <c r="F68" i="12"/>
  <c r="G68" i="12"/>
  <c r="H68" i="12"/>
  <c r="I68" i="12"/>
  <c r="J68" i="12"/>
  <c r="K68" i="12"/>
  <c r="L68" i="12"/>
  <c r="M68" i="12"/>
  <c r="N68" i="12"/>
  <c r="O68" i="12"/>
  <c r="P68" i="12"/>
  <c r="C69" i="12"/>
  <c r="D69" i="12"/>
  <c r="E69" i="12"/>
  <c r="F69" i="12"/>
  <c r="G69" i="12"/>
  <c r="H69" i="12"/>
  <c r="I69" i="12"/>
  <c r="J69" i="12"/>
  <c r="K69" i="12"/>
  <c r="L69" i="12"/>
  <c r="M69" i="12"/>
  <c r="N69" i="12"/>
  <c r="O69" i="12"/>
  <c r="P69" i="12"/>
  <c r="C70" i="12"/>
  <c r="D70" i="12"/>
  <c r="E70" i="12"/>
  <c r="F70" i="12"/>
  <c r="G70" i="12"/>
  <c r="H70" i="12"/>
  <c r="I70" i="12"/>
  <c r="J70" i="12"/>
  <c r="K70" i="12"/>
  <c r="L70" i="12"/>
  <c r="M70" i="12"/>
  <c r="N70" i="12"/>
  <c r="O70" i="12"/>
  <c r="P70" i="12"/>
  <c r="C71" i="12"/>
  <c r="D71" i="12"/>
  <c r="E71" i="12"/>
  <c r="F71" i="12"/>
  <c r="G71" i="12"/>
  <c r="H71" i="12"/>
  <c r="I71" i="12"/>
  <c r="J71" i="12"/>
  <c r="K71" i="12"/>
  <c r="L71" i="12"/>
  <c r="M71" i="12"/>
  <c r="N71" i="12"/>
  <c r="O71" i="12"/>
  <c r="P71" i="12"/>
  <c r="C72" i="12"/>
  <c r="D72" i="12"/>
  <c r="E72" i="12"/>
  <c r="F72" i="12"/>
  <c r="G72" i="12"/>
  <c r="H72" i="12"/>
  <c r="I72" i="12"/>
  <c r="J72" i="12"/>
  <c r="K72" i="12"/>
  <c r="L72" i="12"/>
  <c r="M72" i="12"/>
  <c r="N72" i="12"/>
  <c r="O72" i="12"/>
  <c r="P72" i="12"/>
  <c r="C73" i="12"/>
  <c r="D73" i="12"/>
  <c r="E73" i="12"/>
  <c r="F73" i="12"/>
  <c r="G73" i="12"/>
  <c r="H73" i="12"/>
  <c r="I73" i="12"/>
  <c r="J73" i="12"/>
  <c r="K73" i="12"/>
  <c r="L73" i="12"/>
  <c r="M73" i="12"/>
  <c r="N73" i="12"/>
  <c r="O73" i="12"/>
  <c r="P73" i="12"/>
  <c r="C74" i="12"/>
  <c r="D74" i="12"/>
  <c r="E74" i="12"/>
  <c r="F74" i="12"/>
  <c r="G74" i="12"/>
  <c r="H74" i="12"/>
  <c r="I74" i="12"/>
  <c r="J74" i="12"/>
  <c r="K74" i="12"/>
  <c r="L74" i="12"/>
  <c r="M74" i="12"/>
  <c r="N74" i="12"/>
  <c r="O74" i="12"/>
  <c r="P74" i="12"/>
  <c r="C75" i="12"/>
  <c r="D75" i="12"/>
  <c r="E75" i="12"/>
  <c r="F75" i="12"/>
  <c r="G75" i="12"/>
  <c r="H75" i="12"/>
  <c r="I75" i="12"/>
  <c r="J75" i="12"/>
  <c r="K75" i="12"/>
  <c r="L75" i="12"/>
  <c r="M75" i="12"/>
  <c r="N75" i="12"/>
  <c r="O75" i="12"/>
  <c r="P75" i="12"/>
  <c r="C76" i="12"/>
  <c r="D76" i="12"/>
  <c r="E76" i="12"/>
  <c r="F76" i="12"/>
  <c r="G76" i="12"/>
  <c r="H76" i="12"/>
  <c r="I76" i="12"/>
  <c r="J76" i="12"/>
  <c r="K76" i="12"/>
  <c r="L76" i="12"/>
  <c r="M76" i="12"/>
  <c r="N76" i="12"/>
  <c r="O76" i="12"/>
  <c r="P76" i="12"/>
  <c r="C77" i="12"/>
  <c r="D77" i="12"/>
  <c r="E77" i="12"/>
  <c r="F77" i="12"/>
  <c r="G77" i="12"/>
  <c r="H77" i="12"/>
  <c r="I77" i="12"/>
  <c r="J77" i="12"/>
  <c r="K77" i="12"/>
  <c r="L77" i="12"/>
  <c r="M77" i="12"/>
  <c r="N77" i="12"/>
  <c r="O77" i="12"/>
  <c r="P77" i="12"/>
  <c r="C78" i="12"/>
  <c r="D78" i="12"/>
  <c r="E78" i="12"/>
  <c r="F78" i="12"/>
  <c r="G78" i="12"/>
  <c r="H78" i="12"/>
  <c r="I78" i="12"/>
  <c r="J78" i="12"/>
  <c r="K78" i="12"/>
  <c r="L78" i="12"/>
  <c r="M78" i="12"/>
  <c r="N78" i="12"/>
  <c r="O78" i="12"/>
  <c r="P78" i="12"/>
  <c r="C79" i="12"/>
  <c r="D79" i="12"/>
  <c r="E79" i="12"/>
  <c r="F79" i="12"/>
  <c r="G79" i="12"/>
  <c r="H79" i="12"/>
  <c r="I79" i="12"/>
  <c r="J79" i="12"/>
  <c r="K79" i="12"/>
  <c r="L79" i="12"/>
  <c r="M79" i="12"/>
  <c r="N79" i="12"/>
  <c r="O79" i="12"/>
  <c r="P79" i="12"/>
  <c r="C80" i="12"/>
  <c r="D80" i="12"/>
  <c r="E80" i="12"/>
  <c r="F80" i="12"/>
  <c r="G80" i="12"/>
  <c r="H80" i="12"/>
  <c r="I80" i="12"/>
  <c r="J80" i="12"/>
  <c r="K80" i="12"/>
  <c r="L80" i="12"/>
  <c r="M80" i="12"/>
  <c r="N80" i="12"/>
  <c r="O80" i="12"/>
  <c r="P80" i="12"/>
  <c r="C81" i="12"/>
  <c r="D81" i="12"/>
  <c r="E81" i="12"/>
  <c r="F81" i="12"/>
  <c r="G81" i="12"/>
  <c r="H81" i="12"/>
  <c r="I81" i="12"/>
  <c r="J81" i="12"/>
  <c r="K81" i="12"/>
  <c r="L81" i="12"/>
  <c r="M81" i="12"/>
  <c r="N81" i="12"/>
  <c r="O81" i="12"/>
  <c r="P81" i="12"/>
  <c r="C82" i="12"/>
  <c r="D82" i="12"/>
  <c r="E82" i="12"/>
  <c r="F82" i="12"/>
  <c r="G82" i="12"/>
  <c r="H82" i="12"/>
  <c r="I82" i="12"/>
  <c r="J82" i="12"/>
  <c r="K82" i="12"/>
  <c r="L82" i="12"/>
  <c r="M82" i="12"/>
  <c r="N82" i="12"/>
  <c r="O82" i="12"/>
  <c r="P82" i="12"/>
  <c r="C83" i="12"/>
  <c r="D83" i="12"/>
  <c r="E83" i="12"/>
  <c r="F83" i="12"/>
  <c r="G83" i="12"/>
  <c r="H83" i="12"/>
  <c r="I83" i="12"/>
  <c r="J83" i="12"/>
  <c r="K83" i="12"/>
  <c r="L83" i="12"/>
  <c r="M83" i="12"/>
  <c r="N83" i="12"/>
  <c r="O83" i="12"/>
  <c r="P83" i="12"/>
  <c r="C84" i="12"/>
  <c r="D84" i="12"/>
  <c r="E84" i="12"/>
  <c r="F84" i="12"/>
  <c r="G84" i="12"/>
  <c r="H84" i="12"/>
  <c r="I84" i="12"/>
  <c r="J84" i="12"/>
  <c r="K84" i="12"/>
  <c r="L84" i="12"/>
  <c r="M84" i="12"/>
  <c r="N84" i="12"/>
  <c r="O84" i="12"/>
  <c r="P84" i="12"/>
  <c r="C85" i="12"/>
  <c r="D85" i="12"/>
  <c r="E85" i="12"/>
  <c r="F85" i="12"/>
  <c r="G85" i="12"/>
  <c r="H85" i="12"/>
  <c r="I85" i="12"/>
  <c r="J85" i="12"/>
  <c r="K85" i="12"/>
  <c r="L85" i="12"/>
  <c r="M85" i="12"/>
  <c r="N85" i="12"/>
  <c r="O85" i="12"/>
  <c r="P85" i="12"/>
  <c r="C86" i="12"/>
  <c r="D86" i="12"/>
  <c r="E86" i="12"/>
  <c r="F86" i="12"/>
  <c r="G86" i="12"/>
  <c r="H86" i="12"/>
  <c r="I86" i="12"/>
  <c r="J86" i="12"/>
  <c r="K86" i="12"/>
  <c r="L86" i="12"/>
  <c r="M86" i="12"/>
  <c r="N86" i="12"/>
  <c r="O86" i="12"/>
  <c r="P86" i="12"/>
  <c r="C87" i="12"/>
  <c r="D87" i="12"/>
  <c r="E87" i="12"/>
  <c r="F87" i="12"/>
  <c r="G87" i="12"/>
  <c r="H87" i="12"/>
  <c r="I87" i="12"/>
  <c r="J87" i="12"/>
  <c r="K87" i="12"/>
  <c r="L87" i="12"/>
  <c r="M87" i="12"/>
  <c r="N87" i="12"/>
  <c r="O87" i="12"/>
  <c r="P87" i="12"/>
  <c r="C88" i="12"/>
  <c r="D88" i="12"/>
  <c r="E88" i="12"/>
  <c r="F88" i="12"/>
  <c r="G88" i="12"/>
  <c r="H88" i="12"/>
  <c r="I88" i="12"/>
  <c r="J88" i="12"/>
  <c r="K88" i="12"/>
  <c r="L88" i="12"/>
  <c r="M88" i="12"/>
  <c r="N88" i="12"/>
  <c r="O88" i="12"/>
  <c r="P88" i="12"/>
  <c r="C89" i="12"/>
  <c r="D89" i="12"/>
  <c r="E89" i="12"/>
  <c r="F89" i="12"/>
  <c r="G89" i="12"/>
  <c r="H89" i="12"/>
  <c r="I89" i="12"/>
  <c r="J89" i="12"/>
  <c r="K89" i="12"/>
  <c r="L89" i="12"/>
  <c r="M89" i="12"/>
  <c r="N89" i="12"/>
  <c r="O89" i="12"/>
  <c r="P89" i="12"/>
  <c r="C90" i="12"/>
  <c r="D90" i="12"/>
  <c r="E90" i="12"/>
  <c r="F90" i="12"/>
  <c r="G90" i="12"/>
  <c r="H90" i="12"/>
  <c r="I90" i="12"/>
  <c r="J90" i="12"/>
  <c r="K90" i="12"/>
  <c r="L90" i="12"/>
  <c r="M90" i="12"/>
  <c r="N90" i="12"/>
  <c r="O90" i="12"/>
  <c r="P90" i="12"/>
  <c r="C91" i="12"/>
  <c r="D91" i="12"/>
  <c r="E91" i="12"/>
  <c r="F91" i="12"/>
  <c r="G91" i="12"/>
  <c r="H91" i="12"/>
  <c r="I91" i="12"/>
  <c r="J91" i="12"/>
  <c r="K91" i="12"/>
  <c r="L91" i="12"/>
  <c r="M91" i="12"/>
  <c r="N91" i="12"/>
  <c r="O91" i="12"/>
  <c r="P91" i="12"/>
  <c r="C92" i="12"/>
  <c r="D92" i="12"/>
  <c r="E92" i="12"/>
  <c r="F92" i="12"/>
  <c r="G92" i="12"/>
  <c r="H92" i="12"/>
  <c r="I92" i="12"/>
  <c r="J92" i="12"/>
  <c r="K92" i="12"/>
  <c r="L92" i="12"/>
  <c r="M92" i="12"/>
  <c r="N92" i="12"/>
  <c r="O92" i="12"/>
  <c r="P92" i="12"/>
  <c r="C93" i="12"/>
  <c r="D93" i="12"/>
  <c r="E93" i="12"/>
  <c r="F93" i="12"/>
  <c r="G93" i="12"/>
  <c r="H93" i="12"/>
  <c r="I93" i="12"/>
  <c r="J93" i="12"/>
  <c r="K93" i="12"/>
  <c r="L93" i="12"/>
  <c r="M93" i="12"/>
  <c r="N93" i="12"/>
  <c r="O93" i="12"/>
  <c r="P93" i="12"/>
  <c r="C94" i="12"/>
  <c r="D94" i="12"/>
  <c r="E94" i="12"/>
  <c r="F94" i="12"/>
  <c r="G94" i="12"/>
  <c r="H94" i="12"/>
  <c r="I94" i="12"/>
  <c r="J94" i="12"/>
  <c r="K94" i="12"/>
  <c r="L94" i="12"/>
  <c r="M94" i="12"/>
  <c r="N94" i="12"/>
  <c r="O94" i="12"/>
  <c r="P94" i="12"/>
  <c r="C95" i="12"/>
  <c r="D95" i="12"/>
  <c r="E95" i="12"/>
  <c r="F95" i="12"/>
  <c r="G95" i="12"/>
  <c r="H95" i="12"/>
  <c r="I95" i="12"/>
  <c r="J95" i="12"/>
  <c r="K95" i="12"/>
  <c r="L95" i="12"/>
  <c r="M95" i="12"/>
  <c r="N95" i="12"/>
  <c r="O95" i="12"/>
  <c r="P95" i="12"/>
  <c r="C96" i="12"/>
  <c r="D96" i="12"/>
  <c r="E96" i="12"/>
  <c r="F96" i="12"/>
  <c r="G96" i="12"/>
  <c r="H96" i="12"/>
  <c r="I96" i="12"/>
  <c r="J96" i="12"/>
  <c r="K96" i="12"/>
  <c r="L96" i="12"/>
  <c r="M96" i="12"/>
  <c r="N96" i="12"/>
  <c r="O96" i="12"/>
  <c r="P96" i="12"/>
  <c r="D57" i="12"/>
  <c r="E57" i="12"/>
  <c r="F57" i="12"/>
  <c r="G57" i="12"/>
  <c r="H57" i="12"/>
  <c r="I57" i="12"/>
  <c r="J57" i="12"/>
  <c r="K57" i="12"/>
  <c r="L57" i="12"/>
  <c r="M57" i="12"/>
  <c r="N57" i="12"/>
  <c r="O57" i="12"/>
  <c r="P57" i="12"/>
  <c r="C57" i="12"/>
  <c r="C34" i="12"/>
  <c r="D34" i="12"/>
  <c r="E34" i="12"/>
  <c r="F34" i="12"/>
  <c r="G34" i="12"/>
  <c r="H34" i="12"/>
  <c r="I34" i="12"/>
  <c r="J34" i="12"/>
  <c r="K34" i="12"/>
  <c r="C35" i="12"/>
  <c r="D35" i="12"/>
  <c r="E35" i="12"/>
  <c r="F35" i="12"/>
  <c r="G35" i="12"/>
  <c r="H35" i="12"/>
  <c r="I35" i="12"/>
  <c r="J35" i="12"/>
  <c r="K35" i="12"/>
  <c r="C36" i="12"/>
  <c r="D36" i="12"/>
  <c r="E36" i="12"/>
  <c r="F36" i="12"/>
  <c r="G36" i="12"/>
  <c r="H36" i="12"/>
  <c r="I36" i="12"/>
  <c r="J36" i="12"/>
  <c r="K36" i="12"/>
  <c r="C37" i="12"/>
  <c r="D37" i="12"/>
  <c r="E37" i="12"/>
  <c r="F37" i="12"/>
  <c r="G37" i="12"/>
  <c r="H37" i="12"/>
  <c r="I37" i="12"/>
  <c r="J37" i="12"/>
  <c r="K37" i="12"/>
  <c r="C38" i="12"/>
  <c r="D38" i="12"/>
  <c r="E38" i="12"/>
  <c r="F38" i="12"/>
  <c r="G38" i="12"/>
  <c r="H38" i="12"/>
  <c r="I38" i="12"/>
  <c r="J38" i="12"/>
  <c r="K38" i="12"/>
  <c r="C39" i="12"/>
  <c r="D39" i="12"/>
  <c r="E39" i="12"/>
  <c r="F39" i="12"/>
  <c r="G39" i="12"/>
  <c r="H39" i="12"/>
  <c r="I39" i="12"/>
  <c r="J39" i="12"/>
  <c r="K39" i="12"/>
  <c r="C40" i="12"/>
  <c r="D40" i="12"/>
  <c r="E40" i="12"/>
  <c r="F40" i="12"/>
  <c r="G40" i="12"/>
  <c r="H40" i="12"/>
  <c r="I40" i="12"/>
  <c r="J40" i="12"/>
  <c r="K40" i="12"/>
  <c r="C41" i="12"/>
  <c r="D41" i="12"/>
  <c r="E41" i="12"/>
  <c r="F41" i="12"/>
  <c r="G41" i="12"/>
  <c r="H41" i="12"/>
  <c r="I41" i="12"/>
  <c r="J41" i="12"/>
  <c r="K41" i="12"/>
  <c r="C42" i="12"/>
  <c r="D42" i="12"/>
  <c r="E42" i="12"/>
  <c r="F42" i="12"/>
  <c r="G42" i="12"/>
  <c r="H42" i="12"/>
  <c r="I42" i="12"/>
  <c r="J42" i="12"/>
  <c r="K42" i="12"/>
  <c r="C43" i="12"/>
  <c r="D43" i="12"/>
  <c r="E43" i="12"/>
  <c r="F43" i="12"/>
  <c r="G43" i="12"/>
  <c r="H43" i="12"/>
  <c r="I43" i="12"/>
  <c r="J43" i="12"/>
  <c r="K43" i="12"/>
  <c r="C44" i="12"/>
  <c r="D44" i="12"/>
  <c r="E44" i="12"/>
  <c r="F44" i="12"/>
  <c r="G44" i="12"/>
  <c r="H44" i="12"/>
  <c r="I44" i="12"/>
  <c r="J44" i="12"/>
  <c r="K44" i="12"/>
  <c r="C45" i="12"/>
  <c r="D45" i="12"/>
  <c r="E45" i="12"/>
  <c r="F45" i="12"/>
  <c r="G45" i="12"/>
  <c r="H45" i="12"/>
  <c r="I45" i="12"/>
  <c r="J45" i="12"/>
  <c r="K45" i="12"/>
  <c r="C46" i="12"/>
  <c r="D46" i="12"/>
  <c r="E46" i="12"/>
  <c r="F46" i="12"/>
  <c r="G46" i="12"/>
  <c r="H46" i="12"/>
  <c r="I46" i="12"/>
  <c r="J46" i="12"/>
  <c r="K46" i="12"/>
  <c r="C47" i="12"/>
  <c r="D47" i="12"/>
  <c r="E47" i="12"/>
  <c r="F47" i="12"/>
  <c r="G47" i="12"/>
  <c r="H47" i="12"/>
  <c r="I47" i="12"/>
  <c r="J47" i="12"/>
  <c r="K47" i="12"/>
  <c r="C48" i="12"/>
  <c r="D48" i="12"/>
  <c r="E48" i="12"/>
  <c r="F48" i="12"/>
  <c r="G48" i="12"/>
  <c r="H48" i="12"/>
  <c r="I48" i="12"/>
  <c r="J48" i="12"/>
  <c r="K48" i="12"/>
  <c r="C49" i="12"/>
  <c r="D49" i="12"/>
  <c r="E49" i="12"/>
  <c r="F49" i="12"/>
  <c r="G49" i="12"/>
  <c r="H49" i="12"/>
  <c r="I49" i="12"/>
  <c r="J49" i="12"/>
  <c r="K49" i="12"/>
  <c r="D33" i="12"/>
  <c r="E33" i="12"/>
  <c r="F33" i="12"/>
  <c r="G33" i="12"/>
  <c r="H33" i="12"/>
  <c r="I33" i="12"/>
  <c r="J33" i="12"/>
  <c r="K33" i="12"/>
  <c r="C33" i="12"/>
  <c r="C10" i="12"/>
  <c r="D10" i="12"/>
  <c r="E10" i="12"/>
  <c r="F10" i="12"/>
  <c r="G10" i="12"/>
  <c r="H10" i="12"/>
  <c r="I10" i="12"/>
  <c r="J10" i="12"/>
  <c r="K10" i="12"/>
  <c r="C11" i="12"/>
  <c r="D11" i="12"/>
  <c r="E11" i="12"/>
  <c r="F11" i="12"/>
  <c r="G11" i="12"/>
  <c r="H11" i="12"/>
  <c r="I11" i="12"/>
  <c r="J11" i="12"/>
  <c r="K11" i="12"/>
  <c r="C12" i="12"/>
  <c r="D12" i="12"/>
  <c r="E12" i="12"/>
  <c r="F12" i="12"/>
  <c r="G12" i="12"/>
  <c r="H12" i="12"/>
  <c r="I12" i="12"/>
  <c r="J12" i="12"/>
  <c r="K12" i="12"/>
  <c r="C13" i="12"/>
  <c r="D13" i="12"/>
  <c r="E13" i="12"/>
  <c r="F13" i="12"/>
  <c r="G13" i="12"/>
  <c r="H13" i="12"/>
  <c r="I13" i="12"/>
  <c r="J13" i="12"/>
  <c r="K13" i="12"/>
  <c r="C14" i="12"/>
  <c r="D14" i="12"/>
  <c r="E14" i="12"/>
  <c r="F14" i="12"/>
  <c r="G14" i="12"/>
  <c r="H14" i="12"/>
  <c r="I14" i="12"/>
  <c r="J14" i="12"/>
  <c r="K14" i="12"/>
  <c r="C15" i="12"/>
  <c r="D15" i="12"/>
  <c r="E15" i="12"/>
  <c r="F15" i="12"/>
  <c r="G15" i="12"/>
  <c r="H15" i="12"/>
  <c r="I15" i="12"/>
  <c r="J15" i="12"/>
  <c r="K15" i="12"/>
  <c r="C16" i="12"/>
  <c r="D16" i="12"/>
  <c r="E16" i="12"/>
  <c r="F16" i="12"/>
  <c r="G16" i="12"/>
  <c r="H16" i="12"/>
  <c r="I16" i="12"/>
  <c r="J16" i="12"/>
  <c r="K16" i="12"/>
  <c r="C17" i="12"/>
  <c r="D17" i="12"/>
  <c r="E17" i="12"/>
  <c r="F17" i="12"/>
  <c r="G17" i="12"/>
  <c r="H17" i="12"/>
  <c r="I17" i="12"/>
  <c r="J17" i="12"/>
  <c r="K17" i="12"/>
  <c r="C18" i="12"/>
  <c r="D18" i="12"/>
  <c r="E18" i="12"/>
  <c r="F18" i="12"/>
  <c r="G18" i="12"/>
  <c r="H18" i="12"/>
  <c r="I18" i="12"/>
  <c r="J18" i="12"/>
  <c r="K18" i="12"/>
  <c r="C19" i="12"/>
  <c r="D19" i="12"/>
  <c r="E19" i="12"/>
  <c r="F19" i="12"/>
  <c r="G19" i="12"/>
  <c r="H19" i="12"/>
  <c r="I19" i="12"/>
  <c r="J19" i="12"/>
  <c r="K19" i="12"/>
  <c r="C20" i="12"/>
  <c r="D20" i="12"/>
  <c r="E20" i="12"/>
  <c r="F20" i="12"/>
  <c r="G20" i="12"/>
  <c r="H20" i="12"/>
  <c r="I20" i="12"/>
  <c r="J20" i="12"/>
  <c r="K20" i="12"/>
  <c r="C21" i="12"/>
  <c r="D21" i="12"/>
  <c r="E21" i="12"/>
  <c r="F21" i="12"/>
  <c r="G21" i="12"/>
  <c r="H21" i="12"/>
  <c r="I21" i="12"/>
  <c r="J21" i="12"/>
  <c r="K21" i="12"/>
  <c r="C22" i="12"/>
  <c r="D22" i="12"/>
  <c r="E22" i="12"/>
  <c r="F22" i="12"/>
  <c r="G22" i="12"/>
  <c r="H22" i="12"/>
  <c r="I22" i="12"/>
  <c r="J22" i="12"/>
  <c r="K22" i="12"/>
  <c r="C23" i="12"/>
  <c r="D23" i="12"/>
  <c r="E23" i="12"/>
  <c r="F23" i="12"/>
  <c r="G23" i="12"/>
  <c r="H23" i="12"/>
  <c r="I23" i="12"/>
  <c r="J23" i="12"/>
  <c r="K23" i="12"/>
  <c r="C24" i="12"/>
  <c r="D24" i="12"/>
  <c r="E24" i="12"/>
  <c r="F24" i="12"/>
  <c r="G24" i="12"/>
  <c r="H24" i="12"/>
  <c r="I24" i="12"/>
  <c r="J24" i="12"/>
  <c r="K24" i="12"/>
  <c r="C25" i="12"/>
  <c r="G25" i="12"/>
  <c r="D9" i="12"/>
  <c r="E9" i="12"/>
  <c r="F9" i="12"/>
  <c r="G9" i="12"/>
  <c r="H9" i="12"/>
  <c r="I9" i="12"/>
  <c r="J9" i="12"/>
  <c r="K9" i="12"/>
  <c r="C9" i="12"/>
  <c r="C48" i="32" l="1"/>
  <c r="D48" i="32"/>
  <c r="I42" i="34"/>
  <c r="I41" i="34"/>
  <c r="AG31" i="25"/>
  <c r="AG32" i="25"/>
  <c r="AG33" i="25"/>
  <c r="AG34" i="25"/>
  <c r="AG35" i="25"/>
  <c r="AG36" i="25"/>
  <c r="AG37" i="25"/>
  <c r="AG38" i="25"/>
  <c r="AG39" i="25"/>
  <c r="AG40" i="25"/>
  <c r="AG41" i="25"/>
  <c r="AG42" i="25"/>
  <c r="AG43" i="25"/>
  <c r="AG44" i="25"/>
  <c r="AG45" i="25"/>
  <c r="AG46" i="25"/>
  <c r="AG47" i="25"/>
  <c r="AG48" i="25"/>
  <c r="AG49" i="25"/>
  <c r="AG50" i="25"/>
  <c r="AG51" i="25"/>
  <c r="AE31" i="25"/>
  <c r="AE32" i="25"/>
  <c r="AE33" i="25"/>
  <c r="AE34" i="25"/>
  <c r="AE35" i="25"/>
  <c r="AE36" i="25"/>
  <c r="AE37" i="25"/>
  <c r="AE38" i="25"/>
  <c r="AE39" i="25"/>
  <c r="AE40" i="25"/>
  <c r="AE41" i="25"/>
  <c r="AE42" i="25"/>
  <c r="AE43" i="25"/>
  <c r="AE44" i="25"/>
  <c r="AE45" i="25"/>
  <c r="AE46" i="25"/>
  <c r="AE47" i="25"/>
  <c r="AE48" i="25"/>
  <c r="AE49" i="25"/>
  <c r="AE50" i="25"/>
  <c r="AE51" i="25"/>
  <c r="AC31" i="25"/>
  <c r="AC32" i="25"/>
  <c r="AC33" i="25"/>
  <c r="AC34" i="25"/>
  <c r="AC35" i="25"/>
  <c r="AC36" i="25"/>
  <c r="AC37" i="25"/>
  <c r="AC38" i="25"/>
  <c r="AC39" i="25"/>
  <c r="AC40" i="25"/>
  <c r="AC41" i="25"/>
  <c r="AC42" i="25"/>
  <c r="AC43" i="25"/>
  <c r="AC44" i="25"/>
  <c r="AC45" i="25"/>
  <c r="AC46" i="25"/>
  <c r="AC47" i="25"/>
  <c r="AC48" i="25"/>
  <c r="AC49" i="25"/>
  <c r="AC50" i="25"/>
  <c r="AC51" i="25"/>
  <c r="AA31" i="25"/>
  <c r="AA32" i="25"/>
  <c r="AA33" i="25"/>
  <c r="AA34" i="25"/>
  <c r="AA35" i="25"/>
  <c r="AA36" i="25"/>
  <c r="AA37" i="25"/>
  <c r="AA38" i="25"/>
  <c r="AA39" i="25"/>
  <c r="AA40" i="25"/>
  <c r="AA41" i="25"/>
  <c r="AA42" i="25"/>
  <c r="AA43" i="25"/>
  <c r="AA44" i="25"/>
  <c r="AA45" i="25"/>
  <c r="AA46" i="25"/>
  <c r="AA47" i="25"/>
  <c r="AA48" i="25"/>
  <c r="AA49" i="25"/>
  <c r="AA50" i="25"/>
  <c r="AA51" i="25"/>
  <c r="W31" i="25"/>
  <c r="W32" i="25"/>
  <c r="W33" i="25"/>
  <c r="W34" i="25"/>
  <c r="W35" i="25"/>
  <c r="W36" i="25"/>
  <c r="W37" i="25"/>
  <c r="W38" i="25"/>
  <c r="W39" i="25"/>
  <c r="W40" i="25"/>
  <c r="W41" i="25"/>
  <c r="W42" i="25"/>
  <c r="W43" i="25"/>
  <c r="W44" i="25"/>
  <c r="W45" i="25"/>
  <c r="W46" i="25"/>
  <c r="W47" i="25"/>
  <c r="W48" i="25"/>
  <c r="W49" i="25"/>
  <c r="W50" i="25"/>
  <c r="W51" i="25"/>
  <c r="U31" i="25"/>
  <c r="U32" i="25"/>
  <c r="U33" i="25"/>
  <c r="U34" i="25"/>
  <c r="U35" i="25"/>
  <c r="U36" i="25"/>
  <c r="U37" i="25"/>
  <c r="U38" i="25"/>
  <c r="U39" i="25"/>
  <c r="U40" i="25"/>
  <c r="U41" i="25"/>
  <c r="U42" i="25"/>
  <c r="U43" i="25"/>
  <c r="U44" i="25"/>
  <c r="U45" i="25"/>
  <c r="U46" i="25"/>
  <c r="U47" i="25"/>
  <c r="U48" i="25"/>
  <c r="U49" i="25"/>
  <c r="U50" i="25"/>
  <c r="U51" i="25"/>
  <c r="S31" i="25"/>
  <c r="S32" i="25"/>
  <c r="S33" i="25"/>
  <c r="S34" i="25"/>
  <c r="S35" i="25"/>
  <c r="S36" i="25"/>
  <c r="S37" i="25"/>
  <c r="S38" i="25"/>
  <c r="S39" i="25"/>
  <c r="S40" i="25"/>
  <c r="S41" i="25"/>
  <c r="S42" i="25"/>
  <c r="S43" i="25"/>
  <c r="S44" i="25"/>
  <c r="S45" i="25"/>
  <c r="S46" i="25"/>
  <c r="S47" i="25"/>
  <c r="S48" i="25"/>
  <c r="S49" i="25"/>
  <c r="S50" i="25"/>
  <c r="S51" i="25"/>
  <c r="Q31" i="25"/>
  <c r="Q32" i="25"/>
  <c r="Q33" i="25"/>
  <c r="Q34" i="25"/>
  <c r="Q35" i="25"/>
  <c r="Q36" i="25"/>
  <c r="Q37" i="25"/>
  <c r="Q38" i="25"/>
  <c r="Q39" i="25"/>
  <c r="Q40" i="25"/>
  <c r="Q41" i="25"/>
  <c r="Q42" i="25"/>
  <c r="Q43" i="25"/>
  <c r="Q44" i="25"/>
  <c r="Q45" i="25"/>
  <c r="Q46" i="25"/>
  <c r="Q47" i="25"/>
  <c r="Q48" i="25"/>
  <c r="Q49" i="25"/>
  <c r="Q50" i="25"/>
  <c r="Q51" i="25"/>
  <c r="O31" i="25"/>
  <c r="O32" i="25"/>
  <c r="O33" i="25"/>
  <c r="O34" i="25"/>
  <c r="O35" i="25"/>
  <c r="O36" i="25"/>
  <c r="O37" i="25"/>
  <c r="O38" i="25"/>
  <c r="O39" i="25"/>
  <c r="O40" i="25"/>
  <c r="O41" i="25"/>
  <c r="O42" i="25"/>
  <c r="O43" i="25"/>
  <c r="O44" i="25"/>
  <c r="O45" i="25"/>
  <c r="O46" i="25"/>
  <c r="O47" i="25"/>
  <c r="O48" i="25"/>
  <c r="O49" i="25"/>
  <c r="O50" i="25"/>
  <c r="O51" i="25"/>
  <c r="M31" i="25"/>
  <c r="M32" i="25"/>
  <c r="M33" i="25"/>
  <c r="M34" i="25"/>
  <c r="M35" i="25"/>
  <c r="M36" i="25"/>
  <c r="M37" i="25"/>
  <c r="M38" i="25"/>
  <c r="M39" i="25"/>
  <c r="M40" i="25"/>
  <c r="M41" i="25"/>
  <c r="M42" i="25"/>
  <c r="M43" i="25"/>
  <c r="M44" i="25"/>
  <c r="M45" i="25"/>
  <c r="M46" i="25"/>
  <c r="M47" i="25"/>
  <c r="M48" i="25"/>
  <c r="M49" i="25"/>
  <c r="M50" i="25"/>
  <c r="M51" i="25"/>
  <c r="K31" i="25"/>
  <c r="K32" i="25"/>
  <c r="K33" i="25"/>
  <c r="K34" i="25"/>
  <c r="K35" i="25"/>
  <c r="K36" i="25"/>
  <c r="K37" i="25"/>
  <c r="K38" i="25"/>
  <c r="K39" i="25"/>
  <c r="K40" i="25"/>
  <c r="K41" i="25"/>
  <c r="K42" i="25"/>
  <c r="K43" i="25"/>
  <c r="K44" i="25"/>
  <c r="K45" i="25"/>
  <c r="K46" i="25"/>
  <c r="K47" i="25"/>
  <c r="K48" i="25"/>
  <c r="K49" i="25"/>
  <c r="K50" i="25"/>
  <c r="K51" i="25"/>
  <c r="Y35" i="25"/>
  <c r="Y31" i="25"/>
  <c r="Y32" i="25"/>
  <c r="Y33" i="25"/>
  <c r="Y34" i="25"/>
  <c r="Y36" i="25"/>
  <c r="Y37" i="25"/>
  <c r="Y38" i="25"/>
  <c r="Y39" i="25"/>
  <c r="Y40" i="25"/>
  <c r="Y41" i="25"/>
  <c r="Y42" i="25"/>
  <c r="Y43" i="25"/>
  <c r="Y44" i="25"/>
  <c r="Y45" i="25"/>
  <c r="Y46" i="25"/>
  <c r="Y47" i="25"/>
  <c r="Y48" i="25"/>
  <c r="Y49" i="25"/>
  <c r="Y50" i="25"/>
  <c r="Y51" i="25"/>
  <c r="AG30" i="25"/>
  <c r="AG29" i="25"/>
  <c r="AG28" i="25"/>
  <c r="AG27" i="25"/>
  <c r="AG26" i="25"/>
  <c r="AG25" i="25"/>
  <c r="AG24" i="25"/>
  <c r="AE30" i="25"/>
  <c r="AE29" i="25"/>
  <c r="AE28" i="25"/>
  <c r="AE27" i="25"/>
  <c r="AE26" i="25"/>
  <c r="AE25" i="25"/>
  <c r="AE24" i="25"/>
  <c r="AC30" i="25"/>
  <c r="AC29" i="25"/>
  <c r="AC28" i="25"/>
  <c r="AC27" i="25"/>
  <c r="AC26" i="25"/>
  <c r="AC25" i="25"/>
  <c r="AC24" i="25"/>
  <c r="AA30" i="25"/>
  <c r="AA29" i="25"/>
  <c r="AA28" i="25"/>
  <c r="AA27" i="25"/>
  <c r="AA26" i="25"/>
  <c r="AA25" i="25"/>
  <c r="AA24" i="25"/>
  <c r="Y30" i="25"/>
  <c r="Y29" i="25"/>
  <c r="Y28" i="25"/>
  <c r="Y27" i="25"/>
  <c r="Y26" i="25"/>
  <c r="Y25" i="25"/>
  <c r="Y24" i="25"/>
  <c r="W30" i="25"/>
  <c r="W29" i="25"/>
  <c r="W28" i="25"/>
  <c r="W27" i="25"/>
  <c r="W26" i="25"/>
  <c r="W25" i="25"/>
  <c r="W24" i="25"/>
  <c r="U30" i="25"/>
  <c r="U29" i="25"/>
  <c r="U28" i="25"/>
  <c r="U27" i="25"/>
  <c r="U26" i="25"/>
  <c r="U25" i="25"/>
  <c r="U24" i="25"/>
  <c r="S30" i="25"/>
  <c r="S29" i="25"/>
  <c r="S28" i="25"/>
  <c r="S27" i="25"/>
  <c r="S26" i="25"/>
  <c r="S25" i="25"/>
  <c r="S24" i="25"/>
  <c r="Q30" i="25"/>
  <c r="Q29" i="25"/>
  <c r="Q28" i="25"/>
  <c r="Q27" i="25"/>
  <c r="Q26" i="25"/>
  <c r="Q25" i="25"/>
  <c r="Q24" i="25"/>
  <c r="O30" i="25"/>
  <c r="O29" i="25"/>
  <c r="O28" i="25"/>
  <c r="O27" i="25"/>
  <c r="O26" i="25"/>
  <c r="O25" i="25"/>
  <c r="O24" i="25"/>
  <c r="M30" i="25"/>
  <c r="M29" i="25"/>
  <c r="M28" i="25"/>
  <c r="M27" i="25"/>
  <c r="M26" i="25"/>
  <c r="M25" i="25"/>
  <c r="M24" i="25"/>
  <c r="K30" i="25"/>
  <c r="K29" i="25"/>
  <c r="K28" i="25"/>
  <c r="K27" i="25"/>
  <c r="K26" i="25"/>
  <c r="K25" i="25"/>
  <c r="K24" i="25"/>
  <c r="I51" i="25"/>
  <c r="I50" i="25"/>
  <c r="I49" i="25"/>
  <c r="I48" i="25"/>
  <c r="I47" i="25"/>
  <c r="I46" i="25"/>
  <c r="I45" i="25"/>
  <c r="I44" i="25"/>
  <c r="I43" i="25"/>
  <c r="I42" i="25"/>
  <c r="I41" i="25"/>
  <c r="I40" i="25"/>
  <c r="I39" i="25"/>
  <c r="I38" i="25"/>
  <c r="I37" i="25"/>
  <c r="I36" i="25"/>
  <c r="I35" i="25"/>
  <c r="I34" i="25"/>
  <c r="I33" i="25"/>
  <c r="I32" i="25"/>
  <c r="I31" i="25"/>
  <c r="I30" i="25"/>
  <c r="I29" i="25"/>
  <c r="I28" i="25"/>
  <c r="I27" i="25"/>
  <c r="I26" i="25"/>
  <c r="I25" i="25"/>
  <c r="I24" i="25"/>
  <c r="G51" i="25"/>
  <c r="G50" i="25"/>
  <c r="G49" i="25"/>
  <c r="G48" i="25"/>
  <c r="G47" i="25"/>
  <c r="G46" i="25"/>
  <c r="G45" i="25"/>
  <c r="G44" i="25"/>
  <c r="G43" i="25"/>
  <c r="G42" i="25"/>
  <c r="G41" i="25"/>
  <c r="G40" i="25"/>
  <c r="G39" i="25"/>
  <c r="G38" i="25"/>
  <c r="G37" i="25"/>
  <c r="G36" i="25"/>
  <c r="G35" i="25"/>
  <c r="G34" i="25"/>
  <c r="G33" i="25"/>
  <c r="G32" i="25"/>
  <c r="G31" i="25"/>
  <c r="G30" i="25"/>
  <c r="G29" i="25"/>
  <c r="G28" i="25"/>
  <c r="G27" i="25"/>
  <c r="G26" i="25"/>
  <c r="G25" i="25"/>
  <c r="G24" i="25"/>
  <c r="E51" i="25"/>
  <c r="E50" i="25"/>
  <c r="E49" i="25"/>
  <c r="E48" i="25"/>
  <c r="E47" i="25"/>
  <c r="E46" i="25"/>
  <c r="E45" i="25"/>
  <c r="E44" i="25"/>
  <c r="E43" i="25"/>
  <c r="E42" i="25"/>
  <c r="E41" i="25"/>
  <c r="E40" i="25"/>
  <c r="E39" i="25"/>
  <c r="E38" i="25"/>
  <c r="E37" i="25"/>
  <c r="E36" i="25"/>
  <c r="E35" i="25"/>
  <c r="E34" i="25"/>
  <c r="E33" i="25"/>
  <c r="E32" i="25"/>
  <c r="E31" i="25"/>
  <c r="E30" i="25"/>
  <c r="E29" i="25"/>
  <c r="E28" i="25"/>
  <c r="E27" i="25"/>
  <c r="E26" i="25"/>
  <c r="E25" i="25"/>
  <c r="E24" i="25"/>
  <c r="J15" i="25"/>
  <c r="J10" i="25"/>
  <c r="J11" i="25"/>
  <c r="J12" i="25"/>
  <c r="J13" i="25"/>
  <c r="J14" i="25"/>
  <c r="H10" i="25"/>
  <c r="H11" i="25"/>
  <c r="H12" i="25"/>
  <c r="H14" i="25"/>
  <c r="F10" i="25"/>
  <c r="F11" i="25"/>
  <c r="F12" i="25"/>
  <c r="F14" i="25"/>
  <c r="J9" i="25"/>
  <c r="H9" i="25"/>
  <c r="F9" i="25"/>
  <c r="D10" i="25"/>
  <c r="D11" i="25"/>
  <c r="D12" i="25"/>
  <c r="D13" i="25"/>
  <c r="D14" i="25"/>
  <c r="D15" i="25"/>
  <c r="D9" i="25"/>
  <c r="F48" i="32" l="1"/>
  <c r="G13" i="25"/>
  <c r="E13" i="25"/>
  <c r="E29" i="9"/>
  <c r="D29" i="9"/>
  <c r="C29" i="9"/>
  <c r="D15" i="9"/>
  <c r="E15" i="9"/>
  <c r="C15" i="9"/>
  <c r="E25" i="27"/>
  <c r="E25" i="12" s="1"/>
  <c r="D25" i="27"/>
  <c r="D25" i="12" s="1"/>
  <c r="F25" i="27"/>
  <c r="F25" i="12" s="1"/>
  <c r="H25" i="27"/>
  <c r="H25" i="12" s="1"/>
  <c r="I25" i="27"/>
  <c r="I25" i="12" s="1"/>
  <c r="J25" i="27"/>
  <c r="J25" i="12" s="1"/>
  <c r="K25" i="27"/>
  <c r="K25" i="12" s="1"/>
  <c r="M30" i="7"/>
  <c r="M29" i="7"/>
  <c r="M28" i="7"/>
  <c r="M27" i="7"/>
  <c r="M26" i="7"/>
  <c r="M25" i="7"/>
  <c r="M24" i="7"/>
  <c r="M23" i="7"/>
  <c r="M22" i="7"/>
  <c r="M21" i="7"/>
  <c r="M20" i="7"/>
  <c r="M19" i="7"/>
  <c r="M18" i="7"/>
  <c r="M17" i="7"/>
  <c r="M16" i="7"/>
  <c r="M15" i="7"/>
  <c r="M14" i="7"/>
  <c r="M13" i="7"/>
  <c r="M12" i="7"/>
  <c r="M11" i="7"/>
  <c r="M10" i="7"/>
  <c r="K30" i="7"/>
  <c r="K29" i="7"/>
  <c r="K28" i="7"/>
  <c r="K27" i="7"/>
  <c r="K26" i="7"/>
  <c r="K25" i="7"/>
  <c r="K24" i="7"/>
  <c r="K23" i="7"/>
  <c r="K22" i="7"/>
  <c r="K21" i="7"/>
  <c r="K20" i="7"/>
  <c r="K19" i="7"/>
  <c r="K18" i="7"/>
  <c r="K17" i="7"/>
  <c r="K16" i="7"/>
  <c r="K15" i="7"/>
  <c r="K14" i="7"/>
  <c r="K13" i="7"/>
  <c r="K12" i="7"/>
  <c r="K11" i="7"/>
  <c r="K10" i="7"/>
  <c r="I30" i="7"/>
  <c r="I29" i="7"/>
  <c r="I28" i="7"/>
  <c r="I27" i="7"/>
  <c r="I26" i="7"/>
  <c r="I25" i="7"/>
  <c r="I24" i="7"/>
  <c r="I23" i="7"/>
  <c r="I22" i="7"/>
  <c r="I21" i="7"/>
  <c r="I20" i="7"/>
  <c r="I19" i="7"/>
  <c r="I18" i="7"/>
  <c r="I17" i="7"/>
  <c r="I16" i="7"/>
  <c r="I15" i="7"/>
  <c r="I14" i="7"/>
  <c r="I13" i="7"/>
  <c r="I12" i="7"/>
  <c r="I11" i="7"/>
  <c r="I10" i="7"/>
  <c r="G30" i="7"/>
  <c r="G29" i="7"/>
  <c r="G28" i="7"/>
  <c r="G27" i="7"/>
  <c r="G26" i="7"/>
  <c r="G25" i="7"/>
  <c r="G24" i="7"/>
  <c r="G23" i="7"/>
  <c r="G22" i="7"/>
  <c r="G21" i="7"/>
  <c r="G20" i="7"/>
  <c r="G19" i="7"/>
  <c r="G18" i="7"/>
  <c r="G17" i="7"/>
  <c r="G16" i="7"/>
  <c r="G15" i="7"/>
  <c r="G14" i="7"/>
  <c r="G13" i="7"/>
  <c r="G12" i="7"/>
  <c r="G11" i="7"/>
  <c r="G10" i="7"/>
  <c r="E11" i="7"/>
  <c r="E12" i="7"/>
  <c r="E13" i="7"/>
  <c r="E14" i="7"/>
  <c r="E15" i="7"/>
  <c r="E16" i="7"/>
  <c r="E17" i="7"/>
  <c r="E18" i="7"/>
  <c r="E19" i="7"/>
  <c r="E20" i="7"/>
  <c r="E21" i="7"/>
  <c r="E22" i="7"/>
  <c r="E23" i="7"/>
  <c r="E24" i="7"/>
  <c r="E25" i="7"/>
  <c r="E26" i="7"/>
  <c r="E27" i="7"/>
  <c r="E28" i="7"/>
  <c r="E29" i="7"/>
  <c r="E30" i="7"/>
  <c r="AG90" i="4"/>
  <c r="AH90" i="4"/>
  <c r="AJ90" i="4"/>
  <c r="AK90" i="4"/>
  <c r="AG91" i="4"/>
  <c r="AH91" i="4"/>
  <c r="AJ91" i="4"/>
  <c r="AK91" i="4"/>
  <c r="AG92" i="4"/>
  <c r="AH92" i="4"/>
  <c r="AJ92" i="4"/>
  <c r="AK92" i="4"/>
  <c r="AG93" i="4"/>
  <c r="AH93" i="4"/>
  <c r="AJ93" i="4"/>
  <c r="AK93" i="4"/>
  <c r="AG94" i="4"/>
  <c r="AH94" i="4"/>
  <c r="AJ94" i="4"/>
  <c r="AK94" i="4"/>
  <c r="AG95" i="4"/>
  <c r="AH95" i="4"/>
  <c r="AJ95" i="4"/>
  <c r="AK95" i="4"/>
  <c r="AG96" i="4"/>
  <c r="AH96" i="4"/>
  <c r="AJ96" i="4"/>
  <c r="AK96" i="4"/>
  <c r="AG97" i="4"/>
  <c r="AH97" i="4"/>
  <c r="AJ97" i="4"/>
  <c r="AK97" i="4"/>
  <c r="AG98" i="4"/>
  <c r="AH98" i="4"/>
  <c r="AJ98" i="4"/>
  <c r="AK98" i="4"/>
  <c r="AG99" i="4"/>
  <c r="AH99" i="4"/>
  <c r="AJ99" i="4"/>
  <c r="AK99" i="4"/>
  <c r="AG100" i="4"/>
  <c r="AH100" i="4"/>
  <c r="AJ100" i="4"/>
  <c r="AK100" i="4"/>
  <c r="AG101" i="4"/>
  <c r="AH101" i="4"/>
  <c r="AJ101" i="4"/>
  <c r="AK101" i="4"/>
  <c r="AG102" i="4"/>
  <c r="AH102" i="4"/>
  <c r="AJ102" i="4"/>
  <c r="AK102" i="4"/>
  <c r="AG103" i="4"/>
  <c r="AH103" i="4"/>
  <c r="AJ103" i="4"/>
  <c r="AK103" i="4"/>
  <c r="AG104" i="4"/>
  <c r="AH104" i="4"/>
  <c r="AJ104" i="4"/>
  <c r="AK104" i="4"/>
  <c r="AG105" i="4"/>
  <c r="AH105" i="4"/>
  <c r="AJ105" i="4"/>
  <c r="AK105" i="4"/>
  <c r="AG106" i="4"/>
  <c r="AH106" i="4"/>
  <c r="AJ106" i="4"/>
  <c r="AK106" i="4"/>
  <c r="AG107" i="4"/>
  <c r="AH107" i="4"/>
  <c r="AJ107" i="4"/>
  <c r="AK107" i="4"/>
  <c r="AG108" i="4"/>
  <c r="AH108" i="4"/>
  <c r="AJ108" i="4"/>
  <c r="AK108" i="4"/>
  <c r="AG109" i="4"/>
  <c r="AH109" i="4"/>
  <c r="AJ109" i="4"/>
  <c r="AK109" i="4"/>
  <c r="AG110" i="4"/>
  <c r="AH110" i="4"/>
  <c r="AJ110" i="4"/>
  <c r="AK110" i="4"/>
  <c r="AG111" i="4"/>
  <c r="AH111" i="4"/>
  <c r="AJ111" i="4"/>
  <c r="AK111" i="4"/>
  <c r="AG112" i="4"/>
  <c r="AH112" i="4"/>
  <c r="AJ112" i="4"/>
  <c r="AK112" i="4"/>
  <c r="AG113" i="4"/>
  <c r="AH113" i="4"/>
  <c r="AJ113" i="4"/>
  <c r="AK113" i="4"/>
  <c r="AG114" i="4"/>
  <c r="AH114" i="4"/>
  <c r="AJ114" i="4"/>
  <c r="AK114" i="4"/>
  <c r="AG115" i="4"/>
  <c r="AH115" i="4"/>
  <c r="AJ115" i="4"/>
  <c r="AK115" i="4"/>
  <c r="AG116" i="4"/>
  <c r="AH116" i="4"/>
  <c r="AJ116" i="4"/>
  <c r="AK116" i="4"/>
  <c r="AG117" i="4"/>
  <c r="AH117" i="4"/>
  <c r="AJ117" i="4"/>
  <c r="AK117" i="4"/>
  <c r="AG118" i="4"/>
  <c r="AH118" i="4"/>
  <c r="AJ118" i="4"/>
  <c r="AK118" i="4"/>
  <c r="AG119" i="4"/>
  <c r="AH119" i="4"/>
  <c r="AJ119" i="4"/>
  <c r="AK119" i="4"/>
  <c r="AG120" i="4"/>
  <c r="AH120" i="4"/>
  <c r="AJ120" i="4"/>
  <c r="AK120" i="4"/>
  <c r="AG121" i="4"/>
  <c r="AH121" i="4"/>
  <c r="AJ121" i="4"/>
  <c r="AK121" i="4"/>
  <c r="AG122" i="4"/>
  <c r="AH122" i="4"/>
  <c r="AJ122" i="4"/>
  <c r="AK122" i="4"/>
  <c r="AG123" i="4"/>
  <c r="AH123" i="4"/>
  <c r="AJ123" i="4"/>
  <c r="AK123" i="4"/>
  <c r="AG124" i="4"/>
  <c r="AH124" i="4"/>
  <c r="AJ124" i="4"/>
  <c r="AK124" i="4"/>
  <c r="AG125" i="4"/>
  <c r="AH125" i="4"/>
  <c r="AJ125" i="4"/>
  <c r="AK125" i="4"/>
  <c r="AG126" i="4"/>
  <c r="AH126" i="4"/>
  <c r="AJ126" i="4"/>
  <c r="AK126" i="4"/>
  <c r="AG127" i="4"/>
  <c r="AH127" i="4"/>
  <c r="AJ127" i="4"/>
  <c r="AK127" i="4"/>
  <c r="AG128" i="4"/>
  <c r="AH128" i="4"/>
  <c r="AJ128" i="4"/>
  <c r="AK128" i="4"/>
  <c r="AG129" i="4"/>
  <c r="AH129" i="4"/>
  <c r="AJ129" i="4"/>
  <c r="AK129" i="4"/>
  <c r="AG130" i="4"/>
  <c r="AH130" i="4"/>
  <c r="AJ130" i="4"/>
  <c r="AK130" i="4"/>
  <c r="AG131" i="4"/>
  <c r="AH131" i="4"/>
  <c r="AJ131" i="4"/>
  <c r="AK131" i="4"/>
  <c r="AG132" i="4"/>
  <c r="AH132" i="4"/>
  <c r="AJ132" i="4"/>
  <c r="AK132" i="4"/>
  <c r="AG133" i="4"/>
  <c r="AH133" i="4"/>
  <c r="AJ133" i="4"/>
  <c r="AK133" i="4"/>
  <c r="AG134" i="4"/>
  <c r="AH134" i="4"/>
  <c r="AJ134" i="4"/>
  <c r="AK134" i="4"/>
  <c r="AG135" i="4"/>
  <c r="AH135" i="4"/>
  <c r="AJ135" i="4"/>
  <c r="AK135" i="4"/>
  <c r="AG136" i="4"/>
  <c r="AH136" i="4"/>
  <c r="AJ136" i="4"/>
  <c r="AK136" i="4"/>
  <c r="AG137" i="4"/>
  <c r="AH137" i="4"/>
  <c r="AJ137" i="4"/>
  <c r="AK137" i="4"/>
  <c r="AG138" i="4"/>
  <c r="AH138" i="4"/>
  <c r="AJ138" i="4"/>
  <c r="AK138" i="4"/>
  <c r="AG139" i="4"/>
  <c r="AH139" i="4"/>
  <c r="AJ139" i="4"/>
  <c r="AK139" i="4"/>
  <c r="AG140" i="4"/>
  <c r="AH140" i="4"/>
  <c r="AJ140" i="4"/>
  <c r="AK140" i="4"/>
  <c r="AG141" i="4"/>
  <c r="AH141" i="4"/>
  <c r="AJ141" i="4"/>
  <c r="AK141" i="4"/>
  <c r="AG142" i="4"/>
  <c r="AH142" i="4"/>
  <c r="AJ142" i="4"/>
  <c r="AK142" i="4"/>
  <c r="AG143" i="4"/>
  <c r="AH143" i="4"/>
  <c r="AJ143" i="4"/>
  <c r="AK143" i="4"/>
  <c r="AG144" i="4"/>
  <c r="AH144" i="4"/>
  <c r="AJ144" i="4"/>
  <c r="AK144" i="4"/>
  <c r="AG145" i="4"/>
  <c r="AH145" i="4"/>
  <c r="AJ145" i="4"/>
  <c r="AK145" i="4"/>
  <c r="AG146" i="4"/>
  <c r="AH146" i="4"/>
  <c r="AJ146" i="4"/>
  <c r="AK146" i="4"/>
  <c r="AG147" i="4"/>
  <c r="AH147" i="4"/>
  <c r="AJ147" i="4"/>
  <c r="AK147" i="4"/>
  <c r="AG148" i="4"/>
  <c r="AH148" i="4"/>
  <c r="AJ148" i="4"/>
  <c r="AK148" i="4"/>
  <c r="AG149" i="4"/>
  <c r="AH149" i="4"/>
  <c r="AJ149" i="4"/>
  <c r="AK149" i="4"/>
  <c r="AG150" i="4"/>
  <c r="AH150" i="4"/>
  <c r="AJ150" i="4"/>
  <c r="AK150" i="4"/>
  <c r="AG151" i="4"/>
  <c r="AH151" i="4"/>
  <c r="AJ151" i="4"/>
  <c r="AK151" i="4"/>
  <c r="AG152" i="4"/>
  <c r="AH152" i="4"/>
  <c r="AJ152" i="4"/>
  <c r="AK152" i="4"/>
  <c r="AG153" i="4"/>
  <c r="AH153" i="4"/>
  <c r="AJ153" i="4"/>
  <c r="AK153" i="4"/>
  <c r="AG154" i="4"/>
  <c r="AH154" i="4"/>
  <c r="AJ154" i="4"/>
  <c r="AK154" i="4"/>
  <c r="AG155" i="4"/>
  <c r="AH155" i="4"/>
  <c r="AJ155" i="4"/>
  <c r="AK155" i="4"/>
  <c r="AG156" i="4"/>
  <c r="AH156" i="4"/>
  <c r="AJ156" i="4"/>
  <c r="AK156" i="4"/>
  <c r="AG157" i="4"/>
  <c r="AH157" i="4"/>
  <c r="AJ157" i="4"/>
  <c r="AK157" i="4"/>
  <c r="AG158" i="4"/>
  <c r="AH158" i="4"/>
  <c r="AJ158" i="4"/>
  <c r="AK158" i="4"/>
  <c r="AG159" i="4"/>
  <c r="AH159" i="4"/>
  <c r="AJ159" i="4"/>
  <c r="AK159" i="4"/>
  <c r="AG160" i="4"/>
  <c r="AH160" i="4"/>
  <c r="AJ160" i="4"/>
  <c r="AK160" i="4"/>
  <c r="AG161" i="4"/>
  <c r="AH161" i="4"/>
  <c r="AJ161" i="4"/>
  <c r="AK161" i="4"/>
  <c r="AG162" i="4"/>
  <c r="AH162" i="4"/>
  <c r="AJ162" i="4"/>
  <c r="AK162" i="4"/>
  <c r="AG163" i="4"/>
  <c r="AH163" i="4"/>
  <c r="AJ163" i="4"/>
  <c r="AK163" i="4"/>
  <c r="AG164" i="4"/>
  <c r="AH164" i="4"/>
  <c r="AJ164" i="4"/>
  <c r="AK164" i="4"/>
  <c r="AG165" i="4"/>
  <c r="AH165" i="4"/>
  <c r="AJ165" i="4"/>
  <c r="AK165" i="4"/>
  <c r="AG166" i="4"/>
  <c r="AH166" i="4"/>
  <c r="AJ166" i="4"/>
  <c r="AK166" i="4"/>
  <c r="AG167" i="4"/>
  <c r="AH167" i="4"/>
  <c r="AJ167" i="4"/>
  <c r="AK167" i="4"/>
  <c r="AG168" i="4"/>
  <c r="AH168" i="4"/>
  <c r="AJ168" i="4"/>
  <c r="AK168" i="4"/>
  <c r="AG169" i="4"/>
  <c r="AH169" i="4"/>
  <c r="AJ169" i="4"/>
  <c r="AK169" i="4"/>
  <c r="AG170" i="4"/>
  <c r="AH170" i="4"/>
  <c r="AJ170" i="4"/>
  <c r="AK170" i="4"/>
  <c r="AG171" i="4"/>
  <c r="AH171" i="4"/>
  <c r="AJ171" i="4"/>
  <c r="AK171" i="4"/>
  <c r="AG172" i="4"/>
  <c r="AH172" i="4"/>
  <c r="AJ172" i="4"/>
  <c r="AK172" i="4"/>
  <c r="AG173" i="4"/>
  <c r="AH173" i="4"/>
  <c r="AJ173" i="4"/>
  <c r="AK173" i="4"/>
  <c r="AG174" i="4"/>
  <c r="AH174" i="4"/>
  <c r="AJ174" i="4"/>
  <c r="AK174" i="4"/>
  <c r="AG175" i="4"/>
  <c r="AH175" i="4"/>
  <c r="AJ175" i="4"/>
  <c r="AK175" i="4"/>
  <c r="AG176" i="4"/>
  <c r="AH176" i="4"/>
  <c r="AJ176" i="4"/>
  <c r="AK176" i="4"/>
  <c r="AG177" i="4"/>
  <c r="AH177" i="4"/>
  <c r="AJ177" i="4"/>
  <c r="AK177" i="4"/>
  <c r="AG178" i="4"/>
  <c r="AH178" i="4"/>
  <c r="AJ178" i="4"/>
  <c r="AK178" i="4"/>
  <c r="AG179" i="4"/>
  <c r="AH179" i="4"/>
  <c r="AJ179" i="4"/>
  <c r="AK179" i="4"/>
  <c r="AG180" i="4"/>
  <c r="AH180" i="4"/>
  <c r="AJ180" i="4"/>
  <c r="AK180" i="4"/>
  <c r="AG181" i="4"/>
  <c r="AH181" i="4"/>
  <c r="AJ181" i="4"/>
  <c r="AK181" i="4"/>
  <c r="AG182" i="4"/>
  <c r="AH182" i="4"/>
  <c r="AJ182" i="4"/>
  <c r="AK182" i="4"/>
  <c r="AG183" i="4"/>
  <c r="AH183" i="4"/>
  <c r="AJ183" i="4"/>
  <c r="AK183" i="4"/>
  <c r="AG184" i="4"/>
  <c r="AH184" i="4"/>
  <c r="AJ184" i="4"/>
  <c r="AK184" i="4"/>
  <c r="AG185" i="4"/>
  <c r="AH185" i="4"/>
  <c r="AJ185" i="4"/>
  <c r="AK185" i="4"/>
  <c r="AG186" i="4"/>
  <c r="AH186" i="4"/>
  <c r="AJ186" i="4"/>
  <c r="AK186" i="4"/>
  <c r="AG187" i="4"/>
  <c r="AH187" i="4"/>
  <c r="AJ187" i="4"/>
  <c r="AK187" i="4"/>
  <c r="AG188" i="4"/>
  <c r="AH188" i="4"/>
  <c r="AJ188" i="4"/>
  <c r="AK188" i="4"/>
  <c r="AG189" i="4"/>
  <c r="AH189" i="4"/>
  <c r="AJ189" i="4"/>
  <c r="AK189" i="4"/>
  <c r="AG190" i="4"/>
  <c r="AH190" i="4"/>
  <c r="AJ190" i="4"/>
  <c r="AK190" i="4"/>
  <c r="AG191" i="4"/>
  <c r="AH191" i="4"/>
  <c r="AJ191" i="4"/>
  <c r="AK191" i="4"/>
  <c r="AG192" i="4"/>
  <c r="AH192" i="4"/>
  <c r="AJ192" i="4"/>
  <c r="AK192" i="4"/>
  <c r="AG193" i="4"/>
  <c r="AH193" i="4"/>
  <c r="AJ193" i="4"/>
  <c r="AK193" i="4"/>
  <c r="AG194" i="4"/>
  <c r="AH194" i="4"/>
  <c r="AJ194" i="4"/>
  <c r="AK194" i="4"/>
  <c r="AG195" i="4"/>
  <c r="AH195" i="4"/>
  <c r="AJ195" i="4"/>
  <c r="AK195" i="4"/>
  <c r="AG196" i="4"/>
  <c r="AH196" i="4"/>
  <c r="AJ196" i="4"/>
  <c r="AK196" i="4"/>
  <c r="AG197" i="4"/>
  <c r="AH197" i="4"/>
  <c r="AJ197" i="4"/>
  <c r="AK197" i="4"/>
  <c r="AG198" i="4"/>
  <c r="AH198" i="4"/>
  <c r="AJ198" i="4"/>
  <c r="AK198" i="4"/>
  <c r="AG199" i="4"/>
  <c r="AH199" i="4"/>
  <c r="AJ199" i="4"/>
  <c r="AK199" i="4"/>
  <c r="AG200" i="4"/>
  <c r="AH200" i="4"/>
  <c r="AJ200" i="4"/>
  <c r="AK200" i="4"/>
  <c r="AG201" i="4"/>
  <c r="AH201" i="4"/>
  <c r="AJ201" i="4"/>
  <c r="AK201" i="4"/>
  <c r="AG202" i="4"/>
  <c r="AH202" i="4"/>
  <c r="AJ202" i="4"/>
  <c r="AK202" i="4"/>
  <c r="AG203" i="4"/>
  <c r="AH203" i="4"/>
  <c r="AJ203" i="4"/>
  <c r="AK203" i="4"/>
  <c r="AG204" i="4"/>
  <c r="AH204" i="4"/>
  <c r="AJ204" i="4"/>
  <c r="AK204" i="4"/>
  <c r="AG205" i="4"/>
  <c r="AH205" i="4"/>
  <c r="AJ205" i="4"/>
  <c r="AK205" i="4"/>
  <c r="AG206" i="4"/>
  <c r="AH206" i="4"/>
  <c r="AJ206" i="4"/>
  <c r="AK206" i="4"/>
  <c r="AG207" i="4"/>
  <c r="AH207" i="4"/>
  <c r="AJ207" i="4"/>
  <c r="AK207" i="4"/>
  <c r="AG208" i="4"/>
  <c r="AH208" i="4"/>
  <c r="AJ208" i="4"/>
  <c r="AK208" i="4"/>
  <c r="AG209" i="4"/>
  <c r="AH209" i="4"/>
  <c r="AJ209" i="4"/>
  <c r="AK209" i="4"/>
  <c r="AG210" i="4"/>
  <c r="AH210" i="4"/>
  <c r="AJ210" i="4"/>
  <c r="AK210" i="4"/>
  <c r="AG211" i="4"/>
  <c r="AH211" i="4"/>
  <c r="AJ211" i="4"/>
  <c r="AK211" i="4"/>
  <c r="AG212" i="4"/>
  <c r="AH212" i="4"/>
  <c r="AJ212" i="4"/>
  <c r="AK212" i="4"/>
  <c r="AG213" i="4"/>
  <c r="AH213" i="4"/>
  <c r="AJ213" i="4"/>
  <c r="AK213" i="4"/>
  <c r="AG214" i="4"/>
  <c r="AH214" i="4"/>
  <c r="AJ214" i="4"/>
  <c r="AK214" i="4"/>
  <c r="AG215" i="4"/>
  <c r="AH215" i="4"/>
  <c r="AJ215" i="4"/>
  <c r="AK215" i="4"/>
  <c r="AG216" i="4"/>
  <c r="AH216" i="4"/>
  <c r="AJ216" i="4"/>
  <c r="AK216" i="4"/>
  <c r="AG217" i="4"/>
  <c r="AH217" i="4"/>
  <c r="AJ217" i="4"/>
  <c r="AK217" i="4"/>
  <c r="AG218" i="4"/>
  <c r="AH218" i="4"/>
  <c r="AJ218" i="4"/>
  <c r="AK218" i="4"/>
  <c r="AG219" i="4"/>
  <c r="AH219" i="4"/>
  <c r="AJ219" i="4"/>
  <c r="AK219" i="4"/>
  <c r="AG220" i="4"/>
  <c r="AH220" i="4"/>
  <c r="AJ220" i="4"/>
  <c r="AK220" i="4"/>
  <c r="AG221" i="4"/>
  <c r="AH221" i="4"/>
  <c r="AJ221" i="4"/>
  <c r="AK221" i="4"/>
  <c r="AG222" i="4"/>
  <c r="AH222" i="4"/>
  <c r="AJ222" i="4"/>
  <c r="AK222" i="4"/>
  <c r="AG223" i="4"/>
  <c r="AH223" i="4"/>
  <c r="AJ223" i="4"/>
  <c r="AK223" i="4"/>
  <c r="AG224" i="4"/>
  <c r="AH224" i="4"/>
  <c r="AJ224" i="4"/>
  <c r="AK224" i="4"/>
  <c r="AG225" i="4"/>
  <c r="AH225" i="4"/>
  <c r="AJ225" i="4"/>
  <c r="AK225" i="4"/>
  <c r="AG226" i="4"/>
  <c r="AH226" i="4"/>
  <c r="AJ226" i="4"/>
  <c r="AK226" i="4"/>
  <c r="AG227" i="4"/>
  <c r="AH227" i="4"/>
  <c r="AJ227" i="4"/>
  <c r="AK227" i="4"/>
  <c r="AG228" i="4"/>
  <c r="AH228" i="4"/>
  <c r="AJ228" i="4"/>
  <c r="AK228" i="4"/>
  <c r="AG229" i="4"/>
  <c r="AH229" i="4"/>
  <c r="AJ229" i="4"/>
  <c r="AK229" i="4"/>
  <c r="AG230" i="4"/>
  <c r="AH230" i="4"/>
  <c r="AJ230" i="4"/>
  <c r="AK230" i="4"/>
  <c r="AG231" i="4"/>
  <c r="AH231" i="4"/>
  <c r="AJ231" i="4"/>
  <c r="AK231" i="4"/>
  <c r="AG232" i="4"/>
  <c r="AH232" i="4"/>
  <c r="AJ232" i="4"/>
  <c r="AK232" i="4"/>
  <c r="AG233" i="4"/>
  <c r="AH233" i="4"/>
  <c r="AJ233" i="4"/>
  <c r="AK233" i="4"/>
  <c r="AG234" i="4"/>
  <c r="AH234" i="4"/>
  <c r="AJ234" i="4"/>
  <c r="AK234" i="4"/>
  <c r="AG235" i="4"/>
  <c r="AH235" i="4"/>
  <c r="AJ235" i="4"/>
  <c r="AK235" i="4"/>
  <c r="AG236" i="4"/>
  <c r="AH236" i="4"/>
  <c r="AJ236" i="4"/>
  <c r="AK236" i="4"/>
  <c r="AG237" i="4"/>
  <c r="AH237" i="4"/>
  <c r="AJ237" i="4"/>
  <c r="AK237" i="4"/>
  <c r="AG238" i="4"/>
  <c r="AH238" i="4"/>
  <c r="AJ238" i="4"/>
  <c r="AK238" i="4"/>
  <c r="AG239" i="4"/>
  <c r="AH239" i="4"/>
  <c r="AJ239" i="4"/>
  <c r="AK239" i="4"/>
  <c r="AG240" i="4"/>
  <c r="AH240" i="4"/>
  <c r="AJ240" i="4"/>
  <c r="AK240" i="4"/>
  <c r="AG241" i="4"/>
  <c r="AH241" i="4"/>
  <c r="AJ241" i="4"/>
  <c r="AK241" i="4"/>
  <c r="AG242" i="4"/>
  <c r="AH242" i="4"/>
  <c r="AJ242" i="4"/>
  <c r="AK242" i="4"/>
  <c r="AG243" i="4"/>
  <c r="AH243" i="4"/>
  <c r="AJ243" i="4"/>
  <c r="AK243" i="4"/>
  <c r="AG244" i="4"/>
  <c r="AH244" i="4"/>
  <c r="AJ244" i="4"/>
  <c r="AK244" i="4"/>
  <c r="AG245" i="4"/>
  <c r="AH245" i="4"/>
  <c r="AJ245" i="4"/>
  <c r="AK245" i="4"/>
  <c r="AG246" i="4"/>
  <c r="AH246" i="4"/>
  <c r="AJ246" i="4"/>
  <c r="AK246" i="4"/>
  <c r="AG247" i="4"/>
  <c r="AH247" i="4"/>
  <c r="AJ247" i="4"/>
  <c r="AK247" i="4"/>
  <c r="AG248" i="4"/>
  <c r="AH248" i="4"/>
  <c r="AJ248" i="4"/>
  <c r="AK248" i="4"/>
  <c r="AG249" i="4"/>
  <c r="AH249" i="4"/>
  <c r="AJ249" i="4"/>
  <c r="AK249" i="4"/>
  <c r="AG250" i="4"/>
  <c r="AH250" i="4"/>
  <c r="AJ250" i="4"/>
  <c r="AK250" i="4"/>
  <c r="AG251" i="4"/>
  <c r="AH251" i="4"/>
  <c r="AJ251" i="4"/>
  <c r="AK251" i="4"/>
  <c r="AG252" i="4"/>
  <c r="AH252" i="4"/>
  <c r="AJ252" i="4"/>
  <c r="AK252" i="4"/>
  <c r="AG253" i="4"/>
  <c r="AH253" i="4"/>
  <c r="AJ253" i="4"/>
  <c r="AK253" i="4"/>
  <c r="AG254" i="4"/>
  <c r="AH254" i="4"/>
  <c r="AJ254" i="4"/>
  <c r="AK254" i="4"/>
  <c r="AG255" i="4"/>
  <c r="AH255" i="4"/>
  <c r="AJ255" i="4"/>
  <c r="AK255" i="4"/>
  <c r="AG256" i="4"/>
  <c r="AH256" i="4"/>
  <c r="AJ256" i="4"/>
  <c r="AK256" i="4"/>
  <c r="AG257" i="4"/>
  <c r="AH257" i="4"/>
  <c r="AJ257" i="4"/>
  <c r="AK257" i="4"/>
  <c r="AG258" i="4"/>
  <c r="AH258" i="4"/>
  <c r="AJ258" i="4"/>
  <c r="AK258" i="4"/>
  <c r="AG259" i="4"/>
  <c r="AH259" i="4"/>
  <c r="AJ259" i="4"/>
  <c r="AK259" i="4"/>
  <c r="AG260" i="4"/>
  <c r="AH260" i="4"/>
  <c r="AJ260" i="4"/>
  <c r="AK260" i="4"/>
  <c r="W88" i="4"/>
  <c r="W89" i="4"/>
  <c r="W90" i="4"/>
  <c r="AA90" i="4" s="1"/>
  <c r="W91" i="4"/>
  <c r="Y91" i="4" s="1"/>
  <c r="W92" i="4"/>
  <c r="W93" i="4"/>
  <c r="AA93" i="4" s="1"/>
  <c r="W94" i="4"/>
  <c r="AA94" i="4" s="1"/>
  <c r="W95" i="4"/>
  <c r="W96" i="4"/>
  <c r="W97" i="4"/>
  <c r="AB97" i="4" s="1"/>
  <c r="W98" i="4"/>
  <c r="W99" i="4"/>
  <c r="W100" i="4"/>
  <c r="W101" i="4"/>
  <c r="Y101" i="4" s="1"/>
  <c r="W102" i="4"/>
  <c r="W103" i="4"/>
  <c r="W104" i="4"/>
  <c r="W105" i="4"/>
  <c r="W106" i="4"/>
  <c r="AA106" i="4" s="1"/>
  <c r="W107" i="4"/>
  <c r="W108" i="4"/>
  <c r="W109" i="4"/>
  <c r="Y109" i="4" s="1"/>
  <c r="W110" i="4"/>
  <c r="X110" i="4" s="1"/>
  <c r="W111" i="4"/>
  <c r="W112" i="4"/>
  <c r="W113" i="4"/>
  <c r="X113" i="4" s="1"/>
  <c r="W114" i="4"/>
  <c r="X114" i="4" s="1"/>
  <c r="W115" i="4"/>
  <c r="AA115" i="4" s="1"/>
  <c r="W116" i="4"/>
  <c r="W117" i="4"/>
  <c r="Y117" i="4" s="1"/>
  <c r="W118" i="4"/>
  <c r="W119" i="4"/>
  <c r="W120" i="4"/>
  <c r="W121" i="4"/>
  <c r="AA121" i="4" s="1"/>
  <c r="W122" i="4"/>
  <c r="AA122" i="4" s="1"/>
  <c r="W123" i="4"/>
  <c r="W124" i="4"/>
  <c r="W125" i="4"/>
  <c r="AB125" i="4" s="1"/>
  <c r="W126" i="4"/>
  <c r="X126" i="4" s="1"/>
  <c r="W127" i="4"/>
  <c r="W128" i="4"/>
  <c r="AB128" i="4" s="1"/>
  <c r="W129" i="4"/>
  <c r="X129" i="4" s="1"/>
  <c r="W130" i="4"/>
  <c r="W131" i="4"/>
  <c r="W132" i="4"/>
  <c r="X132" i="4" s="1"/>
  <c r="W133" i="4"/>
  <c r="Y133" i="4" s="1"/>
  <c r="W134" i="4"/>
  <c r="AA134" i="4" s="1"/>
  <c r="W135" i="4"/>
  <c r="W136" i="4"/>
  <c r="W137" i="4"/>
  <c r="AA137" i="4" s="1"/>
  <c r="W138" i="4"/>
  <c r="W139" i="4"/>
  <c r="Y139" i="4" s="1"/>
  <c r="W140" i="4"/>
  <c r="W141" i="4"/>
  <c r="AB141" i="4" s="1"/>
  <c r="W142" i="4"/>
  <c r="AB142" i="4" s="1"/>
  <c r="W143" i="4"/>
  <c r="W144" i="4"/>
  <c r="W145" i="4"/>
  <c r="X145" i="4" s="1"/>
  <c r="W146" i="4"/>
  <c r="X146" i="4" s="1"/>
  <c r="W147" i="4"/>
  <c r="W148" i="4"/>
  <c r="W149" i="4"/>
  <c r="Y149" i="4" s="1"/>
  <c r="W150" i="4"/>
  <c r="W151" i="4"/>
  <c r="W152" i="4"/>
  <c r="W153" i="4"/>
  <c r="Y153" i="4" s="1"/>
  <c r="W154" i="4"/>
  <c r="AA154" i="4" s="1"/>
  <c r="W155" i="4"/>
  <c r="W156" i="4"/>
  <c r="W157" i="4"/>
  <c r="AB157" i="4" s="1"/>
  <c r="W158" i="4"/>
  <c r="X158" i="4" s="1"/>
  <c r="W159" i="4"/>
  <c r="W160" i="4"/>
  <c r="W161" i="4"/>
  <c r="X161" i="4" s="1"/>
  <c r="W162" i="4"/>
  <c r="W163" i="4"/>
  <c r="W164" i="4"/>
  <c r="X164" i="4" s="1"/>
  <c r="W165" i="4"/>
  <c r="X165" i="4" s="1"/>
  <c r="W166" i="4"/>
  <c r="AA166" i="4" s="1"/>
  <c r="W167" i="4"/>
  <c r="W168" i="4"/>
  <c r="W169" i="4"/>
  <c r="AA169" i="4" s="1"/>
  <c r="W170" i="4"/>
  <c r="W171" i="4"/>
  <c r="W172" i="4"/>
  <c r="AB172" i="4" s="1"/>
  <c r="W173" i="4"/>
  <c r="Y173" i="4" s="1"/>
  <c r="W174" i="4"/>
  <c r="Y174" i="4" s="1"/>
  <c r="W175" i="4"/>
  <c r="W176" i="4"/>
  <c r="W177" i="4"/>
  <c r="X177" i="4" s="1"/>
  <c r="W178" i="4"/>
  <c r="Y178" i="4" s="1"/>
  <c r="W179" i="4"/>
  <c r="W180" i="4"/>
  <c r="AB180" i="4" s="1"/>
  <c r="W181" i="4"/>
  <c r="Y181" i="4" s="1"/>
  <c r="W182" i="4"/>
  <c r="Y182" i="4" s="1"/>
  <c r="W183" i="4"/>
  <c r="AA183" i="4" s="1"/>
  <c r="W184" i="4"/>
  <c r="X184" i="4" s="1"/>
  <c r="W185" i="4"/>
  <c r="AA185" i="4" s="1"/>
  <c r="W186" i="4"/>
  <c r="Y186" i="4" s="1"/>
  <c r="W187" i="4"/>
  <c r="W188" i="4"/>
  <c r="Y188" i="4" s="1"/>
  <c r="W189" i="4"/>
  <c r="AB189" i="4" s="1"/>
  <c r="W190" i="4"/>
  <c r="Y190" i="4" s="1"/>
  <c r="W191" i="4"/>
  <c r="Y191" i="4" s="1"/>
  <c r="W192" i="4"/>
  <c r="W193" i="4"/>
  <c r="X193" i="4" s="1"/>
  <c r="W194" i="4"/>
  <c r="Y194" i="4" s="1"/>
  <c r="W195" i="4"/>
  <c r="W196" i="4"/>
  <c r="W197" i="4"/>
  <c r="Y197" i="4" s="1"/>
  <c r="W198" i="4"/>
  <c r="Y198" i="4" s="1"/>
  <c r="W199" i="4"/>
  <c r="W200" i="4"/>
  <c r="X200" i="4" s="1"/>
  <c r="W201" i="4"/>
  <c r="AA201" i="4" s="1"/>
  <c r="W202" i="4"/>
  <c r="Y202" i="4" s="1"/>
  <c r="W203" i="4"/>
  <c r="W204" i="4"/>
  <c r="W205" i="4"/>
  <c r="AB205" i="4" s="1"/>
  <c r="W206" i="4"/>
  <c r="Y206" i="4" s="1"/>
  <c r="W207" i="4"/>
  <c r="W208" i="4"/>
  <c r="AA208" i="4" s="1"/>
  <c r="W209" i="4"/>
  <c r="AA209" i="4" s="1"/>
  <c r="W210" i="4"/>
  <c r="AA210" i="4" s="1"/>
  <c r="W211" i="4"/>
  <c r="Y211" i="4" s="1"/>
  <c r="W212" i="4"/>
  <c r="W213" i="4"/>
  <c r="AA213" i="4" s="1"/>
  <c r="W214" i="4"/>
  <c r="AA214" i="4" s="1"/>
  <c r="W215" i="4"/>
  <c r="Y215" i="4" s="1"/>
  <c r="W216" i="4"/>
  <c r="W217" i="4"/>
  <c r="AA217" i="4" s="1"/>
  <c r="W218" i="4"/>
  <c r="AA218" i="4" s="1"/>
  <c r="W219" i="4"/>
  <c r="Y219" i="4" s="1"/>
  <c r="W220" i="4"/>
  <c r="W221" i="4"/>
  <c r="AA221" i="4" s="1"/>
  <c r="W222" i="4"/>
  <c r="AA222" i="4" s="1"/>
  <c r="W223" i="4"/>
  <c r="Y223" i="4" s="1"/>
  <c r="W224" i="4"/>
  <c r="W225" i="4"/>
  <c r="AA225" i="4" s="1"/>
  <c r="W226" i="4"/>
  <c r="AA226" i="4" s="1"/>
  <c r="W227" i="4"/>
  <c r="Y227" i="4" s="1"/>
  <c r="W228" i="4"/>
  <c r="W229" i="4"/>
  <c r="AA229" i="4" s="1"/>
  <c r="W230" i="4"/>
  <c r="AA230" i="4" s="1"/>
  <c r="W231" i="4"/>
  <c r="Y231" i="4" s="1"/>
  <c r="W232" i="4"/>
  <c r="AA232" i="4" s="1"/>
  <c r="W233" i="4"/>
  <c r="AA233" i="4" s="1"/>
  <c r="W234" i="4"/>
  <c r="AA234" i="4" s="1"/>
  <c r="W235" i="4"/>
  <c r="Y235" i="4" s="1"/>
  <c r="W236" i="4"/>
  <c r="W237" i="4"/>
  <c r="AA237" i="4" s="1"/>
  <c r="W238" i="4"/>
  <c r="AA238" i="4" s="1"/>
  <c r="W239" i="4"/>
  <c r="Y239" i="4" s="1"/>
  <c r="W240" i="4"/>
  <c r="AA240" i="4" s="1"/>
  <c r="W241" i="4"/>
  <c r="AA241" i="4" s="1"/>
  <c r="W242" i="4"/>
  <c r="AA242" i="4" s="1"/>
  <c r="W243" i="4"/>
  <c r="Y243" i="4" s="1"/>
  <c r="W244" i="4"/>
  <c r="W245" i="4"/>
  <c r="AA245" i="4" s="1"/>
  <c r="W246" i="4"/>
  <c r="AA246" i="4" s="1"/>
  <c r="W247" i="4"/>
  <c r="Y247" i="4" s="1"/>
  <c r="W248" i="4"/>
  <c r="AA248" i="4" s="1"/>
  <c r="W249" i="4"/>
  <c r="AA249" i="4" s="1"/>
  <c r="W250" i="4"/>
  <c r="AA250" i="4" s="1"/>
  <c r="W251" i="4"/>
  <c r="Y251" i="4" s="1"/>
  <c r="W252" i="4"/>
  <c r="W253" i="4"/>
  <c r="AA253" i="4" s="1"/>
  <c r="W254" i="4"/>
  <c r="AA254" i="4" s="1"/>
  <c r="W255" i="4"/>
  <c r="Y255" i="4" s="1"/>
  <c r="W256" i="4"/>
  <c r="W257" i="4"/>
  <c r="AA257" i="4" s="1"/>
  <c r="W258" i="4"/>
  <c r="AA258" i="4" s="1"/>
  <c r="W259" i="4"/>
  <c r="Y259" i="4" s="1"/>
  <c r="W260" i="4"/>
  <c r="X260" i="4" s="1"/>
  <c r="W87" i="4"/>
  <c r="AF5" i="20"/>
  <c r="AG5" i="20"/>
  <c r="AH5" i="20"/>
  <c r="AI5" i="20"/>
  <c r="AJ5" i="20"/>
  <c r="AK5" i="20"/>
  <c r="AL5" i="20"/>
  <c r="AM5" i="20"/>
  <c r="AN5" i="20"/>
  <c r="AF6" i="20"/>
  <c r="AG6" i="20"/>
  <c r="AH6" i="20"/>
  <c r="AI6" i="20"/>
  <c r="AJ6" i="20"/>
  <c r="AK6" i="20"/>
  <c r="AL6" i="20"/>
  <c r="AM6" i="20"/>
  <c r="AN6" i="20"/>
  <c r="AG4" i="20"/>
  <c r="AH4" i="20"/>
  <c r="AI4" i="20"/>
  <c r="AJ4" i="20"/>
  <c r="AK4" i="20"/>
  <c r="AL4" i="20"/>
  <c r="AM4" i="20"/>
  <c r="AN4" i="20"/>
  <c r="AF4" i="20"/>
  <c r="AI15" i="20"/>
  <c r="AF16" i="20"/>
  <c r="AG16" i="20"/>
  <c r="AH16" i="20"/>
  <c r="AI16" i="20"/>
  <c r="AJ16" i="20"/>
  <c r="AK16" i="20"/>
  <c r="AL16" i="20"/>
  <c r="AM16" i="20"/>
  <c r="AN16" i="20"/>
  <c r="AF17" i="20"/>
  <c r="AG17" i="20"/>
  <c r="AH17" i="20"/>
  <c r="AI17" i="20"/>
  <c r="AJ17" i="20"/>
  <c r="AK17" i="20"/>
  <c r="AL17" i="20"/>
  <c r="AM17" i="20"/>
  <c r="AN17" i="20"/>
  <c r="AG15" i="20"/>
  <c r="AH15" i="20"/>
  <c r="AJ15" i="20"/>
  <c r="AK15" i="20"/>
  <c r="AL15" i="20"/>
  <c r="AM15" i="20"/>
  <c r="AN15" i="20"/>
  <c r="AF15" i="20"/>
  <c r="AH14" i="8"/>
  <c r="AH15" i="8"/>
  <c r="AH16" i="8"/>
  <c r="AH17" i="8"/>
  <c r="AH13" i="8"/>
  <c r="AF19" i="8"/>
  <c r="AG19" i="8"/>
  <c r="AH19" i="8"/>
  <c r="AE19" i="8"/>
  <c r="J12" i="14"/>
  <c r="G518" i="18"/>
  <c r="F518" i="18"/>
  <c r="E518" i="18"/>
  <c r="D518" i="18"/>
  <c r="C518" i="18"/>
  <c r="B518" i="18"/>
  <c r="G487" i="18"/>
  <c r="F487" i="18"/>
  <c r="E487" i="18"/>
  <c r="D487" i="18"/>
  <c r="C487" i="18"/>
  <c r="B487" i="18"/>
  <c r="G448" i="18"/>
  <c r="F448" i="18"/>
  <c r="E448" i="18"/>
  <c r="D448" i="18"/>
  <c r="C448" i="18"/>
  <c r="B448" i="18"/>
  <c r="G386" i="18"/>
  <c r="F386" i="18"/>
  <c r="E386" i="18"/>
  <c r="D386" i="18"/>
  <c r="C386" i="18"/>
  <c r="B386" i="18"/>
  <c r="G363" i="18"/>
  <c r="F363" i="18"/>
  <c r="E363" i="18"/>
  <c r="D363" i="18"/>
  <c r="C363" i="18"/>
  <c r="B363" i="18"/>
  <c r="F345" i="18"/>
  <c r="E345" i="18"/>
  <c r="D345" i="18"/>
  <c r="C345" i="18"/>
  <c r="B345" i="18"/>
  <c r="G304" i="18"/>
  <c r="F304" i="18"/>
  <c r="E304" i="18"/>
  <c r="D304" i="18"/>
  <c r="C304" i="18"/>
  <c r="B304" i="18"/>
  <c r="G265" i="18"/>
  <c r="F265" i="18"/>
  <c r="E265" i="18"/>
  <c r="D265" i="18"/>
  <c r="C265" i="18"/>
  <c r="B265" i="18"/>
  <c r="G220" i="18"/>
  <c r="F220" i="18"/>
  <c r="E220" i="18"/>
  <c r="D220" i="18"/>
  <c r="C220" i="18"/>
  <c r="B220" i="18"/>
  <c r="H180" i="18"/>
  <c r="G180" i="18"/>
  <c r="F180" i="18"/>
  <c r="E180" i="18"/>
  <c r="D180" i="18"/>
  <c r="C180" i="18"/>
  <c r="H135" i="18"/>
  <c r="G135" i="18"/>
  <c r="F135" i="18"/>
  <c r="E135" i="18"/>
  <c r="D135" i="18"/>
  <c r="C135" i="18"/>
  <c r="G36" i="18"/>
  <c r="F36" i="18"/>
  <c r="E36" i="18"/>
  <c r="D36" i="18"/>
  <c r="C36" i="18"/>
  <c r="B36" i="18"/>
  <c r="G15" i="18"/>
  <c r="F15" i="18"/>
  <c r="E15" i="18"/>
  <c r="D15" i="18"/>
  <c r="C15" i="18"/>
  <c r="B15" i="18"/>
  <c r="C518" i="16"/>
  <c r="D518" i="16"/>
  <c r="E518" i="16"/>
  <c r="F518" i="16"/>
  <c r="G518" i="16"/>
  <c r="B518" i="16"/>
  <c r="G487" i="16"/>
  <c r="C487" i="16"/>
  <c r="D487" i="16"/>
  <c r="E487" i="16"/>
  <c r="F487" i="16"/>
  <c r="B487" i="16"/>
  <c r="C448" i="16"/>
  <c r="D448" i="16"/>
  <c r="E448" i="16"/>
  <c r="F448" i="16"/>
  <c r="G448" i="16"/>
  <c r="B448" i="16"/>
  <c r="B386" i="16"/>
  <c r="C386" i="16"/>
  <c r="D386" i="16"/>
  <c r="E386" i="16"/>
  <c r="F386" i="16"/>
  <c r="G386" i="16"/>
  <c r="C363" i="16"/>
  <c r="D363" i="16"/>
  <c r="E363" i="16"/>
  <c r="F363" i="16"/>
  <c r="G363" i="16"/>
  <c r="B363" i="16"/>
  <c r="C345" i="16"/>
  <c r="D345" i="16"/>
  <c r="E345" i="16"/>
  <c r="F345" i="16"/>
  <c r="B345" i="16"/>
  <c r="C304" i="16"/>
  <c r="D304" i="16"/>
  <c r="E304" i="16"/>
  <c r="F304" i="16"/>
  <c r="G304" i="16"/>
  <c r="B304" i="16"/>
  <c r="C265" i="16"/>
  <c r="D265" i="16"/>
  <c r="E265" i="16"/>
  <c r="F265" i="16"/>
  <c r="G265" i="16"/>
  <c r="B265" i="16"/>
  <c r="C220" i="16"/>
  <c r="D220" i="16"/>
  <c r="E220" i="16"/>
  <c r="F220" i="16"/>
  <c r="G220" i="16"/>
  <c r="B220" i="16"/>
  <c r="D180" i="16"/>
  <c r="E180" i="16"/>
  <c r="F180" i="16"/>
  <c r="G180" i="16"/>
  <c r="H180" i="16"/>
  <c r="C180" i="16"/>
  <c r="D135" i="16"/>
  <c r="E135" i="16"/>
  <c r="F135" i="16"/>
  <c r="G135" i="16"/>
  <c r="H135" i="16"/>
  <c r="C135" i="16"/>
  <c r="C15" i="16"/>
  <c r="D15" i="16"/>
  <c r="E15" i="16"/>
  <c r="F15" i="16"/>
  <c r="G15" i="16"/>
  <c r="B15" i="16"/>
  <c r="C36" i="16"/>
  <c r="D36" i="16"/>
  <c r="E36" i="16"/>
  <c r="F36" i="16"/>
  <c r="G36" i="16"/>
  <c r="B36" i="16"/>
  <c r="B77" i="14"/>
  <c r="B62" i="14"/>
  <c r="C62" i="14"/>
  <c r="D62" i="14"/>
  <c r="E62" i="14"/>
  <c r="F62" i="14"/>
  <c r="G62" i="14"/>
  <c r="B63" i="14"/>
  <c r="C63" i="14"/>
  <c r="D63" i="14"/>
  <c r="E63" i="14"/>
  <c r="F63" i="14"/>
  <c r="G63" i="14"/>
  <c r="B64" i="14"/>
  <c r="C64" i="14"/>
  <c r="D64" i="14"/>
  <c r="E64" i="14"/>
  <c r="F64" i="14"/>
  <c r="G64" i="14"/>
  <c r="B65" i="14"/>
  <c r="C65" i="14"/>
  <c r="D65" i="14"/>
  <c r="E65" i="14"/>
  <c r="F65" i="14"/>
  <c r="G65" i="14"/>
  <c r="B66" i="14"/>
  <c r="C66" i="14"/>
  <c r="D66" i="14"/>
  <c r="E66" i="14"/>
  <c r="F66" i="14"/>
  <c r="G66" i="14"/>
  <c r="B67" i="14"/>
  <c r="C67" i="14"/>
  <c r="D67" i="14"/>
  <c r="E67" i="14"/>
  <c r="F67" i="14"/>
  <c r="G67" i="14"/>
  <c r="B68" i="14"/>
  <c r="C68" i="14"/>
  <c r="D68" i="14"/>
  <c r="E68" i="14"/>
  <c r="F68" i="14"/>
  <c r="G68" i="14"/>
  <c r="B69" i="14"/>
  <c r="C69" i="14"/>
  <c r="D69" i="14"/>
  <c r="E69" i="14"/>
  <c r="F69" i="14"/>
  <c r="G69" i="14"/>
  <c r="B70" i="14"/>
  <c r="C70" i="14"/>
  <c r="D70" i="14"/>
  <c r="E70" i="14"/>
  <c r="F70" i="14"/>
  <c r="G70" i="14"/>
  <c r="B71" i="14"/>
  <c r="C71" i="14"/>
  <c r="D71" i="14"/>
  <c r="E71" i="14"/>
  <c r="F71" i="14"/>
  <c r="G71" i="14"/>
  <c r="B72" i="14"/>
  <c r="C72" i="14"/>
  <c r="D72" i="14"/>
  <c r="E72" i="14"/>
  <c r="F72" i="14"/>
  <c r="G72" i="14"/>
  <c r="B73" i="14"/>
  <c r="C73" i="14"/>
  <c r="D73" i="14"/>
  <c r="E73" i="14"/>
  <c r="F73" i="14"/>
  <c r="G73" i="14"/>
  <c r="B74" i="14"/>
  <c r="C74" i="14"/>
  <c r="D74" i="14"/>
  <c r="E74" i="14"/>
  <c r="F74" i="14"/>
  <c r="G74" i="14"/>
  <c r="B75" i="14"/>
  <c r="C75" i="14"/>
  <c r="D75" i="14"/>
  <c r="E75" i="14"/>
  <c r="F75" i="14"/>
  <c r="G75" i="14"/>
  <c r="B76" i="14"/>
  <c r="C76" i="14"/>
  <c r="D76" i="14"/>
  <c r="E76" i="14"/>
  <c r="F76" i="14"/>
  <c r="G76" i="14"/>
  <c r="C77" i="14"/>
  <c r="D77" i="14"/>
  <c r="E77" i="14"/>
  <c r="F77" i="14"/>
  <c r="G77" i="14"/>
  <c r="C61" i="14"/>
  <c r="D61" i="14"/>
  <c r="E61" i="14"/>
  <c r="F61" i="14"/>
  <c r="G61" i="14"/>
  <c r="B61" i="14"/>
  <c r="Q11" i="11"/>
  <c r="P11" i="11"/>
  <c r="K11" i="11"/>
  <c r="J11" i="11"/>
  <c r="E11" i="11"/>
  <c r="D11" i="11"/>
  <c r="F8" i="11"/>
  <c r="F9" i="11"/>
  <c r="F10" i="11"/>
  <c r="R10" i="11"/>
  <c r="R9" i="11"/>
  <c r="R8" i="11"/>
  <c r="L10" i="11"/>
  <c r="L9" i="11"/>
  <c r="L8" i="11"/>
  <c r="R34" i="11"/>
  <c r="Q34" i="11"/>
  <c r="P34" i="11"/>
  <c r="K34" i="11"/>
  <c r="J34" i="11"/>
  <c r="E34" i="11"/>
  <c r="D34" i="11"/>
  <c r="L33" i="11"/>
  <c r="F33" i="11"/>
  <c r="L32" i="11"/>
  <c r="F32" i="11"/>
  <c r="L31" i="11"/>
  <c r="F31" i="11"/>
  <c r="L30" i="11"/>
  <c r="F30" i="11"/>
  <c r="L29" i="11"/>
  <c r="F29" i="11"/>
  <c r="L28" i="11"/>
  <c r="F28" i="11"/>
  <c r="L27" i="11"/>
  <c r="F27" i="11"/>
  <c r="L26" i="11"/>
  <c r="F26" i="11"/>
  <c r="L25" i="11"/>
  <c r="F25" i="11"/>
  <c r="L24" i="11"/>
  <c r="F24" i="11"/>
  <c r="L23" i="11"/>
  <c r="F23" i="11"/>
  <c r="L22" i="11"/>
  <c r="F22" i="11"/>
  <c r="L21" i="11"/>
  <c r="F21" i="11"/>
  <c r="L20" i="11"/>
  <c r="F20" i="11"/>
  <c r="L19" i="11"/>
  <c r="F19" i="11"/>
  <c r="G107" i="8"/>
  <c r="G108" i="8" s="1"/>
  <c r="F107" i="8"/>
  <c r="E107" i="8"/>
  <c r="D107" i="8"/>
  <c r="C107" i="8"/>
  <c r="L54" i="8" s="1"/>
  <c r="H106" i="8"/>
  <c r="H105" i="8"/>
  <c r="H104" i="8"/>
  <c r="H103" i="8"/>
  <c r="H102" i="8"/>
  <c r="H101" i="8"/>
  <c r="H100" i="8"/>
  <c r="H99" i="8"/>
  <c r="H98" i="8"/>
  <c r="H97" i="8"/>
  <c r="H96" i="8"/>
  <c r="H95" i="8"/>
  <c r="H107" i="8" s="1"/>
  <c r="F94" i="8"/>
  <c r="E94" i="8"/>
  <c r="D94" i="8"/>
  <c r="M53" i="8" s="1"/>
  <c r="C94" i="8"/>
  <c r="H93" i="8"/>
  <c r="H92" i="8"/>
  <c r="H91" i="8"/>
  <c r="H90" i="8"/>
  <c r="H89" i="8"/>
  <c r="H88" i="8"/>
  <c r="H87" i="8"/>
  <c r="H86" i="8"/>
  <c r="H85" i="8"/>
  <c r="H84" i="8"/>
  <c r="H83" i="8"/>
  <c r="H82" i="8"/>
  <c r="H94" i="8" s="1"/>
  <c r="F81" i="8"/>
  <c r="O52" i="8" s="1"/>
  <c r="E81" i="8"/>
  <c r="N52" i="8" s="1"/>
  <c r="D81" i="8"/>
  <c r="C81" i="8"/>
  <c r="H80" i="8"/>
  <c r="H79" i="8"/>
  <c r="H78" i="8"/>
  <c r="H77" i="8"/>
  <c r="H76" i="8"/>
  <c r="H75" i="8"/>
  <c r="H74" i="8"/>
  <c r="H73" i="8"/>
  <c r="H72" i="8"/>
  <c r="H71" i="8"/>
  <c r="H70" i="8"/>
  <c r="H69" i="8"/>
  <c r="H81" i="8" s="1"/>
  <c r="F68" i="8"/>
  <c r="O51" i="8" s="1"/>
  <c r="E68" i="8"/>
  <c r="D68" i="8"/>
  <c r="C68" i="8"/>
  <c r="H67" i="8"/>
  <c r="H66" i="8"/>
  <c r="H65" i="8"/>
  <c r="H64" i="8"/>
  <c r="H63" i="8"/>
  <c r="H62" i="8"/>
  <c r="H61" i="8"/>
  <c r="H60" i="8"/>
  <c r="H59" i="8"/>
  <c r="H58" i="8"/>
  <c r="H57" i="8"/>
  <c r="H56" i="8"/>
  <c r="F55" i="8"/>
  <c r="O50" i="8" s="1"/>
  <c r="E55" i="8"/>
  <c r="N50" i="8" s="1"/>
  <c r="D55" i="8"/>
  <c r="C55" i="8"/>
  <c r="O54" i="8"/>
  <c r="N54" i="8"/>
  <c r="M54" i="8"/>
  <c r="H54" i="8"/>
  <c r="O53" i="8"/>
  <c r="N53" i="8"/>
  <c r="L53" i="8"/>
  <c r="H53" i="8"/>
  <c r="Q52" i="8"/>
  <c r="M52" i="8"/>
  <c r="L52" i="8"/>
  <c r="H52" i="8"/>
  <c r="N51" i="8"/>
  <c r="M51" i="8"/>
  <c r="H51" i="8"/>
  <c r="M50" i="8"/>
  <c r="L50" i="8"/>
  <c r="H50" i="8"/>
  <c r="O49" i="8"/>
  <c r="N49" i="8"/>
  <c r="H49" i="8"/>
  <c r="M48" i="8"/>
  <c r="L48" i="8"/>
  <c r="H48" i="8"/>
  <c r="O47" i="8"/>
  <c r="N47" i="8"/>
  <c r="M47" i="8"/>
  <c r="L47" i="8"/>
  <c r="H47" i="8"/>
  <c r="O46" i="8"/>
  <c r="N46" i="8"/>
  <c r="M46" i="8"/>
  <c r="L46" i="8"/>
  <c r="Q46" i="8" s="1"/>
  <c r="H46" i="8"/>
  <c r="O45" i="8"/>
  <c r="N45" i="8"/>
  <c r="M45" i="8"/>
  <c r="L45" i="8"/>
  <c r="Q45" i="8" s="1"/>
  <c r="H45" i="8"/>
  <c r="O44" i="8"/>
  <c r="N44" i="8"/>
  <c r="M44" i="8"/>
  <c r="L44" i="8"/>
  <c r="Q44" i="8" s="1"/>
  <c r="H44" i="8"/>
  <c r="O43" i="8"/>
  <c r="N43" i="8"/>
  <c r="M43" i="8"/>
  <c r="L43" i="8"/>
  <c r="Q43" i="8" s="1"/>
  <c r="H43" i="8"/>
  <c r="H55" i="8" s="1"/>
  <c r="O42" i="8"/>
  <c r="N42" i="8"/>
  <c r="M42" i="8"/>
  <c r="L42" i="8"/>
  <c r="Q42" i="8" s="1"/>
  <c r="F42" i="8"/>
  <c r="E42" i="8"/>
  <c r="D42" i="8"/>
  <c r="M49" i="8" s="1"/>
  <c r="M55" i="8" s="1"/>
  <c r="C42" i="8"/>
  <c r="L49" i="8" s="1"/>
  <c r="O41" i="8"/>
  <c r="N41" i="8"/>
  <c r="M41" i="8"/>
  <c r="L41" i="8"/>
  <c r="H41" i="8"/>
  <c r="O40" i="8"/>
  <c r="N40" i="8"/>
  <c r="M40" i="8"/>
  <c r="L40" i="8"/>
  <c r="H40" i="8"/>
  <c r="H39" i="8"/>
  <c r="H38" i="8"/>
  <c r="H37" i="8"/>
  <c r="H36" i="8"/>
  <c r="H35" i="8"/>
  <c r="H34" i="8"/>
  <c r="H33" i="8"/>
  <c r="V32" i="8"/>
  <c r="U32" i="8"/>
  <c r="T32" i="8"/>
  <c r="S32" i="8"/>
  <c r="R32" i="8"/>
  <c r="Q32" i="8"/>
  <c r="P32" i="8"/>
  <c r="O32" i="8"/>
  <c r="N32" i="8"/>
  <c r="M32" i="8"/>
  <c r="L32" i="8"/>
  <c r="H32" i="8"/>
  <c r="W31" i="8"/>
  <c r="H31" i="8"/>
  <c r="W30" i="8"/>
  <c r="H30" i="8"/>
  <c r="H42" i="8" s="1"/>
  <c r="W29" i="8"/>
  <c r="F29" i="8"/>
  <c r="E29" i="8"/>
  <c r="N48" i="8" s="1"/>
  <c r="D29" i="8"/>
  <c r="C29" i="8"/>
  <c r="C108" i="8" s="1"/>
  <c r="W28" i="8"/>
  <c r="H28" i="8"/>
  <c r="W27" i="8"/>
  <c r="W32" i="8" s="1"/>
  <c r="H27" i="8"/>
  <c r="H26" i="8"/>
  <c r="H25" i="8"/>
  <c r="H24" i="8"/>
  <c r="H23" i="8"/>
  <c r="H22" i="8"/>
  <c r="H21" i="8"/>
  <c r="H20" i="8"/>
  <c r="Z19" i="8"/>
  <c r="Y19" i="8"/>
  <c r="X19" i="8"/>
  <c r="W19" i="8"/>
  <c r="V19" i="8"/>
  <c r="U19" i="8"/>
  <c r="T19" i="8"/>
  <c r="S19" i="8"/>
  <c r="R19" i="8"/>
  <c r="Q19" i="8"/>
  <c r="P19" i="8"/>
  <c r="O19" i="8"/>
  <c r="N19" i="8"/>
  <c r="M19" i="8"/>
  <c r="L19" i="8"/>
  <c r="H19" i="8"/>
  <c r="H18" i="8"/>
  <c r="AA17" i="8"/>
  <c r="H17" i="8"/>
  <c r="AA16" i="8"/>
  <c r="H16" i="8"/>
  <c r="AA15" i="8"/>
  <c r="H15" i="8"/>
  <c r="AA14" i="8"/>
  <c r="AA19" i="8" s="1"/>
  <c r="H14" i="8"/>
  <c r="AA13" i="8"/>
  <c r="H13" i="8"/>
  <c r="H12" i="8"/>
  <c r="H11" i="8"/>
  <c r="H10" i="8"/>
  <c r="H9" i="8"/>
  <c r="E15" i="25" l="1"/>
  <c r="F15" i="25" s="1"/>
  <c r="F13" i="25"/>
  <c r="H13" i="25"/>
  <c r="G15" i="25"/>
  <c r="H15" i="25" s="1"/>
  <c r="X101" i="4"/>
  <c r="AA211" i="4"/>
  <c r="T85" i="1"/>
  <c r="P81" i="1"/>
  <c r="X77" i="1"/>
  <c r="AB64" i="1"/>
  <c r="V77" i="1"/>
  <c r="P82" i="1"/>
  <c r="H78" i="1"/>
  <c r="Y93" i="4"/>
  <c r="AA243" i="4"/>
  <c r="AB181" i="4"/>
  <c r="AB231" i="4"/>
  <c r="AA141" i="4"/>
  <c r="Y258" i="4"/>
  <c r="Y238" i="4"/>
  <c r="Y226" i="4"/>
  <c r="Y218" i="4"/>
  <c r="AA206" i="4"/>
  <c r="AA174" i="4"/>
  <c r="Y90" i="4"/>
  <c r="AB255" i="4"/>
  <c r="X250" i="4"/>
  <c r="X243" i="4"/>
  <c r="X238" i="4"/>
  <c r="X230" i="4"/>
  <c r="AB223" i="4"/>
  <c r="X218" i="4"/>
  <c r="X211" i="4"/>
  <c r="AA205" i="4"/>
  <c r="Y189" i="4"/>
  <c r="AB178" i="4"/>
  <c r="Y121" i="4"/>
  <c r="Y250" i="4"/>
  <c r="AB154" i="4"/>
  <c r="X90" i="4"/>
  <c r="AB254" i="4"/>
  <c r="AB246" i="4"/>
  <c r="X242" i="4"/>
  <c r="X235" i="4"/>
  <c r="Y229" i="4"/>
  <c r="AB222" i="4"/>
  <c r="AB214" i="4"/>
  <c r="X210" i="4"/>
  <c r="X201" i="4"/>
  <c r="X185" i="4"/>
  <c r="X178" i="4"/>
  <c r="Y165" i="4"/>
  <c r="X94" i="4"/>
  <c r="AB258" i="4"/>
  <c r="AA251" i="4"/>
  <c r="Y246" i="4"/>
  <c r="Y241" i="4"/>
  <c r="AB234" i="4"/>
  <c r="AB226" i="4"/>
  <c r="AA219" i="4"/>
  <c r="Y214" i="4"/>
  <c r="Y209" i="4"/>
  <c r="AB194" i="4"/>
  <c r="X182" i="4"/>
  <c r="AB174" i="4"/>
  <c r="X133" i="4"/>
  <c r="T74" i="1"/>
  <c r="AB72" i="1"/>
  <c r="L76" i="1"/>
  <c r="H79" i="1"/>
  <c r="N76" i="1"/>
  <c r="T69" i="1"/>
  <c r="AB61" i="1"/>
  <c r="D63" i="1"/>
  <c r="T71" i="1"/>
  <c r="X70" i="1"/>
  <c r="AB94" i="4"/>
  <c r="AB91" i="4"/>
  <c r="AA259" i="4"/>
  <c r="X258" i="4"/>
  <c r="Y254" i="4"/>
  <c r="X251" i="4"/>
  <c r="Y249" i="4"/>
  <c r="X246" i="4"/>
  <c r="AB242" i="4"/>
  <c r="AB239" i="4"/>
  <c r="Y237" i="4"/>
  <c r="Y234" i="4"/>
  <c r="AB230" i="4"/>
  <c r="AA227" i="4"/>
  <c r="X226" i="4"/>
  <c r="Y222" i="4"/>
  <c r="X219" i="4"/>
  <c r="Y217" i="4"/>
  <c r="X214" i="4"/>
  <c r="AB210" i="4"/>
  <c r="Y205" i="4"/>
  <c r="X198" i="4"/>
  <c r="X194" i="4"/>
  <c r="AB190" i="4"/>
  <c r="X181" i="4"/>
  <c r="AB177" i="4"/>
  <c r="AA173" i="4"/>
  <c r="AB122" i="4"/>
  <c r="AB106" i="4"/>
  <c r="Y94" i="4"/>
  <c r="AB90" i="4"/>
  <c r="X259" i="4"/>
  <c r="Y257" i="4"/>
  <c r="X254" i="4"/>
  <c r="AB250" i="4"/>
  <c r="AB247" i="4"/>
  <c r="Y245" i="4"/>
  <c r="Y242" i="4"/>
  <c r="AB238" i="4"/>
  <c r="AA235" i="4"/>
  <c r="X234" i="4"/>
  <c r="Y230" i="4"/>
  <c r="X227" i="4"/>
  <c r="Y225" i="4"/>
  <c r="X222" i="4"/>
  <c r="AB218" i="4"/>
  <c r="AB215" i="4"/>
  <c r="Y213" i="4"/>
  <c r="Y210" i="4"/>
  <c r="AB206" i="4"/>
  <c r="AA202" i="4"/>
  <c r="AB197" i="4"/>
  <c r="AB193" i="4"/>
  <c r="AA190" i="4"/>
  <c r="AA186" i="4"/>
  <c r="AA177" i="4"/>
  <c r="X173" i="4"/>
  <c r="AB161" i="4"/>
  <c r="AA153" i="4"/>
  <c r="AB129" i="4"/>
  <c r="Y253" i="4"/>
  <c r="Y233" i="4"/>
  <c r="Y221" i="4"/>
  <c r="Y201" i="4"/>
  <c r="X197" i="4"/>
  <c r="AA193" i="4"/>
  <c r="AA189" i="4"/>
  <c r="Y185" i="4"/>
  <c r="X256" i="4"/>
  <c r="AB256" i="4"/>
  <c r="Y256" i="4"/>
  <c r="X244" i="4"/>
  <c r="AB244" i="4"/>
  <c r="Y244" i="4"/>
  <c r="X236" i="4"/>
  <c r="AB236" i="4"/>
  <c r="Y236" i="4"/>
  <c r="X228" i="4"/>
  <c r="AB228" i="4"/>
  <c r="Y228" i="4"/>
  <c r="X220" i="4"/>
  <c r="AB220" i="4"/>
  <c r="Y220" i="4"/>
  <c r="X212" i="4"/>
  <c r="AB212" i="4"/>
  <c r="Y212" i="4"/>
  <c r="AA204" i="4"/>
  <c r="X204" i="4"/>
  <c r="AB204" i="4"/>
  <c r="AA196" i="4"/>
  <c r="X196" i="4"/>
  <c r="Y196" i="4"/>
  <c r="AA184" i="4"/>
  <c r="Y184" i="4"/>
  <c r="AB184" i="4"/>
  <c r="AA176" i="4"/>
  <c r="AB176" i="4"/>
  <c r="Y176" i="4"/>
  <c r="X176" i="4"/>
  <c r="AA168" i="4"/>
  <c r="AB168" i="4"/>
  <c r="X168" i="4"/>
  <c r="Y168" i="4"/>
  <c r="AA160" i="4"/>
  <c r="X160" i="4"/>
  <c r="Y160" i="4"/>
  <c r="AA152" i="4"/>
  <c r="AB152" i="4"/>
  <c r="X152" i="4"/>
  <c r="AA140" i="4"/>
  <c r="AB140" i="4"/>
  <c r="X140" i="4"/>
  <c r="Y140" i="4"/>
  <c r="AA136" i="4"/>
  <c r="AB136" i="4"/>
  <c r="X136" i="4"/>
  <c r="Y136" i="4"/>
  <c r="AA128" i="4"/>
  <c r="X128" i="4"/>
  <c r="Y128" i="4"/>
  <c r="AA120" i="4"/>
  <c r="AB120" i="4"/>
  <c r="X120" i="4"/>
  <c r="AA116" i="4"/>
  <c r="Y116" i="4"/>
  <c r="AB116" i="4"/>
  <c r="X116" i="4"/>
  <c r="AA108" i="4"/>
  <c r="X108" i="4"/>
  <c r="AB108" i="4"/>
  <c r="Y108" i="4"/>
  <c r="AA100" i="4"/>
  <c r="X100" i="4"/>
  <c r="AB100" i="4"/>
  <c r="Y100" i="4"/>
  <c r="X92" i="4"/>
  <c r="AB92" i="4"/>
  <c r="Y92" i="4"/>
  <c r="Y207" i="4"/>
  <c r="AA207" i="4"/>
  <c r="X203" i="4"/>
  <c r="AB203" i="4"/>
  <c r="Y203" i="4"/>
  <c r="AA203" i="4"/>
  <c r="X199" i="4"/>
  <c r="AB199" i="4"/>
  <c r="Y199" i="4"/>
  <c r="X195" i="4"/>
  <c r="AB195" i="4"/>
  <c r="AA195" i="4"/>
  <c r="Y195" i="4"/>
  <c r="X191" i="4"/>
  <c r="AB191" i="4"/>
  <c r="AA191" i="4"/>
  <c r="X187" i="4"/>
  <c r="AB187" i="4"/>
  <c r="Y187" i="4"/>
  <c r="AA187" i="4"/>
  <c r="X183" i="4"/>
  <c r="AB183" i="4"/>
  <c r="Y183" i="4"/>
  <c r="X179" i="4"/>
  <c r="AB179" i="4"/>
  <c r="AA179" i="4"/>
  <c r="Y179" i="4"/>
  <c r="X175" i="4"/>
  <c r="AB175" i="4"/>
  <c r="AA175" i="4"/>
  <c r="X171" i="4"/>
  <c r="AB171" i="4"/>
  <c r="AA171" i="4"/>
  <c r="Y171" i="4"/>
  <c r="X167" i="4"/>
  <c r="AB167" i="4"/>
  <c r="Y167" i="4"/>
  <c r="AA167" i="4"/>
  <c r="X163" i="4"/>
  <c r="AB163" i="4"/>
  <c r="Y163" i="4"/>
  <c r="AA163" i="4"/>
  <c r="X159" i="4"/>
  <c r="AB159" i="4"/>
  <c r="AA159" i="4"/>
  <c r="Y159" i="4"/>
  <c r="X155" i="4"/>
  <c r="AB155" i="4"/>
  <c r="AA155" i="4"/>
  <c r="Y155" i="4"/>
  <c r="X151" i="4"/>
  <c r="AB151" i="4"/>
  <c r="Y151" i="4"/>
  <c r="AA151" i="4"/>
  <c r="X147" i="4"/>
  <c r="AB147" i="4"/>
  <c r="Y147" i="4"/>
  <c r="X143" i="4"/>
  <c r="AB143" i="4"/>
  <c r="AA143" i="4"/>
  <c r="Y143" i="4"/>
  <c r="X139" i="4"/>
  <c r="AB139" i="4"/>
  <c r="AA139" i="4"/>
  <c r="X135" i="4"/>
  <c r="AB135" i="4"/>
  <c r="Y135" i="4"/>
  <c r="AA135" i="4"/>
  <c r="X131" i="4"/>
  <c r="AB131" i="4"/>
  <c r="Y131" i="4"/>
  <c r="AA131" i="4"/>
  <c r="X127" i="4"/>
  <c r="AB127" i="4"/>
  <c r="AA127" i="4"/>
  <c r="Y127" i="4"/>
  <c r="X123" i="4"/>
  <c r="AB123" i="4"/>
  <c r="AA123" i="4"/>
  <c r="Y123" i="4"/>
  <c r="X119" i="4"/>
  <c r="AB119" i="4"/>
  <c r="Y119" i="4"/>
  <c r="AA119" i="4"/>
  <c r="X115" i="4"/>
  <c r="AB115" i="4"/>
  <c r="Y115" i="4"/>
  <c r="X111" i="4"/>
  <c r="AB111" i="4"/>
  <c r="Y111" i="4"/>
  <c r="AA111" i="4"/>
  <c r="X107" i="4"/>
  <c r="AB107" i="4"/>
  <c r="Y107" i="4"/>
  <c r="AA107" i="4"/>
  <c r="X103" i="4"/>
  <c r="AB103" i="4"/>
  <c r="Y103" i="4"/>
  <c r="AA103" i="4"/>
  <c r="X99" i="4"/>
  <c r="AB99" i="4"/>
  <c r="Y99" i="4"/>
  <c r="X95" i="4"/>
  <c r="AB95" i="4"/>
  <c r="Y95" i="4"/>
  <c r="AA95" i="4"/>
  <c r="AA91" i="4"/>
  <c r="AA255" i="4"/>
  <c r="AA247" i="4"/>
  <c r="AA239" i="4"/>
  <c r="AA231" i="4"/>
  <c r="AA223" i="4"/>
  <c r="AA215" i="4"/>
  <c r="AB207" i="4"/>
  <c r="Y204" i="4"/>
  <c r="AB196" i="4"/>
  <c r="AB160" i="4"/>
  <c r="AA99" i="4"/>
  <c r="Y260" i="4"/>
  <c r="AA260" i="4"/>
  <c r="AB260" i="4"/>
  <c r="X252" i="4"/>
  <c r="AB252" i="4"/>
  <c r="Y252" i="4"/>
  <c r="X248" i="4"/>
  <c r="AB248" i="4"/>
  <c r="Y248" i="4"/>
  <c r="X240" i="4"/>
  <c r="AB240" i="4"/>
  <c r="Y240" i="4"/>
  <c r="X232" i="4"/>
  <c r="AB232" i="4"/>
  <c r="Y232" i="4"/>
  <c r="X224" i="4"/>
  <c r="AB224" i="4"/>
  <c r="Y224" i="4"/>
  <c r="X216" i="4"/>
  <c r="AB216" i="4"/>
  <c r="Y216" i="4"/>
  <c r="X208" i="4"/>
  <c r="AB208" i="4"/>
  <c r="Y208" i="4"/>
  <c r="AA200" i="4"/>
  <c r="Y200" i="4"/>
  <c r="AB200" i="4"/>
  <c r="AA192" i="4"/>
  <c r="AB192" i="4"/>
  <c r="Y192" i="4"/>
  <c r="X192" i="4"/>
  <c r="AA188" i="4"/>
  <c r="AB188" i="4"/>
  <c r="X188" i="4"/>
  <c r="AA180" i="4"/>
  <c r="X180" i="4"/>
  <c r="Y180" i="4"/>
  <c r="AA172" i="4"/>
  <c r="X172" i="4"/>
  <c r="Y172" i="4"/>
  <c r="AA164" i="4"/>
  <c r="Y164" i="4"/>
  <c r="AB164" i="4"/>
  <c r="AA156" i="4"/>
  <c r="AB156" i="4"/>
  <c r="X156" i="4"/>
  <c r="Y156" i="4"/>
  <c r="AA148" i="4"/>
  <c r="Y148" i="4"/>
  <c r="X148" i="4"/>
  <c r="AB148" i="4"/>
  <c r="AA144" i="4"/>
  <c r="X144" i="4"/>
  <c r="Y144" i="4"/>
  <c r="AB144" i="4"/>
  <c r="AA132" i="4"/>
  <c r="Y132" i="4"/>
  <c r="AB132" i="4"/>
  <c r="AA124" i="4"/>
  <c r="AB124" i="4"/>
  <c r="X124" i="4"/>
  <c r="Y124" i="4"/>
  <c r="AA112" i="4"/>
  <c r="X112" i="4"/>
  <c r="Y112" i="4"/>
  <c r="AB112" i="4"/>
  <c r="AA104" i="4"/>
  <c r="X104" i="4"/>
  <c r="AB104" i="4"/>
  <c r="Y104" i="4"/>
  <c r="AA96" i="4"/>
  <c r="X96" i="4"/>
  <c r="AB96" i="4"/>
  <c r="Y96" i="4"/>
  <c r="AA92" i="4"/>
  <c r="AA256" i="4"/>
  <c r="AA224" i="4"/>
  <c r="AA216" i="4"/>
  <c r="Y120" i="4"/>
  <c r="X91" i="4"/>
  <c r="AB259" i="4"/>
  <c r="X255" i="4"/>
  <c r="AA252" i="4"/>
  <c r="AB251" i="4"/>
  <c r="X247" i="4"/>
  <c r="AA244" i="4"/>
  <c r="AB243" i="4"/>
  <c r="X239" i="4"/>
  <c r="AA236" i="4"/>
  <c r="AB235" i="4"/>
  <c r="X231" i="4"/>
  <c r="AA228" i="4"/>
  <c r="AB227" i="4"/>
  <c r="X223" i="4"/>
  <c r="AA220" i="4"/>
  <c r="AB219" i="4"/>
  <c r="X215" i="4"/>
  <c r="AA212" i="4"/>
  <c r="AB211" i="4"/>
  <c r="X207" i="4"/>
  <c r="AA199" i="4"/>
  <c r="Y175" i="4"/>
  <c r="Y152" i="4"/>
  <c r="AA147" i="4"/>
  <c r="Y170" i="4"/>
  <c r="X170" i="4"/>
  <c r="Y166" i="4"/>
  <c r="AB166" i="4"/>
  <c r="X166" i="4"/>
  <c r="Y162" i="4"/>
  <c r="AA162" i="4"/>
  <c r="AB162" i="4"/>
  <c r="Y158" i="4"/>
  <c r="AA158" i="4"/>
  <c r="Y154" i="4"/>
  <c r="X154" i="4"/>
  <c r="Y150" i="4"/>
  <c r="AB150" i="4"/>
  <c r="X150" i="4"/>
  <c r="Y146" i="4"/>
  <c r="AA146" i="4"/>
  <c r="AB146" i="4"/>
  <c r="Y142" i="4"/>
  <c r="AA142" i="4"/>
  <c r="Y138" i="4"/>
  <c r="X138" i="4"/>
  <c r="Y134" i="4"/>
  <c r="AB134" i="4"/>
  <c r="X134" i="4"/>
  <c r="Y130" i="4"/>
  <c r="AA130" i="4"/>
  <c r="AB130" i="4"/>
  <c r="Y126" i="4"/>
  <c r="AA126" i="4"/>
  <c r="Y122" i="4"/>
  <c r="X122" i="4"/>
  <c r="Y118" i="4"/>
  <c r="AB118" i="4"/>
  <c r="X118" i="4"/>
  <c r="Y114" i="4"/>
  <c r="AA114" i="4"/>
  <c r="AB114" i="4"/>
  <c r="Y110" i="4"/>
  <c r="AA110" i="4"/>
  <c r="AB110" i="4"/>
  <c r="Y106" i="4"/>
  <c r="X106" i="4"/>
  <c r="Y102" i="4"/>
  <c r="AA102" i="4"/>
  <c r="AB102" i="4"/>
  <c r="Y98" i="4"/>
  <c r="X98" i="4"/>
  <c r="AB93" i="4"/>
  <c r="X93" i="4"/>
  <c r="AB257" i="4"/>
  <c r="X257" i="4"/>
  <c r="AB253" i="4"/>
  <c r="X253" i="4"/>
  <c r="AB249" i="4"/>
  <c r="X249" i="4"/>
  <c r="AB245" i="4"/>
  <c r="X245" i="4"/>
  <c r="AB241" i="4"/>
  <c r="X241" i="4"/>
  <c r="AB237" i="4"/>
  <c r="X237" i="4"/>
  <c r="AB233" i="4"/>
  <c r="X233" i="4"/>
  <c r="AB229" i="4"/>
  <c r="X229" i="4"/>
  <c r="AB225" i="4"/>
  <c r="X225" i="4"/>
  <c r="AB221" i="4"/>
  <c r="X221" i="4"/>
  <c r="AB217" i="4"/>
  <c r="X217" i="4"/>
  <c r="AB213" i="4"/>
  <c r="X213" i="4"/>
  <c r="AB209" i="4"/>
  <c r="X209" i="4"/>
  <c r="X205" i="4"/>
  <c r="X202" i="4"/>
  <c r="AB201" i="4"/>
  <c r="AB198" i="4"/>
  <c r="AA197" i="4"/>
  <c r="AA194" i="4"/>
  <c r="Y193" i="4"/>
  <c r="X189" i="4"/>
  <c r="X186" i="4"/>
  <c r="AB185" i="4"/>
  <c r="AB182" i="4"/>
  <c r="AA181" i="4"/>
  <c r="AA178" i="4"/>
  <c r="Y177" i="4"/>
  <c r="AB170" i="4"/>
  <c r="AA150" i="4"/>
  <c r="X142" i="4"/>
  <c r="AB138" i="4"/>
  <c r="AA118" i="4"/>
  <c r="X102" i="4"/>
  <c r="AB98" i="4"/>
  <c r="AB169" i="4"/>
  <c r="X169" i="4"/>
  <c r="AA165" i="4"/>
  <c r="AB165" i="4"/>
  <c r="Y161" i="4"/>
  <c r="AA161" i="4"/>
  <c r="X157" i="4"/>
  <c r="Y157" i="4"/>
  <c r="AB153" i="4"/>
  <c r="X153" i="4"/>
  <c r="AA149" i="4"/>
  <c r="AB149" i="4"/>
  <c r="Y145" i="4"/>
  <c r="AA145" i="4"/>
  <c r="X141" i="4"/>
  <c r="Y141" i="4"/>
  <c r="AB137" i="4"/>
  <c r="X137" i="4"/>
  <c r="AA133" i="4"/>
  <c r="AB133" i="4"/>
  <c r="Y129" i="4"/>
  <c r="AA129" i="4"/>
  <c r="X125" i="4"/>
  <c r="Y125" i="4"/>
  <c r="AB121" i="4"/>
  <c r="X121" i="4"/>
  <c r="AA117" i="4"/>
  <c r="AB117" i="4"/>
  <c r="Y113" i="4"/>
  <c r="AA113" i="4"/>
  <c r="AA109" i="4"/>
  <c r="AB109" i="4"/>
  <c r="AA105" i="4"/>
  <c r="X105" i="4"/>
  <c r="Y105" i="4"/>
  <c r="AA101" i="4"/>
  <c r="AB101" i="4"/>
  <c r="AA97" i="4"/>
  <c r="X97" i="4"/>
  <c r="Y97" i="4"/>
  <c r="X206" i="4"/>
  <c r="AB202" i="4"/>
  <c r="AA198" i="4"/>
  <c r="X190" i="4"/>
  <c r="AB186" i="4"/>
  <c r="AA182" i="4"/>
  <c r="X174" i="4"/>
  <c r="AB173" i="4"/>
  <c r="AA170" i="4"/>
  <c r="Y169" i="4"/>
  <c r="X162" i="4"/>
  <c r="AB158" i="4"/>
  <c r="AA157" i="4"/>
  <c r="X149" i="4"/>
  <c r="AB145" i="4"/>
  <c r="AA138" i="4"/>
  <c r="Y137" i="4"/>
  <c r="X130" i="4"/>
  <c r="AB126" i="4"/>
  <c r="AA125" i="4"/>
  <c r="X117" i="4"/>
  <c r="AB113" i="4"/>
  <c r="X109" i="4"/>
  <c r="AB105" i="4"/>
  <c r="AA98" i="4"/>
  <c r="F11" i="11"/>
  <c r="R11" i="11"/>
  <c r="L11" i="11"/>
  <c r="L34" i="11"/>
  <c r="F34" i="11"/>
  <c r="H108" i="8"/>
  <c r="N55" i="8"/>
  <c r="Q50" i="8"/>
  <c r="H68" i="8"/>
  <c r="Q53" i="8"/>
  <c r="P54" i="8"/>
  <c r="P55" i="8" s="1"/>
  <c r="E108" i="8"/>
  <c r="D108" i="8"/>
  <c r="Q40" i="8"/>
  <c r="H29" i="8"/>
  <c r="O48" i="8"/>
  <c r="O55" i="8" s="1"/>
  <c r="F108" i="8"/>
  <c r="Q41" i="8"/>
  <c r="Q49" i="8"/>
  <c r="Q47" i="8"/>
  <c r="L51" i="8"/>
  <c r="Q51" i="8" s="1"/>
  <c r="T78" i="1" l="1"/>
  <c r="T77" i="1"/>
  <c r="Z77" i="1"/>
  <c r="X72" i="1"/>
  <c r="X69" i="1"/>
  <c r="X61" i="1"/>
  <c r="X78" i="1"/>
  <c r="T64" i="1"/>
  <c r="X64" i="1"/>
  <c r="H64" i="1"/>
  <c r="D64" i="1"/>
  <c r="H76" i="1"/>
  <c r="X85" i="1"/>
  <c r="P77" i="1"/>
  <c r="X84" i="1"/>
  <c r="P84" i="1"/>
  <c r="T76" i="1"/>
  <c r="L77" i="1"/>
  <c r="L84" i="1"/>
  <c r="H84" i="1"/>
  <c r="P76" i="1"/>
  <c r="H77" i="1"/>
  <c r="X76" i="1"/>
  <c r="T84" i="1"/>
  <c r="N77" i="1"/>
  <c r="R77" i="1"/>
  <c r="H71" i="1"/>
  <c r="P85" i="1"/>
  <c r="X74" i="1"/>
  <c r="L85" i="1"/>
  <c r="H85" i="1"/>
  <c r="X81" i="1"/>
  <c r="H81" i="1"/>
  <c r="X82" i="1"/>
  <c r="T81" i="1"/>
  <c r="H82" i="1"/>
  <c r="L81" i="1"/>
  <c r="T82" i="1"/>
  <c r="H65" i="1"/>
  <c r="AB65" i="1"/>
  <c r="AB74" i="1"/>
  <c r="X67" i="1"/>
  <c r="AB67" i="1"/>
  <c r="T62" i="1"/>
  <c r="AB62" i="1"/>
  <c r="D71" i="1"/>
  <c r="AB71" i="1"/>
  <c r="H62" i="1"/>
  <c r="T68" i="1"/>
  <c r="AB68" i="1"/>
  <c r="D60" i="1"/>
  <c r="AB60" i="1"/>
  <c r="D70" i="1"/>
  <c r="AB70" i="1"/>
  <c r="H66" i="1"/>
  <c r="AB66" i="1"/>
  <c r="T63" i="1"/>
  <c r="AB63" i="1"/>
  <c r="X63" i="1"/>
  <c r="H69" i="1"/>
  <c r="AB69" i="1"/>
  <c r="F67" i="1"/>
  <c r="AD67" i="1"/>
  <c r="J71" i="1"/>
  <c r="AD71" i="1"/>
  <c r="J85" i="1"/>
  <c r="P83" i="1"/>
  <c r="P78" i="1"/>
  <c r="L79" i="1"/>
  <c r="V76" i="1"/>
  <c r="H75" i="1"/>
  <c r="L82" i="1"/>
  <c r="X79" i="1"/>
  <c r="L80" i="1"/>
  <c r="L78" i="1"/>
  <c r="T79" i="1"/>
  <c r="N84" i="1"/>
  <c r="J77" i="1"/>
  <c r="N85" i="1"/>
  <c r="V84" i="1"/>
  <c r="V85" i="1"/>
  <c r="R85" i="1"/>
  <c r="J84" i="1"/>
  <c r="Z84" i="1"/>
  <c r="T80" i="1"/>
  <c r="X83" i="1"/>
  <c r="L83" i="1"/>
  <c r="D74" i="1"/>
  <c r="H74" i="1"/>
  <c r="T70" i="1"/>
  <c r="X62" i="1"/>
  <c r="D62" i="1"/>
  <c r="H70" i="1"/>
  <c r="H63" i="1"/>
  <c r="D61" i="1"/>
  <c r="T61" i="1"/>
  <c r="T60" i="1"/>
  <c r="X60" i="1"/>
  <c r="H60" i="1"/>
  <c r="R76" i="1"/>
  <c r="Z67" i="1"/>
  <c r="AD74" i="1"/>
  <c r="V67" i="1"/>
  <c r="X80" i="1"/>
  <c r="F69" i="1"/>
  <c r="F71" i="1"/>
  <c r="J76" i="1"/>
  <c r="H68" i="1"/>
  <c r="X75" i="1"/>
  <c r="H61" i="1"/>
  <c r="D68" i="1"/>
  <c r="Z76" i="1"/>
  <c r="P80" i="1"/>
  <c r="D66" i="1"/>
  <c r="L75" i="1"/>
  <c r="D67" i="1"/>
  <c r="X71" i="1"/>
  <c r="T66" i="1"/>
  <c r="T75" i="1"/>
  <c r="T83" i="1"/>
  <c r="D69" i="1"/>
  <c r="AD63" i="1"/>
  <c r="H67" i="1"/>
  <c r="H80" i="1"/>
  <c r="V64" i="1"/>
  <c r="R84" i="1"/>
  <c r="P79" i="1"/>
  <c r="X66" i="1"/>
  <c r="T72" i="1"/>
  <c r="H72" i="1"/>
  <c r="X65" i="1"/>
  <c r="D65" i="1"/>
  <c r="V71" i="1"/>
  <c r="J67" i="1"/>
  <c r="Z71" i="1"/>
  <c r="X68" i="1"/>
  <c r="Z85" i="1"/>
  <c r="H83" i="1"/>
  <c r="T67" i="1"/>
  <c r="P75" i="1"/>
  <c r="T65" i="1"/>
  <c r="D72" i="1"/>
  <c r="Q48" i="8"/>
  <c r="Q54" i="8"/>
  <c r="L55" i="8"/>
  <c r="J69" i="1" l="1"/>
  <c r="Z63" i="1"/>
  <c r="AH67" i="1"/>
  <c r="F72" i="1"/>
  <c r="AD72" i="1"/>
  <c r="Z65" i="1"/>
  <c r="AD65" i="1"/>
  <c r="F70" i="1"/>
  <c r="AD70" i="1"/>
  <c r="AH71" i="1"/>
  <c r="Z62" i="1"/>
  <c r="AD62" i="1"/>
  <c r="Z64" i="1"/>
  <c r="V69" i="1"/>
  <c r="AD69" i="1"/>
  <c r="F66" i="1"/>
  <c r="AD66" i="1"/>
  <c r="V60" i="1"/>
  <c r="AD60" i="1"/>
  <c r="V61" i="1"/>
  <c r="AD61" i="1"/>
  <c r="J64" i="1"/>
  <c r="AD64" i="1"/>
  <c r="Z68" i="1"/>
  <c r="AD68" i="1"/>
  <c r="V75" i="1"/>
  <c r="AH77" i="1"/>
  <c r="AH76" i="1"/>
  <c r="AH85" i="1"/>
  <c r="V82" i="1"/>
  <c r="AH84" i="1"/>
  <c r="J79" i="1"/>
  <c r="J83" i="1"/>
  <c r="J80" i="1"/>
  <c r="H86" i="1"/>
  <c r="D86" i="1"/>
  <c r="T86" i="1"/>
  <c r="X86" i="1"/>
  <c r="AB86" i="1"/>
  <c r="P86" i="1"/>
  <c r="L86" i="1"/>
  <c r="Z80" i="1"/>
  <c r="F65" i="1"/>
  <c r="V66" i="1"/>
  <c r="J66" i="1"/>
  <c r="V83" i="1"/>
  <c r="V79" i="1"/>
  <c r="Z75" i="1"/>
  <c r="V74" i="1"/>
  <c r="J74" i="1"/>
  <c r="Z69" i="1"/>
  <c r="Z61" i="1"/>
  <c r="D73" i="1"/>
  <c r="T73" i="1"/>
  <c r="H73" i="1"/>
  <c r="X73" i="1"/>
  <c r="AB73" i="1"/>
  <c r="Z79" i="1"/>
  <c r="Z83" i="1"/>
  <c r="J61" i="1"/>
  <c r="J65" i="1"/>
  <c r="V81" i="1"/>
  <c r="R81" i="1"/>
  <c r="N81" i="1"/>
  <c r="J81" i="1"/>
  <c r="Z70" i="1"/>
  <c r="R78" i="1"/>
  <c r="Z78" i="1"/>
  <c r="N78" i="1"/>
  <c r="Z82" i="1"/>
  <c r="N82" i="1"/>
  <c r="R82" i="1"/>
  <c r="V70" i="1"/>
  <c r="J60" i="1"/>
  <c r="Z60" i="1"/>
  <c r="F63" i="1"/>
  <c r="V63" i="1"/>
  <c r="J68" i="1"/>
  <c r="V68" i="1"/>
  <c r="Z66" i="1"/>
  <c r="F74" i="1"/>
  <c r="J70" i="1"/>
  <c r="J63" i="1"/>
  <c r="V72" i="1"/>
  <c r="Z72" i="1"/>
  <c r="J72" i="1"/>
  <c r="V62" i="1"/>
  <c r="F62" i="1"/>
  <c r="N79" i="1"/>
  <c r="R79" i="1"/>
  <c r="R83" i="1"/>
  <c r="N83" i="1"/>
  <c r="V78" i="1"/>
  <c r="J78" i="1"/>
  <c r="J82" i="1"/>
  <c r="F60" i="1"/>
  <c r="AH60" i="1" s="1"/>
  <c r="F61" i="1"/>
  <c r="J62" i="1"/>
  <c r="Z74" i="1"/>
  <c r="V65" i="1"/>
  <c r="F64" i="1"/>
  <c r="J75" i="1"/>
  <c r="N75" i="1"/>
  <c r="R75" i="1"/>
  <c r="F68" i="1"/>
  <c r="V80" i="1"/>
  <c r="N80" i="1"/>
  <c r="R80" i="1"/>
  <c r="Z81" i="1"/>
  <c r="Q55" i="8"/>
  <c r="AH61" i="1" l="1"/>
  <c r="AH69" i="1"/>
  <c r="AH63" i="1"/>
  <c r="AH72" i="1"/>
  <c r="AH65" i="1"/>
  <c r="AH62" i="1"/>
  <c r="AH68" i="1"/>
  <c r="AH64" i="1"/>
  <c r="AH74" i="1"/>
  <c r="AH66" i="1"/>
  <c r="AH70" i="1"/>
  <c r="AD86" i="1"/>
  <c r="V86" i="1"/>
  <c r="J86" i="1"/>
  <c r="Z86" i="1"/>
  <c r="F86" i="1"/>
  <c r="N86" i="1"/>
  <c r="R86" i="1"/>
  <c r="AH80" i="1"/>
  <c r="AH83" i="1"/>
  <c r="AH82" i="1"/>
  <c r="AH79" i="1"/>
  <c r="AH75" i="1"/>
  <c r="AH81" i="1"/>
  <c r="AH78" i="1"/>
  <c r="F73" i="1"/>
  <c r="Z73" i="1"/>
  <c r="V73" i="1"/>
  <c r="J73" i="1"/>
  <c r="AD73" i="1"/>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90" i="4"/>
  <c r="J260" i="4"/>
  <c r="I260" i="4"/>
  <c r="H260" i="4"/>
  <c r="E260" i="4"/>
  <c r="J259" i="4"/>
  <c r="I259" i="4"/>
  <c r="H259" i="4"/>
  <c r="E259" i="4"/>
  <c r="J258" i="4"/>
  <c r="I258" i="4"/>
  <c r="H258" i="4"/>
  <c r="E258" i="4"/>
  <c r="J257" i="4"/>
  <c r="I257" i="4"/>
  <c r="H257" i="4"/>
  <c r="E257" i="4"/>
  <c r="J256" i="4"/>
  <c r="I256" i="4"/>
  <c r="H256" i="4"/>
  <c r="E256" i="4"/>
  <c r="J255" i="4"/>
  <c r="I255" i="4"/>
  <c r="H255" i="4"/>
  <c r="E255" i="4"/>
  <c r="J254" i="4"/>
  <c r="I254" i="4"/>
  <c r="H254" i="4"/>
  <c r="E254" i="4"/>
  <c r="J253" i="4"/>
  <c r="I253" i="4"/>
  <c r="H253" i="4"/>
  <c r="E253" i="4"/>
  <c r="J252" i="4"/>
  <c r="I252" i="4"/>
  <c r="H252" i="4"/>
  <c r="E252" i="4"/>
  <c r="J251" i="4"/>
  <c r="I251" i="4"/>
  <c r="H251" i="4"/>
  <c r="E251" i="4"/>
  <c r="J250" i="4"/>
  <c r="I250" i="4"/>
  <c r="H250" i="4"/>
  <c r="E250" i="4"/>
  <c r="J249" i="4"/>
  <c r="I249" i="4"/>
  <c r="H249" i="4"/>
  <c r="E249" i="4"/>
  <c r="J248" i="4"/>
  <c r="I248" i="4"/>
  <c r="H248" i="4"/>
  <c r="E248" i="4"/>
  <c r="J247" i="4"/>
  <c r="I247" i="4"/>
  <c r="H247" i="4"/>
  <c r="E247" i="4"/>
  <c r="J246" i="4"/>
  <c r="I246" i="4"/>
  <c r="H246" i="4"/>
  <c r="E246" i="4"/>
  <c r="J245" i="4"/>
  <c r="I245" i="4"/>
  <c r="H245" i="4"/>
  <c r="E245" i="4"/>
  <c r="J244" i="4"/>
  <c r="I244" i="4"/>
  <c r="H244" i="4"/>
  <c r="E244" i="4"/>
  <c r="J243" i="4"/>
  <c r="I243" i="4"/>
  <c r="H243" i="4"/>
  <c r="E243" i="4"/>
  <c r="J242" i="4"/>
  <c r="I242" i="4"/>
  <c r="H242" i="4"/>
  <c r="E242" i="4"/>
  <c r="J241" i="4"/>
  <c r="I241" i="4"/>
  <c r="H241" i="4"/>
  <c r="E241" i="4"/>
  <c r="J240" i="4"/>
  <c r="I240" i="4"/>
  <c r="H240" i="4"/>
  <c r="E240" i="4"/>
  <c r="J239" i="4"/>
  <c r="I239" i="4"/>
  <c r="H239" i="4"/>
  <c r="E239" i="4"/>
  <c r="J238" i="4"/>
  <c r="I238" i="4"/>
  <c r="H238" i="4"/>
  <c r="E238" i="4"/>
  <c r="J237" i="4"/>
  <c r="I237" i="4"/>
  <c r="H237" i="4"/>
  <c r="E237" i="4"/>
  <c r="J236" i="4"/>
  <c r="I236" i="4"/>
  <c r="H236" i="4"/>
  <c r="E236" i="4"/>
  <c r="J235" i="4"/>
  <c r="I235" i="4"/>
  <c r="H235" i="4"/>
  <c r="E235" i="4"/>
  <c r="J234" i="4"/>
  <c r="I234" i="4"/>
  <c r="H234" i="4"/>
  <c r="E234" i="4"/>
  <c r="J233" i="4"/>
  <c r="I233" i="4"/>
  <c r="H233" i="4"/>
  <c r="E233" i="4"/>
  <c r="J232" i="4"/>
  <c r="I232" i="4"/>
  <c r="H232" i="4"/>
  <c r="E232" i="4"/>
  <c r="J231" i="4"/>
  <c r="I231" i="4"/>
  <c r="H231" i="4"/>
  <c r="E231" i="4"/>
  <c r="J230" i="4"/>
  <c r="I230" i="4"/>
  <c r="H230" i="4"/>
  <c r="E230" i="4"/>
  <c r="J229" i="4"/>
  <c r="I229" i="4"/>
  <c r="H229" i="4"/>
  <c r="E229" i="4"/>
  <c r="J228" i="4"/>
  <c r="I228" i="4"/>
  <c r="H228" i="4"/>
  <c r="E228" i="4"/>
  <c r="J227" i="4"/>
  <c r="I227" i="4"/>
  <c r="H227" i="4"/>
  <c r="E227" i="4"/>
  <c r="J226" i="4"/>
  <c r="I226" i="4"/>
  <c r="H226" i="4"/>
  <c r="E226" i="4"/>
  <c r="J225" i="4"/>
  <c r="I225" i="4"/>
  <c r="H225" i="4"/>
  <c r="E225" i="4"/>
  <c r="J224" i="4"/>
  <c r="I224" i="4"/>
  <c r="H224" i="4"/>
  <c r="E224" i="4"/>
  <c r="J223" i="4"/>
  <c r="I223" i="4"/>
  <c r="H223" i="4"/>
  <c r="E223" i="4"/>
  <c r="J222" i="4"/>
  <c r="I222" i="4"/>
  <c r="H222" i="4"/>
  <c r="E222" i="4"/>
  <c r="J221" i="4"/>
  <c r="I221" i="4"/>
  <c r="H221" i="4"/>
  <c r="E221" i="4"/>
  <c r="J220" i="4"/>
  <c r="I220" i="4"/>
  <c r="H220" i="4"/>
  <c r="E220" i="4"/>
  <c r="J219" i="4"/>
  <c r="I219" i="4"/>
  <c r="H219" i="4"/>
  <c r="E219" i="4"/>
  <c r="J218" i="4"/>
  <c r="I218" i="4"/>
  <c r="H218" i="4"/>
  <c r="E218" i="4"/>
  <c r="J217" i="4"/>
  <c r="I217" i="4"/>
  <c r="H217" i="4"/>
  <c r="E217" i="4"/>
  <c r="J216" i="4"/>
  <c r="I216" i="4"/>
  <c r="H216" i="4"/>
  <c r="E216" i="4"/>
  <c r="J215" i="4"/>
  <c r="I215" i="4"/>
  <c r="H215" i="4"/>
  <c r="E215" i="4"/>
  <c r="J214" i="4"/>
  <c r="I214" i="4"/>
  <c r="H214" i="4"/>
  <c r="E214" i="4"/>
  <c r="J213" i="4"/>
  <c r="I213" i="4"/>
  <c r="H213" i="4"/>
  <c r="E213" i="4"/>
  <c r="J188" i="4"/>
  <c r="I188" i="4"/>
  <c r="H188" i="4"/>
  <c r="E188" i="4"/>
  <c r="J187" i="4"/>
  <c r="I187" i="4"/>
  <c r="H187" i="4"/>
  <c r="E187" i="4"/>
  <c r="J186" i="4"/>
  <c r="I186" i="4"/>
  <c r="H186" i="4"/>
  <c r="E186" i="4"/>
  <c r="J185" i="4"/>
  <c r="I185" i="4"/>
  <c r="H185" i="4"/>
  <c r="E185" i="4"/>
  <c r="J184" i="4"/>
  <c r="I184" i="4"/>
  <c r="H184" i="4"/>
  <c r="E184" i="4"/>
  <c r="J183" i="4"/>
  <c r="I183" i="4"/>
  <c r="H183" i="4"/>
  <c r="E183" i="4"/>
  <c r="J182" i="4"/>
  <c r="I182" i="4"/>
  <c r="H182" i="4"/>
  <c r="E182" i="4"/>
  <c r="J181" i="4"/>
  <c r="I181" i="4"/>
  <c r="H181" i="4"/>
  <c r="E181" i="4"/>
  <c r="J180" i="4"/>
  <c r="I180" i="4"/>
  <c r="H180" i="4"/>
  <c r="E180" i="4"/>
  <c r="J179" i="4"/>
  <c r="I179" i="4"/>
  <c r="H179" i="4"/>
  <c r="E179" i="4"/>
  <c r="J178" i="4"/>
  <c r="I178" i="4"/>
  <c r="H178" i="4"/>
  <c r="E178" i="4"/>
  <c r="J177" i="4"/>
  <c r="I177" i="4"/>
  <c r="H177" i="4"/>
  <c r="E177" i="4"/>
  <c r="K176" i="4"/>
  <c r="J176" i="4"/>
  <c r="I176" i="4"/>
  <c r="K175" i="4"/>
  <c r="J175" i="4"/>
  <c r="I175" i="4"/>
  <c r="K178" i="4" l="1"/>
  <c r="K180" i="4"/>
  <c r="K182" i="4"/>
  <c r="K184" i="4"/>
  <c r="K186" i="4"/>
  <c r="K188" i="4"/>
  <c r="K214" i="4"/>
  <c r="K216" i="4"/>
  <c r="K218" i="4"/>
  <c r="K220" i="4"/>
  <c r="K222" i="4"/>
  <c r="K224" i="4"/>
  <c r="K226" i="4"/>
  <c r="K228" i="4"/>
  <c r="K230" i="4"/>
  <c r="K232" i="4"/>
  <c r="K234" i="4"/>
  <c r="K236" i="4"/>
  <c r="K238" i="4"/>
  <c r="K240" i="4"/>
  <c r="K242" i="4"/>
  <c r="K244" i="4"/>
  <c r="K246" i="4"/>
  <c r="K248" i="4"/>
  <c r="K250" i="4"/>
  <c r="K252" i="4"/>
  <c r="K254" i="4"/>
  <c r="K256" i="4"/>
  <c r="K258" i="4"/>
  <c r="K260" i="4"/>
  <c r="K177" i="4"/>
  <c r="K179" i="4"/>
  <c r="K181" i="4"/>
  <c r="K183" i="4"/>
  <c r="K185" i="4"/>
  <c r="K187" i="4"/>
  <c r="K213" i="4"/>
  <c r="K215" i="4"/>
  <c r="K217" i="4"/>
  <c r="K219" i="4"/>
  <c r="K221" i="4"/>
  <c r="K223" i="4"/>
  <c r="K225" i="4"/>
  <c r="K227" i="4"/>
  <c r="K229" i="4"/>
  <c r="K231" i="4"/>
  <c r="K233" i="4"/>
  <c r="K235" i="4"/>
  <c r="K237" i="4"/>
  <c r="K239" i="4"/>
  <c r="K243" i="4"/>
  <c r="K245" i="4"/>
  <c r="K247" i="4"/>
  <c r="K249" i="4"/>
  <c r="K251" i="4"/>
  <c r="K253" i="4"/>
  <c r="K255" i="4"/>
  <c r="K257" i="4"/>
  <c r="K259" i="4"/>
  <c r="AH73" i="1"/>
  <c r="K241" i="4"/>
  <c r="AI254" i="4"/>
  <c r="Z254" i="4"/>
  <c r="Z246" i="4"/>
  <c r="AI246" i="4"/>
  <c r="AI238" i="4"/>
  <c r="Z238" i="4"/>
  <c r="Z230" i="4"/>
  <c r="AI230" i="4"/>
  <c r="AI222" i="4"/>
  <c r="Z222" i="4"/>
  <c r="Z214" i="4"/>
  <c r="AI214" i="4"/>
  <c r="AI206" i="4"/>
  <c r="Z206" i="4"/>
  <c r="AI198" i="4"/>
  <c r="Z198" i="4"/>
  <c r="AI186" i="4"/>
  <c r="Z186" i="4"/>
  <c r="AI174" i="4"/>
  <c r="Z174" i="4"/>
  <c r="Z166" i="4"/>
  <c r="AI166" i="4"/>
  <c r="Z158" i="4"/>
  <c r="AI158" i="4"/>
  <c r="AI150" i="4"/>
  <c r="Z150" i="4"/>
  <c r="AI142" i="4"/>
  <c r="Z142" i="4"/>
  <c r="AI134" i="4"/>
  <c r="Z134" i="4"/>
  <c r="AI126" i="4"/>
  <c r="Z126" i="4"/>
  <c r="AI118" i="4"/>
  <c r="Z118" i="4"/>
  <c r="AI110" i="4"/>
  <c r="Z110" i="4"/>
  <c r="AI102" i="4"/>
  <c r="Z102" i="4"/>
  <c r="AI94" i="4"/>
  <c r="Z94" i="4"/>
  <c r="AL257" i="4"/>
  <c r="AC257" i="4"/>
  <c r="AL249" i="4"/>
  <c r="AC249" i="4"/>
  <c r="AL241" i="4"/>
  <c r="AC241" i="4"/>
  <c r="AL233" i="4"/>
  <c r="AC233" i="4"/>
  <c r="AL221" i="4"/>
  <c r="AC221" i="4"/>
  <c r="AL213" i="4"/>
  <c r="AC213" i="4"/>
  <c r="AL205" i="4"/>
  <c r="AC205" i="4"/>
  <c r="AL197" i="4"/>
  <c r="AC197" i="4"/>
  <c r="AL189" i="4"/>
  <c r="AC189" i="4"/>
  <c r="AL177" i="4"/>
  <c r="AC177" i="4"/>
  <c r="AL169" i="4"/>
  <c r="AC169" i="4"/>
  <c r="AL161" i="4"/>
  <c r="AC161" i="4"/>
  <c r="AL153" i="4"/>
  <c r="AC153" i="4"/>
  <c r="AL145" i="4"/>
  <c r="AC145" i="4"/>
  <c r="AL137" i="4"/>
  <c r="AC137" i="4"/>
  <c r="AL129" i="4"/>
  <c r="AC129" i="4"/>
  <c r="AL121" i="4"/>
  <c r="AC121" i="4"/>
  <c r="AL113" i="4"/>
  <c r="AC113" i="4"/>
  <c r="AL105" i="4"/>
  <c r="AC105" i="4"/>
  <c r="AL97" i="4"/>
  <c r="AC97" i="4"/>
  <c r="AD260" i="4"/>
  <c r="AM260" i="4"/>
  <c r="AM248" i="4"/>
  <c r="AD248" i="4"/>
  <c r="AM240" i="4"/>
  <c r="AD240" i="4"/>
  <c r="T232" i="4"/>
  <c r="AM232" i="4"/>
  <c r="AD232" i="4"/>
  <c r="AM224" i="4"/>
  <c r="AD224" i="4"/>
  <c r="AM216" i="4"/>
  <c r="AD216" i="4"/>
  <c r="AM208" i="4"/>
  <c r="AD208" i="4"/>
  <c r="AM200" i="4"/>
  <c r="AD200" i="4"/>
  <c r="AM192" i="4"/>
  <c r="AD192" i="4"/>
  <c r="AM184" i="4"/>
  <c r="AD184" i="4"/>
  <c r="AM180" i="4"/>
  <c r="AD180" i="4"/>
  <c r="AM172" i="4"/>
  <c r="AD172" i="4"/>
  <c r="AM168" i="4"/>
  <c r="AD168" i="4"/>
  <c r="AM160" i="4"/>
  <c r="AD160" i="4"/>
  <c r="AM152" i="4"/>
  <c r="AD152" i="4"/>
  <c r="AM144" i="4"/>
  <c r="AD144" i="4"/>
  <c r="AM136" i="4"/>
  <c r="AD136" i="4"/>
  <c r="AM132" i="4"/>
  <c r="AD132" i="4"/>
  <c r="AM124" i="4"/>
  <c r="AD124" i="4"/>
  <c r="AD116" i="4"/>
  <c r="AM116" i="4"/>
  <c r="AM108" i="4"/>
  <c r="AD108" i="4"/>
  <c r="AM100" i="4"/>
  <c r="AD100" i="4"/>
  <c r="AM92" i="4"/>
  <c r="AD92" i="4"/>
  <c r="AN255" i="4"/>
  <c r="AE255" i="4"/>
  <c r="T247" i="4"/>
  <c r="AN247" i="4"/>
  <c r="AE247" i="4"/>
  <c r="AN235" i="4"/>
  <c r="AE235" i="4"/>
  <c r="T227" i="4"/>
  <c r="AN227" i="4"/>
  <c r="AE227" i="4"/>
  <c r="AN219" i="4"/>
  <c r="AE219" i="4"/>
  <c r="AN211" i="4"/>
  <c r="AE211" i="4"/>
  <c r="AN203" i="4"/>
  <c r="AE203" i="4"/>
  <c r="AN195" i="4"/>
  <c r="AE195" i="4"/>
  <c r="AN187" i="4"/>
  <c r="AE187" i="4"/>
  <c r="AN179" i="4"/>
  <c r="AE179" i="4"/>
  <c r="AN171" i="4"/>
  <c r="AE171" i="4"/>
  <c r="AN163" i="4"/>
  <c r="AE163" i="4"/>
  <c r="AN155" i="4"/>
  <c r="AE155" i="4"/>
  <c r="AN135" i="4"/>
  <c r="AE135" i="4"/>
  <c r="AI257" i="4"/>
  <c r="Z257" i="4"/>
  <c r="AI249" i="4"/>
  <c r="Z249" i="4"/>
  <c r="AI241" i="4"/>
  <c r="Z241" i="4"/>
  <c r="AI233" i="4"/>
  <c r="Z233" i="4"/>
  <c r="AI225" i="4"/>
  <c r="Z225" i="4"/>
  <c r="AI217" i="4"/>
  <c r="Z217" i="4"/>
  <c r="AI205" i="4"/>
  <c r="Z205" i="4"/>
  <c r="AI197" i="4"/>
  <c r="Z197" i="4"/>
  <c r="AI189" i="4"/>
  <c r="Z189" i="4"/>
  <c r="AI181" i="4"/>
  <c r="Z181" i="4"/>
  <c r="AI173" i="4"/>
  <c r="Z173" i="4"/>
  <c r="AI161" i="4"/>
  <c r="Z161" i="4"/>
  <c r="AI153" i="4"/>
  <c r="Z153" i="4"/>
  <c r="AI145" i="4"/>
  <c r="Z145" i="4"/>
  <c r="Z141" i="4"/>
  <c r="AI141" i="4"/>
  <c r="Z133" i="4"/>
  <c r="AI133" i="4"/>
  <c r="Z125" i="4"/>
  <c r="AI125" i="4"/>
  <c r="Z117" i="4"/>
  <c r="AI117" i="4"/>
  <c r="Z109" i="4"/>
  <c r="AI109" i="4"/>
  <c r="Z101" i="4"/>
  <c r="AI101" i="4"/>
  <c r="AI93" i="4"/>
  <c r="Z93" i="4"/>
  <c r="AL256" i="4"/>
  <c r="AC256" i="4"/>
  <c r="AC248" i="4"/>
  <c r="AL248" i="4"/>
  <c r="AL240" i="4"/>
  <c r="AC240" i="4"/>
  <c r="AL232" i="4"/>
  <c r="AC232" i="4"/>
  <c r="AL224" i="4"/>
  <c r="AC224" i="4"/>
  <c r="AC216" i="4"/>
  <c r="AL216" i="4"/>
  <c r="AL208" i="4"/>
  <c r="AC208" i="4"/>
  <c r="AL200" i="4"/>
  <c r="AC200" i="4"/>
  <c r="AL192" i="4"/>
  <c r="AC192" i="4"/>
  <c r="AL184" i="4"/>
  <c r="AC184" i="4"/>
  <c r="AL176" i="4"/>
  <c r="AC176" i="4"/>
  <c r="AL168" i="4"/>
  <c r="AC168" i="4"/>
  <c r="AC160" i="4"/>
  <c r="AL160" i="4"/>
  <c r="AL152" i="4"/>
  <c r="AC152" i="4"/>
  <c r="AL148" i="4"/>
  <c r="AC148" i="4"/>
  <c r="AL140" i="4"/>
  <c r="AC140" i="4"/>
  <c r="AL132" i="4"/>
  <c r="AC132" i="4"/>
  <c r="AL124" i="4"/>
  <c r="AC124" i="4"/>
  <c r="AL116" i="4"/>
  <c r="AC116" i="4"/>
  <c r="AL108" i="4"/>
  <c r="AC108" i="4"/>
  <c r="AL100" i="4"/>
  <c r="AC100" i="4"/>
  <c r="AL92" i="4"/>
  <c r="AC92" i="4"/>
  <c r="AM255" i="4"/>
  <c r="AD255" i="4"/>
  <c r="AM247" i="4"/>
  <c r="AD247" i="4"/>
  <c r="AM239" i="4"/>
  <c r="AD239" i="4"/>
  <c r="AM231" i="4"/>
  <c r="AD231" i="4"/>
  <c r="AM223" i="4"/>
  <c r="AD223" i="4"/>
  <c r="AM215" i="4"/>
  <c r="AD215" i="4"/>
  <c r="AD211" i="4"/>
  <c r="AM211" i="4"/>
  <c r="AM203" i="4"/>
  <c r="AD203" i="4"/>
  <c r="AM195" i="4"/>
  <c r="AD195" i="4"/>
  <c r="AM191" i="4"/>
  <c r="AD191" i="4"/>
  <c r="AM183" i="4"/>
  <c r="AD183" i="4"/>
  <c r="AM175" i="4"/>
  <c r="AD175" i="4"/>
  <c r="AM167" i="4"/>
  <c r="AD167" i="4"/>
  <c r="AM159" i="4"/>
  <c r="AD159" i="4"/>
  <c r="AM151" i="4"/>
  <c r="AD151" i="4"/>
  <c r="AM143" i="4"/>
  <c r="AD143" i="4"/>
  <c r="AM135" i="4"/>
  <c r="AD135" i="4"/>
  <c r="AM131" i="4"/>
  <c r="AD131" i="4"/>
  <c r="AM123" i="4"/>
  <c r="AD123" i="4"/>
  <c r="AM115" i="4"/>
  <c r="AD115" i="4"/>
  <c r="AM107" i="4"/>
  <c r="AD107" i="4"/>
  <c r="AM99" i="4"/>
  <c r="AD99" i="4"/>
  <c r="T91" i="4"/>
  <c r="AM91" i="4"/>
  <c r="AD91" i="4"/>
  <c r="AN254" i="4"/>
  <c r="AE254" i="4"/>
  <c r="T246" i="4"/>
  <c r="AN246" i="4"/>
  <c r="AE246" i="4"/>
  <c r="AN238" i="4"/>
  <c r="AE238" i="4"/>
  <c r="AN234" i="4"/>
  <c r="AE234" i="4"/>
  <c r="AN226" i="4"/>
  <c r="AE226" i="4"/>
  <c r="AN218" i="4"/>
  <c r="AE218" i="4"/>
  <c r="AN210" i="4"/>
  <c r="AE210" i="4"/>
  <c r="AN198" i="4"/>
  <c r="AE198" i="4"/>
  <c r="AN190" i="4"/>
  <c r="AE190" i="4"/>
  <c r="AN182" i="4"/>
  <c r="AE182" i="4"/>
  <c r="AN174" i="4"/>
  <c r="AE174" i="4"/>
  <c r="AN166" i="4"/>
  <c r="AE166" i="4"/>
  <c r="AN154" i="4"/>
  <c r="AE154" i="4"/>
  <c r="AN146" i="4"/>
  <c r="AE146" i="4"/>
  <c r="AN138" i="4"/>
  <c r="AE138" i="4"/>
  <c r="AN130" i="4"/>
  <c r="AE130" i="4"/>
  <c r="AN122" i="4"/>
  <c r="AE122" i="4"/>
  <c r="AN114" i="4"/>
  <c r="AE114" i="4"/>
  <c r="AN106" i="4"/>
  <c r="AE106" i="4"/>
  <c r="AN102" i="4"/>
  <c r="AE102" i="4"/>
  <c r="AN94" i="4"/>
  <c r="AE94" i="4"/>
  <c r="Z260" i="4"/>
  <c r="AI260" i="4"/>
  <c r="AI256" i="4"/>
  <c r="Z256" i="4"/>
  <c r="AI252" i="4"/>
  <c r="Z252" i="4"/>
  <c r="AI248" i="4"/>
  <c r="Z248" i="4"/>
  <c r="AI244" i="4"/>
  <c r="Z244" i="4"/>
  <c r="AI240" i="4"/>
  <c r="Z240" i="4"/>
  <c r="AI236" i="4"/>
  <c r="Z236" i="4"/>
  <c r="AI232" i="4"/>
  <c r="Z232" i="4"/>
  <c r="AI228" i="4"/>
  <c r="Z228" i="4"/>
  <c r="AI224" i="4"/>
  <c r="Z224" i="4"/>
  <c r="AI220" i="4"/>
  <c r="Z220" i="4"/>
  <c r="AI216" i="4"/>
  <c r="Z216" i="4"/>
  <c r="AI212" i="4"/>
  <c r="Z212" i="4"/>
  <c r="AI208" i="4"/>
  <c r="Z208" i="4"/>
  <c r="AI204" i="4"/>
  <c r="Z204" i="4"/>
  <c r="AI200" i="4"/>
  <c r="Z200" i="4"/>
  <c r="AI196" i="4"/>
  <c r="Z196" i="4"/>
  <c r="AI192" i="4"/>
  <c r="Z192" i="4"/>
  <c r="AI188" i="4"/>
  <c r="Z188" i="4"/>
  <c r="AI184" i="4"/>
  <c r="Z184" i="4"/>
  <c r="AI180" i="4"/>
  <c r="Z180" i="4"/>
  <c r="AI176" i="4"/>
  <c r="Z176" i="4"/>
  <c r="AI172" i="4"/>
  <c r="Z172" i="4"/>
  <c r="AI168" i="4"/>
  <c r="Z168" i="4"/>
  <c r="AI164" i="4"/>
  <c r="Z164" i="4"/>
  <c r="AI160" i="4"/>
  <c r="Z160" i="4"/>
  <c r="AI156" i="4"/>
  <c r="Z156" i="4"/>
  <c r="Z152" i="4"/>
  <c r="AI152" i="4"/>
  <c r="AI148" i="4"/>
  <c r="Z148" i="4"/>
  <c r="AI144" i="4"/>
  <c r="Z144" i="4"/>
  <c r="AI140" i="4"/>
  <c r="Z140" i="4"/>
  <c r="Z136" i="4"/>
  <c r="AI136" i="4"/>
  <c r="AI132" i="4"/>
  <c r="Z132" i="4"/>
  <c r="AI128" i="4"/>
  <c r="Z128" i="4"/>
  <c r="AI124" i="4"/>
  <c r="Z124" i="4"/>
  <c r="Z120" i="4"/>
  <c r="AI120" i="4"/>
  <c r="AI116" i="4"/>
  <c r="Z116" i="4"/>
  <c r="AI112" i="4"/>
  <c r="Z112" i="4"/>
  <c r="AI108" i="4"/>
  <c r="Z108" i="4"/>
  <c r="AI104" i="4"/>
  <c r="Z104" i="4"/>
  <c r="AI100" i="4"/>
  <c r="Z100" i="4"/>
  <c r="AI96" i="4"/>
  <c r="Z96" i="4"/>
  <c r="AI92" i="4"/>
  <c r="Z92" i="4"/>
  <c r="AL259" i="4"/>
  <c r="AC259" i="4"/>
  <c r="AL255" i="4"/>
  <c r="AC255" i="4"/>
  <c r="AL251" i="4"/>
  <c r="AC251" i="4"/>
  <c r="AL247" i="4"/>
  <c r="AC247" i="4"/>
  <c r="AL243" i="4"/>
  <c r="AC243" i="4"/>
  <c r="AL239" i="4"/>
  <c r="AC239" i="4"/>
  <c r="AC235" i="4"/>
  <c r="AL235" i="4"/>
  <c r="AL231" i="4"/>
  <c r="AC231" i="4"/>
  <c r="AL227" i="4"/>
  <c r="AC227" i="4"/>
  <c r="AL223" i="4"/>
  <c r="AC223" i="4"/>
  <c r="AL219" i="4"/>
  <c r="AC219" i="4"/>
  <c r="AL215" i="4"/>
  <c r="AC215" i="4"/>
  <c r="AL211" i="4"/>
  <c r="AC211" i="4"/>
  <c r="AL207" i="4"/>
  <c r="AC207" i="4"/>
  <c r="AL203" i="4"/>
  <c r="AC203" i="4"/>
  <c r="AL199" i="4"/>
  <c r="AC199" i="4"/>
  <c r="AL195" i="4"/>
  <c r="AC195" i="4"/>
  <c r="AL191" i="4"/>
  <c r="AC191" i="4"/>
  <c r="AL187" i="4"/>
  <c r="AC187" i="4"/>
  <c r="AL183" i="4"/>
  <c r="AC183" i="4"/>
  <c r="AL179" i="4"/>
  <c r="AC179" i="4"/>
  <c r="AL175" i="4"/>
  <c r="AC175" i="4"/>
  <c r="AL171" i="4"/>
  <c r="AC171" i="4"/>
  <c r="AL167" i="4"/>
  <c r="AC167" i="4"/>
  <c r="AC163" i="4"/>
  <c r="AL163" i="4"/>
  <c r="AL159" i="4"/>
  <c r="AC159" i="4"/>
  <c r="AL155" i="4"/>
  <c r="AC155" i="4"/>
  <c r="AL151" i="4"/>
  <c r="AC151" i="4"/>
  <c r="AL147" i="4"/>
  <c r="AC147" i="4"/>
  <c r="AL143" i="4"/>
  <c r="AC143" i="4"/>
  <c r="AL139" i="4"/>
  <c r="AC139" i="4"/>
  <c r="AL135" i="4"/>
  <c r="AC135" i="4"/>
  <c r="AL131" i="4"/>
  <c r="AC131" i="4"/>
  <c r="AL127" i="4"/>
  <c r="AC127" i="4"/>
  <c r="AL123" i="4"/>
  <c r="AC123" i="4"/>
  <c r="AL119" i="4"/>
  <c r="AC119" i="4"/>
  <c r="AL115" i="4"/>
  <c r="AC115" i="4"/>
  <c r="AL111" i="4"/>
  <c r="AC111" i="4"/>
  <c r="AL107" i="4"/>
  <c r="AC107" i="4"/>
  <c r="AL103" i="4"/>
  <c r="AC103" i="4"/>
  <c r="AL99" i="4"/>
  <c r="AC99" i="4"/>
  <c r="AL95" i="4"/>
  <c r="AC95" i="4"/>
  <c r="AL91" i="4"/>
  <c r="AC91" i="4"/>
  <c r="AD258" i="4"/>
  <c r="AM258" i="4"/>
  <c r="AM254" i="4"/>
  <c r="AD254" i="4"/>
  <c r="AM250" i="4"/>
  <c r="AD250" i="4"/>
  <c r="AM246" i="4"/>
  <c r="AD246" i="4"/>
  <c r="T242" i="4"/>
  <c r="AD242" i="4"/>
  <c r="AM242" i="4"/>
  <c r="T238" i="4"/>
  <c r="AM238" i="4"/>
  <c r="AD238" i="4"/>
  <c r="AM234" i="4"/>
  <c r="AD234" i="4"/>
  <c r="AM230" i="4"/>
  <c r="AD230" i="4"/>
  <c r="AD226" i="4"/>
  <c r="AM226" i="4"/>
  <c r="AM222" i="4"/>
  <c r="AD222" i="4"/>
  <c r="AM218" i="4"/>
  <c r="AD218" i="4"/>
  <c r="AM214" i="4"/>
  <c r="AD214" i="4"/>
  <c r="AD210" i="4"/>
  <c r="AM210" i="4"/>
  <c r="AM206" i="4"/>
  <c r="AD206" i="4"/>
  <c r="AM202" i="4"/>
  <c r="AD202" i="4"/>
  <c r="AM198" i="4"/>
  <c r="AD198" i="4"/>
  <c r="AM194" i="4"/>
  <c r="AD194" i="4"/>
  <c r="AM190" i="4"/>
  <c r="AD190" i="4"/>
  <c r="AM186" i="4"/>
  <c r="AD186" i="4"/>
  <c r="AM182" i="4"/>
  <c r="AD182" i="4"/>
  <c r="AM178" i="4"/>
  <c r="AD178" i="4"/>
  <c r="AM174" i="4"/>
  <c r="AD174" i="4"/>
  <c r="AM170" i="4"/>
  <c r="AD170" i="4"/>
  <c r="AM166" i="4"/>
  <c r="AD166" i="4"/>
  <c r="AD162" i="4"/>
  <c r="AM162" i="4"/>
  <c r="AM158" i="4"/>
  <c r="AD158" i="4"/>
  <c r="AM154" i="4"/>
  <c r="AD154" i="4"/>
  <c r="AM150" i="4"/>
  <c r="AD150" i="4"/>
  <c r="AM146" i="4"/>
  <c r="AD146" i="4"/>
  <c r="AM142" i="4"/>
  <c r="AD142" i="4"/>
  <c r="AM138" i="4"/>
  <c r="AD138" i="4"/>
  <c r="AM134" i="4"/>
  <c r="AD134" i="4"/>
  <c r="AM130" i="4"/>
  <c r="AD130" i="4"/>
  <c r="AM126" i="4"/>
  <c r="AD126" i="4"/>
  <c r="AM122" i="4"/>
  <c r="AD122" i="4"/>
  <c r="AM118" i="4"/>
  <c r="AD118" i="4"/>
  <c r="T114" i="4"/>
  <c r="AM114" i="4"/>
  <c r="AD114" i="4"/>
  <c r="AM110" i="4"/>
  <c r="AD110" i="4"/>
  <c r="AM106" i="4"/>
  <c r="AD106" i="4"/>
  <c r="AM102" i="4"/>
  <c r="AD102" i="4"/>
  <c r="AM98" i="4"/>
  <c r="AD98" i="4"/>
  <c r="T94" i="4"/>
  <c r="AM94" i="4"/>
  <c r="AD94" i="4"/>
  <c r="AN90" i="4"/>
  <c r="AE90" i="4"/>
  <c r="AN257" i="4"/>
  <c r="AE257" i="4"/>
  <c r="AN253" i="4"/>
  <c r="AE253" i="4"/>
  <c r="AN249" i="4"/>
  <c r="AE249" i="4"/>
  <c r="AN245" i="4"/>
  <c r="AE245" i="4"/>
  <c r="AN241" i="4"/>
  <c r="AE241" i="4"/>
  <c r="AN237" i="4"/>
  <c r="AE237" i="4"/>
  <c r="AN233" i="4"/>
  <c r="AE233" i="4"/>
  <c r="AE229" i="4"/>
  <c r="AN229" i="4"/>
  <c r="AN225" i="4"/>
  <c r="AE225" i="4"/>
  <c r="AN221" i="4"/>
  <c r="AE221" i="4"/>
  <c r="AN217" i="4"/>
  <c r="AE217" i="4"/>
  <c r="AN213" i="4"/>
  <c r="AE213" i="4"/>
  <c r="AN209" i="4"/>
  <c r="AE209" i="4"/>
  <c r="AN205" i="4"/>
  <c r="AE205" i="4"/>
  <c r="AN201" i="4"/>
  <c r="AE201" i="4"/>
  <c r="AE197" i="4"/>
  <c r="AN197" i="4"/>
  <c r="AN193" i="4"/>
  <c r="AE193" i="4"/>
  <c r="AN189" i="4"/>
  <c r="AE189" i="4"/>
  <c r="AN185" i="4"/>
  <c r="AE185" i="4"/>
  <c r="AN181" i="4"/>
  <c r="AE181" i="4"/>
  <c r="AN177" i="4"/>
  <c r="AE177" i="4"/>
  <c r="AN173" i="4"/>
  <c r="AE173" i="4"/>
  <c r="AN169" i="4"/>
  <c r="AE169" i="4"/>
  <c r="AN165" i="4"/>
  <c r="AE165" i="4"/>
  <c r="AN161" i="4"/>
  <c r="AE161" i="4"/>
  <c r="AN157" i="4"/>
  <c r="AE157" i="4"/>
  <c r="AN153" i="4"/>
  <c r="AE153" i="4"/>
  <c r="AN149" i="4"/>
  <c r="AE149" i="4"/>
  <c r="AN145" i="4"/>
  <c r="AE145" i="4"/>
  <c r="AN141" i="4"/>
  <c r="AE141" i="4"/>
  <c r="AN137" i="4"/>
  <c r="AE137" i="4"/>
  <c r="AN133" i="4"/>
  <c r="AE133" i="4"/>
  <c r="AN129" i="4"/>
  <c r="AE129" i="4"/>
  <c r="AN125" i="4"/>
  <c r="AE125" i="4"/>
  <c r="AN121" i="4"/>
  <c r="AE121" i="4"/>
  <c r="AN117" i="4"/>
  <c r="AE117" i="4"/>
  <c r="AN113" i="4"/>
  <c r="AE113" i="4"/>
  <c r="AN109" i="4"/>
  <c r="AE109" i="4"/>
  <c r="AN105" i="4"/>
  <c r="AE105" i="4"/>
  <c r="AN101" i="4"/>
  <c r="AE101" i="4"/>
  <c r="AN97" i="4"/>
  <c r="AE97" i="4"/>
  <c r="AN93" i="4"/>
  <c r="AE93" i="4"/>
  <c r="T234" i="4"/>
  <c r="AI258" i="4"/>
  <c r="Z258" i="4"/>
  <c r="AI250" i="4"/>
  <c r="Z250" i="4"/>
  <c r="AI242" i="4"/>
  <c r="Z242" i="4"/>
  <c r="AI234" i="4"/>
  <c r="Z234" i="4"/>
  <c r="AI226" i="4"/>
  <c r="Z226" i="4"/>
  <c r="AI218" i="4"/>
  <c r="Z218" i="4"/>
  <c r="AI210" i="4"/>
  <c r="Z210" i="4"/>
  <c r="AI202" i="4"/>
  <c r="Z202" i="4"/>
  <c r="AI194" i="4"/>
  <c r="Z194" i="4"/>
  <c r="AI190" i="4"/>
  <c r="Z190" i="4"/>
  <c r="Z182" i="4"/>
  <c r="AI182" i="4"/>
  <c r="AI178" i="4"/>
  <c r="Z178" i="4"/>
  <c r="AI170" i="4"/>
  <c r="Z170" i="4"/>
  <c r="AI162" i="4"/>
  <c r="Z162" i="4"/>
  <c r="AI154" i="4"/>
  <c r="Z154" i="4"/>
  <c r="AI146" i="4"/>
  <c r="Z146" i="4"/>
  <c r="AI138" i="4"/>
  <c r="Z138" i="4"/>
  <c r="AI130" i="4"/>
  <c r="Z130" i="4"/>
  <c r="AI122" i="4"/>
  <c r="Z122" i="4"/>
  <c r="AI114" i="4"/>
  <c r="Z114" i="4"/>
  <c r="AI106" i="4"/>
  <c r="Z106" i="4"/>
  <c r="AI98" i="4"/>
  <c r="Z98" i="4"/>
  <c r="AL90" i="4"/>
  <c r="AC90" i="4"/>
  <c r="AL253" i="4"/>
  <c r="AC253" i="4"/>
  <c r="AL245" i="4"/>
  <c r="AC245" i="4"/>
  <c r="AL237" i="4"/>
  <c r="AC237" i="4"/>
  <c r="AL229" i="4"/>
  <c r="AC229" i="4"/>
  <c r="AL225" i="4"/>
  <c r="AC225" i="4"/>
  <c r="AL217" i="4"/>
  <c r="AC217" i="4"/>
  <c r="AL209" i="4"/>
  <c r="AC209" i="4"/>
  <c r="AL201" i="4"/>
  <c r="AC201" i="4"/>
  <c r="AL193" i="4"/>
  <c r="AC193" i="4"/>
  <c r="AL185" i="4"/>
  <c r="AC185" i="4"/>
  <c r="AL181" i="4"/>
  <c r="AC181" i="4"/>
  <c r="AL173" i="4"/>
  <c r="AC173" i="4"/>
  <c r="AL165" i="4"/>
  <c r="AC165" i="4"/>
  <c r="AC157" i="4"/>
  <c r="AL157" i="4"/>
  <c r="AL149" i="4"/>
  <c r="AC149" i="4"/>
  <c r="AC141" i="4"/>
  <c r="AL141" i="4"/>
  <c r="AL133" i="4"/>
  <c r="AC133" i="4"/>
  <c r="AC125" i="4"/>
  <c r="AL125" i="4"/>
  <c r="AL117" i="4"/>
  <c r="AC117" i="4"/>
  <c r="AC109" i="4"/>
  <c r="AL109" i="4"/>
  <c r="AL101" i="4"/>
  <c r="AC101" i="4"/>
  <c r="AL93" i="4"/>
  <c r="AC93" i="4"/>
  <c r="AM256" i="4"/>
  <c r="AD256" i="4"/>
  <c r="AM252" i="4"/>
  <c r="AD252" i="4"/>
  <c r="AM244" i="4"/>
  <c r="AD244" i="4"/>
  <c r="AM236" i="4"/>
  <c r="AD236" i="4"/>
  <c r="AM228" i="4"/>
  <c r="AD228" i="4"/>
  <c r="AM220" i="4"/>
  <c r="AD220" i="4"/>
  <c r="AM212" i="4"/>
  <c r="AD212" i="4"/>
  <c r="AM204" i="4"/>
  <c r="AD204" i="4"/>
  <c r="AM196" i="4"/>
  <c r="AD196" i="4"/>
  <c r="AM188" i="4"/>
  <c r="AD188" i="4"/>
  <c r="AM176" i="4"/>
  <c r="AD176" i="4"/>
  <c r="AM164" i="4"/>
  <c r="AD164" i="4"/>
  <c r="AM156" i="4"/>
  <c r="AD156" i="4"/>
  <c r="AD148" i="4"/>
  <c r="AM148" i="4"/>
  <c r="AM140" i="4"/>
  <c r="AD140" i="4"/>
  <c r="AM128" i="4"/>
  <c r="AD128" i="4"/>
  <c r="AM120" i="4"/>
  <c r="AD120" i="4"/>
  <c r="AM112" i="4"/>
  <c r="AD112" i="4"/>
  <c r="AM104" i="4"/>
  <c r="AD104" i="4"/>
  <c r="AM96" i="4"/>
  <c r="AD96" i="4"/>
  <c r="T259" i="4"/>
  <c r="AN259" i="4"/>
  <c r="AE259" i="4"/>
  <c r="AN251" i="4"/>
  <c r="AE251" i="4"/>
  <c r="T243" i="4"/>
  <c r="AN243" i="4"/>
  <c r="AE243" i="4"/>
  <c r="AN239" i="4"/>
  <c r="AE239" i="4"/>
  <c r="AN231" i="4"/>
  <c r="AE231" i="4"/>
  <c r="AN223" i="4"/>
  <c r="AE223" i="4"/>
  <c r="AN215" i="4"/>
  <c r="AE215" i="4"/>
  <c r="AN207" i="4"/>
  <c r="AE207" i="4"/>
  <c r="AN199" i="4"/>
  <c r="AE199" i="4"/>
  <c r="AN191" i="4"/>
  <c r="AE191" i="4"/>
  <c r="AN183" i="4"/>
  <c r="AE183" i="4"/>
  <c r="AN175" i="4"/>
  <c r="AE175" i="4"/>
  <c r="AN167" i="4"/>
  <c r="AE167" i="4"/>
  <c r="AN159" i="4"/>
  <c r="AE159" i="4"/>
  <c r="AE151" i="4"/>
  <c r="AN151" i="4"/>
  <c r="AN147" i="4"/>
  <c r="AE147" i="4"/>
  <c r="AN143" i="4"/>
  <c r="AE143" i="4"/>
  <c r="AN139" i="4"/>
  <c r="AE139" i="4"/>
  <c r="AN131" i="4"/>
  <c r="AE131" i="4"/>
  <c r="AN127" i="4"/>
  <c r="AE127" i="4"/>
  <c r="AN123" i="4"/>
  <c r="AE123" i="4"/>
  <c r="AE119" i="4"/>
  <c r="AN119" i="4"/>
  <c r="AN115" i="4"/>
  <c r="AE115" i="4"/>
  <c r="AN111" i="4"/>
  <c r="AE111" i="4"/>
  <c r="AN107" i="4"/>
  <c r="AE107" i="4"/>
  <c r="AN103" i="4"/>
  <c r="AE103" i="4"/>
  <c r="AN99" i="4"/>
  <c r="AE99" i="4"/>
  <c r="AN95" i="4"/>
  <c r="AE95" i="4"/>
  <c r="AN91" i="4"/>
  <c r="AE91" i="4"/>
  <c r="AI90" i="4"/>
  <c r="Z90" i="4"/>
  <c r="AI253" i="4"/>
  <c r="Z253" i="4"/>
  <c r="AI245" i="4"/>
  <c r="Z245" i="4"/>
  <c r="AI237" i="4"/>
  <c r="Z237" i="4"/>
  <c r="AI229" i="4"/>
  <c r="Z229" i="4"/>
  <c r="AI221" i="4"/>
  <c r="Z221" i="4"/>
  <c r="AI213" i="4"/>
  <c r="Z213" i="4"/>
  <c r="AI209" i="4"/>
  <c r="Z209" i="4"/>
  <c r="AI201" i="4"/>
  <c r="Z201" i="4"/>
  <c r="AI193" i="4"/>
  <c r="Z193" i="4"/>
  <c r="AI185" i="4"/>
  <c r="Z185" i="4"/>
  <c r="AI177" i="4"/>
  <c r="Z177" i="4"/>
  <c r="AI169" i="4"/>
  <c r="Z169" i="4"/>
  <c r="AI165" i="4"/>
  <c r="Z165" i="4"/>
  <c r="Z157" i="4"/>
  <c r="AI157" i="4"/>
  <c r="Z149" i="4"/>
  <c r="AI149" i="4"/>
  <c r="AI137" i="4"/>
  <c r="Z137" i="4"/>
  <c r="AI129" i="4"/>
  <c r="Z129" i="4"/>
  <c r="AI121" i="4"/>
  <c r="Z121" i="4"/>
  <c r="AI113" i="4"/>
  <c r="Z113" i="4"/>
  <c r="AI105" i="4"/>
  <c r="Z105" i="4"/>
  <c r="AI97" i="4"/>
  <c r="Z97" i="4"/>
  <c r="AC260" i="4"/>
  <c r="AL260" i="4"/>
  <c r="AL252" i="4"/>
  <c r="AC252" i="4"/>
  <c r="AL244" i="4"/>
  <c r="AC244" i="4"/>
  <c r="AL236" i="4"/>
  <c r="AC236" i="4"/>
  <c r="AL228" i="4"/>
  <c r="AC228" i="4"/>
  <c r="AL220" i="4"/>
  <c r="AC220" i="4"/>
  <c r="AL212" i="4"/>
  <c r="AC212" i="4"/>
  <c r="AL204" i="4"/>
  <c r="AC204" i="4"/>
  <c r="AL196" i="4"/>
  <c r="AC196" i="4"/>
  <c r="AL188" i="4"/>
  <c r="AC188" i="4"/>
  <c r="AL180" i="4"/>
  <c r="AC180" i="4"/>
  <c r="AL172" i="4"/>
  <c r="AC172" i="4"/>
  <c r="AL164" i="4"/>
  <c r="AC164" i="4"/>
  <c r="AL156" i="4"/>
  <c r="AC156" i="4"/>
  <c r="AL144" i="4"/>
  <c r="AC144" i="4"/>
  <c r="AL136" i="4"/>
  <c r="AC136" i="4"/>
  <c r="AL128" i="4"/>
  <c r="AC128" i="4"/>
  <c r="AL120" i="4"/>
  <c r="AC120" i="4"/>
  <c r="AL112" i="4"/>
  <c r="AC112" i="4"/>
  <c r="AL104" i="4"/>
  <c r="AC104" i="4"/>
  <c r="AL96" i="4"/>
  <c r="AC96" i="4"/>
  <c r="AM259" i="4"/>
  <c r="AD259" i="4"/>
  <c r="AM251" i="4"/>
  <c r="AD251" i="4"/>
  <c r="AD243" i="4"/>
  <c r="AM243" i="4"/>
  <c r="AM235" i="4"/>
  <c r="AD235" i="4"/>
  <c r="AM227" i="4"/>
  <c r="AD227" i="4"/>
  <c r="AM219" i="4"/>
  <c r="AD219" i="4"/>
  <c r="AM207" i="4"/>
  <c r="AD207" i="4"/>
  <c r="AM199" i="4"/>
  <c r="AD199" i="4"/>
  <c r="AM187" i="4"/>
  <c r="AD187" i="4"/>
  <c r="AD179" i="4"/>
  <c r="AM179" i="4"/>
  <c r="AM171" i="4"/>
  <c r="AD171" i="4"/>
  <c r="AD163" i="4"/>
  <c r="AM163" i="4"/>
  <c r="AM155" i="4"/>
  <c r="AD155" i="4"/>
  <c r="AM147" i="4"/>
  <c r="AD147" i="4"/>
  <c r="AM139" i="4"/>
  <c r="AD139" i="4"/>
  <c r="AM127" i="4"/>
  <c r="AD127" i="4"/>
  <c r="AM119" i="4"/>
  <c r="AD119" i="4"/>
  <c r="AM111" i="4"/>
  <c r="AD111" i="4"/>
  <c r="AM103" i="4"/>
  <c r="AD103" i="4"/>
  <c r="AM95" i="4"/>
  <c r="AD95" i="4"/>
  <c r="AN258" i="4"/>
  <c r="AE258" i="4"/>
  <c r="AN250" i="4"/>
  <c r="AE250" i="4"/>
  <c r="AN242" i="4"/>
  <c r="AE242" i="4"/>
  <c r="T230" i="4"/>
  <c r="AN230" i="4"/>
  <c r="AE230" i="4"/>
  <c r="AN222" i="4"/>
  <c r="AE222" i="4"/>
  <c r="AE214" i="4"/>
  <c r="AN214" i="4"/>
  <c r="AN206" i="4"/>
  <c r="AE206" i="4"/>
  <c r="AN202" i="4"/>
  <c r="AE202" i="4"/>
  <c r="AN194" i="4"/>
  <c r="AE194" i="4"/>
  <c r="AN186" i="4"/>
  <c r="AE186" i="4"/>
  <c r="AN178" i="4"/>
  <c r="AE178" i="4"/>
  <c r="AN170" i="4"/>
  <c r="AE170" i="4"/>
  <c r="AN162" i="4"/>
  <c r="AE162" i="4"/>
  <c r="AN158" i="4"/>
  <c r="AE158" i="4"/>
  <c r="AN150" i="4"/>
  <c r="AE150" i="4"/>
  <c r="AN142" i="4"/>
  <c r="AE142" i="4"/>
  <c r="AN134" i="4"/>
  <c r="AE134" i="4"/>
  <c r="AN126" i="4"/>
  <c r="AE126" i="4"/>
  <c r="AN118" i="4"/>
  <c r="AE118" i="4"/>
  <c r="AN110" i="4"/>
  <c r="AE110" i="4"/>
  <c r="AN98" i="4"/>
  <c r="AE98" i="4"/>
  <c r="T235" i="4"/>
  <c r="AI259" i="4"/>
  <c r="Z259" i="4"/>
  <c r="AI255" i="4"/>
  <c r="Z255" i="4"/>
  <c r="AI251" i="4"/>
  <c r="Z251" i="4"/>
  <c r="AI247" i="4"/>
  <c r="Z247" i="4"/>
  <c r="AI243" i="4"/>
  <c r="Z243" i="4"/>
  <c r="AI239" i="4"/>
  <c r="Z239" i="4"/>
  <c r="AI235" i="4"/>
  <c r="Z235" i="4"/>
  <c r="AI231" i="4"/>
  <c r="Z231" i="4"/>
  <c r="Z227" i="4"/>
  <c r="AI227" i="4"/>
  <c r="AI223" i="4"/>
  <c r="Z223" i="4"/>
  <c r="AI219" i="4"/>
  <c r="Z219" i="4"/>
  <c r="AI215" i="4"/>
  <c r="Z215" i="4"/>
  <c r="AI211" i="4"/>
  <c r="Z211" i="4"/>
  <c r="AI207" i="4"/>
  <c r="Z207" i="4"/>
  <c r="AI203" i="4"/>
  <c r="Z203" i="4"/>
  <c r="AI199" i="4"/>
  <c r="Z199" i="4"/>
  <c r="AI195" i="4"/>
  <c r="Z195" i="4"/>
  <c r="AI191" i="4"/>
  <c r="Z191" i="4"/>
  <c r="AI187" i="4"/>
  <c r="Z187" i="4"/>
  <c r="AI183" i="4"/>
  <c r="Z183" i="4"/>
  <c r="AI179" i="4"/>
  <c r="Z179" i="4"/>
  <c r="AI175" i="4"/>
  <c r="Z175" i="4"/>
  <c r="AI171" i="4"/>
  <c r="Z171" i="4"/>
  <c r="AI167" i="4"/>
  <c r="Z167" i="4"/>
  <c r="Z163" i="4"/>
  <c r="AI163" i="4"/>
  <c r="AI159" i="4"/>
  <c r="Z159" i="4"/>
  <c r="AI155" i="4"/>
  <c r="Z155" i="4"/>
  <c r="AI151" i="4"/>
  <c r="Z151" i="4"/>
  <c r="AI147" i="4"/>
  <c r="Z147" i="4"/>
  <c r="AI143" i="4"/>
  <c r="Z143" i="4"/>
  <c r="AI139" i="4"/>
  <c r="Z139" i="4"/>
  <c r="AI135" i="4"/>
  <c r="Z135" i="4"/>
  <c r="AI131" i="4"/>
  <c r="Z131" i="4"/>
  <c r="AI127" i="4"/>
  <c r="Z127" i="4"/>
  <c r="AI123" i="4"/>
  <c r="Z123" i="4"/>
  <c r="AI119" i="4"/>
  <c r="Z119" i="4"/>
  <c r="AI115" i="4"/>
  <c r="Z115" i="4"/>
  <c r="AI111" i="4"/>
  <c r="Z111" i="4"/>
  <c r="AI107" i="4"/>
  <c r="Z107" i="4"/>
  <c r="AI103" i="4"/>
  <c r="Z103" i="4"/>
  <c r="AI99" i="4"/>
  <c r="Z99" i="4"/>
  <c r="AI95" i="4"/>
  <c r="Z95" i="4"/>
  <c r="AI91" i="4"/>
  <c r="Z91" i="4"/>
  <c r="AL258" i="4"/>
  <c r="AC258" i="4"/>
  <c r="AL254" i="4"/>
  <c r="AC254" i="4"/>
  <c r="AL250" i="4"/>
  <c r="AC250" i="4"/>
  <c r="AL246" i="4"/>
  <c r="AC246" i="4"/>
  <c r="AL242" i="4"/>
  <c r="AC242" i="4"/>
  <c r="AL238" i="4"/>
  <c r="AC238" i="4"/>
  <c r="AL234" i="4"/>
  <c r="AC234" i="4"/>
  <c r="AL230" i="4"/>
  <c r="AC230" i="4"/>
  <c r="AL226" i="4"/>
  <c r="AC226" i="4"/>
  <c r="AL222" i="4"/>
  <c r="AC222" i="4"/>
  <c r="AL218" i="4"/>
  <c r="AC218" i="4"/>
  <c r="AL214" i="4"/>
  <c r="AC214" i="4"/>
  <c r="AL210" i="4"/>
  <c r="AC210" i="4"/>
  <c r="AL206" i="4"/>
  <c r="AC206" i="4"/>
  <c r="AL202" i="4"/>
  <c r="AC202" i="4"/>
  <c r="AL198" i="4"/>
  <c r="AC198" i="4"/>
  <c r="AL194" i="4"/>
  <c r="AC194" i="4"/>
  <c r="AL190" i="4"/>
  <c r="AC190" i="4"/>
  <c r="AL186" i="4"/>
  <c r="AC186" i="4"/>
  <c r="AL182" i="4"/>
  <c r="AC182" i="4"/>
  <c r="AL178" i="4"/>
  <c r="AC178" i="4"/>
  <c r="AL174" i="4"/>
  <c r="AC174" i="4"/>
  <c r="AL170" i="4"/>
  <c r="AC170" i="4"/>
  <c r="AL166" i="4"/>
  <c r="AC166" i="4"/>
  <c r="AL162" i="4"/>
  <c r="AC162" i="4"/>
  <c r="AL158" i="4"/>
  <c r="AC158" i="4"/>
  <c r="AC154" i="4"/>
  <c r="AL154" i="4"/>
  <c r="AL150" i="4"/>
  <c r="AC150" i="4"/>
  <c r="AL146" i="4"/>
  <c r="AC146" i="4"/>
  <c r="AL142" i="4"/>
  <c r="AC142" i="4"/>
  <c r="AC138" i="4"/>
  <c r="AL138" i="4"/>
  <c r="AL134" i="4"/>
  <c r="AC134" i="4"/>
  <c r="AL130" i="4"/>
  <c r="AC130" i="4"/>
  <c r="AL126" i="4"/>
  <c r="AC126" i="4"/>
  <c r="AC122" i="4"/>
  <c r="AL122" i="4"/>
  <c r="AL118" i="4"/>
  <c r="AC118" i="4"/>
  <c r="AL114" i="4"/>
  <c r="AC114" i="4"/>
  <c r="AL110" i="4"/>
  <c r="AC110" i="4"/>
  <c r="AC106" i="4"/>
  <c r="AL106" i="4"/>
  <c r="AL102" i="4"/>
  <c r="AC102" i="4"/>
  <c r="AL98" i="4"/>
  <c r="AC98" i="4"/>
  <c r="AL94" i="4"/>
  <c r="AC94" i="4"/>
  <c r="AM90" i="4"/>
  <c r="AD90" i="4"/>
  <c r="AM257" i="4"/>
  <c r="AD257" i="4"/>
  <c r="AM253" i="4"/>
  <c r="AD253" i="4"/>
  <c r="AM249" i="4"/>
  <c r="AD249" i="4"/>
  <c r="AM245" i="4"/>
  <c r="AD245" i="4"/>
  <c r="AM241" i="4"/>
  <c r="AD241" i="4"/>
  <c r="AM237" i="4"/>
  <c r="AD237" i="4"/>
  <c r="T233" i="4"/>
  <c r="AM233" i="4"/>
  <c r="AD233" i="4"/>
  <c r="AM229" i="4"/>
  <c r="AD229" i="4"/>
  <c r="AM225" i="4"/>
  <c r="AD225" i="4"/>
  <c r="AM221" i="4"/>
  <c r="AD221" i="4"/>
  <c r="AM217" i="4"/>
  <c r="AD217" i="4"/>
  <c r="AM213" i="4"/>
  <c r="AD213" i="4"/>
  <c r="AM209" i="4"/>
  <c r="AD209" i="4"/>
  <c r="AM205" i="4"/>
  <c r="AD205" i="4"/>
  <c r="AM201" i="4"/>
  <c r="AD201" i="4"/>
  <c r="AM197" i="4"/>
  <c r="AD197" i="4"/>
  <c r="AM193" i="4"/>
  <c r="AD193" i="4"/>
  <c r="AM189" i="4"/>
  <c r="AD189" i="4"/>
  <c r="AM185" i="4"/>
  <c r="AD185" i="4"/>
  <c r="AM181" i="4"/>
  <c r="AD181" i="4"/>
  <c r="AM177" i="4"/>
  <c r="AD177" i="4"/>
  <c r="AM173" i="4"/>
  <c r="AD173" i="4"/>
  <c r="AM169" i="4"/>
  <c r="AD169" i="4"/>
  <c r="AM165" i="4"/>
  <c r="AD165" i="4"/>
  <c r="AM161" i="4"/>
  <c r="AD161" i="4"/>
  <c r="AD157" i="4"/>
  <c r="AM157" i="4"/>
  <c r="AM153" i="4"/>
  <c r="AD153" i="4"/>
  <c r="AD149" i="4"/>
  <c r="AM149" i="4"/>
  <c r="AM145" i="4"/>
  <c r="AD145" i="4"/>
  <c r="AD141" i="4"/>
  <c r="AM141" i="4"/>
  <c r="AM137" i="4"/>
  <c r="AD137" i="4"/>
  <c r="AD133" i="4"/>
  <c r="AM133" i="4"/>
  <c r="AM129" i="4"/>
  <c r="AD129" i="4"/>
  <c r="AD125" i="4"/>
  <c r="AM125" i="4"/>
  <c r="AM121" i="4"/>
  <c r="AD121" i="4"/>
  <c r="AD117" i="4"/>
  <c r="AM117" i="4"/>
  <c r="AM113" i="4"/>
  <c r="AD113" i="4"/>
  <c r="AD109" i="4"/>
  <c r="AM109" i="4"/>
  <c r="AM105" i="4"/>
  <c r="AD105" i="4"/>
  <c r="AD101" i="4"/>
  <c r="AM101" i="4"/>
  <c r="AM97" i="4"/>
  <c r="AD97" i="4"/>
  <c r="AM93" i="4"/>
  <c r="AD93" i="4"/>
  <c r="AN260" i="4"/>
  <c r="AE260" i="4"/>
  <c r="T256" i="4"/>
  <c r="AN256" i="4"/>
  <c r="AE256" i="4"/>
  <c r="T252" i="4"/>
  <c r="AN252" i="4"/>
  <c r="AE252" i="4"/>
  <c r="AN248" i="4"/>
  <c r="AE248" i="4"/>
  <c r="T244" i="4"/>
  <c r="AN244" i="4"/>
  <c r="AE244" i="4"/>
  <c r="AN240" i="4"/>
  <c r="AE240" i="4"/>
  <c r="T236" i="4"/>
  <c r="AN236" i="4"/>
  <c r="AE236" i="4"/>
  <c r="AN232" i="4"/>
  <c r="AE232" i="4"/>
  <c r="AN228" i="4"/>
  <c r="AE228" i="4"/>
  <c r="AN224" i="4"/>
  <c r="AE224" i="4"/>
  <c r="T220" i="4"/>
  <c r="AN220" i="4"/>
  <c r="AE220" i="4"/>
  <c r="AN216" i="4"/>
  <c r="AE216" i="4"/>
  <c r="AN212" i="4"/>
  <c r="AE212" i="4"/>
  <c r="AN208" i="4"/>
  <c r="AE208" i="4"/>
  <c r="AN204" i="4"/>
  <c r="AE204" i="4"/>
  <c r="AN200" i="4"/>
  <c r="AE200" i="4"/>
  <c r="AN196" i="4"/>
  <c r="AE196" i="4"/>
  <c r="AN192" i="4"/>
  <c r="AE192" i="4"/>
  <c r="AN188" i="4"/>
  <c r="AE188" i="4"/>
  <c r="AN184" i="4"/>
  <c r="AE184" i="4"/>
  <c r="AN180" i="4"/>
  <c r="AE180" i="4"/>
  <c r="AN176" i="4"/>
  <c r="AE176" i="4"/>
  <c r="AN172" i="4"/>
  <c r="AE172" i="4"/>
  <c r="AN168" i="4"/>
  <c r="AE168" i="4"/>
  <c r="AN164" i="4"/>
  <c r="AE164" i="4"/>
  <c r="AN160" i="4"/>
  <c r="AE160" i="4"/>
  <c r="AN156" i="4"/>
  <c r="AE156" i="4"/>
  <c r="AE152" i="4"/>
  <c r="AN152" i="4"/>
  <c r="AN148" i="4"/>
  <c r="AE148" i="4"/>
  <c r="AE144" i="4"/>
  <c r="AN144" i="4"/>
  <c r="AN140" i="4"/>
  <c r="AE140" i="4"/>
  <c r="AE136" i="4"/>
  <c r="AN136" i="4"/>
  <c r="AN132" i="4"/>
  <c r="AE132" i="4"/>
  <c r="AE128" i="4"/>
  <c r="AN128" i="4"/>
  <c r="AN124" i="4"/>
  <c r="AE124" i="4"/>
  <c r="AE120" i="4"/>
  <c r="AN120" i="4"/>
  <c r="AN116" i="4"/>
  <c r="AE116" i="4"/>
  <c r="AE112" i="4"/>
  <c r="AN112" i="4"/>
  <c r="AN108" i="4"/>
  <c r="AE108" i="4"/>
  <c r="AE104" i="4"/>
  <c r="AN104" i="4"/>
  <c r="AN100" i="4"/>
  <c r="AE100" i="4"/>
  <c r="AE96" i="4"/>
  <c r="AN96" i="4"/>
  <c r="AN92" i="4"/>
  <c r="AE92" i="4"/>
  <c r="T202" i="4"/>
  <c r="T239" i="4"/>
  <c r="T211" i="4"/>
  <c r="T167" i="4"/>
  <c r="T131" i="4"/>
  <c r="T168" i="4"/>
  <c r="T214" i="4"/>
  <c r="T253" i="4"/>
  <c r="T249" i="4"/>
  <c r="T260" i="4"/>
  <c r="T258" i="4"/>
  <c r="T257" i="4"/>
  <c r="T255" i="4"/>
  <c r="T254" i="4"/>
  <c r="T251" i="4"/>
  <c r="T250" i="4"/>
  <c r="T248" i="4"/>
  <c r="T245" i="4"/>
  <c r="T241" i="4"/>
  <c r="T240" i="4"/>
  <c r="T237" i="4"/>
  <c r="T231" i="4"/>
  <c r="T229" i="4"/>
  <c r="T228" i="4"/>
  <c r="T226" i="4"/>
  <c r="T225" i="4"/>
  <c r="T224" i="4"/>
  <c r="T223" i="4"/>
  <c r="T222" i="4"/>
  <c r="T221" i="4"/>
  <c r="T219" i="4"/>
  <c r="T218" i="4"/>
  <c r="T217" i="4"/>
  <c r="T213" i="4"/>
  <c r="T216" i="4"/>
  <c r="T215" i="4"/>
  <c r="T212" i="4"/>
  <c r="T210" i="4"/>
  <c r="T209" i="4"/>
  <c r="T208" i="4"/>
  <c r="T207" i="4"/>
  <c r="T206" i="4"/>
  <c r="T205" i="4"/>
  <c r="T204" i="4"/>
  <c r="T203" i="4"/>
  <c r="T201" i="4"/>
  <c r="T200" i="4"/>
  <c r="T199" i="4"/>
  <c r="T198" i="4"/>
  <c r="T197" i="4"/>
  <c r="T196" i="4"/>
  <c r="T195" i="4"/>
  <c r="T194" i="4"/>
  <c r="T193" i="4"/>
  <c r="T192" i="4"/>
  <c r="T191" i="4"/>
  <c r="T190" i="4"/>
  <c r="T189" i="4"/>
  <c r="T188" i="4"/>
  <c r="T187" i="4"/>
  <c r="T186" i="4"/>
  <c r="T185" i="4"/>
  <c r="T184" i="4"/>
  <c r="T183" i="4"/>
  <c r="T182" i="4"/>
  <c r="T181" i="4"/>
  <c r="T180" i="4"/>
  <c r="T179" i="4"/>
  <c r="T178" i="4"/>
  <c r="T177" i="4"/>
  <c r="T176" i="4"/>
  <c r="T175" i="4"/>
  <c r="T174" i="4"/>
  <c r="T173" i="4"/>
  <c r="T172" i="4"/>
  <c r="T171" i="4"/>
  <c r="T170" i="4"/>
  <c r="T169" i="4"/>
  <c r="T166" i="4"/>
  <c r="T165" i="4"/>
  <c r="T164" i="4"/>
  <c r="T163" i="4"/>
  <c r="T162" i="4"/>
  <c r="T161" i="4"/>
  <c r="T160" i="4"/>
  <c r="T159" i="4"/>
  <c r="T158" i="4"/>
  <c r="T157" i="4"/>
  <c r="T156" i="4"/>
  <c r="T155" i="4"/>
  <c r="T154" i="4"/>
  <c r="T153" i="4"/>
  <c r="T152" i="4"/>
  <c r="T151" i="4"/>
  <c r="T150" i="4"/>
  <c r="T149" i="4"/>
  <c r="T148" i="4"/>
  <c r="T147" i="4"/>
  <c r="T146" i="4"/>
  <c r="T145" i="4"/>
  <c r="T144" i="4"/>
  <c r="T143" i="4"/>
  <c r="T142" i="4"/>
  <c r="T141" i="4"/>
  <c r="T140" i="4"/>
  <c r="T139" i="4"/>
  <c r="T138" i="4"/>
  <c r="T137" i="4"/>
  <c r="T136" i="4"/>
  <c r="T135" i="4"/>
  <c r="T134" i="4"/>
  <c r="T133" i="4"/>
  <c r="T132" i="4"/>
  <c r="T130" i="4"/>
  <c r="T129" i="4"/>
  <c r="T128" i="4"/>
  <c r="T127" i="4"/>
  <c r="T126" i="4"/>
  <c r="T125" i="4"/>
  <c r="T124" i="4"/>
  <c r="T123" i="4"/>
  <c r="T122" i="4"/>
  <c r="T121" i="4"/>
  <c r="T120" i="4"/>
  <c r="T119" i="4"/>
  <c r="T118" i="4"/>
  <c r="T117" i="4"/>
  <c r="T116" i="4"/>
  <c r="T115" i="4"/>
  <c r="T113" i="4"/>
  <c r="T112" i="4"/>
  <c r="T111" i="4"/>
  <c r="T110" i="4"/>
  <c r="T109" i="4"/>
  <c r="T108" i="4"/>
  <c r="T107" i="4"/>
  <c r="T106" i="4"/>
  <c r="T105" i="4"/>
  <c r="T104" i="4"/>
  <c r="T103" i="4"/>
  <c r="T102" i="4"/>
  <c r="T101" i="4"/>
  <c r="T100" i="4"/>
  <c r="T99" i="4"/>
  <c r="T98" i="4"/>
  <c r="T97" i="4"/>
  <c r="T96" i="4"/>
  <c r="T95" i="4"/>
  <c r="T93" i="4"/>
  <c r="T92" i="4"/>
  <c r="T90" i="4"/>
  <c r="AO93" i="4" l="1"/>
  <c r="AF93" i="4"/>
  <c r="AO110" i="4"/>
  <c r="AF110" i="4"/>
  <c r="AF119" i="4"/>
  <c r="AO119" i="4"/>
  <c r="AO132" i="4"/>
  <c r="AF132" i="4"/>
  <c r="AO144" i="4"/>
  <c r="AF144" i="4"/>
  <c r="AO156" i="4"/>
  <c r="AF156" i="4"/>
  <c r="AO164" i="4"/>
  <c r="AF164" i="4"/>
  <c r="AO178" i="4"/>
  <c r="AF178" i="4"/>
  <c r="AO186" i="4"/>
  <c r="AF186" i="4"/>
  <c r="AO198" i="4"/>
  <c r="AF198" i="4"/>
  <c r="AO207" i="4"/>
  <c r="AF207" i="4"/>
  <c r="AO217" i="4"/>
  <c r="AF217" i="4"/>
  <c r="AF237" i="4"/>
  <c r="AO237" i="4"/>
  <c r="AO255" i="4"/>
  <c r="AF255" i="4"/>
  <c r="AO253" i="4"/>
  <c r="AF253" i="4"/>
  <c r="AO243" i="4"/>
  <c r="AF243" i="4"/>
  <c r="AO107" i="4"/>
  <c r="AF107" i="4"/>
  <c r="AO157" i="4"/>
  <c r="AF157" i="4"/>
  <c r="AO240" i="4"/>
  <c r="AF240" i="4"/>
  <c r="AO211" i="4"/>
  <c r="AF211" i="4"/>
  <c r="AO252" i="4"/>
  <c r="AF252" i="4"/>
  <c r="AO230" i="4"/>
  <c r="AF230" i="4"/>
  <c r="AO259" i="4"/>
  <c r="AF259" i="4"/>
  <c r="AO94" i="4"/>
  <c r="AF94" i="4"/>
  <c r="AO227" i="4"/>
  <c r="AF227" i="4"/>
  <c r="AO232" i="4"/>
  <c r="AF232" i="4"/>
  <c r="AO102" i="4"/>
  <c r="AF102" i="4"/>
  <c r="AO123" i="4"/>
  <c r="AF123" i="4"/>
  <c r="AO136" i="4"/>
  <c r="AF136" i="4"/>
  <c r="AO152" i="4"/>
  <c r="AF152" i="4"/>
  <c r="AO170" i="4"/>
  <c r="AF170" i="4"/>
  <c r="AO190" i="4"/>
  <c r="AF190" i="4"/>
  <c r="AO222" i="4"/>
  <c r="AF222" i="4"/>
  <c r="AO167" i="4"/>
  <c r="AF167" i="4"/>
  <c r="AO244" i="4"/>
  <c r="AF244" i="4"/>
  <c r="AO91" i="4"/>
  <c r="AF91" i="4"/>
  <c r="AF95" i="4"/>
  <c r="AO95" i="4"/>
  <c r="AF103" i="4"/>
  <c r="AO103" i="4"/>
  <c r="AO116" i="4"/>
  <c r="AF116" i="4"/>
  <c r="AO124" i="4"/>
  <c r="AF124" i="4"/>
  <c r="AO133" i="4"/>
  <c r="AF133" i="4"/>
  <c r="AO145" i="4"/>
  <c r="AF145" i="4"/>
  <c r="AO149" i="4"/>
  <c r="AF149" i="4"/>
  <c r="AO161" i="4"/>
  <c r="AF161" i="4"/>
  <c r="AO171" i="4"/>
  <c r="AF171" i="4"/>
  <c r="AO179" i="4"/>
  <c r="AF179" i="4"/>
  <c r="AO187" i="4"/>
  <c r="AF187" i="4"/>
  <c r="AO199" i="4"/>
  <c r="AF199" i="4"/>
  <c r="AO208" i="4"/>
  <c r="AF208" i="4"/>
  <c r="AO218" i="4"/>
  <c r="AF218" i="4"/>
  <c r="AO223" i="4"/>
  <c r="AF223" i="4"/>
  <c r="AO250" i="4"/>
  <c r="AF250" i="4"/>
  <c r="AO214" i="4"/>
  <c r="AF214" i="4"/>
  <c r="AO90" i="4"/>
  <c r="AF90" i="4"/>
  <c r="AO96" i="4"/>
  <c r="AF96" i="4"/>
  <c r="AO100" i="4"/>
  <c r="AF100" i="4"/>
  <c r="AO104" i="4"/>
  <c r="AF104" i="4"/>
  <c r="AO108" i="4"/>
  <c r="AF108" i="4"/>
  <c r="AO112" i="4"/>
  <c r="AF112" i="4"/>
  <c r="AO117" i="4"/>
  <c r="AF117" i="4"/>
  <c r="AO121" i="4"/>
  <c r="AF121" i="4"/>
  <c r="AO125" i="4"/>
  <c r="AF125" i="4"/>
  <c r="AO129" i="4"/>
  <c r="AF129" i="4"/>
  <c r="AO134" i="4"/>
  <c r="AF134" i="4"/>
  <c r="AO138" i="4"/>
  <c r="AF138" i="4"/>
  <c r="AO142" i="4"/>
  <c r="AF142" i="4"/>
  <c r="AO146" i="4"/>
  <c r="AF146" i="4"/>
  <c r="AO150" i="4"/>
  <c r="AF150" i="4"/>
  <c r="AF154" i="4"/>
  <c r="AO154" i="4"/>
  <c r="AO158" i="4"/>
  <c r="AF158" i="4"/>
  <c r="AO162" i="4"/>
  <c r="AF162" i="4"/>
  <c r="AO166" i="4"/>
  <c r="AF166" i="4"/>
  <c r="AO172" i="4"/>
  <c r="AF172" i="4"/>
  <c r="AO176" i="4"/>
  <c r="AF176" i="4"/>
  <c r="AO180" i="4"/>
  <c r="AF180" i="4"/>
  <c r="AO184" i="4"/>
  <c r="AF184" i="4"/>
  <c r="AO188" i="4"/>
  <c r="AF188" i="4"/>
  <c r="AO192" i="4"/>
  <c r="AF192" i="4"/>
  <c r="AO196" i="4"/>
  <c r="AF196" i="4"/>
  <c r="AO200" i="4"/>
  <c r="AF200" i="4"/>
  <c r="AF205" i="4"/>
  <c r="AO205" i="4"/>
  <c r="AO209" i="4"/>
  <c r="AF209" i="4"/>
  <c r="AO216" i="4"/>
  <c r="AF216" i="4"/>
  <c r="AO219" i="4"/>
  <c r="AF219" i="4"/>
  <c r="AF224" i="4"/>
  <c r="AO224" i="4"/>
  <c r="AO229" i="4"/>
  <c r="AF229" i="4"/>
  <c r="AO241" i="4"/>
  <c r="AF241" i="4"/>
  <c r="AO251" i="4"/>
  <c r="AF251" i="4"/>
  <c r="AO258" i="4"/>
  <c r="AF258" i="4"/>
  <c r="AO168" i="4"/>
  <c r="AF168" i="4"/>
  <c r="AO239" i="4"/>
  <c r="AF239" i="4"/>
  <c r="AO220" i="4"/>
  <c r="AF220" i="4"/>
  <c r="AO242" i="4"/>
  <c r="AF242" i="4"/>
  <c r="AO247" i="4"/>
  <c r="AF247" i="4"/>
  <c r="AO98" i="4"/>
  <c r="AF98" i="4"/>
  <c r="AO106" i="4"/>
  <c r="AF106" i="4"/>
  <c r="AO115" i="4"/>
  <c r="AF115" i="4"/>
  <c r="AF127" i="4"/>
  <c r="AO127" i="4"/>
  <c r="AO140" i="4"/>
  <c r="AF140" i="4"/>
  <c r="AO148" i="4"/>
  <c r="AF148" i="4"/>
  <c r="AF160" i="4"/>
  <c r="AO160" i="4"/>
  <c r="AO174" i="4"/>
  <c r="AF174" i="4"/>
  <c r="AO182" i="4"/>
  <c r="AF182" i="4"/>
  <c r="AO194" i="4"/>
  <c r="AF194" i="4"/>
  <c r="AO203" i="4"/>
  <c r="AF203" i="4"/>
  <c r="AO212" i="4"/>
  <c r="AF212" i="4"/>
  <c r="AO226" i="4"/>
  <c r="AF226" i="4"/>
  <c r="AO248" i="4"/>
  <c r="AF248" i="4"/>
  <c r="AF256" i="4"/>
  <c r="AO256" i="4"/>
  <c r="AO235" i="4"/>
  <c r="AF235" i="4"/>
  <c r="AO234" i="4"/>
  <c r="AF234" i="4"/>
  <c r="AO114" i="4"/>
  <c r="AF114" i="4"/>
  <c r="AO99" i="4"/>
  <c r="AF99" i="4"/>
  <c r="AF111" i="4"/>
  <c r="AO111" i="4"/>
  <c r="AO120" i="4"/>
  <c r="AF120" i="4"/>
  <c r="AO128" i="4"/>
  <c r="AF128" i="4"/>
  <c r="AO137" i="4"/>
  <c r="AF137" i="4"/>
  <c r="AO141" i="4"/>
  <c r="AF141" i="4"/>
  <c r="AO153" i="4"/>
  <c r="AF153" i="4"/>
  <c r="AO165" i="4"/>
  <c r="AF165" i="4"/>
  <c r="AO175" i="4"/>
  <c r="AF175" i="4"/>
  <c r="AO183" i="4"/>
  <c r="AF183" i="4"/>
  <c r="AO191" i="4"/>
  <c r="AF191" i="4"/>
  <c r="AO195" i="4"/>
  <c r="AF195" i="4"/>
  <c r="AO204" i="4"/>
  <c r="AF204" i="4"/>
  <c r="AO215" i="4"/>
  <c r="AF215" i="4"/>
  <c r="AO228" i="4"/>
  <c r="AF228" i="4"/>
  <c r="AO257" i="4"/>
  <c r="AF257" i="4"/>
  <c r="AO92" i="4"/>
  <c r="AF92" i="4"/>
  <c r="AO97" i="4"/>
  <c r="AF97" i="4"/>
  <c r="AO101" i="4"/>
  <c r="AF101" i="4"/>
  <c r="AO105" i="4"/>
  <c r="AF105" i="4"/>
  <c r="AO109" i="4"/>
  <c r="AF109" i="4"/>
  <c r="AO113" i="4"/>
  <c r="AF113" i="4"/>
  <c r="AO118" i="4"/>
  <c r="AF118" i="4"/>
  <c r="AF122" i="4"/>
  <c r="AO122" i="4"/>
  <c r="AO126" i="4"/>
  <c r="AF126" i="4"/>
  <c r="AO130" i="4"/>
  <c r="AF130" i="4"/>
  <c r="AF135" i="4"/>
  <c r="AO135" i="4"/>
  <c r="AO139" i="4"/>
  <c r="AF139" i="4"/>
  <c r="AF143" i="4"/>
  <c r="AO143" i="4"/>
  <c r="AO147" i="4"/>
  <c r="AF147" i="4"/>
  <c r="AF151" i="4"/>
  <c r="AO151" i="4"/>
  <c r="AO155" i="4"/>
  <c r="AF155" i="4"/>
  <c r="AO159" i="4"/>
  <c r="AF159" i="4"/>
  <c r="AO163" i="4"/>
  <c r="AF163" i="4"/>
  <c r="AO169" i="4"/>
  <c r="AF169" i="4"/>
  <c r="AO173" i="4"/>
  <c r="AF173" i="4"/>
  <c r="AO177" i="4"/>
  <c r="AF177" i="4"/>
  <c r="AO181" i="4"/>
  <c r="AF181" i="4"/>
  <c r="AO185" i="4"/>
  <c r="AF185" i="4"/>
  <c r="AO189" i="4"/>
  <c r="AF189" i="4"/>
  <c r="AO193" i="4"/>
  <c r="AF193" i="4"/>
  <c r="AO197" i="4"/>
  <c r="AF197" i="4"/>
  <c r="AO201" i="4"/>
  <c r="AF201" i="4"/>
  <c r="AO206" i="4"/>
  <c r="AF206" i="4"/>
  <c r="AO210" i="4"/>
  <c r="AF210" i="4"/>
  <c r="AO213" i="4"/>
  <c r="AF213" i="4"/>
  <c r="AO221" i="4"/>
  <c r="AF221" i="4"/>
  <c r="AO225" i="4"/>
  <c r="AF225" i="4"/>
  <c r="AO231" i="4"/>
  <c r="AF231" i="4"/>
  <c r="AO245" i="4"/>
  <c r="AF245" i="4"/>
  <c r="AO254" i="4"/>
  <c r="AF254" i="4"/>
  <c r="AO260" i="4"/>
  <c r="AF260" i="4"/>
  <c r="AO249" i="4"/>
  <c r="AF249" i="4"/>
  <c r="AO131" i="4"/>
  <c r="AF131" i="4"/>
  <c r="AO202" i="4"/>
  <c r="AF202" i="4"/>
  <c r="AO236" i="4"/>
  <c r="AF236" i="4"/>
  <c r="AO233" i="4"/>
  <c r="AF233" i="4"/>
  <c r="AO238" i="4"/>
  <c r="AF238" i="4"/>
  <c r="AO246" i="4"/>
  <c r="AF246" i="4"/>
</calcChain>
</file>

<file path=xl/sharedStrings.xml><?xml version="1.0" encoding="utf-8"?>
<sst xmlns="http://schemas.openxmlformats.org/spreadsheetml/2006/main" count="5279" uniqueCount="1002">
  <si>
    <t xml:space="preserve">TOTAL BENEFICIOS PAGADOS DEL PILAR NO CONTRIBUTIVO </t>
  </si>
  <si>
    <t>(julio 2008 a diciembre 2022)</t>
  </si>
  <si>
    <t>N°</t>
  </si>
  <si>
    <t>PBS Vejez</t>
  </si>
  <si>
    <t>PBS Invalidez</t>
  </si>
  <si>
    <t>APS Vejez</t>
  </si>
  <si>
    <t>APS Invalidez</t>
  </si>
  <si>
    <t>TOTAL</t>
  </si>
  <si>
    <t>Fuente: SP. Información 2022 actualizada 10-05-2023</t>
  </si>
  <si>
    <t>%</t>
  </si>
  <si>
    <t>(febrero 2022 a diciembre 2022)</t>
  </si>
  <si>
    <t>PERIODO</t>
  </si>
  <si>
    <t>(julio 2008  a diciembre 2022)</t>
  </si>
  <si>
    <t>NÚMERO DE BENEFICIARIOS DE APS</t>
  </si>
  <si>
    <t>APS VEJEZ</t>
  </si>
  <si>
    <t>APS INVALIDEZ</t>
  </si>
  <si>
    <t>TOTAL APS</t>
  </si>
  <si>
    <t>(enero 2020 a diciembre 2022)</t>
  </si>
  <si>
    <t>MONTOS PAGADOS APS</t>
  </si>
  <si>
    <t>Número de beneficios y montos APS pagados mensualmente</t>
  </si>
  <si>
    <t>APSV</t>
  </si>
  <si>
    <t>APSV***</t>
  </si>
  <si>
    <t>PGU</t>
  </si>
  <si>
    <t>Concedidas</t>
  </si>
  <si>
    <t>Rechazadas</t>
  </si>
  <si>
    <t>En Trámite</t>
  </si>
  <si>
    <t>Anuladas</t>
  </si>
  <si>
    <t>Desistidas</t>
  </si>
  <si>
    <t>Fuente: Elaboración propia a partir de Bases de Datos del IPS. Información actualizada a Diciembre 2022.</t>
  </si>
  <si>
    <t>* Corresponde al número de trámites de solicitud realizados, no el número de personas que han realizado una solicitud. Esto dado que una persona puede hacer más de una solicitud, toda vez que estas sean rechazadas, desistidas o anuladas.
** Producto de un cambio en la fuente de información, el número de solicitudes fue actualizado para los años 2010 al 2021. Las actuales cifran incluyen las solicitudes automáticas generadas por los traspasos de los beneficios de invalidez a vejez.
*** El número de APSV incluye las solicitudes del beneficio Nbis para los años 2019, 2020 y 2021, las cuales correspondieron a 1, 531 y 427 solicitudes, respectivamente.
El beneficio Nbis (ley 21.190 art 9 bis) estaba dirigido a los pensionados por Retiro Programado con Pensión Base mayor a la PMAS, y que cumplían con los demás requisitos exigidos por la ley. Permitía acceder a un complemento de manera tal que la pensión final no desciediera del valor de una Pensión Básica Solidaria.</t>
  </si>
  <si>
    <t>TOTAL SOLICITUDES</t>
  </si>
  <si>
    <t>Número de solicitudes* mensuales de beneficios de vejez e invalidez del SPS y PGU**</t>
  </si>
  <si>
    <t>TOTAL SOLICITUDES 
(PBS, APS y PGU)</t>
  </si>
  <si>
    <t xml:space="preserve">PBSV </t>
  </si>
  <si>
    <t xml:space="preserve">PBSI </t>
  </si>
  <si>
    <t xml:space="preserve">APSI </t>
  </si>
  <si>
    <t>Total</t>
  </si>
  <si>
    <t>Total 2008</t>
  </si>
  <si>
    <t>Número de solicitudes de beneficios SPS y PGU según institución donde se realizó el trámite de solicitud</t>
  </si>
  <si>
    <t>Total 2009</t>
  </si>
  <si>
    <t>Total 2010</t>
  </si>
  <si>
    <t>Total 2011</t>
  </si>
  <si>
    <t>Institución</t>
  </si>
  <si>
    <t>Total  2012</t>
  </si>
  <si>
    <t>IPS</t>
  </si>
  <si>
    <t>Total 2013</t>
  </si>
  <si>
    <t>AFP</t>
  </si>
  <si>
    <t>Total 2014</t>
  </si>
  <si>
    <t>Cía. De Seguros</t>
  </si>
  <si>
    <t>Total 2015</t>
  </si>
  <si>
    <t>Municipalidades</t>
  </si>
  <si>
    <t>Enero</t>
  </si>
  <si>
    <t>Registro Civil</t>
  </si>
  <si>
    <t>Febrero</t>
  </si>
  <si>
    <t>Canal Web</t>
  </si>
  <si>
    <t>Marzo</t>
  </si>
  <si>
    <t>Abril</t>
  </si>
  <si>
    <t>Mayo</t>
  </si>
  <si>
    <t>Junio</t>
  </si>
  <si>
    <t>Julio</t>
  </si>
  <si>
    <t>Número de solicitudes del beneficio PGU mensual según institución donde se realizó el trámite de solicitud</t>
  </si>
  <si>
    <t>Agosto</t>
  </si>
  <si>
    <t>Septiembre</t>
  </si>
  <si>
    <t>Octubre</t>
  </si>
  <si>
    <t>Noviembre</t>
  </si>
  <si>
    <t>Diciembre</t>
  </si>
  <si>
    <t>Total 2016</t>
  </si>
  <si>
    <t>Número de solicitudes* anual de beneficios de vejez e invalidez del SPS y PGU**</t>
  </si>
  <si>
    <t>Año</t>
  </si>
  <si>
    <t>Total 2017</t>
  </si>
  <si>
    <t>Total 2018</t>
  </si>
  <si>
    <t>Total 2019</t>
  </si>
  <si>
    <t>Solicitudes en trámite al 31/01</t>
  </si>
  <si>
    <t>Fuente: IPS.</t>
  </si>
  <si>
    <t>Potenciales pendientes de solicitud al 31/01</t>
  </si>
  <si>
    <t>Total 2020</t>
  </si>
  <si>
    <t>Total 2021</t>
  </si>
  <si>
    <t>Total 2022</t>
  </si>
  <si>
    <t>CAUSAL DE RECHAZO</t>
  </si>
  <si>
    <t>No cumple requisito de edad, menor de 65 años</t>
  </si>
  <si>
    <t>No cuenta con Ficha de Protección Social</t>
  </si>
  <si>
    <t>SOLICITUDES SEGÚN SEXO</t>
  </si>
  <si>
    <r>
      <rPr>
        <b/>
        <sz val="14"/>
        <color theme="1"/>
        <rFont val="Calibri"/>
        <family val="2"/>
        <scheme val="minor"/>
      </rPr>
      <t xml:space="preserve">Número de </t>
    </r>
    <r>
      <rPr>
        <b/>
        <u/>
        <sz val="14"/>
        <color theme="1"/>
        <rFont val="Calibri"/>
        <family val="2"/>
        <scheme val="minor"/>
      </rPr>
      <t>solicitudes</t>
    </r>
    <r>
      <rPr>
        <b/>
        <sz val="14"/>
        <color theme="1"/>
        <rFont val="Calibri"/>
        <family val="2"/>
        <scheme val="minor"/>
      </rPr>
      <t xml:space="preserve"> anuales por género de beneficios SPS y PGU*</t>
    </r>
    <r>
      <rPr>
        <b/>
        <sz val="11"/>
        <color theme="1"/>
        <rFont val="Calibri"/>
        <family val="2"/>
        <scheme val="minor"/>
      </rPr>
      <t xml:space="preserve">
</t>
    </r>
  </si>
  <si>
    <r>
      <rPr>
        <b/>
        <sz val="14"/>
        <color theme="1"/>
        <rFont val="Calibri"/>
        <family val="2"/>
        <scheme val="minor"/>
      </rPr>
      <t xml:space="preserve">Número de solicitudes </t>
    </r>
    <r>
      <rPr>
        <b/>
        <u/>
        <sz val="14"/>
        <color theme="1"/>
        <rFont val="Calibri"/>
        <family val="2"/>
        <scheme val="minor"/>
      </rPr>
      <t>concedidas</t>
    </r>
    <r>
      <rPr>
        <b/>
        <sz val="14"/>
        <color theme="1"/>
        <rFont val="Calibri"/>
        <family val="2"/>
        <scheme val="minor"/>
      </rPr>
      <t xml:space="preserve"> anuales por género de beneficios SPS y PGU*</t>
    </r>
    <r>
      <rPr>
        <b/>
        <sz val="11"/>
        <color theme="1"/>
        <rFont val="Calibri"/>
        <family val="2"/>
        <scheme val="minor"/>
      </rPr>
      <t xml:space="preserve">
</t>
    </r>
  </si>
  <si>
    <r>
      <rPr>
        <b/>
        <sz val="14"/>
        <color theme="1"/>
        <rFont val="Calibri"/>
        <family val="2"/>
        <scheme val="minor"/>
      </rPr>
      <t xml:space="preserve">Número de solicitudes </t>
    </r>
    <r>
      <rPr>
        <b/>
        <u/>
        <sz val="14"/>
        <color theme="1"/>
        <rFont val="Calibri"/>
        <family val="2"/>
        <scheme val="minor"/>
      </rPr>
      <t>rechazadas</t>
    </r>
    <r>
      <rPr>
        <b/>
        <sz val="14"/>
        <color theme="1"/>
        <rFont val="Calibri"/>
        <family val="2"/>
        <scheme val="minor"/>
      </rPr>
      <t xml:space="preserve"> anuales por género de beneficios SPS y PGU*</t>
    </r>
    <r>
      <rPr>
        <b/>
        <sz val="11"/>
        <color theme="1"/>
        <rFont val="Calibri"/>
        <family val="2"/>
        <scheme val="minor"/>
      </rPr>
      <t xml:space="preserve">
</t>
    </r>
  </si>
  <si>
    <t>(julio 2008 y diciembre 2022)</t>
  </si>
  <si>
    <t>SPS y PGU</t>
  </si>
  <si>
    <t>Mujeres</t>
  </si>
  <si>
    <t>Hombres</t>
  </si>
  <si>
    <t>total</t>
  </si>
  <si>
    <t>* Todos los datos corresponden a número de solicitudes y no número de personas que han realizado una solicitud. Esto dado que una persona puede hacer más de una solicitud, toda vez que estas sean rechazadas, desistidas o anuladas.
** Producto de un cambio en la fuente de información, el número de solicitudes fue actualizado para los años 2010 al 2021. Las actuales cifran incluyen las solicitudes automáticas generadas por los traspasos de los beneficios de invalidez a vejez.
*** El número de APSV incluye las solicitudes del beneficio Nbis para los años 2019, 2020 y 2021, las cuales correspondieron a 1, 531 y 427 solicitudes, respectivamente.
El beneficio Nbis (ley 21.190 art 9 bis) estaba dirigido a los pensionados por Retiro Programado con Pensión Base mayor a la PMAS, y que cumplían con los demás requisitos exigidos por la ley. Permitía acceder a un complemento de manera tal que la pensión final no desciediera del valor de una Pensión Básica Solidaria.</t>
  </si>
  <si>
    <t>TASAS DE CONCESIÓN</t>
  </si>
  <si>
    <t xml:space="preserve">REQUISITO DE FOCALIZACIÓN Y MONTO DEL BENEFICIO (SPS Y PGU) </t>
  </si>
  <si>
    <t>(2008 a 2023)</t>
  </si>
  <si>
    <t>Sistema de Pensiones Solidarias</t>
  </si>
  <si>
    <t>Pensión Garantizada Universal</t>
  </si>
  <si>
    <t>Periodo de vigencia</t>
  </si>
  <si>
    <t>Tramos edad</t>
  </si>
  <si>
    <t>Requisito de focalización</t>
  </si>
  <si>
    <t>Monto de la PMAS</t>
  </si>
  <si>
    <t>Valor Mensual de la PBS</t>
  </si>
  <si>
    <t>Valor Mensual de la PGU</t>
  </si>
  <si>
    <t>01.07.08 al 30.06.09</t>
  </si>
  <si>
    <t>Todas las edades</t>
  </si>
  <si>
    <t>40% población total del país</t>
  </si>
  <si>
    <t>01.08.22 al 31.01.23</t>
  </si>
  <si>
    <t>90% población 65 años o más</t>
  </si>
  <si>
    <t>01.07.09 al 31.08.9</t>
  </si>
  <si>
    <t>45% población total del país</t>
  </si>
  <si>
    <t>01.02.23 al 31.03.23</t>
  </si>
  <si>
    <t>01.09.09 al 30.06.10</t>
  </si>
  <si>
    <t>50% población total del país</t>
  </si>
  <si>
    <t>01.04.23 al 31.12.23</t>
  </si>
  <si>
    <t>90% población total del país</t>
  </si>
  <si>
    <t>01.07.10 al 30.06.11</t>
  </si>
  <si>
    <t>55% población total del país</t>
  </si>
  <si>
    <t>Fuente: Elaboración propia a partir de la normativa legal. Actualizado 10-02-2023</t>
  </si>
  <si>
    <t>01.07.11 al 30.06.12</t>
  </si>
  <si>
    <t>60% población total del país</t>
  </si>
  <si>
    <t>01.07.12 al 30.06.13</t>
  </si>
  <si>
    <t>01.07.13 al 30.06.14</t>
  </si>
  <si>
    <t>01.07.14 al 30.06.15</t>
  </si>
  <si>
    <t>01.07.15 al 30.06.16</t>
  </si>
  <si>
    <t>01.07.16 al 31.12.16</t>
  </si>
  <si>
    <t>01.01.17 al 30.06.17</t>
  </si>
  <si>
    <t>01.07.17 al 30.06.18</t>
  </si>
  <si>
    <t>01.07.18 al 30.06.19</t>
  </si>
  <si>
    <t>01.07.19 al 30.11.19</t>
  </si>
  <si>
    <t>01.12.19 al 30.06.20</t>
  </si>
  <si>
    <t>&lt; 75 años</t>
  </si>
  <si>
    <t>75 a 79 años</t>
  </si>
  <si>
    <t>&gt;=80 años</t>
  </si>
  <si>
    <t>01.07.20 al 31.12.20</t>
  </si>
  <si>
    <t>01.01.21 al 30.06.21</t>
  </si>
  <si>
    <t>&lt;= 74 años</t>
  </si>
  <si>
    <t>&gt;=75 años</t>
  </si>
  <si>
    <t>01.07.21 al 31.12.21</t>
  </si>
  <si>
    <t>01.01.22 al 31.01.22</t>
  </si>
  <si>
    <t>01.02.22 al 31.07.22</t>
  </si>
  <si>
    <t>01.06.22 al 31.01.23</t>
  </si>
  <si>
    <t>01.02.23 al 31.12.23</t>
  </si>
  <si>
    <t>comuna</t>
  </si>
  <si>
    <t>PBSV/PGU</t>
  </si>
  <si>
    <t>PBSI</t>
  </si>
  <si>
    <t>PGU Contr</t>
  </si>
  <si>
    <t>APSI</t>
  </si>
  <si>
    <t>ALTO HOSPICIO</t>
  </si>
  <si>
    <t>COLCHANE</t>
  </si>
  <si>
    <t>HUARA</t>
  </si>
  <si>
    <t>IQUIQUE</t>
  </si>
  <si>
    <t>PICA</t>
  </si>
  <si>
    <t>POZO ALMONTE</t>
  </si>
  <si>
    <t>CAMIÑA</t>
  </si>
  <si>
    <t>-&gt; region_codigo = 2</t>
  </si>
  <si>
    <t>ANTOFAGASTA</t>
  </si>
  <si>
    <t>CALAMA</t>
  </si>
  <si>
    <t>MARIA ELENA</t>
  </si>
  <si>
    <t>MEJILLONES</t>
  </si>
  <si>
    <t>OLLAGUE</t>
  </si>
  <si>
    <t>SAN PEDRO DE ATACAMA</t>
  </si>
  <si>
    <t>SIERRA GORDA</t>
  </si>
  <si>
    <t>TALTAL</t>
  </si>
  <si>
    <t>TOCOPILLA</t>
  </si>
  <si>
    <t>ALTO DEL CARMEN</t>
  </si>
  <si>
    <t>CALDERA</t>
  </si>
  <si>
    <t>COPIAPO</t>
  </si>
  <si>
    <t>DIEGO DE ALMAGRO</t>
  </si>
  <si>
    <t>FREIRINA</t>
  </si>
  <si>
    <t>HUASCO</t>
  </si>
  <si>
    <t>TIERRA AMARILLA</t>
  </si>
  <si>
    <t>VALLENAR</t>
  </si>
  <si>
    <t>ANDACOLLO</t>
  </si>
  <si>
    <t>CANELA</t>
  </si>
  <si>
    <t>COMBARBALA</t>
  </si>
  <si>
    <t>COQUIMBO</t>
  </si>
  <si>
    <t>ILLAPEL</t>
  </si>
  <si>
    <t>LA HIGUERA</t>
  </si>
  <si>
    <t>LA SERENA</t>
  </si>
  <si>
    <t>LOS VILOS</t>
  </si>
  <si>
    <t>MONTE PATRIA</t>
  </si>
  <si>
    <t>OVALLE</t>
  </si>
  <si>
    <t>PAIHUANO</t>
  </si>
  <si>
    <t>PUNITAQUI</t>
  </si>
  <si>
    <t>RIO HURTADO</t>
  </si>
  <si>
    <t>SALAMANCA</t>
  </si>
  <si>
    <t>ALGARROBO</t>
  </si>
  <si>
    <t>CABILDO</t>
  </si>
  <si>
    <t>CALLE LARGA</t>
  </si>
  <si>
    <t>CARTAGENA</t>
  </si>
  <si>
    <t>CASABLANCA</t>
  </si>
  <si>
    <t>CATEMU</t>
  </si>
  <si>
    <t>CONCON</t>
  </si>
  <si>
    <t>EL QUISCO</t>
  </si>
  <si>
    <t>EL TABO</t>
  </si>
  <si>
    <t>HIJUELAS</t>
  </si>
  <si>
    <t>ISLA DE PASCUA</t>
  </si>
  <si>
    <t>JUAN FERNANDEZ</t>
  </si>
  <si>
    <t>LA CALERA</t>
  </si>
  <si>
    <t>LA CRUZ</t>
  </si>
  <si>
    <t>LA LIGUA</t>
  </si>
  <si>
    <t>LIMACHE</t>
  </si>
  <si>
    <t>LLAY LLAY</t>
  </si>
  <si>
    <t>LOS ANDES</t>
  </si>
  <si>
    <t>NOGALES</t>
  </si>
  <si>
    <t>OLMUE</t>
  </si>
  <si>
    <t>PANQUEHUE</t>
  </si>
  <si>
    <t>PAPUDO</t>
  </si>
  <si>
    <t>PETORCA</t>
  </si>
  <si>
    <t>PUCHUNCAVI</t>
  </si>
  <si>
    <t>PUTAENDO</t>
  </si>
  <si>
    <t>QUILLOTA</t>
  </si>
  <si>
    <t>QUILPUE</t>
  </si>
  <si>
    <t>QUINTERO</t>
  </si>
  <si>
    <t>RINCONADA</t>
  </si>
  <si>
    <t>SAN ANTONIO</t>
  </si>
  <si>
    <t>SAN ESTEBAN</t>
  </si>
  <si>
    <t>SAN FELIPE</t>
  </si>
  <si>
    <t>SANTA MARIA</t>
  </si>
  <si>
    <t>SANTO DOMINGO</t>
  </si>
  <si>
    <t>VALPARAISO</t>
  </si>
  <si>
    <t>VILLA ALEMANA</t>
  </si>
  <si>
    <t>ZAPALLAR</t>
  </si>
  <si>
    <t>CHEPICA</t>
  </si>
  <si>
    <t>CHIMBARONGO</t>
  </si>
  <si>
    <t>CODEGUA</t>
  </si>
  <si>
    <t>COINCO</t>
  </si>
  <si>
    <t>COLTAUCO</t>
  </si>
  <si>
    <t>GRANEROS</t>
  </si>
  <si>
    <t>LA ESTRELLA</t>
  </si>
  <si>
    <t>LAS CABRAS</t>
  </si>
  <si>
    <t>LITUECHE</t>
  </si>
  <si>
    <t>LOLOL</t>
  </si>
  <si>
    <t>MACHALI</t>
  </si>
  <si>
    <t>MALLOA</t>
  </si>
  <si>
    <t>MARCHIGUE</t>
  </si>
  <si>
    <t>MOSTAZAL</t>
  </si>
  <si>
    <t>NANCAGUA</t>
  </si>
  <si>
    <t>NAVIDAD</t>
  </si>
  <si>
    <t>OLIVAR</t>
  </si>
  <si>
    <t>PALMILLA</t>
  </si>
  <si>
    <t>PAREDONES</t>
  </si>
  <si>
    <t>PERALILLO</t>
  </si>
  <si>
    <t>PEUMO</t>
  </si>
  <si>
    <t>PICHIDEGUA</t>
  </si>
  <si>
    <t>PICHILEMU</t>
  </si>
  <si>
    <t>PLACILLA</t>
  </si>
  <si>
    <t>PUMANQUE</t>
  </si>
  <si>
    <t>QUINTA TILCOCO</t>
  </si>
  <si>
    <t>RANCAGUA</t>
  </si>
  <si>
    <t>RENGO</t>
  </si>
  <si>
    <t>REQUINOA</t>
  </si>
  <si>
    <t>SAN FERNANDO</t>
  </si>
  <si>
    <t>SAN VICENTE</t>
  </si>
  <si>
    <t>SANTA CRUZ</t>
  </si>
  <si>
    <t>CAUQUENES</t>
  </si>
  <si>
    <t>CHANCO</t>
  </si>
  <si>
    <t>COLBUN</t>
  </si>
  <si>
    <t>CONSTITUCION</t>
  </si>
  <si>
    <t>CUREPTO</t>
  </si>
  <si>
    <t>CURICO</t>
  </si>
  <si>
    <t>EMPEDRADO</t>
  </si>
  <si>
    <t>LICANTEN</t>
  </si>
  <si>
    <t>LINARES</t>
  </si>
  <si>
    <t>LONGAVI</t>
  </si>
  <si>
    <t>MAULE</t>
  </si>
  <si>
    <t>MOLINA</t>
  </si>
  <si>
    <t>PARRAL</t>
  </si>
  <si>
    <t>PELARCO</t>
  </si>
  <si>
    <t>PELLUHUE</t>
  </si>
  <si>
    <t>PENCAHUE</t>
  </si>
  <si>
    <t>RAUCO</t>
  </si>
  <si>
    <t>RETIRO</t>
  </si>
  <si>
    <t>RIO CLARO</t>
  </si>
  <si>
    <t>ROMERAL</t>
  </si>
  <si>
    <t>SAGRADA FAMILIA</t>
  </si>
  <si>
    <t>SAN CLEMENTE</t>
  </si>
  <si>
    <t>SAN JAVIER</t>
  </si>
  <si>
    <t>SAN RAFAEL</t>
  </si>
  <si>
    <t>TALCA</t>
  </si>
  <si>
    <t>TENO</t>
  </si>
  <si>
    <t>VICHUQUEN</t>
  </si>
  <si>
    <t>VILLA ALEGRE</t>
  </si>
  <si>
    <t>YERBAS BUENAS</t>
  </si>
  <si>
    <t>-&gt; region_codigo = 8</t>
  </si>
  <si>
    <t>ALTO BIOBIO</t>
  </si>
  <si>
    <t>ANTUCO</t>
  </si>
  <si>
    <t>ARAUCO</t>
  </si>
  <si>
    <t>CABRERO</t>
  </si>
  <si>
    <t>CHIGUAYANTE</t>
  </si>
  <si>
    <t>CONCEPCION</t>
  </si>
  <si>
    <t>CONTULMO</t>
  </si>
  <si>
    <t>CORONEL</t>
  </si>
  <si>
    <t>CURANILAHUE</t>
  </si>
  <si>
    <t>FLORIDA</t>
  </si>
  <si>
    <t>HUALPEN</t>
  </si>
  <si>
    <t>HUALQUI</t>
  </si>
  <si>
    <t>LAJA</t>
  </si>
  <si>
    <t>LEBU</t>
  </si>
  <si>
    <t>LOS ALAMOS</t>
  </si>
  <si>
    <t>LOS ANGELES</t>
  </si>
  <si>
    <t>LOTA</t>
  </si>
  <si>
    <t>MULCHEN</t>
  </si>
  <si>
    <t>NACIMIENTO</t>
  </si>
  <si>
    <t>NEGRETE</t>
  </si>
  <si>
    <t>PENCO</t>
  </si>
  <si>
    <t>QUILACO</t>
  </si>
  <si>
    <t>QUILLECO</t>
  </si>
  <si>
    <t>SAN PEDRO DE LA PAZ</t>
  </si>
  <si>
    <t>SAN ROSENDO</t>
  </si>
  <si>
    <t>SANTA BARBARA</t>
  </si>
  <si>
    <t>SANTA JUANA</t>
  </si>
  <si>
    <t>TALCAHUANO</t>
  </si>
  <si>
    <t>TIRUA</t>
  </si>
  <si>
    <t>TOME</t>
  </si>
  <si>
    <t>TUCAPEL</t>
  </si>
  <si>
    <t>YUMBEL</t>
  </si>
  <si>
    <t>ANGOL</t>
  </si>
  <si>
    <t>CARAHUE</t>
  </si>
  <si>
    <t>CHOLCHOL</t>
  </si>
  <si>
    <t>COLLIPULLI</t>
  </si>
  <si>
    <t>CUNCO</t>
  </si>
  <si>
    <t>CURACAUTIN</t>
  </si>
  <si>
    <t>CURARREHUE</t>
  </si>
  <si>
    <t>ERCILLA</t>
  </si>
  <si>
    <t>FREIRE</t>
  </si>
  <si>
    <t>GALVARINO</t>
  </si>
  <si>
    <t>GORBEA</t>
  </si>
  <si>
    <t>LAUTARO</t>
  </si>
  <si>
    <t>LONCOCHE</t>
  </si>
  <si>
    <t>LONQUIMAY</t>
  </si>
  <si>
    <t>LOS SAUCES</t>
  </si>
  <si>
    <t>LUMACO</t>
  </si>
  <si>
    <t>MELIPEUCO</t>
  </si>
  <si>
    <t>NUEVA IMPERIAL</t>
  </si>
  <si>
    <t>PADRE LAS CASAS</t>
  </si>
  <si>
    <t>PERQUENCO</t>
  </si>
  <si>
    <t>PITRUFQUEN</t>
  </si>
  <si>
    <t>PUCON</t>
  </si>
  <si>
    <t>PUREN</t>
  </si>
  <si>
    <t>RENAICO</t>
  </si>
  <si>
    <t>SAAVEDRA</t>
  </si>
  <si>
    <t>TEMUCO</t>
  </si>
  <si>
    <t>TEODORO SCHMIDT</t>
  </si>
  <si>
    <t>TOLTEN</t>
  </si>
  <si>
    <t>TRAIGUEN</t>
  </si>
  <si>
    <t>VICTORIA</t>
  </si>
  <si>
    <t>VILCUN</t>
  </si>
  <si>
    <t>VILLARRICA</t>
  </si>
  <si>
    <t>-&gt; region_codigo = 10</t>
  </si>
  <si>
    <t>ANCUD</t>
  </si>
  <si>
    <t>CALBUCO</t>
  </si>
  <si>
    <t>CASTRO</t>
  </si>
  <si>
    <t>CHAITEN</t>
  </si>
  <si>
    <t>CHONCHI</t>
  </si>
  <si>
    <t>COCHAMO</t>
  </si>
  <si>
    <t>CURACO DE VELEZ</t>
  </si>
  <si>
    <t>DALCAHUE</t>
  </si>
  <si>
    <t>FRESIA</t>
  </si>
  <si>
    <t>FRUTILLAR</t>
  </si>
  <si>
    <t>FUTALEUFU</t>
  </si>
  <si>
    <t>HUALAIHUE</t>
  </si>
  <si>
    <t>LLANQUIHUE</t>
  </si>
  <si>
    <t>LOS MUERMOS</t>
  </si>
  <si>
    <t>MAULLIN</t>
  </si>
  <si>
    <t>OSORNO</t>
  </si>
  <si>
    <t>PALENA</t>
  </si>
  <si>
    <t>PUERTO MONTT</t>
  </si>
  <si>
    <t>PUERTO OCTAY</t>
  </si>
  <si>
    <t>PUERTO VARAS</t>
  </si>
  <si>
    <t>PUQUELDON</t>
  </si>
  <si>
    <t>PURRANQUE</t>
  </si>
  <si>
    <t>PUYEHUE</t>
  </si>
  <si>
    <t>QUEILEN</t>
  </si>
  <si>
    <t>QUELLON</t>
  </si>
  <si>
    <t>QUEMCHI</t>
  </si>
  <si>
    <t>QUINCHAO</t>
  </si>
  <si>
    <t>RIO NEGRO</t>
  </si>
  <si>
    <t>SAN JUAN DE LA COSTA</t>
  </si>
  <si>
    <t>SAN PABLO</t>
  </si>
  <si>
    <t>CHILE CHICO</t>
  </si>
  <si>
    <t>CISNES</t>
  </si>
  <si>
    <t>COCHRANE</t>
  </si>
  <si>
    <t>COYHAIQUE</t>
  </si>
  <si>
    <t>GUAITECAS</t>
  </si>
  <si>
    <t>LAGO VERDE</t>
  </si>
  <si>
    <t>OHIGGINS</t>
  </si>
  <si>
    <t>PUERTO AYSEN</t>
  </si>
  <si>
    <t>TORTEL</t>
  </si>
  <si>
    <t>CABO DE HORNOS</t>
  </si>
  <si>
    <t>LA ANTARTICA</t>
  </si>
  <si>
    <t>LAGUNA BLANCA</t>
  </si>
  <si>
    <t>NATALES</t>
  </si>
  <si>
    <t>PORVENIR</t>
  </si>
  <si>
    <t>PRIMAVERA</t>
  </si>
  <si>
    <t>PUNTA ARENAS</t>
  </si>
  <si>
    <t>RIO VERDE</t>
  </si>
  <si>
    <t>SAN GREGORIO</t>
  </si>
  <si>
    <t>TIMAUKEL</t>
  </si>
  <si>
    <t>TORRES DEL PAINE</t>
  </si>
  <si>
    <t>-&gt; region_codigo = 13</t>
  </si>
  <si>
    <t>ALHUE</t>
  </si>
  <si>
    <t>BUIN</t>
  </si>
  <si>
    <t>CALERA DE TANGO</t>
  </si>
  <si>
    <t>CERRILLOS</t>
  </si>
  <si>
    <t>CERRO NAVIA</t>
  </si>
  <si>
    <t>COLINA</t>
  </si>
  <si>
    <t>CONCHALI</t>
  </si>
  <si>
    <t>CURACAVI</t>
  </si>
  <si>
    <t>EL BOSQUE</t>
  </si>
  <si>
    <t>EL MONTE</t>
  </si>
  <si>
    <t>ESTACION CENTRAL</t>
  </si>
  <si>
    <t>HUECHURABA</t>
  </si>
  <si>
    <t>INDEPENDENCIA</t>
  </si>
  <si>
    <t>ISLA DE MAIPO</t>
  </si>
  <si>
    <t>LA CISTERNA</t>
  </si>
  <si>
    <t>LA FLORIDA</t>
  </si>
  <si>
    <t>LA GRANJA</t>
  </si>
  <si>
    <t>LA PINTANA</t>
  </si>
  <si>
    <t>LA REINA</t>
  </si>
  <si>
    <t>LAMPA</t>
  </si>
  <si>
    <t>LAS CONDES</t>
  </si>
  <si>
    <t>LO BARNECHEA</t>
  </si>
  <si>
    <t>LO ESPEJO</t>
  </si>
  <si>
    <t>LO PRADO</t>
  </si>
  <si>
    <t>MACUL</t>
  </si>
  <si>
    <t>MAIPU</t>
  </si>
  <si>
    <t>MARIA PINTO</t>
  </si>
  <si>
    <t>MELIPILLA</t>
  </si>
  <si>
    <t>PADRE HURTADO</t>
  </si>
  <si>
    <t>PAINE</t>
  </si>
  <si>
    <t>PEDRO AGUIRRE CERDA</t>
  </si>
  <si>
    <t>PIRQUE</t>
  </si>
  <si>
    <t>PROVIDENCIA</t>
  </si>
  <si>
    <t>PUDAHUEL</t>
  </si>
  <si>
    <t>PUENTE ALTO</t>
  </si>
  <si>
    <t>QUILICURA</t>
  </si>
  <si>
    <t>QUINTA NORMAL</t>
  </si>
  <si>
    <t>RECOLETA</t>
  </si>
  <si>
    <t>RENCA</t>
  </si>
  <si>
    <t>SAN BERNARDO</t>
  </si>
  <si>
    <t>SAN JOAQUIN</t>
  </si>
  <si>
    <t>SAN JOSE DE MAIPO</t>
  </si>
  <si>
    <t>SAN MIGUEL</t>
  </si>
  <si>
    <t>SAN PEDRO</t>
  </si>
  <si>
    <t>SAN RAMON</t>
  </si>
  <si>
    <t>SANTIAGO</t>
  </si>
  <si>
    <t>TALAGANTE</t>
  </si>
  <si>
    <t>TIL TIL</t>
  </si>
  <si>
    <t>VITACURA</t>
  </si>
  <si>
    <t>-&gt; region_codigo = 14</t>
  </si>
  <si>
    <t>CORRAL</t>
  </si>
  <si>
    <t>FUTRONO</t>
  </si>
  <si>
    <t>LA UNION</t>
  </si>
  <si>
    <t>LAGO RANCO</t>
  </si>
  <si>
    <t>LANCO</t>
  </si>
  <si>
    <t>LOS LAGOS</t>
  </si>
  <si>
    <t>MAFIL</t>
  </si>
  <si>
    <t>PAILLACO</t>
  </si>
  <si>
    <t>PANGUIPULLI</t>
  </si>
  <si>
    <t>RIO BUENO</t>
  </si>
  <si>
    <t>SAN JOSE DE LA MARI..</t>
  </si>
  <si>
    <t>VALDIVIA</t>
  </si>
  <si>
    <t>ARICA</t>
  </si>
  <si>
    <t>CAMARONES</t>
  </si>
  <si>
    <t>GENERAL LAGOS</t>
  </si>
  <si>
    <t>PUTRE</t>
  </si>
  <si>
    <t>BULNES</t>
  </si>
  <si>
    <t>CHILLAN</t>
  </si>
  <si>
    <t>CHILLAN VIEJO</t>
  </si>
  <si>
    <t>COBQUECURA</t>
  </si>
  <si>
    <t>COELEMU</t>
  </si>
  <si>
    <t>COIHUECO</t>
  </si>
  <si>
    <t>EL CARMEN</t>
  </si>
  <si>
    <t>NINHUE</t>
  </si>
  <si>
    <t>PEMUCO</t>
  </si>
  <si>
    <t>PINTO</t>
  </si>
  <si>
    <t>PORTEZUELO</t>
  </si>
  <si>
    <t>QUILLON</t>
  </si>
  <si>
    <t>QUIRIHUE</t>
  </si>
  <si>
    <t>RANQUIL</t>
  </si>
  <si>
    <t>SAN CARLOS</t>
  </si>
  <si>
    <t>SAN FABIAN</t>
  </si>
  <si>
    <t>SAN IGNACIO</t>
  </si>
  <si>
    <t>SAN NICOLAS</t>
  </si>
  <si>
    <t>TREHUACO</t>
  </si>
  <si>
    <t>YUNGAY</t>
  </si>
  <si>
    <t>ÑIQUEN</t>
  </si>
  <si>
    <t>Periodo</t>
  </si>
  <si>
    <t>Total Trimestre 4 2022</t>
  </si>
  <si>
    <t>F</t>
  </si>
  <si>
    <t>M</t>
  </si>
  <si>
    <t>Total Beneficios</t>
  </si>
  <si>
    <t>Tipo de beneficio</t>
  </si>
  <si>
    <t>Número de concesiones</t>
  </si>
  <si>
    <t>Tipo de beneficios</t>
  </si>
  <si>
    <t>A</t>
  </si>
  <si>
    <t>C</t>
  </si>
  <si>
    <t>D</t>
  </si>
  <si>
    <t>R</t>
  </si>
  <si>
    <t>T</t>
  </si>
  <si>
    <t>PBSV/PGU No Contributiva</t>
  </si>
  <si>
    <t>PGU Contributiva</t>
  </si>
  <si>
    <t>Total Solicitudes</t>
  </si>
  <si>
    <t>Tipo de Beneficio</t>
  </si>
  <si>
    <t>beneficios SP</t>
  </si>
  <si>
    <t>% concesiones</t>
  </si>
  <si>
    <t>CHAÑARAL</t>
  </si>
  <si>
    <t>VICUÑA</t>
  </si>
  <si>
    <t>VIÑA DEL MAR</t>
  </si>
  <si>
    <t>DOÑIHUE</t>
  </si>
  <si>
    <t>HUALAÑE</t>
  </si>
  <si>
    <t>CAÑETE</t>
  </si>
  <si>
    <t>RIO IBAÑEZ</t>
  </si>
  <si>
    <t>PEÑAFLOR</t>
  </si>
  <si>
    <t>PEÑALOLEN</t>
  </si>
  <si>
    <t>ÑUÑOA</t>
  </si>
  <si>
    <t>estado_solicitud</t>
  </si>
  <si>
    <t>-&gt; region_codigo</t>
  </si>
  <si>
    <t>=</t>
  </si>
  <si>
    <t>SAN JOSE DE LA MARIQUINA</t>
  </si>
  <si>
    <t>(octubre 2022 a diciembre 2022)</t>
  </si>
  <si>
    <t>Región de Tarapacá</t>
  </si>
  <si>
    <t>Región de Antofagasta</t>
  </si>
  <si>
    <t>Región de Atacama</t>
  </si>
  <si>
    <t>Región de Coquimbo</t>
  </si>
  <si>
    <t>Región de Valparaíso</t>
  </si>
  <si>
    <t>Región del Libertador General Bernardo O’Higgins</t>
  </si>
  <si>
    <t>Región del Maule</t>
  </si>
  <si>
    <t>Región del Bio-bío</t>
  </si>
  <si>
    <t>Región de La Araucanía</t>
  </si>
  <si>
    <t>Región de Los Lagos</t>
  </si>
  <si>
    <t>Región Aysén del General Carlos Ibáñez del Campo</t>
  </si>
  <si>
    <t>Región de Magallanes y Antártica Chilena</t>
  </si>
  <si>
    <t>Región Metropolitana de Santiago</t>
  </si>
  <si>
    <t>Región de Los Ríos</t>
  </si>
  <si>
    <t>Región de Arica y Parinacota</t>
  </si>
  <si>
    <t>Región de Ñuble</t>
  </si>
  <si>
    <t>Región</t>
  </si>
  <si>
    <t>Tipo beneficio</t>
  </si>
  <si>
    <t>Sexo</t>
  </si>
  <si>
    <t>Origen de tramitación del beneficio</t>
  </si>
  <si>
    <t>IPS/SP</t>
  </si>
  <si>
    <t>En AFP</t>
  </si>
  <si>
    <t>En Cía. De Seguros</t>
  </si>
  <si>
    <t>En Municipalidad</t>
  </si>
  <si>
    <t>En Registro Civil</t>
  </si>
  <si>
    <t>Número de solicitutes concedidas de beneficios del SPS y PGU, por tipo de beneficio, sexo y tipo de institución</t>
  </si>
  <si>
    <t>% de concesiones de beneficios del SPS y PGU, por tipo de beneficio, sexo y tipo de institución</t>
  </si>
  <si>
    <t>Comuna</t>
  </si>
  <si>
    <t>Número de concesiones por comuna, por tipo de beneficio</t>
  </si>
  <si>
    <r>
      <rPr>
        <b/>
        <sz val="14"/>
        <color theme="1"/>
        <rFont val="Calibri"/>
        <family val="2"/>
        <scheme val="minor"/>
      </rPr>
      <t xml:space="preserve">Número de </t>
    </r>
    <r>
      <rPr>
        <b/>
        <u/>
        <sz val="14"/>
        <color theme="1"/>
        <rFont val="Calibri"/>
        <family val="2"/>
        <scheme val="minor"/>
      </rPr>
      <t>solicitudes</t>
    </r>
    <r>
      <rPr>
        <b/>
        <sz val="14"/>
        <color theme="1"/>
        <rFont val="Calibri"/>
        <family val="2"/>
        <scheme val="minor"/>
      </rPr>
      <t xml:space="preserve"> por género de beneficios SPS y PGU*</t>
    </r>
    <r>
      <rPr>
        <b/>
        <sz val="11"/>
        <color theme="1"/>
        <rFont val="Calibri"/>
        <family val="2"/>
        <scheme val="minor"/>
      </rPr>
      <t xml:space="preserve">
</t>
    </r>
  </si>
  <si>
    <r>
      <rPr>
        <b/>
        <sz val="14"/>
        <color theme="1"/>
        <rFont val="Calibri"/>
        <family val="2"/>
        <scheme val="minor"/>
      </rPr>
      <t xml:space="preserve">Número de solicitudes </t>
    </r>
    <r>
      <rPr>
        <b/>
        <u/>
        <sz val="14"/>
        <color theme="1"/>
        <rFont val="Calibri"/>
        <family val="2"/>
        <scheme val="minor"/>
      </rPr>
      <t xml:space="preserve">concedidas </t>
    </r>
    <r>
      <rPr>
        <b/>
        <sz val="14"/>
        <color theme="1"/>
        <rFont val="Calibri"/>
        <family val="2"/>
        <scheme val="minor"/>
      </rPr>
      <t>por género de beneficios SPS y PGU*</t>
    </r>
    <r>
      <rPr>
        <b/>
        <sz val="11"/>
        <color theme="1"/>
        <rFont val="Calibri"/>
        <family val="2"/>
        <scheme val="minor"/>
      </rPr>
      <t xml:space="preserve">
</t>
    </r>
  </si>
  <si>
    <r>
      <rPr>
        <b/>
        <sz val="14"/>
        <color theme="1"/>
        <rFont val="Calibri"/>
        <family val="2"/>
        <scheme val="minor"/>
      </rPr>
      <t xml:space="preserve">Número de solicitudes </t>
    </r>
    <r>
      <rPr>
        <b/>
        <u/>
        <sz val="14"/>
        <color theme="1"/>
        <rFont val="Calibri"/>
        <family val="2"/>
        <scheme val="minor"/>
      </rPr>
      <t>rechazadas</t>
    </r>
    <r>
      <rPr>
        <b/>
        <sz val="14"/>
        <color theme="1"/>
        <rFont val="Calibri"/>
        <family val="2"/>
        <scheme val="minor"/>
      </rPr>
      <t xml:space="preserve"> por género de beneficios SPS y PGU*</t>
    </r>
    <r>
      <rPr>
        <b/>
        <sz val="11"/>
        <color theme="1"/>
        <rFont val="Calibri"/>
        <family val="2"/>
        <scheme val="minor"/>
      </rPr>
      <t xml:space="preserve">
</t>
    </r>
  </si>
  <si>
    <t>Número de solicitudes de beneficios del SPS y PGU, por tipo de beneficio, sexo y tipo de institución</t>
  </si>
  <si>
    <t>quitar instituciones</t>
  </si>
  <si>
    <t>en otra pestaña las concesiones</t>
  </si>
  <si>
    <t>graficos</t>
  </si>
  <si>
    <t>quitar tabla por instituciones</t>
  </si>
  <si>
    <t>informacion interna</t>
  </si>
  <si>
    <t>Año 2022</t>
  </si>
  <si>
    <t>(enero 2022 a diciembre 2022)</t>
  </si>
  <si>
    <t>IPC PERIODO</t>
  </si>
  <si>
    <t>IPC DICIEMBRE 2022</t>
  </si>
  <si>
    <t>COEF. DEFLACTOR</t>
  </si>
  <si>
    <t>Etiquetas de fila</t>
  </si>
  <si>
    <t>Total general</t>
  </si>
  <si>
    <t>2008</t>
  </si>
  <si>
    <t>2009</t>
  </si>
  <si>
    <t>2010</t>
  </si>
  <si>
    <t>2011</t>
  </si>
  <si>
    <t>2012</t>
  </si>
  <si>
    <t>2013</t>
  </si>
  <si>
    <t>2014</t>
  </si>
  <si>
    <t>2015</t>
  </si>
  <si>
    <t>2016</t>
  </si>
  <si>
    <t>2017</t>
  </si>
  <si>
    <t>2018</t>
  </si>
  <si>
    <t>2019</t>
  </si>
  <si>
    <t>2020</t>
  </si>
  <si>
    <t>2021</t>
  </si>
  <si>
    <t>2022</t>
  </si>
  <si>
    <t>Suma de PBSV_HOMBRE</t>
  </si>
  <si>
    <t>Suma de PBSV_MUJER</t>
  </si>
  <si>
    <t>Suma de PBSV_TOTAL</t>
  </si>
  <si>
    <t>Suma de PBSI_TOTAL</t>
  </si>
  <si>
    <t>Suma de PBS_HOMBRE</t>
  </si>
  <si>
    <t>Suma de PBS_MUJER</t>
  </si>
  <si>
    <t>Suma de PBS_TOTAL</t>
  </si>
  <si>
    <t>Suma de PBSI_HOMBRE</t>
  </si>
  <si>
    <t>Suma de PBSI_MUJER</t>
  </si>
  <si>
    <t>Promedio de PBSI_HOMBRE</t>
  </si>
  <si>
    <t>Promedio de PBSV_HOMBRE</t>
  </si>
  <si>
    <t>Promedio de PBSV_MUJER</t>
  </si>
  <si>
    <t>Promedio de PBSI_MUJER</t>
  </si>
  <si>
    <t>Promedio de PBS_HOMBRE</t>
  </si>
  <si>
    <t>Promedio de PBS_MUJER</t>
  </si>
  <si>
    <t>ene</t>
  </si>
  <si>
    <t>feb</t>
  </si>
  <si>
    <t>mar</t>
  </si>
  <si>
    <t>abr</t>
  </si>
  <si>
    <t>may</t>
  </si>
  <si>
    <t>jun</t>
  </si>
  <si>
    <t>jul</t>
  </si>
  <si>
    <t>ago</t>
  </si>
  <si>
    <t>sept</t>
  </si>
  <si>
    <t>oct</t>
  </si>
  <si>
    <t>nov</t>
  </si>
  <si>
    <t>dic</t>
  </si>
  <si>
    <t>PBS Total</t>
  </si>
  <si>
    <t>Ambos</t>
  </si>
  <si>
    <t>Sexo Beneficiarios</t>
  </si>
  <si>
    <t>Monto nominal M$ *</t>
  </si>
  <si>
    <t>Monto real M$ **</t>
  </si>
  <si>
    <t>* Montos nominales de cada periodo de pago.
** Montos deflactados a diciembre de 2022</t>
  </si>
  <si>
    <t>N° Beneficios promedio</t>
  </si>
  <si>
    <t>Promedio de PBS VEJEZ MUJER</t>
  </si>
  <si>
    <t>Promedio de PBS VEJEZ HOMBRE</t>
  </si>
  <si>
    <t>Promedio de PBS INVALIDEZ MUJER</t>
  </si>
  <si>
    <t>Promedio de PBS INVALIDEZ HOMBRE</t>
  </si>
  <si>
    <t>Promedio de PBS TOTAL MUJER</t>
  </si>
  <si>
    <t>Promedio de PBS TOTAL HOMBRE</t>
  </si>
  <si>
    <t>(Varios elementos)</t>
  </si>
  <si>
    <t>Suma de MUJER</t>
  </si>
  <si>
    <t>Suma de HOMBRE</t>
  </si>
  <si>
    <t>Suma de TOTAL</t>
  </si>
  <si>
    <t>Suma de MUJER2</t>
  </si>
  <si>
    <t>Suma de HOMBRE2</t>
  </si>
  <si>
    <t>Suma de TOTAL2</t>
  </si>
  <si>
    <t>Suma de MUJER3</t>
  </si>
  <si>
    <t>Suma de HOMBRE3</t>
  </si>
  <si>
    <t>Suma de TOTAL3</t>
  </si>
  <si>
    <t>Promedio de MUJER</t>
  </si>
  <si>
    <t>Promedio de HOMBRE</t>
  </si>
  <si>
    <t>Promedio de TOTAL</t>
  </si>
  <si>
    <t>Promedio de MUJER2</t>
  </si>
  <si>
    <t>Promedio de HOMBRE2</t>
  </si>
  <si>
    <t>Promedio de TOTAL2</t>
  </si>
  <si>
    <t>Promedio de MUJER3</t>
  </si>
  <si>
    <t>Promedio de HOMBRE3</t>
  </si>
  <si>
    <t>Promedio de TOTAL3</t>
  </si>
  <si>
    <t>invalidez</t>
  </si>
  <si>
    <t>nominales</t>
  </si>
  <si>
    <t>vejez</t>
  </si>
  <si>
    <t>Monto promedio M$ *</t>
  </si>
  <si>
    <t>ocultar</t>
  </si>
  <si>
    <t>APS Total</t>
  </si>
  <si>
    <t>APS VEJEZ HOMBRE</t>
  </si>
  <si>
    <t>APS VEJEZ MUJER</t>
  </si>
  <si>
    <t>APS INVALIDEZ HOMBRE</t>
  </si>
  <si>
    <t>APS INVALIDEZ MUJER</t>
  </si>
  <si>
    <t>APS TOTAL HOMBRE</t>
  </si>
  <si>
    <t>APS TOTAL MUJER</t>
  </si>
  <si>
    <t>APS TOTAL AMBOS</t>
  </si>
  <si>
    <t>APS INVALIDEZ AMBOS</t>
  </si>
  <si>
    <t>APS VEJEZ AMBOS</t>
  </si>
  <si>
    <t>PBSV_HOMBRE REAL</t>
  </si>
  <si>
    <t>PBSV_MUJER REAL</t>
  </si>
  <si>
    <t>PBSV_TOTAL REAL</t>
  </si>
  <si>
    <t>PBSI_HOMBRE REAL</t>
  </si>
  <si>
    <t>PBSI_MUJER REAL</t>
  </si>
  <si>
    <t>PBSI_TOTAL REAL</t>
  </si>
  <si>
    <t>PBS_HOMBRE REAL</t>
  </si>
  <si>
    <t>PBS_MUJER REAL</t>
  </si>
  <si>
    <t>PBS_TOTAL REAL</t>
  </si>
  <si>
    <t>APS VEJEZ HOMBRE nom</t>
  </si>
  <si>
    <t>APS VEJEZ MUJER nom</t>
  </si>
  <si>
    <t>APS VEJEZ AMBOS nom</t>
  </si>
  <si>
    <t>APS INVALIDEZ HOMBRE nom</t>
  </si>
  <si>
    <t>APS INVALIDEZ MUJER nom</t>
  </si>
  <si>
    <t>APS INVALIDEZ AMBOS nom</t>
  </si>
  <si>
    <t>APS TOTAL HOMBRE nom</t>
  </si>
  <si>
    <t>APS TOTAL MUJER nom</t>
  </si>
  <si>
    <t>APS TOTAL AMBOS nom</t>
  </si>
  <si>
    <t>APS VEJEZ HOMBRE n</t>
  </si>
  <si>
    <t>APS VEJEZ MUJER n</t>
  </si>
  <si>
    <t>APS VEJEZ AMBOS n</t>
  </si>
  <si>
    <t>APS INVALIDEZ HOMBRE N</t>
  </si>
  <si>
    <t>APS INVALIDEZ MUJER N</t>
  </si>
  <si>
    <t>APS INVALIDEZ AMBOS N</t>
  </si>
  <si>
    <t>APS TOTAL HOMBRE N</t>
  </si>
  <si>
    <t>APS TOTAL MUJER N</t>
  </si>
  <si>
    <t>APS TOTAL AMBOS N</t>
  </si>
  <si>
    <t>Suma de APS VEJEZ MUJER n</t>
  </si>
  <si>
    <t>Suma de APS VEJEZ HOMBRE n</t>
  </si>
  <si>
    <t>Suma de APS INVALIDEZ MUJER N</t>
  </si>
  <si>
    <t>Suma de APS INVALIDEZ HOMBRE N</t>
  </si>
  <si>
    <t>Suma de APS TOTAL MUJER N</t>
  </si>
  <si>
    <t>Suma de APS TOTAL HOMBRE N</t>
  </si>
  <si>
    <t>Promedio de APS VEJEZ MUJER n</t>
  </si>
  <si>
    <t>Promedio de APS VEJEZ HOMBRE n</t>
  </si>
  <si>
    <t>Promedio de APS INVALIDEZ MUJER N</t>
  </si>
  <si>
    <t>Promedio de APS INVALIDEZ HOMBRE N</t>
  </si>
  <si>
    <t>Promedio de APS TOTAL MUJER N</t>
  </si>
  <si>
    <t>Promedio de APS TOTAL HOMBRE N</t>
  </si>
  <si>
    <t>Suma de APS VEJEZ MUJER nom</t>
  </si>
  <si>
    <t>Suma de APS VEJEZ HOMBRE nom</t>
  </si>
  <si>
    <t>Suma de APS INVALIDEZ MUJER nom</t>
  </si>
  <si>
    <t>Suma de APS INVALIDEZ HOMBRE nom</t>
  </si>
  <si>
    <t>Suma de APS TOTAL MUJER nom</t>
  </si>
  <si>
    <t>Suma de APS TOTAL HOMBRE nom</t>
  </si>
  <si>
    <t>Promedio de APS VEJEZ MUJER nom</t>
  </si>
  <si>
    <t>Promedio de APS VEJEZ HOMBRE nom</t>
  </si>
  <si>
    <t>Promedio de APS INVALIDEZ MUJER nom</t>
  </si>
  <si>
    <t>Promedio de APS INVALIDEZ HOMBRE nom</t>
  </si>
  <si>
    <t>Promedio de APS TOTAL MUJER nom</t>
  </si>
  <si>
    <t>Promedio de APS TOTAL HOMBRE nom</t>
  </si>
  <si>
    <t>Suma de PBSV_MUJER REAL</t>
  </si>
  <si>
    <t>Suma de PBSV_HOMBRE REAL</t>
  </si>
  <si>
    <t>Suma de PBSI_MUJER REAL</t>
  </si>
  <si>
    <t>Suma de PBSI_HOMBRE REAL</t>
  </si>
  <si>
    <t>Promedio de PBSV_MUJER REAL</t>
  </si>
  <si>
    <t>Promedio de PBSV_HOMBRE REAL</t>
  </si>
  <si>
    <t>Promedio de PBSI_MUJER REAL</t>
  </si>
  <si>
    <t>Promedio de PBSI_HOMBRE REAL</t>
  </si>
  <si>
    <t>PGU No Contributiva</t>
  </si>
  <si>
    <t>PGU Total</t>
  </si>
  <si>
    <t>Suma de PGU_NC_Mujer_n</t>
  </si>
  <si>
    <t>Suma de PGU_NC_hombre_N</t>
  </si>
  <si>
    <t>Suma de PGU_C_Mujer_N</t>
  </si>
  <si>
    <t>Suma de PGU_C_hombre_N</t>
  </si>
  <si>
    <t>Suma de PGU_NC_Mujer_Nom</t>
  </si>
  <si>
    <t>Suma de PGU_NC_hombre_Nom</t>
  </si>
  <si>
    <t>Suma de PGU_C_Mujer_Nom</t>
  </si>
  <si>
    <t>Suma de PGU_C_hombre_Nom</t>
  </si>
  <si>
    <t>Suma de PGU_NC_Mujer_REAL</t>
  </si>
  <si>
    <t>Suma de PGU_NC_hombre_REAL</t>
  </si>
  <si>
    <t>Suma de PGU_C_Mujer_REAL</t>
  </si>
  <si>
    <t>Suma de PGU_C_hombre_REAL</t>
  </si>
  <si>
    <t>Valores</t>
  </si>
  <si>
    <t>Suma de PGU_NC_hombre_N2</t>
  </si>
  <si>
    <t>Promedio de PGU_NC_Mujer_n2</t>
  </si>
  <si>
    <t>Promedio de PGU_NC_hombre_N</t>
  </si>
  <si>
    <t>Suma de PGU_C_Mujer_N2</t>
  </si>
  <si>
    <t>Suma de PGU_C_hombre_N2</t>
  </si>
  <si>
    <t>Promedio de PGU_C_Mujer_N</t>
  </si>
  <si>
    <t>Promedio de PGU_C_hombre_N</t>
  </si>
  <si>
    <t>Suma de PGU_NC_Mujer_Nom2</t>
  </si>
  <si>
    <t>Suma de PGU_NC_hombre_Nom2</t>
  </si>
  <si>
    <t>Promedio de PGU_NC_Mujer_Nom</t>
  </si>
  <si>
    <t>Promedio de PGU_NC_hombre_Nom</t>
  </si>
  <si>
    <t>Suma de PGU_C_Mujer_Nom2</t>
  </si>
  <si>
    <t>Suma de PGU_C_hombre_Nom2</t>
  </si>
  <si>
    <t>Promedio de PGU_C_Mujer_Nom</t>
  </si>
  <si>
    <t>Promedio de PGU_C_hombre_Nom</t>
  </si>
  <si>
    <t>Suma de PGU_NC_Mujer_REAL2</t>
  </si>
  <si>
    <t>Suma de PGU_NC_hombre_REAL2</t>
  </si>
  <si>
    <t>Promedio de PGU_NC_Mujer_REAL</t>
  </si>
  <si>
    <t>Promedio de PGU_NC_hombre_REAL</t>
  </si>
  <si>
    <t>Suma de PGU_C_Mujer_REAL2</t>
  </si>
  <si>
    <t>Suma de PGU_C_hombre_REAL2</t>
  </si>
  <si>
    <t>Promedio de PGU_C_Mujer_REAL</t>
  </si>
  <si>
    <t>Promedio de PGU_C_hombre_REAL</t>
  </si>
  <si>
    <t>(octubre 2022  a diciembre 2022)</t>
  </si>
  <si>
    <t>Estado de las solicitudes</t>
  </si>
  <si>
    <t>Todos los beneficios</t>
  </si>
  <si>
    <t>N</t>
  </si>
  <si>
    <t>Nbis</t>
  </si>
  <si>
    <t>Promedio 2008</t>
  </si>
  <si>
    <t>Promedio 2009</t>
  </si>
  <si>
    <t>Promedio 2010</t>
  </si>
  <si>
    <t>Promedio 2011</t>
  </si>
  <si>
    <t>Promedio 2012</t>
  </si>
  <si>
    <t>Promedio 2013</t>
  </si>
  <si>
    <t>Promedio 2014</t>
  </si>
  <si>
    <t>Promedio 2015</t>
  </si>
  <si>
    <t>Promedio 2016</t>
  </si>
  <si>
    <t>Promedio 2017</t>
  </si>
  <si>
    <t>Promedio 2018</t>
  </si>
  <si>
    <t>Promedio 2019</t>
  </si>
  <si>
    <t>Promedio 2020</t>
  </si>
  <si>
    <t>Promedio 2021</t>
  </si>
  <si>
    <t>Promedio 2022</t>
  </si>
  <si>
    <t>Serie resumen de pagos de beneficios acumulado, por tipo y sexo</t>
  </si>
  <si>
    <t>No aplica, los pagos de este beneficio se realizaron hasta enero de 2022, luego pasaron a PGU</t>
  </si>
  <si>
    <t>PBS Vejez *</t>
  </si>
  <si>
    <t>Monto nominal M$ **</t>
  </si>
  <si>
    <t>Monto real M$ ***</t>
  </si>
  <si>
    <t>Nbis *</t>
  </si>
  <si>
    <t>II. Estado de solicitudes</t>
  </si>
  <si>
    <t>3. Solicitudes a nivel regional y comunal</t>
  </si>
  <si>
    <t>5. Concesiones a nivel regional y comunal</t>
  </si>
  <si>
    <t>Subsecretaría de Previsión Social
Dirección de Estudios Previsionales</t>
  </si>
  <si>
    <t>iii. Serie resumen de pagos de beneficios acumulado, por tipo y sexo</t>
  </si>
  <si>
    <t>8. Tasas de concesión de solicitudes</t>
  </si>
  <si>
    <t>No cumple requisito, no tiene 20 años de residencia</t>
  </si>
  <si>
    <t>No cumple con el requisito de focalización, no pasa Test de afluencia</t>
  </si>
  <si>
    <t>Afiliado no pensionado con derecho a pensión</t>
  </si>
  <si>
    <t>Se rechaza la calificación de Invalidez</t>
  </si>
  <si>
    <t>El monto de la PB es superior a la PMAS que corresponda al tramo de edad del beneficiario</t>
  </si>
  <si>
    <t>El monto de la PB es superior a la PBS que corresponda al tramo de edad del beneficiario, en caso de invalidez</t>
  </si>
  <si>
    <t>Imponente o pensionado de la Caja de Defensa y/o de la Dirección de Previsión de Carabineros</t>
  </si>
  <si>
    <t>Percibe Garantía Estatal de monto superior al APS Calculado</t>
  </si>
  <si>
    <t>Percibe Pensión de Ley Especial de monto superior al APS Calculado</t>
  </si>
  <si>
    <t>Percibe Pensión de Ley Especial de monto superior a la PBS</t>
  </si>
  <si>
    <t>Retiro de fondos según Ley 18.156</t>
  </si>
  <si>
    <t>Sin derecho a pago</t>
  </si>
  <si>
    <t>La suma de las pensiones percibidas supera el valor de la PBS para postular al beneficio artículo 9°bis</t>
  </si>
  <si>
    <t>No cumple requisito, no tiene 4 años de residencia en los últimos 5 años.</t>
  </si>
  <si>
    <t>No cumple requisito, no tiene 5 años de residencia en los últimos 6 años</t>
  </si>
  <si>
    <t>Percibe Garantía Estatal de monto superior a la PBS</t>
  </si>
  <si>
    <t>Pensionado Invalidez por de Ley de Accidentes del Trabajo y Enfermedades Profesionales</t>
  </si>
  <si>
    <t>Pensionado de Ley Especial o de Gracia, que además es pensionado de Invalidez o es Cotizante no pensionado menor de 65 años</t>
  </si>
  <si>
    <t>Otras causales de rechazo</t>
  </si>
  <si>
    <t>Percibe Pensión de Ley Especial de monto superior a la PGU</t>
  </si>
  <si>
    <t>Suspendidas</t>
  </si>
  <si>
    <t>Extintas</t>
  </si>
  <si>
    <t>Estado Solicitudes</t>
  </si>
  <si>
    <t>Tipo beneficios</t>
  </si>
  <si>
    <t>Total beneficios</t>
  </si>
  <si>
    <t>Total por beneficio</t>
  </si>
  <si>
    <t>Beneficios suspendidos por año, por tipo de beneficio</t>
  </si>
  <si>
    <t>(2008 a 2022)</t>
  </si>
  <si>
    <t>Beneficios extinguidos por año, por tipo de beneficio</t>
  </si>
  <si>
    <t>(febrero 2020 a diciembre 2022)</t>
  </si>
  <si>
    <t>Serie resumen por año del estado de las solicitudes por tipo de beneficio</t>
  </si>
  <si>
    <t>ESTADO SOLICITUDES PILAR NO CONTRIBUTIVO DE PENSIONES A NIVEL REGIONAL Y COMUNAL</t>
  </si>
  <si>
    <t>SOLICITUDES CONCEDIDAS PILAR NO CONTRIBUTIVO DE PENSIONES A NIVEL REGIONAL Y COMUNAL</t>
  </si>
  <si>
    <t>( 2008 a 2022)</t>
  </si>
  <si>
    <t>Serie resumen de tasas de concesión de solicitudes por tipo y sexo</t>
  </si>
  <si>
    <t xml:space="preserve">   Región de Tarapacá</t>
  </si>
  <si>
    <t xml:space="preserve">   Región de Antofagasta</t>
  </si>
  <si>
    <t xml:space="preserve">   Región de Atacama</t>
  </si>
  <si>
    <t xml:space="preserve">   Región de Coquimbo</t>
  </si>
  <si>
    <t xml:space="preserve">   Región de Valparaíso</t>
  </si>
  <si>
    <t xml:space="preserve">   Región del Libertador General Bernardo O’Higgins</t>
  </si>
  <si>
    <t xml:space="preserve">   Región del Maule</t>
  </si>
  <si>
    <t xml:space="preserve">   Región del Bio-bío</t>
  </si>
  <si>
    <t xml:space="preserve">   Región de La Araucanía</t>
  </si>
  <si>
    <t xml:space="preserve">   Región de Los Lagos</t>
  </si>
  <si>
    <t xml:space="preserve">   Región Aysén del General Carlos Ibáñez del Campo</t>
  </si>
  <si>
    <t xml:space="preserve">   Región de Magallanes y Antártica Chilena</t>
  </si>
  <si>
    <t xml:space="preserve">   Región Metropolitana de Santiago</t>
  </si>
  <si>
    <t xml:space="preserve">   Región de Los Ríos</t>
  </si>
  <si>
    <t xml:space="preserve">   Región de Arica y Parinacota</t>
  </si>
  <si>
    <t xml:space="preserve">   Región de Ñuble</t>
  </si>
  <si>
    <t>1. Total de beneficios pagados del Pilar No Contributivo</t>
  </si>
  <si>
    <t>PAGOS PENSIÓN BÁSICA SOLIDARIA (PBS)</t>
  </si>
  <si>
    <t xml:space="preserve">PAGOS PENSIÓN GARANTIZADA UNIVERSAL (PGU) </t>
  </si>
  <si>
    <t>PAGOS APORTE PREVISIONAL SOLIDARIO (APS)</t>
  </si>
  <si>
    <t>4. Pagos Aporte Previsional Solidario (APS)</t>
  </si>
  <si>
    <t>5. Pagos Beneficio del artículo 9° bis (Nbis)</t>
  </si>
  <si>
    <t>Pagos Beneficio del artículo 9° bis (Nbis)</t>
  </si>
  <si>
    <t>2. Pagos Pensión Básica Solidaria (PBS)</t>
  </si>
  <si>
    <t>3. Pagos Pensión Garantizada Universal (PGU)</t>
  </si>
  <si>
    <t>iii. Serie resumen de pagos de beneficios acumulados, por tipo</t>
  </si>
  <si>
    <t>Serie resumen de pagos de beneficios acumulados, por tipo</t>
  </si>
  <si>
    <t>i. Resumen trimestral de beneficios pagados en T4 2022, por tipo y sexo</t>
  </si>
  <si>
    <t>ii. Resumen anual de beneficios pagados en 2022, por tipo y sexo</t>
  </si>
  <si>
    <t>ii. Serie resumen por año del estado de las solicitudes por tipo de beneficio</t>
  </si>
  <si>
    <t>Resumen anual de estado de las solicitudes de beneficios del Pilar No Contributivo</t>
  </si>
  <si>
    <t>I. Pago de Beneficios del Pilar No Contributivo</t>
  </si>
  <si>
    <t>i. Resumen anual de estado de las solicitudes de beneficios del Pilar No Contributivo</t>
  </si>
  <si>
    <t>1. Estado de las solicitudes del Pilar No Contributivo</t>
  </si>
  <si>
    <t>ESTADO DE LAS SOLICITUDES DEL PILAR NO CONTRIBUTIVO</t>
  </si>
  <si>
    <t>i. Resumen trimestral de número y estado de solicitudes en T4 2022, según tipo y sexo</t>
  </si>
  <si>
    <t>ii. Resumen anual de número y estado de solicitudes en 2022, por tipo y sexo</t>
  </si>
  <si>
    <t>i. Resumen trimestral de solicitudes por región en T4 2022, según tipo y sexo</t>
  </si>
  <si>
    <t>ii. Resumen anual de solicitudes por región en 2022, según tipo y sexo</t>
  </si>
  <si>
    <t>iii. Número de solicitudes por comuna en T4 2022, según tipo y sexo</t>
  </si>
  <si>
    <t>SOLICITUDES CONCEDIDAS PILAR NO CONTRIBUTIVO A NIVEL NACIONAL</t>
  </si>
  <si>
    <t>4. Solicitudes concedidas del Pilar No Contributivo a nivel nacional</t>
  </si>
  <si>
    <t>2. Solicitudes del Pilar No Contributivo a nivel nacional</t>
  </si>
  <si>
    <t>SOLICITUDES DEL PILAR NO CONTRIBUTIVO A NIVEL NACIONAL</t>
  </si>
  <si>
    <t>Serie resumen de solicitudes de beneficios, por tipo y sexo</t>
  </si>
  <si>
    <t>Serie resumen de solicitudes concedidas de beneficios, por tipo y sexo</t>
  </si>
  <si>
    <t>iii. Serie resumen de solicitudes de beneficios, por tipo y sexo</t>
  </si>
  <si>
    <t>iii. Serie resumen de solicitudes concedidas de beneficios, por tipo y sexo</t>
  </si>
  <si>
    <t>i. Resumen trimestral de concesiones de beneficios del Pilar No Contributivo (Incluye Ex Pasis) en T4 2022</t>
  </si>
  <si>
    <t>ii. Resumen anual de concesiones de beneficios de vejez e invalidez del SPS y PGU (Incluye Ex Pasis) en 2022</t>
  </si>
  <si>
    <t>i. Resumen trimestral de solicitudes concedidas por región en T4 2022, según tipo y sexo</t>
  </si>
  <si>
    <t>ii. Resumen anual de solicitudes concedidas por región en 2022, según tipo y sexo</t>
  </si>
  <si>
    <t>iii. Número de solicitudes concedidas por comuna en T4 2022, según tipo y sexo</t>
  </si>
  <si>
    <t>SOLICITUDES RECHAZADAS DEL PILAR NO CONTRIBUTIVO</t>
  </si>
  <si>
    <t>6. Solicitudes Rechazadas del Pilar No Contributivo</t>
  </si>
  <si>
    <t>Serie resumen de solicitudes rechazadas de beneficios, por tipo y sexo</t>
  </si>
  <si>
    <t>i. Resumen trimestral de solicitudes rechazadas de beneficios en T4 2022</t>
  </si>
  <si>
    <t>ii. Resumen anual de solicitudes rechazadas de beneficios en 2022</t>
  </si>
  <si>
    <t>iii. Serie resumen de solicitudes rechazadas de beneficios, por tipo y sexo</t>
  </si>
  <si>
    <t>i. Beneficios suspendidos por año, por tipo de beneficio</t>
  </si>
  <si>
    <t>ii. Beneficios extinguidos por año, por tipo de beneficio</t>
  </si>
  <si>
    <t>BENEFICIOS SUSPENDIDOS Y EXTINTOS DEL PILAR NO CONTRIBUTIVO</t>
  </si>
  <si>
    <t>7. Beneficios suspendidos y extintos del Pilar No Contributivo</t>
  </si>
  <si>
    <t>i. Resumen trimestral de tasas de concesiones de beneficios por región en T4 2022, según tipo y sexo</t>
  </si>
  <si>
    <t>ii. Resumen anual de tasas de concesiones de beneficios por región en 2022, según tipo y sexo</t>
  </si>
  <si>
    <t>iii. Serie resumen de tasas de concesión de solicitudes por tipo y sexo</t>
  </si>
  <si>
    <t>5. Solicitudes concedidas del Pilar No Contributivo a nivel regional y comunal</t>
  </si>
  <si>
    <t>3. Solicitudes del Pilar No Contributivo a nivel regional y comunal</t>
  </si>
  <si>
    <t>Fuente: Elaboración propia con datos del IPS</t>
  </si>
  <si>
    <t>* Montos nominales de cada periodo de pago. ** Montos deflactados a diciembre de 2022</t>
  </si>
  <si>
    <t>* Montos deflactados a diciembre de 2022</t>
  </si>
  <si>
    <t>* PBS Vejez sólo se pagó hasta enero de 2022, luego pasó a ser PGU No Contributiva, por lo que para los promedios se considera sólo la cantidad de meses en las que el beneficio estuvo vigente.
**Montos nominales de cada periodo de pago. *** Montos deflactados a diciembre de 2022</t>
  </si>
  <si>
    <t>* Montos deflactados a diciembre de 2022.</t>
  </si>
  <si>
    <t>* Nbis sólo se pagó hasta enero de 2022, luego pasó a ser PGU No Contributiva, por lo que para los promedios se considera sólo la cantidad de meses en las que el beneficio estuvo vigente. **Montos nominales de cada periodo de pago. *** Montos deflactados a diciembre de 2022</t>
  </si>
  <si>
    <t>Informe trimestral del Pilar No Contributivo</t>
  </si>
  <si>
    <t>Trimestre OND 2022</t>
  </si>
  <si>
    <t>Resumen trimestral de beneficios pagados, por tipo y sexo</t>
  </si>
  <si>
    <t>Resumen anual de beneficios pagados, por tipo y sexo</t>
  </si>
  <si>
    <t>Monto promedio M$*</t>
  </si>
  <si>
    <r>
      <t xml:space="preserve">Fuente: Elaboración propia con datos del IPS
</t>
    </r>
    <r>
      <rPr>
        <sz val="10"/>
        <rFont val="Calibri"/>
        <family val="2"/>
        <scheme val="minor"/>
      </rPr>
      <t>Nota: El estado final de las solicitudes puede cambiar entre periodos, dado que se incluyen solicitudes en trámite.</t>
    </r>
  </si>
  <si>
    <t>AFP y Cías. de Seguros</t>
  </si>
  <si>
    <t>Cuota Única</t>
  </si>
  <si>
    <t>Nº de Causantes (hijos)</t>
  </si>
  <si>
    <t>I</t>
  </si>
  <si>
    <t>II</t>
  </si>
  <si>
    <t>III</t>
  </si>
  <si>
    <t>IV</t>
  </si>
  <si>
    <t>V</t>
  </si>
  <si>
    <t>VI</t>
  </si>
  <si>
    <t>VII</t>
  </si>
  <si>
    <t>VIII</t>
  </si>
  <si>
    <t>XVI</t>
  </si>
  <si>
    <t>IX</t>
  </si>
  <si>
    <t>XIV</t>
  </si>
  <si>
    <t>X</t>
  </si>
  <si>
    <t>XI</t>
  </si>
  <si>
    <t>XII</t>
  </si>
  <si>
    <t>XIII</t>
  </si>
  <si>
    <t xml:space="preserve">TOTAL </t>
  </si>
  <si>
    <t>BONO POR HIJO</t>
  </si>
  <si>
    <t>Nº Beneficiarias</t>
  </si>
  <si>
    <t>Concesiones de Bono por Hijo por región, según institución y tipo de beneficio</t>
  </si>
  <si>
    <t>N° Beneficiarias y Causantes</t>
  </si>
  <si>
    <t>Fuente: IPS</t>
  </si>
  <si>
    <t>Serie Resumen de Estado de solicitudes de Bono por Hijo</t>
  </si>
  <si>
    <t>Mes</t>
  </si>
  <si>
    <t>Número de Solicitudes Concedidas</t>
  </si>
  <si>
    <t>Número de Solicitudes Rechazadas</t>
  </si>
  <si>
    <t>Ago-dic 2009</t>
  </si>
  <si>
    <t>Total 2012</t>
  </si>
  <si>
    <t>(agosto 2009 a diciembre 2022)</t>
  </si>
  <si>
    <t xml:space="preserve">Pago Único  </t>
  </si>
  <si>
    <t>Serie resumen de concesiones de Bono por Hijo por tipo de beneficio</t>
  </si>
  <si>
    <t>Pago Mensual Con PBS o
PGU No contributiva</t>
  </si>
  <si>
    <t>Pago Mensual Con APS o
PGU Contributiva</t>
  </si>
  <si>
    <t>III. Bono por Hijo</t>
  </si>
  <si>
    <t>1. Bono por Hijo</t>
  </si>
  <si>
    <t>i. Concesiones de Bono por Hijo por región, según institución y tipo de beneficio</t>
  </si>
  <si>
    <t>ii. Serie Resumen de Estado de solicitudes de Bono por Hijo</t>
  </si>
  <si>
    <t>iii. Serie resumen de concesiones de Bono por Hijo por tipo de beneficio</t>
  </si>
  <si>
    <t>Subsidio a la Contratación</t>
  </si>
  <si>
    <t>Subsidio a la Cotización</t>
  </si>
  <si>
    <t xml:space="preserve">Hombre </t>
  </si>
  <si>
    <t>Mujer</t>
  </si>
  <si>
    <t>Total Trabajadores</t>
  </si>
  <si>
    <t>PAGOS DEL SUBSIDIO AL TRABAJADOR JOVEN (STJ)</t>
  </si>
  <si>
    <t>Serie resumen de pagos del subsidio a la contratación y a la cotización de trabajadores jóvenes</t>
  </si>
  <si>
    <t>oct. - dic. 08</t>
  </si>
  <si>
    <t>SUBSIDIO A LA CONTRATACIÓN DE TRABAJADORES JÓVENES</t>
  </si>
  <si>
    <t>Serie resumen del total de solicitudes y trabajadores del Subsidio a la Contratación de Trabajadores Jóvenes</t>
  </si>
  <si>
    <t>Solicitudes totales</t>
  </si>
  <si>
    <t>En trámite</t>
  </si>
  <si>
    <t>Serie resumen del estado de las solicitudes del Subsidio a la Contratación de Trabajadores Jóvenes</t>
  </si>
  <si>
    <t>jul - dic 11</t>
  </si>
  <si>
    <t>Jul. a Dic. 2011</t>
  </si>
  <si>
    <t>SUBSIDIO A LA COTIZACIÓN DE TRABAJADORES JÓVENES</t>
  </si>
  <si>
    <t>Serie resumen del total de solicitudes y trabajadores del Subsidio a la Cotización de Trabajadores Jóvenes</t>
  </si>
  <si>
    <t>Serie resumen del estado de las solicitudes del Subsidio a la Cotización de Trabajadores Jóvenes</t>
  </si>
  <si>
    <t>IV. Subsidio al Trabajador Joven</t>
  </si>
  <si>
    <t>1. Pagos del Subsidio al Trabajador Joven (STJ)</t>
  </si>
  <si>
    <t>i. Serie resumen de pagos del subsidio a la contratación y a la cotización de trabajadores jóvenes</t>
  </si>
  <si>
    <t>2. Subsidio a la Contratación de Trabajadores Jóvenes</t>
  </si>
  <si>
    <t>i. Serie resumen del total de solicitudes y trabajadores del Subsidio a la Contratación de Trabajadores Jóvenes</t>
  </si>
  <si>
    <t>ii. Serie resumen del estado de las solicitudes del Subsidio a la Contratación de Trabajadores Jóvenes</t>
  </si>
  <si>
    <t>3. Subsidio a la Cotización de Trabajadores Jóvenes</t>
  </si>
  <si>
    <t>i. Serie resumen del total de solicitudes y trabajadores del Subsidio a la Cotización de Trabajadores Jóvenes</t>
  </si>
  <si>
    <t>ii. Serie resumen del estado de las solicitudes del Subsidio a la Cotización de Trabajadores Jóvenes</t>
  </si>
  <si>
    <t>Monto promedio M$ **</t>
  </si>
  <si>
    <t>Nota: Las cifras son provisorias</t>
  </si>
  <si>
    <t>Nota 1: La Pensión Garantizada Universal (PGU) es un nuevo beneficio generado a partir de la ley 21.419 del 29-01-2022. 
El concepto de PGU No Contributiva o Contributiva está relacionado con la calidad de la persona que está recibiendo el beneficio, si es No Contributiva quiere decir que no estaba afiliado a un sistema previsional (D.L. 3.500 o antiguo Sistema de Reparto) ni recibe pensión de sobrevivencia, si es Contributiva quiere decir que si estaba afiliado a un sistema previsional o que recibe una pensión de sobrevivencia. De manera automática, en febrero 2022, los PBS de Vejez pasaron a ser PGU No Contributiva y los APS Vejez Subsidio Definido, los Beneficio artículo 9° bis y los APS Vejez con una Pensión Final Garantizada inferior o igual al monto de la PGU pasaron a ser PGU Contributiva (Fuente: Superintendencia de Pensiones).</t>
  </si>
  <si>
    <t>Nota 2: Las cifras son provisorias</t>
  </si>
  <si>
    <t>* Nbis sólo se pagó hasta enero de 2022, luego pasó a ser PGU No Contributiva, por lo que para los promedios se considera sólo la cantidad de meses en las que el beneficio estuvo vigente. 
** Montos deflactados a diciembre de 2022</t>
  </si>
  <si>
    <t>octubre 2022</t>
  </si>
  <si>
    <t>noviembre 2022</t>
  </si>
  <si>
    <t>diciembre 2022</t>
  </si>
  <si>
    <t>Resumen trimestral de número y estado de solicitudes, según tipo y sexo</t>
  </si>
  <si>
    <t>Resumen anual de número y estado de solicitudes, por tipo y sexo</t>
  </si>
  <si>
    <t>Resumen trimestral de solicitudes por región, según tipo y sexo</t>
  </si>
  <si>
    <t>Resumen anual de solicitudes por región, según tipo y sexo</t>
  </si>
  <si>
    <t>Número de solicitudes trimestrales por comuna, según tipo y sexo</t>
  </si>
  <si>
    <t>Resumen trimestral de concesiones de beneficios del Pilar No Contributivo (Incluye Ex Pasis)</t>
  </si>
  <si>
    <t>Resumen anual de concesiones de beneficios de vejez e invalidez del SPS y PGU (Incluye Ex Pasis)</t>
  </si>
  <si>
    <t>Resumen trimestral de solicitudes concedidas por región, según tipo y sexo</t>
  </si>
  <si>
    <t>Resumen anual de solicitudes concedidas por región, según tipo y sexo</t>
  </si>
  <si>
    <t>Número de solicitudes concedidas trimestrales por comuna, según tipo y sexo</t>
  </si>
  <si>
    <t>Resumen trimestral de solicitudes rechazadas de beneficios</t>
  </si>
  <si>
    <t>Resumen anual de solicitudes rechazadas de beneficios</t>
  </si>
  <si>
    <t>Resumen trimestral de tasas de concesiones de beneficios por región, según tipo y sexo</t>
  </si>
  <si>
    <t>Resumen anual de tasas de concesiones de beneficios por región, según tipo y sexo</t>
  </si>
  <si>
    <t>(diciembre 2022)</t>
  </si>
  <si>
    <t>(marzo 2009 a diciembre 2022)</t>
  </si>
  <si>
    <t>(octubre 2008 a diciembre 2022)</t>
  </si>
  <si>
    <t>(enero 2012 a diciembre 2022)</t>
  </si>
  <si>
    <t>(julio 2011 a diciembre 2022)</t>
  </si>
  <si>
    <t xml:space="preserve">Nota: Las cifras son provisorias. </t>
  </si>
  <si>
    <t>* Montos nominales de cada periodo de pago. ** Montos deflactados a diciembre de 2022.</t>
  </si>
  <si>
    <r>
      <t xml:space="preserve">Fuente: Elaboración propia con datos del IPS
</t>
    </r>
    <r>
      <rPr>
        <sz val="9"/>
        <rFont val="Calibri"/>
        <family val="2"/>
        <scheme val="minor"/>
      </rPr>
      <t>Nota: El estado final de las solicitudes puede cambiar entre periodos, dado que se incluyen solicitudes en trámite.</t>
    </r>
  </si>
  <si>
    <t>N° promedio mensual</t>
  </si>
  <si>
    <r>
      <t xml:space="preserve">Fuente: Elaboración propia con datos del IPS
</t>
    </r>
    <r>
      <rPr>
        <sz val="9"/>
        <rFont val="Calibri"/>
        <family val="2"/>
        <scheme val="minor"/>
      </rPr>
      <t>Nota: El estado final de las solicitudes puede cambiar entre periodos, dado que se incluyen solicitudes en trámite.</t>
    </r>
    <r>
      <rPr>
        <b/>
        <sz val="9"/>
        <rFont val="Calibri"/>
        <family val="2"/>
        <scheme val="minor"/>
      </rPr>
      <t xml:space="preserve">
</t>
    </r>
    <r>
      <rPr>
        <sz val="9"/>
        <rFont val="Calibri"/>
        <family val="2"/>
        <scheme val="minor"/>
      </rPr>
      <t>Nota 2: A diciembre de 2022 se encuentran vigentes 98.140 beneficios Ex PASIS de Vejez y 97.379 Ex PASIS de Invalidez</t>
    </r>
  </si>
  <si>
    <t>Promedio 
mar - dic 2009</t>
  </si>
  <si>
    <t xml:space="preserve">Número promedio de subsidios pagados </t>
  </si>
  <si>
    <t>Número promedio de empleadores que recibieron pago en el mes</t>
  </si>
  <si>
    <t xml:space="preserve">Número promedio de trabajadores que recibieron pago en el mes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</si>
</sst>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 #,##0_ ;_ * \-#,##0_ ;_ * &quot;-&quot;_ ;_ @_ "/>
    <numFmt numFmtId="43" formatCode="_ * #,##0.00_ ;_ * \-#,##0.00_ ;_ * &quot;-&quot;??_ ;_ @_ "/>
    <numFmt numFmtId="164" formatCode="0.0%"/>
    <numFmt numFmtId="165" formatCode="_-* #,##0_-;\-* #,##0_-;_-* &quot;-&quot;??_-;_-@_-"/>
    <numFmt numFmtId="166" formatCode="_-* #,##0.00_-;\-* #,##0.00_-;_-* &quot;-&quot;??_-;_-@_-"/>
    <numFmt numFmtId="167" formatCode="_ * #,##0.00_ ;_ * \-#,##0.00_ ;_ * &quot;-&quot;_ ;_ @_ "/>
    <numFmt numFmtId="168" formatCode="_-&quot;$&quot;\ * #,##0.00_-;\-&quot;$&quot;\ * #,##0.00_-;_-&quot;$&quot;\ * &quot;-&quot;??_-;_-@_-"/>
    <numFmt numFmtId="169" formatCode="&quot;$&quot;\ #,##0;\-&quot;$&quot;\ #,##0"/>
    <numFmt numFmtId="170" formatCode="#,##0_ ;\-#,##0\ "/>
  </numFmts>
  <fonts count="44" x14ac:knownFonts="1">
    <font>
      <sz val="11"/>
      <color theme="1"/>
      <name val="Calibri"/>
      <family val="2"/>
      <scheme val="minor"/>
    </font>
    <font>
      <sz val="11"/>
      <color theme="1"/>
      <name val="Calibri"/>
      <family val="2"/>
      <scheme val="minor"/>
    </font>
    <font>
      <b/>
      <u/>
      <sz val="18"/>
      <color theme="1"/>
      <name val="Calibri"/>
      <family val="2"/>
      <scheme val="minor"/>
    </font>
    <font>
      <b/>
      <sz val="14"/>
      <color theme="1"/>
      <name val="Calibri"/>
      <family val="2"/>
      <scheme val="minor"/>
    </font>
    <font>
      <i/>
      <sz val="11"/>
      <color theme="1"/>
      <name val="Calibri"/>
      <family val="2"/>
      <scheme val="minor"/>
    </font>
    <font>
      <b/>
      <sz val="11"/>
      <color rgb="FF000000"/>
      <name val="Calibri"/>
      <family val="2"/>
      <scheme val="minor"/>
    </font>
    <font>
      <b/>
      <sz val="11"/>
      <color theme="1"/>
      <name val="Calibri"/>
      <family val="2"/>
      <scheme val="minor"/>
    </font>
    <font>
      <sz val="9"/>
      <name val="Calibri"/>
      <family val="2"/>
      <scheme val="minor"/>
    </font>
    <font>
      <i/>
      <sz val="11"/>
      <name val="Calibri"/>
      <family val="2"/>
      <scheme val="minor"/>
    </font>
    <font>
      <b/>
      <sz val="10"/>
      <name val="Calibri"/>
      <family val="2"/>
      <scheme val="minor"/>
    </font>
    <font>
      <sz val="11"/>
      <name val="Calibri"/>
      <family val="2"/>
      <scheme val="minor"/>
    </font>
    <font>
      <b/>
      <sz val="11"/>
      <name val="Calibri"/>
      <family val="2"/>
      <scheme val="minor"/>
    </font>
    <font>
      <b/>
      <sz val="11"/>
      <color theme="5"/>
      <name val="Calibri"/>
      <family val="2"/>
      <scheme val="minor"/>
    </font>
    <font>
      <b/>
      <sz val="9"/>
      <name val="Calibri"/>
      <family val="2"/>
      <scheme val="minor"/>
    </font>
    <font>
      <sz val="9"/>
      <color theme="1"/>
      <name val="Calibri"/>
      <family val="2"/>
      <scheme val="minor"/>
    </font>
    <font>
      <sz val="11"/>
      <color rgb="FFFF0000"/>
      <name val="Calibri"/>
      <family val="2"/>
      <scheme val="minor"/>
    </font>
    <font>
      <sz val="11"/>
      <color theme="0"/>
      <name val="Calibri"/>
      <family val="2"/>
      <scheme val="minor"/>
    </font>
    <font>
      <b/>
      <sz val="11"/>
      <color rgb="FFFF0000"/>
      <name val="Calibri"/>
      <family val="2"/>
      <scheme val="minor"/>
    </font>
    <font>
      <sz val="11"/>
      <color rgb="FF000000"/>
      <name val="Calibri"/>
      <family val="2"/>
      <scheme val="minor"/>
    </font>
    <font>
      <b/>
      <u/>
      <sz val="16"/>
      <color theme="1"/>
      <name val="Calibri"/>
      <family val="2"/>
      <scheme val="minor"/>
    </font>
    <font>
      <b/>
      <sz val="12"/>
      <name val="Calibri"/>
      <family val="2"/>
      <scheme val="minor"/>
    </font>
    <font>
      <b/>
      <sz val="9"/>
      <color theme="1"/>
      <name val="Calibri"/>
      <family val="2"/>
      <scheme val="minor"/>
    </font>
    <font>
      <sz val="10"/>
      <color rgb="FF000000"/>
      <name val="Calibri"/>
      <family val="2"/>
      <scheme val="minor"/>
    </font>
    <font>
      <u/>
      <sz val="11"/>
      <color theme="10"/>
      <name val="Calibri"/>
      <family val="2"/>
    </font>
    <font>
      <b/>
      <u/>
      <sz val="14"/>
      <color theme="1"/>
      <name val="Calibri"/>
      <family val="2"/>
      <scheme val="minor"/>
    </font>
    <font>
      <b/>
      <sz val="10"/>
      <color rgb="FF000000"/>
      <name val="Calibri"/>
      <family val="2"/>
      <scheme val="minor"/>
    </font>
    <font>
      <sz val="10"/>
      <color theme="1"/>
      <name val="Calibri"/>
      <family val="2"/>
      <scheme val="minor"/>
    </font>
    <font>
      <b/>
      <sz val="12"/>
      <color theme="1"/>
      <name val="Calibri"/>
      <family val="2"/>
      <scheme val="minor"/>
    </font>
    <font>
      <sz val="8"/>
      <name val="Calibri"/>
      <family val="2"/>
      <scheme val="minor"/>
    </font>
    <font>
      <b/>
      <sz val="16"/>
      <color theme="1"/>
      <name val="Calibri"/>
      <family val="2"/>
      <scheme val="minor"/>
    </font>
    <font>
      <b/>
      <sz val="18"/>
      <color theme="1"/>
      <name val="Calibri"/>
      <family val="2"/>
      <scheme val="minor"/>
    </font>
    <font>
      <u/>
      <sz val="11"/>
      <color theme="10"/>
      <name val="Calibri"/>
      <family val="2"/>
      <scheme val="minor"/>
    </font>
    <font>
      <sz val="12"/>
      <name val="Calibri"/>
      <family val="2"/>
      <scheme val="minor"/>
    </font>
    <font>
      <b/>
      <u/>
      <sz val="14"/>
      <color theme="10"/>
      <name val="Calibri"/>
      <family val="2"/>
    </font>
    <font>
      <sz val="10"/>
      <name val="Calibri"/>
      <family val="2"/>
      <scheme val="minor"/>
    </font>
    <font>
      <b/>
      <sz val="11"/>
      <name val="Calibri"/>
      <family val="2"/>
    </font>
    <font>
      <sz val="11"/>
      <color rgb="FF000000"/>
      <name val="Calibri"/>
      <family val="2"/>
    </font>
    <font>
      <sz val="11"/>
      <name val="Calibri"/>
      <family val="2"/>
    </font>
    <font>
      <b/>
      <sz val="11"/>
      <color rgb="FF000000"/>
      <name val="Calibri"/>
      <family val="2"/>
    </font>
    <font>
      <sz val="10"/>
      <name val="Arial"/>
      <family val="2"/>
    </font>
    <font>
      <sz val="11"/>
      <name val="Arial"/>
      <family val="2"/>
    </font>
    <font>
      <sz val="11"/>
      <color indexed="8"/>
      <name val="Calibri"/>
      <family val="2"/>
      <scheme val="minor"/>
    </font>
    <font>
      <sz val="9"/>
      <color rgb="FFFF0000"/>
      <name val="Calibri"/>
      <family val="2"/>
      <scheme val="minor"/>
    </font>
    <font>
      <b/>
      <sz val="9"/>
      <color theme="5"/>
      <name val="Calibri"/>
      <family val="2"/>
      <scheme val="minor"/>
    </font>
  </fonts>
  <fills count="19">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4"/>
      </patternFill>
    </fill>
    <fill>
      <patternFill patternType="solid">
        <fgColor theme="0" tint="-0.14999847407452621"/>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FF0000"/>
        <bgColor indexed="64"/>
      </patternFill>
    </fill>
    <fill>
      <patternFill patternType="solid">
        <fgColor theme="7"/>
        <bgColor indexed="64"/>
      </patternFill>
    </fill>
    <fill>
      <patternFill patternType="solid">
        <fgColor theme="4" tint="0.79998168889431442"/>
        <bgColor theme="4" tint="0.79998168889431442"/>
      </patternFill>
    </fill>
    <fill>
      <patternFill patternType="solid">
        <fgColor theme="2"/>
        <bgColor indexed="64"/>
      </patternFill>
    </fill>
    <fill>
      <patternFill patternType="solid">
        <fgColor theme="4"/>
        <bgColor indexed="64"/>
      </patternFill>
    </fill>
    <fill>
      <patternFill patternType="solid">
        <fgColor theme="6" tint="0.39997558519241921"/>
        <bgColor indexed="64"/>
      </patternFill>
    </fill>
    <fill>
      <patternFill patternType="solid">
        <fgColor rgb="FFFFFFFF"/>
        <bgColor indexed="64"/>
      </patternFill>
    </fill>
    <fill>
      <patternFill patternType="solid">
        <fgColor theme="0" tint="-0.249977111117893"/>
        <bgColor indexed="64"/>
      </patternFill>
    </fill>
  </fills>
  <borders count="8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top/>
      <bottom style="thin">
        <color theme="4" tint="0.3999755851924192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ck">
        <color rgb="FFC00000"/>
      </top>
      <bottom style="thick">
        <color rgb="FFC00000"/>
      </bottom>
      <diagonal/>
    </border>
    <border>
      <left/>
      <right style="thick">
        <color rgb="FFC00000"/>
      </right>
      <top/>
      <bottom/>
      <diagonal/>
    </border>
    <border>
      <left style="thick">
        <color rgb="FFC00000"/>
      </left>
      <right/>
      <top style="thick">
        <color rgb="FFC00000"/>
      </top>
      <bottom style="thick">
        <color rgb="FFC00000"/>
      </bottom>
      <diagonal/>
    </border>
    <border>
      <left/>
      <right style="thick">
        <color rgb="FFC00000"/>
      </right>
      <top style="thick">
        <color rgb="FFC00000"/>
      </top>
      <bottom style="thick">
        <color rgb="FFC00000"/>
      </bottom>
      <diagonal/>
    </border>
    <border>
      <left style="medium">
        <color theme="9"/>
      </left>
      <right/>
      <top style="medium">
        <color theme="9"/>
      </top>
      <bottom style="medium">
        <color theme="9"/>
      </bottom>
      <diagonal/>
    </border>
    <border>
      <left/>
      <right/>
      <top style="medium">
        <color theme="9"/>
      </top>
      <bottom style="medium">
        <color theme="9"/>
      </bottom>
      <diagonal/>
    </border>
    <border>
      <left/>
      <right style="medium">
        <color theme="9"/>
      </right>
      <top style="medium">
        <color theme="9"/>
      </top>
      <bottom style="medium">
        <color theme="9"/>
      </bottom>
      <diagonal/>
    </border>
    <border>
      <left style="medium">
        <color rgb="FF00B0F0"/>
      </left>
      <right/>
      <top style="medium">
        <color rgb="FF00B0F0"/>
      </top>
      <bottom style="medium">
        <color rgb="FF00B0F0"/>
      </bottom>
      <diagonal/>
    </border>
    <border>
      <left/>
      <right/>
      <top style="medium">
        <color rgb="FF00B0F0"/>
      </top>
      <bottom style="medium">
        <color rgb="FF00B0F0"/>
      </bottom>
      <diagonal/>
    </border>
    <border>
      <left/>
      <right style="medium">
        <color rgb="FF00B0F0"/>
      </right>
      <top style="medium">
        <color rgb="FF00B0F0"/>
      </top>
      <bottom style="medium">
        <color rgb="FF00B0F0"/>
      </bottom>
      <diagonal/>
    </border>
    <border>
      <left style="thin">
        <color rgb="FF000000"/>
      </left>
      <right/>
      <top style="thin">
        <color rgb="FF000000"/>
      </top>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medium">
        <color rgb="FFFFFF00"/>
      </left>
      <right/>
      <top style="medium">
        <color rgb="FFFFFF00"/>
      </top>
      <bottom style="medium">
        <color rgb="FFFFFF00"/>
      </bottom>
      <diagonal/>
    </border>
    <border>
      <left/>
      <right/>
      <top style="medium">
        <color rgb="FFFFFF00"/>
      </top>
      <bottom style="medium">
        <color rgb="FFFFFF00"/>
      </bottom>
      <diagonal/>
    </border>
    <border>
      <left/>
      <right style="medium">
        <color rgb="FFFFFF00"/>
      </right>
      <top style="medium">
        <color rgb="FFFFFF00"/>
      </top>
      <bottom style="medium">
        <color rgb="FFFFFF00"/>
      </bottom>
      <diagonal/>
    </border>
    <border>
      <left style="medium">
        <color theme="5"/>
      </left>
      <right/>
      <top style="medium">
        <color theme="5"/>
      </top>
      <bottom style="medium">
        <color theme="5"/>
      </bottom>
      <diagonal/>
    </border>
    <border>
      <left/>
      <right/>
      <top style="medium">
        <color theme="5"/>
      </top>
      <bottom style="medium">
        <color theme="5"/>
      </bottom>
      <diagonal/>
    </border>
    <border>
      <left/>
      <right style="medium">
        <color theme="5"/>
      </right>
      <top style="medium">
        <color theme="5"/>
      </top>
      <bottom style="medium">
        <color theme="5"/>
      </bottom>
      <diagonal/>
    </border>
  </borders>
  <cellStyleXfs count="18">
    <xf numFmtId="0" fontId="0" fillId="0" borderId="0"/>
    <xf numFmtId="41"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6" fillId="6" borderId="0" applyNumberFormat="0" applyBorder="0" applyAlignment="0" applyProtection="0"/>
    <xf numFmtId="166" fontId="1" fillId="0" borderId="0" applyFont="0" applyFill="0" applyBorder="0" applyAlignment="0" applyProtection="0"/>
    <xf numFmtId="0" fontId="23" fillId="0" borderId="0" applyNumberFormat="0" applyFill="0" applyBorder="0" applyAlignment="0" applyProtection="0">
      <alignment vertical="top"/>
      <protection locked="0"/>
    </xf>
    <xf numFmtId="168" fontId="1" fillId="0" borderId="0" applyFont="0" applyFill="0" applyBorder="0" applyAlignment="0" applyProtection="0"/>
    <xf numFmtId="0" fontId="31" fillId="0" borderId="0" applyNumberForma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39" fillId="0" borderId="0"/>
    <xf numFmtId="0" fontId="39" fillId="0" borderId="0"/>
    <xf numFmtId="0" fontId="1" fillId="0" borderId="0"/>
    <xf numFmtId="0" fontId="39" fillId="0" borderId="0"/>
    <xf numFmtId="0" fontId="39" fillId="0" borderId="0"/>
  </cellStyleXfs>
  <cellXfs count="605">
    <xf numFmtId="0" fontId="0" fillId="0" borderId="0" xfId="0"/>
    <xf numFmtId="0" fontId="2" fillId="0" borderId="0" xfId="0" applyFont="1" applyAlignment="1">
      <alignment vertical="center"/>
    </xf>
    <xf numFmtId="0" fontId="3" fillId="2" borderId="0" xfId="0" applyFont="1" applyFill="1"/>
    <xf numFmtId="0" fontId="4" fillId="3" borderId="0" xfId="0" applyFont="1" applyFill="1" applyAlignment="1">
      <alignment horizontal="left"/>
    </xf>
    <xf numFmtId="0" fontId="6" fillId="0" borderId="1" xfId="0" applyFont="1" applyBorder="1" applyAlignment="1">
      <alignment horizontal="center"/>
    </xf>
    <xf numFmtId="0" fontId="7" fillId="3" borderId="0" xfId="0" applyFont="1" applyFill="1"/>
    <xf numFmtId="0" fontId="7" fillId="2" borderId="0" xfId="0" applyFont="1" applyFill="1"/>
    <xf numFmtId="0" fontId="10" fillId="3" borderId="0" xfId="0" applyFont="1" applyFill="1"/>
    <xf numFmtId="0" fontId="12" fillId="3" borderId="0" xfId="0" applyFont="1" applyFill="1"/>
    <xf numFmtId="165" fontId="7" fillId="3" borderId="0" xfId="2" applyNumberFormat="1" applyFont="1" applyFill="1" applyBorder="1"/>
    <xf numFmtId="0" fontId="8" fillId="3" borderId="0" xfId="0" applyFont="1" applyFill="1"/>
    <xf numFmtId="0" fontId="9" fillId="3" borderId="0" xfId="0" applyFont="1" applyFill="1"/>
    <xf numFmtId="0" fontId="13" fillId="3" borderId="1" xfId="0" applyFont="1" applyFill="1" applyBorder="1" applyAlignment="1">
      <alignment vertical="center" wrapText="1"/>
    </xf>
    <xf numFmtId="165" fontId="13" fillId="3" borderId="1" xfId="2" applyNumberFormat="1" applyFont="1" applyFill="1" applyBorder="1" applyAlignment="1"/>
    <xf numFmtId="17" fontId="7" fillId="3" borderId="1" xfId="0" applyNumberFormat="1" applyFont="1" applyFill="1" applyBorder="1" applyAlignment="1">
      <alignment horizontal="left"/>
    </xf>
    <xf numFmtId="165" fontId="7" fillId="3" borderId="1" xfId="2" applyNumberFormat="1" applyFont="1" applyFill="1" applyBorder="1"/>
    <xf numFmtId="165" fontId="7" fillId="3" borderId="1" xfId="0" applyNumberFormat="1" applyFont="1" applyFill="1" applyBorder="1"/>
    <xf numFmtId="17" fontId="7" fillId="5" borderId="1" xfId="0" applyNumberFormat="1" applyFont="1" applyFill="1" applyBorder="1" applyAlignment="1">
      <alignment horizontal="left"/>
    </xf>
    <xf numFmtId="165" fontId="14" fillId="5" borderId="1" xfId="2" applyNumberFormat="1" applyFont="1" applyFill="1" applyBorder="1"/>
    <xf numFmtId="165" fontId="7" fillId="5" borderId="1" xfId="0" applyNumberFormat="1" applyFont="1" applyFill="1" applyBorder="1"/>
    <xf numFmtId="0" fontId="3" fillId="3" borderId="0" xfId="0" applyFont="1" applyFill="1"/>
    <xf numFmtId="0" fontId="13" fillId="3" borderId="0" xfId="0" applyFont="1" applyFill="1" applyAlignment="1">
      <alignment vertical="center" wrapText="1"/>
    </xf>
    <xf numFmtId="165" fontId="13" fillId="3" borderId="1" xfId="2" applyNumberFormat="1" applyFont="1" applyFill="1" applyBorder="1" applyAlignment="1">
      <alignment vertical="center"/>
    </xf>
    <xf numFmtId="0" fontId="0" fillId="3" borderId="0" xfId="0" applyFill="1"/>
    <xf numFmtId="0" fontId="0" fillId="2" borderId="0" xfId="0" applyFill="1"/>
    <xf numFmtId="0" fontId="6" fillId="3" borderId="0" xfId="0" applyFont="1" applyFill="1"/>
    <xf numFmtId="0" fontId="6" fillId="3" borderId="0" xfId="0" applyFont="1" applyFill="1" applyAlignment="1">
      <alignment horizontal="center"/>
    </xf>
    <xf numFmtId="0" fontId="15" fillId="3" borderId="0" xfId="0" applyFont="1" applyFill="1"/>
    <xf numFmtId="165" fontId="0" fillId="3" borderId="0" xfId="0" applyNumberFormat="1" applyFill="1"/>
    <xf numFmtId="0" fontId="7" fillId="3" borderId="0" xfId="0" applyFont="1" applyFill="1" applyAlignment="1">
      <alignment horizontal="left" vertical="top" wrapText="1"/>
    </xf>
    <xf numFmtId="0" fontId="14" fillId="3" borderId="0" xfId="0" applyFont="1" applyFill="1"/>
    <xf numFmtId="0" fontId="4" fillId="3" borderId="0" xfId="0" applyFont="1" applyFill="1"/>
    <xf numFmtId="165" fontId="7" fillId="3" borderId="1" xfId="4" applyNumberFormat="1" applyFont="1" applyFill="1" applyBorder="1" applyAlignment="1">
      <alignment horizontal="center" vertical="center"/>
    </xf>
    <xf numFmtId="165" fontId="7" fillId="3" borderId="1" xfId="4" applyNumberFormat="1" applyFont="1" applyFill="1" applyBorder="1" applyAlignment="1">
      <alignment horizontal="center" vertical="center" wrapText="1"/>
    </xf>
    <xf numFmtId="0" fontId="13" fillId="4" borderId="1" xfId="4" applyNumberFormat="1" applyFont="1" applyFill="1" applyBorder="1" applyAlignment="1">
      <alignment horizontal="center" vertical="center" wrapText="1"/>
    </xf>
    <xf numFmtId="165" fontId="13" fillId="7" borderId="1" xfId="4" applyNumberFormat="1" applyFont="1" applyFill="1" applyBorder="1" applyAlignment="1">
      <alignment horizontal="left" vertical="center" wrapText="1"/>
    </xf>
    <xf numFmtId="165" fontId="21" fillId="7" borderId="1" xfId="5" applyNumberFormat="1" applyFont="1" applyFill="1" applyBorder="1"/>
    <xf numFmtId="0" fontId="3" fillId="2" borderId="0" xfId="0" applyFont="1" applyFill="1" applyAlignment="1">
      <alignment horizontal="left"/>
    </xf>
    <xf numFmtId="0" fontId="0" fillId="4"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applyAlignment="1">
      <alignment horizontal="left"/>
    </xf>
    <xf numFmtId="165" fontId="14" fillId="3" borderId="11" xfId="5" applyNumberFormat="1" applyFont="1" applyFill="1" applyBorder="1"/>
    <xf numFmtId="165" fontId="14" fillId="3" borderId="12" xfId="5" applyNumberFormat="1" applyFont="1" applyFill="1" applyBorder="1"/>
    <xf numFmtId="165" fontId="14" fillId="3" borderId="13" xfId="5" applyNumberFormat="1" applyFont="1" applyFill="1" applyBorder="1"/>
    <xf numFmtId="165" fontId="14" fillId="4" borderId="10" xfId="5" applyNumberFormat="1" applyFont="1" applyFill="1" applyBorder="1"/>
    <xf numFmtId="0" fontId="0" fillId="3" borderId="14" xfId="0" applyFill="1" applyBorder="1" applyAlignment="1">
      <alignment horizontal="left"/>
    </xf>
    <xf numFmtId="165" fontId="14" fillId="3" borderId="2" xfId="5" applyNumberFormat="1" applyFont="1" applyFill="1" applyBorder="1"/>
    <xf numFmtId="165" fontId="14" fillId="3" borderId="1" xfId="5" applyNumberFormat="1" applyFont="1" applyFill="1" applyBorder="1"/>
    <xf numFmtId="165" fontId="14" fillId="3" borderId="3" xfId="5" applyNumberFormat="1" applyFont="1" applyFill="1" applyBorder="1"/>
    <xf numFmtId="165" fontId="14" fillId="4" borderId="14" xfId="5" applyNumberFormat="1" applyFont="1" applyFill="1" applyBorder="1"/>
    <xf numFmtId="0" fontId="17" fillId="3" borderId="0" xfId="0" applyFont="1" applyFill="1"/>
    <xf numFmtId="165" fontId="7" fillId="3" borderId="1" xfId="4" applyNumberFormat="1" applyFont="1" applyFill="1" applyBorder="1" applyAlignment="1">
      <alignment vertical="center" wrapText="1"/>
    </xf>
    <xf numFmtId="0" fontId="0" fillId="4" borderId="15" xfId="0" applyFill="1" applyBorder="1" applyAlignment="1">
      <alignment horizontal="left"/>
    </xf>
    <xf numFmtId="165" fontId="14" fillId="4" borderId="2" xfId="5" applyNumberFormat="1" applyFont="1" applyFill="1" applyBorder="1"/>
    <xf numFmtId="165" fontId="14" fillId="4" borderId="1" xfId="5" applyNumberFormat="1" applyFont="1" applyFill="1" applyBorder="1"/>
    <xf numFmtId="165" fontId="14" fillId="4" borderId="3" xfId="5" applyNumberFormat="1" applyFont="1" applyFill="1" applyBorder="1"/>
    <xf numFmtId="165" fontId="14" fillId="4" borderId="15" xfId="5" applyNumberFormat="1" applyFont="1" applyFill="1" applyBorder="1"/>
    <xf numFmtId="0" fontId="0" fillId="3" borderId="16" xfId="0" applyFill="1" applyBorder="1" applyAlignment="1">
      <alignment horizontal="center" vertical="center"/>
    </xf>
    <xf numFmtId="0" fontId="0" fillId="3" borderId="8" xfId="0" applyFill="1" applyBorder="1" applyAlignment="1">
      <alignment horizontal="center" vertical="center"/>
    </xf>
    <xf numFmtId="0" fontId="0" fillId="3" borderId="17" xfId="0" applyFill="1" applyBorder="1" applyAlignment="1">
      <alignment horizontal="center" vertical="center"/>
    </xf>
    <xf numFmtId="165" fontId="14" fillId="3" borderId="18" xfId="5" applyNumberFormat="1" applyFont="1" applyFill="1" applyBorder="1"/>
    <xf numFmtId="165" fontId="14" fillId="3" borderId="19" xfId="5" applyNumberFormat="1" applyFont="1" applyFill="1" applyBorder="1"/>
    <xf numFmtId="0" fontId="6" fillId="4" borderId="15" xfId="0" applyFont="1" applyFill="1" applyBorder="1" applyAlignment="1">
      <alignment horizontal="left"/>
    </xf>
    <xf numFmtId="165" fontId="14" fillId="4" borderId="20" xfId="5" applyNumberFormat="1" applyFont="1" applyFill="1" applyBorder="1"/>
    <xf numFmtId="165" fontId="14" fillId="4" borderId="21" xfId="5" applyNumberFormat="1" applyFont="1" applyFill="1" applyBorder="1"/>
    <xf numFmtId="165" fontId="14" fillId="4" borderId="22" xfId="5" applyNumberFormat="1" applyFont="1" applyFill="1" applyBorder="1"/>
    <xf numFmtId="165" fontId="13" fillId="3" borderId="23" xfId="4" applyNumberFormat="1" applyFont="1" applyFill="1" applyBorder="1" applyAlignment="1">
      <alignment vertical="center"/>
    </xf>
    <xf numFmtId="165" fontId="13" fillId="4" borderId="16" xfId="4" applyNumberFormat="1" applyFont="1" applyFill="1" applyBorder="1" applyAlignment="1">
      <alignment horizontal="center" vertical="center"/>
    </xf>
    <xf numFmtId="165" fontId="13" fillId="4" borderId="8" xfId="4" applyNumberFormat="1" applyFont="1" applyFill="1" applyBorder="1" applyAlignment="1">
      <alignment horizontal="center" vertical="center"/>
    </xf>
    <xf numFmtId="0" fontId="13" fillId="4" borderId="17" xfId="4" applyNumberFormat="1" applyFont="1" applyFill="1" applyBorder="1" applyAlignment="1">
      <alignment horizontal="center" vertical="center" wrapText="1"/>
    </xf>
    <xf numFmtId="0" fontId="22" fillId="3" borderId="24" xfId="0" applyFont="1" applyFill="1" applyBorder="1" applyAlignment="1">
      <alignment horizontal="left" vertical="center"/>
    </xf>
    <xf numFmtId="165" fontId="22" fillId="0" borderId="25" xfId="0" applyNumberFormat="1" applyFont="1" applyBorder="1" applyAlignment="1">
      <alignment horizontal="center" vertical="center"/>
    </xf>
    <xf numFmtId="165" fontId="22" fillId="0" borderId="26" xfId="0" applyNumberFormat="1" applyFont="1" applyBorder="1" applyAlignment="1">
      <alignment horizontal="center" vertical="center"/>
    </xf>
    <xf numFmtId="165" fontId="22" fillId="4" borderId="27" xfId="0" applyNumberFormat="1" applyFont="1" applyFill="1" applyBorder="1" applyAlignment="1">
      <alignment horizontal="center" vertical="center"/>
    </xf>
    <xf numFmtId="0" fontId="22" fillId="3" borderId="28" xfId="0" applyFont="1" applyFill="1" applyBorder="1" applyAlignment="1">
      <alignment horizontal="left" vertical="center"/>
    </xf>
    <xf numFmtId="165" fontId="22" fillId="0" borderId="18" xfId="0" applyNumberFormat="1" applyFont="1" applyBorder="1" applyAlignment="1">
      <alignment horizontal="center" vertical="center"/>
    </xf>
    <xf numFmtId="165" fontId="22" fillId="0" borderId="1" xfId="0" applyNumberFormat="1" applyFont="1" applyBorder="1" applyAlignment="1">
      <alignment horizontal="center" vertical="center"/>
    </xf>
    <xf numFmtId="165" fontId="22" fillId="4" borderId="19" xfId="0" applyNumberFormat="1" applyFont="1" applyFill="1" applyBorder="1" applyAlignment="1">
      <alignment horizontal="center" vertical="center"/>
    </xf>
    <xf numFmtId="0" fontId="22" fillId="3" borderId="29" xfId="0" applyFont="1" applyFill="1" applyBorder="1" applyAlignment="1">
      <alignment horizontal="left" vertical="center"/>
    </xf>
    <xf numFmtId="165" fontId="22" fillId="0" borderId="20" xfId="0" applyNumberFormat="1" applyFont="1" applyBorder="1" applyAlignment="1">
      <alignment horizontal="center" vertical="center"/>
    </xf>
    <xf numFmtId="165" fontId="22" fillId="0" borderId="21" xfId="0" applyNumberFormat="1" applyFont="1" applyBorder="1" applyAlignment="1">
      <alignment horizontal="center" vertical="center"/>
    </xf>
    <xf numFmtId="165" fontId="22" fillId="4" borderId="22" xfId="0" applyNumberFormat="1" applyFont="1" applyFill="1" applyBorder="1" applyAlignment="1">
      <alignment horizontal="center" vertical="center"/>
    </xf>
    <xf numFmtId="165" fontId="15" fillId="3" borderId="0" xfId="0" applyNumberFormat="1" applyFont="1" applyFill="1"/>
    <xf numFmtId="0" fontId="22" fillId="7" borderId="29" xfId="0" applyFont="1" applyFill="1" applyBorder="1" applyAlignment="1">
      <alignment horizontal="left" vertical="center"/>
    </xf>
    <xf numFmtId="0" fontId="7" fillId="3" borderId="0" xfId="0" applyFont="1" applyFill="1" applyAlignment="1">
      <alignment vertical="top" wrapText="1"/>
    </xf>
    <xf numFmtId="165" fontId="15" fillId="3" borderId="30" xfId="0" applyNumberFormat="1" applyFont="1" applyFill="1" applyBorder="1"/>
    <xf numFmtId="0" fontId="7" fillId="3" borderId="5" xfId="0" applyFont="1" applyFill="1" applyBorder="1" applyAlignment="1">
      <alignment horizontal="left" vertical="top" wrapText="1"/>
    </xf>
    <xf numFmtId="0" fontId="7" fillId="3" borderId="31" xfId="0" applyFont="1" applyFill="1" applyBorder="1" applyAlignment="1">
      <alignment horizontal="left" vertical="top" wrapText="1"/>
    </xf>
    <xf numFmtId="3" fontId="14" fillId="3" borderId="1" xfId="5" applyNumberFormat="1" applyFont="1" applyFill="1" applyBorder="1"/>
    <xf numFmtId="0" fontId="0" fillId="3" borderId="32" xfId="0" applyFill="1" applyBorder="1"/>
    <xf numFmtId="0" fontId="7" fillId="3" borderId="33" xfId="0" applyFont="1" applyFill="1" applyBorder="1" applyAlignment="1">
      <alignment horizontal="left" vertical="top" wrapText="1"/>
    </xf>
    <xf numFmtId="0" fontId="0" fillId="3" borderId="33" xfId="0" applyFill="1" applyBorder="1"/>
    <xf numFmtId="165" fontId="14" fillId="3" borderId="1" xfId="5" applyNumberFormat="1" applyFont="1" applyFill="1" applyBorder="1" applyAlignment="1">
      <alignment horizontal="left"/>
    </xf>
    <xf numFmtId="0" fontId="15" fillId="3" borderId="13" xfId="0" applyFont="1" applyFill="1" applyBorder="1"/>
    <xf numFmtId="0" fontId="15" fillId="3" borderId="34" xfId="0" applyFont="1" applyFill="1" applyBorder="1"/>
    <xf numFmtId="0" fontId="0" fillId="3" borderId="34" xfId="0" applyFill="1" applyBorder="1"/>
    <xf numFmtId="0" fontId="0" fillId="3" borderId="11" xfId="0" applyFill="1" applyBorder="1"/>
    <xf numFmtId="165" fontId="21" fillId="7" borderId="1" xfId="5" applyNumberFormat="1" applyFont="1" applyFill="1" applyBorder="1" applyAlignment="1">
      <alignment vertical="center"/>
    </xf>
    <xf numFmtId="9" fontId="0" fillId="3" borderId="0" xfId="3" applyFont="1" applyFill="1"/>
    <xf numFmtId="0" fontId="14" fillId="3" borderId="0" xfId="0" applyFont="1" applyFill="1" applyAlignment="1">
      <alignment vertical="center" wrapText="1"/>
    </xf>
    <xf numFmtId="0" fontId="23" fillId="3" borderId="0" xfId="6" applyFill="1" applyAlignment="1" applyProtection="1"/>
    <xf numFmtId="165" fontId="14" fillId="3" borderId="1" xfId="5" applyNumberFormat="1" applyFont="1" applyFill="1" applyBorder="1" applyAlignment="1">
      <alignment vertical="center"/>
    </xf>
    <xf numFmtId="0" fontId="6" fillId="3" borderId="0" xfId="0" applyFont="1" applyFill="1" applyAlignment="1">
      <alignment horizontal="left"/>
    </xf>
    <xf numFmtId="0" fontId="6" fillId="0" borderId="0" xfId="0" applyFont="1" applyAlignment="1">
      <alignment horizontal="center" vertical="center"/>
    </xf>
    <xf numFmtId="0" fontId="6" fillId="0" borderId="0" xfId="0" applyFont="1" applyAlignment="1">
      <alignment vertical="center" wrapText="1"/>
    </xf>
    <xf numFmtId="0" fontId="6" fillId="0" borderId="0" xfId="0" applyFont="1"/>
    <xf numFmtId="0" fontId="0" fillId="3" borderId="0" xfId="0" applyFill="1" applyAlignment="1">
      <alignment horizontal="center"/>
    </xf>
    <xf numFmtId="0" fontId="6" fillId="3" borderId="39" xfId="0" applyFont="1" applyFill="1" applyBorder="1" applyAlignment="1">
      <alignment horizontal="center"/>
    </xf>
    <xf numFmtId="0" fontId="22" fillId="3" borderId="41" xfId="0" applyFont="1" applyFill="1" applyBorder="1" applyAlignment="1">
      <alignment horizontal="center" vertical="center"/>
    </xf>
    <xf numFmtId="0" fontId="22" fillId="3" borderId="36" xfId="0" applyFont="1" applyFill="1" applyBorder="1" applyAlignment="1">
      <alignment horizontal="center" vertical="center"/>
    </xf>
    <xf numFmtId="0" fontId="22" fillId="3" borderId="35" xfId="0" applyFont="1" applyFill="1" applyBorder="1" applyAlignment="1">
      <alignment horizontal="center" vertical="center"/>
    </xf>
    <xf numFmtId="0" fontId="22" fillId="4" borderId="40" xfId="0" applyFont="1" applyFill="1" applyBorder="1" applyAlignment="1">
      <alignment horizontal="center" vertical="center"/>
    </xf>
    <xf numFmtId="0" fontId="22" fillId="3" borderId="40" xfId="0" applyFont="1" applyFill="1" applyBorder="1" applyAlignment="1">
      <alignment horizontal="center" vertical="center"/>
    </xf>
    <xf numFmtId="0" fontId="22" fillId="3" borderId="6" xfId="0" applyFont="1" applyFill="1" applyBorder="1" applyAlignment="1">
      <alignment horizontal="center" vertical="center"/>
    </xf>
    <xf numFmtId="0" fontId="22" fillId="3" borderId="16" xfId="0" applyFont="1" applyFill="1" applyBorder="1" applyAlignment="1">
      <alignment horizontal="center" vertical="center"/>
    </xf>
    <xf numFmtId="0" fontId="22" fillId="3" borderId="17" xfId="0" applyFont="1" applyFill="1" applyBorder="1" applyAlignment="1">
      <alignment horizontal="center" vertical="center"/>
    </xf>
    <xf numFmtId="0" fontId="22" fillId="4" borderId="6" xfId="0" applyFont="1" applyFill="1" applyBorder="1" applyAlignment="1">
      <alignment horizontal="center" vertical="center"/>
    </xf>
    <xf numFmtId="0" fontId="22" fillId="3" borderId="43" xfId="0" applyFont="1" applyFill="1" applyBorder="1" applyAlignment="1">
      <alignment horizontal="center" vertical="center"/>
    </xf>
    <xf numFmtId="165" fontId="14" fillId="3" borderId="25" xfId="5" applyNumberFormat="1" applyFont="1" applyFill="1" applyBorder="1" applyAlignment="1">
      <alignment vertical="center"/>
    </xf>
    <xf numFmtId="165" fontId="14" fillId="3" borderId="44" xfId="5" applyNumberFormat="1" applyFont="1" applyFill="1" applyBorder="1" applyAlignment="1">
      <alignment vertical="center"/>
    </xf>
    <xf numFmtId="165" fontId="26" fillId="3" borderId="45" xfId="0" applyNumberFormat="1" applyFont="1" applyFill="1" applyBorder="1"/>
    <xf numFmtId="0" fontId="22" fillId="3" borderId="45" xfId="0" applyFont="1" applyFill="1" applyBorder="1" applyAlignment="1">
      <alignment horizontal="center" vertical="center"/>
    </xf>
    <xf numFmtId="0" fontId="22" fillId="3" borderId="10" xfId="0" applyFont="1" applyFill="1" applyBorder="1" applyAlignment="1">
      <alignment horizontal="center" vertical="center"/>
    </xf>
    <xf numFmtId="165" fontId="14" fillId="3" borderId="37" xfId="5" applyNumberFormat="1" applyFont="1" applyFill="1" applyBorder="1" applyAlignment="1">
      <alignment vertical="center"/>
    </xf>
    <xf numFmtId="165" fontId="14" fillId="3" borderId="46" xfId="5" applyNumberFormat="1" applyFont="1" applyFill="1" applyBorder="1" applyAlignment="1">
      <alignment vertical="center"/>
    </xf>
    <xf numFmtId="165" fontId="26" fillId="3" borderId="10" xfId="0" applyNumberFormat="1" applyFont="1" applyFill="1" applyBorder="1"/>
    <xf numFmtId="0" fontId="22" fillId="3" borderId="47" xfId="0" applyFont="1" applyFill="1" applyBorder="1" applyAlignment="1">
      <alignment horizontal="center" vertical="center"/>
    </xf>
    <xf numFmtId="165" fontId="14" fillId="3" borderId="18" xfId="5" applyNumberFormat="1" applyFont="1" applyFill="1" applyBorder="1" applyAlignment="1">
      <alignment vertical="center"/>
    </xf>
    <xf numFmtId="165" fontId="14" fillId="3" borderId="3" xfId="5" applyNumberFormat="1" applyFont="1" applyFill="1" applyBorder="1" applyAlignment="1">
      <alignment vertical="center"/>
    </xf>
    <xf numFmtId="165" fontId="26" fillId="3" borderId="14" xfId="0" applyNumberFormat="1" applyFont="1" applyFill="1" applyBorder="1"/>
    <xf numFmtId="0" fontId="22" fillId="3" borderId="14" xfId="0" applyFont="1" applyFill="1" applyBorder="1" applyAlignment="1">
      <alignment horizontal="center" vertical="center"/>
    </xf>
    <xf numFmtId="165" fontId="14" fillId="3" borderId="19" xfId="5" applyNumberFormat="1" applyFont="1" applyFill="1" applyBorder="1" applyAlignment="1">
      <alignment vertical="center"/>
    </xf>
    <xf numFmtId="0" fontId="22" fillId="3" borderId="48" xfId="0" applyFont="1" applyFill="1" applyBorder="1" applyAlignment="1">
      <alignment horizontal="center" vertical="center"/>
    </xf>
    <xf numFmtId="165" fontId="14" fillId="3" borderId="20" xfId="5" applyNumberFormat="1" applyFont="1" applyFill="1" applyBorder="1" applyAlignment="1">
      <alignment vertical="center"/>
    </xf>
    <xf numFmtId="165" fontId="14" fillId="3" borderId="49" xfId="5" applyNumberFormat="1" applyFont="1" applyFill="1" applyBorder="1" applyAlignment="1">
      <alignment vertical="center"/>
    </xf>
    <xf numFmtId="165" fontId="26" fillId="3" borderId="15" xfId="0" applyNumberFormat="1" applyFont="1" applyFill="1" applyBorder="1"/>
    <xf numFmtId="0" fontId="22" fillId="3" borderId="15" xfId="0" applyFont="1" applyFill="1" applyBorder="1" applyAlignment="1">
      <alignment horizontal="center" vertical="center"/>
    </xf>
    <xf numFmtId="0" fontId="26" fillId="3" borderId="0" xfId="0" applyFont="1" applyFill="1"/>
    <xf numFmtId="165" fontId="14" fillId="3" borderId="22" xfId="5" applyNumberFormat="1" applyFont="1" applyFill="1" applyBorder="1" applyAlignment="1">
      <alignment vertical="center"/>
    </xf>
    <xf numFmtId="0" fontId="6" fillId="3" borderId="0" xfId="0" applyFont="1" applyFill="1" applyAlignment="1">
      <alignment wrapText="1"/>
    </xf>
    <xf numFmtId="0" fontId="27" fillId="3" borderId="0" xfId="0" applyFont="1" applyFill="1"/>
    <xf numFmtId="0" fontId="27" fillId="3" borderId="0" xfId="0" applyFont="1" applyFill="1" applyAlignment="1">
      <alignment horizontal="center"/>
    </xf>
    <xf numFmtId="0" fontId="0" fillId="3" borderId="0" xfId="0" applyFill="1" applyAlignment="1">
      <alignment vertical="center"/>
    </xf>
    <xf numFmtId="0" fontId="0" fillId="3" borderId="34" xfId="0" applyFill="1" applyBorder="1" applyAlignment="1">
      <alignment horizontal="center"/>
    </xf>
    <xf numFmtId="0" fontId="5" fillId="3" borderId="1" xfId="0" applyFont="1" applyFill="1" applyBorder="1" applyAlignment="1">
      <alignment vertical="center" wrapText="1"/>
    </xf>
    <xf numFmtId="0" fontId="18" fillId="7" borderId="1" xfId="0" applyFont="1" applyFill="1" applyBorder="1" applyAlignment="1">
      <alignment horizontal="center" vertical="center" wrapText="1"/>
    </xf>
    <xf numFmtId="9" fontId="18" fillId="3" borderId="1" xfId="0" applyNumberFormat="1" applyFont="1" applyFill="1" applyBorder="1" applyAlignment="1">
      <alignment horizontal="center" vertical="center" wrapText="1"/>
    </xf>
    <xf numFmtId="169" fontId="18" fillId="3" borderId="1" xfId="7" applyNumberFormat="1" applyFont="1" applyFill="1" applyBorder="1" applyAlignment="1">
      <alignment horizontal="center" vertical="center"/>
    </xf>
    <xf numFmtId="0" fontId="18" fillId="3" borderId="1" xfId="0" applyFont="1" applyFill="1" applyBorder="1" applyAlignment="1">
      <alignment horizontal="center" vertical="center" wrapText="1"/>
    </xf>
    <xf numFmtId="0" fontId="12" fillId="3" borderId="0" xfId="0" applyFont="1" applyFill="1" applyAlignment="1">
      <alignment vertical="top"/>
    </xf>
    <xf numFmtId="0" fontId="0" fillId="0" borderId="52" xfId="0" applyBorder="1" applyAlignment="1">
      <alignment vertical="center" wrapText="1"/>
    </xf>
    <xf numFmtId="41" fontId="0" fillId="0" borderId="52" xfId="1" applyFont="1" applyBorder="1" applyAlignment="1">
      <alignment vertical="center" wrapText="1"/>
    </xf>
    <xf numFmtId="0" fontId="6" fillId="0" borderId="1" xfId="0" applyFont="1" applyBorder="1" applyAlignment="1">
      <alignment horizontal="center" vertical="center"/>
    </xf>
    <xf numFmtId="0" fontId="0" fillId="8" borderId="0" xfId="0" applyFill="1"/>
    <xf numFmtId="41" fontId="0" fillId="9" borderId="1" xfId="1" applyFont="1" applyFill="1" applyBorder="1"/>
    <xf numFmtId="41" fontId="0" fillId="0" borderId="0" xfId="1" applyFont="1" applyFill="1" applyBorder="1"/>
    <xf numFmtId="41" fontId="18" fillId="0" borderId="0" xfId="1" applyFont="1" applyFill="1" applyBorder="1" applyAlignment="1">
      <alignment vertical="center"/>
    </xf>
    <xf numFmtId="41" fontId="5" fillId="0" borderId="0" xfId="1" applyFont="1" applyFill="1" applyBorder="1" applyAlignment="1">
      <alignment vertical="center"/>
    </xf>
    <xf numFmtId="41" fontId="7" fillId="0" borderId="0" xfId="1" applyFont="1" applyFill="1" applyBorder="1" applyAlignment="1">
      <alignment horizontal="left" vertical="top" wrapText="1"/>
    </xf>
    <xf numFmtId="0" fontId="0" fillId="0" borderId="55" xfId="0" applyBorder="1"/>
    <xf numFmtId="0" fontId="0" fillId="0" borderId="57" xfId="0" applyBorder="1"/>
    <xf numFmtId="3" fontId="0" fillId="0" borderId="0" xfId="0" applyNumberFormat="1"/>
    <xf numFmtId="3" fontId="0" fillId="0" borderId="52" xfId="0" applyNumberFormat="1" applyBorder="1" applyAlignment="1">
      <alignment vertical="center" wrapText="1"/>
    </xf>
    <xf numFmtId="0" fontId="0" fillId="0" borderId="56" xfId="0" applyBorder="1"/>
    <xf numFmtId="0" fontId="25" fillId="4" borderId="1" xfId="0" applyFont="1" applyFill="1" applyBorder="1" applyAlignment="1">
      <alignment horizontal="center" vertical="center"/>
    </xf>
    <xf numFmtId="0" fontId="22" fillId="3" borderId="1" xfId="0" applyFont="1" applyFill="1" applyBorder="1" applyAlignment="1">
      <alignment horizontal="center" vertical="center"/>
    </xf>
    <xf numFmtId="17" fontId="22" fillId="3" borderId="1" xfId="0" applyNumberFormat="1" applyFont="1" applyFill="1" applyBorder="1" applyAlignment="1">
      <alignment horizontal="center" vertical="center"/>
    </xf>
    <xf numFmtId="165" fontId="26" fillId="3" borderId="1" xfId="0" applyNumberFormat="1" applyFont="1" applyFill="1" applyBorder="1"/>
    <xf numFmtId="0" fontId="0" fillId="0" borderId="1" xfId="0" applyBorder="1"/>
    <xf numFmtId="0" fontId="0" fillId="0" borderId="3" xfId="0" applyBorder="1"/>
    <xf numFmtId="0" fontId="0" fillId="0" borderId="53" xfId="0" applyBorder="1"/>
    <xf numFmtId="0" fontId="0" fillId="0" borderId="54" xfId="0" applyBorder="1"/>
    <xf numFmtId="0" fontId="0" fillId="0" borderId="58" xfId="0" applyBorder="1" applyAlignment="1">
      <alignment vertical="center" wrapText="1"/>
    </xf>
    <xf numFmtId="0" fontId="0" fillId="0" borderId="59" xfId="0" applyBorder="1" applyAlignment="1">
      <alignment vertical="center" wrapText="1"/>
    </xf>
    <xf numFmtId="0" fontId="0" fillId="0" borderId="0" xfId="0" applyAlignment="1">
      <alignment vertical="center" wrapText="1"/>
    </xf>
    <xf numFmtId="0" fontId="0" fillId="0" borderId="1" xfId="0"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59" xfId="0" applyFont="1" applyBorder="1" applyAlignment="1">
      <alignment horizontal="center" vertical="center" wrapText="1"/>
    </xf>
    <xf numFmtId="41" fontId="0" fillId="0" borderId="0" xfId="1" applyFont="1" applyBorder="1" applyAlignment="1">
      <alignment vertical="center" wrapText="1"/>
    </xf>
    <xf numFmtId="41" fontId="0" fillId="0" borderId="0" xfId="1" applyFont="1" applyBorder="1"/>
    <xf numFmtId="0" fontId="0" fillId="0" borderId="0" xfId="0" applyAlignment="1">
      <alignment wrapText="1"/>
    </xf>
    <xf numFmtId="164" fontId="0" fillId="0" borderId="52" xfId="3" applyNumberFormat="1" applyFont="1" applyBorder="1" applyAlignment="1">
      <alignment vertical="center" wrapText="1"/>
    </xf>
    <xf numFmtId="0" fontId="0" fillId="0" borderId="60" xfId="0" applyBorder="1" applyAlignment="1">
      <alignment vertical="center" wrapText="1"/>
    </xf>
    <xf numFmtId="0" fontId="0" fillId="0" borderId="61" xfId="0" applyBorder="1" applyAlignment="1">
      <alignment vertical="center" wrapText="1"/>
    </xf>
    <xf numFmtId="3" fontId="0" fillId="0" borderId="60" xfId="0" applyNumberFormat="1" applyBorder="1" applyAlignment="1">
      <alignment vertical="center" wrapText="1"/>
    </xf>
    <xf numFmtId="0" fontId="0" fillId="0" borderId="56" xfId="0" applyBorder="1" applyAlignment="1">
      <alignment vertical="center" wrapText="1"/>
    </xf>
    <xf numFmtId="3" fontId="0" fillId="0" borderId="0" xfId="0" applyNumberFormat="1" applyAlignment="1">
      <alignment vertical="center" wrapText="1"/>
    </xf>
    <xf numFmtId="3" fontId="0" fillId="0" borderId="1" xfId="0" applyNumberFormat="1" applyBorder="1" applyAlignment="1">
      <alignment vertical="center" wrapText="1"/>
    </xf>
    <xf numFmtId="3" fontId="0" fillId="0" borderId="1" xfId="0" applyNumberFormat="1" applyBorder="1"/>
    <xf numFmtId="41" fontId="0" fillId="0" borderId="1" xfId="1" applyFont="1" applyBorder="1" applyAlignment="1">
      <alignment vertical="center" wrapText="1"/>
    </xf>
    <xf numFmtId="3" fontId="0" fillId="0" borderId="3" xfId="0" applyNumberFormat="1" applyBorder="1" applyAlignment="1">
      <alignment vertical="center" wrapText="1"/>
    </xf>
    <xf numFmtId="0" fontId="0" fillId="0" borderId="3" xfId="0" applyBorder="1" applyAlignment="1">
      <alignment vertical="center" wrapText="1"/>
    </xf>
    <xf numFmtId="41" fontId="0" fillId="0" borderId="3" xfId="1" applyFont="1" applyBorder="1" applyAlignment="1">
      <alignment vertical="center" wrapText="1"/>
    </xf>
    <xf numFmtId="0" fontId="0" fillId="0" borderId="52" xfId="0" applyBorder="1" applyAlignment="1">
      <alignment vertical="center"/>
    </xf>
    <xf numFmtId="0" fontId="0" fillId="0" borderId="52" xfId="0" applyBorder="1" applyAlignment="1">
      <alignment horizontal="center" vertical="center" wrapText="1"/>
    </xf>
    <xf numFmtId="0" fontId="0" fillId="0" borderId="59" xfId="0" applyBorder="1" applyAlignment="1">
      <alignment horizontal="center" vertical="center" wrapText="1"/>
    </xf>
    <xf numFmtId="0" fontId="0" fillId="8" borderId="59" xfId="0" applyFill="1" applyBorder="1" applyAlignment="1">
      <alignment horizontal="center" vertical="center" wrapText="1"/>
    </xf>
    <xf numFmtId="41" fontId="0" fillId="0" borderId="58" xfId="1" applyFont="1" applyBorder="1" applyAlignment="1">
      <alignment vertical="center" wrapText="1"/>
    </xf>
    <xf numFmtId="41" fontId="0" fillId="0" borderId="59" xfId="1" applyFont="1" applyBorder="1" applyAlignment="1">
      <alignment vertical="center" wrapText="1"/>
    </xf>
    <xf numFmtId="0" fontId="0" fillId="10" borderId="1" xfId="0" applyFill="1" applyBorder="1" applyAlignment="1">
      <alignment vertical="center" wrapText="1"/>
    </xf>
    <xf numFmtId="41" fontId="0" fillId="10" borderId="1" xfId="1" applyFont="1" applyFill="1" applyBorder="1" applyAlignment="1">
      <alignment vertical="center" wrapText="1"/>
    </xf>
    <xf numFmtId="0" fontId="6" fillId="0" borderId="62" xfId="0" applyFont="1" applyBorder="1" applyAlignment="1">
      <alignment horizontal="center" vertical="center" wrapText="1"/>
    </xf>
    <xf numFmtId="0" fontId="6" fillId="0" borderId="0" xfId="0" applyFont="1" applyAlignment="1">
      <alignment vertical="center"/>
    </xf>
    <xf numFmtId="0" fontId="6" fillId="0" borderId="59" xfId="0" applyFont="1" applyBorder="1" applyAlignment="1">
      <alignment vertical="center"/>
    </xf>
    <xf numFmtId="0" fontId="6" fillId="0" borderId="12" xfId="0" applyFont="1" applyBorder="1" applyAlignment="1">
      <alignment horizontal="center" vertical="center" wrapText="1"/>
    </xf>
    <xf numFmtId="41" fontId="0" fillId="0" borderId="0" xfId="1" applyFont="1" applyFill="1" applyBorder="1" applyAlignment="1">
      <alignment vertical="center" wrapText="1"/>
    </xf>
    <xf numFmtId="0" fontId="6" fillId="0" borderId="61" xfId="0" applyFont="1" applyBorder="1" applyAlignment="1">
      <alignment vertical="center"/>
    </xf>
    <xf numFmtId="0" fontId="0" fillId="8" borderId="0" xfId="0" applyFill="1" applyAlignment="1">
      <alignment wrapText="1"/>
    </xf>
    <xf numFmtId="0" fontId="25" fillId="3" borderId="1" xfId="0" applyFont="1" applyFill="1" applyBorder="1" applyAlignment="1">
      <alignment horizontal="center" vertical="center"/>
    </xf>
    <xf numFmtId="0" fontId="0" fillId="3" borderId="1" xfId="0" applyFill="1" applyBorder="1" applyAlignment="1">
      <alignment horizontal="left"/>
    </xf>
    <xf numFmtId="41" fontId="0" fillId="0" borderId="1" xfId="1" applyFont="1" applyFill="1" applyBorder="1"/>
    <xf numFmtId="0" fontId="6" fillId="9" borderId="1" xfId="0" applyFont="1" applyFill="1" applyBorder="1"/>
    <xf numFmtId="17" fontId="6" fillId="9" borderId="1" xfId="0" applyNumberFormat="1" applyFont="1" applyFill="1" applyBorder="1" applyAlignment="1">
      <alignment horizontal="center"/>
    </xf>
    <xf numFmtId="0" fontId="0" fillId="9" borderId="1" xfId="0" applyFill="1" applyBorder="1" applyAlignment="1">
      <alignment horizontal="left"/>
    </xf>
    <xf numFmtId="0" fontId="0" fillId="8" borderId="0" xfId="0" applyFill="1" applyAlignment="1">
      <alignment vertical="center" wrapText="1"/>
    </xf>
    <xf numFmtId="41" fontId="0" fillId="8" borderId="0" xfId="1" applyFont="1" applyFill="1" applyBorder="1" applyAlignment="1">
      <alignment vertical="center" wrapText="1"/>
    </xf>
    <xf numFmtId="0" fontId="6" fillId="8" borderId="57" xfId="0" applyFont="1" applyFill="1" applyBorder="1" applyAlignment="1">
      <alignment horizontal="center" vertical="center" wrapText="1"/>
    </xf>
    <xf numFmtId="0" fontId="6" fillId="8" borderId="59" xfId="0" applyFont="1" applyFill="1" applyBorder="1" applyAlignment="1">
      <alignment horizontal="center" vertical="center" wrapText="1"/>
    </xf>
    <xf numFmtId="0" fontId="0" fillId="11" borderId="0" xfId="0" applyFill="1"/>
    <xf numFmtId="0" fontId="19" fillId="12" borderId="0" xfId="0" applyFont="1" applyFill="1"/>
    <xf numFmtId="17" fontId="6" fillId="0" borderId="1" xfId="0" applyNumberFormat="1" applyFont="1" applyBorder="1" applyAlignment="1">
      <alignment horizontal="center" vertical="center"/>
    </xf>
    <xf numFmtId="165" fontId="13" fillId="3" borderId="51" xfId="2" applyNumberFormat="1" applyFont="1" applyFill="1" applyBorder="1" applyAlignment="1"/>
    <xf numFmtId="43" fontId="0" fillId="0" borderId="0" xfId="0" applyNumberFormat="1"/>
    <xf numFmtId="0" fontId="0" fillId="0" borderId="0" xfId="0" pivotButton="1"/>
    <xf numFmtId="0" fontId="0" fillId="0" borderId="0" xfId="0" applyAlignment="1">
      <alignment horizontal="left"/>
    </xf>
    <xf numFmtId="41" fontId="0" fillId="0" borderId="0" xfId="0" applyNumberFormat="1"/>
    <xf numFmtId="0" fontId="6" fillId="13" borderId="63" xfId="0" applyFont="1" applyFill="1" applyBorder="1"/>
    <xf numFmtId="0" fontId="0" fillId="0" borderId="0" xfId="0" applyAlignment="1">
      <alignment horizontal="left" indent="1"/>
    </xf>
    <xf numFmtId="0" fontId="0" fillId="0" borderId="0" xfId="0" applyAlignment="1">
      <alignment horizontal="left" indent="2"/>
    </xf>
    <xf numFmtId="0" fontId="7" fillId="0" borderId="0" xfId="0" applyFont="1"/>
    <xf numFmtId="0" fontId="0" fillId="0" borderId="0" xfId="0" applyAlignment="1">
      <alignment vertical="center"/>
    </xf>
    <xf numFmtId="0" fontId="6" fillId="0" borderId="2" xfId="0" applyFont="1" applyBorder="1" applyAlignment="1">
      <alignment horizontal="center" vertical="center" wrapText="1"/>
    </xf>
    <xf numFmtId="17" fontId="0" fillId="0" borderId="0" xfId="0" applyNumberFormat="1"/>
    <xf numFmtId="17" fontId="6" fillId="0" borderId="1" xfId="0" applyNumberFormat="1" applyFont="1" applyBorder="1" applyAlignment="1">
      <alignment horizontal="center"/>
    </xf>
    <xf numFmtId="0" fontId="0" fillId="9" borderId="0" xfId="0" applyFill="1" applyAlignment="1">
      <alignment horizontal="left"/>
    </xf>
    <xf numFmtId="41" fontId="0" fillId="9" borderId="0" xfId="0" applyNumberFormat="1" applyFill="1"/>
    <xf numFmtId="0" fontId="0" fillId="9" borderId="0" xfId="0" applyFill="1"/>
    <xf numFmtId="41" fontId="0" fillId="0" borderId="0" xfId="1" applyFont="1"/>
    <xf numFmtId="41" fontId="0" fillId="9" borderId="0" xfId="1" applyFont="1" applyFill="1"/>
    <xf numFmtId="0" fontId="0" fillId="12" borderId="0" xfId="0" applyFill="1"/>
    <xf numFmtId="0" fontId="0" fillId="15" borderId="0" xfId="0" applyFill="1"/>
    <xf numFmtId="165" fontId="13" fillId="14" borderId="1" xfId="2" applyNumberFormat="1" applyFont="1" applyFill="1" applyBorder="1" applyAlignment="1"/>
    <xf numFmtId="0" fontId="0" fillId="10" borderId="0" xfId="0" applyFill="1" applyAlignment="1">
      <alignment horizontal="left"/>
    </xf>
    <xf numFmtId="41" fontId="0" fillId="10" borderId="0" xfId="0" applyNumberFormat="1" applyFill="1"/>
    <xf numFmtId="0" fontId="0" fillId="10" borderId="0" xfId="0" applyFill="1"/>
    <xf numFmtId="0" fontId="6" fillId="0" borderId="0" xfId="0" applyFont="1" applyAlignment="1">
      <alignment horizontal="center" vertical="center" wrapText="1"/>
    </xf>
    <xf numFmtId="17" fontId="11" fillId="0" borderId="1" xfId="0" applyNumberFormat="1" applyFont="1" applyBorder="1" applyAlignment="1">
      <alignment horizontal="center" vertical="center"/>
    </xf>
    <xf numFmtId="0" fontId="7" fillId="0" borderId="0" xfId="0" applyFont="1" applyAlignment="1">
      <alignment horizontal="left" vertical="top" wrapText="1"/>
    </xf>
    <xf numFmtId="0" fontId="6" fillId="0" borderId="57" xfId="0" applyFont="1" applyBorder="1" applyAlignment="1">
      <alignment horizontal="center" vertical="center" wrapText="1"/>
    </xf>
    <xf numFmtId="9" fontId="0" fillId="0" borderId="0" xfId="3" applyFont="1" applyFill="1" applyBorder="1" applyAlignment="1">
      <alignment horizontal="right" vertical="center" wrapText="1"/>
    </xf>
    <xf numFmtId="0" fontId="6" fillId="0" borderId="3" xfId="0" applyFont="1" applyBorder="1" applyAlignment="1">
      <alignment horizontal="center" vertical="center" wrapText="1"/>
    </xf>
    <xf numFmtId="0" fontId="6" fillId="3" borderId="1" xfId="0" applyFont="1" applyFill="1" applyBorder="1" applyAlignment="1">
      <alignment horizontal="center"/>
    </xf>
    <xf numFmtId="0" fontId="6" fillId="3" borderId="1" xfId="0" applyFont="1" applyFill="1" applyBorder="1" applyAlignment="1">
      <alignment horizontal="center" vertical="center"/>
    </xf>
    <xf numFmtId="0" fontId="6" fillId="0" borderId="65" xfId="0" applyFont="1" applyBorder="1" applyAlignment="1">
      <alignment horizontal="center" vertical="center" wrapText="1"/>
    </xf>
    <xf numFmtId="0" fontId="6" fillId="0" borderId="52" xfId="0" applyFont="1" applyBorder="1" applyAlignment="1">
      <alignment horizontal="center" vertical="center" wrapText="1"/>
    </xf>
    <xf numFmtId="0" fontId="6" fillId="0" borderId="64" xfId="0" applyFont="1" applyBorder="1" applyAlignment="1">
      <alignment horizontal="center" vertical="center" wrapText="1"/>
    </xf>
    <xf numFmtId="165" fontId="11" fillId="3" borderId="1" xfId="4" applyNumberFormat="1" applyFont="1" applyFill="1" applyBorder="1" applyAlignment="1">
      <alignment horizontal="center" vertical="center"/>
    </xf>
    <xf numFmtId="17" fontId="11" fillId="3" borderId="1" xfId="4" applyNumberFormat="1" applyFont="1" applyFill="1" applyBorder="1" applyAlignment="1">
      <alignment horizontal="center" vertical="center" wrapText="1"/>
    </xf>
    <xf numFmtId="17" fontId="11" fillId="0" borderId="1" xfId="0" applyNumberFormat="1" applyFont="1" applyBorder="1" applyAlignment="1">
      <alignment horizontal="center"/>
    </xf>
    <xf numFmtId="0" fontId="27" fillId="0" borderId="0" xfId="0" applyFont="1" applyAlignment="1">
      <alignment horizontal="left" vertical="center"/>
    </xf>
    <xf numFmtId="0" fontId="0" fillId="0" borderId="67" xfId="0" applyBorder="1"/>
    <xf numFmtId="17" fontId="11" fillId="0" borderId="0" xfId="0" applyNumberFormat="1" applyFont="1" applyAlignment="1">
      <alignment horizontal="center" vertical="center" wrapText="1"/>
    </xf>
    <xf numFmtId="41" fontId="6" fillId="0" borderId="1" xfId="1" applyFont="1" applyBorder="1" applyAlignment="1">
      <alignment horizontal="center" vertical="center" wrapText="1"/>
    </xf>
    <xf numFmtId="41" fontId="6" fillId="0" borderId="3" xfId="1" applyFont="1" applyBorder="1" applyAlignment="1">
      <alignment horizontal="center" vertical="center" wrapText="1"/>
    </xf>
    <xf numFmtId="0" fontId="6" fillId="0" borderId="3" xfId="0" applyFont="1" applyBorder="1" applyAlignment="1">
      <alignment vertical="center" wrapText="1"/>
    </xf>
    <xf numFmtId="0" fontId="0" fillId="0" borderId="62" xfId="0" applyBorder="1" applyAlignment="1">
      <alignment vertical="center" wrapText="1"/>
    </xf>
    <xf numFmtId="0" fontId="0" fillId="0" borderId="64" xfId="0" applyBorder="1" applyAlignment="1">
      <alignment vertical="center" wrapText="1"/>
    </xf>
    <xf numFmtId="0" fontId="0" fillId="0" borderId="76" xfId="0" applyBorder="1" applyAlignment="1">
      <alignment vertical="center" wrapText="1"/>
    </xf>
    <xf numFmtId="0" fontId="6" fillId="0" borderId="62" xfId="0" applyFont="1" applyBorder="1" applyAlignment="1">
      <alignment vertical="center"/>
    </xf>
    <xf numFmtId="0" fontId="6" fillId="0" borderId="64" xfId="0" applyFont="1" applyBorder="1" applyAlignment="1">
      <alignment vertical="center"/>
    </xf>
    <xf numFmtId="0" fontId="4" fillId="0" borderId="0" xfId="0" applyFont="1"/>
    <xf numFmtId="0" fontId="11" fillId="3" borderId="1" xfId="0" applyFont="1" applyFill="1" applyBorder="1" applyAlignment="1">
      <alignment horizontal="center" vertical="center" wrapText="1"/>
    </xf>
    <xf numFmtId="165" fontId="11" fillId="0" borderId="1" xfId="4" applyNumberFormat="1" applyFont="1" applyFill="1" applyBorder="1" applyAlignment="1">
      <alignment horizontal="center" vertical="center"/>
    </xf>
    <xf numFmtId="165" fontId="11" fillId="9" borderId="1" xfId="4" applyNumberFormat="1" applyFont="1" applyFill="1" applyBorder="1" applyAlignment="1">
      <alignment horizontal="center" vertical="center" wrapText="1"/>
    </xf>
    <xf numFmtId="17" fontId="6" fillId="3" borderId="1" xfId="0" applyNumberFormat="1" applyFont="1" applyFill="1" applyBorder="1" applyAlignment="1">
      <alignment horizontal="center"/>
    </xf>
    <xf numFmtId="9" fontId="0" fillId="0" borderId="1" xfId="3" applyFont="1" applyFill="1" applyBorder="1" applyAlignment="1">
      <alignment horizontal="center"/>
    </xf>
    <xf numFmtId="0" fontId="6" fillId="16" borderId="1" xfId="0" applyFont="1" applyFill="1" applyBorder="1" applyAlignment="1">
      <alignment horizontal="center" vertical="center"/>
    </xf>
    <xf numFmtId="0" fontId="6" fillId="16" borderId="1" xfId="0" applyFont="1" applyFill="1" applyBorder="1" applyAlignment="1">
      <alignment horizontal="center"/>
    </xf>
    <xf numFmtId="0" fontId="6" fillId="16" borderId="1" xfId="0" applyFont="1" applyFill="1" applyBorder="1" applyAlignment="1">
      <alignment horizontal="center" vertical="center" wrapText="1"/>
    </xf>
    <xf numFmtId="17" fontId="11" fillId="16" borderId="1" xfId="0" applyNumberFormat="1" applyFont="1" applyFill="1" applyBorder="1" applyAlignment="1">
      <alignment horizontal="center" vertical="center"/>
    </xf>
    <xf numFmtId="41" fontId="6" fillId="16" borderId="1" xfId="1" applyFont="1" applyFill="1" applyBorder="1" applyAlignment="1">
      <alignment horizontal="center" vertical="center" wrapText="1"/>
    </xf>
    <xf numFmtId="17" fontId="11" fillId="16" borderId="1" xfId="0" applyNumberFormat="1" applyFont="1" applyFill="1" applyBorder="1" applyAlignment="1">
      <alignment horizontal="center"/>
    </xf>
    <xf numFmtId="0" fontId="6" fillId="16" borderId="1" xfId="0" applyFont="1" applyFill="1" applyBorder="1"/>
    <xf numFmtId="0" fontId="6" fillId="16" borderId="3" xfId="0" applyFont="1" applyFill="1" applyBorder="1" applyAlignment="1">
      <alignment horizontal="center" vertical="center" wrapText="1"/>
    </xf>
    <xf numFmtId="41" fontId="6" fillId="16" borderId="3" xfId="1" applyFont="1" applyFill="1" applyBorder="1" applyAlignment="1">
      <alignment horizontal="center" vertical="center" wrapText="1"/>
    </xf>
    <xf numFmtId="165" fontId="11" fillId="16" borderId="1" xfId="4" applyNumberFormat="1" applyFont="1" applyFill="1" applyBorder="1" applyAlignment="1">
      <alignment horizontal="center" vertical="center" wrapText="1"/>
    </xf>
    <xf numFmtId="0" fontId="0" fillId="16" borderId="3" xfId="0" applyFill="1" applyBorder="1" applyAlignment="1">
      <alignment vertical="center" wrapText="1"/>
    </xf>
    <xf numFmtId="0" fontId="6" fillId="16" borderId="64" xfId="0" applyFont="1" applyFill="1" applyBorder="1" applyAlignment="1">
      <alignment vertical="center" wrapText="1"/>
    </xf>
    <xf numFmtId="165" fontId="11" fillId="16" borderId="1" xfId="4" applyNumberFormat="1" applyFont="1" applyFill="1" applyBorder="1" applyAlignment="1">
      <alignment horizontal="center" vertical="center"/>
    </xf>
    <xf numFmtId="9" fontId="6" fillId="16" borderId="1" xfId="3" applyFont="1" applyFill="1" applyBorder="1" applyAlignment="1">
      <alignment horizontal="center"/>
    </xf>
    <xf numFmtId="0" fontId="6" fillId="16" borderId="52" xfId="0" applyFont="1" applyFill="1" applyBorder="1" applyAlignment="1">
      <alignment vertical="center" wrapText="1"/>
    </xf>
    <xf numFmtId="0" fontId="3" fillId="0" borderId="0" xfId="0" applyFont="1"/>
    <xf numFmtId="0" fontId="0" fillId="0" borderId="0" xfId="0" quotePrefix="1" applyAlignment="1">
      <alignment vertical="top"/>
    </xf>
    <xf numFmtId="0" fontId="6" fillId="0" borderId="64" xfId="0" applyFont="1" applyBorder="1" applyAlignment="1">
      <alignment vertical="center" wrapText="1"/>
    </xf>
    <xf numFmtId="0" fontId="32" fillId="0" borderId="0" xfId="0" quotePrefix="1" applyFont="1" applyAlignment="1">
      <alignment vertical="center" wrapText="1"/>
    </xf>
    <xf numFmtId="0" fontId="12" fillId="3" borderId="0" xfId="0" applyFont="1" applyFill="1" applyAlignment="1">
      <alignment vertical="top" wrapText="1"/>
    </xf>
    <xf numFmtId="0" fontId="0" fillId="0" borderId="1" xfId="0" applyBorder="1" applyAlignment="1">
      <alignment horizontal="center" vertical="center" wrapText="1"/>
    </xf>
    <xf numFmtId="0" fontId="36" fillId="0" borderId="1" xfId="0" applyFont="1" applyBorder="1" applyAlignment="1">
      <alignment vertical="center"/>
    </xf>
    <xf numFmtId="0" fontId="37" fillId="0" borderId="1" xfId="0" applyFont="1" applyBorder="1" applyAlignment="1">
      <alignment vertical="center"/>
    </xf>
    <xf numFmtId="0" fontId="35" fillId="0" borderId="1" xfId="0" applyFont="1" applyBorder="1" applyAlignment="1">
      <alignment horizontal="center" vertical="center" wrapText="1"/>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0" fillId="0" borderId="50" xfId="0" applyBorder="1" applyAlignment="1">
      <alignment horizontal="center" vertical="center"/>
    </xf>
    <xf numFmtId="0" fontId="0" fillId="0" borderId="1" xfId="0" applyBorder="1" applyAlignment="1">
      <alignment horizontal="center" vertical="center"/>
    </xf>
    <xf numFmtId="3" fontId="10" fillId="0" borderId="1" xfId="14" applyNumberFormat="1" applyFont="1" applyBorder="1" applyAlignment="1">
      <alignment horizontal="center"/>
    </xf>
    <xf numFmtId="3" fontId="18" fillId="17" borderId="1" xfId="15" applyNumberFormat="1" applyFont="1" applyFill="1" applyBorder="1" applyAlignment="1">
      <alignment horizontal="center" wrapText="1"/>
    </xf>
    <xf numFmtId="3" fontId="18" fillId="0" borderId="1" xfId="15" applyNumberFormat="1" applyFont="1" applyBorder="1" applyAlignment="1">
      <alignment horizontal="center" wrapText="1"/>
    </xf>
    <xf numFmtId="0" fontId="40" fillId="0" borderId="1" xfId="0" applyFont="1" applyBorder="1" applyAlignment="1">
      <alignment horizontal="center" vertical="center"/>
    </xf>
    <xf numFmtId="3" fontId="40" fillId="0" borderId="1" xfId="0" applyNumberFormat="1" applyFont="1" applyBorder="1" applyAlignment="1">
      <alignment horizontal="center" vertical="center"/>
    </xf>
    <xf numFmtId="3" fontId="10" fillId="0" borderId="1" xfId="1" applyNumberFormat="1" applyFont="1" applyBorder="1" applyAlignment="1">
      <alignment horizontal="center"/>
    </xf>
    <xf numFmtId="3" fontId="40" fillId="0" borderId="1" xfId="1" applyNumberFormat="1" applyFont="1" applyBorder="1" applyAlignment="1">
      <alignment horizontal="center" vertical="center"/>
    </xf>
    <xf numFmtId="3" fontId="18" fillId="17" borderId="1" xfId="1" applyNumberFormat="1" applyFont="1" applyFill="1" applyBorder="1" applyAlignment="1">
      <alignment horizontal="center" wrapText="1"/>
    </xf>
    <xf numFmtId="3" fontId="0" fillId="0" borderId="1" xfId="1" applyNumberFormat="1" applyFont="1" applyBorder="1" applyAlignment="1">
      <alignment horizontal="center"/>
    </xf>
    <xf numFmtId="0" fontId="11" fillId="0" borderId="50" xfId="0" applyFont="1" applyBorder="1" applyAlignment="1">
      <alignment horizontal="center" vertical="center" wrapText="1"/>
    </xf>
    <xf numFmtId="0" fontId="11" fillId="0" borderId="1" xfId="0" applyFont="1" applyBorder="1" applyAlignment="1">
      <alignment horizontal="center"/>
    </xf>
    <xf numFmtId="17" fontId="0" fillId="0" borderId="1" xfId="0" applyNumberFormat="1" applyBorder="1" applyAlignment="1">
      <alignment horizontal="left"/>
    </xf>
    <xf numFmtId="0" fontId="23" fillId="0" borderId="0" xfId="6" applyAlignment="1" applyProtection="1"/>
    <xf numFmtId="0" fontId="15" fillId="0" borderId="0" xfId="0" quotePrefix="1" applyFont="1" applyAlignment="1">
      <alignment vertical="top"/>
    </xf>
    <xf numFmtId="0" fontId="14" fillId="0" borderId="0" xfId="0" quotePrefix="1" applyFont="1" applyAlignment="1">
      <alignment vertical="top"/>
    </xf>
    <xf numFmtId="0" fontId="42" fillId="0" borderId="0" xfId="0" quotePrefix="1" applyFont="1" applyAlignment="1">
      <alignment vertical="top"/>
    </xf>
    <xf numFmtId="0" fontId="14" fillId="0" borderId="0" xfId="0" applyFont="1"/>
    <xf numFmtId="0" fontId="43" fillId="3" borderId="0" xfId="0" applyFont="1" applyFill="1"/>
    <xf numFmtId="0" fontId="14" fillId="0" borderId="0" xfId="0" applyFont="1" applyAlignment="1">
      <alignment vertical="center"/>
    </xf>
    <xf numFmtId="0" fontId="21" fillId="0" borderId="0" xfId="0" applyFont="1" applyAlignment="1">
      <alignment horizontal="center" vertical="center" wrapText="1"/>
    </xf>
    <xf numFmtId="0" fontId="14" fillId="0" borderId="0" xfId="0" quotePrefix="1" applyFont="1" applyAlignment="1">
      <alignment vertical="center"/>
    </xf>
    <xf numFmtId="0" fontId="43" fillId="3" borderId="0" xfId="0" applyFont="1" applyFill="1" applyAlignment="1">
      <alignment vertical="center"/>
    </xf>
    <xf numFmtId="41" fontId="14" fillId="0" borderId="0" xfId="1" applyFont="1" applyFill="1" applyBorder="1" applyAlignment="1">
      <alignment vertical="center"/>
    </xf>
    <xf numFmtId="0" fontId="42" fillId="0" borderId="0" xfId="0" quotePrefix="1" applyFont="1" applyAlignment="1">
      <alignment vertical="center"/>
    </xf>
    <xf numFmtId="0" fontId="7" fillId="3" borderId="0" xfId="0" applyFont="1" applyFill="1" applyAlignment="1">
      <alignment vertical="center"/>
    </xf>
    <xf numFmtId="3" fontId="0" fillId="0" borderId="1" xfId="1" applyNumberFormat="1" applyFont="1" applyBorder="1"/>
    <xf numFmtId="3" fontId="0" fillId="16" borderId="1" xfId="1" applyNumberFormat="1" applyFont="1" applyFill="1" applyBorder="1"/>
    <xf numFmtId="3" fontId="0" fillId="16" borderId="1" xfId="1" applyNumberFormat="1" applyFont="1" applyFill="1" applyBorder="1" applyAlignment="1">
      <alignment horizontal="center"/>
    </xf>
    <xf numFmtId="3" fontId="6" fillId="16" borderId="1" xfId="0" applyNumberFormat="1" applyFont="1" applyFill="1" applyBorder="1" applyAlignment="1">
      <alignment horizontal="center"/>
    </xf>
    <xf numFmtId="3" fontId="0" fillId="0" borderId="1" xfId="0" applyNumberFormat="1" applyBorder="1" applyAlignment="1">
      <alignment horizontal="center"/>
    </xf>
    <xf numFmtId="3" fontId="1" fillId="0" borderId="1" xfId="1" applyNumberFormat="1" applyFont="1" applyBorder="1" applyAlignment="1">
      <alignment horizontal="center" vertical="center"/>
    </xf>
    <xf numFmtId="3" fontId="1" fillId="0" borderId="1" xfId="1" applyNumberFormat="1" applyFont="1" applyBorder="1" applyAlignment="1">
      <alignment horizontal="center" vertical="center" wrapText="1"/>
    </xf>
    <xf numFmtId="3" fontId="1" fillId="0" borderId="1" xfId="1" applyNumberFormat="1" applyFont="1" applyBorder="1" applyAlignment="1">
      <alignment horizontal="center"/>
    </xf>
    <xf numFmtId="3" fontId="6" fillId="16" borderId="1" xfId="1" applyNumberFormat="1" applyFont="1" applyFill="1" applyBorder="1" applyAlignment="1">
      <alignment horizontal="center"/>
    </xf>
    <xf numFmtId="3" fontId="1" fillId="0" borderId="1" xfId="1" applyNumberFormat="1" applyFont="1" applyFill="1" applyBorder="1" applyAlignment="1">
      <alignment horizontal="center"/>
    </xf>
    <xf numFmtId="0" fontId="6" fillId="16" borderId="3" xfId="0" applyFont="1" applyFill="1" applyBorder="1"/>
    <xf numFmtId="164" fontId="6" fillId="16" borderId="1" xfId="3" applyNumberFormat="1" applyFont="1" applyFill="1" applyBorder="1" applyAlignment="1">
      <alignment horizontal="center" vertical="center" wrapText="1"/>
    </xf>
    <xf numFmtId="164" fontId="0" fillId="0" borderId="1" xfId="3" applyNumberFormat="1" applyFont="1" applyBorder="1" applyAlignment="1">
      <alignment horizontal="center" vertical="center" wrapText="1"/>
    </xf>
    <xf numFmtId="164" fontId="0" fillId="0" borderId="1" xfId="3" applyNumberFormat="1" applyFont="1" applyFill="1" applyBorder="1" applyAlignment="1">
      <alignment horizontal="center" vertical="center" wrapText="1"/>
    </xf>
    <xf numFmtId="3" fontId="6" fillId="16" borderId="1" xfId="1" applyNumberFormat="1" applyFont="1" applyFill="1" applyBorder="1" applyAlignment="1">
      <alignment horizontal="center" vertical="center" wrapText="1"/>
    </xf>
    <xf numFmtId="3" fontId="0" fillId="0" borderId="1" xfId="1" applyNumberFormat="1" applyFont="1" applyFill="1" applyBorder="1" applyAlignment="1">
      <alignment horizontal="center"/>
    </xf>
    <xf numFmtId="3" fontId="0" fillId="16" borderId="12" xfId="1" applyNumberFormat="1" applyFont="1" applyFill="1" applyBorder="1" applyAlignment="1">
      <alignment horizontal="center"/>
    </xf>
    <xf numFmtId="3" fontId="1" fillId="0" borderId="1" xfId="1" applyNumberFormat="1" applyFont="1" applyFill="1" applyBorder="1" applyAlignment="1">
      <alignment horizontal="center" vertical="center" wrapText="1"/>
    </xf>
    <xf numFmtId="3" fontId="11" fillId="16" borderId="1" xfId="1" applyNumberFormat="1" applyFont="1" applyFill="1" applyBorder="1" applyAlignment="1">
      <alignment horizontal="center"/>
    </xf>
    <xf numFmtId="3" fontId="10" fillId="0" borderId="1" xfId="1" applyNumberFormat="1" applyFont="1" applyFill="1" applyBorder="1" applyAlignment="1">
      <alignment horizontal="center"/>
    </xf>
    <xf numFmtId="164" fontId="0" fillId="0" borderId="1" xfId="3" applyNumberFormat="1" applyFont="1" applyBorder="1" applyAlignment="1">
      <alignment horizontal="center"/>
    </xf>
    <xf numFmtId="3" fontId="0" fillId="0" borderId="1" xfId="1" applyNumberFormat="1" applyFont="1" applyBorder="1" applyAlignment="1">
      <alignment horizontal="center" vertical="center"/>
    </xf>
    <xf numFmtId="164" fontId="0" fillId="0" borderId="1" xfId="3" applyNumberFormat="1" applyFont="1" applyBorder="1" applyAlignment="1">
      <alignment horizontal="center" vertical="center"/>
    </xf>
    <xf numFmtId="0" fontId="6" fillId="0" borderId="1" xfId="0" applyFont="1" applyBorder="1" applyAlignment="1">
      <alignment horizontal="left" vertical="center" wrapText="1"/>
    </xf>
    <xf numFmtId="0" fontId="6" fillId="16" borderId="1" xfId="0" applyFont="1" applyFill="1" applyBorder="1" applyAlignment="1">
      <alignment horizontal="left" vertical="center" wrapText="1"/>
    </xf>
    <xf numFmtId="164" fontId="0" fillId="16" borderId="1" xfId="3" applyNumberFormat="1" applyFont="1" applyFill="1" applyBorder="1" applyAlignment="1">
      <alignment horizontal="center" vertical="center" wrapText="1"/>
    </xf>
    <xf numFmtId="3" fontId="0" fillId="0" borderId="1" xfId="1" applyNumberFormat="1" applyFont="1" applyFill="1" applyBorder="1" applyAlignment="1">
      <alignment horizontal="center" vertical="center" wrapText="1"/>
    </xf>
    <xf numFmtId="3" fontId="0" fillId="16" borderId="1" xfId="1" applyNumberFormat="1" applyFont="1" applyFill="1" applyBorder="1" applyAlignment="1">
      <alignment horizontal="center" vertical="center" wrapText="1"/>
    </xf>
    <xf numFmtId="170" fontId="0" fillId="16" borderId="1" xfId="1" applyNumberFormat="1" applyFont="1" applyFill="1" applyBorder="1" applyAlignment="1">
      <alignment horizontal="center"/>
    </xf>
    <xf numFmtId="3" fontId="1" fillId="3" borderId="1" xfId="1" applyNumberFormat="1" applyFont="1" applyFill="1" applyBorder="1" applyAlignment="1">
      <alignment horizontal="center"/>
    </xf>
    <xf numFmtId="3" fontId="10" fillId="3" borderId="1" xfId="1" applyNumberFormat="1" applyFont="1" applyFill="1" applyBorder="1" applyAlignment="1">
      <alignment horizontal="center" vertical="top" wrapText="1"/>
    </xf>
    <xf numFmtId="164" fontId="6" fillId="16" borderId="1" xfId="3" applyNumberFormat="1" applyFont="1" applyFill="1" applyBorder="1" applyAlignment="1">
      <alignment horizontal="center"/>
    </xf>
    <xf numFmtId="3" fontId="6" fillId="16" borderId="1" xfId="1" applyNumberFormat="1" applyFont="1" applyFill="1" applyBorder="1" applyAlignment="1">
      <alignment horizontal="center" vertical="center"/>
    </xf>
    <xf numFmtId="164" fontId="6" fillId="16" borderId="1" xfId="3" applyNumberFormat="1" applyFont="1" applyFill="1" applyBorder="1" applyAlignment="1">
      <alignment horizontal="center" vertical="center"/>
    </xf>
    <xf numFmtId="3" fontId="11" fillId="16" borderId="1" xfId="1" applyNumberFormat="1" applyFont="1" applyFill="1" applyBorder="1" applyAlignment="1">
      <alignment horizontal="center" vertical="top" wrapText="1"/>
    </xf>
    <xf numFmtId="3" fontId="11" fillId="9" borderId="1" xfId="1" applyNumberFormat="1" applyFont="1" applyFill="1" applyBorder="1" applyAlignment="1">
      <alignment horizontal="center" vertical="top" wrapText="1"/>
    </xf>
    <xf numFmtId="3" fontId="0" fillId="0" borderId="52" xfId="1" applyNumberFormat="1" applyFont="1" applyBorder="1" applyAlignment="1">
      <alignment horizontal="center" vertical="center" wrapText="1"/>
    </xf>
    <xf numFmtId="3" fontId="0" fillId="16" borderId="59" xfId="1" applyNumberFormat="1" applyFont="1" applyFill="1" applyBorder="1" applyAlignment="1">
      <alignment horizontal="center" vertical="center" wrapText="1"/>
    </xf>
    <xf numFmtId="3" fontId="0" fillId="16" borderId="52" xfId="1" applyNumberFormat="1" applyFont="1" applyFill="1" applyBorder="1" applyAlignment="1">
      <alignment horizontal="center" vertical="center" wrapText="1"/>
    </xf>
    <xf numFmtId="3" fontId="6" fillId="16" borderId="52" xfId="1" applyNumberFormat="1" applyFont="1" applyFill="1" applyBorder="1" applyAlignment="1">
      <alignment horizontal="center" vertical="center" wrapText="1"/>
    </xf>
    <xf numFmtId="170" fontId="0" fillId="0" borderId="52" xfId="1" applyNumberFormat="1" applyFont="1" applyBorder="1" applyAlignment="1">
      <alignment horizontal="center" vertical="center" wrapText="1"/>
    </xf>
    <xf numFmtId="170" fontId="0" fillId="16" borderId="59" xfId="1" applyNumberFormat="1" applyFont="1" applyFill="1" applyBorder="1" applyAlignment="1">
      <alignment horizontal="center" vertical="center" wrapText="1"/>
    </xf>
    <xf numFmtId="170" fontId="0" fillId="16" borderId="52" xfId="1" applyNumberFormat="1" applyFont="1" applyFill="1" applyBorder="1" applyAlignment="1">
      <alignment horizontal="center" vertical="center" wrapText="1"/>
    </xf>
    <xf numFmtId="170" fontId="6" fillId="16" borderId="52" xfId="1" applyNumberFormat="1" applyFont="1" applyFill="1" applyBorder="1" applyAlignment="1">
      <alignment horizontal="center" vertical="center" wrapText="1"/>
    </xf>
    <xf numFmtId="3" fontId="0" fillId="0" borderId="1" xfId="1" applyNumberFormat="1" applyFont="1" applyBorder="1" applyAlignment="1">
      <alignment vertical="center" wrapText="1"/>
    </xf>
    <xf numFmtId="3" fontId="0" fillId="16" borderId="1" xfId="1" applyNumberFormat="1" applyFont="1" applyFill="1" applyBorder="1" applyAlignment="1">
      <alignment vertical="center" wrapText="1"/>
    </xf>
    <xf numFmtId="3" fontId="0" fillId="0" borderId="1" xfId="1" applyNumberFormat="1" applyFont="1" applyBorder="1" applyAlignment="1">
      <alignment horizontal="center" vertical="center" wrapText="1"/>
    </xf>
    <xf numFmtId="3" fontId="0" fillId="0" borderId="59" xfId="1" applyNumberFormat="1" applyFont="1" applyBorder="1" applyAlignment="1">
      <alignment horizontal="center" vertical="center" wrapText="1"/>
    </xf>
    <xf numFmtId="3" fontId="0" fillId="0" borderId="58" xfId="1" applyNumberFormat="1" applyFont="1" applyBorder="1" applyAlignment="1">
      <alignment horizontal="center" vertical="center" wrapText="1"/>
    </xf>
    <xf numFmtId="3" fontId="0" fillId="16" borderId="58" xfId="1" applyNumberFormat="1" applyFont="1" applyFill="1" applyBorder="1" applyAlignment="1">
      <alignment horizontal="center" vertical="center" wrapText="1"/>
    </xf>
    <xf numFmtId="3" fontId="0" fillId="3" borderId="1" xfId="1" applyNumberFormat="1" applyFont="1" applyFill="1" applyBorder="1" applyAlignment="1">
      <alignment horizontal="center"/>
    </xf>
    <xf numFmtId="3" fontId="0" fillId="0" borderId="64" xfId="1" applyNumberFormat="1" applyFont="1" applyBorder="1" applyAlignment="1">
      <alignment horizontal="center" vertical="center" wrapText="1"/>
    </xf>
    <xf numFmtId="3" fontId="0" fillId="3" borderId="1" xfId="0" applyNumberFormat="1" applyFill="1" applyBorder="1" applyAlignment="1">
      <alignment horizontal="center"/>
    </xf>
    <xf numFmtId="0" fontId="6" fillId="16" borderId="1" xfId="0" applyFont="1" applyFill="1" applyBorder="1" applyAlignment="1">
      <alignment horizontal="left"/>
    </xf>
    <xf numFmtId="170" fontId="6" fillId="16" borderId="1" xfId="1" applyNumberFormat="1" applyFont="1" applyFill="1" applyBorder="1" applyAlignment="1">
      <alignment horizontal="center"/>
    </xf>
    <xf numFmtId="170" fontId="0" fillId="3" borderId="1" xfId="1" applyNumberFormat="1" applyFont="1" applyFill="1" applyBorder="1" applyAlignment="1">
      <alignment horizontal="center"/>
    </xf>
    <xf numFmtId="3" fontId="0" fillId="0" borderId="76" xfId="1" applyNumberFormat="1" applyFont="1" applyBorder="1" applyAlignment="1">
      <alignment horizontal="center" vertical="center" wrapText="1"/>
    </xf>
    <xf numFmtId="3" fontId="0" fillId="0" borderId="3" xfId="1" applyNumberFormat="1" applyFont="1" applyBorder="1" applyAlignment="1">
      <alignment horizontal="center" vertical="center" wrapText="1"/>
    </xf>
    <xf numFmtId="3" fontId="0" fillId="3" borderId="1" xfId="1" applyNumberFormat="1" applyFont="1" applyFill="1" applyBorder="1"/>
    <xf numFmtId="3" fontId="0" fillId="3" borderId="0" xfId="1" applyNumberFormat="1" applyFont="1" applyFill="1" applyAlignment="1">
      <alignment horizontal="center"/>
    </xf>
    <xf numFmtId="3" fontId="10" fillId="3" borderId="1" xfId="1" applyNumberFormat="1" applyFont="1" applyFill="1" applyBorder="1" applyAlignment="1">
      <alignment horizontal="center" vertical="center"/>
    </xf>
    <xf numFmtId="3" fontId="10" fillId="16" borderId="1" xfId="1" applyNumberFormat="1" applyFont="1" applyFill="1" applyBorder="1" applyAlignment="1">
      <alignment horizontal="center" vertical="center"/>
    </xf>
    <xf numFmtId="3" fontId="11" fillId="16" borderId="1" xfId="1" applyNumberFormat="1" applyFont="1" applyFill="1" applyBorder="1" applyAlignment="1">
      <alignment horizontal="center" vertical="center"/>
    </xf>
    <xf numFmtId="164" fontId="0" fillId="0" borderId="52" xfId="3" applyNumberFormat="1" applyFont="1" applyBorder="1" applyAlignment="1">
      <alignment horizontal="center" vertical="center" wrapText="1"/>
    </xf>
    <xf numFmtId="164" fontId="0" fillId="16" borderId="52" xfId="3" applyNumberFormat="1" applyFont="1" applyFill="1" applyBorder="1" applyAlignment="1">
      <alignment horizontal="center" vertical="center" wrapText="1"/>
    </xf>
    <xf numFmtId="164" fontId="6" fillId="16" borderId="52" xfId="3" applyNumberFormat="1" applyFont="1" applyFill="1" applyBorder="1" applyAlignment="1">
      <alignment horizontal="center" vertical="center" wrapText="1"/>
    </xf>
    <xf numFmtId="3" fontId="37" fillId="0" borderId="1" xfId="0" applyNumberFormat="1" applyFont="1" applyBorder="1" applyAlignment="1">
      <alignment horizontal="center" vertical="center"/>
    </xf>
    <xf numFmtId="3" fontId="0" fillId="0" borderId="1" xfId="12" applyNumberFormat="1" applyFont="1" applyBorder="1" applyAlignment="1">
      <alignment horizontal="center"/>
    </xf>
    <xf numFmtId="3" fontId="36" fillId="0" borderId="1" xfId="0" applyNumberFormat="1" applyFont="1" applyBorder="1" applyAlignment="1">
      <alignment horizontal="center" vertical="center"/>
    </xf>
    <xf numFmtId="3" fontId="6" fillId="18" borderId="1" xfId="5" applyNumberFormat="1" applyFont="1" applyFill="1" applyBorder="1" applyAlignment="1">
      <alignment horizontal="center"/>
    </xf>
    <xf numFmtId="3" fontId="11" fillId="18" borderId="1" xfId="5" applyNumberFormat="1" applyFont="1" applyFill="1" applyBorder="1" applyAlignment="1">
      <alignment horizontal="center"/>
    </xf>
    <xf numFmtId="3" fontId="0" fillId="3" borderId="1" xfId="5" applyNumberFormat="1" applyFont="1" applyFill="1" applyBorder="1" applyAlignment="1">
      <alignment horizontal="center"/>
    </xf>
    <xf numFmtId="3" fontId="41" fillId="0" borderId="1" xfId="14" applyNumberFormat="1" applyFont="1" applyBorder="1" applyAlignment="1">
      <alignment horizontal="center"/>
    </xf>
    <xf numFmtId="3" fontId="0" fillId="0" borderId="1" xfId="14" applyNumberFormat="1" applyFont="1" applyBorder="1" applyAlignment="1">
      <alignment horizontal="center"/>
    </xf>
    <xf numFmtId="3" fontId="0" fillId="0" borderId="1" xfId="5" applyNumberFormat="1" applyFont="1" applyBorder="1" applyAlignment="1">
      <alignment horizontal="center"/>
    </xf>
    <xf numFmtId="0" fontId="6" fillId="0" borderId="59" xfId="0" applyFont="1" applyBorder="1" applyAlignment="1">
      <alignment vertical="center" wrapText="1"/>
    </xf>
    <xf numFmtId="0" fontId="6" fillId="0" borderId="52" xfId="0" applyFont="1" applyBorder="1" applyAlignment="1">
      <alignment vertical="center" wrapText="1"/>
    </xf>
    <xf numFmtId="0" fontId="0" fillId="3" borderId="1" xfId="0" applyFill="1" applyBorder="1"/>
    <xf numFmtId="17" fontId="18" fillId="0" borderId="1" xfId="0" applyNumberFormat="1" applyFont="1" applyBorder="1" applyAlignment="1">
      <alignment horizontal="center" vertical="center"/>
    </xf>
    <xf numFmtId="17" fontId="36" fillId="0" borderId="1" xfId="0" applyNumberFormat="1" applyFont="1" applyBorder="1" applyAlignment="1">
      <alignment horizontal="center" vertical="center"/>
    </xf>
    <xf numFmtId="17" fontId="0" fillId="17" borderId="1" xfId="0" applyNumberFormat="1" applyFill="1" applyBorder="1" applyAlignment="1">
      <alignment horizontal="center" vertical="center"/>
    </xf>
    <xf numFmtId="17" fontId="0" fillId="0" borderId="1" xfId="0" applyNumberFormat="1" applyBorder="1" applyAlignment="1">
      <alignment horizontal="center" vertical="center"/>
    </xf>
    <xf numFmtId="17" fontId="6" fillId="18" borderId="1" xfId="0" applyNumberFormat="1" applyFont="1" applyFill="1" applyBorder="1" applyAlignment="1">
      <alignment horizontal="center"/>
    </xf>
    <xf numFmtId="0" fontId="6" fillId="18" borderId="1" xfId="0" applyFont="1" applyFill="1" applyBorder="1" applyAlignment="1">
      <alignment horizontal="center"/>
    </xf>
    <xf numFmtId="17" fontId="0" fillId="3" borderId="1" xfId="0" applyNumberFormat="1" applyFill="1" applyBorder="1" applyAlignment="1">
      <alignment horizontal="center"/>
    </xf>
    <xf numFmtId="17" fontId="0" fillId="0" borderId="1" xfId="0" applyNumberFormat="1" applyBorder="1" applyAlignment="1">
      <alignment horizontal="center"/>
    </xf>
    <xf numFmtId="3" fontId="35" fillId="16" borderId="1" xfId="0" applyNumberFormat="1" applyFont="1" applyFill="1" applyBorder="1" applyAlignment="1">
      <alignment horizontal="left" vertical="center"/>
    </xf>
    <xf numFmtId="3" fontId="35" fillId="16" borderId="1" xfId="0" applyNumberFormat="1" applyFont="1" applyFill="1" applyBorder="1" applyAlignment="1">
      <alignment horizontal="center" vertical="center"/>
    </xf>
    <xf numFmtId="0" fontId="5" fillId="16" borderId="1" xfId="0" applyFont="1" applyFill="1" applyBorder="1" applyAlignment="1">
      <alignment horizontal="center" vertical="center" wrapText="1"/>
    </xf>
    <xf numFmtId="3" fontId="5" fillId="16" borderId="1" xfId="0" applyNumberFormat="1" applyFont="1" applyFill="1" applyBorder="1" applyAlignment="1">
      <alignment horizontal="center" vertical="center"/>
    </xf>
    <xf numFmtId="0" fontId="5" fillId="16" borderId="1" xfId="0" applyFont="1" applyFill="1" applyBorder="1" applyAlignment="1">
      <alignment horizontal="center" vertical="center"/>
    </xf>
    <xf numFmtId="17" fontId="5" fillId="16" borderId="1" xfId="0" applyNumberFormat="1" applyFont="1" applyFill="1" applyBorder="1" applyAlignment="1">
      <alignment horizontal="center" vertical="center"/>
    </xf>
    <xf numFmtId="0" fontId="38" fillId="16" borderId="1" xfId="0" applyFont="1" applyFill="1" applyBorder="1" applyAlignment="1">
      <alignment horizontal="center" vertical="center"/>
    </xf>
    <xf numFmtId="0" fontId="38" fillId="16" borderId="1" xfId="0" applyFont="1" applyFill="1" applyBorder="1" applyAlignment="1">
      <alignment horizontal="center" vertical="center" wrapText="1"/>
    </xf>
    <xf numFmtId="3" fontId="36" fillId="16" borderId="1" xfId="0" applyNumberFormat="1" applyFont="1" applyFill="1" applyBorder="1" applyAlignment="1">
      <alignment horizontal="center" vertical="center" wrapText="1"/>
    </xf>
    <xf numFmtId="3" fontId="38" fillId="16" borderId="1" xfId="0" applyNumberFormat="1" applyFont="1" applyFill="1" applyBorder="1" applyAlignment="1">
      <alignment horizontal="center" vertical="center" wrapText="1"/>
    </xf>
    <xf numFmtId="3" fontId="38" fillId="16" borderId="1" xfId="0" applyNumberFormat="1" applyFont="1" applyFill="1" applyBorder="1" applyAlignment="1">
      <alignment horizontal="center" vertical="center"/>
    </xf>
    <xf numFmtId="17" fontId="6" fillId="16" borderId="1" xfId="0" applyNumberFormat="1" applyFont="1" applyFill="1" applyBorder="1" applyAlignment="1">
      <alignment horizontal="center" vertical="center"/>
    </xf>
    <xf numFmtId="3" fontId="6" fillId="16" borderId="1" xfId="0" applyNumberFormat="1" applyFont="1" applyFill="1" applyBorder="1" applyAlignment="1">
      <alignment horizontal="center" vertical="center"/>
    </xf>
    <xf numFmtId="3" fontId="6" fillId="16" borderId="1" xfId="5" applyNumberFormat="1" applyFont="1" applyFill="1" applyBorder="1" applyAlignment="1">
      <alignment horizontal="center"/>
    </xf>
    <xf numFmtId="17" fontId="6" fillId="16" borderId="1" xfId="0" quotePrefix="1" applyNumberFormat="1" applyFont="1" applyFill="1" applyBorder="1" applyAlignment="1">
      <alignment horizontal="left"/>
    </xf>
    <xf numFmtId="3" fontId="0" fillId="16" borderId="1" xfId="5" applyNumberFormat="1" applyFont="1" applyFill="1" applyBorder="1" applyAlignment="1">
      <alignment horizontal="center"/>
    </xf>
    <xf numFmtId="1" fontId="6" fillId="16" borderId="1" xfId="0" applyNumberFormat="1" applyFont="1" applyFill="1" applyBorder="1" applyAlignment="1">
      <alignment horizontal="left"/>
    </xf>
    <xf numFmtId="3" fontId="1" fillId="0" borderId="1" xfId="5" applyNumberFormat="1" applyFont="1" applyFill="1" applyBorder="1" applyAlignment="1">
      <alignment horizontal="center"/>
    </xf>
    <xf numFmtId="17" fontId="6" fillId="16" borderId="3" xfId="0" applyNumberFormat="1" applyFont="1" applyFill="1" applyBorder="1" applyAlignment="1">
      <alignment horizontal="center"/>
    </xf>
    <xf numFmtId="0" fontId="6" fillId="16" borderId="3" xfId="0" applyFont="1" applyFill="1" applyBorder="1" applyAlignment="1">
      <alignment horizontal="center"/>
    </xf>
    <xf numFmtId="1" fontId="6" fillId="16" borderId="1" xfId="0" applyNumberFormat="1" applyFont="1" applyFill="1" applyBorder="1" applyAlignment="1">
      <alignment horizontal="center"/>
    </xf>
    <xf numFmtId="165" fontId="6" fillId="16" borderId="1" xfId="0" applyNumberFormat="1" applyFont="1" applyFill="1" applyBorder="1"/>
    <xf numFmtId="0" fontId="14" fillId="0" borderId="0" xfId="0" quotePrefix="1" applyFont="1" applyAlignment="1">
      <alignment vertical="center" wrapText="1"/>
    </xf>
    <xf numFmtId="9" fontId="0" fillId="16" borderId="1" xfId="3" applyFont="1" applyFill="1" applyBorder="1" applyAlignment="1">
      <alignment horizontal="center"/>
    </xf>
    <xf numFmtId="41" fontId="6" fillId="0" borderId="1" xfId="1" applyFont="1" applyFill="1" applyBorder="1" applyAlignment="1">
      <alignment horizontal="center" vertical="center" wrapText="1"/>
    </xf>
    <xf numFmtId="9" fontId="6" fillId="16" borderId="1" xfId="3" applyFont="1" applyFill="1" applyBorder="1" applyAlignment="1">
      <alignment horizontal="center" vertical="center" wrapText="1"/>
    </xf>
    <xf numFmtId="9" fontId="0" fillId="0" borderId="1" xfId="3" applyFont="1" applyBorder="1" applyAlignment="1">
      <alignment horizontal="center" vertical="center" wrapText="1"/>
    </xf>
    <xf numFmtId="9" fontId="0" fillId="16" borderId="1" xfId="3" applyFont="1" applyFill="1" applyBorder="1" applyAlignment="1">
      <alignment horizontal="center" vertical="center" wrapText="1"/>
    </xf>
    <xf numFmtId="0" fontId="0" fillId="0" borderId="50" xfId="0" applyBorder="1" applyAlignment="1">
      <alignment vertical="center"/>
    </xf>
    <xf numFmtId="0" fontId="0" fillId="0" borderId="1" xfId="0" applyBorder="1" applyAlignment="1">
      <alignment vertical="center"/>
    </xf>
    <xf numFmtId="0" fontId="33" fillId="0" borderId="0" xfId="6" applyFont="1" applyFill="1" applyAlignment="1" applyProtection="1"/>
    <xf numFmtId="0" fontId="23" fillId="0" borderId="0" xfId="6" applyAlignment="1" applyProtection="1">
      <alignment horizontal="left"/>
    </xf>
    <xf numFmtId="0" fontId="27" fillId="0" borderId="0" xfId="0" applyFont="1" applyAlignment="1">
      <alignment horizontal="left" vertical="center" wrapText="1"/>
    </xf>
    <xf numFmtId="0" fontId="27" fillId="0" borderId="0" xfId="0" applyFont="1" applyAlignment="1">
      <alignment horizontal="left" vertical="center"/>
    </xf>
    <xf numFmtId="0" fontId="0" fillId="0" borderId="0" xfId="0" applyAlignment="1">
      <alignment horizontal="center"/>
    </xf>
    <xf numFmtId="0" fontId="30" fillId="0" borderId="68" xfId="0" applyFont="1" applyBorder="1" applyAlignment="1">
      <alignment horizontal="center"/>
    </xf>
    <xf numFmtId="0" fontId="30" fillId="0" borderId="66" xfId="0" applyFont="1" applyBorder="1" applyAlignment="1">
      <alignment horizontal="center"/>
    </xf>
    <xf numFmtId="0" fontId="30" fillId="0" borderId="69" xfId="0" applyFont="1" applyBorder="1" applyAlignment="1">
      <alignment horizontal="center"/>
    </xf>
    <xf numFmtId="0" fontId="27" fillId="0" borderId="0" xfId="0" applyFont="1" applyAlignment="1">
      <alignment horizontal="center"/>
    </xf>
    <xf numFmtId="0" fontId="23" fillId="0" borderId="0" xfId="6" applyFill="1" applyAlignment="1" applyProtection="1"/>
    <xf numFmtId="0" fontId="33" fillId="0" borderId="0" xfId="6" applyFont="1" applyAlignment="1" applyProtection="1">
      <alignment horizontal="left"/>
    </xf>
    <xf numFmtId="0" fontId="29" fillId="0" borderId="70" xfId="0" applyFont="1" applyBorder="1" applyAlignment="1">
      <alignment horizontal="center"/>
    </xf>
    <xf numFmtId="0" fontId="29" fillId="0" borderId="71" xfId="0" applyFont="1" applyBorder="1" applyAlignment="1">
      <alignment horizontal="center"/>
    </xf>
    <xf numFmtId="0" fontId="29" fillId="0" borderId="72" xfId="0" applyFont="1" applyBorder="1" applyAlignment="1">
      <alignment horizontal="center"/>
    </xf>
    <xf numFmtId="17" fontId="6" fillId="0" borderId="1" xfId="0" quotePrefix="1" applyNumberFormat="1" applyFont="1" applyBorder="1" applyAlignment="1">
      <alignment horizontal="center" vertical="center"/>
    </xf>
    <xf numFmtId="17" fontId="6" fillId="0" borderId="1" xfId="0" applyNumberFormat="1" applyFont="1" applyBorder="1" applyAlignment="1">
      <alignment horizontal="center" vertical="center"/>
    </xf>
    <xf numFmtId="0" fontId="6" fillId="0" borderId="1"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6" fillId="0" borderId="2" xfId="0" applyFont="1" applyBorder="1" applyAlignment="1">
      <alignment horizontal="center"/>
    </xf>
    <xf numFmtId="17" fontId="6" fillId="0" borderId="50" xfId="0" quotePrefix="1" applyNumberFormat="1" applyFont="1" applyBorder="1" applyAlignment="1">
      <alignment horizontal="center" vertical="center"/>
    </xf>
    <xf numFmtId="17" fontId="6" fillId="0" borderId="51" xfId="0" applyNumberFormat="1" applyFont="1" applyBorder="1" applyAlignment="1">
      <alignment horizontal="center" vertical="center"/>
    </xf>
    <xf numFmtId="0" fontId="6" fillId="16" borderId="1" xfId="0" applyFont="1" applyFill="1" applyBorder="1" applyAlignment="1">
      <alignment horizontal="center"/>
    </xf>
    <xf numFmtId="0" fontId="6" fillId="16" borderId="50" xfId="0" applyFont="1" applyFill="1" applyBorder="1" applyAlignment="1">
      <alignment horizontal="center"/>
    </xf>
    <xf numFmtId="0" fontId="14" fillId="0" borderId="0" xfId="0" quotePrefix="1" applyFont="1" applyAlignment="1">
      <alignment horizontal="left" vertical="center" wrapText="1"/>
    </xf>
    <xf numFmtId="0" fontId="14" fillId="0" borderId="0" xfId="0" quotePrefix="1" applyFont="1" applyAlignment="1">
      <alignment horizontal="left" vertical="center"/>
    </xf>
    <xf numFmtId="17" fontId="6" fillId="0" borderId="12" xfId="0" applyNumberFormat="1" applyFont="1" applyBorder="1" applyAlignment="1">
      <alignment horizontal="center" vertical="center"/>
    </xf>
    <xf numFmtId="0" fontId="14" fillId="0" borderId="0" xfId="0" quotePrefix="1" applyFont="1" applyAlignment="1">
      <alignment horizontal="left" vertical="top" wrapText="1"/>
    </xf>
    <xf numFmtId="0" fontId="14" fillId="0" borderId="0" xfId="0" quotePrefix="1" applyFont="1" applyAlignment="1">
      <alignment horizontal="left" vertical="top"/>
    </xf>
    <xf numFmtId="0" fontId="13" fillId="3" borderId="1" xfId="0" applyFont="1" applyFill="1" applyBorder="1" applyAlignment="1">
      <alignment horizontal="center" vertical="center"/>
    </xf>
    <xf numFmtId="165" fontId="13" fillId="3" borderId="1" xfId="2" applyNumberFormat="1" applyFont="1" applyFill="1" applyBorder="1" applyAlignment="1">
      <alignment horizontal="center" vertical="center"/>
    </xf>
    <xf numFmtId="0" fontId="23" fillId="0" borderId="0" xfId="6" applyFill="1" applyAlignment="1" applyProtection="1">
      <alignment horizontal="left"/>
    </xf>
    <xf numFmtId="0" fontId="29" fillId="0" borderId="73" xfId="0" applyFont="1" applyBorder="1" applyAlignment="1">
      <alignment horizontal="center"/>
    </xf>
    <xf numFmtId="0" fontId="29" fillId="0" borderId="74" xfId="0" applyFont="1" applyBorder="1" applyAlignment="1">
      <alignment horizontal="center"/>
    </xf>
    <xf numFmtId="0" fontId="29" fillId="0" borderId="75" xfId="0" applyFont="1" applyBorder="1" applyAlignment="1">
      <alignment horizontal="center"/>
    </xf>
    <xf numFmtId="0" fontId="43" fillId="3" borderId="5" xfId="0" applyFont="1" applyFill="1" applyBorder="1" applyAlignment="1">
      <alignment horizontal="left" vertical="top" wrapText="1"/>
    </xf>
    <xf numFmtId="0" fontId="6" fillId="0" borderId="1"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2" xfId="0" applyFont="1" applyBorder="1" applyAlignment="1">
      <alignment horizontal="center" vertical="center"/>
    </xf>
    <xf numFmtId="0" fontId="6" fillId="0" borderId="1" xfId="0" applyFont="1" applyBorder="1" applyAlignment="1">
      <alignment horizontal="center" vertical="center" wrapText="1"/>
    </xf>
    <xf numFmtId="0" fontId="6" fillId="0" borderId="50" xfId="0" applyFont="1" applyBorder="1" applyAlignment="1">
      <alignment horizontal="center" vertical="center" wrapText="1"/>
    </xf>
    <xf numFmtId="0" fontId="6" fillId="0" borderId="51" xfId="0" applyFont="1" applyBorder="1" applyAlignment="1">
      <alignment horizontal="center" vertical="center" wrapText="1"/>
    </xf>
    <xf numFmtId="0" fontId="6" fillId="0" borderId="12" xfId="0" applyFont="1" applyBorder="1" applyAlignment="1">
      <alignment horizontal="center" vertical="center" wrapText="1"/>
    </xf>
    <xf numFmtId="0" fontId="6" fillId="16" borderId="1"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6" fillId="0" borderId="30"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13" xfId="0" applyFont="1" applyBorder="1" applyAlignment="1">
      <alignment horizontal="center" vertical="center" wrapText="1"/>
    </xf>
    <xf numFmtId="165" fontId="11" fillId="0" borderId="1" xfId="4" applyNumberFormat="1" applyFont="1" applyFill="1" applyBorder="1" applyAlignment="1">
      <alignment horizontal="center" vertical="center" wrapText="1"/>
    </xf>
    <xf numFmtId="165" fontId="13" fillId="4" borderId="1" xfId="4" applyNumberFormat="1" applyFont="1" applyFill="1" applyBorder="1" applyAlignment="1">
      <alignment horizontal="center" vertical="center" wrapText="1"/>
    </xf>
    <xf numFmtId="0" fontId="20" fillId="3" borderId="1" xfId="0" applyFont="1" applyFill="1" applyBorder="1" applyAlignment="1">
      <alignment horizontal="center" wrapText="1"/>
    </xf>
    <xf numFmtId="0" fontId="20" fillId="3" borderId="1" xfId="0" applyFont="1" applyFill="1" applyBorder="1" applyAlignment="1">
      <alignment horizontal="center"/>
    </xf>
    <xf numFmtId="0" fontId="7" fillId="3" borderId="0" xfId="0" applyFont="1" applyFill="1" applyAlignment="1">
      <alignment horizontal="left" vertical="top" wrapText="1"/>
    </xf>
    <xf numFmtId="0" fontId="43" fillId="3" borderId="53" xfId="0" applyFont="1" applyFill="1" applyBorder="1" applyAlignment="1">
      <alignment horizontal="left" vertical="center" wrapText="1"/>
    </xf>
    <xf numFmtId="41" fontId="6" fillId="16" borderId="1" xfId="1"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2" xfId="0" applyFont="1" applyBorder="1" applyAlignment="1">
      <alignment horizontal="center" vertical="center" wrapText="1"/>
    </xf>
    <xf numFmtId="17" fontId="11" fillId="0" borderId="0" xfId="0" applyNumberFormat="1" applyFont="1" applyAlignment="1">
      <alignment horizontal="center" vertical="center" wrapText="1"/>
    </xf>
    <xf numFmtId="0" fontId="43" fillId="3" borderId="53" xfId="0" applyFont="1" applyFill="1" applyBorder="1" applyAlignment="1">
      <alignment horizontal="left" vertical="top" wrapText="1"/>
    </xf>
    <xf numFmtId="0" fontId="11" fillId="0" borderId="0" xfId="0" applyFont="1" applyAlignment="1">
      <alignment horizontal="center" vertical="center" wrapText="1"/>
    </xf>
    <xf numFmtId="0" fontId="4" fillId="3" borderId="0" xfId="0" applyFont="1" applyFill="1" applyAlignment="1">
      <alignment horizontal="left"/>
    </xf>
    <xf numFmtId="0" fontId="6" fillId="0" borderId="50" xfId="0" applyFont="1" applyBorder="1" applyAlignment="1">
      <alignment horizontal="center" vertical="center"/>
    </xf>
    <xf numFmtId="0" fontId="6" fillId="0" borderId="12" xfId="0" applyFont="1" applyBorder="1" applyAlignment="1">
      <alignment horizontal="center" vertical="center"/>
    </xf>
    <xf numFmtId="0" fontId="6" fillId="3" borderId="1" xfId="0" applyFont="1" applyFill="1" applyBorder="1" applyAlignment="1">
      <alignment vertical="center"/>
    </xf>
    <xf numFmtId="0" fontId="6" fillId="3" borderId="50" xfId="0" applyFont="1" applyFill="1" applyBorder="1" applyAlignment="1">
      <alignment horizontal="center"/>
    </xf>
    <xf numFmtId="0" fontId="6" fillId="3" borderId="1" xfId="0" applyFont="1" applyFill="1" applyBorder="1" applyAlignment="1">
      <alignment horizontal="center" vertical="center"/>
    </xf>
    <xf numFmtId="0" fontId="11" fillId="16" borderId="1" xfId="4" applyNumberFormat="1" applyFont="1" applyFill="1" applyBorder="1" applyAlignment="1">
      <alignment horizontal="center" vertical="center" wrapText="1"/>
    </xf>
    <xf numFmtId="0" fontId="3" fillId="2" borderId="0" xfId="0" applyFont="1" applyFill="1" applyAlignment="1">
      <alignment horizontal="left"/>
    </xf>
    <xf numFmtId="165" fontId="11" fillId="3" borderId="3" xfId="4" applyNumberFormat="1" applyFont="1" applyFill="1" applyBorder="1" applyAlignment="1">
      <alignment horizontal="center" vertical="center"/>
    </xf>
    <xf numFmtId="165" fontId="11" fillId="3" borderId="4" xfId="4" applyNumberFormat="1" applyFont="1" applyFill="1" applyBorder="1" applyAlignment="1">
      <alignment horizontal="center" vertical="center"/>
    </xf>
    <xf numFmtId="0" fontId="0" fillId="0" borderId="3" xfId="0" applyBorder="1" applyAlignment="1">
      <alignment horizontal="left" wrapText="1"/>
    </xf>
    <xf numFmtId="0" fontId="0" fillId="0" borderId="4" xfId="0" applyBorder="1" applyAlignment="1">
      <alignment horizontal="left" wrapText="1"/>
    </xf>
    <xf numFmtId="0" fontId="0" fillId="0" borderId="2" xfId="0" applyBorder="1" applyAlignment="1">
      <alignment horizontal="left" wrapText="1"/>
    </xf>
    <xf numFmtId="165" fontId="11" fillId="0" borderId="3" xfId="4" applyNumberFormat="1" applyFont="1" applyFill="1" applyBorder="1" applyAlignment="1">
      <alignment horizontal="center" vertical="center"/>
    </xf>
    <xf numFmtId="165" fontId="11" fillId="0" borderId="2" xfId="4" applyNumberFormat="1" applyFont="1" applyFill="1" applyBorder="1" applyAlignment="1">
      <alignment horizontal="center" vertical="center"/>
    </xf>
    <xf numFmtId="165" fontId="11" fillId="0" borderId="3" xfId="4" applyNumberFormat="1" applyFont="1" applyFill="1" applyBorder="1" applyAlignment="1">
      <alignment horizontal="center" vertical="center" wrapText="1"/>
    </xf>
    <xf numFmtId="165" fontId="11" fillId="0" borderId="2" xfId="4" applyNumberFormat="1" applyFont="1" applyFill="1" applyBorder="1" applyAlignment="1">
      <alignment horizontal="center" vertical="center" wrapText="1"/>
    </xf>
    <xf numFmtId="0" fontId="6" fillId="0" borderId="5"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34" xfId="0" applyFont="1" applyBorder="1" applyAlignment="1">
      <alignment horizontal="center" vertical="center" wrapText="1"/>
    </xf>
    <xf numFmtId="0" fontId="6" fillId="0" borderId="11" xfId="0" applyFont="1" applyBorder="1" applyAlignment="1">
      <alignment horizontal="center" vertical="center" wrapText="1"/>
    </xf>
    <xf numFmtId="165" fontId="11" fillId="0" borderId="1" xfId="4" applyNumberFormat="1" applyFont="1" applyFill="1" applyBorder="1" applyAlignment="1">
      <alignment horizontal="center" vertical="center"/>
    </xf>
    <xf numFmtId="165" fontId="11" fillId="0" borderId="4" xfId="4" applyNumberFormat="1" applyFont="1" applyFill="1" applyBorder="1" applyAlignment="1">
      <alignment horizontal="center" vertical="center"/>
    </xf>
    <xf numFmtId="0" fontId="6" fillId="16" borderId="3" xfId="0" applyFont="1" applyFill="1" applyBorder="1" applyAlignment="1">
      <alignment horizontal="left" wrapText="1"/>
    </xf>
    <xf numFmtId="0" fontId="6" fillId="16" borderId="4" xfId="0" applyFont="1" applyFill="1" applyBorder="1" applyAlignment="1">
      <alignment horizontal="left" wrapText="1"/>
    </xf>
    <xf numFmtId="0" fontId="6" fillId="16" borderId="2" xfId="0" applyFont="1" applyFill="1" applyBorder="1" applyAlignment="1">
      <alignment horizontal="left" wrapText="1"/>
    </xf>
    <xf numFmtId="165" fontId="11" fillId="3" borderId="3" xfId="4" applyNumberFormat="1" applyFont="1" applyFill="1" applyBorder="1" applyAlignment="1">
      <alignment horizontal="center" vertical="center" wrapText="1"/>
    </xf>
    <xf numFmtId="165" fontId="11" fillId="3" borderId="2" xfId="4" applyNumberFormat="1" applyFont="1" applyFill="1" applyBorder="1" applyAlignment="1">
      <alignment horizontal="center" vertical="center" wrapText="1"/>
    </xf>
    <xf numFmtId="165" fontId="11" fillId="3" borderId="2" xfId="4" applyNumberFormat="1" applyFont="1" applyFill="1" applyBorder="1" applyAlignment="1">
      <alignment horizontal="center" vertical="center"/>
    </xf>
    <xf numFmtId="0" fontId="6" fillId="16" borderId="1" xfId="0" applyFont="1" applyFill="1" applyBorder="1" applyAlignment="1">
      <alignment horizontal="left" wrapText="1"/>
    </xf>
    <xf numFmtId="0" fontId="6" fillId="16" borderId="50" xfId="0" applyFont="1" applyFill="1" applyBorder="1" applyAlignment="1">
      <alignment horizontal="center" vertical="center"/>
    </xf>
    <xf numFmtId="0" fontId="6" fillId="16" borderId="12" xfId="0" applyFont="1" applyFill="1" applyBorder="1" applyAlignment="1">
      <alignment horizontal="center" vertical="center"/>
    </xf>
    <xf numFmtId="0" fontId="6" fillId="0" borderId="77" xfId="0" applyFont="1" applyBorder="1" applyAlignment="1">
      <alignment horizontal="center" vertical="center" wrapText="1"/>
    </xf>
    <xf numFmtId="0" fontId="6" fillId="0" borderId="78" xfId="0" applyFont="1" applyBorder="1" applyAlignment="1">
      <alignment horizontal="center" vertical="center" wrapText="1"/>
    </xf>
    <xf numFmtId="0" fontId="6" fillId="0" borderId="79" xfId="0" applyFont="1" applyBorder="1" applyAlignment="1">
      <alignment horizontal="center" vertical="center" wrapText="1"/>
    </xf>
    <xf numFmtId="0" fontId="6" fillId="3" borderId="3" xfId="0" applyFont="1" applyFill="1" applyBorder="1" applyAlignment="1">
      <alignment horizontal="center"/>
    </xf>
    <xf numFmtId="0" fontId="6" fillId="3" borderId="2" xfId="0" applyFont="1" applyFill="1" applyBorder="1" applyAlignment="1">
      <alignment horizontal="center"/>
    </xf>
    <xf numFmtId="0" fontId="29" fillId="0" borderId="80" xfId="0" applyFont="1" applyBorder="1" applyAlignment="1">
      <alignment horizontal="center"/>
    </xf>
    <xf numFmtId="0" fontId="29" fillId="0" borderId="81" xfId="0" applyFont="1" applyBorder="1" applyAlignment="1">
      <alignment horizontal="center"/>
    </xf>
    <xf numFmtId="0" fontId="29" fillId="0" borderId="82" xfId="0" applyFont="1" applyBorder="1" applyAlignment="1">
      <alignment horizontal="center"/>
    </xf>
    <xf numFmtId="0" fontId="33" fillId="0" borderId="0" xfId="6" applyFont="1" applyAlignment="1" applyProtection="1"/>
    <xf numFmtId="0" fontId="35" fillId="0" borderId="1" xfId="0" applyFont="1" applyBorder="1" applyAlignment="1">
      <alignment horizontal="center" vertical="center" wrapText="1"/>
    </xf>
    <xf numFmtId="0" fontId="35" fillId="0" borderId="30" xfId="0" applyFont="1" applyBorder="1" applyAlignment="1">
      <alignment horizontal="left" vertical="center"/>
    </xf>
    <xf numFmtId="0" fontId="35" fillId="0" borderId="31" xfId="0" applyFont="1" applyBorder="1" applyAlignment="1">
      <alignment horizontal="left" vertical="center"/>
    </xf>
    <xf numFmtId="0" fontId="35" fillId="0" borderId="13" xfId="0" applyFont="1" applyBorder="1" applyAlignment="1">
      <alignment horizontal="left" vertical="center"/>
    </xf>
    <xf numFmtId="0" fontId="35" fillId="0" borderId="11" xfId="0" applyFont="1" applyBorder="1" applyAlignment="1">
      <alignment horizontal="left" vertical="center"/>
    </xf>
    <xf numFmtId="0" fontId="35" fillId="0" borderId="1" xfId="0" applyFont="1" applyBorder="1" applyAlignment="1">
      <alignment horizontal="center" vertical="center"/>
    </xf>
    <xf numFmtId="0" fontId="35" fillId="0" borderId="3" xfId="0" applyFont="1" applyBorder="1" applyAlignment="1">
      <alignment horizontal="center" vertical="center"/>
    </xf>
    <xf numFmtId="0" fontId="35" fillId="0" borderId="2" xfId="0" applyFont="1" applyBorder="1" applyAlignment="1">
      <alignment horizontal="center" vertical="center"/>
    </xf>
    <xf numFmtId="0" fontId="35" fillId="16" borderId="1" xfId="0" applyFont="1" applyFill="1" applyBorder="1" applyAlignment="1">
      <alignment horizontal="center" vertical="center"/>
    </xf>
    <xf numFmtId="0" fontId="35" fillId="0" borderId="30" xfId="0" applyFont="1" applyBorder="1" applyAlignment="1">
      <alignment horizontal="left" vertical="center" wrapText="1"/>
    </xf>
    <xf numFmtId="0" fontId="35" fillId="0" borderId="31" xfId="0" applyFont="1" applyBorder="1" applyAlignment="1">
      <alignment horizontal="left" vertical="center" wrapText="1"/>
    </xf>
    <xf numFmtId="0" fontId="35" fillId="0" borderId="13" xfId="0" applyFont="1" applyBorder="1" applyAlignment="1">
      <alignment horizontal="left" vertical="center" wrapText="1"/>
    </xf>
    <xf numFmtId="0" fontId="35" fillId="0" borderId="11" xfId="0" applyFont="1" applyBorder="1" applyAlignment="1">
      <alignment horizontal="left" vertical="center" wrapText="1"/>
    </xf>
    <xf numFmtId="0" fontId="38" fillId="16" borderId="3" xfId="0" applyFont="1" applyFill="1" applyBorder="1" applyAlignment="1">
      <alignment horizontal="center" vertical="center"/>
    </xf>
    <xf numFmtId="0" fontId="38" fillId="16" borderId="4" xfId="0" applyFont="1" applyFill="1" applyBorder="1" applyAlignment="1">
      <alignment horizontal="center" vertical="center"/>
    </xf>
    <xf numFmtId="0" fontId="38" fillId="16" borderId="2" xfId="0" applyFont="1" applyFill="1" applyBorder="1" applyAlignment="1">
      <alignment horizontal="center" vertical="center"/>
    </xf>
    <xf numFmtId="0" fontId="35" fillId="0" borderId="50" xfId="0" applyFont="1" applyBorder="1" applyAlignment="1">
      <alignment horizontal="center" vertical="center" wrapText="1"/>
    </xf>
    <xf numFmtId="0" fontId="35" fillId="0" borderId="12" xfId="0" applyFont="1" applyBorder="1" applyAlignment="1">
      <alignment horizontal="center" vertical="center" wrapText="1"/>
    </xf>
    <xf numFmtId="0" fontId="35" fillId="0" borderId="3" xfId="0" applyFont="1" applyBorder="1" applyAlignment="1">
      <alignment horizontal="center" vertical="center" wrapText="1"/>
    </xf>
    <xf numFmtId="0" fontId="29" fillId="0" borderId="83" xfId="0" applyFont="1" applyBorder="1" applyAlignment="1">
      <alignment horizontal="center"/>
    </xf>
    <xf numFmtId="0" fontId="29" fillId="0" borderId="84" xfId="0" applyFont="1" applyBorder="1" applyAlignment="1">
      <alignment horizontal="center"/>
    </xf>
    <xf numFmtId="0" fontId="29" fillId="0" borderId="85" xfId="0" applyFont="1" applyBorder="1" applyAlignment="1">
      <alignment horizontal="center"/>
    </xf>
    <xf numFmtId="0" fontId="11" fillId="0" borderId="1" xfId="0" applyFont="1" applyBorder="1" applyAlignment="1">
      <alignment horizontal="center" vertical="center" wrapText="1"/>
    </xf>
    <xf numFmtId="0" fontId="11" fillId="0" borderId="1" xfId="0" applyFont="1" applyBorder="1" applyAlignment="1">
      <alignment horizontal="center" vertical="center"/>
    </xf>
    <xf numFmtId="0" fontId="6" fillId="0" borderId="1" xfId="0" applyFont="1" applyBorder="1" applyAlignment="1">
      <alignment horizontal="center" wrapText="1"/>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50"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51" xfId="0" applyFont="1" applyBorder="1" applyAlignment="1">
      <alignment horizontal="center" vertical="center" wrapText="1"/>
    </xf>
    <xf numFmtId="1" fontId="6" fillId="16" borderId="3" xfId="0" applyNumberFormat="1" applyFont="1" applyFill="1" applyBorder="1" applyAlignment="1">
      <alignment horizontal="center"/>
    </xf>
    <xf numFmtId="1" fontId="6" fillId="16" borderId="4" xfId="0" applyNumberFormat="1" applyFont="1" applyFill="1" applyBorder="1" applyAlignment="1">
      <alignment horizontal="center"/>
    </xf>
    <xf numFmtId="1" fontId="6" fillId="16" borderId="2" xfId="0" applyNumberFormat="1" applyFont="1" applyFill="1" applyBorder="1" applyAlignment="1">
      <alignment horizontal="center"/>
    </xf>
    <xf numFmtId="0" fontId="11" fillId="0" borderId="1" xfId="0" applyFont="1" applyBorder="1" applyAlignment="1">
      <alignment horizontal="center"/>
    </xf>
    <xf numFmtId="0" fontId="0" fillId="0" borderId="1" xfId="0" applyBorder="1" applyAlignment="1">
      <alignment horizontal="center" vertical="center" wrapText="1"/>
    </xf>
    <xf numFmtId="0" fontId="0" fillId="0" borderId="53" xfId="0" applyBorder="1" applyAlignment="1">
      <alignment horizontal="center" vertical="center"/>
    </xf>
    <xf numFmtId="0" fontId="0" fillId="0" borderId="57" xfId="0" applyBorder="1" applyAlignment="1">
      <alignment horizontal="center" vertical="center"/>
    </xf>
    <xf numFmtId="0" fontId="0" fillId="0" borderId="1" xfId="0" applyBorder="1" applyAlignment="1">
      <alignment horizontal="center" vertical="center"/>
    </xf>
    <xf numFmtId="0" fontId="6" fillId="2" borderId="0" xfId="0" applyFont="1" applyFill="1" applyAlignment="1">
      <alignment horizontal="left" vertical="top" wrapText="1"/>
    </xf>
    <xf numFmtId="0" fontId="25" fillId="4" borderId="1" xfId="0" applyFont="1" applyFill="1" applyBorder="1" applyAlignment="1">
      <alignment horizontal="center" vertical="center"/>
    </xf>
    <xf numFmtId="0" fontId="26" fillId="3" borderId="0" xfId="0" applyFont="1" applyFill="1" applyAlignment="1">
      <alignment horizontal="center" vertical="center" wrapText="1"/>
    </xf>
    <xf numFmtId="0" fontId="25" fillId="4" borderId="40" xfId="0" applyFont="1" applyFill="1" applyBorder="1" applyAlignment="1">
      <alignment horizontal="center" vertical="center" wrapText="1"/>
    </xf>
    <xf numFmtId="0" fontId="25" fillId="4" borderId="42" xfId="0" applyFont="1" applyFill="1" applyBorder="1" applyAlignment="1">
      <alignment horizontal="center" vertical="center" wrapText="1"/>
    </xf>
    <xf numFmtId="0" fontId="25" fillId="4" borderId="38" xfId="0" applyFont="1" applyFill="1" applyBorder="1" applyAlignment="1">
      <alignment horizontal="center" vertical="center" wrapText="1"/>
    </xf>
    <xf numFmtId="0" fontId="18" fillId="7" borderId="1" xfId="0" applyFont="1" applyFill="1" applyBorder="1" applyAlignment="1">
      <alignment horizontal="center" vertical="center" wrapText="1"/>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8" fillId="7" borderId="50" xfId="0" applyFont="1" applyFill="1" applyBorder="1" applyAlignment="1">
      <alignment horizontal="center" vertical="center" wrapText="1"/>
    </xf>
    <xf numFmtId="0" fontId="18" fillId="7" borderId="51" xfId="0" applyFont="1" applyFill="1" applyBorder="1" applyAlignment="1">
      <alignment horizontal="center" vertical="center" wrapText="1"/>
    </xf>
    <xf numFmtId="0" fontId="18" fillId="7" borderId="12" xfId="0" applyFont="1" applyFill="1" applyBorder="1" applyAlignment="1">
      <alignment horizontal="center" vertical="center" wrapText="1"/>
    </xf>
    <xf numFmtId="17" fontId="6" fillId="16" borderId="1" xfId="0" applyNumberFormat="1" applyFont="1" applyFill="1" applyBorder="1" applyAlignment="1">
      <alignment horizontal="center" vertical="center" wrapText="1"/>
    </xf>
  </cellXfs>
  <cellStyles count="18">
    <cellStyle name="Énfasis1" xfId="4" builtinId="29"/>
    <cellStyle name="Hipervínculo" xfId="6" builtinId="8"/>
    <cellStyle name="Hipervínculo 2" xfId="8" xr:uid="{85AA409B-0980-419E-929B-89D3717590B8}"/>
    <cellStyle name="Millares" xfId="2" builtinId="3"/>
    <cellStyle name="Millares [0]" xfId="1" builtinId="6"/>
    <cellStyle name="Millares [0] 2" xfId="9" xr:uid="{4CEBDFAD-F434-4B68-B000-A5B1CBCDE52B}"/>
    <cellStyle name="Millares [0] 3" xfId="10" xr:uid="{9C7E356D-B969-4636-9991-5E76F002E267}"/>
    <cellStyle name="Millares 2" xfId="5" xr:uid="{4500BE1E-3F64-4B12-BF64-4573CF79A08A}"/>
    <cellStyle name="Moneda 2" xfId="7" xr:uid="{840C7DF7-6A0F-4A69-903B-C397B8D3409C}"/>
    <cellStyle name="Normal" xfId="0" builtinId="0"/>
    <cellStyle name="Normal 10" xfId="14" xr:uid="{0C23251E-3C2C-4A01-A3A2-69696D50C3E8}"/>
    <cellStyle name="Normal 2" xfId="11" xr:uid="{674A1408-8A7E-44EA-9AC5-52D15FCAD068}"/>
    <cellStyle name="Normal 2 5" xfId="16" xr:uid="{2D51551A-756B-43EE-AAA9-BA8AAB054EF3}"/>
    <cellStyle name="Normal 3 5" xfId="15" xr:uid="{98333E36-C805-4A48-86BE-E34D16E74AAC}"/>
    <cellStyle name="Normal 46" xfId="13" xr:uid="{D33680AD-CF19-4C95-A08E-B06A8273D62C}"/>
    <cellStyle name="Normal 76" xfId="17" xr:uid="{AADA6E4E-A697-42AC-BD25-F1CDDAE3B747}"/>
    <cellStyle name="Normal 9" xfId="12" xr:uid="{0FD13D5E-4D39-4FF7-8268-92025368748E}"/>
    <cellStyle name="Porcentaje" xfId="3" builtinId="5"/>
  </cellStyles>
  <dxfs count="56">
    <dxf>
      <numFmt numFmtId="33" formatCode="_ * #,##0_ ;_ * \-#,##0_ ;_ * &quot;-&quot;_ ;_ @_ "/>
    </dxf>
    <dxf>
      <numFmt numFmtId="33" formatCode="_ * #,##0_ ;_ * \-#,##0_ ;_ * &quot;-&quot;_ ;_ @_ "/>
    </dxf>
    <dxf>
      <numFmt numFmtId="33" formatCode="_ * #,##0_ ;_ * \-#,##0_ ;_ * &quot;-&quot;_ ;_ @_ "/>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numFmt numFmtId="33" formatCode="_ * #,##0_ ;_ * \-#,##0_ ;_ * &quot;-&quot;_ ;_ @_ "/>
    </dxf>
    <dxf>
      <numFmt numFmtId="33" formatCode="_ * #,##0_ ;_ * \-#,##0_ ;_ * &quot;-&quot;_ ;_ @_ "/>
    </dxf>
    <dxf>
      <numFmt numFmtId="33" formatCode="_ * #,##0_ ;_ * \-#,##0_ ;_ * &quot;-&quot;_ ;_ @_ "/>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numFmt numFmtId="33" formatCode="_ * #,##0_ ;_ * \-#,##0_ ;_ * &quot;-&quot;_ ;_ @_ "/>
    </dxf>
    <dxf>
      <numFmt numFmtId="33" formatCode="_ * #,##0_ ;_ * \-#,##0_ ;_ * &quot;-&quot;_ ;_ @_ "/>
    </dxf>
    <dxf>
      <numFmt numFmtId="33" formatCode="_ * #,##0_ ;_ * \-#,##0_ ;_ * &quot;-&quot;_ ;_ @_ "/>
    </dxf>
    <dxf>
      <numFmt numFmtId="33" formatCode="_ * #,##0_ ;_ * \-#,##0_ ;_ * &quot;-&quot;_ ;_ @_ "/>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33" formatCode="_ * #,##0_ ;_ * \-#,##0_ ;_ * &quot;-&quot;_ ;_ @_ "/>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33" formatCode="_ * #,##0_ ;_ * \-#,##0_ ;_ * &quot;-&quot;_ ;_ @_ "/>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33" formatCode="_ * #,##0_ ;_ * \-#,##0_ ;_ * &quot;-&quot;_ ;_ @_ "/>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pivotCacheDefinition" Target="pivotCache/pivotCacheDefinition3.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lineChart>
        <c:grouping val="standard"/>
        <c:varyColors val="0"/>
        <c:ser>
          <c:idx val="0"/>
          <c:order val="0"/>
          <c:tx>
            <c:strRef>
              <c:f>'Por sexo'!$D$18</c:f>
              <c:strCache>
                <c:ptCount val="1"/>
                <c:pt idx="0">
                  <c:v>Mujeres</c:v>
                </c:pt>
              </c:strCache>
            </c:strRef>
          </c:tx>
          <c:spPr>
            <a:ln w="28575" cap="rnd">
              <a:solidFill>
                <a:schemeClr val="accent1"/>
              </a:solidFill>
              <a:round/>
            </a:ln>
            <a:effectLst/>
          </c:spPr>
          <c:marker>
            <c:symbol val="none"/>
          </c:marker>
          <c:cat>
            <c:numRef>
              <c:f>'Por sexo'!$C$19:$C$33</c:f>
              <c:numCache>
                <c:formatCode>General</c:formatCod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numCache>
            </c:numRef>
          </c:cat>
          <c:val>
            <c:numRef>
              <c:f>'Por sexo'!$D$19:$D$33</c:f>
              <c:numCache>
                <c:formatCode>_-* #,##0_-;\-* #,##0_-;_-* "-"??_-;_-@_-</c:formatCode>
                <c:ptCount val="15"/>
                <c:pt idx="0">
                  <c:v>107640</c:v>
                </c:pt>
                <c:pt idx="1">
                  <c:v>256079</c:v>
                </c:pt>
                <c:pt idx="2">
                  <c:v>152798</c:v>
                </c:pt>
                <c:pt idx="3">
                  <c:v>123376</c:v>
                </c:pt>
                <c:pt idx="4">
                  <c:v>118771</c:v>
                </c:pt>
                <c:pt idx="5">
                  <c:v>82046</c:v>
                </c:pt>
                <c:pt idx="6">
                  <c:v>92858</c:v>
                </c:pt>
                <c:pt idx="7">
                  <c:v>86238</c:v>
                </c:pt>
                <c:pt idx="8">
                  <c:v>86383</c:v>
                </c:pt>
                <c:pt idx="9">
                  <c:v>95362</c:v>
                </c:pt>
                <c:pt idx="10">
                  <c:v>107375</c:v>
                </c:pt>
                <c:pt idx="11">
                  <c:v>98722</c:v>
                </c:pt>
                <c:pt idx="12">
                  <c:v>126382</c:v>
                </c:pt>
                <c:pt idx="13">
                  <c:v>165351</c:v>
                </c:pt>
                <c:pt idx="14">
                  <c:v>331479</c:v>
                </c:pt>
              </c:numCache>
            </c:numRef>
          </c:val>
          <c:smooth val="0"/>
          <c:extLst>
            <c:ext xmlns:c16="http://schemas.microsoft.com/office/drawing/2014/chart" uri="{C3380CC4-5D6E-409C-BE32-E72D297353CC}">
              <c16:uniqueId val="{00000000-78D2-4330-B20F-DF8C0B7CC39D}"/>
            </c:ext>
          </c:extLst>
        </c:ser>
        <c:ser>
          <c:idx val="1"/>
          <c:order val="1"/>
          <c:tx>
            <c:strRef>
              <c:f>'Por sexo'!$E$18</c:f>
              <c:strCache>
                <c:ptCount val="1"/>
                <c:pt idx="0">
                  <c:v>Hombres</c:v>
                </c:pt>
              </c:strCache>
            </c:strRef>
          </c:tx>
          <c:spPr>
            <a:ln w="28575" cap="rnd">
              <a:solidFill>
                <a:schemeClr val="accent2"/>
              </a:solidFill>
              <a:round/>
            </a:ln>
            <a:effectLst/>
          </c:spPr>
          <c:marker>
            <c:symbol val="none"/>
          </c:marker>
          <c:cat>
            <c:numRef>
              <c:f>'Por sexo'!$C$19:$C$33</c:f>
              <c:numCache>
                <c:formatCode>General</c:formatCod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numCache>
            </c:numRef>
          </c:cat>
          <c:val>
            <c:numRef>
              <c:f>'Por sexo'!$E$19:$E$33</c:f>
              <c:numCache>
                <c:formatCode>_-* #,##0_-;\-* #,##0_-;_-* "-"??_-;_-@_-</c:formatCode>
                <c:ptCount val="15"/>
                <c:pt idx="0">
                  <c:v>31722</c:v>
                </c:pt>
                <c:pt idx="1">
                  <c:v>148361</c:v>
                </c:pt>
                <c:pt idx="2">
                  <c:v>92877</c:v>
                </c:pt>
                <c:pt idx="3">
                  <c:v>71415</c:v>
                </c:pt>
                <c:pt idx="4">
                  <c:v>73499</c:v>
                </c:pt>
                <c:pt idx="5">
                  <c:v>51988</c:v>
                </c:pt>
                <c:pt idx="6">
                  <c:v>58706</c:v>
                </c:pt>
                <c:pt idx="7">
                  <c:v>54740</c:v>
                </c:pt>
                <c:pt idx="8">
                  <c:v>52405</c:v>
                </c:pt>
                <c:pt idx="9">
                  <c:v>61704</c:v>
                </c:pt>
                <c:pt idx="10">
                  <c:v>71026</c:v>
                </c:pt>
                <c:pt idx="11">
                  <c:v>66590</c:v>
                </c:pt>
                <c:pt idx="12">
                  <c:v>93427</c:v>
                </c:pt>
                <c:pt idx="13">
                  <c:v>114859</c:v>
                </c:pt>
                <c:pt idx="14">
                  <c:v>322108</c:v>
                </c:pt>
              </c:numCache>
            </c:numRef>
          </c:val>
          <c:smooth val="0"/>
          <c:extLst>
            <c:ext xmlns:c16="http://schemas.microsoft.com/office/drawing/2014/chart" uri="{C3380CC4-5D6E-409C-BE32-E72D297353CC}">
              <c16:uniqueId val="{00000001-78D2-4330-B20F-DF8C0B7CC39D}"/>
            </c:ext>
          </c:extLst>
        </c:ser>
        <c:dLbls>
          <c:showLegendKey val="0"/>
          <c:showVal val="0"/>
          <c:showCatName val="0"/>
          <c:showSerName val="0"/>
          <c:showPercent val="0"/>
          <c:showBubbleSize val="0"/>
        </c:dLbls>
        <c:smooth val="0"/>
        <c:axId val="1193274656"/>
        <c:axId val="1193277608"/>
      </c:lineChart>
      <c:catAx>
        <c:axId val="119327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193277608"/>
        <c:crosses val="autoZero"/>
        <c:auto val="1"/>
        <c:lblAlgn val="ctr"/>
        <c:lblOffset val="100"/>
        <c:noMultiLvlLbl val="0"/>
      </c:catAx>
      <c:valAx>
        <c:axId val="1193277608"/>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193274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4.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5.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6.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7.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8.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0.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1.xml.rels><?xml version="1.0" encoding="UTF-8" standalone="yes"?>
<Relationships xmlns="http://schemas.openxmlformats.org/package/2006/relationships"><Relationship Id="rId1" Type="http://schemas.openxmlformats.org/officeDocument/2006/relationships/hyperlink" Target="#&#205;NDICE!A1"/></Relationships>
</file>

<file path=xl/drawings/_rels/drawing12.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3.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4.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5.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6.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7.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8.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I. Bono por hijo'!A1"/></Relationships>
</file>

<file path=xl/drawings/_rels/drawing20.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V. Subsidio STJ'!A1"/></Relationships>
</file>

<file path=xl/drawings/_rels/drawing22.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V. Subsidio STJ'!A1"/></Relationships>
</file>

<file path=xl/drawings/_rels/drawing23.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V. Subsidio STJ'!A1"/></Relationships>
</file>

<file path=xl/drawings/_rels/drawing2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chart" Target="../charts/chart1.xml"/></Relationships>
</file>

<file path=xl/drawings/_rels/drawing25.xml.rels><?xml version="1.0" encoding="UTF-8" standalone="yes"?>
<Relationships xmlns="http://schemas.openxmlformats.org/package/2006/relationships"><Relationship Id="rId1" Type="http://schemas.openxmlformats.org/officeDocument/2006/relationships/hyperlink" Target="#&#205;NDICE!A1"/></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3" name="Imagen 2">
          <a:extLst>
            <a:ext uri="{FF2B5EF4-FFF2-40B4-BE49-F238E27FC236}">
              <a16:creationId xmlns:a16="http://schemas.microsoft.com/office/drawing/2014/main" id="{7C1C1A53-1B9F-AE98-1CE0-F9F16DE951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590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2" name="Imagen 1">
          <a:extLst>
            <a:ext uri="{FF2B5EF4-FFF2-40B4-BE49-F238E27FC236}">
              <a16:creationId xmlns:a16="http://schemas.microsoft.com/office/drawing/2014/main" id="{8DAF2DE4-573B-45C3-94A3-92AC5082730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59037"/>
        </a:xfrm>
        <a:prstGeom prst="rect">
          <a:avLst/>
        </a:prstGeom>
      </xdr:spPr>
    </xdr:pic>
    <xdr:clientData/>
  </xdr:twoCellAnchor>
  <xdr:twoCellAnchor>
    <xdr:from>
      <xdr:col>15</xdr:col>
      <xdr:colOff>276225</xdr:colOff>
      <xdr:row>0</xdr:row>
      <xdr:rowOff>171450</xdr:rowOff>
    </xdr:from>
    <xdr:to>
      <xdr:col>17</xdr:col>
      <xdr:colOff>578784</xdr:colOff>
      <xdr:row>3</xdr:row>
      <xdr:rowOff>126627</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5F33BA5A-8F35-48EA-AECD-111E39D6E85D}"/>
            </a:ext>
          </a:extLst>
        </xdr:cNvPr>
        <xdr:cNvSpPr/>
      </xdr:nvSpPr>
      <xdr:spPr>
        <a:xfrm>
          <a:off x="11906250" y="17145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987986</xdr:colOff>
      <xdr:row>1</xdr:row>
      <xdr:rowOff>24901</xdr:rowOff>
    </xdr:from>
    <xdr:to>
      <xdr:col>15</xdr:col>
      <xdr:colOff>730251</xdr:colOff>
      <xdr:row>3</xdr:row>
      <xdr:rowOff>77819</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4086A593-4F34-BD9A-A030-6A23122C5DA3}"/>
            </a:ext>
          </a:extLst>
        </xdr:cNvPr>
        <xdr:cNvSpPr/>
      </xdr:nvSpPr>
      <xdr:spPr>
        <a:xfrm>
          <a:off x="15148486" y="215401"/>
          <a:ext cx="1816598" cy="539751"/>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15</xdr:col>
      <xdr:colOff>1045760</xdr:colOff>
      <xdr:row>1</xdr:row>
      <xdr:rowOff>31002</xdr:rowOff>
    </xdr:from>
    <xdr:to>
      <xdr:col>18</xdr:col>
      <xdr:colOff>289985</xdr:colOff>
      <xdr:row>3</xdr:row>
      <xdr:rowOff>83920</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1DF8D138-8ABD-441E-A125-D98715A82D1E}"/>
            </a:ext>
          </a:extLst>
        </xdr:cNvPr>
        <xdr:cNvSpPr/>
      </xdr:nvSpPr>
      <xdr:spPr>
        <a:xfrm>
          <a:off x="17280593" y="221502"/>
          <a:ext cx="2059392" cy="539751"/>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14</xdr:col>
      <xdr:colOff>1</xdr:colOff>
      <xdr:row>2</xdr:row>
      <xdr:rowOff>4483</xdr:rowOff>
    </xdr:from>
    <xdr:to>
      <xdr:col>15</xdr:col>
      <xdr:colOff>857251</xdr:colOff>
      <xdr:row>4</xdr:row>
      <xdr:rowOff>102535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4177CD26-C77B-4844-8005-AD74E5F83F89}"/>
            </a:ext>
          </a:extLst>
        </xdr:cNvPr>
        <xdr:cNvSpPr/>
      </xdr:nvSpPr>
      <xdr:spPr>
        <a:xfrm>
          <a:off x="13787439" y="492639"/>
          <a:ext cx="2107406"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16</xdr:col>
      <xdr:colOff>15128</xdr:colOff>
      <xdr:row>2</xdr:row>
      <xdr:rowOff>11906</xdr:rowOff>
    </xdr:from>
    <xdr:to>
      <xdr:col>18</xdr:col>
      <xdr:colOff>127187</xdr:colOff>
      <xdr:row>4</xdr:row>
      <xdr:rowOff>109958</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E4AD95EF-D569-449D-975F-54BF301FCCE9}"/>
            </a:ext>
          </a:extLst>
        </xdr:cNvPr>
        <xdr:cNvSpPr/>
      </xdr:nvSpPr>
      <xdr:spPr>
        <a:xfrm>
          <a:off x="16279066" y="500062"/>
          <a:ext cx="2183746"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14</xdr:col>
      <xdr:colOff>24343</xdr:colOff>
      <xdr:row>1</xdr:row>
      <xdr:rowOff>128308</xdr:rowOff>
    </xdr:from>
    <xdr:to>
      <xdr:col>16</xdr:col>
      <xdr:colOff>326902</xdr:colOff>
      <xdr:row>3</xdr:row>
      <xdr:rowOff>173444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FD633755-C81E-41FF-8E7F-43C5D3B29B25}"/>
            </a:ext>
          </a:extLst>
        </xdr:cNvPr>
        <xdr:cNvSpPr/>
      </xdr:nvSpPr>
      <xdr:spPr>
        <a:xfrm>
          <a:off x="14142510" y="318808"/>
          <a:ext cx="1826559" cy="542553"/>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16</xdr:col>
      <xdr:colOff>584511</xdr:colOff>
      <xdr:row>1</xdr:row>
      <xdr:rowOff>134408</xdr:rowOff>
    </xdr:from>
    <xdr:to>
      <xdr:col>18</xdr:col>
      <xdr:colOff>744195</xdr:colOff>
      <xdr:row>3</xdr:row>
      <xdr:rowOff>179544</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8B5E9D7F-802A-41A0-954D-F2AA1A7312EE}"/>
            </a:ext>
          </a:extLst>
        </xdr:cNvPr>
        <xdr:cNvSpPr/>
      </xdr:nvSpPr>
      <xdr:spPr>
        <a:xfrm>
          <a:off x="16226678" y="324908"/>
          <a:ext cx="1831850" cy="542553"/>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14</xdr:col>
      <xdr:colOff>0</xdr:colOff>
      <xdr:row>1</xdr:row>
      <xdr:rowOff>4483</xdr:rowOff>
    </xdr:from>
    <xdr:to>
      <xdr:col>16</xdr:col>
      <xdr:colOff>112059</xdr:colOff>
      <xdr:row>3</xdr:row>
      <xdr:rowOff>45385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C3655777-41BC-4DFD-A1CB-BEAD3E964D0C}"/>
            </a:ext>
          </a:extLst>
        </xdr:cNvPr>
        <xdr:cNvSpPr/>
      </xdr:nvSpPr>
      <xdr:spPr>
        <a:xfrm>
          <a:off x="12992100" y="1949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16</xdr:col>
      <xdr:colOff>443753</xdr:colOff>
      <xdr:row>1</xdr:row>
      <xdr:rowOff>0</xdr:rowOff>
    </xdr:from>
    <xdr:to>
      <xdr:col>18</xdr:col>
      <xdr:colOff>555812</xdr:colOff>
      <xdr:row>3</xdr:row>
      <xdr:rowOff>40902</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1832CB61-F435-4A43-944E-B8DEF4ABCAC1}"/>
            </a:ext>
          </a:extLst>
        </xdr:cNvPr>
        <xdr:cNvSpPr/>
      </xdr:nvSpPr>
      <xdr:spPr>
        <a:xfrm>
          <a:off x="15150353" y="1905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14</xdr:col>
      <xdr:colOff>0</xdr:colOff>
      <xdr:row>1</xdr:row>
      <xdr:rowOff>4483</xdr:rowOff>
    </xdr:from>
    <xdr:to>
      <xdr:col>16</xdr:col>
      <xdr:colOff>302559</xdr:colOff>
      <xdr:row>3</xdr:row>
      <xdr:rowOff>45385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C7733D67-86EE-47C1-8C79-60DDEE4DE04A}"/>
            </a:ext>
          </a:extLst>
        </xdr:cNvPr>
        <xdr:cNvSpPr/>
      </xdr:nvSpPr>
      <xdr:spPr>
        <a:xfrm>
          <a:off x="11677650" y="1949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16</xdr:col>
      <xdr:colOff>634253</xdr:colOff>
      <xdr:row>1</xdr:row>
      <xdr:rowOff>0</xdr:rowOff>
    </xdr:from>
    <xdr:to>
      <xdr:col>19</xdr:col>
      <xdr:colOff>174812</xdr:colOff>
      <xdr:row>3</xdr:row>
      <xdr:rowOff>40902</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34CB0DE5-C692-424E-BCE6-C96399F10EA2}"/>
            </a:ext>
          </a:extLst>
        </xdr:cNvPr>
        <xdr:cNvSpPr/>
      </xdr:nvSpPr>
      <xdr:spPr>
        <a:xfrm>
          <a:off x="13835903" y="1905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2" name="Imagen 1">
          <a:extLst>
            <a:ext uri="{FF2B5EF4-FFF2-40B4-BE49-F238E27FC236}">
              <a16:creationId xmlns:a16="http://schemas.microsoft.com/office/drawing/2014/main" id="{04EE63BE-9BA1-4CAD-8975-ED213B9B5E0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59037"/>
        </a:xfrm>
        <a:prstGeom prst="rect">
          <a:avLst/>
        </a:prstGeom>
      </xdr:spPr>
    </xdr:pic>
    <xdr:clientData/>
  </xdr:twoCellAnchor>
  <xdr:twoCellAnchor>
    <xdr:from>
      <xdr:col>16</xdr:col>
      <xdr:colOff>634253</xdr:colOff>
      <xdr:row>2</xdr:row>
      <xdr:rowOff>0</xdr:rowOff>
    </xdr:from>
    <xdr:to>
      <xdr:col>19</xdr:col>
      <xdr:colOff>174812</xdr:colOff>
      <xdr:row>4</xdr:row>
      <xdr:rowOff>145677</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53BD3A05-9C33-4CC9-A73E-28DF88D2CA85}"/>
            </a:ext>
          </a:extLst>
        </xdr:cNvPr>
        <xdr:cNvSpPr/>
      </xdr:nvSpPr>
      <xdr:spPr>
        <a:xfrm>
          <a:off x="13026278" y="3810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14</xdr:col>
      <xdr:colOff>0</xdr:colOff>
      <xdr:row>0</xdr:row>
      <xdr:rowOff>104775</xdr:rowOff>
    </xdr:from>
    <xdr:to>
      <xdr:col>16</xdr:col>
      <xdr:colOff>302559</xdr:colOff>
      <xdr:row>3</xdr:row>
      <xdr:rowOff>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1B26E320-AE76-43FE-A6AA-444F049FAF68}"/>
            </a:ext>
          </a:extLst>
        </xdr:cNvPr>
        <xdr:cNvSpPr/>
      </xdr:nvSpPr>
      <xdr:spPr>
        <a:xfrm>
          <a:off x="11315700" y="104775"/>
          <a:ext cx="1826559" cy="571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16</xdr:col>
      <xdr:colOff>634253</xdr:colOff>
      <xdr:row>0</xdr:row>
      <xdr:rowOff>123826</xdr:rowOff>
    </xdr:from>
    <xdr:to>
      <xdr:col>19</xdr:col>
      <xdr:colOff>174812</xdr:colOff>
      <xdr:row>3</xdr:row>
      <xdr:rowOff>1</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30E15ED4-3140-48F6-9274-E148B7162311}"/>
            </a:ext>
          </a:extLst>
        </xdr:cNvPr>
        <xdr:cNvSpPr/>
      </xdr:nvSpPr>
      <xdr:spPr>
        <a:xfrm>
          <a:off x="13473953" y="123826"/>
          <a:ext cx="1826559" cy="5524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18</xdr:col>
      <xdr:colOff>0</xdr:colOff>
      <xdr:row>1</xdr:row>
      <xdr:rowOff>4483</xdr:rowOff>
    </xdr:from>
    <xdr:to>
      <xdr:col>20</xdr:col>
      <xdr:colOff>616884</xdr:colOff>
      <xdr:row>3</xdr:row>
      <xdr:rowOff>45385</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A991DD41-B2B1-4C41-8917-0E43E98A9BAA}"/>
            </a:ext>
          </a:extLst>
        </xdr:cNvPr>
        <xdr:cNvSpPr/>
      </xdr:nvSpPr>
      <xdr:spPr>
        <a:xfrm>
          <a:off x="14411325" y="1949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21</xdr:col>
      <xdr:colOff>310403</xdr:colOff>
      <xdr:row>1</xdr:row>
      <xdr:rowOff>0</xdr:rowOff>
    </xdr:from>
    <xdr:to>
      <xdr:col>24</xdr:col>
      <xdr:colOff>355787</xdr:colOff>
      <xdr:row>3</xdr:row>
      <xdr:rowOff>40902</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82A46C8B-0619-401E-9E16-F47403B7AECF}"/>
            </a:ext>
          </a:extLst>
        </xdr:cNvPr>
        <xdr:cNvSpPr/>
      </xdr:nvSpPr>
      <xdr:spPr>
        <a:xfrm>
          <a:off x="16569578" y="1905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17</xdr:col>
      <xdr:colOff>581025</xdr:colOff>
      <xdr:row>1</xdr:row>
      <xdr:rowOff>295275</xdr:rowOff>
    </xdr:from>
    <xdr:to>
      <xdr:col>19</xdr:col>
      <xdr:colOff>619125</xdr:colOff>
      <xdr:row>3</xdr:row>
      <xdr:rowOff>28575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BAF3CBE5-9368-4CD1-89E3-BEBF1F55430A}"/>
            </a:ext>
          </a:extLst>
        </xdr:cNvPr>
        <xdr:cNvSpPr/>
      </xdr:nvSpPr>
      <xdr:spPr>
        <a:xfrm>
          <a:off x="13544550" y="485775"/>
          <a:ext cx="1581150" cy="257175"/>
        </a:xfrm>
        <a:prstGeom prst="roundRect">
          <a:avLst/>
        </a:prstGeom>
        <a:solidFill>
          <a:schemeClr val="tx2"/>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Volver al índice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17</xdr:col>
      <xdr:colOff>257175</xdr:colOff>
      <xdr:row>0</xdr:row>
      <xdr:rowOff>118783</xdr:rowOff>
    </xdr:from>
    <xdr:to>
      <xdr:col>20</xdr:col>
      <xdr:colOff>302559</xdr:colOff>
      <xdr:row>2</xdr:row>
      <xdr:rowOff>159685</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B7F8DDDD-2558-4322-83F0-7989120C05FD}"/>
            </a:ext>
          </a:extLst>
        </xdr:cNvPr>
        <xdr:cNvSpPr/>
      </xdr:nvSpPr>
      <xdr:spPr>
        <a:xfrm>
          <a:off x="14097000" y="1187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20</xdr:col>
      <xdr:colOff>544606</xdr:colOff>
      <xdr:row>0</xdr:row>
      <xdr:rowOff>121024</xdr:rowOff>
    </xdr:from>
    <xdr:to>
      <xdr:col>23</xdr:col>
      <xdr:colOff>523315</xdr:colOff>
      <xdr:row>2</xdr:row>
      <xdr:rowOff>161926</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B0CDF8DF-538E-4241-8544-C932C06489C0}"/>
            </a:ext>
          </a:extLst>
        </xdr:cNvPr>
        <xdr:cNvSpPr/>
      </xdr:nvSpPr>
      <xdr:spPr>
        <a:xfrm>
          <a:off x="17633577" y="121024"/>
          <a:ext cx="1827679" cy="522755"/>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14</xdr:col>
      <xdr:colOff>0</xdr:colOff>
      <xdr:row>1</xdr:row>
      <xdr:rowOff>4483</xdr:rowOff>
    </xdr:from>
    <xdr:to>
      <xdr:col>16</xdr:col>
      <xdr:colOff>283509</xdr:colOff>
      <xdr:row>3</xdr:row>
      <xdr:rowOff>45385</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9A3198D2-9449-42CB-B258-42573E63347F}"/>
            </a:ext>
          </a:extLst>
        </xdr:cNvPr>
        <xdr:cNvSpPr/>
      </xdr:nvSpPr>
      <xdr:spPr>
        <a:xfrm>
          <a:off x="13344525" y="1949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16</xdr:col>
      <xdr:colOff>615203</xdr:colOff>
      <xdr:row>1</xdr:row>
      <xdr:rowOff>0</xdr:rowOff>
    </xdr:from>
    <xdr:to>
      <xdr:col>19</xdr:col>
      <xdr:colOff>384362</xdr:colOff>
      <xdr:row>3</xdr:row>
      <xdr:rowOff>40902</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54443937-F1FA-4EAA-B0D3-4007F25E14EC}"/>
            </a:ext>
          </a:extLst>
        </xdr:cNvPr>
        <xdr:cNvSpPr/>
      </xdr:nvSpPr>
      <xdr:spPr>
        <a:xfrm>
          <a:off x="15502778" y="1905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13</xdr:col>
      <xdr:colOff>581025</xdr:colOff>
      <xdr:row>0</xdr:row>
      <xdr:rowOff>90208</xdr:rowOff>
    </xdr:from>
    <xdr:to>
      <xdr:col>16</xdr:col>
      <xdr:colOff>93009</xdr:colOff>
      <xdr:row>2</xdr:row>
      <xdr:rowOff>131110</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B2ABEBBC-F3B7-4016-B890-0A1F3CDB9EC2}"/>
            </a:ext>
          </a:extLst>
        </xdr:cNvPr>
        <xdr:cNvSpPr/>
      </xdr:nvSpPr>
      <xdr:spPr>
        <a:xfrm>
          <a:off x="13154025" y="90208"/>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16</xdr:col>
      <xdr:colOff>329453</xdr:colOff>
      <xdr:row>0</xdr:row>
      <xdr:rowOff>95250</xdr:rowOff>
    </xdr:from>
    <xdr:to>
      <xdr:col>19</xdr:col>
      <xdr:colOff>98612</xdr:colOff>
      <xdr:row>2</xdr:row>
      <xdr:rowOff>136152</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060C2FB0-0F2E-4E55-B49A-68135D333053}"/>
            </a:ext>
          </a:extLst>
        </xdr:cNvPr>
        <xdr:cNvSpPr/>
      </xdr:nvSpPr>
      <xdr:spPr>
        <a:xfrm>
          <a:off x="15369428" y="9525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18</xdr:col>
      <xdr:colOff>0</xdr:colOff>
      <xdr:row>1</xdr:row>
      <xdr:rowOff>4483</xdr:rowOff>
    </xdr:from>
    <xdr:to>
      <xdr:col>20</xdr:col>
      <xdr:colOff>283509</xdr:colOff>
      <xdr:row>3</xdr:row>
      <xdr:rowOff>45385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112C864-7225-48DA-832D-EE0E42C06B58}"/>
            </a:ext>
          </a:extLst>
        </xdr:cNvPr>
        <xdr:cNvSpPr/>
      </xdr:nvSpPr>
      <xdr:spPr>
        <a:xfrm>
          <a:off x="14744700" y="1949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20</xdr:col>
      <xdr:colOff>615203</xdr:colOff>
      <xdr:row>1</xdr:row>
      <xdr:rowOff>0</xdr:rowOff>
    </xdr:from>
    <xdr:to>
      <xdr:col>23</xdr:col>
      <xdr:colOff>127187</xdr:colOff>
      <xdr:row>3</xdr:row>
      <xdr:rowOff>40902</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5D01AC81-5BBA-42CA-BEE2-6FCBE6F3F545}"/>
            </a:ext>
          </a:extLst>
        </xdr:cNvPr>
        <xdr:cNvSpPr/>
      </xdr:nvSpPr>
      <xdr:spPr>
        <a:xfrm>
          <a:off x="16902953" y="1905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15</xdr:col>
      <xdr:colOff>9525</xdr:colOff>
      <xdr:row>1</xdr:row>
      <xdr:rowOff>33058</xdr:rowOff>
    </xdr:from>
    <xdr:to>
      <xdr:col>17</xdr:col>
      <xdr:colOff>312084</xdr:colOff>
      <xdr:row>3</xdr:row>
      <xdr:rowOff>85725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98065957-75AF-43B6-8A96-7A5106AC7953}"/>
            </a:ext>
          </a:extLst>
        </xdr:cNvPr>
        <xdr:cNvSpPr/>
      </xdr:nvSpPr>
      <xdr:spPr>
        <a:xfrm>
          <a:off x="11963400" y="223558"/>
          <a:ext cx="1826559" cy="538442"/>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17</xdr:col>
      <xdr:colOff>624728</xdr:colOff>
      <xdr:row>1</xdr:row>
      <xdr:rowOff>57150</xdr:rowOff>
    </xdr:from>
    <xdr:to>
      <xdr:col>19</xdr:col>
      <xdr:colOff>523875</xdr:colOff>
      <xdr:row>3</xdr:row>
      <xdr:rowOff>76200</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6003BCF9-CE81-4A91-9EA4-D615CBBACA27}"/>
            </a:ext>
          </a:extLst>
        </xdr:cNvPr>
        <xdr:cNvSpPr/>
      </xdr:nvSpPr>
      <xdr:spPr>
        <a:xfrm>
          <a:off x="14102603" y="247650"/>
          <a:ext cx="1889872" cy="504825"/>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15</xdr:col>
      <xdr:colOff>0</xdr:colOff>
      <xdr:row>1</xdr:row>
      <xdr:rowOff>4483</xdr:rowOff>
    </xdr:from>
    <xdr:to>
      <xdr:col>17</xdr:col>
      <xdr:colOff>302559</xdr:colOff>
      <xdr:row>3</xdr:row>
      <xdr:rowOff>95250</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9FCEF562-4963-4399-8248-B655AF1B3E65}"/>
            </a:ext>
          </a:extLst>
        </xdr:cNvPr>
        <xdr:cNvSpPr/>
      </xdr:nvSpPr>
      <xdr:spPr>
        <a:xfrm>
          <a:off x="12982575" y="194983"/>
          <a:ext cx="1826559" cy="576542"/>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17</xdr:col>
      <xdr:colOff>634253</xdr:colOff>
      <xdr:row>1</xdr:row>
      <xdr:rowOff>0</xdr:rowOff>
    </xdr:from>
    <xdr:to>
      <xdr:col>20</xdr:col>
      <xdr:colOff>174812</xdr:colOff>
      <xdr:row>3</xdr:row>
      <xdr:rowOff>104775</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12FB234A-E202-4D46-B999-A5A9AD4674A1}"/>
            </a:ext>
          </a:extLst>
        </xdr:cNvPr>
        <xdr:cNvSpPr/>
      </xdr:nvSpPr>
      <xdr:spPr>
        <a:xfrm>
          <a:off x="15140828" y="190500"/>
          <a:ext cx="1826559" cy="5905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2" name="Imagen 1">
          <a:extLst>
            <a:ext uri="{FF2B5EF4-FFF2-40B4-BE49-F238E27FC236}">
              <a16:creationId xmlns:a16="http://schemas.microsoft.com/office/drawing/2014/main" id="{4B566E95-CD21-4C0A-AC8A-3E69A869F8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89517"/>
        </a:xfrm>
        <a:prstGeom prst="rect">
          <a:avLst/>
        </a:prstGeom>
      </xdr:spPr>
    </xdr:pic>
    <xdr:clientData/>
  </xdr:twoCellAnchor>
  <xdr:twoCellAnchor>
    <xdr:from>
      <xdr:col>16</xdr:col>
      <xdr:colOff>634253</xdr:colOff>
      <xdr:row>2</xdr:row>
      <xdr:rowOff>0</xdr:rowOff>
    </xdr:from>
    <xdr:to>
      <xdr:col>19</xdr:col>
      <xdr:colOff>174812</xdr:colOff>
      <xdr:row>4</xdr:row>
      <xdr:rowOff>145677</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95C860F3-33CA-4502-8A1D-9A6B8F0598E3}"/>
            </a:ext>
          </a:extLst>
        </xdr:cNvPr>
        <xdr:cNvSpPr/>
      </xdr:nvSpPr>
      <xdr:spPr>
        <a:xfrm>
          <a:off x="13026278" y="3810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10</xdr:col>
      <xdr:colOff>0</xdr:colOff>
      <xdr:row>1</xdr:row>
      <xdr:rowOff>0</xdr:rowOff>
    </xdr:from>
    <xdr:to>
      <xdr:col>12</xdr:col>
      <xdr:colOff>302559</xdr:colOff>
      <xdr:row>3</xdr:row>
      <xdr:rowOff>85725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E25C2244-E505-4AEC-8929-6543DEEE3461}"/>
            </a:ext>
          </a:extLst>
        </xdr:cNvPr>
        <xdr:cNvSpPr/>
      </xdr:nvSpPr>
      <xdr:spPr>
        <a:xfrm>
          <a:off x="13115925" y="190500"/>
          <a:ext cx="1826559" cy="571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Bono</a:t>
          </a:r>
          <a:r>
            <a:rPr lang="es-CL" sz="1200" b="1" baseline="0"/>
            <a:t> por Hijo</a:t>
          </a:r>
          <a:endParaRPr lang="es-CL" sz="1200" b="1"/>
        </a:p>
      </xdr:txBody>
    </xdr:sp>
    <xdr:clientData/>
  </xdr:twoCellAnchor>
  <xdr:twoCellAnchor>
    <xdr:from>
      <xdr:col>12</xdr:col>
      <xdr:colOff>634253</xdr:colOff>
      <xdr:row>1</xdr:row>
      <xdr:rowOff>19051</xdr:rowOff>
    </xdr:from>
    <xdr:to>
      <xdr:col>15</xdr:col>
      <xdr:colOff>174812</xdr:colOff>
      <xdr:row>3</xdr:row>
      <xdr:rowOff>85726</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205873BD-5CC1-4585-8C8C-5B7A6114AFA5}"/>
            </a:ext>
          </a:extLst>
        </xdr:cNvPr>
        <xdr:cNvSpPr/>
      </xdr:nvSpPr>
      <xdr:spPr>
        <a:xfrm>
          <a:off x="15274178" y="209551"/>
          <a:ext cx="1826559" cy="5524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2" name="Imagen 1">
          <a:extLst>
            <a:ext uri="{FF2B5EF4-FFF2-40B4-BE49-F238E27FC236}">
              <a16:creationId xmlns:a16="http://schemas.microsoft.com/office/drawing/2014/main" id="{8CBB07F5-11C5-4EDC-8C5F-EF9C859F4CF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89517"/>
        </a:xfrm>
        <a:prstGeom prst="rect">
          <a:avLst/>
        </a:prstGeom>
      </xdr:spPr>
    </xdr:pic>
    <xdr:clientData/>
  </xdr:twoCellAnchor>
  <xdr:twoCellAnchor>
    <xdr:from>
      <xdr:col>16</xdr:col>
      <xdr:colOff>634253</xdr:colOff>
      <xdr:row>2</xdr:row>
      <xdr:rowOff>0</xdr:rowOff>
    </xdr:from>
    <xdr:to>
      <xdr:col>19</xdr:col>
      <xdr:colOff>174812</xdr:colOff>
      <xdr:row>4</xdr:row>
      <xdr:rowOff>145677</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A648595C-3590-4984-8113-ED9058951528}"/>
            </a:ext>
          </a:extLst>
        </xdr:cNvPr>
        <xdr:cNvSpPr/>
      </xdr:nvSpPr>
      <xdr:spPr>
        <a:xfrm>
          <a:off x="13026278" y="3810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12</xdr:col>
      <xdr:colOff>0</xdr:colOff>
      <xdr:row>1</xdr:row>
      <xdr:rowOff>0</xdr:rowOff>
    </xdr:from>
    <xdr:to>
      <xdr:col>14</xdr:col>
      <xdr:colOff>447675</xdr:colOff>
      <xdr:row>3</xdr:row>
      <xdr:rowOff>85725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2D47391D-2BFE-4981-93E6-B8906BBF1E7D}"/>
            </a:ext>
          </a:extLst>
        </xdr:cNvPr>
        <xdr:cNvSpPr/>
      </xdr:nvSpPr>
      <xdr:spPr>
        <a:xfrm>
          <a:off x="10267950" y="190500"/>
          <a:ext cx="1971675" cy="571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b="1"/>
            <a:t>Volver al Índice de Subsidio al Trabajador Joven</a:t>
          </a:r>
        </a:p>
      </xdr:txBody>
    </xdr:sp>
    <xdr:clientData/>
  </xdr:twoCellAnchor>
  <xdr:twoCellAnchor>
    <xdr:from>
      <xdr:col>14</xdr:col>
      <xdr:colOff>634253</xdr:colOff>
      <xdr:row>1</xdr:row>
      <xdr:rowOff>19051</xdr:rowOff>
    </xdr:from>
    <xdr:to>
      <xdr:col>17</xdr:col>
      <xdr:colOff>174812</xdr:colOff>
      <xdr:row>3</xdr:row>
      <xdr:rowOff>85726</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A5E2C426-6E31-4C68-8B72-7B28DD09CFFB}"/>
            </a:ext>
          </a:extLst>
        </xdr:cNvPr>
        <xdr:cNvSpPr/>
      </xdr:nvSpPr>
      <xdr:spPr>
        <a:xfrm>
          <a:off x="12426203" y="209551"/>
          <a:ext cx="1826559" cy="5524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14</xdr:col>
      <xdr:colOff>0</xdr:colOff>
      <xdr:row>1</xdr:row>
      <xdr:rowOff>0</xdr:rowOff>
    </xdr:from>
    <xdr:to>
      <xdr:col>16</xdr:col>
      <xdr:colOff>447675</xdr:colOff>
      <xdr:row>3</xdr:row>
      <xdr:rowOff>85725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F60D2EA1-A353-488C-AD9A-FBD895ADD340}"/>
            </a:ext>
          </a:extLst>
        </xdr:cNvPr>
        <xdr:cNvSpPr/>
      </xdr:nvSpPr>
      <xdr:spPr>
        <a:xfrm>
          <a:off x="10725150" y="190500"/>
          <a:ext cx="1971675" cy="571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b="1"/>
            <a:t>Volver al Índice de Subsidio al Trabajador Joven</a:t>
          </a:r>
        </a:p>
      </xdr:txBody>
    </xdr:sp>
    <xdr:clientData/>
  </xdr:twoCellAnchor>
  <xdr:twoCellAnchor>
    <xdr:from>
      <xdr:col>16</xdr:col>
      <xdr:colOff>634253</xdr:colOff>
      <xdr:row>1</xdr:row>
      <xdr:rowOff>19051</xdr:rowOff>
    </xdr:from>
    <xdr:to>
      <xdr:col>19</xdr:col>
      <xdr:colOff>174812</xdr:colOff>
      <xdr:row>3</xdr:row>
      <xdr:rowOff>85726</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7FA1B076-90DA-47C3-B05A-6C73F7033699}"/>
            </a:ext>
          </a:extLst>
        </xdr:cNvPr>
        <xdr:cNvSpPr/>
      </xdr:nvSpPr>
      <xdr:spPr>
        <a:xfrm>
          <a:off x="12883403" y="209551"/>
          <a:ext cx="1826559" cy="5524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14</xdr:col>
      <xdr:colOff>0</xdr:colOff>
      <xdr:row>1</xdr:row>
      <xdr:rowOff>0</xdr:rowOff>
    </xdr:from>
    <xdr:to>
      <xdr:col>16</xdr:col>
      <xdr:colOff>447675</xdr:colOff>
      <xdr:row>3</xdr:row>
      <xdr:rowOff>85725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E659881F-1285-4D30-99D5-5AF56F86B7B1}"/>
            </a:ext>
          </a:extLst>
        </xdr:cNvPr>
        <xdr:cNvSpPr/>
      </xdr:nvSpPr>
      <xdr:spPr>
        <a:xfrm>
          <a:off x="10858500" y="190500"/>
          <a:ext cx="1971675" cy="571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b="1"/>
            <a:t>Volver al Índice de Subsidio al Trabajador Joven</a:t>
          </a:r>
        </a:p>
      </xdr:txBody>
    </xdr:sp>
    <xdr:clientData/>
  </xdr:twoCellAnchor>
  <xdr:twoCellAnchor>
    <xdr:from>
      <xdr:col>16</xdr:col>
      <xdr:colOff>634253</xdr:colOff>
      <xdr:row>1</xdr:row>
      <xdr:rowOff>19051</xdr:rowOff>
    </xdr:from>
    <xdr:to>
      <xdr:col>19</xdr:col>
      <xdr:colOff>174812</xdr:colOff>
      <xdr:row>3</xdr:row>
      <xdr:rowOff>85726</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F6771F69-81E7-4CE6-ADC2-6B6B03CDAADB}"/>
            </a:ext>
          </a:extLst>
        </xdr:cNvPr>
        <xdr:cNvSpPr/>
      </xdr:nvSpPr>
      <xdr:spPr>
        <a:xfrm>
          <a:off x="13016753" y="209551"/>
          <a:ext cx="1826559" cy="5524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371475</xdr:colOff>
      <xdr:row>44</xdr:row>
      <xdr:rowOff>119063</xdr:rowOff>
    </xdr:from>
    <xdr:to>
      <xdr:col>6</xdr:col>
      <xdr:colOff>552450</xdr:colOff>
      <xdr:row>59</xdr:row>
      <xdr:rowOff>147638</xdr:rowOff>
    </xdr:to>
    <xdr:graphicFrame macro="">
      <xdr:nvGraphicFramePr>
        <xdr:cNvPr id="2" name="Gráfico 1">
          <a:extLst>
            <a:ext uri="{FF2B5EF4-FFF2-40B4-BE49-F238E27FC236}">
              <a16:creationId xmlns:a16="http://schemas.microsoft.com/office/drawing/2014/main" id="{4EB7B7AC-42E2-4F27-B51A-DA44C4C85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647700</xdr:colOff>
      <xdr:row>1</xdr:row>
      <xdr:rowOff>19050</xdr:rowOff>
    </xdr:from>
    <xdr:to>
      <xdr:col>17</xdr:col>
      <xdr:colOff>704850</xdr:colOff>
      <xdr:row>1</xdr:row>
      <xdr:rowOff>276225</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A7B75B4F-F28B-46A9-A6E5-1A01AFD02889}"/>
            </a:ext>
          </a:extLst>
        </xdr:cNvPr>
        <xdr:cNvSpPr/>
      </xdr:nvSpPr>
      <xdr:spPr>
        <a:xfrm>
          <a:off x="11525250" y="209550"/>
          <a:ext cx="1581150" cy="257175"/>
        </a:xfrm>
        <a:prstGeom prst="roundRect">
          <a:avLst/>
        </a:prstGeom>
        <a:solidFill>
          <a:schemeClr val="tx2"/>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Volver al índice</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9</xdr:col>
      <xdr:colOff>1266825</xdr:colOff>
      <xdr:row>1</xdr:row>
      <xdr:rowOff>219075</xdr:rowOff>
    </xdr:from>
    <xdr:to>
      <xdr:col>11</xdr:col>
      <xdr:colOff>19050</xdr:colOff>
      <xdr:row>3</xdr:row>
      <xdr:rowOff>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8555F16E-9F7B-485A-97AA-B082B8C0CB07}"/>
            </a:ext>
          </a:extLst>
        </xdr:cNvPr>
        <xdr:cNvSpPr/>
      </xdr:nvSpPr>
      <xdr:spPr>
        <a:xfrm>
          <a:off x="9591675" y="476250"/>
          <a:ext cx="1543050" cy="266700"/>
        </a:xfrm>
        <a:prstGeom prst="roundRect">
          <a:avLst/>
        </a:prstGeom>
        <a:solidFill>
          <a:schemeClr val="tx2"/>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Volver al índice</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previsionsocial-my.sharepoint.com/personal/constanza_morales_previsionsocial_gob_cl/Documents/Pilar%20No%20Contributivo/Propuesta_Informe_trimestral_202212.xlsx" TargetMode="External"/><Relationship Id="rId1" Type="http://schemas.openxmlformats.org/officeDocument/2006/relationships/externalLinkPath" Target="https://previsionsocial-my.sharepoint.com/personal/constanza_morales_previsionsocial_gob_cl/Documents/Pilar%20No%20Contributivo/Propuesta_Informe_trimestral_2022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beneficios"/>
      <sheetName val="PBS"/>
      <sheetName val="PGU"/>
      <sheetName val="PGU_desagr"/>
      <sheetName val="APS"/>
      <sheetName val="Nbis"/>
      <sheetName val="Suspendidos - extintos"/>
      <sheetName val="Hoja8"/>
      <sheetName val="Estado solicitudes anual Vejez"/>
      <sheetName val="Solicitudes"/>
      <sheetName val="Concesiones"/>
      <sheetName val="Rechazadas"/>
      <sheetName val="Por sexo"/>
      <sheetName val="Tasas de concesión"/>
      <sheetName val="Focalización y monto del benef"/>
    </sheetNames>
    <sheetDataSet>
      <sheetData sheetId="0"/>
      <sheetData sheetId="1">
        <row r="181">
          <cell r="R181">
            <v>15780083599</v>
          </cell>
          <cell r="S181">
            <v>20154801071</v>
          </cell>
          <cell r="T181">
            <v>35934884670</v>
          </cell>
          <cell r="AF181">
            <v>20409083.267605245</v>
          </cell>
          <cell r="AG181">
            <v>15979172.357357515</v>
          </cell>
          <cell r="AH181">
            <v>36388255.624962762</v>
          </cell>
        </row>
        <row r="182">
          <cell r="R182">
            <v>15794446196</v>
          </cell>
          <cell r="S182">
            <v>20132730649</v>
          </cell>
          <cell r="T182">
            <v>35927176845</v>
          </cell>
          <cell r="AF182">
            <v>20189834.036401078</v>
          </cell>
          <cell r="AG182">
            <v>15839244.708215751</v>
          </cell>
          <cell r="AH182">
            <v>36029078.744616829</v>
          </cell>
        </row>
        <row r="183">
          <cell r="R183">
            <v>15816186175</v>
          </cell>
          <cell r="S183">
            <v>20153837159</v>
          </cell>
          <cell r="T183">
            <v>35970023334</v>
          </cell>
          <cell r="AF183">
            <v>20153837.159000002</v>
          </cell>
          <cell r="AG183">
            <v>15816186.175000001</v>
          </cell>
          <cell r="AH183">
            <v>35970023.333999999</v>
          </cell>
        </row>
        <row r="188">
          <cell r="AE188">
            <v>74217774.785344392</v>
          </cell>
        </row>
        <row r="189">
          <cell r="AE189">
            <v>80113086.099703416</v>
          </cell>
        </row>
        <row r="190">
          <cell r="AE190">
            <v>81310395.028859764</v>
          </cell>
        </row>
      </sheetData>
      <sheetData sheetId="2"/>
      <sheetData sheetId="3">
        <row r="18">
          <cell r="C18">
            <v>322141</v>
          </cell>
          <cell r="D18">
            <v>109963</v>
          </cell>
          <cell r="E18">
            <v>432104</v>
          </cell>
          <cell r="F18">
            <v>686334</v>
          </cell>
          <cell r="G18">
            <v>563950</v>
          </cell>
          <cell r="H18">
            <v>1250284</v>
          </cell>
          <cell r="I18">
            <v>1008475</v>
          </cell>
          <cell r="J18">
            <v>673913</v>
          </cell>
          <cell r="K18">
            <v>1682388</v>
          </cell>
          <cell r="O18">
            <v>62098939511</v>
          </cell>
          <cell r="P18">
            <v>21312758106</v>
          </cell>
          <cell r="Q18">
            <v>83411697617</v>
          </cell>
          <cell r="R18">
            <v>131986560543</v>
          </cell>
          <cell r="S18">
            <v>108014882678</v>
          </cell>
          <cell r="T18">
            <v>240001443221</v>
          </cell>
          <cell r="U18">
            <v>194085500054</v>
          </cell>
          <cell r="V18">
            <v>129327640784</v>
          </cell>
          <cell r="W18">
            <v>323413140838</v>
          </cell>
          <cell r="AB18">
            <v>62882408.158995435</v>
          </cell>
          <cell r="AC18">
            <v>21581649.618638534</v>
          </cell>
          <cell r="AD18">
            <v>84464057.777633965</v>
          </cell>
          <cell r="AE18">
            <v>133651763.41049623</v>
          </cell>
          <cell r="AF18">
            <v>109377647.88400048</v>
          </cell>
          <cell r="AG18">
            <v>243029411.29449672</v>
          </cell>
          <cell r="AH18">
            <v>196534171.56949165</v>
          </cell>
          <cell r="AI18">
            <v>130959297.502639</v>
          </cell>
          <cell r="AJ18">
            <v>327493469.07213068</v>
          </cell>
        </row>
        <row r="19">
          <cell r="C19">
            <v>327443</v>
          </cell>
          <cell r="D19">
            <v>121585</v>
          </cell>
          <cell r="E19">
            <v>449028</v>
          </cell>
          <cell r="F19">
            <v>704099</v>
          </cell>
          <cell r="G19">
            <v>584193</v>
          </cell>
          <cell r="H19">
            <v>1288292</v>
          </cell>
          <cell r="I19">
            <v>1031542</v>
          </cell>
          <cell r="J19">
            <v>705778</v>
          </cell>
          <cell r="K19">
            <v>1737320</v>
          </cell>
          <cell r="O19">
            <v>63080932634</v>
          </cell>
          <cell r="P19">
            <v>23564397060</v>
          </cell>
          <cell r="Q19">
            <v>86645329694</v>
          </cell>
          <cell r="R19">
            <v>135236238015</v>
          </cell>
          <cell r="S19">
            <v>111537201040</v>
          </cell>
          <cell r="T19">
            <v>246773439055</v>
          </cell>
          <cell r="U19">
            <v>198317170649</v>
          </cell>
          <cell r="V19">
            <v>135101598100</v>
          </cell>
          <cell r="W19">
            <v>333418768749</v>
          </cell>
          <cell r="AB19">
            <v>63259851.976667479</v>
          </cell>
          <cell r="AC19">
            <v>23631233.840248529</v>
          </cell>
          <cell r="AD19">
            <v>86891085.816916019</v>
          </cell>
          <cell r="AE19">
            <v>135619814.75998658</v>
          </cell>
          <cell r="AF19">
            <v>111853559.11937138</v>
          </cell>
          <cell r="AG19">
            <v>247473373.87935796</v>
          </cell>
          <cell r="AH19">
            <v>198879666.73665404</v>
          </cell>
          <cell r="AI19">
            <v>135484792.95961991</v>
          </cell>
          <cell r="AJ19">
            <v>334364459.69627398</v>
          </cell>
        </row>
        <row r="20">
          <cell r="C20">
            <v>329180</v>
          </cell>
          <cell r="D20">
            <v>125728</v>
          </cell>
          <cell r="E20">
            <v>454908</v>
          </cell>
          <cell r="F20">
            <v>717919</v>
          </cell>
          <cell r="G20">
            <v>594890</v>
          </cell>
          <cell r="H20">
            <v>1312809</v>
          </cell>
          <cell r="I20">
            <v>1047099</v>
          </cell>
          <cell r="J20">
            <v>720618</v>
          </cell>
          <cell r="K20">
            <v>1767717</v>
          </cell>
          <cell r="O20">
            <v>63417031793</v>
          </cell>
          <cell r="P20">
            <v>24368202673</v>
          </cell>
          <cell r="Q20">
            <v>87785234466</v>
          </cell>
          <cell r="R20">
            <v>137636217159</v>
          </cell>
          <cell r="S20">
            <v>113286938106</v>
          </cell>
          <cell r="T20">
            <v>250923155265</v>
          </cell>
          <cell r="U20">
            <v>201053248952</v>
          </cell>
          <cell r="V20">
            <v>137655140779</v>
          </cell>
          <cell r="W20">
            <v>338708389731</v>
          </cell>
          <cell r="AB20">
            <v>63417031.792999998</v>
          </cell>
          <cell r="AC20">
            <v>24368202.673</v>
          </cell>
          <cell r="AD20">
            <v>87785234.466000006</v>
          </cell>
          <cell r="AE20">
            <v>137636217.15900001</v>
          </cell>
          <cell r="AF20">
            <v>113286938.10600001</v>
          </cell>
          <cell r="AG20">
            <v>250923155.26499999</v>
          </cell>
          <cell r="AH20">
            <v>201053248.95199999</v>
          </cell>
          <cell r="AI20">
            <v>137655140.77900001</v>
          </cell>
          <cell r="AJ20">
            <v>338708389.73100001</v>
          </cell>
        </row>
      </sheetData>
      <sheetData sheetId="4">
        <row r="182">
          <cell r="F182">
            <v>46381</v>
          </cell>
          <cell r="G182">
            <v>45739</v>
          </cell>
          <cell r="H182">
            <v>92120</v>
          </cell>
          <cell r="I182">
            <v>110196</v>
          </cell>
          <cell r="J182">
            <v>155132</v>
          </cell>
          <cell r="K182">
            <v>265328</v>
          </cell>
          <cell r="O182">
            <v>13590242086</v>
          </cell>
          <cell r="P182">
            <v>23196045529</v>
          </cell>
          <cell r="Q182">
            <v>36786287615</v>
          </cell>
          <cell r="R182">
            <v>7378442349</v>
          </cell>
          <cell r="S182">
            <v>7659976499</v>
          </cell>
          <cell r="T182">
            <v>15038418848</v>
          </cell>
          <cell r="U182">
            <v>20968684435</v>
          </cell>
          <cell r="V182">
            <v>30856022028</v>
          </cell>
          <cell r="W182">
            <v>51824706463</v>
          </cell>
          <cell r="AA182">
            <v>23488697.457882408</v>
          </cell>
          <cell r="AB182">
            <v>13761702.801382475</v>
          </cell>
          <cell r="AC182">
            <v>37250400.259264886</v>
          </cell>
          <cell r="AD182">
            <v>7756618.2690303121</v>
          </cell>
          <cell r="AE182">
            <v>7471532.1553156022</v>
          </cell>
          <cell r="AF182">
            <v>15228150.424345914</v>
          </cell>
          <cell r="AG182">
            <v>31245315.726912722</v>
          </cell>
          <cell r="AH182">
            <v>21233234.956698079</v>
          </cell>
          <cell r="AI182">
            <v>52478550.683610804</v>
          </cell>
        </row>
        <row r="183">
          <cell r="F183">
            <v>46666</v>
          </cell>
          <cell r="G183">
            <v>45910</v>
          </cell>
          <cell r="H183">
            <v>92576</v>
          </cell>
          <cell r="I183">
            <v>110192</v>
          </cell>
          <cell r="J183">
            <v>154941</v>
          </cell>
          <cell r="K183">
            <v>265133</v>
          </cell>
          <cell r="O183">
            <v>13546987070</v>
          </cell>
          <cell r="P183">
            <v>23133193734</v>
          </cell>
          <cell r="Q183">
            <v>36680180804</v>
          </cell>
          <cell r="R183">
            <v>7413824526</v>
          </cell>
          <cell r="S183">
            <v>7675227170</v>
          </cell>
          <cell r="T183">
            <v>15089051696</v>
          </cell>
          <cell r="U183">
            <v>20960811596</v>
          </cell>
          <cell r="V183">
            <v>30808420904</v>
          </cell>
          <cell r="W183">
            <v>51769232500</v>
          </cell>
          <cell r="AA183">
            <v>23198807.472476278</v>
          </cell>
          <cell r="AB183">
            <v>13585411.010808747</v>
          </cell>
          <cell r="AC183">
            <v>36784218.483285017</v>
          </cell>
          <cell r="AD183">
            <v>7696996.768874635</v>
          </cell>
          <cell r="AE183">
            <v>7434852.6965652686</v>
          </cell>
          <cell r="AF183">
            <v>15131849.465439903</v>
          </cell>
          <cell r="AG183">
            <v>30895804.241350912</v>
          </cell>
          <cell r="AH183">
            <v>21020263.707374014</v>
          </cell>
          <cell r="AI183">
            <v>51916067.948724926</v>
          </cell>
        </row>
        <row r="184">
          <cell r="F184">
            <v>46817</v>
          </cell>
          <cell r="G184">
            <v>45881</v>
          </cell>
          <cell r="H184">
            <v>92698</v>
          </cell>
          <cell r="I184">
            <v>110007</v>
          </cell>
          <cell r="J184">
            <v>154870</v>
          </cell>
          <cell r="K184">
            <v>264877</v>
          </cell>
          <cell r="O184">
            <v>13498986732</v>
          </cell>
          <cell r="P184">
            <v>23140037882</v>
          </cell>
          <cell r="Q184">
            <v>36639024614</v>
          </cell>
          <cell r="R184">
            <v>7421805869</v>
          </cell>
          <cell r="S184">
            <v>7649953291</v>
          </cell>
          <cell r="T184">
            <v>15071759160</v>
          </cell>
          <cell r="U184">
            <v>20920792601</v>
          </cell>
          <cell r="V184">
            <v>30789991173</v>
          </cell>
          <cell r="W184">
            <v>51710783774</v>
          </cell>
          <cell r="AA184">
            <v>23140037.881999999</v>
          </cell>
          <cell r="AB184">
            <v>13498986.732000001</v>
          </cell>
          <cell r="AC184">
            <v>36639024.614</v>
          </cell>
          <cell r="AD184">
            <v>7649953.2910000002</v>
          </cell>
          <cell r="AE184">
            <v>7421805.8689999999</v>
          </cell>
          <cell r="AF184">
            <v>15071759.16</v>
          </cell>
          <cell r="AG184">
            <v>30789991.173</v>
          </cell>
          <cell r="AH184">
            <v>20920792.601</v>
          </cell>
          <cell r="AI184">
            <v>51710783.773999996</v>
          </cell>
        </row>
        <row r="189">
          <cell r="D189">
            <v>569814.16666666663</v>
          </cell>
          <cell r="G189">
            <v>38063.25</v>
          </cell>
        </row>
      </sheetData>
      <sheetData sheetId="5">
        <row r="34">
          <cell r="C34">
            <v>13</v>
          </cell>
          <cell r="D34">
            <v>3</v>
          </cell>
        </row>
        <row r="55">
          <cell r="D55">
            <v>2.0909090909090908</v>
          </cell>
        </row>
        <row r="56">
          <cell r="C56">
            <v>6.416666666666667</v>
          </cell>
          <cell r="D56">
            <v>2.25</v>
          </cell>
        </row>
        <row r="57">
          <cell r="C57">
            <v>13</v>
          </cell>
        </row>
      </sheetData>
      <sheetData sheetId="6"/>
      <sheetData sheetId="7"/>
      <sheetData sheetId="8"/>
      <sheetData sheetId="9"/>
      <sheetData sheetId="10"/>
      <sheetData sheetId="11"/>
      <sheetData sheetId="12"/>
      <sheetData sheetId="13"/>
      <sheetData sheetId="14"/>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za Morales Lavín" refreshedDate="45063.757489699077" createdVersion="8" refreshedVersion="8" minRefreshableVersion="3" recordCount="174" xr:uid="{C3EA468B-1E4E-44FE-8BD2-BA39CA187CA5}">
  <cacheSource type="worksheet">
    <worksheetSource ref="N83:AI257" sheet="1.2"/>
  </cacheSource>
  <cacheFields count="25">
    <cacheField name="PERIODO" numFmtId="17">
      <sharedItems containsSemiMixedTypes="0" containsNonDate="0" containsDate="1" containsString="0" minDate="2008-07-01T00:00:00" maxDate="2022-12-02T00:00:00" count="174">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sharedItems>
      <fieldGroup par="24"/>
    </cacheField>
    <cacheField name="HOMBRE" numFmtId="165">
      <sharedItems containsSemiMixedTypes="0" containsString="0" containsNumber="1" containsInteger="1" minValue="0" maxValue="18646277906"/>
    </cacheField>
    <cacheField name="MUJER" numFmtId="165">
      <sharedItems containsSemiMixedTypes="0" containsString="0" containsNumber="1" containsInteger="1" minValue="0" maxValue="54315078550"/>
    </cacheField>
    <cacheField name="TOTAL" numFmtId="165">
      <sharedItems containsSemiMixedTypes="0" containsString="0" containsNumber="1" containsInteger="1" minValue="0" maxValue="72961356456"/>
    </cacheField>
    <cacheField name="HOMBRE2" numFmtId="165">
      <sharedItems containsSemiMixedTypes="0" containsString="0" containsNumber="1" containsInteger="1" minValue="5056680000" maxValue="15816186175"/>
    </cacheField>
    <cacheField name="MUJER2" numFmtId="165">
      <sharedItems containsSemiMixedTypes="0" containsString="0" containsNumber="1" containsInteger="1" minValue="6505980000" maxValue="20154801071"/>
    </cacheField>
    <cacheField name="TOTAL2" numFmtId="165">
      <sharedItems containsSemiMixedTypes="0" containsString="0" containsNumber="1" containsInteger="1" minValue="11562660000" maxValue="35970023334"/>
    </cacheField>
    <cacheField name="HOMBRE3" numFmtId="165">
      <sharedItems containsSemiMixedTypes="0" containsString="0" containsNumber="1" containsInteger="1" minValue="11141880000" maxValue="32683185940"/>
    </cacheField>
    <cacheField name="MUJER3" numFmtId="165">
      <sharedItems containsSemiMixedTypes="0" containsString="0" containsNumber="1" containsInteger="1" minValue="17854980000" maxValue="72380608686"/>
    </cacheField>
    <cacheField name="TOTAL3" numFmtId="165">
      <sharedItems containsSemiMixedTypes="0" containsString="0" containsNumber="1" containsInteger="1" minValue="28996860000" maxValue="105063794626"/>
    </cacheField>
    <cacheField name="IPC PERIODO" numFmtId="167">
      <sharedItems containsSemiMixedTypes="0" containsString="0" containsNumber="1" minValue="75.903217299999994" maxValue="129.01505570699999"/>
    </cacheField>
    <cacheField name="IPC DICIEMBRE 2022" numFmtId="167">
      <sharedItems containsSemiMixedTypes="0" containsString="0" containsNumber="1" minValue="129.01505570699999" maxValue="129.01505570699999"/>
    </cacheField>
    <cacheField name="COEF. DEFLACTOR" numFmtId="43">
      <sharedItems containsSemiMixedTypes="0" containsString="0" containsNumber="1" minValue="1" maxValue="1.6997310561564298"/>
    </cacheField>
    <cacheField name="PBSV_HOMBRE" numFmtId="43">
      <sharedItems containsSemiMixedTypes="0" containsString="0" containsNumber="1" minValue="0" maxValue="16731658091.126375"/>
    </cacheField>
    <cacheField name="PBSV_MUJER" numFmtId="43">
      <sharedItems containsSemiMixedTypes="0" containsString="0" containsNumber="1" minValue="0" maxValue="48737948027.624557"/>
    </cacheField>
    <cacheField name="PBSV_TOTAL" numFmtId="43">
      <sharedItems containsSemiMixedTypes="0" containsString="0" containsNumber="1" minValue="0" maxValue="65469606118.750931"/>
    </cacheField>
    <cacheField name="PBSI_HOMBRE" numFmtId="43">
      <sharedItems containsSemiMixedTypes="0" containsString="0" containsNumber="1" minValue="2976339157.5564561" maxValue="15816186175"/>
    </cacheField>
    <cacheField name="PBSI_MUJER" numFmtId="43">
      <sharedItems containsSemiMixedTypes="0" containsString="0" containsNumber="1" minValue="3829390634.2262421" maxValue="20153837159"/>
    </cacheField>
    <cacheField name="PBSI_TOTAL" numFmtId="43">
      <sharedItems containsSemiMixedTypes="0" containsString="0" containsNumber="1" minValue="6805729791.7826977" maxValue="35970023334"/>
    </cacheField>
    <cacheField name="PBS_HOMBRE" numFmtId="43">
      <sharedItems containsSemiMixedTypes="0" containsString="0" containsNumber="1" minValue="6558060571.9157887" maxValue="29327241352.593231"/>
    </cacheField>
    <cacheField name="PBS_MUJER" numFmtId="43">
      <sharedItems containsSemiMixedTypes="0" containsString="0" containsNumber="1" minValue="10509361108.748699" maxValue="64948490152.66864"/>
    </cacheField>
    <cacheField name="PBS_TOTAL" numFmtId="43">
      <sharedItems containsSemiMixedTypes="0" containsString="0" containsNumber="1" minValue="17067421680.664488" maxValue="94275731505.261871"/>
    </cacheField>
    <cacheField name="Meses (PERIODO)" numFmtId="0" databaseField="0">
      <fieldGroup base="0">
        <rangePr groupBy="months" startDate="2008-07-01T00:00:00" endDate="2022-12-02T00:00:00"/>
        <groupItems count="14">
          <s v="&lt;01-07-2008"/>
          <s v="ene"/>
          <s v="feb"/>
          <s v="mar"/>
          <s v="abr"/>
          <s v="may"/>
          <s v="jun"/>
          <s v="jul"/>
          <s v="ago"/>
          <s v="sept"/>
          <s v="oct"/>
          <s v="nov"/>
          <s v="dic"/>
          <s v="&gt;02-12-2022"/>
        </groupItems>
      </fieldGroup>
    </cacheField>
    <cacheField name="Trimestres (PERIODO)" numFmtId="0" databaseField="0">
      <fieldGroup base="0">
        <rangePr groupBy="quarters" startDate="2008-07-01T00:00:00" endDate="2022-12-02T00:00:00"/>
        <groupItems count="6">
          <s v="&lt;01-07-2008"/>
          <s v="Trim.1"/>
          <s v="Trim.2"/>
          <s v="Trim.3"/>
          <s v="Trim.4"/>
          <s v="&gt;02-12-2022"/>
        </groupItems>
      </fieldGroup>
    </cacheField>
    <cacheField name="Años (PERIODO)" numFmtId="0" databaseField="0">
      <fieldGroup base="0">
        <rangePr groupBy="years" startDate="2008-07-01T00:00:00" endDate="2022-12-02T00:00:00"/>
        <groupItems count="17">
          <s v="&lt;01-07-2008"/>
          <s v="2008"/>
          <s v="2009"/>
          <s v="2010"/>
          <s v="2011"/>
          <s v="2012"/>
          <s v="2013"/>
          <s v="2014"/>
          <s v="2015"/>
          <s v="2016"/>
          <s v="2017"/>
          <s v="2018"/>
          <s v="2019"/>
          <s v="2020"/>
          <s v="2021"/>
          <s v="2022"/>
          <s v="&gt;02-12-202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za Morales Lavín" refreshedDate="45064.497304166667" createdVersion="8" refreshedVersion="8" minRefreshableVersion="3" recordCount="174" xr:uid="{FAD5FDC5-4708-403A-9431-7EC95B3CF5CE}">
  <cacheSource type="worksheet">
    <worksheetSource ref="B83:K257" sheet="1.2"/>
  </cacheSource>
  <cacheFields count="13">
    <cacheField name="PERIODO" numFmtId="17">
      <sharedItems containsSemiMixedTypes="0" containsNonDate="0" containsDate="1" containsString="0" minDate="2008-07-01T00:00:00" maxDate="2022-12-02T00:00:00" count="174">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sharedItems>
      <fieldGroup par="12"/>
    </cacheField>
    <cacheField name="PBS VEJEZ HOMBRE" numFmtId="165">
      <sharedItems containsSemiMixedTypes="0" containsString="0" containsNumber="1" containsInteger="1" minValue="0" maxValue="120331"/>
    </cacheField>
    <cacheField name="PBS VEJEZ MUJER" numFmtId="165">
      <sharedItems containsSemiMixedTypes="0" containsString="0" containsNumber="1" containsInteger="1" minValue="0" maxValue="309032" count="162">
        <n v="189150"/>
        <n v="190466"/>
        <n v="221382"/>
        <n v="230808"/>
        <n v="236178"/>
        <n v="244815"/>
        <n v="249383"/>
        <n v="251808"/>
        <n v="254074"/>
        <n v="255795"/>
        <n v="258094"/>
        <n v="260086"/>
        <n v="261334"/>
        <n v="261917"/>
        <n v="267244"/>
        <n v="273548"/>
        <n v="275060"/>
        <n v="278864"/>
        <n v="281175"/>
        <n v="280040"/>
        <n v="282275"/>
        <n v="283343"/>
        <n v="283931"/>
        <n v="284810"/>
        <n v="285566"/>
        <n v="286679"/>
        <n v="286024"/>
        <n v="286401"/>
        <n v="286938"/>
        <n v="287654"/>
        <n v="288408"/>
        <n v="288069"/>
        <n v="288568"/>
        <n v="285145"/>
        <n v="287109"/>
        <n v="287551"/>
        <n v="286810"/>
        <n v="287169"/>
        <n v="287346"/>
        <n v="285805"/>
        <n v="284570"/>
        <n v="287245"/>
        <n v="287462"/>
        <n v="288141"/>
        <n v="288041"/>
        <n v="288120"/>
        <n v="288068"/>
        <n v="288374"/>
        <n v="288929"/>
        <n v="287830"/>
        <n v="287533"/>
        <n v="288146"/>
        <n v="288062"/>
        <n v="290081"/>
        <n v="291117"/>
        <n v="291221"/>
        <n v="290983"/>
        <n v="291102"/>
        <n v="287944"/>
        <n v="287746"/>
        <n v="286900"/>
        <n v="286299"/>
        <n v="287419"/>
        <n v="287421"/>
        <n v="288032"/>
        <n v="288459"/>
        <n v="287495"/>
        <n v="285935"/>
        <n v="286445"/>
        <n v="287373"/>
        <n v="287751"/>
        <n v="288957"/>
        <n v="289553"/>
        <n v="289755"/>
        <n v="289334"/>
        <n v="289527"/>
        <n v="289642"/>
        <n v="290598"/>
        <n v="288077"/>
        <n v="288289"/>
        <n v="288868"/>
        <n v="289236"/>
        <n v="289051"/>
        <n v="289446"/>
        <n v="289186"/>
        <n v="289306"/>
        <n v="289406"/>
        <n v="289596"/>
        <n v="289818"/>
        <n v="289772"/>
        <n v="290041"/>
        <n v="289522"/>
        <n v="290006"/>
        <n v="290387"/>
        <n v="290710"/>
        <n v="290754"/>
        <n v="290722"/>
        <n v="290590"/>
        <n v="290392"/>
        <n v="290974"/>
        <n v="290606"/>
        <n v="291095"/>
        <n v="291502"/>
        <n v="291371"/>
        <n v="291764"/>
        <n v="292373"/>
        <n v="291766"/>
        <n v="291786"/>
        <n v="291749"/>
        <n v="291575"/>
        <n v="291941"/>
        <n v="292377"/>
        <n v="292583"/>
        <n v="293042"/>
        <n v="293567"/>
        <n v="294247"/>
        <n v="294732"/>
        <n v="295169"/>
        <n v="295634"/>
        <n v="295924"/>
        <n v="296093"/>
        <n v="296516"/>
        <n v="297058"/>
        <n v="297497"/>
        <n v="298080"/>
        <n v="298635"/>
        <n v="299080"/>
        <n v="299513"/>
        <n v="299970"/>
        <n v="299952"/>
        <n v="300192"/>
        <n v="300148"/>
        <n v="300285"/>
        <n v="300301"/>
        <n v="300782"/>
        <n v="300920"/>
        <n v="301556"/>
        <n v="302529"/>
        <n v="302939"/>
        <n v="303117"/>
        <n v="303106"/>
        <n v="303034"/>
        <n v="303114"/>
        <n v="302726"/>
        <n v="302786"/>
        <n v="302124"/>
        <n v="302029"/>
        <n v="302560"/>
        <n v="303535"/>
        <n v="303509"/>
        <n v="303836"/>
        <n v="304229"/>
        <n v="304427"/>
        <n v="304385"/>
        <n v="304412"/>
        <n v="304998"/>
        <n v="305471"/>
        <n v="306429"/>
        <n v="307296"/>
        <n v="308126"/>
        <n v="309032"/>
        <n v="0"/>
      </sharedItems>
    </cacheField>
    <cacheField name="PBS VEJEZ TOTAL" numFmtId="165">
      <sharedItems containsSemiMixedTypes="0" containsString="0" containsNumber="1" containsInteger="1" minValue="0" maxValue="414941"/>
    </cacheField>
    <cacheField name="PBS INVALIDEZ HOMBRE" numFmtId="165">
      <sharedItems containsSemiMixedTypes="0" containsString="0" containsNumber="1" containsInteger="1" minValue="74385" maxValue="90089"/>
    </cacheField>
    <cacheField name="PBS INVALIDEZ MUJER" numFmtId="165">
      <sharedItems containsSemiMixedTypes="0" containsString="0" containsNumber="1" containsInteger="1" minValue="102248" maxValue="126450"/>
    </cacheField>
    <cacheField name="PBS INVALIDEZ TOTAL" numFmtId="165">
      <sharedItems containsSemiMixedTypes="0" containsString="0" containsNumber="1" containsInteger="1" minValue="179362" maxValue="216539"/>
    </cacheField>
    <cacheField name="PBS TOTAL HOMBRE" numFmtId="165">
      <sharedItems containsSemiMixedTypes="0" containsString="0" containsNumber="1" containsInteger="1" minValue="79908" maxValue="210267"/>
    </cacheField>
    <cacheField name="PBS TOTAL MUJER" numFmtId="165">
      <sharedItems containsSemiMixedTypes="0" containsString="0" containsNumber="1" containsInteger="1" minValue="102632" maxValue="414798"/>
    </cacheField>
    <cacheField name="PBS TOTAL TOTAL" numFmtId="165">
      <sharedItems containsSemiMixedTypes="0" containsString="0" containsNumber="1" containsInteger="1" minValue="182599" maxValue="624344"/>
    </cacheField>
    <cacheField name="Meses (PERIODO)" numFmtId="0" databaseField="0">
      <fieldGroup base="0">
        <rangePr groupBy="months" startDate="2008-07-01T00:00:00" endDate="2022-12-02T00:00:00"/>
        <groupItems count="14">
          <s v="&lt;01-07-2008"/>
          <s v="ene"/>
          <s v="feb"/>
          <s v="mar"/>
          <s v="abr"/>
          <s v="may"/>
          <s v="jun"/>
          <s v="jul"/>
          <s v="ago"/>
          <s v="sept"/>
          <s v="oct"/>
          <s v="nov"/>
          <s v="dic"/>
          <s v="&gt;02-12-2022"/>
        </groupItems>
      </fieldGroup>
    </cacheField>
    <cacheField name="Trimestres (PERIODO)" numFmtId="0" databaseField="0">
      <fieldGroup base="0">
        <rangePr groupBy="quarters" startDate="2008-07-01T00:00:00" endDate="2022-12-02T00:00:00"/>
        <groupItems count="6">
          <s v="&lt;01-07-2008"/>
          <s v="Trim.1"/>
          <s v="Trim.2"/>
          <s v="Trim.3"/>
          <s v="Trim.4"/>
          <s v="&gt;02-12-2022"/>
        </groupItems>
      </fieldGroup>
    </cacheField>
    <cacheField name="Años (PERIODO)" numFmtId="0" databaseField="0">
      <fieldGroup base="0">
        <rangePr groupBy="years" startDate="2008-07-01T00:00:00" endDate="2022-12-02T00:00:00"/>
        <groupItems count="17">
          <s v="&lt;01-07-2008"/>
          <s v="2008"/>
          <s v="2009"/>
          <s v="2010"/>
          <s v="2011"/>
          <s v="2012"/>
          <s v="2013"/>
          <s v="2014"/>
          <s v="2015"/>
          <s v="2016"/>
          <s v="2017"/>
          <s v="2018"/>
          <s v="2019"/>
          <s v="2020"/>
          <s v="2021"/>
          <s v="2022"/>
          <s v="&gt;02-12-2022"/>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za Morales Lavín" refreshedDate="45064.664281365738" createdVersion="8" refreshedVersion="8" minRefreshableVersion="3" recordCount="174" xr:uid="{EA320DF1-B4AC-46D6-B636-2778C20F3186}">
  <cacheSource type="worksheet">
    <worksheetSource ref="B86:AO260" sheet="1.4"/>
  </cacheSource>
  <cacheFields count="43">
    <cacheField name="PERIODO" numFmtId="17">
      <sharedItems containsSemiMixedTypes="0" containsNonDate="0" containsDate="1" containsString="0" minDate="2008-07-01T00:00:00" maxDate="2022-12-02T00:00:00" count="174">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sharedItems>
      <fieldGroup par="42"/>
    </cacheField>
    <cacheField name="APS VEJEZ HOMBRE n" numFmtId="165">
      <sharedItems containsString="0" containsBlank="1" containsNumber="1" containsInteger="1" minValue="955" maxValue="492231"/>
    </cacheField>
    <cacheField name="APS VEJEZ MUJER n" numFmtId="165">
      <sharedItems containsString="0" containsBlank="1" containsNumber="1" containsInteger="1" minValue="2444" maxValue="669074"/>
    </cacheField>
    <cacheField name="APS VEJEZ AMBOS n" numFmtId="165">
      <sharedItems containsString="0" containsBlank="1" containsNumber="1" containsInteger="1" minValue="3399" maxValue="1161305"/>
    </cacheField>
    <cacheField name="APS INVALIDEZ HOMBRE N" numFmtId="165">
      <sharedItems containsString="0" containsBlank="1" containsNumber="1" containsInteger="1" minValue="229" maxValue="46817"/>
    </cacheField>
    <cacheField name="APS INVALIDEZ MUJER N" numFmtId="165">
      <sharedItems containsString="0" containsBlank="1" containsNumber="1" containsInteger="1" minValue="217" maxValue="45910"/>
    </cacheField>
    <cacheField name="APS INVALIDEZ AMBOS N" numFmtId="165">
      <sharedItems containsString="0" containsBlank="1" containsNumber="1" containsInteger="1" minValue="446" maxValue="92698"/>
    </cacheField>
    <cacheField name="APS TOTAL HOMBRE N" numFmtId="165">
      <sharedItems containsString="0" containsBlank="1" containsNumber="1" containsInteger="1" minValue="1184" maxValue="534214"/>
    </cacheField>
    <cacheField name="APS TOTAL MUJER N" numFmtId="165">
      <sharedItems containsString="0" containsBlank="1" containsNumber="1" containsInteger="1" minValue="2661" maxValue="712635"/>
    </cacheField>
    <cacheField name="APS TOTAL AMBOS N" numFmtId="165">
      <sharedItems containsString="0" containsBlank="1" containsNumber="1" containsInteger="1" minValue="3845" maxValue="1246849"/>
    </cacheField>
    <cacheField name="APS VEJEZ HOMBRE" numFmtId="165">
      <sharedItems containsString="0" containsBlank="1" containsNumber="1" containsInteger="1" minValue="85654067" maxValue="66064824284"/>
    </cacheField>
    <cacheField name="APS VEJEZ MUJER" numFmtId="165">
      <sharedItems containsString="0" containsBlank="1" containsNumber="1" containsInteger="1" minValue="192967990" maxValue="95093530766"/>
    </cacheField>
    <cacheField name="APS VEJEZ AMBOS" numFmtId="165">
      <sharedItems containsString="0" containsBlank="1" containsNumber="1" containsInteger="1" minValue="278622057" maxValue="161158355050"/>
    </cacheField>
    <cacheField name="APS INVALIDEZ HOMBRE" numFmtId="165">
      <sharedItems containsString="0" containsBlank="1" containsNumber="1" containsInteger="1" minValue="19636312" maxValue="7421805869"/>
    </cacheField>
    <cacheField name="APS INVALIDEZ MUJER" numFmtId="165">
      <sharedItems containsString="0" containsBlank="1" containsNumber="1" containsInteger="1" minValue="20520752" maxValue="7678209975"/>
    </cacheField>
    <cacheField name="APS INVALIDEZ AMBOS" numFmtId="165">
      <sharedItems containsString="0" containsBlank="1" containsNumber="1" containsInteger="1" minValue="40157064" maxValue="15089051696"/>
    </cacheField>
    <cacheField name="APS TOTAL HOMBRE" numFmtId="165">
      <sharedItems containsString="0" containsBlank="1" containsNumber="1" containsInteger="1" minValue="105290379" maxValue="72394294731"/>
    </cacheField>
    <cacheField name="APS TOTAL MUJER" numFmtId="165">
      <sharedItems containsString="0" containsBlank="1" containsNumber="1" containsInteger="1" minValue="213488742" maxValue="101928001757"/>
    </cacheField>
    <cacheField name="APS TOTAL AMBOS" numFmtId="165">
      <sharedItems containsString="0" containsBlank="1" containsNumber="1" containsInteger="1" minValue="318779121" maxValue="174322296488"/>
    </cacheField>
    <cacheField name="IPC PERIODO" numFmtId="0">
      <sharedItems containsSemiMixedTypes="0" containsString="0" containsNumber="1" minValue="75.903217299999994" maxValue="129.01505570699999"/>
    </cacheField>
    <cacheField name="IPC DICIEMBRE 2022" numFmtId="0">
      <sharedItems containsSemiMixedTypes="0" containsString="0" containsNumber="1" minValue="129.01505570699999" maxValue="129.01505570699999"/>
    </cacheField>
    <cacheField name="COEF. DEFLACTOR" numFmtId="43">
      <sharedItems containsSemiMixedTypes="0" containsString="0" containsNumber="1" minValue="1" maxValue="1.6997310561564298"/>
    </cacheField>
    <cacheField name="PBSV_HOMBRE REAL" numFmtId="41">
      <sharedItems containsString="0" containsBlank="1" containsNumber="1" minValue="51817.3168968135" maxValue="59281217.267202884"/>
    </cacheField>
    <cacheField name="PBSV_MUJER REAL" numFmtId="41">
      <sharedItems containsString="0" containsBlank="1" containsNumber="1" minValue="116737.98850405011" maxValue="85329225.032237858"/>
    </cacheField>
    <cacheField name="PBSV_TOTAL REAL" numFmtId="41">
      <sharedItems containsString="0" containsBlank="1" containsNumber="1" minValue="168555.30540086361" maxValue="144610442.29944074"/>
    </cacheField>
    <cacheField name="PBSI_HOMBRE REAL" numFmtId="41">
      <sharedItems containsString="0" containsBlank="1" containsNumber="1" minValue="11879.190763804614" maxValue="7421805.8689999999"/>
    </cacheField>
    <cacheField name="PBSI_MUJER REAL" numFmtId="41">
      <sharedItems containsString="0" containsBlank="1" containsNumber="1" minValue="12414.241922043462" maxValue="7653519.1425991999"/>
    </cacheField>
    <cacheField name="PBSI_TOTAL REAL" numFmtId="41">
      <sharedItems containsString="0" containsBlank="1" containsNumber="1" minValue="24293.432685848074" maxValue="15071759.16"/>
    </cacheField>
    <cacheField name="PBS_HOMBRE REAL" numFmtId="41">
      <sharedItems containsString="0" containsBlank="1" containsNumber="1" minValue="63696.50766061811" maxValue="64960770.899888761"/>
    </cacheField>
    <cacheField name="PBS_MUJER REAL" numFmtId="41">
      <sharedItems containsString="0" containsBlank="1" containsNumber="1" minValue="129152.23042609356" maxValue="91461925.211416095"/>
    </cacheField>
    <cacheField name="PBS_TOTAL REAL" numFmtId="41">
      <sharedItems containsString="0" containsBlank="1" containsNumber="1" minValue="192848.73808671167" maxValue="156422696.11130488"/>
    </cacheField>
    <cacheField name="APS VEJEZ HOMBRE nom" numFmtId="41">
      <sharedItems containsString="0" containsBlank="1" containsNumber="1" minValue="85654.066999999995" maxValue="66064824.284000002"/>
    </cacheField>
    <cacheField name="APS VEJEZ MUJER nom" numFmtId="41">
      <sharedItems containsString="0" containsBlank="1" containsNumber="1" minValue="192967.99" maxValue="95093530.766000003"/>
    </cacheField>
    <cacheField name="APS VEJEZ AMBOS nom" numFmtId="41">
      <sharedItems containsString="0" containsBlank="1" containsNumber="1" minValue="278622.05699999997" maxValue="161158355.05000001"/>
    </cacheField>
    <cacheField name="APS INVALIDEZ HOMBRE nom" numFmtId="41">
      <sharedItems containsString="0" containsBlank="1" containsNumber="1" minValue="19636.312000000002" maxValue="7421805.8689999999"/>
    </cacheField>
    <cacheField name="APS INVALIDEZ MUJER nom" numFmtId="41">
      <sharedItems containsString="0" containsBlank="1" containsNumber="1" minValue="20520.752" maxValue="7678209.9749999996"/>
    </cacheField>
    <cacheField name="APS INVALIDEZ AMBOS nom" numFmtId="41">
      <sharedItems containsString="0" containsBlank="1" containsNumber="1" minValue="40157.063999999998" maxValue="15089051.696"/>
    </cacheField>
    <cacheField name="APS TOTAL HOMBRE nom" numFmtId="41">
      <sharedItems containsString="0" containsBlank="1" containsNumber="1" minValue="105290.379" maxValue="72394294.731000006"/>
    </cacheField>
    <cacheField name="APS TOTAL MUJER nom" numFmtId="41">
      <sharedItems containsString="0" containsBlank="1" containsNumber="1" minValue="213488.742" maxValue="101928001.757"/>
    </cacheField>
    <cacheField name="APS TOTAL AMBOS nom" numFmtId="41">
      <sharedItems containsString="0" containsBlank="1" containsNumber="1" minValue="318779.12099999998" maxValue="174322296.48800001"/>
    </cacheField>
    <cacheField name="Meses (PERIODO)" numFmtId="0" databaseField="0">
      <fieldGroup base="0">
        <rangePr groupBy="months" startDate="2008-07-01T00:00:00" endDate="2022-12-02T00:00:00"/>
        <groupItems count="14">
          <s v="&lt;01-07-2008"/>
          <s v="ene"/>
          <s v="feb"/>
          <s v="mar"/>
          <s v="abr"/>
          <s v="may"/>
          <s v="jun"/>
          <s v="jul"/>
          <s v="ago"/>
          <s v="sept"/>
          <s v="oct"/>
          <s v="nov"/>
          <s v="dic"/>
          <s v="&gt;02-12-2022"/>
        </groupItems>
      </fieldGroup>
    </cacheField>
    <cacheField name="Trimestres (PERIODO)" numFmtId="0" databaseField="0">
      <fieldGroup base="0">
        <rangePr groupBy="quarters" startDate="2008-07-01T00:00:00" endDate="2022-12-02T00:00:00"/>
        <groupItems count="6">
          <s v="&lt;01-07-2008"/>
          <s v="Trim.1"/>
          <s v="Trim.2"/>
          <s v="Trim.3"/>
          <s v="Trim.4"/>
          <s v="&gt;02-12-2022"/>
        </groupItems>
      </fieldGroup>
    </cacheField>
    <cacheField name="Años (PERIODO)" numFmtId="0" databaseField="0">
      <fieldGroup base="0">
        <rangePr groupBy="years" startDate="2008-07-01T00:00:00" endDate="2022-12-02T00:00:00"/>
        <groupItems count="17">
          <s v="&lt;01-07-2008"/>
          <s v="2008"/>
          <s v="2009"/>
          <s v="2010"/>
          <s v="2011"/>
          <s v="2012"/>
          <s v="2013"/>
          <s v="2014"/>
          <s v="2015"/>
          <s v="2016"/>
          <s v="2017"/>
          <s v="2018"/>
          <s v="2019"/>
          <s v="2020"/>
          <s v="2021"/>
          <s v="2022"/>
          <s v="&gt;02-12-2022"/>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za Morales Lavín" refreshedDate="45064.714706944447" createdVersion="8" refreshedVersion="8" minRefreshableVersion="3" recordCount="11" xr:uid="{F261272C-87C9-4853-8DB2-B3EF0F854505}">
  <cacheSource type="worksheet">
    <worksheetSource ref="B95:W106" sheet="1.3"/>
  </cacheSource>
  <cacheFields count="24">
    <cacheField name="PERIODO" numFmtId="17">
      <sharedItems containsSemiMixedTypes="0" containsNonDate="0" containsDate="1" containsString="0" minDate="2022-02-01T00:00:00" maxDate="2022-12-02T00:00:00" count="11">
        <d v="2022-02-01T00:00:00"/>
        <d v="2022-03-01T00:00:00"/>
        <d v="2022-04-01T00:00:00"/>
        <d v="2022-05-01T00:00:00"/>
        <d v="2022-06-01T00:00:00"/>
        <d v="2022-07-01T00:00:00"/>
        <d v="2022-08-01T00:00:00"/>
        <d v="2022-09-01T00:00:00"/>
        <d v="2022-10-01T00:00:00"/>
        <d v="2022-11-01T00:00:00"/>
        <d v="2022-12-01T00:00:00"/>
      </sharedItems>
      <fieldGroup par="23"/>
    </cacheField>
    <cacheField name="PGU_NC_Mujer_n" numFmtId="41">
      <sharedItems containsSemiMixedTypes="0" containsString="0" containsNumber="1" containsInteger="1" minValue="309683" maxValue="329180"/>
    </cacheField>
    <cacheField name="PGU_NC_Mujer_Nom" numFmtId="41">
      <sharedItems containsSemiMixedTypes="0" containsString="0" containsNumber="1" minValue="57205360.538000003" maxValue="63417031.792999998"/>
    </cacheField>
    <cacheField name="PGU_NC_hombre_N" numFmtId="41">
      <sharedItems containsSemiMixedTypes="0" containsString="0" containsNumber="1" containsInteger="1" minValue="106066" maxValue="125728"/>
    </cacheField>
    <cacheField name="PGU_NC_hombre_Nom" numFmtId="41">
      <sharedItems containsSemiMixedTypes="0" containsString="0" containsNumber="1" minValue="19617326.636999998" maxValue="24368202.673"/>
    </cacheField>
    <cacheField name="PGU_C_Mujer_N" numFmtId="41">
      <sharedItems containsSemiMixedTypes="0" containsString="0" containsNumber="1" containsInteger="1" minValue="517361" maxValue="717919"/>
    </cacheField>
    <cacheField name="PGU_C_Mujer_Nom" numFmtId="41">
      <sharedItems containsSemiMixedTypes="0" containsString="0" containsNumber="1" minValue="85078213.942000002" maxValue="137636217.15900001"/>
    </cacheField>
    <cacheField name="PGU_C_hombre_N" numFmtId="41">
      <sharedItems containsSemiMixedTypes="0" containsString="0" containsNumber="1" containsInteger="1" minValue="340110" maxValue="594890"/>
    </cacheField>
    <cacheField name="PGU_C_hombre_Nom" numFmtId="41">
      <sharedItems containsSemiMixedTypes="0" containsString="0" containsNumber="1" minValue="58304127.729999997" maxValue="113286938.10600001"/>
    </cacheField>
    <cacheField name="PGU_TOT_Mujer_N" numFmtId="41">
      <sharedItems containsSemiMixedTypes="0" containsString="0" containsNumber="1" containsInteger="1" minValue="827044" maxValue="1047099"/>
    </cacheField>
    <cacheField name="PGU_TOT_Mujer_Nom" numFmtId="41">
      <sharedItems containsSemiMixedTypes="0" containsString="0" containsNumber="1" minValue="142283574.48000002" maxValue="201053248.95200002"/>
    </cacheField>
    <cacheField name="PGU_TOT_Hombre_N" numFmtId="41">
      <sharedItems containsSemiMixedTypes="0" containsString="0" containsNumber="1" containsInteger="1" minValue="446176" maxValue="720618"/>
    </cacheField>
    <cacheField name="PGU_TOT_Hombre_Nom" numFmtId="41">
      <sharedItems containsSemiMixedTypes="0" containsString="0" containsNumber="1" minValue="77921454.366999999" maxValue="137655140.77900001"/>
    </cacheField>
    <cacheField name="IPC PERIODO" numFmtId="167">
      <sharedItems containsSemiMixedTypes="0" containsString="0" containsNumber="1" minValue="116.102606374" maxValue="129.01505570699999"/>
    </cacheField>
    <cacheField name="IPC DICIEMBRE 2022" numFmtId="167">
      <sharedItems containsSemiMixedTypes="0" containsString="0" containsNumber="1" minValue="129.01505570699999" maxValue="129.01505570699999"/>
    </cacheField>
    <cacheField name="COEF. DEFLACTOR" numFmtId="43">
      <sharedItems containsSemiMixedTypes="0" containsString="0" containsNumber="1" minValue="1" maxValue="1.1112158437805026"/>
    </cacheField>
    <cacheField name="PGU_NC_Mujer_REAL" numFmtId="41">
      <sharedItems containsSemiMixedTypes="0" containsString="0" containsNumber="1" minValue="51479972.012799807" maxValue="63417031.792999998"/>
    </cacheField>
    <cacheField name="PGU_NC_hombre_REAL" numFmtId="41">
      <sharedItems containsSemiMixedTypes="0" containsString="0" containsNumber="1" minValue="17653929.924414385" maxValue="24368202.673"/>
    </cacheField>
    <cacheField name="PGU_C_Mujer_REAL" numFmtId="41">
      <sharedItems containsSemiMixedTypes="0" containsString="0" containsNumber="1" minValue="76563175.748604089" maxValue="137636217.15900001"/>
    </cacheField>
    <cacheField name="PGU_C_hombre_REAL" numFmtId="41">
      <sharedItems containsSemiMixedTypes="0" containsString="0" containsNumber="1" minValue="52468769.282160051" maxValue="113286938.10600001"/>
    </cacheField>
    <cacheField name="PGU_TOT_Mujer_REAL" numFmtId="41">
      <sharedItems containsSemiMixedTypes="0" containsString="0" containsNumber="1" minValue="128043147.7614039" maxValue="201053248.95200002"/>
    </cacheField>
    <cacheField name="PGU_TOT_Hombre_REAL" numFmtId="41">
      <sharedItems containsSemiMixedTypes="0" containsString="0" containsNumber="1" minValue="70122699.20657444" maxValue="137655140.77900001"/>
    </cacheField>
    <cacheField name="Días (PERIODO)" numFmtId="0" databaseField="0">
      <fieldGroup base="0">
        <rangePr groupBy="days" startDate="2022-02-01T00:00:00" endDate="2022-12-02T00:00:00"/>
        <groupItems count="368">
          <s v="&lt;01-02-2022"/>
          <s v="01-ene"/>
          <s v="02-ene"/>
          <s v="03-ene"/>
          <s v="04-ene"/>
          <s v="05-ene"/>
          <s v="06-ene"/>
          <s v="07-ene"/>
          <s v="08-ene"/>
          <s v="09-ene"/>
          <s v="10-ene"/>
          <s v="11-ene"/>
          <s v="12-ene"/>
          <s v="13-ene"/>
          <s v="14-ene"/>
          <s v="15-ene"/>
          <s v="16-ene"/>
          <s v="17-ene"/>
          <s v="18-ene"/>
          <s v="19-ene"/>
          <s v="20-ene"/>
          <s v="21-ene"/>
          <s v="22-ene"/>
          <s v="23-ene"/>
          <s v="24-ene"/>
          <s v="25-ene"/>
          <s v="26-ene"/>
          <s v="27-ene"/>
          <s v="28-ene"/>
          <s v="29-ene"/>
          <s v="30-ene"/>
          <s v="31-ene"/>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ic"/>
          <s v="02-dic"/>
          <s v="03-dic"/>
          <s v="04-dic"/>
          <s v="05-dic"/>
          <s v="06-dic"/>
          <s v="07-dic"/>
          <s v="08-dic"/>
          <s v="09-dic"/>
          <s v="10-dic"/>
          <s v="11-dic"/>
          <s v="12-dic"/>
          <s v="13-dic"/>
          <s v="14-dic"/>
          <s v="15-dic"/>
          <s v="16-dic"/>
          <s v="17-dic"/>
          <s v="18-dic"/>
          <s v="19-dic"/>
          <s v="20-dic"/>
          <s v="21-dic"/>
          <s v="22-dic"/>
          <s v="23-dic"/>
          <s v="24-dic"/>
          <s v="25-dic"/>
          <s v="26-dic"/>
          <s v="27-dic"/>
          <s v="28-dic"/>
          <s v="29-dic"/>
          <s v="30-dic"/>
          <s v="31-dic"/>
          <s v="&gt;02-12-2022"/>
        </groupItems>
      </fieldGroup>
    </cacheField>
    <cacheField name="Meses (PERIODO)" numFmtId="0" databaseField="0">
      <fieldGroup base="0">
        <rangePr groupBy="months" startDate="2022-02-01T00:00:00" endDate="2022-12-02T00:00:00"/>
        <groupItems count="14">
          <s v="&lt;01-02-2022"/>
          <s v="ene"/>
          <s v="feb"/>
          <s v="mar"/>
          <s v="abr"/>
          <s v="may"/>
          <s v="jun"/>
          <s v="jul"/>
          <s v="ago"/>
          <s v="sept"/>
          <s v="oct"/>
          <s v="nov"/>
          <s v="dic"/>
          <s v="&gt;02-12-20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x v="0"/>
    <n v="6085200000"/>
    <n v="11349000000"/>
    <n v="17434200000"/>
    <n v="5056680000"/>
    <n v="6505980000"/>
    <n v="11562660000"/>
    <n v="11141880000"/>
    <n v="17854980000"/>
    <n v="28996860000"/>
    <n v="75.937682870000003"/>
    <n v="129.01505570699999"/>
    <n v="1.6989596051786928"/>
    <n v="3581721414.3593321"/>
    <n v="6679970474.5224581"/>
    <n v="10261691888.88179"/>
    <n v="2976339157.5564561"/>
    <n v="3829390634.2262421"/>
    <n v="6805729791.7826977"/>
    <n v="6558060571.9157887"/>
    <n v="10509361108.748699"/>
    <n v="17067421680.664488"/>
  </r>
  <r>
    <x v="1"/>
    <n v="6100260000"/>
    <n v="11427960000"/>
    <n v="17528220000"/>
    <n v="5089920000"/>
    <n v="6568320000"/>
    <n v="11658240000"/>
    <n v="11190180000"/>
    <n v="17996280000"/>
    <n v="29186460000"/>
    <n v="76.645666680000005"/>
    <n v="129.01505570699999"/>
    <n v="1.6832661426985187"/>
    <n v="3624061486.9258895"/>
    <n v="6789158119.5112314"/>
    <n v="10413219606.43712"/>
    <n v="3023835548.5723267"/>
    <n v="3902128031.5601397"/>
    <n v="6925963580.1324663"/>
    <n v="6647897035.4982166"/>
    <n v="10691286151.071371"/>
    <n v="17339183186.569588"/>
  </r>
  <r>
    <x v="2"/>
    <n v="6488552979"/>
    <n v="13279878039"/>
    <n v="19768431018"/>
    <n v="5073600000"/>
    <n v="6537480000"/>
    <n v="11611080000"/>
    <n v="11562152979"/>
    <n v="19817358039"/>
    <n v="31379511018"/>
    <n v="77.460120860000004"/>
    <n v="129.01505570699999"/>
    <n v="1.6655674465081125"/>
    <n v="3895701127.3265157"/>
    <n v="7973185395.0684891"/>
    <n v="11868886522.395004"/>
    <n v="3046169046.2532029"/>
    <n v="3925076714.0687857"/>
    <n v="6971245760.3219891"/>
    <n v="6941870173.5797186"/>
    <n v="11898262109.137276"/>
    <n v="18840132282.716995"/>
  </r>
  <r>
    <x v="3"/>
    <n v="6917450409"/>
    <n v="15225059687"/>
    <n v="22142510096"/>
    <n v="5094062168"/>
    <n v="6541980000"/>
    <n v="11636042168"/>
    <n v="12011512577"/>
    <n v="21767039687"/>
    <n v="33778552264"/>
    <n v="78.144751220000003"/>
    <n v="129.01505570699999"/>
    <n v="1.6509753207068945"/>
    <n v="4189917512.5392976"/>
    <n v="9221857829.1534481"/>
    <n v="13411775341.692745"/>
    <n v="3085486563.0692086"/>
    <n v="3962494119.6570611"/>
    <n v="7047980682.7262697"/>
    <n v="7275404075.6085062"/>
    <n v="13184351948.810509"/>
    <n v="20459756024.419014"/>
  </r>
  <r>
    <x v="4"/>
    <n v="6911023396"/>
    <n v="15133152021"/>
    <n v="22044175417"/>
    <n v="5088893297"/>
    <n v="6574320000"/>
    <n v="11663213297"/>
    <n v="11999916693"/>
    <n v="21707472021"/>
    <n v="33707388714"/>
    <n v="78.04899709"/>
    <n v="129.01505570699999"/>
    <n v="1.6530008138122507"/>
    <n v="4180895337.8924108"/>
    <n v="9154957392.9724865"/>
    <n v="13335852730.864897"/>
    <n v="3078578821.3035936"/>
    <n v="3977203123.5955076"/>
    <n v="7055781944.8991013"/>
    <n v="7259474159.1960049"/>
    <n v="13132160516.567993"/>
    <n v="20391634675.763996"/>
  </r>
  <r>
    <x v="5"/>
    <n v="7304694318"/>
    <n v="16162566723"/>
    <n v="23467261041"/>
    <n v="5314694603"/>
    <n v="7061640000"/>
    <n v="12376334603"/>
    <n v="12619388921"/>
    <n v="23224206723"/>
    <n v="35843595644"/>
    <n v="77.128789299999994"/>
    <n v="129.01505570699999"/>
    <n v="1.6727224280052324"/>
    <n v="4366949468.5445509"/>
    <n v="9662432004.4983826"/>
    <n v="14029381473.042934"/>
    <n v="3177272280.2180157"/>
    <n v="4221644835.8507395"/>
    <n v="7398917116.0687551"/>
    <n v="7544221748.7625666"/>
    <n v="13884076840.349123"/>
    <n v="21428298589.111691"/>
  </r>
  <r>
    <x v="6"/>
    <n v="7092138129"/>
    <n v="15637465548"/>
    <n v="22729603677"/>
    <n v="5351180474"/>
    <n v="7229794857"/>
    <n v="12580975331"/>
    <n v="12443318603"/>
    <n v="22867260405"/>
    <n v="35310579008"/>
    <n v="76.540568890000003"/>
    <n v="129.01505570699999"/>
    <n v="1.6855774340064482"/>
    <n v="4207542166.8067188"/>
    <n v="9277215767.4366322"/>
    <n v="13484757934.243351"/>
    <n v="3174686826.0337238"/>
    <n v="4289209567.6764631"/>
    <n v="7463896393.710187"/>
    <n v="7382228992.8404427"/>
    <n v="13566425335.113094"/>
    <n v="20948654327.953537"/>
  </r>
  <r>
    <x v="7"/>
    <n v="7061355476"/>
    <n v="15606041944"/>
    <n v="22667397420"/>
    <n v="5318677943"/>
    <n v="7233871020"/>
    <n v="12552548963"/>
    <n v="12380033419"/>
    <n v="22839912964"/>
    <n v="35219946383"/>
    <n v="76.261696380000004"/>
    <n v="129.01505570699999"/>
    <n v="1.6917412256886906"/>
    <n v="4174016314.5373454"/>
    <n v="9224839891.0104828"/>
    <n v="13398856205.547829"/>
    <n v="3143907509.1610541"/>
    <n v="4275991451.9758573"/>
    <n v="7419898961.1369114"/>
    <n v="7317923823.6983995"/>
    <n v="13500831342.98634"/>
    <n v="20818755166.684738"/>
  </r>
  <r>
    <x v="8"/>
    <n v="7110673605"/>
    <n v="15641610883"/>
    <n v="22752284488"/>
    <n v="5310501393"/>
    <n v="7228184571"/>
    <n v="12538685964"/>
    <n v="12421174998"/>
    <n v="22869795454"/>
    <n v="35290970452"/>
    <n v="76.560749150000007"/>
    <n v="129.01505570699999"/>
    <n v="1.6851331411900112"/>
    <n v="4219650917.3029308"/>
    <n v="9282121691.5561771"/>
    <n v="13501772608.859108"/>
    <n v="3151383865.8765073"/>
    <n v="4289384852.9354682"/>
    <n v="7440768718.8119755"/>
    <n v="7371034783.1794386"/>
    <n v="13571506544.491644"/>
    <n v="20942541327.671082"/>
  </r>
  <r>
    <x v="9"/>
    <n v="7082297950"/>
    <n v="15659382741"/>
    <n v="22741680691"/>
    <n v="5349218781"/>
    <n v="7298661306"/>
    <n v="12647880087"/>
    <n v="12431516731"/>
    <n v="22958044047"/>
    <n v="35389560778"/>
    <n v="76.441391870000004"/>
    <n v="129.01505570699999"/>
    <n v="1.6877643453485167"/>
    <n v="4196259963.3763051"/>
    <n v="9278180798.2597237"/>
    <n v="13474440761.636028"/>
    <n v="3169410940.4209552"/>
    <n v="4324455203.7819328"/>
    <n v="7493866144.2028875"/>
    <n v="7365670903.7972603"/>
    <n v="13602636002.041656"/>
    <n v="20968306905.838917"/>
  </r>
  <r>
    <x v="10"/>
    <n v="7116381469"/>
    <n v="15830182876"/>
    <n v="22946564345"/>
    <n v="5432318781"/>
    <n v="7445721306"/>
    <n v="12878040087"/>
    <n v="12548700250"/>
    <n v="23275904182"/>
    <n v="35824604432"/>
    <n v="76.250226720000001"/>
    <n v="129.01505570699999"/>
    <n v="1.6919956996424257"/>
    <n v="4205909903.023941"/>
    <n v="9355923823.7694321"/>
    <n v="13561833726.793373"/>
    <n v="3210598456.1001115"/>
    <n v="4400555691.4674931"/>
    <n v="7611154147.567605"/>
    <n v="7416508359.124053"/>
    <n v="13756479515.236927"/>
    <n v="21172987874.360977"/>
  </r>
  <r>
    <x v="11"/>
    <n v="7146998932"/>
    <n v="15976444926"/>
    <n v="23123443858"/>
    <n v="5488751760"/>
    <n v="7632606430"/>
    <n v="13121358190"/>
    <n v="12635750692"/>
    <n v="23609051356"/>
    <n v="36244802048"/>
    <n v="76.514479230000006"/>
    <n v="129.01505570699999"/>
    <n v="1.6861521767557872"/>
    <n v="4238644074.0782146"/>
    <n v="9475090769.5290051"/>
    <n v="13713734843.60722"/>
    <n v="3255193591.4589515"/>
    <n v="4526641506.7502317"/>
    <n v="7781835098.2091837"/>
    <n v="7493837665.5371666"/>
    <n v="14001732276.279238"/>
    <n v="21495569941.816402"/>
  </r>
  <r>
    <x v="12"/>
    <n v="8902853195"/>
    <n v="19913272247"/>
    <n v="28816125442"/>
    <n v="6798319434"/>
    <n v="9511333826"/>
    <n v="16309653260"/>
    <n v="15701172629"/>
    <n v="29424606073"/>
    <n v="45125778702"/>
    <n v="76.177530309999995"/>
    <n v="129.01505570699999"/>
    <n v="1.6936103754214764"/>
    <n v="5256730428.7944107"/>
    <n v="11757882766.893377"/>
    <n v="17014613195.687788"/>
    <n v="4014098834.4548564"/>
    <n v="5616010603.1666136"/>
    <n v="9630109437.6214695"/>
    <n v="9270829263.2492657"/>
    <n v="17373893370.05999"/>
    <n v="26644722633.309258"/>
  </r>
  <r>
    <x v="13"/>
    <n v="9016017775"/>
    <n v="19952724859"/>
    <n v="28968742634"/>
    <n v="6952929882"/>
    <n v="9873459778"/>
    <n v="16826389660"/>
    <n v="15968947657"/>
    <n v="29826184637"/>
    <n v="45795132294"/>
    <n v="75.903217299999994"/>
    <n v="129.01505570699999"/>
    <n v="1.6997310561564298"/>
    <n v="5304379032.4027805"/>
    <n v="11738754073.317179"/>
    <n v="17043133105.719959"/>
    <n v="4090605897.2191348"/>
    <n v="5808836487.536252"/>
    <n v="9899442384.7553864"/>
    <n v="9394984929.6219158"/>
    <n v="17547590560.853432"/>
    <n v="26942575490.475346"/>
  </r>
  <r>
    <x v="14"/>
    <n v="8940979460"/>
    <n v="21089928935"/>
    <n v="30030908395"/>
    <n v="6954455001"/>
    <n v="9885217799"/>
    <n v="16839672800"/>
    <n v="15895434461"/>
    <n v="30975146734"/>
    <n v="46870581195"/>
    <n v="76.648749370000004"/>
    <n v="129.01505570699999"/>
    <n v="1.6831984444288393"/>
    <n v="5311898599.7126131"/>
    <n v="12529674682.628677"/>
    <n v="17841573282.34129"/>
    <n v="4131690487.2496238"/>
    <n v="5872877218.7965975"/>
    <n v="10004567706.046221"/>
    <n v="9443589086.9622364"/>
    <n v="18402551901.425274"/>
    <n v="27846140988.387512"/>
  </r>
  <r>
    <x v="15"/>
    <n v="9151987328"/>
    <n v="21514109166"/>
    <n v="30666096494"/>
    <n v="7026223830"/>
    <n v="10213584933"/>
    <n v="17239808763"/>
    <n v="16178211158"/>
    <n v="31727694099"/>
    <n v="47905905257"/>
    <n v="76.646904160000005"/>
    <n v="129.01505570699999"/>
    <n v="1.6832389660211422"/>
    <n v="5437128959.5520496"/>
    <n v="12781375431.710255"/>
    <n v="18218504391.262306"/>
    <n v="4174228360.818346"/>
    <n v="6067816358.329072"/>
    <n v="10242044719.147419"/>
    <n v="9611357320.3703957"/>
    <n v="18849191790.039326"/>
    <n v="28460549110.409721"/>
  </r>
  <r>
    <x v="16"/>
    <n v="9007325084"/>
    <n v="20985331285"/>
    <n v="29992656369"/>
    <n v="6973391796"/>
    <n v="10114403630"/>
    <n v="17087795426"/>
    <n v="15980716880"/>
    <n v="31099734915"/>
    <n v="47080451795"/>
    <n v="76.297590920000005"/>
    <n v="129.01505570699999"/>
    <n v="1.6909453385268167"/>
    <n v="5326798494.7682285"/>
    <n v="12410413753.103819"/>
    <n v="17737212247.872047"/>
    <n v="4123960507.2481818"/>
    <n v="5981508331.198842"/>
    <n v="10105468838.447023"/>
    <n v="9450759002.0164108"/>
    <n v="18391922084.302662"/>
    <n v="27842681086.319073"/>
  </r>
  <r>
    <x v="17"/>
    <n v="9265868136"/>
    <n v="21832267361"/>
    <n v="31098135497"/>
    <n v="7170116321"/>
    <n v="10746564432"/>
    <n v="17916680753"/>
    <n v="16435984457"/>
    <n v="32578831793"/>
    <n v="49014816250"/>
    <n v="76.064574460000003"/>
    <n v="129.01505570699999"/>
    <n v="1.6961253858699361"/>
    <n v="5462961767.5627041"/>
    <n v="12871847531.367685"/>
    <n v="18334809298.930389"/>
    <n v="4227350395.6327353"/>
    <n v="6335949288.6123676"/>
    <n v="10563299684.245104"/>
    <n v="9690312163.1954403"/>
    <n v="19207796819.980053"/>
    <n v="28898108983.175491"/>
  </r>
  <r>
    <x v="18"/>
    <n v="9093895927"/>
    <n v="21326987046"/>
    <n v="30420882973"/>
    <n v="6976173439"/>
    <n v="10077852775"/>
    <n v="17054026214"/>
    <n v="16070069366"/>
    <n v="31404839821"/>
    <n v="47474909187"/>
    <n v="76.458779579999998"/>
    <n v="129.01505570699999"/>
    <n v="1.6873805260259163"/>
    <n v="5389356927.3421421"/>
    <n v="12639109387.038429"/>
    <n v="18028466314.380569"/>
    <n v="4134321412.0351024"/>
    <n v="5972483751.9223661"/>
    <n v="10106805163.957468"/>
    <n v="9523678339.3772449"/>
    <n v="18611593138.960796"/>
    <n v="28135271478.338039"/>
  </r>
  <r>
    <x v="19"/>
    <n v="8969081379"/>
    <n v="20993952795"/>
    <n v="29963034174"/>
    <n v="6677691875"/>
    <n v="9276880764"/>
    <n v="15954572639"/>
    <n v="15646773254"/>
    <n v="30270833559"/>
    <n v="45917606813"/>
    <n v="76.673626780000006"/>
    <n v="129.01505570699999"/>
    <n v="1.6826523163849219"/>
    <n v="5330323615.6769075"/>
    <n v="12476702757.052185"/>
    <n v="17807026372.729092"/>
    <n v="3968551203.3446236"/>
    <n v="5513248740.4949026"/>
    <n v="9481799943.8395252"/>
    <n v="9298874819.0215302"/>
    <n v="17989951497.547089"/>
    <n v="27288826316.568619"/>
  </r>
  <r>
    <x v="20"/>
    <n v="9156392753"/>
    <n v="21922751114"/>
    <n v="31079143867"/>
    <n v="7034220159"/>
    <n v="10251381058"/>
    <n v="17285601217"/>
    <n v="16190612912"/>
    <n v="32174132172"/>
    <n v="48364745084"/>
    <n v="76.738096589999998"/>
    <n v="129.01505570699999"/>
    <n v="1.6812386733581346"/>
    <n v="5446218254.4914141"/>
    <n v="13039642414.489031"/>
    <n v="18485860668.980442"/>
    <n v="4183950958.5808716"/>
    <n v="6097516801.4210129"/>
    <n v="10281467760.001884"/>
    <n v="9630169213.0722847"/>
    <n v="19137159215.910042"/>
    <n v="28767328428.982327"/>
  </r>
  <r>
    <x v="21"/>
    <n v="9163006529"/>
    <n v="21534048636"/>
    <n v="30697055165"/>
    <n v="6902070898"/>
    <n v="9769581116"/>
    <n v="16671652014"/>
    <n v="16065077427"/>
    <n v="31303629752"/>
    <n v="47368707179"/>
    <n v="77.092779820000004"/>
    <n v="129.01505570699999"/>
    <n v="1.6735037445559837"/>
    <n v="5475342710.6499491"/>
    <n v="12867642935.399254"/>
    <n v="18342985646.049202"/>
    <n v="4124323546.0051312"/>
    <n v="5837800571.275135"/>
    <n v="9962124117.2802658"/>
    <n v="9599666256.6550808"/>
    <n v="18705443506.674389"/>
    <n v="28305109763.329468"/>
  </r>
  <r>
    <x v="22"/>
    <n v="9140848308"/>
    <n v="21690650936"/>
    <n v="30831499244"/>
    <n v="6886442490"/>
    <n v="9809696698"/>
    <n v="16696139188"/>
    <n v="16027290798"/>
    <n v="31500347634"/>
    <n v="47527638432"/>
    <n v="77.370182610000001"/>
    <n v="129.01505570699999"/>
    <n v="1.6675035699130552"/>
    <n v="5481756364.9813414"/>
    <n v="13007858770.060064"/>
    <n v="18489615135.041405"/>
    <n v="4129791752.3253422"/>
    <n v="5882863986.0192232"/>
    <n v="10012655738.344566"/>
    <n v="9611548117.3066845"/>
    <n v="18890722756.079288"/>
    <n v="28502270873.385971"/>
  </r>
  <r>
    <x v="23"/>
    <n v="9129284500"/>
    <n v="21677022113"/>
    <n v="30806306613"/>
    <n v="6939724618"/>
    <n v="9954787801"/>
    <n v="16894512419"/>
    <n v="16069009118"/>
    <n v="31631809914"/>
    <n v="47700819032"/>
    <n v="77.370464859999998"/>
    <n v="129.01505570699999"/>
    <n v="1.6674974868051993"/>
    <n v="5474841534.8385487"/>
    <n v="12999733003.81493"/>
    <n v="18474574538.653481"/>
    <n v="4161760166.3052545"/>
    <n v="5969896734.3408899"/>
    <n v="10131656900.646145"/>
    <n v="9636601701.1438026"/>
    <n v="18969629738.155819"/>
    <n v="28606231439.299622"/>
  </r>
  <r>
    <x v="24"/>
    <n v="9257048528"/>
    <n v="21991648255"/>
    <n v="31248696783"/>
    <n v="7040667289"/>
    <n v="10060863533"/>
    <n v="17101530822"/>
    <n v="16297715817"/>
    <n v="32052511788"/>
    <n v="48350227605"/>
    <n v="77.867484759999996"/>
    <n v="129.01505570699999"/>
    <n v="1.6568540271288454"/>
    <n v="5587123775.7990637"/>
    <n v="13273135650.404413"/>
    <n v="18860259426.203476"/>
    <n v="4249419184.6222806"/>
    <n v="6072269112.5870771"/>
    <n v="10321688297.209358"/>
    <n v="9836542960.4213448"/>
    <n v="19345404762.991489"/>
    <n v="29181947723.412834"/>
  </r>
  <r>
    <x v="25"/>
    <n v="9241109979"/>
    <n v="22135189881"/>
    <n v="31376299860"/>
    <n v="6999182205"/>
    <n v="10002980708"/>
    <n v="17002162913"/>
    <n v="16240292184"/>
    <n v="32138170589"/>
    <n v="48378462773"/>
    <n v="77.790935050000002"/>
    <n v="129.01505570699999"/>
    <n v="1.6584844445445444"/>
    <n v="5572020894.9790955"/>
    <n v="13346637017.797777"/>
    <n v="18918657912.776871"/>
    <n v="4220227827.8962855"/>
    <n v="6031398570.4864626"/>
    <n v="10251626398.382748"/>
    <n v="9792248722.8753815"/>
    <n v="19378035588.284241"/>
    <n v="29170284311.159622"/>
  </r>
  <r>
    <x v="26"/>
    <n v="9096591542"/>
    <n v="21771278159"/>
    <n v="30867869701"/>
    <n v="7033761183"/>
    <n v="10035588641"/>
    <n v="17069349824"/>
    <n v="16130352725"/>
    <n v="31806866800"/>
    <n v="47937219525"/>
    <n v="78.102046270000002"/>
    <n v="129.01505570699999"/>
    <n v="1.6518780476121318"/>
    <n v="5506817864.1574392"/>
    <n v="13179712746.029537"/>
    <n v="18686530610.186977"/>
    <n v="4258039019.9916005"/>
    <n v="6075260008.1506748"/>
    <n v="10333299028.142275"/>
    <n v="9764856884.1490402"/>
    <n v="19254972754.180214"/>
    <n v="29019829638.32925"/>
  </r>
  <r>
    <x v="27"/>
    <n v="9202530436"/>
    <n v="22030268861"/>
    <n v="31232799297"/>
    <n v="7020672515"/>
    <n v="10031869374"/>
    <n v="17052541889"/>
    <n v="16223202951"/>
    <n v="32062138235"/>
    <n v="48285341186"/>
    <n v="78.178624009999993"/>
    <n v="129.01505570699999"/>
    <n v="1.6502599955007828"/>
    <n v="5576412481.1178179"/>
    <n v="13349574564.652016"/>
    <n v="18925987045.769833"/>
    <n v="4254282679.1783972"/>
    <n v="6078962952.1109247"/>
    <n v="10333245631.289322"/>
    <n v="9830695160.2962151"/>
    <n v="19428537516.762939"/>
    <n v="29259232677.059155"/>
  </r>
  <r>
    <x v="28"/>
    <n v="9239415607"/>
    <n v="22184544240"/>
    <n v="31423959847"/>
    <n v="7011071998"/>
    <n v="10037855660"/>
    <n v="17048927658"/>
    <n v="16250487605"/>
    <n v="32222399900"/>
    <n v="48472887505"/>
    <n v="78.23364977"/>
    <n v="129.01505570699999"/>
    <n v="1.6490992825503197"/>
    <n v="5602704279.0967159"/>
    <n v="13452521915.898094"/>
    <n v="19055226194.994812"/>
    <n v="4251455368.5072432"/>
    <n v="6086871643.3352222"/>
    <n v="10338327011.842466"/>
    <n v="9854159647.60396"/>
    <n v="19539393559.233318"/>
    <n v="29393553206.837276"/>
  </r>
  <r>
    <x v="29"/>
    <n v="9212018546"/>
    <n v="22260577637"/>
    <n v="31472596183"/>
    <n v="6995573785"/>
    <n v="9984055696"/>
    <n v="16979629481"/>
    <n v="16207592331"/>
    <n v="32244633333"/>
    <n v="48452225664"/>
    <n v="78.325873939999994"/>
    <n v="129.01505570699999"/>
    <n v="1.6471575638700113"/>
    <n v="5592675981.9845533"/>
    <n v="13514540518.333035"/>
    <n v="19107216500.317585"/>
    <n v="4247058046.2040544"/>
    <n v="6061384724.204752"/>
    <n v="10308442770.408806"/>
    <n v="9839734028.1886082"/>
    <n v="19575925242.537785"/>
    <n v="29415659270.726395"/>
  </r>
  <r>
    <x v="30"/>
    <n v="9315148750"/>
    <n v="22546888667"/>
    <n v="31862037417"/>
    <n v="6937581984"/>
    <n v="9890309838"/>
    <n v="16827891822"/>
    <n v="16252730734"/>
    <n v="32437198505"/>
    <n v="48689929239"/>
    <n v="78.537898409999997"/>
    <n v="129.01505570699999"/>
    <n v="1.642710822658999"/>
    <n v="5670595592.06038"/>
    <n v="13725415548.492054"/>
    <n v="19396011140.552433"/>
    <n v="4223252131.9670715"/>
    <n v="6020724829.7000313"/>
    <n v="10243976961.667103"/>
    <n v="9893847724.0274506"/>
    <n v="19746140378.192085"/>
    <n v="29639988102.219536"/>
  </r>
  <r>
    <x v="31"/>
    <n v="9167844292"/>
    <n v="22112373599"/>
    <n v="31280217891"/>
    <n v="6911595207"/>
    <n v="9830503853"/>
    <n v="16742099060"/>
    <n v="16079439499"/>
    <n v="31942877452"/>
    <n v="48022316951"/>
    <n v="78.718604459999995"/>
    <n v="129.01505570699999"/>
    <n v="1.6389398235909731"/>
    <n v="5593765042.521781"/>
    <n v="13491876443.975248"/>
    <n v="19085641486.497028"/>
    <n v="4217113470.2532635"/>
    <n v="5998087124.0659895"/>
    <n v="10215200594.319252"/>
    <n v="9810878512.7750435"/>
    <n v="19489963568.041237"/>
    <n v="29300842080.816284"/>
  </r>
  <r>
    <x v="32"/>
    <n v="9222280232"/>
    <n v="22286086187"/>
    <n v="31508366419"/>
    <n v="6963837825"/>
    <n v="9940294253"/>
    <n v="16904132078"/>
    <n v="16186118057"/>
    <n v="32226380440"/>
    <n v="48412498497"/>
    <n v="79.320558019999993"/>
    <n v="129.01505570699999"/>
    <n v="1.6265021190908662"/>
    <n v="5670008125.8761568"/>
    <n v="13701848848.163084"/>
    <n v="19371856974.039242"/>
    <n v="4281480941.9937549"/>
    <n v="6111454843.0813789"/>
    <n v="10392935785.075134"/>
    <n v="9951489067.8699112"/>
    <n v="19813303691.244465"/>
    <n v="29764792759.114376"/>
  </r>
  <r>
    <x v="33"/>
    <n v="8960510595"/>
    <n v="21612411466"/>
    <n v="30572922061"/>
    <n v="6950877103"/>
    <n v="9961834460"/>
    <n v="16912711563"/>
    <n v="15911387698"/>
    <n v="31574245926"/>
    <n v="47485633624"/>
    <n v="79.573556539999998"/>
    <n v="129.01505570699999"/>
    <n v="1.6213307701302349"/>
    <n v="5526639449.5678625"/>
    <n v="13330044593.099262"/>
    <n v="18856684042.667126"/>
    <n v="4287143148.7368026"/>
    <n v="6144233270.3028927"/>
    <n v="10431376419.039696"/>
    <n v="9813782598.3046646"/>
    <n v="19474277863.402153"/>
    <n v="29288060461.706821"/>
  </r>
  <r>
    <x v="34"/>
    <n v="9375705410"/>
    <n v="22569105211"/>
    <n v="31944810621"/>
    <n v="6913423621"/>
    <n v="9853869542"/>
    <n v="16767293163"/>
    <n v="16289129031"/>
    <n v="32422974753"/>
    <n v="48712103784"/>
    <n v="79.89172499"/>
    <n v="129.01505570699999"/>
    <n v="1.6148738273350429"/>
    <n v="5805843931.146203"/>
    <n v="13975770013.094353"/>
    <n v="19781613944.240555"/>
    <n v="4281092122.4780307"/>
    <n v="6101943926.0226412"/>
    <n v="10383036048.500671"/>
    <n v="10086936053.624233"/>
    <n v="20077713939.116993"/>
    <n v="30164649992.741226"/>
  </r>
  <r>
    <x v="35"/>
    <n v="9174653935"/>
    <n v="22179625998"/>
    <n v="31354279933"/>
    <n v="6923047026"/>
    <n v="9908537308"/>
    <n v="16831584334"/>
    <n v="16097700961"/>
    <n v="32088163306"/>
    <n v="48185864267"/>
    <n v="80.027305999999996"/>
    <n v="129.01505570699999"/>
    <n v="1.6121379333573966"/>
    <n v="5690985706.1009064"/>
    <n v="13757895983.3848"/>
    <n v="19448881689.485706"/>
    <n v="4294326733.9304161"/>
    <n v="6146209392.4958"/>
    <n v="10440536126.426216"/>
    <n v="9985312440.0313225"/>
    <n v="19904105375.8806"/>
    <n v="29889417815.911922"/>
  </r>
  <r>
    <x v="36"/>
    <n v="9456691415"/>
    <n v="22823692653"/>
    <n v="32280384068"/>
    <n v="7085634818"/>
    <n v="10088190157"/>
    <n v="17173824975"/>
    <n v="16542326233"/>
    <n v="32911882810"/>
    <n v="49454209043"/>
    <n v="80.12891166"/>
    <n v="129.01505570699999"/>
    <n v="1.6100936981951264"/>
    <n v="5873379558.9664803"/>
    <n v="14175381643.058893"/>
    <n v="20048761202.025372"/>
    <n v="4400759301.1157141"/>
    <n v="6265591976.6089401"/>
    <n v="10666351277.724655"/>
    <n v="10274138860.082193"/>
    <n v="20440973619.667831"/>
    <n v="30715112479.750027"/>
  </r>
  <r>
    <x v="37"/>
    <n v="9466393837"/>
    <n v="22868475003"/>
    <n v="32334868840"/>
    <n v="7138033221"/>
    <n v="10120989298"/>
    <n v="17259022519"/>
    <n v="16604427058"/>
    <n v="32989464301"/>
    <n v="49593891359"/>
    <n v="80.258840259999999"/>
    <n v="129.01505570699999"/>
    <n v="1.6074871663863237"/>
    <n v="5888938981.8773603"/>
    <n v="14226225553.270807"/>
    <n v="20115164535.148167"/>
    <n v="4440491576.0829983"/>
    <n v="6296155583.4702358"/>
    <n v="10736647159.553234"/>
    <n v="10329430557.96036"/>
    <n v="20522381136.741043"/>
    <n v="30851811694.701401"/>
  </r>
  <r>
    <x v="38"/>
    <n v="9446994640"/>
    <n v="22910999169"/>
    <n v="32357993809"/>
    <n v="7269204406"/>
    <n v="10315712587"/>
    <n v="17584916993"/>
    <n v="16716199046"/>
    <n v="33226711756"/>
    <n v="49942910802"/>
    <n v="80.657741869999995"/>
    <n v="129.01505570699999"/>
    <n v="1.5995371642679983"/>
    <n v="5906080115.5709696"/>
    <n v="14323517878.051205"/>
    <n v="20229597993.622173"/>
    <n v="4544567371.3537197"/>
    <n v="6449185937.9339991"/>
    <n v="10993753309.28772"/>
    <n v="10450647486.924688"/>
    <n v="20772703815.985203"/>
    <n v="31223351302.909893"/>
  </r>
  <r>
    <x v="39"/>
    <n v="9325007931"/>
    <n v="22677749441"/>
    <n v="32002757372"/>
    <n v="7166867504"/>
    <n v="10138595025"/>
    <n v="17305462529"/>
    <n v="16491875435"/>
    <n v="32816344466"/>
    <n v="49308219901"/>
    <n v="81.04926494"/>
    <n v="129.01505570699999"/>
    <n v="1.5918103119443292"/>
    <n v="5858115041.1130934"/>
    <n v="14246514971.560955"/>
    <n v="20104630012.674049"/>
    <n v="4502337653.0624266"/>
    <n v="6369223109.6405783"/>
    <n v="10871560762.703005"/>
    <n v="10360452694.17552"/>
    <n v="20615738081.201534"/>
    <n v="30976190775.377052"/>
  </r>
  <r>
    <x v="40"/>
    <n v="9186249321"/>
    <n v="22309455910"/>
    <n v="31495705231"/>
    <n v="7092745961"/>
    <n v="10046524068"/>
    <n v="17139270029"/>
    <n v="16278995282"/>
    <n v="32355979978"/>
    <n v="48634975260"/>
    <n v="81.306441989999996"/>
    <n v="129.01505570699999"/>
    <n v="1.5867753224629821"/>
    <n v="5789256481.9707203"/>
    <n v="14059618645.550531"/>
    <n v="19848875127.521252"/>
    <n v="4469911940.6461945"/>
    <n v="6331409321.6460238"/>
    <n v="10801321262.292219"/>
    <n v="10259168422.616915"/>
    <n v="20391027967.196556"/>
    <n v="30650196389.813469"/>
  </r>
  <r>
    <x v="41"/>
    <n v="9601300082"/>
    <n v="23540515168"/>
    <n v="33141815250"/>
    <n v="7159487112"/>
    <n v="10133285365"/>
    <n v="17292772477"/>
    <n v="16760787194"/>
    <n v="33673800533"/>
    <n v="50434587727"/>
    <n v="81.801766929999999"/>
    <n v="129.01505570699999"/>
    <n v="1.5771671022387779"/>
    <n v="6087687264.3177891"/>
    <n v="14925821832.438934"/>
    <n v="21013509096.756721"/>
    <n v="4539460087.5437717"/>
    <n v="6424991588.1556692"/>
    <n v="10964451675.699442"/>
    <n v="10627147351.861561"/>
    <n v="21350813420.594604"/>
    <n v="31977960772.456165"/>
  </r>
  <r>
    <x v="42"/>
    <n v="9364491594"/>
    <n v="22892678969"/>
    <n v="32257170563"/>
    <n v="7064607787"/>
    <n v="9971013631"/>
    <n v="17035621418"/>
    <n v="16429099381"/>
    <n v="32863692600"/>
    <n v="49292791981"/>
    <n v="81.873765579999997"/>
    <n v="129.01505570699999"/>
    <n v="1.5757801634387707"/>
    <n v="5942765248.1448889"/>
    <n v="14527838019.639805"/>
    <n v="20470603267.784695"/>
    <n v="4483244522.8801146"/>
    <n v="6327667946.5494738"/>
    <n v="10810912469.429588"/>
    <n v="10426009771.025003"/>
    <n v="20855505966.189278"/>
    <n v="31281515737.214283"/>
  </r>
  <r>
    <x v="43"/>
    <n v="9390546248"/>
    <n v="23043246653"/>
    <n v="32433792901"/>
    <n v="7012662104"/>
    <n v="9870529228"/>
    <n v="16883191332"/>
    <n v="16403208352"/>
    <n v="32913775881"/>
    <n v="49316984233"/>
    <n v="82.191759719999993"/>
    <n v="129.01505570699999"/>
    <n v="1.5696835807690626"/>
    <n v="5982445355.8972216"/>
    <n v="14680185825.547094"/>
    <n v="20662631181.444317"/>
    <n v="4467564157.4616995"/>
    <n v="6288228627.0484905"/>
    <n v="10755792784.510189"/>
    <n v="10450009513.358921"/>
    <n v="20968414452.595585"/>
    <n v="31418423965.954506"/>
  </r>
  <r>
    <x v="44"/>
    <n v="9400604974"/>
    <n v="23014933635"/>
    <n v="32415538609"/>
    <n v="7146626855"/>
    <n v="9981741212"/>
    <n v="17128368067"/>
    <n v="16547231829"/>
    <n v="32996674847"/>
    <n v="49543906676"/>
    <n v="82.325894520000006"/>
    <n v="129.01505570699999"/>
    <n v="1.5671260720484179"/>
    <n v="5998627131.3272867"/>
    <n v="14686076663.198372"/>
    <n v="20684703794.525658"/>
    <n v="4560339453.5185795"/>
    <n v="6369456414.5389347"/>
    <n v="10929795868.057514"/>
    <n v="10558966584.845865"/>
    <n v="21055533077.737305"/>
    <n v="31614499662.583172"/>
  </r>
  <r>
    <x v="45"/>
    <n v="9341739477"/>
    <n v="22990287705"/>
    <n v="32332027182"/>
    <n v="7116232378"/>
    <n v="9964909178"/>
    <n v="17081141556"/>
    <n v="16457971855"/>
    <n v="32955196883"/>
    <n v="49413168738"/>
    <n v="82.367637090000002"/>
    <n v="129.01505570699999"/>
    <n v="1.5663318782112217"/>
    <n v="5964086926.2447939"/>
    <n v="14677788293.024662"/>
    <n v="20641875219.269455"/>
    <n v="4543246853.9980564"/>
    <n v="6361939839.5824642"/>
    <n v="10905186693.580521"/>
    <n v="10507333780.242851"/>
    <n v="21039728132.607128"/>
    <n v="31547061912.849976"/>
  </r>
  <r>
    <x v="46"/>
    <n v="9303244292"/>
    <n v="22904546229"/>
    <n v="32207790521"/>
    <n v="7106853715"/>
    <n v="10044898421"/>
    <n v="17151752136"/>
    <n v="16410098007"/>
    <n v="32949444650"/>
    <n v="49359542657"/>
    <n v="82.392904430000002"/>
    <n v="129.01505570699999"/>
    <n v="1.5658515329631277"/>
    <n v="5941332301.4060431"/>
    <n v="14627533803.065447"/>
    <n v="20568866104.471489"/>
    <n v="4538651056.8798294"/>
    <n v="6414974989.3539457"/>
    <n v="10953626046.233774"/>
    <n v="10479983358.285872"/>
    <n v="21042508792.419392"/>
    <n v="31522492150.705265"/>
  </r>
  <r>
    <x v="47"/>
    <n v="9321480131"/>
    <n v="22982535873"/>
    <n v="32304016004"/>
    <n v="7145725951"/>
    <n v="10055339674"/>
    <n v="17201065625"/>
    <n v="16467206082"/>
    <n v="33037875547"/>
    <n v="49505081629"/>
    <n v="82.148900620000006"/>
    <n v="129.01505570699999"/>
    <n v="1.570502523263104"/>
    <n v="5935348713.5011663"/>
    <n v="14633873892.318331"/>
    <n v="20569222605.819496"/>
    <n v="4549961458.2936182"/>
    <n v="6402625608.7176266"/>
    <n v="10952587067.011246"/>
    <n v="10485310171.794785"/>
    <n v="21036499501.035957"/>
    <n v="31521809672.830742"/>
  </r>
  <r>
    <x v="48"/>
    <n v="9579223819"/>
    <n v="23625224164"/>
    <n v="33204447983"/>
    <n v="7330022900"/>
    <n v="10287910867"/>
    <n v="17617933767"/>
    <n v="16909246719"/>
    <n v="33913135031"/>
    <n v="50822381750"/>
    <n v="82.138100140000006"/>
    <n v="129.01505570699999"/>
    <n v="1.5707090313399106"/>
    <n v="6098662214.2411299"/>
    <n v="15041120724.852676"/>
    <n v="21139782939.093807"/>
    <n v="4666696857.1174784"/>
    <n v="6549851475.8164883"/>
    <n v="11216548332.933968"/>
    <n v="10765359071.358608"/>
    <n v="21590972200.669163"/>
    <n v="32356331272.027775"/>
  </r>
  <r>
    <x v="49"/>
    <n v="9505346743"/>
    <n v="23570869542"/>
    <n v="33076216285"/>
    <n v="6708451227"/>
    <n v="9639553344"/>
    <n v="16348004571"/>
    <n v="16213797970"/>
    <n v="33210422886"/>
    <n v="49424220856"/>
    <n v="82.319750740000003"/>
    <n v="129.01505570699999"/>
    <n v="1.5672430315597428"/>
    <n v="6065011329.8255615"/>
    <n v="15039702884.205479"/>
    <n v="21104714214.03104"/>
    <n v="4280415412.2310266"/>
    <n v="6150643614.2240038"/>
    <n v="10431059026.45503"/>
    <n v="10345426742.056587"/>
    <n v="21190346498.429482"/>
    <n v="31535773240.486069"/>
  </r>
  <r>
    <x v="50"/>
    <n v="9402537561"/>
    <n v="23415891330"/>
    <n v="32818428891"/>
    <n v="6763177248"/>
    <n v="9781105703"/>
    <n v="16544282951"/>
    <n v="16165714809"/>
    <n v="33196997033"/>
    <n v="49362711842"/>
    <n v="82.952428870000006"/>
    <n v="129.01505570699999"/>
    <n v="1.5552896698080731"/>
    <n v="6045521772.2627182"/>
    <n v="15055646407.585014"/>
    <n v="21101168179.847733"/>
    <n v="4348500076.4099426"/>
    <n v="6288928611.0972586"/>
    <n v="10637428687.507202"/>
    <n v="10394021848.672661"/>
    <n v="21344575018.682274"/>
    <n v="31738596867.354935"/>
  </r>
  <r>
    <x v="51"/>
    <n v="9505710826"/>
    <n v="23671707485"/>
    <n v="33177418311"/>
    <n v="6641653947"/>
    <n v="9486782338"/>
    <n v="16128436285"/>
    <n v="16147364773"/>
    <n v="33158489823"/>
    <n v="49305854596"/>
    <n v="83.415861460000002"/>
    <n v="129.01505570699999"/>
    <n v="1.5466489639846965"/>
    <n v="6146004069.0229015"/>
    <n v="15305158465.960878"/>
    <n v="21451162534.98378"/>
    <n v="4294221960.9347091"/>
    <n v="6133765682.3942814"/>
    <n v="10427987643.328991"/>
    <n v="10440226029.957611"/>
    <n v="21438924148.35516"/>
    <n v="31879150178.312771"/>
  </r>
  <r>
    <x v="52"/>
    <n v="9415966403"/>
    <n v="23487576331"/>
    <n v="32903542734"/>
    <n v="6776797309"/>
    <n v="9729304207"/>
    <n v="16506101516"/>
    <n v="16192763712"/>
    <n v="33216880538"/>
    <n v="49409644250"/>
    <n v="83.040174840000006"/>
    <n v="129.01505570699999"/>
    <n v="1.5536462435873164"/>
    <n v="6060560080.4330168"/>
    <n v="15117711916.689596"/>
    <n v="21178271997.122612"/>
    <n v="4361866375.2905588"/>
    <n v="6262239069.6452026"/>
    <n v="10624105444.93576"/>
    <n v="10422426455.723576"/>
    <n v="21379950986.334797"/>
    <n v="31802377442.058372"/>
  </r>
  <r>
    <x v="53"/>
    <n v="9559536164"/>
    <n v="23954986984"/>
    <n v="33514523148"/>
    <n v="6656752755"/>
    <n v="9501041522"/>
    <n v="16157794277"/>
    <n v="16216288919"/>
    <n v="33456028506"/>
    <n v="49672317425"/>
    <n v="83.01813027"/>
    <n v="129.01505570699999"/>
    <n v="1.5540587976072711"/>
    <n v="6151334929.359479"/>
    <n v="15414466312.910837"/>
    <n v="21565801242.270317"/>
    <n v="4283462611.0988626"/>
    <n v="6113695013.7462072"/>
    <n v="10397157624.84507"/>
    <n v="10434797540.458342"/>
    <n v="21528161326.657043"/>
    <n v="31962958867.115387"/>
  </r>
  <r>
    <x v="54"/>
    <n v="9490976797"/>
    <n v="23825269948"/>
    <n v="33316246745"/>
    <n v="6717455048"/>
    <n v="9630604254"/>
    <n v="16348059302"/>
    <n v="16208431845"/>
    <n v="33455874202"/>
    <n v="49664306047"/>
    <n v="83.165705209999999"/>
    <n v="129.01505570699999"/>
    <n v="1.5513011689280665"/>
    <n v="6118074934.190999"/>
    <n v="15358249207.317379"/>
    <n v="21476324141.508377"/>
    <n v="4330206914.394124"/>
    <n v="6208081607.1676464"/>
    <n v="10538288521.561771"/>
    <n v="10448281848.585123"/>
    <n v="21566330814.485027"/>
    <n v="32014612663.070148"/>
  </r>
  <r>
    <x v="55"/>
    <n v="9451241747"/>
    <n v="23675656448"/>
    <n v="33126898195"/>
    <n v="6718313365"/>
    <n v="9568449839"/>
    <n v="16286763204"/>
    <n v="16169555112"/>
    <n v="33244106287"/>
    <n v="49413661399"/>
    <n v="83.263245900000001"/>
    <n v="129.01505570699999"/>
    <n v="1.5494838606454087"/>
    <n v="6099606447.7001143"/>
    <n v="15279705100.083035"/>
    <n v="21379311547.78315"/>
    <n v="4335839524.1378069"/>
    <n v="6175249760.2746506"/>
    <n v="10511089284.412457"/>
    <n v="10435445971.837921"/>
    <n v="21454954860.357685"/>
    <n v="31890400832.195606"/>
  </r>
  <r>
    <x v="56"/>
    <n v="9444575565"/>
    <n v="23681559782"/>
    <n v="33126135347"/>
    <n v="6713131111"/>
    <n v="9592483433"/>
    <n v="16305614544"/>
    <n v="16157706676"/>
    <n v="33274043215"/>
    <n v="49431749891"/>
    <n v="83.582810629999997"/>
    <n v="129.01505570699999"/>
    <n v="1.5435596713553588"/>
    <n v="6118698058.9528933"/>
    <n v="15342173173.782036"/>
    <n v="21460871232.734928"/>
    <n v="4349123157.0629063"/>
    <n v="6214520637.5967932"/>
    <n v="10563643794.659698"/>
    <n v="10467821216.0158"/>
    <n v="21556693811.37883"/>
    <n v="32024515027.394627"/>
  </r>
  <r>
    <x v="57"/>
    <n v="9466512338"/>
    <n v="23712734690"/>
    <n v="33179247028"/>
    <n v="6662874117"/>
    <n v="9479153574"/>
    <n v="16142027691"/>
    <n v="16129386455"/>
    <n v="33191888264"/>
    <n v="49321274719"/>
    <n v="83.178496589999995"/>
    <n v="129.01505570699999"/>
    <n v="1.5510626062759425"/>
    <n v="6103243221.5800934"/>
    <n v="15288057744.447599"/>
    <n v="21391300966.027695"/>
    <n v="4295683546.2608261"/>
    <n v="6111393270.4232874"/>
    <n v="10407076816.684113"/>
    <n v="10398926767.840919"/>
    <n v="21399451014.870888"/>
    <n v="31798377782.711807"/>
  </r>
  <r>
    <x v="58"/>
    <n v="9313563017"/>
    <n v="23349133922"/>
    <n v="32662696939"/>
    <n v="6642796123"/>
    <n v="9449077606"/>
    <n v="16091873729"/>
    <n v="15956359140"/>
    <n v="32798211528"/>
    <n v="48754570668"/>
    <n v="83.171387879999997"/>
    <n v="129.01505570699999"/>
    <n v="1.5511951765569119"/>
    <n v="6004120666.2805109"/>
    <n v="15052350777.564026"/>
    <n v="21056471443.844536"/>
    <n v="4282372858.9361572"/>
    <n v="6091482070.6015282"/>
    <n v="10373854929.537685"/>
    <n v="10286493525.216667"/>
    <n v="21143832848.165554"/>
    <n v="31430326373.382221"/>
  </r>
  <r>
    <x v="59"/>
    <n v="9277966913"/>
    <n v="23321256514"/>
    <n v="32599223427"/>
    <n v="6643306880"/>
    <n v="9440350321"/>
    <n v="16083657201"/>
    <n v="15921273793"/>
    <n v="32761606835"/>
    <n v="48682880628"/>
    <n v="83.703907880000003"/>
    <n v="129.01505570699999"/>
    <n v="1.5413265518255035"/>
    <n v="6019468685.6016588"/>
    <n v="15130639569.12892"/>
    <n v="21150108254.730579"/>
    <n v="4310122908.174037"/>
    <n v="6124821706.2238474"/>
    <n v="10434944614.397884"/>
    <n v="10329591593.775696"/>
    <n v="21255461275.352768"/>
    <n v="31585052869.128464"/>
  </r>
  <r>
    <x v="60"/>
    <n v="9309660768"/>
    <n v="23516711160"/>
    <n v="32826371928"/>
    <n v="6721648420"/>
    <n v="9542922435"/>
    <n v="16264570855"/>
    <n v="16031309188"/>
    <n v="33059633595"/>
    <n v="49090942783"/>
    <n v="83.922140080000005"/>
    <n v="129.01505570699999"/>
    <n v="1.5373184666646311"/>
    <n v="6055778922.7616949"/>
    <n v="15297228043.465775"/>
    <n v="21353006966.22747"/>
    <n v="4372320092.2599335"/>
    <n v="6207511743.2917728"/>
    <n v="10579831835.551706"/>
    <n v="10428099015.021629"/>
    <n v="21504739786.757549"/>
    <n v="31932838801.779175"/>
  </r>
  <r>
    <x v="61"/>
    <n v="9293481135"/>
    <n v="23606504903"/>
    <n v="32899986038"/>
    <n v="6623273921"/>
    <n v="9385835516"/>
    <n v="16009109437"/>
    <n v="15916755056"/>
    <n v="32992340419"/>
    <n v="48909095475"/>
    <n v="84.124094580000005"/>
    <n v="129.01505570699999"/>
    <n v="1.5336278666786689"/>
    <n v="6059801948.6478224"/>
    <n v="15392589959.990677"/>
    <n v="21452391908.6385"/>
    <n v="4318696904.8389959"/>
    <n v="6120021499.300621"/>
    <n v="10438718404.139618"/>
    <n v="10378498853.486818"/>
    <n v="21512611459.291298"/>
    <n v="31891110312.778118"/>
  </r>
  <r>
    <x v="62"/>
    <n v="9757955546"/>
    <n v="24419698527"/>
    <n v="34177654073"/>
    <n v="6512226982"/>
    <n v="9373547637"/>
    <n v="15885774619"/>
    <n v="16270182528"/>
    <n v="33793246164"/>
    <n v="50063428692"/>
    <n v="84.57561853"/>
    <n v="129.01505570699999"/>
    <n v="1.5254402858577591"/>
    <n v="6396812537.6425829"/>
    <n v="16008295279.332247"/>
    <n v="22405107816.974831"/>
    <n v="4269080240.2259603"/>
    <n v="6144814532.5001888"/>
    <n v="10413894772.726149"/>
    <n v="10665892777.868544"/>
    <n v="22153109811.832436"/>
    <n v="32819002589.700981"/>
  </r>
  <r>
    <x v="63"/>
    <n v="9410753781"/>
    <n v="23932815302"/>
    <n v="33343569083"/>
    <n v="6443282832"/>
    <n v="9263190185"/>
    <n v="15706473017"/>
    <n v="15854036613"/>
    <n v="33196005487"/>
    <n v="49050042100"/>
    <n v="84.696262430000004"/>
    <n v="129.01505570699999"/>
    <n v="1.5232674028990205"/>
    <n v="6178005098.178978"/>
    <n v="15711499672.645813"/>
    <n v="21889504770.824791"/>
    <n v="4229909219.9684744"/>
    <n v="6081132024.0757952"/>
    <n v="10311041244.04427"/>
    <n v="10407914318.147453"/>
    <n v="21792631696.721607"/>
    <n v="32200546014.869061"/>
  </r>
  <r>
    <x v="64"/>
    <n v="9380328493"/>
    <n v="23981533175"/>
    <n v="33361861668"/>
    <n v="6397886352"/>
    <n v="9229279008"/>
    <n v="15627165360"/>
    <n v="15778214845"/>
    <n v="33210812183"/>
    <n v="48989027028"/>
    <n v="85.011592280000002"/>
    <n v="129.01505570699999"/>
    <n v="1.5176172125098795"/>
    <n v="6180958159.72365"/>
    <n v="15802096192.187122"/>
    <n v="21983054351.91077"/>
    <n v="4215744457.3384809"/>
    <n v="6081427471.9093027"/>
    <n v="10297171929.247784"/>
    <n v="10396702617.062132"/>
    <n v="21883523664.096424"/>
    <n v="32280226281.158554"/>
  </r>
  <r>
    <x v="65"/>
    <n v="9348827399"/>
    <n v="24003442306"/>
    <n v="33352269705"/>
    <n v="6321431917"/>
    <n v="9110564180"/>
    <n v="15431996097"/>
    <n v="15670259316"/>
    <n v="33114006486"/>
    <n v="48784265802"/>
    <n v="85.520646979999995"/>
    <n v="129.01505570699999"/>
    <n v="1.5085837194048786"/>
    <n v="6197088884.5917149"/>
    <n v="15911243106.527174"/>
    <n v="22108331991.118889"/>
    <n v="4190308986.9574776"/>
    <n v="6039150537.5611687"/>
    <n v="10229459524.518646"/>
    <n v="10387397871.549192"/>
    <n v="21950393644.088345"/>
    <n v="32337791515.637535"/>
  </r>
  <r>
    <x v="66"/>
    <n v="9245237305"/>
    <n v="23893249676"/>
    <n v="33138486981"/>
    <n v="6451920325"/>
    <n v="9277157471"/>
    <n v="15729077796"/>
    <n v="15697157630"/>
    <n v="33170407147"/>
    <n v="48867564777"/>
    <n v="85.673733110000001"/>
    <n v="129.01505570699999"/>
    <n v="1.5058881062338243"/>
    <n v="6139391942.0228567"/>
    <n v="15866550494.08433"/>
    <n v="22005942436.107185"/>
    <n v="4284461971.8366966"/>
    <n v="6160588846.2734861"/>
    <n v="10445050818.110182"/>
    <n v="10423853913.859552"/>
    <n v="22027139340.357815"/>
    <n v="32450993254.217369"/>
  </r>
  <r>
    <x v="67"/>
    <n v="9217271923"/>
    <n v="23705404308"/>
    <n v="32922676231"/>
    <n v="6289976759"/>
    <n v="9117486083"/>
    <n v="15407462842"/>
    <n v="15507248682"/>
    <n v="32822890391"/>
    <n v="48330139073"/>
    <n v="86.090680660000004"/>
    <n v="129.01505570699999"/>
    <n v="1.4985949085072547"/>
    <n v="6150609394.623723"/>
    <n v="15818420423.9776"/>
    <n v="21969029818.601322"/>
    <n v="4197249519.0614414"/>
    <n v="6084023128.0926323"/>
    <n v="10281272647.154074"/>
    <n v="10347858913.685165"/>
    <n v="21902443552.070232"/>
    <n v="32250302465.755398"/>
  </r>
  <r>
    <x v="68"/>
    <n v="9226329191"/>
    <n v="23800129353"/>
    <n v="33026458544"/>
    <n v="6372815069"/>
    <n v="9205279740"/>
    <n v="15578094809"/>
    <n v="15599144260"/>
    <n v="33005409093"/>
    <n v="48604553353"/>
    <n v="86.811527290000001"/>
    <n v="129.01505570699999"/>
    <n v="1.4861512028928616"/>
    <n v="6208203561.6837149"/>
    <n v="16014608275.841619"/>
    <n v="22222811837.525333"/>
    <n v="4288133708.4645376"/>
    <n v="6194039827.2272024"/>
    <n v="10482173535.69174"/>
    <n v="10496337270.148252"/>
    <n v="22208648103.068821"/>
    <n v="32704985373.217075"/>
  </r>
  <r>
    <x v="69"/>
    <n v="9235565895"/>
    <n v="23832959579"/>
    <n v="33068525474"/>
    <n v="6263281117"/>
    <n v="9173175836"/>
    <n v="15436456953"/>
    <n v="15498847012"/>
    <n v="33006135415"/>
    <n v="48504982427"/>
    <n v="87.350598349999999"/>
    <n v="129.01505570699999"/>
    <n v="1.476979644604804"/>
    <n v="6253008244.7217236"/>
    <n v="16136281678.666595"/>
    <n v="22389289923.388321"/>
    <n v="4240600836.9031167"/>
    <n v="6210766593.5060806"/>
    <n v="10451367430.409197"/>
    <n v="10493609081.62484"/>
    <n v="22347048272.172676"/>
    <n v="32840657353.797516"/>
  </r>
  <r>
    <x v="70"/>
    <n v="9237724967"/>
    <n v="23880144901"/>
    <n v="33117869868"/>
    <n v="6282437937"/>
    <n v="9089161906"/>
    <n v="15371599843"/>
    <n v="15520162904"/>
    <n v="32969306807"/>
    <n v="48489469711"/>
    <n v="87.645523609999998"/>
    <n v="129.01505570699999"/>
    <n v="1.4720096405731313"/>
    <n v="6275587273.6018658"/>
    <n v="16222818276.99321"/>
    <n v="22498405550.595074"/>
    <n v="4267932603.045938"/>
    <n v="6174661942.0652084"/>
    <n v="10442594545.111147"/>
    <n v="10543519876.647804"/>
    <n v="22397480219.058418"/>
    <n v="32941000095.706223"/>
  </r>
  <r>
    <x v="71"/>
    <n v="9294413657"/>
    <n v="24122680604"/>
    <n v="33417094261"/>
    <n v="6374803697"/>
    <n v="9143227326"/>
    <n v="15518031023"/>
    <n v="15669217354"/>
    <n v="33265907930"/>
    <n v="48935125284"/>
    <n v="87.690897609999993"/>
    <n v="129.01505570699999"/>
    <n v="1.4712479769654851"/>
    <n v="6317367162.108283"/>
    <n v="16396067135.979422"/>
    <n v="22713434298.087704"/>
    <n v="4332922659.4066887"/>
    <n v="6214606557.9361515"/>
    <n v="10547529217.34284"/>
    <n v="10650289821.514971"/>
    <n v="22610673693.915573"/>
    <n v="33260963515.430546"/>
  </r>
  <r>
    <x v="72"/>
    <n v="9690025875"/>
    <n v="25169576538"/>
    <n v="34859602413"/>
    <n v="6492031177"/>
    <n v="9448846402"/>
    <n v="15940877579"/>
    <n v="16182057052"/>
    <n v="34618422940"/>
    <n v="50800479992"/>
    <n v="87.894560830000003"/>
    <n v="129.01505570699999"/>
    <n v="1.4678389025292771"/>
    <n v="6601559516.0360088"/>
    <n v="17147369847.351471"/>
    <n v="23748929363.387478"/>
    <n v="4422849922.9809122"/>
    <n v="6437250290.6949873"/>
    <n v="10860100213.6759"/>
    <n v="11024409439.01692"/>
    <n v="23584620138.046459"/>
    <n v="34609029577.063377"/>
  </r>
  <r>
    <x v="73"/>
    <n v="9648650446"/>
    <n v="25103368823"/>
    <n v="34752019269"/>
    <n v="6488751394"/>
    <n v="9384603377"/>
    <n v="15873354771"/>
    <n v="16137401840"/>
    <n v="34487972200"/>
    <n v="50625374040"/>
    <n v="88.179932219999998"/>
    <n v="129.01505570699999"/>
    <n v="1.4630886241227823"/>
    <n v="6594713598.9694405"/>
    <n v="17157790997.145588"/>
    <n v="23752504596.115028"/>
    <n v="4434968112.6735792"/>
    <n v="6414241230.6887331"/>
    <n v="10849209343.362312"/>
    <n v="11029681711.643021"/>
    <n v="23572032227.83432"/>
    <n v="34601713939.477341"/>
  </r>
  <r>
    <x v="74"/>
    <n v="9637560287"/>
    <n v="25131917138"/>
    <n v="34769477425"/>
    <n v="6503264006"/>
    <n v="9455679504"/>
    <n v="15958943510"/>
    <n v="16140824293"/>
    <n v="34587596642"/>
    <n v="50728420935"/>
    <n v="88.917875609999996"/>
    <n v="129.01505570699999"/>
    <n v="1.4509462222519689"/>
    <n v="6642258782.0255938"/>
    <n v="17321053497.760605"/>
    <n v="23963312279.786198"/>
    <n v="4482084798.3645353"/>
    <n v="6516905560.6514015"/>
    <n v="10998990359.015936"/>
    <n v="11124343580.390129"/>
    <n v="23837959058.412006"/>
    <n v="34962302638.802132"/>
  </r>
  <r>
    <x v="75"/>
    <n v="9625031973"/>
    <n v="25115561542"/>
    <n v="34740593515"/>
    <n v="6502918718"/>
    <n v="9414767512"/>
    <n v="15917686230"/>
    <n v="16127950691"/>
    <n v="34530329054"/>
    <n v="50658279745"/>
    <n v="89.84344969"/>
    <n v="129.01505570699999"/>
    <n v="1.4359984634623839"/>
    <n v="6702675676.8198509"/>
    <n v="17489964077.98587"/>
    <n v="24192639754.805721"/>
    <n v="4528499774.5196714"/>
    <n v="6556251800.7851763"/>
    <n v="11084751575.304848"/>
    <n v="11231175451.339521"/>
    <n v="24046215878.771046"/>
    <n v="35277391330.110565"/>
  </r>
  <r>
    <x v="76"/>
    <n v="9669173528"/>
    <n v="25148544835"/>
    <n v="34817718363"/>
    <n v="6523762729"/>
    <n v="9391821565"/>
    <n v="15915584294"/>
    <n v="16192936257"/>
    <n v="34540366400"/>
    <n v="50733302657"/>
    <n v="89.865715080000001"/>
    <n v="129.01505570699999"/>
    <n v="1.435642676321538"/>
    <n v="6735083657.9856691"/>
    <n v="17517273099.902981"/>
    <n v="24252356757.888649"/>
    <n v="4544140987.5857477"/>
    <n v="6541893550.4648743"/>
    <n v="11086034538.050623"/>
    <n v="11279224645.571417"/>
    <n v="24059166650.367855"/>
    <n v="35338391295.93927"/>
  </r>
  <r>
    <x v="77"/>
    <n v="9652887457"/>
    <n v="25289592286"/>
    <n v="34942479743"/>
    <n v="6484270913"/>
    <n v="9354948509"/>
    <n v="15839219422"/>
    <n v="16137158370"/>
    <n v="34644540795"/>
    <n v="50781699165"/>
    <n v="89.494262109999994"/>
    <n v="129.01505570699999"/>
    <n v="1.4416014241049759"/>
    <n v="6695947503.6541634"/>
    <n v="17542707618.855984"/>
    <n v="24238655122.510147"/>
    <n v="4497963726.0179501"/>
    <n v="6489275296.6084623"/>
    <n v="10987239022.626411"/>
    <n v="11193911229.672113"/>
    <n v="24031982915.464447"/>
    <n v="35225894145.136559"/>
  </r>
  <r>
    <x v="78"/>
    <n v="9600894815"/>
    <n v="25041804985"/>
    <n v="34642699800"/>
    <n v="6466158700"/>
    <n v="9311694841"/>
    <n v="15777853541"/>
    <n v="16067053515"/>
    <n v="34353499826"/>
    <n v="50420553341"/>
    <n v="89.563556840000004"/>
    <n v="129.01505570699999"/>
    <n v="1.4404860666429065"/>
    <n v="6665038307.0869665"/>
    <n v="17384274353.559444"/>
    <n v="24049312660.646412"/>
    <n v="4488872783.8024607"/>
    <n v="6464272759.4728966"/>
    <n v="10953145543.275356"/>
    <n v="11153911090.889427"/>
    <n v="23848547113.032341"/>
    <n v="35002458203.921768"/>
  </r>
  <r>
    <x v="79"/>
    <n v="9583451947"/>
    <n v="24983780566"/>
    <n v="34567232513"/>
    <n v="6444850853"/>
    <n v="9256384977"/>
    <n v="15701235830"/>
    <n v="16028302800"/>
    <n v="34240165543"/>
    <n v="50268468343"/>
    <n v="89.878604980000006"/>
    <n v="129.01505570699999"/>
    <n v="1.4354367842681661"/>
    <n v="6676331589.12391"/>
    <n v="17405002323.900715"/>
    <n v="24081333913.024624"/>
    <n v="4489818655.640625"/>
    <n v="6448479709.0658474"/>
    <n v="10938298364.706472"/>
    <n v="11166150244.764534"/>
    <n v="23853482032.966564"/>
    <n v="35019632277.731094"/>
  </r>
  <r>
    <x v="80"/>
    <n v="9569025755"/>
    <n v="25035526485"/>
    <n v="34604552240"/>
    <n v="6536987076"/>
    <n v="9207700277"/>
    <n v="15744687353"/>
    <n v="16106012831"/>
    <n v="34243226762"/>
    <n v="50349239593"/>
    <n v="90.443760650000002"/>
    <n v="129.01505570699999"/>
    <n v="1.4264671745159236"/>
    <n v="6708199057.0496521"/>
    <n v="17550720361.648621"/>
    <n v="24258919418.698273"/>
    <n v="4582641081.9571419"/>
    <n v="6454898115.7765961"/>
    <n v="11037539197.733738"/>
    <n v="11290840139.006794"/>
    <n v="24005618477.425217"/>
    <n v="35296458616.432014"/>
  </r>
  <r>
    <x v="81"/>
    <n v="9555503406"/>
    <n v="25010859543"/>
    <n v="34566362949"/>
    <n v="6558242646"/>
    <n v="9252236869"/>
    <n v="15810479515"/>
    <n v="16113746052"/>
    <n v="34263096412"/>
    <n v="50376842464"/>
    <n v="90.963671410000003"/>
    <n v="129.01505570699999"/>
    <n v="1.418314077556206"/>
    <n v="6737226653.256093"/>
    <n v="17634217934.362179"/>
    <n v="24371444587.618275"/>
    <n v="4623970635.1219692"/>
    <n v="6523404805.3318748"/>
    <n v="11147375440.453844"/>
    <n v="11361197288.378061"/>
    <n v="24157622739.694057"/>
    <n v="35518820028.072121"/>
  </r>
  <r>
    <x v="82"/>
    <n v="9575932370"/>
    <n v="25057285104"/>
    <n v="34633217474"/>
    <n v="6575207768"/>
    <n v="9256639102"/>
    <n v="15831846870"/>
    <n v="16151140138"/>
    <n v="34313924206"/>
    <n v="50465064344"/>
    <n v="91.124380560000006"/>
    <n v="129.01505570699999"/>
    <n v="1.415812704724519"/>
    <n v="6763558723.5835915"/>
    <n v="17698163761.622345"/>
    <n v="24461722485.205936"/>
    <n v="4644122591.963439"/>
    <n v="6538039297.9317875"/>
    <n v="11182161889.895226"/>
    <n v="11407681315.547029"/>
    <n v="24236203059.554134"/>
    <n v="35643884375.101166"/>
  </r>
  <r>
    <x v="83"/>
    <n v="9557622992"/>
    <n v="25028350239"/>
    <n v="34585973231"/>
    <n v="6545933468"/>
    <n v="9255151209"/>
    <n v="15801084677"/>
    <n v="16103556460"/>
    <n v="34283501448"/>
    <n v="50387057908"/>
    <n v="91.565864430000005"/>
    <n v="129.01505570699999"/>
    <n v="1.4089863783858998"/>
    <n v="6783332428.627861"/>
    <n v="17763372750.041676"/>
    <n v="24546705178.669537"/>
    <n v="4645845813.9949236"/>
    <n v="6568659109.1125193"/>
    <n v="11214504923.107443"/>
    <n v="11429178242.622784"/>
    <n v="24332031859.154194"/>
    <n v="35761210101.776978"/>
  </r>
  <r>
    <x v="84"/>
    <n v="9984312844"/>
    <n v="26140906973"/>
    <n v="36125219817"/>
    <n v="6929303861"/>
    <n v="9750486684"/>
    <n v="16679790545"/>
    <n v="16913616705"/>
    <n v="35891393657"/>
    <n v="52805010362"/>
    <n v="91.952975289999998"/>
    <n v="129.01505570699999"/>
    <n v="1.403054716827967"/>
    <n v="7116125069.2863808"/>
    <n v="18631423749.530945"/>
    <n v="25747548818.817326"/>
    <n v="4938726749.4925671"/>
    <n v="6949470014.9998055"/>
    <n v="11888196764.492373"/>
    <n v="12054851818.778948"/>
    <n v="25580893764.53075"/>
    <n v="37635745583.3097"/>
  </r>
  <r>
    <x v="85"/>
    <n v="9932077301"/>
    <n v="26053736006"/>
    <n v="35985813307"/>
    <n v="6832269419"/>
    <n v="9717082795"/>
    <n v="16549352214"/>
    <n v="16764346720"/>
    <n v="35770818801"/>
    <n v="52535165521"/>
    <n v="92.574250430000006"/>
    <n v="129.01505570699999"/>
    <n v="1.3936386749850562"/>
    <n v="7126723360.4194431"/>
    <n v="18694756735.478348"/>
    <n v="25821480095.897793"/>
    <n v="4902468295.1434746"/>
    <n v="6972454890.5075378"/>
    <n v="11874923185.651012"/>
    <n v="12029191655.562918"/>
    <n v="25667211625.985886"/>
    <n v="37696403281.548805"/>
  </r>
  <r>
    <x v="86"/>
    <n v="9962781583"/>
    <n v="26180153942"/>
    <n v="36142935525"/>
    <n v="6892795011"/>
    <n v="9767271351"/>
    <n v="16660066362"/>
    <n v="16855576594"/>
    <n v="35947425293"/>
    <n v="52803001887"/>
    <n v="93.047945729999995"/>
    <n v="129.01505570699999"/>
    <n v="1.3865438371027214"/>
    <n v="7185334726.8254538"/>
    <n v="18881591220.877106"/>
    <n v="26066925947.70256"/>
    <n v="4971205977.4489126"/>
    <n v="7044329280.933075"/>
    <n v="12015535258.381987"/>
    <n v="12156540704.274366"/>
    <n v="25925920501.810181"/>
    <n v="38082461206.084549"/>
  </r>
  <r>
    <x v="87"/>
    <n v="9946092898"/>
    <n v="26182709630"/>
    <n v="36128802528"/>
    <n v="6893586781"/>
    <n v="9762506719"/>
    <n v="16656093500"/>
    <n v="16839679679"/>
    <n v="35945216349"/>
    <n v="52784896028"/>
    <n v="93.427485750000002"/>
    <n v="129.01505570699999"/>
    <n v="1.3809111384226669"/>
    <n v="7202558239.4540129"/>
    <n v="18960459439.777538"/>
    <n v="26163017679.231548"/>
    <n v="4992056758.1735468"/>
    <n v="7069612553.1662626"/>
    <n v="12061669311.339809"/>
    <n v="12194614997.62756"/>
    <n v="26030071992.943798"/>
    <n v="38224686990.571358"/>
  </r>
  <r>
    <x v="88"/>
    <n v="9942473386"/>
    <n v="26177962985"/>
    <n v="36120436371"/>
    <n v="6883106533"/>
    <n v="9731958080"/>
    <n v="16615064613"/>
    <n v="16825579919"/>
    <n v="35909921065"/>
    <n v="52735500984"/>
    <n v="93.403431920000003"/>
    <n v="129.01505570699999"/>
    <n v="1.3812667592075345"/>
    <n v="7198083440.2358551"/>
    <n v="18952141438.645"/>
    <n v="26150224878.880856"/>
    <n v="4983184085.9972639"/>
    <n v="7045676018.1382017"/>
    <n v="12028860104.135466"/>
    <n v="12181267526.233118"/>
    <n v="25997817456.783203"/>
    <n v="38179084983.016319"/>
  </r>
  <r>
    <x v="89"/>
    <n v="9930986295"/>
    <n v="26203198941"/>
    <n v="36134185236"/>
    <n v="6897709242"/>
    <n v="9748005527"/>
    <n v="16645714769"/>
    <n v="16828695537"/>
    <n v="35951204468"/>
    <n v="52779900005"/>
    <n v="93.412779229999998"/>
    <n v="129.01505570699999"/>
    <n v="1.3811285433370999"/>
    <n v="7190486608.1506271"/>
    <n v="18972310048.48217"/>
    <n v="26162796656.632797"/>
    <n v="4994255802.8188086"/>
    <n v="7058000194.1359844"/>
    <n v="12052255996.954794"/>
    <n v="12184742410.969437"/>
    <n v="26030310242.618153"/>
    <n v="38215052653.587585"/>
  </r>
  <r>
    <x v="90"/>
    <n v="9916727363"/>
    <n v="26186624080"/>
    <n v="36103351443"/>
    <n v="6889863211"/>
    <n v="9780090518"/>
    <n v="16669953729"/>
    <n v="16806590574"/>
    <n v="35966714598"/>
    <n v="52773305172"/>
    <n v="93.852448350000003"/>
    <n v="129.01505570699999"/>
    <n v="1.3746583917115252"/>
    <n v="7213957607.7902021"/>
    <n v="19049550228.5453"/>
    <n v="26263507836.335503"/>
    <n v="5012054814.8851309"/>
    <n v="7114560662.4662952"/>
    <n v="12126615477.351425"/>
    <n v="12226012422.675333"/>
    <n v="26164110891.011597"/>
    <n v="38390123313.686928"/>
  </r>
  <r>
    <x v="91"/>
    <n v="9938778331"/>
    <n v="26246322202"/>
    <n v="36185100533"/>
    <n v="6933708776"/>
    <n v="9796591879"/>
    <n v="16730300655"/>
    <n v="16872487107"/>
    <n v="36042914081"/>
    <n v="52915401188"/>
    <n v="94.113330169999998"/>
    <n v="129.01505570699999"/>
    <n v="1.370847843487802"/>
    <n v="7250095901.0250921"/>
    <n v="19146050618.734146"/>
    <n v="26396146519.759239"/>
    <n v="5057971100.8326044"/>
    <n v="7146374359.151969"/>
    <n v="12204345459.984573"/>
    <n v="12308067001.857697"/>
    <n v="26292424977.886116"/>
    <n v="38600491979.743813"/>
  </r>
  <r>
    <x v="92"/>
    <n v="9852548583"/>
    <n v="26089860443"/>
    <n v="35942409026"/>
    <n v="6846444367"/>
    <n v="9697024522"/>
    <n v="16543468889"/>
    <n v="16698992950"/>
    <n v="35786884965"/>
    <n v="52485877915"/>
    <n v="94.47035631"/>
    <n v="129.01505570699999"/>
    <n v="1.3656670806199056"/>
    <n v="7214458576.9232397"/>
    <n v="19104114621.520535"/>
    <n v="26318573198.443775"/>
    <n v="5013260159.9302311"/>
    <n v="7100577190.1584625"/>
    <n v="12113837350.088694"/>
    <n v="12227718736.853472"/>
    <n v="26204691811.678997"/>
    <n v="38432410548.532471"/>
  </r>
  <r>
    <x v="93"/>
    <n v="9893233728"/>
    <n v="26277141800"/>
    <n v="36170375528"/>
    <n v="6972818203"/>
    <n v="9816822769"/>
    <n v="16789640972"/>
    <n v="16866051931"/>
    <n v="36093964569"/>
    <n v="52960016500"/>
    <n v="94.778282419999996"/>
    <n v="129.01505570699999"/>
    <n v="1.3612301511783398"/>
    <n v="7267862616.3518257"/>
    <n v="19303966913.496124"/>
    <n v="26571829529.84795"/>
    <n v="5122438844.7199955"/>
    <n v="7211728861.9430981"/>
    <n v="12334167706.663094"/>
    <n v="12390301461.071821"/>
    <n v="26515695775.439224"/>
    <n v="38905997236.511047"/>
  </r>
  <r>
    <x v="94"/>
    <n v="9890380367"/>
    <n v="26283366634"/>
    <n v="36173747001"/>
    <n v="6930852931"/>
    <n v="9711594785"/>
    <n v="16642447716"/>
    <n v="16821233298"/>
    <n v="35994961419"/>
    <n v="52816194717"/>
    <n v="94.991013120000005"/>
    <n v="129.01505570699999"/>
    <n v="1.3581817002416658"/>
    <n v="7282074530.4108953"/>
    <n v="19351878050.870007"/>
    <n v="26633952581.280903"/>
    <n v="5103038076.3978558"/>
    <n v="7150438548.2973175"/>
    <n v="12253476624.695173"/>
    <n v="12385112606.808752"/>
    <n v="26502316599.167324"/>
    <n v="38887429205.976074"/>
  </r>
  <r>
    <x v="95"/>
    <n v="9844539367"/>
    <n v="26248141977"/>
    <n v="36092681344"/>
    <n v="6978550231"/>
    <n v="9835346893"/>
    <n v="16813897124"/>
    <n v="16823089598"/>
    <n v="36083488870"/>
    <n v="52906578468"/>
    <n v="95.418256529999994"/>
    <n v="129.01505570699999"/>
    <n v="1.3521003254386332"/>
    <n v="7280923746.3990288"/>
    <n v="19412865660.308804"/>
    <n v="26693789406.707832"/>
    <n v="5161266586.2912922"/>
    <n v="7274125083.7354298"/>
    <n v="12435391670.026722"/>
    <n v="12442190332.690321"/>
    <n v="26686990744.044231"/>
    <n v="39129181076.734558"/>
  </r>
  <r>
    <x v="96"/>
    <n v="10262112056"/>
    <n v="27334633774"/>
    <n v="37596745830"/>
    <n v="7239816129"/>
    <n v="10187591693"/>
    <n v="17427407822"/>
    <n v="17501928185"/>
    <n v="37522225467"/>
    <n v="55024153652"/>
    <n v="95.649096819999997"/>
    <n v="129.01505570699999"/>
    <n v="1.3488371557735739"/>
    <n v="7608117860.6876078"/>
    <n v="20265332740.12849"/>
    <n v="27873450600.816097"/>
    <n v="5367450101.7492218"/>
    <n v="7552870003.1675043"/>
    <n v="12920320104.916725"/>
    <n v="12975567962.436829"/>
    <n v="27818202743.295994"/>
    <n v="40793770705.732826"/>
  </r>
  <r>
    <x v="97"/>
    <n v="10245169740"/>
    <n v="27356818116"/>
    <n v="37601987856"/>
    <n v="7211976844"/>
    <n v="10163480961"/>
    <n v="17375457805"/>
    <n v="17457146584"/>
    <n v="37520299077"/>
    <n v="54977445661"/>
    <n v="95.695814540000001"/>
    <n v="129.01505570699999"/>
    <n v="1.3481786672401732"/>
    <n v="7599267062.2601242"/>
    <n v="20291685946.938725"/>
    <n v="27890953009.198849"/>
    <n v="5349422164.3214979"/>
    <n v="7538675108.8455048"/>
    <n v="12888097273.167002"/>
    <n v="12948689226.581621"/>
    <n v="27830361055.784229"/>
    <n v="40779050282.365852"/>
  </r>
  <r>
    <x v="98"/>
    <n v="10238296402"/>
    <n v="27343619532"/>
    <n v="37581915934"/>
    <n v="7234726113"/>
    <n v="10176862099"/>
    <n v="17411588212"/>
    <n v="17473022515"/>
    <n v="37520481631"/>
    <n v="54993504146"/>
    <n v="95.928713310000006"/>
    <n v="129.01505570699999"/>
    <n v="1.344905516350243"/>
    <n v="7612651058.0344162"/>
    <n v="20331256879.817215"/>
    <n v="27943907937.851627"/>
    <n v="5379356412.0647993"/>
    <n v="7566971787.4439297"/>
    <n v="12946328199.50873"/>
    <n v="12992007470.099216"/>
    <n v="27898228667.261143"/>
    <n v="40890236137.360359"/>
  </r>
  <r>
    <x v="99"/>
    <n v="10186060552"/>
    <n v="27312508571"/>
    <n v="37498569123"/>
    <n v="7264783756"/>
    <n v="10176916761"/>
    <n v="17441700517"/>
    <n v="17450844308"/>
    <n v="37489425332"/>
    <n v="54940269640"/>
    <n v="96.087759489999996"/>
    <n v="129.01505570699999"/>
    <n v="1.3426794046584756"/>
    <n v="7586368359.1623497"/>
    <n v="20341794531.321659"/>
    <n v="27928162890.484009"/>
    <n v="5410661495.8079834"/>
    <n v="7579558251.7247324"/>
    <n v="12990219747.532717"/>
    <n v="12997029854.970333"/>
    <n v="27921352783.046391"/>
    <n v="40918382638.016724"/>
  </r>
  <r>
    <x v="100"/>
    <n v="10249108498"/>
    <n v="27514866810"/>
    <n v="37763975308"/>
    <n v="7283753192"/>
    <n v="10194658316"/>
    <n v="17478411508"/>
    <n v="17532861690"/>
    <n v="37709525126"/>
    <n v="55242386816"/>
    <n v="96.139417210000005"/>
    <n v="129.01505570699999"/>
    <n v="1.3419579549269454"/>
    <n v="7637428922.6952343"/>
    <n v="20503523757.193928"/>
    <n v="28140952679.88916"/>
    <n v="5427705961.4706926"/>
    <n v="7596853745.3582039"/>
    <n v="13024559706.828896"/>
    <n v="13065134884.165926"/>
    <n v="28100377502.552128"/>
    <n v="41165512386.718056"/>
  </r>
  <r>
    <x v="101"/>
    <n v="10158205178"/>
    <n v="27294187395"/>
    <n v="37452392573"/>
    <n v="7227228342"/>
    <n v="10100605296"/>
    <n v="17327833638"/>
    <n v="17385433520"/>
    <n v="37394792691"/>
    <n v="54780226211"/>
    <n v="95.943074190000004"/>
    <n v="129.01505570699999"/>
    <n v="1.3447042092012413"/>
    <n v="7554230222.8934097"/>
    <n v="20297539940.930828"/>
    <n v="27851770163.824238"/>
    <n v="5374585944.2895603"/>
    <n v="7511395611.6786404"/>
    <n v="12885981555.968201"/>
    <n v="12928816167.18297"/>
    <n v="27808935552.609467"/>
    <n v="40737751719.792435"/>
  </r>
  <r>
    <x v="102"/>
    <n v="11205597277"/>
    <n v="30181828091"/>
    <n v="41387425368"/>
    <n v="7984661269"/>
    <n v="11179745680"/>
    <n v="19164406949"/>
    <n v="19190258546"/>
    <n v="41361573771"/>
    <n v="60551832317"/>
    <n v="96.461260159999995"/>
    <n v="129.01505570699999"/>
    <n v="1.3374805128297425"/>
    <n v="8378138723.8996296"/>
    <n v="22566181564.12875"/>
    <n v="30944320288.028378"/>
    <n v="5969927182.0466709"/>
    <n v="8358810145.4627705"/>
    <n v="14328737327.509441"/>
    <n v="14348065905.946301"/>
    <n v="30924991709.591518"/>
    <n v="45273057615.537819"/>
  </r>
  <r>
    <x v="103"/>
    <n v="11200708741"/>
    <n v="30217329635"/>
    <n v="41418038376"/>
    <n v="7966353014"/>
    <n v="11123442543"/>
    <n v="19089795557"/>
    <n v="19167061755"/>
    <n v="41340772178"/>
    <n v="60507833933"/>
    <n v="96.692182329999994"/>
    <n v="129.01505570699999"/>
    <n v="1.3342863155853233"/>
    <n v="8394531675.9742718"/>
    <n v="22646810719.739933"/>
    <n v="31041342395.714207"/>
    <n v="5970497426.9374323"/>
    <n v="8336623416.6318197"/>
    <n v="14307120843.569252"/>
    <n v="14365029102.911705"/>
    <n v="30983434136.371754"/>
    <n v="45348463239.283455"/>
  </r>
  <r>
    <x v="104"/>
    <n v="11183322639"/>
    <n v="30159711812"/>
    <n v="41343034451"/>
    <n v="8005676044"/>
    <n v="11150465454"/>
    <n v="19156141498"/>
    <n v="19188998683"/>
    <n v="41310177266"/>
    <n v="60499175949"/>
    <n v="97.061786810000001"/>
    <n v="129.01505570699999"/>
    <n v="1.3292054468309864"/>
    <n v="8413539581.6069078"/>
    <n v="22690030261.23991"/>
    <n v="31103569842.846821"/>
    <n v="6022903429.3281469"/>
    <n v="8388820163.6430883"/>
    <n v="14411723592.971235"/>
    <n v="14436443010.935055"/>
    <n v="31078850424.882999"/>
    <n v="45515293435.818054"/>
  </r>
  <r>
    <x v="105"/>
    <n v="11222038177"/>
    <n v="30265242559"/>
    <n v="41487280736"/>
    <n v="7999480925"/>
    <n v="11107828564"/>
    <n v="19107309489"/>
    <n v="19221519102"/>
    <n v="41373071123"/>
    <n v="60594590225"/>
    <n v="97.29417085"/>
    <n v="129.01505570699999"/>
    <n v="1.3260306817959793"/>
    <n v="8462879728.9975548"/>
    <n v="22823938370.723579"/>
    <n v="31286818099.721134"/>
    <n v="6032651457.3293905"/>
    <n v="8376750792.0371265"/>
    <n v="14409402249.366518"/>
    <n v="14495531186.326946"/>
    <n v="31200689162.760704"/>
    <n v="45696220349.087654"/>
  </r>
  <r>
    <x v="106"/>
    <n v="11242735608"/>
    <n v="30358785506"/>
    <n v="41601521114"/>
    <n v="8031006209"/>
    <n v="11177250922"/>
    <n v="19208257131"/>
    <n v="19273741817"/>
    <n v="41536036428"/>
    <n v="60809778245"/>
    <n v="97.417611260000001"/>
    <n v="129.01505570699999"/>
    <n v="1.3243504335439809"/>
    <n v="8489245235.4278145"/>
    <n v="22923528952.04591"/>
    <n v="31412774187.473724"/>
    <n v="6064109623.5449638"/>
    <n v="8439798590.2337914"/>
    <n v="14503908213.778755"/>
    <n v="14553354858.972778"/>
    <n v="31363327542.279701"/>
    <n v="45916682401.25248"/>
  </r>
  <r>
    <x v="107"/>
    <n v="11134611297"/>
    <n v="30108905912"/>
    <n v="41243517209"/>
    <n v="7980190244"/>
    <n v="11086367744"/>
    <n v="19066557988"/>
    <n v="19114801541"/>
    <n v="41195273656"/>
    <n v="60310075197"/>
    <n v="97.037847170000006"/>
    <n v="129.01505570699999"/>
    <n v="1.3295333673363476"/>
    <n v="8374826514.7399998"/>
    <n v="22646220585.137821"/>
    <n v="31021047099.877819"/>
    <n v="6002248939.4063911"/>
    <n v="8338540435.5897989"/>
    <n v="14340789374.996189"/>
    <n v="14377075454.146391"/>
    <n v="30984761020.727619"/>
    <n v="45361836474.874008"/>
  </r>
  <r>
    <x v="108"/>
    <n v="11439017331"/>
    <n v="30909688848"/>
    <n v="42348706179"/>
    <n v="8221990488"/>
    <n v="11429949522"/>
    <n v="19651940010"/>
    <n v="19661007819"/>
    <n v="42339638370"/>
    <n v="62000646189"/>
    <n v="97.271810860000002"/>
    <n v="129.01505570699999"/>
    <n v="1.326335498088824"/>
    <n v="8624527766.5288982"/>
    <n v="23304577833.0891"/>
    <n v="31929105599.618"/>
    <n v="6199027696.874157"/>
    <n v="8617691028.0015316"/>
    <n v="14816718724.875687"/>
    <n v="14823555463.403055"/>
    <n v="31922268861.090633"/>
    <n v="46745824324.49369"/>
  </r>
  <r>
    <x v="109"/>
    <n v="11341866701"/>
    <n v="30743653221"/>
    <n v="42085519922"/>
    <n v="8166629725"/>
    <n v="11358625696"/>
    <n v="19525255421"/>
    <n v="19508496426"/>
    <n v="42102278917"/>
    <n v="61610775343"/>
    <n v="97.468426390000005"/>
    <n v="129.01505570699999"/>
    <n v="1.3236599839087644"/>
    <n v="8568565068.7327557"/>
    <n v="23226246615.247879"/>
    <n v="31794811683.980633"/>
    <n v="6169733786.8324499"/>
    <n v="8581226171.4356651"/>
    <n v="14750959958.268114"/>
    <n v="14738298855.565205"/>
    <n v="31807472786.683544"/>
    <n v="46545771642.248749"/>
  </r>
  <r>
    <x v="110"/>
    <n v="11320778405"/>
    <n v="30723767350"/>
    <n v="42044545755"/>
    <n v="8175077444"/>
    <n v="11325332109"/>
    <n v="19500409553"/>
    <n v="19495855849"/>
    <n v="42049099459"/>
    <n v="61544955308"/>
    <n v="97.321077840000001"/>
    <n v="129.01505570699999"/>
    <n v="1.3256640654875014"/>
    <n v="8539703760.3466177"/>
    <n v="23176133494.047455"/>
    <n v="31715837254.394073"/>
    <n v="6166779093.4603682"/>
    <n v="8543138796.5058918"/>
    <n v="14709917889.966259"/>
    <n v="14706482853.806986"/>
    <n v="31719272290.553349"/>
    <n v="46425755144.360336"/>
  </r>
  <r>
    <x v="111"/>
    <n v="11313546112"/>
    <n v="30745743680"/>
    <n v="42059289792"/>
    <n v="8186253226"/>
    <n v="11317809192"/>
    <n v="19504062418"/>
    <n v="19499799338"/>
    <n v="42063552872"/>
    <n v="61563352210"/>
    <n v="97.892102530000003"/>
    <n v="129.01505570699999"/>
    <n v="1.3179311953940518"/>
    <n v="8584322270.7975531"/>
    <n v="23328792722.602829"/>
    <n v="31913114993.400379"/>
    <n v="6211442034.7659883"/>
    <n v="8587556946.4884377"/>
    <n v="14798998981.254425"/>
    <n v="14795764305.563541"/>
    <n v="31916349669.091267"/>
    <n v="46712113974.654808"/>
  </r>
  <r>
    <x v="112"/>
    <n v="11306556940"/>
    <n v="30772771949"/>
    <n v="42079328889"/>
    <n v="8187839998"/>
    <n v="11360429267"/>
    <n v="19548269265"/>
    <n v="19494396938"/>
    <n v="42133201216"/>
    <n v="61627598154"/>
    <n v="97.97588863"/>
    <n v="129.01505570699999"/>
    <n v="1.3168041393757348"/>
    <n v="8586361936.3773928"/>
    <n v="23369285551.903439"/>
    <n v="31955647488.28083"/>
    <n v="6217963441.3069649"/>
    <n v="8627273356.2226696"/>
    <n v="14845236797.529634"/>
    <n v="14804325377.684357"/>
    <n v="31996558908.126106"/>
    <n v="46800884285.810463"/>
  </r>
  <r>
    <x v="113"/>
    <n v="11305880567"/>
    <n v="30842449318"/>
    <n v="42148329885"/>
    <n v="8185013475"/>
    <n v="11317464200"/>
    <n v="19502477675"/>
    <n v="19490894042"/>
    <n v="42159913518"/>
    <n v="61650807560"/>
    <n v="98.120592090000002"/>
    <n v="129.01505570699999"/>
    <n v="1.3148621809034986"/>
    <n v="8598528979.8442917"/>
    <n v="23456792480.567677"/>
    <n v="32055321460.411968"/>
    <n v="6224997261.2154102"/>
    <n v="8607338749.5435314"/>
    <n v="14832336010.758942"/>
    <n v="14823526241.059702"/>
    <n v="32064131230.111206"/>
    <n v="46887657471.170906"/>
  </r>
  <r>
    <x v="114"/>
    <n v="11291373357"/>
    <n v="30821601517"/>
    <n v="42112974874"/>
    <n v="8208034372"/>
    <n v="11314814767"/>
    <n v="19522849139"/>
    <n v="19499407729"/>
    <n v="42136416284"/>
    <n v="61635824013"/>
    <n v="98.572460250000006"/>
    <n v="129.01505570699999"/>
    <n v="1.3088346925682011"/>
    <n v="8627043140.8293571"/>
    <n v="23548887947.431866"/>
    <n v="32175931088.261223"/>
    <n v="6271253672.1456852"/>
    <n v="8644953278.857563"/>
    <n v="14916206951.003248"/>
    <n v="14898296812.975042"/>
    <n v="32193841226.289429"/>
    <n v="47092138039.264473"/>
  </r>
  <r>
    <x v="115"/>
    <n v="11303846643"/>
    <n v="30887435579"/>
    <n v="42191282222"/>
    <n v="8210393084"/>
    <n v="11341823281"/>
    <n v="19552216365"/>
    <n v="19514239727"/>
    <n v="42229258860"/>
    <n v="61743498587"/>
    <n v="98.616791239999998"/>
    <n v="129.01505570699999"/>
    <n v="1.3082463349777917"/>
    <n v="8640457336.4938107"/>
    <n v="23609800962.694332"/>
    <n v="32250258299.188145"/>
    <n v="6275876999.9836283"/>
    <n v="8669485996.4522915"/>
    <n v="14945362996.435921"/>
    <n v="14916334336.477438"/>
    <n v="32279286959.146626"/>
    <n v="47195621295.624062"/>
  </r>
  <r>
    <x v="116"/>
    <n v="11315557212"/>
    <n v="31011594394"/>
    <n v="42327151606"/>
    <n v="8254611081"/>
    <n v="11363102844"/>
    <n v="19617713925"/>
    <n v="19570168293"/>
    <n v="42374697238"/>
    <n v="61944865531"/>
    <n v="98.818593930000006"/>
    <n v="129.01505570699999"/>
    <n v="1.3055746957742609"/>
    <n v="8667108246.372221"/>
    <n v="23753213427.293652"/>
    <n v="32420321673.665874"/>
    <n v="6322588135.1083231"/>
    <n v="8703525643.3652"/>
    <n v="15026113778.473524"/>
    <n v="14989696381.480543"/>
    <n v="32456739070.658855"/>
    <n v="47446435452.139397"/>
  </r>
  <r>
    <x v="117"/>
    <n v="11326559341"/>
    <n v="31066575741"/>
    <n v="42393135082"/>
    <n v="8218341804"/>
    <n v="11319278009"/>
    <n v="19537619813"/>
    <n v="19544901145"/>
    <n v="42385853750"/>
    <n v="61930754895"/>
    <n v="99.131000330000006"/>
    <n v="129.01505570699999"/>
    <n v="1.3014602422805994"/>
    <n v="8702962236.5966625"/>
    <n v="23870553038.609024"/>
    <n v="32573515275.205688"/>
    <n v="6314708307.6457872"/>
    <n v="8697367496.3476315"/>
    <n v="15012075803.99342"/>
    <n v="15017670544.242449"/>
    <n v="32567920534.956657"/>
    <n v="47585591079.199104"/>
  </r>
  <r>
    <x v="118"/>
    <n v="11334878193"/>
    <n v="31105473313"/>
    <n v="42440351506"/>
    <n v="8233198789"/>
    <n v="11330715126"/>
    <n v="19563913915"/>
    <n v="19568076982"/>
    <n v="42436188439"/>
    <n v="62004265421"/>
    <n v="99.408296890000003"/>
    <n v="129.01505570699999"/>
    <n v="1.2978298566945701"/>
    <n v="8733716622.8157883"/>
    <n v="23967296755.078682"/>
    <n v="32701013377.89447"/>
    <n v="6343819836.2681007"/>
    <n v="8730508908.8165112"/>
    <n v="15074328745.084612"/>
    <n v="15077536459.083889"/>
    <n v="32697805663.895191"/>
    <n v="47775342122.97908"/>
  </r>
  <r>
    <x v="119"/>
    <n v="11326077616"/>
    <n v="31138783288"/>
    <n v="42464860904"/>
    <n v="8251288207"/>
    <n v="11375228519"/>
    <n v="19626516726"/>
    <n v="19577365823"/>
    <n v="42514011807"/>
    <n v="62091377630"/>
    <n v="99.510759739999997"/>
    <n v="129.01505570699999"/>
    <n v="1.2964935253643757"/>
    <n v="8735930719.6052818"/>
    <n v="24017692860.632324"/>
    <n v="32753623580.237606"/>
    <n v="6364311155.8779287"/>
    <n v="8773841362.4572678"/>
    <n v="15138152518.335196"/>
    <n v="15100241875.483212"/>
    <n v="32791534223.089592"/>
    <n v="47891776098.572807"/>
  </r>
  <r>
    <x v="120"/>
    <n v="11586116785"/>
    <n v="31945149121"/>
    <n v="43531265906"/>
    <n v="8457395709"/>
    <n v="11612497614"/>
    <n v="20069893323"/>
    <n v="20043512494"/>
    <n v="43557646735"/>
    <n v="63601159229"/>
    <n v="99.863231380000002"/>
    <n v="129.01505570699999"/>
    <n v="1.2919174947991752"/>
    <n v="8968155344.0074959"/>
    <n v="24726926641.678291"/>
    <n v="33695081985.685787"/>
    <n v="6546389953.7289553"/>
    <n v="8988575246.2893372"/>
    <n v="15534965200.018293"/>
    <n v="15514545297.736452"/>
    <n v="33715501887.967628"/>
    <n v="49230047185.704079"/>
  </r>
  <r>
    <x v="121"/>
    <n v="11577485946"/>
    <n v="31984105604"/>
    <n v="43561591550"/>
    <n v="8458225242"/>
    <n v="11594452815"/>
    <n v="20052678057"/>
    <n v="20035711188"/>
    <n v="43578558419"/>
    <n v="63614269607"/>
    <n v="100.0348635"/>
    <n v="129.01505570699999"/>
    <n v="1.2897009221889926"/>
    <n v="8976876535.3363342"/>
    <n v="24799629940.338257"/>
    <n v="33776506475.674591"/>
    <n v="6558284247.5168304"/>
    <n v="8990032197.0157909"/>
    <n v="15548316444.532621"/>
    <n v="15535160782.853167"/>
    <n v="33789662137.354046"/>
    <n v="49324822920.207214"/>
  </r>
  <r>
    <x v="122"/>
    <n v="11566226192"/>
    <n v="32010968695"/>
    <n v="43577194887"/>
    <n v="8451709343"/>
    <n v="11593971136"/>
    <n v="20045680479"/>
    <n v="20017935535"/>
    <n v="43604939831"/>
    <n v="63622875366"/>
    <n v="100.3748626"/>
    <n v="129.01505570699999"/>
    <n v="1.2853323268907766"/>
    <n v="8998627008.7664738"/>
    <n v="24904818796.890175"/>
    <n v="33903445805.656651"/>
    <n v="6575505156.2771435"/>
    <n v="9020212822.3491096"/>
    <n v="15595717978.626253"/>
    <n v="15574132165.043617"/>
    <n v="33925031619.239285"/>
    <n v="49499163784.282898"/>
  </r>
  <r>
    <x v="123"/>
    <n v="11562862482"/>
    <n v="32102815281"/>
    <n v="43665677763"/>
    <n v="8475180059"/>
    <n v="11581323138"/>
    <n v="20056503197"/>
    <n v="20038042541"/>
    <n v="43684138419"/>
    <n v="63722180960"/>
    <n v="100.74281120000001"/>
    <n v="129.01505570699999"/>
    <n v="1.2806378357942823"/>
    <n v="9028987086.6016045"/>
    <n v="25067832906.162003"/>
    <n v="34096819992.763607"/>
    <n v="6617936642.2853584"/>
    <n v="9043402290.8724899"/>
    <n v="15661338933.157848"/>
    <n v="15646923728.886963"/>
    <n v="34111235197.034492"/>
    <n v="49758158925.921455"/>
  </r>
  <r>
    <x v="124"/>
    <n v="11539171024"/>
    <n v="32118362077"/>
    <n v="43657533101"/>
    <n v="8464379335"/>
    <n v="11566739558"/>
    <n v="20031118893"/>
    <n v="20003550359"/>
    <n v="43685101635"/>
    <n v="63688651994"/>
    <n v="100.73748740000001"/>
    <n v="129.01505570699999"/>
    <n v="1.280705515263824"/>
    <n v="9010011190.29533"/>
    <n v="25078647428.471214"/>
    <n v="34088658618.766541"/>
    <n v="6609153497.1303272"/>
    <n v="9031537242.671484"/>
    <n v="15640690739.801811"/>
    <n v="15619164687.425655"/>
    <n v="34110184671.142696"/>
    <n v="49729349358.568352"/>
  </r>
  <r>
    <x v="125"/>
    <n v="11561435315"/>
    <n v="32178023913"/>
    <n v="43739459228"/>
    <n v="8490433416"/>
    <n v="11619828182"/>
    <n v="20110261598"/>
    <n v="20051868731"/>
    <n v="43797852095"/>
    <n v="63849720826"/>
    <n v="100.63564100000001"/>
    <n v="129.01505570699999"/>
    <n v="1.2820016290948053"/>
    <n v="9018268816.9930706"/>
    <n v="25099830751.167011"/>
    <n v="34118099568.160084"/>
    <n v="6622794560.7174606"/>
    <n v="9063817017.3032608"/>
    <n v="15686611578.020721"/>
    <n v="15641063377.710531"/>
    <n v="34163647768.470272"/>
    <n v="49804711146.180801"/>
  </r>
  <r>
    <x v="126"/>
    <n v="11568904008"/>
    <n v="32274734542"/>
    <n v="43843638550"/>
    <n v="8479911885"/>
    <n v="11573675969"/>
    <n v="20053587854"/>
    <n v="20048815893"/>
    <n v="43848410511"/>
    <n v="63897226404"/>
    <n v="100.748087958"/>
    <n v="129.01505570699999"/>
    <n v="1.2805707614102211"/>
    <n v="9034177849.9298325"/>
    <n v="25203397980.489292"/>
    <n v="34237575830.419125"/>
    <n v="6621978371.3174477"/>
    <n v="9037904282.8172626"/>
    <n v="15659882654.13471"/>
    <n v="15656156221.24728"/>
    <n v="34241302263.306553"/>
    <n v="49897458484.553833"/>
  </r>
  <r>
    <x v="127"/>
    <n v="11564049696"/>
    <n v="32285206327"/>
    <n v="43849256023"/>
    <n v="8494881546"/>
    <n v="11567369298"/>
    <n v="20062250844"/>
    <n v="20058931242"/>
    <n v="43852575625"/>
    <n v="63911506867"/>
    <n v="100.79463698399999"/>
    <n v="129.01505570699999"/>
    <n v="1.2799793676272644"/>
    <n v="9034559453.4360504"/>
    <n v="25223224017.155872"/>
    <n v="34257783470.591923"/>
    <n v="6636733185.58815"/>
    <n v="9037152934.3029766"/>
    <n v="15673886119.891127"/>
    <n v="15671292639.0242"/>
    <n v="34260376951.458847"/>
    <n v="49931669590.483047"/>
  </r>
  <r>
    <x v="128"/>
    <n v="11580280802"/>
    <n v="32354929275"/>
    <n v="43935210077"/>
    <n v="8512182233"/>
    <n v="11552234557"/>
    <n v="20064416790"/>
    <n v="20092463035"/>
    <n v="43907163832"/>
    <n v="63999626867"/>
    <n v="101.272680897"/>
    <n v="129.01505570699999"/>
    <n v="1.273937399151263"/>
    <n v="9090149021.2275314"/>
    <n v="25397581778.002487"/>
    <n v="34487730799.230019"/>
    <n v="6681790046.0973063"/>
    <n v="9068133618.4152069"/>
    <n v="15749923664.512512"/>
    <n v="15771939067.324837"/>
    <n v="34465715396.417694"/>
    <n v="50237654463.742531"/>
  </r>
  <r>
    <x v="129"/>
    <n v="11558792223"/>
    <n v="32361884474"/>
    <n v="43920676697"/>
    <n v="8473399137"/>
    <n v="11551421115"/>
    <n v="20024820252"/>
    <n v="20032191360"/>
    <n v="43913305589"/>
    <n v="63945496949"/>
    <n v="101.536606212"/>
    <n v="129.01505570699999"/>
    <n v="1.2706260384321619"/>
    <n v="9096926926.8733921"/>
    <n v="25469243896.443089"/>
    <n v="34566170823.316483"/>
    <n v="6668680540.7005596"/>
    <n v="9091125764.4723015"/>
    <n v="15759806305.172861"/>
    <n v="15765607467.573952"/>
    <n v="34560369660.91539"/>
    <n v="50325977128.489342"/>
  </r>
  <r>
    <x v="130"/>
    <n v="11569304556"/>
    <n v="32420201219"/>
    <n v="43989505775"/>
    <n v="8518399628"/>
    <n v="11533373570"/>
    <n v="20051773198"/>
    <n v="20087704184"/>
    <n v="43953574789"/>
    <n v="64041278973"/>
    <n v="102.150333284"/>
    <n v="129.01505570699999"/>
    <n v="1.2629920193046287"/>
    <n v="9160235677.7913494"/>
    <n v="25669363482.478489"/>
    <n v="34829599160.269836"/>
    <n v="6744618729.0162086"/>
    <n v="9131786577.9943581"/>
    <n v="15876405307.010567"/>
    <n v="15904854406.807558"/>
    <n v="34801150060.472847"/>
    <n v="50706004467.280403"/>
  </r>
  <r>
    <x v="131"/>
    <n v="11559160558"/>
    <n v="32390976790"/>
    <n v="43950137348"/>
    <n v="8495391892"/>
    <n v="11543608865"/>
    <n v="20039000757"/>
    <n v="20054552450"/>
    <n v="43934585655"/>
    <n v="63989138105"/>
    <n v="102.200162221"/>
    <n v="129.01505570699999"/>
    <n v="1.262376232123926"/>
    <n v="9156668403.4853172"/>
    <n v="25658734667.003944"/>
    <n v="34815403070.489265"/>
    <n v="6729683018.2762957"/>
    <n v="9144349023.0943909"/>
    <n v="15874032041.370686"/>
    <n v="15886351421.761612"/>
    <n v="34803083690.098335"/>
    <n v="50689435111.859947"/>
  </r>
  <r>
    <x v="132"/>
    <n v="11861603439"/>
    <n v="33312088054"/>
    <n v="45173691493"/>
    <n v="8720043393"/>
    <n v="11824733396"/>
    <n v="20544776789"/>
    <n v="20581646832"/>
    <n v="45136821450"/>
    <n v="65718468282"/>
    <n v="102.42867542899999"/>
    <n v="129.01505570699999"/>
    <n v="1.2595599344289945"/>
    <n v="9417260040.4103107"/>
    <n v="26447402099.290821"/>
    <n v="35864662139.701134"/>
    <n v="6923087305.8479118"/>
    <n v="9387987877.9731064"/>
    <n v="16311075183.821018"/>
    <n v="16340347346.258223"/>
    <n v="35835389977.263931"/>
    <n v="52175737323.522148"/>
  </r>
  <r>
    <x v="133"/>
    <n v="11829319906"/>
    <n v="33290132503"/>
    <n v="45119452409"/>
    <n v="8693730594"/>
    <n v="11769774540"/>
    <n v="20463505134"/>
    <n v="20523050500"/>
    <n v="45059907043"/>
    <n v="65582957543"/>
    <n v="102.620430008"/>
    <n v="129.01505570699999"/>
    <n v="1.2572063447496988"/>
    <n v="9409211109.5375805"/>
    <n v="26479449966.208878"/>
    <n v="35888661075.74646"/>
    <n v="6915118294.070384"/>
    <n v="9361847869.4070549"/>
    <n v="16276966163.47744"/>
    <n v="16324329403.607964"/>
    <n v="35841297835.615936"/>
    <n v="52165627239.2239"/>
  </r>
  <r>
    <x v="134"/>
    <n v="11825332848"/>
    <n v="33327225112"/>
    <n v="45152557960"/>
    <n v="8706301513"/>
    <n v="11768223669"/>
    <n v="20474525182"/>
    <n v="20531634361"/>
    <n v="45095448781"/>
    <n v="65627083142"/>
    <n v="102.632852466"/>
    <n v="129.01505570699999"/>
    <n v="1.2570541752187958"/>
    <n v="9407178370.7665176"/>
    <n v="26512162935.379654"/>
    <n v="35919341306.146172"/>
    <n v="6925955686.4242783"/>
    <n v="9361747409.9329796"/>
    <n v="16287703096.357258"/>
    <n v="16333134057.190796"/>
    <n v="35873910345.312637"/>
    <n v="52207044402.503433"/>
  </r>
  <r>
    <x v="135"/>
    <n v="11799274226"/>
    <n v="33335034397"/>
    <n v="45134308623"/>
    <n v="8725143045"/>
    <n v="11802499075"/>
    <n v="20527642120"/>
    <n v="20524417271"/>
    <n v="45137533472"/>
    <n v="65661950743"/>
    <n v="103.465396218"/>
    <n v="129.01505570699999"/>
    <n v="1.2469391740903137"/>
    <n v="9462590053.4466629"/>
    <n v="26733488761.646362"/>
    <n v="36196078815.093025"/>
    <n v="6997248323.171257"/>
    <n v="9465176265.4023132"/>
    <n v="16462424588.57357"/>
    <n v="16459838376.61792"/>
    <n v="36198665027.048676"/>
    <n v="52658503403.666595"/>
  </r>
  <r>
    <x v="136"/>
    <n v="11793840990"/>
    <n v="33391211605"/>
    <n v="45185052595"/>
    <n v="8733417402"/>
    <n v="11794425577"/>
    <n v="20527842979"/>
    <n v="20527258392"/>
    <n v="45185637182"/>
    <n v="65712895574"/>
    <n v="103.553177745"/>
    <n v="129.01505570699999"/>
    <n v="1.2458821497945716"/>
    <n v="9466257295.6395912"/>
    <n v="26801260143.670685"/>
    <n v="36267517439.310272"/>
    <n v="7009826253.181344"/>
    <n v="9466726510.9663334"/>
    <n v="16476552764.147678"/>
    <n v="16476083548.820934"/>
    <n v="36267986654.637016"/>
    <n v="52744070203.457954"/>
  </r>
  <r>
    <x v="137"/>
    <n v="15149481124"/>
    <n v="43162878690"/>
    <n v="58312359814"/>
    <n v="10732259856"/>
    <n v="14440306519"/>
    <n v="25172566375"/>
    <n v="25881740980"/>
    <n v="57603185209"/>
    <n v="83484926189"/>
    <n v="103.65598192"/>
    <n v="129.01505570699999"/>
    <n v="1.2446465058482752"/>
    <n v="12171713858.365784"/>
    <n v="34678825262.585548"/>
    <n v="46850539120.951332"/>
    <n v="8622737303.7821255"/>
    <n v="11601933923.526638"/>
    <n v="20224671227.308765"/>
    <n v="20794451162.147907"/>
    <n v="46280759186.11219"/>
    <n v="67075210348.260101"/>
  </r>
  <r>
    <x v="138"/>
    <n v="16236882245"/>
    <n v="45114474415"/>
    <n v="61351356660"/>
    <n v="11111370940"/>
    <n v="14977382354"/>
    <n v="26088753294"/>
    <n v="27348253185"/>
    <n v="60091856769"/>
    <n v="87440109954"/>
    <n v="104.242876376"/>
    <n v="129.01505570699999"/>
    <n v="1.2376390617009425"/>
    <n v="13119238675.842155"/>
    <n v="36452044712.452087"/>
    <n v="49571283388.294235"/>
    <n v="8977876736.3153095"/>
    <n v="12101575344.12005"/>
    <n v="21079452080.43536"/>
    <n v="22097115412.157463"/>
    <n v="48553620056.572136"/>
    <n v="70650735468.729599"/>
  </r>
  <r>
    <x v="139"/>
    <n v="15658001578"/>
    <n v="44074943619"/>
    <n v="59732945197"/>
    <n v="10724650630"/>
    <n v="14359515440"/>
    <n v="25084166070"/>
    <n v="26382652208"/>
    <n v="58434459059"/>
    <n v="84817111267"/>
    <n v="104.710269657"/>
    <n v="129.01505570699999"/>
    <n v="1.2321146352656269"/>
    <n v="12708234388.129276"/>
    <n v="35771788076.762878"/>
    <n v="48480022464.892159"/>
    <n v="8704263648.0719299"/>
    <n v="11654366427.44227"/>
    <n v="20358630075.514198"/>
    <n v="21412498036.201206"/>
    <n v="47426154504.205154"/>
    <n v="68838652540.406357"/>
  </r>
  <r>
    <x v="140"/>
    <n v="15656734041"/>
    <n v="44136538859"/>
    <n v="59793272900"/>
    <n v="10736413585"/>
    <n v="14388029182"/>
    <n v="25124442767"/>
    <n v="26393147626"/>
    <n v="58524568041"/>
    <n v="84917715667"/>
    <n v="105.056432253"/>
    <n v="129.01505570699999"/>
    <n v="1.2280547981707786"/>
    <n v="12749214501.112764"/>
    <n v="35940203095.776009"/>
    <n v="48689417596.888779"/>
    <n v="8742617675.5240765"/>
    <n v="11716113322.818628"/>
    <n v="20458730998.342705"/>
    <n v="21491832176.636841"/>
    <n v="47656316418.594643"/>
    <n v="69148148595.231476"/>
  </r>
  <r>
    <x v="141"/>
    <n v="15645469216"/>
    <n v="44167807281"/>
    <n v="59813276497"/>
    <n v="10751536542"/>
    <n v="14385410864"/>
    <n v="25136947406"/>
    <n v="26397005758"/>
    <n v="58553218145"/>
    <n v="84950223903"/>
    <n v="105.013698925"/>
    <n v="129.01505570699999"/>
    <n v="1.2285545317201099"/>
    <n v="12734859391.299988"/>
    <n v="35951035253.730469"/>
    <n v="48685894645.030457"/>
    <n v="8751371033.5239906"/>
    <n v="11709216394.211546"/>
    <n v="20460587427.735538"/>
    <n v="21486230424.823978"/>
    <n v="47660251647.942017"/>
    <n v="69146482072.765991"/>
  </r>
  <r>
    <x v="142"/>
    <n v="15650986839"/>
    <n v="44177632133"/>
    <n v="59828618972"/>
    <n v="10750601938"/>
    <n v="14377725429"/>
    <n v="25128327367"/>
    <n v="26401588777"/>
    <n v="58555357562"/>
    <n v="84956946339"/>
    <n v="104.961473516"/>
    <n v="129.01505570699999"/>
    <n v="1.2291658204220364"/>
    <n v="12733015008.199793"/>
    <n v="35941149191.596893"/>
    <n v="48674164199.796684"/>
    <n v="8746258445.6739616"/>
    <n v="11697140605.539602"/>
    <n v="20443399051.213562"/>
    <n v="21479273453.873753"/>
    <n v="47638289797.13649"/>
    <n v="69117563251.010239"/>
  </r>
  <r>
    <x v="143"/>
    <n v="15640096446"/>
    <n v="44174881732"/>
    <n v="59814978178"/>
    <n v="10749169015"/>
    <n v="14362258933"/>
    <n v="25111427948"/>
    <n v="26389265461"/>
    <n v="58537140665"/>
    <n v="84926406126"/>
    <n v="104.88601455600001"/>
    <n v="129.01505570699999"/>
    <n v="1.2300501287339618"/>
    <n v="12715007364.860556"/>
    <n v="35913074353.699165"/>
    <n v="48628081718.559723"/>
    <n v="8738805650.1922092"/>
    <n v="11676157416.269255"/>
    <n v="20414963066.461464"/>
    <n v="21453813015.052765"/>
    <n v="47589231769.968422"/>
    <n v="69043044785.021179"/>
  </r>
  <r>
    <x v="144"/>
    <n v="16011853600"/>
    <n v="45345935371"/>
    <n v="61357788971"/>
    <n v="11013923298"/>
    <n v="14722951584"/>
    <n v="25736874882"/>
    <n v="27025776898"/>
    <n v="60068886955"/>
    <n v="87094663853"/>
    <n v="104.991247675"/>
    <n v="129.01505570699999"/>
    <n v="1.2288172449037429"/>
    <n v="13030296951.321072"/>
    <n v="36902098793.83007"/>
    <n v="49932395745.151138"/>
    <n v="8963027939.0022354"/>
    <n v="11981400525.635767"/>
    <n v="20944428464.638004"/>
    <n v="21993324890.323307"/>
    <n v="48883499319.465836"/>
    <n v="70876824209.789139"/>
  </r>
  <r>
    <x v="145"/>
    <n v="15937487356"/>
    <n v="45306102685"/>
    <n v="61243590041"/>
    <n v="11014244517"/>
    <n v="14699610553"/>
    <n v="25713855070"/>
    <n v="26951731873"/>
    <n v="60005713238"/>
    <n v="86957445111"/>
    <n v="105.129937336"/>
    <n v="129.01505570699999"/>
    <n v="1.2271961629222901"/>
    <n v="12986911006.997023"/>
    <n v="36918386851.140213"/>
    <n v="49905297858.137238"/>
    <n v="8975129526.7841034"/>
    <n v="11978207720.268782"/>
    <n v="20953337247.052883"/>
    <n v="21962040533.781124"/>
    <n v="48896594571.408997"/>
    <n v="70858635105.190125"/>
  </r>
  <r>
    <x v="146"/>
    <n v="15876717643"/>
    <n v="45321808817"/>
    <n v="61198526460"/>
    <n v="11009952499"/>
    <n v="14670557101"/>
    <n v="25680509600"/>
    <n v="26886670142"/>
    <n v="59992365918"/>
    <n v="86879036060"/>
    <n v="105.797754142"/>
    <n v="129.01505570699999"/>
    <n v="1.2194498527240767"/>
    <n v="13019574037.861156"/>
    <n v="37165783173.254364"/>
    <n v="50185357211.115517"/>
    <n v="9028622599.2855225"/>
    <n v="12030471829.758371"/>
    <n v="21059094429.043892"/>
    <n v="22048196637.146679"/>
    <n v="49196255003.012733"/>
    <n v="71244451640.159409"/>
  </r>
  <r>
    <x v="147"/>
    <n v="15822313874"/>
    <n v="45236459304"/>
    <n v="61058773178"/>
    <n v="11013062727"/>
    <n v="14636485967"/>
    <n v="25649548694"/>
    <n v="26835376601"/>
    <n v="59872945271"/>
    <n v="86708321872"/>
    <n v="106.52430936899999"/>
    <n v="129.01505570699999"/>
    <n v="1.2111325243151034"/>
    <n v="13064064878.405882"/>
    <n v="37350544548.856255"/>
    <n v="50414609427.262138"/>
    <n v="9093193771.8606777"/>
    <n v="12084958229.71722"/>
    <n v="21178152001.5779"/>
    <n v="22157258650.26656"/>
    <n v="49435502778.573471"/>
    <n v="71592761428.840027"/>
  </r>
  <r>
    <x v="148"/>
    <n v="15788809746"/>
    <n v="45232599263"/>
    <n v="61021409009"/>
    <n v="11019986430"/>
    <n v="14607787045"/>
    <n v="25627773475"/>
    <n v="26808796176"/>
    <n v="59840386308"/>
    <n v="86649182484"/>
    <n v="106.37812172300001"/>
    <n v="129.01505570699999"/>
    <n v="1.2127968948628809"/>
    <n v="13018511024.292395"/>
    <n v="37296104116.521515"/>
    <n v="50314615140.813911"/>
    <n v="9086423684.5246239"/>
    <n v="12044710129.845409"/>
    <n v="21131133814.370033"/>
    <n v="22104934708.817017"/>
    <n v="49340814246.36692"/>
    <n v="71445748955.183945"/>
  </r>
  <r>
    <x v="149"/>
    <n v="15810698446"/>
    <n v="45341815088"/>
    <n v="61152513534"/>
    <n v="11034926487"/>
    <n v="14579214444"/>
    <n v="25614140931"/>
    <n v="26845624933"/>
    <n v="59921029532"/>
    <n v="86766654465"/>
    <n v="106.737540442"/>
    <n v="129.01505570699999"/>
    <n v="1.2087130279819904"/>
    <n v="13080605635.894226"/>
    <n v="37512473215.996132"/>
    <n v="50593078851.890358"/>
    <n v="9129484196.446022"/>
    <n v="12061766611.666924"/>
    <n v="21191250808.112946"/>
    <n v="22210089832.340248"/>
    <n v="49574239827.663055"/>
    <n v="71784329660.003311"/>
  </r>
  <r>
    <x v="150"/>
    <n v="17217079756"/>
    <n v="49707068980"/>
    <n v="66924148736"/>
    <n v="12364287101"/>
    <n v="16294392147"/>
    <n v="28658679248"/>
    <n v="29581366857"/>
    <n v="66001461127"/>
    <n v="95582827984"/>
    <n v="107.487129776"/>
    <n v="129.01505570699999"/>
    <n v="1.2002837546770813"/>
    <n v="14344174607.805138"/>
    <n v="41412764928.550545"/>
    <n v="55756939536.355682"/>
    <n v="10301136754.388906"/>
    <n v="13575450041.297749"/>
    <n v="23876586795.686657"/>
    <n v="24645311362.194046"/>
    <n v="54988214969.848297"/>
    <n v="79633526332.042343"/>
  </r>
  <r>
    <x v="151"/>
    <n v="17178642700"/>
    <n v="49710219507"/>
    <n v="66888862207"/>
    <n v="12360855779"/>
    <n v="16242030034"/>
    <n v="28602885813"/>
    <n v="29539498479"/>
    <n v="65952249541"/>
    <n v="95491748020"/>
    <n v="107.68630519200001"/>
    <n v="129.01505570699999"/>
    <n v="1.1980637229308939"/>
    <n v="14338671951.417471"/>
    <n v="41492133144.129395"/>
    <n v="55830805095.546867"/>
    <n v="10317360873.560974"/>
    <n v="13556899957.095909"/>
    <n v="23874260830.656883"/>
    <n v="24656032824.978443"/>
    <n v="55049033101.225304"/>
    <n v="79705065926.203751"/>
  </r>
  <r>
    <x v="152"/>
    <n v="17174602621"/>
    <n v="49759756867"/>
    <n v="66934359488"/>
    <n v="12369934705"/>
    <n v="16217796040"/>
    <n v="28587730745"/>
    <n v="29544537326"/>
    <n v="65977552907"/>
    <n v="95522090233"/>
    <n v="108.090507335"/>
    <n v="129.01505570699999"/>
    <n v="1.1935835892336919"/>
    <n v="14389107537.936651"/>
    <n v="41689377531.52832"/>
    <n v="56078485069.464966"/>
    <n v="10363693683.943645"/>
    <n v="13587482423.759024"/>
    <n v="23951176107.702671"/>
    <n v="24752801221.880299"/>
    <n v="55276859955.287346"/>
    <n v="80029661177.167633"/>
  </r>
  <r>
    <x v="153"/>
    <n v="17180273634"/>
    <n v="49815834488"/>
    <n v="66996108122"/>
    <n v="12409632129"/>
    <n v="16240933376"/>
    <n v="28650565505"/>
    <n v="29589905763"/>
    <n v="66056767864"/>
    <n v="95646673627"/>
    <n v="108.497976482"/>
    <n v="129.01505570699999"/>
    <n v="1.1891010310999099"/>
    <n v="14448119364.683731"/>
    <n v="41893693794.81633"/>
    <n v="56341813159.500061"/>
    <n v="10436146134.295401"/>
    <n v="13658161040.342596"/>
    <n v="24094307174.637997"/>
    <n v="24884265498.97913"/>
    <n v="55551854835.158928"/>
    <n v="80436120334.138062"/>
  </r>
  <r>
    <x v="154"/>
    <n v="17165173605"/>
    <n v="49842484652"/>
    <n v="67007658257"/>
    <n v="12399905357"/>
    <n v="16188048558"/>
    <n v="28587953915"/>
    <n v="29565078962"/>
    <n v="66030533210"/>
    <n v="95595612172"/>
    <n v="108.789464045"/>
    <n v="129.01505570699999"/>
    <n v="1.1859149857897435"/>
    <n v="14474202460.279303"/>
    <n v="42028716433.503952"/>
    <n v="56502918893.783257"/>
    <n v="10455981672.870468"/>
    <n v="13650260559.967369"/>
    <n v="24106242232.837837"/>
    <n v="24930184133.149773"/>
    <n v="55678976993.471321"/>
    <n v="80609161126.621094"/>
  </r>
  <r>
    <x v="155"/>
    <n v="17128034948"/>
    <n v="49829768322"/>
    <n v="66957803270"/>
    <n v="12428740020"/>
    <n v="16202506541"/>
    <n v="28631246561"/>
    <n v="29556774968"/>
    <n v="66032274863"/>
    <n v="95589049831"/>
    <n v="108.876200532"/>
    <n v="129.01505570699999"/>
    <n v="1.1849702237642004"/>
    <n v="14454401135.575151"/>
    <n v="42051494056.711189"/>
    <n v="56505895192.286339"/>
    <n v="10488651757.441307"/>
    <n v="13673344879.106573"/>
    <n v="24161996636.547882"/>
    <n v="24943052893.01646"/>
    <n v="55724838935.817764"/>
    <n v="80667891828.834229"/>
  </r>
  <r>
    <x v="156"/>
    <n v="17743282728"/>
    <n v="51682733987"/>
    <n v="69426016715"/>
    <n v="12911728976"/>
    <n v="16804622756"/>
    <n v="29716351732"/>
    <n v="30655011704"/>
    <n v="68487356743"/>
    <n v="99142368447"/>
    <n v="109.757009083"/>
    <n v="129.01505570699999"/>
    <n v="1.175460745376514"/>
    <n v="15094747143.016346"/>
    <n v="43968064599.592735"/>
    <n v="59062811742.609085"/>
    <n v="10984398268.326876"/>
    <n v="14296200721.375242"/>
    <n v="25280598989.702118"/>
    <n v="26079145411.343224"/>
    <n v="58264265320.967979"/>
    <n v="84343410732.311203"/>
  </r>
  <r>
    <x v="157"/>
    <n v="17783453046"/>
    <n v="51815794846"/>
    <n v="69599247892"/>
    <n v="12949563556"/>
    <n v="16818777595"/>
    <n v="29768341151"/>
    <n v="30733016602"/>
    <n v="68634572441"/>
    <n v="99367589043"/>
    <n v="110.15137928"/>
    <n v="129.01505570699999"/>
    <n v="1.1712522943453059"/>
    <n v="15183281289.48546"/>
    <n v="44239652802.527435"/>
    <n v="59422934092.012894"/>
    <n v="11056169211.807955"/>
    <n v="14359653915.897924"/>
    <n v="25415823127.705879"/>
    <n v="26239450501.293415"/>
    <n v="58599306718.425362"/>
    <n v="84838757219.718781"/>
  </r>
  <r>
    <x v="158"/>
    <n v="17782944333"/>
    <n v="51891053583"/>
    <n v="69673997916"/>
    <n v="12961471477"/>
    <n v="16808739458"/>
    <n v="29770210935"/>
    <n v="30744415810"/>
    <n v="68699793041"/>
    <n v="99444208851"/>
    <n v="111.448827579"/>
    <n v="129.01505570699999"/>
    <n v="1.1576169844904671"/>
    <n v="15361682293.239056"/>
    <n v="44825753490.339638"/>
    <n v="60187435783.57869"/>
    <n v="11196683921.068314"/>
    <n v="14520121666.492722"/>
    <n v="25716805587.561035"/>
    <n v="26558366214.307369"/>
    <n v="59345875156.832359"/>
    <n v="85904241371.139725"/>
  </r>
  <r>
    <x v="159"/>
    <n v="17842453495"/>
    <n v="52041374004"/>
    <n v="69883827499"/>
    <n v="12997825364"/>
    <n v="16827202730"/>
    <n v="29825028094"/>
    <n v="30840278859"/>
    <n v="68868576734"/>
    <n v="99708855593"/>
    <n v="112.943374746"/>
    <n v="129.01505570699999"/>
    <n v="1.1422985721574535"/>
    <n v="15619780966.110331"/>
    <n v="45558468926.131744"/>
    <n v="61178249892.242073"/>
    <n v="11378658505.587618"/>
    <n v="14731002156.65905"/>
    <n v="26109660662.24667"/>
    <n v="26998439471.697948"/>
    <n v="60289471082.790794"/>
    <n v="87287910554.488739"/>
  </r>
  <r>
    <x v="160"/>
    <n v="17910825825"/>
    <n v="52180158679"/>
    <n v="70090984504"/>
    <n v="13045928802"/>
    <n v="16844779661"/>
    <n v="29890708463"/>
    <n v="30956754627"/>
    <n v="69024938340"/>
    <n v="99981692967"/>
    <n v="113.506710539"/>
    <n v="129.01505570699999"/>
    <n v="1.136629324331194"/>
    <n v="15757842457.160728"/>
    <n v="45907806144.015701"/>
    <n v="61665648601.176422"/>
    <n v="11477733789.488827"/>
    <n v="14819941119.248938"/>
    <n v="26297674908.737766"/>
    <n v="27235576246.649555"/>
    <n v="60727747263.264633"/>
    <n v="87963323509.914185"/>
  </r>
  <r>
    <x v="161"/>
    <n v="17961543330"/>
    <n v="52306407841"/>
    <n v="70267951171"/>
    <n v="13072950160"/>
    <n v="16850285977"/>
    <n v="29923236137"/>
    <n v="31034493490"/>
    <n v="69156693818"/>
    <n v="100191187308"/>
    <n v="114.393654431"/>
    <n v="129.01505570699999"/>
    <n v="1.1278165414745041"/>
    <n v="15925944220.074242"/>
    <n v="46378471956.631134"/>
    <n v="62304416176.705376"/>
    <n v="11591380050.96863"/>
    <n v="14940626739.673445"/>
    <n v="26532006790.642075"/>
    <n v="27517324271.042873"/>
    <n v="61319098696.304581"/>
    <n v="88836422967.347443"/>
  </r>
  <r>
    <x v="162"/>
    <n v="18646277906"/>
    <n v="54315078550"/>
    <n v="72961356456"/>
    <n v="14036908034"/>
    <n v="18065530136"/>
    <n v="32102438170"/>
    <n v="32683185940"/>
    <n v="72380608686"/>
    <n v="105063794626"/>
    <n v="115.767651409"/>
    <n v="129.01505570699999"/>
    <n v="1.1144309669995613"/>
    <n v="16731658091.126375"/>
    <n v="48737948027.624557"/>
    <n v="65469606118.750931"/>
    <n v="12595583261.466858"/>
    <n v="16210542125.044081"/>
    <n v="28806125386.510941"/>
    <n v="29327241352.593231"/>
    <n v="64948490152.66864"/>
    <n v="94275731505.261871"/>
  </r>
  <r>
    <x v="163"/>
    <n v="0"/>
    <n v="0"/>
    <n v="0"/>
    <n v="14778863364"/>
    <n v="18992871736"/>
    <n v="33771735100"/>
    <n v="14778863364"/>
    <n v="18992871736"/>
    <n v="33771735100"/>
    <n v="116.102606374"/>
    <n v="129.01505570699999"/>
    <n v="1.1112158437805026"/>
    <n v="0"/>
    <n v="0"/>
    <n v="0"/>
    <n v="13299723403.619192"/>
    <n v="17091973483.192741"/>
    <n v="30391696886.811935"/>
    <n v="13299723403.619192"/>
    <n v="17091973483.192741"/>
    <n v="30391696886.811935"/>
  </r>
  <r>
    <x v="164"/>
    <n v="0"/>
    <n v="0"/>
    <n v="0"/>
    <n v="14808731490"/>
    <n v="19009957753"/>
    <n v="33818689243"/>
    <n v="14808731490"/>
    <n v="19009957753"/>
    <n v="33818689243"/>
    <n v="118.25573740900001"/>
    <n v="129.01505570699999"/>
    <n v="1.0909834781274734"/>
    <n v="0"/>
    <n v="0"/>
    <n v="0"/>
    <n v="13573744962.130131"/>
    <n v="17424606452.911678"/>
    <n v="30998351415.041809"/>
    <n v="13573744962.130131"/>
    <n v="17424606452.911678"/>
    <n v="30998351415.041809"/>
  </r>
  <r>
    <x v="165"/>
    <n v="0"/>
    <n v="0"/>
    <n v="0"/>
    <n v="14815375370"/>
    <n v="18981692515"/>
    <n v="33797067885"/>
    <n v="14815375370"/>
    <n v="18981692515"/>
    <n v="33797067885"/>
    <n v="119.909282101"/>
    <n v="129.01505570699999"/>
    <n v="1.075938855161606"/>
    <n v="0"/>
    <n v="0"/>
    <n v="0"/>
    <n v="13769718696.30522"/>
    <n v="17641980698.009972"/>
    <n v="31411699394.315189"/>
    <n v="13769718696.30522"/>
    <n v="17641980698.009972"/>
    <n v="31411699394.315189"/>
  </r>
  <r>
    <x v="166"/>
    <n v="0"/>
    <n v="0"/>
    <n v="0"/>
    <n v="14867960341"/>
    <n v="19022253818"/>
    <n v="33890214159"/>
    <n v="14867960341"/>
    <n v="19022253818"/>
    <n v="33890214159"/>
    <n v="121.346820029"/>
    <n v="129.01505570699999"/>
    <n v="1.0631927204698681"/>
    <n v="0"/>
    <n v="0"/>
    <n v="0"/>
    <n v="13984257091.629864"/>
    <n v="17891632863.695015"/>
    <n v="31875889955.324879"/>
    <n v="13984257091.629864"/>
    <n v="17891632863.695015"/>
    <n v="31875889955.324879"/>
  </r>
  <r>
    <x v="167"/>
    <n v="0"/>
    <n v="0"/>
    <n v="0"/>
    <n v="14935618005"/>
    <n v="19123392921"/>
    <n v="34059010926"/>
    <n v="14935618005"/>
    <n v="19123392921"/>
    <n v="34059010926"/>
    <n v="122.478537359"/>
    <n v="129.01505570699999"/>
    <n v="1.0533686839257448"/>
    <n v="0"/>
    <n v="0"/>
    <n v="0"/>
    <n v="14178908328.029295"/>
    <n v="18154510583.825241"/>
    <n v="32333418911.854538"/>
    <n v="14178908328.029295"/>
    <n v="18154510583.825241"/>
    <n v="32333418911.854538"/>
  </r>
  <r>
    <x v="168"/>
    <n v="0"/>
    <n v="0"/>
    <n v="0"/>
    <n v="15706845630"/>
    <n v="20092998521"/>
    <n v="35799844151"/>
    <n v="15706845630"/>
    <n v="20092998521"/>
    <n v="35799844151"/>
    <n v="124.162318965"/>
    <n v="129.01505570699999"/>
    <n v="1.0390838120812476"/>
    <n v="0"/>
    <n v="0"/>
    <n v="0"/>
    <n v="15116052668.109373"/>
    <n v="19337226013.322685"/>
    <n v="34453278681.43206"/>
    <n v="15116052668.109373"/>
    <n v="19337226013.322685"/>
    <n v="34453278681.43206"/>
  </r>
  <r>
    <x v="169"/>
    <n v="0"/>
    <n v="0"/>
    <n v="0"/>
    <n v="15743337681"/>
    <n v="20138797901"/>
    <n v="35882135582"/>
    <n v="15743337681"/>
    <n v="20138797901"/>
    <n v="35882135582"/>
    <n v="125.665828594"/>
    <n v="129.01505570699999"/>
    <n v="1.0266518523808141"/>
    <n v="0"/>
    <n v="0"/>
    <n v="0"/>
    <n v="15334641090.347298"/>
    <n v="19615995290.222252"/>
    <n v="34950636380.56955"/>
    <n v="15334641090.347298"/>
    <n v="19615995290.222252"/>
    <n v="34950636380.56955"/>
  </r>
  <r>
    <x v="170"/>
    <n v="0"/>
    <n v="0"/>
    <n v="0"/>
    <n v="15767795621"/>
    <n v="20148903199"/>
    <n v="35916698820"/>
    <n v="15767795621"/>
    <n v="20148903199"/>
    <n v="35916698820"/>
    <n v="126.752235783"/>
    <n v="129.01505570699999"/>
    <n v="1.0178523077721007"/>
    <n v="0"/>
    <n v="0"/>
    <n v="0"/>
    <n v="15491241215.056953"/>
    <n v="19795507702.981388"/>
    <n v="35286748918.038338"/>
    <n v="15491241215.056953"/>
    <n v="19795507702.981388"/>
    <n v="35286748918.038338"/>
  </r>
  <r>
    <x v="171"/>
    <n v="0"/>
    <n v="0"/>
    <n v="0"/>
    <n v="15780083599"/>
    <n v="20154801071"/>
    <n v="35934884670"/>
    <n v="15780083599"/>
    <n v="20154801071"/>
    <n v="35934884670"/>
    <n v="127.40762281400001"/>
    <n v="129.01505570699999"/>
    <n v="1.0126164577714996"/>
    <n v="0"/>
    <n v="0"/>
    <n v="0"/>
    <n v="15583475340.434208"/>
    <n v="19903687043.913326"/>
    <n v="35487162384.347534"/>
    <n v="15583475340.434208"/>
    <n v="19903687043.913326"/>
    <n v="35487162384.347534"/>
  </r>
  <r>
    <x v="172"/>
    <n v="0"/>
    <n v="0"/>
    <n v="0"/>
    <n v="15794446196"/>
    <n v="20132730649"/>
    <n v="35927176845"/>
    <n v="15794446196"/>
    <n v="20132730649"/>
    <n v="35927176845"/>
    <n v="128.65015935900001"/>
    <n v="129.01505570699999"/>
    <n v="1.0028363458686571"/>
    <n v="0"/>
    <n v="0"/>
    <n v="0"/>
    <n v="15749774388.480951"/>
    <n v="20075788768.466526"/>
    <n v="35825563156.947479"/>
    <n v="15749774388.480951"/>
    <n v="20075788768.466526"/>
    <n v="35825563156.947479"/>
  </r>
  <r>
    <x v="173"/>
    <n v="0"/>
    <n v="0"/>
    <n v="0"/>
    <n v="15816186175"/>
    <n v="20153837159"/>
    <n v="35970023334"/>
    <n v="15816186175"/>
    <n v="20153837159"/>
    <n v="35970023334"/>
    <n v="129.01505570699999"/>
    <n v="129.01505570699999"/>
    <n v="1"/>
    <n v="0"/>
    <n v="0"/>
    <n v="0"/>
    <n v="15816186175"/>
    <n v="20153837159"/>
    <n v="35970023334"/>
    <n v="15816186175"/>
    <n v="20153837159"/>
    <n v="359700233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x v="0"/>
    <n v="101420"/>
    <x v="0"/>
    <n v="290570"/>
    <n v="84278"/>
    <n v="108433"/>
    <n v="192711"/>
    <n v="185698"/>
    <n v="297583"/>
    <n v="483281"/>
  </r>
  <r>
    <x v="1"/>
    <n v="101671"/>
    <x v="1"/>
    <n v="292137"/>
    <n v="84832"/>
    <n v="109472"/>
    <n v="194304"/>
    <n v="186503"/>
    <n v="299938"/>
    <n v="486441"/>
  </r>
  <r>
    <x v="2"/>
    <n v="108164"/>
    <x v="2"/>
    <n v="329546"/>
    <n v="84560"/>
    <n v="108958"/>
    <n v="193518"/>
    <n v="192724"/>
    <n v="330340"/>
    <n v="523064"/>
  </r>
  <r>
    <x v="3"/>
    <n v="110075"/>
    <x v="3"/>
    <n v="340883"/>
    <n v="84437"/>
    <n v="108604"/>
    <n v="193041"/>
    <n v="194512"/>
    <n v="339412"/>
    <n v="533924"/>
  </r>
  <r>
    <x v="4"/>
    <n v="111136"/>
    <x v="4"/>
    <n v="347314"/>
    <n v="84286"/>
    <n v="108404"/>
    <n v="192690"/>
    <n v="195422"/>
    <n v="344582"/>
    <n v="540004"/>
  </r>
  <r>
    <x v="5"/>
    <n v="113630"/>
    <x v="5"/>
    <n v="358445"/>
    <n v="84823"/>
    <n v="109628"/>
    <n v="194451"/>
    <n v="198453"/>
    <n v="354443"/>
    <n v="552896"/>
  </r>
  <r>
    <x v="6"/>
    <n v="114748"/>
    <x v="6"/>
    <n v="364131"/>
    <n v="85291"/>
    <n v="110901"/>
    <n v="196192"/>
    <n v="200039"/>
    <n v="360284"/>
    <n v="560323"/>
  </r>
  <r>
    <x v="7"/>
    <n v="115183"/>
    <x v="7"/>
    <n v="366991"/>
    <n v="85481"/>
    <n v="111775"/>
    <n v="197256"/>
    <n v="200664"/>
    <n v="363583"/>
    <n v="564247"/>
  </r>
  <r>
    <x v="8"/>
    <n v="115759"/>
    <x v="8"/>
    <n v="369833"/>
    <n v="85609"/>
    <n v="112459"/>
    <n v="198068"/>
    <n v="201368"/>
    <n v="366533"/>
    <n v="567901"/>
  </r>
  <r>
    <x v="9"/>
    <n v="116177"/>
    <x v="9"/>
    <n v="371972"/>
    <n v="85787"/>
    <n v="113104"/>
    <n v="198891"/>
    <n v="201964"/>
    <n v="368899"/>
    <n v="570863"/>
  </r>
  <r>
    <x v="10"/>
    <n v="116638"/>
    <x v="10"/>
    <n v="374732"/>
    <n v="86085"/>
    <n v="114003"/>
    <n v="200088"/>
    <n v="202723"/>
    <n v="372097"/>
    <n v="574820"/>
  </r>
  <r>
    <x v="11"/>
    <n v="116982"/>
    <x v="11"/>
    <n v="377068"/>
    <n v="86441"/>
    <n v="114983"/>
    <n v="201424"/>
    <n v="203423"/>
    <n v="375069"/>
    <n v="578492"/>
  </r>
  <r>
    <x v="12"/>
    <n v="117124"/>
    <x v="12"/>
    <n v="378458"/>
    <n v="86710"/>
    <n v="116028"/>
    <n v="202738"/>
    <n v="203834"/>
    <n v="377362"/>
    <n v="581196"/>
  </r>
  <r>
    <x v="13"/>
    <n v="117348"/>
    <x v="13"/>
    <n v="379265"/>
    <n v="87229"/>
    <n v="117514"/>
    <n v="204743"/>
    <n v="204577"/>
    <n v="379431"/>
    <n v="584008"/>
  </r>
  <r>
    <x v="14"/>
    <n v="117430"/>
    <x v="14"/>
    <n v="384674"/>
    <n v="87678"/>
    <n v="118761"/>
    <n v="206439"/>
    <n v="205108"/>
    <n v="386005"/>
    <n v="591113"/>
  </r>
  <r>
    <x v="15"/>
    <n v="118419"/>
    <x v="15"/>
    <n v="391967"/>
    <n v="88090"/>
    <n v="120250"/>
    <n v="208340"/>
    <n v="206509"/>
    <n v="393798"/>
    <n v="600307"/>
  </r>
  <r>
    <x v="16"/>
    <n v="118547"/>
    <x v="16"/>
    <n v="393607"/>
    <n v="88421"/>
    <n v="121468"/>
    <n v="209889"/>
    <n v="206968"/>
    <n v="396528"/>
    <n v="603496"/>
  </r>
  <r>
    <x v="17"/>
    <n v="119964"/>
    <x v="17"/>
    <n v="398828"/>
    <n v="88990"/>
    <n v="123215"/>
    <n v="212205"/>
    <n v="208954"/>
    <n v="402079"/>
    <n v="611033"/>
  </r>
  <r>
    <x v="18"/>
    <n v="120328"/>
    <x v="18"/>
    <n v="401503"/>
    <n v="89382"/>
    <n v="124307"/>
    <n v="213689"/>
    <n v="209710"/>
    <n v="405482"/>
    <n v="615192"/>
  </r>
  <r>
    <x v="19"/>
    <n v="119616"/>
    <x v="19"/>
    <n v="399656"/>
    <n v="89028"/>
    <n v="123693"/>
    <n v="212721"/>
    <n v="208644"/>
    <n v="403733"/>
    <n v="612377"/>
  </r>
  <r>
    <x v="20"/>
    <n v="120019"/>
    <x v="20"/>
    <n v="402294"/>
    <n v="89480"/>
    <n v="124927"/>
    <n v="214407"/>
    <n v="209499"/>
    <n v="407202"/>
    <n v="616701"/>
  </r>
  <r>
    <x v="21"/>
    <n v="120234"/>
    <x v="21"/>
    <n v="403577"/>
    <n v="89554"/>
    <n v="125111"/>
    <n v="214665"/>
    <n v="209788"/>
    <n v="408454"/>
    <n v="618242"/>
  </r>
  <r>
    <x v="22"/>
    <n v="120295"/>
    <x v="22"/>
    <n v="404226"/>
    <n v="89604"/>
    <n v="125246"/>
    <n v="214850"/>
    <n v="209899"/>
    <n v="409177"/>
    <n v="619076"/>
  </r>
  <r>
    <x v="23"/>
    <n v="120331"/>
    <x v="23"/>
    <n v="405141"/>
    <n v="89759"/>
    <n v="125671"/>
    <n v="215430"/>
    <n v="210090"/>
    <n v="410481"/>
    <n v="620571"/>
  </r>
  <r>
    <x v="24"/>
    <n v="120293"/>
    <x v="24"/>
    <n v="405859"/>
    <n v="89862"/>
    <n v="125791"/>
    <n v="215653"/>
    <n v="210155"/>
    <n v="411357"/>
    <n v="621512"/>
  </r>
  <r>
    <x v="25"/>
    <n v="120325"/>
    <x v="25"/>
    <n v="407004"/>
    <n v="89942"/>
    <n v="126047"/>
    <n v="215989"/>
    <n v="210267"/>
    <n v="412726"/>
    <n v="622993"/>
  </r>
  <r>
    <x v="26"/>
    <n v="119687"/>
    <x v="26"/>
    <n v="405711"/>
    <n v="90028"/>
    <n v="126265"/>
    <n v="216293"/>
    <n v="209715"/>
    <n v="412289"/>
    <n v="622004"/>
  </r>
  <r>
    <x v="27"/>
    <n v="119515"/>
    <x v="27"/>
    <n v="405916"/>
    <n v="90089"/>
    <n v="126450"/>
    <n v="216539"/>
    <n v="209604"/>
    <n v="412851"/>
    <n v="622455"/>
  </r>
  <r>
    <x v="28"/>
    <n v="119528"/>
    <x v="28"/>
    <n v="406466"/>
    <n v="90074"/>
    <n v="126434"/>
    <n v="216508"/>
    <n v="209602"/>
    <n v="413372"/>
    <n v="622974"/>
  </r>
  <r>
    <x v="29"/>
    <n v="119464"/>
    <x v="29"/>
    <n v="407118"/>
    <n v="89975"/>
    <n v="126415"/>
    <n v="216390"/>
    <n v="209439"/>
    <n v="414069"/>
    <n v="623508"/>
  </r>
  <r>
    <x v="30"/>
    <n v="119753"/>
    <x v="30"/>
    <n v="408161"/>
    <n v="89864"/>
    <n v="126319"/>
    <n v="216183"/>
    <n v="209617"/>
    <n v="414727"/>
    <n v="624344"/>
  </r>
  <r>
    <x v="31"/>
    <n v="119558"/>
    <x v="31"/>
    <n v="407627"/>
    <n v="89724"/>
    <n v="126149"/>
    <n v="215873"/>
    <n v="209282"/>
    <n v="414218"/>
    <n v="623500"/>
  </r>
  <r>
    <x v="32"/>
    <n v="119590"/>
    <x v="32"/>
    <n v="408158"/>
    <n v="89738"/>
    <n v="126230"/>
    <n v="215968"/>
    <n v="209328"/>
    <n v="414798"/>
    <n v="624126"/>
  </r>
  <r>
    <x v="33"/>
    <n v="118210"/>
    <x v="33"/>
    <n v="403355"/>
    <n v="89436"/>
    <n v="126017"/>
    <n v="215453"/>
    <n v="207646"/>
    <n v="411162"/>
    <n v="618808"/>
  </r>
  <r>
    <x v="34"/>
    <n v="119022"/>
    <x v="34"/>
    <n v="406131"/>
    <n v="89387"/>
    <n v="125967"/>
    <n v="215354"/>
    <n v="208409"/>
    <n v="413076"/>
    <n v="621485"/>
  </r>
  <r>
    <x v="35"/>
    <n v="119061"/>
    <x v="35"/>
    <n v="406612"/>
    <n v="89400"/>
    <n v="126043"/>
    <n v="215443"/>
    <n v="208461"/>
    <n v="413594"/>
    <n v="622055"/>
  </r>
  <r>
    <x v="36"/>
    <n v="118793"/>
    <x v="36"/>
    <n v="405603"/>
    <n v="88825"/>
    <n v="125405"/>
    <n v="214230"/>
    <n v="207618"/>
    <n v="412215"/>
    <n v="619833"/>
  </r>
  <r>
    <x v="37"/>
    <n v="118828"/>
    <x v="37"/>
    <n v="405997"/>
    <n v="89066"/>
    <n v="125477"/>
    <n v="214543"/>
    <n v="207894"/>
    <n v="412646"/>
    <n v="620540"/>
  </r>
  <r>
    <x v="38"/>
    <n v="118398"/>
    <x v="38"/>
    <n v="405744"/>
    <n v="89260"/>
    <n v="125589"/>
    <n v="214849"/>
    <n v="207658"/>
    <n v="412935"/>
    <n v="620593"/>
  </r>
  <r>
    <x v="39"/>
    <n v="117820"/>
    <x v="39"/>
    <n v="403625"/>
    <n v="89136"/>
    <n v="125210"/>
    <n v="214346"/>
    <n v="206956"/>
    <n v="411015"/>
    <n v="617971"/>
  </r>
  <r>
    <x v="40"/>
    <n v="117123"/>
    <x v="40"/>
    <n v="401693"/>
    <n v="88970"/>
    <n v="124897"/>
    <n v="213867"/>
    <n v="206093"/>
    <n v="409467"/>
    <n v="615560"/>
  </r>
  <r>
    <x v="41"/>
    <n v="117871"/>
    <x v="41"/>
    <n v="405116"/>
    <n v="89009"/>
    <n v="124792"/>
    <n v="213801"/>
    <n v="206880"/>
    <n v="412037"/>
    <n v="618917"/>
  </r>
  <r>
    <x v="42"/>
    <n v="117685"/>
    <x v="42"/>
    <n v="405147"/>
    <n v="88526"/>
    <n v="123692"/>
    <n v="212218"/>
    <n v="206211"/>
    <n v="411154"/>
    <n v="617365"/>
  </r>
  <r>
    <x v="43"/>
    <n v="117647"/>
    <x v="43"/>
    <n v="405788"/>
    <n v="88158"/>
    <n v="123321"/>
    <n v="211479"/>
    <n v="205805"/>
    <n v="411462"/>
    <n v="617267"/>
  </r>
  <r>
    <x v="44"/>
    <n v="117683"/>
    <x v="44"/>
    <n v="405724"/>
    <n v="88567"/>
    <n v="123408"/>
    <n v="211975"/>
    <n v="206250"/>
    <n v="411449"/>
    <n v="617699"/>
  </r>
  <r>
    <x v="45"/>
    <n v="117158"/>
    <x v="45"/>
    <n v="405278"/>
    <n v="88182"/>
    <n v="122653"/>
    <n v="210835"/>
    <n v="205340"/>
    <n v="410773"/>
    <n v="616113"/>
  </r>
  <r>
    <x v="46"/>
    <n v="117009"/>
    <x v="46"/>
    <n v="405077"/>
    <n v="88223"/>
    <n v="122948"/>
    <n v="211171"/>
    <n v="205232"/>
    <n v="411016"/>
    <n v="616248"/>
  </r>
  <r>
    <x v="47"/>
    <n v="117073"/>
    <x v="47"/>
    <n v="405447"/>
    <n v="88439"/>
    <n v="123076"/>
    <n v="211515"/>
    <n v="205512"/>
    <n v="411450"/>
    <n v="616962"/>
  </r>
  <r>
    <x v="48"/>
    <n v="117059"/>
    <x v="48"/>
    <n v="405988"/>
    <n v="88350"/>
    <n v="122827"/>
    <n v="211177"/>
    <n v="205409"/>
    <n v="411756"/>
    <n v="617165"/>
  </r>
  <r>
    <x v="49"/>
    <n v="116045"/>
    <x v="49"/>
    <n v="403875"/>
    <n v="81780"/>
    <n v="116667"/>
    <n v="198447"/>
    <n v="197825"/>
    <n v="404497"/>
    <n v="602322"/>
  </r>
  <r>
    <x v="50"/>
    <n v="115611"/>
    <x v="50"/>
    <n v="403144"/>
    <n v="81736"/>
    <n v="116640"/>
    <n v="198376"/>
    <n v="197347"/>
    <n v="404173"/>
    <n v="601520"/>
  </r>
  <r>
    <x v="51"/>
    <n v="115666"/>
    <x v="51"/>
    <n v="403812"/>
    <n v="81467"/>
    <n v="115891"/>
    <n v="197358"/>
    <n v="197133"/>
    <n v="404037"/>
    <n v="601170"/>
  </r>
  <r>
    <x v="52"/>
    <n v="115528"/>
    <x v="52"/>
    <n v="403590"/>
    <n v="81174"/>
    <n v="115087"/>
    <n v="196261"/>
    <n v="196702"/>
    <n v="403149"/>
    <n v="599851"/>
  </r>
  <r>
    <x v="53"/>
    <n v="116042"/>
    <x v="53"/>
    <n v="406123"/>
    <n v="80753"/>
    <n v="114101"/>
    <n v="194854"/>
    <n v="196795"/>
    <n v="404182"/>
    <n v="600977"/>
  </r>
  <r>
    <x v="54"/>
    <n v="116175"/>
    <x v="54"/>
    <n v="407292"/>
    <n v="80974"/>
    <n v="114577"/>
    <n v="195551"/>
    <n v="197149"/>
    <n v="405694"/>
    <n v="602843"/>
  </r>
  <r>
    <x v="55"/>
    <n v="116163"/>
    <x v="55"/>
    <n v="407384"/>
    <n v="81066"/>
    <n v="114575"/>
    <n v="195641"/>
    <n v="197229"/>
    <n v="405796"/>
    <n v="603025"/>
  </r>
  <r>
    <x v="56"/>
    <n v="116050"/>
    <x v="56"/>
    <n v="407033"/>
    <n v="81057"/>
    <n v="114606"/>
    <n v="195663"/>
    <n v="197107"/>
    <n v="405589"/>
    <n v="602696"/>
  </r>
  <r>
    <x v="57"/>
    <n v="116061"/>
    <x v="57"/>
    <n v="407163"/>
    <n v="81062"/>
    <n v="114367"/>
    <n v="195429"/>
    <n v="197123"/>
    <n v="405469"/>
    <n v="602592"/>
  </r>
  <r>
    <x v="58"/>
    <n v="115158"/>
    <x v="58"/>
    <n v="403102"/>
    <n v="80923"/>
    <n v="113862"/>
    <n v="194785"/>
    <n v="196081"/>
    <n v="401806"/>
    <n v="597887"/>
  </r>
  <r>
    <x v="59"/>
    <n v="114755"/>
    <x v="59"/>
    <n v="402501"/>
    <n v="80780"/>
    <n v="113747"/>
    <n v="194527"/>
    <n v="195535"/>
    <n v="401493"/>
    <n v="597028"/>
  </r>
  <r>
    <x v="60"/>
    <n v="113823"/>
    <x v="60"/>
    <n v="400723"/>
    <n v="80448"/>
    <n v="113259"/>
    <n v="193707"/>
    <n v="194271"/>
    <n v="400159"/>
    <n v="594430"/>
  </r>
  <r>
    <x v="61"/>
    <n v="112889"/>
    <x v="61"/>
    <n v="399188"/>
    <n v="79869"/>
    <n v="112410"/>
    <n v="192279"/>
    <n v="192758"/>
    <n v="398709"/>
    <n v="591467"/>
  </r>
  <r>
    <x v="62"/>
    <n v="112931"/>
    <x v="62"/>
    <n v="400350"/>
    <n v="78807"/>
    <n v="110949"/>
    <n v="189756"/>
    <n v="191738"/>
    <n v="398368"/>
    <n v="590106"/>
  </r>
  <r>
    <x v="63"/>
    <n v="112713"/>
    <x v="63"/>
    <n v="400134"/>
    <n v="77668"/>
    <n v="110059"/>
    <n v="187727"/>
    <n v="190381"/>
    <n v="397480"/>
    <n v="587861"/>
  </r>
  <r>
    <x v="64"/>
    <n v="112717"/>
    <x v="64"/>
    <n v="400749"/>
    <n v="77463"/>
    <n v="109706"/>
    <n v="187169"/>
    <n v="190180"/>
    <n v="397738"/>
    <n v="587918"/>
  </r>
  <r>
    <x v="65"/>
    <n v="112309"/>
    <x v="65"/>
    <n v="400768"/>
    <n v="77638"/>
    <n v="109144"/>
    <n v="186782"/>
    <n v="189947"/>
    <n v="397603"/>
    <n v="587550"/>
  </r>
  <r>
    <x v="66"/>
    <n v="111320"/>
    <x v="66"/>
    <n v="398815"/>
    <n v="77061"/>
    <n v="108852"/>
    <n v="185913"/>
    <n v="188381"/>
    <n v="396347"/>
    <n v="584728"/>
  </r>
  <r>
    <x v="67"/>
    <n v="111117"/>
    <x v="67"/>
    <n v="397052"/>
    <n v="75818"/>
    <n v="107883"/>
    <n v="183701"/>
    <n v="186935"/>
    <n v="393818"/>
    <n v="580753"/>
  </r>
  <r>
    <x v="68"/>
    <n v="111073"/>
    <x v="68"/>
    <n v="397518"/>
    <n v="75876"/>
    <n v="107894"/>
    <n v="183770"/>
    <n v="186949"/>
    <n v="394339"/>
    <n v="581288"/>
  </r>
  <r>
    <x v="69"/>
    <n v="111174"/>
    <x v="69"/>
    <n v="398547"/>
    <n v="75651"/>
    <n v="107871"/>
    <n v="183522"/>
    <n v="186825"/>
    <n v="395244"/>
    <n v="582069"/>
  </r>
  <r>
    <x v="70"/>
    <n v="111202"/>
    <x v="70"/>
    <n v="398953"/>
    <n v="75719"/>
    <n v="107839"/>
    <n v="183558"/>
    <n v="186921"/>
    <n v="395590"/>
    <n v="582511"/>
  </r>
  <r>
    <x v="71"/>
    <n v="111355"/>
    <x v="71"/>
    <n v="400312"/>
    <n v="75992"/>
    <n v="107906"/>
    <n v="183898"/>
    <n v="187347"/>
    <n v="396863"/>
    <n v="584210"/>
  </r>
  <r>
    <x v="72"/>
    <n v="111373"/>
    <x v="72"/>
    <n v="400926"/>
    <n v="74825"/>
    <n v="107060"/>
    <n v="181885"/>
    <n v="186198"/>
    <n v="396613"/>
    <n v="582811"/>
  </r>
  <r>
    <x v="73"/>
    <n v="111178"/>
    <x v="73"/>
    <n v="400933"/>
    <n v="74941"/>
    <n v="106935"/>
    <n v="181876"/>
    <n v="186119"/>
    <n v="396690"/>
    <n v="582809"/>
  </r>
  <r>
    <x v="74"/>
    <n v="110940"/>
    <x v="74"/>
    <n v="400274"/>
    <n v="75437"/>
    <n v="106925"/>
    <n v="182362"/>
    <n v="186377"/>
    <n v="396259"/>
    <n v="582636"/>
  </r>
  <r>
    <x v="75"/>
    <n v="110909"/>
    <x v="75"/>
    <n v="400436"/>
    <n v="74919"/>
    <n v="106689"/>
    <n v="181608"/>
    <n v="185828"/>
    <n v="396216"/>
    <n v="582044"/>
  </r>
  <r>
    <x v="76"/>
    <n v="110935"/>
    <x v="76"/>
    <n v="400577"/>
    <n v="74860"/>
    <n v="106361"/>
    <n v="181221"/>
    <n v="185795"/>
    <n v="396003"/>
    <n v="581798"/>
  </r>
  <r>
    <x v="77"/>
    <n v="111058"/>
    <x v="77"/>
    <n v="401656"/>
    <n v="75235"/>
    <n v="106311"/>
    <n v="181546"/>
    <n v="186293"/>
    <n v="396909"/>
    <n v="583202"/>
  </r>
  <r>
    <x v="78"/>
    <n v="110424"/>
    <x v="78"/>
    <n v="398501"/>
    <n v="74385"/>
    <n v="105707"/>
    <n v="180092"/>
    <n v="184809"/>
    <n v="393784"/>
    <n v="578593"/>
  </r>
  <r>
    <x v="79"/>
    <n v="110423"/>
    <x v="79"/>
    <n v="398712"/>
    <n v="74432"/>
    <n v="105538"/>
    <n v="179970"/>
    <n v="184855"/>
    <n v="393827"/>
    <n v="578682"/>
  </r>
  <r>
    <x v="80"/>
    <n v="110370"/>
    <x v="32"/>
    <n v="398938"/>
    <n v="74896"/>
    <n v="105402"/>
    <n v="180298"/>
    <n v="185266"/>
    <n v="393970"/>
    <n v="579236"/>
  </r>
  <r>
    <x v="81"/>
    <n v="110349"/>
    <x v="80"/>
    <n v="399217"/>
    <n v="74817"/>
    <n v="105285"/>
    <n v="180102"/>
    <n v="185166"/>
    <n v="394153"/>
    <n v="579319"/>
  </r>
  <r>
    <x v="82"/>
    <n v="110347"/>
    <x v="81"/>
    <n v="399583"/>
    <n v="74786"/>
    <n v="105163"/>
    <n v="179949"/>
    <n v="185133"/>
    <n v="394399"/>
    <n v="579532"/>
  </r>
  <r>
    <x v="83"/>
    <n v="110287"/>
    <x v="82"/>
    <n v="399338"/>
    <n v="74517"/>
    <n v="104884"/>
    <n v="179401"/>
    <n v="184804"/>
    <n v="393935"/>
    <n v="578739"/>
  </r>
  <r>
    <x v="84"/>
    <n v="110438"/>
    <x v="83"/>
    <n v="399884"/>
    <n v="74672"/>
    <n v="105035"/>
    <n v="179707"/>
    <n v="185110"/>
    <n v="394481"/>
    <n v="579591"/>
  </r>
  <r>
    <x v="85"/>
    <n v="110169"/>
    <x v="84"/>
    <n v="399355"/>
    <n v="74524"/>
    <n v="104933"/>
    <n v="179457"/>
    <n v="184693"/>
    <n v="394119"/>
    <n v="578812"/>
  </r>
  <r>
    <x v="86"/>
    <n v="109983"/>
    <x v="85"/>
    <n v="399289"/>
    <n v="74536"/>
    <n v="104826"/>
    <n v="179362"/>
    <n v="184519"/>
    <n v="394132"/>
    <n v="578651"/>
  </r>
  <r>
    <x v="87"/>
    <n v="109773"/>
    <x v="86"/>
    <n v="399179"/>
    <n v="74656"/>
    <n v="104834"/>
    <n v="179490"/>
    <n v="184429"/>
    <n v="394240"/>
    <n v="578669"/>
  </r>
  <r>
    <x v="88"/>
    <n v="109685"/>
    <x v="87"/>
    <n v="399281"/>
    <n v="74747"/>
    <n v="104776"/>
    <n v="179523"/>
    <n v="184432"/>
    <n v="394372"/>
    <n v="578804"/>
  </r>
  <r>
    <x v="89"/>
    <n v="109696"/>
    <x v="88"/>
    <n v="399514"/>
    <n v="74896"/>
    <n v="104882"/>
    <n v="179778"/>
    <n v="184592"/>
    <n v="394700"/>
    <n v="579292"/>
  </r>
  <r>
    <x v="90"/>
    <n v="109526"/>
    <x v="89"/>
    <n v="399298"/>
    <n v="74980"/>
    <n v="104970"/>
    <n v="179950"/>
    <n v="184506"/>
    <n v="394742"/>
    <n v="579248"/>
  </r>
  <r>
    <x v="91"/>
    <n v="109494"/>
    <x v="90"/>
    <n v="399535"/>
    <n v="75133"/>
    <n v="105124"/>
    <n v="180257"/>
    <n v="184627"/>
    <n v="395165"/>
    <n v="579792"/>
  </r>
  <r>
    <x v="92"/>
    <n v="109195"/>
    <x v="91"/>
    <n v="398717"/>
    <n v="74986"/>
    <n v="105070"/>
    <n v="180056"/>
    <n v="184181"/>
    <n v="394592"/>
    <n v="578773"/>
  </r>
  <r>
    <x v="93"/>
    <n v="109202"/>
    <x v="92"/>
    <n v="399208"/>
    <n v="75254"/>
    <n v="105346"/>
    <n v="180600"/>
    <n v="184456"/>
    <n v="395352"/>
    <n v="579808"/>
  </r>
  <r>
    <x v="94"/>
    <n v="109075"/>
    <x v="93"/>
    <n v="399462"/>
    <n v="75437"/>
    <n v="105384"/>
    <n v="180821"/>
    <n v="184512"/>
    <n v="395771"/>
    <n v="580283"/>
  </r>
  <r>
    <x v="95"/>
    <n v="109011"/>
    <x v="94"/>
    <n v="399721"/>
    <n v="75584"/>
    <n v="105613"/>
    <n v="181197"/>
    <n v="184595"/>
    <n v="396323"/>
    <n v="580918"/>
  </r>
  <r>
    <x v="96"/>
    <n v="108892"/>
    <x v="95"/>
    <n v="399646"/>
    <n v="75723"/>
    <n v="105761"/>
    <n v="181484"/>
    <n v="184615"/>
    <n v="396515"/>
    <n v="581130"/>
  </r>
  <r>
    <x v="97"/>
    <n v="108727"/>
    <x v="96"/>
    <n v="399449"/>
    <n v="75743"/>
    <n v="105741"/>
    <n v="181484"/>
    <n v="184470"/>
    <n v="396463"/>
    <n v="580933"/>
  </r>
  <r>
    <x v="98"/>
    <n v="108480"/>
    <x v="97"/>
    <n v="399070"/>
    <n v="75770"/>
    <n v="105661"/>
    <n v="181431"/>
    <n v="184250"/>
    <n v="396251"/>
    <n v="580501"/>
  </r>
  <r>
    <x v="99"/>
    <n v="108234"/>
    <x v="98"/>
    <n v="398626"/>
    <n v="75906"/>
    <n v="105680"/>
    <n v="181586"/>
    <n v="184140"/>
    <n v="396072"/>
    <n v="580212"/>
  </r>
  <r>
    <x v="100"/>
    <n v="108240"/>
    <x v="99"/>
    <n v="399214"/>
    <n v="76030"/>
    <n v="105692"/>
    <n v="181722"/>
    <n v="184270"/>
    <n v="396666"/>
    <n v="580936"/>
  </r>
  <r>
    <x v="101"/>
    <n v="108045"/>
    <x v="100"/>
    <n v="398651"/>
    <n v="75845"/>
    <n v="105476"/>
    <n v="181321"/>
    <n v="183890"/>
    <n v="396082"/>
    <n v="579972"/>
  </r>
  <r>
    <x v="102"/>
    <n v="108041"/>
    <x v="101"/>
    <n v="399136"/>
    <n v="75921"/>
    <n v="105535"/>
    <n v="181456"/>
    <n v="183962"/>
    <n v="396630"/>
    <n v="580592"/>
  </r>
  <r>
    <x v="103"/>
    <n v="108057"/>
    <x v="102"/>
    <n v="399559"/>
    <n v="75979"/>
    <n v="105511"/>
    <n v="181490"/>
    <n v="184036"/>
    <n v="397013"/>
    <n v="581049"/>
  </r>
  <r>
    <x v="104"/>
    <n v="107931"/>
    <x v="103"/>
    <n v="399302"/>
    <n v="76113"/>
    <n v="105627"/>
    <n v="181740"/>
    <n v="184044"/>
    <n v="396998"/>
    <n v="581042"/>
  </r>
  <r>
    <x v="105"/>
    <n v="108038"/>
    <x v="104"/>
    <n v="399802"/>
    <n v="76247"/>
    <n v="105610"/>
    <n v="181857"/>
    <n v="184285"/>
    <n v="397374"/>
    <n v="581659"/>
  </r>
  <r>
    <x v="106"/>
    <n v="108173"/>
    <x v="105"/>
    <n v="400546"/>
    <n v="76469"/>
    <n v="105793"/>
    <n v="182262"/>
    <n v="184642"/>
    <n v="398166"/>
    <n v="582808"/>
  </r>
  <r>
    <x v="107"/>
    <n v="107911"/>
    <x v="106"/>
    <n v="399677"/>
    <n v="76366"/>
    <n v="105559"/>
    <n v="181925"/>
    <n v="184277"/>
    <n v="397325"/>
    <n v="581602"/>
  </r>
  <r>
    <x v="108"/>
    <n v="107824"/>
    <x v="107"/>
    <n v="399610"/>
    <n v="76509"/>
    <n v="105652"/>
    <n v="182161"/>
    <n v="184333"/>
    <n v="397438"/>
    <n v="581771"/>
  </r>
  <r>
    <x v="109"/>
    <n v="107568"/>
    <x v="108"/>
    <n v="399317"/>
    <n v="76579"/>
    <n v="105661"/>
    <n v="182240"/>
    <n v="184147"/>
    <n v="397410"/>
    <n v="581557"/>
  </r>
  <r>
    <x v="110"/>
    <n v="107329"/>
    <x v="108"/>
    <n v="399078"/>
    <n v="76689"/>
    <n v="105608"/>
    <n v="182297"/>
    <n v="184018"/>
    <n v="397357"/>
    <n v="581375"/>
  </r>
  <r>
    <x v="111"/>
    <n v="107184"/>
    <x v="109"/>
    <n v="398759"/>
    <n v="76751"/>
    <n v="105489"/>
    <n v="182240"/>
    <n v="183935"/>
    <n v="397064"/>
    <n v="580999"/>
  </r>
  <r>
    <x v="112"/>
    <n v="107149"/>
    <x v="110"/>
    <n v="399090"/>
    <n v="76753"/>
    <n v="105467"/>
    <n v="182220"/>
    <n v="183902"/>
    <n v="397408"/>
    <n v="581310"/>
  </r>
  <r>
    <x v="113"/>
    <n v="107133"/>
    <x v="111"/>
    <n v="399510"/>
    <n v="76834"/>
    <n v="105470"/>
    <n v="182304"/>
    <n v="183967"/>
    <n v="397847"/>
    <n v="581814"/>
  </r>
  <r>
    <x v="114"/>
    <n v="107127"/>
    <x v="112"/>
    <n v="399710"/>
    <n v="76961"/>
    <n v="105437"/>
    <n v="182398"/>
    <n v="184088"/>
    <n v="398020"/>
    <n v="582108"/>
  </r>
  <r>
    <x v="115"/>
    <n v="107132"/>
    <x v="113"/>
    <n v="400174"/>
    <n v="77084"/>
    <n v="105456"/>
    <n v="182540"/>
    <n v="184216"/>
    <n v="398498"/>
    <n v="582714"/>
  </r>
  <r>
    <x v="116"/>
    <n v="107103"/>
    <x v="114"/>
    <n v="400670"/>
    <n v="77234"/>
    <n v="105616"/>
    <n v="182850"/>
    <n v="184337"/>
    <n v="399183"/>
    <n v="583520"/>
  </r>
  <r>
    <x v="117"/>
    <n v="107208"/>
    <x v="115"/>
    <n v="401455"/>
    <n v="77305"/>
    <n v="105655"/>
    <n v="182960"/>
    <n v="184513"/>
    <n v="399902"/>
    <n v="584415"/>
  </r>
  <r>
    <x v="118"/>
    <n v="107281"/>
    <x v="116"/>
    <n v="402013"/>
    <n v="77366"/>
    <n v="105715"/>
    <n v="183081"/>
    <n v="184647"/>
    <n v="400447"/>
    <n v="585094"/>
  </r>
  <r>
    <x v="119"/>
    <n v="107282"/>
    <x v="117"/>
    <n v="402451"/>
    <n v="77464"/>
    <n v="105807"/>
    <n v="183271"/>
    <n v="184746"/>
    <n v="400976"/>
    <n v="585722"/>
  </r>
  <r>
    <x v="120"/>
    <n v="107234"/>
    <x v="118"/>
    <n v="402868"/>
    <n v="77547"/>
    <n v="105788"/>
    <n v="183335"/>
    <n v="184781"/>
    <n v="401422"/>
    <n v="586203"/>
  </r>
  <r>
    <x v="121"/>
    <n v="107093"/>
    <x v="119"/>
    <n v="403017"/>
    <n v="77605"/>
    <n v="105679"/>
    <n v="183284"/>
    <n v="184698"/>
    <n v="401603"/>
    <n v="586301"/>
  </r>
  <r>
    <x v="122"/>
    <n v="106961"/>
    <x v="120"/>
    <n v="403054"/>
    <n v="77584"/>
    <n v="105529"/>
    <n v="183113"/>
    <n v="184545"/>
    <n v="401622"/>
    <n v="586167"/>
  </r>
  <r>
    <x v="123"/>
    <n v="106848"/>
    <x v="121"/>
    <n v="403364"/>
    <n v="77638"/>
    <n v="105419"/>
    <n v="183057"/>
    <n v="184486"/>
    <n v="401935"/>
    <n v="586421"/>
  </r>
  <r>
    <x v="124"/>
    <n v="106809"/>
    <x v="122"/>
    <n v="403867"/>
    <n v="77607"/>
    <n v="105310"/>
    <n v="182917"/>
    <n v="184416"/>
    <n v="402368"/>
    <n v="586784"/>
  </r>
  <r>
    <x v="125"/>
    <n v="106851"/>
    <x v="123"/>
    <n v="404348"/>
    <n v="77609"/>
    <n v="105302"/>
    <n v="182911"/>
    <n v="184460"/>
    <n v="402799"/>
    <n v="587259"/>
  </r>
  <r>
    <x v="126"/>
    <n v="106872"/>
    <x v="124"/>
    <n v="404952"/>
    <n v="77670"/>
    <n v="105208"/>
    <n v="182878"/>
    <n v="184542"/>
    <n v="403288"/>
    <n v="587830"/>
  </r>
  <r>
    <x v="127"/>
    <n v="106895"/>
    <x v="125"/>
    <n v="405530"/>
    <n v="77752"/>
    <n v="105188"/>
    <n v="182940"/>
    <n v="184647"/>
    <n v="403823"/>
    <n v="588470"/>
  </r>
  <r>
    <x v="128"/>
    <n v="106958"/>
    <x v="126"/>
    <n v="406038"/>
    <n v="77866"/>
    <n v="105239"/>
    <n v="183105"/>
    <n v="184824"/>
    <n v="404319"/>
    <n v="589143"/>
  </r>
  <r>
    <x v="129"/>
    <n v="106957"/>
    <x v="127"/>
    <n v="406470"/>
    <n v="77900"/>
    <n v="105215"/>
    <n v="183115"/>
    <n v="184857"/>
    <n v="404728"/>
    <n v="589585"/>
  </r>
  <r>
    <x v="130"/>
    <n v="107023"/>
    <x v="128"/>
    <n v="406993"/>
    <n v="77981"/>
    <n v="105207"/>
    <n v="183188"/>
    <n v="185004"/>
    <n v="405177"/>
    <n v="590181"/>
  </r>
  <r>
    <x v="131"/>
    <n v="106910"/>
    <x v="129"/>
    <n v="406862"/>
    <n v="78001"/>
    <n v="105150"/>
    <n v="183151"/>
    <n v="184911"/>
    <n v="405102"/>
    <n v="590013"/>
  </r>
  <r>
    <x v="132"/>
    <n v="106888"/>
    <x v="130"/>
    <n v="407080"/>
    <n v="78024"/>
    <n v="105129"/>
    <n v="183153"/>
    <n v="184912"/>
    <n v="405321"/>
    <n v="590233"/>
  </r>
  <r>
    <x v="133"/>
    <n v="106680"/>
    <x v="131"/>
    <n v="406828"/>
    <n v="77895"/>
    <n v="104843"/>
    <n v="182738"/>
    <n v="184575"/>
    <n v="404991"/>
    <n v="589566"/>
  </r>
  <r>
    <x v="134"/>
    <n v="106524"/>
    <x v="132"/>
    <n v="406809"/>
    <n v="77795"/>
    <n v="104591"/>
    <n v="182386"/>
    <n v="184319"/>
    <n v="404876"/>
    <n v="589195"/>
  </r>
  <r>
    <x v="135"/>
    <n v="106310"/>
    <x v="133"/>
    <n v="406611"/>
    <n v="77796"/>
    <n v="104481"/>
    <n v="182277"/>
    <n v="184106"/>
    <n v="404782"/>
    <n v="588888"/>
  </r>
  <r>
    <x v="136"/>
    <n v="106300"/>
    <x v="134"/>
    <n v="407082"/>
    <n v="77764"/>
    <n v="104343"/>
    <n v="182107"/>
    <n v="184064"/>
    <n v="405125"/>
    <n v="589189"/>
  </r>
  <r>
    <x v="137"/>
    <n v="106146"/>
    <x v="135"/>
    <n v="407066"/>
    <n v="77761"/>
    <n v="104196"/>
    <n v="181957"/>
    <n v="183907"/>
    <n v="405116"/>
    <n v="589023"/>
  </r>
  <r>
    <x v="138"/>
    <n v="106262"/>
    <x v="136"/>
    <n v="407818"/>
    <n v="77856"/>
    <n v="104225"/>
    <n v="182081"/>
    <n v="184118"/>
    <n v="405781"/>
    <n v="589899"/>
  </r>
  <r>
    <x v="139"/>
    <n v="106478"/>
    <x v="137"/>
    <n v="409007"/>
    <n v="77902"/>
    <n v="104288"/>
    <n v="182190"/>
    <n v="184380"/>
    <n v="406817"/>
    <n v="591197"/>
  </r>
  <r>
    <x v="140"/>
    <n v="106463"/>
    <x v="138"/>
    <n v="409402"/>
    <n v="77989"/>
    <n v="104495"/>
    <n v="182484"/>
    <n v="184452"/>
    <n v="407434"/>
    <n v="591886"/>
  </r>
  <r>
    <x v="141"/>
    <n v="106371"/>
    <x v="139"/>
    <n v="409488"/>
    <n v="78073"/>
    <n v="104476"/>
    <n v="182549"/>
    <n v="184444"/>
    <n v="407593"/>
    <n v="592037"/>
  </r>
  <r>
    <x v="142"/>
    <n v="106379"/>
    <x v="140"/>
    <n v="409485"/>
    <n v="78092"/>
    <n v="104421"/>
    <n v="182513"/>
    <n v="184471"/>
    <n v="407527"/>
    <n v="591998"/>
  </r>
  <r>
    <x v="143"/>
    <n v="106296"/>
    <x v="141"/>
    <n v="409330"/>
    <n v="78085"/>
    <n v="104307"/>
    <n v="182392"/>
    <n v="184381"/>
    <n v="407341"/>
    <n v="591722"/>
  </r>
  <r>
    <x v="144"/>
    <n v="106052"/>
    <x v="142"/>
    <n v="409166"/>
    <n v="77973"/>
    <n v="104212"/>
    <n v="182185"/>
    <n v="184025"/>
    <n v="407326"/>
    <n v="591351"/>
  </r>
  <r>
    <x v="145"/>
    <n v="105522"/>
    <x v="143"/>
    <n v="408248"/>
    <n v="77954"/>
    <n v="104019"/>
    <n v="181973"/>
    <n v="183476"/>
    <n v="406745"/>
    <n v="590221"/>
  </r>
  <r>
    <x v="146"/>
    <n v="105100"/>
    <x v="144"/>
    <n v="407886"/>
    <n v="77928"/>
    <n v="103817"/>
    <n v="181745"/>
    <n v="183028"/>
    <n v="406603"/>
    <n v="589631"/>
  </r>
  <r>
    <x v="147"/>
    <n v="104702"/>
    <x v="145"/>
    <n v="406826"/>
    <n v="77950"/>
    <n v="103576"/>
    <n v="181526"/>
    <n v="182652"/>
    <n v="405700"/>
    <n v="588352"/>
  </r>
  <r>
    <x v="148"/>
    <n v="104460"/>
    <x v="146"/>
    <n v="406489"/>
    <n v="77999"/>
    <n v="103373"/>
    <n v="181372"/>
    <n v="182459"/>
    <n v="405402"/>
    <n v="587861"/>
  </r>
  <r>
    <x v="149"/>
    <n v="104548"/>
    <x v="147"/>
    <n v="407108"/>
    <n v="78045"/>
    <n v="103131"/>
    <n v="181176"/>
    <n v="182593"/>
    <n v="405691"/>
    <n v="588284"/>
  </r>
  <r>
    <x v="150"/>
    <n v="104773"/>
    <x v="148"/>
    <n v="408308"/>
    <n v="78093"/>
    <n v="102915"/>
    <n v="181008"/>
    <n v="182866"/>
    <n v="406450"/>
    <n v="589316"/>
  </r>
  <r>
    <x v="151"/>
    <n v="104543"/>
    <x v="149"/>
    <n v="408052"/>
    <n v="78054"/>
    <n v="102585"/>
    <n v="180639"/>
    <n v="182597"/>
    <n v="406094"/>
    <n v="588691"/>
  </r>
  <r>
    <x v="152"/>
    <n v="104524"/>
    <x v="150"/>
    <n v="408360"/>
    <n v="78131"/>
    <n v="102435"/>
    <n v="180566"/>
    <n v="182655"/>
    <n v="406271"/>
    <n v="588926"/>
  </r>
  <r>
    <x v="153"/>
    <n v="104568"/>
    <x v="151"/>
    <n v="408797"/>
    <n v="78384"/>
    <n v="102581"/>
    <n v="180965"/>
    <n v="182952"/>
    <n v="406810"/>
    <n v="589762"/>
  </r>
  <r>
    <x v="154"/>
    <n v="104477"/>
    <x v="152"/>
    <n v="408904"/>
    <n v="78324"/>
    <n v="102248"/>
    <n v="180572"/>
    <n v="182801"/>
    <n v="406675"/>
    <n v="589476"/>
  </r>
  <r>
    <x v="155"/>
    <n v="104256"/>
    <x v="153"/>
    <n v="408641"/>
    <n v="78508"/>
    <n v="102342"/>
    <n v="180850"/>
    <n v="182764"/>
    <n v="406727"/>
    <n v="589491"/>
  </r>
  <r>
    <x v="156"/>
    <n v="104136"/>
    <x v="154"/>
    <n v="408548"/>
    <n v="78636"/>
    <n v="102344"/>
    <n v="180980"/>
    <n v="182772"/>
    <n v="406756"/>
    <n v="589528"/>
  </r>
  <r>
    <x v="157"/>
    <n v="104304"/>
    <x v="155"/>
    <n v="409302"/>
    <n v="78808"/>
    <n v="102353"/>
    <n v="181161"/>
    <n v="183112"/>
    <n v="407351"/>
    <n v="590463"/>
  </r>
  <r>
    <x v="158"/>
    <n v="104316"/>
    <x v="156"/>
    <n v="409787"/>
    <n v="78880"/>
    <n v="102289"/>
    <n v="181169"/>
    <n v="183196"/>
    <n v="407760"/>
    <n v="590956"/>
  </r>
  <r>
    <x v="159"/>
    <n v="104673"/>
    <x v="157"/>
    <n v="411102"/>
    <n v="79105"/>
    <n v="102399"/>
    <n v="181504"/>
    <n v="183778"/>
    <n v="408828"/>
    <n v="592606"/>
  </r>
  <r>
    <x v="160"/>
    <n v="105079"/>
    <x v="158"/>
    <n v="412375"/>
    <n v="79398"/>
    <n v="102500"/>
    <n v="181898"/>
    <n v="184477"/>
    <n v="409796"/>
    <n v="594273"/>
  </r>
  <r>
    <x v="161"/>
    <n v="105397"/>
    <x v="159"/>
    <n v="413523"/>
    <n v="79548"/>
    <n v="102539"/>
    <n v="182087"/>
    <n v="184945"/>
    <n v="410665"/>
    <n v="595610"/>
  </r>
  <r>
    <x v="162"/>
    <n v="105909"/>
    <x v="160"/>
    <n v="414941"/>
    <n v="79732"/>
    <n v="102612"/>
    <n v="182344"/>
    <n v="185641"/>
    <n v="411644"/>
    <n v="597285"/>
  </r>
  <r>
    <x v="163"/>
    <n v="0"/>
    <x v="161"/>
    <n v="0"/>
    <n v="79908"/>
    <n v="102691"/>
    <n v="182599"/>
    <n v="79908"/>
    <n v="102691"/>
    <n v="182599"/>
  </r>
  <r>
    <x v="164"/>
    <n v="0"/>
    <x v="161"/>
    <n v="0"/>
    <n v="80074"/>
    <n v="102784"/>
    <n v="182858"/>
    <n v="80074"/>
    <n v="102784"/>
    <n v="182858"/>
  </r>
  <r>
    <x v="165"/>
    <n v="0"/>
    <x v="161"/>
    <n v="0"/>
    <n v="80110"/>
    <n v="102632"/>
    <n v="182742"/>
    <n v="80110"/>
    <n v="102632"/>
    <n v="182742"/>
  </r>
  <r>
    <x v="166"/>
    <n v="0"/>
    <x v="161"/>
    <n v="0"/>
    <n v="80398"/>
    <n v="102856"/>
    <n v="183254"/>
    <n v="80398"/>
    <n v="102856"/>
    <n v="183254"/>
  </r>
  <r>
    <x v="167"/>
    <n v="0"/>
    <x v="161"/>
    <n v="0"/>
    <n v="80766"/>
    <n v="103404"/>
    <n v="184170"/>
    <n v="80766"/>
    <n v="103404"/>
    <n v="184170"/>
  </r>
  <r>
    <x v="168"/>
    <n v="0"/>
    <x v="161"/>
    <n v="0"/>
    <n v="81031"/>
    <n v="103650"/>
    <n v="184681"/>
    <n v="81031"/>
    <n v="103650"/>
    <n v="184681"/>
  </r>
  <r>
    <x v="169"/>
    <n v="0"/>
    <x v="161"/>
    <n v="0"/>
    <n v="81219"/>
    <n v="103890"/>
    <n v="185109"/>
    <n v="81219"/>
    <n v="103890"/>
    <n v="185109"/>
  </r>
  <r>
    <x v="170"/>
    <n v="0"/>
    <x v="161"/>
    <n v="0"/>
    <n v="81350"/>
    <n v="103948"/>
    <n v="185298"/>
    <n v="81350"/>
    <n v="103948"/>
    <n v="185298"/>
  </r>
  <r>
    <x v="171"/>
    <n v="0"/>
    <x v="161"/>
    <n v="0"/>
    <n v="81414"/>
    <n v="103979"/>
    <n v="185393"/>
    <n v="81414"/>
    <n v="103979"/>
    <n v="185393"/>
  </r>
  <r>
    <x v="172"/>
    <n v="0"/>
    <x v="161"/>
    <n v="0"/>
    <n v="81490"/>
    <n v="103866"/>
    <n v="185356"/>
    <n v="81490"/>
    <n v="103866"/>
    <n v="185356"/>
  </r>
  <r>
    <x v="173"/>
    <n v="0"/>
    <x v="161"/>
    <n v="0"/>
    <n v="81605"/>
    <n v="103979"/>
    <n v="185584"/>
    <n v="81605"/>
    <n v="103979"/>
    <n v="18558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x v="0"/>
    <m/>
    <m/>
    <m/>
    <m/>
    <m/>
    <m/>
    <m/>
    <m/>
    <m/>
    <m/>
    <m/>
    <m/>
    <m/>
    <m/>
    <m/>
    <m/>
    <m/>
    <m/>
    <n v="75.937682870000003"/>
    <n v="129.01505570699999"/>
    <n v="1.6989596051786928"/>
    <m/>
    <m/>
    <m/>
    <m/>
    <m/>
    <m/>
    <m/>
    <m/>
    <m/>
    <m/>
    <m/>
    <m/>
    <m/>
    <m/>
    <m/>
    <m/>
    <m/>
    <m/>
  </r>
  <r>
    <x v="1"/>
    <m/>
    <m/>
    <m/>
    <m/>
    <m/>
    <m/>
    <m/>
    <m/>
    <m/>
    <m/>
    <m/>
    <m/>
    <m/>
    <m/>
    <m/>
    <m/>
    <m/>
    <m/>
    <n v="76.645666680000005"/>
    <n v="129.01505570699999"/>
    <n v="1.6832661426985187"/>
    <m/>
    <m/>
    <m/>
    <m/>
    <m/>
    <m/>
    <m/>
    <m/>
    <m/>
    <m/>
    <m/>
    <m/>
    <m/>
    <m/>
    <m/>
    <m/>
    <m/>
    <m/>
  </r>
  <r>
    <x v="2"/>
    <m/>
    <m/>
    <m/>
    <m/>
    <m/>
    <m/>
    <m/>
    <m/>
    <m/>
    <m/>
    <m/>
    <m/>
    <m/>
    <m/>
    <m/>
    <m/>
    <m/>
    <m/>
    <n v="77.460120860000004"/>
    <n v="129.01505570699999"/>
    <n v="1.6655674465081125"/>
    <m/>
    <m/>
    <m/>
    <m/>
    <m/>
    <m/>
    <m/>
    <m/>
    <m/>
    <m/>
    <m/>
    <m/>
    <m/>
    <m/>
    <m/>
    <m/>
    <m/>
    <m/>
  </r>
  <r>
    <x v="3"/>
    <n v="955"/>
    <n v="2444"/>
    <n v="3399"/>
    <n v="229"/>
    <n v="217"/>
    <n v="446"/>
    <n v="1184"/>
    <n v="2661"/>
    <n v="3845"/>
    <n v="191695297"/>
    <n v="385553922"/>
    <n v="577249219"/>
    <n v="35923118"/>
    <n v="35328138"/>
    <n v="71251256"/>
    <n v="227618415"/>
    <n v="420882060"/>
    <n v="648500475"/>
    <n v="78.144751220000003"/>
    <n v="129.01505570699999"/>
    <n v="1.6509753207068945"/>
    <n v="116110.33465837772"/>
    <n v="233531.0026529762"/>
    <n v="349641.33731135394"/>
    <n v="21758.72500905639"/>
    <n v="21398.344092068939"/>
    <n v="43157.069101125329"/>
    <n v="137869.05966743414"/>
    <n v="254929.34674504513"/>
    <n v="392798.40641247923"/>
    <n v="191695.29699999999"/>
    <n v="385553.92200000002"/>
    <n v="577249.21900000004"/>
    <n v="35923.118000000002"/>
    <n v="35328.137999999999"/>
    <n v="71251.255999999994"/>
    <n v="227618.41500000001"/>
    <n v="420882.06"/>
    <n v="648500.47499999998"/>
  </r>
  <r>
    <x v="4"/>
    <n v="1159"/>
    <n v="3067"/>
    <n v="4226"/>
    <n v="294"/>
    <n v="290"/>
    <n v="584"/>
    <n v="1453"/>
    <n v="3357"/>
    <n v="4810"/>
    <n v="85654067"/>
    <n v="192967990"/>
    <n v="278622057"/>
    <n v="19636312"/>
    <n v="20520752"/>
    <n v="40157064"/>
    <n v="105290379"/>
    <n v="213488742"/>
    <n v="318779121"/>
    <n v="78.04899709"/>
    <n v="129.01505570699999"/>
    <n v="1.6530008138122507"/>
    <n v="51817.3168968135"/>
    <n v="116737.98850405011"/>
    <n v="168555.30540086361"/>
    <n v="11879.190763804614"/>
    <n v="12414.241922043462"/>
    <n v="24293.432685848074"/>
    <n v="63696.50766061811"/>
    <n v="129152.23042609356"/>
    <n v="192848.73808671167"/>
    <n v="85654.066999999995"/>
    <n v="192967.99"/>
    <n v="278622.05699999997"/>
    <n v="19636.312000000002"/>
    <n v="20520.752"/>
    <n v="40157.063999999998"/>
    <n v="105290.379"/>
    <n v="213488.742"/>
    <n v="318779.12099999998"/>
  </r>
  <r>
    <x v="5"/>
    <n v="1234"/>
    <n v="3251"/>
    <n v="4485"/>
    <n v="348"/>
    <n v="352"/>
    <n v="700"/>
    <n v="1582"/>
    <n v="3603"/>
    <n v="5185"/>
    <n v="107688464"/>
    <n v="198565283"/>
    <n v="306253747"/>
    <n v="20228436"/>
    <n v="21138228"/>
    <n v="41366664"/>
    <n v="127916900"/>
    <n v="219703511"/>
    <n v="347620411"/>
    <n v="77.128789299999994"/>
    <n v="129.01505570699999"/>
    <n v="1.6727224280052324"/>
    <n v="64379.159504916461"/>
    <n v="118707.84995499496"/>
    <n v="183087.00945991144"/>
    <n v="12093.121764453752"/>
    <n v="12637.020731053339"/>
    <n v="24730.142495507091"/>
    <n v="76472.281269370214"/>
    <n v="131344.87068604832"/>
    <n v="207817.15195541852"/>
    <n v="107688.46400000001"/>
    <n v="198565.283"/>
    <n v="306253.74699999997"/>
    <n v="20228.436000000002"/>
    <n v="21138.227999999999"/>
    <n v="41366.663999999997"/>
    <n v="127916.9"/>
    <n v="219703.511"/>
    <n v="347620.41100000002"/>
  </r>
  <r>
    <x v="6"/>
    <n v="1765"/>
    <n v="4434"/>
    <n v="6199"/>
    <n v="481"/>
    <n v="468"/>
    <n v="949"/>
    <n v="2246"/>
    <n v="4902"/>
    <n v="7148"/>
    <n v="194887690"/>
    <n v="386551685"/>
    <n v="581439375"/>
    <n v="43687880"/>
    <n v="38038701"/>
    <n v="81726581"/>
    <n v="238575570"/>
    <n v="424590386"/>
    <n v="663165956"/>
    <n v="76.540568890000003"/>
    <n v="129.01505570699999"/>
    <n v="1.6855774340064482"/>
    <n v="115620.72798801746"/>
    <n v="229328.9392710992"/>
    <n v="344949.66725911666"/>
    <n v="25918.643141868779"/>
    <n v="22567.163176589183"/>
    <n v="48485.806318457959"/>
    <n v="141539.37112988625"/>
    <n v="251896.1024476884"/>
    <n v="393435.47357757459"/>
    <n v="194887.69"/>
    <n v="386551.685"/>
    <n v="581439.375"/>
    <n v="43687.88"/>
    <n v="38038.701000000001"/>
    <n v="81726.581000000006"/>
    <n v="238575.57"/>
    <n v="424590.386"/>
    <n v="663165.95600000001"/>
  </r>
  <r>
    <x v="7"/>
    <n v="2132"/>
    <n v="5048"/>
    <n v="7180"/>
    <n v="584"/>
    <n v="596"/>
    <n v="1180"/>
    <n v="2716"/>
    <n v="5644"/>
    <n v="8360"/>
    <n v="156341312"/>
    <n v="297761340"/>
    <n v="454102652"/>
    <n v="43785755"/>
    <n v="47118131"/>
    <n v="90903886"/>
    <n v="200127067"/>
    <n v="344879471"/>
    <n v="545006538"/>
    <n v="76.261696380000004"/>
    <n v="129.01505570699999"/>
    <n v="1.6917412256886906"/>
    <n v="92414.436455170653"/>
    <n v="176008.79820067305"/>
    <n v="268423.2346558437"/>
    <n v="25882.064192279329"/>
    <n v="27851.854813562688"/>
    <n v="53733.919005842014"/>
    <n v="118296.50064744997"/>
    <n v="203860.65301423572"/>
    <n v="322157.1536616857"/>
    <n v="156341.31200000001"/>
    <n v="297761.34000000003"/>
    <n v="454102.652"/>
    <n v="43785.754999999997"/>
    <n v="47118.131000000001"/>
    <n v="90903.885999999999"/>
    <n v="200127.06700000001"/>
    <n v="344879.47100000002"/>
    <n v="545006.53799999994"/>
  </r>
  <r>
    <x v="8"/>
    <n v="2584"/>
    <n v="5703"/>
    <n v="8287"/>
    <n v="703"/>
    <n v="787"/>
    <n v="1490"/>
    <n v="3287"/>
    <n v="6490"/>
    <n v="9777"/>
    <n v="202020432"/>
    <n v="330681512"/>
    <n v="532701944"/>
    <n v="47441952"/>
    <n v="61973136"/>
    <n v="109415088"/>
    <n v="249462384"/>
    <n v="392654648"/>
    <n v="642117032"/>
    <n v="76.560749150000007"/>
    <n v="129.01505570699999"/>
    <n v="1.6851331411900112"/>
    <n v="119883.95875790369"/>
    <n v="196234.64990219026"/>
    <n v="316118.60866009397"/>
    <n v="28153.23658431958"/>
    <n v="36776.403291336181"/>
    <n v="64929.639875655761"/>
    <n v="148037.19534222325"/>
    <n v="233011.05319352646"/>
    <n v="381048.24853574974"/>
    <n v="202020.432"/>
    <n v="330681.51199999999"/>
    <n v="532701.94400000002"/>
    <n v="47441.951999999997"/>
    <n v="61973.135999999999"/>
    <n v="109415.088"/>
    <n v="249462.38399999999"/>
    <n v="392654.64799999999"/>
    <n v="642117.03200000001"/>
  </r>
  <r>
    <x v="9"/>
    <n v="3131"/>
    <n v="6499"/>
    <n v="9630"/>
    <n v="922"/>
    <n v="1119"/>
    <n v="2041"/>
    <n v="4053"/>
    <n v="7618"/>
    <n v="11671"/>
    <n v="281550462"/>
    <n v="474237539"/>
    <n v="755788001"/>
    <n v="79704356"/>
    <n v="109278129"/>
    <n v="188982485"/>
    <n v="361254818"/>
    <n v="583515668"/>
    <n v="944770486"/>
    <n v="76.441391870000004"/>
    <n v="129.01505570699999"/>
    <n v="1.6877643453485167"/>
    <n v="166818.58624158869"/>
    <n v="280985.63659494289"/>
    <n v="447804.22283653158"/>
    <n v="47224.813238687871"/>
    <n v="64747.267176943766"/>
    <n v="111972.08041563163"/>
    <n v="214043.39948027657"/>
    <n v="345732.90377188666"/>
    <n v="559776.30325216323"/>
    <n v="281550.462"/>
    <n v="474237.53899999999"/>
    <n v="755788.00100000005"/>
    <n v="79704.356"/>
    <n v="109278.129"/>
    <n v="188982.48499999999"/>
    <n v="361254.81800000003"/>
    <n v="583515.66799999995"/>
    <n v="944770.48600000003"/>
  </r>
  <r>
    <x v="10"/>
    <n v="3842"/>
    <n v="7208"/>
    <n v="11050"/>
    <n v="1125"/>
    <n v="1372"/>
    <n v="2497"/>
    <n v="4967"/>
    <n v="8580"/>
    <n v="13547"/>
    <n v="331166000"/>
    <n v="435187423"/>
    <n v="766353423"/>
    <n v="83507484"/>
    <n v="103344394"/>
    <n v="186851878"/>
    <n v="414673484"/>
    <n v="538531817"/>
    <n v="953205301"/>
    <n v="76.250226720000001"/>
    <n v="129.01505570699999"/>
    <n v="1.6919956996424257"/>
    <n v="195725.0837398619"/>
    <n v="257203.62238034612"/>
    <n v="452928.70612020802"/>
    <n v="49354.430402895159"/>
    <n v="61078.402280715054"/>
    <n v="110432.83268361022"/>
    <n v="245079.51414275705"/>
    <n v="318282.02466106118"/>
    <n v="563361.53880381817"/>
    <n v="331166"/>
    <n v="435187.42300000001"/>
    <n v="766353.42299999995"/>
    <n v="83507.483999999997"/>
    <n v="103344.394"/>
    <n v="186851.878"/>
    <n v="414673.484"/>
    <n v="538531.81700000004"/>
    <n v="953205.30099999998"/>
  </r>
  <r>
    <x v="11"/>
    <n v="4373"/>
    <n v="7817"/>
    <n v="12190"/>
    <n v="1346"/>
    <n v="1674"/>
    <n v="3020"/>
    <n v="5719"/>
    <n v="9491"/>
    <n v="15210"/>
    <n v="305748999"/>
    <n v="439866065"/>
    <n v="745615064"/>
    <n v="94453398"/>
    <n v="122954975"/>
    <n v="217408373"/>
    <n v="400202397"/>
    <n v="562821040"/>
    <n v="963023437"/>
    <n v="76.514479230000006"/>
    <n v="129.01505570699999"/>
    <n v="1.6861521767557872"/>
    <n v="181329.42163516418"/>
    <n v="260869.73113323431"/>
    <n v="442199.15276839846"/>
    <n v="56017.125442219265"/>
    <n v="72920.449704942672"/>
    <n v="128937.57514716194"/>
    <n v="237346.54707738344"/>
    <n v="333790.18083817704"/>
    <n v="571136.72791556048"/>
    <n v="305748.99900000001"/>
    <n v="439866.065"/>
    <n v="745615.06400000001"/>
    <n v="94453.398000000001"/>
    <n v="122954.97500000001"/>
    <n v="217408.37299999999"/>
    <n v="400202.397"/>
    <n v="562821.04"/>
    <n v="963023.43700000003"/>
  </r>
  <r>
    <x v="12"/>
    <n v="4882"/>
    <n v="8395"/>
    <n v="13277"/>
    <n v="1670"/>
    <n v="2118"/>
    <n v="3788"/>
    <n v="6552"/>
    <n v="10513"/>
    <n v="17065"/>
    <n v="424219133"/>
    <n v="635123794"/>
    <n v="1059342927"/>
    <n v="172993990"/>
    <n v="222382190"/>
    <n v="395376180"/>
    <n v="597213123"/>
    <n v="857505984"/>
    <n v="1454719107"/>
    <n v="76.177530309999995"/>
    <n v="129.01505570699999"/>
    <n v="1.6936103754214764"/>
    <n v="250482.12927629691"/>
    <n v="375011.75194556854"/>
    <n v="625493.88122186554"/>
    <n v="102145.0934114337"/>
    <n v="131306.58221473009"/>
    <n v="233451.67562616381"/>
    <n v="352627.22268773062"/>
    <n v="506318.33416029869"/>
    <n v="858945.55684802926"/>
    <n v="424219.13299999997"/>
    <n v="635123.79399999999"/>
    <n v="1059342.9269999999"/>
    <n v="172993.99"/>
    <n v="222382.19"/>
    <n v="395376.18"/>
    <n v="597213.12300000002"/>
    <n v="857505.98400000005"/>
    <n v="1454719.1070000001"/>
  </r>
  <r>
    <x v="13"/>
    <n v="5603"/>
    <n v="9052"/>
    <n v="14655"/>
    <n v="1969"/>
    <n v="2469"/>
    <n v="4438"/>
    <n v="7572"/>
    <n v="11521"/>
    <n v="19093"/>
    <n v="579269980"/>
    <n v="737039569"/>
    <n v="1316309549"/>
    <n v="179837233"/>
    <n v="230495621"/>
    <n v="410332854"/>
    <n v="759107213"/>
    <n v="967535190"/>
    <n v="1726642403"/>
    <n v="75.903217299999994"/>
    <n v="129.01505570699999"/>
    <n v="1.6997310561564298"/>
    <n v="340800.96254162258"/>
    <n v="433621.28751512832"/>
    <n v="774422.25005675084"/>
    <n v="105803.34597560544"/>
    <n v="135607.11276360124"/>
    <n v="241410.45873920666"/>
    <n v="446604.308517228"/>
    <n v="569228.4002787295"/>
    <n v="1015832.7087959576"/>
    <n v="579269.98"/>
    <n v="737039.56900000002"/>
    <n v="1316309.5490000001"/>
    <n v="179837.23300000001"/>
    <n v="230495.62100000001"/>
    <n v="410332.85399999999"/>
    <n v="759107.21299999999"/>
    <n v="967535.19"/>
    <n v="1726642.4029999999"/>
  </r>
  <r>
    <x v="14"/>
    <n v="15010"/>
    <n v="12193"/>
    <n v="27203"/>
    <n v="2203"/>
    <n v="2777"/>
    <n v="4980"/>
    <n v="17213"/>
    <n v="14970"/>
    <n v="32183"/>
    <n v="989777643"/>
    <n v="957691029"/>
    <n v="1947468672"/>
    <n v="186413223"/>
    <n v="240836118"/>
    <n v="427249341"/>
    <n v="1176190866"/>
    <n v="1198527147"/>
    <n v="2374718013"/>
    <n v="76.648749370000004"/>
    <n v="129.01505570699999"/>
    <n v="1.6831984444288393"/>
    <n v="588033.8389546586"/>
    <n v="568970.95655585278"/>
    <n v="1157004.7955105114"/>
    <n v="110749.40308850851"/>
    <n v="143082.42667234823"/>
    <n v="253831.82976085675"/>
    <n v="698783.24204316712"/>
    <n v="712053.38322820095"/>
    <n v="1410836.6252713681"/>
    <n v="989777.64300000004"/>
    <n v="957691.02899999998"/>
    <n v="1947468.672"/>
    <n v="186413.223"/>
    <n v="240836.11799999999"/>
    <n v="427249.34100000001"/>
    <n v="1176190.8659999999"/>
    <n v="1198527.1470000001"/>
    <n v="2374718.0129999998"/>
  </r>
  <r>
    <x v="15"/>
    <n v="70157"/>
    <n v="98877"/>
    <n v="169034"/>
    <n v="3042"/>
    <n v="3876"/>
    <n v="6918"/>
    <n v="73199"/>
    <n v="102753"/>
    <n v="175952"/>
    <n v="2976202751"/>
    <n v="4711096314"/>
    <n v="7687299065"/>
    <n v="324540829"/>
    <n v="432331835"/>
    <n v="756872664"/>
    <n v="3300743580"/>
    <n v="5143428149"/>
    <n v="8444171729"/>
    <n v="76.646904160000005"/>
    <n v="129.01505570699999"/>
    <n v="1.6832389660211422"/>
    <n v="1768140.3597940577"/>
    <n v="2798827.979330908"/>
    <n v="4566968.3391249655"/>
    <n v="192807.34081813291"/>
    <n v="256845.19175667048"/>
    <n v="449652.53257480334"/>
    <n v="1960947.7006121904"/>
    <n v="3055673.1710875784"/>
    <n v="5016620.871699769"/>
    <n v="2976202.7510000002"/>
    <n v="4711096.3140000002"/>
    <n v="7687299.0650000004"/>
    <n v="324540.82900000003"/>
    <n v="432331.83500000002"/>
    <n v="756872.66399999999"/>
    <n v="3300743.58"/>
    <n v="5143428.1490000002"/>
    <n v="8444171.7290000003"/>
  </r>
  <r>
    <x v="16"/>
    <n v="85364"/>
    <n v="118191"/>
    <n v="203555"/>
    <n v="3394"/>
    <n v="4342"/>
    <n v="7736"/>
    <n v="88758"/>
    <n v="122533"/>
    <n v="211291"/>
    <n v="2120002026"/>
    <n v="2839653290"/>
    <n v="4959655316"/>
    <n v="289394586"/>
    <n v="379201822"/>
    <n v="668596408"/>
    <n v="2409396612"/>
    <n v="3218855112"/>
    <n v="5628251724"/>
    <n v="76.297590920000005"/>
    <n v="129.01505570699999"/>
    <n v="1.6909453385268167"/>
    <n v="1253737.762952755"/>
    <n v="1679328.849549897"/>
    <n v="2933066.6125026518"/>
    <n v="171143.66704019302"/>
    <n v="224254.33475594647"/>
    <n v="395398.00179613946"/>
    <n v="1424881.4299929477"/>
    <n v="1903583.1843058434"/>
    <n v="3328464.6142987916"/>
    <n v="2120002.0260000001"/>
    <n v="2839653.29"/>
    <n v="4959655.3159999996"/>
    <n v="289394.58600000001"/>
    <n v="379201.82199999999"/>
    <n v="668596.40800000005"/>
    <n v="2409396.6120000002"/>
    <n v="3218855.1120000002"/>
    <n v="5628251.7240000004"/>
  </r>
  <r>
    <x v="17"/>
    <n v="100434"/>
    <n v="137544"/>
    <n v="237978"/>
    <n v="3798"/>
    <n v="4968"/>
    <n v="8766"/>
    <n v="104232"/>
    <n v="142512"/>
    <n v="246744"/>
    <n v="2651948824"/>
    <n v="3411337309"/>
    <n v="6063286133"/>
    <n v="345570858"/>
    <n v="462489303"/>
    <n v="808060161"/>
    <n v="2997519682"/>
    <n v="3873826612"/>
    <n v="6871346294"/>
    <n v="76.064574460000003"/>
    <n v="129.01505570699999"/>
    <n v="1.6961253858699361"/>
    <n v="1563533.4781808162"/>
    <n v="2011253.0225767114"/>
    <n v="3574786.5007575275"/>
    <n v="203741.33945454631"/>
    <n v="272674.00562063459"/>
    <n v="476415.34507518093"/>
    <n v="1767274.8176353625"/>
    <n v="2283927.0281973463"/>
    <n v="4051201.8458327083"/>
    <n v="2651948.824"/>
    <n v="3411337.3089999999"/>
    <n v="6063286.1330000004"/>
    <n v="345570.85800000001"/>
    <n v="462489.30300000001"/>
    <n v="808060.16099999996"/>
    <n v="2997519.682"/>
    <n v="3873826.6120000002"/>
    <n v="6871346.2939999998"/>
  </r>
  <r>
    <x v="18"/>
    <n v="103465"/>
    <n v="147468"/>
    <n v="250933"/>
    <n v="4172"/>
    <n v="5495"/>
    <n v="9667"/>
    <n v="107637"/>
    <n v="152963"/>
    <n v="260600"/>
    <n v="2379907921"/>
    <n v="3231997495"/>
    <n v="5611905416"/>
    <n v="351938424"/>
    <n v="471503431"/>
    <n v="823441855"/>
    <n v="2731846345"/>
    <n v="3703500926"/>
    <n v="6435347271"/>
    <n v="76.458779579999998"/>
    <n v="129.01505570699999"/>
    <n v="1.6873805260259163"/>
    <n v="1410415.6616084161"/>
    <n v="1915393.3835019027"/>
    <n v="3325809.0451103188"/>
    <n v="208570.86980189235"/>
    <n v="279429.22401177353"/>
    <n v="488000.09381366585"/>
    <n v="1618986.5314103086"/>
    <n v="2194822.6075136764"/>
    <n v="3813809.1389239845"/>
    <n v="2379907.9210000001"/>
    <n v="3231997.4950000001"/>
    <n v="5611905.4160000002"/>
    <n v="351938.424"/>
    <n v="471503.43099999998"/>
    <n v="823441.85499999998"/>
    <n v="2731846.3450000002"/>
    <n v="3703500.926"/>
    <n v="6435347.2709999997"/>
  </r>
  <r>
    <x v="19"/>
    <n v="108163"/>
    <n v="157189"/>
    <n v="265352"/>
    <n v="4576"/>
    <n v="5997"/>
    <n v="10573"/>
    <n v="112739"/>
    <n v="163186"/>
    <n v="275925"/>
    <n v="2506907601"/>
    <n v="3484520068"/>
    <n v="5991427669"/>
    <n v="365194655"/>
    <n v="477915724"/>
    <n v="843110379"/>
    <n v="2872102256"/>
    <n v="3962435792"/>
    <n v="6834538048"/>
    <n v="76.673626780000006"/>
    <n v="129.01505570699999"/>
    <n v="1.6826523163849219"/>
    <n v="1489854.7825886819"/>
    <n v="2070849.7139125471"/>
    <n v="3560704.4965012292"/>
    <n v="217035.12451377889"/>
    <n v="284025.23762411799"/>
    <n v="501060.36213789688"/>
    <n v="1706889.907102461"/>
    <n v="2354874.9515366647"/>
    <n v="4061764.8586391257"/>
    <n v="2506907.6009999998"/>
    <n v="3484520.068"/>
    <n v="5991427.6689999998"/>
    <n v="365194.65500000003"/>
    <n v="477915.72399999999"/>
    <n v="843110.37899999996"/>
    <n v="2872102.2560000001"/>
    <n v="3962435.7919999999"/>
    <n v="6834538.0480000004"/>
  </r>
  <r>
    <x v="20"/>
    <n v="115920"/>
    <n v="167854"/>
    <n v="283774"/>
    <n v="4862"/>
    <n v="6477"/>
    <n v="11339"/>
    <n v="120782"/>
    <n v="174331"/>
    <n v="295113"/>
    <n v="3086123204"/>
    <n v="3992205803"/>
    <n v="7078329007"/>
    <n v="403716065"/>
    <n v="550247245"/>
    <n v="953963310"/>
    <n v="3489839269"/>
    <n v="4542453048"/>
    <n v="8032292317"/>
    <n v="76.738096589999998"/>
    <n v="129.01505570699999"/>
    <n v="1.6812386733581346"/>
    <n v="1835624.6813164994"/>
    <n v="2374562.2000390347"/>
    <n v="4210186.8813555343"/>
    <n v="240130.13226349992"/>
    <n v="327286.81163449975"/>
    <n v="567416.94389799959"/>
    <n v="2075754.8135799991"/>
    <n v="2701849.0116735343"/>
    <n v="4777603.8252535332"/>
    <n v="3086123.2039999999"/>
    <n v="3992205.8029999998"/>
    <n v="7078329.0070000002"/>
    <n v="403716.065"/>
    <n v="550247.245"/>
    <n v="953963.31"/>
    <n v="3489839.2689999999"/>
    <n v="4542453.0480000004"/>
    <n v="8032292.3169999998"/>
  </r>
  <r>
    <x v="21"/>
    <n v="118241"/>
    <n v="172340"/>
    <n v="290581"/>
    <n v="5130"/>
    <n v="6887"/>
    <n v="12017"/>
    <n v="123371"/>
    <n v="179227"/>
    <n v="302598"/>
    <n v="2589495364"/>
    <n v="3533379966"/>
    <n v="6122875330"/>
    <n v="402946712"/>
    <n v="551553424"/>
    <n v="954500136"/>
    <n v="2992442076"/>
    <n v="4084933390"/>
    <n v="7077375466"/>
    <n v="77.092779820000004"/>
    <n v="129.01505570699999"/>
    <n v="1.6735037445559837"/>
    <n v="1547349.6085227155"/>
    <n v="2111366.6327274824"/>
    <n v="3658716.2412501979"/>
    <n v="240780.28705392015"/>
    <n v="329580.03577478637"/>
    <n v="570360.32282870647"/>
    <n v="1788129.8955766356"/>
    <n v="2440946.6685022688"/>
    <n v="4229076.5640789038"/>
    <n v="2589495.3640000001"/>
    <n v="3533379.966"/>
    <n v="6122875.3300000001"/>
    <n v="402946.712"/>
    <n v="551553.424"/>
    <n v="954500.13600000006"/>
    <n v="2992442.0759999999"/>
    <n v="4084933.39"/>
    <n v="7077375.466"/>
  </r>
  <r>
    <x v="22"/>
    <n v="120927"/>
    <n v="177041"/>
    <n v="297968"/>
    <n v="5506"/>
    <n v="7424"/>
    <n v="12930"/>
    <n v="126433"/>
    <n v="184465"/>
    <n v="310898"/>
    <n v="2776372445"/>
    <n v="3677489480"/>
    <n v="6453861925"/>
    <n v="437436151"/>
    <n v="607874598"/>
    <n v="1045310749"/>
    <n v="3213808596"/>
    <n v="4285364078"/>
    <n v="7499172674"/>
    <n v="77.370182610000001"/>
    <n v="129.01505570699999"/>
    <n v="1.6675035699130552"/>
    <n v="1664987.4069803415"/>
    <n v="2205386.2710421346"/>
    <n v="3870373.6780224759"/>
    <n v="262329.96372104215"/>
    <n v="364541.70711712184"/>
    <n v="626871.67083816393"/>
    <n v="1927317.3707013833"/>
    <n v="2569927.9781592563"/>
    <n v="4497245.3488606391"/>
    <n v="2776372.4449999998"/>
    <n v="3677489.48"/>
    <n v="6453861.9249999998"/>
    <n v="437436.15100000001"/>
    <n v="607874.598"/>
    <n v="1045310.749"/>
    <n v="3213808.5959999999"/>
    <n v="4285364.0779999997"/>
    <n v="7499172.6739999996"/>
  </r>
  <r>
    <x v="23"/>
    <n v="125869"/>
    <n v="183571"/>
    <n v="309440"/>
    <n v="6003"/>
    <n v="8152"/>
    <n v="14155"/>
    <n v="131872"/>
    <n v="191723"/>
    <n v="323595"/>
    <n v="2812183769"/>
    <n v="3903654623"/>
    <n v="6715838392"/>
    <n v="519396267"/>
    <n v="737631705"/>
    <n v="1257027972"/>
    <n v="3331580036"/>
    <n v="4641286328"/>
    <n v="7972866364"/>
    <n v="77.370464859999998"/>
    <n v="129.01505570699999"/>
    <n v="1.6674974868051993"/>
    <n v="1686469.5696710967"/>
    <n v="2341025.7909768196"/>
    <n v="4027495.3606479163"/>
    <n v="311482.4886453799"/>
    <n v="442358.51078447339"/>
    <n v="753840.99942985328"/>
    <n v="1997952.0583164769"/>
    <n v="2783384.3017612929"/>
    <n v="4781336.3600777695"/>
    <n v="2812183.7689999999"/>
    <n v="3903654.6230000001"/>
    <n v="6715838.392"/>
    <n v="519396.26699999999"/>
    <n v="737631.70499999996"/>
    <n v="1257027.9720000001"/>
    <n v="3331580.0359999998"/>
    <n v="4641286.3279999997"/>
    <n v="7972866.3640000001"/>
  </r>
  <r>
    <x v="24"/>
    <n v="129748"/>
    <n v="187484"/>
    <n v="317232"/>
    <n v="6395"/>
    <n v="8702"/>
    <n v="15097"/>
    <n v="136143"/>
    <n v="196186"/>
    <n v="332329"/>
    <n v="5016331446"/>
    <n v="6978003893"/>
    <n v="11994335339"/>
    <n v="530831523"/>
    <n v="725533885"/>
    <n v="1256365408"/>
    <n v="5547162969"/>
    <n v="7703537778"/>
    <n v="13250700747"/>
    <n v="77.867484759999996"/>
    <n v="129.01505570699999"/>
    <n v="1.6568540271288454"/>
    <n v="3027624.2589051593"/>
    <n v="4211598.4744245391"/>
    <n v="7239222.7333296994"/>
    <n v="320385.20853878447"/>
    <n v="437898.49505165778"/>
    <n v="758283.70359044231"/>
    <n v="3348009.467443944"/>
    <n v="4649496.9694761969"/>
    <n v="7997506.4369201409"/>
    <n v="5016331.4460000005"/>
    <n v="6978003.8930000002"/>
    <n v="11994335.339"/>
    <n v="530831.52300000004"/>
    <n v="725533.88500000001"/>
    <n v="1256365.4080000001"/>
    <n v="5547162.9689999996"/>
    <n v="7703537.7779999999"/>
    <n v="13250700.747"/>
  </r>
  <r>
    <x v="25"/>
    <n v="133983"/>
    <n v="192848"/>
    <n v="326831"/>
    <n v="6680"/>
    <n v="9142"/>
    <n v="15822"/>
    <n v="140663"/>
    <n v="201990"/>
    <n v="342653"/>
    <n v="5234640792"/>
    <n v="7437883694"/>
    <n v="12672524486"/>
    <n v="544858304"/>
    <n v="741398031"/>
    <n v="1286256335"/>
    <n v="5779499096"/>
    <n v="8179281725"/>
    <n v="13958780821"/>
    <n v="77.790935050000002"/>
    <n v="129.01505570699999"/>
    <n v="1.6584844445445444"/>
    <n v="3156279.7041714462"/>
    <n v="4484747.335717462"/>
    <n v="7641027.0398889082"/>
    <n v="328527.83503171767"/>
    <n v="447033.45481398463"/>
    <n v="775561.28984570224"/>
    <n v="3484807.5392031642"/>
    <n v="4931780.7905314462"/>
    <n v="8416588.3297346104"/>
    <n v="5234640.7920000004"/>
    <n v="7437883.6940000001"/>
    <n v="12672524.486"/>
    <n v="544858.304"/>
    <n v="741398.03099999996"/>
    <n v="1286256.335"/>
    <n v="5779499.0959999999"/>
    <n v="8179281.7249999996"/>
    <n v="13958780.821"/>
  </r>
  <r>
    <x v="26"/>
    <n v="138718"/>
    <n v="198415"/>
    <n v="337133"/>
    <n v="6646"/>
    <n v="9139"/>
    <n v="15785"/>
    <n v="145364"/>
    <n v="207554"/>
    <n v="352918"/>
    <n v="5168893015"/>
    <n v="7259748727"/>
    <n v="12428641742"/>
    <n v="500634772"/>
    <n v="696795040"/>
    <n v="1197429812"/>
    <n v="5669527787"/>
    <n v="7956543767"/>
    <n v="13626071554"/>
    <n v="78.102046270000002"/>
    <n v="129.01505570699999"/>
    <n v="1.6518780476121318"/>
    <n v="3129100.8573374292"/>
    <n v="4394845.4533276912"/>
    <n v="7523946.3106651204"/>
    <n v="303070.05576089065"/>
    <n v="421819.90432480793"/>
    <n v="724889.96008569864"/>
    <n v="3432170.9130983199"/>
    <n v="4816665.3576524993"/>
    <n v="8248836.2707508178"/>
    <n v="5168893.0149999997"/>
    <n v="7259748.727"/>
    <n v="12428641.742000001"/>
    <n v="500634.772"/>
    <n v="696795.04"/>
    <n v="1197429.8119999999"/>
    <n v="5669527.7869999995"/>
    <n v="7956543.767"/>
    <n v="13626071.554"/>
  </r>
  <r>
    <x v="27"/>
    <n v="143664"/>
    <n v="204343"/>
    <n v="348007"/>
    <n v="6792"/>
    <n v="9374"/>
    <n v="16166"/>
    <n v="150456"/>
    <n v="213717"/>
    <n v="364173"/>
    <n v="5666357137"/>
    <n v="7907342017"/>
    <n v="13573699154"/>
    <n v="525646489"/>
    <n v="735642107"/>
    <n v="1261288596"/>
    <n v="6192003626"/>
    <n v="8642984124"/>
    <n v="14834987750"/>
    <n v="78.178624009999993"/>
    <n v="129.01505570699999"/>
    <n v="1.6502599955007828"/>
    <n v="3433614.7955162087"/>
    <n v="4791573.4723972771"/>
    <n v="8225188.2679134859"/>
    <n v="318523.43899331387"/>
    <n v="445773.45933709329"/>
    <n v="764296.8983304071"/>
    <n v="3752138.2345095226"/>
    <n v="5237346.9317343701"/>
    <n v="8989485.1662438922"/>
    <n v="5666357.1370000001"/>
    <n v="7907342.017"/>
    <n v="13573699.153999999"/>
    <n v="525646.48899999994"/>
    <n v="735642.10699999996"/>
    <n v="1261288.5959999999"/>
    <n v="6192003.6260000002"/>
    <n v="8642984.1239999998"/>
    <n v="14834987.75"/>
  </r>
  <r>
    <x v="28"/>
    <n v="150888"/>
    <n v="211646"/>
    <n v="362534"/>
    <n v="7036"/>
    <n v="9728"/>
    <n v="16764"/>
    <n v="157924"/>
    <n v="221374"/>
    <n v="379298"/>
    <n v="6069989446"/>
    <n v="8385359780"/>
    <n v="14455349226"/>
    <n v="569561985"/>
    <n v="794328911"/>
    <n v="1363890896"/>
    <n v="6639551431"/>
    <n v="9179688691"/>
    <n v="15819240122"/>
    <n v="78.23364977"/>
    <n v="129.01505570699999"/>
    <n v="1.6490992825503197"/>
    <n v="3680790.7869639033"/>
    <n v="5084811.9750753297"/>
    <n v="8765602.762039233"/>
    <n v="345377.61978719477"/>
    <n v="481674.4021448947"/>
    <n v="827052.02193208947"/>
    <n v="4026168.4067510981"/>
    <n v="5566486.3772202246"/>
    <n v="9592654.7839713227"/>
    <n v="6069989.4460000005"/>
    <n v="8385359.7800000003"/>
    <n v="14455349.226"/>
    <n v="569561.98499999999"/>
    <n v="794328.91099999996"/>
    <n v="1363890.8959999999"/>
    <n v="6639551.4309999999"/>
    <n v="9179688.6909999996"/>
    <n v="15819240.122"/>
  </r>
  <r>
    <x v="29"/>
    <n v="154356"/>
    <n v="215860"/>
    <n v="370216"/>
    <n v="7277"/>
    <n v="10094"/>
    <n v="17371"/>
    <n v="161633"/>
    <n v="225954"/>
    <n v="387587"/>
    <n v="6018338269"/>
    <n v="8301289317"/>
    <n v="14319627586"/>
    <n v="589406510"/>
    <n v="820455598"/>
    <n v="1409862108"/>
    <n v="6607744779"/>
    <n v="9121744915"/>
    <n v="15729489694"/>
    <n v="78.325873939999994"/>
    <n v="129.01505570699999"/>
    <n v="1.6471575638700113"/>
    <n v="3653772.0501127173"/>
    <n v="5039766.3824558752"/>
    <n v="8693538.432568593"/>
    <n v="357832.50062318513"/>
    <n v="498103.89485285932"/>
    <n v="855936.39547604439"/>
    <n v="4011604.5507359025"/>
    <n v="5537870.2773087351"/>
    <n v="9549474.828044638"/>
    <n v="6018338.2690000003"/>
    <n v="8301289.3169999998"/>
    <n v="14319627.585999999"/>
    <n v="589406.51"/>
    <n v="820455.598"/>
    <n v="1409862.108"/>
    <n v="6607744.7790000001"/>
    <n v="9121744.9149999991"/>
    <n v="15729489.694"/>
  </r>
  <r>
    <x v="30"/>
    <n v="156801"/>
    <n v="216052"/>
    <n v="372853"/>
    <n v="7665"/>
    <n v="10664"/>
    <n v="18329"/>
    <n v="164466"/>
    <n v="226716"/>
    <n v="391182"/>
    <n v="6162838203"/>
    <n v="8129503838"/>
    <n v="14292342041"/>
    <n v="676929695"/>
    <n v="943536722"/>
    <n v="1620466417"/>
    <n v="6839767898"/>
    <n v="9073040560"/>
    <n v="15912808458"/>
    <n v="78.537898409999997"/>
    <n v="129.01505570699999"/>
    <n v="1.642710822658999"/>
    <n v="3751626.9558779844"/>
    <n v="4948834.4058274692"/>
    <n v="8700461.3617054541"/>
    <n v="412080.86393701198"/>
    <n v="574377.85700634145"/>
    <n v="986458.72094335337"/>
    <n v="4163707.8198149963"/>
    <n v="5523212.2628338095"/>
    <n v="9686920.0826488081"/>
    <n v="6162838.2029999997"/>
    <n v="8129503.8380000005"/>
    <n v="14292342.040999999"/>
    <n v="676929.69499999995"/>
    <n v="943536.72199999995"/>
    <n v="1620466.4169999999"/>
    <n v="6839767.898"/>
    <n v="9073040.5600000005"/>
    <n v="15912808.458000001"/>
  </r>
  <r>
    <x v="31"/>
    <n v="159862"/>
    <n v="221369"/>
    <n v="381231"/>
    <n v="7770"/>
    <n v="10862"/>
    <n v="18632"/>
    <n v="167632"/>
    <n v="232231"/>
    <n v="399863"/>
    <n v="6288169323"/>
    <n v="8823039511"/>
    <n v="15111208834"/>
    <n v="595696176"/>
    <n v="843745750"/>
    <n v="1439441926"/>
    <n v="6883865499"/>
    <n v="9666785261"/>
    <n v="16550650760"/>
    <n v="78.718604459999995"/>
    <n v="129.01505570699999"/>
    <n v="1.6389398235909731"/>
    <n v="3836729.8374765259"/>
    <n v="5383382.223069313"/>
    <n v="9220112.0605458375"/>
    <n v="363464.33677766722"/>
    <n v="514811.9155170226"/>
    <n v="878276.25229468988"/>
    <n v="4200194.174254193"/>
    <n v="5898194.1385863349"/>
    <n v="10098388.312840529"/>
    <n v="6288169.3229999999"/>
    <n v="8823039.5109999999"/>
    <n v="15111208.834000001"/>
    <n v="595696.17599999998"/>
    <n v="843745.75"/>
    <n v="1439441.926"/>
    <n v="6883865.4989999998"/>
    <n v="9666785.2609999999"/>
    <n v="16550650.76"/>
  </r>
  <r>
    <x v="32"/>
    <n v="161524"/>
    <n v="222893"/>
    <n v="384417"/>
    <n v="8148"/>
    <n v="11369"/>
    <n v="19517"/>
    <n v="169672"/>
    <n v="234262"/>
    <n v="403934"/>
    <n v="6041629769"/>
    <n v="8191716339"/>
    <n v="14233346108"/>
    <n v="697485183"/>
    <n v="988420323"/>
    <n v="1685905506"/>
    <n v="6739114952"/>
    <n v="9180136662"/>
    <n v="15919251614"/>
    <n v="79.320558019999993"/>
    <n v="129.01505570699999"/>
    <n v="1.6265021190908662"/>
    <n v="3714492.4055659827"/>
    <n v="5036400.6556467097"/>
    <n v="8750893.0612126924"/>
    <n v="428825.2531695806"/>
    <n v="607696.91683677468"/>
    <n v="1036522.1700063553"/>
    <n v="4143317.658735563"/>
    <n v="5644097.5724834837"/>
    <n v="9787415.2312190477"/>
    <n v="6041629.7690000003"/>
    <n v="8191716.3389999997"/>
    <n v="14233346.107999999"/>
    <n v="697485.18299999996"/>
    <n v="988420.32299999997"/>
    <n v="1685905.5060000001"/>
    <n v="6739114.9519999996"/>
    <n v="9180136.6620000005"/>
    <n v="15919251.614"/>
  </r>
  <r>
    <x v="33"/>
    <n v="161901"/>
    <n v="222010"/>
    <n v="383911"/>
    <n v="8406"/>
    <n v="11684"/>
    <n v="20090"/>
    <n v="170307"/>
    <n v="233694"/>
    <n v="404001"/>
    <n v="5763556123"/>
    <n v="7768121312"/>
    <n v="13531677435"/>
    <n v="601583549"/>
    <n v="844452334"/>
    <n v="1446035883"/>
    <n v="6365139672"/>
    <n v="8612573646"/>
    <n v="14977713318"/>
    <n v="79.573556539999998"/>
    <n v="129.01505570699999"/>
    <n v="1.6213307701302349"/>
    <n v="3554830.5313030216"/>
    <n v="4791200.8179404493"/>
    <n v="8346031.3492434714"/>
    <n v="371043.07158228866"/>
    <n v="520839.02283071371"/>
    <n v="891882.09441300237"/>
    <n v="3925873.6028853101"/>
    <n v="5312039.8407711629"/>
    <n v="9237913.4436564725"/>
    <n v="5763556.1229999997"/>
    <n v="7768121.3119999999"/>
    <n v="13531677.435000001"/>
    <n v="601583.549"/>
    <n v="844452.33400000003"/>
    <n v="1446035.8829999999"/>
    <n v="6365139.6720000003"/>
    <n v="8612573.6459999997"/>
    <n v="14977713.318"/>
  </r>
  <r>
    <x v="34"/>
    <n v="165419"/>
    <n v="223751"/>
    <n v="389170"/>
    <n v="9044"/>
    <n v="12497"/>
    <n v="21541"/>
    <n v="174463"/>
    <n v="236248"/>
    <n v="410711"/>
    <n v="6442570634"/>
    <n v="8385773560"/>
    <n v="14828344194"/>
    <n v="834321983"/>
    <n v="1136068074"/>
    <n v="1970390057"/>
    <n v="7276892617"/>
    <n v="9521841634"/>
    <n v="16798734251"/>
    <n v="79.89172499"/>
    <n v="129.01505570699999"/>
    <n v="1.6148738273350429"/>
    <n v="3989519.5060730525"/>
    <n v="5192835.1417018641"/>
    <n v="9182354.647774918"/>
    <n v="516648.40241843899"/>
    <n v="703502.68533041026"/>
    <n v="1220151.0877488491"/>
    <n v="4506167.9084914913"/>
    <n v="5896337.8270322755"/>
    <n v="10402505.735523766"/>
    <n v="6442570.6339999996"/>
    <n v="8385773.5599999996"/>
    <n v="14828344.194"/>
    <n v="834321.98300000001"/>
    <n v="1136068.074"/>
    <n v="1970390.057"/>
    <n v="7276892.6169999996"/>
    <n v="9521841.6339999996"/>
    <n v="16798734.250999998"/>
  </r>
  <r>
    <x v="35"/>
    <n v="168072"/>
    <n v="229420"/>
    <n v="397492"/>
    <n v="9368"/>
    <n v="13001"/>
    <n v="22369"/>
    <n v="177440"/>
    <n v="242421"/>
    <n v="419861"/>
    <n v="6439677760"/>
    <n v="9001948485"/>
    <n v="15441626245"/>
    <n v="766367074"/>
    <n v="1085237373"/>
    <n v="1851604447"/>
    <n v="7206044834"/>
    <n v="10087185858"/>
    <n v="17293230692"/>
    <n v="80.027305999999996"/>
    <n v="129.01505570699999"/>
    <n v="1.6121379333573966"/>
    <n v="3994495.5247029602"/>
    <n v="5583857.4967669016"/>
    <n v="9578353.0214698613"/>
    <n v="475373.14155494364"/>
    <n v="673166.57622459938"/>
    <n v="1148539.717779543"/>
    <n v="4469868.6662579039"/>
    <n v="6257024.0729915015"/>
    <n v="10726892.739249405"/>
    <n v="6439677.7599999998"/>
    <n v="9001948.4849999994"/>
    <n v="15441626.244999999"/>
    <n v="766367.07400000002"/>
    <n v="1085237.3729999999"/>
    <n v="1851604.4469999999"/>
    <n v="7206044.8339999998"/>
    <n v="10087185.857999999"/>
    <n v="17293230.692000002"/>
  </r>
  <r>
    <x v="36"/>
    <n v="169626"/>
    <n v="232716"/>
    <n v="402342"/>
    <n v="9629"/>
    <n v="13322"/>
    <n v="22951"/>
    <n v="179255"/>
    <n v="246038"/>
    <n v="425293"/>
    <n v="8074691873"/>
    <n v="11131936645"/>
    <n v="19206628518"/>
    <n v="785916326"/>
    <n v="1081480996"/>
    <n v="1867397322"/>
    <n v="8860608199"/>
    <n v="12213417641"/>
    <n v="21074025840"/>
    <n v="80.12891166"/>
    <n v="129.01505570699999"/>
    <n v="1.6100936981951264"/>
    <n v="5015044.7033309443"/>
    <n v="6913843.9939729059"/>
    <n v="11928888.69730385"/>
    <n v="488118.3789993042"/>
    <n v="671688.23604012141"/>
    <n v="1159806.6150394257"/>
    <n v="5503163.0823302483"/>
    <n v="7585532.2300130278"/>
    <n v="13088695.312343275"/>
    <n v="8074691.8729999997"/>
    <n v="11131936.645"/>
    <n v="19206628.517999999"/>
    <n v="785916.326"/>
    <n v="1081480.996"/>
    <n v="1867397.3219999999"/>
    <n v="8860608.1989999991"/>
    <n v="12213417.641000001"/>
    <n v="21074025.84"/>
  </r>
  <r>
    <x v="37"/>
    <n v="172104"/>
    <n v="237643"/>
    <n v="409747"/>
    <n v="9887"/>
    <n v="13665"/>
    <n v="23552"/>
    <n v="181991"/>
    <n v="251308"/>
    <n v="433299"/>
    <n v="8420956934"/>
    <n v="11666210709"/>
    <n v="20087167643"/>
    <n v="819803003"/>
    <n v="1121989017"/>
    <n v="1941792020"/>
    <n v="9240759937"/>
    <n v="12788199726"/>
    <n v="22028959663"/>
    <n v="80.258840259999999"/>
    <n v="129.01505570699999"/>
    <n v="1.6074871663863237"/>
    <n v="5238584.2388593042"/>
    <n v="7257420.745215633"/>
    <n v="12496004.984074937"/>
    <n v="509990.3875705211"/>
    <n v="697976.96707107325"/>
    <n v="1207967.3546415945"/>
    <n v="5748574.626429826"/>
    <n v="7955397.712286707"/>
    <n v="13703972.338716531"/>
    <n v="8420956.9340000004"/>
    <n v="11666210.709000001"/>
    <n v="20087167.642999999"/>
    <n v="819803.00300000003"/>
    <n v="1121989.017"/>
    <n v="1941792.02"/>
    <n v="9240759.9370000008"/>
    <n v="12788199.726"/>
    <n v="22028959.662999999"/>
  </r>
  <r>
    <x v="38"/>
    <n v="171862"/>
    <n v="237602"/>
    <n v="409464"/>
    <n v="9861"/>
    <n v="13650"/>
    <n v="23511"/>
    <n v="181723"/>
    <n v="251252"/>
    <n v="432975"/>
    <n v="7874370677"/>
    <n v="10801076694"/>
    <n v="18675447371"/>
    <n v="736387641"/>
    <n v="1030572640"/>
    <n v="1766960281"/>
    <n v="8610758318"/>
    <n v="11831649334"/>
    <n v="20442407652"/>
    <n v="80.657741869999995"/>
    <n v="129.01505570699999"/>
    <n v="1.5995371642679983"/>
    <n v="4922905.733549227"/>
    <n v="6752626.2817050172"/>
    <n v="11675532.015254244"/>
    <n v="460375.44950510457"/>
    <n v="644294.27650818264"/>
    <n v="1104669.726013287"/>
    <n v="5383281.1830543308"/>
    <n v="7396920.5582131995"/>
    <n v="12780201.74126753"/>
    <n v="7874370.6770000001"/>
    <n v="10801076.694"/>
    <n v="18675447.370999999"/>
    <n v="736387.64099999995"/>
    <n v="1030572.64"/>
    <n v="1766960.281"/>
    <n v="8610758.318"/>
    <n v="11831649.334000001"/>
    <n v="20442407.651999999"/>
  </r>
  <r>
    <x v="39"/>
    <n v="177646"/>
    <n v="244518"/>
    <n v="422164"/>
    <n v="10422"/>
    <n v="14421"/>
    <n v="24843"/>
    <n v="188068"/>
    <n v="258939"/>
    <n v="447007"/>
    <n v="9310324617"/>
    <n v="12331326425"/>
    <n v="21641651042"/>
    <n v="932633139"/>
    <n v="1284272713"/>
    <n v="2216905852"/>
    <n v="10242957756"/>
    <n v="13615599138"/>
    <n v="23858556894"/>
    <n v="81.04926494"/>
    <n v="129.01505570699999"/>
    <n v="1.5918103119443292"/>
    <n v="5848890.7548461789"/>
    <n v="7746731.0850234441"/>
    <n v="13595621.839869624"/>
    <n v="585894.64586444839"/>
    <n v="806800.09632009175"/>
    <n v="1392694.7421845403"/>
    <n v="6434785.4007106274"/>
    <n v="8553531.181343535"/>
    <n v="14988316.582054162"/>
    <n v="9310324.6170000006"/>
    <n v="12331326.425000001"/>
    <n v="21641651.041999999"/>
    <n v="932633.13899999997"/>
    <n v="1284272.713"/>
    <n v="2216905.852"/>
    <n v="10242957.755999999"/>
    <n v="13615599.138"/>
    <n v="23858556.894000001"/>
  </r>
  <r>
    <x v="40"/>
    <n v="177882"/>
    <n v="244805"/>
    <n v="422687"/>
    <n v="10364"/>
    <n v="14395"/>
    <n v="24759"/>
    <n v="188246"/>
    <n v="259200"/>
    <n v="447446"/>
    <n v="8523793522"/>
    <n v="11477395828"/>
    <n v="20001189350"/>
    <n v="780005958"/>
    <n v="1091560498"/>
    <n v="1871566456"/>
    <n v="9303799480"/>
    <n v="12568956326"/>
    <n v="21872755806"/>
    <n v="81.306441989999996"/>
    <n v="129.01505570699999"/>
    <n v="1.5867753224629821"/>
    <n v="5371770.9125759685"/>
    <n v="7233157.5022132704"/>
    <n v="12604928.414789237"/>
    <n v="491566.73094038281"/>
    <n v="687911.18852648092"/>
    <n v="1179477.9194668636"/>
    <n v="5863337.6435163505"/>
    <n v="7921068.6907397509"/>
    <n v="13784406.334256101"/>
    <n v="8523793.5219999999"/>
    <n v="11477395.828"/>
    <n v="20001189.350000001"/>
    <n v="780005.95799999998"/>
    <n v="1091560.4979999999"/>
    <n v="1871566.456"/>
    <n v="9303799.4800000004"/>
    <n v="12568956.325999999"/>
    <n v="21872755.806000002"/>
  </r>
  <r>
    <x v="41"/>
    <n v="183726"/>
    <n v="253065"/>
    <n v="436791"/>
    <n v="10837"/>
    <n v="15067"/>
    <n v="25904"/>
    <n v="194563"/>
    <n v="268132"/>
    <n v="462695"/>
    <n v="9472467759"/>
    <n v="12824071208"/>
    <n v="22296538967"/>
    <n v="956107644"/>
    <n v="1327843193"/>
    <n v="2283950837"/>
    <n v="10428575403"/>
    <n v="14151914401"/>
    <n v="24580489804"/>
    <n v="81.801766929999999"/>
    <n v="129.01505570699999"/>
    <n v="1.5771671022387779"/>
    <n v="6006001.3587361146"/>
    <n v="8131079.5728596672"/>
    <n v="14137080.931595782"/>
    <n v="606218.35355480842"/>
    <n v="841916.61816629057"/>
    <n v="1448134.971721099"/>
    <n v="6612219.7122909222"/>
    <n v="8972996.1910259575"/>
    <n v="15585215.90331688"/>
    <n v="9472467.7589999996"/>
    <n v="12824071.208000001"/>
    <n v="22296538.967"/>
    <n v="956107.64399999997"/>
    <n v="1327843.193"/>
    <n v="2283950.8369999998"/>
    <n v="10428575.403000001"/>
    <n v="14151914.401000001"/>
    <n v="24580489.804000001"/>
  </r>
  <r>
    <x v="42"/>
    <n v="182814"/>
    <n v="252071"/>
    <n v="434885"/>
    <n v="10786"/>
    <n v="15016"/>
    <n v="25802"/>
    <n v="193600"/>
    <n v="267087"/>
    <n v="460687"/>
    <n v="8554672451"/>
    <n v="11273151109"/>
    <n v="19827823560"/>
    <n v="806445767"/>
    <n v="1134397493"/>
    <n v="1940843260"/>
    <n v="9361118218"/>
    <n v="12407548602"/>
    <n v="21768666820"/>
    <n v="81.873765579999997"/>
    <n v="129.01505570699999"/>
    <n v="1.5757801634387707"/>
    <n v="5428848.9279693896"/>
    <n v="7154012.5777437063"/>
    <n v="12582861.505713096"/>
    <n v="511775.55455459043"/>
    <n v="719895.78198804299"/>
    <n v="1231671.3365426334"/>
    <n v="5940624.4825239806"/>
    <n v="7873908.3597317506"/>
    <n v="13814532.84225573"/>
    <n v="8554672.4509999994"/>
    <n v="11273151.108999999"/>
    <n v="19827823.559999999"/>
    <n v="806445.76699999999"/>
    <n v="1134397.493"/>
    <n v="1940843.26"/>
    <n v="9361118.2180000003"/>
    <n v="12407548.602"/>
    <n v="21768666.82"/>
  </r>
  <r>
    <x v="43"/>
    <n v="187623"/>
    <n v="257841"/>
    <n v="445464"/>
    <n v="11407"/>
    <n v="15866"/>
    <n v="27273"/>
    <n v="199030"/>
    <n v="273707"/>
    <n v="472737"/>
    <n v="9425869013"/>
    <n v="12687628673"/>
    <n v="22113497686"/>
    <n v="1037314769"/>
    <n v="1431536124"/>
    <n v="2468850893"/>
    <n v="10463183782"/>
    <n v="14119164797"/>
    <n v="24582348579"/>
    <n v="82.191759719999993"/>
    <n v="129.01505570699999"/>
    <n v="1.5696835807690626"/>
    <n v="6004948.467627991"/>
    <n v="8082921.1877107918"/>
    <n v="14087869.655338783"/>
    <n v="660843.23089610855"/>
    <n v="911990.25175419275"/>
    <n v="1572833.4826503012"/>
    <n v="6665791.6985240998"/>
    <n v="8994911.4394649845"/>
    <n v="15660703.137989085"/>
    <n v="9425869.0130000003"/>
    <n v="12687628.673"/>
    <n v="22113497.686000001"/>
    <n v="1037314.769"/>
    <n v="1431536.1240000001"/>
    <n v="2468850.8930000002"/>
    <n v="10463183.782"/>
    <n v="14119164.797"/>
    <n v="24582348.579"/>
  </r>
  <r>
    <x v="44"/>
    <n v="193233"/>
    <n v="266227"/>
    <n v="459460"/>
    <n v="11662"/>
    <n v="16203"/>
    <n v="27865"/>
    <n v="204895"/>
    <n v="282430"/>
    <n v="487325"/>
    <n v="9493115514"/>
    <n v="13091164983"/>
    <n v="22584280497"/>
    <n v="962925862"/>
    <n v="1327328452"/>
    <n v="2290254314"/>
    <n v="10456041376"/>
    <n v="14418493435"/>
    <n v="24874534811"/>
    <n v="82.325894520000006"/>
    <n v="129.01505570699999"/>
    <n v="1.5671260720484179"/>
    <n v="6057659.1017922265"/>
    <n v="8353613.1626527719"/>
    <n v="14411272.264444999"/>
    <n v="614453.34818617546"/>
    <n v="846982.55977901362"/>
    <n v="1461435.9079651893"/>
    <n v="6672112.4499784019"/>
    <n v="9200595.7224317864"/>
    <n v="15872708.172410188"/>
    <n v="9493115.5140000004"/>
    <n v="13091164.982999999"/>
    <n v="22584280.497000001"/>
    <n v="962925.86199999996"/>
    <n v="1327328.452"/>
    <n v="2290254.3139999998"/>
    <n v="10456041.376"/>
    <n v="14418493.435000001"/>
    <n v="24874534.811000001"/>
  </r>
  <r>
    <x v="45"/>
    <n v="195360"/>
    <n v="268907"/>
    <n v="464267"/>
    <n v="12056"/>
    <n v="16729"/>
    <n v="28785"/>
    <n v="207416"/>
    <n v="285636"/>
    <n v="493052"/>
    <n v="9138591962"/>
    <n v="12376984071"/>
    <n v="21515576033"/>
    <n v="966805724"/>
    <n v="1353401746"/>
    <n v="2320207470"/>
    <n v="10105397686"/>
    <n v="13730385817"/>
    <n v="23835783503"/>
    <n v="82.367637090000002"/>
    <n v="129.01505570699999"/>
    <n v="1.5663318782112217"/>
    <n v="5834390.5842205239"/>
    <n v="7901891.1912427731"/>
    <n v="13736281.775463296"/>
    <n v="617241.93796279561"/>
    <n v="864058.09958079143"/>
    <n v="1481300.0375435872"/>
    <n v="6451632.5221833196"/>
    <n v="8765949.2908235639"/>
    <n v="15217581.813006883"/>
    <n v="9138591.9619999994"/>
    <n v="12376984.071"/>
    <n v="21515576.033"/>
    <n v="966805.72400000005"/>
    <n v="1353401.746"/>
    <n v="2320207.4700000002"/>
    <n v="10105397.686000001"/>
    <n v="13730385.817"/>
    <n v="23835783.502999999"/>
  </r>
  <r>
    <x v="46"/>
    <n v="198501"/>
    <n v="273881"/>
    <n v="472382"/>
    <n v="12311"/>
    <n v="17101"/>
    <n v="29412"/>
    <n v="210812"/>
    <n v="290982"/>
    <n v="501794"/>
    <n v="9569241176"/>
    <n v="13076498553"/>
    <n v="22645739729"/>
    <n v="994775129"/>
    <n v="1386578179"/>
    <n v="2381353308"/>
    <n v="10564016305"/>
    <n v="14463076732"/>
    <n v="25027093037"/>
    <n v="82.392904430000002"/>
    <n v="129.01505570699999"/>
    <n v="1.5658515329631277"/>
    <n v="6111205.9314408405"/>
    <n v="8351046.2376051601"/>
    <n v="14462252.169046002"/>
    <n v="635293.39024725067"/>
    <n v="885510.63099585113"/>
    <n v="1520804.0212431019"/>
    <n v="6746499.3216880923"/>
    <n v="9236556.8686010111"/>
    <n v="15983056.190289102"/>
    <n v="9569241.1760000009"/>
    <n v="13076498.552999999"/>
    <n v="22645739.728999998"/>
    <n v="994775.12899999996"/>
    <n v="1386578.179"/>
    <n v="2381353.3080000002"/>
    <n v="10564016.305"/>
    <n v="14463076.732000001"/>
    <n v="25027093.037"/>
  </r>
  <r>
    <x v="47"/>
    <n v="201334"/>
    <n v="279232"/>
    <n v="480566"/>
    <n v="12603"/>
    <n v="17619"/>
    <n v="30222"/>
    <n v="213937"/>
    <n v="296851"/>
    <n v="510788"/>
    <n v="9544139413"/>
    <n v="13266851407"/>
    <n v="22810990820"/>
    <n v="1020063631"/>
    <n v="1412549894"/>
    <n v="2432613525"/>
    <n v="10564203044"/>
    <n v="14679401301"/>
    <n v="25243604345"/>
    <n v="82.148900620000006"/>
    <n v="129.01505570699999"/>
    <n v="1.570502523263104"/>
    <n v="6077124.5328340577"/>
    <n v="8447519.9565008432"/>
    <n v="14524644.4893349"/>
    <n v="649514.16243545269"/>
    <n v="899425.42153009807"/>
    <n v="1548939.5839655506"/>
    <n v="6726638.6952695101"/>
    <n v="9346945.3780309409"/>
    <n v="16073584.073300451"/>
    <n v="9544139.4130000006"/>
    <n v="13266851.407"/>
    <n v="22810990.82"/>
    <n v="1020063.6310000001"/>
    <n v="1412549.8940000001"/>
    <n v="2432613.5249999999"/>
    <n v="10564203.044"/>
    <n v="14679401.301000001"/>
    <n v="25243604.344999999"/>
  </r>
  <r>
    <x v="48"/>
    <n v="202381"/>
    <n v="276215"/>
    <n v="478596"/>
    <n v="12634"/>
    <n v="17698"/>
    <n v="30332"/>
    <n v="215015"/>
    <n v="293913"/>
    <n v="508928"/>
    <n v="9885448001"/>
    <n v="13383284857"/>
    <n v="23268732858"/>
    <n v="1036291517"/>
    <n v="1442595267"/>
    <n v="2478886784"/>
    <n v="10921739518"/>
    <n v="14825880124"/>
    <n v="25747619642"/>
    <n v="82.138100140000006"/>
    <n v="129.01505570699999"/>
    <n v="1.5707090313399106"/>
    <n v="6293621.4179446781"/>
    <n v="8520537.2796406727"/>
    <n v="14814158.697585352"/>
    <n v="659760.33518823038"/>
    <n v="918435.71165397728"/>
    <n v="1578196.0468422077"/>
    <n v="6953381.7531329086"/>
    <n v="9438972.9912946504"/>
    <n v="16392354.74442756"/>
    <n v="9885448.0010000002"/>
    <n v="13383284.857000001"/>
    <n v="23268732.857999999"/>
    <n v="1036291.517"/>
    <n v="1442595.267"/>
    <n v="2478886.784"/>
    <n v="10921739.517999999"/>
    <n v="14825880.124"/>
    <n v="25747619.642000001"/>
  </r>
  <r>
    <x v="49"/>
    <n v="207070"/>
    <n v="282810"/>
    <n v="489880"/>
    <n v="19160"/>
    <n v="23663"/>
    <n v="42823"/>
    <n v="226230"/>
    <n v="306473"/>
    <n v="532703"/>
    <n v="10303166095"/>
    <n v="13990675440"/>
    <n v="24293841535"/>
    <n v="1516749480"/>
    <n v="1912333246"/>
    <n v="3429082726"/>
    <n v="11819915575"/>
    <n v="15903008686"/>
    <n v="27722924261"/>
    <n v="82.319750740000003"/>
    <n v="129.01505570699999"/>
    <n v="1.5672430315597428"/>
    <n v="6574070.4456960587"/>
    <n v="8926934.2139465623"/>
    <n v="15501004.659642622"/>
    <n v="967781.9262597129"/>
    <n v="1220189.3436379288"/>
    <n v="2187971.2698976416"/>
    <n v="7541852.371955771"/>
    <n v="10147123.557584492"/>
    <n v="17688975.929540265"/>
    <n v="10303166.095000001"/>
    <n v="13990675.439999999"/>
    <n v="24293841.535"/>
    <n v="1516749.48"/>
    <n v="1912333.246"/>
    <n v="3429082.7259999998"/>
    <n v="11819915.574999999"/>
    <n v="15903008.686000001"/>
    <n v="27722924.261"/>
  </r>
  <r>
    <x v="50"/>
    <n v="211511"/>
    <n v="287696"/>
    <n v="499207"/>
    <n v="19316"/>
    <n v="23918"/>
    <n v="43234"/>
    <n v="230827"/>
    <n v="311614"/>
    <n v="542441"/>
    <n v="10442705949"/>
    <n v="14069211757"/>
    <n v="24511917706"/>
    <n v="1552793889"/>
    <n v="1914024118"/>
    <n v="3466818007"/>
    <n v="11995499838"/>
    <n v="15983235875"/>
    <n v="27978735713"/>
    <n v="82.952428870000006"/>
    <n v="129.01505570699999"/>
    <n v="1.5552896698080731"/>
    <n v="6714315.7649138486"/>
    <n v="9046039.4806944076"/>
    <n v="15760355.245608257"/>
    <n v="998395.29519386496"/>
    <n v="1230654.4273750598"/>
    <n v="2229049.722568925"/>
    <n v="7712711.0601077136"/>
    <n v="10276693.908069467"/>
    <n v="17989404.968177181"/>
    <n v="10442705.948999999"/>
    <n v="14069211.756999999"/>
    <n v="24511917.706"/>
    <n v="1552793.889"/>
    <n v="1914024.118"/>
    <n v="3466818.0070000002"/>
    <n v="11995499.838"/>
    <n v="15983235.875"/>
    <n v="27978735.713"/>
  </r>
  <r>
    <x v="51"/>
    <n v="216179"/>
    <n v="294781"/>
    <n v="510960"/>
    <n v="18437"/>
    <n v="22975"/>
    <n v="41412"/>
    <n v="234616"/>
    <n v="317756"/>
    <n v="552372"/>
    <n v="10722556332"/>
    <n v="14684423467"/>
    <n v="25406979799"/>
    <n v="1473349714"/>
    <n v="1863965471"/>
    <n v="3337315185"/>
    <n v="12195906046"/>
    <n v="16548388938"/>
    <n v="28744294984"/>
    <n v="83.415861460000002"/>
    <n v="129.01505570699999"/>
    <n v="1.5466489639846965"/>
    <n v="6932766.6339846309"/>
    <n v="9494347.9800147433"/>
    <n v="16427114.613999374"/>
    <n v="952607.70110636321"/>
    <n v="1205163.882952333"/>
    <n v="2157771.5840586964"/>
    <n v="7885374.335090993"/>
    <n v="10699511.862967078"/>
    <n v="18584886.198058072"/>
    <n v="10722556.332"/>
    <n v="14684423.467"/>
    <n v="25406979.798999999"/>
    <n v="1473349.7139999999"/>
    <n v="1863965.4709999999"/>
    <n v="3337315.1850000001"/>
    <n v="12195906.046"/>
    <n v="16548388.937999999"/>
    <n v="28744294.984000001"/>
  </r>
  <r>
    <x v="52"/>
    <n v="223185"/>
    <n v="303521"/>
    <n v="526706"/>
    <n v="16946"/>
    <n v="21524"/>
    <n v="38470"/>
    <n v="240131"/>
    <n v="325045"/>
    <n v="565176"/>
    <n v="11120846161"/>
    <n v="15047736121"/>
    <n v="26168582282"/>
    <n v="1317267708"/>
    <n v="1709710864"/>
    <n v="3026978572"/>
    <n v="12438113869"/>
    <n v="16757446985"/>
    <n v="29195560854"/>
    <n v="83.040174840000006"/>
    <n v="129.01505570699999"/>
    <n v="1.5536462435873164"/>
    <n v="7157901.1032281993"/>
    <n v="9685432.6930017788"/>
    <n v="16843333.796229977"/>
    <n v="847855.62571726344"/>
    <n v="1100450.5504755934"/>
    <n v="1948306.1761928569"/>
    <n v="8005756.728945463"/>
    <n v="10785883.243477372"/>
    <n v="18791639.972422834"/>
    <n v="11120846.161"/>
    <n v="15047736.120999999"/>
    <n v="26168582.282000002"/>
    <n v="1317267.7080000001"/>
    <n v="1709710.8640000001"/>
    <n v="3026978.5720000002"/>
    <n v="12438113.869000001"/>
    <n v="16757446.984999999"/>
    <n v="29195560.853999998"/>
  </r>
  <r>
    <x v="53"/>
    <n v="227534"/>
    <n v="312354"/>
    <n v="539888"/>
    <n v="17699"/>
    <n v="22465"/>
    <n v="40164"/>
    <n v="245233"/>
    <n v="334819"/>
    <n v="580052"/>
    <n v="11110423657"/>
    <n v="15379786630"/>
    <n v="26490210287"/>
    <n v="1421339906"/>
    <n v="1849911610"/>
    <n v="3271251516"/>
    <n v="12531763563"/>
    <n v="17229698240"/>
    <n v="29761461803"/>
    <n v="83.01813027"/>
    <n v="129.01505570699999"/>
    <n v="1.5540587976072711"/>
    <n v="7149294.2700149594"/>
    <n v="9896528.1453183815"/>
    <n v="17045822.415333338"/>
    <n v="914598.53912116215"/>
    <n v="1190374.2720984835"/>
    <n v="2104972.8112196457"/>
    <n v="8063892.8091361215"/>
    <n v="11086902.417416865"/>
    <n v="19150795.226552986"/>
    <n v="11110423.657"/>
    <n v="15379786.630000001"/>
    <n v="26490210.287"/>
    <n v="1421339.906"/>
    <n v="1849911.61"/>
    <n v="3271251.5159999998"/>
    <n v="12531763.562999999"/>
    <n v="17229698.239999998"/>
    <n v="29761461.802999999"/>
  </r>
  <r>
    <x v="54"/>
    <n v="230222"/>
    <n v="316102"/>
    <n v="546324"/>
    <n v="18080"/>
    <n v="22998"/>
    <n v="41078"/>
    <n v="248302"/>
    <n v="339100"/>
    <n v="587402"/>
    <n v="11117546098"/>
    <n v="15155009141"/>
    <n v="26272555239"/>
    <n v="1422533870"/>
    <n v="1842425649"/>
    <n v="3264959519"/>
    <n v="12540079968"/>
    <n v="16997434790"/>
    <n v="29537514758"/>
    <n v="83.165705209999999"/>
    <n v="129.01505570699999"/>
    <n v="1.5513011689280665"/>
    <n v="7166594.2891554143"/>
    <n v="9769224.3418290969"/>
    <n v="16935818.630984511"/>
    <n v="916994.00380324386"/>
    <n v="1187664.7074746278"/>
    <n v="2104658.7112778714"/>
    <n v="8083588.2929586582"/>
    <n v="10956889.049303725"/>
    <n v="19040477.342262384"/>
    <n v="11117546.097999999"/>
    <n v="15155009.141000001"/>
    <n v="26272555.239"/>
    <n v="1422533.87"/>
    <n v="1842425.649"/>
    <n v="3264959.5189999999"/>
    <n v="12540079.968"/>
    <n v="16997434.789999999"/>
    <n v="29537514.758000001"/>
  </r>
  <r>
    <x v="55"/>
    <n v="231652"/>
    <n v="318370"/>
    <n v="550022"/>
    <n v="18243"/>
    <n v="23375"/>
    <n v="41618"/>
    <n v="249895"/>
    <n v="341745"/>
    <n v="591640"/>
    <n v="11012384293"/>
    <n v="14937260643"/>
    <n v="25949644936"/>
    <n v="1419562821"/>
    <n v="1863082623"/>
    <n v="3282645444"/>
    <n v="12431947114"/>
    <n v="16800343266"/>
    <n v="29232290380"/>
    <n v="83.263245900000001"/>
    <n v="129.01505570699999"/>
    <n v="1.5494838606454087"/>
    <n v="7107130.685706527"/>
    <n v="9640152.4548814353"/>
    <n v="16747283.140587963"/>
    <n v="916152.0536320447"/>
    <n v="1202389.1763699737"/>
    <n v="2118541.2300020182"/>
    <n v="8023282.7393385712"/>
    <n v="10842541.63125141"/>
    <n v="18865824.370589983"/>
    <n v="11012384.293"/>
    <n v="14937260.642999999"/>
    <n v="25949644.936000001"/>
    <n v="1419562.821"/>
    <n v="1863082.6229999999"/>
    <n v="3282645.4440000001"/>
    <n v="12431947.114"/>
    <n v="16800343.265999999"/>
    <n v="29232290.379999999"/>
  </r>
  <r>
    <x v="56"/>
    <n v="233004"/>
    <n v="320652"/>
    <n v="553656"/>
    <n v="18581"/>
    <n v="23775"/>
    <n v="42356"/>
    <n v="251585"/>
    <n v="344427"/>
    <n v="596012"/>
    <n v="11135083166"/>
    <n v="15129817061"/>
    <n v="26264900227"/>
    <n v="1437877771"/>
    <n v="1887289306"/>
    <n v="3325167077"/>
    <n v="12572960937"/>
    <n v="17017106367"/>
    <n v="29590067304"/>
    <n v="83.582810629999997"/>
    <n v="129.01505570699999"/>
    <n v="1.5435596713553588"/>
    <n v="7213898.7385065453"/>
    <n v="9801899.6879562866"/>
    <n v="17015798.426462833"/>
    <n v="931533.64763503941"/>
    <n v="1222686.3275993867"/>
    <n v="2154219.9752344261"/>
    <n v="8145432.3861415843"/>
    <n v="11024586.015555674"/>
    <n v="19170018.401697259"/>
    <n v="11135083.165999999"/>
    <n v="15129817.061000001"/>
    <n v="26264900.227000002"/>
    <n v="1437877.7709999999"/>
    <n v="1887289.3060000001"/>
    <n v="3325167.077"/>
    <n v="12572960.937000001"/>
    <n v="17017106.366999999"/>
    <n v="29590067.304000001"/>
  </r>
  <r>
    <x v="57"/>
    <n v="234782"/>
    <n v="322878"/>
    <n v="557660"/>
    <n v="18856"/>
    <n v="24167"/>
    <n v="43023"/>
    <n v="253638"/>
    <n v="347045"/>
    <n v="600683"/>
    <n v="11175832334"/>
    <n v="15261790780"/>
    <n v="26437623114"/>
    <n v="1456472347"/>
    <n v="1909986928"/>
    <n v="3366459275"/>
    <n v="12632304681"/>
    <n v="17171777708"/>
    <n v="29804082389"/>
    <n v="83.178496589999995"/>
    <n v="129.01505570699999"/>
    <n v="1.5510626062759425"/>
    <n v="7205274.8153298972"/>
    <n v="9839571.0903269909"/>
    <n v="17044845.905656885"/>
    <n v="939015.83411706961"/>
    <n v="1231405.4379699246"/>
    <n v="2170421.2720869943"/>
    <n v="8144290.6494469661"/>
    <n v="11070976.528296916"/>
    <n v="19215267.177743882"/>
    <n v="11175832.334000001"/>
    <n v="15261790.779999999"/>
    <n v="26437623.114"/>
    <n v="1456472.3470000001"/>
    <n v="1909986.9280000001"/>
    <n v="3366459.2749999999"/>
    <n v="12632304.681"/>
    <n v="17171777.708000001"/>
    <n v="29804082.388999999"/>
  </r>
  <r>
    <x v="58"/>
    <n v="234339"/>
    <n v="323526"/>
    <n v="557865"/>
    <n v="20403"/>
    <n v="25946"/>
    <n v="46349"/>
    <n v="254742"/>
    <n v="349472"/>
    <n v="604214"/>
    <n v="11166313655"/>
    <n v="15231414180"/>
    <n v="26397727835"/>
    <n v="1576561504"/>
    <n v="2045467379"/>
    <n v="3622028883"/>
    <n v="12742875159"/>
    <n v="17276881559"/>
    <n v="30019756718"/>
    <n v="83.171387879999997"/>
    <n v="129.01505570699999"/>
    <n v="1.5511951765569119"/>
    <n v="7198522.6770657888"/>
    <n v="9819147.4613840599"/>
    <n v="17017670.138449848"/>
    <n v="1016352.7632282819"/>
    <n v="1318639.5947544088"/>
    <n v="2334992.3579826909"/>
    <n v="8214875.4402940702"/>
    <n v="11137787.056138469"/>
    <n v="19352662.496432539"/>
    <n v="11166313.654999999"/>
    <n v="15231414.18"/>
    <n v="26397727.835000001"/>
    <n v="1576561.504"/>
    <n v="2045467.379"/>
    <n v="3622028.8829999999"/>
    <n v="12742875.159"/>
    <n v="17276881.559"/>
    <n v="30019756.717999998"/>
  </r>
  <r>
    <x v="59"/>
    <n v="235609"/>
    <n v="325229"/>
    <n v="560838"/>
    <n v="20883"/>
    <n v="26338"/>
    <n v="47221"/>
    <n v="256492"/>
    <n v="351567"/>
    <n v="608059"/>
    <n v="11208011100"/>
    <n v="15283216640"/>
    <n v="26491227740"/>
    <n v="1622885009"/>
    <n v="2081801552"/>
    <n v="3704686561"/>
    <n v="12830896109"/>
    <n v="17365018192"/>
    <n v="30195914301"/>
    <n v="83.703907880000003"/>
    <n v="129.01505570699999"/>
    <n v="1.5413265518255035"/>
    <n v="7271665.4927702043"/>
    <n v="9915625.3565469254"/>
    <n v="17187290.84931713"/>
    <n v="1052914.4567566821"/>
    <n v="1350655.7384185547"/>
    <n v="2403570.1951752366"/>
    <n v="8324579.9495268874"/>
    <n v="11266281.094965478"/>
    <n v="19590861.044492368"/>
    <n v="11208011.1"/>
    <n v="15283216.640000001"/>
    <n v="26491227.739999998"/>
    <n v="1622885.0090000001"/>
    <n v="2081801.5519999999"/>
    <n v="3704686.5610000002"/>
    <n v="12830896.108999999"/>
    <n v="17365018.192000002"/>
    <n v="30195914.300999999"/>
  </r>
  <r>
    <x v="60"/>
    <n v="237441"/>
    <n v="327498"/>
    <n v="564939"/>
    <n v="21252"/>
    <n v="26760"/>
    <n v="48012"/>
    <n v="258693"/>
    <n v="354258"/>
    <n v="612951"/>
    <n v="11493164507"/>
    <n v="15640317400"/>
    <n v="27133481907"/>
    <n v="1649866295"/>
    <n v="2123471783"/>
    <n v="3773338078"/>
    <n v="13143030802"/>
    <n v="17763789183"/>
    <n v="30906819985"/>
    <n v="83.922140080000005"/>
    <n v="129.01505570699999"/>
    <n v="1.5373184666646311"/>
    <n v="7476111.6555996304"/>
    <n v="10173765.383781059"/>
    <n v="17649877.039380688"/>
    <n v="1073210.4835633393"/>
    <n v="1381282.9475776013"/>
    <n v="2454493.4311409406"/>
    <n v="8549322.1391629688"/>
    <n v="11555048.33135866"/>
    <n v="20104370.470521629"/>
    <n v="11493164.506999999"/>
    <n v="15640317.4"/>
    <n v="27133481.907000002"/>
    <n v="1649866.2949999999"/>
    <n v="2123471.7829999998"/>
    <n v="3773338.0780000002"/>
    <n v="13143030.801999999"/>
    <n v="17763789.182999998"/>
    <n v="30906819.984999999"/>
  </r>
  <r>
    <x v="61"/>
    <n v="239444"/>
    <n v="329632"/>
    <n v="569076"/>
    <n v="21757"/>
    <n v="27306"/>
    <n v="49063"/>
    <n v="261201"/>
    <n v="356938"/>
    <n v="618139"/>
    <n v="11811438084"/>
    <n v="16056738143"/>
    <n v="27868176227"/>
    <n v="1704041082"/>
    <n v="2174239917"/>
    <n v="3878280999"/>
    <n v="13515479166"/>
    <n v="18230978060"/>
    <n v="31746457226"/>
    <n v="84.124094580000005"/>
    <n v="129.01505570699999"/>
    <n v="1.5336278666786689"/>
    <n v="7701632.4107227335"/>
    <n v="10469774.638207108"/>
    <n v="18171407.04892984"/>
    <n v="1111117.7092069862"/>
    <n v="1417710.2309106349"/>
    <n v="2528827.9401176209"/>
    <n v="8812750.1199297197"/>
    <n v="11887484.869117742"/>
    <n v="20700234.989047464"/>
    <n v="11811438.084000001"/>
    <n v="16056738.142999999"/>
    <n v="27868176.227000002"/>
    <n v="1704041.0819999999"/>
    <n v="2174239.9169999999"/>
    <n v="3878280.9989999998"/>
    <n v="13515479.165999999"/>
    <n v="18230978.059999999"/>
    <n v="31746457.226"/>
  </r>
  <r>
    <x v="62"/>
    <n v="241073"/>
    <n v="331319"/>
    <n v="572392"/>
    <n v="22887"/>
    <n v="28726"/>
    <n v="51613"/>
    <n v="263960"/>
    <n v="360045"/>
    <n v="624005"/>
    <n v="12125554197"/>
    <n v="16424761711"/>
    <n v="28550315908"/>
    <n v="1848895693"/>
    <n v="2359518320"/>
    <n v="4208414013"/>
    <n v="13974449890"/>
    <n v="18784280031"/>
    <n v="32758729921"/>
    <n v="84.57561853"/>
    <n v="129.01505570699999"/>
    <n v="1.5254402858577591"/>
    <n v="7948888.1403061729"/>
    <n v="10767226.920170337"/>
    <n v="18716115.060476508"/>
    <n v="1212040.6876237448"/>
    <n v="1546778.554280305"/>
    <n v="2758819.2419040496"/>
    <n v="9160928.8279299177"/>
    <n v="12314005.474450644"/>
    <n v="21474934.302380562"/>
    <n v="12125554.197000001"/>
    <n v="16424761.710999999"/>
    <n v="28550315.908"/>
    <n v="1848895.693"/>
    <n v="2359518.3199999998"/>
    <n v="4208414.0130000003"/>
    <n v="13974449.890000001"/>
    <n v="18784280.030999999"/>
    <n v="32758729.921"/>
  </r>
  <r>
    <x v="63"/>
    <n v="242881"/>
    <n v="333585"/>
    <n v="576466"/>
    <n v="23639"/>
    <n v="29640"/>
    <n v="53279"/>
    <n v="266520"/>
    <n v="363225"/>
    <n v="629745"/>
    <n v="12175806493"/>
    <n v="16533519283"/>
    <n v="28709325776"/>
    <n v="1928986719"/>
    <n v="2516117456"/>
    <n v="4445104175"/>
    <n v="14104793212"/>
    <n v="19049636739"/>
    <n v="33154429951"/>
    <n v="84.696262430000004"/>
    <n v="129.01505570699999"/>
    <n v="1.5232674028990205"/>
    <n v="7993216.7325497158"/>
    <n v="10853983.516967593"/>
    <n v="18847200.249517307"/>
    <n v="1266348.059000561"/>
    <n v="1651789.732525903"/>
    <n v="2918137.7915264638"/>
    <n v="9259564.7915502749"/>
    <n v="12505773.249493495"/>
    <n v="21765338.04104377"/>
    <n v="12175806.493000001"/>
    <n v="16533519.283"/>
    <n v="28709325.776000001"/>
    <n v="1928986.719"/>
    <n v="2516117.4559999998"/>
    <n v="4445104.1749999998"/>
    <n v="14104793.211999999"/>
    <n v="19049636.739"/>
    <n v="33154429.951000001"/>
  </r>
  <r>
    <x v="64"/>
    <n v="245366"/>
    <n v="336778"/>
    <n v="582144"/>
    <n v="23904"/>
    <n v="30000"/>
    <n v="53904"/>
    <n v="269270"/>
    <n v="366778"/>
    <n v="636048"/>
    <n v="12291361639"/>
    <n v="16747936438"/>
    <n v="29039298077"/>
    <n v="1904563206"/>
    <n v="2441689977"/>
    <n v="4346253183"/>
    <n v="14195924845"/>
    <n v="19189626415"/>
    <n v="33385551260"/>
    <n v="85.011592280000002"/>
    <n v="129.01505570699999"/>
    <n v="1.5176172125098795"/>
    <n v="8099118.4981832076"/>
    <n v="11035679.023633223"/>
    <n v="19134797.521816429"/>
    <n v="1254969.4285887666"/>
    <n v="1608897.1295745005"/>
    <n v="2863866.5581632671"/>
    <n v="9354087.9267719723"/>
    <n v="12644576.153207723"/>
    <n v="21998664.079979699"/>
    <n v="12291361.639"/>
    <n v="16747936.437999999"/>
    <n v="29039298.077"/>
    <n v="1904563.206"/>
    <n v="2441689.977"/>
    <n v="4346253.1830000002"/>
    <n v="14195924.845000001"/>
    <n v="19189626.414999999"/>
    <n v="33385551.260000002"/>
  </r>
  <r>
    <x v="65"/>
    <n v="247347"/>
    <n v="339536"/>
    <n v="586883"/>
    <n v="24221"/>
    <n v="30254"/>
    <n v="54475"/>
    <n v="271568"/>
    <n v="369790"/>
    <n v="641358"/>
    <n v="12384592756"/>
    <n v="16901835812"/>
    <n v="29286428568"/>
    <n v="1921108466"/>
    <n v="2443637139"/>
    <n v="4364745605"/>
    <n v="14305701222"/>
    <n v="19345472951"/>
    <n v="33651174173"/>
    <n v="85.520646979999995"/>
    <n v="129.01505570699999"/>
    <n v="1.5085837194048786"/>
    <n v="8209416.9496178841"/>
    <n v="11203777.15508398"/>
    <n v="19413194.104701865"/>
    <n v="1273451.6760911741"/>
    <n v="1619822.0274868079"/>
    <n v="2893273.7035779818"/>
    <n v="9482868.6257090587"/>
    <n v="12823599.182570787"/>
    <n v="22306467.808279846"/>
    <n v="12384592.755999999"/>
    <n v="16901835.811999999"/>
    <n v="29286428.568"/>
    <n v="1921108.466"/>
    <n v="2443637.139"/>
    <n v="4364745.6050000004"/>
    <n v="14305701.221999999"/>
    <n v="19345472.951000001"/>
    <n v="33651174.173"/>
  </r>
  <r>
    <x v="66"/>
    <n v="250199"/>
    <n v="343977"/>
    <n v="594176"/>
    <n v="24692"/>
    <n v="30730"/>
    <n v="55422"/>
    <n v="274891"/>
    <n v="374707"/>
    <n v="649598"/>
    <n v="12425191925"/>
    <n v="17017659096"/>
    <n v="29442851021"/>
    <n v="1967140496"/>
    <n v="2491701375"/>
    <n v="4458841871"/>
    <n v="14392332421"/>
    <n v="19509360471"/>
    <n v="33901692892"/>
    <n v="85.673733110000001"/>
    <n v="129.01505570699999"/>
    <n v="1.5058881062338243"/>
    <n v="8251072.4890941521"/>
    <n v="11300746.068418453"/>
    <n v="19551818.557512604"/>
    <n v="1306299.2448487773"/>
    <n v="1654639.1227112229"/>
    <n v="2960938.3675600006"/>
    <n v="9557371.7339429297"/>
    <n v="12955385.191129677"/>
    <n v="22512756.925072607"/>
    <n v="12425191.925000001"/>
    <n v="17017659.096000001"/>
    <n v="29442851.021000002"/>
    <n v="1967140.496"/>
    <n v="2491701.375"/>
    <n v="4458841.8710000003"/>
    <n v="14392332.421"/>
    <n v="19509360.471000001"/>
    <n v="33901692.891999997"/>
  </r>
  <r>
    <x v="67"/>
    <n v="250279"/>
    <n v="345030"/>
    <n v="595309"/>
    <n v="25927"/>
    <n v="31813"/>
    <n v="57740"/>
    <n v="276206"/>
    <n v="376843"/>
    <n v="653049"/>
    <n v="12407675955"/>
    <n v="16889411190"/>
    <n v="29297087145"/>
    <n v="2087722716"/>
    <n v="2646217919"/>
    <n v="4733940635"/>
    <n v="14495398671"/>
    <n v="19535629109"/>
    <n v="34031027780"/>
    <n v="86.090680660000004"/>
    <n v="129.01505570699999"/>
    <n v="1.4985949085072547"/>
    <n v="8279539.6438115779"/>
    <n v="11270164.534873193"/>
    <n v="19549704.178684771"/>
    <n v="1393120.1181509241"/>
    <n v="1765799.3524319984"/>
    <n v="3158919.4705829225"/>
    <n v="9672659.7619625013"/>
    <n v="13035963.887305191"/>
    <n v="22708623.649267692"/>
    <n v="12407675.955"/>
    <n v="16889411.190000001"/>
    <n v="29297087.145"/>
    <n v="2087722.716"/>
    <n v="2646217.9190000002"/>
    <n v="4733940.6349999998"/>
    <n v="14495398.671"/>
    <n v="19535629.109000001"/>
    <n v="34031027.780000001"/>
  </r>
  <r>
    <x v="68"/>
    <n v="251731"/>
    <n v="347209"/>
    <n v="598940"/>
    <n v="26144"/>
    <n v="32148"/>
    <n v="58292"/>
    <n v="277875"/>
    <n v="379357"/>
    <n v="657232"/>
    <n v="12491475307"/>
    <n v="17010565615"/>
    <n v="29502040922"/>
    <n v="2094060488"/>
    <n v="2667664351"/>
    <n v="4761724839"/>
    <n v="14585535795"/>
    <n v="19678229966"/>
    <n v="34263765761"/>
    <n v="86.811527290000001"/>
    <n v="129.01505570699999"/>
    <n v="1.4861512028928616"/>
    <n v="8405251.9573276062"/>
    <n v="11446053.12157212"/>
    <n v="19851305.078899726"/>
    <n v="1409049.4183390054"/>
    <n v="1795015.4370613627"/>
    <n v="3204064.8554003681"/>
    <n v="9814301.3756666109"/>
    <n v="13241068.558633482"/>
    <n v="23055369.934300095"/>
    <n v="12491475.307"/>
    <n v="17010565.614999998"/>
    <n v="29502040.921999998"/>
    <n v="2094060.4879999999"/>
    <n v="2667664.3509999998"/>
    <n v="4761724.8389999997"/>
    <n v="14585535.795"/>
    <n v="19678229.965999998"/>
    <n v="34263765.761"/>
  </r>
  <r>
    <x v="69"/>
    <n v="253310"/>
    <n v="348949"/>
    <n v="602259"/>
    <n v="26100"/>
    <n v="32204"/>
    <n v="58304"/>
    <n v="279410"/>
    <n v="381153"/>
    <n v="660563"/>
    <n v="12560923931"/>
    <n v="17049109342"/>
    <n v="29610033273"/>
    <n v="2062958971"/>
    <n v="2612728784"/>
    <n v="4675687755"/>
    <n v="14623882902"/>
    <n v="19661838126"/>
    <n v="34285721028"/>
    <n v="87.350598349999999"/>
    <n v="129.01505570699999"/>
    <n v="1.476979644604804"/>
    <n v="8504466.5150824953"/>
    <n v="11543225.666161321"/>
    <n v="20047692.181243815"/>
    <n v="1396741.6399648397"/>
    <n v="1768967.3608867431"/>
    <n v="3165709.0008515832"/>
    <n v="9901208.1550473347"/>
    <n v="13312193.027048063"/>
    <n v="23213401.182095397"/>
    <n v="12560923.931"/>
    <n v="17049109.342"/>
    <n v="29610033.272999998"/>
    <n v="2062958.9709999999"/>
    <n v="2612728.784"/>
    <n v="4675687.7549999999"/>
    <n v="14623882.902000001"/>
    <n v="19661838.125999998"/>
    <n v="34285721.027999997"/>
  </r>
  <r>
    <x v="70"/>
    <n v="254716"/>
    <n v="350968"/>
    <n v="605684"/>
    <n v="26240"/>
    <n v="32394"/>
    <n v="58634"/>
    <n v="280956"/>
    <n v="383362"/>
    <n v="664318"/>
    <n v="12637621505"/>
    <n v="17198754387"/>
    <n v="29836375892"/>
    <n v="2074013047"/>
    <n v="2631893554"/>
    <n v="4705906601"/>
    <n v="14711634552"/>
    <n v="19830647941"/>
    <n v="34542282493"/>
    <n v="87.645523609999998"/>
    <n v="129.01505570699999"/>
    <n v="1.4720096405731313"/>
    <n v="8585284.4687073547"/>
    <n v="11683859.883080395"/>
    <n v="20269144.35178775"/>
    <n v="1408967.0270043046"/>
    <n v="1787959.4545150292"/>
    <n v="3196926.481519334"/>
    <n v="9994251.49571166"/>
    <n v="13471819.337595426"/>
    <n v="23466070.833307084"/>
    <n v="12637621.505000001"/>
    <n v="17198754.386999998"/>
    <n v="29836375.892000001"/>
    <n v="2074013.047"/>
    <n v="2631893.554"/>
    <n v="4705906.6009999998"/>
    <n v="14711634.551999999"/>
    <n v="19830647.941"/>
    <n v="34542282.493000001"/>
  </r>
  <r>
    <x v="71"/>
    <n v="256647"/>
    <n v="353222"/>
    <n v="609869"/>
    <n v="26540"/>
    <n v="32788"/>
    <n v="59328"/>
    <n v="283187"/>
    <n v="386010"/>
    <n v="669197"/>
    <n v="12939953055"/>
    <n v="17558967081"/>
    <n v="30498920136"/>
    <n v="2098754357"/>
    <n v="2689859362"/>
    <n v="4788613719"/>
    <n v="15038707412"/>
    <n v="20248826443"/>
    <n v="35287533855"/>
    <n v="87.690897609999993"/>
    <n v="129.01505570699999"/>
    <n v="1.4712479769654851"/>
    <n v="8795222.3266190868"/>
    <n v="11934743.398741085"/>
    <n v="20729965.725360174"/>
    <n v="1426512.9943143744"/>
    <n v="1828284.1533946954"/>
    <n v="3254797.1477090698"/>
    <n v="10221735.320933463"/>
    <n v="13763027.55213578"/>
    <n v="23984762.873069242"/>
    <n v="12939953.055"/>
    <n v="17558967.081"/>
    <n v="30498920.136"/>
    <n v="2098754.3569999998"/>
    <n v="2689859.3620000002"/>
    <n v="4788613.7189999996"/>
    <n v="15038707.412"/>
    <n v="20248826.443"/>
    <n v="35287533.854999997"/>
  </r>
  <r>
    <x v="72"/>
    <n v="259553"/>
    <n v="355536"/>
    <n v="615089"/>
    <n v="27793"/>
    <n v="33848"/>
    <n v="61641"/>
    <n v="287346"/>
    <n v="389384"/>
    <n v="676730"/>
    <n v="13544605573"/>
    <n v="18031541399"/>
    <n v="31576146972"/>
    <n v="2294137835"/>
    <n v="2881665078"/>
    <n v="5175802913"/>
    <n v="15838743408"/>
    <n v="20913206477"/>
    <n v="36751949885"/>
    <n v="87.894560830000003"/>
    <n v="129.01505570699999"/>
    <n v="1.4678389025292771"/>
    <n v="9227583.1834548637"/>
    <n v="12284414.432625618"/>
    <n v="21511997.616080482"/>
    <n v="1562935.7084397359"/>
    <n v="1963202.5510664124"/>
    <n v="3526138.2595061483"/>
    <n v="10790518.891894599"/>
    <n v="14247616.983692031"/>
    <n v="25038135.875586633"/>
    <n v="13544605.573000001"/>
    <n v="18031541.399"/>
    <n v="31576146.971999999"/>
    <n v="2294137.835"/>
    <n v="2881665.0780000002"/>
    <n v="5175802.9129999997"/>
    <n v="15838743.408"/>
    <n v="20913206.477000002"/>
    <n v="36751949.884999998"/>
  </r>
  <r>
    <x v="73"/>
    <n v="261086"/>
    <n v="357619"/>
    <n v="618705"/>
    <n v="28023"/>
    <n v="34057"/>
    <n v="62080"/>
    <n v="289109"/>
    <n v="391676"/>
    <n v="680785"/>
    <n v="13943406603"/>
    <n v="19014907000"/>
    <n v="32958313603"/>
    <n v="2301399338"/>
    <n v="2870428605"/>
    <n v="5171827943"/>
    <n v="16244805941"/>
    <n v="21885335605"/>
    <n v="38130141546"/>
    <n v="88.179932219999998"/>
    <n v="129.01505570699999"/>
    <n v="1.4630886241227823"/>
    <n v="9530117.5698498711"/>
    <n v="12996415.040408563"/>
    <n v="22526532.610258434"/>
    <n v="1572973.2977589378"/>
    <n v="1961896.6053549971"/>
    <n v="3534869.9031139351"/>
    <n v="11103090.867608808"/>
    <n v="14958311.645763561"/>
    <n v="26061402.513372369"/>
    <n v="13943406.603"/>
    <n v="19014907"/>
    <n v="32958313.603"/>
    <n v="2301399.338"/>
    <n v="2870428.605"/>
    <n v="5171827.943"/>
    <n v="16244805.941"/>
    <n v="21885335.605"/>
    <n v="38130141.545999996"/>
  </r>
  <r>
    <x v="74"/>
    <n v="262411"/>
    <n v="360197"/>
    <n v="622608"/>
    <n v="28113"/>
    <n v="34152"/>
    <n v="62265"/>
    <n v="290524"/>
    <n v="394349"/>
    <n v="684873"/>
    <n v="14087387029"/>
    <n v="19280307316"/>
    <n v="33367694345"/>
    <n v="2277711013"/>
    <n v="2849202995"/>
    <n v="5126914008"/>
    <n v="16365098042"/>
    <n v="22129510311"/>
    <n v="38494608353"/>
    <n v="88.917875609999996"/>
    <n v="129.01505570699999"/>
    <n v="1.4509462222519689"/>
    <n v="9709103.4891254622"/>
    <n v="13288092.294747926"/>
    <n v="22997195.78387339"/>
    <n v="1569810.7745611931"/>
    <n v="1963686.1458433932"/>
    <n v="3533496.920404586"/>
    <n v="11278914.263686655"/>
    <n v="15251778.44059132"/>
    <n v="26530692.704277974"/>
    <n v="14087387.028999999"/>
    <n v="19280307.316"/>
    <n v="33367694.344999999"/>
    <n v="2277711.0129999998"/>
    <n v="2849202.9950000001"/>
    <n v="5126914.0080000004"/>
    <n v="16365098.041999999"/>
    <n v="22129510.311000001"/>
    <n v="38494608.353"/>
  </r>
  <r>
    <x v="75"/>
    <n v="264197"/>
    <n v="362823"/>
    <n v="627020"/>
    <n v="27992"/>
    <n v="34073"/>
    <n v="62065"/>
    <n v="292189"/>
    <n v="396896"/>
    <n v="689085"/>
    <n v="14150872445"/>
    <n v="19431069140"/>
    <n v="33581941585"/>
    <n v="2293777481"/>
    <n v="2862864285"/>
    <n v="5156641766"/>
    <n v="16444649926"/>
    <n v="22293933425"/>
    <n v="38738583351"/>
    <n v="89.84344969"/>
    <n v="129.01505570699999"/>
    <n v="1.4359984634623839"/>
    <n v="9854378.5422167908"/>
    <n v="13531399.673749719"/>
    <n v="23385778.215966512"/>
    <n v="1597339.7878639763"/>
    <n v="1993640.2146958099"/>
    <n v="3590980.0025597857"/>
    <n v="11451718.330080768"/>
    <n v="15525039.88844553"/>
    <n v="26976758.2185263"/>
    <n v="14150872.445"/>
    <n v="19431069.140000001"/>
    <n v="33581941.585000001"/>
    <n v="2293777.4810000001"/>
    <n v="2862864.2850000001"/>
    <n v="5156641.7659999998"/>
    <n v="16444649.926000001"/>
    <n v="22293933.425000001"/>
    <n v="38738583.351000004"/>
  </r>
  <r>
    <x v="76"/>
    <n v="265553"/>
    <n v="364650"/>
    <n v="630203"/>
    <n v="28146"/>
    <n v="34283"/>
    <n v="62429"/>
    <n v="293699"/>
    <n v="398933"/>
    <n v="692632"/>
    <n v="14212716136"/>
    <n v="19484811821"/>
    <n v="33697527957"/>
    <n v="2318889234"/>
    <n v="2876259170"/>
    <n v="5195148404"/>
    <n v="16531605370"/>
    <n v="22361070991"/>
    <n v="38892676361"/>
    <n v="89.865715080000001"/>
    <n v="129.01505570699999"/>
    <n v="1.435642676321538"/>
    <n v="9899898.0529168993"/>
    <n v="13572187.66366348"/>
    <n v="23472085.71658038"/>
    <n v="1615227.2931461972"/>
    <n v="2003464.5231985359"/>
    <n v="3618691.8163447333"/>
    <n v="11515125.346063096"/>
    <n v="15575652.186862016"/>
    <n v="27090777.532925114"/>
    <n v="14212716.136"/>
    <n v="19484811.820999999"/>
    <n v="33697527.957000002"/>
    <n v="2318889.2340000002"/>
    <n v="2876259.17"/>
    <n v="5195148.4040000001"/>
    <n v="16531605.369999999"/>
    <n v="22361070.991"/>
    <n v="38892676.361000001"/>
  </r>
  <r>
    <x v="77"/>
    <n v="267943"/>
    <n v="367802"/>
    <n v="635745"/>
    <n v="28268"/>
    <n v="34413"/>
    <n v="62681"/>
    <n v="296211"/>
    <n v="402215"/>
    <n v="698426"/>
    <n v="14442871674"/>
    <n v="19840959571"/>
    <n v="34283831245"/>
    <n v="2295297656"/>
    <n v="2878523933"/>
    <n v="5173821589"/>
    <n v="16738169330"/>
    <n v="22719483504"/>
    <n v="39457652834"/>
    <n v="89.494262109999994"/>
    <n v="129.01505570699999"/>
    <n v="1.4416014241049759"/>
    <n v="10018630.276372621"/>
    <n v="13763138.15957718"/>
    <n v="23781768.435949802"/>
    <n v="1592186.035349573"/>
    <n v="1996754.3627997893"/>
    <n v="3588940.3981493623"/>
    <n v="11610816.311722195"/>
    <n v="15759892.522376968"/>
    <n v="27370708.834099162"/>
    <n v="14442871.674000001"/>
    <n v="19840959.570999999"/>
    <n v="34283831.244999997"/>
    <n v="2295297.656"/>
    <n v="2878523.9330000002"/>
    <n v="5173821.5889999997"/>
    <n v="16738169.33"/>
    <n v="22719483.504000001"/>
    <n v="39457652.833999999"/>
  </r>
  <r>
    <x v="78"/>
    <n v="270420"/>
    <n v="373408"/>
    <n v="643828"/>
    <n v="28687"/>
    <n v="34985"/>
    <n v="63672"/>
    <n v="299107"/>
    <n v="408393"/>
    <n v="707500"/>
    <n v="14781631240"/>
    <n v="19889787521"/>
    <n v="34671418761"/>
    <n v="2337224526"/>
    <n v="2938559506"/>
    <n v="5275784032"/>
    <n v="17118855766"/>
    <n v="22828347027"/>
    <n v="39947202793"/>
    <n v="89.563556840000004"/>
    <n v="129.01505570699999"/>
    <n v="1.4404860666429065"/>
    <n v="10261557.943735624"/>
    <n v="13807691.710169548"/>
    <n v="24069249.653905176"/>
    <n v="1622524.9102526677"/>
    <n v="2039977.736715216"/>
    <n v="3662502.6469678837"/>
    <n v="11884082.853988292"/>
    <n v="15847669.446884766"/>
    <n v="27731752.300873056"/>
    <n v="14781631.24"/>
    <n v="19889787.521000002"/>
    <n v="34671418.761"/>
    <n v="2337224.5260000001"/>
    <n v="2938559.5060000001"/>
    <n v="5275784.0319999997"/>
    <n v="17118855.765999999"/>
    <n v="22828347.026999999"/>
    <n v="39947202.792999998"/>
  </r>
  <r>
    <x v="79"/>
    <n v="271647"/>
    <n v="375153"/>
    <n v="646800"/>
    <n v="28687"/>
    <n v="35009"/>
    <n v="63696"/>
    <n v="300334"/>
    <n v="410162"/>
    <n v="710496"/>
    <n v="14305261460"/>
    <n v="19643531189"/>
    <n v="33948792649"/>
    <n v="2327086137"/>
    <n v="2929395307"/>
    <n v="5256481444"/>
    <n v="16632347597"/>
    <n v="22572926496"/>
    <n v="39205274093"/>
    <n v="89.878604980000006"/>
    <n v="129.01505570699999"/>
    <n v="1.4354367842681661"/>
    <n v="9965789.9370979983"/>
    <n v="13684706.567565728"/>
    <n v="23650496.504663724"/>
    <n v="1621169.3628754446"/>
    <n v="2040769.2899506572"/>
    <n v="3661938.652826102"/>
    <n v="11586959.299973441"/>
    <n v="15725475.857516384"/>
    <n v="27312435.157489825"/>
    <n v="14305261.460000001"/>
    <n v="19643531.188999999"/>
    <n v="33948792.648999996"/>
    <n v="2327086.1370000001"/>
    <n v="2929395.307"/>
    <n v="5256481.4440000001"/>
    <n v="16632347.596999999"/>
    <n v="22572926.495999999"/>
    <n v="39205274.093000002"/>
  </r>
  <r>
    <x v="80"/>
    <n v="273086"/>
    <n v="377612"/>
    <n v="650698"/>
    <n v="28777"/>
    <n v="35086"/>
    <n v="63863"/>
    <n v="301863"/>
    <n v="412698"/>
    <n v="714561"/>
    <n v="14411990753"/>
    <n v="19832220369"/>
    <n v="34244211122"/>
    <n v="2351460132"/>
    <n v="2937425038"/>
    <n v="5288885170"/>
    <n v="16763450885"/>
    <n v="22769645407"/>
    <n v="39533096292"/>
    <n v="90.443760650000002"/>
    <n v="129.01505570699999"/>
    <n v="1.4264671745159236"/>
    <n v="10103275.427905137"/>
    <n v="13903033.117975624"/>
    <n v="24006308.545880761"/>
    <n v="1648450.2230470013"/>
    <n v="2059230.7278271753"/>
    <n v="3707680.9508741768"/>
    <n v="11751725.650952138"/>
    <n v="15962263.845802799"/>
    <n v="27713989.496754937"/>
    <n v="14411990.753"/>
    <n v="19832220.368999999"/>
    <n v="34244211.122000001"/>
    <n v="2351460.1320000002"/>
    <n v="2937425.0380000002"/>
    <n v="5288885.17"/>
    <n v="16763450.885"/>
    <n v="22769645.407000002"/>
    <n v="39533096.292000003"/>
  </r>
  <r>
    <x v="81"/>
    <n v="274911"/>
    <n v="379874"/>
    <n v="654785"/>
    <n v="29023"/>
    <n v="35272"/>
    <n v="64295"/>
    <n v="303934"/>
    <n v="415146"/>
    <n v="719080"/>
    <n v="14553598954"/>
    <n v="19949869049"/>
    <n v="34503468003"/>
    <n v="2346975364"/>
    <n v="2925067985"/>
    <n v="5272043349"/>
    <n v="16900574318"/>
    <n v="22874937034"/>
    <n v="39775511352"/>
    <n v="90.963671410000003"/>
    <n v="129.01505570699999"/>
    <n v="1.418314077556206"/>
    <n v="10261196.151332187"/>
    <n v="14065903.571495371"/>
    <n v="24327099.722827557"/>
    <n v="1654764.2028935531"/>
    <n v="2062355.6032384397"/>
    <n v="3717119.8061319925"/>
    <n v="11915960.354225738"/>
    <n v="16128259.17473381"/>
    <n v="28044219.52895955"/>
    <n v="14553598.954"/>
    <n v="19949869.048999999"/>
    <n v="34503468.002999999"/>
    <n v="2346975.3640000001"/>
    <n v="2925067.9849999999"/>
    <n v="5272043.3490000004"/>
    <n v="16900574.318"/>
    <n v="22874937.034000002"/>
    <n v="39775511.351999998"/>
  </r>
  <r>
    <x v="82"/>
    <n v="275948"/>
    <n v="381450"/>
    <n v="657398"/>
    <n v="29091"/>
    <n v="35349"/>
    <n v="64440"/>
    <n v="305039"/>
    <n v="416799"/>
    <n v="721838"/>
    <n v="14572582986"/>
    <n v="20025843295"/>
    <n v="34598426281"/>
    <n v="2351073283"/>
    <n v="2927213558"/>
    <n v="5278286841"/>
    <n v="16923656269"/>
    <n v="22953056853"/>
    <n v="39876713122"/>
    <n v="91.124380560000006"/>
    <n v="129.01505570699999"/>
    <n v="1.415812704724519"/>
    <n v="10292733.592071738"/>
    <n v="14144415.591253305"/>
    <n v="24437149.183325041"/>
    <n v="1660582.1343137748"/>
    <n v="2067514.6848393064"/>
    <n v="3728096.8191530816"/>
    <n v="11953315.726385511"/>
    <n v="16211930.276092613"/>
    <n v="28165246.002478123"/>
    <n v="14572582.986"/>
    <n v="20025843.295000002"/>
    <n v="34598426.281000003"/>
    <n v="2351073.2829999998"/>
    <n v="2927213.5580000002"/>
    <n v="5278286.841"/>
    <n v="16923656.269000001"/>
    <n v="22953056.853"/>
    <n v="39876713.122000001"/>
  </r>
  <r>
    <x v="83"/>
    <n v="277655"/>
    <n v="383881"/>
    <n v="661536"/>
    <n v="29464"/>
    <n v="35662"/>
    <n v="65126"/>
    <n v="307119"/>
    <n v="419543"/>
    <n v="726662"/>
    <n v="14706054701"/>
    <n v="20224673155"/>
    <n v="34930727856"/>
    <n v="2380563659"/>
    <n v="2959385958"/>
    <n v="5339949617"/>
    <n v="17086618360"/>
    <n v="23184059113"/>
    <n v="40270677473"/>
    <n v="91.565864430000005"/>
    <n v="129.01505570699999"/>
    <n v="1.4089863783858998"/>
    <n v="10437329.222335631"/>
    <n v="14354058.680232869"/>
    <n v="24791387.9025685"/>
    <n v="1689557.6107180789"/>
    <n v="2100365.2011101767"/>
    <n v="3789922.8118282557"/>
    <n v="12126886.83305371"/>
    <n v="16454423.881343046"/>
    <n v="28581310.714396756"/>
    <n v="14706054.700999999"/>
    <n v="20224673.155000001"/>
    <n v="34930727.855999999"/>
    <n v="2380563.659"/>
    <n v="2959385.9580000001"/>
    <n v="5339949.6169999996"/>
    <n v="17086618.359999999"/>
    <n v="23184059.113000002"/>
    <n v="40270677.472999997"/>
  </r>
  <r>
    <x v="84"/>
    <n v="281099"/>
    <n v="387145"/>
    <n v="668244"/>
    <n v="29626"/>
    <n v="35854"/>
    <n v="65480"/>
    <n v="310725"/>
    <n v="422999"/>
    <n v="733724"/>
    <n v="16041225586"/>
    <n v="21906233717"/>
    <n v="37947459303"/>
    <n v="2525715001"/>
    <n v="3119418376"/>
    <n v="5645133377"/>
    <n v="18566940587"/>
    <n v="25025652093"/>
    <n v="43592592680"/>
    <n v="91.952975289999998"/>
    <n v="129.01505570699999"/>
    <n v="1.403054716827967"/>
    <n v="11433071.99185081"/>
    <n v="15613242.629999293"/>
    <n v="27046314.621850103"/>
    <n v="1800154.3138033482"/>
    <n v="2223304.8637279067"/>
    <n v="4023459.1775312549"/>
    <n v="13233226.305654159"/>
    <n v="17836547.4937272"/>
    <n v="31069773.79938136"/>
    <n v="16041225.585999999"/>
    <n v="21906233.717"/>
    <n v="37947459.303000003"/>
    <n v="2525715.0010000002"/>
    <n v="3119418.3760000002"/>
    <n v="5645133.3770000003"/>
    <n v="18566940.587000001"/>
    <n v="25025652.092999998"/>
    <n v="43592592.68"/>
  </r>
  <r>
    <x v="85"/>
    <n v="282181"/>
    <n v="388790"/>
    <n v="670971"/>
    <n v="29711"/>
    <n v="35902"/>
    <n v="65613"/>
    <n v="311892"/>
    <n v="424692"/>
    <n v="736584"/>
    <n v="15892980879"/>
    <n v="21926701459"/>
    <n v="37819682338"/>
    <n v="2491109842"/>
    <n v="3092242871"/>
    <n v="5583352713"/>
    <n v="18384090721"/>
    <n v="25018944330"/>
    <n v="43403035051"/>
    <n v="92.574250430000006"/>
    <n v="129.01505570699999"/>
    <n v="1.3936386749850562"/>
    <n v="11403946.492207114"/>
    <n v="15733419.180000236"/>
    <n v="27137365.672207348"/>
    <n v="1787486.1588687696"/>
    <n v="2218826.8211149909"/>
    <n v="4006312.9799837605"/>
    <n v="13191432.651075883"/>
    <n v="17952246.001115225"/>
    <n v="31143678.65219111"/>
    <n v="15892980.879000001"/>
    <n v="21926701.458999999"/>
    <n v="37819682.338"/>
    <n v="2491109.8420000002"/>
    <n v="3092242.8709999998"/>
    <n v="5583352.7130000005"/>
    <n v="18384090.721000001"/>
    <n v="25018944.329999998"/>
    <n v="43403035.050999999"/>
  </r>
  <r>
    <x v="86"/>
    <n v="283655"/>
    <n v="391060"/>
    <n v="674715"/>
    <n v="29687"/>
    <n v="35845"/>
    <n v="65532"/>
    <n v="313342"/>
    <n v="426905"/>
    <n v="740247"/>
    <n v="16104807119"/>
    <n v="22248031108"/>
    <n v="38352838227"/>
    <n v="2511621644"/>
    <n v="3101324763"/>
    <n v="5612946407"/>
    <n v="18616428763"/>
    <n v="25349355871"/>
    <n v="43965784634"/>
    <n v="93.047945729999995"/>
    <n v="129.01505570699999"/>
    <n v="1.3865438371027214"/>
    <n v="11615072.447079713"/>
    <n v="16045674.51288723"/>
    <n v="27660746.959966943"/>
    <n v="1811426.0629856505"/>
    <n v="2236730.4083803301"/>
    <n v="4048156.4713659808"/>
    <n v="13426498.510065364"/>
    <n v="18282404.921267558"/>
    <n v="31708903.43133292"/>
    <n v="16104807.119000001"/>
    <n v="22248031.107999999"/>
    <n v="38352838.226999998"/>
    <n v="2511621.6439999999"/>
    <n v="3101324.7629999998"/>
    <n v="5612946.4069999997"/>
    <n v="18616428.763"/>
    <n v="25349355.870999999"/>
    <n v="43965784.634000003"/>
  </r>
  <r>
    <x v="87"/>
    <n v="285404"/>
    <n v="393767"/>
    <n v="679171"/>
    <n v="29631"/>
    <n v="35726"/>
    <n v="65357"/>
    <n v="315035"/>
    <n v="429493"/>
    <n v="744528"/>
    <n v="16237880278"/>
    <n v="22458624022"/>
    <n v="38696504300"/>
    <n v="2500792061"/>
    <n v="3086793074"/>
    <n v="5587585135"/>
    <n v="18738672339"/>
    <n v="25545417096"/>
    <n v="44284089435"/>
    <n v="93.427485750000002"/>
    <n v="129.01505570699999"/>
    <n v="1.3809111384226669"/>
    <n v="11758816.209236728"/>
    <n v="16263627.250956319"/>
    <n v="28022443.460193049"/>
    <n v="1810972.4742002639"/>
    <n v="2235330.7089157533"/>
    <n v="4046303.1831160174"/>
    <n v="13569788.683436994"/>
    <n v="18498957.959872074"/>
    <n v="32068746.643309068"/>
    <n v="16237880.278000001"/>
    <n v="22458624.022"/>
    <n v="38696504.299999997"/>
    <n v="2500792.0610000002"/>
    <n v="3086793.074"/>
    <n v="5587585.1349999998"/>
    <n v="18738672.339000002"/>
    <n v="25545417.096000001"/>
    <n v="44284089.435000002"/>
  </r>
  <r>
    <x v="88"/>
    <n v="286695"/>
    <n v="394851"/>
    <n v="681546"/>
    <n v="29591"/>
    <n v="35684"/>
    <n v="65275"/>
    <n v="316286"/>
    <n v="430535"/>
    <n v="746821"/>
    <n v="16295615647"/>
    <n v="22486036004"/>
    <n v="38781651651"/>
    <n v="2498516558"/>
    <n v="3085806031"/>
    <n v="5584322589"/>
    <n v="18794132205"/>
    <n v="25571842035"/>
    <n v="44365974240"/>
    <n v="93.403431920000003"/>
    <n v="129.01505570699999"/>
    <n v="1.3812667592075345"/>
    <n v="11797587.640745936"/>
    <n v="16279285.557339245"/>
    <n v="28076873.198085178"/>
    <n v="1808858.8184323339"/>
    <n v="2234040.60832565"/>
    <n v="4042899.4267579843"/>
    <n v="13606446.459178269"/>
    <n v="18513326.165664893"/>
    <n v="32119772.624843162"/>
    <n v="16295615.647"/>
    <n v="22486036.004000001"/>
    <n v="38781651.651000001"/>
    <n v="2498516.5580000002"/>
    <n v="3085806.031"/>
    <n v="5584322.5889999997"/>
    <n v="18794132.204999998"/>
    <n v="25571842.035"/>
    <n v="44365974.240000002"/>
  </r>
  <r>
    <x v="89"/>
    <n v="288817"/>
    <n v="397672"/>
    <n v="686489"/>
    <n v="29530"/>
    <n v="35597"/>
    <n v="65127"/>
    <n v="318347"/>
    <n v="433269"/>
    <n v="751616"/>
    <n v="16418859100"/>
    <n v="22713656139"/>
    <n v="39132515239"/>
    <n v="2488140257"/>
    <n v="3070197758"/>
    <n v="5558338015"/>
    <n v="18906999357"/>
    <n v="25783853897"/>
    <n v="44690853254"/>
    <n v="93.412779229999998"/>
    <n v="129.01505570699999"/>
    <n v="1.3811285433370999"/>
    <n v="11888002.155345041"/>
    <n v="16445722.049968632"/>
    <n v="28333724.205313671"/>
    <n v="1801526.9244875098"/>
    <n v="2222963.0781373545"/>
    <n v="4024490.0026248642"/>
    <n v="13689529.07983255"/>
    <n v="18668685.128105987"/>
    <n v="32358214.207938537"/>
    <n v="16418859.1"/>
    <n v="22713656.138999999"/>
    <n v="39132515.239"/>
    <n v="2488140.2570000002"/>
    <n v="3070197.7579999999"/>
    <n v="5558338.0149999997"/>
    <n v="18906999.357000001"/>
    <n v="25783853.897"/>
    <n v="44690853.254000001"/>
  </r>
  <r>
    <x v="90"/>
    <n v="290198"/>
    <n v="399583"/>
    <n v="689781"/>
    <n v="29617"/>
    <n v="35653"/>
    <n v="65270"/>
    <n v="319815"/>
    <n v="435236"/>
    <n v="755051"/>
    <n v="16548300026"/>
    <n v="22789592183"/>
    <n v="39337892209"/>
    <n v="2503378238"/>
    <n v="3090894367"/>
    <n v="5594272605"/>
    <n v="19051678264"/>
    <n v="25880486550"/>
    <n v="44932164814"/>
    <n v="93.852448350000003"/>
    <n v="129.01505570699999"/>
    <n v="1.3746583917115252"/>
    <n v="12038118.070480375"/>
    <n v="16578367.629666673"/>
    <n v="28616485.700147048"/>
    <n v="1821091.1547873043"/>
    <n v="2248481.7941944594"/>
    <n v="4069572.9489817638"/>
    <n v="13859209.225267678"/>
    <n v="18826849.423861135"/>
    <n v="32686058.64912881"/>
    <n v="16548300.026000001"/>
    <n v="22789592.182999998"/>
    <n v="39337892.208999999"/>
    <n v="2503378.2379999999"/>
    <n v="3090894.3670000001"/>
    <n v="5594272.6050000004"/>
    <n v="19051678.263999999"/>
    <n v="25880486.550000001"/>
    <n v="44932164.814000003"/>
  </r>
  <r>
    <x v="91"/>
    <n v="291345"/>
    <n v="401765"/>
    <n v="693110"/>
    <n v="29599"/>
    <n v="35604"/>
    <n v="65203"/>
    <n v="320944"/>
    <n v="437369"/>
    <n v="758313"/>
    <n v="16407786059"/>
    <n v="22635180851"/>
    <n v="39042966910"/>
    <n v="2490719319"/>
    <n v="3077814227"/>
    <n v="5568533546"/>
    <n v="18898505378"/>
    <n v="25712995078"/>
    <n v="44611500456"/>
    <n v="94.113330169999998"/>
    <n v="129.01505570699999"/>
    <n v="1.370847843487802"/>
    <n v="11969078.944060067"/>
    <n v="16511811.255004108"/>
    <n v="28480890.199064173"/>
    <n v="1816918.8731135519"/>
    <n v="2245190.2606267529"/>
    <n v="4062109.1337403045"/>
    <n v="13785997.817173619"/>
    <n v="18757001.515630864"/>
    <n v="32542999.332804482"/>
    <n v="16407786.059"/>
    <n v="22635180.851"/>
    <n v="39042966.909999996"/>
    <n v="2490719.3190000001"/>
    <n v="3077814.227"/>
    <n v="5568533.5460000001"/>
    <n v="18898505.377999999"/>
    <n v="25712995.078000002"/>
    <n v="44611500.456"/>
  </r>
  <r>
    <x v="92"/>
    <n v="292122"/>
    <n v="402760"/>
    <n v="694882"/>
    <n v="29505"/>
    <n v="35532"/>
    <n v="65037"/>
    <n v="321627"/>
    <n v="438292"/>
    <n v="759919"/>
    <n v="16352677604"/>
    <n v="22620982057"/>
    <n v="38973659661"/>
    <n v="2476491708"/>
    <n v="3056782234"/>
    <n v="5533273942"/>
    <n v="18829169312"/>
    <n v="25677764291"/>
    <n v="44506933603"/>
    <n v="94.47035631"/>
    <n v="129.01505570699999"/>
    <n v="1.3656670806199056"/>
    <n v="11974131.789555306"/>
    <n v="16564053.112221062"/>
    <n v="28538184.901776366"/>
    <n v="1813393.4273907132"/>
    <n v="2238307.0349857602"/>
    <n v="4051700.4623764735"/>
    <n v="13787525.216946019"/>
    <n v="18802360.147206821"/>
    <n v="32589885.364152841"/>
    <n v="16352677.604"/>
    <n v="22620982.057"/>
    <n v="38973659.660999998"/>
    <n v="2476491.7080000001"/>
    <n v="3056782.2340000002"/>
    <n v="5533273.9419999998"/>
    <n v="18829169.311999999"/>
    <n v="25677764.291000001"/>
    <n v="44506933.603"/>
  </r>
  <r>
    <x v="93"/>
    <n v="293491"/>
    <n v="405007"/>
    <n v="698498"/>
    <n v="29521"/>
    <n v="35542"/>
    <n v="65063"/>
    <n v="323012"/>
    <n v="440549"/>
    <n v="763561"/>
    <n v="16495083677"/>
    <n v="22744876349"/>
    <n v="39239960026"/>
    <n v="2496793482"/>
    <n v="3082608775"/>
    <n v="5579402257"/>
    <n v="18991877159"/>
    <n v="25827485124"/>
    <n v="44819362283"/>
    <n v="94.778282419999996"/>
    <n v="129.01505570699999"/>
    <n v="1.3612301511783398"/>
    <n v="12117777.19052222"/>
    <n v="16709060.058147442"/>
    <n v="28826837.248669662"/>
    <n v="1834218.4676402204"/>
    <n v="2264575.7385931835"/>
    <n v="4098794.2062334041"/>
    <n v="13951995.658162441"/>
    <n v="18973635.796740625"/>
    <n v="32925631.454903066"/>
    <n v="16495083.676999999"/>
    <n v="22744876.348999999"/>
    <n v="39239960.026000001"/>
    <n v="2496793.4819999998"/>
    <n v="3082608.7749999999"/>
    <n v="5579402.2570000002"/>
    <n v="18991877.159000002"/>
    <n v="25827485.124000002"/>
    <n v="44819362.283"/>
  </r>
  <r>
    <x v="94"/>
    <n v="295268"/>
    <n v="407494"/>
    <n v="702762"/>
    <n v="29498"/>
    <n v="35521"/>
    <n v="65019"/>
    <n v="324766"/>
    <n v="443015"/>
    <n v="767781"/>
    <n v="16761793857"/>
    <n v="23151650998"/>
    <n v="39913444855"/>
    <n v="2484643830"/>
    <n v="3071492417"/>
    <n v="5556136247"/>
    <n v="19246437687"/>
    <n v="26223143415"/>
    <n v="45469581102"/>
    <n v="94.991013120000005"/>
    <n v="129.01505570699999"/>
    <n v="1.3581817002416658"/>
    <n v="12341348.623691158"/>
    <n v="17046063.125339229"/>
    <n v="29387411.749030389"/>
    <n v="1829389.85966156"/>
    <n v="2261473.8635143433"/>
    <n v="4090863.7231759033"/>
    <n v="14170738.483352719"/>
    <n v="19307536.988853574"/>
    <n v="33478275.472206291"/>
    <n v="16761793.857000001"/>
    <n v="23151650.998"/>
    <n v="39913444.854999997"/>
    <n v="2484643.83"/>
    <n v="3071492.4169999999"/>
    <n v="5556136.2470000004"/>
    <n v="19246437.686999999"/>
    <n v="26223143.414999999"/>
    <n v="45469581.101999998"/>
  </r>
  <r>
    <x v="95"/>
    <n v="296574"/>
    <n v="409023"/>
    <n v="705597"/>
    <n v="29478"/>
    <n v="35515"/>
    <n v="64993"/>
    <n v="326052"/>
    <n v="444538"/>
    <n v="770590"/>
    <n v="16626167460"/>
    <n v="22891099246"/>
    <n v="39517266706"/>
    <n v="2479221224"/>
    <n v="3064223888"/>
    <n v="5543445112"/>
    <n v="19105388684"/>
    <n v="25955323134"/>
    <n v="45060711818"/>
    <n v="95.418256529999994"/>
    <n v="129.01505570699999"/>
    <n v="1.3521003254386332"/>
    <n v="12296548.671124922"/>
    <n v="16930030.128181446"/>
    <n v="29226578.79930637"/>
    <n v="1833607.4456573471"/>
    <n v="2266269.6179781919"/>
    <n v="4099877.0636355388"/>
    <n v="14130156.116782269"/>
    <n v="19196299.746159639"/>
    <n v="33326455.862941906"/>
    <n v="16626167.460000001"/>
    <n v="22891099.245999999"/>
    <n v="39517266.706"/>
    <n v="2479221.2239999999"/>
    <n v="3064223.8879999998"/>
    <n v="5543445.1119999997"/>
    <n v="19105388.684"/>
    <n v="25955323.134"/>
    <n v="45060711.818000004"/>
  </r>
  <r>
    <x v="96"/>
    <n v="298366"/>
    <n v="409755"/>
    <n v="708121"/>
    <n v="29434"/>
    <n v="35484"/>
    <n v="64918"/>
    <n v="327800"/>
    <n v="445239"/>
    <n v="773039"/>
    <n v="17844580951"/>
    <n v="24588525248"/>
    <n v="42433106199"/>
    <n v="2595310706"/>
    <n v="3195549461"/>
    <n v="5790860167"/>
    <n v="20439891657"/>
    <n v="27784074709"/>
    <n v="48223966366"/>
    <n v="95.649096819999997"/>
    <n v="129.01505570699999"/>
    <n v="1.3488371557735739"/>
    <n v="13229603.643863091"/>
    <n v="18229424.614195324"/>
    <n v="31459028.258058414"/>
    <n v="1924109.7377033322"/>
    <n v="2369114.3495875266"/>
    <n v="4293224.0872908588"/>
    <n v="15153713.381566424"/>
    <n v="20598538.963782851"/>
    <n v="35752252.345349275"/>
    <n v="17844580.951000001"/>
    <n v="24588525.248"/>
    <n v="42433106.199000001"/>
    <n v="2595310.7059999998"/>
    <n v="3195549.4610000001"/>
    <n v="5790860.1670000004"/>
    <n v="20439891.657000002"/>
    <n v="27784074.708999999"/>
    <n v="48223966.365999997"/>
  </r>
  <r>
    <x v="97"/>
    <n v="299699"/>
    <n v="411971"/>
    <n v="711670"/>
    <n v="29404"/>
    <n v="35469"/>
    <n v="64873"/>
    <n v="329103"/>
    <n v="447440"/>
    <n v="776543"/>
    <n v="17975217673"/>
    <n v="24867925235"/>
    <n v="42843142908"/>
    <n v="2586263131"/>
    <n v="3192667899"/>
    <n v="5778931030"/>
    <n v="20561480804"/>
    <n v="28060593134"/>
    <n v="48622073938"/>
    <n v="95.695814540000001"/>
    <n v="129.01505570699999"/>
    <n v="1.3481786672401732"/>
    <n v="13332964.027532546"/>
    <n v="18445570.931563977"/>
    <n v="31778534.959096521"/>
    <n v="1918338.565832882"/>
    <n v="2368134.1179620055"/>
    <n v="4286472.6837948877"/>
    <n v="15251302.593365427"/>
    <n v="20813705.049525984"/>
    <n v="36065007.642891414"/>
    <n v="17975217.673"/>
    <n v="24867925.234999999"/>
    <n v="42843142.908"/>
    <n v="2586263.1310000001"/>
    <n v="3192667.8990000002"/>
    <n v="5778931.0300000003"/>
    <n v="20561480.804000001"/>
    <n v="28060593.134"/>
    <n v="48622073.938000001"/>
  </r>
  <r>
    <x v="98"/>
    <n v="300890"/>
    <n v="413826"/>
    <n v="714716"/>
    <n v="29305"/>
    <n v="35378"/>
    <n v="64683"/>
    <n v="330195"/>
    <n v="449204"/>
    <n v="779399"/>
    <n v="18029193178"/>
    <n v="25033986456"/>
    <n v="43063179634"/>
    <n v="2573433933"/>
    <n v="3175030485"/>
    <n v="5748464418"/>
    <n v="20602627111"/>
    <n v="28209016941"/>
    <n v="48811644052"/>
    <n v="95.928713310000006"/>
    <n v="129.01505570699999"/>
    <n v="1.344905516350243"/>
    <n v="13405546.307020128"/>
    <n v="18613936.928399511"/>
    <n v="32019483.235419638"/>
    <n v="1913468.1966237256"/>
    <n v="2360783.3014294459"/>
    <n v="4274251.4980531707"/>
    <n v="15319014.503643854"/>
    <n v="20974720.229828957"/>
    <n v="36293734.733472809"/>
    <n v="18029193.177999999"/>
    <n v="25033986.456"/>
    <n v="43063179.634000003"/>
    <n v="2573433.9330000002"/>
    <n v="3175030.4849999999"/>
    <n v="5748464.4179999996"/>
    <n v="20602627.111000001"/>
    <n v="28209016.941"/>
    <n v="48811644.052000001"/>
  </r>
  <r>
    <x v="99"/>
    <n v="302315"/>
    <n v="415563"/>
    <n v="717878"/>
    <n v="29264"/>
    <n v="35331"/>
    <n v="64595"/>
    <n v="331579"/>
    <n v="450894"/>
    <n v="782473"/>
    <n v="18068775129"/>
    <n v="25096386040"/>
    <n v="43165161169"/>
    <n v="2567636250"/>
    <n v="3174256344"/>
    <n v="5741892594"/>
    <n v="20636411379"/>
    <n v="28270642384"/>
    <n v="48907053763"/>
    <n v="96.087759489999996"/>
    <n v="129.01505570699999"/>
    <n v="1.3426794046584756"/>
    <n v="13457252.018843604"/>
    <n v="18691272.058636758"/>
    <n v="32148524.077480361"/>
    <n v="1912322.6595205762"/>
    <n v="2364120.8266000068"/>
    <n v="4276443.4861205835"/>
    <n v="15369574.678364182"/>
    <n v="21055392.885236762"/>
    <n v="36424967.563600942"/>
    <n v="18068775.129000001"/>
    <n v="25096386.039999999"/>
    <n v="43165161.169"/>
    <n v="2567636.25"/>
    <n v="3174256.344"/>
    <n v="5741892.5939999996"/>
    <n v="20636411.379000001"/>
    <n v="28270642.384"/>
    <n v="48907053.762999997"/>
  </r>
  <r>
    <x v="100"/>
    <n v="304146"/>
    <n v="418973"/>
    <n v="723119"/>
    <n v="29235"/>
    <n v="35297"/>
    <n v="64532"/>
    <n v="333381"/>
    <n v="454270"/>
    <n v="787651"/>
    <n v="18306691760"/>
    <n v="25579163465"/>
    <n v="43885855225"/>
    <n v="2564748517"/>
    <n v="3174145174"/>
    <n v="5738893691"/>
    <n v="20871440277"/>
    <n v="28753308639"/>
    <n v="49624748916"/>
    <n v="96.139417210000005"/>
    <n v="129.01505570699999"/>
    <n v="1.3419579549269454"/>
    <n v="13641777.443762457"/>
    <n v="19061076.668674394"/>
    <n v="32702854.112436853"/>
    <n v="1911198.8625154966"/>
    <n v="2365308.959454543"/>
    <n v="4276507.82197004"/>
    <n v="15552976.306277955"/>
    <n v="21426385.628128938"/>
    <n v="36979361.934406891"/>
    <n v="18306691.760000002"/>
    <n v="25579163.465"/>
    <n v="43885855.225000001"/>
    <n v="2564748.517"/>
    <n v="3174145.1740000001"/>
    <n v="5738893.6909999996"/>
    <n v="20871440.276999999"/>
    <n v="28753308.638999999"/>
    <n v="49624748.916000001"/>
  </r>
  <r>
    <x v="101"/>
    <n v="305119"/>
    <n v="420635"/>
    <n v="725754"/>
    <n v="29476"/>
    <n v="35407"/>
    <n v="64883"/>
    <n v="334595"/>
    <n v="456042"/>
    <n v="790637"/>
    <n v="18209781609"/>
    <n v="25463423947"/>
    <n v="43673205556"/>
    <n v="2584181940"/>
    <n v="3175970482"/>
    <n v="5760152422"/>
    <n v="20793963549"/>
    <n v="28639394429"/>
    <n v="49433357978"/>
    <n v="95.943074190000004"/>
    <n v="129.01505570699999"/>
    <n v="1.3447042092012413"/>
    <n v="13541849.192110932"/>
    <n v="18936078.114997022"/>
    <n v="32477927.307107951"/>
    <n v="1921747.4908738572"/>
    <n v="2361835.7556019975"/>
    <n v="4283583.246475854"/>
    <n v="15463596.682984788"/>
    <n v="21297913.870599017"/>
    <n v="36761510.553583808"/>
    <n v="18209781.609000001"/>
    <n v="25463423.947000001"/>
    <n v="43673205.556000002"/>
    <n v="2584181.94"/>
    <n v="3175970.4819999998"/>
    <n v="5760152.4220000003"/>
    <n v="20793963.548999999"/>
    <n v="28639394.429000001"/>
    <n v="49433357.978"/>
  </r>
  <r>
    <x v="102"/>
    <n v="306164"/>
    <n v="422492"/>
    <n v="728656"/>
    <n v="29465"/>
    <n v="35386"/>
    <n v="64851"/>
    <n v="335629"/>
    <n v="457878"/>
    <n v="793507"/>
    <n v="20062643259"/>
    <n v="28092849913"/>
    <n v="48155493172"/>
    <n v="2863941809"/>
    <n v="3510119871"/>
    <n v="6374061680"/>
    <n v="22926585068"/>
    <n v="31602969784"/>
    <n v="54529554852"/>
    <n v="96.461260159999995"/>
    <n v="129.01505570699999"/>
    <n v="1.3374805128297425"/>
    <n v="15000325.661981378"/>
    <n v="21004305.964475866"/>
    <n v="36004631.626457244"/>
    <n v="2141296.1022816575"/>
    <n v="2624426.9260967006"/>
    <n v="4765723.028378359"/>
    <n v="17141621.764263038"/>
    <n v="23628732.890572567"/>
    <n v="40770354.654835604"/>
    <n v="20062643.259"/>
    <n v="28092849.912999999"/>
    <n v="48155493.171999998"/>
    <n v="2863941.8089999999"/>
    <n v="3510119.8709999998"/>
    <n v="6374061.6799999997"/>
    <n v="22926585.068"/>
    <n v="31602969.784000002"/>
    <n v="54529554.851999998"/>
  </r>
  <r>
    <x v="103"/>
    <n v="306699"/>
    <n v="424127"/>
    <n v="730826"/>
    <n v="29378"/>
    <n v="35320"/>
    <n v="64698"/>
    <n v="336077"/>
    <n v="459447"/>
    <n v="795524"/>
    <n v="20023786872"/>
    <n v="27978911712"/>
    <n v="48002698584"/>
    <n v="2851866179"/>
    <n v="3504848284"/>
    <n v="6356714463"/>
    <n v="22875653051"/>
    <n v="31483759996"/>
    <n v="54359413047"/>
    <n v="96.692182329999994"/>
    <n v="129.01505570699999"/>
    <n v="1.3342863155853233"/>
    <n v="15007114.019014718"/>
    <n v="20969196.330044232"/>
    <n v="35976310.349058941"/>
    <n v="2137371.976080671"/>
    <n v="2626758.7721324242"/>
    <n v="4764130.7482130947"/>
    <n v="17144485.995095387"/>
    <n v="23595955.102176655"/>
    <n v="40740441.097272038"/>
    <n v="20023786.872000001"/>
    <n v="27978911.712000001"/>
    <n v="48002698.583999999"/>
    <n v="2851866.179"/>
    <n v="3504848.284"/>
    <n v="6356714.4630000005"/>
    <n v="22875653.050999999"/>
    <n v="31483759.995999999"/>
    <n v="54359413.046999998"/>
  </r>
  <r>
    <x v="104"/>
    <n v="308300"/>
    <n v="424388"/>
    <n v="732688"/>
    <n v="29336"/>
    <n v="35219"/>
    <n v="64555"/>
    <n v="337636"/>
    <n v="459607"/>
    <n v="797243"/>
    <n v="20054637783"/>
    <n v="27879944389"/>
    <n v="47934582172"/>
    <n v="2844920296"/>
    <n v="3489106291"/>
    <n v="6334026587"/>
    <n v="22899558079"/>
    <n v="31369050680"/>
    <n v="54268608759"/>
    <n v="97.061786810000001"/>
    <n v="129.01505570699999"/>
    <n v="1.3292054468309864"/>
    <n v="15087688.536646528"/>
    <n v="20974894.78053955"/>
    <n v="36062583.31718608"/>
    <n v="2140316.4595681517"/>
    <n v="2624956.3596948255"/>
    <n v="4765272.8192629777"/>
    <n v="17228004.99621468"/>
    <n v="23599851.140234377"/>
    <n v="40827856.136449061"/>
    <n v="20054637.783"/>
    <n v="27879944.388999999"/>
    <n v="47934582.171999998"/>
    <n v="2844920.2960000001"/>
    <n v="3489106.2910000002"/>
    <n v="6334026.5870000003"/>
    <n v="22899558.079"/>
    <n v="31369050.68"/>
    <n v="54268608.759000003"/>
  </r>
  <r>
    <x v="105"/>
    <n v="310215"/>
    <n v="427169"/>
    <n v="737384"/>
    <n v="29366"/>
    <n v="35233"/>
    <n v="64599"/>
    <n v="339581"/>
    <n v="462402"/>
    <n v="801983"/>
    <n v="20253871109"/>
    <n v="28196861346"/>
    <n v="48450732455"/>
    <n v="2843535737"/>
    <n v="3493294386"/>
    <n v="6336830123"/>
    <n v="23097406846"/>
    <n v="31690155732"/>
    <n v="54787562578"/>
    <n v="97.29417085"/>
    <n v="129.01505570699999"/>
    <n v="1.3260306817959793"/>
    <n v="15274059.180567455"/>
    <n v="21264109.294824235"/>
    <n v="36538168.475391693"/>
    <n v="2144396.6388083179"/>
    <n v="2634399.3649292286"/>
    <n v="4778796.0037375465"/>
    <n v="17418455.819375776"/>
    <n v="23898508.659753464"/>
    <n v="41316964.479129232"/>
    <n v="20253871.109000001"/>
    <n v="28196861.346000001"/>
    <n v="48450732.454999998"/>
    <n v="2843535.7370000002"/>
    <n v="3493294.3859999999"/>
    <n v="6336830.1229999997"/>
    <n v="23097406.846000001"/>
    <n v="31690155.732000001"/>
    <n v="54787562.578000002"/>
  </r>
  <r>
    <x v="106"/>
    <n v="312104"/>
    <n v="429990"/>
    <n v="742094"/>
    <n v="29372"/>
    <n v="35231"/>
    <n v="64603"/>
    <n v="341476"/>
    <n v="465221"/>
    <n v="806697"/>
    <n v="20421904558"/>
    <n v="28398884397"/>
    <n v="48820788955"/>
    <n v="2844504024"/>
    <n v="3489339557"/>
    <n v="6333843581"/>
    <n v="23266408582"/>
    <n v="31888223954"/>
    <n v="55154632536"/>
    <n v="97.417611260000001"/>
    <n v="129.01505570699999"/>
    <n v="1.3243504335439809"/>
    <n v="15420317.79560844"/>
    <n v="21443632.801179502"/>
    <n v="36863950.596787944"/>
    <n v="2147848.4485319084"/>
    <n v="2634755.4760581586"/>
    <n v="4782603.924590067"/>
    <n v="17568166.244140346"/>
    <n v="24078388.277237661"/>
    <n v="41646554.521378003"/>
    <n v="20421904.557999998"/>
    <n v="28398884.397"/>
    <n v="48820788.954999998"/>
    <n v="2844504.0240000002"/>
    <n v="3489339.557"/>
    <n v="6333843.5810000002"/>
    <n v="23266408.581999999"/>
    <n v="31888223.954"/>
    <n v="55154632.535999998"/>
  </r>
  <r>
    <x v="107"/>
    <n v="313616"/>
    <n v="432504"/>
    <n v="746120"/>
    <n v="29496"/>
    <n v="35330"/>
    <n v="64826"/>
    <n v="343112"/>
    <n v="467834"/>
    <n v="810946"/>
    <n v="20410585299"/>
    <n v="28506998823"/>
    <n v="48917584122"/>
    <n v="2850199068"/>
    <n v="3494063541"/>
    <n v="6344262609"/>
    <n v="23260784367"/>
    <n v="32001062364"/>
    <n v="55261846731"/>
    <n v="97.037847170000006"/>
    <n v="129.01505570699999"/>
    <n v="1.3295333673363476"/>
    <n v="15351690.901817355"/>
    <n v="21441356.436290368"/>
    <n v="36793047.33810772"/>
    <n v="2143758.9593634862"/>
    <n v="2628037.4955915385"/>
    <n v="4771796.4549550246"/>
    <n v="17495449.861180842"/>
    <n v="24069393.931881905"/>
    <n v="41564843.793062747"/>
    <n v="20410585.298999999"/>
    <n v="28506998.822999999"/>
    <n v="48917584.122000001"/>
    <n v="2850199.068"/>
    <n v="3494063.5410000002"/>
    <n v="6344262.6090000002"/>
    <n v="23260784.366999999"/>
    <n v="32001062.364"/>
    <n v="55261846.730999999"/>
  </r>
  <r>
    <x v="108"/>
    <n v="316011"/>
    <n v="434836"/>
    <n v="750847"/>
    <n v="29485"/>
    <n v="35288"/>
    <n v="64773"/>
    <n v="345496"/>
    <n v="470124"/>
    <n v="815620"/>
    <n v="21475352472"/>
    <n v="29820947833"/>
    <n v="51296300305"/>
    <n v="2915674809"/>
    <n v="3569695781"/>
    <n v="6485370590"/>
    <n v="24391027281"/>
    <n v="33390643614"/>
    <n v="57781670895"/>
    <n v="97.271810860000002"/>
    <n v="129.01505570699999"/>
    <n v="1.326335498088824"/>
    <n v="16191493.40641549"/>
    <n v="22483713.868753668"/>
    <n v="38675207.275169156"/>
    <n v="2198293.5789634869"/>
    <n v="2691397.3019222771"/>
    <n v="4889690.880885764"/>
    <n v="18389786.985378977"/>
    <n v="25175111.170675948"/>
    <n v="43564898.156054921"/>
    <n v="21475352.471999999"/>
    <n v="29820947.833000001"/>
    <n v="51296300.305"/>
    <n v="2915674.8089999999"/>
    <n v="3569695.781"/>
    <n v="6485370.5899999999"/>
    <n v="24391027.280999999"/>
    <n v="33390643.614"/>
    <n v="57781670.895000003"/>
  </r>
  <r>
    <x v="109"/>
    <n v="317865"/>
    <n v="436895"/>
    <n v="754760"/>
    <n v="29535"/>
    <n v="35290"/>
    <n v="64825"/>
    <n v="347400"/>
    <n v="472185"/>
    <n v="819585"/>
    <n v="21403202716"/>
    <n v="29744478148"/>
    <n v="51147680864"/>
    <n v="2916354606"/>
    <n v="3550245569"/>
    <n v="6466600175"/>
    <n v="24319557322"/>
    <n v="33294723717"/>
    <n v="57614281039"/>
    <n v="97.468426390000005"/>
    <n v="129.01505570699999"/>
    <n v="1.3236599839087644"/>
    <n v="16169713.503611706"/>
    <n v="22471388.807996321"/>
    <n v="38641102.311608024"/>
    <n v="2203250.563931088"/>
    <n v="2682143.1577285691"/>
    <n v="4885393.7216596566"/>
    <n v="18372964.067542795"/>
    <n v="25153531.965724893"/>
    <n v="43526496.033267684"/>
    <n v="21403202.715999998"/>
    <n v="29744478.147999998"/>
    <n v="51147680.864"/>
    <n v="2916354.6060000001"/>
    <n v="3550245.5690000001"/>
    <n v="6466600.1749999998"/>
    <n v="24319557.322000001"/>
    <n v="33294723.717"/>
    <n v="57614281.038999997"/>
  </r>
  <r>
    <x v="110"/>
    <n v="319533"/>
    <n v="439139"/>
    <n v="758672"/>
    <n v="29509"/>
    <n v="35214"/>
    <n v="64723"/>
    <n v="349042"/>
    <n v="474353"/>
    <n v="823395"/>
    <n v="21478966999"/>
    <n v="29976170540"/>
    <n v="51455137539"/>
    <n v="2901995397"/>
    <n v="3535566330"/>
    <n v="6437561727"/>
    <n v="24380962396"/>
    <n v="33511736870"/>
    <n v="57892699266"/>
    <n v="97.321077840000001"/>
    <n v="129.01505570699999"/>
    <n v="1.3256640654875014"/>
    <n v="16202420.777771704"/>
    <n v="22612192.123482298"/>
    <n v="38814612.901253998"/>
    <n v="2189088.0748380371"/>
    <n v="2667015.288447022"/>
    <n v="4856103.3632850591"/>
    <n v="18391508.852609742"/>
    <n v="25279207.411929321"/>
    <n v="43670716.264539063"/>
    <n v="21478966.999000002"/>
    <n v="29976170.539999999"/>
    <n v="51455137.538999997"/>
    <n v="2901995.3969999999"/>
    <n v="3535566.33"/>
    <n v="6437561.727"/>
    <n v="24380962.396000002"/>
    <n v="33511736.870000001"/>
    <n v="57892699.266000003"/>
  </r>
  <r>
    <x v="111"/>
    <n v="321666"/>
    <n v="442652"/>
    <n v="764318"/>
    <n v="29486"/>
    <n v="35178"/>
    <n v="64664"/>
    <n v="351152"/>
    <n v="477830"/>
    <n v="828982"/>
    <n v="21719831153"/>
    <n v="30342106068"/>
    <n v="52061937221"/>
    <n v="2901994196"/>
    <n v="3546912231"/>
    <n v="6448906427"/>
    <n v="24621825349"/>
    <n v="33889018299"/>
    <n v="58510843648"/>
    <n v="97.892102530000003"/>
    <n v="129.01505570699999"/>
    <n v="1.3179311953940518"/>
    <n v="16480246.638752587"/>
    <n v="23022526.649373326"/>
    <n v="39502773.28812591"/>
    <n v="2201931.4863643735"/>
    <n v="2691272.6881311121"/>
    <n v="4893204.1744954865"/>
    <n v="18682178.125116959"/>
    <n v="25713799.337504435"/>
    <n v="44395977.462621398"/>
    <n v="21719831.153000001"/>
    <n v="30342106.068"/>
    <n v="52061937.221000001"/>
    <n v="2901994.196"/>
    <n v="3546912.2310000001"/>
    <n v="6448906.4270000001"/>
    <n v="24621825.348999999"/>
    <n v="33889018.299000002"/>
    <n v="58510843.648000002"/>
  </r>
  <r>
    <x v="112"/>
    <n v="323597"/>
    <n v="445509"/>
    <n v="769106"/>
    <n v="29463"/>
    <n v="35101"/>
    <n v="64564"/>
    <n v="353060"/>
    <n v="480610"/>
    <n v="833670"/>
    <n v="21792278573"/>
    <n v="30540621130"/>
    <n v="52332899703"/>
    <n v="2902061934"/>
    <n v="3535958880"/>
    <n v="6438020814"/>
    <n v="24694340507"/>
    <n v="34076580010"/>
    <n v="58770920517"/>
    <n v="97.97588863"/>
    <n v="129.01505570699999"/>
    <n v="1.3168041393757348"/>
    <n v="16549369.736437185"/>
    <n v="23192986.881464828"/>
    <n v="39742356.617902018"/>
    <n v="2203867.5663457424"/>
    <n v="2685258.0230164775"/>
    <n v="4889125.5893622199"/>
    <n v="18753237.302782927"/>
    <n v="25878244.904481303"/>
    <n v="44631482.207264237"/>
    <n v="21792278.572999999"/>
    <n v="30540621.129999999"/>
    <n v="52332899.703000002"/>
    <n v="2902061.9339999999"/>
    <n v="3535958.88"/>
    <n v="6438020.8140000002"/>
    <n v="24694340.506999999"/>
    <n v="34076580.009999998"/>
    <n v="58770920.516999997"/>
  </r>
  <r>
    <x v="113"/>
    <n v="325611"/>
    <n v="448472"/>
    <n v="774083"/>
    <n v="29394"/>
    <n v="35047"/>
    <n v="64441"/>
    <n v="355005"/>
    <n v="483519"/>
    <n v="838524"/>
    <n v="21952336185"/>
    <n v="30810925061"/>
    <n v="52763261246"/>
    <n v="2890050152"/>
    <n v="3527621344"/>
    <n v="6417671496"/>
    <n v="24842386337"/>
    <n v="34338546405"/>
    <n v="59180932742"/>
    <n v="98.120592090000002"/>
    <n v="129.01505570699999"/>
    <n v="1.3148621809034986"/>
    <n v="16695541.55851954"/>
    <n v="23432817.148812115"/>
    <n v="40128358.707331657"/>
    <n v="2197987.130494636"/>
    <n v="2682882.9631224307"/>
    <n v="4880870.0936170677"/>
    <n v="18893528.689014178"/>
    <n v="26115700.111934546"/>
    <n v="45009228.800948724"/>
    <n v="21952336.184999999"/>
    <n v="30810925.061000001"/>
    <n v="52763261.245999999"/>
    <n v="2890050.1519999998"/>
    <n v="3527621.344"/>
    <n v="6417671.4960000003"/>
    <n v="24842386.337000001"/>
    <n v="34338546.405000001"/>
    <n v="59180932.741999999"/>
  </r>
  <r>
    <x v="114"/>
    <n v="327550"/>
    <n v="451178"/>
    <n v="778728"/>
    <n v="29405"/>
    <n v="35049"/>
    <n v="64454"/>
    <n v="356955"/>
    <n v="486227"/>
    <n v="843182"/>
    <n v="22079706386"/>
    <n v="31016005504"/>
    <n v="53095711890"/>
    <n v="2896976921"/>
    <n v="3527121043"/>
    <n v="6424097964"/>
    <n v="24976683307"/>
    <n v="34543126547"/>
    <n v="59519809854"/>
    <n v="98.572460250000006"/>
    <n v="129.01505570699999"/>
    <n v="1.3088346925682011"/>
    <n v="16869744.140625663"/>
    <n v="23697420.063904528"/>
    <n v="40567164.204530187"/>
    <n v="2213401.6904117502"/>
    <n v="2694856.0143061825"/>
    <n v="4908257.7047179323"/>
    <n v="19083145.831037413"/>
    <n v="26392276.078210708"/>
    <n v="45475421.909248121"/>
    <n v="22079706.386"/>
    <n v="31016005.504000001"/>
    <n v="53095711.890000001"/>
    <n v="2896976.9210000001"/>
    <n v="3527121.0430000001"/>
    <n v="6424097.9639999997"/>
    <n v="24976683.307"/>
    <n v="34543126.546999998"/>
    <n v="59519809.854000002"/>
  </r>
  <r>
    <x v="115"/>
    <n v="329547"/>
    <n v="453700"/>
    <n v="783247"/>
    <n v="29490"/>
    <n v="35033"/>
    <n v="64523"/>
    <n v="359037"/>
    <n v="488733"/>
    <n v="847770"/>
    <n v="22141134330"/>
    <n v="30974827267"/>
    <n v="53115961597"/>
    <n v="2906061927"/>
    <n v="3521235328"/>
    <n v="6427297255"/>
    <n v="25047196257"/>
    <n v="34496062595"/>
    <n v="59543258852"/>
    <n v="98.616791239999998"/>
    <n v="129.01505570699999"/>
    <n v="1.3082463349777917"/>
    <n v="16924285.387259163"/>
    <n v="23676601.599289645"/>
    <n v="40600886.986548811"/>
    <n v="2221341.5389001127"/>
    <n v="2691569.0370038566"/>
    <n v="4912910.5759039698"/>
    <n v="19145626.926159278"/>
    <n v="26368170.636293504"/>
    <n v="45513797.562452778"/>
    <n v="22141134.329999998"/>
    <n v="30974827.267000001"/>
    <n v="53115961.597000003"/>
    <n v="2906061.9270000001"/>
    <n v="3521235.3280000002"/>
    <n v="6427297.2549999999"/>
    <n v="25047196.256999999"/>
    <n v="34496062.594999999"/>
    <n v="59543258.851999998"/>
  </r>
  <r>
    <x v="116"/>
    <n v="332732"/>
    <n v="458631"/>
    <n v="791363"/>
    <n v="29743"/>
    <n v="35283"/>
    <n v="65026"/>
    <n v="362475"/>
    <n v="493914"/>
    <n v="856389"/>
    <n v="22568380043"/>
    <n v="31717601551"/>
    <n v="54285981594"/>
    <n v="2952555039"/>
    <n v="3578391634"/>
    <n v="6530946673"/>
    <n v="25520935082"/>
    <n v="35295993185"/>
    <n v="60816928267"/>
    <n v="98.818593930000006"/>
    <n v="129.01505570699999"/>
    <n v="1.3055746957742609"/>
    <n v="17286165.330905098"/>
    <n v="24293976.93878413"/>
    <n v="41580142.269689232"/>
    <n v="2261498.3643268379"/>
    <n v="2740855.5370919337"/>
    <n v="5002353.9014187716"/>
    <n v="19547663.695231937"/>
    <n v="27034832.475876063"/>
    <n v="46582496.171108"/>
    <n v="22568380.043000001"/>
    <n v="31717601.550999999"/>
    <n v="54285981.593999997"/>
    <n v="2952555.0389999999"/>
    <n v="3578391.6340000001"/>
    <n v="6530946.6730000004"/>
    <n v="25520935.081999999"/>
    <n v="35295993.185000002"/>
    <n v="60816928.266999997"/>
  </r>
  <r>
    <x v="117"/>
    <n v="336427"/>
    <n v="464449"/>
    <n v="800876"/>
    <n v="29988"/>
    <n v="35549"/>
    <n v="65537"/>
    <n v="366415"/>
    <n v="499998"/>
    <n v="866413"/>
    <n v="22802667324"/>
    <n v="32183666956"/>
    <n v="54986334280"/>
    <n v="2955326007"/>
    <n v="3587054371"/>
    <n v="6542380378"/>
    <n v="25757993331"/>
    <n v="35770721327"/>
    <n v="61528714658"/>
    <n v="99.131000330000006"/>
    <n v="129.01505570699999"/>
    <n v="1.3014602422805994"/>
    <n v="17520832.817790881"/>
    <n v="24728889.835008182"/>
    <n v="42249722.652799062"/>
    <n v="2270777.0172227984"/>
    <n v="2756176.68098279"/>
    <n v="5026953.6982055884"/>
    <n v="19791609.83501368"/>
    <n v="27485066.515990969"/>
    <n v="47276676.351004653"/>
    <n v="22802667.324000001"/>
    <n v="32183666.956"/>
    <n v="54986334.280000001"/>
    <n v="2955326.0070000002"/>
    <n v="3587054.3709999998"/>
    <n v="6542380.3779999996"/>
    <n v="25757993.331"/>
    <n v="35770721.327"/>
    <n v="61528714.658"/>
  </r>
  <r>
    <x v="118"/>
    <n v="339383"/>
    <n v="468409"/>
    <n v="807792"/>
    <n v="30386"/>
    <n v="35884"/>
    <n v="66270"/>
    <n v="369769"/>
    <n v="504293"/>
    <n v="874062"/>
    <n v="22971107954"/>
    <n v="32299686549"/>
    <n v="55270794503"/>
    <n v="2998856462"/>
    <n v="3628450113"/>
    <n v="6627306575"/>
    <n v="25969964416"/>
    <n v="35928136662"/>
    <n v="61898101078"/>
    <n v="99.408296890000003"/>
    <n v="129.01505570699999"/>
    <n v="1.2978298566945701"/>
    <n v="17699629.759254333"/>
    <n v="24887458.384771448"/>
    <n v="42587088.14402578"/>
    <n v="2310669.9591869134"/>
    <n v="2795782.586048115"/>
    <n v="5106452.5452350294"/>
    <n v="20010299.718441244"/>
    <n v="27683240.970819563"/>
    <n v="47693540.689260811"/>
    <n v="22971107.954"/>
    <n v="32299686.548999999"/>
    <n v="55270794.502999999"/>
    <n v="2998856.4619999998"/>
    <n v="3628450.1129999999"/>
    <n v="6627306.5750000002"/>
    <n v="25969964.416000001"/>
    <n v="35928136.662"/>
    <n v="61898101.078000002"/>
  </r>
  <r>
    <x v="119"/>
    <n v="342712"/>
    <n v="471975"/>
    <n v="814687"/>
    <n v="30563"/>
    <n v="36044"/>
    <n v="66607"/>
    <n v="373275"/>
    <n v="508019"/>
    <n v="881294"/>
    <n v="23198800916"/>
    <n v="32539504044"/>
    <n v="55738304960"/>
    <n v="2990751458"/>
    <n v="3624529981"/>
    <n v="6615281439"/>
    <n v="26189552374"/>
    <n v="36164034025"/>
    <n v="62353586399"/>
    <n v="99.510759739999997"/>
    <n v="129.01505570699999"/>
    <n v="1.2964935253643757"/>
    <n v="17893495.387476034"/>
    <n v="25098084.492828354"/>
    <n v="42991579.880304389"/>
    <n v="2306800.1493948516"/>
    <n v="2795640.6338252532"/>
    <n v="5102440.7832201049"/>
    <n v="20200295.536870889"/>
    <n v="27893725.126653608"/>
    <n v="48094020.663524494"/>
    <n v="23198800.916000001"/>
    <n v="32539504.044"/>
    <n v="55738304.960000001"/>
    <n v="2990751.4580000001"/>
    <n v="3624529.9810000001"/>
    <n v="6615281.4390000002"/>
    <n v="26189552.374000002"/>
    <n v="36164034.024999999"/>
    <n v="62353586.398999996"/>
  </r>
  <r>
    <x v="120"/>
    <n v="346201"/>
    <n v="475671"/>
    <n v="821872"/>
    <n v="30697"/>
    <n v="36149"/>
    <n v="66846"/>
    <n v="376898"/>
    <n v="511820"/>
    <n v="888718"/>
    <n v="24308135318"/>
    <n v="34093858626"/>
    <n v="58401993944"/>
    <n v="3080056038"/>
    <n v="3714883039"/>
    <n v="6794939077"/>
    <n v="27388191356"/>
    <n v="37808741665"/>
    <n v="65196933021"/>
    <n v="99.863231380000002"/>
    <n v="129.01505570699999"/>
    <n v="1.2919174947991752"/>
    <n v="18815547.754292645"/>
    <n v="26390120.702947669"/>
    <n v="45205668.457240313"/>
    <n v="2384096.5467216512"/>
    <n v="2875480.0937017016"/>
    <n v="5259576.6404233528"/>
    <n v="21199644.301014297"/>
    <n v="29265600.79664937"/>
    <n v="50465245.097663663"/>
    <n v="24308135.318"/>
    <n v="34093858.626000002"/>
    <n v="58401993.943999998"/>
    <n v="3080056.0380000002"/>
    <n v="3714883.0389999999"/>
    <n v="6794939.0769999996"/>
    <n v="27388191.355999999"/>
    <n v="37808741.664999999"/>
    <n v="65196933.020999998"/>
  </r>
  <r>
    <x v="121"/>
    <n v="349112"/>
    <n v="478874"/>
    <n v="827986"/>
    <n v="30737"/>
    <n v="36176"/>
    <n v="66913"/>
    <n v="379849"/>
    <n v="515050"/>
    <n v="894899"/>
    <n v="24476822149"/>
    <n v="34336824353"/>
    <n v="58813646502"/>
    <n v="3072001505"/>
    <n v="3702232916"/>
    <n v="6774234421"/>
    <n v="27548823654"/>
    <n v="38039057269"/>
    <n v="65587880923"/>
    <n v="100.0348635"/>
    <n v="129.01505570699999"/>
    <n v="1.2897009221889926"/>
    <n v="18978680.814972054"/>
    <n v="26623865.86086994"/>
    <n v="45602546.675841995"/>
    <n v="2381948.7542785751"/>
    <n v="2870613.5293105384"/>
    <n v="5252562.2835891135"/>
    <n v="21360629.569250628"/>
    <n v="29494479.39018048"/>
    <n v="50855108.959431104"/>
    <n v="24476822.149"/>
    <n v="34336824.353"/>
    <n v="58813646.501999997"/>
    <n v="3072001.5049999999"/>
    <n v="3702232.9160000002"/>
    <n v="6774234.4210000001"/>
    <n v="27548823.653999999"/>
    <n v="38039057.269000001"/>
    <n v="65587880.923"/>
  </r>
  <r>
    <x v="122"/>
    <n v="351534"/>
    <n v="481641"/>
    <n v="833175"/>
    <n v="30718"/>
    <n v="36125"/>
    <n v="66843"/>
    <n v="382252"/>
    <n v="517766"/>
    <n v="900018"/>
    <n v="24601059805"/>
    <n v="34595251151"/>
    <n v="59196310956"/>
    <n v="3063034327"/>
    <n v="3685154648"/>
    <n v="6748188975"/>
    <n v="27664094132"/>
    <n v="38280405799"/>
    <n v="65944499931"/>
    <n v="100.3748626"/>
    <n v="129.01505570699999"/>
    <n v="1.2853323268907766"/>
    <n v="19139843.67335571"/>
    <n v="26915413.568322856"/>
    <n v="46055257.241678566"/>
    <n v="2383067.9917694833"/>
    <n v="2867083.1433255882"/>
    <n v="5250151.135095072"/>
    <n v="21522911.665125191"/>
    <n v="29782496.711648446"/>
    <n v="51305408.376773633"/>
    <n v="24601059.805"/>
    <n v="34595251.151000001"/>
    <n v="59196310.956"/>
    <n v="3063034.327"/>
    <n v="3685154.648"/>
    <n v="6748188.9749999996"/>
    <n v="27664094.131999999"/>
    <n v="38280405.799000002"/>
    <n v="65944499.931000002"/>
  </r>
  <r>
    <x v="123"/>
    <n v="354434"/>
    <n v="485731"/>
    <n v="840165"/>
    <n v="30790"/>
    <n v="36113"/>
    <n v="66903"/>
    <n v="385224"/>
    <n v="521844"/>
    <n v="907068"/>
    <n v="24857678187"/>
    <n v="35020226123"/>
    <n v="59877904310"/>
    <n v="3078110338"/>
    <n v="3694474642"/>
    <n v="6772584980"/>
    <n v="27935788525"/>
    <n v="38714700765"/>
    <n v="66650489290"/>
    <n v="100.74281120000001"/>
    <n v="129.01505570699999"/>
    <n v="1.2806378357942823"/>
    <n v="19410388.708047714"/>
    <n v="27345924.93222693"/>
    <n v="46756313.640274644"/>
    <n v="2403575.9775056797"/>
    <n v="2884870.756382579"/>
    <n v="5288446.7338882592"/>
    <n v="21813964.685553394"/>
    <n v="30230795.688609507"/>
    <n v="52044760.374162905"/>
    <n v="24857678.186999999"/>
    <n v="35020226.123000003"/>
    <n v="59877904.310000002"/>
    <n v="3078110.338"/>
    <n v="3694474.642"/>
    <n v="6772584.9800000004"/>
    <n v="27935788.524999999"/>
    <n v="38714700.765000001"/>
    <n v="66650489.289999999"/>
  </r>
  <r>
    <x v="124"/>
    <n v="357070"/>
    <n v="489744"/>
    <n v="846814"/>
    <n v="30850"/>
    <n v="36146"/>
    <n v="66996"/>
    <n v="387920"/>
    <n v="525890"/>
    <n v="913810"/>
    <n v="24965162729"/>
    <n v="35365985254"/>
    <n v="60331147983"/>
    <n v="3078719754"/>
    <n v="3702426144"/>
    <n v="6781145898"/>
    <n v="28043882483"/>
    <n v="39068411398"/>
    <n v="67112293881"/>
    <n v="100.73748740000001"/>
    <n v="129.01505570699999"/>
    <n v="1.280705515263824"/>
    <n v="19493288.996930104"/>
    <n v="27614455.339262471"/>
    <n v="47107744.336192571"/>
    <n v="2403924.8034047754"/>
    <n v="2890926.9928749418"/>
    <n v="5294851.7962797172"/>
    <n v="21897213.800334882"/>
    <n v="30505382.332137413"/>
    <n v="52402596.132472292"/>
    <n v="24965162.728999998"/>
    <n v="35365985.254000001"/>
    <n v="60331147.983000003"/>
    <n v="3078719.7540000002"/>
    <n v="3702426.1439999999"/>
    <n v="6781145.898"/>
    <n v="28043882.482999999"/>
    <n v="39068411.398000002"/>
    <n v="67112293.880999997"/>
  </r>
  <r>
    <x v="125"/>
    <n v="360031"/>
    <n v="493400"/>
    <n v="853431"/>
    <n v="30827"/>
    <n v="36075"/>
    <n v="66902"/>
    <n v="390858"/>
    <n v="529475"/>
    <n v="920333"/>
    <n v="25299169172"/>
    <n v="35673355039"/>
    <n v="60972524211"/>
    <n v="3082278029"/>
    <n v="3691981415"/>
    <n v="6774259444"/>
    <n v="28381447201"/>
    <n v="39365336454"/>
    <n v="67746783655"/>
    <n v="100.63564100000001"/>
    <n v="129.01505570699999"/>
    <n v="1.2820016290948053"/>
    <n v="19734116.242787629"/>
    <n v="27826294.623500764"/>
    <n v="47560410.866288394"/>
    <n v="2404269.9783278219"/>
    <n v="2879857.0385646317"/>
    <n v="5284127.0168924546"/>
    <n v="22138386.221115451"/>
    <n v="30706151.662065394"/>
    <n v="52844537.883180849"/>
    <n v="25299169.171999998"/>
    <n v="35673355.038999997"/>
    <n v="60972524.211000003"/>
    <n v="3082278.0290000001"/>
    <n v="3691981.415"/>
    <n v="6774259.4440000001"/>
    <n v="28381447.201000001"/>
    <n v="39365336.454000004"/>
    <n v="67746783.655000001"/>
  </r>
  <r>
    <x v="126"/>
    <n v="362514"/>
    <n v="496897"/>
    <n v="859411"/>
    <n v="30910"/>
    <n v="36096"/>
    <n v="67006"/>
    <n v="393424"/>
    <n v="532993"/>
    <n v="926417"/>
    <n v="25431251421"/>
    <n v="36058491905"/>
    <n v="61489743326"/>
    <n v="3101534964"/>
    <n v="3706589951"/>
    <n v="6808124915"/>
    <n v="28532786385"/>
    <n v="39765081856"/>
    <n v="68297868241"/>
    <n v="100.748087958"/>
    <n v="129.01505570699999"/>
    <n v="1.2805707614102211"/>
    <n v="19859309.760433685"/>
    <n v="28158140.87875222"/>
    <n v="48017450.639185905"/>
    <n v="2421994.2056028615"/>
    <n v="2894482.7280908236"/>
    <n v="5316476.9336936856"/>
    <n v="22281303.966036547"/>
    <n v="31052623.606843039"/>
    <n v="53333927.57287959"/>
    <n v="25431251.421"/>
    <n v="36058491.905000001"/>
    <n v="61489743.325999998"/>
    <n v="3101534.9640000002"/>
    <n v="3706589.9509999999"/>
    <n v="6808124.915"/>
    <n v="28532786.385000002"/>
    <n v="39765081.855999999"/>
    <n v="68297868.240999997"/>
  </r>
  <r>
    <x v="127"/>
    <n v="365127"/>
    <n v="499418"/>
    <n v="864545"/>
    <n v="30991"/>
    <n v="36240"/>
    <n v="67231"/>
    <n v="396118"/>
    <n v="535658"/>
    <n v="931776"/>
    <n v="25518935997"/>
    <n v="35798638282"/>
    <n v="61317574279"/>
    <n v="3104254860"/>
    <n v="3721033081"/>
    <n v="6825287941"/>
    <n v="28623190857"/>
    <n v="39519671363"/>
    <n v="68142862220"/>
    <n v="100.79463698399999"/>
    <n v="129.01505570699999"/>
    <n v="1.2799793676272644"/>
    <n v="19936990.112821277"/>
    <n v="27968136.977364715"/>
    <n v="47905127.090186"/>
    <n v="2425238.2018894954"/>
    <n v="2907103.9542596606"/>
    <n v="5332342.1561491555"/>
    <n v="22362228.314710774"/>
    <n v="30875240.931624379"/>
    <n v="53237469.246335149"/>
    <n v="25518935.997000001"/>
    <n v="35798638.281999998"/>
    <n v="61317574.278999999"/>
    <n v="3104254.86"/>
    <n v="3721033.0809999998"/>
    <n v="6825287.9409999996"/>
    <n v="28623190.857000001"/>
    <n v="39519671.362999998"/>
    <n v="68142862.219999999"/>
  </r>
  <r>
    <x v="128"/>
    <n v="368185"/>
    <n v="503074"/>
    <n v="871259"/>
    <n v="31236"/>
    <n v="36473"/>
    <n v="67709"/>
    <n v="399421"/>
    <n v="539547"/>
    <n v="938968"/>
    <n v="25777105260"/>
    <n v="36244202856"/>
    <n v="62021308116"/>
    <n v="3131110402"/>
    <n v="3743192044"/>
    <n v="6874302446"/>
    <n v="28908215662"/>
    <n v="39987394900"/>
    <n v="68895610562"/>
    <n v="101.272680897"/>
    <n v="129.01505570699999"/>
    <n v="1.273937399151263"/>
    <n v="20234200.893366907"/>
    <n v="28450536.800432287"/>
    <n v="48684737.69379919"/>
    <n v="2457821.2430893732"/>
    <n v="2938285.701082197"/>
    <n v="5396106.9441715712"/>
    <n v="22692022.136456281"/>
    <n v="31388822.50151448"/>
    <n v="54080844.63797076"/>
    <n v="25777105.260000002"/>
    <n v="36244202.855999999"/>
    <n v="62021308.115999997"/>
    <n v="3131110.4019999998"/>
    <n v="3743192.0440000002"/>
    <n v="6874302.4460000005"/>
    <n v="28908215.662"/>
    <n v="39987394.899999999"/>
    <n v="68895610.562000006"/>
  </r>
  <r>
    <x v="129"/>
    <n v="370802"/>
    <n v="506604"/>
    <n v="877406"/>
    <n v="31411"/>
    <n v="36631"/>
    <n v="68042"/>
    <n v="402213"/>
    <n v="543235"/>
    <n v="945448"/>
    <n v="25931350271"/>
    <n v="36495616800"/>
    <n v="62426967071"/>
    <n v="3138435683"/>
    <n v="3744336974"/>
    <n v="6882772657"/>
    <n v="29069785954"/>
    <n v="40239953774"/>
    <n v="69309739728"/>
    <n v="101.536606212"/>
    <n v="129.01505570699999"/>
    <n v="1.2706260384321619"/>
    <n v="20408325.885558706"/>
    <n v="28722547.544383951"/>
    <n v="49130873.42994266"/>
    <n v="2469991.6325282827"/>
    <n v="2946844.2017921926"/>
    <n v="5416835.8343204753"/>
    <n v="22878317.518086985"/>
    <n v="31669391.746176142"/>
    <n v="54547709.264263131"/>
    <n v="25931350.271000002"/>
    <n v="36495616.799999997"/>
    <n v="62426967.071000002"/>
    <n v="3138435.6830000002"/>
    <n v="3744336.9739999999"/>
    <n v="6882772.6569999997"/>
    <n v="29069785.954"/>
    <n v="40239953.773999996"/>
    <n v="69309739.728"/>
  </r>
  <r>
    <x v="130"/>
    <n v="373627"/>
    <n v="510020"/>
    <n v="883647"/>
    <n v="31638"/>
    <n v="36814"/>
    <n v="68452"/>
    <n v="405265"/>
    <n v="546834"/>
    <n v="952099"/>
    <n v="26107342028"/>
    <n v="36743915141"/>
    <n v="62851257169"/>
    <n v="3158996179"/>
    <n v="3763433530"/>
    <n v="6922429709"/>
    <n v="29266338207"/>
    <n v="40507348671"/>
    <n v="69773686878"/>
    <n v="102.150333284"/>
    <n v="129.01505570699999"/>
    <n v="1.2629920193046287"/>
    <n v="20671026.917790059"/>
    <n v="29092753.223595403"/>
    <n v="49763780.141385458"/>
    <n v="2501200.4278057618"/>
    <n v="2979776.1763150734"/>
    <n v="5480976.6041208357"/>
    <n v="23172227.345595822"/>
    <n v="32072529.399910472"/>
    <n v="55244756.745506294"/>
    <n v="26107342.028000001"/>
    <n v="36743915.141000003"/>
    <n v="62851257.169"/>
    <n v="3158996.179"/>
    <n v="3763433.53"/>
    <n v="6922429.7089999998"/>
    <n v="29266338.206999999"/>
    <n v="40507348.670999996"/>
    <n v="69773686.878000006"/>
  </r>
  <r>
    <x v="131"/>
    <n v="375576"/>
    <n v="512725"/>
    <n v="888301"/>
    <n v="31723"/>
    <n v="36850"/>
    <n v="68573"/>
    <n v="407299"/>
    <n v="549575"/>
    <n v="956874"/>
    <n v="26270797719"/>
    <n v="36997395981"/>
    <n v="63268193700"/>
    <n v="3158421835"/>
    <n v="3755130694"/>
    <n v="6913552529"/>
    <n v="29429219554"/>
    <n v="40752526675"/>
    <n v="70181746229"/>
    <n v="102.200162221"/>
    <n v="129.01505570699999"/>
    <n v="1.262376232123926"/>
    <n v="20810592.793560319"/>
    <n v="29307741.257733066"/>
    <n v="50118334.051293381"/>
    <n v="2501965.5429396117"/>
    <n v="2974652.5627166298"/>
    <n v="5476618.1056562411"/>
    <n v="23312558.336499926"/>
    <n v="32282393.820449695"/>
    <n v="55594952.156949624"/>
    <n v="26270797.719000001"/>
    <n v="36997395.980999999"/>
    <n v="63268193.700000003"/>
    <n v="3158421.835"/>
    <n v="3755130.6940000001"/>
    <n v="6913552.5290000001"/>
    <n v="29429219.554000001"/>
    <n v="40752526.674999997"/>
    <n v="70181746.229000002"/>
  </r>
  <r>
    <x v="132"/>
    <n v="379973"/>
    <n v="517325"/>
    <n v="897298"/>
    <n v="32159"/>
    <n v="37208"/>
    <n v="69367"/>
    <n v="412132"/>
    <n v="554533"/>
    <n v="966665"/>
    <n v="27412672030"/>
    <n v="38788561956"/>
    <n v="66201233986"/>
    <n v="3260201037"/>
    <n v="3868175031"/>
    <n v="7128376068"/>
    <n v="30672873067"/>
    <n v="42656736987"/>
    <n v="73329610054"/>
    <n v="102.42867542899999"/>
    <n v="129.01505570699999"/>
    <n v="1.2595599344289945"/>
    <n v="21763690.064043827"/>
    <n v="30795328.507796895"/>
    <n v="52559018.571840718"/>
    <n v="2588365.1487199538"/>
    <n v="3071052.7742799218"/>
    <n v="5659417.9229998756"/>
    <n v="24352055.212763779"/>
    <n v="33866381.282076813"/>
    <n v="58218436.494840592"/>
    <n v="27412672.030000001"/>
    <n v="38788561.956"/>
    <n v="66201233.986000001"/>
    <n v="3260201.037"/>
    <n v="3868175.031"/>
    <n v="7128376.068"/>
    <n v="30672873.067000002"/>
    <n v="42656736.987000003"/>
    <n v="73329610.054000005"/>
  </r>
  <r>
    <x v="133"/>
    <n v="380060"/>
    <n v="518553"/>
    <n v="898613"/>
    <n v="31821"/>
    <n v="36864"/>
    <n v="68685"/>
    <n v="411881"/>
    <n v="555417"/>
    <n v="967298"/>
    <n v="27472775984"/>
    <n v="38944915400"/>
    <n v="66417691384"/>
    <n v="3238617377"/>
    <n v="3843231953"/>
    <n v="7081849330"/>
    <n v="30711393361"/>
    <n v="42788147353"/>
    <n v="73499540714"/>
    <n v="102.620430008"/>
    <n v="129.01505570699999"/>
    <n v="1.2572063447496988"/>
    <n v="21852240.961661424"/>
    <n v="30977345.574686598"/>
    <n v="52829586.536348023"/>
    <n v="2576042.8194822599"/>
    <n v="3056961.9450696944"/>
    <n v="5633004.7645519543"/>
    <n v="24428283.78114368"/>
    <n v="34034307.519756295"/>
    <n v="58462591.300899975"/>
    <n v="27472775.984000001"/>
    <n v="38944915.399999999"/>
    <n v="66417691.384000003"/>
    <n v="3238617.3769999999"/>
    <n v="3843231.9530000002"/>
    <n v="7081849.3300000001"/>
    <n v="30711393.361000001"/>
    <n v="42788147.353"/>
    <n v="73499540.714000002"/>
  </r>
  <r>
    <x v="134"/>
    <n v="383041"/>
    <n v="522483"/>
    <n v="905524"/>
    <n v="32069"/>
    <n v="37036"/>
    <n v="69105"/>
    <n v="415110"/>
    <n v="559519"/>
    <n v="974629"/>
    <n v="27762002280"/>
    <n v="39466839700"/>
    <n v="67228841980"/>
    <n v="3304209767"/>
    <n v="3895468836"/>
    <n v="7199678603"/>
    <n v="31066212047"/>
    <n v="43362308536"/>
    <n v="74428520583"/>
    <n v="102.632852466"/>
    <n v="129.01505570699999"/>
    <n v="1.2570541752187958"/>
    <n v="22084968.832125235"/>
    <n v="31396291.805109054"/>
    <n v="53481260.637234293"/>
    <n v="2628534.1015035314"/>
    <n v="3098886.9953214042"/>
    <n v="5727421.0968249347"/>
    <n v="24713502.933628764"/>
    <n v="34495178.800430462"/>
    <n v="59208681.734059229"/>
    <n v="27762002.280000001"/>
    <n v="39466839.700000003"/>
    <n v="67228841.980000004"/>
    <n v="3304209.767"/>
    <n v="3895468.8360000001"/>
    <n v="7199678.6030000001"/>
    <n v="31066212.046999998"/>
    <n v="43362308.535999998"/>
    <n v="74428520.583000004"/>
  </r>
  <r>
    <x v="135"/>
    <n v="385533"/>
    <n v="525564"/>
    <n v="911097"/>
    <n v="32232"/>
    <n v="37173"/>
    <n v="69405"/>
    <n v="417765"/>
    <n v="562737"/>
    <n v="980502"/>
    <n v="27901112212"/>
    <n v="39684366445"/>
    <n v="67585478657"/>
    <n v="3268601323"/>
    <n v="3877926282"/>
    <n v="7146527605"/>
    <n v="31169713535"/>
    <n v="43562292727"/>
    <n v="74732006262"/>
    <n v="103.465396218"/>
    <n v="129.01505570699999"/>
    <n v="1.2469391740903137"/>
    <n v="22375680.219008956"/>
    <n v="31825422.819000896"/>
    <n v="54201103.038009852"/>
    <n v="2621299.7321096761"/>
    <n v="3109956.2533425773"/>
    <n v="5731255.9854522534"/>
    <n v="24996979.951118633"/>
    <n v="34935379.072343476"/>
    <n v="59932359.023462102"/>
    <n v="27901112.212000001"/>
    <n v="39684366.445"/>
    <n v="67585478.657000005"/>
    <n v="3268601.3229999999"/>
    <n v="3877926.2820000001"/>
    <n v="7146527.6050000004"/>
    <n v="31169713.535"/>
    <n v="43562292.726999998"/>
    <n v="74732006.261999995"/>
  </r>
  <r>
    <x v="136"/>
    <n v="386948"/>
    <n v="528588"/>
    <n v="915536"/>
    <n v="31887"/>
    <n v="36934"/>
    <n v="68821"/>
    <n v="418835"/>
    <n v="565522"/>
    <n v="984357"/>
    <n v="27954551500"/>
    <n v="40008684036"/>
    <n v="67963235536"/>
    <n v="3244535878"/>
    <n v="3850292568"/>
    <n v="7094828446"/>
    <n v="31199087378"/>
    <n v="43858976604"/>
    <n v="75058063982"/>
    <n v="103.553177745"/>
    <n v="129.01505570699999"/>
    <n v="1.2458821497945716"/>
    <n v="22437556.798296943"/>
    <n v="32112735.576632883"/>
    <n v="54550292.374929823"/>
    <n v="2604207.6921440591"/>
    <n v="3090414.7463986534"/>
    <n v="5694622.4385427125"/>
    <n v="25041764.490441002"/>
    <n v="35203150.323031537"/>
    <n v="60244914.813472539"/>
    <n v="27954551.5"/>
    <n v="40008684.035999998"/>
    <n v="67963235.535999998"/>
    <n v="3244535.878"/>
    <n v="3850292.568"/>
    <n v="7094828.4460000005"/>
    <n v="31199087.377999999"/>
    <n v="43858976.604000002"/>
    <n v="75058063.981999993"/>
  </r>
  <r>
    <x v="137"/>
    <n v="388114"/>
    <n v="525915"/>
    <n v="914029"/>
    <n v="31630"/>
    <n v="36702"/>
    <n v="68332"/>
    <n v="419744"/>
    <n v="562617"/>
    <n v="982361"/>
    <n v="41145068046"/>
    <n v="58614815199"/>
    <n v="99759883245"/>
    <n v="4065124243"/>
    <n v="4813761620"/>
    <n v="8878885863"/>
    <n v="45210192289"/>
    <n v="63428576819"/>
    <n v="108638769108"/>
    <n v="103.65598192"/>
    <n v="129.01505570699999"/>
    <n v="1.2446465058482752"/>
    <n v="33057633.514953736"/>
    <n v="47093544.169837773"/>
    <n v="80151177.684791505"/>
    <n v="3266087.3781423257"/>
    <n v="3867573.3209239463"/>
    <n v="7133660.6990662729"/>
    <n v="36323720.89309606"/>
    <n v="50961117.490761727"/>
    <n v="87284838.383857787"/>
    <n v="41145068.045999996"/>
    <n v="58614815.199000001"/>
    <n v="99759883.245000005"/>
    <n v="4065124.2429999998"/>
    <n v="4813761.62"/>
    <n v="8878885.8629999999"/>
    <n v="45210192.288999997"/>
    <n v="63428576.818999998"/>
    <n v="108638769.108"/>
  </r>
  <r>
    <x v="138"/>
    <n v="392610"/>
    <n v="540610"/>
    <n v="933220"/>
    <n v="32309"/>
    <n v="37278"/>
    <n v="69587"/>
    <n v="424919"/>
    <n v="577888"/>
    <n v="1002807"/>
    <n v="41855011823"/>
    <n v="60801972767"/>
    <n v="102656984590"/>
    <n v="4172720449"/>
    <n v="4925404287"/>
    <n v="9098124736"/>
    <n v="46027732272"/>
    <n v="65727377054"/>
    <n v="111755109326"/>
    <n v="104.242876376"/>
    <n v="129.01505570699999"/>
    <n v="1.2376390617009425"/>
    <n v="33818431.49445913"/>
    <n v="49127386.690136574"/>
    <n v="82945818.184595704"/>
    <n v="3371516.4445967344"/>
    <n v="3979677.4677027385"/>
    <n v="7351193.9122994728"/>
    <n v="37189947.93905586"/>
    <n v="53107064.157839313"/>
    <n v="90297012.096895173"/>
    <n v="41855011.822999999"/>
    <n v="60801972.766999997"/>
    <n v="102656984.59"/>
    <n v="4172720.449"/>
    <n v="4925404.2869999995"/>
    <n v="9098124.7359999996"/>
    <n v="46027732.272"/>
    <n v="65727377.053999998"/>
    <n v="111755109.32600001"/>
  </r>
  <r>
    <x v="139"/>
    <n v="398903"/>
    <n v="546952"/>
    <n v="945855"/>
    <n v="32349"/>
    <n v="37310"/>
    <n v="69659"/>
    <n v="431252"/>
    <n v="584262"/>
    <n v="1015514"/>
    <n v="41691861558"/>
    <n v="60218816060"/>
    <n v="101910677618"/>
    <n v="4127753277"/>
    <n v="4865028026"/>
    <n v="8992781303"/>
    <n v="45819614835"/>
    <n v="65083844086"/>
    <n v="110903458921"/>
    <n v="104.710269657"/>
    <n v="129.01505570699999"/>
    <n v="1.2321146352656269"/>
    <n v="33837648.190106764"/>
    <n v="48874361.47288166"/>
    <n v="82712009.662988439"/>
    <n v="3350137.36454004"/>
    <n v="3948518.9825305231"/>
    <n v="7298656.3470705636"/>
    <n v="37187785.554646805"/>
    <n v="52822880.455412187"/>
    <n v="90010666.010058984"/>
    <n v="41691861.557999998"/>
    <n v="60218816.060000002"/>
    <n v="101910677.618"/>
    <n v="4127753.2769999998"/>
    <n v="4865028.0259999996"/>
    <n v="8992781.3029999994"/>
    <n v="45819614.835000001"/>
    <n v="65083844.086000003"/>
    <n v="110903458.921"/>
  </r>
  <r>
    <x v="140"/>
    <n v="408322"/>
    <n v="555640"/>
    <n v="963962"/>
    <n v="32685"/>
    <n v="37607"/>
    <n v="70292"/>
    <n v="441007"/>
    <n v="593247"/>
    <n v="1034254"/>
    <n v="42411382586"/>
    <n v="61074740948"/>
    <n v="103486123534"/>
    <n v="4146596031"/>
    <n v="4888172823"/>
    <n v="9034768854"/>
    <n v="46557978617"/>
    <n v="65962913771"/>
    <n v="112520892388"/>
    <n v="105.056432253"/>
    <n v="129.01505570699999"/>
    <n v="1.2280547981707786"/>
    <n v="34535415.397727303"/>
    <n v="49732911.787790336"/>
    <n v="84268327.185517639"/>
    <n v="3376556.190470058"/>
    <n v="3980419.1395050678"/>
    <n v="7356975.3299751254"/>
    <n v="37911971.588197358"/>
    <n v="53713330.927295409"/>
    <n v="91625302.515492767"/>
    <n v="42411382.586000003"/>
    <n v="61074740.947999999"/>
    <n v="103486123.53399999"/>
    <n v="4146596.031"/>
    <n v="4888172.8229999999"/>
    <n v="9034768.8540000003"/>
    <n v="46557978.616999999"/>
    <n v="65962913.770999998"/>
    <n v="112520892.388"/>
  </r>
  <r>
    <x v="141"/>
    <n v="415744"/>
    <n v="565082"/>
    <n v="980826"/>
    <n v="32913"/>
    <n v="37780"/>
    <n v="70693"/>
    <n v="448657"/>
    <n v="602862"/>
    <n v="1051519"/>
    <n v="42936057123"/>
    <n v="61839544070"/>
    <n v="104775601193"/>
    <n v="4153356022"/>
    <n v="4894366209"/>
    <n v="9047722231"/>
    <n v="47089413145"/>
    <n v="66733910279"/>
    <n v="113823323424"/>
    <n v="105.013698925"/>
    <n v="129.01505570699999"/>
    <n v="1.2285545317201099"/>
    <n v="34948434.126798466"/>
    <n v="50335204.887826927"/>
    <n v="85283639.0146254"/>
    <n v="3380685.1179693672"/>
    <n v="3983841.2399548558"/>
    <n v="7364526.3579242229"/>
    <n v="38329119.244767837"/>
    <n v="54319046.127781786"/>
    <n v="92648165.372549623"/>
    <n v="42936057.123000003"/>
    <n v="61839544.07"/>
    <n v="104775601.193"/>
    <n v="4153356.0219999999"/>
    <n v="4894366.2089999998"/>
    <n v="9047722.2310000006"/>
    <n v="47089413.145000003"/>
    <n v="66733910.278999999"/>
    <n v="113823323.42399999"/>
  </r>
  <r>
    <x v="142"/>
    <n v="417174"/>
    <n v="566670"/>
    <n v="983844"/>
    <n v="33101"/>
    <n v="37953"/>
    <n v="71054"/>
    <n v="450275"/>
    <n v="604623"/>
    <n v="1054898"/>
    <n v="43068075157"/>
    <n v="62074697443"/>
    <n v="105142772600"/>
    <n v="4172313768"/>
    <n v="4910685710"/>
    <n v="9082999478"/>
    <n v="47240388925"/>
    <n v="66985383153"/>
    <n v="114225772078"/>
    <n v="104.961473516"/>
    <n v="129.01505570699999"/>
    <n v="1.2291658204220364"/>
    <n v="35038458.148968458"/>
    <n v="50501483.535953298"/>
    <n v="85539941.684921756"/>
    <n v="3394427.0973687088"/>
    <n v="3995136.8874818753"/>
    <n v="7389563.9848505836"/>
    <n v="38432885.246337168"/>
    <n v="54496620.423435174"/>
    <n v="92929505.669772342"/>
    <n v="43068075.156999998"/>
    <n v="62074697.443000004"/>
    <n v="105142772.59999999"/>
    <n v="4172313.7680000002"/>
    <n v="4910685.71"/>
    <n v="9082999.4780000001"/>
    <n v="47240388.924999997"/>
    <n v="66985383.152999997"/>
    <n v="114225772.07799999"/>
  </r>
  <r>
    <x v="143"/>
    <n v="421409"/>
    <n v="570289"/>
    <n v="991698"/>
    <n v="33326"/>
    <n v="38176"/>
    <n v="71502"/>
    <n v="454735"/>
    <n v="608465"/>
    <n v="1063200"/>
    <n v="43498026591"/>
    <n v="62544771733"/>
    <n v="106042798324"/>
    <n v="4189203947"/>
    <n v="4932858628"/>
    <n v="9122062575"/>
    <n v="47687230538"/>
    <n v="67477630361"/>
    <n v="115164860899"/>
    <n v="104.88601455600001"/>
    <n v="129.01505570699999"/>
    <n v="1.2300501287339618"/>
    <n v="35362808.047319718"/>
    <n v="50847335.626373753"/>
    <n v="86210143.673693478"/>
    <n v="3405718.0672073658"/>
    <n v="4010290.7294332641"/>
    <n v="7416008.7966406299"/>
    <n v="38768526.114527084"/>
    <n v="54857626.355807021"/>
    <n v="93626152.470334113"/>
    <n v="43498026.590999998"/>
    <n v="62544771.733000003"/>
    <n v="106042798.324"/>
    <n v="4189203.9470000002"/>
    <n v="4932858.6279999996"/>
    <n v="9122062.5749999993"/>
    <n v="47687230.538000003"/>
    <n v="67477630.361000001"/>
    <n v="115164860.899"/>
  </r>
  <r>
    <x v="144"/>
    <n v="422356"/>
    <n v="572080"/>
    <n v="994436"/>
    <n v="33396"/>
    <n v="38270"/>
    <n v="71666"/>
    <n v="455752"/>
    <n v="610350"/>
    <n v="1066102"/>
    <n v="45060808461"/>
    <n v="64938763323"/>
    <n v="109999571784"/>
    <n v="4309623730"/>
    <n v="5072761186"/>
    <n v="9382384916"/>
    <n v="49370432191"/>
    <n v="70011524509"/>
    <n v="119381956700"/>
    <n v="104.991247675"/>
    <n v="129.01505570699999"/>
    <n v="1.2288172449037429"/>
    <n v="36670065.176803209"/>
    <n v="52846559.235980488"/>
    <n v="89516624.412783712"/>
    <n v="3507131.5509879473"/>
    <n v="4128165.6869955184"/>
    <n v="7635297.2379834661"/>
    <n v="40177196.727791153"/>
    <n v="56974724.92297601"/>
    <n v="97151921.650767162"/>
    <n v="45060808.461000003"/>
    <n v="64938763.322999999"/>
    <n v="109999571.78399999"/>
    <n v="4309623.7300000004"/>
    <n v="5072761.1859999998"/>
    <n v="9382384.9159999993"/>
    <n v="49370432.191"/>
    <n v="70011524.509000003"/>
    <n v="119381956.7"/>
  </r>
  <r>
    <x v="145"/>
    <n v="424814"/>
    <n v="574464"/>
    <n v="999278"/>
    <n v="33472"/>
    <n v="38301"/>
    <n v="71773"/>
    <n v="458286"/>
    <n v="612765"/>
    <n v="1071051"/>
    <n v="45301512495"/>
    <n v="65312368182"/>
    <n v="110613880677"/>
    <n v="4314028947"/>
    <n v="5071808879"/>
    <n v="9385837826"/>
    <n v="49615541442"/>
    <n v="70384177061"/>
    <n v="119999718503"/>
    <n v="105.129937336"/>
    <n v="129.01505570699999"/>
    <n v="1.2271961629222901"/>
    <n v="36914646.462978415"/>
    <n v="53220805.406100176"/>
    <n v="90135451.869078577"/>
    <n v="3515354.0056115529"/>
    <n v="4132842.8430892695"/>
    <n v="7648196.8487008233"/>
    <n v="40430000.468589976"/>
    <n v="57353648.249189436"/>
    <n v="97783648.717779398"/>
    <n v="45301512.494999997"/>
    <n v="65312368.181999996"/>
    <n v="110613880.677"/>
    <n v="4314028.9469999997"/>
    <n v="5071808.8789999997"/>
    <n v="9385837.8259999994"/>
    <n v="49615541.442000002"/>
    <n v="70384177.061000004"/>
    <n v="119999718.50300001"/>
  </r>
  <r>
    <x v="146"/>
    <n v="428184"/>
    <n v="578357"/>
    <n v="1006541"/>
    <n v="33532"/>
    <n v="38339"/>
    <n v="71871"/>
    <n v="461716"/>
    <n v="616696"/>
    <n v="1078412"/>
    <n v="45549264078"/>
    <n v="65768817581"/>
    <n v="111318081659"/>
    <n v="4314469495"/>
    <n v="5069716406"/>
    <n v="9384185901"/>
    <n v="49863733573"/>
    <n v="70838533987"/>
    <n v="120702267560"/>
    <n v="105.797754142"/>
    <n v="129.01505570699999"/>
    <n v="1.2194498527240767"/>
    <n v="37352306.022465341"/>
    <n v="53933187.52229283"/>
    <n v="91285493.544758171"/>
    <n v="3538045.8535150844"/>
    <n v="4157379.9813702698"/>
    <n v="7695425.8348853542"/>
    <n v="40890351.875980422"/>
    <n v="58090567.5036631"/>
    <n v="98980919.37964353"/>
    <n v="45549264.078000002"/>
    <n v="65768817.581"/>
    <n v="111318081.65899999"/>
    <n v="4314469.4950000001"/>
    <n v="5069716.4060000004"/>
    <n v="9384185.9010000005"/>
    <n v="49863733.572999999"/>
    <n v="70838533.987000003"/>
    <n v="120702267.56"/>
  </r>
  <r>
    <x v="147"/>
    <n v="432062"/>
    <n v="583043"/>
    <n v="1015105"/>
    <n v="33724"/>
    <n v="38500"/>
    <n v="72224"/>
    <n v="465786"/>
    <n v="621543"/>
    <n v="1087329"/>
    <n v="45789821788"/>
    <n v="66275487600"/>
    <n v="112065309388"/>
    <n v="4318991399"/>
    <n v="5075460232"/>
    <n v="9394451631"/>
    <n v="50108813187"/>
    <n v="71350947832"/>
    <n v="121459761019"/>
    <n v="106.52430936899999"/>
    <n v="129.01505570699999"/>
    <n v="1.2111325243151034"/>
    <n v="37807441.273938365"/>
    <n v="54721912.151999101"/>
    <n v="92529353.425937459"/>
    <n v="3566076.6367763048"/>
    <n v="4190672.8868256407"/>
    <n v="7756749.5236019446"/>
    <n v="41373517.910714671"/>
    <n v="58912585.038824737"/>
    <n v="100286102.94953939"/>
    <n v="45789821.788000003"/>
    <n v="66275487.600000001"/>
    <n v="112065309.388"/>
    <n v="4318991.3990000002"/>
    <n v="5075460.2319999998"/>
    <n v="9394451.6309999991"/>
    <n v="50108813.186999999"/>
    <n v="71350947.832000002"/>
    <n v="121459761.01899999"/>
  </r>
  <r>
    <x v="148"/>
    <n v="436187"/>
    <n v="589403"/>
    <n v="1025590"/>
    <n v="34000"/>
    <n v="38626"/>
    <n v="72626"/>
    <n v="470187"/>
    <n v="628029"/>
    <n v="1098216"/>
    <n v="46130794787"/>
    <n v="67057614181"/>
    <n v="113188408968"/>
    <n v="4331358300"/>
    <n v="5074666615"/>
    <n v="9406024915"/>
    <n v="50462153087"/>
    <n v="72132280796"/>
    <n v="122594433883"/>
    <n v="106.37812172300001"/>
    <n v="129.01505570699999"/>
    <n v="1.2127968948628809"/>
    <n v="38036702.585897997"/>
    <n v="55291709.984614983"/>
    <n v="93328412.57051298"/>
    <n v="3571379.7737664101"/>
    <n v="4184267.4865800533"/>
    <n v="7755647.260346463"/>
    <n v="41608082.359664403"/>
    <n v="59475977.471195035"/>
    <n v="101084059.83085944"/>
    <n v="46130794.787"/>
    <n v="67057614.181000002"/>
    <n v="113188408.96799999"/>
    <n v="4331358.3"/>
    <n v="5074666.6150000002"/>
    <n v="9406024.9149999991"/>
    <n v="50462153.086999997"/>
    <n v="72132280.796000004"/>
    <n v="122594433.883"/>
  </r>
  <r>
    <x v="149"/>
    <n v="439776"/>
    <n v="595180"/>
    <n v="1034956"/>
    <n v="34075"/>
    <n v="38619"/>
    <n v="72694"/>
    <n v="473851"/>
    <n v="633799"/>
    <n v="1107650"/>
    <n v="46418317055"/>
    <n v="67767224565"/>
    <n v="114185541620"/>
    <n v="4326919665"/>
    <n v="5063951739"/>
    <n v="9390871404"/>
    <n v="50745236720"/>
    <n v="72831176304"/>
    <n v="123576413024"/>
    <n v="106.737540442"/>
    <n v="129.01505570699999"/>
    <n v="1.2087130279819904"/>
    <n v="38403091.536539331"/>
    <n v="56065602.832246229"/>
    <n v="94468694.36878556"/>
    <n v="3579774.1604754757"/>
    <n v="4189540.1321639861"/>
    <n v="7769314.2926394613"/>
    <n v="41982865.697014801"/>
    <n v="60255142.964410216"/>
    <n v="102238008.66142502"/>
    <n v="46418317.055"/>
    <n v="67767224.564999998"/>
    <n v="114185541.62"/>
    <n v="4326919.665"/>
    <n v="5063951.7390000001"/>
    <n v="9390871.4039999992"/>
    <n v="50745236.719999999"/>
    <n v="72831176.304000005"/>
    <n v="123576413.024"/>
  </r>
  <r>
    <x v="150"/>
    <n v="443662"/>
    <n v="600842"/>
    <n v="1044504"/>
    <n v="34228"/>
    <n v="38683"/>
    <n v="72911"/>
    <n v="477890"/>
    <n v="639525"/>
    <n v="1117415"/>
    <n v="53183399122"/>
    <n v="76453709691"/>
    <n v="129637108813"/>
    <n v="4910795030"/>
    <n v="5716924601"/>
    <n v="10627719631"/>
    <n v="58094194152"/>
    <n v="82170634292"/>
    <n v="140264828444"/>
    <n v="107.487129776"/>
    <n v="129.01505570699999"/>
    <n v="1.2002837546770813"/>
    <n v="44309021.858175702"/>
    <n v="63696362.958414577"/>
    <n v="108005384.81659026"/>
    <n v="4091361.7391424058"/>
    <n v="4762977.5698647648"/>
    <n v="8854339.3090071697"/>
    <n v="48400383.597318113"/>
    <n v="68459340.528279334"/>
    <n v="116859724.12559745"/>
    <n v="53183399.122000001"/>
    <n v="76453709.691"/>
    <n v="129637108.81299999"/>
    <n v="4910795.03"/>
    <n v="5716924.6009999998"/>
    <n v="10627719.630999999"/>
    <n v="58094194.152000003"/>
    <n v="82170634.291999996"/>
    <n v="140264828.44400001"/>
  </r>
  <r>
    <x v="151"/>
    <n v="447257"/>
    <n v="605436"/>
    <n v="1052693"/>
    <n v="34279"/>
    <n v="38750"/>
    <n v="73029"/>
    <n v="481536"/>
    <n v="644186"/>
    <n v="1125722"/>
    <n v="53338413878"/>
    <n v="76669977293"/>
    <n v="130008391171"/>
    <n v="4911050689"/>
    <n v="5715147101"/>
    <n v="10626197790"/>
    <n v="58249464567"/>
    <n v="82385124394"/>
    <n v="140634588961"/>
    <n v="107.68630519200001"/>
    <n v="129.01505570699999"/>
    <n v="1.1980637229308939"/>
    <n v="44520514.941822201"/>
    <n v="63994907.637665316"/>
    <n v="108515422.57948752"/>
    <n v="4099156.4931002227"/>
    <n v="4770319.8015366821"/>
    <n v="8869476.2946369033"/>
    <n v="48619671.434922427"/>
    <n v="68765227.439201996"/>
    <n v="117384898.87412442"/>
    <n v="53338413.877999999"/>
    <n v="76669977.292999998"/>
    <n v="130008391.171"/>
    <n v="4911050.6890000002"/>
    <n v="5715147.1009999998"/>
    <n v="10626197.789999999"/>
    <n v="58249464.567000002"/>
    <n v="82385124.393999994"/>
    <n v="140634588.961"/>
  </r>
  <r>
    <x v="152"/>
    <n v="450099"/>
    <n v="610095"/>
    <n v="1060194"/>
    <n v="34317"/>
    <n v="38777"/>
    <n v="73094"/>
    <n v="484416"/>
    <n v="648872"/>
    <n v="1133288"/>
    <n v="53676118048"/>
    <n v="77415895508"/>
    <n v="131092013556"/>
    <n v="4918656116"/>
    <n v="5717786488"/>
    <n v="10636442604"/>
    <n v="58594774164"/>
    <n v="83133681996"/>
    <n v="141728456160"/>
    <n v="108.090507335"/>
    <n v="129.01505570699999"/>
    <n v="1.1935835892336919"/>
    <n v="44970556.341564067"/>
    <n v="64860053.544890635"/>
    <n v="109830609.8864547"/>
    <n v="4120914.664349474"/>
    <n v="4790436.5807098188"/>
    <n v="8911351.2450592946"/>
    <n v="49091471.005913533"/>
    <n v="69650490.125600442"/>
    <n v="118741961.131514"/>
    <n v="53676118.048"/>
    <n v="77415895.508000001"/>
    <n v="131092013.55599999"/>
    <n v="4918656.1160000004"/>
    <n v="5717786.4879999999"/>
    <n v="10636442.604"/>
    <n v="58594774.163999997"/>
    <n v="83133681.996000007"/>
    <n v="141728456.16"/>
  </r>
  <r>
    <x v="153"/>
    <n v="453554"/>
    <n v="615165"/>
    <n v="1068719"/>
    <n v="35231"/>
    <n v="39434"/>
    <n v="74665"/>
    <n v="488785"/>
    <n v="654599"/>
    <n v="1143384"/>
    <n v="54028183062"/>
    <n v="78157630571"/>
    <n v="132185813633"/>
    <n v="5000832295"/>
    <n v="5771753030"/>
    <n v="10772585325"/>
    <n v="59029015357"/>
    <n v="83929383601"/>
    <n v="142958398958"/>
    <n v="108.497976482"/>
    <n v="129.01505570699999"/>
    <n v="1.1891010310999099"/>
    <n v="45436158.618098512"/>
    <n v="65728334.705676571"/>
    <n v="111164493.32377507"/>
    <n v="4205557.1092847055"/>
    <n v="4853879.4257550761"/>
    <n v="9059436.5350397807"/>
    <n v="49641715.727383219"/>
    <n v="70582214.131431639"/>
    <n v="120223929.85881487"/>
    <n v="54028183.061999999"/>
    <n v="78157630.570999995"/>
    <n v="132185813.633"/>
    <n v="5000832.2949999999"/>
    <n v="5771753.0300000003"/>
    <n v="10772585.324999999"/>
    <n v="59029015.357000001"/>
    <n v="83929383.600999996"/>
    <n v="142958398.958"/>
  </r>
  <r>
    <x v="154"/>
    <n v="456843"/>
    <n v="619925"/>
    <n v="1076768"/>
    <n v="36858"/>
    <n v="40665"/>
    <n v="77523"/>
    <n v="493701"/>
    <n v="660590"/>
    <n v="1154291"/>
    <n v="54396869187"/>
    <n v="78848211272"/>
    <n v="133245080459"/>
    <n v="5119981115"/>
    <n v="5860919907"/>
    <n v="10980901022"/>
    <n v="59516850302"/>
    <n v="84709131179"/>
    <n v="144225981481"/>
    <n v="108.789464045"/>
    <n v="129.01505570699999"/>
    <n v="1.1859149857897435"/>
    <n v="45869113.586396888"/>
    <n v="66487237.463731125"/>
    <n v="112356351.05012803"/>
    <n v="4317325.5893974723"/>
    <n v="4942107.9733611783"/>
    <n v="9259433.5627586525"/>
    <n v="50186439.175794363"/>
    <n v="71429345.437092304"/>
    <n v="121615784.61288667"/>
    <n v="54396869.186999999"/>
    <n v="78848211.272"/>
    <n v="133245080.45900001"/>
    <n v="5119981.1150000002"/>
    <n v="5860919.9069999997"/>
    <n v="10980901.022"/>
    <n v="59516850.302000001"/>
    <n v="84709131.179000005"/>
    <n v="144225981.48100001"/>
  </r>
  <r>
    <x v="155"/>
    <n v="459648"/>
    <n v="624280"/>
    <n v="1083928"/>
    <n v="37901"/>
    <n v="41406"/>
    <n v="79307"/>
    <n v="497549"/>
    <n v="665686"/>
    <n v="1163235"/>
    <n v="54796786969"/>
    <n v="79580831512"/>
    <n v="134377618481"/>
    <n v="5212561692"/>
    <n v="5920938257"/>
    <n v="11133499949"/>
    <n v="60009348661"/>
    <n v="85501769769"/>
    <n v="145511118430"/>
    <n v="108.876200532"/>
    <n v="129.01505570699999"/>
    <n v="1.1849702237642004"/>
    <n v="46243176.301030934"/>
    <n v="67158507.375148997"/>
    <n v="113401683.67617993"/>
    <n v="4398896.771803827"/>
    <n v="4996697.9239287786"/>
    <n v="9395594.6957326047"/>
    <n v="50642073.072834767"/>
    <n v="72155205.299077779"/>
    <n v="122797278.37191254"/>
    <n v="54796786.968999997"/>
    <n v="79580831.511999995"/>
    <n v="134377618.48100001"/>
    <n v="5212561.6919999998"/>
    <n v="5920938.2570000002"/>
    <n v="11133499.948999999"/>
    <n v="60009348.660999998"/>
    <n v="85501769.768999994"/>
    <n v="145511118.43000001"/>
  </r>
  <r>
    <x v="156"/>
    <n v="462542"/>
    <n v="628233"/>
    <n v="1090775"/>
    <n v="38877"/>
    <n v="41969"/>
    <n v="80846"/>
    <n v="501419"/>
    <n v="670202"/>
    <n v="1171621"/>
    <n v="57942903496"/>
    <n v="84039924520"/>
    <n v="141982828016"/>
    <n v="5529047882"/>
    <n v="6212730902"/>
    <n v="11741778784"/>
    <n v="63471951378"/>
    <n v="90252655422"/>
    <n v="153724606800"/>
    <n v="109.757009083"/>
    <n v="129.01505570699999"/>
    <n v="1.175460745376514"/>
    <n v="49293780.097641803"/>
    <n v="71495305.011722028"/>
    <n v="120789085.10936382"/>
    <n v="4703728.2221015217"/>
    <n v="5285358.0406123968"/>
    <n v="9989086.2627139185"/>
    <n v="53997508.31974332"/>
    <n v="76780663.052334428"/>
    <n v="130778171.37207775"/>
    <n v="57942903.495999999"/>
    <n v="84039924.519999996"/>
    <n v="141982828.016"/>
    <n v="5529047.8820000002"/>
    <n v="6212730.9019999998"/>
    <n v="11741778.784"/>
    <n v="63471951.377999999"/>
    <n v="90252655.422000006"/>
    <n v="153724606.80000001"/>
  </r>
  <r>
    <x v="157"/>
    <n v="464709"/>
    <n v="632311"/>
    <n v="1097020"/>
    <n v="39447"/>
    <n v="42296"/>
    <n v="81743"/>
    <n v="504156"/>
    <n v="674607"/>
    <n v="1178763"/>
    <n v="58620563781"/>
    <n v="84989369709"/>
    <n v="143609933490"/>
    <n v="5611771380"/>
    <n v="6258263341"/>
    <n v="11870034721"/>
    <n v="64232335161"/>
    <n v="91247633050"/>
    <n v="155479968211"/>
    <n v="110.15137928"/>
    <n v="129.01505570699999"/>
    <n v="1.1712522943453059"/>
    <n v="50049476.158138156"/>
    <n v="72562820.255994841"/>
    <n v="122612296.41413301"/>
    <n v="4791257.5344296834"/>
    <n v="5343223.9759224355"/>
    <n v="10134481.51035212"/>
    <n v="54840733.69256784"/>
    <n v="77906044.231917277"/>
    <n v="132746777.92448512"/>
    <n v="58620563.781000003"/>
    <n v="84989369.709000006"/>
    <n v="143609933.49000001"/>
    <n v="5611771.3799999999"/>
    <n v="6258263.341"/>
    <n v="11870034.721000001"/>
    <n v="64232335.160999998"/>
    <n v="91247633.049999997"/>
    <n v="155479968.211"/>
  </r>
  <r>
    <x v="158"/>
    <n v="469874"/>
    <n v="638396"/>
    <n v="1108270"/>
    <n v="39831"/>
    <n v="42481"/>
    <n v="82312"/>
    <n v="509705"/>
    <n v="680877"/>
    <n v="1190582"/>
    <n v="59428030621"/>
    <n v="86059222452"/>
    <n v="145487253073"/>
    <n v="5658189626"/>
    <n v="6273838030"/>
    <n v="11932027656"/>
    <n v="65086220247"/>
    <n v="92333060482"/>
    <n v="157419280729"/>
    <n v="111.448827579"/>
    <n v="129.01505570699999"/>
    <n v="1.1576169844904671"/>
    <n v="51336522.716239899"/>
    <n v="74341706.803722784"/>
    <n v="125678229.51996268"/>
    <n v="4887790.7821044028"/>
    <n v="5419614.7033567168"/>
    <n v="10307405.48546112"/>
    <n v="56224313.49834431"/>
    <n v="79761321.507079482"/>
    <n v="135985635.00542378"/>
    <n v="59428030.620999999"/>
    <n v="86059222.452000007"/>
    <n v="145487253.07300001"/>
    <n v="5658189.6260000002"/>
    <n v="6273838.0300000003"/>
    <n v="11932027.655999999"/>
    <n v="65086220.247000001"/>
    <n v="92333060.481999993"/>
    <n v="157419280.729"/>
  </r>
  <r>
    <x v="159"/>
    <n v="475311"/>
    <n v="645913"/>
    <n v="1121224"/>
    <n v="40062"/>
    <n v="42530"/>
    <n v="82592"/>
    <n v="515373"/>
    <n v="688443"/>
    <n v="1203816"/>
    <n v="60287600632"/>
    <n v="87252480542"/>
    <n v="147540081174"/>
    <n v="5694873202"/>
    <n v="6276108108"/>
    <n v="11970981310"/>
    <n v="65982473834"/>
    <n v="93528588650"/>
    <n v="159511062484"/>
    <n v="112.943374746"/>
    <n v="129.01505570699999"/>
    <n v="1.1422985721574535"/>
    <n v="52777445.495826118"/>
    <n v="76383252.740311757"/>
    <n v="129160698.23613787"/>
    <n v="4985450.6875939816"/>
    <n v="5494279.9203069536"/>
    <n v="10479730.607900936"/>
    <n v="57762896.183420107"/>
    <n v="81877532.660618693"/>
    <n v="139640428.84403878"/>
    <n v="60287600.631999999"/>
    <n v="87252480.541999996"/>
    <n v="147540081.17399999"/>
    <n v="5694873.2019999996"/>
    <n v="6276108.108"/>
    <n v="11970981.310000001"/>
    <n v="65982473.833999999"/>
    <n v="93528588.650000006"/>
    <n v="159511062.484"/>
  </r>
  <r>
    <x v="160"/>
    <n v="481364"/>
    <n v="654021"/>
    <n v="1135385"/>
    <n v="41024"/>
    <n v="43059"/>
    <n v="84083"/>
    <n v="522388"/>
    <n v="697080"/>
    <n v="1219468"/>
    <n v="61139789746"/>
    <n v="88455012146"/>
    <n v="149594801892"/>
    <n v="5779401810"/>
    <n v="6311845349"/>
    <n v="12091247159"/>
    <n v="66919191556"/>
    <n v="94766857495"/>
    <n v="161686049051"/>
    <n v="113.506710539"/>
    <n v="129.01505570699999"/>
    <n v="1.136629324331194"/>
    <n v="53790438.48087886"/>
    <n v="77822215.433380589"/>
    <n v="131612653.91425946"/>
    <n v="5084684.765986192"/>
    <n v="5553125.5563144684"/>
    <n v="10637810.322300659"/>
    <n v="58875123.246865049"/>
    <n v="83375340.989695057"/>
    <n v="142250464.23656011"/>
    <n v="61139789.745999999"/>
    <n v="88455012.145999998"/>
    <n v="149594801.89199999"/>
    <n v="5779401.8099999996"/>
    <n v="6311845.3490000004"/>
    <n v="12091247.159"/>
    <n v="66919191.556000002"/>
    <n v="94766857.495000005"/>
    <n v="161686049.051"/>
  </r>
  <r>
    <x v="161"/>
    <n v="486375"/>
    <n v="661228"/>
    <n v="1147603"/>
    <n v="41477"/>
    <n v="43273"/>
    <n v="84750"/>
    <n v="527852"/>
    <n v="704501"/>
    <n v="1232353"/>
    <n v="61876380093"/>
    <n v="89519543391"/>
    <n v="151395923484"/>
    <n v="5805943338"/>
    <n v="6315167453"/>
    <n v="12121110791"/>
    <n v="67682323431"/>
    <n v="95834710844"/>
    <n v="163517034275"/>
    <n v="114.393654431"/>
    <n v="129.01505570699999"/>
    <n v="1.1278165414745041"/>
    <n v="54863869.980221249"/>
    <n v="79374206.796047181"/>
    <n v="134238076.77626842"/>
    <n v="5147950.1536742188"/>
    <n v="5599463.4062944036"/>
    <n v="10747413.559968624"/>
    <n v="60011820.133895472"/>
    <n v="84973670.202341586"/>
    <n v="144985490.33623707"/>
    <n v="61876380.093000002"/>
    <n v="89519543.391000003"/>
    <n v="151395923.484"/>
    <n v="5805943.3380000005"/>
    <n v="6315167.4529999997"/>
    <n v="12121110.790999999"/>
    <n v="67682323.430999994"/>
    <n v="95834710.843999997"/>
    <n v="163517034.27500001"/>
  </r>
  <r>
    <x v="162"/>
    <n v="492231"/>
    <n v="669074"/>
    <n v="1161305"/>
    <n v="41983"/>
    <n v="43561"/>
    <n v="85544"/>
    <n v="534214"/>
    <n v="712635"/>
    <n v="1246849"/>
    <n v="66064824284"/>
    <n v="95093530766"/>
    <n v="161158355050"/>
    <n v="6329470447"/>
    <n v="6834470991"/>
    <n v="13163941438"/>
    <n v="72394294731"/>
    <n v="101928001757"/>
    <n v="174322296488"/>
    <n v="115.767651409"/>
    <n v="129.01505570699999"/>
    <n v="1.1144309669995613"/>
    <n v="59281217.267202884"/>
    <n v="85329225.032237858"/>
    <n v="144610442.29944074"/>
    <n v="5679553.632685883"/>
    <n v="6132700.1791782491"/>
    <n v="11812253.811864132"/>
    <n v="64960770.899888761"/>
    <n v="91461925.211416095"/>
    <n v="156422696.11130488"/>
    <n v="66064824.284000002"/>
    <n v="95093530.766000003"/>
    <n v="161158355.05000001"/>
    <n v="6329470.4469999997"/>
    <n v="6834470.9910000004"/>
    <n v="13163941.437999999"/>
    <n v="72394294.731000006"/>
    <n v="101928001.757"/>
    <n v="174322296.48800001"/>
  </r>
  <r>
    <x v="163"/>
    <n v="156303"/>
    <n v="157011"/>
    <n v="313314"/>
    <n v="42423"/>
    <n v="43796"/>
    <n v="86219"/>
    <n v="198726"/>
    <n v="200807"/>
    <n v="399533"/>
    <n v="25632398160"/>
    <n v="28447360479"/>
    <n v="54079758639"/>
    <n v="6730735134"/>
    <n v="7221515819"/>
    <n v="13952250953"/>
    <n v="32363133294"/>
    <n v="35668876298"/>
    <n v="68032009592"/>
    <n v="116.102606374"/>
    <n v="129.01505570699999"/>
    <n v="1.1112158437805026"/>
    <n v="23066984.063865762"/>
    <n v="25600211.370473564"/>
    <n v="48667195.434339322"/>
    <n v="6057090.6828516349"/>
    <n v="6498751.6686510267"/>
    <n v="12555842.351502661"/>
    <n v="29124074.746717397"/>
    <n v="32098963.039124593"/>
    <n v="61223037.785841987"/>
    <n v="25632398.16"/>
    <n v="28447360.478999998"/>
    <n v="54079758.638999999"/>
    <n v="6730735.1339999996"/>
    <n v="7221515.8190000001"/>
    <n v="13952250.953"/>
    <n v="32363133.294"/>
    <n v="35668876.298"/>
    <n v="68032009.591999993"/>
  </r>
  <r>
    <x v="164"/>
    <n v="158291"/>
    <n v="158373"/>
    <n v="316664"/>
    <n v="43297"/>
    <n v="44375"/>
    <n v="87672"/>
    <n v="201588"/>
    <n v="202748"/>
    <n v="404336"/>
    <n v="26035716618"/>
    <n v="28739803393"/>
    <n v="54775520011"/>
    <n v="6799291956"/>
    <n v="7264389204"/>
    <n v="14063681160"/>
    <n v="32835008574"/>
    <n v="36004192597"/>
    <n v="68839201171"/>
    <n v="118.25573740900001"/>
    <n v="129.01505570699999"/>
    <n v="1.0909834781274734"/>
    <n v="23864446.290870335"/>
    <n v="26343023.491362132"/>
    <n v="50207469.782232471"/>
    <n v="6232259.3259341298"/>
    <n v="6658569.4005818935"/>
    <n v="12890828.726516023"/>
    <n v="30096705.616804466"/>
    <n v="33001592.891944028"/>
    <n v="63098298.508748487"/>
    <n v="26035716.618000001"/>
    <n v="28739803.392999999"/>
    <n v="54775520.011"/>
    <n v="6799291.9560000002"/>
    <n v="7264389.2039999999"/>
    <n v="14063681.16"/>
    <n v="32835008.574000001"/>
    <n v="36004192.597000003"/>
    <n v="68839201.171000004"/>
  </r>
  <r>
    <x v="165"/>
    <n v="157061"/>
    <n v="154818"/>
    <n v="311879"/>
    <n v="43805"/>
    <n v="44630"/>
    <n v="88435"/>
    <n v="200866"/>
    <n v="199448"/>
    <n v="400314"/>
    <n v="26023323938"/>
    <n v="28305473328"/>
    <n v="54328797266"/>
    <n v="6834119920"/>
    <n v="7269276353"/>
    <n v="14103396273"/>
    <n v="32857443858"/>
    <n v="35574749681"/>
    <n v="68432193539"/>
    <n v="119.909282101"/>
    <n v="129.01505570699999"/>
    <n v="1.075938855161606"/>
    <n v="24186619.725794081"/>
    <n v="26307696.940407004"/>
    <n v="50494316.666201085"/>
    <n v="6351773.5113056358"/>
    <n v="6756216.970998928"/>
    <n v="13107990.482304564"/>
    <n v="30538393.237099715"/>
    <n v="33063913.911405932"/>
    <n v="63602307.148505643"/>
    <n v="26023323.938000001"/>
    <n v="28305473.328000002"/>
    <n v="54328797.266000003"/>
    <n v="6834119.9199999999"/>
    <n v="7269276.3530000001"/>
    <n v="14103396.273"/>
    <n v="32857443.857999999"/>
    <n v="35574749.681000002"/>
    <n v="68432193.539000005"/>
  </r>
  <r>
    <x v="166"/>
    <n v="65720"/>
    <n v="111871"/>
    <n v="177591"/>
    <n v="44391"/>
    <n v="44880"/>
    <n v="89271"/>
    <n v="110111"/>
    <n v="156751"/>
    <n v="266862"/>
    <n v="12551762326"/>
    <n v="21479681939"/>
    <n v="34031444265"/>
    <n v="6858435153"/>
    <n v="7266208306"/>
    <n v="14124643459"/>
    <n v="19410197479"/>
    <n v="28745890245"/>
    <n v="48156087724"/>
    <n v="121.346820029"/>
    <n v="129.01505570699999"/>
    <n v="1.0631927204698681"/>
    <n v="11805726.360177547"/>
    <n v="20202999.442572609"/>
    <n v="32008725.802750152"/>
    <n v="6450792.0539269475"/>
    <n v="6834328.4957676977"/>
    <n v="13285120.549694644"/>
    <n v="18256518.414104495"/>
    <n v="27037327.938340306"/>
    <n v="45293846.352444798"/>
    <n v="12551762.325999999"/>
    <n v="21479681.938999999"/>
    <n v="34031444.265000001"/>
    <n v="6858435.1529999999"/>
    <n v="7266208.3059999999"/>
    <n v="14124643.459000001"/>
    <n v="19410197.478999998"/>
    <n v="28745890.245000001"/>
    <n v="48156087.723999999"/>
  </r>
  <r>
    <x v="167"/>
    <n v="64976"/>
    <n v="109948"/>
    <n v="174924"/>
    <n v="45010"/>
    <n v="45192"/>
    <n v="90202"/>
    <n v="109986"/>
    <n v="155140"/>
    <n v="265126"/>
    <n v="12422435187"/>
    <n v="21123233439"/>
    <n v="33545668626"/>
    <n v="6900257163"/>
    <n v="7276424374"/>
    <n v="14176681537"/>
    <n v="19322692350"/>
    <n v="28399657813"/>
    <n v="47722350163"/>
    <n v="122.478537359"/>
    <n v="129.01505570699999"/>
    <n v="1.0533686839257448"/>
    <n v="11793055.343836"/>
    <n v="20053029.638470855"/>
    <n v="31846084.982306857"/>
    <n v="6550657.2089116909"/>
    <n v="6907765.9940315234"/>
    <n v="13458423.202943215"/>
    <n v="18343712.552747693"/>
    <n v="26960795.632502381"/>
    <n v="45304508.185250066"/>
    <n v="12422435.187000001"/>
    <n v="21123233.438999999"/>
    <n v="33545668.625999998"/>
    <n v="6900257.1629999997"/>
    <n v="7276424.3739999998"/>
    <n v="14176681.537"/>
    <n v="19322692.350000001"/>
    <n v="28399657.813000001"/>
    <n v="47722350.163000003"/>
  </r>
  <r>
    <x v="168"/>
    <n v="64729"/>
    <n v="109799"/>
    <n v="174528"/>
    <n v="45364"/>
    <n v="45366"/>
    <n v="90730"/>
    <n v="110093"/>
    <n v="155165"/>
    <n v="265258"/>
    <n v="13740966473"/>
    <n v="23251915916"/>
    <n v="36992882389"/>
    <n v="7298276683"/>
    <n v="7665209235"/>
    <n v="14963485918"/>
    <n v="21039243156"/>
    <n v="30917125151"/>
    <n v="51956368307"/>
    <n v="124.162318965"/>
    <n v="129.01505570699999"/>
    <n v="1.0390838120812476"/>
    <n v="13224117.54782065"/>
    <n v="22377324.760191623"/>
    <n v="35601442.308012277"/>
    <n v="7023761.3156361412"/>
    <n v="7376892.1677712034"/>
    <n v="14400653.483407345"/>
    <n v="20247878.863456789"/>
    <n v="29754216.927962825"/>
    <n v="50002095.791419618"/>
    <n v="13740966.472999999"/>
    <n v="23251915.916000001"/>
    <n v="36992882.388999999"/>
    <n v="7298276.6830000002"/>
    <n v="7665209.2350000003"/>
    <n v="14963485.918"/>
    <n v="21039243.155999999"/>
    <n v="30917125.151000001"/>
    <n v="51956368.306999996"/>
  </r>
  <r>
    <x v="169"/>
    <n v="64644"/>
    <n v="109904"/>
    <n v="174548"/>
    <n v="45817"/>
    <n v="45575"/>
    <n v="91392"/>
    <n v="110461"/>
    <n v="155479"/>
    <n v="265940"/>
    <n v="13736279612"/>
    <n v="23289298222"/>
    <n v="37025577834"/>
    <n v="7338660540"/>
    <n v="7678209975"/>
    <n v="15016870515"/>
    <n v="21074940152"/>
    <n v="30967508197"/>
    <n v="52042448349"/>
    <n v="125.665828594"/>
    <n v="129.01505570699999"/>
    <n v="1.0266518523808141"/>
    <n v="13379686.190742709"/>
    <n v="22684708.714051336"/>
    <n v="36064394.904794045"/>
    <n v="7148149.1247316077"/>
    <n v="7478883.8662241418"/>
    <n v="14627032.99095575"/>
    <n v="20527835.315474316"/>
    <n v="30163592.58027548"/>
    <n v="50691427.895749792"/>
    <n v="13736279.612"/>
    <n v="23289298.221999999"/>
    <n v="37025577.833999999"/>
    <n v="7338660.54"/>
    <n v="7678209.9749999996"/>
    <n v="15016870.515000001"/>
    <n v="21074940.151999999"/>
    <n v="30967508.197000001"/>
    <n v="52042448.348999999"/>
  </r>
  <r>
    <x v="170"/>
    <n v="64275"/>
    <n v="109666"/>
    <n v="173941"/>
    <n v="46202"/>
    <n v="45697"/>
    <n v="91899"/>
    <n v="110477"/>
    <n v="155363"/>
    <n v="265840"/>
    <n v="13672577481"/>
    <n v="23246434523"/>
    <n v="36919012004"/>
    <n v="7364573708"/>
    <n v="7668875451"/>
    <n v="15033449159"/>
    <n v="21037151189"/>
    <n v="30915309974"/>
    <n v="51952461163"/>
    <n v="126.752235783"/>
    <n v="129.01505570699999"/>
    <n v="1.0178523077721007"/>
    <n v="13432771.509775188"/>
    <n v="22838710.828177366"/>
    <n v="36271482.337952562"/>
    <n v="7235405.0305390116"/>
    <n v="7534369.5666278116"/>
    <n v="14769774.597166825"/>
    <n v="20668176.540314201"/>
    <n v="30373080.394805178"/>
    <n v="51041256.935119376"/>
    <n v="13672577.481000001"/>
    <n v="23246434.522999998"/>
    <n v="36919012.004000001"/>
    <n v="7364573.7079999996"/>
    <n v="7668875.4510000004"/>
    <n v="15033449.159"/>
    <n v="21037151.188999999"/>
    <n v="30915309.973999999"/>
    <n v="51952461.163000003"/>
  </r>
  <r>
    <x v="171"/>
    <n v="63815"/>
    <n v="109393"/>
    <n v="173208"/>
    <n v="46381"/>
    <n v="45739"/>
    <n v="92120"/>
    <n v="110196"/>
    <n v="155132"/>
    <n v="265328"/>
    <n v="13590242086"/>
    <n v="23196045529"/>
    <n v="36786287615"/>
    <n v="7378442349"/>
    <n v="7659976499"/>
    <n v="15038418848"/>
    <n v="20968684435"/>
    <n v="30856022028"/>
    <n v="51824706463"/>
    <n v="127.40762281400001"/>
    <n v="129.01505570699999"/>
    <n v="1.0126164577714996"/>
    <n v="13420917.645273631"/>
    <n v="22907039.828335743"/>
    <n v="36327957.473609373"/>
    <n v="7286512.3733402435"/>
    <n v="7564538.8144861665"/>
    <n v="14851051.18782641"/>
    <n v="20707430.018613875"/>
    <n v="30471578.642821912"/>
    <n v="51179008.661435783"/>
    <n v="13590242.085999999"/>
    <n v="23196045.528999999"/>
    <n v="36786287.615000002"/>
    <n v="7378442.3490000004"/>
    <n v="7659976.4989999998"/>
    <n v="15038418.847999999"/>
    <n v="20968684.434999999"/>
    <n v="30856022.028000001"/>
    <n v="51824706.463"/>
  </r>
  <r>
    <x v="172"/>
    <n v="63526"/>
    <n v="109031"/>
    <n v="172557"/>
    <n v="46666"/>
    <n v="45910"/>
    <n v="92576"/>
    <n v="110192"/>
    <n v="154941"/>
    <n v="265133"/>
    <n v="13546987070"/>
    <n v="23133193734"/>
    <n v="36680180804"/>
    <n v="7413824526"/>
    <n v="7675227170"/>
    <n v="15089051696"/>
    <n v="20960811596"/>
    <n v="30808420904"/>
    <n v="51769232500"/>
    <n v="128.65015935900001"/>
    <n v="129.01505570699999"/>
    <n v="1.0028363458686571"/>
    <n v="13508671.80453616"/>
    <n v="23067765.572419517"/>
    <n v="36576437.376955673"/>
    <n v="7392855.8299092585"/>
    <n v="7653519.1425991999"/>
    <n v="15046374.972508458"/>
    <n v="20901527.634445418"/>
    <n v="30721284.715018719"/>
    <n v="51622812.349464133"/>
    <n v="13546987.07"/>
    <n v="23133193.734000001"/>
    <n v="36680180.803999998"/>
    <n v="7413824.5259999996"/>
    <n v="7675227.1699999999"/>
    <n v="15089051.696"/>
    <n v="20960811.596000001"/>
    <n v="30808420.903999999"/>
    <n v="51769232.5"/>
  </r>
  <r>
    <x v="173"/>
    <n v="63190"/>
    <n v="108989"/>
    <n v="172179"/>
    <n v="46817"/>
    <n v="45881"/>
    <n v="92698"/>
    <n v="110007"/>
    <n v="154870"/>
    <n v="264877"/>
    <n v="13498986732"/>
    <n v="23140037882"/>
    <n v="36639024614"/>
    <n v="7421805869"/>
    <n v="7649953291"/>
    <n v="15071759160"/>
    <n v="20920792601"/>
    <n v="30789991173"/>
    <n v="51710783774"/>
    <n v="129.01505570699999"/>
    <n v="129.01505570699999"/>
    <n v="1"/>
    <n v="13498986.732000001"/>
    <n v="23140037.881999999"/>
    <n v="36639024.614"/>
    <n v="7421805.8689999999"/>
    <n v="7649953.2910000002"/>
    <n v="15071759.16"/>
    <n v="20920792.601"/>
    <n v="30789991.173"/>
    <n v="51710783.773999996"/>
    <n v="13498986.732000001"/>
    <n v="23140037.881999999"/>
    <n v="36639024.614"/>
    <n v="7421805.8689999999"/>
    <n v="7649953.2910000002"/>
    <n v="15071759.16"/>
    <n v="20920792.601"/>
    <n v="30789991.173"/>
    <n v="51710783.77399999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n v="309683"/>
    <n v="57205360.538000003"/>
    <n v="106066"/>
    <n v="19617326.636999998"/>
    <n v="517361"/>
    <n v="85078213.942000002"/>
    <n v="340110"/>
    <n v="58304127.729999997"/>
    <n v="827044"/>
    <n v="142283574.48000002"/>
    <n v="446176"/>
    <n v="77921454.366999999"/>
    <n v="116.102606374"/>
    <n v="129.01505570699999"/>
    <n v="1.1112158437805026"/>
    <n v="51479972.012799807"/>
    <n v="17653929.924414385"/>
    <n v="76563175.748604089"/>
    <n v="52468769.282160051"/>
    <n v="128043147.7614039"/>
    <n v="70122699.20657444"/>
  </r>
  <r>
    <x v="1"/>
    <n v="312946"/>
    <n v="57713942.276000001"/>
    <n v="107255"/>
    <n v="19836831.274999999"/>
    <n v="536699"/>
    <n v="99076766.957000002"/>
    <n v="361057"/>
    <n v="66720836.890000001"/>
    <n v="849645"/>
    <n v="156790709.23300001"/>
    <n v="468312"/>
    <n v="86557668.164999992"/>
    <n v="118.25573740900001"/>
    <n v="129.01505570699999"/>
    <n v="1.0909834781274734"/>
    <n v="52900839.868866049"/>
    <n v="18182522.16710674"/>
    <n v="90814177.247717783"/>
    <n v="61156596.985792443"/>
    <n v="143715017.11658382"/>
    <n v="79339119.152899176"/>
  </r>
  <r>
    <x v="2"/>
    <n v="314601"/>
    <n v="57957137.288000003"/>
    <n v="107763"/>
    <n v="19929902.063000001"/>
    <n v="552501"/>
    <n v="101925332.483"/>
    <n v="374925"/>
    <n v="69306036.442000002"/>
    <n v="867102"/>
    <n v="159882469.771"/>
    <n v="482688"/>
    <n v="89235938.504999995"/>
    <n v="119.909282101"/>
    <n v="129.01505570699999"/>
    <n v="1.075938855161606"/>
    <n v="53866571.515622824"/>
    <n v="18523266.417408571"/>
    <n v="94731528.649637625"/>
    <n v="64414474.957863875"/>
    <n v="148598100.16526046"/>
    <n v="82937741.375272438"/>
  </r>
  <r>
    <x v="3"/>
    <n v="316872"/>
    <n v="58325653.706"/>
    <n v="108938"/>
    <n v="20145362.846999999"/>
    <n v="605836"/>
    <n v="111718942.76800001"/>
    <n v="477591"/>
    <n v="88296009.621000007"/>
    <n v="922708"/>
    <n v="170044596.47400001"/>
    <n v="586529"/>
    <n v="108441372.46800001"/>
    <n v="121.346820029"/>
    <n v="129.01505570699999"/>
    <n v="1.0631927204698681"/>
    <n v="54858966.378384836"/>
    <n v="18947987.941543601"/>
    <n v="105078731.83953598"/>
    <n v="83047981.72619015"/>
    <n v="159937698.21792081"/>
    <n v="101995969.66773376"/>
  </r>
  <r>
    <x v="4"/>
    <n v="317138"/>
    <n v="58354483.068000004"/>
    <n v="109221"/>
    <n v="20197021.059"/>
    <n v="615086"/>
    <n v="113378153.36399999"/>
    <n v="487043"/>
    <n v="90043543.216000006"/>
    <n v="932224"/>
    <n v="171732636.43199998"/>
    <n v="596264"/>
    <n v="110240564.27500001"/>
    <n v="122.478537359"/>
    <n v="129.01505570699999"/>
    <n v="1.0533686839257448"/>
    <n v="55397966.503543399"/>
    <n v="19173743.597283315"/>
    <n v="107633875.10387804"/>
    <n v="85481507.652592659"/>
    <n v="163031841.60742143"/>
    <n v="104655251.24987596"/>
  </r>
  <r>
    <x v="5"/>
    <n v="317824"/>
    <n v="61298891.538999997"/>
    <n v="109691"/>
    <n v="21261541.044"/>
    <n v="621791"/>
    <n v="120150120.03200001"/>
    <n v="498271"/>
    <n v="96566128.877000004"/>
    <n v="939615"/>
    <n v="181449011.57100001"/>
    <n v="607962"/>
    <n v="117827669.921"/>
    <n v="124.162318965"/>
    <n v="129.01505570699999"/>
    <n v="1.0390838120812476"/>
    <n v="58993211.929863982"/>
    <n v="20461815.299974598"/>
    <n v="115630826.53683501"/>
    <n v="92933917.124145657"/>
    <n v="174624038.466699"/>
    <n v="113395732.42412026"/>
  </r>
  <r>
    <x v="6"/>
    <n v="322017"/>
    <n v="62094244.614"/>
    <n v="110018"/>
    <n v="21324099.886"/>
    <n v="660104"/>
    <n v="127163714.83499999"/>
    <n v="538150"/>
    <n v="103585250.447"/>
    <n v="982121"/>
    <n v="189257959.449"/>
    <n v="648168"/>
    <n v="124909350.333"/>
    <n v="125.665828594"/>
    <n v="129.01505570699999"/>
    <n v="1.0266518523808141"/>
    <n v="60482279.820567153"/>
    <n v="20770526.869989313"/>
    <n v="123862548.4774671"/>
    <n v="100896180.34271789"/>
    <n v="184344828.29803425"/>
    <n v="121666707.21270719"/>
  </r>
  <r>
    <x v="7"/>
    <n v="321661"/>
    <n v="62013553.252999999"/>
    <n v="109838"/>
    <n v="21288334.772999998"/>
    <n v="679141"/>
    <n v="130693091.744"/>
    <n v="553055"/>
    <n v="106114124.926"/>
    <n v="1000802"/>
    <n v="192706644.99700001"/>
    <n v="662893"/>
    <n v="127402459.699"/>
    <n v="126.752235783"/>
    <n v="129.01505570699999"/>
    <n v="1.0178523077721007"/>
    <n v="60925885.592121646"/>
    <n v="20914954.567029878"/>
    <n v="128400840.42257972"/>
    <n v="104252968.84011112"/>
    <n v="189326726.01470137"/>
    <n v="125167923.407141"/>
  </r>
  <r>
    <x v="8"/>
    <n v="322141"/>
    <n v="62098939.511"/>
    <n v="109963"/>
    <n v="21312758.105999999"/>
    <n v="686334"/>
    <n v="131986560.543"/>
    <n v="563950"/>
    <n v="108014882.678"/>
    <n v="1008475"/>
    <n v="194085500.05399999"/>
    <n v="673913"/>
    <n v="129327640.78400001"/>
    <n v="127.40762281400001"/>
    <n v="129.01505570699999"/>
    <n v="1.0126164577714996"/>
    <n v="61325232.307267956"/>
    <n v="21047216.784234114"/>
    <n v="130342104.88092148"/>
    <n v="106669096.52615377"/>
    <n v="191667337.18818942"/>
    <n v="127716313.31038789"/>
  </r>
  <r>
    <x v="9"/>
    <n v="327443"/>
    <n v="63080932.634000003"/>
    <n v="121585"/>
    <n v="23564397.059999999"/>
    <n v="704099"/>
    <n v="135236238.01499999"/>
    <n v="584193"/>
    <n v="111537201.04000001"/>
    <n v="1031542"/>
    <n v="198317170.64899999"/>
    <n v="705778"/>
    <n v="135101598.09999999"/>
    <n v="128.65015935900001"/>
    <n v="129.01505570699999"/>
    <n v="1.0028363458686571"/>
    <n v="62902519.333161265"/>
    <n v="23497749.315805372"/>
    <n v="134853746.14923665"/>
    <n v="111221737.72370252"/>
    <n v="197756265.48239794"/>
    <n v="134719487.0395079"/>
  </r>
  <r>
    <x v="10"/>
    <n v="329180"/>
    <n v="63417031.792999998"/>
    <n v="125728"/>
    <n v="24368202.673"/>
    <n v="717919"/>
    <n v="137636217.15900001"/>
    <n v="594890"/>
    <n v="113286938.10600001"/>
    <n v="1047099"/>
    <n v="201053248.95200002"/>
    <n v="720618"/>
    <n v="137655140.77900001"/>
    <n v="129.01505570699999"/>
    <n v="129.01505570699999"/>
    <n v="1"/>
    <n v="63417031.792999998"/>
    <n v="24368202.673"/>
    <n v="137636217.15900001"/>
    <n v="113286938.10600001"/>
    <n v="201053248.95200002"/>
    <n v="137655140.779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492B69-5F69-4402-A36E-0089ED9F867C}" name="TablaDinámica24" cacheId="3"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93:E104" firstHeaderRow="0" firstDataRow="1" firstDataCol="1"/>
  <pivotFields count="24">
    <pivotField axis="axisRow" numFmtId="17" multipleItemSelectionAllowed="1" showAll="0">
      <items count="12">
        <item x="0"/>
        <item x="1"/>
        <item x="2"/>
        <item x="3"/>
        <item x="4"/>
        <item x="5"/>
        <item x="6"/>
        <item x="7"/>
        <item x="8"/>
        <item x="9"/>
        <item x="10"/>
        <item t="default"/>
      </items>
    </pivotField>
    <pivotField dataField="1" numFmtId="41" showAll="0"/>
    <pivotField numFmtId="41" showAll="0"/>
    <pivotField dataField="1"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0"/>
  </rowFields>
  <rowItems count="11">
    <i>
      <x v="2"/>
    </i>
    <i>
      <x v="3"/>
    </i>
    <i>
      <x v="4"/>
    </i>
    <i>
      <x v="5"/>
    </i>
    <i>
      <x v="6"/>
    </i>
    <i>
      <x v="7"/>
    </i>
    <i>
      <x v="8"/>
    </i>
    <i>
      <x v="9"/>
    </i>
    <i>
      <x v="10"/>
    </i>
    <i>
      <x v="11"/>
    </i>
    <i>
      <x v="12"/>
    </i>
  </rowItems>
  <colFields count="1">
    <field x="-2"/>
  </colFields>
  <colItems count="4">
    <i>
      <x/>
    </i>
    <i i="1">
      <x v="1"/>
    </i>
    <i i="2">
      <x v="2"/>
    </i>
    <i i="3">
      <x v="3"/>
    </i>
  </colItems>
  <dataFields count="4">
    <dataField name="Suma de PGU_NC_Mujer_n" fld="1" baseField="0" baseItem="0"/>
    <dataField name="Suma de PGU_NC_hombre_N" fld="3" baseField="0" baseItem="0"/>
    <dataField name="Suma de PGU_C_Mujer_N" fld="5" baseField="0" baseItem="0"/>
    <dataField name="Suma de PGU_C_hombre_N" fld="7" baseField="0" baseItem="0"/>
  </dataFields>
  <formats count="1">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048D88-E4EA-44BD-AC09-B8F5C5968971}" name="TablaDinámica19"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D67:E71"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C_Mujer_N" fld="5" subtotal="average" baseField="0" baseItem="0"/>
    <dataField name="Suma de PGU_C_Mujer_N2" fld="5" baseField="0" baseItem="0"/>
    <dataField name="Promedio de PGU_C_hombre_N" fld="7" subtotal="average" baseField="0" baseItem="0"/>
    <dataField name="Suma de PGU_C_hombre_N2" fld="7" baseField="0" baseItem="0"/>
  </dataFields>
  <formats count="1">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D9DECA-913E-46E8-8527-F232A1F33601}" name="TablaDinámica15"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B18" firstHeaderRow="1" firstDataRow="1" firstDataCol="1" rowPageCount="1" colPageCount="1"/>
  <pivotFields count="24">
    <pivotField axis="axisPage" numFmtId="17" multipleItemSelectionAllowed="1" showAll="0">
      <items count="12">
        <item h="1" x="0"/>
        <item h="1" x="1"/>
        <item h="1" x="2"/>
        <item h="1" x="3"/>
        <item h="1" x="4"/>
        <item h="1" x="5"/>
        <item h="1" x="6"/>
        <item h="1" x="7"/>
        <item x="8"/>
        <item x="9"/>
        <item x="10"/>
        <item t="default"/>
      </items>
    </pivotField>
    <pivotField dataField="1" numFmtId="41" showAll="0"/>
    <pivotField numFmtId="41" showAll="0"/>
    <pivotField dataField="1"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2"/>
  </rowFields>
  <rowItems count="15">
    <i>
      <x v="10"/>
    </i>
    <i r="2">
      <x/>
    </i>
    <i r="2" i="1">
      <x v="1"/>
    </i>
    <i r="2" i="2">
      <x v="2"/>
    </i>
    <i r="2" i="3">
      <x v="3"/>
    </i>
    <i>
      <x v="11"/>
    </i>
    <i r="2">
      <x/>
    </i>
    <i r="2" i="1">
      <x v="1"/>
    </i>
    <i r="2" i="2">
      <x v="2"/>
    </i>
    <i r="2" i="3">
      <x v="3"/>
    </i>
    <i>
      <x v="12"/>
    </i>
    <i r="2">
      <x/>
    </i>
    <i r="2" i="1">
      <x v="1"/>
    </i>
    <i r="2" i="2">
      <x v="2"/>
    </i>
    <i r="2" i="3">
      <x v="3"/>
    </i>
  </rowItems>
  <colItems count="1">
    <i/>
  </colItems>
  <pageFields count="1">
    <pageField fld="0" hier="-1"/>
  </pageFields>
  <dataFields count="4">
    <dataField name="Suma de PGU_NC_Mujer_n" fld="1" baseField="0" baseItem="0"/>
    <dataField name="Suma de PGU_NC_hombre_N" fld="3" baseField="0" baseItem="0"/>
    <dataField name="Suma de PGU_C_Mujer_N" fld="5" baseField="0" baseItem="0"/>
    <dataField name="Suma de PGU_C_hombre_N"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FE9BEB-3B8D-4BB9-A087-D7AC05D0FF8A}" name="TablaDinámica23"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D84:E88"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dataField="1" numFmtId="41" showAll="0"/>
    <pivotField dataField="1"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C_Mujer_REAL" fld="18" subtotal="average" baseField="0" baseItem="0"/>
    <dataField name="Suma de PGU_C_Mujer_REAL2" fld="18" baseField="0" baseItem="0"/>
    <dataField name="Promedio de PGU_C_hombre_REAL" fld="19" subtotal="average" baseField="0" baseItem="0"/>
    <dataField name="Suma de PGU_C_hombre_REAL2" fld="19" baseField="0" baseItem="0"/>
  </dataFields>
  <formats count="1">
    <format dxfId="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73AAAC-05B8-4361-9573-E9240479CC5B}" name="TablaDinámica25" cacheId="3"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108:E119" firstHeaderRow="0" firstDataRow="1" firstDataCol="1"/>
  <pivotFields count="24">
    <pivotField axis="axisRow"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dataField="1" numFmtId="41" showAll="0"/>
    <pivotField dataField="1" numFmtId="41" showAll="0"/>
    <pivotField dataField="1" numFmtId="41" showAll="0"/>
    <pivotField dataField="1"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0"/>
  </rowFields>
  <rowItems count="11">
    <i>
      <x v="2"/>
    </i>
    <i>
      <x v="3"/>
    </i>
    <i>
      <x v="4"/>
    </i>
    <i>
      <x v="5"/>
    </i>
    <i>
      <x v="6"/>
    </i>
    <i>
      <x v="7"/>
    </i>
    <i>
      <x v="8"/>
    </i>
    <i>
      <x v="9"/>
    </i>
    <i>
      <x v="10"/>
    </i>
    <i>
      <x v="11"/>
    </i>
    <i>
      <x v="12"/>
    </i>
  </rowItems>
  <colFields count="1">
    <field x="-2"/>
  </colFields>
  <colItems count="4">
    <i>
      <x/>
    </i>
    <i i="1">
      <x v="1"/>
    </i>
    <i i="2">
      <x v="2"/>
    </i>
    <i i="3">
      <x v="3"/>
    </i>
  </colItems>
  <dataFields count="4">
    <dataField name="Promedio de PGU_NC_Mujer_REAL" fld="16" subtotal="average" baseField="23" baseItem="7"/>
    <dataField name="Promedio de PGU_NC_hombre_REAL" fld="17" subtotal="average" baseField="23" baseItem="7"/>
    <dataField name="Promedio de PGU_C_Mujer_REAL" fld="18" subtotal="average" baseField="23" baseItem="8"/>
    <dataField name="Promedio de PGU_C_hombre_REAL" fld="19" subtotal="average" baseField="23" baseItem="9"/>
  </dataFields>
  <formats count="1">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9F8A8F-048E-401B-973C-71619CC8D102}" name="TablaDinámica16"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24:B39" firstHeaderRow="1" firstDataRow="1" firstDataCol="1" rowPageCount="1" colPageCount="1"/>
  <pivotFields count="24">
    <pivotField axis="axisPage" numFmtId="17" multipleItemSelectionAllowed="1" showAll="0">
      <items count="12">
        <item h="1" x="0"/>
        <item h="1" x="1"/>
        <item h="1" x="2"/>
        <item h="1" x="3"/>
        <item h="1" x="4"/>
        <item h="1" x="5"/>
        <item h="1" x="6"/>
        <item h="1" x="7"/>
        <item x="8"/>
        <item x="9"/>
        <item x="10"/>
        <item t="default"/>
      </items>
    </pivotField>
    <pivotField numFmtId="41" showAll="0"/>
    <pivotField dataField="1" numFmtId="41" showAll="0"/>
    <pivotField numFmtId="41" showAll="0"/>
    <pivotField dataField="1"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2"/>
  </rowFields>
  <rowItems count="15">
    <i>
      <x v="10"/>
    </i>
    <i r="2">
      <x/>
    </i>
    <i r="2" i="1">
      <x v="1"/>
    </i>
    <i r="2" i="2">
      <x v="2"/>
    </i>
    <i r="2" i="3">
      <x v="3"/>
    </i>
    <i>
      <x v="11"/>
    </i>
    <i r="2">
      <x/>
    </i>
    <i r="2" i="1">
      <x v="1"/>
    </i>
    <i r="2" i="2">
      <x v="2"/>
    </i>
    <i r="2" i="3">
      <x v="3"/>
    </i>
    <i>
      <x v="12"/>
    </i>
    <i r="2">
      <x/>
    </i>
    <i r="2" i="1">
      <x v="1"/>
    </i>
    <i r="2" i="2">
      <x v="2"/>
    </i>
    <i r="2" i="3">
      <x v="3"/>
    </i>
  </rowItems>
  <colItems count="1">
    <i/>
  </colItems>
  <pageFields count="1">
    <pageField fld="0" hier="-1"/>
  </pageFields>
  <dataFields count="4">
    <dataField name="Suma de PGU_NC_Mujer_Nom" fld="2" baseField="0" baseItem="0"/>
    <dataField name="Suma de PGU_NC_hombre_Nom" fld="4" baseField="0" baseItem="0"/>
    <dataField name="Suma de PGU_C_Mujer_Nom" fld="6" baseField="0" baseItem="0"/>
    <dataField name="Suma de PGU_C_hombre_Nom" fld="8" baseField="0" baseItem="0"/>
  </dataFields>
  <formats count="5">
    <format dxfId="46">
      <pivotArea collapsedLevelsAreSubtotals="1" fieldPosition="0">
        <references count="3">
          <reference field="4294967294" count="4">
            <x v="0"/>
            <x v="1"/>
            <x v="2"/>
            <x v="3"/>
          </reference>
          <reference field="22" count="1" selected="0">
            <x v="1048832"/>
          </reference>
          <reference field="23" count="1" selected="0">
            <x v="10"/>
          </reference>
        </references>
      </pivotArea>
    </format>
    <format dxfId="45">
      <pivotArea collapsedLevelsAreSubtotals="1" fieldPosition="0">
        <references count="1">
          <reference field="23" count="1">
            <x v="11"/>
          </reference>
        </references>
      </pivotArea>
    </format>
    <format dxfId="44">
      <pivotArea collapsedLevelsAreSubtotals="1" fieldPosition="0">
        <references count="3">
          <reference field="4294967294" count="4">
            <x v="0"/>
            <x v="1"/>
            <x v="2"/>
            <x v="3"/>
          </reference>
          <reference field="22" count="1" selected="0">
            <x v="1048832"/>
          </reference>
          <reference field="23" count="1" selected="0">
            <x v="11"/>
          </reference>
        </references>
      </pivotArea>
    </format>
    <format dxfId="43">
      <pivotArea collapsedLevelsAreSubtotals="1" fieldPosition="0">
        <references count="1">
          <reference field="23" count="1">
            <x v="12"/>
          </reference>
        </references>
      </pivotArea>
    </format>
    <format dxfId="42">
      <pivotArea collapsedLevelsAreSubtotals="1" fieldPosition="0">
        <references count="3">
          <reference field="4294967294" count="4">
            <x v="0"/>
            <x v="1"/>
            <x v="2"/>
            <x v="3"/>
          </reference>
          <reference field="22" count="1" selected="0">
            <x v="1048832"/>
          </reference>
          <reference field="23" count="1" selected="0">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EA3567-8B8D-46FC-A352-598228461A5E}" name="TablaDinámica21"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D76:E80"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C_Mujer_Nom" fld="6" subtotal="average" baseField="0" baseItem="0"/>
    <dataField name="Suma de PGU_C_Mujer_Nom2" fld="6" baseField="0" baseItem="0"/>
    <dataField name="Promedio de PGU_C_hombre_Nom" fld="8" subtotal="average" baseField="0" baseItem="0"/>
    <dataField name="Suma de PGU_C_hombre_Nom2" fld="8" baseField="0" baseItem="0"/>
  </dataFields>
  <formats count="1">
    <format dxfId="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D46723-40D3-4971-9703-F75AF6DEF45D}" name="TablaDinámica20"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76:B80"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NC_Mujer_Nom" fld="2" subtotal="average" baseField="0" baseItem="0"/>
    <dataField name="Suma de PGU_NC_Mujer_Nom2" fld="2" baseField="0" baseItem="0"/>
    <dataField name="Promedio de PGU_NC_hombre_Nom" fld="4" subtotal="average" baseField="0" baseItem="0"/>
    <dataField name="Suma de PGU_NC_hombre_Nom2" fld="4" baseField="0" baseItem="0"/>
  </dataFields>
  <formats count="1">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180786-7F46-4C39-90AF-78481605A195}" name="TablaDinámica17"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45:B60" firstHeaderRow="1" firstDataRow="1" firstDataCol="1" rowPageCount="1" colPageCount="1"/>
  <pivotFields count="24">
    <pivotField axis="axisPage" numFmtId="17" multipleItemSelectionAllowed="1" showAll="0">
      <items count="12">
        <item h="1" x="0"/>
        <item h="1" x="1"/>
        <item h="1" x="2"/>
        <item h="1" x="3"/>
        <item h="1" x="4"/>
        <item h="1" x="5"/>
        <item h="1" x="6"/>
        <item h="1" x="7"/>
        <item x="8"/>
        <item x="9"/>
        <item x="10"/>
        <item t="default"/>
      </items>
    </pivotField>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dataField="1" numFmtId="41" showAll="0"/>
    <pivotField dataField="1" numFmtId="41" showAll="0"/>
    <pivotField dataField="1" numFmtId="41" showAll="0"/>
    <pivotField dataField="1"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2"/>
  </rowFields>
  <rowItems count="15">
    <i>
      <x v="10"/>
    </i>
    <i r="2">
      <x/>
    </i>
    <i r="2" i="1">
      <x v="1"/>
    </i>
    <i r="2" i="2">
      <x v="2"/>
    </i>
    <i r="2" i="3">
      <x v="3"/>
    </i>
    <i>
      <x v="11"/>
    </i>
    <i r="2">
      <x/>
    </i>
    <i r="2" i="1">
      <x v="1"/>
    </i>
    <i r="2" i="2">
      <x v="2"/>
    </i>
    <i r="2" i="3">
      <x v="3"/>
    </i>
    <i>
      <x v="12"/>
    </i>
    <i r="2">
      <x/>
    </i>
    <i r="2" i="1">
      <x v="1"/>
    </i>
    <i r="2" i="2">
      <x v="2"/>
    </i>
    <i r="2" i="3">
      <x v="3"/>
    </i>
  </rowItems>
  <colItems count="1">
    <i/>
  </colItems>
  <pageFields count="1">
    <pageField fld="0" hier="-1"/>
  </pageFields>
  <dataFields count="4">
    <dataField name="Suma de PGU_NC_Mujer_REAL" fld="16" baseField="0" baseItem="0"/>
    <dataField name="Suma de PGU_NC_hombre_REAL" fld="17" baseField="0" baseItem="0"/>
    <dataField name="Suma de PGU_C_Mujer_REAL" fld="18" baseField="0" baseItem="0"/>
    <dataField name="Suma de PGU_C_hombre_REAL" fld="19" baseField="0" baseItem="0"/>
  </dataFields>
  <formats count="5">
    <format dxfId="53">
      <pivotArea collapsedLevelsAreSubtotals="1" fieldPosition="0">
        <references count="3">
          <reference field="4294967294" count="4">
            <x v="0"/>
            <x v="1"/>
            <x v="2"/>
            <x v="3"/>
          </reference>
          <reference field="22" count="1" selected="0">
            <x v="1048832"/>
          </reference>
          <reference field="23" count="1" selected="0">
            <x v="10"/>
          </reference>
        </references>
      </pivotArea>
    </format>
    <format dxfId="52">
      <pivotArea collapsedLevelsAreSubtotals="1" fieldPosition="0">
        <references count="1">
          <reference field="23" count="1">
            <x v="11"/>
          </reference>
        </references>
      </pivotArea>
    </format>
    <format dxfId="51">
      <pivotArea collapsedLevelsAreSubtotals="1" fieldPosition="0">
        <references count="3">
          <reference field="4294967294" count="4">
            <x v="0"/>
            <x v="1"/>
            <x v="2"/>
            <x v="3"/>
          </reference>
          <reference field="22" count="1" selected="0">
            <x v="1048832"/>
          </reference>
          <reference field="23" count="1" selected="0">
            <x v="11"/>
          </reference>
        </references>
      </pivotArea>
    </format>
    <format dxfId="50">
      <pivotArea collapsedLevelsAreSubtotals="1" fieldPosition="0">
        <references count="1">
          <reference field="23" count="1">
            <x v="12"/>
          </reference>
        </references>
      </pivotArea>
    </format>
    <format dxfId="49">
      <pivotArea collapsedLevelsAreSubtotals="1" fieldPosition="0">
        <references count="3">
          <reference field="4294967294" count="4">
            <x v="0"/>
            <x v="1"/>
            <x v="2"/>
            <x v="3"/>
          </reference>
          <reference field="22" count="1" selected="0">
            <x v="1048832"/>
          </reference>
          <reference field="23" count="1" selected="0">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8B76F4A-03CE-4695-8C4F-06B05557A261}" name="TablaDinámica22"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84:B88"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dataField="1" numFmtId="41" showAll="0"/>
    <pivotField dataField="1"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NC_Mujer_REAL" fld="16" subtotal="average" baseField="0" baseItem="0"/>
    <dataField name="Suma de PGU_NC_Mujer_REAL2" fld="16" baseField="0" baseItem="0"/>
    <dataField name="Promedio de PGU_NC_hombre_REAL" fld="17" subtotal="average" baseField="0" baseItem="0"/>
    <dataField name="Suma de PGU_NC_hombre_REAL2" fld="17" baseField="0" baseItem="0"/>
  </dataFields>
  <formats count="1">
    <format dxfId="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C98112B-C892-491A-923A-FA674AFB5AB7}" name="TablaDinámica18"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67:B71" firstHeaderRow="1" firstDataRow="1" firstDataCol="1"/>
  <pivotFields count="24">
    <pivotField numFmtId="17" multipleItemSelectionAllowed="1" showAll="0">
      <items count="12">
        <item x="0"/>
        <item x="1"/>
        <item x="2"/>
        <item x="3"/>
        <item x="4"/>
        <item x="5"/>
        <item x="6"/>
        <item x="7"/>
        <item x="8"/>
        <item x="9"/>
        <item x="10"/>
        <item t="default"/>
      </items>
    </pivotField>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NC_Mujer_n2" fld="1" subtotal="average" baseField="0" baseItem="0"/>
    <dataField name="Suma de PGU_NC_Mujer_n" fld="1" baseField="0" baseItem="0"/>
    <dataField name="Promedio de PGU_NC_hombre_N" fld="3" subtotal="average" baseField="0" baseItem="0"/>
    <dataField name="Suma de PGU_NC_hombre_N2" fld="3" baseField="0" baseItem="0"/>
  </dataFields>
  <formats count="1">
    <format dxfId="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82B32B1-5CC3-44EE-A051-3B9C26C297E0}" name="TablaDinámica1" cacheId="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G42" firstHeaderRow="0" firstDataRow="1" firstDataCol="1"/>
  <pivotFields count="13">
    <pivotField axis="axisRow" numFmtId="17"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dataField="1" numFmtId="165" showAll="0"/>
    <pivotField dataField="1" numFmtId="165" showAll="0">
      <items count="163">
        <item x="161"/>
        <item x="0"/>
        <item x="1"/>
        <item x="2"/>
        <item x="3"/>
        <item x="4"/>
        <item x="5"/>
        <item x="6"/>
        <item x="7"/>
        <item x="8"/>
        <item x="9"/>
        <item x="10"/>
        <item x="11"/>
        <item x="12"/>
        <item x="13"/>
        <item x="14"/>
        <item x="15"/>
        <item x="16"/>
        <item x="17"/>
        <item x="19"/>
        <item x="18"/>
        <item x="20"/>
        <item x="21"/>
        <item x="22"/>
        <item x="40"/>
        <item x="23"/>
        <item x="33"/>
        <item x="24"/>
        <item x="39"/>
        <item x="67"/>
        <item x="26"/>
        <item x="61"/>
        <item x="27"/>
        <item x="68"/>
        <item x="25"/>
        <item x="36"/>
        <item x="60"/>
        <item x="28"/>
        <item x="34"/>
        <item x="37"/>
        <item x="41"/>
        <item x="38"/>
        <item x="69"/>
        <item x="62"/>
        <item x="63"/>
        <item x="42"/>
        <item x="66"/>
        <item x="50"/>
        <item x="35"/>
        <item x="29"/>
        <item x="59"/>
        <item x="70"/>
        <item x="49"/>
        <item x="58"/>
        <item x="64"/>
        <item x="44"/>
        <item x="52"/>
        <item x="46"/>
        <item x="31"/>
        <item x="78"/>
        <item x="45"/>
        <item x="43"/>
        <item x="51"/>
        <item x="79"/>
        <item x="47"/>
        <item x="30"/>
        <item x="65"/>
        <item x="32"/>
        <item x="80"/>
        <item x="48"/>
        <item x="71"/>
        <item x="82"/>
        <item x="84"/>
        <item x="81"/>
        <item x="85"/>
        <item x="74"/>
        <item x="86"/>
        <item x="83"/>
        <item x="91"/>
        <item x="75"/>
        <item x="72"/>
        <item x="87"/>
        <item x="76"/>
        <item x="73"/>
        <item x="89"/>
        <item x="88"/>
        <item x="92"/>
        <item x="90"/>
        <item x="53"/>
        <item x="93"/>
        <item x="98"/>
        <item x="97"/>
        <item x="77"/>
        <item x="100"/>
        <item x="94"/>
        <item x="96"/>
        <item x="95"/>
        <item x="99"/>
        <item x="56"/>
        <item x="101"/>
        <item x="57"/>
        <item x="54"/>
        <item x="55"/>
        <item x="103"/>
        <item x="102"/>
        <item x="109"/>
        <item x="108"/>
        <item x="104"/>
        <item x="106"/>
        <item x="107"/>
        <item x="110"/>
        <item x="105"/>
        <item x="111"/>
        <item x="112"/>
        <item x="113"/>
        <item x="114"/>
        <item x="115"/>
        <item x="116"/>
        <item x="117"/>
        <item x="118"/>
        <item x="119"/>
        <item x="120"/>
        <item x="121"/>
        <item x="122"/>
        <item x="123"/>
        <item x="124"/>
        <item x="125"/>
        <item x="126"/>
        <item x="127"/>
        <item x="129"/>
        <item x="128"/>
        <item x="131"/>
        <item x="130"/>
        <item x="132"/>
        <item x="133"/>
        <item x="134"/>
        <item x="135"/>
        <item x="136"/>
        <item x="146"/>
        <item x="145"/>
        <item x="137"/>
        <item x="147"/>
        <item x="143"/>
        <item x="144"/>
        <item x="138"/>
        <item x="141"/>
        <item x="140"/>
        <item x="142"/>
        <item x="139"/>
        <item x="149"/>
        <item x="148"/>
        <item x="150"/>
        <item x="151"/>
        <item x="153"/>
        <item x="154"/>
        <item x="152"/>
        <item x="155"/>
        <item x="156"/>
        <item x="157"/>
        <item x="158"/>
        <item x="159"/>
        <item x="160"/>
        <item t="default"/>
      </items>
    </pivotField>
    <pivotField numFmtId="165" showAll="0"/>
    <pivotField dataField="1" numFmtId="165" showAll="0"/>
    <pivotField dataField="1" numFmtId="165" showAll="0"/>
    <pivotField numFmtId="165" showAll="0"/>
    <pivotField dataField="1" numFmtId="165" showAll="0"/>
    <pivotField dataField="1" numFmtId="165" showAll="0"/>
    <pivotField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3">
    <field x="12"/>
    <field x="10"/>
    <field x="0"/>
  </rowFields>
  <rowItems count="39">
    <i>
      <x v="1"/>
    </i>
    <i>
      <x v="2"/>
    </i>
    <i>
      <x v="3"/>
    </i>
    <i>
      <x v="4"/>
    </i>
    <i>
      <x v="5"/>
    </i>
    <i>
      <x v="6"/>
    </i>
    <i>
      <x v="7"/>
    </i>
    <i>
      <x v="8"/>
    </i>
    <i>
      <x v="9"/>
    </i>
    <i>
      <x v="10"/>
    </i>
    <i>
      <x v="11"/>
    </i>
    <i>
      <x v="12"/>
    </i>
    <i>
      <x v="13"/>
    </i>
    <i>
      <x v="14"/>
    </i>
    <i r="1">
      <x v="1"/>
    </i>
    <i r="1">
      <x v="2"/>
    </i>
    <i r="1">
      <x v="3"/>
    </i>
    <i r="1">
      <x v="4"/>
    </i>
    <i r="1">
      <x v="5"/>
    </i>
    <i r="1">
      <x v="6"/>
    </i>
    <i r="1">
      <x v="7"/>
    </i>
    <i r="1">
      <x v="8"/>
    </i>
    <i r="1">
      <x v="9"/>
    </i>
    <i r="1">
      <x v="10"/>
    </i>
    <i r="1">
      <x v="11"/>
    </i>
    <i r="1">
      <x v="12"/>
    </i>
    <i>
      <x v="15"/>
    </i>
    <i r="1">
      <x v="1"/>
    </i>
    <i r="1">
      <x v="2"/>
    </i>
    <i r="1">
      <x v="3"/>
    </i>
    <i r="1">
      <x v="4"/>
    </i>
    <i r="1">
      <x v="5"/>
    </i>
    <i r="1">
      <x v="6"/>
    </i>
    <i r="1">
      <x v="7"/>
    </i>
    <i r="1">
      <x v="8"/>
    </i>
    <i r="1">
      <x v="9"/>
    </i>
    <i r="1">
      <x v="10"/>
    </i>
    <i r="1">
      <x v="11"/>
    </i>
    <i r="1">
      <x v="12"/>
    </i>
  </rowItems>
  <colFields count="1">
    <field x="-2"/>
  </colFields>
  <colItems count="6">
    <i>
      <x/>
    </i>
    <i i="1">
      <x v="1"/>
    </i>
    <i i="2">
      <x v="2"/>
    </i>
    <i i="3">
      <x v="3"/>
    </i>
    <i i="4">
      <x v="4"/>
    </i>
    <i i="5">
      <x v="5"/>
    </i>
  </colItems>
  <dataFields count="6">
    <dataField name="Promedio de PBS VEJEZ MUJER" fld="2" subtotal="average" baseField="12" baseItem="1"/>
    <dataField name="Promedio de PBS VEJEZ HOMBRE" fld="1" subtotal="average" baseField="12" baseItem="1"/>
    <dataField name="Promedio de PBS INVALIDEZ MUJER" fld="5" subtotal="average" baseField="12" baseItem="6"/>
    <dataField name="Promedio de PBS INVALIDEZ HOMBRE" fld="4" subtotal="average" baseField="12" baseItem="13"/>
    <dataField name="Promedio de PBS TOTAL MUJER" fld="8" subtotal="average" baseField="12" baseItem="12"/>
    <dataField name="Promedio de PBS TOTAL HOMBRE" fld="7" subtotal="average" baseField="12" baseItem="9"/>
  </dataFields>
  <formats count="5">
    <format dxfId="37">
      <pivotArea outline="0" collapsedLevelsAreSubtotals="1" fieldPosition="0"/>
    </format>
    <format dxfId="36">
      <pivotArea collapsedLevelsAreSubtotals="1" fieldPosition="0">
        <references count="1">
          <reference field="12" count="1">
            <x v="14"/>
          </reference>
        </references>
      </pivotArea>
    </format>
    <format dxfId="35">
      <pivotArea dataOnly="0" labelOnly="1" fieldPosition="0">
        <references count="1">
          <reference field="12" count="1">
            <x v="14"/>
          </reference>
        </references>
      </pivotArea>
    </format>
    <format dxfId="34">
      <pivotArea collapsedLevelsAreSubtotals="1" fieldPosition="0">
        <references count="1">
          <reference field="12" count="1">
            <x v="15"/>
          </reference>
        </references>
      </pivotArea>
    </format>
    <format dxfId="33">
      <pivotArea dataOnly="0" labelOnly="1" fieldPosition="0">
        <references count="1">
          <reference field="12" count="1">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1EE0845-B296-4BA2-89F8-4B47D4D3796F}"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G43" firstHeaderRow="0" firstDataRow="1" firstDataCol="1"/>
  <pivotFields count="25">
    <pivotField axis="axisRow" numFmtId="17"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7" showAll="0"/>
    <pivotField numFmtId="167" showAll="0"/>
    <pivotField numFmtId="43" showAll="0"/>
    <pivotField dataField="1" numFmtId="43" showAll="0"/>
    <pivotField dataField="1" numFmtId="43" showAll="0"/>
    <pivotField numFmtId="43" showAll="0"/>
    <pivotField dataField="1" numFmtId="43" showAll="0"/>
    <pivotField dataField="1" numFmtId="43" showAll="0"/>
    <pivotField numFmtId="43" showAll="0"/>
    <pivotField dataField="1" numFmtId="43" showAll="0"/>
    <pivotField dataField="1" numFmtId="43" showAll="0"/>
    <pivotField numFmtId="4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3">
    <field x="24"/>
    <field x="22"/>
    <field x="0"/>
  </rowFields>
  <rowItems count="40">
    <i>
      <x v="1"/>
    </i>
    <i>
      <x v="2"/>
    </i>
    <i>
      <x v="3"/>
    </i>
    <i>
      <x v="4"/>
    </i>
    <i>
      <x v="5"/>
    </i>
    <i>
      <x v="6"/>
    </i>
    <i>
      <x v="7"/>
    </i>
    <i>
      <x v="8"/>
    </i>
    <i>
      <x v="9"/>
    </i>
    <i>
      <x v="10"/>
    </i>
    <i>
      <x v="11"/>
    </i>
    <i>
      <x v="12"/>
    </i>
    <i>
      <x v="13"/>
    </i>
    <i>
      <x v="14"/>
    </i>
    <i r="1">
      <x v="1"/>
    </i>
    <i r="1">
      <x v="2"/>
    </i>
    <i r="1">
      <x v="3"/>
    </i>
    <i r="1">
      <x v="4"/>
    </i>
    <i r="1">
      <x v="5"/>
    </i>
    <i r="1">
      <x v="6"/>
    </i>
    <i r="1">
      <x v="7"/>
    </i>
    <i r="1">
      <x v="8"/>
    </i>
    <i r="1">
      <x v="9"/>
    </i>
    <i r="1">
      <x v="10"/>
    </i>
    <i r="1">
      <x v="11"/>
    </i>
    <i r="1">
      <x v="12"/>
    </i>
    <i>
      <x v="15"/>
    </i>
    <i r="1">
      <x v="1"/>
    </i>
    <i r="1">
      <x v="2"/>
    </i>
    <i r="1">
      <x v="3"/>
    </i>
    <i r="1">
      <x v="4"/>
    </i>
    <i r="1">
      <x v="5"/>
    </i>
    <i r="1">
      <x v="6"/>
    </i>
    <i r="1">
      <x v="7"/>
    </i>
    <i r="1">
      <x v="8"/>
    </i>
    <i r="1">
      <x v="9"/>
    </i>
    <i r="1">
      <x v="10"/>
    </i>
    <i r="1">
      <x v="11"/>
    </i>
    <i r="1">
      <x v="12"/>
    </i>
    <i t="grand">
      <x/>
    </i>
  </rowItems>
  <colFields count="1">
    <field x="-2"/>
  </colFields>
  <colItems count="6">
    <i>
      <x/>
    </i>
    <i i="1">
      <x v="1"/>
    </i>
    <i i="2">
      <x v="2"/>
    </i>
    <i i="3">
      <x v="3"/>
    </i>
    <i i="4">
      <x v="4"/>
    </i>
    <i i="5">
      <x v="5"/>
    </i>
  </colItems>
  <dataFields count="6">
    <dataField name="Promedio de PBSV_MUJER" fld="14" subtotal="average" baseField="24" baseItem="7"/>
    <dataField name="Promedio de PBSV_HOMBRE" fld="13" subtotal="average" baseField="24" baseItem="5"/>
    <dataField name="Promedio de PBSI_MUJER" fld="17" subtotal="average" baseField="24" baseItem="12"/>
    <dataField name="Promedio de PBSI_HOMBRE" fld="16" subtotal="average" baseField="24" baseItem="9"/>
    <dataField name="Promedio de PBS_MUJER" fld="20" subtotal="average" baseField="24" baseItem="11"/>
    <dataField name="Promedio de PBS_HOMBRE" fld="19" subtotal="average" baseField="24" baseItem="11"/>
  </dataFields>
  <formats count="5">
    <format dxfId="22">
      <pivotArea outline="0" collapsedLevelsAreSubtotals="1" fieldPosition="0"/>
    </format>
    <format dxfId="21">
      <pivotArea collapsedLevelsAreSubtotals="1" fieldPosition="0">
        <references count="1">
          <reference field="24" count="1">
            <x v="15"/>
          </reference>
        </references>
      </pivotArea>
    </format>
    <format dxfId="20">
      <pivotArea dataOnly="0" labelOnly="1" fieldPosition="0">
        <references count="1">
          <reference field="24" count="1">
            <x v="15"/>
          </reference>
        </references>
      </pivotArea>
    </format>
    <format dxfId="19">
      <pivotArea collapsedLevelsAreSubtotals="1" fieldPosition="0">
        <references count="1">
          <reference field="24" count="1">
            <x v="14"/>
          </reference>
        </references>
      </pivotArea>
    </format>
    <format dxfId="18">
      <pivotArea dataOnly="0" labelOnly="1" fieldPosition="0">
        <references count="1">
          <reference field="24" count="1">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A17C66F-0276-4CDE-A5A3-94B8C241993D}" name="TablaDinámica3" cacheId="0"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I14:R18" firstHeaderRow="0" firstDataRow="1" firstDataCol="1" rowPageCount="1" colPageCount="1"/>
  <pivotFields count="25">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numFmtId="167" showAll="0"/>
    <pivotField numFmtId="167"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2">
    <field x="24"/>
    <field x="22"/>
  </rowFields>
  <rowItems count="4">
    <i>
      <x v="15"/>
    </i>
    <i r="1">
      <x v="10"/>
    </i>
    <i r="1">
      <x v="11"/>
    </i>
    <i r="1">
      <x v="12"/>
    </i>
  </rowItems>
  <colFields count="1">
    <field x="-2"/>
  </colFields>
  <colItems count="9">
    <i>
      <x/>
    </i>
    <i i="1">
      <x v="1"/>
    </i>
    <i i="2">
      <x v="2"/>
    </i>
    <i i="3">
      <x v="3"/>
    </i>
    <i i="4">
      <x v="4"/>
    </i>
    <i i="5">
      <x v="5"/>
    </i>
    <i i="6">
      <x v="6"/>
    </i>
    <i i="7">
      <x v="7"/>
    </i>
    <i i="8">
      <x v="8"/>
    </i>
  </colItems>
  <pageFields count="1">
    <pageField fld="0" hier="-1"/>
  </pageFields>
  <dataFields count="9">
    <dataField name="Suma de MUJER" fld="2" baseField="22" baseItem="11"/>
    <dataField name="Suma de HOMBRE" fld="1" baseField="22" baseItem="12"/>
    <dataField name="Suma de TOTAL" fld="3" baseField="22" baseItem="12"/>
    <dataField name="Suma de MUJER2" fld="5" baseField="22" baseItem="12"/>
    <dataField name="Suma de HOMBRE2" fld="4" baseField="22" baseItem="11"/>
    <dataField name="Suma de TOTAL2" fld="6" baseField="22" baseItem="10"/>
    <dataField name="Suma de MUJER3" fld="8" baseField="22" baseItem="11"/>
    <dataField name="Suma de HOMBRE3" fld="7" baseField="22" baseItem="11"/>
    <dataField name="Suma de TOTAL3" fld="9" baseField="22" baseItem="11"/>
  </dataFields>
  <formats count="5">
    <format dxfId="27">
      <pivotArea outline="0" collapsedLevelsAreSubtotals="1" fieldPosition="0"/>
    </format>
    <format dxfId="26">
      <pivotArea collapsedLevelsAreSubtotals="1" fieldPosition="0">
        <references count="1">
          <reference field="24" count="1">
            <x v="15"/>
          </reference>
        </references>
      </pivotArea>
    </format>
    <format dxfId="25">
      <pivotArea dataOnly="0" labelOnly="1" fieldPosition="0">
        <references count="1">
          <reference field="24" count="1">
            <x v="15"/>
          </reference>
        </references>
      </pivotArea>
    </format>
    <format dxfId="24">
      <pivotArea collapsedLevelsAreSubtotals="1" fieldPosition="0">
        <references count="1">
          <reference field="24" count="1">
            <x v="14"/>
          </reference>
        </references>
      </pivotArea>
    </format>
    <format dxfId="23">
      <pivotArea dataOnly="0" labelOnly="1" fieldPosition="0">
        <references count="1">
          <reference field="24" count="1">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7F6E331-DCC5-406D-A1CE-B3013C0EB132}" name="TablaDinámica2" cacheId="0"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I3:R7" firstHeaderRow="0" firstDataRow="1" firstDataCol="1" rowPageCount="1" colPageCount="1"/>
  <pivotFields count="25">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7" showAll="0"/>
    <pivotField numFmtId="167" showAll="0"/>
    <pivotField numFmtId="43" showAll="0"/>
    <pivotField dataField="1" numFmtId="43" showAll="0"/>
    <pivotField dataField="1" numFmtId="43" showAll="0"/>
    <pivotField dataField="1" numFmtId="43" showAll="0"/>
    <pivotField dataField="1" numFmtId="43" showAll="0"/>
    <pivotField dataField="1" numFmtId="43" showAll="0"/>
    <pivotField dataField="1" numFmtId="43" showAll="0"/>
    <pivotField dataField="1" numFmtId="43" showAll="0"/>
    <pivotField dataField="1" numFmtId="43" showAll="0"/>
    <pivotField dataField="1" numFmtId="4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2">
    <field x="24"/>
    <field x="22"/>
  </rowFields>
  <rowItems count="4">
    <i>
      <x v="15"/>
    </i>
    <i r="1">
      <x v="10"/>
    </i>
    <i r="1">
      <x v="11"/>
    </i>
    <i r="1">
      <x v="12"/>
    </i>
  </rowItems>
  <colFields count="1">
    <field x="-2"/>
  </colFields>
  <colItems count="9">
    <i>
      <x/>
    </i>
    <i i="1">
      <x v="1"/>
    </i>
    <i i="2">
      <x v="2"/>
    </i>
    <i i="3">
      <x v="3"/>
    </i>
    <i i="4">
      <x v="4"/>
    </i>
    <i i="5">
      <x v="5"/>
    </i>
    <i i="6">
      <x v="6"/>
    </i>
    <i i="7">
      <x v="7"/>
    </i>
    <i i="8">
      <x v="8"/>
    </i>
  </colItems>
  <pageFields count="1">
    <pageField fld="0" hier="-1"/>
  </pageFields>
  <dataFields count="9">
    <dataField name="Suma de PBSV_MUJER" fld="14" baseField="22" baseItem="12"/>
    <dataField name="Suma de PBSV_HOMBRE" fld="13" baseField="22" baseItem="12"/>
    <dataField name="Suma de PBSV_TOTAL" fld="15" baseField="0" baseItem="0"/>
    <dataField name="Suma de PBSI_MUJER" fld="17" baseField="22" baseItem="11"/>
    <dataField name="Suma de PBSI_HOMBRE" fld="16" baseField="22" baseItem="12"/>
    <dataField name="Suma de PBSI_TOTAL" fld="18" baseField="0" baseItem="0"/>
    <dataField name="Suma de PBS_MUJER" fld="20" baseField="22" baseItem="12"/>
    <dataField name="Suma de PBS_HOMBRE" fld="19" baseField="22" baseItem="12"/>
    <dataField name="Suma de PBS_TOTAL" fld="21" baseField="0" baseItem="0"/>
  </dataFields>
  <formats count="5">
    <format dxfId="32">
      <pivotArea outline="0" collapsedLevelsAreSubtotals="1" fieldPosition="0"/>
    </format>
    <format dxfId="31">
      <pivotArea collapsedLevelsAreSubtotals="1" fieldPosition="0">
        <references count="1">
          <reference field="24" count="1">
            <x v="15"/>
          </reference>
        </references>
      </pivotArea>
    </format>
    <format dxfId="30">
      <pivotArea dataOnly="0" labelOnly="1" fieldPosition="0">
        <references count="1">
          <reference field="24" count="1">
            <x v="15"/>
          </reference>
        </references>
      </pivotArea>
    </format>
    <format dxfId="29">
      <pivotArea collapsedLevelsAreSubtotals="1" fieldPosition="0">
        <references count="1">
          <reference field="24" count="1">
            <x v="14"/>
          </reference>
        </references>
      </pivotArea>
    </format>
    <format dxfId="28">
      <pivotArea dataOnly="0" labelOnly="1" fieldPosition="0">
        <references count="1">
          <reference field="24" count="1">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198F3A3-C6B3-472D-9DA4-3FDB375A38E8}" name="TablaDinámica7"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25:G26"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6">
    <i>
      <x/>
    </i>
    <i i="1">
      <x v="1"/>
    </i>
    <i i="2">
      <x v="2"/>
    </i>
    <i i="3">
      <x v="3"/>
    </i>
    <i i="4">
      <x v="4"/>
    </i>
    <i i="5">
      <x v="5"/>
    </i>
  </colItems>
  <pageFields count="1">
    <pageField fld="0" hier="-1"/>
  </pageFields>
  <dataFields count="6">
    <dataField name="Suma de APS VEJEZ MUJER nom" fld="32" baseField="0" baseItem="0"/>
    <dataField name="Suma de APS VEJEZ HOMBRE nom" fld="31" baseField="0" baseItem="0"/>
    <dataField name="Suma de APS INVALIDEZ MUJER nom" fld="35" baseField="0" baseItem="0"/>
    <dataField name="Suma de APS INVALIDEZ HOMBRE nom" fld="34" baseField="0" baseItem="0"/>
    <dataField name="Suma de APS TOTAL MUJER nom" fld="38" baseField="0" baseItem="0"/>
    <dataField name="Suma de APS TOTAL HOMBRE nom" fld="37"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56A420B-67FC-4B26-BF73-7FD4FFA37FD9}" name="TablaDinámica10"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44:E45"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4">
    <i>
      <x/>
    </i>
    <i i="1">
      <x v="1"/>
    </i>
    <i i="2">
      <x v="2"/>
    </i>
    <i i="3">
      <x v="3"/>
    </i>
  </colItems>
  <pageFields count="1">
    <pageField fld="0" hier="-1"/>
  </pageFields>
  <dataFields count="4">
    <dataField name="Promedio de PBSV_MUJER REAL" fld="23" subtotal="average" baseField="42" baseItem="15"/>
    <dataField name="Promedio de PBSV_HOMBRE REAL" fld="22" subtotal="average" baseField="42" baseItem="15"/>
    <dataField name="Promedio de PBSI_MUJER REAL" fld="26" subtotal="average" baseField="42" baseItem="15"/>
    <dataField name="Promedio de PBSI_HOMBRE REAL" fld="25" subtotal="average" baseField="42" baseItem="15"/>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88EFFEA-5A2B-45BD-A133-B8BF6D52E2C2}" name="TablaDinámica8"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1:G32"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6">
    <i>
      <x/>
    </i>
    <i i="1">
      <x v="1"/>
    </i>
    <i i="2">
      <x v="2"/>
    </i>
    <i i="3">
      <x v="3"/>
    </i>
    <i i="4">
      <x v="4"/>
    </i>
    <i i="5">
      <x v="5"/>
    </i>
  </colItems>
  <pageFields count="1">
    <pageField fld="0" hier="-1"/>
  </pageFields>
  <dataFields count="6">
    <dataField name="Promedio de APS VEJEZ MUJER nom" fld="32" subtotal="average" baseField="42" baseItem="15"/>
    <dataField name="Promedio de APS VEJEZ HOMBRE nom" fld="31" subtotal="average" baseField="42" baseItem="15"/>
    <dataField name="Promedio de APS INVALIDEZ MUJER nom" fld="35" subtotal="average" baseField="42" baseItem="15"/>
    <dataField name="Promedio de APS INVALIDEZ HOMBRE nom" fld="34" subtotal="average" baseField="42" baseItem="15"/>
    <dataField name="Promedio de APS TOTAL MUJER nom" fld="38" subtotal="average" baseField="42" baseItem="15"/>
    <dataField name="Promedio de APS TOTAL HOMBRE nom" fld="37" subtotal="average" baseField="42" baseItem="15"/>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122D35A-F4D9-4F71-83E4-3C8E9D5043D5}" name="TablaDinámica14"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94:E133" firstHeaderRow="0" firstDataRow="1" firstDataCol="1"/>
  <pivotFields count="43">
    <pivotField numFmtId="17" multipleItemSelectionAllowed="1"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2">
    <field x="42"/>
    <field x="40"/>
  </rowFields>
  <rowItems count="39">
    <i>
      <x v="1"/>
    </i>
    <i>
      <x v="2"/>
    </i>
    <i>
      <x v="3"/>
    </i>
    <i>
      <x v="4"/>
    </i>
    <i>
      <x v="5"/>
    </i>
    <i>
      <x v="6"/>
    </i>
    <i>
      <x v="7"/>
    </i>
    <i>
      <x v="8"/>
    </i>
    <i>
      <x v="9"/>
    </i>
    <i>
      <x v="10"/>
    </i>
    <i>
      <x v="11"/>
    </i>
    <i>
      <x v="12"/>
    </i>
    <i>
      <x v="13"/>
    </i>
    <i>
      <x v="14"/>
    </i>
    <i r="1">
      <x v="1"/>
    </i>
    <i r="1">
      <x v="2"/>
    </i>
    <i r="1">
      <x v="3"/>
    </i>
    <i r="1">
      <x v="4"/>
    </i>
    <i r="1">
      <x v="5"/>
    </i>
    <i r="1">
      <x v="6"/>
    </i>
    <i r="1">
      <x v="7"/>
    </i>
    <i r="1">
      <x v="8"/>
    </i>
    <i r="1">
      <x v="9"/>
    </i>
    <i r="1">
      <x v="10"/>
    </i>
    <i r="1">
      <x v="11"/>
    </i>
    <i r="1">
      <x v="12"/>
    </i>
    <i>
      <x v="15"/>
    </i>
    <i r="1">
      <x v="1"/>
    </i>
    <i r="1">
      <x v="2"/>
    </i>
    <i r="1">
      <x v="3"/>
    </i>
    <i r="1">
      <x v="4"/>
    </i>
    <i r="1">
      <x v="5"/>
    </i>
    <i r="1">
      <x v="6"/>
    </i>
    <i r="1">
      <x v="7"/>
    </i>
    <i r="1">
      <x v="8"/>
    </i>
    <i r="1">
      <x v="9"/>
    </i>
    <i r="1">
      <x v="10"/>
    </i>
    <i r="1">
      <x v="11"/>
    </i>
    <i r="1">
      <x v="12"/>
    </i>
  </rowItems>
  <colFields count="1">
    <field x="-2"/>
  </colFields>
  <colItems count="4">
    <i>
      <x/>
    </i>
    <i i="1">
      <x v="1"/>
    </i>
    <i i="2">
      <x v="2"/>
    </i>
    <i i="3">
      <x v="3"/>
    </i>
  </colItems>
  <dataFields count="4">
    <dataField name="Promedio de PBSV_MUJER REAL" fld="23" subtotal="average" baseField="42" baseItem="11"/>
    <dataField name="Promedio de PBSV_HOMBRE REAL" fld="22" subtotal="average" baseField="42" baseItem="9"/>
    <dataField name="Promedio de PBSI_MUJER REAL" fld="26" subtotal="average" baseField="42" baseItem="9"/>
    <dataField name="Promedio de PBSI_HOMBRE REAL" fld="25" subtotal="average" baseField="42" baseItem="9"/>
  </dataFields>
  <formats count="5">
    <format dxfId="7">
      <pivotArea outline="0" collapsedLevelsAreSubtotals="1" fieldPosition="0"/>
    </format>
    <format dxfId="6">
      <pivotArea collapsedLevelsAreSubtotals="1" fieldPosition="0">
        <references count="1">
          <reference field="42" count="1">
            <x v="14"/>
          </reference>
        </references>
      </pivotArea>
    </format>
    <format dxfId="5">
      <pivotArea dataOnly="0" labelOnly="1" fieldPosition="0">
        <references count="1">
          <reference field="42" count="1">
            <x v="14"/>
          </reference>
        </references>
      </pivotArea>
    </format>
    <format dxfId="4">
      <pivotArea collapsedLevelsAreSubtotals="1" fieldPosition="0">
        <references count="1">
          <reference field="42" count="1">
            <x v="15"/>
          </reference>
        </references>
      </pivotArea>
    </format>
    <format dxfId="3">
      <pivotArea dataOnly="0" labelOnly="1" fieldPosition="0">
        <references count="1">
          <reference field="42" count="1">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C0998F5-73AB-4CE4-B3D7-6D388A68F71C}" name="TablaDinámica6"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19:G20"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dataField="1" showAll="0"/>
    <pivotField dataField="1" showAll="0"/>
    <pivotField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6">
    <i>
      <x/>
    </i>
    <i i="1">
      <x v="1"/>
    </i>
    <i i="2">
      <x v="2"/>
    </i>
    <i i="3">
      <x v="3"/>
    </i>
    <i i="4">
      <x v="4"/>
    </i>
    <i i="5">
      <x v="5"/>
    </i>
  </colItems>
  <pageFields count="1">
    <pageField fld="0" hier="-1"/>
  </pageFields>
  <dataFields count="6">
    <dataField name="Promedio de APS VEJEZ MUJER n" fld="2" subtotal="average" baseField="42" baseItem="15"/>
    <dataField name="Promedio de APS VEJEZ HOMBRE n" fld="1" subtotal="average" baseField="42" baseItem="15"/>
    <dataField name="Promedio de APS INVALIDEZ MUJER N" fld="5" subtotal="average" baseField="42" baseItem="15"/>
    <dataField name="Promedio de APS INVALIDEZ HOMBRE N" fld="4" subtotal="average" baseField="42" baseItem="15"/>
    <dataField name="Promedio de APS TOTAL MUJER N" fld="8" subtotal="average" baseField="42" baseItem="15"/>
    <dataField name="Promedio de APS TOTAL HOMBRE N" fld="7" subtotal="average" baseField="42" baseItem="15"/>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8F89514-05E8-404C-AA67-9D8D6CCDF6DC}" name="TablaDinámica9"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7:E38"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4">
    <i>
      <x/>
    </i>
    <i i="1">
      <x v="1"/>
    </i>
    <i i="2">
      <x v="2"/>
    </i>
    <i i="3">
      <x v="3"/>
    </i>
  </colItems>
  <pageFields count="1">
    <pageField fld="0" hier="-1"/>
  </pageFields>
  <dataFields count="4">
    <dataField name="Suma de PBSV_MUJER REAL" fld="23" baseField="0" baseItem="0"/>
    <dataField name="Suma de PBSV_HOMBRE REAL" fld="22" baseField="0" baseItem="0"/>
    <dataField name="Suma de PBSI_MUJER REAL" fld="26" baseField="0" baseItem="0"/>
    <dataField name="Suma de PBSI_HOMBRE REAL" fld="25"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AC6800A-B8EE-489E-9273-309F39920F99}" name="TablaDinámica4"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G7"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dataField="1" showAll="0"/>
    <pivotField dataField="1" showAll="0"/>
    <pivotField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2">
    <field x="42"/>
    <field x="40"/>
  </rowFields>
  <rowItems count="4">
    <i>
      <x v="15"/>
    </i>
    <i r="1">
      <x v="10"/>
    </i>
    <i r="1">
      <x v="11"/>
    </i>
    <i r="1">
      <x v="12"/>
    </i>
  </rowItems>
  <colFields count="1">
    <field x="-2"/>
  </colFields>
  <colItems count="6">
    <i>
      <x/>
    </i>
    <i i="1">
      <x v="1"/>
    </i>
    <i i="2">
      <x v="2"/>
    </i>
    <i i="3">
      <x v="3"/>
    </i>
    <i i="4">
      <x v="4"/>
    </i>
    <i i="5">
      <x v="5"/>
    </i>
  </colItems>
  <pageFields count="1">
    <pageField fld="0" hier="-1"/>
  </pageFields>
  <dataFields count="6">
    <dataField name="Suma de APS VEJEZ MUJER n" fld="2" baseField="0" baseItem="0"/>
    <dataField name="Suma de APS VEJEZ HOMBRE n" fld="1" baseField="0" baseItem="0"/>
    <dataField name="Suma de APS INVALIDEZ MUJER N" fld="5" baseField="0" baseItem="0"/>
    <dataField name="Suma de APS INVALIDEZ HOMBRE N" fld="4" baseField="0" baseItem="0"/>
    <dataField name="Suma de APS TOTAL MUJER N" fld="8" baseField="0" baseItem="0"/>
    <dataField name="Suma de APS TOTAL HOMBRE N"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F2521AE-3197-44A0-93AC-AABBF01C5D3D}" name="TablaDinámica13"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51:E90" firstHeaderRow="0" firstDataRow="1" firstDataCol="1"/>
  <pivotFields count="43">
    <pivotField numFmtId="17" multipleItemSelectionAllowed="1"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2">
    <field x="42"/>
    <field x="40"/>
  </rowFields>
  <rowItems count="39">
    <i>
      <x v="1"/>
    </i>
    <i>
      <x v="2"/>
    </i>
    <i>
      <x v="3"/>
    </i>
    <i>
      <x v="4"/>
    </i>
    <i>
      <x v="5"/>
    </i>
    <i>
      <x v="6"/>
    </i>
    <i>
      <x v="7"/>
    </i>
    <i>
      <x v="8"/>
    </i>
    <i>
      <x v="9"/>
    </i>
    <i>
      <x v="10"/>
    </i>
    <i>
      <x v="11"/>
    </i>
    <i>
      <x v="12"/>
    </i>
    <i>
      <x v="13"/>
    </i>
    <i>
      <x v="14"/>
    </i>
    <i r="1">
      <x v="1"/>
    </i>
    <i r="1">
      <x v="2"/>
    </i>
    <i r="1">
      <x v="3"/>
    </i>
    <i r="1">
      <x v="4"/>
    </i>
    <i r="1">
      <x v="5"/>
    </i>
    <i r="1">
      <x v="6"/>
    </i>
    <i r="1">
      <x v="7"/>
    </i>
    <i r="1">
      <x v="8"/>
    </i>
    <i r="1">
      <x v="9"/>
    </i>
    <i r="1">
      <x v="10"/>
    </i>
    <i r="1">
      <x v="11"/>
    </i>
    <i r="1">
      <x v="12"/>
    </i>
    <i>
      <x v="15"/>
    </i>
    <i r="1">
      <x v="1"/>
    </i>
    <i r="1">
      <x v="2"/>
    </i>
    <i r="1">
      <x v="3"/>
    </i>
    <i r="1">
      <x v="4"/>
    </i>
    <i r="1">
      <x v="5"/>
    </i>
    <i r="1">
      <x v="6"/>
    </i>
    <i r="1">
      <x v="7"/>
    </i>
    <i r="1">
      <x v="8"/>
    </i>
    <i r="1">
      <x v="9"/>
    </i>
    <i r="1">
      <x v="10"/>
    </i>
    <i r="1">
      <x v="11"/>
    </i>
    <i r="1">
      <x v="12"/>
    </i>
  </rowItems>
  <colFields count="1">
    <field x="-2"/>
  </colFields>
  <colItems count="4">
    <i>
      <x/>
    </i>
    <i i="1">
      <x v="1"/>
    </i>
    <i i="2">
      <x v="2"/>
    </i>
    <i i="3">
      <x v="3"/>
    </i>
  </colItems>
  <dataFields count="4">
    <dataField name="Promedio de APS VEJEZ MUJER n" fld="2" subtotal="average" baseField="42" baseItem="4"/>
    <dataField name="Promedio de APS VEJEZ HOMBRE n" fld="1" subtotal="average" baseField="42" baseItem="8"/>
    <dataField name="Promedio de APS INVALIDEZ MUJER N" fld="5" subtotal="average" baseField="42" baseItem="10"/>
    <dataField name="Promedio de APS INVALIDEZ HOMBRE N" fld="4" subtotal="average" baseField="42" baseItem="14"/>
  </dataFields>
  <formats count="5">
    <format dxfId="14">
      <pivotArea outline="0" collapsedLevelsAreSubtotals="1" fieldPosition="0"/>
    </format>
    <format dxfId="13">
      <pivotArea collapsedLevelsAreSubtotals="1" fieldPosition="0">
        <references count="1">
          <reference field="42" count="1">
            <x v="14"/>
          </reference>
        </references>
      </pivotArea>
    </format>
    <format dxfId="12">
      <pivotArea dataOnly="0" labelOnly="1" fieldPosition="0">
        <references count="1">
          <reference field="42" count="1">
            <x v="14"/>
          </reference>
        </references>
      </pivotArea>
    </format>
    <format dxfId="11">
      <pivotArea collapsedLevelsAreSubtotals="1" fieldPosition="0">
        <references count="1">
          <reference field="42" count="1">
            <x v="15"/>
          </reference>
        </references>
      </pivotArea>
    </format>
    <format dxfId="10">
      <pivotArea dataOnly="0" labelOnly="1" fieldPosition="0">
        <references count="1">
          <reference field="42" count="1">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FEA86542-0396-405E-BCB4-484F5303916B}" name="TablaDinámica11"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I3:M7"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2">
    <field x="42"/>
    <field x="40"/>
  </rowFields>
  <rowItems count="4">
    <i>
      <x v="15"/>
    </i>
    <i r="1">
      <x v="10"/>
    </i>
    <i r="1">
      <x v="11"/>
    </i>
    <i r="1">
      <x v="12"/>
    </i>
  </rowItems>
  <colFields count="1">
    <field x="-2"/>
  </colFields>
  <colItems count="4">
    <i>
      <x/>
    </i>
    <i i="1">
      <x v="1"/>
    </i>
    <i i="2">
      <x v="2"/>
    </i>
    <i i="3">
      <x v="3"/>
    </i>
  </colItems>
  <pageFields count="1">
    <pageField fld="0" hier="-1"/>
  </pageFields>
  <dataFields count="4">
    <dataField name="Suma de APS VEJEZ MUJER nom" fld="32" baseField="0" baseItem="0"/>
    <dataField name="Suma de APS VEJEZ HOMBRE nom" fld="31" baseField="0" baseItem="0"/>
    <dataField name="Suma de APS INVALIDEZ MUJER nom" fld="35" baseField="0" baseItem="0"/>
    <dataField name="Suma de APS INVALIDEZ HOMBRE nom" fld="34" baseField="0" baseItem="0"/>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DA28548-45BB-44AE-BE99-FAD857820FB2}" name="TablaDinámica12"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O3:S7"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2">
    <field x="42"/>
    <field x="40"/>
  </rowFields>
  <rowItems count="4">
    <i>
      <x v="15"/>
    </i>
    <i r="1">
      <x v="10"/>
    </i>
    <i r="1">
      <x v="11"/>
    </i>
    <i r="1">
      <x v="12"/>
    </i>
  </rowItems>
  <colFields count="1">
    <field x="-2"/>
  </colFields>
  <colItems count="4">
    <i>
      <x/>
    </i>
    <i i="1">
      <x v="1"/>
    </i>
    <i i="2">
      <x v="2"/>
    </i>
    <i i="3">
      <x v="3"/>
    </i>
  </colItems>
  <pageFields count="1">
    <pageField fld="0" hier="-1"/>
  </pageFields>
  <dataFields count="4">
    <dataField name="Suma de PBSV_MUJER REAL" fld="23" baseField="0" baseItem="0"/>
    <dataField name="Suma de PBSV_HOMBRE REAL" fld="22" baseField="0" baseItem="0"/>
    <dataField name="Suma de PBSI_MUJER REAL" fld="26" baseField="0" baseItem="0"/>
    <dataField name="Suma de PBSI_HOMBRE REAL" fld="25" baseField="0" baseItem="0"/>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A18DFB1-E842-4566-8E07-0E6F7A028AC3}" name="TablaDinámica5"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13:G14"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dataField="1" showAll="0"/>
    <pivotField dataField="1" showAll="0"/>
    <pivotField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6">
    <i>
      <x/>
    </i>
    <i i="1">
      <x v="1"/>
    </i>
    <i i="2">
      <x v="2"/>
    </i>
    <i i="3">
      <x v="3"/>
    </i>
    <i i="4">
      <x v="4"/>
    </i>
    <i i="5">
      <x v="5"/>
    </i>
  </colItems>
  <pageFields count="1">
    <pageField fld="0" hier="-1"/>
  </pageFields>
  <dataFields count="6">
    <dataField name="Suma de APS VEJEZ MUJER n" fld="2" baseField="0" baseItem="0"/>
    <dataField name="Suma de APS VEJEZ HOMBRE n" fld="1" baseField="0" baseItem="0"/>
    <dataField name="Suma de APS INVALIDEZ MUJER N" fld="5" baseField="0" baseItem="0"/>
    <dataField name="Suma de APS INVALIDEZ HOMBRE N" fld="4" baseField="0" baseItem="0"/>
    <dataField name="Suma de APS TOTAL MUJER N" fld="8" baseField="0" baseItem="0"/>
    <dataField name="Suma de APS TOTAL HOMBRE N" fld="7" baseField="0" baseItem="0"/>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23.xml"/><Relationship Id="rId3" Type="http://schemas.openxmlformats.org/officeDocument/2006/relationships/pivotTable" Target="../pivotTables/pivotTable18.xml"/><Relationship Id="rId7" Type="http://schemas.openxmlformats.org/officeDocument/2006/relationships/pivotTable" Target="../pivotTables/pivotTable22.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ivotTable" Target="../pivotTables/pivotTable21.xml"/><Relationship Id="rId11" Type="http://schemas.openxmlformats.org/officeDocument/2006/relationships/pivotTable" Target="../pivotTables/pivotTable26.xml"/><Relationship Id="rId5" Type="http://schemas.openxmlformats.org/officeDocument/2006/relationships/pivotTable" Target="../pivotTables/pivotTable20.xml"/><Relationship Id="rId10" Type="http://schemas.openxmlformats.org/officeDocument/2006/relationships/pivotTable" Target="../pivotTables/pivotTable25.xml"/><Relationship Id="rId4" Type="http://schemas.openxmlformats.org/officeDocument/2006/relationships/pivotTable" Target="../pivotTables/pivotTable19.xml"/><Relationship Id="rId9" Type="http://schemas.openxmlformats.org/officeDocument/2006/relationships/pivotTable" Target="../pivotTables/pivotTable2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3.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7.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05FE4-6789-4257-B0F5-F33E8FA98108}">
  <sheetPr>
    <tabColor rgb="FFC00000"/>
  </sheetPr>
  <dimension ref="A1:M32"/>
  <sheetViews>
    <sheetView showGridLines="0" workbookViewId="0">
      <selection activeCell="B29" sqref="B29:M29"/>
    </sheetView>
  </sheetViews>
  <sheetFormatPr baseColWidth="10" defaultRowHeight="15" x14ac:dyDescent="0.25"/>
  <cols>
    <col min="1" max="1" width="14.42578125" customWidth="1"/>
  </cols>
  <sheetData>
    <row r="1" spans="1:13" x14ac:dyDescent="0.25">
      <c r="B1" s="450" t="s">
        <v>781</v>
      </c>
      <c r="C1" s="451"/>
      <c r="D1" s="451"/>
      <c r="E1" s="451"/>
      <c r="F1" s="451"/>
      <c r="G1" s="451"/>
      <c r="H1" s="451"/>
      <c r="I1" s="451"/>
      <c r="J1" s="451"/>
      <c r="K1" s="451"/>
      <c r="L1" s="451"/>
      <c r="M1" s="451"/>
    </row>
    <row r="2" spans="1:13" x14ac:dyDescent="0.25">
      <c r="B2" s="451"/>
      <c r="C2" s="451"/>
      <c r="D2" s="451"/>
      <c r="E2" s="451"/>
      <c r="F2" s="451"/>
      <c r="G2" s="451"/>
      <c r="H2" s="451"/>
      <c r="I2" s="451"/>
      <c r="J2" s="451"/>
      <c r="K2" s="451"/>
      <c r="L2" s="451"/>
      <c r="M2" s="451"/>
    </row>
    <row r="3" spans="1:13" x14ac:dyDescent="0.25">
      <c r="B3" s="451"/>
      <c r="C3" s="451"/>
      <c r="D3" s="451"/>
      <c r="E3" s="451"/>
      <c r="F3" s="451"/>
      <c r="G3" s="451"/>
      <c r="H3" s="451"/>
      <c r="I3" s="451"/>
      <c r="J3" s="451"/>
      <c r="K3" s="451"/>
      <c r="L3" s="451"/>
      <c r="M3" s="451"/>
    </row>
    <row r="4" spans="1:13" x14ac:dyDescent="0.25">
      <c r="B4" s="451"/>
      <c r="C4" s="451"/>
      <c r="D4" s="451"/>
      <c r="E4" s="451"/>
      <c r="F4" s="451"/>
      <c r="G4" s="451"/>
      <c r="H4" s="451"/>
      <c r="I4" s="451"/>
      <c r="J4" s="451"/>
      <c r="K4" s="451"/>
      <c r="L4" s="451"/>
      <c r="M4" s="451"/>
    </row>
    <row r="5" spans="1:13" x14ac:dyDescent="0.25">
      <c r="B5" s="451"/>
      <c r="C5" s="451"/>
      <c r="D5" s="451"/>
      <c r="E5" s="451"/>
      <c r="F5" s="451"/>
      <c r="G5" s="451"/>
      <c r="H5" s="451"/>
      <c r="I5" s="451"/>
      <c r="J5" s="451"/>
      <c r="K5" s="451"/>
      <c r="L5" s="451"/>
      <c r="M5" s="451"/>
    </row>
    <row r="6" spans="1:13" ht="15.75" x14ac:dyDescent="0.25">
      <c r="B6" s="262"/>
      <c r="C6" s="262"/>
      <c r="D6" s="262"/>
      <c r="E6" s="262"/>
      <c r="F6" s="262"/>
      <c r="G6" s="262"/>
      <c r="H6" s="262"/>
      <c r="I6" s="262"/>
      <c r="J6" s="262"/>
      <c r="K6" s="262"/>
      <c r="L6" s="262"/>
      <c r="M6" s="262"/>
    </row>
    <row r="8" spans="1:13" ht="15.75" thickBot="1" x14ac:dyDescent="0.3"/>
    <row r="9" spans="1:13" ht="24.75" thickTop="1" thickBot="1" x14ac:dyDescent="0.4">
      <c r="A9" s="263"/>
      <c r="B9" s="453" t="s">
        <v>893</v>
      </c>
      <c r="C9" s="454"/>
      <c r="D9" s="454"/>
      <c r="E9" s="454"/>
      <c r="F9" s="454"/>
      <c r="G9" s="454"/>
      <c r="H9" s="454"/>
      <c r="I9" s="454"/>
      <c r="J9" s="454"/>
      <c r="K9" s="454"/>
      <c r="L9" s="454"/>
      <c r="M9" s="455"/>
    </row>
    <row r="10" spans="1:13" ht="16.5" thickTop="1" x14ac:dyDescent="0.25">
      <c r="B10" s="456" t="s">
        <v>894</v>
      </c>
      <c r="C10" s="456"/>
      <c r="D10" s="456"/>
      <c r="E10" s="456"/>
      <c r="F10" s="456"/>
      <c r="G10" s="456"/>
      <c r="H10" s="456"/>
      <c r="I10" s="456"/>
      <c r="J10" s="456"/>
      <c r="K10" s="456"/>
      <c r="L10" s="456"/>
      <c r="M10" s="456"/>
    </row>
    <row r="11" spans="1:13" x14ac:dyDescent="0.25">
      <c r="B11" s="452"/>
      <c r="C11" s="452"/>
      <c r="D11" s="452"/>
      <c r="E11" s="452"/>
      <c r="F11" s="452"/>
      <c r="G11" s="452"/>
      <c r="H11" s="452"/>
      <c r="I11" s="452"/>
      <c r="J11" s="452"/>
      <c r="K11" s="452"/>
      <c r="L11" s="452"/>
      <c r="M11" s="452"/>
    </row>
    <row r="12" spans="1:13" ht="18.75" x14ac:dyDescent="0.3">
      <c r="B12" s="448" t="s">
        <v>850</v>
      </c>
      <c r="C12" s="448"/>
      <c r="D12" s="448"/>
      <c r="E12" s="448"/>
      <c r="F12" s="448"/>
      <c r="G12" s="448"/>
      <c r="H12" s="448"/>
      <c r="I12" s="448"/>
      <c r="J12" s="448"/>
      <c r="K12" s="448"/>
      <c r="L12" s="448"/>
      <c r="M12" s="448"/>
    </row>
    <row r="13" spans="1:13" x14ac:dyDescent="0.25">
      <c r="B13" s="457" t="s">
        <v>835</v>
      </c>
      <c r="C13" s="457"/>
      <c r="D13" s="457"/>
      <c r="E13" s="457"/>
      <c r="F13" s="457"/>
      <c r="G13" s="457"/>
      <c r="H13" s="457"/>
      <c r="I13" s="457"/>
      <c r="J13" s="457"/>
      <c r="K13" s="457"/>
      <c r="L13" s="457"/>
      <c r="M13" s="457"/>
    </row>
    <row r="14" spans="1:13" x14ac:dyDescent="0.25">
      <c r="B14" s="449" t="s">
        <v>842</v>
      </c>
      <c r="C14" s="449"/>
      <c r="D14" s="449"/>
      <c r="E14" s="449"/>
      <c r="F14" s="449"/>
      <c r="G14" s="449"/>
      <c r="H14" s="449"/>
      <c r="I14" s="449"/>
      <c r="J14" s="449"/>
      <c r="K14" s="449"/>
      <c r="L14" s="449"/>
      <c r="M14" s="449"/>
    </row>
    <row r="15" spans="1:13" x14ac:dyDescent="0.25">
      <c r="B15" s="449" t="s">
        <v>843</v>
      </c>
      <c r="C15" s="449"/>
      <c r="D15" s="449"/>
      <c r="E15" s="449"/>
      <c r="F15" s="449"/>
      <c r="G15" s="449"/>
      <c r="H15" s="449"/>
      <c r="I15" s="449"/>
      <c r="J15" s="449"/>
      <c r="K15" s="449"/>
      <c r="L15" s="449"/>
      <c r="M15" s="449"/>
    </row>
    <row r="16" spans="1:13" x14ac:dyDescent="0.25">
      <c r="B16" s="449" t="s">
        <v>839</v>
      </c>
      <c r="C16" s="449"/>
      <c r="D16" s="449"/>
      <c r="E16" s="449"/>
      <c r="F16" s="449"/>
      <c r="G16" s="449"/>
      <c r="H16" s="449"/>
      <c r="I16" s="449"/>
      <c r="J16" s="449"/>
      <c r="K16" s="449"/>
      <c r="L16" s="449"/>
      <c r="M16" s="449"/>
    </row>
    <row r="17" spans="2:13" x14ac:dyDescent="0.25">
      <c r="B17" s="449" t="s">
        <v>840</v>
      </c>
      <c r="C17" s="449"/>
      <c r="D17" s="449"/>
      <c r="E17" s="449"/>
      <c r="F17" s="449"/>
      <c r="G17" s="449"/>
      <c r="H17" s="449"/>
      <c r="I17" s="449"/>
      <c r="J17" s="449"/>
      <c r="K17" s="449"/>
      <c r="L17" s="449"/>
      <c r="M17" s="449"/>
    </row>
    <row r="18" spans="2:13" ht="18.75" x14ac:dyDescent="0.3">
      <c r="B18" s="448" t="s">
        <v>778</v>
      </c>
      <c r="C18" s="448"/>
      <c r="D18" s="448"/>
      <c r="E18" s="448"/>
      <c r="F18" s="448"/>
      <c r="G18" s="448"/>
      <c r="H18" s="448"/>
      <c r="I18" s="448"/>
      <c r="J18" s="448"/>
      <c r="K18" s="448"/>
      <c r="L18" s="448"/>
      <c r="M18" s="448"/>
    </row>
    <row r="19" spans="2:13" x14ac:dyDescent="0.25">
      <c r="B19" s="449" t="s">
        <v>852</v>
      </c>
      <c r="C19" s="449"/>
      <c r="D19" s="449"/>
      <c r="E19" s="449"/>
      <c r="F19" s="449"/>
      <c r="G19" s="449"/>
      <c r="H19" s="449"/>
      <c r="I19" s="449"/>
      <c r="J19" s="449"/>
      <c r="K19" s="449"/>
      <c r="L19" s="449"/>
      <c r="M19" s="449"/>
    </row>
    <row r="20" spans="2:13" x14ac:dyDescent="0.25">
      <c r="B20" s="449" t="s">
        <v>861</v>
      </c>
      <c r="C20" s="449"/>
      <c r="D20" s="449"/>
      <c r="E20" s="449"/>
      <c r="F20" s="449"/>
      <c r="G20" s="449"/>
      <c r="H20" s="449"/>
      <c r="I20" s="449"/>
      <c r="J20" s="449"/>
      <c r="K20" s="449"/>
      <c r="L20" s="449"/>
      <c r="M20" s="449"/>
    </row>
    <row r="21" spans="2:13" x14ac:dyDescent="0.25">
      <c r="B21" s="449" t="s">
        <v>779</v>
      </c>
      <c r="C21" s="449"/>
      <c r="D21" s="449"/>
      <c r="E21" s="449"/>
      <c r="F21" s="449"/>
      <c r="G21" s="449"/>
      <c r="H21" s="449"/>
      <c r="I21" s="449"/>
      <c r="J21" s="449"/>
      <c r="K21" s="449"/>
      <c r="L21" s="449"/>
      <c r="M21" s="449"/>
    </row>
    <row r="22" spans="2:13" x14ac:dyDescent="0.25">
      <c r="B22" s="449" t="s">
        <v>860</v>
      </c>
      <c r="C22" s="449"/>
      <c r="D22" s="449"/>
      <c r="E22" s="449"/>
      <c r="F22" s="449"/>
      <c r="G22" s="449"/>
      <c r="H22" s="449"/>
      <c r="I22" s="449"/>
      <c r="J22" s="449"/>
      <c r="K22" s="449"/>
      <c r="L22" s="449"/>
      <c r="M22" s="449"/>
    </row>
    <row r="23" spans="2:13" x14ac:dyDescent="0.25">
      <c r="B23" s="449" t="s">
        <v>780</v>
      </c>
      <c r="C23" s="449"/>
      <c r="D23" s="449"/>
      <c r="E23" s="449"/>
      <c r="F23" s="449"/>
      <c r="G23" s="449"/>
      <c r="H23" s="449"/>
      <c r="I23" s="449"/>
      <c r="J23" s="449"/>
      <c r="K23" s="449"/>
      <c r="L23" s="449"/>
      <c r="M23" s="449"/>
    </row>
    <row r="24" spans="2:13" x14ac:dyDescent="0.25">
      <c r="B24" s="449" t="s">
        <v>873</v>
      </c>
      <c r="C24" s="449"/>
      <c r="D24" s="449"/>
      <c r="E24" s="449"/>
      <c r="F24" s="449"/>
      <c r="G24" s="449"/>
      <c r="H24" s="449"/>
      <c r="I24" s="449"/>
      <c r="J24" s="449"/>
      <c r="K24" s="449"/>
      <c r="L24" s="449"/>
      <c r="M24" s="449"/>
    </row>
    <row r="25" spans="2:13" x14ac:dyDescent="0.25">
      <c r="B25" s="449" t="s">
        <v>881</v>
      </c>
      <c r="C25" s="449"/>
      <c r="D25" s="449"/>
      <c r="E25" s="449"/>
      <c r="F25" s="449"/>
      <c r="G25" s="449"/>
      <c r="H25" s="449"/>
      <c r="I25" s="449"/>
      <c r="J25" s="449"/>
      <c r="K25" s="449"/>
      <c r="L25" s="449"/>
      <c r="M25" s="449"/>
    </row>
    <row r="26" spans="2:13" x14ac:dyDescent="0.25">
      <c r="B26" s="449" t="s">
        <v>783</v>
      </c>
      <c r="C26" s="449"/>
      <c r="D26" s="449"/>
      <c r="E26" s="449"/>
      <c r="F26" s="449"/>
      <c r="G26" s="449"/>
      <c r="H26" s="449"/>
      <c r="I26" s="449"/>
      <c r="J26" s="449"/>
      <c r="K26" s="449"/>
      <c r="L26" s="449"/>
      <c r="M26" s="449"/>
    </row>
    <row r="27" spans="2:13" ht="18.75" x14ac:dyDescent="0.3">
      <c r="B27" s="448" t="s">
        <v>934</v>
      </c>
      <c r="C27" s="448"/>
      <c r="D27" s="448"/>
      <c r="E27" s="448"/>
      <c r="F27" s="448"/>
      <c r="G27" s="448"/>
      <c r="H27" s="448"/>
      <c r="I27" s="448"/>
      <c r="J27" s="448"/>
      <c r="K27" s="448"/>
      <c r="L27" s="448"/>
      <c r="M27" s="448"/>
    </row>
    <row r="28" spans="2:13" x14ac:dyDescent="0.25">
      <c r="B28" s="319" t="s">
        <v>935</v>
      </c>
    </row>
    <row r="29" spans="2:13" ht="18.75" x14ac:dyDescent="0.3">
      <c r="B29" s="448" t="s">
        <v>957</v>
      </c>
      <c r="C29" s="448"/>
      <c r="D29" s="448"/>
      <c r="E29" s="448"/>
      <c r="F29" s="448"/>
      <c r="G29" s="448"/>
      <c r="H29" s="448"/>
      <c r="I29" s="448"/>
      <c r="J29" s="448"/>
      <c r="K29" s="448"/>
      <c r="L29" s="448"/>
      <c r="M29" s="448"/>
    </row>
    <row r="30" spans="2:13" x14ac:dyDescent="0.25">
      <c r="B30" s="319" t="s">
        <v>958</v>
      </c>
    </row>
    <row r="31" spans="2:13" x14ac:dyDescent="0.25">
      <c r="B31" s="319" t="s">
        <v>960</v>
      </c>
    </row>
    <row r="32" spans="2:13" x14ac:dyDescent="0.25">
      <c r="B32" s="319" t="s">
        <v>963</v>
      </c>
    </row>
  </sheetData>
  <mergeCells count="21">
    <mergeCell ref="B21:M21"/>
    <mergeCell ref="B22:M22"/>
    <mergeCell ref="B23:M23"/>
    <mergeCell ref="B1:M5"/>
    <mergeCell ref="B11:M11"/>
    <mergeCell ref="B17:M17"/>
    <mergeCell ref="B19:M19"/>
    <mergeCell ref="B20:M20"/>
    <mergeCell ref="B9:M9"/>
    <mergeCell ref="B10:M10"/>
    <mergeCell ref="B12:M12"/>
    <mergeCell ref="B18:M18"/>
    <mergeCell ref="B13:M13"/>
    <mergeCell ref="B15:M15"/>
    <mergeCell ref="B14:M14"/>
    <mergeCell ref="B16:M16"/>
    <mergeCell ref="B27:M27"/>
    <mergeCell ref="B29:M29"/>
    <mergeCell ref="B24:M24"/>
    <mergeCell ref="B25:M25"/>
    <mergeCell ref="B26:M26"/>
  </mergeCells>
  <hyperlinks>
    <hyperlink ref="B12:M12" location="'I. Beneficios pagados'!A1" display="I. Pago de Beneficios del Pilar No Contributivo" xr:uid="{1BA79B36-5036-430B-8DAB-4A04B59A7EC3}"/>
    <hyperlink ref="B18:M18" location="'II. Estado de Solicitudes'!A1" display="II. Estado de solicitudes" xr:uid="{5E32C9AC-14CA-42EE-B860-7955881BDA35}"/>
    <hyperlink ref="B13:M13" location="'1.1'!A1" display="1. Total de beneficios pagados del Pilar No Contributivo" xr:uid="{EC722C1D-1952-414E-AA3B-DD246723790A}"/>
    <hyperlink ref="B14:M14" location="'1.2'!A1" display="2. Pagos Pensión Básica Solidaria (PBS)" xr:uid="{DFE45D39-2E5B-418A-A36F-F4D6BCF1B7A1}"/>
    <hyperlink ref="B15:M15" location="'1.3'!A1" display="3. Pagos Pensión Garantizada Universal (PGU)" xr:uid="{A3DB2700-DB33-450D-B547-E5AD8058755C}"/>
    <hyperlink ref="B16:M16" location="'1.4'!A1" display="4. Pagos Aporte Previsional Solidario (APS)" xr:uid="{C8EFC842-0BD6-4697-9E9F-1AB1C24F78BD}"/>
    <hyperlink ref="B17:M17" location="'1.5'!A1" display="5. Pagos Beneficio del artículo 9° bis (Nbis)" xr:uid="{F22C0B21-7B73-4182-8959-E55AB4D012EE}"/>
    <hyperlink ref="B19:M19" location="'2.1'!A1" display="1. Estado de las solicitudes del Pilar No Contributivo" xr:uid="{374917BC-2E58-4036-8806-151656B839EC}"/>
    <hyperlink ref="B20:M20" location="'2.2'!A1" display="2. Solicitudes del Pilar No Contributivo a nivel nacional" xr:uid="{5EFB9C70-1ED7-4876-9D7D-D03FAC2507FC}"/>
    <hyperlink ref="B21:M21" location="'2.3'!A1" display="3. Solicitudes a nivel regional y comunal" xr:uid="{3C2C8CCB-4AAA-44D6-8F67-412580B79E1A}"/>
    <hyperlink ref="B22:M22" location="'2.4'!A1" display="4. Solicitudes concedidas del Pilar No Contributivo a nivel nacional" xr:uid="{8517ABA5-CB9B-4980-9208-CAC739F63259}"/>
    <hyperlink ref="B23:M23" location="'2.5'!A1" display="5. Concesiones a nivel regional y comunal" xr:uid="{6D995E26-29D9-4A99-BBED-94DD52CDB247}"/>
    <hyperlink ref="B24:M24" location="'2.6'!A1" display="6. Solicitudes Rechazadas del Pilar No Contributivo" xr:uid="{5D20F942-7DFE-4DEA-96AD-9DDAE13C6335}"/>
    <hyperlink ref="B25:M25" location="'2.7'!A1" display="7. Beneficios suspendidos y extintos del Pilar No Contributivo" xr:uid="{E4DF2E5C-A7B7-405F-960C-7249819AD359}"/>
    <hyperlink ref="B26:M26" location="'2.8'!A1" display="8. Tasas de concesión de solicitudes" xr:uid="{D8A2EA35-C2C7-4144-BD14-2BE7B124503D}"/>
    <hyperlink ref="B27:M27" location="'III. Bono por hijo'!A1" display="III. Bono por Hijo" xr:uid="{2BF229FB-08AE-4200-A7FE-5F7FF625F183}"/>
    <hyperlink ref="B29:M29" location="'IV. Subsidio STJ'!A1" display="IV. Subsidio al Trabajador Joven" xr:uid="{5BF86860-0062-405A-B903-0B97A20975B6}"/>
    <hyperlink ref="B28" location="'3.1'!A1" display="1. Bono por Hijo" xr:uid="{B2B65761-45A6-4CCA-9F75-3ECBB13D5D49}"/>
    <hyperlink ref="B30" location="'4.1'!A1" display="1. Pagos del Subsidio al Trabajador Joven (STJ)" xr:uid="{47B6102E-AE86-41BD-B4CD-0CB33048A34D}"/>
    <hyperlink ref="B31" location="'4.2'!A1" display="2. Subsidio a la Contratación de Trabajadores Jóvenes" xr:uid="{740A0177-CF64-4ADF-A0A9-A51B49FA76FC}"/>
    <hyperlink ref="B32" location="'4.3'!A1" display="3. Subsidio a la Cotización de Trabajadores Jóvenes" xr:uid="{FCE2254A-0293-4569-9D3F-E0317502A6FE}"/>
  </hyperlinks>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A1209-40B6-43C7-9D92-55FEE8CDC0B2}">
  <sheetPr>
    <tabColor theme="9" tint="0.79998168889431442"/>
  </sheetPr>
  <dimension ref="B1:M31"/>
  <sheetViews>
    <sheetView showGridLines="0" workbookViewId="0">
      <selection activeCell="B12" sqref="B12:M12"/>
    </sheetView>
  </sheetViews>
  <sheetFormatPr baseColWidth="10" defaultRowHeight="15" x14ac:dyDescent="0.25"/>
  <cols>
    <col min="1" max="1" width="14.42578125" customWidth="1"/>
  </cols>
  <sheetData>
    <row r="1" spans="2:13" x14ac:dyDescent="0.25">
      <c r="B1" s="450" t="s">
        <v>781</v>
      </c>
      <c r="C1" s="451"/>
      <c r="D1" s="451"/>
      <c r="E1" s="451"/>
      <c r="F1" s="451"/>
      <c r="G1" s="451"/>
      <c r="H1" s="451"/>
      <c r="I1" s="451"/>
      <c r="J1" s="451"/>
      <c r="K1" s="451"/>
      <c r="L1" s="451"/>
      <c r="M1" s="451"/>
    </row>
    <row r="2" spans="2:13" x14ac:dyDescent="0.25">
      <c r="B2" s="451"/>
      <c r="C2" s="451"/>
      <c r="D2" s="451"/>
      <c r="E2" s="451"/>
      <c r="F2" s="451"/>
      <c r="G2" s="451"/>
      <c r="H2" s="451"/>
      <c r="I2" s="451"/>
      <c r="J2" s="451"/>
      <c r="K2" s="451"/>
      <c r="L2" s="451"/>
      <c r="M2" s="451"/>
    </row>
    <row r="3" spans="2:13" x14ac:dyDescent="0.25">
      <c r="B3" s="451"/>
      <c r="C3" s="451"/>
      <c r="D3" s="451"/>
      <c r="E3" s="451"/>
      <c r="F3" s="451"/>
      <c r="G3" s="451"/>
      <c r="H3" s="451"/>
      <c r="I3" s="451"/>
      <c r="J3" s="451"/>
      <c r="K3" s="451"/>
      <c r="L3" s="451"/>
      <c r="M3" s="451"/>
    </row>
    <row r="4" spans="2:13" x14ac:dyDescent="0.25">
      <c r="B4" s="451"/>
      <c r="C4" s="451"/>
      <c r="D4" s="451"/>
      <c r="E4" s="451"/>
      <c r="F4" s="451"/>
      <c r="G4" s="451"/>
      <c r="H4" s="451"/>
      <c r="I4" s="451"/>
      <c r="J4" s="451"/>
      <c r="K4" s="451"/>
      <c r="L4" s="451"/>
      <c r="M4" s="451"/>
    </row>
    <row r="5" spans="2:13" x14ac:dyDescent="0.25">
      <c r="B5" s="451"/>
      <c r="C5" s="451"/>
      <c r="D5" s="451"/>
      <c r="E5" s="451"/>
      <c r="F5" s="451"/>
      <c r="G5" s="451"/>
      <c r="H5" s="451"/>
      <c r="I5" s="451"/>
      <c r="J5" s="451"/>
      <c r="K5" s="451"/>
      <c r="L5" s="451"/>
      <c r="M5" s="451"/>
    </row>
    <row r="6" spans="2:13" ht="15.75" x14ac:dyDescent="0.25">
      <c r="B6" s="262"/>
      <c r="C6" s="262"/>
      <c r="D6" s="262"/>
      <c r="E6" s="262"/>
      <c r="F6" s="262"/>
      <c r="G6" s="262"/>
      <c r="H6" s="262"/>
      <c r="I6" s="262"/>
      <c r="J6" s="262"/>
      <c r="K6" s="262"/>
      <c r="L6" s="262"/>
      <c r="M6" s="262"/>
    </row>
    <row r="8" spans="2:13" ht="15.75" thickBot="1" x14ac:dyDescent="0.3"/>
    <row r="9" spans="2:13" ht="21.75" thickBot="1" x14ac:dyDescent="0.4">
      <c r="B9" s="459" t="s">
        <v>850</v>
      </c>
      <c r="C9" s="460"/>
      <c r="D9" s="460"/>
      <c r="E9" s="460"/>
      <c r="F9" s="460"/>
      <c r="G9" s="460"/>
      <c r="H9" s="460"/>
      <c r="I9" s="460"/>
      <c r="J9" s="460"/>
      <c r="K9" s="460"/>
      <c r="L9" s="460"/>
      <c r="M9" s="461"/>
    </row>
    <row r="10" spans="2:13" ht="15.75" x14ac:dyDescent="0.25">
      <c r="B10" s="456" t="s">
        <v>894</v>
      </c>
      <c r="C10" s="456"/>
      <c r="D10" s="456"/>
      <c r="E10" s="456"/>
      <c r="F10" s="456"/>
      <c r="G10" s="456"/>
      <c r="H10" s="456"/>
      <c r="I10" s="456"/>
      <c r="J10" s="456"/>
      <c r="K10" s="456"/>
      <c r="L10" s="456"/>
      <c r="M10" s="456"/>
    </row>
    <row r="11" spans="2:13" x14ac:dyDescent="0.25">
      <c r="B11" s="452"/>
      <c r="C11" s="452"/>
      <c r="D11" s="452"/>
      <c r="E11" s="452"/>
      <c r="F11" s="452"/>
      <c r="G11" s="452"/>
      <c r="H11" s="452"/>
      <c r="I11" s="452"/>
      <c r="J11" s="452"/>
      <c r="K11" s="452"/>
      <c r="L11" s="452"/>
      <c r="M11" s="452"/>
    </row>
    <row r="12" spans="2:13" ht="18.75" x14ac:dyDescent="0.3">
      <c r="B12" s="458" t="s">
        <v>835</v>
      </c>
      <c r="C12" s="458"/>
      <c r="D12" s="458"/>
      <c r="E12" s="458"/>
      <c r="F12" s="458"/>
      <c r="G12" s="458"/>
      <c r="H12" s="458"/>
      <c r="I12" s="458"/>
      <c r="J12" s="458"/>
      <c r="K12" s="458"/>
      <c r="L12" s="458"/>
      <c r="M12" s="458"/>
    </row>
    <row r="13" spans="2:13" x14ac:dyDescent="0.25">
      <c r="B13" s="449" t="s">
        <v>846</v>
      </c>
      <c r="C13" s="449"/>
      <c r="D13" s="449"/>
      <c r="E13" s="449"/>
      <c r="F13" s="449"/>
      <c r="G13" s="449"/>
      <c r="H13" s="449"/>
      <c r="I13" s="449"/>
      <c r="J13" s="449"/>
      <c r="K13" s="449"/>
      <c r="L13" s="449"/>
      <c r="M13" s="449"/>
    </row>
    <row r="14" spans="2:13" x14ac:dyDescent="0.25">
      <c r="B14" s="449" t="s">
        <v>847</v>
      </c>
      <c r="C14" s="449"/>
      <c r="D14" s="449"/>
      <c r="E14" s="449"/>
      <c r="F14" s="449"/>
      <c r="G14" s="449"/>
      <c r="H14" s="449"/>
      <c r="I14" s="449"/>
      <c r="J14" s="449"/>
      <c r="K14" s="449"/>
      <c r="L14" s="449"/>
      <c r="M14" s="449"/>
    </row>
    <row r="15" spans="2:13" x14ac:dyDescent="0.25">
      <c r="B15" s="449" t="s">
        <v>844</v>
      </c>
      <c r="C15" s="449"/>
      <c r="D15" s="449"/>
      <c r="E15" s="449"/>
      <c r="F15" s="449"/>
      <c r="G15" s="449"/>
      <c r="H15" s="449"/>
      <c r="I15" s="449"/>
      <c r="J15" s="449"/>
      <c r="K15" s="449"/>
      <c r="L15" s="449"/>
      <c r="M15" s="449"/>
    </row>
    <row r="16" spans="2:13" ht="18.75" x14ac:dyDescent="0.3">
      <c r="B16" s="458" t="s">
        <v>842</v>
      </c>
      <c r="C16" s="458"/>
      <c r="D16" s="458"/>
      <c r="E16" s="458"/>
      <c r="F16" s="458"/>
      <c r="G16" s="458"/>
      <c r="H16" s="458"/>
      <c r="I16" s="458"/>
      <c r="J16" s="458"/>
      <c r="K16" s="458"/>
      <c r="L16" s="458"/>
      <c r="M16" s="458"/>
    </row>
    <row r="17" spans="2:13" x14ac:dyDescent="0.25">
      <c r="B17" s="449" t="s">
        <v>846</v>
      </c>
      <c r="C17" s="449"/>
      <c r="D17" s="449"/>
      <c r="E17" s="449"/>
      <c r="F17" s="449"/>
      <c r="G17" s="449"/>
      <c r="H17" s="449"/>
      <c r="I17" s="449"/>
      <c r="J17" s="449"/>
      <c r="K17" s="449"/>
      <c r="L17" s="449"/>
      <c r="M17" s="449"/>
    </row>
    <row r="18" spans="2:13" x14ac:dyDescent="0.25">
      <c r="B18" s="449" t="s">
        <v>847</v>
      </c>
      <c r="C18" s="449"/>
      <c r="D18" s="449"/>
      <c r="E18" s="449"/>
      <c r="F18" s="449"/>
      <c r="G18" s="449"/>
      <c r="H18" s="449"/>
      <c r="I18" s="449"/>
      <c r="J18" s="449"/>
      <c r="K18" s="449"/>
      <c r="L18" s="449"/>
      <c r="M18" s="449"/>
    </row>
    <row r="19" spans="2:13" x14ac:dyDescent="0.25">
      <c r="B19" s="449" t="s">
        <v>782</v>
      </c>
      <c r="C19" s="449"/>
      <c r="D19" s="449"/>
      <c r="E19" s="449"/>
      <c r="F19" s="449"/>
      <c r="G19" s="449"/>
      <c r="H19" s="449"/>
      <c r="I19" s="449"/>
      <c r="J19" s="449"/>
      <c r="K19" s="449"/>
      <c r="L19" s="449"/>
      <c r="M19" s="449"/>
    </row>
    <row r="20" spans="2:13" ht="18.75" x14ac:dyDescent="0.3">
      <c r="B20" s="458" t="s">
        <v>843</v>
      </c>
      <c r="C20" s="458"/>
      <c r="D20" s="458"/>
      <c r="E20" s="458"/>
      <c r="F20" s="458"/>
      <c r="G20" s="458"/>
      <c r="H20" s="458"/>
      <c r="I20" s="458"/>
      <c r="J20" s="458"/>
      <c r="K20" s="458"/>
      <c r="L20" s="458"/>
      <c r="M20" s="458"/>
    </row>
    <row r="21" spans="2:13" x14ac:dyDescent="0.25">
      <c r="B21" s="449" t="s">
        <v>846</v>
      </c>
      <c r="C21" s="449"/>
      <c r="D21" s="449"/>
      <c r="E21" s="449"/>
      <c r="F21" s="449"/>
      <c r="G21" s="449"/>
      <c r="H21" s="449"/>
      <c r="I21" s="449"/>
      <c r="J21" s="449"/>
      <c r="K21" s="449"/>
      <c r="L21" s="449"/>
      <c r="M21" s="449"/>
    </row>
    <row r="22" spans="2:13" x14ac:dyDescent="0.25">
      <c r="B22" s="449" t="s">
        <v>847</v>
      </c>
      <c r="C22" s="449"/>
      <c r="D22" s="449"/>
      <c r="E22" s="449"/>
      <c r="F22" s="449"/>
      <c r="G22" s="449"/>
      <c r="H22" s="449"/>
      <c r="I22" s="449"/>
      <c r="J22" s="449"/>
      <c r="K22" s="449"/>
      <c r="L22" s="449"/>
      <c r="M22" s="449"/>
    </row>
    <row r="23" spans="2:13" x14ac:dyDescent="0.25">
      <c r="B23" s="449" t="s">
        <v>782</v>
      </c>
      <c r="C23" s="449"/>
      <c r="D23" s="449"/>
      <c r="E23" s="449"/>
      <c r="F23" s="449"/>
      <c r="G23" s="449"/>
      <c r="H23" s="449"/>
      <c r="I23" s="449"/>
      <c r="J23" s="449"/>
      <c r="K23" s="449"/>
      <c r="L23" s="449"/>
      <c r="M23" s="449"/>
    </row>
    <row r="24" spans="2:13" ht="18.75" x14ac:dyDescent="0.3">
      <c r="B24" s="458" t="s">
        <v>839</v>
      </c>
      <c r="C24" s="458"/>
      <c r="D24" s="458"/>
      <c r="E24" s="458"/>
      <c r="F24" s="458"/>
      <c r="G24" s="458"/>
      <c r="H24" s="458"/>
      <c r="I24" s="458"/>
      <c r="J24" s="458"/>
      <c r="K24" s="458"/>
      <c r="L24" s="458"/>
      <c r="M24" s="458"/>
    </row>
    <row r="25" spans="2:13" x14ac:dyDescent="0.25">
      <c r="B25" s="449" t="s">
        <v>846</v>
      </c>
      <c r="C25" s="449"/>
      <c r="D25" s="449"/>
      <c r="E25" s="449"/>
      <c r="F25" s="449"/>
      <c r="G25" s="449"/>
      <c r="H25" s="449"/>
      <c r="I25" s="449"/>
      <c r="J25" s="449"/>
      <c r="K25" s="449"/>
      <c r="L25" s="449"/>
      <c r="M25" s="449"/>
    </row>
    <row r="26" spans="2:13" x14ac:dyDescent="0.25">
      <c r="B26" s="449" t="s">
        <v>847</v>
      </c>
      <c r="C26" s="449"/>
      <c r="D26" s="449"/>
      <c r="E26" s="449"/>
      <c r="F26" s="449"/>
      <c r="G26" s="449"/>
      <c r="H26" s="449"/>
      <c r="I26" s="449"/>
      <c r="J26" s="449"/>
      <c r="K26" s="449"/>
      <c r="L26" s="449"/>
      <c r="M26" s="449"/>
    </row>
    <row r="27" spans="2:13" x14ac:dyDescent="0.25">
      <c r="B27" s="449" t="s">
        <v>782</v>
      </c>
      <c r="C27" s="449"/>
      <c r="D27" s="449"/>
      <c r="E27" s="449"/>
      <c r="F27" s="449"/>
      <c r="G27" s="449"/>
      <c r="H27" s="449"/>
      <c r="I27" s="449"/>
      <c r="J27" s="449"/>
      <c r="K27" s="449"/>
      <c r="L27" s="449"/>
      <c r="M27" s="449"/>
    </row>
    <row r="28" spans="2:13" ht="18.75" x14ac:dyDescent="0.3">
      <c r="B28" s="458" t="s">
        <v>840</v>
      </c>
      <c r="C28" s="458"/>
      <c r="D28" s="458"/>
      <c r="E28" s="458"/>
      <c r="F28" s="458"/>
      <c r="G28" s="458"/>
      <c r="H28" s="458"/>
      <c r="I28" s="458"/>
      <c r="J28" s="458"/>
      <c r="K28" s="458"/>
      <c r="L28" s="458"/>
      <c r="M28" s="458"/>
    </row>
    <row r="29" spans="2:13" x14ac:dyDescent="0.25">
      <c r="B29" s="449" t="s">
        <v>846</v>
      </c>
      <c r="C29" s="449"/>
      <c r="D29" s="449"/>
      <c r="E29" s="449"/>
      <c r="F29" s="449"/>
      <c r="G29" s="449"/>
      <c r="H29" s="449"/>
      <c r="I29" s="449"/>
      <c r="J29" s="449"/>
      <c r="K29" s="449"/>
      <c r="L29" s="449"/>
      <c r="M29" s="449"/>
    </row>
    <row r="30" spans="2:13" x14ac:dyDescent="0.25">
      <c r="B30" s="449" t="s">
        <v>847</v>
      </c>
      <c r="C30" s="449"/>
      <c r="D30" s="449"/>
      <c r="E30" s="449"/>
      <c r="F30" s="449"/>
      <c r="G30" s="449"/>
      <c r="H30" s="449"/>
      <c r="I30" s="449"/>
      <c r="J30" s="449"/>
      <c r="K30" s="449"/>
      <c r="L30" s="449"/>
      <c r="M30" s="449"/>
    </row>
    <row r="31" spans="2:13" x14ac:dyDescent="0.25">
      <c r="B31" s="449" t="s">
        <v>782</v>
      </c>
      <c r="C31" s="449"/>
      <c r="D31" s="449"/>
      <c r="E31" s="449"/>
      <c r="F31" s="449"/>
      <c r="G31" s="449"/>
      <c r="H31" s="449"/>
      <c r="I31" s="449"/>
      <c r="J31" s="449"/>
      <c r="K31" s="449"/>
      <c r="L31" s="449"/>
      <c r="M31" s="449"/>
    </row>
  </sheetData>
  <mergeCells count="24">
    <mergeCell ref="B25:M25"/>
    <mergeCell ref="B26:M26"/>
    <mergeCell ref="B27:M27"/>
    <mergeCell ref="B1:M5"/>
    <mergeCell ref="B9:M9"/>
    <mergeCell ref="B10:M10"/>
    <mergeCell ref="B11:M11"/>
    <mergeCell ref="B12:M12"/>
    <mergeCell ref="B29:M29"/>
    <mergeCell ref="B30:M30"/>
    <mergeCell ref="B31:M31"/>
    <mergeCell ref="B13:M13"/>
    <mergeCell ref="B14:M14"/>
    <mergeCell ref="B15:M15"/>
    <mergeCell ref="B17:M17"/>
    <mergeCell ref="B18:M18"/>
    <mergeCell ref="B19:M19"/>
    <mergeCell ref="B21:M21"/>
    <mergeCell ref="B22:M22"/>
    <mergeCell ref="B16:M16"/>
    <mergeCell ref="B20:M20"/>
    <mergeCell ref="B24:M24"/>
    <mergeCell ref="B28:M28"/>
    <mergeCell ref="B23:M23"/>
  </mergeCells>
  <hyperlinks>
    <hyperlink ref="B12:M12" location="'1.1'!A1" display="1. Total de beneficios pagados del Pilar No Contributivo" xr:uid="{BAB42535-16D8-4990-8B62-6090B5DEF07E}"/>
    <hyperlink ref="B13:M13" location="'1.1'!B4" display="i. Resumen trimestral de beneficios pagados en T4 2022, por tipo y sexo" xr:uid="{939D757F-ED37-4A79-8A78-4C07BA53B3F9}"/>
    <hyperlink ref="B14:M14" location="'1.1'!B37" display="ii. Resumen anual de beneficios pagados en 2022, por tipo y sexo" xr:uid="{81BAE0A6-2F3E-41C0-97B2-B24102FD4D69}"/>
    <hyperlink ref="B15:M15" location="'1.1'!B54" display="iii. Serie resumen de pagos de beneficios acumulados, por tipo" xr:uid="{4416ACD0-07EF-4B32-9C09-02DF791B60CD}"/>
    <hyperlink ref="B16:M16" location="'1.2'!A1" display="2. Pagos Pensión Básica Solidaria (PBS)" xr:uid="{51FC3DB7-86FF-4522-895D-99D4E394B2A9}"/>
    <hyperlink ref="B17:M17" location="'1.2'!B4" display="i. Resumen trimestral de beneficios pagados en T4 2022, por tipo y sexo" xr:uid="{E8BCF4CA-B895-49A3-B328-7938D3865F6F}"/>
    <hyperlink ref="B18:M18" location="'1.2'!B22" display="ii. Resumen anual de beneficios pagados en 2022, por tipo y sexo" xr:uid="{E92D2D16-7389-4595-8BE7-E20B3D339364}"/>
    <hyperlink ref="B19:M19" location="'1.2'!B34" display="iii. Serie resumen de pagos de beneficios acumulado, por tipo y sexo" xr:uid="{7680E28C-D722-48B1-9550-F3E16A3B6636}"/>
    <hyperlink ref="B21:M21" location="'1.3'!B5" display="i. Resumen trimestral de beneficios pagados en T4 2022, por tipo y sexo" xr:uid="{6A2E5246-7F24-498C-8BEF-B3B067C95F2F}"/>
    <hyperlink ref="B22:M22" location="'1.3'!B24" display="ii. Resumen anual de beneficios pagados en 2022, por tipo y sexo" xr:uid="{E133E38B-29F4-4E1D-9156-034DF579EF53}"/>
    <hyperlink ref="B23:M23" location="'1.3'!B36" display="iii. Serie resumen de pagos de beneficios acumulado, por tipo y sexo" xr:uid="{963311E5-746D-48DE-9BCF-F24F66DACF67}"/>
    <hyperlink ref="B24:M24" location="'1.4'!A1" display="4. Pagos Aporte Previsional Solidario (APS)" xr:uid="{4F3EE4F0-097B-4F98-BE99-854A7C4AF112}"/>
    <hyperlink ref="B25:M25" location="'1.4'!B4" display="i. Resumen trimestral de beneficios pagados en T4 2022, por tipo y sexo" xr:uid="{8A2BB148-983C-403C-9CD3-1C9567AD26B3}"/>
    <hyperlink ref="B26:M26" location="'1.4'!B22" display="ii. Resumen anual de beneficios pagados en 2022, por tipo y sexo" xr:uid="{2A829A14-5877-431F-BD07-DD8255C5B846}"/>
    <hyperlink ref="B27:M27" location="'1.4'!B34" display="iii. Serie resumen de pagos de beneficios acumulado, por tipo y sexo" xr:uid="{902E32BA-2722-4009-8445-6CDF4EC0CCB0}"/>
    <hyperlink ref="B28:M28" location="'1.5'!A1" display="5. Pagos Beneficio del artículo 9° bis (Nbis)" xr:uid="{1A19CFD6-B11A-444D-8FDA-B7AEB0199C45}"/>
    <hyperlink ref="B29:M29" location="'1.5'!B5" display="i. Resumen trimestral de beneficios pagados en T4 2022, por tipo y sexo" xr:uid="{365B6BD7-D1EB-48A3-B61D-F77965B8EA69}"/>
    <hyperlink ref="B30:M30" location="'1.5'!B11" display="ii. Resumen anual de beneficios pagados en 2022, por tipo y sexo" xr:uid="{C7346946-2D3F-4CA9-AB12-8899EB9B615A}"/>
    <hyperlink ref="B31:M31" location="'1.5'!B23" display="iii. Serie resumen de pagos de beneficios acumulado, por tipo y sexo" xr:uid="{F4241E59-279C-42C4-A638-8AD21C1EDF7D}"/>
    <hyperlink ref="B20:M20" location="'1.3'!A1" display="3. Pagos Pensión Garantizada Universal (PGU)" xr:uid="{AB45694A-099D-496B-A977-F2310A9E6E34}"/>
  </hyperlinks>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82B76-0C07-43C8-BB79-F88403A93CA1}">
  <sheetPr>
    <tabColor theme="9"/>
  </sheetPr>
  <dimension ref="A1:E119"/>
  <sheetViews>
    <sheetView workbookViewId="0"/>
  </sheetViews>
  <sheetFormatPr baseColWidth="10" defaultRowHeight="15" x14ac:dyDescent="0.25"/>
  <cols>
    <col min="1" max="1" width="17.5703125" bestFit="1" customWidth="1"/>
    <col min="2" max="2" width="32.7109375" bestFit="1" customWidth="1"/>
    <col min="3" max="3" width="34.28515625" bestFit="1" customWidth="1"/>
    <col min="4" max="4" width="31.140625" bestFit="1" customWidth="1"/>
    <col min="5" max="5" width="32.85546875" bestFit="1" customWidth="1"/>
  </cols>
  <sheetData>
    <row r="1" spans="1:2" x14ac:dyDescent="0.25">
      <c r="A1" s="226" t="s">
        <v>11</v>
      </c>
      <c r="B1" t="s">
        <v>621</v>
      </c>
    </row>
    <row r="3" spans="1:2" x14ac:dyDescent="0.25">
      <c r="A3" s="226" t="s">
        <v>564</v>
      </c>
    </row>
    <row r="4" spans="1:2" x14ac:dyDescent="0.25">
      <c r="A4" s="227" t="s">
        <v>605</v>
      </c>
    </row>
    <row r="5" spans="1:2" x14ac:dyDescent="0.25">
      <c r="A5" s="231" t="s">
        <v>716</v>
      </c>
      <c r="B5">
        <v>322141</v>
      </c>
    </row>
    <row r="6" spans="1:2" x14ac:dyDescent="0.25">
      <c r="A6" s="231" t="s">
        <v>717</v>
      </c>
      <c r="B6">
        <v>109963</v>
      </c>
    </row>
    <row r="7" spans="1:2" x14ac:dyDescent="0.25">
      <c r="A7" s="231" t="s">
        <v>718</v>
      </c>
      <c r="B7">
        <v>686334</v>
      </c>
    </row>
    <row r="8" spans="1:2" x14ac:dyDescent="0.25">
      <c r="A8" s="231" t="s">
        <v>719</v>
      </c>
      <c r="B8">
        <v>563950</v>
      </c>
    </row>
    <row r="9" spans="1:2" x14ac:dyDescent="0.25">
      <c r="A9" s="227" t="s">
        <v>606</v>
      </c>
    </row>
    <row r="10" spans="1:2" x14ac:dyDescent="0.25">
      <c r="A10" s="231" t="s">
        <v>716</v>
      </c>
      <c r="B10">
        <v>327443</v>
      </c>
    </row>
    <row r="11" spans="1:2" x14ac:dyDescent="0.25">
      <c r="A11" s="231" t="s">
        <v>717</v>
      </c>
      <c r="B11">
        <v>121585</v>
      </c>
    </row>
    <row r="12" spans="1:2" x14ac:dyDescent="0.25">
      <c r="A12" s="231" t="s">
        <v>718</v>
      </c>
      <c r="B12">
        <v>704099</v>
      </c>
    </row>
    <row r="13" spans="1:2" x14ac:dyDescent="0.25">
      <c r="A13" s="231" t="s">
        <v>719</v>
      </c>
      <c r="B13">
        <v>584193</v>
      </c>
    </row>
    <row r="14" spans="1:2" x14ac:dyDescent="0.25">
      <c r="A14" s="227" t="s">
        <v>607</v>
      </c>
    </row>
    <row r="15" spans="1:2" x14ac:dyDescent="0.25">
      <c r="A15" s="231" t="s">
        <v>716</v>
      </c>
      <c r="B15">
        <v>329180</v>
      </c>
    </row>
    <row r="16" spans="1:2" x14ac:dyDescent="0.25">
      <c r="A16" s="231" t="s">
        <v>717</v>
      </c>
      <c r="B16">
        <v>125728</v>
      </c>
    </row>
    <row r="17" spans="1:2" x14ac:dyDescent="0.25">
      <c r="A17" s="231" t="s">
        <v>718</v>
      </c>
      <c r="B17">
        <v>717919</v>
      </c>
    </row>
    <row r="18" spans="1:2" x14ac:dyDescent="0.25">
      <c r="A18" s="231" t="s">
        <v>719</v>
      </c>
      <c r="B18">
        <v>594890</v>
      </c>
    </row>
    <row r="22" spans="1:2" x14ac:dyDescent="0.25">
      <c r="A22" s="226" t="s">
        <v>11</v>
      </c>
      <c r="B22" t="s">
        <v>621</v>
      </c>
    </row>
    <row r="24" spans="1:2" x14ac:dyDescent="0.25">
      <c r="A24" s="226" t="s">
        <v>564</v>
      </c>
    </row>
    <row r="25" spans="1:2" x14ac:dyDescent="0.25">
      <c r="A25" s="227" t="s">
        <v>605</v>
      </c>
    </row>
    <row r="26" spans="1:2" x14ac:dyDescent="0.25">
      <c r="A26" s="231" t="s">
        <v>720</v>
      </c>
      <c r="B26" s="228">
        <v>62098939.511</v>
      </c>
    </row>
    <row r="27" spans="1:2" x14ac:dyDescent="0.25">
      <c r="A27" s="231" t="s">
        <v>721</v>
      </c>
      <c r="B27" s="228">
        <v>21312758.105999999</v>
      </c>
    </row>
    <row r="28" spans="1:2" x14ac:dyDescent="0.25">
      <c r="A28" s="231" t="s">
        <v>722</v>
      </c>
      <c r="B28" s="228">
        <v>131986560.543</v>
      </c>
    </row>
    <row r="29" spans="1:2" x14ac:dyDescent="0.25">
      <c r="A29" s="231" t="s">
        <v>723</v>
      </c>
      <c r="B29" s="228">
        <v>108014882.678</v>
      </c>
    </row>
    <row r="30" spans="1:2" x14ac:dyDescent="0.25">
      <c r="A30" s="227" t="s">
        <v>606</v>
      </c>
      <c r="B30" s="228"/>
    </row>
    <row r="31" spans="1:2" x14ac:dyDescent="0.25">
      <c r="A31" s="231" t="s">
        <v>720</v>
      </c>
      <c r="B31" s="228">
        <v>63080932.634000003</v>
      </c>
    </row>
    <row r="32" spans="1:2" x14ac:dyDescent="0.25">
      <c r="A32" s="231" t="s">
        <v>721</v>
      </c>
      <c r="B32" s="228">
        <v>23564397.059999999</v>
      </c>
    </row>
    <row r="33" spans="1:2" x14ac:dyDescent="0.25">
      <c r="A33" s="231" t="s">
        <v>722</v>
      </c>
      <c r="B33" s="228">
        <v>135236238.01499999</v>
      </c>
    </row>
    <row r="34" spans="1:2" x14ac:dyDescent="0.25">
      <c r="A34" s="231" t="s">
        <v>723</v>
      </c>
      <c r="B34" s="228">
        <v>111537201.04000001</v>
      </c>
    </row>
    <row r="35" spans="1:2" x14ac:dyDescent="0.25">
      <c r="A35" s="227" t="s">
        <v>607</v>
      </c>
      <c r="B35" s="228"/>
    </row>
    <row r="36" spans="1:2" x14ac:dyDescent="0.25">
      <c r="A36" s="231" t="s">
        <v>720</v>
      </c>
      <c r="B36" s="228">
        <v>63417031.792999998</v>
      </c>
    </row>
    <row r="37" spans="1:2" x14ac:dyDescent="0.25">
      <c r="A37" s="231" t="s">
        <v>721</v>
      </c>
      <c r="B37" s="228">
        <v>24368202.673</v>
      </c>
    </row>
    <row r="38" spans="1:2" x14ac:dyDescent="0.25">
      <c r="A38" s="231" t="s">
        <v>722</v>
      </c>
      <c r="B38" s="228">
        <v>137636217.15900001</v>
      </c>
    </row>
    <row r="39" spans="1:2" x14ac:dyDescent="0.25">
      <c r="A39" s="231" t="s">
        <v>723</v>
      </c>
      <c r="B39" s="228">
        <v>113286938.10600001</v>
      </c>
    </row>
    <row r="43" spans="1:2" x14ac:dyDescent="0.25">
      <c r="A43" s="226" t="s">
        <v>11</v>
      </c>
      <c r="B43" t="s">
        <v>621</v>
      </c>
    </row>
    <row r="45" spans="1:2" x14ac:dyDescent="0.25">
      <c r="A45" s="226" t="s">
        <v>564</v>
      </c>
    </row>
    <row r="46" spans="1:2" x14ac:dyDescent="0.25">
      <c r="A46" s="227" t="s">
        <v>605</v>
      </c>
    </row>
    <row r="47" spans="1:2" x14ac:dyDescent="0.25">
      <c r="A47" s="231" t="s">
        <v>724</v>
      </c>
      <c r="B47" s="228">
        <v>61325232.307267956</v>
      </c>
    </row>
    <row r="48" spans="1:2" x14ac:dyDescent="0.25">
      <c r="A48" s="231" t="s">
        <v>725</v>
      </c>
      <c r="B48" s="228">
        <v>21047216.784234114</v>
      </c>
    </row>
    <row r="49" spans="1:2" x14ac:dyDescent="0.25">
      <c r="A49" s="231" t="s">
        <v>726</v>
      </c>
      <c r="B49" s="228">
        <v>130342104.88092148</v>
      </c>
    </row>
    <row r="50" spans="1:2" x14ac:dyDescent="0.25">
      <c r="A50" s="231" t="s">
        <v>727</v>
      </c>
      <c r="B50" s="228">
        <v>106669096.52615377</v>
      </c>
    </row>
    <row r="51" spans="1:2" x14ac:dyDescent="0.25">
      <c r="A51" s="227" t="s">
        <v>606</v>
      </c>
      <c r="B51" s="228"/>
    </row>
    <row r="52" spans="1:2" x14ac:dyDescent="0.25">
      <c r="A52" s="231" t="s">
        <v>724</v>
      </c>
      <c r="B52" s="228">
        <v>62902519.333161265</v>
      </c>
    </row>
    <row r="53" spans="1:2" x14ac:dyDescent="0.25">
      <c r="A53" s="231" t="s">
        <v>725</v>
      </c>
      <c r="B53" s="228">
        <v>23497749.315805372</v>
      </c>
    </row>
    <row r="54" spans="1:2" x14ac:dyDescent="0.25">
      <c r="A54" s="231" t="s">
        <v>726</v>
      </c>
      <c r="B54" s="228">
        <v>134853746.14923665</v>
      </c>
    </row>
    <row r="55" spans="1:2" x14ac:dyDescent="0.25">
      <c r="A55" s="231" t="s">
        <v>727</v>
      </c>
      <c r="B55" s="228">
        <v>111221737.72370252</v>
      </c>
    </row>
    <row r="56" spans="1:2" x14ac:dyDescent="0.25">
      <c r="A56" s="227" t="s">
        <v>607</v>
      </c>
      <c r="B56" s="228"/>
    </row>
    <row r="57" spans="1:2" x14ac:dyDescent="0.25">
      <c r="A57" s="231" t="s">
        <v>724</v>
      </c>
      <c r="B57" s="228">
        <v>63417031.792999998</v>
      </c>
    </row>
    <row r="58" spans="1:2" x14ac:dyDescent="0.25">
      <c r="A58" s="231" t="s">
        <v>725</v>
      </c>
      <c r="B58" s="228">
        <v>24368202.673</v>
      </c>
    </row>
    <row r="59" spans="1:2" x14ac:dyDescent="0.25">
      <c r="A59" s="231" t="s">
        <v>726</v>
      </c>
      <c r="B59" s="228">
        <v>137636217.15900001</v>
      </c>
    </row>
    <row r="60" spans="1:2" x14ac:dyDescent="0.25">
      <c r="A60" s="231" t="s">
        <v>727</v>
      </c>
      <c r="B60" s="228">
        <v>113286938.10600001</v>
      </c>
    </row>
    <row r="67" spans="1:5" x14ac:dyDescent="0.25">
      <c r="A67" s="226" t="s">
        <v>728</v>
      </c>
      <c r="D67" s="226" t="s">
        <v>728</v>
      </c>
    </row>
    <row r="68" spans="1:5" x14ac:dyDescent="0.25">
      <c r="A68" s="227" t="s">
        <v>730</v>
      </c>
      <c r="B68" s="228">
        <v>319227.81818181818</v>
      </c>
      <c r="D68" s="227" t="s">
        <v>734</v>
      </c>
      <c r="E68" s="228">
        <v>626988.27272727271</v>
      </c>
    </row>
    <row r="69" spans="1:5" x14ac:dyDescent="0.25">
      <c r="A69" s="227" t="s">
        <v>716</v>
      </c>
      <c r="B69" s="228">
        <v>3511506</v>
      </c>
      <c r="D69" s="227" t="s">
        <v>732</v>
      </c>
      <c r="E69" s="228">
        <v>6896871</v>
      </c>
    </row>
    <row r="70" spans="1:5" x14ac:dyDescent="0.25">
      <c r="A70" s="227" t="s">
        <v>731</v>
      </c>
      <c r="B70" s="228">
        <v>111460.54545454546</v>
      </c>
      <c r="D70" s="227" t="s">
        <v>735</v>
      </c>
      <c r="E70" s="228">
        <v>488475.90909090912</v>
      </c>
    </row>
    <row r="71" spans="1:5" x14ac:dyDescent="0.25">
      <c r="A71" s="227" t="s">
        <v>729</v>
      </c>
      <c r="B71" s="228">
        <v>1226066</v>
      </c>
      <c r="D71" s="227" t="s">
        <v>733</v>
      </c>
      <c r="E71" s="228">
        <v>5373235</v>
      </c>
    </row>
    <row r="76" spans="1:5" x14ac:dyDescent="0.25">
      <c r="A76" s="226" t="s">
        <v>728</v>
      </c>
      <c r="D76" s="226" t="s">
        <v>728</v>
      </c>
    </row>
    <row r="77" spans="1:5" x14ac:dyDescent="0.25">
      <c r="A77" s="227" t="s">
        <v>738</v>
      </c>
      <c r="B77" s="228">
        <v>60323651.838181823</v>
      </c>
      <c r="D77" s="227" t="s">
        <v>742</v>
      </c>
      <c r="E77" s="228">
        <v>117640304.71290909</v>
      </c>
    </row>
    <row r="78" spans="1:5" x14ac:dyDescent="0.25">
      <c r="A78" s="227" t="s">
        <v>736</v>
      </c>
      <c r="B78" s="228">
        <v>663560170.22000003</v>
      </c>
      <c r="D78" s="227" t="s">
        <v>740</v>
      </c>
      <c r="E78" s="228">
        <v>1294043351.842</v>
      </c>
    </row>
    <row r="79" spans="1:5" x14ac:dyDescent="0.25">
      <c r="A79" s="227" t="s">
        <v>739</v>
      </c>
      <c r="B79" s="228">
        <v>21167797.947545454</v>
      </c>
      <c r="D79" s="227" t="s">
        <v>743</v>
      </c>
      <c r="E79" s="228">
        <v>91979552.724818185</v>
      </c>
    </row>
    <row r="80" spans="1:5" x14ac:dyDescent="0.25">
      <c r="A80" s="227" t="s">
        <v>737</v>
      </c>
      <c r="B80" s="228">
        <v>232845777.42300001</v>
      </c>
      <c r="D80" s="227" t="s">
        <v>741</v>
      </c>
      <c r="E80" s="228">
        <v>1011775079.973</v>
      </c>
    </row>
    <row r="84" spans="1:5" x14ac:dyDescent="0.25">
      <c r="A84" s="226" t="s">
        <v>728</v>
      </c>
      <c r="D84" s="226" t="s">
        <v>728</v>
      </c>
    </row>
    <row r="85" spans="1:5" x14ac:dyDescent="0.25">
      <c r="A85" s="227" t="s">
        <v>746</v>
      </c>
      <c r="B85" s="228">
        <v>57868225.186836265</v>
      </c>
      <c r="D85" s="227" t="s">
        <v>750</v>
      </c>
      <c r="E85" s="228">
        <v>113231615.65594667</v>
      </c>
    </row>
    <row r="86" spans="1:5" x14ac:dyDescent="0.25">
      <c r="A86" s="227" t="s">
        <v>744</v>
      </c>
      <c r="B86" s="228">
        <v>636550477.05519891</v>
      </c>
      <c r="D86" s="227" t="s">
        <v>748</v>
      </c>
      <c r="E86" s="228">
        <v>1245547772.2154133</v>
      </c>
    </row>
    <row r="87" spans="1:5" x14ac:dyDescent="0.25">
      <c r="A87" s="227" t="s">
        <v>747</v>
      </c>
      <c r="B87" s="228">
        <v>20321992.323435444</v>
      </c>
      <c r="D87" s="227" t="s">
        <v>751</v>
      </c>
      <c r="E87" s="228">
        <v>88711833.569766387</v>
      </c>
    </row>
    <row r="88" spans="1:5" x14ac:dyDescent="0.25">
      <c r="A88" s="227" t="s">
        <v>745</v>
      </c>
      <c r="B88" s="228">
        <v>223541915.55778989</v>
      </c>
      <c r="D88" s="227" t="s">
        <v>749</v>
      </c>
      <c r="E88" s="228">
        <v>975830169.26743031</v>
      </c>
    </row>
    <row r="93" spans="1:5" x14ac:dyDescent="0.25">
      <c r="A93" s="226" t="s">
        <v>564</v>
      </c>
      <c r="B93" t="s">
        <v>716</v>
      </c>
      <c r="C93" t="s">
        <v>717</v>
      </c>
      <c r="D93" t="s">
        <v>718</v>
      </c>
      <c r="E93" t="s">
        <v>719</v>
      </c>
    </row>
    <row r="94" spans="1:5" x14ac:dyDescent="0.25">
      <c r="A94" s="227" t="s">
        <v>597</v>
      </c>
      <c r="B94" s="228">
        <v>309683</v>
      </c>
      <c r="C94" s="228">
        <v>106066</v>
      </c>
      <c r="D94" s="228">
        <v>517361</v>
      </c>
      <c r="E94" s="228">
        <v>340110</v>
      </c>
    </row>
    <row r="95" spans="1:5" x14ac:dyDescent="0.25">
      <c r="A95" s="227" t="s">
        <v>598</v>
      </c>
      <c r="B95" s="228">
        <v>312946</v>
      </c>
      <c r="C95" s="228">
        <v>107255</v>
      </c>
      <c r="D95" s="228">
        <v>536699</v>
      </c>
      <c r="E95" s="228">
        <v>361057</v>
      </c>
    </row>
    <row r="96" spans="1:5" x14ac:dyDescent="0.25">
      <c r="A96" s="227" t="s">
        <v>599</v>
      </c>
      <c r="B96" s="228">
        <v>314601</v>
      </c>
      <c r="C96" s="228">
        <v>107763</v>
      </c>
      <c r="D96" s="228">
        <v>552501</v>
      </c>
      <c r="E96" s="228">
        <v>374925</v>
      </c>
    </row>
    <row r="97" spans="1:5" x14ac:dyDescent="0.25">
      <c r="A97" s="227" t="s">
        <v>600</v>
      </c>
      <c r="B97" s="228">
        <v>316872</v>
      </c>
      <c r="C97" s="228">
        <v>108938</v>
      </c>
      <c r="D97" s="228">
        <v>605836</v>
      </c>
      <c r="E97" s="228">
        <v>477591</v>
      </c>
    </row>
    <row r="98" spans="1:5" x14ac:dyDescent="0.25">
      <c r="A98" s="227" t="s">
        <v>601</v>
      </c>
      <c r="B98" s="228">
        <v>317138</v>
      </c>
      <c r="C98" s="228">
        <v>109221</v>
      </c>
      <c r="D98" s="228">
        <v>615086</v>
      </c>
      <c r="E98" s="228">
        <v>487043</v>
      </c>
    </row>
    <row r="99" spans="1:5" x14ac:dyDescent="0.25">
      <c r="A99" s="227" t="s">
        <v>602</v>
      </c>
      <c r="B99" s="228">
        <v>317824</v>
      </c>
      <c r="C99" s="228">
        <v>109691</v>
      </c>
      <c r="D99" s="228">
        <v>621791</v>
      </c>
      <c r="E99" s="228">
        <v>498271</v>
      </c>
    </row>
    <row r="100" spans="1:5" x14ac:dyDescent="0.25">
      <c r="A100" s="227" t="s">
        <v>603</v>
      </c>
      <c r="B100" s="228">
        <v>322017</v>
      </c>
      <c r="C100" s="228">
        <v>110018</v>
      </c>
      <c r="D100" s="228">
        <v>660104</v>
      </c>
      <c r="E100" s="228">
        <v>538150</v>
      </c>
    </row>
    <row r="101" spans="1:5" x14ac:dyDescent="0.25">
      <c r="A101" s="227" t="s">
        <v>604</v>
      </c>
      <c r="B101" s="228">
        <v>321661</v>
      </c>
      <c r="C101" s="228">
        <v>109838</v>
      </c>
      <c r="D101" s="228">
        <v>679141</v>
      </c>
      <c r="E101" s="228">
        <v>553055</v>
      </c>
    </row>
    <row r="102" spans="1:5" x14ac:dyDescent="0.25">
      <c r="A102" s="227" t="s">
        <v>605</v>
      </c>
      <c r="B102" s="228">
        <v>322141</v>
      </c>
      <c r="C102" s="228">
        <v>109963</v>
      </c>
      <c r="D102" s="228">
        <v>686334</v>
      </c>
      <c r="E102" s="228">
        <v>563950</v>
      </c>
    </row>
    <row r="103" spans="1:5" x14ac:dyDescent="0.25">
      <c r="A103" s="227" t="s">
        <v>606</v>
      </c>
      <c r="B103" s="228">
        <v>327443</v>
      </c>
      <c r="C103" s="228">
        <v>121585</v>
      </c>
      <c r="D103" s="228">
        <v>704099</v>
      </c>
      <c r="E103" s="228">
        <v>584193</v>
      </c>
    </row>
    <row r="104" spans="1:5" x14ac:dyDescent="0.25">
      <c r="A104" s="227" t="s">
        <v>607</v>
      </c>
      <c r="B104" s="228">
        <v>329180</v>
      </c>
      <c r="C104" s="228">
        <v>125728</v>
      </c>
      <c r="D104" s="228">
        <v>717919</v>
      </c>
      <c r="E104" s="228">
        <v>594890</v>
      </c>
    </row>
    <row r="108" spans="1:5" x14ac:dyDescent="0.25">
      <c r="A108" s="226" t="s">
        <v>564</v>
      </c>
      <c r="B108" t="s">
        <v>746</v>
      </c>
      <c r="C108" t="s">
        <v>747</v>
      </c>
      <c r="D108" t="s">
        <v>750</v>
      </c>
      <c r="E108" t="s">
        <v>751</v>
      </c>
    </row>
    <row r="109" spans="1:5" x14ac:dyDescent="0.25">
      <c r="A109" s="227" t="s">
        <v>597</v>
      </c>
      <c r="B109" s="228">
        <v>51479972.012799807</v>
      </c>
      <c r="C109" s="228">
        <v>17653929.924414385</v>
      </c>
      <c r="D109" s="228">
        <v>76563175.748604089</v>
      </c>
      <c r="E109" s="228">
        <v>52468769.282160051</v>
      </c>
    </row>
    <row r="110" spans="1:5" x14ac:dyDescent="0.25">
      <c r="A110" s="227" t="s">
        <v>598</v>
      </c>
      <c r="B110" s="228">
        <v>52900839.868866049</v>
      </c>
      <c r="C110" s="228">
        <v>18182522.16710674</v>
      </c>
      <c r="D110" s="228">
        <v>90814177.247717783</v>
      </c>
      <c r="E110" s="228">
        <v>61156596.985792443</v>
      </c>
    </row>
    <row r="111" spans="1:5" x14ac:dyDescent="0.25">
      <c r="A111" s="227" t="s">
        <v>599</v>
      </c>
      <c r="B111" s="228">
        <v>53866571.515622824</v>
      </c>
      <c r="C111" s="228">
        <v>18523266.417408571</v>
      </c>
      <c r="D111" s="228">
        <v>94731528.649637625</v>
      </c>
      <c r="E111" s="228">
        <v>64414474.957863875</v>
      </c>
    </row>
    <row r="112" spans="1:5" x14ac:dyDescent="0.25">
      <c r="A112" s="227" t="s">
        <v>600</v>
      </c>
      <c r="B112" s="228">
        <v>54858966.378384836</v>
      </c>
      <c r="C112" s="228">
        <v>18947987.941543601</v>
      </c>
      <c r="D112" s="228">
        <v>105078731.83953598</v>
      </c>
      <c r="E112" s="228">
        <v>83047981.72619015</v>
      </c>
    </row>
    <row r="113" spans="1:5" x14ac:dyDescent="0.25">
      <c r="A113" s="227" t="s">
        <v>601</v>
      </c>
      <c r="B113" s="228">
        <v>55397966.503543399</v>
      </c>
      <c r="C113" s="228">
        <v>19173743.597283315</v>
      </c>
      <c r="D113" s="228">
        <v>107633875.10387804</v>
      </c>
      <c r="E113" s="228">
        <v>85481507.652592659</v>
      </c>
    </row>
    <row r="114" spans="1:5" x14ac:dyDescent="0.25">
      <c r="A114" s="227" t="s">
        <v>602</v>
      </c>
      <c r="B114" s="228">
        <v>58993211.929863982</v>
      </c>
      <c r="C114" s="228">
        <v>20461815.299974598</v>
      </c>
      <c r="D114" s="228">
        <v>115630826.53683501</v>
      </c>
      <c r="E114" s="228">
        <v>92933917.124145657</v>
      </c>
    </row>
    <row r="115" spans="1:5" x14ac:dyDescent="0.25">
      <c r="A115" s="227" t="s">
        <v>603</v>
      </c>
      <c r="B115" s="228">
        <v>60482279.820567153</v>
      </c>
      <c r="C115" s="228">
        <v>20770526.869989313</v>
      </c>
      <c r="D115" s="228">
        <v>123862548.4774671</v>
      </c>
      <c r="E115" s="228">
        <v>100896180.34271789</v>
      </c>
    </row>
    <row r="116" spans="1:5" x14ac:dyDescent="0.25">
      <c r="A116" s="227" t="s">
        <v>604</v>
      </c>
      <c r="B116" s="228">
        <v>60925885.592121646</v>
      </c>
      <c r="C116" s="228">
        <v>20914954.567029878</v>
      </c>
      <c r="D116" s="228">
        <v>128400840.42257972</v>
      </c>
      <c r="E116" s="228">
        <v>104252968.84011112</v>
      </c>
    </row>
    <row r="117" spans="1:5" x14ac:dyDescent="0.25">
      <c r="A117" s="227" t="s">
        <v>605</v>
      </c>
      <c r="B117" s="228">
        <v>61325232.307267956</v>
      </c>
      <c r="C117" s="228">
        <v>21047216.784234114</v>
      </c>
      <c r="D117" s="228">
        <v>130342104.88092148</v>
      </c>
      <c r="E117" s="228">
        <v>106669096.52615377</v>
      </c>
    </row>
    <row r="118" spans="1:5" x14ac:dyDescent="0.25">
      <c r="A118" s="227" t="s">
        <v>606</v>
      </c>
      <c r="B118" s="228">
        <v>62902519.333161265</v>
      </c>
      <c r="C118" s="228">
        <v>23497749.315805372</v>
      </c>
      <c r="D118" s="228">
        <v>134853746.14923665</v>
      </c>
      <c r="E118" s="228">
        <v>111221737.72370252</v>
      </c>
    </row>
    <row r="119" spans="1:5" x14ac:dyDescent="0.25">
      <c r="A119" s="227" t="s">
        <v>607</v>
      </c>
      <c r="B119" s="228">
        <v>63417031.792999998</v>
      </c>
      <c r="C119" s="228">
        <v>24368202.673</v>
      </c>
      <c r="D119" s="228">
        <v>137636217.15900001</v>
      </c>
      <c r="E119" s="228">
        <v>113286938.10600001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2857A-1E5A-4E38-98B5-AC8056980429}">
  <sheetPr>
    <tabColor theme="9"/>
  </sheetPr>
  <dimension ref="A3:G42"/>
  <sheetViews>
    <sheetView workbookViewId="0"/>
  </sheetViews>
  <sheetFormatPr baseColWidth="10" defaultRowHeight="15" x14ac:dyDescent="0.25"/>
  <cols>
    <col min="1" max="1" width="17.5703125" bestFit="1" customWidth="1"/>
    <col min="2" max="2" width="28.5703125" bestFit="1" customWidth="1"/>
    <col min="3" max="3" width="30.28515625" bestFit="1" customWidth="1"/>
    <col min="4" max="4" width="33" bestFit="1" customWidth="1"/>
    <col min="5" max="5" width="34.7109375" bestFit="1" customWidth="1"/>
    <col min="6" max="6" width="29.140625" bestFit="1" customWidth="1"/>
    <col min="7" max="7" width="30.85546875" bestFit="1" customWidth="1"/>
    <col min="8" max="163" width="9" bestFit="1" customWidth="1"/>
    <col min="164" max="164" width="14" bestFit="1" customWidth="1"/>
  </cols>
  <sheetData>
    <row r="3" spans="1:7" x14ac:dyDescent="0.25">
      <c r="A3" s="226" t="s">
        <v>564</v>
      </c>
      <c r="B3" t="s">
        <v>615</v>
      </c>
      <c r="C3" t="s">
        <v>616</v>
      </c>
      <c r="D3" t="s">
        <v>617</v>
      </c>
      <c r="E3" t="s">
        <v>618</v>
      </c>
      <c r="F3" t="s">
        <v>619</v>
      </c>
      <c r="G3" t="s">
        <v>620</v>
      </c>
    </row>
    <row r="4" spans="1:7" x14ac:dyDescent="0.25">
      <c r="A4" s="227" t="s">
        <v>566</v>
      </c>
      <c r="B4" s="228">
        <v>218799.83333333334</v>
      </c>
      <c r="C4" s="228">
        <v>107682.66666666667</v>
      </c>
      <c r="D4" s="228">
        <v>108916.5</v>
      </c>
      <c r="E4" s="228">
        <v>84536</v>
      </c>
      <c r="F4" s="228">
        <v>327716.33333333331</v>
      </c>
      <c r="G4" s="228">
        <v>192218.66666666666</v>
      </c>
    </row>
    <row r="5" spans="1:7" x14ac:dyDescent="0.25">
      <c r="A5" s="227" t="s">
        <v>567</v>
      </c>
      <c r="B5" s="228">
        <v>262267.25</v>
      </c>
      <c r="C5" s="228">
        <v>117026.58333333333</v>
      </c>
      <c r="D5" s="228">
        <v>116205.08333333333</v>
      </c>
      <c r="E5" s="228">
        <v>86817.666666666672</v>
      </c>
      <c r="F5" s="228">
        <v>378472.33333333331</v>
      </c>
      <c r="G5" s="228">
        <v>203844.25</v>
      </c>
    </row>
    <row r="6" spans="1:7" x14ac:dyDescent="0.25">
      <c r="A6" s="227" t="s">
        <v>568</v>
      </c>
      <c r="B6" s="228">
        <v>284569.66666666669</v>
      </c>
      <c r="C6" s="228">
        <v>119969.58333333333</v>
      </c>
      <c r="D6" s="228">
        <v>125529.75</v>
      </c>
      <c r="E6" s="228">
        <v>89731.416666666672</v>
      </c>
      <c r="F6" s="228">
        <v>410099.41666666669</v>
      </c>
      <c r="G6" s="228">
        <v>209701</v>
      </c>
    </row>
    <row r="7" spans="1:7" x14ac:dyDescent="0.25">
      <c r="A7" s="227" t="s">
        <v>569</v>
      </c>
      <c r="B7" s="228">
        <v>286982.91666666669</v>
      </c>
      <c r="C7" s="228">
        <v>118668.91666666667</v>
      </c>
      <c r="D7" s="228">
        <v>125674.58333333333</v>
      </c>
      <c r="E7" s="228">
        <v>89317.916666666672</v>
      </c>
      <c r="F7" s="228">
        <v>412657.5</v>
      </c>
      <c r="G7" s="228">
        <v>207986.83333333334</v>
      </c>
    </row>
    <row r="8" spans="1:7" x14ac:dyDescent="0.25">
      <c r="A8" s="227" t="s">
        <v>570</v>
      </c>
      <c r="B8" s="228">
        <v>288232.25</v>
      </c>
      <c r="C8" s="228">
        <v>116683.83333333333</v>
      </c>
      <c r="D8" s="228">
        <v>120025.91666666667</v>
      </c>
      <c r="E8" s="228">
        <v>85446.25</v>
      </c>
      <c r="F8" s="228">
        <v>408258.16666666669</v>
      </c>
      <c r="G8" s="228">
        <v>202130.08333333334</v>
      </c>
    </row>
    <row r="9" spans="1:7" x14ac:dyDescent="0.25">
      <c r="A9" s="227" t="s">
        <v>571</v>
      </c>
      <c r="B9" s="228">
        <v>288720.25</v>
      </c>
      <c r="C9" s="228">
        <v>114312</v>
      </c>
      <c r="D9" s="228">
        <v>112605.08333333333</v>
      </c>
      <c r="E9" s="228">
        <v>79812.916666666672</v>
      </c>
      <c r="F9" s="228">
        <v>401325.33333333331</v>
      </c>
      <c r="G9" s="228">
        <v>194124.91666666666</v>
      </c>
    </row>
    <row r="10" spans="1:7" x14ac:dyDescent="0.25">
      <c r="A10" s="227" t="s">
        <v>572</v>
      </c>
      <c r="B10" s="228">
        <v>288530.41666666669</v>
      </c>
      <c r="C10" s="228">
        <v>111136.16666666667</v>
      </c>
      <c r="D10" s="228">
        <v>107377.16666666667</v>
      </c>
      <c r="E10" s="228">
        <v>75527.833333333328</v>
      </c>
      <c r="F10" s="228">
        <v>395907.58333333331</v>
      </c>
      <c r="G10" s="228">
        <v>186664</v>
      </c>
    </row>
    <row r="11" spans="1:7" x14ac:dyDescent="0.25">
      <c r="A11" s="227" t="s">
        <v>573</v>
      </c>
      <c r="B11" s="228">
        <v>289070.58333333331</v>
      </c>
      <c r="C11" s="228">
        <v>110162</v>
      </c>
      <c r="D11" s="228">
        <v>105105.41666666667</v>
      </c>
      <c r="E11" s="228">
        <v>74655.333333333328</v>
      </c>
      <c r="F11" s="228">
        <v>394176</v>
      </c>
      <c r="G11" s="228">
        <v>184817.33333333334</v>
      </c>
    </row>
    <row r="12" spans="1:7" x14ac:dyDescent="0.25">
      <c r="A12" s="227" t="s">
        <v>574</v>
      </c>
      <c r="B12" s="228">
        <v>290373</v>
      </c>
      <c r="C12" s="228">
        <v>108843.41666666667</v>
      </c>
      <c r="D12" s="228">
        <v>105459.83333333333</v>
      </c>
      <c r="E12" s="228">
        <v>75532.583333333328</v>
      </c>
      <c r="F12" s="228">
        <v>395832.83333333331</v>
      </c>
      <c r="G12" s="228">
        <v>184376</v>
      </c>
    </row>
    <row r="13" spans="1:7" x14ac:dyDescent="0.25">
      <c r="A13" s="227" t="s">
        <v>575</v>
      </c>
      <c r="B13" s="228">
        <v>291754</v>
      </c>
      <c r="C13" s="228">
        <v>107694.83333333333</v>
      </c>
      <c r="D13" s="228">
        <v>105581.83333333333</v>
      </c>
      <c r="E13" s="228">
        <v>76434.166666666672</v>
      </c>
      <c r="F13" s="228">
        <v>397335.83333333331</v>
      </c>
      <c r="G13" s="228">
        <v>184129</v>
      </c>
    </row>
    <row r="14" spans="1:7" x14ac:dyDescent="0.25">
      <c r="A14" s="227" t="s">
        <v>576</v>
      </c>
      <c r="B14" s="228">
        <v>295171.83333333331</v>
      </c>
      <c r="C14" s="228">
        <v>107077.41666666667</v>
      </c>
      <c r="D14" s="228">
        <v>105559.41666666667</v>
      </c>
      <c r="E14" s="228">
        <v>77417</v>
      </c>
      <c r="F14" s="228">
        <v>400731.25</v>
      </c>
      <c r="G14" s="228">
        <v>184494.41666666666</v>
      </c>
    </row>
    <row r="15" spans="1:7" x14ac:dyDescent="0.25">
      <c r="A15" s="227" t="s">
        <v>577</v>
      </c>
      <c r="B15" s="228">
        <v>299821.5</v>
      </c>
      <c r="C15" s="228">
        <v>106705.25</v>
      </c>
      <c r="D15" s="228">
        <v>104899.16666666667</v>
      </c>
      <c r="E15" s="228">
        <v>77850.416666666672</v>
      </c>
      <c r="F15" s="228">
        <v>404720.66666666669</v>
      </c>
      <c r="G15" s="228">
        <v>184555.66666666666</v>
      </c>
    </row>
    <row r="16" spans="1:7" x14ac:dyDescent="0.25">
      <c r="A16" s="227" t="s">
        <v>578</v>
      </c>
      <c r="B16" s="228">
        <v>302635</v>
      </c>
      <c r="C16" s="228">
        <v>105719.41666666667</v>
      </c>
      <c r="D16" s="228">
        <v>104028.33333333333</v>
      </c>
      <c r="E16" s="228">
        <v>77987.166666666672</v>
      </c>
      <c r="F16" s="228">
        <v>406663.33333333331</v>
      </c>
      <c r="G16" s="228">
        <v>183706.58333333334</v>
      </c>
    </row>
    <row r="17" spans="1:7" s="239" customFormat="1" x14ac:dyDescent="0.25">
      <c r="A17" s="237" t="s">
        <v>579</v>
      </c>
      <c r="B17" s="238">
        <v>305054.41666666669</v>
      </c>
      <c r="C17" s="238">
        <v>104587.16666666667</v>
      </c>
      <c r="D17" s="238">
        <v>102460.83333333333</v>
      </c>
      <c r="E17" s="238">
        <v>78655.75</v>
      </c>
      <c r="F17" s="238">
        <v>407515.25</v>
      </c>
      <c r="G17" s="238">
        <v>183242.91666666666</v>
      </c>
    </row>
    <row r="18" spans="1:7" x14ac:dyDescent="0.25">
      <c r="A18" s="230" t="s">
        <v>596</v>
      </c>
      <c r="B18" s="228">
        <v>303535</v>
      </c>
      <c r="C18" s="228">
        <v>104773</v>
      </c>
      <c r="D18" s="228">
        <v>102915</v>
      </c>
      <c r="E18" s="228">
        <v>78093</v>
      </c>
      <c r="F18" s="228">
        <v>406450</v>
      </c>
      <c r="G18" s="228">
        <v>182866</v>
      </c>
    </row>
    <row r="19" spans="1:7" x14ac:dyDescent="0.25">
      <c r="A19" s="230" t="s">
        <v>597</v>
      </c>
      <c r="B19" s="228">
        <v>303509</v>
      </c>
      <c r="C19" s="228">
        <v>104543</v>
      </c>
      <c r="D19" s="228">
        <v>102585</v>
      </c>
      <c r="E19" s="228">
        <v>78054</v>
      </c>
      <c r="F19" s="228">
        <v>406094</v>
      </c>
      <c r="G19" s="228">
        <v>182597</v>
      </c>
    </row>
    <row r="20" spans="1:7" x14ac:dyDescent="0.25">
      <c r="A20" s="230" t="s">
        <v>598</v>
      </c>
      <c r="B20" s="228">
        <v>303836</v>
      </c>
      <c r="C20" s="228">
        <v>104524</v>
      </c>
      <c r="D20" s="228">
        <v>102435</v>
      </c>
      <c r="E20" s="228">
        <v>78131</v>
      </c>
      <c r="F20" s="228">
        <v>406271</v>
      </c>
      <c r="G20" s="228">
        <v>182655</v>
      </c>
    </row>
    <row r="21" spans="1:7" x14ac:dyDescent="0.25">
      <c r="A21" s="230" t="s">
        <v>599</v>
      </c>
      <c r="B21" s="228">
        <v>304229</v>
      </c>
      <c r="C21" s="228">
        <v>104568</v>
      </c>
      <c r="D21" s="228">
        <v>102581</v>
      </c>
      <c r="E21" s="228">
        <v>78384</v>
      </c>
      <c r="F21" s="228">
        <v>406810</v>
      </c>
      <c r="G21" s="228">
        <v>182952</v>
      </c>
    </row>
    <row r="22" spans="1:7" x14ac:dyDescent="0.25">
      <c r="A22" s="230" t="s">
        <v>600</v>
      </c>
      <c r="B22" s="228">
        <v>304427</v>
      </c>
      <c r="C22" s="228">
        <v>104477</v>
      </c>
      <c r="D22" s="228">
        <v>102248</v>
      </c>
      <c r="E22" s="228">
        <v>78324</v>
      </c>
      <c r="F22" s="228">
        <v>406675</v>
      </c>
      <c r="G22" s="228">
        <v>182801</v>
      </c>
    </row>
    <row r="23" spans="1:7" x14ac:dyDescent="0.25">
      <c r="A23" s="230" t="s">
        <v>601</v>
      </c>
      <c r="B23" s="228">
        <v>304385</v>
      </c>
      <c r="C23" s="228">
        <v>104256</v>
      </c>
      <c r="D23" s="228">
        <v>102342</v>
      </c>
      <c r="E23" s="228">
        <v>78508</v>
      </c>
      <c r="F23" s="228">
        <v>406727</v>
      </c>
      <c r="G23" s="228">
        <v>182764</v>
      </c>
    </row>
    <row r="24" spans="1:7" x14ac:dyDescent="0.25">
      <c r="A24" s="230" t="s">
        <v>602</v>
      </c>
      <c r="B24" s="228">
        <v>304412</v>
      </c>
      <c r="C24" s="228">
        <v>104136</v>
      </c>
      <c r="D24" s="228">
        <v>102344</v>
      </c>
      <c r="E24" s="228">
        <v>78636</v>
      </c>
      <c r="F24" s="228">
        <v>406756</v>
      </c>
      <c r="G24" s="228">
        <v>182772</v>
      </c>
    </row>
    <row r="25" spans="1:7" x14ac:dyDescent="0.25">
      <c r="A25" s="230" t="s">
        <v>603</v>
      </c>
      <c r="B25" s="228">
        <v>304998</v>
      </c>
      <c r="C25" s="228">
        <v>104304</v>
      </c>
      <c r="D25" s="228">
        <v>102353</v>
      </c>
      <c r="E25" s="228">
        <v>78808</v>
      </c>
      <c r="F25" s="228">
        <v>407351</v>
      </c>
      <c r="G25" s="228">
        <v>183112</v>
      </c>
    </row>
    <row r="26" spans="1:7" x14ac:dyDescent="0.25">
      <c r="A26" s="230" t="s">
        <v>604</v>
      </c>
      <c r="B26" s="228">
        <v>305471</v>
      </c>
      <c r="C26" s="228">
        <v>104316</v>
      </c>
      <c r="D26" s="228">
        <v>102289</v>
      </c>
      <c r="E26" s="228">
        <v>78880</v>
      </c>
      <c r="F26" s="228">
        <v>407760</v>
      </c>
      <c r="G26" s="228">
        <v>183196</v>
      </c>
    </row>
    <row r="27" spans="1:7" x14ac:dyDescent="0.25">
      <c r="A27" s="230" t="s">
        <v>605</v>
      </c>
      <c r="B27" s="228">
        <v>306429</v>
      </c>
      <c r="C27" s="228">
        <v>104673</v>
      </c>
      <c r="D27" s="228">
        <v>102399</v>
      </c>
      <c r="E27" s="228">
        <v>79105</v>
      </c>
      <c r="F27" s="228">
        <v>408828</v>
      </c>
      <c r="G27" s="228">
        <v>183778</v>
      </c>
    </row>
    <row r="28" spans="1:7" x14ac:dyDescent="0.25">
      <c r="A28" s="230" t="s">
        <v>606</v>
      </c>
      <c r="B28" s="228">
        <v>307296</v>
      </c>
      <c r="C28" s="228">
        <v>105079</v>
      </c>
      <c r="D28" s="228">
        <v>102500</v>
      </c>
      <c r="E28" s="228">
        <v>79398</v>
      </c>
      <c r="F28" s="228">
        <v>409796</v>
      </c>
      <c r="G28" s="228">
        <v>184477</v>
      </c>
    </row>
    <row r="29" spans="1:7" x14ac:dyDescent="0.25">
      <c r="A29" s="230" t="s">
        <v>607</v>
      </c>
      <c r="B29" s="228">
        <v>308126</v>
      </c>
      <c r="C29" s="228">
        <v>105397</v>
      </c>
      <c r="D29" s="228">
        <v>102539</v>
      </c>
      <c r="E29" s="228">
        <v>79548</v>
      </c>
      <c r="F29" s="228">
        <v>410665</v>
      </c>
      <c r="G29" s="228">
        <v>184945</v>
      </c>
    </row>
    <row r="30" spans="1:7" s="239" customFormat="1" x14ac:dyDescent="0.25">
      <c r="A30" s="237" t="s">
        <v>580</v>
      </c>
      <c r="B30" s="238">
        <v>25752.666666666668</v>
      </c>
      <c r="C30" s="238">
        <v>8825.75</v>
      </c>
      <c r="D30" s="238">
        <v>103357.58333333333</v>
      </c>
      <c r="E30" s="238">
        <v>80758.083333333328</v>
      </c>
      <c r="F30" s="238">
        <v>129110.25</v>
      </c>
      <c r="G30" s="238">
        <v>89583.833333333328</v>
      </c>
    </row>
    <row r="31" spans="1:7" x14ac:dyDescent="0.25">
      <c r="A31" s="230" t="s">
        <v>596</v>
      </c>
      <c r="B31" s="228">
        <v>309032</v>
      </c>
      <c r="C31" s="228">
        <v>105909</v>
      </c>
      <c r="D31" s="228">
        <v>102612</v>
      </c>
      <c r="E31" s="228">
        <v>79732</v>
      </c>
      <c r="F31" s="228">
        <v>411644</v>
      </c>
      <c r="G31" s="228">
        <v>185641</v>
      </c>
    </row>
    <row r="32" spans="1:7" x14ac:dyDescent="0.25">
      <c r="A32" s="230" t="s">
        <v>597</v>
      </c>
      <c r="B32" s="228">
        <v>0</v>
      </c>
      <c r="C32" s="228">
        <v>0</v>
      </c>
      <c r="D32" s="228">
        <v>102691</v>
      </c>
      <c r="E32" s="228">
        <v>79908</v>
      </c>
      <c r="F32" s="228">
        <v>102691</v>
      </c>
      <c r="G32" s="228">
        <v>79908</v>
      </c>
    </row>
    <row r="33" spans="1:7" x14ac:dyDescent="0.25">
      <c r="A33" s="230" t="s">
        <v>598</v>
      </c>
      <c r="B33" s="228">
        <v>0</v>
      </c>
      <c r="C33" s="228">
        <v>0</v>
      </c>
      <c r="D33" s="228">
        <v>102784</v>
      </c>
      <c r="E33" s="228">
        <v>80074</v>
      </c>
      <c r="F33" s="228">
        <v>102784</v>
      </c>
      <c r="G33" s="228">
        <v>80074</v>
      </c>
    </row>
    <row r="34" spans="1:7" x14ac:dyDescent="0.25">
      <c r="A34" s="230" t="s">
        <v>599</v>
      </c>
      <c r="B34" s="228">
        <v>0</v>
      </c>
      <c r="C34" s="228">
        <v>0</v>
      </c>
      <c r="D34" s="228">
        <v>102632</v>
      </c>
      <c r="E34" s="228">
        <v>80110</v>
      </c>
      <c r="F34" s="228">
        <v>102632</v>
      </c>
      <c r="G34" s="228">
        <v>80110</v>
      </c>
    </row>
    <row r="35" spans="1:7" x14ac:dyDescent="0.25">
      <c r="A35" s="230" t="s">
        <v>600</v>
      </c>
      <c r="B35" s="228">
        <v>0</v>
      </c>
      <c r="C35" s="228">
        <v>0</v>
      </c>
      <c r="D35" s="228">
        <v>102856</v>
      </c>
      <c r="E35" s="228">
        <v>80398</v>
      </c>
      <c r="F35" s="228">
        <v>102856</v>
      </c>
      <c r="G35" s="228">
        <v>80398</v>
      </c>
    </row>
    <row r="36" spans="1:7" x14ac:dyDescent="0.25">
      <c r="A36" s="230" t="s">
        <v>601</v>
      </c>
      <c r="B36" s="228">
        <v>0</v>
      </c>
      <c r="C36" s="228">
        <v>0</v>
      </c>
      <c r="D36" s="228">
        <v>103404</v>
      </c>
      <c r="E36" s="228">
        <v>80766</v>
      </c>
      <c r="F36" s="228">
        <v>103404</v>
      </c>
      <c r="G36" s="228">
        <v>80766</v>
      </c>
    </row>
    <row r="37" spans="1:7" x14ac:dyDescent="0.25">
      <c r="A37" s="230" t="s">
        <v>602</v>
      </c>
      <c r="B37" s="228">
        <v>0</v>
      </c>
      <c r="C37" s="228">
        <v>0</v>
      </c>
      <c r="D37" s="228">
        <v>103650</v>
      </c>
      <c r="E37" s="228">
        <v>81031</v>
      </c>
      <c r="F37" s="228">
        <v>103650</v>
      </c>
      <c r="G37" s="228">
        <v>81031</v>
      </c>
    </row>
    <row r="38" spans="1:7" x14ac:dyDescent="0.25">
      <c r="A38" s="230" t="s">
        <v>603</v>
      </c>
      <c r="B38" s="228">
        <v>0</v>
      </c>
      <c r="C38" s="228">
        <v>0</v>
      </c>
      <c r="D38" s="228">
        <v>103890</v>
      </c>
      <c r="E38" s="228">
        <v>81219</v>
      </c>
      <c r="F38" s="228">
        <v>103890</v>
      </c>
      <c r="G38" s="228">
        <v>81219</v>
      </c>
    </row>
    <row r="39" spans="1:7" x14ac:dyDescent="0.25">
      <c r="A39" s="230" t="s">
        <v>604</v>
      </c>
      <c r="B39" s="228">
        <v>0</v>
      </c>
      <c r="C39" s="228">
        <v>0</v>
      </c>
      <c r="D39" s="228">
        <v>103948</v>
      </c>
      <c r="E39" s="228">
        <v>81350</v>
      </c>
      <c r="F39" s="228">
        <v>103948</v>
      </c>
      <c r="G39" s="228">
        <v>81350</v>
      </c>
    </row>
    <row r="40" spans="1:7" x14ac:dyDescent="0.25">
      <c r="A40" s="230" t="s">
        <v>605</v>
      </c>
      <c r="B40" s="228">
        <v>0</v>
      </c>
      <c r="C40" s="228">
        <v>0</v>
      </c>
      <c r="D40" s="228">
        <v>103979</v>
      </c>
      <c r="E40" s="228">
        <v>81414</v>
      </c>
      <c r="F40" s="228">
        <v>103979</v>
      </c>
      <c r="G40" s="228">
        <v>81414</v>
      </c>
    </row>
    <row r="41" spans="1:7" x14ac:dyDescent="0.25">
      <c r="A41" s="230" t="s">
        <v>606</v>
      </c>
      <c r="B41" s="228">
        <v>0</v>
      </c>
      <c r="C41" s="228">
        <v>0</v>
      </c>
      <c r="D41" s="228">
        <v>103866</v>
      </c>
      <c r="E41" s="228">
        <v>81490</v>
      </c>
      <c r="F41" s="228">
        <v>103866</v>
      </c>
      <c r="G41" s="228">
        <v>81490</v>
      </c>
    </row>
    <row r="42" spans="1:7" x14ac:dyDescent="0.25">
      <c r="A42" s="230" t="s">
        <v>607</v>
      </c>
      <c r="B42" s="228">
        <v>0</v>
      </c>
      <c r="C42" s="228">
        <v>0</v>
      </c>
      <c r="D42" s="228">
        <v>103979</v>
      </c>
      <c r="E42" s="228">
        <v>81605</v>
      </c>
      <c r="F42" s="228">
        <v>103979</v>
      </c>
      <c r="G42" s="228">
        <v>81605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47A34-E3DF-4644-8DD7-B525BCF442EA}">
  <sheetPr>
    <tabColor theme="9"/>
  </sheetPr>
  <dimension ref="A1:AN92"/>
  <sheetViews>
    <sheetView workbookViewId="0"/>
  </sheetViews>
  <sheetFormatPr baseColWidth="10" defaultRowHeight="15" x14ac:dyDescent="0.25"/>
  <cols>
    <col min="1" max="1" width="17.5703125" bestFit="1" customWidth="1"/>
    <col min="2" max="2" width="24.85546875" bestFit="1" customWidth="1"/>
    <col min="3" max="3" width="26.7109375" bestFit="1" customWidth="1"/>
    <col min="4" max="4" width="24.140625" bestFit="1" customWidth="1"/>
    <col min="5" max="5" width="25.85546875" bestFit="1" customWidth="1"/>
    <col min="6" max="6" width="23.5703125" bestFit="1" customWidth="1"/>
    <col min="7" max="7" width="25.28515625" bestFit="1" customWidth="1"/>
    <col min="8" max="8" width="23" bestFit="1" customWidth="1"/>
    <col min="9" max="9" width="17.5703125" bestFit="1" customWidth="1"/>
    <col min="10" max="10" width="20.42578125" bestFit="1" customWidth="1"/>
    <col min="11" max="11" width="17" bestFit="1" customWidth="1"/>
    <col min="12" max="12" width="14.5703125" bestFit="1" customWidth="1"/>
    <col min="13" max="13" width="16.28515625" bestFit="1" customWidth="1"/>
    <col min="14" max="14" width="18" bestFit="1" customWidth="1"/>
    <col min="15" max="15" width="15.5703125" bestFit="1" customWidth="1"/>
    <col min="16" max="16" width="16.28515625" bestFit="1" customWidth="1"/>
    <col min="17" max="17" width="18" bestFit="1" customWidth="1"/>
    <col min="18" max="18" width="15.5703125" bestFit="1" customWidth="1"/>
    <col min="21" max="23" width="11.5703125" bestFit="1" customWidth="1"/>
    <col min="24" max="29" width="14.5703125" bestFit="1" customWidth="1"/>
  </cols>
  <sheetData>
    <row r="1" spans="1:40" x14ac:dyDescent="0.25">
      <c r="I1" s="226" t="s">
        <v>11</v>
      </c>
      <c r="J1" t="s">
        <v>621</v>
      </c>
    </row>
    <row r="3" spans="1:40" x14ac:dyDescent="0.25">
      <c r="A3" s="226" t="s">
        <v>564</v>
      </c>
      <c r="B3" t="s">
        <v>592</v>
      </c>
      <c r="C3" t="s">
        <v>591</v>
      </c>
      <c r="D3" t="s">
        <v>593</v>
      </c>
      <c r="E3" t="s">
        <v>590</v>
      </c>
      <c r="F3" t="s">
        <v>595</v>
      </c>
      <c r="G3" t="s">
        <v>594</v>
      </c>
      <c r="I3" s="226" t="s">
        <v>564</v>
      </c>
      <c r="J3" t="s">
        <v>582</v>
      </c>
      <c r="K3" t="s">
        <v>581</v>
      </c>
      <c r="L3" t="s">
        <v>583</v>
      </c>
      <c r="M3" t="s">
        <v>589</v>
      </c>
      <c r="N3" t="s">
        <v>588</v>
      </c>
      <c r="O3" t="s">
        <v>584</v>
      </c>
      <c r="P3" t="s">
        <v>586</v>
      </c>
      <c r="Q3" t="s">
        <v>585</v>
      </c>
      <c r="R3" t="s">
        <v>587</v>
      </c>
      <c r="T3" t="s">
        <v>564</v>
      </c>
      <c r="U3" t="s">
        <v>582</v>
      </c>
      <c r="V3" t="s">
        <v>581</v>
      </c>
      <c r="W3" t="s">
        <v>583</v>
      </c>
      <c r="X3" t="s">
        <v>589</v>
      </c>
      <c r="Y3" t="s">
        <v>588</v>
      </c>
      <c r="Z3" t="s">
        <v>584</v>
      </c>
      <c r="AA3" t="s">
        <v>586</v>
      </c>
      <c r="AB3" t="s">
        <v>585</v>
      </c>
      <c r="AC3" t="s">
        <v>587</v>
      </c>
      <c r="AE3" t="s">
        <v>564</v>
      </c>
      <c r="AF3" t="s">
        <v>582</v>
      </c>
      <c r="AG3" t="s">
        <v>581</v>
      </c>
      <c r="AH3" t="s">
        <v>583</v>
      </c>
      <c r="AI3" s="242" t="s">
        <v>589</v>
      </c>
      <c r="AJ3" s="242" t="s">
        <v>588</v>
      </c>
      <c r="AK3" t="s">
        <v>584</v>
      </c>
      <c r="AL3" s="243" t="s">
        <v>586</v>
      </c>
      <c r="AM3" s="243" t="s">
        <v>585</v>
      </c>
      <c r="AN3" t="s">
        <v>587</v>
      </c>
    </row>
    <row r="4" spans="1:40" x14ac:dyDescent="0.25">
      <c r="A4" s="227" t="s">
        <v>566</v>
      </c>
      <c r="B4" s="228">
        <v>8246926869.2877502</v>
      </c>
      <c r="C4" s="228">
        <v>3973207724.5979996</v>
      </c>
      <c r="D4" s="228">
        <v>3969656243.1597457</v>
      </c>
      <c r="E4" s="228">
        <v>3064613569.4954667</v>
      </c>
      <c r="F4" s="228">
        <v>12216583112.447495</v>
      </c>
      <c r="G4" s="228">
        <v>7037821294.0934668</v>
      </c>
      <c r="I4" s="237" t="s">
        <v>580</v>
      </c>
      <c r="J4" s="238">
        <v>0</v>
      </c>
      <c r="K4" s="238">
        <v>0</v>
      </c>
      <c r="L4" s="238">
        <v>0</v>
      </c>
      <c r="M4" s="238">
        <v>60133312971.379852</v>
      </c>
      <c r="N4" s="238">
        <v>47149435903.915161</v>
      </c>
      <c r="O4" s="238">
        <v>107282748875.29501</v>
      </c>
      <c r="P4" s="238">
        <v>60133312971.379852</v>
      </c>
      <c r="Q4" s="238">
        <v>47149435903.915161</v>
      </c>
      <c r="R4" s="238">
        <v>107282748875.29501</v>
      </c>
      <c r="T4" t="s">
        <v>605</v>
      </c>
      <c r="U4">
        <v>0</v>
      </c>
      <c r="V4">
        <v>0</v>
      </c>
      <c r="W4">
        <v>0</v>
      </c>
      <c r="X4">
        <v>19903687043.913326</v>
      </c>
      <c r="Y4">
        <v>15583475340.434208</v>
      </c>
      <c r="Z4">
        <v>35487162384.347534</v>
      </c>
      <c r="AA4">
        <v>19903687043.913326</v>
      </c>
      <c r="AB4">
        <v>15583475340.434208</v>
      </c>
      <c r="AC4">
        <v>35487162384.347534</v>
      </c>
      <c r="AE4" t="s">
        <v>605</v>
      </c>
      <c r="AF4" s="240">
        <f>+U4/1000</f>
        <v>0</v>
      </c>
      <c r="AG4" s="240">
        <f t="shared" ref="AG4:AN4" si="0">+V4/1000</f>
        <v>0</v>
      </c>
      <c r="AH4" s="240">
        <f t="shared" si="0"/>
        <v>0</v>
      </c>
      <c r="AI4" s="240">
        <f t="shared" si="0"/>
        <v>19903687.043913327</v>
      </c>
      <c r="AJ4" s="240">
        <f t="shared" si="0"/>
        <v>15583475.340434209</v>
      </c>
      <c r="AK4" s="240">
        <f t="shared" si="0"/>
        <v>35487162.384347536</v>
      </c>
      <c r="AL4" s="240">
        <f t="shared" si="0"/>
        <v>19903687.043913327</v>
      </c>
      <c r="AM4" s="240">
        <f t="shared" si="0"/>
        <v>15583475.340434209</v>
      </c>
      <c r="AN4" s="240">
        <f t="shared" si="0"/>
        <v>35487162.384347536</v>
      </c>
    </row>
    <row r="5" spans="1:40" x14ac:dyDescent="0.25">
      <c r="A5" s="227" t="s">
        <v>567</v>
      </c>
      <c r="B5" s="228">
        <v>10831943415.048538</v>
      </c>
      <c r="C5" s="228">
        <v>4778493385.1598539</v>
      </c>
      <c r="D5" s="228">
        <v>5149103046.8522663</v>
      </c>
      <c r="E5" s="228">
        <v>3655592972.6395154</v>
      </c>
      <c r="F5" s="228">
        <v>15981046461.900803</v>
      </c>
      <c r="G5" s="228">
        <v>8434086357.799367</v>
      </c>
      <c r="I5" s="230" t="s">
        <v>605</v>
      </c>
      <c r="J5" s="228">
        <v>0</v>
      </c>
      <c r="K5" s="228">
        <v>0</v>
      </c>
      <c r="L5" s="228">
        <v>0</v>
      </c>
      <c r="M5" s="228">
        <v>19903687043.913326</v>
      </c>
      <c r="N5" s="228">
        <v>15583475340.434208</v>
      </c>
      <c r="O5" s="228">
        <v>35487162384.347534</v>
      </c>
      <c r="P5" s="228">
        <v>19903687043.913326</v>
      </c>
      <c r="Q5" s="228">
        <v>15583475340.434208</v>
      </c>
      <c r="R5" s="228">
        <v>35487162384.347534</v>
      </c>
      <c r="T5" t="s">
        <v>606</v>
      </c>
      <c r="U5">
        <v>0</v>
      </c>
      <c r="V5">
        <v>0</v>
      </c>
      <c r="W5">
        <v>0</v>
      </c>
      <c r="X5">
        <v>20075788768.466526</v>
      </c>
      <c r="Y5">
        <v>15749774388.480951</v>
      </c>
      <c r="Z5">
        <v>35825563156.947479</v>
      </c>
      <c r="AA5">
        <v>20075788768.466526</v>
      </c>
      <c r="AB5">
        <v>15749774388.480951</v>
      </c>
      <c r="AC5">
        <v>35825563156.947479</v>
      </c>
      <c r="AE5" t="s">
        <v>606</v>
      </c>
      <c r="AF5" s="240">
        <f t="shared" ref="AF5:AF6" si="1">+U5/1000</f>
        <v>0</v>
      </c>
      <c r="AG5" s="240">
        <f t="shared" ref="AG5:AG6" si="2">+V5/1000</f>
        <v>0</v>
      </c>
      <c r="AH5" s="240">
        <f t="shared" ref="AH5:AH6" si="3">+W5/1000</f>
        <v>0</v>
      </c>
      <c r="AI5" s="240">
        <f t="shared" ref="AI5:AI6" si="4">+X5/1000</f>
        <v>20075788.768466525</v>
      </c>
      <c r="AJ5" s="240">
        <f t="shared" ref="AJ5:AJ6" si="5">+Y5/1000</f>
        <v>15749774.388480952</v>
      </c>
      <c r="AK5" s="240">
        <f t="shared" ref="AK5:AK6" si="6">+Z5/1000</f>
        <v>35825563.156947479</v>
      </c>
      <c r="AL5" s="240">
        <f t="shared" ref="AL5:AL6" si="7">+AA5/1000</f>
        <v>20075788.768466525</v>
      </c>
      <c r="AM5" s="240">
        <f t="shared" ref="AM5:AM6" si="8">+AB5/1000</f>
        <v>15749774.388480952</v>
      </c>
      <c r="AN5" s="240">
        <f t="shared" ref="AN5:AN6" si="9">+AC5/1000</f>
        <v>35825563.156947479</v>
      </c>
    </row>
    <row r="6" spans="1:40" x14ac:dyDescent="0.25">
      <c r="A6" s="227" t="s">
        <v>568</v>
      </c>
      <c r="B6" s="228">
        <v>13095567640.080732</v>
      </c>
      <c r="C6" s="228">
        <v>5502966223.7595825</v>
      </c>
      <c r="D6" s="228">
        <v>5973329799.6957197</v>
      </c>
      <c r="E6" s="228">
        <v>4181931763.7496819</v>
      </c>
      <c r="F6" s="228">
        <v>19068897439.776447</v>
      </c>
      <c r="G6" s="228">
        <v>9684897987.5092659</v>
      </c>
      <c r="I6" s="230" t="s">
        <v>606</v>
      </c>
      <c r="J6" s="228">
        <v>0</v>
      </c>
      <c r="K6" s="228">
        <v>0</v>
      </c>
      <c r="L6" s="228">
        <v>0</v>
      </c>
      <c r="M6" s="228">
        <v>20075788768.466526</v>
      </c>
      <c r="N6" s="228">
        <v>15749774388.480951</v>
      </c>
      <c r="O6" s="228">
        <v>35825563156.947479</v>
      </c>
      <c r="P6" s="228">
        <v>20075788768.466526</v>
      </c>
      <c r="Q6" s="228">
        <v>15749774388.480951</v>
      </c>
      <c r="R6" s="228">
        <v>35825563156.947479</v>
      </c>
      <c r="T6" t="s">
        <v>607</v>
      </c>
      <c r="U6">
        <v>0</v>
      </c>
      <c r="V6">
        <v>0</v>
      </c>
      <c r="W6">
        <v>0</v>
      </c>
      <c r="X6">
        <v>20153837159</v>
      </c>
      <c r="Y6">
        <v>15816186175</v>
      </c>
      <c r="Z6">
        <v>35970023334</v>
      </c>
      <c r="AA6">
        <v>20153837159</v>
      </c>
      <c r="AB6">
        <v>15816186175</v>
      </c>
      <c r="AC6">
        <v>35970023334</v>
      </c>
      <c r="AE6" t="s">
        <v>607</v>
      </c>
      <c r="AF6" s="240">
        <f t="shared" si="1"/>
        <v>0</v>
      </c>
      <c r="AG6" s="240">
        <f t="shared" si="2"/>
        <v>0</v>
      </c>
      <c r="AH6" s="240">
        <f t="shared" si="3"/>
        <v>0</v>
      </c>
      <c r="AI6" s="240">
        <f t="shared" si="4"/>
        <v>20153837.159000002</v>
      </c>
      <c r="AJ6" s="240">
        <f t="shared" si="5"/>
        <v>15816186.175000001</v>
      </c>
      <c r="AK6" s="240">
        <f t="shared" si="6"/>
        <v>35970023.333999999</v>
      </c>
      <c r="AL6" s="240">
        <f t="shared" si="7"/>
        <v>20153837.159000002</v>
      </c>
      <c r="AM6" s="240">
        <f t="shared" si="8"/>
        <v>15816186.175000001</v>
      </c>
      <c r="AN6" s="240">
        <f t="shared" si="9"/>
        <v>35970023.333999999</v>
      </c>
    </row>
    <row r="7" spans="1:40" x14ac:dyDescent="0.25">
      <c r="A7" s="227" t="s">
        <v>569</v>
      </c>
      <c r="B7" s="228">
        <v>13994994329.511679</v>
      </c>
      <c r="C7" s="228">
        <v>5780107940.9241409</v>
      </c>
      <c r="D7" s="228">
        <v>6221600908.5936813</v>
      </c>
      <c r="E7" s="228">
        <v>4373494706.5970135</v>
      </c>
      <c r="F7" s="228">
        <v>20216595238.105358</v>
      </c>
      <c r="G7" s="228">
        <v>10153602647.521154</v>
      </c>
      <c r="I7" s="230" t="s">
        <v>607</v>
      </c>
      <c r="J7" s="228">
        <v>0</v>
      </c>
      <c r="K7" s="228">
        <v>0</v>
      </c>
      <c r="L7" s="228">
        <v>0</v>
      </c>
      <c r="M7" s="228">
        <v>20153837159</v>
      </c>
      <c r="N7" s="228">
        <v>15816186175</v>
      </c>
      <c r="O7" s="228">
        <v>35970023334</v>
      </c>
      <c r="P7" s="228">
        <v>20153837159</v>
      </c>
      <c r="Q7" s="228">
        <v>15816186175</v>
      </c>
      <c r="R7" s="228">
        <v>35970023334</v>
      </c>
    </row>
    <row r="8" spans="1:40" x14ac:dyDescent="0.25">
      <c r="A8" s="227" t="s">
        <v>570</v>
      </c>
      <c r="B8" s="228">
        <v>14900591934.083181</v>
      </c>
      <c r="C8" s="228">
        <v>6027641672.6388502</v>
      </c>
      <c r="D8" s="228">
        <v>6305334741.0595312</v>
      </c>
      <c r="E8" s="228">
        <v>4448180899.6762056</v>
      </c>
      <c r="F8" s="228">
        <v>21205926675.142715</v>
      </c>
      <c r="G8" s="228">
        <v>10475822572.315058</v>
      </c>
    </row>
    <row r="9" spans="1:40" x14ac:dyDescent="0.25">
      <c r="A9" s="227" t="s">
        <v>571</v>
      </c>
      <c r="B9" s="228">
        <v>15464510652.205984</v>
      </c>
      <c r="C9" s="228">
        <v>6127638130.4877253</v>
      </c>
      <c r="D9" s="228">
        <v>6133300571.7438841</v>
      </c>
      <c r="E9" s="228">
        <v>4291617400.8795981</v>
      </c>
      <c r="F9" s="228">
        <v>21597811223.949871</v>
      </c>
      <c r="G9" s="228">
        <v>10419255531.367325</v>
      </c>
    </row>
    <row r="10" spans="1:40" x14ac:dyDescent="0.25">
      <c r="A10" s="227" t="s">
        <v>572</v>
      </c>
      <c r="B10" s="228">
        <v>16719242118.712105</v>
      </c>
      <c r="C10" s="228">
        <v>6443033859.5210752</v>
      </c>
      <c r="D10" s="228">
        <v>6332875385.4161987</v>
      </c>
      <c r="E10" s="228">
        <v>4376817385.0717344</v>
      </c>
      <c r="F10" s="228">
        <v>23052117504.128307</v>
      </c>
      <c r="G10" s="228">
        <v>10819851244.592808</v>
      </c>
    </row>
    <row r="11" spans="1:40" x14ac:dyDescent="0.25">
      <c r="A11" s="227" t="s">
        <v>573</v>
      </c>
      <c r="B11" s="228">
        <v>18210702843.160507</v>
      </c>
      <c r="C11" s="228">
        <v>6946083183.5916548</v>
      </c>
      <c r="D11" s="228">
        <v>6761441395.714366</v>
      </c>
      <c r="E11" s="228">
        <v>4771430769.2962599</v>
      </c>
      <c r="F11" s="228">
        <v>24972144238.874874</v>
      </c>
      <c r="G11" s="228">
        <v>11717513952.887915</v>
      </c>
    </row>
    <row r="12" spans="1:40" x14ac:dyDescent="0.25">
      <c r="A12" s="227" t="s">
        <v>574</v>
      </c>
      <c r="B12" s="228">
        <v>19783296657.483814</v>
      </c>
      <c r="C12" s="228">
        <v>7425619705.3861189</v>
      </c>
      <c r="D12" s="228">
        <v>7362010767.830924</v>
      </c>
      <c r="E12" s="228">
        <v>5231600971.8967381</v>
      </c>
      <c r="F12" s="228">
        <v>27145307425.314739</v>
      </c>
      <c r="G12" s="228">
        <v>12657220677.28286</v>
      </c>
      <c r="I12" s="226" t="s">
        <v>11</v>
      </c>
      <c r="J12" t="s">
        <v>621</v>
      </c>
      <c r="AE12" t="s">
        <v>641</v>
      </c>
    </row>
    <row r="13" spans="1:40" x14ac:dyDescent="0.25">
      <c r="A13" s="227" t="s">
        <v>575</v>
      </c>
      <c r="B13" s="228">
        <v>23013211595.87286</v>
      </c>
      <c r="C13" s="228">
        <v>8501264270.2728071</v>
      </c>
      <c r="D13" s="228">
        <v>8483630715.9830093</v>
      </c>
      <c r="E13" s="228">
        <v>6104356781.0873613</v>
      </c>
      <c r="F13" s="228">
        <v>31496842311.855865</v>
      </c>
      <c r="G13" s="228">
        <v>14605621051.360168</v>
      </c>
      <c r="AF13" t="s">
        <v>642</v>
      </c>
      <c r="AI13" t="s">
        <v>640</v>
      </c>
      <c r="AL13" t="s">
        <v>89</v>
      </c>
    </row>
    <row r="14" spans="1:40" x14ac:dyDescent="0.25">
      <c r="A14" s="227" t="s">
        <v>576</v>
      </c>
      <c r="B14" s="228">
        <v>24370427621.370571</v>
      </c>
      <c r="C14" s="228">
        <v>8842345357.059454</v>
      </c>
      <c r="D14" s="228">
        <v>8863104958.5664921</v>
      </c>
      <c r="E14" s="228">
        <v>6451885180.39046</v>
      </c>
      <c r="F14" s="228">
        <v>33233532579.937061</v>
      </c>
      <c r="G14" s="228">
        <v>15294230537.449913</v>
      </c>
      <c r="I14" s="226" t="s">
        <v>564</v>
      </c>
      <c r="J14" t="s">
        <v>622</v>
      </c>
      <c r="K14" t="s">
        <v>623</v>
      </c>
      <c r="L14" t="s">
        <v>624</v>
      </c>
      <c r="M14" t="s">
        <v>625</v>
      </c>
      <c r="N14" t="s">
        <v>626</v>
      </c>
      <c r="O14" t="s">
        <v>627</v>
      </c>
      <c r="P14" t="s">
        <v>628</v>
      </c>
      <c r="Q14" t="s">
        <v>629</v>
      </c>
      <c r="R14" t="s">
        <v>630</v>
      </c>
      <c r="T14" t="s">
        <v>564</v>
      </c>
      <c r="U14" s="229" t="s">
        <v>622</v>
      </c>
      <c r="V14" s="229" t="s">
        <v>623</v>
      </c>
      <c r="W14" s="229" t="s">
        <v>624</v>
      </c>
      <c r="X14" s="229" t="s">
        <v>625</v>
      </c>
      <c r="Y14" s="229" t="s">
        <v>626</v>
      </c>
      <c r="Z14" s="229" t="s">
        <v>627</v>
      </c>
      <c r="AA14" s="229" t="s">
        <v>628</v>
      </c>
      <c r="AB14" s="229" t="s">
        <v>629</v>
      </c>
      <c r="AC14" s="229" t="s">
        <v>630</v>
      </c>
      <c r="AE14" t="s">
        <v>564</v>
      </c>
      <c r="AF14" t="s">
        <v>631</v>
      </c>
      <c r="AG14" t="s">
        <v>632</v>
      </c>
      <c r="AH14" t="s">
        <v>633</v>
      </c>
      <c r="AI14" t="s">
        <v>634</v>
      </c>
      <c r="AJ14" t="s">
        <v>635</v>
      </c>
      <c r="AK14" t="s">
        <v>636</v>
      </c>
      <c r="AL14" t="s">
        <v>637</v>
      </c>
      <c r="AM14" t="s">
        <v>638</v>
      </c>
      <c r="AN14" t="s">
        <v>639</v>
      </c>
    </row>
    <row r="15" spans="1:40" x14ac:dyDescent="0.25">
      <c r="A15" s="227" t="s">
        <v>577</v>
      </c>
      <c r="B15" s="228">
        <v>26689511249.196259</v>
      </c>
      <c r="C15" s="228">
        <v>9492244005.0758266</v>
      </c>
      <c r="D15" s="228">
        <v>9429656004.8587437</v>
      </c>
      <c r="E15" s="228">
        <v>6956454754.7894373</v>
      </c>
      <c r="F15" s="228">
        <v>36119167254.055008</v>
      </c>
      <c r="G15" s="228">
        <v>16448698759.865265</v>
      </c>
      <c r="I15" s="237" t="s">
        <v>580</v>
      </c>
      <c r="J15" s="238">
        <v>0</v>
      </c>
      <c r="K15" s="238">
        <v>0</v>
      </c>
      <c r="L15" s="238">
        <v>0</v>
      </c>
      <c r="M15" s="238">
        <v>60441368879</v>
      </c>
      <c r="N15" s="238">
        <v>47390715970</v>
      </c>
      <c r="O15" s="238">
        <v>107832084849</v>
      </c>
      <c r="P15" s="238">
        <v>60441368879</v>
      </c>
      <c r="Q15" s="238">
        <v>47390715970</v>
      </c>
      <c r="R15" s="238">
        <v>107832084849</v>
      </c>
      <c r="T15" t="s">
        <v>605</v>
      </c>
      <c r="U15" s="240">
        <v>0</v>
      </c>
      <c r="V15" s="240">
        <v>0</v>
      </c>
      <c r="W15" s="240">
        <v>0</v>
      </c>
      <c r="X15" s="240">
        <v>20154801071</v>
      </c>
      <c r="Y15" s="240">
        <v>15780083599</v>
      </c>
      <c r="Z15" s="240">
        <v>35934884670</v>
      </c>
      <c r="AA15" s="240">
        <v>20154801071</v>
      </c>
      <c r="AB15" s="240">
        <v>15780083599</v>
      </c>
      <c r="AC15" s="240">
        <v>35934884670</v>
      </c>
      <c r="AE15" t="s">
        <v>605</v>
      </c>
      <c r="AF15" s="240">
        <f>+U15/1000</f>
        <v>0</v>
      </c>
      <c r="AG15" s="240">
        <f t="shared" ref="AG15:AN15" si="10">+V15/1000</f>
        <v>0</v>
      </c>
      <c r="AH15" s="240">
        <f t="shared" si="10"/>
        <v>0</v>
      </c>
      <c r="AI15" s="240">
        <f>+X15/1000</f>
        <v>20154801.070999999</v>
      </c>
      <c r="AJ15" s="240">
        <f t="shared" si="10"/>
        <v>15780083.598999999</v>
      </c>
      <c r="AK15" s="240">
        <f t="shared" si="10"/>
        <v>35934884.670000002</v>
      </c>
      <c r="AL15" s="240">
        <f t="shared" si="10"/>
        <v>20154801.070999999</v>
      </c>
      <c r="AM15" s="240">
        <f t="shared" si="10"/>
        <v>15780083.598999999</v>
      </c>
      <c r="AN15" s="240">
        <f t="shared" si="10"/>
        <v>35934884.670000002</v>
      </c>
    </row>
    <row r="16" spans="1:40" x14ac:dyDescent="0.25">
      <c r="A16" s="227" t="s">
        <v>578</v>
      </c>
      <c r="B16" s="228">
        <v>36592890448.634682</v>
      </c>
      <c r="C16" s="228">
        <v>12913294405.351358</v>
      </c>
      <c r="D16" s="228">
        <v>11894673713.107821</v>
      </c>
      <c r="E16" s="228">
        <v>8911422908.9337215</v>
      </c>
      <c r="F16" s="228">
        <v>48487564161.742493</v>
      </c>
      <c r="G16" s="228">
        <v>21824717314.285076</v>
      </c>
      <c r="I16" s="230" t="s">
        <v>605</v>
      </c>
      <c r="J16" s="228">
        <v>0</v>
      </c>
      <c r="K16" s="228">
        <v>0</v>
      </c>
      <c r="L16" s="228">
        <v>0</v>
      </c>
      <c r="M16" s="228">
        <v>20154801071</v>
      </c>
      <c r="N16" s="228">
        <v>15780083599</v>
      </c>
      <c r="O16" s="228">
        <v>35934884670</v>
      </c>
      <c r="P16" s="228">
        <v>20154801071</v>
      </c>
      <c r="Q16" s="228">
        <v>15780083599</v>
      </c>
      <c r="R16" s="228">
        <v>35934884670</v>
      </c>
      <c r="T16" s="239" t="s">
        <v>606</v>
      </c>
      <c r="U16" s="241">
        <v>0</v>
      </c>
      <c r="V16" s="241">
        <v>0</v>
      </c>
      <c r="W16" s="241">
        <v>0</v>
      </c>
      <c r="X16" s="241">
        <v>20132730649</v>
      </c>
      <c r="Y16" s="241">
        <v>15794446196</v>
      </c>
      <c r="Z16" s="241">
        <v>35927176845</v>
      </c>
      <c r="AA16" s="241">
        <v>20132730649</v>
      </c>
      <c r="AB16" s="241">
        <v>15794446196</v>
      </c>
      <c r="AC16" s="241">
        <v>35927176845</v>
      </c>
      <c r="AE16" s="239" t="s">
        <v>606</v>
      </c>
      <c r="AF16" s="240">
        <f t="shared" ref="AF16:AF17" si="11">+U16/1000</f>
        <v>0</v>
      </c>
      <c r="AG16" s="240">
        <f t="shared" ref="AG16:AG17" si="12">+V16/1000</f>
        <v>0</v>
      </c>
      <c r="AH16" s="240">
        <f t="shared" ref="AH16:AH17" si="13">+W16/1000</f>
        <v>0</v>
      </c>
      <c r="AI16" s="240">
        <f t="shared" ref="AI16:AI17" si="14">+X16/1000</f>
        <v>20132730.649</v>
      </c>
      <c r="AJ16" s="240">
        <f t="shared" ref="AJ16:AJ17" si="15">+Y16/1000</f>
        <v>15794446.196</v>
      </c>
      <c r="AK16" s="240">
        <f t="shared" ref="AK16:AK17" si="16">+Z16/1000</f>
        <v>35927176.844999999</v>
      </c>
      <c r="AL16" s="240">
        <f t="shared" ref="AL16:AL17" si="17">+AA16/1000</f>
        <v>20132730.649</v>
      </c>
      <c r="AM16" s="240">
        <f t="shared" ref="AM16:AM17" si="18">+AB16/1000</f>
        <v>15794446.196</v>
      </c>
      <c r="AN16" s="240">
        <f t="shared" ref="AN16:AN17" si="19">+AC16/1000</f>
        <v>35927176.844999999</v>
      </c>
    </row>
    <row r="17" spans="1:40" x14ac:dyDescent="0.25">
      <c r="A17" s="237" t="s">
        <v>579</v>
      </c>
      <c r="B17" s="238">
        <v>43453866484.039848</v>
      </c>
      <c r="C17" s="238">
        <v>14949329618.898636</v>
      </c>
      <c r="D17" s="238">
        <v>14114095435.076376</v>
      </c>
      <c r="E17" s="238">
        <v>10837332885.31241</v>
      </c>
      <c r="F17" s="238">
        <v>57567961919.116219</v>
      </c>
      <c r="G17" s="238">
        <v>25786662504.21104</v>
      </c>
      <c r="I17" s="230" t="s">
        <v>606</v>
      </c>
      <c r="J17" s="228">
        <v>0</v>
      </c>
      <c r="K17" s="228">
        <v>0</v>
      </c>
      <c r="L17" s="228">
        <v>0</v>
      </c>
      <c r="M17" s="228">
        <v>20132730649</v>
      </c>
      <c r="N17" s="228">
        <v>15794446196</v>
      </c>
      <c r="O17" s="228">
        <v>35927176845</v>
      </c>
      <c r="P17" s="228">
        <v>20132730649</v>
      </c>
      <c r="Q17" s="228">
        <v>15794446196</v>
      </c>
      <c r="R17" s="228">
        <v>35927176845</v>
      </c>
      <c r="S17" s="239"/>
      <c r="T17" t="s">
        <v>607</v>
      </c>
      <c r="U17" s="240">
        <v>0</v>
      </c>
      <c r="V17" s="240">
        <v>0</v>
      </c>
      <c r="W17" s="240">
        <v>0</v>
      </c>
      <c r="X17" s="240">
        <v>20153837159</v>
      </c>
      <c r="Y17" s="240">
        <v>15816186175</v>
      </c>
      <c r="Z17" s="240">
        <v>35970023334</v>
      </c>
      <c r="AA17" s="240">
        <v>20153837159</v>
      </c>
      <c r="AB17" s="240">
        <v>15816186175</v>
      </c>
      <c r="AC17" s="240">
        <v>35970023334</v>
      </c>
      <c r="AE17" t="s">
        <v>607</v>
      </c>
      <c r="AF17" s="240">
        <f t="shared" si="11"/>
        <v>0</v>
      </c>
      <c r="AG17" s="240">
        <f t="shared" si="12"/>
        <v>0</v>
      </c>
      <c r="AH17" s="240">
        <f t="shared" si="13"/>
        <v>0</v>
      </c>
      <c r="AI17" s="240">
        <f t="shared" si="14"/>
        <v>20153837.159000002</v>
      </c>
      <c r="AJ17" s="240">
        <f t="shared" si="15"/>
        <v>15816186.175000001</v>
      </c>
      <c r="AK17" s="240">
        <f t="shared" si="16"/>
        <v>35970023.333999999</v>
      </c>
      <c r="AL17" s="240">
        <f t="shared" si="17"/>
        <v>20153837.159000002</v>
      </c>
      <c r="AM17" s="240">
        <f t="shared" si="18"/>
        <v>15816186.175000001</v>
      </c>
      <c r="AN17" s="240">
        <f t="shared" si="19"/>
        <v>35970023.333999999</v>
      </c>
    </row>
    <row r="18" spans="1:40" x14ac:dyDescent="0.25">
      <c r="A18" s="230" t="s">
        <v>596</v>
      </c>
      <c r="B18" s="228">
        <v>41412764928.550545</v>
      </c>
      <c r="C18" s="228">
        <v>14344174607.805138</v>
      </c>
      <c r="D18" s="228">
        <v>13575450041.297749</v>
      </c>
      <c r="E18" s="228">
        <v>10301136754.388906</v>
      </c>
      <c r="F18" s="228">
        <v>54988214969.848297</v>
      </c>
      <c r="G18" s="228">
        <v>24645311362.194046</v>
      </c>
      <c r="I18" s="230" t="s">
        <v>607</v>
      </c>
      <c r="J18" s="228">
        <v>0</v>
      </c>
      <c r="K18" s="228">
        <v>0</v>
      </c>
      <c r="L18" s="228">
        <v>0</v>
      </c>
      <c r="M18" s="228">
        <v>20153837159</v>
      </c>
      <c r="N18" s="228">
        <v>15816186175</v>
      </c>
      <c r="O18" s="228">
        <v>35970023334</v>
      </c>
      <c r="P18" s="228">
        <v>20153837159</v>
      </c>
      <c r="Q18" s="228">
        <v>15816186175</v>
      </c>
      <c r="R18" s="228">
        <v>35970023334</v>
      </c>
      <c r="T18" t="s">
        <v>565</v>
      </c>
      <c r="U18" s="240">
        <v>0</v>
      </c>
      <c r="V18" s="240">
        <v>0</v>
      </c>
      <c r="W18" s="240">
        <v>0</v>
      </c>
      <c r="X18" s="240">
        <v>20147122959.666668</v>
      </c>
      <c r="Y18" s="240">
        <v>15796905323.333334</v>
      </c>
      <c r="Z18" s="240">
        <v>35944028283</v>
      </c>
      <c r="AA18" s="240">
        <v>20147122959.666668</v>
      </c>
      <c r="AB18" s="240">
        <v>15796905323.333334</v>
      </c>
      <c r="AC18" s="240">
        <v>35944028283</v>
      </c>
      <c r="AF18" s="240"/>
      <c r="AG18" s="240"/>
      <c r="AH18" s="240"/>
      <c r="AI18" s="240"/>
      <c r="AJ18" s="240"/>
      <c r="AK18" s="240"/>
      <c r="AL18" s="240"/>
      <c r="AM18" s="240"/>
      <c r="AN18" s="240"/>
    </row>
    <row r="19" spans="1:40" x14ac:dyDescent="0.25">
      <c r="A19" s="230" t="s">
        <v>597</v>
      </c>
      <c r="B19" s="228">
        <v>41492133144.129395</v>
      </c>
      <c r="C19" s="228">
        <v>14338671951.417471</v>
      </c>
      <c r="D19" s="228">
        <v>13556899957.095909</v>
      </c>
      <c r="E19" s="228">
        <v>10317360873.560974</v>
      </c>
      <c r="F19" s="228">
        <v>55049033101.225304</v>
      </c>
      <c r="G19" s="228">
        <v>24656032824.978443</v>
      </c>
    </row>
    <row r="20" spans="1:40" x14ac:dyDescent="0.25">
      <c r="A20" s="230" t="s">
        <v>598</v>
      </c>
      <c r="B20" s="228">
        <v>41689377531.52832</v>
      </c>
      <c r="C20" s="228">
        <v>14389107537.936651</v>
      </c>
      <c r="D20" s="228">
        <v>13587482423.759024</v>
      </c>
      <c r="E20" s="228">
        <v>10363693683.943645</v>
      </c>
      <c r="F20" s="228">
        <v>55276859955.287346</v>
      </c>
      <c r="G20" s="228">
        <v>24752801221.880299</v>
      </c>
    </row>
    <row r="21" spans="1:40" x14ac:dyDescent="0.25">
      <c r="A21" s="230" t="s">
        <v>599</v>
      </c>
      <c r="B21" s="228">
        <v>41893693794.81633</v>
      </c>
      <c r="C21" s="228">
        <v>14448119364.683731</v>
      </c>
      <c r="D21" s="228">
        <v>13658161040.342596</v>
      </c>
      <c r="E21" s="228">
        <v>10436146134.295401</v>
      </c>
      <c r="F21" s="228">
        <v>55551854835.158928</v>
      </c>
      <c r="G21" s="228">
        <v>24884265498.97913</v>
      </c>
    </row>
    <row r="22" spans="1:40" x14ac:dyDescent="0.25">
      <c r="A22" s="230" t="s">
        <v>600</v>
      </c>
      <c r="B22" s="228">
        <v>42028716433.503952</v>
      </c>
      <c r="C22" s="228">
        <v>14474202460.279303</v>
      </c>
      <c r="D22" s="228">
        <v>13650260559.967369</v>
      </c>
      <c r="E22" s="228">
        <v>10455981672.870468</v>
      </c>
      <c r="F22" s="228">
        <v>55678976993.471321</v>
      </c>
      <c r="G22" s="228">
        <v>24930184133.149773</v>
      </c>
    </row>
    <row r="23" spans="1:40" x14ac:dyDescent="0.25">
      <c r="A23" s="230" t="s">
        <v>601</v>
      </c>
      <c r="B23" s="228">
        <v>42051494056.711189</v>
      </c>
      <c r="C23" s="228">
        <v>14454401135.575151</v>
      </c>
      <c r="D23" s="228">
        <v>13673344879.106573</v>
      </c>
      <c r="E23" s="228">
        <v>10488651757.441307</v>
      </c>
      <c r="F23" s="228">
        <v>55724838935.817764</v>
      </c>
      <c r="G23" s="228">
        <v>24943052893.01646</v>
      </c>
    </row>
    <row r="24" spans="1:40" x14ac:dyDescent="0.25">
      <c r="A24" s="230" t="s">
        <v>602</v>
      </c>
      <c r="B24" s="228">
        <v>43968064599.592735</v>
      </c>
      <c r="C24" s="228">
        <v>15094747143.016346</v>
      </c>
      <c r="D24" s="228">
        <v>14296200721.375242</v>
      </c>
      <c r="E24" s="228">
        <v>10984398268.326876</v>
      </c>
      <c r="F24" s="228">
        <v>58264265320.967979</v>
      </c>
      <c r="G24" s="228">
        <v>26079145411.343224</v>
      </c>
    </row>
    <row r="25" spans="1:40" x14ac:dyDescent="0.25">
      <c r="A25" s="230" t="s">
        <v>603</v>
      </c>
      <c r="B25" s="228">
        <v>44239652802.527435</v>
      </c>
      <c r="C25" s="228">
        <v>15183281289.48546</v>
      </c>
      <c r="D25" s="228">
        <v>14359653915.897924</v>
      </c>
      <c r="E25" s="228">
        <v>11056169211.807955</v>
      </c>
      <c r="F25" s="228">
        <v>58599306718.425362</v>
      </c>
      <c r="G25" s="228">
        <v>26239450501.293415</v>
      </c>
    </row>
    <row r="26" spans="1:40" x14ac:dyDescent="0.25">
      <c r="A26" s="230" t="s">
        <v>604</v>
      </c>
      <c r="B26" s="228">
        <v>44825753490.339638</v>
      </c>
      <c r="C26" s="228">
        <v>15361682293.239056</v>
      </c>
      <c r="D26" s="228">
        <v>14520121666.492722</v>
      </c>
      <c r="E26" s="228">
        <v>11196683921.068314</v>
      </c>
      <c r="F26" s="228">
        <v>59345875156.832359</v>
      </c>
      <c r="G26" s="228">
        <v>26558366214.307369</v>
      </c>
    </row>
    <row r="27" spans="1:40" x14ac:dyDescent="0.25">
      <c r="A27" s="230" t="s">
        <v>605</v>
      </c>
      <c r="B27" s="228">
        <v>45558468926.131744</v>
      </c>
      <c r="C27" s="228">
        <v>15619780966.110331</v>
      </c>
      <c r="D27" s="228">
        <v>14731002156.65905</v>
      </c>
      <c r="E27" s="228">
        <v>11378658505.587618</v>
      </c>
      <c r="F27" s="228">
        <v>60289471082.790794</v>
      </c>
      <c r="G27" s="228">
        <v>26998439471.697948</v>
      </c>
    </row>
    <row r="28" spans="1:40" x14ac:dyDescent="0.25">
      <c r="A28" s="230" t="s">
        <v>606</v>
      </c>
      <c r="B28" s="228">
        <v>45907806144.015701</v>
      </c>
      <c r="C28" s="228">
        <v>15757842457.160728</v>
      </c>
      <c r="D28" s="228">
        <v>14819941119.248938</v>
      </c>
      <c r="E28" s="228">
        <v>11477733789.488827</v>
      </c>
      <c r="F28" s="228">
        <v>60727747263.264633</v>
      </c>
      <c r="G28" s="228">
        <v>27235576246.649555</v>
      </c>
    </row>
    <row r="29" spans="1:40" x14ac:dyDescent="0.25">
      <c r="A29" s="230" t="s">
        <v>607</v>
      </c>
      <c r="B29" s="228">
        <v>46378471956.631134</v>
      </c>
      <c r="C29" s="228">
        <v>15925944220.074242</v>
      </c>
      <c r="D29" s="228">
        <v>14940626739.673445</v>
      </c>
      <c r="E29" s="228">
        <v>11591380050.96863</v>
      </c>
      <c r="F29" s="228">
        <v>61319098696.304581</v>
      </c>
      <c r="G29" s="228">
        <v>27517324271.042873</v>
      </c>
    </row>
    <row r="30" spans="1:40" s="239" customFormat="1" x14ac:dyDescent="0.25">
      <c r="A30" s="237" t="s">
        <v>580</v>
      </c>
      <c r="B30" s="238">
        <v>4061495668.9687133</v>
      </c>
      <c r="C30" s="238">
        <v>1394304840.9271979</v>
      </c>
      <c r="D30" s="238">
        <v>18608107348.715408</v>
      </c>
      <c r="E30" s="238">
        <v>14541108885.050779</v>
      </c>
      <c r="F30" s="238">
        <v>22669603017.684124</v>
      </c>
      <c r="G30" s="238">
        <v>15935413725.977976</v>
      </c>
      <c r="H30"/>
      <c r="I30"/>
      <c r="J30"/>
      <c r="K30"/>
      <c r="L30"/>
      <c r="M30"/>
      <c r="N30"/>
      <c r="O30"/>
    </row>
    <row r="31" spans="1:40" x14ac:dyDescent="0.25">
      <c r="A31" s="230" t="s">
        <v>596</v>
      </c>
      <c r="B31" s="228">
        <v>48737948027.624557</v>
      </c>
      <c r="C31" s="228">
        <v>16731658091.126375</v>
      </c>
      <c r="D31" s="228">
        <v>16210542125.044081</v>
      </c>
      <c r="E31" s="228">
        <v>12595583261.466858</v>
      </c>
      <c r="F31" s="228">
        <v>64948490152.66864</v>
      </c>
      <c r="G31" s="228">
        <v>29327241352.593231</v>
      </c>
    </row>
    <row r="32" spans="1:40" x14ac:dyDescent="0.25">
      <c r="A32" s="230" t="s">
        <v>597</v>
      </c>
      <c r="B32" s="228">
        <v>0</v>
      </c>
      <c r="C32" s="228">
        <v>0</v>
      </c>
      <c r="D32" s="228">
        <v>17091973483.192741</v>
      </c>
      <c r="E32" s="228">
        <v>13299723403.619192</v>
      </c>
      <c r="F32" s="228">
        <v>17091973483.192741</v>
      </c>
      <c r="G32" s="228">
        <v>13299723403.619192</v>
      </c>
    </row>
    <row r="33" spans="1:7" x14ac:dyDescent="0.25">
      <c r="A33" s="230" t="s">
        <v>598</v>
      </c>
      <c r="B33" s="228">
        <v>0</v>
      </c>
      <c r="C33" s="228">
        <v>0</v>
      </c>
      <c r="D33" s="228">
        <v>17424606452.911678</v>
      </c>
      <c r="E33" s="228">
        <v>13573744962.130131</v>
      </c>
      <c r="F33" s="228">
        <v>17424606452.911678</v>
      </c>
      <c r="G33" s="228">
        <v>13573744962.130131</v>
      </c>
    </row>
    <row r="34" spans="1:7" x14ac:dyDescent="0.25">
      <c r="A34" s="230" t="s">
        <v>599</v>
      </c>
      <c r="B34" s="228">
        <v>0</v>
      </c>
      <c r="C34" s="228">
        <v>0</v>
      </c>
      <c r="D34" s="228">
        <v>17641980698.009972</v>
      </c>
      <c r="E34" s="228">
        <v>13769718696.30522</v>
      </c>
      <c r="F34" s="228">
        <v>17641980698.009972</v>
      </c>
      <c r="G34" s="228">
        <v>13769718696.30522</v>
      </c>
    </row>
    <row r="35" spans="1:7" x14ac:dyDescent="0.25">
      <c r="A35" s="230" t="s">
        <v>600</v>
      </c>
      <c r="B35" s="228">
        <v>0</v>
      </c>
      <c r="C35" s="228">
        <v>0</v>
      </c>
      <c r="D35" s="228">
        <v>17891632863.695015</v>
      </c>
      <c r="E35" s="228">
        <v>13984257091.629864</v>
      </c>
      <c r="F35" s="228">
        <v>17891632863.695015</v>
      </c>
      <c r="G35" s="228">
        <v>13984257091.629864</v>
      </c>
    </row>
    <row r="36" spans="1:7" x14ac:dyDescent="0.25">
      <c r="A36" s="230" t="s">
        <v>601</v>
      </c>
      <c r="B36" s="228">
        <v>0</v>
      </c>
      <c r="C36" s="228">
        <v>0</v>
      </c>
      <c r="D36" s="228">
        <v>18154510583.825241</v>
      </c>
      <c r="E36" s="228">
        <v>14178908328.029295</v>
      </c>
      <c r="F36" s="228">
        <v>18154510583.825241</v>
      </c>
      <c r="G36" s="228">
        <v>14178908328.029295</v>
      </c>
    </row>
    <row r="37" spans="1:7" x14ac:dyDescent="0.25">
      <c r="A37" s="230" t="s">
        <v>602</v>
      </c>
      <c r="B37" s="228">
        <v>0</v>
      </c>
      <c r="C37" s="228">
        <v>0</v>
      </c>
      <c r="D37" s="228">
        <v>19337226013.322685</v>
      </c>
      <c r="E37" s="228">
        <v>15116052668.109373</v>
      </c>
      <c r="F37" s="228">
        <v>19337226013.322685</v>
      </c>
      <c r="G37" s="228">
        <v>15116052668.109373</v>
      </c>
    </row>
    <row r="38" spans="1:7" x14ac:dyDescent="0.25">
      <c r="A38" s="230" t="s">
        <v>603</v>
      </c>
      <c r="B38" s="228">
        <v>0</v>
      </c>
      <c r="C38" s="228">
        <v>0</v>
      </c>
      <c r="D38" s="228">
        <v>19615995290.222252</v>
      </c>
      <c r="E38" s="228">
        <v>15334641090.347298</v>
      </c>
      <c r="F38" s="228">
        <v>19615995290.222252</v>
      </c>
      <c r="G38" s="228">
        <v>15334641090.347298</v>
      </c>
    </row>
    <row r="39" spans="1:7" x14ac:dyDescent="0.25">
      <c r="A39" s="230" t="s">
        <v>604</v>
      </c>
      <c r="B39" s="228">
        <v>0</v>
      </c>
      <c r="C39" s="228">
        <v>0</v>
      </c>
      <c r="D39" s="228">
        <v>19795507702.981388</v>
      </c>
      <c r="E39" s="228">
        <v>15491241215.056953</v>
      </c>
      <c r="F39" s="228">
        <v>19795507702.981388</v>
      </c>
      <c r="G39" s="228">
        <v>15491241215.056953</v>
      </c>
    </row>
    <row r="40" spans="1:7" x14ac:dyDescent="0.25">
      <c r="A40" s="230" t="s">
        <v>605</v>
      </c>
      <c r="B40" s="228">
        <v>0</v>
      </c>
      <c r="C40" s="228">
        <v>0</v>
      </c>
      <c r="D40" s="228">
        <v>19903687043.913326</v>
      </c>
      <c r="E40" s="228">
        <v>15583475340.434208</v>
      </c>
      <c r="F40" s="228">
        <v>19903687043.913326</v>
      </c>
      <c r="G40" s="228">
        <v>15583475340.434208</v>
      </c>
    </row>
    <row r="41" spans="1:7" x14ac:dyDescent="0.25">
      <c r="A41" s="230" t="s">
        <v>606</v>
      </c>
      <c r="B41" s="228">
        <v>0</v>
      </c>
      <c r="C41" s="228">
        <v>0</v>
      </c>
      <c r="D41" s="228">
        <v>20075788768.466526</v>
      </c>
      <c r="E41" s="228">
        <v>15749774388.480951</v>
      </c>
      <c r="F41" s="228">
        <v>20075788768.466526</v>
      </c>
      <c r="G41" s="228">
        <v>15749774388.480951</v>
      </c>
    </row>
    <row r="42" spans="1:7" x14ac:dyDescent="0.25">
      <c r="A42" s="230" t="s">
        <v>607</v>
      </c>
      <c r="B42" s="228">
        <v>0</v>
      </c>
      <c r="C42" s="228">
        <v>0</v>
      </c>
      <c r="D42" s="228">
        <v>20153837159</v>
      </c>
      <c r="E42" s="228">
        <v>15816186175</v>
      </c>
      <c r="F42" s="228">
        <v>20153837159</v>
      </c>
      <c r="G42" s="228">
        <v>15816186175</v>
      </c>
    </row>
    <row r="43" spans="1:7" x14ac:dyDescent="0.25">
      <c r="A43" s="227" t="s">
        <v>565</v>
      </c>
      <c r="B43" s="228">
        <v>19676256282.276787</v>
      </c>
      <c r="C43" s="228">
        <v>7386963480.0933323</v>
      </c>
      <c r="D43" s="228">
        <v>8525316752.7444334</v>
      </c>
      <c r="E43" s="228">
        <v>6252795520.6978397</v>
      </c>
      <c r="F43" s="228">
        <v>28201573035.02121</v>
      </c>
      <c r="G43" s="228">
        <v>13639759000.791176</v>
      </c>
    </row>
    <row r="52" spans="1:15" x14ac:dyDescent="0.25">
      <c r="A52" t="s">
        <v>564</v>
      </c>
      <c r="B52" t="s">
        <v>592</v>
      </c>
      <c r="C52" t="s">
        <v>591</v>
      </c>
      <c r="D52" t="s">
        <v>593</v>
      </c>
      <c r="E52" t="s">
        <v>590</v>
      </c>
      <c r="F52" t="s">
        <v>595</v>
      </c>
      <c r="G52" t="s">
        <v>594</v>
      </c>
      <c r="I52" t="s">
        <v>564</v>
      </c>
      <c r="J52" t="s">
        <v>592</v>
      </c>
      <c r="K52" t="s">
        <v>591</v>
      </c>
      <c r="L52" t="s">
        <v>593</v>
      </c>
      <c r="M52" t="s">
        <v>590</v>
      </c>
      <c r="N52" t="s">
        <v>595</v>
      </c>
      <c r="O52" t="s">
        <v>594</v>
      </c>
    </row>
    <row r="53" spans="1:15" x14ac:dyDescent="0.25">
      <c r="A53" t="s">
        <v>566</v>
      </c>
      <c r="B53">
        <v>8246926869.2877502</v>
      </c>
      <c r="C53" s="240">
        <v>3973207724.5979996</v>
      </c>
      <c r="D53">
        <v>3969656243.1597457</v>
      </c>
      <c r="E53">
        <v>3064613569.4954667</v>
      </c>
      <c r="F53">
        <v>12216583112.447495</v>
      </c>
      <c r="G53">
        <v>7037821294.0934668</v>
      </c>
      <c r="I53" t="s">
        <v>566</v>
      </c>
      <c r="J53" s="240">
        <v>8246926.8692877507</v>
      </c>
      <c r="K53" s="240">
        <v>3973207.7245979994</v>
      </c>
      <c r="L53" s="240">
        <v>3969656.2431597458</v>
      </c>
      <c r="M53" s="240">
        <v>3064613.5694954665</v>
      </c>
      <c r="N53" s="240">
        <v>12216583.112447495</v>
      </c>
      <c r="O53" s="240">
        <v>7037821.2940934664</v>
      </c>
    </row>
    <row r="54" spans="1:15" x14ac:dyDescent="0.25">
      <c r="A54" t="s">
        <v>567</v>
      </c>
      <c r="B54">
        <v>10831943415.048538</v>
      </c>
      <c r="C54">
        <v>4778493385.1598539</v>
      </c>
      <c r="D54">
        <v>5149103046.8522663</v>
      </c>
      <c r="E54">
        <v>3655592972.6395154</v>
      </c>
      <c r="F54">
        <v>15981046461.900803</v>
      </c>
      <c r="G54">
        <v>8434086357.799367</v>
      </c>
      <c r="I54" t="s">
        <v>567</v>
      </c>
      <c r="J54" s="240">
        <v>10831943.415048538</v>
      </c>
      <c r="K54" s="240">
        <v>4778493.3851598538</v>
      </c>
      <c r="L54" s="240">
        <v>5149103.0468522664</v>
      </c>
      <c r="M54" s="240">
        <v>3655592.9726395155</v>
      </c>
      <c r="N54" s="240">
        <v>15981046.461900802</v>
      </c>
      <c r="O54" s="240">
        <v>8434086.3577993661</v>
      </c>
    </row>
    <row r="55" spans="1:15" x14ac:dyDescent="0.25">
      <c r="A55" t="s">
        <v>568</v>
      </c>
      <c r="B55">
        <v>13095567640.080732</v>
      </c>
      <c r="C55">
        <v>5502966223.7595825</v>
      </c>
      <c r="D55">
        <v>5973329799.6957197</v>
      </c>
      <c r="E55">
        <v>4181931763.7496819</v>
      </c>
      <c r="F55">
        <v>19068897439.776447</v>
      </c>
      <c r="G55">
        <v>9684897987.5092659</v>
      </c>
      <c r="I55" t="s">
        <v>568</v>
      </c>
      <c r="J55" s="240">
        <v>13095567.640080733</v>
      </c>
      <c r="K55" s="240">
        <v>5502966.2237595823</v>
      </c>
      <c r="L55" s="240">
        <v>5973329.79969572</v>
      </c>
      <c r="M55" s="240">
        <v>4181931.7637496819</v>
      </c>
      <c r="N55" s="240">
        <v>19068897.439776447</v>
      </c>
      <c r="O55" s="240">
        <v>9684897.9875092655</v>
      </c>
    </row>
    <row r="56" spans="1:15" x14ac:dyDescent="0.25">
      <c r="A56" t="s">
        <v>569</v>
      </c>
      <c r="B56">
        <v>13994994329.511679</v>
      </c>
      <c r="C56">
        <v>5780107940.9241409</v>
      </c>
      <c r="D56">
        <v>6221600908.5936813</v>
      </c>
      <c r="E56">
        <v>4373494706.5970135</v>
      </c>
      <c r="F56">
        <v>20216595238.105358</v>
      </c>
      <c r="G56">
        <v>10153602647.521154</v>
      </c>
      <c r="I56" t="s">
        <v>569</v>
      </c>
      <c r="J56" s="240">
        <v>13994994.329511678</v>
      </c>
      <c r="K56" s="240">
        <v>5780107.9409241406</v>
      </c>
      <c r="L56" s="240">
        <v>6221600.9085936816</v>
      </c>
      <c r="M56" s="240">
        <v>4373494.7065970134</v>
      </c>
      <c r="N56" s="240">
        <v>20216595.238105357</v>
      </c>
      <c r="O56" s="240">
        <v>10153602.647521155</v>
      </c>
    </row>
    <row r="57" spans="1:15" x14ac:dyDescent="0.25">
      <c r="A57" t="s">
        <v>570</v>
      </c>
      <c r="B57">
        <v>14900591934.083181</v>
      </c>
      <c r="C57">
        <v>6027641672.6388502</v>
      </c>
      <c r="D57">
        <v>6305334741.0595312</v>
      </c>
      <c r="E57">
        <v>4448180899.6762056</v>
      </c>
      <c r="F57">
        <v>21205926675.142715</v>
      </c>
      <c r="G57">
        <v>10475822572.315058</v>
      </c>
      <c r="I57" t="s">
        <v>570</v>
      </c>
      <c r="J57" s="240">
        <v>14900591.934083181</v>
      </c>
      <c r="K57" s="240">
        <v>6027641.6726388503</v>
      </c>
      <c r="L57" s="240">
        <v>6305334.7410595315</v>
      </c>
      <c r="M57" s="240">
        <v>4448180.8996762056</v>
      </c>
      <c r="N57" s="240">
        <v>21205926.675142717</v>
      </c>
      <c r="O57" s="240">
        <v>10475822.572315058</v>
      </c>
    </row>
    <row r="58" spans="1:15" x14ac:dyDescent="0.25">
      <c r="A58" t="s">
        <v>571</v>
      </c>
      <c r="B58">
        <v>15464510652.205984</v>
      </c>
      <c r="C58">
        <v>6127638130.4877253</v>
      </c>
      <c r="D58">
        <v>6133300571.7438841</v>
      </c>
      <c r="E58">
        <v>4291617400.8795981</v>
      </c>
      <c r="F58">
        <v>21597811223.949871</v>
      </c>
      <c r="G58">
        <v>10419255531.367325</v>
      </c>
      <c r="I58" t="s">
        <v>571</v>
      </c>
      <c r="J58" s="240">
        <v>15464510.652205985</v>
      </c>
      <c r="K58" s="240">
        <v>6127638.1304877251</v>
      </c>
      <c r="L58" s="240">
        <v>6133300.5717438841</v>
      </c>
      <c r="M58" s="240">
        <v>4291617.4008795982</v>
      </c>
      <c r="N58" s="240">
        <v>21597811.223949872</v>
      </c>
      <c r="O58" s="240">
        <v>10419255.531367324</v>
      </c>
    </row>
    <row r="59" spans="1:15" x14ac:dyDescent="0.25">
      <c r="A59" t="s">
        <v>572</v>
      </c>
      <c r="B59">
        <v>16719242118.712105</v>
      </c>
      <c r="C59">
        <v>6443033859.5210752</v>
      </c>
      <c r="D59">
        <v>6332875385.4161987</v>
      </c>
      <c r="E59">
        <v>4376817385.0717344</v>
      </c>
      <c r="F59">
        <v>23052117504.128307</v>
      </c>
      <c r="G59">
        <v>10819851244.592808</v>
      </c>
      <c r="I59" t="s">
        <v>572</v>
      </c>
      <c r="J59" s="240">
        <v>16719242.118712105</v>
      </c>
      <c r="K59" s="240">
        <v>6443033.8595210752</v>
      </c>
      <c r="L59" s="240">
        <v>6332875.3854161985</v>
      </c>
      <c r="M59" s="240">
        <v>4376817.385071734</v>
      </c>
      <c r="N59" s="240">
        <v>23052117.504128307</v>
      </c>
      <c r="O59" s="240">
        <v>10819851.244592808</v>
      </c>
    </row>
    <row r="60" spans="1:15" x14ac:dyDescent="0.25">
      <c r="A60" t="s">
        <v>573</v>
      </c>
      <c r="B60">
        <v>18210702843.160507</v>
      </c>
      <c r="C60">
        <v>6946083183.5916548</v>
      </c>
      <c r="D60">
        <v>6761441395.714366</v>
      </c>
      <c r="E60">
        <v>4771430769.2962599</v>
      </c>
      <c r="F60">
        <v>24972144238.874874</v>
      </c>
      <c r="G60">
        <v>11717513952.887915</v>
      </c>
      <c r="I60" t="s">
        <v>573</v>
      </c>
      <c r="J60" s="240">
        <v>18210702.843160506</v>
      </c>
      <c r="K60" s="240">
        <v>6946083.1835916545</v>
      </c>
      <c r="L60" s="240">
        <v>6761441.3957143659</v>
      </c>
      <c r="M60" s="240">
        <v>4771430.7692962596</v>
      </c>
      <c r="N60" s="240">
        <v>24972144.238874875</v>
      </c>
      <c r="O60" s="240">
        <v>11717513.952887915</v>
      </c>
    </row>
    <row r="61" spans="1:15" x14ac:dyDescent="0.25">
      <c r="A61" t="s">
        <v>574</v>
      </c>
      <c r="B61">
        <v>19783296657.483814</v>
      </c>
      <c r="C61">
        <v>7425619705.3861189</v>
      </c>
      <c r="D61">
        <v>7362010767.830924</v>
      </c>
      <c r="E61">
        <v>5231600971.8967381</v>
      </c>
      <c r="F61">
        <v>27145307425.314739</v>
      </c>
      <c r="G61">
        <v>12657220677.28286</v>
      </c>
      <c r="I61" t="s">
        <v>574</v>
      </c>
      <c r="J61" s="240">
        <v>19783296.657483812</v>
      </c>
      <c r="K61" s="240">
        <v>7425619.705386119</v>
      </c>
      <c r="L61" s="240">
        <v>7362010.7678309241</v>
      </c>
      <c r="M61" s="240">
        <v>5231600.9718967378</v>
      </c>
      <c r="N61" s="240">
        <v>27145307.425314739</v>
      </c>
      <c r="O61" s="240">
        <v>12657220.677282861</v>
      </c>
    </row>
    <row r="62" spans="1:15" x14ac:dyDescent="0.25">
      <c r="A62" t="s">
        <v>575</v>
      </c>
      <c r="B62">
        <v>23013211595.87286</v>
      </c>
      <c r="C62">
        <v>8501264270.2728071</v>
      </c>
      <c r="D62">
        <v>8483630715.9830093</v>
      </c>
      <c r="E62">
        <v>6104356781.0873613</v>
      </c>
      <c r="F62">
        <v>31496842311.855865</v>
      </c>
      <c r="G62">
        <v>14605621051.360168</v>
      </c>
      <c r="I62" t="s">
        <v>575</v>
      </c>
      <c r="J62" s="240">
        <v>23013211.59587286</v>
      </c>
      <c r="K62" s="240">
        <v>8501264.2702728063</v>
      </c>
      <c r="L62" s="240">
        <v>8483630.715983009</v>
      </c>
      <c r="M62" s="240">
        <v>6104356.7810873613</v>
      </c>
      <c r="N62" s="240">
        <v>31496842.311855864</v>
      </c>
      <c r="O62" s="240">
        <v>14605621.051360168</v>
      </c>
    </row>
    <row r="63" spans="1:15" x14ac:dyDescent="0.25">
      <c r="A63" t="s">
        <v>576</v>
      </c>
      <c r="B63">
        <v>24370427621.370571</v>
      </c>
      <c r="C63">
        <v>8842345357.059454</v>
      </c>
      <c r="D63">
        <v>8863104958.5664921</v>
      </c>
      <c r="E63">
        <v>6451885180.39046</v>
      </c>
      <c r="F63">
        <v>33233532579.937061</v>
      </c>
      <c r="G63">
        <v>15294230537.449913</v>
      </c>
      <c r="I63" t="s">
        <v>576</v>
      </c>
      <c r="J63" s="240">
        <v>24370427.621370573</v>
      </c>
      <c r="K63" s="240">
        <v>8842345.3570594545</v>
      </c>
      <c r="L63" s="240">
        <v>8863104.9585664924</v>
      </c>
      <c r="M63" s="240">
        <v>6451885.1803904604</v>
      </c>
      <c r="N63" s="240">
        <v>33233532.579937063</v>
      </c>
      <c r="O63" s="240">
        <v>15294230.537449913</v>
      </c>
    </row>
    <row r="64" spans="1:15" x14ac:dyDescent="0.25">
      <c r="A64" t="s">
        <v>577</v>
      </c>
      <c r="B64">
        <v>26689511249.196259</v>
      </c>
      <c r="C64">
        <v>9492244005.0758266</v>
      </c>
      <c r="D64">
        <v>9429656004.8587437</v>
      </c>
      <c r="E64">
        <v>6956454754.7894373</v>
      </c>
      <c r="F64">
        <v>36119167254.055008</v>
      </c>
      <c r="G64">
        <v>16448698759.865265</v>
      </c>
      <c r="I64" t="s">
        <v>577</v>
      </c>
      <c r="J64" s="240">
        <v>26689511.249196257</v>
      </c>
      <c r="K64" s="240">
        <v>9492244.0050758272</v>
      </c>
      <c r="L64" s="240">
        <v>9429656.0048587434</v>
      </c>
      <c r="M64" s="240">
        <v>6956454.7547894372</v>
      </c>
      <c r="N64" s="240">
        <v>36119167.254055008</v>
      </c>
      <c r="O64" s="240">
        <v>16448698.759865265</v>
      </c>
    </row>
    <row r="65" spans="1:15" x14ac:dyDescent="0.25">
      <c r="A65" t="s">
        <v>578</v>
      </c>
      <c r="B65">
        <v>36592890448.634682</v>
      </c>
      <c r="C65">
        <v>12913294405.351358</v>
      </c>
      <c r="D65">
        <v>11894673713.107821</v>
      </c>
      <c r="E65">
        <v>8911422908.9337215</v>
      </c>
      <c r="F65">
        <v>48487564161.742493</v>
      </c>
      <c r="G65">
        <v>21824717314.285076</v>
      </c>
      <c r="I65" t="s">
        <v>578</v>
      </c>
      <c r="J65" s="240">
        <v>36592890.448634684</v>
      </c>
      <c r="K65" s="240">
        <v>12913294.405351358</v>
      </c>
      <c r="L65" s="240">
        <v>11894673.713107821</v>
      </c>
      <c r="M65" s="240">
        <v>8911422.9089337215</v>
      </c>
      <c r="N65" s="240">
        <v>48487564.161742494</v>
      </c>
      <c r="O65" s="240">
        <v>21824717.314285077</v>
      </c>
    </row>
    <row r="66" spans="1:15" x14ac:dyDescent="0.25">
      <c r="A66" t="s">
        <v>579</v>
      </c>
      <c r="B66">
        <v>43453866484.039848</v>
      </c>
      <c r="C66">
        <v>14949329618.898636</v>
      </c>
      <c r="D66">
        <v>14114095435.076376</v>
      </c>
      <c r="E66">
        <v>10837332885.31241</v>
      </c>
      <c r="F66">
        <v>57567961919.116219</v>
      </c>
      <c r="G66">
        <v>25786662504.21104</v>
      </c>
      <c r="I66" t="s">
        <v>596</v>
      </c>
      <c r="J66" s="240">
        <v>41412764.928550541</v>
      </c>
      <c r="K66" s="240">
        <v>14344174.607805138</v>
      </c>
      <c r="L66" s="240">
        <v>13575450.041297749</v>
      </c>
      <c r="M66" s="240">
        <v>10301136.754388906</v>
      </c>
      <c r="N66" s="240">
        <v>54988214.969848298</v>
      </c>
      <c r="O66" s="240">
        <v>24645311.362194046</v>
      </c>
    </row>
    <row r="67" spans="1:15" x14ac:dyDescent="0.25">
      <c r="A67" t="s">
        <v>596</v>
      </c>
      <c r="B67">
        <v>41412764928.550545</v>
      </c>
      <c r="C67">
        <v>14344174607.805138</v>
      </c>
      <c r="D67">
        <v>13575450041.297749</v>
      </c>
      <c r="E67">
        <v>10301136754.388906</v>
      </c>
      <c r="F67">
        <v>54988214969.848297</v>
      </c>
      <c r="G67">
        <v>24645311362.194046</v>
      </c>
      <c r="I67" t="s">
        <v>597</v>
      </c>
      <c r="J67" s="240">
        <v>41492133.144129395</v>
      </c>
      <c r="K67" s="240">
        <v>14338671.95141747</v>
      </c>
      <c r="L67" s="240">
        <v>13556899.95709591</v>
      </c>
      <c r="M67" s="240">
        <v>10317360.873560974</v>
      </c>
      <c r="N67" s="240">
        <v>55049033.101225302</v>
      </c>
      <c r="O67" s="240">
        <v>24656032.824978445</v>
      </c>
    </row>
    <row r="68" spans="1:15" x14ac:dyDescent="0.25">
      <c r="A68" t="s">
        <v>597</v>
      </c>
      <c r="B68">
        <v>41492133144.129395</v>
      </c>
      <c r="C68">
        <v>14338671951.417471</v>
      </c>
      <c r="D68">
        <v>13556899957.095909</v>
      </c>
      <c r="E68">
        <v>10317360873.560974</v>
      </c>
      <c r="F68">
        <v>55049033101.225304</v>
      </c>
      <c r="G68">
        <v>24656032824.978443</v>
      </c>
      <c r="I68" t="s">
        <v>598</v>
      </c>
      <c r="J68" s="240">
        <v>41689377.531528324</v>
      </c>
      <c r="K68" s="240">
        <v>14389107.537936652</v>
      </c>
      <c r="L68" s="240">
        <v>13587482.423759025</v>
      </c>
      <c r="M68" s="240">
        <v>10363693.683943646</v>
      </c>
      <c r="N68" s="240">
        <v>55276859.955287345</v>
      </c>
      <c r="O68" s="240">
        <v>24752801.221880298</v>
      </c>
    </row>
    <row r="69" spans="1:15" x14ac:dyDescent="0.25">
      <c r="A69" t="s">
        <v>598</v>
      </c>
      <c r="B69">
        <v>41689377531.52832</v>
      </c>
      <c r="C69">
        <v>14389107537.936651</v>
      </c>
      <c r="D69">
        <v>13587482423.759024</v>
      </c>
      <c r="E69">
        <v>10363693683.943645</v>
      </c>
      <c r="F69">
        <v>55276859955.287346</v>
      </c>
      <c r="G69">
        <v>24752801221.880299</v>
      </c>
      <c r="I69" t="s">
        <v>599</v>
      </c>
      <c r="J69" s="240">
        <v>41893693.79481633</v>
      </c>
      <c r="K69" s="240">
        <v>14448119.364683731</v>
      </c>
      <c r="L69" s="240">
        <v>13658161.040342595</v>
      </c>
      <c r="M69" s="240">
        <v>10436146.1342954</v>
      </c>
      <c r="N69" s="240">
        <v>55551854.835158929</v>
      </c>
      <c r="O69" s="240">
        <v>24884265.498979129</v>
      </c>
    </row>
    <row r="70" spans="1:15" x14ac:dyDescent="0.25">
      <c r="A70" t="s">
        <v>599</v>
      </c>
      <c r="B70">
        <v>41893693794.81633</v>
      </c>
      <c r="C70">
        <v>14448119364.683731</v>
      </c>
      <c r="D70">
        <v>13658161040.342596</v>
      </c>
      <c r="E70">
        <v>10436146134.295401</v>
      </c>
      <c r="F70">
        <v>55551854835.158928</v>
      </c>
      <c r="G70">
        <v>24884265498.97913</v>
      </c>
      <c r="I70" t="s">
        <v>600</v>
      </c>
      <c r="J70" s="240">
        <v>42028716.433503956</v>
      </c>
      <c r="K70" s="240">
        <v>14474202.460279303</v>
      </c>
      <c r="L70" s="240">
        <v>13650260.559967369</v>
      </c>
      <c r="M70" s="240">
        <v>10455981.672870468</v>
      </c>
      <c r="N70" s="240">
        <v>55678976.993471324</v>
      </c>
      <c r="O70" s="240">
        <v>24930184.133149773</v>
      </c>
    </row>
    <row r="71" spans="1:15" x14ac:dyDescent="0.25">
      <c r="A71" t="s">
        <v>600</v>
      </c>
      <c r="B71">
        <v>42028716433.503952</v>
      </c>
      <c r="C71">
        <v>14474202460.279303</v>
      </c>
      <c r="D71">
        <v>13650260559.967369</v>
      </c>
      <c r="E71">
        <v>10455981672.870468</v>
      </c>
      <c r="F71">
        <v>55678976993.471321</v>
      </c>
      <c r="G71">
        <v>24930184133.149773</v>
      </c>
      <c r="I71" t="s">
        <v>601</v>
      </c>
      <c r="J71" s="240">
        <v>42051494.056711189</v>
      </c>
      <c r="K71" s="240">
        <v>14454401.135575151</v>
      </c>
      <c r="L71" s="240">
        <v>13673344.879106574</v>
      </c>
      <c r="M71" s="240">
        <v>10488651.757441306</v>
      </c>
      <c r="N71" s="240">
        <v>55724838.935817763</v>
      </c>
      <c r="O71" s="240">
        <v>24943052.893016461</v>
      </c>
    </row>
    <row r="72" spans="1:15" x14ac:dyDescent="0.25">
      <c r="A72" t="s">
        <v>601</v>
      </c>
      <c r="B72">
        <v>42051494056.711189</v>
      </c>
      <c r="C72">
        <v>14454401135.575151</v>
      </c>
      <c r="D72">
        <v>13673344879.106573</v>
      </c>
      <c r="E72">
        <v>10488651757.441307</v>
      </c>
      <c r="F72">
        <v>55724838935.817764</v>
      </c>
      <c r="G72">
        <v>24943052893.01646</v>
      </c>
      <c r="I72" t="s">
        <v>602</v>
      </c>
      <c r="J72" s="240">
        <v>43968064.599592738</v>
      </c>
      <c r="K72" s="240">
        <v>15094747.143016346</v>
      </c>
      <c r="L72" s="240">
        <v>14296200.721375242</v>
      </c>
      <c r="M72" s="240">
        <v>10984398.268326875</v>
      </c>
      <c r="N72" s="240">
        <v>58264265.32096798</v>
      </c>
      <c r="O72" s="240">
        <v>26079145.411343224</v>
      </c>
    </row>
    <row r="73" spans="1:15" x14ac:dyDescent="0.25">
      <c r="A73" t="s">
        <v>602</v>
      </c>
      <c r="B73">
        <v>43968064599.592735</v>
      </c>
      <c r="C73">
        <v>15094747143.016346</v>
      </c>
      <c r="D73">
        <v>14296200721.375242</v>
      </c>
      <c r="E73">
        <v>10984398268.326876</v>
      </c>
      <c r="F73">
        <v>58264265320.967979</v>
      </c>
      <c r="G73">
        <v>26079145411.343224</v>
      </c>
      <c r="I73" t="s">
        <v>603</v>
      </c>
      <c r="J73" s="240">
        <v>44239652.802527435</v>
      </c>
      <c r="K73" s="240">
        <v>15183281.28948546</v>
      </c>
      <c r="L73" s="240">
        <v>14359653.915897924</v>
      </c>
      <c r="M73" s="240">
        <v>11056169.211807955</v>
      </c>
      <c r="N73" s="240">
        <v>58599306.718425363</v>
      </c>
      <c r="O73" s="240">
        <v>26239450.501293413</v>
      </c>
    </row>
    <row r="74" spans="1:15" x14ac:dyDescent="0.25">
      <c r="A74" t="s">
        <v>603</v>
      </c>
      <c r="B74">
        <v>44239652802.527435</v>
      </c>
      <c r="C74">
        <v>15183281289.48546</v>
      </c>
      <c r="D74">
        <v>14359653915.897924</v>
      </c>
      <c r="E74">
        <v>11056169211.807955</v>
      </c>
      <c r="F74">
        <v>58599306718.425362</v>
      </c>
      <c r="G74">
        <v>26239450501.293415</v>
      </c>
      <c r="I74" t="s">
        <v>604</v>
      </c>
      <c r="J74" s="240">
        <v>44825753.490339637</v>
      </c>
      <c r="K74" s="240">
        <v>15361682.293239055</v>
      </c>
      <c r="L74" s="240">
        <v>14520121.666492721</v>
      </c>
      <c r="M74" s="240">
        <v>11196683.921068314</v>
      </c>
      <c r="N74" s="240">
        <v>59345875.15683236</v>
      </c>
      <c r="O74" s="240">
        <v>26558366.214307368</v>
      </c>
    </row>
    <row r="75" spans="1:15" x14ac:dyDescent="0.25">
      <c r="A75" t="s">
        <v>604</v>
      </c>
      <c r="B75">
        <v>44825753490.339638</v>
      </c>
      <c r="C75">
        <v>15361682293.239056</v>
      </c>
      <c r="D75">
        <v>14520121666.492722</v>
      </c>
      <c r="E75">
        <v>11196683921.068314</v>
      </c>
      <c r="F75">
        <v>59345875156.832359</v>
      </c>
      <c r="G75">
        <v>26558366214.307369</v>
      </c>
      <c r="I75" t="s">
        <v>605</v>
      </c>
      <c r="J75" s="240">
        <v>45558468.926131748</v>
      </c>
      <c r="K75" s="240">
        <v>15619780.96611033</v>
      </c>
      <c r="L75" s="240">
        <v>14731002.15665905</v>
      </c>
      <c r="M75" s="240">
        <v>11378658.505587619</v>
      </c>
      <c r="N75" s="240">
        <v>60289471.082790792</v>
      </c>
      <c r="O75" s="240">
        <v>26998439.471697949</v>
      </c>
    </row>
    <row r="76" spans="1:15" x14ac:dyDescent="0.25">
      <c r="A76" t="s">
        <v>605</v>
      </c>
      <c r="B76">
        <v>45558468926.131744</v>
      </c>
      <c r="C76">
        <v>15619780966.110331</v>
      </c>
      <c r="D76">
        <v>14731002156.65905</v>
      </c>
      <c r="E76">
        <v>11378658505.587618</v>
      </c>
      <c r="F76">
        <v>60289471082.790794</v>
      </c>
      <c r="G76">
        <v>26998439471.697948</v>
      </c>
      <c r="I76" t="s">
        <v>606</v>
      </c>
      <c r="J76" s="240">
        <v>45907806.1440157</v>
      </c>
      <c r="K76" s="240">
        <v>15757842.457160728</v>
      </c>
      <c r="L76" s="240">
        <v>14819941.119248938</v>
      </c>
      <c r="M76" s="240">
        <v>11477733.789488826</v>
      </c>
      <c r="N76" s="240">
        <v>60727747.263264634</v>
      </c>
      <c r="O76" s="240">
        <v>27235576.246649556</v>
      </c>
    </row>
    <row r="77" spans="1:15" x14ac:dyDescent="0.25">
      <c r="A77" t="s">
        <v>606</v>
      </c>
      <c r="B77">
        <v>45907806144.015701</v>
      </c>
      <c r="C77">
        <v>15757842457.160728</v>
      </c>
      <c r="D77">
        <v>14819941119.248938</v>
      </c>
      <c r="E77">
        <v>11477733789.488827</v>
      </c>
      <c r="F77">
        <v>60727747263.264633</v>
      </c>
      <c r="G77">
        <v>27235576246.649555</v>
      </c>
      <c r="I77" t="s">
        <v>607</v>
      </c>
      <c r="J77" s="240">
        <v>46378471.956631131</v>
      </c>
      <c r="K77" s="240">
        <v>15925944.220074242</v>
      </c>
      <c r="L77" s="240">
        <v>14940626.739673445</v>
      </c>
      <c r="M77" s="240">
        <v>11591380.05096863</v>
      </c>
      <c r="N77" s="240">
        <v>61319098.696304582</v>
      </c>
      <c r="O77" s="240">
        <v>27517324.271042872</v>
      </c>
    </row>
    <row r="78" spans="1:15" x14ac:dyDescent="0.25">
      <c r="A78" t="s">
        <v>607</v>
      </c>
      <c r="B78">
        <v>46378471956.631134</v>
      </c>
      <c r="C78">
        <v>15925944220.074242</v>
      </c>
      <c r="D78">
        <v>14940626739.673445</v>
      </c>
      <c r="E78">
        <v>11591380050.96863</v>
      </c>
      <c r="F78">
        <v>61319098696.304581</v>
      </c>
      <c r="G78">
        <v>27517324271.042873</v>
      </c>
      <c r="I78" t="s">
        <v>596</v>
      </c>
      <c r="J78" s="240">
        <v>48737948.027624555</v>
      </c>
      <c r="K78" s="240">
        <v>16731658.091126375</v>
      </c>
      <c r="L78" s="240">
        <v>16210542.125044081</v>
      </c>
      <c r="M78" s="240">
        <v>12595583.261466857</v>
      </c>
      <c r="N78" s="240">
        <v>64948490.15266864</v>
      </c>
      <c r="O78" s="240">
        <v>29327241.352593232</v>
      </c>
    </row>
    <row r="79" spans="1:15" x14ac:dyDescent="0.25">
      <c r="A79" t="s">
        <v>580</v>
      </c>
      <c r="B79">
        <v>4061495668.9687133</v>
      </c>
      <c r="C79">
        <v>1394304840.9271979</v>
      </c>
      <c r="D79">
        <v>18608107348.715408</v>
      </c>
      <c r="E79">
        <v>14541108885.050779</v>
      </c>
      <c r="F79">
        <v>22669603017.684124</v>
      </c>
      <c r="G79">
        <v>15935413725.977976</v>
      </c>
      <c r="I79" t="s">
        <v>597</v>
      </c>
      <c r="J79" s="240">
        <v>0</v>
      </c>
      <c r="K79" s="240">
        <v>0</v>
      </c>
      <c r="L79" s="240">
        <v>17091973.483192742</v>
      </c>
      <c r="M79" s="240">
        <v>13299723.403619193</v>
      </c>
      <c r="N79" s="240">
        <v>17091973.483192742</v>
      </c>
      <c r="O79" s="240">
        <v>13299723.403619193</v>
      </c>
    </row>
    <row r="80" spans="1:15" x14ac:dyDescent="0.25">
      <c r="A80" t="s">
        <v>596</v>
      </c>
      <c r="B80">
        <v>48737948027.624557</v>
      </c>
      <c r="C80">
        <v>16731658091.126375</v>
      </c>
      <c r="D80">
        <v>16210542125.044081</v>
      </c>
      <c r="E80">
        <v>12595583261.466858</v>
      </c>
      <c r="F80">
        <v>64948490152.66864</v>
      </c>
      <c r="G80">
        <v>29327241352.593231</v>
      </c>
      <c r="I80" t="s">
        <v>598</v>
      </c>
      <c r="J80" s="240">
        <v>0</v>
      </c>
      <c r="K80" s="240">
        <v>0</v>
      </c>
      <c r="L80" s="240">
        <v>17424606.452911679</v>
      </c>
      <c r="M80" s="240">
        <v>13573744.962130131</v>
      </c>
      <c r="N80" s="240">
        <v>17424606.452911679</v>
      </c>
      <c r="O80" s="240">
        <v>13573744.962130131</v>
      </c>
    </row>
    <row r="81" spans="1:15" x14ac:dyDescent="0.25">
      <c r="A81" t="s">
        <v>597</v>
      </c>
      <c r="B81">
        <v>0</v>
      </c>
      <c r="C81">
        <v>0</v>
      </c>
      <c r="D81">
        <v>17091973483.192741</v>
      </c>
      <c r="E81">
        <v>13299723403.619192</v>
      </c>
      <c r="F81">
        <v>17091973483.192741</v>
      </c>
      <c r="G81">
        <v>13299723403.619192</v>
      </c>
      <c r="I81" t="s">
        <v>599</v>
      </c>
      <c r="J81" s="240">
        <v>0</v>
      </c>
      <c r="K81" s="240">
        <v>0</v>
      </c>
      <c r="L81" s="240">
        <v>17641980.698009972</v>
      </c>
      <c r="M81" s="240">
        <v>13769718.696305219</v>
      </c>
      <c r="N81" s="240">
        <v>17641980.698009972</v>
      </c>
      <c r="O81" s="240">
        <v>13769718.696305219</v>
      </c>
    </row>
    <row r="82" spans="1:15" x14ac:dyDescent="0.25">
      <c r="A82" t="s">
        <v>598</v>
      </c>
      <c r="B82">
        <v>0</v>
      </c>
      <c r="C82">
        <v>0</v>
      </c>
      <c r="D82">
        <v>17424606452.911678</v>
      </c>
      <c r="E82">
        <v>13573744962.130131</v>
      </c>
      <c r="F82">
        <v>17424606452.911678</v>
      </c>
      <c r="G82">
        <v>13573744962.130131</v>
      </c>
      <c r="I82" t="s">
        <v>600</v>
      </c>
      <c r="J82" s="240">
        <v>0</v>
      </c>
      <c r="K82" s="240">
        <v>0</v>
      </c>
      <c r="L82" s="240">
        <v>17891632.863695014</v>
      </c>
      <c r="M82" s="240">
        <v>13984257.091629865</v>
      </c>
      <c r="N82" s="240">
        <v>17891632.863695014</v>
      </c>
      <c r="O82" s="240">
        <v>13984257.091629865</v>
      </c>
    </row>
    <row r="83" spans="1:15" x14ac:dyDescent="0.25">
      <c r="A83" t="s">
        <v>599</v>
      </c>
      <c r="B83">
        <v>0</v>
      </c>
      <c r="C83">
        <v>0</v>
      </c>
      <c r="D83">
        <v>17641980698.009972</v>
      </c>
      <c r="E83">
        <v>13769718696.30522</v>
      </c>
      <c r="F83">
        <v>17641980698.009972</v>
      </c>
      <c r="G83">
        <v>13769718696.30522</v>
      </c>
      <c r="I83" t="s">
        <v>601</v>
      </c>
      <c r="J83" s="240">
        <v>0</v>
      </c>
      <c r="K83" s="240">
        <v>0</v>
      </c>
      <c r="L83" s="240">
        <v>18154510.583825242</v>
      </c>
      <c r="M83" s="240">
        <v>14178908.328029295</v>
      </c>
      <c r="N83" s="240">
        <v>18154510.583825242</v>
      </c>
      <c r="O83" s="240">
        <v>14178908.328029295</v>
      </c>
    </row>
    <row r="84" spans="1:15" x14ac:dyDescent="0.25">
      <c r="A84" t="s">
        <v>600</v>
      </c>
      <c r="B84">
        <v>0</v>
      </c>
      <c r="C84">
        <v>0</v>
      </c>
      <c r="D84">
        <v>17891632863.695015</v>
      </c>
      <c r="E84">
        <v>13984257091.629864</v>
      </c>
      <c r="F84">
        <v>17891632863.695015</v>
      </c>
      <c r="G84">
        <v>13984257091.629864</v>
      </c>
      <c r="I84" t="s">
        <v>602</v>
      </c>
      <c r="J84" s="240">
        <v>0</v>
      </c>
      <c r="K84" s="240">
        <v>0</v>
      </c>
      <c r="L84" s="240">
        <v>19337226.013322685</v>
      </c>
      <c r="M84" s="240">
        <v>15116052.668109372</v>
      </c>
      <c r="N84" s="240">
        <v>19337226.013322685</v>
      </c>
      <c r="O84" s="240">
        <v>15116052.668109372</v>
      </c>
    </row>
    <row r="85" spans="1:15" x14ac:dyDescent="0.25">
      <c r="A85" t="s">
        <v>601</v>
      </c>
      <c r="B85">
        <v>0</v>
      </c>
      <c r="C85">
        <v>0</v>
      </c>
      <c r="D85">
        <v>18154510583.825241</v>
      </c>
      <c r="E85">
        <v>14178908328.029295</v>
      </c>
      <c r="F85">
        <v>18154510583.825241</v>
      </c>
      <c r="G85">
        <v>14178908328.029295</v>
      </c>
      <c r="I85" t="s">
        <v>603</v>
      </c>
      <c r="J85" s="240">
        <v>0</v>
      </c>
      <c r="K85" s="240">
        <v>0</v>
      </c>
      <c r="L85" s="240">
        <v>19615995.290222254</v>
      </c>
      <c r="M85" s="240">
        <v>15334641.090347297</v>
      </c>
      <c r="N85" s="240">
        <v>19615995.290222254</v>
      </c>
      <c r="O85" s="240">
        <v>15334641.090347297</v>
      </c>
    </row>
    <row r="86" spans="1:15" x14ac:dyDescent="0.25">
      <c r="A86" t="s">
        <v>602</v>
      </c>
      <c r="B86">
        <v>0</v>
      </c>
      <c r="C86">
        <v>0</v>
      </c>
      <c r="D86">
        <v>19337226013.322685</v>
      </c>
      <c r="E86">
        <v>15116052668.109373</v>
      </c>
      <c r="F86">
        <v>19337226013.322685</v>
      </c>
      <c r="G86">
        <v>15116052668.109373</v>
      </c>
      <c r="I86" t="s">
        <v>604</v>
      </c>
      <c r="J86" s="240">
        <v>0</v>
      </c>
      <c r="K86" s="240">
        <v>0</v>
      </c>
      <c r="L86" s="240">
        <v>19795507.702981386</v>
      </c>
      <c r="M86" s="240">
        <v>15491241.215056954</v>
      </c>
      <c r="N86" s="240">
        <v>19795507.702981386</v>
      </c>
      <c r="O86" s="240">
        <v>15491241.215056954</v>
      </c>
    </row>
    <row r="87" spans="1:15" x14ac:dyDescent="0.25">
      <c r="A87" t="s">
        <v>603</v>
      </c>
      <c r="B87">
        <v>0</v>
      </c>
      <c r="C87">
        <v>0</v>
      </c>
      <c r="D87">
        <v>19615995290.222252</v>
      </c>
      <c r="E87">
        <v>15334641090.347298</v>
      </c>
      <c r="F87">
        <v>19615995290.222252</v>
      </c>
      <c r="G87">
        <v>15334641090.347298</v>
      </c>
      <c r="I87" t="s">
        <v>605</v>
      </c>
      <c r="J87" s="240">
        <v>0</v>
      </c>
      <c r="K87" s="240">
        <v>0</v>
      </c>
      <c r="L87" s="240">
        <v>19903687.043913327</v>
      </c>
      <c r="M87" s="240">
        <v>15583475.340434209</v>
      </c>
      <c r="N87" s="240">
        <v>19903687.043913327</v>
      </c>
      <c r="O87" s="240">
        <v>15583475.340434209</v>
      </c>
    </row>
    <row r="88" spans="1:15" x14ac:dyDescent="0.25">
      <c r="A88" t="s">
        <v>604</v>
      </c>
      <c r="B88">
        <v>0</v>
      </c>
      <c r="C88">
        <v>0</v>
      </c>
      <c r="D88">
        <v>19795507702.981388</v>
      </c>
      <c r="E88">
        <v>15491241215.056953</v>
      </c>
      <c r="F88">
        <v>19795507702.981388</v>
      </c>
      <c r="G88">
        <v>15491241215.056953</v>
      </c>
      <c r="I88" t="s">
        <v>606</v>
      </c>
      <c r="J88" s="240">
        <v>0</v>
      </c>
      <c r="K88" s="240">
        <v>0</v>
      </c>
      <c r="L88" s="240">
        <v>20075788.768466525</v>
      </c>
      <c r="M88" s="240">
        <v>15749774.388480952</v>
      </c>
      <c r="N88" s="240">
        <v>20075788.768466525</v>
      </c>
      <c r="O88" s="240">
        <v>15749774.388480952</v>
      </c>
    </row>
    <row r="89" spans="1:15" x14ac:dyDescent="0.25">
      <c r="A89" t="s">
        <v>605</v>
      </c>
      <c r="B89">
        <v>0</v>
      </c>
      <c r="C89">
        <v>0</v>
      </c>
      <c r="D89">
        <v>19903687043.913326</v>
      </c>
      <c r="E89">
        <v>15583475340.434208</v>
      </c>
      <c r="F89">
        <v>19903687043.913326</v>
      </c>
      <c r="G89">
        <v>15583475340.434208</v>
      </c>
      <c r="I89" t="s">
        <v>607</v>
      </c>
      <c r="J89" s="240">
        <v>0</v>
      </c>
      <c r="K89" s="240">
        <v>0</v>
      </c>
      <c r="L89" s="240">
        <v>20153837.159000002</v>
      </c>
      <c r="M89" s="240">
        <v>15816186.175000001</v>
      </c>
      <c r="N89" s="240">
        <v>20153837.159000002</v>
      </c>
      <c r="O89" s="240">
        <v>15816186.175000001</v>
      </c>
    </row>
    <row r="90" spans="1:15" x14ac:dyDescent="0.25">
      <c r="A90" t="s">
        <v>606</v>
      </c>
      <c r="B90">
        <v>0</v>
      </c>
      <c r="C90">
        <v>0</v>
      </c>
      <c r="D90">
        <v>20075788768.466526</v>
      </c>
      <c r="E90">
        <v>15749774388.480951</v>
      </c>
      <c r="F90">
        <v>20075788768.466526</v>
      </c>
      <c r="G90">
        <v>15749774388.480951</v>
      </c>
    </row>
    <row r="91" spans="1:15" x14ac:dyDescent="0.25">
      <c r="A91" t="s">
        <v>607</v>
      </c>
      <c r="B91">
        <v>0</v>
      </c>
      <c r="C91">
        <v>0</v>
      </c>
      <c r="D91">
        <v>20153837159</v>
      </c>
      <c r="E91">
        <v>15816186175</v>
      </c>
      <c r="F91">
        <v>20153837159</v>
      </c>
      <c r="G91">
        <v>15816186175</v>
      </c>
    </row>
    <row r="92" spans="1:15" x14ac:dyDescent="0.25">
      <c r="A92" t="s">
        <v>565</v>
      </c>
      <c r="B92">
        <v>19676256282.276787</v>
      </c>
      <c r="C92">
        <v>7386963480.0933323</v>
      </c>
      <c r="D92">
        <v>8525316752.7444334</v>
      </c>
      <c r="E92">
        <v>6252795520.6978397</v>
      </c>
      <c r="F92">
        <v>28201573035.02121</v>
      </c>
      <c r="G92">
        <v>13639759000.791176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2FC61-4380-4D6A-BB5F-FB9CDCD43873}">
  <sheetPr>
    <tabColor theme="9"/>
  </sheetPr>
  <dimension ref="B2:AH89"/>
  <sheetViews>
    <sheetView showGridLines="0" workbookViewId="0"/>
  </sheetViews>
  <sheetFormatPr baseColWidth="10" defaultRowHeight="15" x14ac:dyDescent="0.25"/>
  <cols>
    <col min="2" max="2" width="19.7109375" customWidth="1"/>
    <col min="3" max="3" width="23.28515625" customWidth="1"/>
    <col min="4" max="4" width="14.5703125" customWidth="1"/>
    <col min="5" max="5" width="16.28515625" customWidth="1"/>
    <col min="6" max="6" width="16.5703125" customWidth="1"/>
    <col min="7" max="9" width="15.5703125" customWidth="1"/>
    <col min="10" max="10" width="14.5703125" customWidth="1"/>
    <col min="11" max="11" width="16.5703125" customWidth="1"/>
    <col min="12" max="12" width="16.42578125" customWidth="1"/>
    <col min="13" max="15" width="15.5703125" bestFit="1" customWidth="1"/>
    <col min="16" max="16" width="15.85546875" bestFit="1" customWidth="1"/>
    <col min="17" max="17" width="14.85546875" customWidth="1"/>
    <col min="19" max="19" width="14.140625" customWidth="1"/>
    <col min="21" max="21" width="18.7109375" customWidth="1"/>
    <col min="25" max="25" width="15.28515625" customWidth="1"/>
    <col min="29" max="29" width="12" bestFit="1" customWidth="1"/>
    <col min="33" max="33" width="14" customWidth="1"/>
  </cols>
  <sheetData>
    <row r="2" spans="2:12" ht="23.25" x14ac:dyDescent="0.25">
      <c r="B2" s="1" t="s">
        <v>0</v>
      </c>
    </row>
    <row r="4" spans="2:12" ht="18.75" x14ac:dyDescent="0.3">
      <c r="B4" s="2" t="s">
        <v>895</v>
      </c>
      <c r="C4" s="2"/>
      <c r="D4" s="2"/>
      <c r="E4" s="2"/>
      <c r="F4" s="2"/>
    </row>
    <row r="5" spans="2:12" x14ac:dyDescent="0.25">
      <c r="B5" s="3" t="s">
        <v>520</v>
      </c>
    </row>
    <row r="7" spans="2:12" x14ac:dyDescent="0.25">
      <c r="D7" s="465" t="s">
        <v>87</v>
      </c>
      <c r="E7" s="466"/>
      <c r="F7" s="467"/>
      <c r="G7" s="464" t="s">
        <v>88</v>
      </c>
      <c r="H7" s="464"/>
      <c r="I7" s="464"/>
      <c r="J7" s="464" t="s">
        <v>609</v>
      </c>
      <c r="K7" s="464"/>
      <c r="L7" s="464"/>
    </row>
    <row r="8" spans="2:12" ht="30" x14ac:dyDescent="0.25">
      <c r="B8" s="154" t="s">
        <v>487</v>
      </c>
      <c r="C8" s="154" t="s">
        <v>492</v>
      </c>
      <c r="D8" s="154" t="s">
        <v>2</v>
      </c>
      <c r="E8" s="179" t="s">
        <v>611</v>
      </c>
      <c r="F8" s="179" t="s">
        <v>612</v>
      </c>
      <c r="G8" s="154" t="s">
        <v>2</v>
      </c>
      <c r="H8" s="179" t="s">
        <v>611</v>
      </c>
      <c r="I8" s="179" t="s">
        <v>612</v>
      </c>
      <c r="J8" s="154" t="s">
        <v>2</v>
      </c>
      <c r="K8" s="179" t="s">
        <v>611</v>
      </c>
      <c r="L8" s="179" t="s">
        <v>612</v>
      </c>
    </row>
    <row r="9" spans="2:12" x14ac:dyDescent="0.25">
      <c r="B9" s="462" t="s">
        <v>971</v>
      </c>
      <c r="C9" s="170" t="s">
        <v>3</v>
      </c>
      <c r="D9" s="337"/>
      <c r="E9" s="338"/>
      <c r="F9" s="338"/>
      <c r="G9" s="337"/>
      <c r="H9" s="338"/>
      <c r="I9" s="338"/>
      <c r="J9" s="339"/>
      <c r="K9" s="339"/>
      <c r="L9" s="339"/>
    </row>
    <row r="10" spans="2:12" x14ac:dyDescent="0.25">
      <c r="B10" s="463"/>
      <c r="C10" s="170" t="s">
        <v>4</v>
      </c>
      <c r="D10" s="315">
        <v>103979</v>
      </c>
      <c r="E10" s="315">
        <v>20154801.070999999</v>
      </c>
      <c r="F10" s="347">
        <f>+[1]PBS!$AF$181</f>
        <v>20409083.267605245</v>
      </c>
      <c r="G10" s="347">
        <v>81414</v>
      </c>
      <c r="H10" s="347">
        <v>15780083.598999999</v>
      </c>
      <c r="I10" s="347">
        <f>+[1]PBS!$AG$181</f>
        <v>15979172.357357515</v>
      </c>
      <c r="J10" s="347">
        <v>185393</v>
      </c>
      <c r="K10" s="347">
        <v>35934884.670000002</v>
      </c>
      <c r="L10" s="347">
        <f>+[1]PBS!$AH$181</f>
        <v>36388255.624962762</v>
      </c>
    </row>
    <row r="11" spans="2:12" x14ac:dyDescent="0.25">
      <c r="B11" s="463"/>
      <c r="C11" s="170" t="s">
        <v>714</v>
      </c>
      <c r="D11" s="315">
        <v>322141</v>
      </c>
      <c r="E11" s="315">
        <v>62098939.511</v>
      </c>
      <c r="F11" s="347">
        <f>+[1]PGU_desagr!$AB$18</f>
        <v>62882408.158995435</v>
      </c>
      <c r="G11" s="347">
        <v>109963</v>
      </c>
      <c r="H11" s="347">
        <v>21312758.105999999</v>
      </c>
      <c r="I11" s="347">
        <f>+[1]PGU_desagr!$AC$18</f>
        <v>21581649.618638534</v>
      </c>
      <c r="J11" s="347">
        <v>432104</v>
      </c>
      <c r="K11" s="347">
        <v>83411697.616999999</v>
      </c>
      <c r="L11" s="347">
        <f>+[1]PGU_desagr!$AD$18</f>
        <v>84464057.777633965</v>
      </c>
    </row>
    <row r="12" spans="2:12" x14ac:dyDescent="0.25">
      <c r="B12" s="463"/>
      <c r="C12" s="170" t="s">
        <v>501</v>
      </c>
      <c r="D12" s="315">
        <v>686334</v>
      </c>
      <c r="E12" s="315">
        <v>131986560.543</v>
      </c>
      <c r="F12" s="347">
        <f>+[1]PGU_desagr!$AE$18</f>
        <v>133651763.41049623</v>
      </c>
      <c r="G12" s="347">
        <v>563950</v>
      </c>
      <c r="H12" s="347">
        <v>108014882.678</v>
      </c>
      <c r="I12" s="347">
        <f>+[1]PGU_desagr!$AF$18</f>
        <v>109377647.88400048</v>
      </c>
      <c r="J12" s="347">
        <v>1250284</v>
      </c>
      <c r="K12" s="347">
        <v>240001443.22099999</v>
      </c>
      <c r="L12" s="347">
        <f>+[1]PGU_desagr!$AG$18</f>
        <v>243029411.29449672</v>
      </c>
    </row>
    <row r="13" spans="2:12" x14ac:dyDescent="0.25">
      <c r="B13" s="463"/>
      <c r="C13" s="170" t="s">
        <v>5</v>
      </c>
      <c r="D13" s="315">
        <v>109393</v>
      </c>
      <c r="E13" s="315">
        <v>23196045.528999999</v>
      </c>
      <c r="F13" s="347">
        <v>23488697.457882408</v>
      </c>
      <c r="G13" s="347">
        <v>63815</v>
      </c>
      <c r="H13" s="347">
        <v>13590242.085999999</v>
      </c>
      <c r="I13" s="347">
        <v>13761702.801382475</v>
      </c>
      <c r="J13" s="347">
        <v>173208</v>
      </c>
      <c r="K13" s="347">
        <v>36786287.615000002</v>
      </c>
      <c r="L13" s="347">
        <v>37250400.259264886</v>
      </c>
    </row>
    <row r="14" spans="2:12" x14ac:dyDescent="0.25">
      <c r="B14" s="463"/>
      <c r="C14" s="170" t="s">
        <v>6</v>
      </c>
      <c r="D14" s="315">
        <v>45739</v>
      </c>
      <c r="E14" s="315">
        <v>7659976.4989999998</v>
      </c>
      <c r="F14" s="347">
        <v>7756618.2690303121</v>
      </c>
      <c r="G14" s="347">
        <v>46381</v>
      </c>
      <c r="H14" s="347">
        <v>7378442.3490000004</v>
      </c>
      <c r="I14" s="347">
        <v>7471532.1553156022</v>
      </c>
      <c r="J14" s="347">
        <v>92120</v>
      </c>
      <c r="K14" s="347">
        <v>15038418.847999999</v>
      </c>
      <c r="L14" s="347">
        <v>15228150.424345914</v>
      </c>
    </row>
    <row r="15" spans="2:12" x14ac:dyDescent="0.25">
      <c r="B15" s="463"/>
      <c r="C15" s="170" t="s">
        <v>756</v>
      </c>
      <c r="D15" s="339"/>
      <c r="E15" s="339"/>
      <c r="F15" s="339"/>
      <c r="G15" s="339"/>
      <c r="H15" s="339"/>
      <c r="I15" s="339"/>
      <c r="J15" s="339"/>
      <c r="K15" s="339"/>
      <c r="L15" s="339"/>
    </row>
    <row r="16" spans="2:12" x14ac:dyDescent="0.25">
      <c r="B16" s="463"/>
      <c r="C16" s="285" t="s">
        <v>491</v>
      </c>
      <c r="D16" s="340">
        <f>SUM(D9:D15)</f>
        <v>1267586</v>
      </c>
      <c r="E16" s="340">
        <f t="shared" ref="E16:L16" si="0">SUM(E9:E15)</f>
        <v>245096323.153</v>
      </c>
      <c r="F16" s="340">
        <f t="shared" si="0"/>
        <v>248188570.56400964</v>
      </c>
      <c r="G16" s="340">
        <f t="shared" si="0"/>
        <v>865523</v>
      </c>
      <c r="H16" s="340">
        <f t="shared" si="0"/>
        <v>166076408.81800002</v>
      </c>
      <c r="I16" s="340">
        <f t="shared" si="0"/>
        <v>168171704.81669462</v>
      </c>
      <c r="J16" s="340">
        <f t="shared" si="0"/>
        <v>2133109</v>
      </c>
      <c r="K16" s="340">
        <f t="shared" si="0"/>
        <v>411172731.97100002</v>
      </c>
      <c r="L16" s="340">
        <f t="shared" si="0"/>
        <v>416360275.38070422</v>
      </c>
    </row>
    <row r="17" spans="2:12" x14ac:dyDescent="0.25">
      <c r="B17" s="462" t="s">
        <v>972</v>
      </c>
      <c r="C17" s="170" t="s">
        <v>3</v>
      </c>
      <c r="D17" s="341"/>
      <c r="E17" s="341"/>
      <c r="F17" s="341"/>
      <c r="G17" s="341"/>
      <c r="H17" s="341"/>
      <c r="I17" s="341"/>
      <c r="J17" s="339"/>
      <c r="K17" s="339"/>
      <c r="L17" s="339"/>
    </row>
    <row r="18" spans="2:12" x14ac:dyDescent="0.25">
      <c r="B18" s="463"/>
      <c r="C18" s="170" t="s">
        <v>4</v>
      </c>
      <c r="D18" s="315">
        <v>103866</v>
      </c>
      <c r="E18" s="315">
        <v>20132730.649</v>
      </c>
      <c r="F18" s="347">
        <f>+[1]PBS!$AF$182</f>
        <v>20189834.036401078</v>
      </c>
      <c r="G18" s="347">
        <v>81490</v>
      </c>
      <c r="H18" s="347">
        <v>15794446.196</v>
      </c>
      <c r="I18" s="347">
        <f>+[1]PBS!$AG$182</f>
        <v>15839244.708215751</v>
      </c>
      <c r="J18" s="347">
        <v>185356</v>
      </c>
      <c r="K18" s="347">
        <v>35927176.844999999</v>
      </c>
      <c r="L18" s="347">
        <f>+[1]PBS!$AH$182</f>
        <v>36029078.744616829</v>
      </c>
    </row>
    <row r="19" spans="2:12" x14ac:dyDescent="0.25">
      <c r="B19" s="463"/>
      <c r="C19" s="170" t="s">
        <v>714</v>
      </c>
      <c r="D19" s="315">
        <v>327443</v>
      </c>
      <c r="E19" s="315">
        <v>63080932.634000003</v>
      </c>
      <c r="F19" s="347">
        <f>+[1]PGU_desagr!$AB$19</f>
        <v>63259851.976667479</v>
      </c>
      <c r="G19" s="347">
        <v>121585</v>
      </c>
      <c r="H19" s="347">
        <v>23564397.059999999</v>
      </c>
      <c r="I19" s="347">
        <f>+[1]PGU_desagr!$AC$19</f>
        <v>23631233.840248529</v>
      </c>
      <c r="J19" s="347">
        <v>449028</v>
      </c>
      <c r="K19" s="347">
        <v>86645329.694000006</v>
      </c>
      <c r="L19" s="347">
        <f>+[1]PGU_desagr!$AD$19</f>
        <v>86891085.816916019</v>
      </c>
    </row>
    <row r="20" spans="2:12" x14ac:dyDescent="0.25">
      <c r="B20" s="463"/>
      <c r="C20" s="170" t="s">
        <v>501</v>
      </c>
      <c r="D20" s="315">
        <v>704099</v>
      </c>
      <c r="E20" s="315">
        <v>135236238.01499999</v>
      </c>
      <c r="F20" s="347">
        <f>+[1]PGU_desagr!$AE$19</f>
        <v>135619814.75998658</v>
      </c>
      <c r="G20" s="347">
        <v>584193</v>
      </c>
      <c r="H20" s="347">
        <v>111537201.04000001</v>
      </c>
      <c r="I20" s="347">
        <f>+[1]PGU_desagr!$AF$19</f>
        <v>111853559.11937138</v>
      </c>
      <c r="J20" s="347">
        <v>1288292</v>
      </c>
      <c r="K20" s="347">
        <v>246773439.05500001</v>
      </c>
      <c r="L20" s="347">
        <f>+[1]PGU_desagr!$AG$19</f>
        <v>247473373.87935796</v>
      </c>
    </row>
    <row r="21" spans="2:12" x14ac:dyDescent="0.25">
      <c r="B21" s="463"/>
      <c r="C21" s="170" t="s">
        <v>5</v>
      </c>
      <c r="D21" s="315">
        <v>109031</v>
      </c>
      <c r="E21" s="315">
        <v>23133193.734000001</v>
      </c>
      <c r="F21" s="347">
        <f>+[1]APS!$AA$183</f>
        <v>23198807.472476278</v>
      </c>
      <c r="G21" s="347">
        <v>63526</v>
      </c>
      <c r="H21" s="347">
        <v>13546987.07</v>
      </c>
      <c r="I21" s="347">
        <f>+[1]APS!$AB$183</f>
        <v>13585411.010808747</v>
      </c>
      <c r="J21" s="347">
        <v>172557</v>
      </c>
      <c r="K21" s="347">
        <v>36680180.803999998</v>
      </c>
      <c r="L21" s="347">
        <f>+[1]APS!$AC$183</f>
        <v>36784218.483285017</v>
      </c>
    </row>
    <row r="22" spans="2:12" x14ac:dyDescent="0.25">
      <c r="B22" s="463"/>
      <c r="C22" s="170" t="s">
        <v>6</v>
      </c>
      <c r="D22" s="315">
        <v>45910</v>
      </c>
      <c r="E22" s="315">
        <v>7675227.1699999999</v>
      </c>
      <c r="F22" s="347">
        <f>+[1]APS!$AD$183</f>
        <v>7696996.768874635</v>
      </c>
      <c r="G22" s="347">
        <v>46666</v>
      </c>
      <c r="H22" s="347">
        <v>7413824.5259999996</v>
      </c>
      <c r="I22" s="347">
        <f>+[1]APS!$AE$183</f>
        <v>7434852.6965652686</v>
      </c>
      <c r="J22" s="347">
        <v>92576</v>
      </c>
      <c r="K22" s="347">
        <v>15089051.696</v>
      </c>
      <c r="L22" s="347">
        <f>+[1]APS!$AF$183</f>
        <v>15131849.465439903</v>
      </c>
    </row>
    <row r="23" spans="2:12" x14ac:dyDescent="0.25">
      <c r="B23" s="463"/>
      <c r="C23" s="170" t="s">
        <v>756</v>
      </c>
      <c r="D23" s="341"/>
      <c r="E23" s="341"/>
      <c r="F23" s="341"/>
      <c r="G23" s="341"/>
      <c r="H23" s="341"/>
      <c r="I23" s="341"/>
      <c r="J23" s="339"/>
      <c r="K23" s="339"/>
      <c r="L23" s="339"/>
    </row>
    <row r="24" spans="2:12" x14ac:dyDescent="0.25">
      <c r="B24" s="463"/>
      <c r="C24" s="285" t="s">
        <v>491</v>
      </c>
      <c r="D24" s="340">
        <f>SUM(D17:D23)</f>
        <v>1290349</v>
      </c>
      <c r="E24" s="340">
        <f t="shared" ref="E24:L24" si="1">SUM(E17:E23)</f>
        <v>249258322.20199996</v>
      </c>
      <c r="F24" s="340">
        <f t="shared" si="1"/>
        <v>249965305.01440606</v>
      </c>
      <c r="G24" s="340">
        <f t="shared" si="1"/>
        <v>897460</v>
      </c>
      <c r="H24" s="340">
        <f t="shared" si="1"/>
        <v>171856855.89199999</v>
      </c>
      <c r="I24" s="340">
        <f t="shared" si="1"/>
        <v>172344301.37520966</v>
      </c>
      <c r="J24" s="340">
        <f t="shared" si="1"/>
        <v>2187809</v>
      </c>
      <c r="K24" s="340">
        <f t="shared" si="1"/>
        <v>421115178.09399998</v>
      </c>
      <c r="L24" s="340">
        <f t="shared" si="1"/>
        <v>422309606.38961571</v>
      </c>
    </row>
    <row r="25" spans="2:12" x14ac:dyDescent="0.25">
      <c r="B25" s="462" t="s">
        <v>973</v>
      </c>
      <c r="C25" s="170" t="s">
        <v>3</v>
      </c>
      <c r="D25" s="341"/>
      <c r="E25" s="341"/>
      <c r="F25" s="341"/>
      <c r="G25" s="341"/>
      <c r="H25" s="341"/>
      <c r="I25" s="341"/>
      <c r="J25" s="339"/>
      <c r="K25" s="339"/>
      <c r="L25" s="339"/>
    </row>
    <row r="26" spans="2:12" x14ac:dyDescent="0.25">
      <c r="B26" s="463"/>
      <c r="C26" s="170" t="s">
        <v>4</v>
      </c>
      <c r="D26" s="315">
        <v>103979</v>
      </c>
      <c r="E26" s="315">
        <v>20153837.159000002</v>
      </c>
      <c r="F26" s="347">
        <f>+[1]PBS!$AF$183</f>
        <v>20153837.159000002</v>
      </c>
      <c r="G26" s="347">
        <v>81605</v>
      </c>
      <c r="H26" s="347">
        <v>15816186.175000001</v>
      </c>
      <c r="I26" s="347">
        <f>+[1]PBS!$AG$183</f>
        <v>15816186.175000001</v>
      </c>
      <c r="J26" s="347">
        <v>185584</v>
      </c>
      <c r="K26" s="347">
        <v>35970023.333999999</v>
      </c>
      <c r="L26" s="347">
        <f>+[1]PBS!$AH$183</f>
        <v>35970023.333999999</v>
      </c>
    </row>
    <row r="27" spans="2:12" x14ac:dyDescent="0.25">
      <c r="B27" s="463"/>
      <c r="C27" s="170" t="s">
        <v>714</v>
      </c>
      <c r="D27" s="315">
        <v>329180</v>
      </c>
      <c r="E27" s="347">
        <v>63417031.792999998</v>
      </c>
      <c r="F27" s="347">
        <f>+[1]PGU_desagr!$AB$20</f>
        <v>63417031.792999998</v>
      </c>
      <c r="G27" s="347">
        <v>125728</v>
      </c>
      <c r="H27" s="347">
        <v>24368202.673</v>
      </c>
      <c r="I27" s="347">
        <f>+[1]PGU_desagr!$AC$20</f>
        <v>24368202.673</v>
      </c>
      <c r="J27" s="347">
        <v>454908</v>
      </c>
      <c r="K27" s="347">
        <v>87785234.466000006</v>
      </c>
      <c r="L27" s="347">
        <f>+[1]PGU_desagr!$AD$20</f>
        <v>87785234.466000006</v>
      </c>
    </row>
    <row r="28" spans="2:12" x14ac:dyDescent="0.25">
      <c r="B28" s="463"/>
      <c r="C28" s="170" t="s">
        <v>501</v>
      </c>
      <c r="D28" s="315">
        <v>717919</v>
      </c>
      <c r="E28" s="347">
        <v>137636217.15900001</v>
      </c>
      <c r="F28" s="347">
        <f>+[1]PGU_desagr!$AE$20</f>
        <v>137636217.15900001</v>
      </c>
      <c r="G28" s="347">
        <v>594890</v>
      </c>
      <c r="H28" s="347">
        <v>113286938.10600001</v>
      </c>
      <c r="I28" s="347">
        <f>+[1]PGU_desagr!$AF$20</f>
        <v>113286938.10600001</v>
      </c>
      <c r="J28" s="347">
        <v>1312809</v>
      </c>
      <c r="K28" s="347">
        <v>250923155.26499999</v>
      </c>
      <c r="L28" s="347">
        <f>+[1]PGU_desagr!$AG$20</f>
        <v>250923155.26499999</v>
      </c>
    </row>
    <row r="29" spans="2:12" x14ac:dyDescent="0.25">
      <c r="B29" s="463"/>
      <c r="C29" s="170" t="s">
        <v>5</v>
      </c>
      <c r="D29" s="315">
        <v>108989</v>
      </c>
      <c r="E29" s="315">
        <v>23140037.881999999</v>
      </c>
      <c r="F29" s="347">
        <f>+[1]APS!$AA$184</f>
        <v>23140037.881999999</v>
      </c>
      <c r="G29" s="347">
        <v>63190</v>
      </c>
      <c r="H29" s="347">
        <v>13498986.732000001</v>
      </c>
      <c r="I29" s="347">
        <f>+[1]APS!$AB$184</f>
        <v>13498986.732000001</v>
      </c>
      <c r="J29" s="347">
        <v>172179</v>
      </c>
      <c r="K29" s="347">
        <v>36639024.614</v>
      </c>
      <c r="L29" s="347">
        <f>+[1]APS!$AC$184</f>
        <v>36639024.614</v>
      </c>
    </row>
    <row r="30" spans="2:12" x14ac:dyDescent="0.25">
      <c r="B30" s="463"/>
      <c r="C30" s="170" t="s">
        <v>6</v>
      </c>
      <c r="D30" s="315">
        <v>45881</v>
      </c>
      <c r="E30" s="315">
        <v>7649953.2910000002</v>
      </c>
      <c r="F30" s="347">
        <f>+[1]APS!$AD$184</f>
        <v>7649953.2910000002</v>
      </c>
      <c r="G30" s="347">
        <v>46817</v>
      </c>
      <c r="H30" s="347">
        <v>7421805.8689999999</v>
      </c>
      <c r="I30" s="347">
        <f>+[1]APS!$AE$184</f>
        <v>7421805.8689999999</v>
      </c>
      <c r="J30" s="347">
        <v>92698</v>
      </c>
      <c r="K30" s="347">
        <v>15071759.16</v>
      </c>
      <c r="L30" s="347">
        <f>+[1]APS!$AF$184</f>
        <v>15071759.16</v>
      </c>
    </row>
    <row r="31" spans="2:12" x14ac:dyDescent="0.25">
      <c r="B31" s="463"/>
      <c r="C31" s="170" t="s">
        <v>756</v>
      </c>
      <c r="D31" s="339"/>
      <c r="E31" s="339"/>
      <c r="F31" s="339"/>
      <c r="G31" s="339"/>
      <c r="H31" s="339"/>
      <c r="I31" s="339"/>
      <c r="J31" s="339"/>
      <c r="K31" s="339"/>
      <c r="L31" s="339"/>
    </row>
    <row r="32" spans="2:12" x14ac:dyDescent="0.25">
      <c r="B32" s="463"/>
      <c r="C32" s="285" t="s">
        <v>491</v>
      </c>
      <c r="D32" s="340">
        <f>SUM(D25:D31)</f>
        <v>1305948</v>
      </c>
      <c r="E32" s="340">
        <f t="shared" ref="E32:L32" si="2">SUM(E25:E31)</f>
        <v>251997077.28400001</v>
      </c>
      <c r="F32" s="340">
        <f t="shared" si="2"/>
        <v>251997077.28400001</v>
      </c>
      <c r="G32" s="340">
        <f t="shared" si="2"/>
        <v>912230</v>
      </c>
      <c r="H32" s="340">
        <f t="shared" si="2"/>
        <v>174392119.55499998</v>
      </c>
      <c r="I32" s="340">
        <f t="shared" si="2"/>
        <v>174392119.55499998</v>
      </c>
      <c r="J32" s="340">
        <f t="shared" si="2"/>
        <v>2218178</v>
      </c>
      <c r="K32" s="340">
        <f t="shared" si="2"/>
        <v>426389196.83900005</v>
      </c>
      <c r="L32" s="340">
        <f t="shared" si="2"/>
        <v>426389196.83900005</v>
      </c>
    </row>
    <row r="33" spans="2:13" x14ac:dyDescent="0.25">
      <c r="B33" s="324" t="s">
        <v>887</v>
      </c>
    </row>
    <row r="34" spans="2:13" ht="15" customHeight="1" x14ac:dyDescent="0.25">
      <c r="B34" s="322" t="s">
        <v>993</v>
      </c>
      <c r="C34" s="295"/>
      <c r="D34" s="295"/>
      <c r="E34" s="295"/>
      <c r="F34" s="295"/>
      <c r="G34" s="295"/>
      <c r="H34" s="295"/>
      <c r="I34" s="295"/>
      <c r="J34" s="295"/>
      <c r="K34" s="295"/>
      <c r="L34" s="295"/>
      <c r="M34" s="295"/>
    </row>
    <row r="35" spans="2:13" ht="15" customHeight="1" x14ac:dyDescent="0.25">
      <c r="B35" s="321" t="s">
        <v>994</v>
      </c>
      <c r="C35" s="295"/>
      <c r="D35" s="295"/>
      <c r="E35" s="295"/>
      <c r="F35" s="295"/>
      <c r="G35" s="295"/>
      <c r="H35" s="295"/>
      <c r="I35" s="295"/>
      <c r="J35" s="295"/>
      <c r="K35" s="295"/>
      <c r="L35" s="295"/>
      <c r="M35" s="295"/>
    </row>
    <row r="36" spans="2:13" ht="15" customHeight="1" x14ac:dyDescent="0.25">
      <c r="B36" s="321"/>
      <c r="C36" s="295"/>
      <c r="D36" s="295"/>
      <c r="E36" s="295"/>
      <c r="F36" s="295"/>
      <c r="G36" s="295"/>
      <c r="H36" s="295"/>
      <c r="I36" s="295"/>
      <c r="J36" s="295"/>
      <c r="K36" s="295"/>
      <c r="L36" s="295"/>
      <c r="M36" s="295"/>
    </row>
    <row r="37" spans="2:13" ht="18.75" x14ac:dyDescent="0.3">
      <c r="B37" s="2" t="s">
        <v>896</v>
      </c>
      <c r="C37" s="2"/>
      <c r="D37" s="2"/>
      <c r="E37" s="2"/>
    </row>
    <row r="38" spans="2:13" x14ac:dyDescent="0.25">
      <c r="B38" s="3" t="s">
        <v>560</v>
      </c>
    </row>
    <row r="40" spans="2:13" x14ac:dyDescent="0.25">
      <c r="D40" s="465" t="s">
        <v>87</v>
      </c>
      <c r="E40" s="466"/>
      <c r="F40" s="467"/>
      <c r="G40" s="465" t="s">
        <v>88</v>
      </c>
      <c r="H40" s="466"/>
      <c r="I40" s="467"/>
      <c r="J40" s="464" t="s">
        <v>609</v>
      </c>
      <c r="K40" s="464"/>
      <c r="L40" s="464"/>
    </row>
    <row r="41" spans="2:13" ht="30" x14ac:dyDescent="0.25">
      <c r="B41" s="154" t="s">
        <v>487</v>
      </c>
      <c r="C41" s="154" t="s">
        <v>492</v>
      </c>
      <c r="D41" s="179" t="s">
        <v>996</v>
      </c>
      <c r="E41" s="179" t="s">
        <v>611</v>
      </c>
      <c r="F41" s="179" t="s">
        <v>612</v>
      </c>
      <c r="G41" s="179" t="s">
        <v>996</v>
      </c>
      <c r="H41" s="179" t="s">
        <v>611</v>
      </c>
      <c r="I41" s="179" t="s">
        <v>612</v>
      </c>
      <c r="J41" s="179" t="s">
        <v>996</v>
      </c>
      <c r="K41" s="179" t="s">
        <v>611</v>
      </c>
      <c r="L41" s="179" t="s">
        <v>612</v>
      </c>
    </row>
    <row r="42" spans="2:13" x14ac:dyDescent="0.25">
      <c r="B42" s="463" t="s">
        <v>559</v>
      </c>
      <c r="C42" s="171" t="s">
        <v>3</v>
      </c>
      <c r="D42" s="315">
        <v>309032</v>
      </c>
      <c r="E42" s="315">
        <v>54315078.549999997</v>
      </c>
      <c r="F42" s="347">
        <v>60530405.511133626</v>
      </c>
      <c r="G42" s="315">
        <v>105909</v>
      </c>
      <c r="H42" s="315">
        <v>18646277.905999999</v>
      </c>
      <c r="I42" s="347">
        <v>20779989.517726135</v>
      </c>
      <c r="J42" s="315">
        <v>414941</v>
      </c>
      <c r="K42" s="315">
        <v>72961356.456</v>
      </c>
      <c r="L42" s="347">
        <v>81310395.028859764</v>
      </c>
    </row>
    <row r="43" spans="2:13" x14ac:dyDescent="0.25">
      <c r="B43" s="463"/>
      <c r="C43" s="171" t="s">
        <v>4</v>
      </c>
      <c r="D43" s="347">
        <v>103357.58333333333</v>
      </c>
      <c r="E43" s="347">
        <v>234017767.37900001</v>
      </c>
      <c r="F43" s="347">
        <v>242022236</v>
      </c>
      <c r="G43" s="347">
        <v>80758.083333333328</v>
      </c>
      <c r="H43" s="347">
        <v>182852151.50600001</v>
      </c>
      <c r="I43" s="347">
        <v>188463669</v>
      </c>
      <c r="J43" s="315">
        <v>184115.66666666666</v>
      </c>
      <c r="K43" s="347">
        <v>416869918.88499999</v>
      </c>
      <c r="L43" s="347">
        <v>430485905</v>
      </c>
    </row>
    <row r="44" spans="2:13" x14ac:dyDescent="0.25">
      <c r="B44" s="463"/>
      <c r="C44" s="171" t="s">
        <v>714</v>
      </c>
      <c r="D44" s="347">
        <v>319227.81818181818</v>
      </c>
      <c r="E44" s="347">
        <v>663560170.22000003</v>
      </c>
      <c r="F44" s="347">
        <v>692494779.24141347</v>
      </c>
      <c r="G44" s="347">
        <v>111460.54545454546</v>
      </c>
      <c r="H44" s="347">
        <v>232845777.42300001</v>
      </c>
      <c r="I44" s="347">
        <v>242811824.55876711</v>
      </c>
      <c r="J44" s="315">
        <v>430688.36363636365</v>
      </c>
      <c r="K44" s="347">
        <v>896405947.64300001</v>
      </c>
      <c r="L44" s="347">
        <v>935306603.80018055</v>
      </c>
    </row>
    <row r="45" spans="2:13" x14ac:dyDescent="0.25">
      <c r="B45" s="463"/>
      <c r="C45" s="171" t="s">
        <v>501</v>
      </c>
      <c r="D45" s="347">
        <v>626988.27272727271</v>
      </c>
      <c r="E45" s="347">
        <v>1294043351.842</v>
      </c>
      <c r="F45" s="347">
        <v>1345837532.0443234</v>
      </c>
      <c r="G45" s="347">
        <v>488475.90909090912</v>
      </c>
      <c r="H45" s="347">
        <v>1011775079.973</v>
      </c>
      <c r="I45" s="347">
        <v>1050086524.594137</v>
      </c>
      <c r="J45" s="315">
        <v>1115464.1818181819</v>
      </c>
      <c r="K45" s="347">
        <v>2305818431.8150001</v>
      </c>
      <c r="L45" s="347">
        <v>2395924056.6384602</v>
      </c>
    </row>
    <row r="46" spans="2:13" x14ac:dyDescent="0.25">
      <c r="B46" s="463"/>
      <c r="C46" s="171" t="s">
        <v>5</v>
      </c>
      <c r="D46" s="347">
        <v>168156.41666666666</v>
      </c>
      <c r="E46" s="347">
        <v>362446009.14999998</v>
      </c>
      <c r="F46" s="347">
        <v>386043206.86965799</v>
      </c>
      <c r="G46" s="347">
        <v>123230.08333333333</v>
      </c>
      <c r="H46" s="347">
        <v>250516499.96700001</v>
      </c>
      <c r="I46" s="347">
        <v>268085359.35525483</v>
      </c>
      <c r="J46" s="315">
        <v>291386.5</v>
      </c>
      <c r="K46" s="347">
        <v>612962509.11699998</v>
      </c>
      <c r="L46" s="347">
        <v>654128566.22491264</v>
      </c>
    </row>
    <row r="47" spans="2:13" x14ac:dyDescent="0.25">
      <c r="B47" s="463"/>
      <c r="C47" s="171" t="s">
        <v>6</v>
      </c>
      <c r="D47" s="347">
        <v>45050.166666666664</v>
      </c>
      <c r="E47" s="347">
        <v>89129736.667999998</v>
      </c>
      <c r="F47" s="347">
        <v>93534965.960678011</v>
      </c>
      <c r="G47" s="347">
        <v>44846.333333333336</v>
      </c>
      <c r="H47" s="347">
        <v>84667893.447999999</v>
      </c>
      <c r="I47" s="347">
        <v>88806430.536888674</v>
      </c>
      <c r="J47" s="315">
        <v>89896.5</v>
      </c>
      <c r="K47" s="347">
        <v>173797630.116</v>
      </c>
      <c r="L47" s="347">
        <v>182341396.49756673</v>
      </c>
    </row>
    <row r="48" spans="2:13" x14ac:dyDescent="0.25">
      <c r="B48" s="463"/>
      <c r="C48" s="171" t="s">
        <v>756</v>
      </c>
      <c r="D48" s="347">
        <v>3</v>
      </c>
      <c r="E48" s="347">
        <v>183.096</v>
      </c>
      <c r="F48" s="347">
        <v>204.04785233375168</v>
      </c>
      <c r="G48" s="347">
        <v>13</v>
      </c>
      <c r="H48" s="347">
        <v>851.88099999999997</v>
      </c>
      <c r="I48" s="347">
        <v>949.36256659855337</v>
      </c>
      <c r="J48" s="315">
        <v>16</v>
      </c>
      <c r="K48" s="347">
        <v>1034.9769999999999</v>
      </c>
      <c r="L48" s="347">
        <v>1153.410418932305</v>
      </c>
    </row>
    <row r="49" spans="2:34" x14ac:dyDescent="0.25">
      <c r="B49" s="463"/>
      <c r="C49" s="342" t="s">
        <v>491</v>
      </c>
      <c r="D49" s="340">
        <f>SUM(D42:D48)</f>
        <v>1571815.2575757578</v>
      </c>
      <c r="E49" s="340">
        <v>2697512296.9050007</v>
      </c>
      <c r="F49" s="340">
        <v>2820463329.6750588</v>
      </c>
      <c r="G49" s="340">
        <f>SUM(G42:G48)</f>
        <v>954692.95454545459</v>
      </c>
      <c r="H49" s="340">
        <v>1781304532.1040001</v>
      </c>
      <c r="I49" s="340">
        <v>1859034746.9253404</v>
      </c>
      <c r="J49" s="340">
        <f>SUM(J42:J48)</f>
        <v>2526508.2121212119</v>
      </c>
      <c r="K49" s="340">
        <v>4478816829.0089998</v>
      </c>
      <c r="L49" s="340">
        <v>4679498076.600399</v>
      </c>
    </row>
    <row r="50" spans="2:34" x14ac:dyDescent="0.25">
      <c r="B50" s="324" t="s">
        <v>887</v>
      </c>
    </row>
    <row r="51" spans="2:34" ht="15" customHeight="1" x14ac:dyDescent="0.25">
      <c r="B51" s="322" t="s">
        <v>993</v>
      </c>
      <c r="C51" s="321"/>
      <c r="D51" s="321"/>
      <c r="E51" s="321"/>
      <c r="F51" s="321"/>
      <c r="G51" s="321"/>
      <c r="H51" s="321"/>
      <c r="I51" s="321"/>
      <c r="J51" s="321"/>
      <c r="K51" s="321"/>
      <c r="L51" s="321"/>
      <c r="M51" s="321"/>
    </row>
    <row r="52" spans="2:34" x14ac:dyDescent="0.25">
      <c r="B52" s="321" t="s">
        <v>994</v>
      </c>
      <c r="C52" s="323"/>
      <c r="D52" s="323"/>
      <c r="E52" s="323"/>
      <c r="F52" s="323"/>
      <c r="G52" s="323"/>
      <c r="H52" s="323"/>
      <c r="I52" s="323"/>
      <c r="J52" s="323"/>
      <c r="K52" s="323"/>
      <c r="L52" s="323"/>
      <c r="M52" s="323"/>
    </row>
    <row r="53" spans="2:34" x14ac:dyDescent="0.25">
      <c r="B53" s="320"/>
    </row>
    <row r="54" spans="2:34" ht="18.75" x14ac:dyDescent="0.3">
      <c r="B54" s="2" t="s">
        <v>845</v>
      </c>
      <c r="C54" s="2"/>
      <c r="D54" s="2"/>
      <c r="E54" s="2"/>
      <c r="F54" s="294"/>
      <c r="G54" s="294"/>
    </row>
    <row r="55" spans="2:34" x14ac:dyDescent="0.25">
      <c r="B55" s="3" t="s">
        <v>17</v>
      </c>
    </row>
    <row r="57" spans="2:34" x14ac:dyDescent="0.25">
      <c r="C57" s="464" t="s">
        <v>3</v>
      </c>
      <c r="D57" s="464"/>
      <c r="E57" s="464"/>
      <c r="F57" s="464"/>
      <c r="G57" s="464" t="s">
        <v>4</v>
      </c>
      <c r="H57" s="464"/>
      <c r="I57" s="464"/>
      <c r="J57" s="464"/>
      <c r="K57" s="464" t="s">
        <v>714</v>
      </c>
      <c r="L57" s="464"/>
      <c r="M57" s="464"/>
      <c r="N57" s="464"/>
      <c r="O57" s="464" t="s">
        <v>501</v>
      </c>
      <c r="P57" s="464"/>
      <c r="Q57" s="464"/>
      <c r="R57" s="464"/>
      <c r="S57" s="464" t="s">
        <v>5</v>
      </c>
      <c r="T57" s="464"/>
      <c r="U57" s="464"/>
      <c r="V57" s="464"/>
      <c r="W57" s="464" t="s">
        <v>6</v>
      </c>
      <c r="X57" s="464"/>
      <c r="Y57" s="464"/>
      <c r="Z57" s="464"/>
      <c r="AA57" s="464" t="s">
        <v>756</v>
      </c>
      <c r="AB57" s="464"/>
      <c r="AC57" s="464"/>
      <c r="AD57" s="464"/>
      <c r="AE57" s="464" t="s">
        <v>491</v>
      </c>
      <c r="AF57" s="464"/>
      <c r="AG57" s="464"/>
      <c r="AH57" s="464"/>
    </row>
    <row r="58" spans="2:34" x14ac:dyDescent="0.25">
      <c r="C58" s="464" t="s">
        <v>614</v>
      </c>
      <c r="D58" s="464"/>
      <c r="E58" s="464" t="s">
        <v>897</v>
      </c>
      <c r="F58" s="464"/>
      <c r="G58" s="464" t="s">
        <v>614</v>
      </c>
      <c r="H58" s="464"/>
      <c r="I58" s="464" t="s">
        <v>897</v>
      </c>
      <c r="J58" s="464"/>
      <c r="K58" s="464" t="s">
        <v>614</v>
      </c>
      <c r="L58" s="464"/>
      <c r="M58" s="464" t="s">
        <v>897</v>
      </c>
      <c r="N58" s="464"/>
      <c r="O58" s="464" t="s">
        <v>614</v>
      </c>
      <c r="P58" s="464"/>
      <c r="Q58" s="464" t="s">
        <v>897</v>
      </c>
      <c r="R58" s="464"/>
      <c r="S58" s="464" t="s">
        <v>614</v>
      </c>
      <c r="T58" s="464"/>
      <c r="U58" s="464" t="s">
        <v>897</v>
      </c>
      <c r="V58" s="464"/>
      <c r="W58" s="464" t="s">
        <v>614</v>
      </c>
      <c r="X58" s="464"/>
      <c r="Y58" s="464" t="s">
        <v>897</v>
      </c>
      <c r="Z58" s="464"/>
      <c r="AA58" s="464" t="s">
        <v>614</v>
      </c>
      <c r="AB58" s="464"/>
      <c r="AC58" s="464" t="s">
        <v>897</v>
      </c>
      <c r="AD58" s="464"/>
      <c r="AE58" s="464" t="s">
        <v>614</v>
      </c>
      <c r="AF58" s="464"/>
      <c r="AG58" s="464" t="s">
        <v>897</v>
      </c>
      <c r="AH58" s="464"/>
    </row>
    <row r="59" spans="2:34" x14ac:dyDescent="0.25">
      <c r="B59" s="154" t="s">
        <v>487</v>
      </c>
      <c r="C59" s="234" t="s">
        <v>755</v>
      </c>
      <c r="D59" s="179" t="s">
        <v>9</v>
      </c>
      <c r="E59" s="234" t="s">
        <v>755</v>
      </c>
      <c r="F59" s="179" t="s">
        <v>9</v>
      </c>
      <c r="G59" s="234" t="s">
        <v>755</v>
      </c>
      <c r="H59" s="179" t="s">
        <v>9</v>
      </c>
      <c r="I59" s="234" t="s">
        <v>755</v>
      </c>
      <c r="J59" s="179" t="s">
        <v>9</v>
      </c>
      <c r="K59" s="234" t="s">
        <v>755</v>
      </c>
      <c r="L59" s="179" t="s">
        <v>9</v>
      </c>
      <c r="M59" s="234" t="s">
        <v>755</v>
      </c>
      <c r="N59" s="179" t="s">
        <v>9</v>
      </c>
      <c r="O59" s="234" t="s">
        <v>755</v>
      </c>
      <c r="P59" s="179" t="s">
        <v>9</v>
      </c>
      <c r="Q59" s="234" t="s">
        <v>755</v>
      </c>
      <c r="R59" s="179" t="s">
        <v>9</v>
      </c>
      <c r="S59" s="234" t="s">
        <v>755</v>
      </c>
      <c r="T59" s="179" t="s">
        <v>9</v>
      </c>
      <c r="U59" s="234" t="s">
        <v>755</v>
      </c>
      <c r="V59" s="179" t="s">
        <v>9</v>
      </c>
      <c r="W59" s="234" t="s">
        <v>755</v>
      </c>
      <c r="X59" s="179" t="s">
        <v>9</v>
      </c>
      <c r="Y59" s="234" t="s">
        <v>755</v>
      </c>
      <c r="Z59" s="179" t="s">
        <v>9</v>
      </c>
      <c r="AA59" s="234" t="s">
        <v>755</v>
      </c>
      <c r="AB59" s="179" t="s">
        <v>9</v>
      </c>
      <c r="AC59" s="234" t="s">
        <v>755</v>
      </c>
      <c r="AD59" s="179" t="s">
        <v>9</v>
      </c>
      <c r="AE59" s="234" t="s">
        <v>755</v>
      </c>
      <c r="AF59" s="179" t="s">
        <v>9</v>
      </c>
      <c r="AG59" s="234" t="s">
        <v>755</v>
      </c>
      <c r="AH59" s="179" t="s">
        <v>9</v>
      </c>
    </row>
    <row r="60" spans="2:34" x14ac:dyDescent="0.25">
      <c r="B60" s="279" t="s">
        <v>769</v>
      </c>
      <c r="C60" s="346">
        <v>408354</v>
      </c>
      <c r="D60" s="343">
        <f t="shared" ref="D60:D74" si="3">+C60/$AE60</f>
        <v>0.24729458959392436</v>
      </c>
      <c r="E60" s="346">
        <f>+[1]PBS!$AE$188</f>
        <v>74217774.785344392</v>
      </c>
      <c r="F60" s="343">
        <f t="shared" ref="F60:F74" si="4">+E60/$AG60</f>
        <v>0.29823563890904281</v>
      </c>
      <c r="G60" s="346">
        <v>182015.5</v>
      </c>
      <c r="H60" s="343">
        <f t="shared" ref="H60:H86" si="5">+G60/$AE60</f>
        <v>0.11022653964999227</v>
      </c>
      <c r="I60" s="346">
        <v>31192576.160412312</v>
      </c>
      <c r="J60" s="343">
        <f t="shared" ref="J60:J86" si="6">+I60/$AG60</f>
        <v>0.12534379947829602</v>
      </c>
      <c r="K60" s="346"/>
      <c r="L60" s="281"/>
      <c r="M60" s="346"/>
      <c r="N60" s="281"/>
      <c r="O60" s="346"/>
      <c r="P60" s="281"/>
      <c r="Q60" s="346"/>
      <c r="R60" s="281"/>
      <c r="S60" s="346">
        <v>989609.25</v>
      </c>
      <c r="T60" s="343">
        <f t="shared" ref="T60:T86" si="7">+S60/$AE60</f>
        <v>0.59929623154689637</v>
      </c>
      <c r="U60" s="346">
        <v>132148510.37086494</v>
      </c>
      <c r="V60" s="343">
        <f t="shared" ref="V60:V86" si="8">+U60/$AG60</f>
        <v>0.53102367371320935</v>
      </c>
      <c r="W60" s="346">
        <v>71303.416666666672</v>
      </c>
      <c r="X60" s="343">
        <f t="shared" ref="X60:X86" si="9">+W60/$AE60</f>
        <v>4.3180547175313382E-2</v>
      </c>
      <c r="Y60" s="346">
        <v>11296973.929927638</v>
      </c>
      <c r="Z60" s="343">
        <f t="shared" ref="Z60:Z86" si="10">+Y60/$AG60</f>
        <v>4.5395597583937117E-2</v>
      </c>
      <c r="AA60" s="346">
        <v>3.4545454545454546</v>
      </c>
      <c r="AB60" s="343">
        <f t="shared" ref="AB60:AB74" si="11">+AA60/$AE60</f>
        <v>2.0920338735885409E-6</v>
      </c>
      <c r="AC60" s="346">
        <v>321.10295946256298</v>
      </c>
      <c r="AD60" s="343">
        <f t="shared" ref="AD60:AD74" si="12">+AC60/$AG60</f>
        <v>1.2903155146846615E-6</v>
      </c>
      <c r="AE60" s="346">
        <f>+C60+G60+K60+O60+S60+W60+AA60</f>
        <v>1651285.6212121213</v>
      </c>
      <c r="AF60" s="443">
        <f>+D60+H60+T60+X60+AB60+L60+P60</f>
        <v>1</v>
      </c>
      <c r="AG60" s="346">
        <f>+E60+I60+M60+Q60+U60+Y60+AC60</f>
        <v>248856156.34950876</v>
      </c>
      <c r="AH60" s="443">
        <f>+F60+J60+V60+Z60+AD60+N60+R60</f>
        <v>0.99999999999999989</v>
      </c>
    </row>
    <row r="61" spans="2:34" x14ac:dyDescent="0.25">
      <c r="B61" s="223">
        <v>44197</v>
      </c>
      <c r="C61" s="338">
        <v>408308</v>
      </c>
      <c r="D61" s="344">
        <f t="shared" si="3"/>
        <v>0.23923310972926701</v>
      </c>
      <c r="E61" s="338">
        <v>80327968.523413524</v>
      </c>
      <c r="F61" s="344">
        <f t="shared" si="4"/>
        <v>0.28375939391942173</v>
      </c>
      <c r="G61" s="338">
        <v>181008</v>
      </c>
      <c r="H61" s="344">
        <f t="shared" si="5"/>
        <v>0.10605500437384319</v>
      </c>
      <c r="I61" s="338">
        <v>34398547.131875597</v>
      </c>
      <c r="J61" s="344">
        <f t="shared" si="6"/>
        <v>0.12151322964186041</v>
      </c>
      <c r="K61" s="338"/>
      <c r="L61" s="299"/>
      <c r="M61" s="338"/>
      <c r="N61" s="299"/>
      <c r="O61" s="338"/>
      <c r="P61" s="299"/>
      <c r="Q61" s="338"/>
      <c r="R61" s="299"/>
      <c r="S61" s="338">
        <v>1044504</v>
      </c>
      <c r="T61" s="344">
        <f t="shared" si="7"/>
        <v>0.61198884186608715</v>
      </c>
      <c r="U61" s="338">
        <v>155601315.71154898</v>
      </c>
      <c r="V61" s="344">
        <f t="shared" si="8"/>
        <v>0.54966328479356708</v>
      </c>
      <c r="W61" s="338">
        <v>72911</v>
      </c>
      <c r="X61" s="344">
        <f t="shared" si="9"/>
        <v>4.271952855067887E-2</v>
      </c>
      <c r="Y61" s="338">
        <v>12756279.222352006</v>
      </c>
      <c r="Z61" s="344">
        <f t="shared" si="10"/>
        <v>4.5061690558581287E-2</v>
      </c>
      <c r="AA61" s="338">
        <v>6</v>
      </c>
      <c r="AB61" s="345">
        <f t="shared" si="11"/>
        <v>3.5154801237683369E-6</v>
      </c>
      <c r="AC61" s="338">
        <v>679.71108800359377</v>
      </c>
      <c r="AD61" s="345">
        <f t="shared" si="12"/>
        <v>2.4010865694430279E-6</v>
      </c>
      <c r="AE61" s="338">
        <f>+C61+G61+K61+O61+S61+W61+AA61</f>
        <v>1706737</v>
      </c>
      <c r="AF61" s="444">
        <f>+D61+H61+T61+X61+AB61+L61+P61</f>
        <v>1</v>
      </c>
      <c r="AG61" s="338">
        <f>+E61+I61+M61+Q61+U61+Y61+AC61</f>
        <v>283084790.30027813</v>
      </c>
      <c r="AH61" s="444">
        <f t="shared" ref="AH61:AH85" si="13">+F61+J61+V61+Z61+AD61+N61+R61</f>
        <v>1</v>
      </c>
    </row>
    <row r="62" spans="2:34" x14ac:dyDescent="0.25">
      <c r="B62" s="236">
        <v>44228</v>
      </c>
      <c r="C62" s="338">
        <v>408052</v>
      </c>
      <c r="D62" s="344">
        <f t="shared" si="3"/>
        <v>0.23801210557291488</v>
      </c>
      <c r="E62" s="338">
        <v>80137119.278329983</v>
      </c>
      <c r="F62" s="344">
        <f t="shared" si="4"/>
        <v>0.2832752717159458</v>
      </c>
      <c r="G62" s="338">
        <v>180639</v>
      </c>
      <c r="H62" s="344">
        <f t="shared" si="5"/>
        <v>0.10536468082152708</v>
      </c>
      <c r="I62" s="338">
        <v>34268079.863690026</v>
      </c>
      <c r="J62" s="344">
        <f t="shared" si="6"/>
        <v>0.12113362349419379</v>
      </c>
      <c r="K62" s="338"/>
      <c r="L62" s="299"/>
      <c r="M62" s="338"/>
      <c r="N62" s="299"/>
      <c r="O62" s="338"/>
      <c r="P62" s="299"/>
      <c r="Q62" s="338"/>
      <c r="R62" s="299"/>
      <c r="S62" s="338">
        <v>1052693</v>
      </c>
      <c r="T62" s="344">
        <f t="shared" si="7"/>
        <v>0.61402389267021962</v>
      </c>
      <c r="U62" s="338">
        <v>155758337.13858423</v>
      </c>
      <c r="V62" s="344">
        <f t="shared" si="8"/>
        <v>0.55058736416156129</v>
      </c>
      <c r="W62" s="338">
        <v>73029</v>
      </c>
      <c r="X62" s="344">
        <f t="shared" si="9"/>
        <v>4.2596987780685797E-2</v>
      </c>
      <c r="Y62" s="338">
        <v>12730862.084887438</v>
      </c>
      <c r="Z62" s="344">
        <f t="shared" si="10"/>
        <v>4.5002097015108419E-2</v>
      </c>
      <c r="AA62" s="338">
        <v>4</v>
      </c>
      <c r="AB62" s="345">
        <f t="shared" si="11"/>
        <v>2.3331546525728571E-6</v>
      </c>
      <c r="AC62" s="338">
        <v>464.96972893320287</v>
      </c>
      <c r="AD62" s="345">
        <f t="shared" si="12"/>
        <v>1.6436131906086601E-6</v>
      </c>
      <c r="AE62" s="338">
        <f t="shared" ref="AE62:AE85" si="14">+C62+G62+K62+O62+S62+W62+AA62</f>
        <v>1714417</v>
      </c>
      <c r="AF62" s="444">
        <f t="shared" ref="AF62:AF85" si="15">+D62+H62+T62+X62+AB62+L62+P62</f>
        <v>1</v>
      </c>
      <c r="AG62" s="338">
        <f t="shared" ref="AG62:AG72" si="16">+E62+I62+M62+Q62+U62+Y62+AC62</f>
        <v>282894863.33522063</v>
      </c>
      <c r="AH62" s="444">
        <f t="shared" si="13"/>
        <v>0.99999999999999989</v>
      </c>
    </row>
    <row r="63" spans="2:34" x14ac:dyDescent="0.25">
      <c r="B63" s="236">
        <v>44256</v>
      </c>
      <c r="C63" s="338">
        <v>408360</v>
      </c>
      <c r="D63" s="344">
        <f t="shared" si="3"/>
        <v>0.23711256401621164</v>
      </c>
      <c r="E63" s="338">
        <v>79891753.040745258</v>
      </c>
      <c r="F63" s="344">
        <f t="shared" si="4"/>
        <v>0.28212473428605128</v>
      </c>
      <c r="G63" s="338">
        <v>180566</v>
      </c>
      <c r="H63" s="344">
        <f t="shared" si="5"/>
        <v>0.10484490947730254</v>
      </c>
      <c r="I63" s="338">
        <v>34121846.270663463</v>
      </c>
      <c r="J63" s="344">
        <f t="shared" si="6"/>
        <v>0.12049575138939296</v>
      </c>
      <c r="K63" s="338"/>
      <c r="L63" s="299"/>
      <c r="M63" s="338"/>
      <c r="N63" s="299"/>
      <c r="O63" s="338"/>
      <c r="P63" s="299"/>
      <c r="Q63" s="338"/>
      <c r="R63" s="299"/>
      <c r="S63" s="338">
        <v>1060194</v>
      </c>
      <c r="T63" s="344">
        <f t="shared" si="7"/>
        <v>0.61559731044814248</v>
      </c>
      <c r="U63" s="338">
        <v>156469276.06004226</v>
      </c>
      <c r="V63" s="344">
        <f t="shared" si="8"/>
        <v>0.55254580419403998</v>
      </c>
      <c r="W63" s="338">
        <v>73094</v>
      </c>
      <c r="X63" s="344">
        <f t="shared" si="9"/>
        <v>4.2441732182880235E-2</v>
      </c>
      <c r="Y63" s="338">
        <v>12695483.339960476</v>
      </c>
      <c r="Z63" s="344">
        <f t="shared" si="10"/>
        <v>4.4832034942238003E-2</v>
      </c>
      <c r="AA63" s="338">
        <v>6</v>
      </c>
      <c r="AB63" s="345">
        <f t="shared" si="11"/>
        <v>3.4838754630651138E-6</v>
      </c>
      <c r="AC63" s="338">
        <v>474.37786170503853</v>
      </c>
      <c r="AD63" s="345">
        <f t="shared" si="12"/>
        <v>1.6751882777745934E-6</v>
      </c>
      <c r="AE63" s="338">
        <f t="shared" si="14"/>
        <v>1722220</v>
      </c>
      <c r="AF63" s="444">
        <f t="shared" si="15"/>
        <v>1</v>
      </c>
      <c r="AG63" s="338">
        <f t="shared" si="16"/>
        <v>283178833.08927315</v>
      </c>
      <c r="AH63" s="444">
        <f t="shared" si="13"/>
        <v>0.99999999999999989</v>
      </c>
    </row>
    <row r="64" spans="2:34" x14ac:dyDescent="0.25">
      <c r="B64" s="223">
        <v>44287</v>
      </c>
      <c r="C64" s="338">
        <v>408797</v>
      </c>
      <c r="D64" s="344">
        <f t="shared" si="3"/>
        <v>0.23586909861339339</v>
      </c>
      <c r="E64" s="338">
        <v>79665141.247551247</v>
      </c>
      <c r="F64" s="344">
        <f t="shared" si="4"/>
        <v>0.28078174105248893</v>
      </c>
      <c r="G64" s="338">
        <v>180965</v>
      </c>
      <c r="H64" s="344">
        <f t="shared" si="5"/>
        <v>0.10441380790605786</v>
      </c>
      <c r="I64" s="338">
        <v>34068416.983591013</v>
      </c>
      <c r="J64" s="344">
        <f t="shared" si="6"/>
        <v>0.12007496987710296</v>
      </c>
      <c r="K64" s="338"/>
      <c r="L64" s="299"/>
      <c r="M64" s="338"/>
      <c r="N64" s="299"/>
      <c r="O64" s="338"/>
      <c r="P64" s="299"/>
      <c r="Q64" s="338"/>
      <c r="R64" s="299"/>
      <c r="S64" s="338">
        <v>1068719</v>
      </c>
      <c r="T64" s="344">
        <f t="shared" si="7"/>
        <v>0.61663316316168459</v>
      </c>
      <c r="U64" s="338">
        <v>157182287.28778082</v>
      </c>
      <c r="V64" s="344">
        <f t="shared" si="8"/>
        <v>0.55399282039975284</v>
      </c>
      <c r="W64" s="338">
        <v>74665</v>
      </c>
      <c r="X64" s="344">
        <f t="shared" si="9"/>
        <v>4.308046841823452E-2</v>
      </c>
      <c r="Y64" s="338">
        <v>12809692.317569258</v>
      </c>
      <c r="Z64" s="344">
        <f t="shared" si="10"/>
        <v>4.5148074238609913E-2</v>
      </c>
      <c r="AA64" s="338">
        <v>6</v>
      </c>
      <c r="AB64" s="345">
        <f t="shared" si="11"/>
        <v>3.4619006296043278E-6</v>
      </c>
      <c r="AC64" s="338">
        <v>679.36314659315599</v>
      </c>
      <c r="AD64" s="345">
        <f t="shared" si="12"/>
        <v>2.3944320454360204E-6</v>
      </c>
      <c r="AE64" s="338">
        <f t="shared" si="14"/>
        <v>1733152</v>
      </c>
      <c r="AF64" s="444">
        <f t="shared" si="15"/>
        <v>1</v>
      </c>
      <c r="AG64" s="338">
        <f t="shared" si="16"/>
        <v>283726217.1996389</v>
      </c>
      <c r="AH64" s="444">
        <f t="shared" si="13"/>
        <v>1.0000000000000002</v>
      </c>
    </row>
    <row r="65" spans="2:34" x14ac:dyDescent="0.25">
      <c r="B65" s="236">
        <v>44317</v>
      </c>
      <c r="C65" s="338">
        <v>408904</v>
      </c>
      <c r="D65" s="344">
        <f t="shared" si="3"/>
        <v>0.23449355564794769</v>
      </c>
      <c r="E65" s="338">
        <v>79465386.089654148</v>
      </c>
      <c r="F65" s="344">
        <f t="shared" si="4"/>
        <v>0.27940555047642218</v>
      </c>
      <c r="G65" s="338">
        <v>180572</v>
      </c>
      <c r="H65" s="344">
        <f t="shared" si="5"/>
        <v>0.10355235050393542</v>
      </c>
      <c r="I65" s="338">
        <v>33902882.960865065</v>
      </c>
      <c r="J65" s="344">
        <f t="shared" si="6"/>
        <v>0.11920477760884486</v>
      </c>
      <c r="K65" s="338"/>
      <c r="L65" s="299"/>
      <c r="M65" s="338"/>
      <c r="N65" s="299"/>
      <c r="O65" s="338"/>
      <c r="P65" s="299"/>
      <c r="Q65" s="338"/>
      <c r="R65" s="299"/>
      <c r="S65" s="338">
        <v>1076768</v>
      </c>
      <c r="T65" s="344">
        <f t="shared" si="7"/>
        <v>0.61749250906797037</v>
      </c>
      <c r="U65" s="338">
        <v>158017337.69908822</v>
      </c>
      <c r="V65" s="344">
        <f t="shared" si="8"/>
        <v>0.55559940493865656</v>
      </c>
      <c r="W65" s="338">
        <v>77523</v>
      </c>
      <c r="X65" s="344">
        <f t="shared" si="9"/>
        <v>4.4456997032300612E-2</v>
      </c>
      <c r="Y65" s="338">
        <v>13022415.079463711</v>
      </c>
      <c r="Z65" s="344">
        <f t="shared" si="10"/>
        <v>4.5787672253992003E-2</v>
      </c>
      <c r="AA65" s="338">
        <v>8</v>
      </c>
      <c r="AB65" s="345">
        <f t="shared" si="11"/>
        <v>4.5877478459090196E-6</v>
      </c>
      <c r="AC65" s="338">
        <v>737.96169003735531</v>
      </c>
      <c r="AD65" s="345">
        <f t="shared" si="12"/>
        <v>2.5947220844402678E-6</v>
      </c>
      <c r="AE65" s="338">
        <f t="shared" si="14"/>
        <v>1743775</v>
      </c>
      <c r="AF65" s="444">
        <f t="shared" si="15"/>
        <v>1</v>
      </c>
      <c r="AG65" s="338">
        <f t="shared" si="16"/>
        <v>284408759.79076117</v>
      </c>
      <c r="AH65" s="444">
        <f t="shared" si="13"/>
        <v>1.0000000000000002</v>
      </c>
    </row>
    <row r="66" spans="2:34" x14ac:dyDescent="0.25">
      <c r="B66" s="236">
        <v>44348</v>
      </c>
      <c r="C66" s="338">
        <v>408641</v>
      </c>
      <c r="D66" s="344">
        <f t="shared" si="3"/>
        <v>0.23314477088664287</v>
      </c>
      <c r="E66" s="338">
        <v>79343003.123611212</v>
      </c>
      <c r="F66" s="344">
        <f t="shared" si="4"/>
        <v>0.27771686886511859</v>
      </c>
      <c r="G66" s="338">
        <v>180850</v>
      </c>
      <c r="H66" s="344">
        <f t="shared" si="5"/>
        <v>0.10318159904378015</v>
      </c>
      <c r="I66" s="338">
        <v>33927174.644036166</v>
      </c>
      <c r="J66" s="344">
        <f t="shared" si="6"/>
        <v>0.1187521059280133</v>
      </c>
      <c r="K66" s="338"/>
      <c r="L66" s="299"/>
      <c r="M66" s="338"/>
      <c r="N66" s="299"/>
      <c r="O66" s="338"/>
      <c r="P66" s="299"/>
      <c r="Q66" s="338"/>
      <c r="R66" s="299"/>
      <c r="S66" s="338">
        <v>1083928</v>
      </c>
      <c r="T66" s="344">
        <f t="shared" si="7"/>
        <v>0.61842092501148205</v>
      </c>
      <c r="U66" s="338">
        <v>159233476.64033091</v>
      </c>
      <c r="V66" s="344">
        <f t="shared" si="8"/>
        <v>0.55734999697660792</v>
      </c>
      <c r="W66" s="338">
        <v>79307</v>
      </c>
      <c r="X66" s="344">
        <f t="shared" si="9"/>
        <v>4.524757022596114E-2</v>
      </c>
      <c r="Y66" s="338">
        <v>13192865.925845243</v>
      </c>
      <c r="Z66" s="344">
        <f t="shared" si="10"/>
        <v>4.6177750677964216E-2</v>
      </c>
      <c r="AA66" s="338">
        <v>9</v>
      </c>
      <c r="AB66" s="345">
        <f t="shared" si="11"/>
        <v>5.134832133779493E-6</v>
      </c>
      <c r="AC66" s="338">
        <v>936.38835519317013</v>
      </c>
      <c r="AD66" s="345">
        <f t="shared" si="12"/>
        <v>3.277552295832104E-6</v>
      </c>
      <c r="AE66" s="338">
        <f t="shared" si="14"/>
        <v>1752735</v>
      </c>
      <c r="AF66" s="444">
        <f t="shared" si="15"/>
        <v>1</v>
      </c>
      <c r="AG66" s="338">
        <f t="shared" si="16"/>
        <v>285697456.72217876</v>
      </c>
      <c r="AH66" s="444">
        <f t="shared" si="13"/>
        <v>0.99999999999999989</v>
      </c>
    </row>
    <row r="67" spans="2:34" x14ac:dyDescent="0.25">
      <c r="B67" s="223">
        <v>44378</v>
      </c>
      <c r="C67" s="338">
        <v>408548</v>
      </c>
      <c r="D67" s="344">
        <f t="shared" si="3"/>
        <v>0.23197691518875649</v>
      </c>
      <c r="E67" s="338">
        <v>81607557.356336221</v>
      </c>
      <c r="F67" s="344">
        <f t="shared" si="4"/>
        <v>0.27455465223323072</v>
      </c>
      <c r="G67" s="338">
        <v>180980</v>
      </c>
      <c r="H67" s="344">
        <f t="shared" si="5"/>
        <v>0.10276193277377725</v>
      </c>
      <c r="I67" s="338">
        <v>34930404.95676738</v>
      </c>
      <c r="J67" s="344">
        <f t="shared" si="6"/>
        <v>0.11751736598848918</v>
      </c>
      <c r="K67" s="338"/>
      <c r="L67" s="299"/>
      <c r="M67" s="338"/>
      <c r="N67" s="299"/>
      <c r="O67" s="338"/>
      <c r="P67" s="299"/>
      <c r="Q67" s="338"/>
      <c r="R67" s="299"/>
      <c r="S67" s="338">
        <v>1090775</v>
      </c>
      <c r="T67" s="344">
        <f t="shared" si="7"/>
        <v>0.61935101790980707</v>
      </c>
      <c r="U67" s="338">
        <v>166895240.85035276</v>
      </c>
      <c r="V67" s="344">
        <f t="shared" si="8"/>
        <v>0.56149045867125391</v>
      </c>
      <c r="W67" s="338">
        <v>80846</v>
      </c>
      <c r="X67" s="344">
        <f t="shared" si="9"/>
        <v>4.5905023853623585E-2</v>
      </c>
      <c r="Y67" s="338">
        <v>13802000.041486777</v>
      </c>
      <c r="Z67" s="344">
        <f t="shared" si="10"/>
        <v>4.6434465682720485E-2</v>
      </c>
      <c r="AA67" s="338">
        <v>9</v>
      </c>
      <c r="AB67" s="345">
        <f t="shared" si="11"/>
        <v>5.1102740356061181E-6</v>
      </c>
      <c r="AC67" s="338">
        <v>908.77691330847199</v>
      </c>
      <c r="AD67" s="345">
        <f t="shared" si="12"/>
        <v>3.0574243057113613E-6</v>
      </c>
      <c r="AE67" s="338">
        <f t="shared" si="14"/>
        <v>1761158</v>
      </c>
      <c r="AF67" s="444">
        <f t="shared" si="15"/>
        <v>1</v>
      </c>
      <c r="AG67" s="338">
        <f t="shared" si="16"/>
        <v>297236111.98185647</v>
      </c>
      <c r="AH67" s="444">
        <f t="shared" si="13"/>
        <v>1</v>
      </c>
    </row>
    <row r="68" spans="2:34" x14ac:dyDescent="0.25">
      <c r="B68" s="236">
        <v>44409</v>
      </c>
      <c r="C68" s="338">
        <v>409302</v>
      </c>
      <c r="D68" s="344">
        <f t="shared" si="3"/>
        <v>0.23134418624105121</v>
      </c>
      <c r="E68" s="338">
        <v>81518278.778212696</v>
      </c>
      <c r="F68" s="344">
        <f t="shared" si="4"/>
        <v>0.27310070620740484</v>
      </c>
      <c r="G68" s="338">
        <v>181161</v>
      </c>
      <c r="H68" s="344">
        <f t="shared" si="5"/>
        <v>0.10239516084361933</v>
      </c>
      <c r="I68" s="338">
        <v>34866237.871962532</v>
      </c>
      <c r="J68" s="344">
        <f t="shared" si="6"/>
        <v>0.11680808682841406</v>
      </c>
      <c r="K68" s="338"/>
      <c r="L68" s="299"/>
      <c r="M68" s="338"/>
      <c r="N68" s="299"/>
      <c r="O68" s="338"/>
      <c r="P68" s="299"/>
      <c r="Q68" s="338"/>
      <c r="R68" s="299"/>
      <c r="S68" s="338">
        <v>1097020</v>
      </c>
      <c r="T68" s="344">
        <f t="shared" si="7"/>
        <v>0.62005365033681248</v>
      </c>
      <c r="U68" s="338">
        <v>168203464.09093928</v>
      </c>
      <c r="V68" s="344">
        <f t="shared" si="8"/>
        <v>0.56351146660918927</v>
      </c>
      <c r="W68" s="338">
        <v>81743</v>
      </c>
      <c r="X68" s="344">
        <f t="shared" si="9"/>
        <v>4.6202480847643668E-2</v>
      </c>
      <c r="Y68" s="338">
        <v>13902805.400929693</v>
      </c>
      <c r="Z68" s="344">
        <f t="shared" si="10"/>
        <v>4.6576866319616231E-2</v>
      </c>
      <c r="AA68" s="338">
        <v>8</v>
      </c>
      <c r="AB68" s="345">
        <f t="shared" si="11"/>
        <v>4.5217308733610138E-6</v>
      </c>
      <c r="AC68" s="338">
        <v>857.87554422715891</v>
      </c>
      <c r="AD68" s="345">
        <f t="shared" si="12"/>
        <v>2.8740353755986855E-6</v>
      </c>
      <c r="AE68" s="338">
        <f t="shared" si="14"/>
        <v>1769234</v>
      </c>
      <c r="AF68" s="444">
        <f t="shared" si="15"/>
        <v>1</v>
      </c>
      <c r="AG68" s="338">
        <f t="shared" si="16"/>
        <v>298491644.01758844</v>
      </c>
      <c r="AH68" s="444">
        <f t="shared" si="13"/>
        <v>1</v>
      </c>
    </row>
    <row r="69" spans="2:34" x14ac:dyDescent="0.25">
      <c r="B69" s="236">
        <v>44440</v>
      </c>
      <c r="C69" s="338">
        <v>409787</v>
      </c>
      <c r="D69" s="344">
        <f t="shared" si="3"/>
        <v>0.23001763636751452</v>
      </c>
      <c r="E69" s="338">
        <v>80655803.364915013</v>
      </c>
      <c r="F69" s="344">
        <f t="shared" si="4"/>
        <v>0.27124837567998139</v>
      </c>
      <c r="G69" s="338">
        <v>181169</v>
      </c>
      <c r="H69" s="344">
        <f t="shared" si="5"/>
        <v>0.10169201356574571</v>
      </c>
      <c r="I69" s="338">
        <v>34462501.810219832</v>
      </c>
      <c r="J69" s="344">
        <f t="shared" si="6"/>
        <v>0.11589863652584792</v>
      </c>
      <c r="K69" s="338"/>
      <c r="L69" s="299"/>
      <c r="M69" s="338"/>
      <c r="N69" s="299"/>
      <c r="O69" s="338"/>
      <c r="P69" s="299"/>
      <c r="Q69" s="338"/>
      <c r="R69" s="299"/>
      <c r="S69" s="338">
        <v>1108270</v>
      </c>
      <c r="T69" s="344">
        <f t="shared" si="7"/>
        <v>0.62208329170282439</v>
      </c>
      <c r="U69" s="338">
        <v>168418515.18416768</v>
      </c>
      <c r="V69" s="344">
        <f t="shared" si="8"/>
        <v>0.5663975408124422</v>
      </c>
      <c r="W69" s="338">
        <v>82312</v>
      </c>
      <c r="X69" s="344">
        <f t="shared" si="9"/>
        <v>4.6202567882053E-2</v>
      </c>
      <c r="Y69" s="338">
        <v>13812717.873995576</v>
      </c>
      <c r="Z69" s="344">
        <f t="shared" si="10"/>
        <v>4.6452668385136155E-2</v>
      </c>
      <c r="AA69" s="338">
        <v>8</v>
      </c>
      <c r="AB69" s="345">
        <f t="shared" si="11"/>
        <v>4.4904818623824473E-6</v>
      </c>
      <c r="AC69" s="338">
        <v>826.2167094045052</v>
      </c>
      <c r="AD69" s="345">
        <f t="shared" si="12"/>
        <v>2.778596592382567E-6</v>
      </c>
      <c r="AE69" s="338">
        <f t="shared" si="14"/>
        <v>1781546</v>
      </c>
      <c r="AF69" s="444">
        <f t="shared" si="15"/>
        <v>1</v>
      </c>
      <c r="AG69" s="338">
        <f t="shared" si="16"/>
        <v>297350364.4500075</v>
      </c>
      <c r="AH69" s="444">
        <f t="shared" si="13"/>
        <v>1.0000000000000002</v>
      </c>
    </row>
    <row r="70" spans="2:34" x14ac:dyDescent="0.25">
      <c r="B70" s="223">
        <v>44470</v>
      </c>
      <c r="C70" s="338">
        <v>411102</v>
      </c>
      <c r="D70" s="344">
        <f t="shared" si="3"/>
        <v>0.22884336413138473</v>
      </c>
      <c r="E70" s="338">
        <v>79828196.369005471</v>
      </c>
      <c r="F70" s="344">
        <f t="shared" si="4"/>
        <v>0.26959178405164769</v>
      </c>
      <c r="G70" s="338">
        <v>181504</v>
      </c>
      <c r="H70" s="344">
        <f t="shared" si="5"/>
        <v>0.1010357185401746</v>
      </c>
      <c r="I70" s="338">
        <v>34069087.006332137</v>
      </c>
      <c r="J70" s="344">
        <f t="shared" si="6"/>
        <v>0.11505641320757698</v>
      </c>
      <c r="K70" s="338"/>
      <c r="L70" s="299"/>
      <c r="M70" s="338"/>
      <c r="N70" s="299"/>
      <c r="O70" s="338"/>
      <c r="P70" s="299"/>
      <c r="Q70" s="338"/>
      <c r="R70" s="299"/>
      <c r="S70" s="338">
        <v>1121224</v>
      </c>
      <c r="T70" s="344">
        <f t="shared" si="7"/>
        <v>0.6241387103561834</v>
      </c>
      <c r="U70" s="338">
        <v>168534824.061055</v>
      </c>
      <c r="V70" s="344">
        <f t="shared" si="8"/>
        <v>0.56916736140980195</v>
      </c>
      <c r="W70" s="338">
        <v>82592</v>
      </c>
      <c r="X70" s="344">
        <f t="shared" si="9"/>
        <v>4.5975527071965908E-2</v>
      </c>
      <c r="Y70" s="338">
        <v>13674434.857736561</v>
      </c>
      <c r="Z70" s="344">
        <f t="shared" si="10"/>
        <v>4.6180616084000425E-2</v>
      </c>
      <c r="AA70" s="338">
        <v>12</v>
      </c>
      <c r="AB70" s="345">
        <f t="shared" si="11"/>
        <v>6.6799002913549844E-6</v>
      </c>
      <c r="AC70" s="338">
        <v>1132.6849873741762</v>
      </c>
      <c r="AD70" s="345">
        <f t="shared" si="12"/>
        <v>3.8252469729265227E-6</v>
      </c>
      <c r="AE70" s="338">
        <f t="shared" si="14"/>
        <v>1796434</v>
      </c>
      <c r="AF70" s="444">
        <f t="shared" si="15"/>
        <v>1</v>
      </c>
      <c r="AG70" s="338">
        <f t="shared" si="16"/>
        <v>296107674.97911656</v>
      </c>
      <c r="AH70" s="444">
        <f t="shared" si="13"/>
        <v>1</v>
      </c>
    </row>
    <row r="71" spans="2:34" x14ac:dyDescent="0.25">
      <c r="B71" s="236">
        <v>44501</v>
      </c>
      <c r="C71" s="338">
        <v>412375</v>
      </c>
      <c r="D71" s="344">
        <f t="shared" si="3"/>
        <v>0.22735993966105658</v>
      </c>
      <c r="E71" s="338">
        <v>79667468.358489722</v>
      </c>
      <c r="F71" s="344">
        <f t="shared" si="4"/>
        <v>0.26786164100864368</v>
      </c>
      <c r="G71" s="338">
        <v>181898</v>
      </c>
      <c r="H71" s="344">
        <f t="shared" si="5"/>
        <v>0.10028813168709759</v>
      </c>
      <c r="I71" s="338">
        <v>33974655.76408039</v>
      </c>
      <c r="J71" s="344">
        <f t="shared" si="6"/>
        <v>0.11423115649564328</v>
      </c>
      <c r="K71" s="338"/>
      <c r="L71" s="299"/>
      <c r="M71" s="338"/>
      <c r="N71" s="299"/>
      <c r="O71" s="338"/>
      <c r="P71" s="299"/>
      <c r="Q71" s="338"/>
      <c r="R71" s="299"/>
      <c r="S71" s="338">
        <v>1135385</v>
      </c>
      <c r="T71" s="344">
        <f t="shared" si="7"/>
        <v>0.62598621422750822</v>
      </c>
      <c r="U71" s="338">
        <v>170033838.59796277</v>
      </c>
      <c r="V71" s="344">
        <f t="shared" si="8"/>
        <v>0.57169562397667961</v>
      </c>
      <c r="W71" s="338">
        <v>84083</v>
      </c>
      <c r="X71" s="344">
        <f t="shared" si="9"/>
        <v>4.6358546969434665E-2</v>
      </c>
      <c r="Y71" s="338">
        <v>13743266.088655639</v>
      </c>
      <c r="Z71" s="344">
        <f t="shared" si="10"/>
        <v>4.6208243881436815E-2</v>
      </c>
      <c r="AA71" s="338">
        <v>13</v>
      </c>
      <c r="AB71" s="345">
        <f t="shared" si="11"/>
        <v>7.1674549029250935E-6</v>
      </c>
      <c r="AC71" s="338">
        <v>991.78864953166988</v>
      </c>
      <c r="AD71" s="345">
        <f t="shared" si="12"/>
        <v>3.3346375963883572E-6</v>
      </c>
      <c r="AE71" s="338">
        <f t="shared" si="14"/>
        <v>1813754</v>
      </c>
      <c r="AF71" s="444">
        <f t="shared" si="15"/>
        <v>0.99999999999999989</v>
      </c>
      <c r="AG71" s="338">
        <f t="shared" si="16"/>
        <v>297420220.5978381</v>
      </c>
      <c r="AH71" s="444">
        <f t="shared" si="13"/>
        <v>0.99999999999999978</v>
      </c>
    </row>
    <row r="72" spans="2:34" x14ac:dyDescent="0.25">
      <c r="B72" s="236">
        <v>44531</v>
      </c>
      <c r="C72" s="338">
        <v>413523</v>
      </c>
      <c r="D72" s="344">
        <f t="shared" si="3"/>
        <v>0.22621880569678629</v>
      </c>
      <c r="E72" s="338">
        <v>79249357.666176543</v>
      </c>
      <c r="F72" s="344">
        <f t="shared" si="4"/>
        <v>0.26645991864583607</v>
      </c>
      <c r="G72" s="338">
        <v>182087</v>
      </c>
      <c r="H72" s="344">
        <f t="shared" si="5"/>
        <v>9.961115505766481E-2</v>
      </c>
      <c r="I72" s="338">
        <v>33747920.689756244</v>
      </c>
      <c r="J72" s="344">
        <f t="shared" si="6"/>
        <v>0.1134705499991269</v>
      </c>
      <c r="K72" s="338"/>
      <c r="L72" s="299"/>
      <c r="M72" s="338"/>
      <c r="N72" s="299"/>
      <c r="O72" s="338"/>
      <c r="P72" s="299"/>
      <c r="Q72" s="338"/>
      <c r="R72" s="299"/>
      <c r="S72" s="338">
        <v>1147603</v>
      </c>
      <c r="T72" s="344">
        <f t="shared" si="7"/>
        <v>0.62779913106175234</v>
      </c>
      <c r="U72" s="338">
        <v>170746826.81706354</v>
      </c>
      <c r="V72" s="344">
        <f t="shared" si="8"/>
        <v>0.57410163214644594</v>
      </c>
      <c r="W72" s="338">
        <v>84750</v>
      </c>
      <c r="X72" s="344">
        <f t="shared" si="9"/>
        <v>4.6362702395761873E-2</v>
      </c>
      <c r="Y72" s="338">
        <v>13670389.25113491</v>
      </c>
      <c r="Z72" s="344">
        <f t="shared" si="10"/>
        <v>4.5963915859837667E-2</v>
      </c>
      <c r="AA72" s="338">
        <v>15</v>
      </c>
      <c r="AB72" s="345">
        <f t="shared" si="11"/>
        <v>8.205788034648119E-6</v>
      </c>
      <c r="AC72" s="338">
        <v>1184.710374725727</v>
      </c>
      <c r="AD72" s="345">
        <f t="shared" si="12"/>
        <v>3.9833487534123667E-6</v>
      </c>
      <c r="AE72" s="338">
        <f t="shared" si="14"/>
        <v>1827978</v>
      </c>
      <c r="AF72" s="444">
        <f t="shared" si="15"/>
        <v>0.99999999999999989</v>
      </c>
      <c r="AG72" s="338">
        <f t="shared" si="16"/>
        <v>297415679.13450599</v>
      </c>
      <c r="AH72" s="444">
        <f t="shared" si="13"/>
        <v>0.99999999999999989</v>
      </c>
    </row>
    <row r="73" spans="2:34" x14ac:dyDescent="0.25">
      <c r="B73" s="279" t="s">
        <v>770</v>
      </c>
      <c r="C73" s="346">
        <v>409641.58333333331</v>
      </c>
      <c r="D73" s="343">
        <f t="shared" si="3"/>
        <v>0.23271624561588719</v>
      </c>
      <c r="E73" s="346">
        <f>+[1]PBS!$AE$189</f>
        <v>80113086.099703416</v>
      </c>
      <c r="F73" s="343">
        <f t="shared" si="4"/>
        <v>0.2756964597420884</v>
      </c>
      <c r="G73" s="346">
        <v>181116.58333333334</v>
      </c>
      <c r="H73" s="343">
        <f t="shared" si="5"/>
        <v>0.102891827897787</v>
      </c>
      <c r="I73" s="346">
        <v>34228146.329486661</v>
      </c>
      <c r="J73" s="343">
        <f t="shared" si="6"/>
        <v>0.11779072840646149</v>
      </c>
      <c r="K73" s="346"/>
      <c r="L73" s="281"/>
      <c r="M73" s="346"/>
      <c r="N73" s="281"/>
      <c r="O73" s="346"/>
      <c r="P73" s="281"/>
      <c r="Q73" s="346"/>
      <c r="R73" s="281"/>
      <c r="S73" s="346">
        <v>1090590.1666666667</v>
      </c>
      <c r="T73" s="343">
        <f t="shared" si="7"/>
        <v>0.61956124431281423</v>
      </c>
      <c r="U73" s="346">
        <v>162924561.67824304</v>
      </c>
      <c r="V73" s="343">
        <f t="shared" si="8"/>
        <v>0.56067899823284206</v>
      </c>
      <c r="W73" s="346">
        <v>78904.583333333328</v>
      </c>
      <c r="X73" s="343">
        <f t="shared" si="9"/>
        <v>4.4825474615640799E-2</v>
      </c>
      <c r="Y73" s="346">
        <v>13317767.623668106</v>
      </c>
      <c r="Z73" s="343">
        <f t="shared" si="10"/>
        <v>4.5830981731793445E-2</v>
      </c>
      <c r="AA73" s="346">
        <v>9.1666666666666661</v>
      </c>
      <c r="AB73" s="343">
        <f t="shared" si="11"/>
        <v>5.2075578707621422E-6</v>
      </c>
      <c r="AC73" s="346">
        <v>822.90208741976892</v>
      </c>
      <c r="AD73" s="343">
        <f t="shared" si="12"/>
        <v>2.8318868147665171E-6</v>
      </c>
      <c r="AE73" s="346">
        <f>+C73+G73+K73+O73+S73+W73+AA73</f>
        <v>1760262.0833333335</v>
      </c>
      <c r="AF73" s="443">
        <f>+D73+H73+T73+X73+AB73+L73+P73</f>
        <v>1</v>
      </c>
      <c r="AG73" s="346">
        <f>+E73+I73+M73+Q73+U73+Y73+AC73</f>
        <v>290584384.63318861</v>
      </c>
      <c r="AH73" s="443">
        <f t="shared" si="13"/>
        <v>1.0000000000000002</v>
      </c>
    </row>
    <row r="74" spans="2:34" x14ac:dyDescent="0.25">
      <c r="B74" s="223">
        <v>44562</v>
      </c>
      <c r="C74" s="338">
        <v>414941</v>
      </c>
      <c r="D74" s="344">
        <f t="shared" si="3"/>
        <v>0.22500393135048669</v>
      </c>
      <c r="E74" s="338">
        <v>81310395.028859764</v>
      </c>
      <c r="F74" s="344">
        <f t="shared" si="4"/>
        <v>0.26114788278481932</v>
      </c>
      <c r="G74" s="338">
        <v>182344</v>
      </c>
      <c r="H74" s="344">
        <f t="shared" si="5"/>
        <v>9.887698939891007E-2</v>
      </c>
      <c r="I74" s="338">
        <v>35775951.212836727</v>
      </c>
      <c r="J74" s="344">
        <f t="shared" si="6"/>
        <v>0.11490306879617575</v>
      </c>
      <c r="K74" s="338"/>
      <c r="L74" s="299"/>
      <c r="M74" s="338"/>
      <c r="N74" s="299"/>
      <c r="O74" s="338"/>
      <c r="P74" s="299"/>
      <c r="Q74" s="338"/>
      <c r="R74" s="299"/>
      <c r="S74" s="338">
        <v>1161305</v>
      </c>
      <c r="T74" s="344">
        <f t="shared" si="7"/>
        <v>0.6297237209554537</v>
      </c>
      <c r="U74" s="338">
        <v>179599861.45843014</v>
      </c>
      <c r="V74" s="344">
        <f t="shared" si="8"/>
        <v>0.57682813558670787</v>
      </c>
      <c r="W74" s="338">
        <v>85544</v>
      </c>
      <c r="X74" s="344">
        <f t="shared" si="9"/>
        <v>4.6386682211316865E-2</v>
      </c>
      <c r="Y74" s="338">
        <v>14670303.986275936</v>
      </c>
      <c r="Z74" s="344">
        <f t="shared" si="10"/>
        <v>4.7117208377426577E-2</v>
      </c>
      <c r="AA74" s="338">
        <v>16</v>
      </c>
      <c r="AB74" s="344">
        <f t="shared" si="11"/>
        <v>8.6760838326600331E-6</v>
      </c>
      <c r="AC74" s="338">
        <v>1153.410418932305</v>
      </c>
      <c r="AD74" s="345">
        <f t="shared" si="12"/>
        <v>3.704454870489969E-6</v>
      </c>
      <c r="AE74" s="338">
        <f>+C74+G74+K74+O74+S74+W74+AA74</f>
        <v>1844150</v>
      </c>
      <c r="AF74" s="444">
        <f t="shared" si="15"/>
        <v>1</v>
      </c>
      <c r="AG74" s="338">
        <f>+E74+I74+M74+Q74+U74+Y74+AC74</f>
        <v>311357665.09682149</v>
      </c>
      <c r="AH74" s="444">
        <f t="shared" si="13"/>
        <v>1</v>
      </c>
    </row>
    <row r="75" spans="2:34" x14ac:dyDescent="0.25">
      <c r="B75" s="236">
        <v>44593</v>
      </c>
      <c r="C75" s="338"/>
      <c r="D75" s="344"/>
      <c r="E75" s="338"/>
      <c r="F75" s="344"/>
      <c r="G75" s="338">
        <v>182599</v>
      </c>
      <c r="H75" s="344">
        <f t="shared" si="5"/>
        <v>9.8417443159033974E-2</v>
      </c>
      <c r="I75" s="338">
        <v>37527687.115078114</v>
      </c>
      <c r="J75" s="344">
        <f t="shared" si="6"/>
        <v>0.10487830728596513</v>
      </c>
      <c r="K75" s="338">
        <v>415749</v>
      </c>
      <c r="L75" s="344">
        <f t="shared" ref="L75:L86" si="17">+K75/$AE75</f>
        <v>0.22408092911749361</v>
      </c>
      <c r="M75" s="338">
        <v>85366587.150653228</v>
      </c>
      <c r="N75" s="344">
        <f t="shared" ref="N75:N86" si="18">+M75/$AG75</f>
        <v>0.23857327342571816</v>
      </c>
      <c r="O75" s="338">
        <v>857471</v>
      </c>
      <c r="P75" s="344">
        <f t="shared" ref="P75:P86" si="19">+O75/$AE75</f>
        <v>0.46216081907907502</v>
      </c>
      <c r="Q75" s="338">
        <v>159328729.78427583</v>
      </c>
      <c r="R75" s="344">
        <f t="shared" ref="R75:R86" si="20">+Q75/$AG75</f>
        <v>0.44527464297377073</v>
      </c>
      <c r="S75" s="338">
        <v>313314</v>
      </c>
      <c r="T75" s="344">
        <f t="shared" si="7"/>
        <v>0.16887038146939234</v>
      </c>
      <c r="U75" s="338">
        <v>60094284.627482317</v>
      </c>
      <c r="V75" s="344">
        <f t="shared" si="8"/>
        <v>0.16794498499106936</v>
      </c>
      <c r="W75" s="338">
        <v>86219</v>
      </c>
      <c r="X75" s="344">
        <f t="shared" si="9"/>
        <v>4.6470427175005068E-2</v>
      </c>
      <c r="Y75" s="338">
        <v>15503962.315375218</v>
      </c>
      <c r="Z75" s="344">
        <f t="shared" si="10"/>
        <v>4.3328791323476716E-2</v>
      </c>
      <c r="AA75" s="338"/>
      <c r="AB75" s="344"/>
      <c r="AC75" s="338"/>
      <c r="AD75" s="345"/>
      <c r="AE75" s="338">
        <f t="shared" si="14"/>
        <v>1855352</v>
      </c>
      <c r="AF75" s="444">
        <f t="shared" si="15"/>
        <v>1</v>
      </c>
      <c r="AG75" s="338">
        <f t="shared" ref="AG75:AG85" si="21">+E75+I75+M75+Q75+U75+Y75+AC75</f>
        <v>357821250.99286467</v>
      </c>
      <c r="AH75" s="444">
        <f t="shared" si="13"/>
        <v>1</v>
      </c>
    </row>
    <row r="76" spans="2:34" x14ac:dyDescent="0.25">
      <c r="B76" s="236">
        <v>44621</v>
      </c>
      <c r="C76" s="338"/>
      <c r="D76" s="344"/>
      <c r="E76" s="338"/>
      <c r="F76" s="344"/>
      <c r="G76" s="338">
        <v>182858</v>
      </c>
      <c r="H76" s="344">
        <f t="shared" si="5"/>
        <v>9.5980843513191347E-2</v>
      </c>
      <c r="I76" s="338">
        <v>36895631.216040313</v>
      </c>
      <c r="J76" s="344">
        <f t="shared" si="6"/>
        <v>9.7740105856623224E-2</v>
      </c>
      <c r="K76" s="338">
        <v>420201</v>
      </c>
      <c r="L76" s="344">
        <f t="shared" si="17"/>
        <v>0.22056047000998871</v>
      </c>
      <c r="M76" s="338">
        <v>84606612.660146058</v>
      </c>
      <c r="N76" s="344">
        <f t="shared" si="18"/>
        <v>0.2241311235238567</v>
      </c>
      <c r="O76" s="338">
        <v>897756</v>
      </c>
      <c r="P76" s="344">
        <f t="shared" si="19"/>
        <v>0.47122564038231091</v>
      </c>
      <c r="Q76" s="338">
        <v>180882446.51020101</v>
      </c>
      <c r="R76" s="344">
        <f t="shared" si="20"/>
        <v>0.47917514585916382</v>
      </c>
      <c r="S76" s="338">
        <v>316664</v>
      </c>
      <c r="T76" s="344">
        <f t="shared" si="7"/>
        <v>0.16621464650308559</v>
      </c>
      <c r="U76" s="338">
        <v>59759187.337841801</v>
      </c>
      <c r="V76" s="344">
        <f t="shared" si="8"/>
        <v>0.15830788371949922</v>
      </c>
      <c r="W76" s="338">
        <v>87672</v>
      </c>
      <c r="X76" s="344">
        <f t="shared" si="9"/>
        <v>4.601839959142346E-2</v>
      </c>
      <c r="Y76" s="338">
        <v>15343243.78721262</v>
      </c>
      <c r="Z76" s="344">
        <f t="shared" si="10"/>
        <v>4.0645741040857102E-2</v>
      </c>
      <c r="AA76" s="338"/>
      <c r="AB76" s="344"/>
      <c r="AC76" s="338"/>
      <c r="AD76" s="345"/>
      <c r="AE76" s="338">
        <f t="shared" si="14"/>
        <v>1905151</v>
      </c>
      <c r="AF76" s="444">
        <f t="shared" si="15"/>
        <v>1</v>
      </c>
      <c r="AG76" s="338">
        <f t="shared" si="21"/>
        <v>377487121.51144177</v>
      </c>
      <c r="AH76" s="444">
        <f t="shared" si="13"/>
        <v>1</v>
      </c>
    </row>
    <row r="77" spans="2:34" x14ac:dyDescent="0.25">
      <c r="B77" s="223">
        <v>44652</v>
      </c>
      <c r="C77" s="338"/>
      <c r="D77" s="344"/>
      <c r="E77" s="338"/>
      <c r="F77" s="344"/>
      <c r="G77" s="338">
        <v>182742</v>
      </c>
      <c r="H77" s="344">
        <f t="shared" si="5"/>
        <v>9.4545556138461107E-2</v>
      </c>
      <c r="I77" s="338">
        <v>36363578.52800598</v>
      </c>
      <c r="J77" s="344">
        <f t="shared" si="6"/>
        <v>9.6192662708871224E-2</v>
      </c>
      <c r="K77" s="338">
        <v>422364</v>
      </c>
      <c r="L77" s="344">
        <f t="shared" si="17"/>
        <v>0.21851921984472639</v>
      </c>
      <c r="M77" s="338">
        <v>83801691.951241896</v>
      </c>
      <c r="N77" s="344">
        <f t="shared" si="18"/>
        <v>0.22168081950708321</v>
      </c>
      <c r="O77" s="338">
        <v>927426</v>
      </c>
      <c r="P77" s="344">
        <f t="shared" si="19"/>
        <v>0.47982405220074442</v>
      </c>
      <c r="Q77" s="338">
        <v>184234483.04891911</v>
      </c>
      <c r="R77" s="344">
        <f t="shared" si="20"/>
        <v>0.48735592602964112</v>
      </c>
      <c r="S77" s="338">
        <v>311879</v>
      </c>
      <c r="T77" s="344">
        <f t="shared" si="7"/>
        <v>0.16135739733015461</v>
      </c>
      <c r="U77" s="338">
        <v>58454463.932687037</v>
      </c>
      <c r="V77" s="344">
        <f t="shared" si="8"/>
        <v>0.15462973559035958</v>
      </c>
      <c r="W77" s="338">
        <v>88435</v>
      </c>
      <c r="X77" s="344">
        <f t="shared" si="9"/>
        <v>4.5753774485913515E-2</v>
      </c>
      <c r="Y77" s="338">
        <v>15174392.039862081</v>
      </c>
      <c r="Z77" s="344">
        <f t="shared" si="10"/>
        <v>4.0140856164044732E-2</v>
      </c>
      <c r="AA77" s="338"/>
      <c r="AB77" s="344"/>
      <c r="AC77" s="338"/>
      <c r="AD77" s="345"/>
      <c r="AE77" s="338">
        <f t="shared" si="14"/>
        <v>1932846</v>
      </c>
      <c r="AF77" s="444">
        <f t="shared" si="15"/>
        <v>1</v>
      </c>
      <c r="AG77" s="338">
        <f t="shared" si="21"/>
        <v>378028609.50071615</v>
      </c>
      <c r="AH77" s="444">
        <f t="shared" si="13"/>
        <v>0.99999999999999978</v>
      </c>
    </row>
    <row r="78" spans="2:34" x14ac:dyDescent="0.25">
      <c r="B78" s="236">
        <v>44682</v>
      </c>
      <c r="C78" s="338"/>
      <c r="D78" s="344"/>
      <c r="E78" s="338"/>
      <c r="F78" s="344"/>
      <c r="G78" s="338">
        <v>183254</v>
      </c>
      <c r="H78" s="344">
        <f t="shared" si="5"/>
        <v>9.3527812497288643E-2</v>
      </c>
      <c r="I78" s="338">
        <v>36031828.989013657</v>
      </c>
      <c r="J78" s="344">
        <f t="shared" si="6"/>
        <v>9.4000501207421996E-2</v>
      </c>
      <c r="K78" s="338">
        <v>425810</v>
      </c>
      <c r="L78" s="344">
        <f t="shared" si="17"/>
        <v>0.21732173834934287</v>
      </c>
      <c r="M78" s="338">
        <v>83429813.567020133</v>
      </c>
      <c r="N78" s="344">
        <f t="shared" si="18"/>
        <v>0.21765323912180204</v>
      </c>
      <c r="O78" s="338">
        <v>1083427</v>
      </c>
      <c r="P78" s="344">
        <f t="shared" si="19"/>
        <v>0.55295140793925346</v>
      </c>
      <c r="Q78" s="338">
        <v>212654441.36511207</v>
      </c>
      <c r="R78" s="344">
        <f t="shared" si="20"/>
        <v>0.55477683573597758</v>
      </c>
      <c r="S78" s="338">
        <v>177591</v>
      </c>
      <c r="T78" s="344">
        <f t="shared" si="7"/>
        <v>9.0637572708950356E-2</v>
      </c>
      <c r="U78" s="338">
        <v>36181983.809624039</v>
      </c>
      <c r="V78" s="344">
        <f t="shared" si="8"/>
        <v>9.4392227877760873E-2</v>
      </c>
      <c r="W78" s="338">
        <v>89271</v>
      </c>
      <c r="X78" s="344">
        <f t="shared" si="9"/>
        <v>4.5561468505164716E-2</v>
      </c>
      <c r="Y78" s="338">
        <v>15017218.104841139</v>
      </c>
      <c r="Z78" s="344">
        <f t="shared" si="10"/>
        <v>3.9177196057037601E-2</v>
      </c>
      <c r="AA78" s="338"/>
      <c r="AB78" s="344"/>
      <c r="AC78" s="338"/>
      <c r="AD78" s="345"/>
      <c r="AE78" s="338">
        <f t="shared" si="14"/>
        <v>1959353</v>
      </c>
      <c r="AF78" s="444">
        <f t="shared" si="15"/>
        <v>1</v>
      </c>
      <c r="AG78" s="338">
        <f t="shared" si="21"/>
        <v>383315285.83561099</v>
      </c>
      <c r="AH78" s="444">
        <f t="shared" si="13"/>
        <v>1</v>
      </c>
    </row>
    <row r="79" spans="2:34" x14ac:dyDescent="0.25">
      <c r="B79" s="236">
        <v>44713</v>
      </c>
      <c r="C79" s="338"/>
      <c r="D79" s="344"/>
      <c r="E79" s="338"/>
      <c r="F79" s="344"/>
      <c r="G79" s="338">
        <v>184170</v>
      </c>
      <c r="H79" s="344">
        <f t="shared" si="5"/>
        <v>9.3119369961532708E-2</v>
      </c>
      <c r="I79" s="338">
        <v>35876695.514933184</v>
      </c>
      <c r="J79" s="344">
        <f t="shared" si="6"/>
        <v>9.3631845488994572E-2</v>
      </c>
      <c r="K79" s="338">
        <v>426359</v>
      </c>
      <c r="L79" s="344">
        <f t="shared" si="17"/>
        <v>0.2155740970702564</v>
      </c>
      <c r="M79" s="338">
        <v>82743694.522645712</v>
      </c>
      <c r="N79" s="344">
        <f t="shared" si="18"/>
        <v>0.21594644405051636</v>
      </c>
      <c r="O79" s="338">
        <v>1102129</v>
      </c>
      <c r="P79" s="344">
        <f t="shared" si="19"/>
        <v>0.55725448279488554</v>
      </c>
      <c r="Q79" s="338">
        <v>214278044.80841678</v>
      </c>
      <c r="R79" s="344">
        <f t="shared" si="20"/>
        <v>0.55922789139915308</v>
      </c>
      <c r="S79" s="338">
        <v>174924</v>
      </c>
      <c r="T79" s="344">
        <f t="shared" si="7"/>
        <v>8.8444440848950132E-2</v>
      </c>
      <c r="U79" s="338">
        <v>35335956.811978765</v>
      </c>
      <c r="V79" s="344">
        <f t="shared" si="8"/>
        <v>9.2220612878012517E-2</v>
      </c>
      <c r="W79" s="338">
        <v>90202</v>
      </c>
      <c r="X79" s="344">
        <f t="shared" si="9"/>
        <v>4.5607609324375159E-2</v>
      </c>
      <c r="Y79" s="338">
        <v>14933272.373064095</v>
      </c>
      <c r="Z79" s="344">
        <f t="shared" si="10"/>
        <v>3.8973206183323506E-2</v>
      </c>
      <c r="AA79" s="338"/>
      <c r="AB79" s="344"/>
      <c r="AC79" s="338"/>
      <c r="AD79" s="345"/>
      <c r="AE79" s="338">
        <f t="shared" si="14"/>
        <v>1977784</v>
      </c>
      <c r="AF79" s="444">
        <f t="shared" si="15"/>
        <v>1</v>
      </c>
      <c r="AG79" s="338">
        <f t="shared" si="21"/>
        <v>383167664.03103852</v>
      </c>
      <c r="AH79" s="444">
        <f t="shared" si="13"/>
        <v>1</v>
      </c>
    </row>
    <row r="80" spans="2:34" x14ac:dyDescent="0.25">
      <c r="B80" s="223">
        <v>44743</v>
      </c>
      <c r="C80" s="338"/>
      <c r="D80" s="344"/>
      <c r="E80" s="338"/>
      <c r="F80" s="344"/>
      <c r="G80" s="338">
        <v>184681</v>
      </c>
      <c r="H80" s="344">
        <f t="shared" si="5"/>
        <v>9.2455329519262927E-2</v>
      </c>
      <c r="I80" s="338">
        <v>37199038.532335632</v>
      </c>
      <c r="J80" s="344">
        <f t="shared" si="6"/>
        <v>9.2498195142103112E-2</v>
      </c>
      <c r="K80" s="338">
        <v>427515</v>
      </c>
      <c r="L80" s="344">
        <f t="shared" si="17"/>
        <v>0.2140233169596639</v>
      </c>
      <c r="M80" s="338">
        <v>85787209.015420482</v>
      </c>
      <c r="N80" s="344">
        <f t="shared" si="18"/>
        <v>0.21331631981044438</v>
      </c>
      <c r="O80" s="338">
        <v>1120062</v>
      </c>
      <c r="P80" s="344">
        <f t="shared" si="19"/>
        <v>0.5607274234599372</v>
      </c>
      <c r="Q80" s="338">
        <v>225186346.05631223</v>
      </c>
      <c r="R80" s="344">
        <f t="shared" si="20"/>
        <v>0.55994271364696246</v>
      </c>
      <c r="S80" s="338">
        <v>174528</v>
      </c>
      <c r="T80" s="345">
        <f t="shared" si="7"/>
        <v>8.7372516665698799E-2</v>
      </c>
      <c r="U80" s="338">
        <v>38438705.252635367</v>
      </c>
      <c r="V80" s="344">
        <f t="shared" si="8"/>
        <v>9.5580719280617621E-2</v>
      </c>
      <c r="W80" s="338">
        <v>90730</v>
      </c>
      <c r="X80" s="344">
        <f t="shared" si="9"/>
        <v>4.5421413395437135E-2</v>
      </c>
      <c r="Y80" s="338">
        <v>15548315.989699507</v>
      </c>
      <c r="Z80" s="344">
        <f t="shared" si="10"/>
        <v>3.8662052119872545E-2</v>
      </c>
      <c r="AA80" s="338"/>
      <c r="AB80" s="344"/>
      <c r="AC80" s="338"/>
      <c r="AD80" s="345"/>
      <c r="AE80" s="338">
        <f t="shared" si="14"/>
        <v>1997516</v>
      </c>
      <c r="AF80" s="444">
        <f t="shared" si="15"/>
        <v>1</v>
      </c>
      <c r="AG80" s="338">
        <f t="shared" si="21"/>
        <v>402159614.84640318</v>
      </c>
      <c r="AH80" s="444">
        <f t="shared" si="13"/>
        <v>1</v>
      </c>
    </row>
    <row r="81" spans="2:34" x14ac:dyDescent="0.25">
      <c r="B81" s="236">
        <v>44774</v>
      </c>
      <c r="C81" s="338"/>
      <c r="D81" s="344"/>
      <c r="E81" s="338"/>
      <c r="F81" s="344"/>
      <c r="G81" s="338">
        <v>185109</v>
      </c>
      <c r="H81" s="344">
        <f t="shared" si="5"/>
        <v>8.8937500780747775E-2</v>
      </c>
      <c r="I81" s="338">
        <v>36838460.962639824</v>
      </c>
      <c r="J81" s="344">
        <f t="shared" si="6"/>
        <v>8.9238644556240407E-2</v>
      </c>
      <c r="K81" s="338">
        <v>432035</v>
      </c>
      <c r="L81" s="344">
        <f t="shared" si="17"/>
        <v>0.20757560761394833</v>
      </c>
      <c r="M81" s="338">
        <v>85641597.903465897</v>
      </c>
      <c r="N81" s="344">
        <f t="shared" si="18"/>
        <v>0.20746089589048339</v>
      </c>
      <c r="O81" s="338">
        <v>1198254</v>
      </c>
      <c r="P81" s="344">
        <f t="shared" si="19"/>
        <v>0.57571331518475133</v>
      </c>
      <c r="Q81" s="338">
        <v>236898852.64172146</v>
      </c>
      <c r="R81" s="344">
        <f t="shared" si="20"/>
        <v>0.57387121921612538</v>
      </c>
      <c r="S81" s="338">
        <v>174548</v>
      </c>
      <c r="T81" s="344">
        <f t="shared" si="7"/>
        <v>8.3863360972605119E-2</v>
      </c>
      <c r="U81" s="338">
        <v>38012378.068746112</v>
      </c>
      <c r="V81" s="344">
        <f t="shared" si="8"/>
        <v>9.2082378214835753E-2</v>
      </c>
      <c r="W81" s="338">
        <v>91392</v>
      </c>
      <c r="X81" s="344">
        <f t="shared" si="9"/>
        <v>4.3910215447947425E-2</v>
      </c>
      <c r="Y81" s="338">
        <v>15417097.931187579</v>
      </c>
      <c r="Z81" s="344">
        <f t="shared" si="10"/>
        <v>3.7346862122315132E-2</v>
      </c>
      <c r="AA81" s="338"/>
      <c r="AB81" s="344"/>
      <c r="AC81" s="338"/>
      <c r="AD81" s="345"/>
      <c r="AE81" s="338">
        <f t="shared" si="14"/>
        <v>2081338</v>
      </c>
      <c r="AF81" s="444">
        <f t="shared" si="15"/>
        <v>1</v>
      </c>
      <c r="AG81" s="338">
        <f t="shared" si="21"/>
        <v>412808387.50776082</v>
      </c>
      <c r="AH81" s="444">
        <f t="shared" si="13"/>
        <v>1</v>
      </c>
    </row>
    <row r="82" spans="2:34" x14ac:dyDescent="0.25">
      <c r="B82" s="236">
        <v>44805</v>
      </c>
      <c r="C82" s="338"/>
      <c r="D82" s="344"/>
      <c r="E82" s="338"/>
      <c r="F82" s="344"/>
      <c r="G82" s="338">
        <v>185298</v>
      </c>
      <c r="H82" s="344">
        <f t="shared" si="5"/>
        <v>8.7618265839430345E-2</v>
      </c>
      <c r="I82" s="338">
        <v>36557894.781492487</v>
      </c>
      <c r="J82" s="344">
        <f t="shared" si="6"/>
        <v>8.8035814477174415E-2</v>
      </c>
      <c r="K82" s="338">
        <v>431499</v>
      </c>
      <c r="L82" s="344">
        <f t="shared" si="17"/>
        <v>0.20403455024581138</v>
      </c>
      <c r="M82" s="338">
        <v>84789018.96903722</v>
      </c>
      <c r="N82" s="344">
        <f t="shared" si="18"/>
        <v>0.20418217154666923</v>
      </c>
      <c r="O82" s="338">
        <v>1232196</v>
      </c>
      <c r="P82" s="344">
        <f t="shared" si="19"/>
        <v>0.58264458706668565</v>
      </c>
      <c r="Q82" s="338">
        <v>241034771.98464736</v>
      </c>
      <c r="R82" s="344">
        <f t="shared" si="20"/>
        <v>0.58044076651073917</v>
      </c>
      <c r="S82" s="338">
        <v>173941</v>
      </c>
      <c r="T82" s="344">
        <f t="shared" si="7"/>
        <v>8.2248101859579453E-2</v>
      </c>
      <c r="U82" s="338">
        <v>37578101.568937287</v>
      </c>
      <c r="V82" s="344">
        <f t="shared" si="8"/>
        <v>9.0492595317665084E-2</v>
      </c>
      <c r="W82" s="338">
        <v>91899</v>
      </c>
      <c r="X82" s="344">
        <f t="shared" si="9"/>
        <v>4.3454494988493179E-2</v>
      </c>
      <c r="Y82" s="338">
        <v>15301830.920262696</v>
      </c>
      <c r="Z82" s="344">
        <f t="shared" si="10"/>
        <v>3.6848652147752084E-2</v>
      </c>
      <c r="AA82" s="338"/>
      <c r="AB82" s="344"/>
      <c r="AC82" s="338"/>
      <c r="AD82" s="345"/>
      <c r="AE82" s="338">
        <f t="shared" si="14"/>
        <v>2114833</v>
      </c>
      <c r="AF82" s="444">
        <f t="shared" si="15"/>
        <v>1</v>
      </c>
      <c r="AG82" s="338">
        <f t="shared" si="21"/>
        <v>415261618.22437704</v>
      </c>
      <c r="AH82" s="444">
        <f t="shared" si="13"/>
        <v>1</v>
      </c>
    </row>
    <row r="83" spans="2:34" x14ac:dyDescent="0.25">
      <c r="B83" s="223">
        <v>44835</v>
      </c>
      <c r="C83" s="338"/>
      <c r="D83" s="344"/>
      <c r="E83" s="338"/>
      <c r="F83" s="344"/>
      <c r="G83" s="338">
        <v>185393</v>
      </c>
      <c r="H83" s="344">
        <f t="shared" si="5"/>
        <v>8.6912108101367541E-2</v>
      </c>
      <c r="I83" s="338">
        <v>36388255.624962762</v>
      </c>
      <c r="J83" s="344">
        <f t="shared" si="6"/>
        <v>8.7396079252975573E-2</v>
      </c>
      <c r="K83" s="338">
        <v>432104</v>
      </c>
      <c r="L83" s="344">
        <f t="shared" si="17"/>
        <v>0.20257005150697879</v>
      </c>
      <c r="M83" s="338">
        <v>84464057.777633965</v>
      </c>
      <c r="N83" s="344">
        <f t="shared" si="18"/>
        <v>0.20286291169445309</v>
      </c>
      <c r="O83" s="338">
        <v>1250284</v>
      </c>
      <c r="P83" s="344">
        <f t="shared" si="19"/>
        <v>0.58613226047051514</v>
      </c>
      <c r="Q83" s="338">
        <v>243029411.29449672</v>
      </c>
      <c r="R83" s="344">
        <f t="shared" si="20"/>
        <v>0.58369980438762981</v>
      </c>
      <c r="S83" s="338">
        <v>173208</v>
      </c>
      <c r="T83" s="344">
        <f t="shared" si="7"/>
        <v>8.1199788665276829E-2</v>
      </c>
      <c r="U83" s="338">
        <v>37250400.259264886</v>
      </c>
      <c r="V83" s="344">
        <f t="shared" si="8"/>
        <v>8.9466749019714992E-2</v>
      </c>
      <c r="W83" s="338">
        <v>92120</v>
      </c>
      <c r="X83" s="344">
        <f t="shared" si="9"/>
        <v>4.318579125586175E-2</v>
      </c>
      <c r="Y83" s="338">
        <v>15228150.424345914</v>
      </c>
      <c r="Z83" s="344">
        <f t="shared" si="10"/>
        <v>3.6574455645226635E-2</v>
      </c>
      <c r="AA83" s="338"/>
      <c r="AB83" s="344"/>
      <c r="AC83" s="338"/>
      <c r="AD83" s="345"/>
      <c r="AE83" s="338">
        <f t="shared" si="14"/>
        <v>2133109</v>
      </c>
      <c r="AF83" s="444">
        <f t="shared" si="15"/>
        <v>1</v>
      </c>
      <c r="AG83" s="338">
        <f t="shared" si="21"/>
        <v>416360275.38070422</v>
      </c>
      <c r="AH83" s="444">
        <f t="shared" si="13"/>
        <v>1</v>
      </c>
    </row>
    <row r="84" spans="2:34" x14ac:dyDescent="0.25">
      <c r="B84" s="236">
        <v>44866</v>
      </c>
      <c r="C84" s="338"/>
      <c r="D84" s="344"/>
      <c r="E84" s="338"/>
      <c r="F84" s="344"/>
      <c r="G84" s="338">
        <v>185356</v>
      </c>
      <c r="H84" s="344">
        <f t="shared" si="5"/>
        <v>8.4722203812124364E-2</v>
      </c>
      <c r="I84" s="338">
        <v>36029078.744616829</v>
      </c>
      <c r="J84" s="344">
        <f t="shared" si="6"/>
        <v>8.5314371729865432E-2</v>
      </c>
      <c r="K84" s="338">
        <v>449028</v>
      </c>
      <c r="L84" s="344">
        <f t="shared" si="17"/>
        <v>0.20524095110679222</v>
      </c>
      <c r="M84" s="338">
        <v>86891085.816916019</v>
      </c>
      <c r="N84" s="344">
        <f t="shared" si="18"/>
        <v>0.20575209396669933</v>
      </c>
      <c r="O84" s="338">
        <v>1288292</v>
      </c>
      <c r="P84" s="344">
        <f t="shared" si="19"/>
        <v>0.58885030640243274</v>
      </c>
      <c r="Q84" s="338">
        <v>247473373.87935796</v>
      </c>
      <c r="R84" s="344">
        <f t="shared" si="20"/>
        <v>0.5859998686628104</v>
      </c>
      <c r="S84" s="338">
        <v>172557</v>
      </c>
      <c r="T84" s="344">
        <f t="shared" si="7"/>
        <v>7.8872058758328534E-2</v>
      </c>
      <c r="U84" s="338">
        <v>36784218.483285017</v>
      </c>
      <c r="V84" s="344">
        <f t="shared" si="8"/>
        <v>8.7102490511069539E-2</v>
      </c>
      <c r="W84" s="338">
        <v>92576</v>
      </c>
      <c r="X84" s="344">
        <f t="shared" si="9"/>
        <v>4.2314479920322112E-2</v>
      </c>
      <c r="Y84" s="338">
        <v>15131849.465439903</v>
      </c>
      <c r="Z84" s="344">
        <f t="shared" si="10"/>
        <v>3.5831175129555339E-2</v>
      </c>
      <c r="AA84" s="338"/>
      <c r="AB84" s="344"/>
      <c r="AC84" s="338"/>
      <c r="AD84" s="345"/>
      <c r="AE84" s="338">
        <f t="shared" si="14"/>
        <v>2187809</v>
      </c>
      <c r="AF84" s="444">
        <f t="shared" si="15"/>
        <v>1</v>
      </c>
      <c r="AG84" s="338">
        <f t="shared" si="21"/>
        <v>422309606.38961571</v>
      </c>
      <c r="AH84" s="444">
        <f t="shared" si="13"/>
        <v>1</v>
      </c>
    </row>
    <row r="85" spans="2:34" x14ac:dyDescent="0.25">
      <c r="B85" s="236">
        <v>44896</v>
      </c>
      <c r="C85" s="338"/>
      <c r="D85" s="344"/>
      <c r="E85" s="338"/>
      <c r="F85" s="344"/>
      <c r="G85" s="338">
        <v>185584</v>
      </c>
      <c r="H85" s="344">
        <f t="shared" si="5"/>
        <v>8.366506204641827E-2</v>
      </c>
      <c r="I85" s="338">
        <v>35970023.333999999</v>
      </c>
      <c r="J85" s="344">
        <f t="shared" si="6"/>
        <v>8.4359602918321341E-2</v>
      </c>
      <c r="K85" s="338">
        <v>454908</v>
      </c>
      <c r="L85" s="344">
        <f t="shared" si="17"/>
        <v>0.20508182841954073</v>
      </c>
      <c r="M85" s="338">
        <v>87785234.466000006</v>
      </c>
      <c r="N85" s="344">
        <f t="shared" si="18"/>
        <v>0.20588053148810606</v>
      </c>
      <c r="O85" s="338">
        <v>1312809</v>
      </c>
      <c r="P85" s="344">
        <f t="shared" si="19"/>
        <v>0.59184114169376845</v>
      </c>
      <c r="Q85" s="338">
        <v>250923155.26499999</v>
      </c>
      <c r="R85" s="344">
        <f t="shared" si="20"/>
        <v>0.58848384791452835</v>
      </c>
      <c r="S85" s="338">
        <v>172179</v>
      </c>
      <c r="T85" s="344">
        <f t="shared" si="7"/>
        <v>7.7621813939187934E-2</v>
      </c>
      <c r="U85" s="338">
        <v>36639024.614</v>
      </c>
      <c r="V85" s="344">
        <f t="shared" si="8"/>
        <v>8.5928595015118306E-2</v>
      </c>
      <c r="W85" s="338">
        <v>92698</v>
      </c>
      <c r="X85" s="344">
        <f t="shared" si="9"/>
        <v>4.1790153901084585E-2</v>
      </c>
      <c r="Y85" s="338">
        <v>15071759.16</v>
      </c>
      <c r="Z85" s="344">
        <f t="shared" si="10"/>
        <v>3.5347422663925827E-2</v>
      </c>
      <c r="AA85" s="338"/>
      <c r="AB85" s="344"/>
      <c r="AC85" s="338"/>
      <c r="AD85" s="345"/>
      <c r="AE85" s="338">
        <f t="shared" si="14"/>
        <v>2218178</v>
      </c>
      <c r="AF85" s="444">
        <f t="shared" si="15"/>
        <v>1</v>
      </c>
      <c r="AG85" s="338">
        <f t="shared" si="21"/>
        <v>426389196.83900005</v>
      </c>
      <c r="AH85" s="444">
        <f t="shared" si="13"/>
        <v>0.99999999999999989</v>
      </c>
    </row>
    <row r="86" spans="2:34" x14ac:dyDescent="0.25">
      <c r="B86" s="279" t="s">
        <v>771</v>
      </c>
      <c r="C86" s="346">
        <v>414941</v>
      </c>
      <c r="D86" s="343">
        <f>+C86/$AE86</f>
        <v>0.16423496983278071</v>
      </c>
      <c r="E86" s="346">
        <f>+[1]PBS!$AE$190</f>
        <v>81310395.028859764</v>
      </c>
      <c r="F86" s="343">
        <f>+E86/$AG86</f>
        <v>0.16583431413195396</v>
      </c>
      <c r="G86" s="346">
        <v>184115.66666666666</v>
      </c>
      <c r="H86" s="343">
        <f t="shared" si="5"/>
        <v>7.2873567472827E-2</v>
      </c>
      <c r="I86" s="346">
        <v>36454510.379662953</v>
      </c>
      <c r="J86" s="343">
        <f t="shared" si="6"/>
        <v>7.4349764549562034E-2</v>
      </c>
      <c r="K86" s="346">
        <v>430688.36363636365</v>
      </c>
      <c r="L86" s="343">
        <f t="shared" si="17"/>
        <v>0.17046782653232118</v>
      </c>
      <c r="M86" s="346">
        <v>85027873.072743684</v>
      </c>
      <c r="N86" s="343">
        <f t="shared" si="18"/>
        <v>0.17341619122761037</v>
      </c>
      <c r="O86" s="346">
        <v>1115464.1818181819</v>
      </c>
      <c r="P86" s="343">
        <f t="shared" si="19"/>
        <v>0.44150427711519596</v>
      </c>
      <c r="Q86" s="346">
        <v>217811277.87622368</v>
      </c>
      <c r="R86" s="343">
        <f t="shared" si="20"/>
        <v>0.44423082514834167</v>
      </c>
      <c r="S86" s="346">
        <v>291386.5</v>
      </c>
      <c r="T86" s="343">
        <f t="shared" si="7"/>
        <v>0.11533170507898607</v>
      </c>
      <c r="U86" s="346">
        <v>54510713.852076054</v>
      </c>
      <c r="V86" s="343">
        <f t="shared" si="8"/>
        <v>0.11117578313687601</v>
      </c>
      <c r="W86" s="346">
        <v>89896.5</v>
      </c>
      <c r="X86" s="343">
        <f t="shared" si="9"/>
        <v>3.5581321116911979E-2</v>
      </c>
      <c r="Y86" s="346">
        <v>15195116.374797227</v>
      </c>
      <c r="Z86" s="343">
        <f t="shared" si="10"/>
        <v>3.0990769400091274E-2</v>
      </c>
      <c r="AA86" s="346">
        <v>16</v>
      </c>
      <c r="AB86" s="343">
        <f>+AA86/$AE86</f>
        <v>6.3328509771858927E-6</v>
      </c>
      <c r="AC86" s="346">
        <v>1153.410418932305</v>
      </c>
      <c r="AD86" s="343">
        <f>+AC86/$AG86</f>
        <v>2.3524055647300522E-6</v>
      </c>
      <c r="AE86" s="346">
        <f>+C86+G86+K86+O86+S86+W86+AA86</f>
        <v>2526508.2121212119</v>
      </c>
      <c r="AF86" s="443">
        <f>+D86+H86+T86+X86+AB86+L86+P86</f>
        <v>1.0000000000000002</v>
      </c>
      <c r="AG86" s="346">
        <f>+E86+I86+M86+Q86+U86+Y86+AC86</f>
        <v>490311039.99478227</v>
      </c>
      <c r="AH86" s="443">
        <v>1</v>
      </c>
    </row>
    <row r="87" spans="2:34" x14ac:dyDescent="0.25">
      <c r="B87" s="324" t="s">
        <v>887</v>
      </c>
      <c r="N87" s="248"/>
      <c r="O87" s="248"/>
      <c r="P87" s="248"/>
      <c r="Q87" s="248"/>
      <c r="R87" s="248"/>
      <c r="S87" s="248"/>
      <c r="T87" s="248"/>
      <c r="U87" s="248"/>
      <c r="V87" s="248"/>
      <c r="W87" s="248"/>
      <c r="X87" s="248"/>
      <c r="Y87" s="248"/>
      <c r="Z87" s="248"/>
      <c r="AA87" s="248"/>
      <c r="AB87" s="248"/>
      <c r="AC87" s="248"/>
      <c r="AD87" s="248"/>
      <c r="AE87" s="248"/>
      <c r="AF87" s="248"/>
      <c r="AG87" s="248"/>
      <c r="AH87" s="248"/>
    </row>
    <row r="88" spans="2:34" ht="15" customHeight="1" x14ac:dyDescent="0.25">
      <c r="B88" s="322" t="s">
        <v>993</v>
      </c>
      <c r="C88" s="321"/>
      <c r="D88" s="321"/>
      <c r="E88" s="321"/>
      <c r="F88" s="321"/>
      <c r="G88" s="321"/>
      <c r="H88" s="321"/>
      <c r="I88" s="321"/>
      <c r="J88" s="321"/>
      <c r="K88" s="321"/>
      <c r="L88" s="321"/>
      <c r="M88" s="321"/>
      <c r="N88" s="323"/>
      <c r="O88" s="323"/>
      <c r="P88" s="323"/>
    </row>
    <row r="89" spans="2:34" ht="15" customHeight="1" x14ac:dyDescent="0.25">
      <c r="B89" s="321" t="s">
        <v>994</v>
      </c>
      <c r="C89" s="323"/>
      <c r="D89" s="323"/>
      <c r="E89" s="323"/>
      <c r="F89" s="323"/>
      <c r="G89" s="323"/>
      <c r="H89" s="323"/>
      <c r="I89" s="323"/>
      <c r="J89" s="323"/>
      <c r="K89" s="323"/>
      <c r="L89" s="323"/>
      <c r="M89" s="323"/>
      <c r="N89" s="323"/>
      <c r="O89" s="323"/>
      <c r="P89" s="323"/>
    </row>
  </sheetData>
  <mergeCells count="34">
    <mergeCell ref="D7:F7"/>
    <mergeCell ref="G7:I7"/>
    <mergeCell ref="J7:L7"/>
    <mergeCell ref="AA57:AD57"/>
    <mergeCell ref="AA58:AB58"/>
    <mergeCell ref="AC58:AD58"/>
    <mergeCell ref="J40:L40"/>
    <mergeCell ref="C57:F57"/>
    <mergeCell ref="C58:D58"/>
    <mergeCell ref="E58:F58"/>
    <mergeCell ref="G57:J57"/>
    <mergeCell ref="G58:H58"/>
    <mergeCell ref="I58:J58"/>
    <mergeCell ref="S57:V57"/>
    <mergeCell ref="S58:T58"/>
    <mergeCell ref="U58:V58"/>
    <mergeCell ref="AE58:AF58"/>
    <mergeCell ref="AG58:AH58"/>
    <mergeCell ref="AE57:AH57"/>
    <mergeCell ref="K58:L58"/>
    <mergeCell ref="M58:N58"/>
    <mergeCell ref="O57:R57"/>
    <mergeCell ref="O58:P58"/>
    <mergeCell ref="Q58:R58"/>
    <mergeCell ref="W57:Z57"/>
    <mergeCell ref="W58:X58"/>
    <mergeCell ref="Y58:Z58"/>
    <mergeCell ref="B9:B16"/>
    <mergeCell ref="B17:B24"/>
    <mergeCell ref="B25:B32"/>
    <mergeCell ref="B42:B49"/>
    <mergeCell ref="K57:N57"/>
    <mergeCell ref="D40:F40"/>
    <mergeCell ref="G40:I40"/>
  </mergeCells>
  <phoneticPr fontId="28" type="noConversion"/>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A6227-A26D-4314-B081-8BD820496229}">
  <sheetPr>
    <tabColor theme="9"/>
  </sheetPr>
  <dimension ref="B2:N76"/>
  <sheetViews>
    <sheetView showGridLines="0" topLeftCell="A2" workbookViewId="0">
      <selection activeCell="I35" sqref="I35"/>
    </sheetView>
  </sheetViews>
  <sheetFormatPr baseColWidth="10" defaultRowHeight="15" x14ac:dyDescent="0.25"/>
  <cols>
    <col min="2" max="2" width="16.28515625" customWidth="1"/>
    <col min="3" max="3" width="15.28515625" customWidth="1"/>
    <col min="4" max="4" width="15.42578125" customWidth="1"/>
    <col min="5" max="5" width="15" bestFit="1" customWidth="1"/>
    <col min="6" max="6" width="16" customWidth="1"/>
    <col min="7" max="7" width="15.85546875" customWidth="1"/>
    <col min="8" max="8" width="15" customWidth="1"/>
    <col min="9" max="9" width="16.85546875" customWidth="1"/>
    <col min="10" max="10" width="14.28515625" bestFit="1" customWidth="1"/>
    <col min="11" max="11" width="14" customWidth="1"/>
    <col min="12" max="12" width="16.140625" customWidth="1"/>
    <col min="13" max="13" width="14.28515625" bestFit="1" customWidth="1"/>
    <col min="14" max="14" width="15" customWidth="1"/>
    <col min="15" max="15" width="18.7109375" customWidth="1"/>
    <col min="16" max="16" width="18.42578125" customWidth="1"/>
    <col min="17" max="17" width="18.28515625" customWidth="1"/>
    <col min="18" max="22" width="12.85546875" bestFit="1" customWidth="1"/>
    <col min="23" max="23" width="13.7109375" bestFit="1" customWidth="1"/>
    <col min="26" max="26" width="12.85546875" bestFit="1" customWidth="1"/>
    <col min="27" max="29" width="17.7109375" bestFit="1" customWidth="1"/>
    <col min="30" max="31" width="16.5703125" bestFit="1" customWidth="1"/>
    <col min="32" max="32" width="17.7109375" bestFit="1" customWidth="1"/>
    <col min="33" max="33" width="16.5703125" bestFit="1" customWidth="1"/>
    <col min="34" max="34" width="17.7109375" bestFit="1" customWidth="1"/>
    <col min="35" max="35" width="19.7109375" customWidth="1"/>
    <col min="38" max="38" width="15.140625" bestFit="1" customWidth="1"/>
  </cols>
  <sheetData>
    <row r="2" spans="2:14" ht="23.25" x14ac:dyDescent="0.25">
      <c r="B2" s="1" t="s">
        <v>836</v>
      </c>
      <c r="C2" s="5"/>
      <c r="D2" s="5"/>
      <c r="E2" s="5"/>
      <c r="F2" s="5"/>
      <c r="G2" s="5"/>
      <c r="H2" s="5"/>
      <c r="I2" s="5"/>
      <c r="J2" s="5"/>
      <c r="K2" s="5"/>
    </row>
    <row r="3" spans="2:14" x14ac:dyDescent="0.25">
      <c r="B3" s="5"/>
      <c r="C3" s="5"/>
      <c r="D3" s="5"/>
      <c r="E3" s="5"/>
      <c r="F3" s="5"/>
      <c r="G3" s="5"/>
      <c r="H3" s="5"/>
      <c r="I3" s="5"/>
      <c r="J3" s="5"/>
      <c r="K3" s="5"/>
    </row>
    <row r="4" spans="2:14" ht="18.75" x14ac:dyDescent="0.3">
      <c r="B4" s="2" t="s">
        <v>895</v>
      </c>
      <c r="C4" s="2"/>
      <c r="D4" s="2"/>
      <c r="E4" s="2"/>
      <c r="F4" s="2"/>
      <c r="G4" s="2"/>
      <c r="J4" s="5"/>
      <c r="K4" s="5"/>
    </row>
    <row r="5" spans="2:14" x14ac:dyDescent="0.25">
      <c r="B5" s="3" t="s">
        <v>520</v>
      </c>
      <c r="J5" s="5"/>
      <c r="K5" s="5"/>
    </row>
    <row r="6" spans="2:14" x14ac:dyDescent="0.25">
      <c r="J6" s="5"/>
      <c r="K6" s="5"/>
    </row>
    <row r="7" spans="2:14" x14ac:dyDescent="0.25">
      <c r="D7" s="464" t="s">
        <v>3</v>
      </c>
      <c r="E7" s="464"/>
      <c r="F7" s="464"/>
      <c r="G7" s="464" t="s">
        <v>4</v>
      </c>
      <c r="H7" s="464"/>
      <c r="I7" s="464"/>
      <c r="J7" s="470" t="s">
        <v>608</v>
      </c>
      <c r="K7" s="470"/>
      <c r="L7" s="471"/>
      <c r="N7" s="5"/>
    </row>
    <row r="8" spans="2:14" ht="30" x14ac:dyDescent="0.25">
      <c r="B8" s="154" t="s">
        <v>487</v>
      </c>
      <c r="C8" s="179" t="s">
        <v>610</v>
      </c>
      <c r="D8" s="154" t="s">
        <v>2</v>
      </c>
      <c r="E8" s="179" t="s">
        <v>611</v>
      </c>
      <c r="F8" s="154" t="s">
        <v>612</v>
      </c>
      <c r="G8" s="154" t="s">
        <v>2</v>
      </c>
      <c r="H8" s="179" t="s">
        <v>611</v>
      </c>
      <c r="I8" s="154" t="s">
        <v>612</v>
      </c>
      <c r="J8" s="279" t="s">
        <v>2</v>
      </c>
      <c r="K8" s="286" t="s">
        <v>611</v>
      </c>
      <c r="L8" s="279" t="s">
        <v>612</v>
      </c>
      <c r="M8" s="5"/>
    </row>
    <row r="9" spans="2:14" x14ac:dyDescent="0.25">
      <c r="B9" s="468" t="s">
        <v>971</v>
      </c>
      <c r="C9" s="305" t="s">
        <v>87</v>
      </c>
      <c r="D9" s="347"/>
      <c r="E9" s="347"/>
      <c r="F9" s="347"/>
      <c r="G9" s="315">
        <v>103979</v>
      </c>
      <c r="H9" s="315">
        <f>+[1]PBS!$S$181/1000</f>
        <v>20154801.070999999</v>
      </c>
      <c r="I9" s="347">
        <f>+[1]PBS!$AF$181</f>
        <v>20409083.267605245</v>
      </c>
      <c r="J9" s="334">
        <v>103979</v>
      </c>
      <c r="K9" s="334">
        <v>20154801.070999999</v>
      </c>
      <c r="L9" s="348">
        <v>20409083.267605245</v>
      </c>
    </row>
    <row r="10" spans="2:14" x14ac:dyDescent="0.25">
      <c r="B10" s="469"/>
      <c r="C10" s="305" t="s">
        <v>88</v>
      </c>
      <c r="D10" s="347"/>
      <c r="E10" s="347"/>
      <c r="F10" s="347"/>
      <c r="G10" s="315">
        <v>81414</v>
      </c>
      <c r="H10" s="315">
        <f>+[1]PBS!$R$181/1000</f>
        <v>15780083.598999999</v>
      </c>
      <c r="I10" s="347">
        <f>+[1]PBS!$AG$181</f>
        <v>15979172.357357515</v>
      </c>
      <c r="J10" s="334">
        <v>81414</v>
      </c>
      <c r="K10" s="334">
        <v>15780083.598999999</v>
      </c>
      <c r="L10" s="334">
        <v>15979172.357357515</v>
      </c>
      <c r="M10" s="5"/>
    </row>
    <row r="11" spans="2:14" x14ac:dyDescent="0.25">
      <c r="B11" s="469"/>
      <c r="C11" s="305" t="s">
        <v>609</v>
      </c>
      <c r="D11" s="347"/>
      <c r="E11" s="347"/>
      <c r="F11" s="347"/>
      <c r="G11" s="315">
        <v>185393</v>
      </c>
      <c r="H11" s="315">
        <f>+[1]PBS!$T$181/1000</f>
        <v>35934884.670000002</v>
      </c>
      <c r="I11" s="347">
        <f>+[1]PBS!$AH$181</f>
        <v>36388255.624962762</v>
      </c>
      <c r="J11" s="334">
        <v>185393</v>
      </c>
      <c r="K11" s="334">
        <v>35934884.670000002</v>
      </c>
      <c r="L11" s="334">
        <v>36388255.624962762</v>
      </c>
      <c r="M11" s="5"/>
    </row>
    <row r="12" spans="2:14" x14ac:dyDescent="0.25">
      <c r="B12" s="468" t="s">
        <v>972</v>
      </c>
      <c r="C12" s="305" t="s">
        <v>87</v>
      </c>
      <c r="D12" s="347"/>
      <c r="E12" s="347"/>
      <c r="F12" s="347"/>
      <c r="G12" s="315">
        <v>103866</v>
      </c>
      <c r="H12" s="315">
        <f>+[1]PBS!$S$182/1000</f>
        <v>20132730.649</v>
      </c>
      <c r="I12" s="347">
        <f>+[1]PBS!$AF$182</f>
        <v>20189834.036401078</v>
      </c>
      <c r="J12" s="334">
        <v>103866</v>
      </c>
      <c r="K12" s="334">
        <v>20132730.649</v>
      </c>
      <c r="L12" s="334">
        <v>20189834.036401078</v>
      </c>
      <c r="M12" s="5"/>
    </row>
    <row r="13" spans="2:14" x14ac:dyDescent="0.25">
      <c r="B13" s="469"/>
      <c r="C13" s="305" t="s">
        <v>88</v>
      </c>
      <c r="D13" s="347"/>
      <c r="E13" s="347"/>
      <c r="F13" s="347"/>
      <c r="G13" s="315">
        <v>81490</v>
      </c>
      <c r="H13" s="315">
        <f>+[1]PBS!$R$182/1000</f>
        <v>15794446.196</v>
      </c>
      <c r="I13" s="347">
        <f>+[1]PBS!$AG$182</f>
        <v>15839244.708215751</v>
      </c>
      <c r="J13" s="334">
        <v>81490</v>
      </c>
      <c r="K13" s="334">
        <v>15794446.196</v>
      </c>
      <c r="L13" s="334">
        <v>15839244.708215751</v>
      </c>
      <c r="M13" s="5"/>
    </row>
    <row r="14" spans="2:14" x14ac:dyDescent="0.25">
      <c r="B14" s="469"/>
      <c r="C14" s="305" t="s">
        <v>609</v>
      </c>
      <c r="D14" s="347"/>
      <c r="E14" s="347"/>
      <c r="F14" s="347"/>
      <c r="G14" s="315">
        <v>185356</v>
      </c>
      <c r="H14" s="315">
        <f>+[1]PBS!$T$182/1000</f>
        <v>35927176.844999999</v>
      </c>
      <c r="I14" s="347">
        <f>+[1]PBS!$AH$182</f>
        <v>36029078.744616829</v>
      </c>
      <c r="J14" s="334">
        <v>185356</v>
      </c>
      <c r="K14" s="334">
        <v>35927176.844999999</v>
      </c>
      <c r="L14" s="334">
        <v>36029078.744616829</v>
      </c>
      <c r="M14" s="5"/>
    </row>
    <row r="15" spans="2:14" x14ac:dyDescent="0.25">
      <c r="B15" s="462" t="s">
        <v>973</v>
      </c>
      <c r="C15" s="306" t="s">
        <v>87</v>
      </c>
      <c r="D15" s="347"/>
      <c r="E15" s="347"/>
      <c r="F15" s="347"/>
      <c r="G15" s="315">
        <v>103979</v>
      </c>
      <c r="H15" s="315">
        <f>+[1]PBS!$S$183/1000</f>
        <v>20153837.159000002</v>
      </c>
      <c r="I15" s="347">
        <f>+[1]PBS!$AF$183</f>
        <v>20153837.159000002</v>
      </c>
      <c r="J15" s="334">
        <v>103979</v>
      </c>
      <c r="K15" s="334">
        <v>20153837.159000002</v>
      </c>
      <c r="L15" s="334">
        <v>20153837.159000002</v>
      </c>
      <c r="M15" s="5"/>
    </row>
    <row r="16" spans="2:14" x14ac:dyDescent="0.25">
      <c r="B16" s="463"/>
      <c r="C16" s="306" t="s">
        <v>88</v>
      </c>
      <c r="D16" s="347"/>
      <c r="E16" s="347"/>
      <c r="F16" s="347"/>
      <c r="G16" s="315">
        <v>81605</v>
      </c>
      <c r="H16" s="315">
        <f>+[1]PBS!$R$183/1000</f>
        <v>15816186.175000001</v>
      </c>
      <c r="I16" s="347">
        <f>+[1]PBS!$AG$183</f>
        <v>15816186.175000001</v>
      </c>
      <c r="J16" s="334">
        <v>81605</v>
      </c>
      <c r="K16" s="334">
        <v>15816186.175000001</v>
      </c>
      <c r="L16" s="334">
        <v>15816186.175000001</v>
      </c>
      <c r="M16" s="5"/>
    </row>
    <row r="17" spans="2:13" x14ac:dyDescent="0.25">
      <c r="B17" s="463"/>
      <c r="C17" s="306" t="s">
        <v>609</v>
      </c>
      <c r="D17" s="347"/>
      <c r="E17" s="347"/>
      <c r="F17" s="347"/>
      <c r="G17" s="315">
        <v>185584</v>
      </c>
      <c r="H17" s="315">
        <f>+[1]PBS!$T$183/1000</f>
        <v>35970023.333999999</v>
      </c>
      <c r="I17" s="347">
        <f>+[1]PBS!$AH$183</f>
        <v>35970023.333999999</v>
      </c>
      <c r="J17" s="334">
        <v>185584</v>
      </c>
      <c r="K17" s="334">
        <v>35970023.333999999</v>
      </c>
      <c r="L17" s="334">
        <v>35970023.333999999</v>
      </c>
    </row>
    <row r="18" spans="2:13" x14ac:dyDescent="0.25">
      <c r="B18" s="324" t="s">
        <v>887</v>
      </c>
      <c r="C18" s="233"/>
      <c r="D18" s="157"/>
      <c r="E18" s="157"/>
      <c r="F18" s="157"/>
      <c r="G18" s="157"/>
      <c r="H18" s="157"/>
      <c r="I18" s="157"/>
      <c r="J18" s="157"/>
      <c r="K18" s="157"/>
      <c r="L18" s="157"/>
    </row>
    <row r="19" spans="2:13" x14ac:dyDescent="0.25">
      <c r="B19" s="322" t="s">
        <v>993</v>
      </c>
      <c r="D19" s="232"/>
      <c r="E19" s="232"/>
      <c r="F19" s="232"/>
      <c r="G19" s="232"/>
      <c r="H19" s="232"/>
      <c r="I19" s="232"/>
      <c r="J19" s="232"/>
      <c r="K19" s="232"/>
    </row>
    <row r="20" spans="2:13" x14ac:dyDescent="0.25">
      <c r="B20" s="321" t="s">
        <v>994</v>
      </c>
      <c r="D20" s="232"/>
      <c r="E20" s="232"/>
      <c r="F20" s="232"/>
      <c r="G20" s="232"/>
      <c r="H20" s="232"/>
      <c r="I20" s="232"/>
      <c r="J20" s="232"/>
      <c r="K20" s="232"/>
    </row>
    <row r="21" spans="2:13" x14ac:dyDescent="0.25">
      <c r="B21" s="322"/>
      <c r="D21" s="232"/>
      <c r="E21" s="232"/>
      <c r="F21" s="232"/>
      <c r="G21" s="232"/>
      <c r="H21" s="232"/>
      <c r="I21" s="232"/>
      <c r="J21" s="232"/>
      <c r="K21" s="232"/>
    </row>
    <row r="22" spans="2:13" ht="18.75" x14ac:dyDescent="0.3">
      <c r="B22" s="2" t="s">
        <v>896</v>
      </c>
      <c r="C22" s="2"/>
      <c r="D22" s="2"/>
      <c r="E22" s="2"/>
      <c r="F22" s="2"/>
      <c r="G22" s="5"/>
      <c r="H22" s="5"/>
      <c r="I22" s="5"/>
      <c r="J22" s="5"/>
      <c r="K22" s="5"/>
    </row>
    <row r="23" spans="2:13" x14ac:dyDescent="0.25">
      <c r="B23" s="3" t="s">
        <v>560</v>
      </c>
      <c r="C23" s="5"/>
      <c r="D23" s="5"/>
      <c r="E23" s="5"/>
      <c r="F23" s="5"/>
      <c r="G23" s="5"/>
      <c r="H23" s="5"/>
      <c r="I23" s="5"/>
      <c r="J23" s="5"/>
      <c r="K23" s="5"/>
    </row>
    <row r="24" spans="2:13" x14ac:dyDescent="0.25">
      <c r="B24" s="5"/>
      <c r="C24" s="5"/>
      <c r="D24" s="5"/>
      <c r="E24" s="5"/>
      <c r="F24" s="5"/>
      <c r="G24" s="5"/>
      <c r="H24" s="5"/>
      <c r="I24" s="5"/>
      <c r="J24" s="5"/>
      <c r="K24" s="5"/>
    </row>
    <row r="25" spans="2:13" x14ac:dyDescent="0.25">
      <c r="D25" s="465" t="s">
        <v>774</v>
      </c>
      <c r="E25" s="466"/>
      <c r="F25" s="467"/>
      <c r="G25" s="465" t="s">
        <v>4</v>
      </c>
      <c r="H25" s="466"/>
      <c r="I25" s="467"/>
      <c r="J25" s="470" t="s">
        <v>608</v>
      </c>
      <c r="K25" s="470"/>
      <c r="L25" s="470"/>
    </row>
    <row r="26" spans="2:13" ht="30" x14ac:dyDescent="0.25">
      <c r="B26" s="154" t="s">
        <v>487</v>
      </c>
      <c r="C26" s="179" t="s">
        <v>610</v>
      </c>
      <c r="D26" s="179" t="s">
        <v>996</v>
      </c>
      <c r="E26" s="179" t="s">
        <v>775</v>
      </c>
      <c r="F26" s="179" t="s">
        <v>776</v>
      </c>
      <c r="G26" s="179" t="s">
        <v>996</v>
      </c>
      <c r="H26" s="179" t="s">
        <v>775</v>
      </c>
      <c r="I26" s="179" t="s">
        <v>776</v>
      </c>
      <c r="J26" s="281" t="s">
        <v>996</v>
      </c>
      <c r="K26" s="281" t="s">
        <v>775</v>
      </c>
      <c r="L26" s="281" t="s">
        <v>776</v>
      </c>
    </row>
    <row r="27" spans="2:13" x14ac:dyDescent="0.25">
      <c r="B27" s="469" t="s">
        <v>559</v>
      </c>
      <c r="C27" s="446" t="s">
        <v>87</v>
      </c>
      <c r="D27" s="315">
        <v>309032</v>
      </c>
      <c r="E27" s="315">
        <v>54315078.549999997</v>
      </c>
      <c r="F27" s="347">
        <v>60530405.511133626</v>
      </c>
      <c r="G27" s="347">
        <v>103357.58333333333</v>
      </c>
      <c r="H27" s="347">
        <v>234017767.37900001</v>
      </c>
      <c r="I27" s="347">
        <v>245584167.32472894</v>
      </c>
      <c r="J27" s="334">
        <v>129110.25</v>
      </c>
      <c r="K27" s="334">
        <v>288332845.92900002</v>
      </c>
      <c r="L27" s="334">
        <v>306114572.83586258</v>
      </c>
    </row>
    <row r="28" spans="2:13" x14ac:dyDescent="0.25">
      <c r="B28" s="469"/>
      <c r="C28" s="446" t="s">
        <v>88</v>
      </c>
      <c r="D28" s="315">
        <v>105909</v>
      </c>
      <c r="E28" s="315">
        <v>18646277.905999999</v>
      </c>
      <c r="F28" s="347">
        <v>20779989.517726135</v>
      </c>
      <c r="G28" s="347">
        <v>80758.083333333328</v>
      </c>
      <c r="H28" s="347">
        <v>182852151.50600001</v>
      </c>
      <c r="I28" s="347">
        <v>191869957.23122659</v>
      </c>
      <c r="J28" s="334">
        <v>89583.833333333328</v>
      </c>
      <c r="K28" s="334">
        <v>201498429.412</v>
      </c>
      <c r="L28" s="334">
        <v>212649946.74895272</v>
      </c>
    </row>
    <row r="29" spans="2:13" x14ac:dyDescent="0.25">
      <c r="B29" s="474"/>
      <c r="C29" s="447" t="s">
        <v>609</v>
      </c>
      <c r="D29" s="315">
        <v>414941</v>
      </c>
      <c r="E29" s="315">
        <v>72961356.456</v>
      </c>
      <c r="F29" s="347">
        <v>81310395.028859764</v>
      </c>
      <c r="G29" s="347">
        <v>184115.66666666666</v>
      </c>
      <c r="H29" s="347">
        <v>416869918.88499999</v>
      </c>
      <c r="I29" s="347">
        <v>437454124.55595541</v>
      </c>
      <c r="J29" s="334">
        <v>218694.08333333331</v>
      </c>
      <c r="K29" s="334">
        <v>489831275.34100002</v>
      </c>
      <c r="L29" s="334">
        <v>518764519.5848152</v>
      </c>
    </row>
    <row r="30" spans="2:13" x14ac:dyDescent="0.25">
      <c r="B30" s="324" t="s">
        <v>887</v>
      </c>
      <c r="C30" s="8"/>
      <c r="D30" s="8"/>
      <c r="E30" s="8"/>
      <c r="F30" s="8"/>
      <c r="G30" s="8"/>
      <c r="H30" s="8"/>
      <c r="I30" s="8"/>
      <c r="J30" s="8"/>
      <c r="K30" s="8"/>
      <c r="L30" s="8"/>
      <c r="M30" s="8"/>
    </row>
    <row r="31" spans="2:13" x14ac:dyDescent="0.25">
      <c r="B31" s="322" t="s">
        <v>967</v>
      </c>
      <c r="C31" s="8"/>
      <c r="D31" s="8"/>
      <c r="E31" s="8"/>
      <c r="F31" s="8"/>
      <c r="G31" s="8"/>
      <c r="H31" s="8"/>
      <c r="I31" s="8"/>
      <c r="J31" s="8"/>
      <c r="K31" s="8"/>
      <c r="L31" s="8"/>
      <c r="M31" s="8"/>
    </row>
    <row r="32" spans="2:13" ht="32.25" customHeight="1" x14ac:dyDescent="0.25">
      <c r="B32" s="472" t="s">
        <v>890</v>
      </c>
      <c r="C32" s="473"/>
      <c r="D32" s="473"/>
      <c r="E32" s="473"/>
      <c r="F32" s="473"/>
      <c r="G32" s="473"/>
      <c r="H32" s="473"/>
      <c r="I32" s="473"/>
      <c r="J32" s="473"/>
      <c r="K32" s="473"/>
      <c r="L32" s="473"/>
      <c r="M32" s="473"/>
    </row>
    <row r="34" spans="2:14" ht="18.75" x14ac:dyDescent="0.3">
      <c r="B34" s="2" t="s">
        <v>772</v>
      </c>
      <c r="C34" s="2"/>
      <c r="D34" s="2"/>
      <c r="E34" s="2"/>
      <c r="F34" s="2"/>
    </row>
    <row r="35" spans="2:14" x14ac:dyDescent="0.25">
      <c r="B35" s="3" t="s">
        <v>17</v>
      </c>
    </row>
    <row r="37" spans="2:14" x14ac:dyDescent="0.25">
      <c r="C37" s="464" t="s">
        <v>3</v>
      </c>
      <c r="D37" s="464"/>
      <c r="E37" s="464"/>
      <c r="F37" s="464"/>
      <c r="G37" s="464" t="s">
        <v>4</v>
      </c>
      <c r="H37" s="464"/>
      <c r="I37" s="464"/>
      <c r="J37" s="464"/>
      <c r="K37" s="464" t="s">
        <v>608</v>
      </c>
      <c r="L37" s="464"/>
      <c r="M37" s="464"/>
      <c r="N37" s="464"/>
    </row>
    <row r="38" spans="2:14" x14ac:dyDescent="0.25">
      <c r="C38" s="464" t="s">
        <v>87</v>
      </c>
      <c r="D38" s="464"/>
      <c r="E38" s="464" t="s">
        <v>88</v>
      </c>
      <c r="F38" s="464"/>
      <c r="G38" s="464" t="s">
        <v>87</v>
      </c>
      <c r="H38" s="464"/>
      <c r="I38" s="464" t="s">
        <v>88</v>
      </c>
      <c r="J38" s="464"/>
      <c r="K38" s="464" t="s">
        <v>87</v>
      </c>
      <c r="L38" s="464"/>
      <c r="M38" s="464" t="s">
        <v>88</v>
      </c>
      <c r="N38" s="464"/>
    </row>
    <row r="39" spans="2:14" ht="45" x14ac:dyDescent="0.25">
      <c r="B39" s="154" t="s">
        <v>487</v>
      </c>
      <c r="C39" s="234" t="s">
        <v>614</v>
      </c>
      <c r="D39" s="179" t="s">
        <v>643</v>
      </c>
      <c r="E39" s="234" t="s">
        <v>614</v>
      </c>
      <c r="F39" s="179" t="s">
        <v>643</v>
      </c>
      <c r="G39" s="234" t="s">
        <v>614</v>
      </c>
      <c r="H39" s="179" t="s">
        <v>643</v>
      </c>
      <c r="I39" s="234" t="s">
        <v>614</v>
      </c>
      <c r="J39" s="179" t="s">
        <v>643</v>
      </c>
      <c r="K39" s="234" t="s">
        <v>614</v>
      </c>
      <c r="L39" s="179" t="s">
        <v>643</v>
      </c>
      <c r="M39" s="234" t="s">
        <v>614</v>
      </c>
      <c r="N39" s="179" t="s">
        <v>643</v>
      </c>
    </row>
    <row r="40" spans="2:14" x14ac:dyDescent="0.25">
      <c r="B40" s="279" t="s">
        <v>769</v>
      </c>
      <c r="C40" s="340">
        <v>302635</v>
      </c>
      <c r="D40" s="340">
        <v>54856998.575225376</v>
      </c>
      <c r="E40" s="340">
        <v>105719.41666666667</v>
      </c>
      <c r="F40" s="340">
        <v>19360776.210119024</v>
      </c>
      <c r="G40" s="340">
        <v>104028.33333333333</v>
      </c>
      <c r="H40" s="340">
        <v>17833070.020198271</v>
      </c>
      <c r="I40" s="340">
        <v>77987.166666666672</v>
      </c>
      <c r="J40" s="340">
        <v>13359506.140214035</v>
      </c>
      <c r="K40" s="340">
        <v>406663.33333333331</v>
      </c>
      <c r="L40" s="340">
        <v>72690068.595423654</v>
      </c>
      <c r="M40" s="340">
        <v>183706.58333333334</v>
      </c>
      <c r="N40" s="340">
        <v>32720282.350333065</v>
      </c>
    </row>
    <row r="41" spans="2:14" x14ac:dyDescent="0.25">
      <c r="B41" s="223">
        <v>44197</v>
      </c>
      <c r="C41" s="315">
        <v>303535</v>
      </c>
      <c r="D41" s="315">
        <v>59662587.389307074</v>
      </c>
      <c r="E41" s="315">
        <v>104773</v>
      </c>
      <c r="F41" s="315">
        <v>20665381.134106446</v>
      </c>
      <c r="G41" s="315">
        <v>102915</v>
      </c>
      <c r="H41" s="315">
        <v>19557894.18638191</v>
      </c>
      <c r="I41" s="315">
        <v>78093</v>
      </c>
      <c r="J41" s="315">
        <v>14840652.945493685</v>
      </c>
      <c r="K41" s="315">
        <v>406450</v>
      </c>
      <c r="L41" s="315">
        <v>79220481.575688973</v>
      </c>
      <c r="M41" s="315">
        <v>182866</v>
      </c>
      <c r="N41" s="315">
        <v>35506034.079600126</v>
      </c>
    </row>
    <row r="42" spans="2:14" x14ac:dyDescent="0.25">
      <c r="B42" s="236">
        <v>44228</v>
      </c>
      <c r="C42" s="315">
        <v>303509</v>
      </c>
      <c r="D42" s="315">
        <v>59556010.650268361</v>
      </c>
      <c r="E42" s="315">
        <v>104543</v>
      </c>
      <c r="F42" s="315">
        <v>20581108.628061622</v>
      </c>
      <c r="G42" s="315">
        <v>102585</v>
      </c>
      <c r="H42" s="315">
        <v>19458986.970489435</v>
      </c>
      <c r="I42" s="315">
        <v>78054</v>
      </c>
      <c r="J42" s="315">
        <v>14809092.893200593</v>
      </c>
      <c r="K42" s="315">
        <v>406094</v>
      </c>
      <c r="L42" s="315">
        <v>79014997.620757803</v>
      </c>
      <c r="M42" s="315">
        <v>182597</v>
      </c>
      <c r="N42" s="315">
        <v>35390201.521262214</v>
      </c>
    </row>
    <row r="43" spans="2:14" x14ac:dyDescent="0.25">
      <c r="B43" s="236">
        <v>44256</v>
      </c>
      <c r="C43" s="315">
        <v>303836</v>
      </c>
      <c r="D43" s="315">
        <v>59392429.200709708</v>
      </c>
      <c r="E43" s="315">
        <v>104524</v>
      </c>
      <c r="F43" s="315">
        <v>20499323.840035554</v>
      </c>
      <c r="G43" s="315">
        <v>102435</v>
      </c>
      <c r="H43" s="315">
        <v>19357295.206883155</v>
      </c>
      <c r="I43" s="315">
        <v>78131</v>
      </c>
      <c r="J43" s="315">
        <v>14764551.06378031</v>
      </c>
      <c r="K43" s="315">
        <v>406271</v>
      </c>
      <c r="L43" s="315">
        <v>78749724.407592863</v>
      </c>
      <c r="M43" s="315">
        <v>182655</v>
      </c>
      <c r="N43" s="315">
        <v>35263874.903815866</v>
      </c>
    </row>
    <row r="44" spans="2:14" x14ac:dyDescent="0.25">
      <c r="B44" s="223">
        <v>44287</v>
      </c>
      <c r="C44" s="315">
        <v>304229</v>
      </c>
      <c r="D44" s="315">
        <v>59236060.154783256</v>
      </c>
      <c r="E44" s="315">
        <v>104568</v>
      </c>
      <c r="F44" s="315">
        <v>20429081.092767999</v>
      </c>
      <c r="G44" s="315">
        <v>102581</v>
      </c>
      <c r="H44" s="315">
        <v>19312110.623426542</v>
      </c>
      <c r="I44" s="315">
        <v>78384</v>
      </c>
      <c r="J44" s="315">
        <v>14756306.360164471</v>
      </c>
      <c r="K44" s="315">
        <v>406810</v>
      </c>
      <c r="L44" s="315">
        <v>78548170.778209791</v>
      </c>
      <c r="M44" s="315">
        <v>182952</v>
      </c>
      <c r="N44" s="315">
        <v>35185387.452932462</v>
      </c>
    </row>
    <row r="45" spans="2:14" x14ac:dyDescent="0.25">
      <c r="B45" s="236">
        <v>44317</v>
      </c>
      <c r="C45" s="315">
        <v>304427</v>
      </c>
      <c r="D45" s="315">
        <v>59108949.47780209</v>
      </c>
      <c r="E45" s="315">
        <v>104477</v>
      </c>
      <c r="F45" s="315">
        <v>20356436.611852054</v>
      </c>
      <c r="G45" s="315">
        <v>102248</v>
      </c>
      <c r="H45" s="315">
        <v>19197649.375624247</v>
      </c>
      <c r="I45" s="315">
        <v>78324</v>
      </c>
      <c r="J45" s="315">
        <v>14705233.58524082</v>
      </c>
      <c r="K45" s="315">
        <v>406675</v>
      </c>
      <c r="L45" s="315">
        <v>78306598.853426337</v>
      </c>
      <c r="M45" s="315">
        <v>182801</v>
      </c>
      <c r="N45" s="315">
        <v>35061670.197092876</v>
      </c>
    </row>
    <row r="46" spans="2:14" x14ac:dyDescent="0.25">
      <c r="B46" s="236">
        <v>44348</v>
      </c>
      <c r="C46" s="315">
        <v>304385</v>
      </c>
      <c r="D46" s="315">
        <v>59046791.718638606</v>
      </c>
      <c r="E46" s="315">
        <v>104256</v>
      </c>
      <c r="F46" s="315">
        <v>20296211.404972602</v>
      </c>
      <c r="G46" s="315">
        <v>102342</v>
      </c>
      <c r="H46" s="315">
        <v>19199487.801429693</v>
      </c>
      <c r="I46" s="315">
        <v>78508</v>
      </c>
      <c r="J46" s="315">
        <v>14727686.842606472</v>
      </c>
      <c r="K46" s="315">
        <v>406727</v>
      </c>
      <c r="L46" s="315">
        <v>78246279.520068303</v>
      </c>
      <c r="M46" s="315">
        <v>182764</v>
      </c>
      <c r="N46" s="315">
        <v>35023898.247579075</v>
      </c>
    </row>
    <row r="47" spans="2:14" x14ac:dyDescent="0.25">
      <c r="B47" s="223">
        <v>44378</v>
      </c>
      <c r="C47" s="315">
        <v>304412</v>
      </c>
      <c r="D47" s="315">
        <v>60751025.015455119</v>
      </c>
      <c r="E47" s="315">
        <v>104136</v>
      </c>
      <c r="F47" s="315">
        <v>20856532.340881106</v>
      </c>
      <c r="G47" s="315">
        <v>102344</v>
      </c>
      <c r="H47" s="315">
        <v>19753174.39053889</v>
      </c>
      <c r="I47" s="315">
        <v>78636</v>
      </c>
      <c r="J47" s="315">
        <v>15177230.566228494</v>
      </c>
      <c r="K47" s="315">
        <v>406756</v>
      </c>
      <c r="L47" s="315">
        <v>80504199.405993998</v>
      </c>
      <c r="M47" s="315">
        <v>182772</v>
      </c>
      <c r="N47" s="315">
        <v>36033762.907109603</v>
      </c>
    </row>
    <row r="48" spans="2:14" x14ac:dyDescent="0.25">
      <c r="B48" s="236">
        <v>44409</v>
      </c>
      <c r="C48" s="315">
        <v>304998</v>
      </c>
      <c r="D48" s="315">
        <v>60689368.596703179</v>
      </c>
      <c r="E48" s="315">
        <v>104304</v>
      </c>
      <c r="F48" s="315">
        <v>20828910.181509517</v>
      </c>
      <c r="G48" s="315">
        <v>102353</v>
      </c>
      <c r="H48" s="315">
        <v>19699031.846227176</v>
      </c>
      <c r="I48" s="315">
        <v>78808</v>
      </c>
      <c r="J48" s="315">
        <v>15167206.025735358</v>
      </c>
      <c r="K48" s="315">
        <v>407351</v>
      </c>
      <c r="L48" s="315">
        <v>80388400.442930341</v>
      </c>
      <c r="M48" s="315">
        <v>183112</v>
      </c>
      <c r="N48" s="315">
        <v>35996116.207244873</v>
      </c>
    </row>
    <row r="49" spans="2:14" x14ac:dyDescent="0.25">
      <c r="B49" s="236">
        <v>44440</v>
      </c>
      <c r="C49" s="315">
        <v>305471</v>
      </c>
      <c r="D49" s="315">
        <v>60069964.970785715</v>
      </c>
      <c r="E49" s="315">
        <v>104316</v>
      </c>
      <c r="F49" s="315">
        <v>20585838.394129302</v>
      </c>
      <c r="G49" s="315">
        <v>102289</v>
      </c>
      <c r="H49" s="315">
        <v>19458082.284455892</v>
      </c>
      <c r="I49" s="315">
        <v>78880</v>
      </c>
      <c r="J49" s="315">
        <v>15004419.52576394</v>
      </c>
      <c r="K49" s="315">
        <v>407760</v>
      </c>
      <c r="L49" s="315">
        <v>79528047.255241588</v>
      </c>
      <c r="M49" s="315">
        <v>183196</v>
      </c>
      <c r="N49" s="315">
        <v>35590257.919893242</v>
      </c>
    </row>
    <row r="50" spans="2:14" x14ac:dyDescent="0.25">
      <c r="B50" s="223">
        <v>44470</v>
      </c>
      <c r="C50" s="315">
        <v>306429</v>
      </c>
      <c r="D50" s="315">
        <v>59446787.217881218</v>
      </c>
      <c r="E50" s="315">
        <v>104673</v>
      </c>
      <c r="F50" s="315">
        <v>20381409.151124265</v>
      </c>
      <c r="G50" s="315">
        <v>102399</v>
      </c>
      <c r="H50" s="315">
        <v>19221689.651883002</v>
      </c>
      <c r="I50" s="315">
        <v>79105</v>
      </c>
      <c r="J50" s="315">
        <v>14847397.354449132</v>
      </c>
      <c r="K50" s="315">
        <v>408828</v>
      </c>
      <c r="L50" s="315">
        <v>78668476.869764224</v>
      </c>
      <c r="M50" s="315">
        <v>183778</v>
      </c>
      <c r="N50" s="315">
        <v>35228806.505573392</v>
      </c>
    </row>
    <row r="51" spans="2:14" x14ac:dyDescent="0.25">
      <c r="B51" s="236">
        <v>44501</v>
      </c>
      <c r="C51" s="315">
        <v>307296</v>
      </c>
      <c r="D51" s="315">
        <v>59309498.502806261</v>
      </c>
      <c r="E51" s="315">
        <v>105079</v>
      </c>
      <c r="F51" s="315">
        <v>20357969.85568345</v>
      </c>
      <c r="G51" s="315">
        <v>102500</v>
      </c>
      <c r="H51" s="315">
        <v>19146270.524590272</v>
      </c>
      <c r="I51" s="315">
        <v>79398</v>
      </c>
      <c r="J51" s="315">
        <v>14828385.239490123</v>
      </c>
      <c r="K51" s="315">
        <v>409796</v>
      </c>
      <c r="L51" s="315">
        <v>78455769.02739653</v>
      </c>
      <c r="M51" s="315">
        <v>184477</v>
      </c>
      <c r="N51" s="315">
        <v>35186355.095173575</v>
      </c>
    </row>
    <row r="52" spans="2:14" x14ac:dyDescent="0.25">
      <c r="B52" s="236">
        <v>44531</v>
      </c>
      <c r="C52" s="315">
        <v>308126</v>
      </c>
      <c r="D52" s="315">
        <v>58992031.9881915</v>
      </c>
      <c r="E52" s="315">
        <v>105397</v>
      </c>
      <c r="F52" s="315">
        <v>20257325.677985046</v>
      </c>
      <c r="G52" s="315">
        <v>102539</v>
      </c>
      <c r="H52" s="315">
        <v>19004031.253436472</v>
      </c>
      <c r="I52" s="315">
        <v>79548</v>
      </c>
      <c r="J52" s="315">
        <v>14743889.436319765</v>
      </c>
      <c r="K52" s="315">
        <v>410665</v>
      </c>
      <c r="L52" s="315">
        <v>77996063.241627976</v>
      </c>
      <c r="M52" s="315">
        <v>184945</v>
      </c>
      <c r="N52" s="315">
        <v>35001215.114304811</v>
      </c>
    </row>
    <row r="53" spans="2:14" x14ac:dyDescent="0.25">
      <c r="B53" s="279" t="s">
        <v>770</v>
      </c>
      <c r="C53" s="340">
        <v>305054.41666666669</v>
      </c>
      <c r="D53" s="340">
        <v>59605125.406944335</v>
      </c>
      <c r="E53" s="340">
        <v>104587.16666666667</v>
      </c>
      <c r="F53" s="340">
        <v>20507960.692759078</v>
      </c>
      <c r="G53" s="340">
        <v>102460.83333333333</v>
      </c>
      <c r="H53" s="340">
        <v>19363808.676280558</v>
      </c>
      <c r="I53" s="340">
        <v>78655.75</v>
      </c>
      <c r="J53" s="340">
        <v>14864337.653206097</v>
      </c>
      <c r="K53" s="340">
        <v>407515.25</v>
      </c>
      <c r="L53" s="340">
        <v>78968934.083224893</v>
      </c>
      <c r="M53" s="340">
        <v>183242.91666666666</v>
      </c>
      <c r="N53" s="340">
        <v>35372298.345965177</v>
      </c>
    </row>
    <row r="54" spans="2:14" x14ac:dyDescent="0.25">
      <c r="B54" s="223">
        <v>44562</v>
      </c>
      <c r="C54" s="315">
        <v>309032</v>
      </c>
      <c r="D54" s="315">
        <v>60530405.511133626</v>
      </c>
      <c r="E54" s="315">
        <v>105909</v>
      </c>
      <c r="F54" s="315">
        <v>20779989.517726135</v>
      </c>
      <c r="G54" s="315">
        <v>102612</v>
      </c>
      <c r="H54" s="315">
        <v>20132786.218822196</v>
      </c>
      <c r="I54" s="315">
        <v>79732</v>
      </c>
      <c r="J54" s="315">
        <v>15643164.994014531</v>
      </c>
      <c r="K54" s="315">
        <v>411644</v>
      </c>
      <c r="L54" s="315">
        <v>80663191.729955822</v>
      </c>
      <c r="M54" s="315">
        <v>185641</v>
      </c>
      <c r="N54" s="315">
        <v>36423154.51174067</v>
      </c>
    </row>
    <row r="55" spans="2:14" x14ac:dyDescent="0.25">
      <c r="B55" s="236">
        <v>44593</v>
      </c>
      <c r="C55" s="315"/>
      <c r="D55" s="315"/>
      <c r="E55" s="315"/>
      <c r="F55" s="315"/>
      <c r="G55" s="315">
        <v>102691</v>
      </c>
      <c r="H55" s="315">
        <v>21105179.991934102</v>
      </c>
      <c r="I55" s="315">
        <v>79908</v>
      </c>
      <c r="J55" s="315">
        <v>16422507.123144018</v>
      </c>
      <c r="K55" s="315">
        <v>102691</v>
      </c>
      <c r="L55" s="315">
        <v>21105179.991934102</v>
      </c>
      <c r="M55" s="315">
        <v>79908</v>
      </c>
      <c r="N55" s="315">
        <v>16422507.123144018</v>
      </c>
    </row>
    <row r="56" spans="2:14" x14ac:dyDescent="0.25">
      <c r="B56" s="236">
        <v>44621</v>
      </c>
      <c r="C56" s="315"/>
      <c r="D56" s="315"/>
      <c r="E56" s="315"/>
      <c r="F56" s="315"/>
      <c r="G56" s="315">
        <v>102784</v>
      </c>
      <c r="H56" s="315">
        <v>20739549.828424271</v>
      </c>
      <c r="I56" s="315">
        <v>80074</v>
      </c>
      <c r="J56" s="315">
        <v>16156081.387616042</v>
      </c>
      <c r="K56" s="315">
        <v>102784</v>
      </c>
      <c r="L56" s="315">
        <v>20739549.828424271</v>
      </c>
      <c r="M56" s="315">
        <v>80074</v>
      </c>
      <c r="N56" s="315">
        <v>16156081.387616042</v>
      </c>
    </row>
    <row r="57" spans="2:14" x14ac:dyDescent="0.25">
      <c r="B57" s="223">
        <v>44652</v>
      </c>
      <c r="C57" s="315"/>
      <c r="D57" s="315"/>
      <c r="E57" s="315"/>
      <c r="F57" s="315"/>
      <c r="G57" s="315">
        <v>102632</v>
      </c>
      <c r="H57" s="315">
        <v>20423140.513618726</v>
      </c>
      <c r="I57" s="315">
        <v>80110</v>
      </c>
      <c r="J57" s="315">
        <v>15940438.014387256</v>
      </c>
      <c r="K57" s="315">
        <v>102632</v>
      </c>
      <c r="L57" s="315">
        <v>20423140.513618726</v>
      </c>
      <c r="M57" s="315">
        <v>80110</v>
      </c>
      <c r="N57" s="315">
        <v>15940438.014387256</v>
      </c>
    </row>
    <row r="58" spans="2:14" x14ac:dyDescent="0.25">
      <c r="B58" s="236">
        <v>44682</v>
      </c>
      <c r="C58" s="315"/>
      <c r="D58" s="315"/>
      <c r="E58" s="315"/>
      <c r="F58" s="315"/>
      <c r="G58" s="315">
        <v>102856</v>
      </c>
      <c r="H58" s="315">
        <v>20224321.786227755</v>
      </c>
      <c r="I58" s="315">
        <v>80398</v>
      </c>
      <c r="J58" s="315">
        <v>15807507.202785898</v>
      </c>
      <c r="K58" s="315">
        <v>102856</v>
      </c>
      <c r="L58" s="315">
        <v>20224321.786227755</v>
      </c>
      <c r="M58" s="315">
        <v>80398</v>
      </c>
      <c r="N58" s="315">
        <v>15807507.202785898</v>
      </c>
    </row>
    <row r="59" spans="2:14" x14ac:dyDescent="0.25">
      <c r="B59" s="236">
        <v>44713</v>
      </c>
      <c r="C59" s="315"/>
      <c r="D59" s="315"/>
      <c r="E59" s="315"/>
      <c r="F59" s="315"/>
      <c r="G59" s="315">
        <v>103404</v>
      </c>
      <c r="H59" s="315">
        <v>20143983.233388677</v>
      </c>
      <c r="I59" s="315">
        <v>80766</v>
      </c>
      <c r="J59" s="315">
        <v>15732712.281544508</v>
      </c>
      <c r="K59" s="315">
        <v>103404</v>
      </c>
      <c r="L59" s="315">
        <v>20143983.233388677</v>
      </c>
      <c r="M59" s="315">
        <v>80766</v>
      </c>
      <c r="N59" s="315">
        <v>15732712.281544508</v>
      </c>
    </row>
    <row r="60" spans="2:14" x14ac:dyDescent="0.25">
      <c r="B60" s="223">
        <v>44743</v>
      </c>
      <c r="C60" s="315"/>
      <c r="D60" s="315"/>
      <c r="E60" s="315"/>
      <c r="F60" s="315"/>
      <c r="G60" s="315">
        <v>103650</v>
      </c>
      <c r="H60" s="315">
        <v>20878309.499343548</v>
      </c>
      <c r="I60" s="315">
        <v>81031</v>
      </c>
      <c r="J60" s="315">
        <v>16320729.032992084</v>
      </c>
      <c r="K60" s="315">
        <v>103650</v>
      </c>
      <c r="L60" s="315">
        <v>20878309.499343548</v>
      </c>
      <c r="M60" s="315">
        <v>81031</v>
      </c>
      <c r="N60" s="315">
        <v>16320729.032992084</v>
      </c>
    </row>
    <row r="61" spans="2:14" x14ac:dyDescent="0.25">
      <c r="B61" s="236">
        <v>44774</v>
      </c>
      <c r="C61" s="315"/>
      <c r="D61" s="315"/>
      <c r="E61" s="315"/>
      <c r="F61" s="315"/>
      <c r="G61" s="315">
        <v>103890</v>
      </c>
      <c r="H61" s="315">
        <v>20675534.169784501</v>
      </c>
      <c r="I61" s="315">
        <v>81219</v>
      </c>
      <c r="J61" s="315">
        <v>16162926.79285532</v>
      </c>
      <c r="K61" s="315">
        <v>103890</v>
      </c>
      <c r="L61" s="315">
        <v>20675534.169784501</v>
      </c>
      <c r="M61" s="315">
        <v>81219</v>
      </c>
      <c r="N61" s="315">
        <v>16162926.79285532</v>
      </c>
    </row>
    <row r="62" spans="2:14" x14ac:dyDescent="0.25">
      <c r="B62" s="236">
        <v>44805</v>
      </c>
      <c r="C62" s="315"/>
      <c r="D62" s="315"/>
      <c r="E62" s="315"/>
      <c r="F62" s="315"/>
      <c r="G62" s="315">
        <v>103948</v>
      </c>
      <c r="H62" s="315">
        <v>20508607.620178811</v>
      </c>
      <c r="I62" s="315">
        <v>81350</v>
      </c>
      <c r="J62" s="315">
        <v>16049287.161313673</v>
      </c>
      <c r="K62" s="315">
        <v>103948</v>
      </c>
      <c r="L62" s="315">
        <v>20508607.620178811</v>
      </c>
      <c r="M62" s="315">
        <v>81350</v>
      </c>
      <c r="N62" s="315">
        <v>16049287.161313673</v>
      </c>
    </row>
    <row r="63" spans="2:14" x14ac:dyDescent="0.25">
      <c r="B63" s="223">
        <v>44835</v>
      </c>
      <c r="C63" s="315"/>
      <c r="D63" s="315"/>
      <c r="E63" s="315"/>
      <c r="F63" s="315"/>
      <c r="G63" s="315">
        <v>103979</v>
      </c>
      <c r="H63" s="315">
        <v>20409083.267605245</v>
      </c>
      <c r="I63" s="315">
        <v>81414</v>
      </c>
      <c r="J63" s="315">
        <v>15979172.357357515</v>
      </c>
      <c r="K63" s="315">
        <v>103979</v>
      </c>
      <c r="L63" s="315">
        <v>20409083.267605245</v>
      </c>
      <c r="M63" s="315">
        <v>81414</v>
      </c>
      <c r="N63" s="315">
        <v>15979172.357357515</v>
      </c>
    </row>
    <row r="64" spans="2:14" x14ac:dyDescent="0.25">
      <c r="B64" s="236">
        <v>44866</v>
      </c>
      <c r="C64" s="315"/>
      <c r="D64" s="315"/>
      <c r="E64" s="315"/>
      <c r="F64" s="315"/>
      <c r="G64" s="315">
        <v>103866</v>
      </c>
      <c r="H64" s="315">
        <v>20189834.036401078</v>
      </c>
      <c r="I64" s="315">
        <v>81490</v>
      </c>
      <c r="J64" s="315">
        <v>15839244.708215751</v>
      </c>
      <c r="K64" s="315">
        <v>103866</v>
      </c>
      <c r="L64" s="315">
        <v>20189834.036401078</v>
      </c>
      <c r="M64" s="315">
        <v>81490</v>
      </c>
      <c r="N64" s="315">
        <v>15839244.708215751</v>
      </c>
    </row>
    <row r="65" spans="2:14" x14ac:dyDescent="0.25">
      <c r="B65" s="236">
        <v>44896</v>
      </c>
      <c r="C65" s="315"/>
      <c r="D65" s="315"/>
      <c r="E65" s="315"/>
      <c r="F65" s="315"/>
      <c r="G65" s="315">
        <v>103979</v>
      </c>
      <c r="H65" s="315">
        <v>20153837.159000002</v>
      </c>
      <c r="I65" s="315">
        <v>81605</v>
      </c>
      <c r="J65" s="315">
        <v>15816186.175000001</v>
      </c>
      <c r="K65" s="315">
        <v>103979</v>
      </c>
      <c r="L65" s="315">
        <v>20153837.159000002</v>
      </c>
      <c r="M65" s="315">
        <v>81605</v>
      </c>
      <c r="N65" s="315">
        <v>15816186.175000001</v>
      </c>
    </row>
    <row r="66" spans="2:14" x14ac:dyDescent="0.25">
      <c r="B66" s="279" t="s">
        <v>771</v>
      </c>
      <c r="C66" s="340">
        <v>309032</v>
      </c>
      <c r="D66" s="340">
        <v>60530405.511133626</v>
      </c>
      <c r="E66" s="340">
        <v>105909</v>
      </c>
      <c r="F66" s="340">
        <v>20779989.517726135</v>
      </c>
      <c r="G66" s="340">
        <v>103357.58333333333</v>
      </c>
      <c r="H66" s="340">
        <v>20465347.277060743</v>
      </c>
      <c r="I66" s="340">
        <v>80758.083333333328</v>
      </c>
      <c r="J66" s="340">
        <v>15989163.102602215</v>
      </c>
      <c r="K66" s="340">
        <v>129110.25</v>
      </c>
      <c r="L66" s="340">
        <v>25509547.736321881</v>
      </c>
      <c r="M66" s="340">
        <v>89583.833333333328</v>
      </c>
      <c r="N66" s="340">
        <v>17720828.89574606</v>
      </c>
    </row>
    <row r="67" spans="2:14" x14ac:dyDescent="0.25">
      <c r="B67" s="324" t="s">
        <v>887</v>
      </c>
      <c r="C67" s="8"/>
      <c r="D67" s="8"/>
      <c r="E67" s="8"/>
      <c r="F67" s="8"/>
      <c r="G67" s="8"/>
      <c r="H67" s="8"/>
      <c r="I67" s="8"/>
      <c r="J67" s="8"/>
      <c r="K67" s="8"/>
      <c r="L67" s="8"/>
      <c r="M67" s="8"/>
    </row>
    <row r="68" spans="2:14" x14ac:dyDescent="0.25">
      <c r="B68" s="322" t="s">
        <v>967</v>
      </c>
      <c r="C68" s="8"/>
      <c r="D68" s="8"/>
      <c r="E68" s="8"/>
      <c r="F68" s="8"/>
      <c r="G68" s="8"/>
      <c r="H68" s="8"/>
      <c r="I68" s="8"/>
      <c r="J68" s="8"/>
      <c r="K68" s="8"/>
      <c r="L68" s="8"/>
      <c r="M68" s="8"/>
    </row>
    <row r="69" spans="2:14" x14ac:dyDescent="0.25">
      <c r="B69" s="475" t="s">
        <v>891</v>
      </c>
      <c r="C69" s="476"/>
      <c r="D69" s="476"/>
      <c r="E69" s="476"/>
      <c r="F69" s="476"/>
      <c r="G69" s="476"/>
      <c r="H69" s="476"/>
      <c r="I69" s="476"/>
      <c r="J69" s="476"/>
      <c r="K69" s="476"/>
      <c r="L69" s="476"/>
      <c r="M69" s="476"/>
    </row>
    <row r="70" spans="2:14" x14ac:dyDescent="0.25">
      <c r="C70" s="5"/>
      <c r="D70" s="5"/>
      <c r="E70" s="5"/>
      <c r="F70" s="5"/>
      <c r="G70" s="5"/>
      <c r="H70" s="5"/>
      <c r="I70" s="5"/>
      <c r="J70" s="5"/>
      <c r="K70" s="5"/>
      <c r="L70" s="323"/>
      <c r="M70" s="323"/>
    </row>
    <row r="71" spans="2:14" x14ac:dyDescent="0.25">
      <c r="B71" s="235"/>
      <c r="C71" s="5"/>
      <c r="D71" s="5"/>
      <c r="E71" s="5"/>
      <c r="F71" s="5"/>
      <c r="G71" s="5"/>
      <c r="H71" s="5"/>
      <c r="I71" s="5"/>
      <c r="J71" s="5"/>
      <c r="K71" s="5"/>
    </row>
    <row r="72" spans="2:14" x14ac:dyDescent="0.25">
      <c r="B72" s="235"/>
      <c r="C72" s="5"/>
      <c r="D72" s="5"/>
      <c r="E72" s="5"/>
      <c r="F72" s="5"/>
      <c r="G72" s="5"/>
      <c r="H72" s="5"/>
      <c r="I72" s="5"/>
      <c r="J72" s="5"/>
      <c r="K72" s="5"/>
    </row>
    <row r="73" spans="2:14" x14ac:dyDescent="0.25">
      <c r="B73" s="235"/>
      <c r="C73" s="5"/>
      <c r="D73" s="5"/>
      <c r="E73" s="5"/>
      <c r="F73" s="5"/>
      <c r="G73" s="5"/>
      <c r="H73" s="5"/>
      <c r="I73" s="5"/>
      <c r="J73" s="5"/>
      <c r="K73" s="5"/>
    </row>
    <row r="74" spans="2:14" x14ac:dyDescent="0.25">
      <c r="B74" s="235"/>
      <c r="C74" s="5"/>
      <c r="D74" s="5"/>
      <c r="E74" s="5"/>
      <c r="F74" s="5"/>
      <c r="G74" s="5"/>
      <c r="H74" s="5"/>
      <c r="I74" s="5"/>
      <c r="J74" s="5"/>
      <c r="K74" s="5"/>
    </row>
    <row r="75" spans="2:14" x14ac:dyDescent="0.25">
      <c r="B75" s="235"/>
      <c r="C75" s="5"/>
      <c r="D75" s="5"/>
      <c r="E75" s="5"/>
      <c r="F75" s="5"/>
      <c r="G75" s="5"/>
      <c r="H75" s="5"/>
      <c r="I75" s="5"/>
      <c r="J75" s="5"/>
      <c r="K75" s="5"/>
    </row>
    <row r="76" spans="2:14" x14ac:dyDescent="0.25">
      <c r="B76" s="235"/>
      <c r="C76" s="5"/>
      <c r="D76" s="5"/>
      <c r="E76" s="5"/>
      <c r="F76" s="5"/>
      <c r="G76" s="5"/>
      <c r="H76" s="5"/>
      <c r="I76" s="5"/>
      <c r="J76" s="5"/>
      <c r="K76" s="5"/>
    </row>
  </sheetData>
  <mergeCells count="21">
    <mergeCell ref="B69:M69"/>
    <mergeCell ref="C37:F37"/>
    <mergeCell ref="G37:J37"/>
    <mergeCell ref="K37:N37"/>
    <mergeCell ref="K38:L38"/>
    <mergeCell ref="G38:H38"/>
    <mergeCell ref="C38:D38"/>
    <mergeCell ref="M38:N38"/>
    <mergeCell ref="I38:J38"/>
    <mergeCell ref="E38:F38"/>
    <mergeCell ref="B32:M32"/>
    <mergeCell ref="D25:F25"/>
    <mergeCell ref="G25:I25"/>
    <mergeCell ref="J25:L25"/>
    <mergeCell ref="B27:B29"/>
    <mergeCell ref="B15:B17"/>
    <mergeCell ref="B9:B11"/>
    <mergeCell ref="B12:B14"/>
    <mergeCell ref="D7:F7"/>
    <mergeCell ref="J7:L7"/>
    <mergeCell ref="G7:I7"/>
  </mergeCells>
  <phoneticPr fontId="28"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1C951-B6AC-44BC-BF55-48E92991B705}">
  <sheetPr>
    <tabColor theme="9"/>
  </sheetPr>
  <dimension ref="A1:S133"/>
  <sheetViews>
    <sheetView workbookViewId="0"/>
  </sheetViews>
  <sheetFormatPr baseColWidth="10" defaultRowHeight="15" x14ac:dyDescent="0.25"/>
  <cols>
    <col min="1" max="1" width="17.5703125" bestFit="1" customWidth="1"/>
    <col min="2" max="2" width="29.7109375" bestFit="1" customWidth="1"/>
    <col min="3" max="3" width="31.5703125" bestFit="1" customWidth="1"/>
    <col min="4" max="4" width="29" bestFit="1" customWidth="1"/>
    <col min="5" max="5" width="30.7109375" bestFit="1" customWidth="1"/>
    <col min="6" max="6" width="27.28515625" bestFit="1" customWidth="1"/>
    <col min="7" max="7" width="29" bestFit="1" customWidth="1"/>
    <col min="9" max="9" width="17.5703125" bestFit="1" customWidth="1"/>
    <col min="10" max="10" width="29.28515625" bestFit="1" customWidth="1"/>
    <col min="11" max="11" width="31" bestFit="1" customWidth="1"/>
    <col min="12" max="12" width="33.7109375" bestFit="1" customWidth="1"/>
    <col min="13" max="13" width="35.42578125" bestFit="1" customWidth="1"/>
    <col min="14" max="14" width="29" bestFit="1" customWidth="1"/>
    <col min="15" max="15" width="17.5703125" bestFit="1" customWidth="1"/>
    <col min="16" max="16" width="25.7109375" bestFit="1" customWidth="1"/>
    <col min="17" max="17" width="27.5703125" bestFit="1" customWidth="1"/>
    <col min="18" max="18" width="25" bestFit="1" customWidth="1"/>
    <col min="19" max="19" width="26.85546875" bestFit="1" customWidth="1"/>
  </cols>
  <sheetData>
    <row r="1" spans="1:19" x14ac:dyDescent="0.25">
      <c r="A1" s="226" t="s">
        <v>11</v>
      </c>
      <c r="B1" t="s">
        <v>621</v>
      </c>
      <c r="I1" s="226" t="s">
        <v>11</v>
      </c>
      <c r="J1" t="s">
        <v>621</v>
      </c>
      <c r="O1" s="226" t="s">
        <v>11</v>
      </c>
      <c r="P1" t="s">
        <v>621</v>
      </c>
    </row>
    <row r="3" spans="1:19" x14ac:dyDescent="0.25">
      <c r="A3" s="226" t="s">
        <v>564</v>
      </c>
      <c r="B3" t="s">
        <v>682</v>
      </c>
      <c r="C3" t="s">
        <v>683</v>
      </c>
      <c r="D3" t="s">
        <v>684</v>
      </c>
      <c r="E3" t="s">
        <v>685</v>
      </c>
      <c r="F3" t="s">
        <v>686</v>
      </c>
      <c r="G3" t="s">
        <v>687</v>
      </c>
      <c r="I3" s="226" t="s">
        <v>564</v>
      </c>
      <c r="J3" t="s">
        <v>694</v>
      </c>
      <c r="K3" t="s">
        <v>695</v>
      </c>
      <c r="L3" t="s">
        <v>696</v>
      </c>
      <c r="M3" t="s">
        <v>697</v>
      </c>
      <c r="O3" s="226" t="s">
        <v>564</v>
      </c>
      <c r="P3" t="s">
        <v>706</v>
      </c>
      <c r="Q3" t="s">
        <v>707</v>
      </c>
      <c r="R3" t="s">
        <v>708</v>
      </c>
      <c r="S3" t="s">
        <v>709</v>
      </c>
    </row>
    <row r="4" spans="1:19" x14ac:dyDescent="0.25">
      <c r="A4" s="227" t="s">
        <v>580</v>
      </c>
      <c r="B4">
        <v>327413</v>
      </c>
      <c r="C4">
        <v>190531</v>
      </c>
      <c r="D4">
        <v>137530</v>
      </c>
      <c r="E4">
        <v>139864</v>
      </c>
      <c r="F4">
        <v>464943</v>
      </c>
      <c r="G4">
        <v>330395</v>
      </c>
      <c r="I4" s="227" t="s">
        <v>580</v>
      </c>
      <c r="J4" s="228">
        <v>69469277.144999996</v>
      </c>
      <c r="K4" s="228">
        <v>40636215.887999997</v>
      </c>
      <c r="L4" s="228">
        <v>22985156.960000001</v>
      </c>
      <c r="M4" s="228">
        <v>22214072.743999999</v>
      </c>
      <c r="O4" s="227" t="s">
        <v>580</v>
      </c>
      <c r="P4" s="228">
        <v>69114843.282755256</v>
      </c>
      <c r="Q4" s="228">
        <v>40428576.18180979</v>
      </c>
      <c r="R4" s="228">
        <v>22868011.248085368</v>
      </c>
      <c r="S4" s="228">
        <v>22101174.072249502</v>
      </c>
    </row>
    <row r="5" spans="1:19" x14ac:dyDescent="0.25">
      <c r="A5" s="230" t="s">
        <v>605</v>
      </c>
      <c r="B5">
        <v>109393</v>
      </c>
      <c r="C5">
        <v>63815</v>
      </c>
      <c r="D5">
        <v>45739</v>
      </c>
      <c r="E5">
        <v>46381</v>
      </c>
      <c r="F5">
        <v>155132</v>
      </c>
      <c r="G5">
        <v>110196</v>
      </c>
      <c r="I5" s="230" t="s">
        <v>605</v>
      </c>
      <c r="J5" s="228">
        <v>23196045.528999999</v>
      </c>
      <c r="K5" s="228">
        <v>13590242.085999999</v>
      </c>
      <c r="L5" s="228">
        <v>7659976.4989999998</v>
      </c>
      <c r="M5" s="228">
        <v>7378442.3490000004</v>
      </c>
      <c r="O5" s="230" t="s">
        <v>605</v>
      </c>
      <c r="P5" s="228">
        <v>22907039.828335743</v>
      </c>
      <c r="Q5" s="228">
        <v>13420917.645273631</v>
      </c>
      <c r="R5" s="228">
        <v>7564538.8144861665</v>
      </c>
      <c r="S5" s="228">
        <v>7286512.3733402435</v>
      </c>
    </row>
    <row r="6" spans="1:19" x14ac:dyDescent="0.25">
      <c r="A6" s="230" t="s">
        <v>606</v>
      </c>
      <c r="B6">
        <v>109031</v>
      </c>
      <c r="C6">
        <v>63526</v>
      </c>
      <c r="D6">
        <v>45910</v>
      </c>
      <c r="E6">
        <v>46666</v>
      </c>
      <c r="F6">
        <v>154941</v>
      </c>
      <c r="G6">
        <v>110192</v>
      </c>
      <c r="I6" s="230" t="s">
        <v>606</v>
      </c>
      <c r="J6" s="228">
        <v>23133193.734000001</v>
      </c>
      <c r="K6" s="228">
        <v>13546987.07</v>
      </c>
      <c r="L6" s="228">
        <v>7675227.1699999999</v>
      </c>
      <c r="M6" s="228">
        <v>7413824.5259999996</v>
      </c>
      <c r="O6" s="230" t="s">
        <v>606</v>
      </c>
      <c r="P6" s="228">
        <v>23067765.572419517</v>
      </c>
      <c r="Q6" s="228">
        <v>13508671.80453616</v>
      </c>
      <c r="R6" s="228">
        <v>7653519.1425991999</v>
      </c>
      <c r="S6" s="228">
        <v>7392855.8299092585</v>
      </c>
    </row>
    <row r="7" spans="1:19" x14ac:dyDescent="0.25">
      <c r="A7" s="230" t="s">
        <v>607</v>
      </c>
      <c r="B7">
        <v>108989</v>
      </c>
      <c r="C7">
        <v>63190</v>
      </c>
      <c r="D7">
        <v>45881</v>
      </c>
      <c r="E7">
        <v>46817</v>
      </c>
      <c r="F7">
        <v>154870</v>
      </c>
      <c r="G7">
        <v>110007</v>
      </c>
      <c r="I7" s="230" t="s">
        <v>607</v>
      </c>
      <c r="J7" s="228">
        <v>23140037.881999999</v>
      </c>
      <c r="K7" s="228">
        <v>13498986.732000001</v>
      </c>
      <c r="L7" s="228">
        <v>7649953.2910000002</v>
      </c>
      <c r="M7" s="228">
        <v>7421805.8689999999</v>
      </c>
      <c r="O7" s="230" t="s">
        <v>607</v>
      </c>
      <c r="P7" s="228">
        <v>23140037.881999999</v>
      </c>
      <c r="Q7" s="228">
        <v>13498986.732000001</v>
      </c>
      <c r="R7" s="228">
        <v>7649953.2910000002</v>
      </c>
      <c r="S7" s="228">
        <v>7421805.8689999999</v>
      </c>
    </row>
    <row r="11" spans="1:19" x14ac:dyDescent="0.25">
      <c r="A11" s="226" t="s">
        <v>11</v>
      </c>
      <c r="B11" t="s">
        <v>621</v>
      </c>
    </row>
    <row r="13" spans="1:19" x14ac:dyDescent="0.25">
      <c r="A13" s="226" t="s">
        <v>564</v>
      </c>
      <c r="B13" t="s">
        <v>682</v>
      </c>
      <c r="C13" t="s">
        <v>683</v>
      </c>
      <c r="D13" t="s">
        <v>684</v>
      </c>
      <c r="E13" t="s">
        <v>685</v>
      </c>
      <c r="F13" t="s">
        <v>686</v>
      </c>
      <c r="G13" t="s">
        <v>687</v>
      </c>
    </row>
    <row r="14" spans="1:19" x14ac:dyDescent="0.25">
      <c r="A14" s="227" t="s">
        <v>580</v>
      </c>
      <c r="B14" s="228">
        <v>2017877</v>
      </c>
      <c r="C14" s="228">
        <v>1478761</v>
      </c>
      <c r="D14" s="228">
        <v>540602</v>
      </c>
      <c r="E14" s="228">
        <v>538156</v>
      </c>
      <c r="F14" s="228">
        <v>2558479</v>
      </c>
      <c r="G14" s="228">
        <v>2016917</v>
      </c>
    </row>
    <row r="17" spans="1:7" x14ac:dyDescent="0.25">
      <c r="A17" s="226" t="s">
        <v>11</v>
      </c>
      <c r="B17" t="s">
        <v>621</v>
      </c>
    </row>
    <row r="19" spans="1:7" x14ac:dyDescent="0.25">
      <c r="A19" s="226" t="s">
        <v>564</v>
      </c>
      <c r="B19" t="s">
        <v>688</v>
      </c>
      <c r="C19" t="s">
        <v>689</v>
      </c>
      <c r="D19" t="s">
        <v>690</v>
      </c>
      <c r="E19" t="s">
        <v>691</v>
      </c>
      <c r="F19" t="s">
        <v>692</v>
      </c>
      <c r="G19" t="s">
        <v>693</v>
      </c>
    </row>
    <row r="20" spans="1:7" x14ac:dyDescent="0.25">
      <c r="A20" s="227" t="s">
        <v>580</v>
      </c>
      <c r="B20" s="228">
        <v>168156.41666666666</v>
      </c>
      <c r="C20" s="228">
        <v>123230.08333333333</v>
      </c>
      <c r="D20" s="228">
        <v>45050.166666666664</v>
      </c>
      <c r="E20" s="228">
        <v>44846.333333333336</v>
      </c>
      <c r="F20" s="228">
        <v>213206.58333333334</v>
      </c>
      <c r="G20" s="228">
        <v>168076.41666666666</v>
      </c>
    </row>
    <row r="23" spans="1:7" x14ac:dyDescent="0.25">
      <c r="A23" s="226" t="s">
        <v>11</v>
      </c>
      <c r="B23" t="s">
        <v>621</v>
      </c>
    </row>
    <row r="25" spans="1:7" x14ac:dyDescent="0.25">
      <c r="A25" s="226" t="s">
        <v>564</v>
      </c>
      <c r="B25" t="s">
        <v>694</v>
      </c>
      <c r="C25" t="s">
        <v>695</v>
      </c>
      <c r="D25" t="s">
        <v>696</v>
      </c>
      <c r="E25" t="s">
        <v>697</v>
      </c>
      <c r="F25" t="s">
        <v>698</v>
      </c>
      <c r="G25" t="s">
        <v>699</v>
      </c>
    </row>
    <row r="26" spans="1:7" x14ac:dyDescent="0.25">
      <c r="A26" s="227" t="s">
        <v>580</v>
      </c>
      <c r="B26" s="228">
        <v>362446009.15000004</v>
      </c>
      <c r="C26" s="228">
        <v>250516499.96700001</v>
      </c>
      <c r="D26" s="228">
        <v>89129736.667999998</v>
      </c>
      <c r="E26" s="228">
        <v>84667893.447999999</v>
      </c>
      <c r="F26" s="228">
        <v>451575745.81799996</v>
      </c>
      <c r="G26" s="228">
        <v>335184393.41500002</v>
      </c>
    </row>
    <row r="29" spans="1:7" x14ac:dyDescent="0.25">
      <c r="A29" s="226" t="s">
        <v>11</v>
      </c>
      <c r="B29" t="s">
        <v>621</v>
      </c>
    </row>
    <row r="31" spans="1:7" x14ac:dyDescent="0.25">
      <c r="A31" s="226" t="s">
        <v>564</v>
      </c>
      <c r="B31" t="s">
        <v>700</v>
      </c>
      <c r="C31" t="s">
        <v>701</v>
      </c>
      <c r="D31" t="s">
        <v>702</v>
      </c>
      <c r="E31" t="s">
        <v>703</v>
      </c>
      <c r="F31" t="s">
        <v>704</v>
      </c>
      <c r="G31" t="s">
        <v>705</v>
      </c>
    </row>
    <row r="32" spans="1:7" x14ac:dyDescent="0.25">
      <c r="A32" s="227" t="s">
        <v>580</v>
      </c>
      <c r="B32" s="228">
        <v>30203834.095833335</v>
      </c>
      <c r="C32" s="228">
        <v>20876374.997250002</v>
      </c>
      <c r="D32" s="228">
        <v>7427478.0556666665</v>
      </c>
      <c r="E32" s="228">
        <v>7055657.7873333329</v>
      </c>
      <c r="F32" s="228">
        <v>37631312.151499994</v>
      </c>
      <c r="G32" s="228">
        <v>27932032.784583334</v>
      </c>
    </row>
    <row r="35" spans="1:5" x14ac:dyDescent="0.25">
      <c r="A35" s="226" t="s">
        <v>11</v>
      </c>
      <c r="B35" t="s">
        <v>621</v>
      </c>
    </row>
    <row r="37" spans="1:5" x14ac:dyDescent="0.25">
      <c r="A37" s="226" t="s">
        <v>564</v>
      </c>
      <c r="B37" t="s">
        <v>706</v>
      </c>
      <c r="C37" t="s">
        <v>707</v>
      </c>
      <c r="D37" t="s">
        <v>708</v>
      </c>
      <c r="E37" t="s">
        <v>709</v>
      </c>
    </row>
    <row r="38" spans="1:5" x14ac:dyDescent="0.25">
      <c r="A38" s="227" t="s">
        <v>580</v>
      </c>
      <c r="B38" s="228">
        <v>340851773.50069964</v>
      </c>
      <c r="C38" s="228">
        <v>234463200.48189491</v>
      </c>
      <c r="D38" s="228">
        <v>85046489.557917848</v>
      </c>
      <c r="E38" s="228">
        <v>80830615.958772197</v>
      </c>
    </row>
    <row r="42" spans="1:5" x14ac:dyDescent="0.25">
      <c r="A42" s="226" t="s">
        <v>11</v>
      </c>
      <c r="B42" t="s">
        <v>621</v>
      </c>
    </row>
    <row r="44" spans="1:5" x14ac:dyDescent="0.25">
      <c r="A44" s="226" t="s">
        <v>564</v>
      </c>
      <c r="B44" t="s">
        <v>710</v>
      </c>
      <c r="C44" t="s">
        <v>711</v>
      </c>
      <c r="D44" t="s">
        <v>712</v>
      </c>
      <c r="E44" t="s">
        <v>713</v>
      </c>
    </row>
    <row r="45" spans="1:5" x14ac:dyDescent="0.25">
      <c r="A45" s="227" t="s">
        <v>580</v>
      </c>
      <c r="B45" s="228">
        <v>28404314.458391637</v>
      </c>
      <c r="C45" s="228">
        <v>19538600.04015791</v>
      </c>
      <c r="D45" s="228">
        <v>7087207.463159821</v>
      </c>
      <c r="E45" s="228">
        <v>6735884.6632310161</v>
      </c>
    </row>
    <row r="51" spans="1:5" x14ac:dyDescent="0.25">
      <c r="A51" s="226" t="s">
        <v>564</v>
      </c>
      <c r="B51" t="s">
        <v>688</v>
      </c>
      <c r="C51" t="s">
        <v>689</v>
      </c>
      <c r="D51" t="s">
        <v>690</v>
      </c>
      <c r="E51" t="s">
        <v>691</v>
      </c>
    </row>
    <row r="52" spans="1:5" x14ac:dyDescent="0.25">
      <c r="A52" s="227" t="s">
        <v>566</v>
      </c>
      <c r="B52" s="228">
        <v>2920.6666666666665</v>
      </c>
      <c r="C52" s="228">
        <v>1116</v>
      </c>
      <c r="D52" s="228">
        <v>286.33333333333331</v>
      </c>
      <c r="E52" s="228">
        <v>290.33333333333331</v>
      </c>
    </row>
    <row r="53" spans="1:5" x14ac:dyDescent="0.25">
      <c r="A53" s="227" t="s">
        <v>567</v>
      </c>
      <c r="B53" s="228">
        <v>35080.083333333336</v>
      </c>
      <c r="C53" s="228">
        <v>24939.75</v>
      </c>
      <c r="D53" s="228">
        <v>2213.8333333333335</v>
      </c>
      <c r="E53" s="228">
        <v>1769.75</v>
      </c>
    </row>
    <row r="54" spans="1:5" x14ac:dyDescent="0.25">
      <c r="A54" s="227" t="s">
        <v>568</v>
      </c>
      <c r="B54" s="228">
        <v>184671.58333333334</v>
      </c>
      <c r="C54" s="228">
        <v>128661.83333333333</v>
      </c>
      <c r="D54" s="228">
        <v>8050.916666666667</v>
      </c>
      <c r="E54" s="228">
        <v>5922.916666666667</v>
      </c>
    </row>
    <row r="55" spans="1:5" x14ac:dyDescent="0.25">
      <c r="A55" s="227" t="s">
        <v>569</v>
      </c>
      <c r="B55" s="228">
        <v>232153.66666666666</v>
      </c>
      <c r="C55" s="228">
        <v>168868.75</v>
      </c>
      <c r="D55" s="228">
        <v>12883.083333333334</v>
      </c>
      <c r="E55" s="228">
        <v>9283.4166666666661</v>
      </c>
    </row>
    <row r="56" spans="1:5" x14ac:dyDescent="0.25">
      <c r="A56" s="227" t="s">
        <v>570</v>
      </c>
      <c r="B56" s="228">
        <v>279628</v>
      </c>
      <c r="C56" s="228">
        <v>203893.75</v>
      </c>
      <c r="D56" s="228">
        <v>19231.416666666668</v>
      </c>
      <c r="E56" s="228">
        <v>14584.75</v>
      </c>
    </row>
    <row r="57" spans="1:5" x14ac:dyDescent="0.25">
      <c r="A57" s="227" t="s">
        <v>571</v>
      </c>
      <c r="B57" s="228">
        <v>327092.08333333331</v>
      </c>
      <c r="C57" s="228">
        <v>237763.33333333334</v>
      </c>
      <c r="D57" s="228">
        <v>26607.083333333332</v>
      </c>
      <c r="E57" s="228">
        <v>21058.833333333332</v>
      </c>
    </row>
    <row r="58" spans="1:5" x14ac:dyDescent="0.25">
      <c r="A58" s="227" t="s">
        <v>572</v>
      </c>
      <c r="B58" s="228">
        <v>354831.83333333331</v>
      </c>
      <c r="C58" s="228">
        <v>258135.41666666666</v>
      </c>
      <c r="D58" s="228">
        <v>33075.25</v>
      </c>
      <c r="E58" s="228">
        <v>26998.166666666668</v>
      </c>
    </row>
    <row r="59" spans="1:5" x14ac:dyDescent="0.25">
      <c r="A59" s="227" t="s">
        <v>573</v>
      </c>
      <c r="B59" s="228">
        <v>385388.58333333331</v>
      </c>
      <c r="C59" s="228">
        <v>279293.16666666669</v>
      </c>
      <c r="D59" s="228">
        <v>35497.583333333336</v>
      </c>
      <c r="E59" s="228">
        <v>29292.083333333332</v>
      </c>
    </row>
    <row r="60" spans="1:5" x14ac:dyDescent="0.25">
      <c r="A60" s="227" t="s">
        <v>574</v>
      </c>
      <c r="B60" s="228">
        <v>409696.25</v>
      </c>
      <c r="C60" s="228">
        <v>297461.08333333331</v>
      </c>
      <c r="D60" s="228">
        <v>35477.75</v>
      </c>
      <c r="E60" s="228">
        <v>29444.666666666668</v>
      </c>
    </row>
    <row r="61" spans="1:5" x14ac:dyDescent="0.25">
      <c r="A61" s="227" t="s">
        <v>575</v>
      </c>
      <c r="B61" s="228">
        <v>434014.41666666669</v>
      </c>
      <c r="C61" s="228">
        <v>315115.08333333331</v>
      </c>
      <c r="D61" s="228">
        <v>35236.416666666664</v>
      </c>
      <c r="E61" s="228">
        <v>29440.416666666668</v>
      </c>
    </row>
    <row r="62" spans="1:5" x14ac:dyDescent="0.25">
      <c r="A62" s="227" t="s">
        <v>576</v>
      </c>
      <c r="B62" s="228">
        <v>472783.58333333331</v>
      </c>
      <c r="C62" s="228">
        <v>343894.41666666669</v>
      </c>
      <c r="D62" s="228">
        <v>35802.166666666664</v>
      </c>
      <c r="E62" s="228">
        <v>30349.5</v>
      </c>
    </row>
    <row r="63" spans="1:5" x14ac:dyDescent="0.25">
      <c r="A63" s="227" t="s">
        <v>577</v>
      </c>
      <c r="B63" s="228">
        <v>513930.5</v>
      </c>
      <c r="C63" s="228">
        <v>376625</v>
      </c>
      <c r="D63" s="228">
        <v>36751.75</v>
      </c>
      <c r="E63" s="228">
        <v>31642.25</v>
      </c>
    </row>
    <row r="64" spans="1:5" x14ac:dyDescent="0.25">
      <c r="A64" s="227" t="s">
        <v>578</v>
      </c>
      <c r="B64" s="228">
        <v>569814.16666666663</v>
      </c>
      <c r="C64" s="228">
        <v>419795.08333333331</v>
      </c>
      <c r="D64" s="228">
        <v>38063.25</v>
      </c>
      <c r="E64" s="228">
        <v>33240.166666666664</v>
      </c>
    </row>
    <row r="65" spans="1:5" s="247" customFormat="1" x14ac:dyDescent="0.25">
      <c r="A65" s="245" t="s">
        <v>579</v>
      </c>
      <c r="B65" s="246">
        <v>627987.08333333337</v>
      </c>
      <c r="C65" s="246">
        <v>462603.16666666669</v>
      </c>
      <c r="D65" s="246">
        <v>41110.25</v>
      </c>
      <c r="E65" s="246">
        <v>37794.333333333336</v>
      </c>
    </row>
    <row r="66" spans="1:5" x14ac:dyDescent="0.25">
      <c r="A66" s="230" t="s">
        <v>596</v>
      </c>
      <c r="B66" s="228">
        <v>600842</v>
      </c>
      <c r="C66" s="228">
        <v>443662</v>
      </c>
      <c r="D66" s="228">
        <v>38683</v>
      </c>
      <c r="E66" s="228">
        <v>34228</v>
      </c>
    </row>
    <row r="67" spans="1:5" x14ac:dyDescent="0.25">
      <c r="A67" s="230" t="s">
        <v>597</v>
      </c>
      <c r="B67" s="228">
        <v>605436</v>
      </c>
      <c r="C67" s="228">
        <v>447257</v>
      </c>
      <c r="D67" s="228">
        <v>38750</v>
      </c>
      <c r="E67" s="228">
        <v>34279</v>
      </c>
    </row>
    <row r="68" spans="1:5" x14ac:dyDescent="0.25">
      <c r="A68" s="230" t="s">
        <v>598</v>
      </c>
      <c r="B68" s="228">
        <v>610095</v>
      </c>
      <c r="C68" s="228">
        <v>450099</v>
      </c>
      <c r="D68" s="228">
        <v>38777</v>
      </c>
      <c r="E68" s="228">
        <v>34317</v>
      </c>
    </row>
    <row r="69" spans="1:5" x14ac:dyDescent="0.25">
      <c r="A69" s="230" t="s">
        <v>599</v>
      </c>
      <c r="B69" s="228">
        <v>615165</v>
      </c>
      <c r="C69" s="228">
        <v>453554</v>
      </c>
      <c r="D69" s="228">
        <v>39434</v>
      </c>
      <c r="E69" s="228">
        <v>35231</v>
      </c>
    </row>
    <row r="70" spans="1:5" x14ac:dyDescent="0.25">
      <c r="A70" s="230" t="s">
        <v>600</v>
      </c>
      <c r="B70" s="228">
        <v>619925</v>
      </c>
      <c r="C70" s="228">
        <v>456843</v>
      </c>
      <c r="D70" s="228">
        <v>40665</v>
      </c>
      <c r="E70" s="228">
        <v>36858</v>
      </c>
    </row>
    <row r="71" spans="1:5" x14ac:dyDescent="0.25">
      <c r="A71" s="230" t="s">
        <v>601</v>
      </c>
      <c r="B71" s="228">
        <v>624280</v>
      </c>
      <c r="C71" s="228">
        <v>459648</v>
      </c>
      <c r="D71" s="228">
        <v>41406</v>
      </c>
      <c r="E71" s="228">
        <v>37901</v>
      </c>
    </row>
    <row r="72" spans="1:5" x14ac:dyDescent="0.25">
      <c r="A72" s="230" t="s">
        <v>602</v>
      </c>
      <c r="B72" s="228">
        <v>628233</v>
      </c>
      <c r="C72" s="228">
        <v>462542</v>
      </c>
      <c r="D72" s="228">
        <v>41969</v>
      </c>
      <c r="E72" s="228">
        <v>38877</v>
      </c>
    </row>
    <row r="73" spans="1:5" x14ac:dyDescent="0.25">
      <c r="A73" s="230" t="s">
        <v>603</v>
      </c>
      <c r="B73" s="228">
        <v>632311</v>
      </c>
      <c r="C73" s="228">
        <v>464709</v>
      </c>
      <c r="D73" s="228">
        <v>42296</v>
      </c>
      <c r="E73" s="228">
        <v>39447</v>
      </c>
    </row>
    <row r="74" spans="1:5" x14ac:dyDescent="0.25">
      <c r="A74" s="230" t="s">
        <v>604</v>
      </c>
      <c r="B74" s="228">
        <v>638396</v>
      </c>
      <c r="C74" s="228">
        <v>469874</v>
      </c>
      <c r="D74" s="228">
        <v>42481</v>
      </c>
      <c r="E74" s="228">
        <v>39831</v>
      </c>
    </row>
    <row r="75" spans="1:5" x14ac:dyDescent="0.25">
      <c r="A75" s="230" t="s">
        <v>605</v>
      </c>
      <c r="B75" s="228">
        <v>645913</v>
      </c>
      <c r="C75" s="228">
        <v>475311</v>
      </c>
      <c r="D75" s="228">
        <v>42530</v>
      </c>
      <c r="E75" s="228">
        <v>40062</v>
      </c>
    </row>
    <row r="76" spans="1:5" x14ac:dyDescent="0.25">
      <c r="A76" s="230" t="s">
        <v>606</v>
      </c>
      <c r="B76" s="228">
        <v>654021</v>
      </c>
      <c r="C76" s="228">
        <v>481364</v>
      </c>
      <c r="D76" s="228">
        <v>43059</v>
      </c>
      <c r="E76" s="228">
        <v>41024</v>
      </c>
    </row>
    <row r="77" spans="1:5" x14ac:dyDescent="0.25">
      <c r="A77" s="230" t="s">
        <v>607</v>
      </c>
      <c r="B77" s="228">
        <v>661228</v>
      </c>
      <c r="C77" s="228">
        <v>486375</v>
      </c>
      <c r="D77" s="228">
        <v>43273</v>
      </c>
      <c r="E77" s="228">
        <v>41477</v>
      </c>
    </row>
    <row r="78" spans="1:5" s="247" customFormat="1" x14ac:dyDescent="0.25">
      <c r="A78" s="245" t="s">
        <v>580</v>
      </c>
      <c r="B78" s="246">
        <v>168156.41666666666</v>
      </c>
      <c r="C78" s="246">
        <v>123230.08333333333</v>
      </c>
      <c r="D78" s="246">
        <v>45050.166666666664</v>
      </c>
      <c r="E78" s="246">
        <v>44846.333333333336</v>
      </c>
    </row>
    <row r="79" spans="1:5" x14ac:dyDescent="0.25">
      <c r="A79" s="230" t="s">
        <v>596</v>
      </c>
      <c r="B79" s="228">
        <v>669074</v>
      </c>
      <c r="C79" s="228">
        <v>492231</v>
      </c>
      <c r="D79" s="228">
        <v>43561</v>
      </c>
      <c r="E79" s="228">
        <v>41983</v>
      </c>
    </row>
    <row r="80" spans="1:5" x14ac:dyDescent="0.25">
      <c r="A80" s="230" t="s">
        <v>597</v>
      </c>
      <c r="B80" s="228">
        <v>157011</v>
      </c>
      <c r="C80" s="228">
        <v>156303</v>
      </c>
      <c r="D80" s="228">
        <v>43796</v>
      </c>
      <c r="E80" s="228">
        <v>42423</v>
      </c>
    </row>
    <row r="81" spans="1:5" x14ac:dyDescent="0.25">
      <c r="A81" s="230" t="s">
        <v>598</v>
      </c>
      <c r="B81" s="228">
        <v>158373</v>
      </c>
      <c r="C81" s="228">
        <v>158291</v>
      </c>
      <c r="D81" s="228">
        <v>44375</v>
      </c>
      <c r="E81" s="228">
        <v>43297</v>
      </c>
    </row>
    <row r="82" spans="1:5" x14ac:dyDescent="0.25">
      <c r="A82" s="230" t="s">
        <v>599</v>
      </c>
      <c r="B82" s="228">
        <v>154818</v>
      </c>
      <c r="C82" s="228">
        <v>157061</v>
      </c>
      <c r="D82" s="228">
        <v>44630</v>
      </c>
      <c r="E82" s="228">
        <v>43805</v>
      </c>
    </row>
    <row r="83" spans="1:5" x14ac:dyDescent="0.25">
      <c r="A83" s="230" t="s">
        <v>600</v>
      </c>
      <c r="B83" s="228">
        <v>111871</v>
      </c>
      <c r="C83" s="228">
        <v>65720</v>
      </c>
      <c r="D83" s="228">
        <v>44880</v>
      </c>
      <c r="E83" s="228">
        <v>44391</v>
      </c>
    </row>
    <row r="84" spans="1:5" x14ac:dyDescent="0.25">
      <c r="A84" s="230" t="s">
        <v>601</v>
      </c>
      <c r="B84" s="228">
        <v>109948</v>
      </c>
      <c r="C84" s="228">
        <v>64976</v>
      </c>
      <c r="D84" s="228">
        <v>45192</v>
      </c>
      <c r="E84" s="228">
        <v>45010</v>
      </c>
    </row>
    <row r="85" spans="1:5" x14ac:dyDescent="0.25">
      <c r="A85" s="230" t="s">
        <v>602</v>
      </c>
      <c r="B85" s="228">
        <v>109799</v>
      </c>
      <c r="C85" s="228">
        <v>64729</v>
      </c>
      <c r="D85" s="228">
        <v>45366</v>
      </c>
      <c r="E85" s="228">
        <v>45364</v>
      </c>
    </row>
    <row r="86" spans="1:5" x14ac:dyDescent="0.25">
      <c r="A86" s="230" t="s">
        <v>603</v>
      </c>
      <c r="B86" s="228">
        <v>109904</v>
      </c>
      <c r="C86" s="228">
        <v>64644</v>
      </c>
      <c r="D86" s="228">
        <v>45575</v>
      </c>
      <c r="E86" s="228">
        <v>45817</v>
      </c>
    </row>
    <row r="87" spans="1:5" x14ac:dyDescent="0.25">
      <c r="A87" s="230" t="s">
        <v>604</v>
      </c>
      <c r="B87" s="228">
        <v>109666</v>
      </c>
      <c r="C87" s="228">
        <v>64275</v>
      </c>
      <c r="D87" s="228">
        <v>45697</v>
      </c>
      <c r="E87" s="228">
        <v>46202</v>
      </c>
    </row>
    <row r="88" spans="1:5" x14ac:dyDescent="0.25">
      <c r="A88" s="230" t="s">
        <v>605</v>
      </c>
      <c r="B88" s="228">
        <v>109393</v>
      </c>
      <c r="C88" s="228">
        <v>63815</v>
      </c>
      <c r="D88" s="228">
        <v>45739</v>
      </c>
      <c r="E88" s="228">
        <v>46381</v>
      </c>
    </row>
    <row r="89" spans="1:5" x14ac:dyDescent="0.25">
      <c r="A89" s="230" t="s">
        <v>606</v>
      </c>
      <c r="B89" s="228">
        <v>109031</v>
      </c>
      <c r="C89" s="228">
        <v>63526</v>
      </c>
      <c r="D89" s="228">
        <v>45910</v>
      </c>
      <c r="E89" s="228">
        <v>46666</v>
      </c>
    </row>
    <row r="90" spans="1:5" x14ac:dyDescent="0.25">
      <c r="A90" s="230" t="s">
        <v>607</v>
      </c>
      <c r="B90" s="228">
        <v>108989</v>
      </c>
      <c r="C90" s="228">
        <v>63190</v>
      </c>
      <c r="D90" s="228">
        <v>45881</v>
      </c>
      <c r="E90" s="228">
        <v>46817</v>
      </c>
    </row>
    <row r="94" spans="1:5" x14ac:dyDescent="0.25">
      <c r="A94" s="226" t="s">
        <v>564</v>
      </c>
      <c r="B94" t="s">
        <v>710</v>
      </c>
      <c r="C94" t="s">
        <v>711</v>
      </c>
      <c r="D94" t="s">
        <v>712</v>
      </c>
      <c r="E94" t="s">
        <v>713</v>
      </c>
    </row>
    <row r="95" spans="1:5" x14ac:dyDescent="0.25">
      <c r="A95" s="227" t="s">
        <v>566</v>
      </c>
      <c r="B95" s="228">
        <v>156325.61370400709</v>
      </c>
      <c r="C95" s="228">
        <v>77435.603686702554</v>
      </c>
      <c r="D95" s="228">
        <v>15483.202248388579</v>
      </c>
      <c r="E95" s="228">
        <v>15243.679179104918</v>
      </c>
    </row>
    <row r="96" spans="1:5" x14ac:dyDescent="0.25">
      <c r="A96" s="227" t="s">
        <v>567</v>
      </c>
      <c r="B96" s="228">
        <v>772303.7687463793</v>
      </c>
      <c r="C96" s="228">
        <v>553043.39554315945</v>
      </c>
      <c r="D96" s="228">
        <v>120809.2661856684</v>
      </c>
      <c r="E96" s="228">
        <v>93245.041899224161</v>
      </c>
    </row>
    <row r="97" spans="1:5" x14ac:dyDescent="0.25">
      <c r="A97" s="227" t="s">
        <v>568</v>
      </c>
      <c r="B97" s="228">
        <v>3418827.2571331747</v>
      </c>
      <c r="C97" s="228">
        <v>2476323.6803078842</v>
      </c>
      <c r="D97" s="228">
        <v>396627.09478933923</v>
      </c>
      <c r="E97" s="228">
        <v>287837.12706121668</v>
      </c>
    </row>
    <row r="98" spans="1:5" x14ac:dyDescent="0.25">
      <c r="A98" s="227" t="s">
        <v>569</v>
      </c>
      <c r="B98" s="228">
        <v>6247614.1601618873</v>
      </c>
      <c r="C98" s="228">
        <v>4603741.038574772</v>
      </c>
      <c r="D98" s="228">
        <v>662081.86303150852</v>
      </c>
      <c r="E98" s="228">
        <v>475799.91798954178</v>
      </c>
    </row>
    <row r="99" spans="1:5" x14ac:dyDescent="0.25">
      <c r="A99" s="227" t="s">
        <v>570</v>
      </c>
      <c r="B99" s="228">
        <v>8655068.6755060498</v>
      </c>
      <c r="C99" s="228">
        <v>6361345.5984722832</v>
      </c>
      <c r="D99" s="228">
        <v>999427.57781844714</v>
      </c>
      <c r="E99" s="228">
        <v>752510.08723908092</v>
      </c>
    </row>
    <row r="100" spans="1:5" x14ac:dyDescent="0.25">
      <c r="A100" s="227" t="s">
        <v>571</v>
      </c>
      <c r="B100" s="228">
        <v>10274152.252564007</v>
      </c>
      <c r="C100" s="228">
        <v>7549289.2571261423</v>
      </c>
      <c r="D100" s="228">
        <v>1394976.8004118858</v>
      </c>
      <c r="E100" s="228">
        <v>1080341.7336039112</v>
      </c>
    </row>
    <row r="101" spans="1:5" x14ac:dyDescent="0.25">
      <c r="A101" s="227" t="s">
        <v>572</v>
      </c>
      <c r="B101" s="228">
        <v>12384536.661468254</v>
      </c>
      <c r="C101" s="228">
        <v>9088379.0428815652</v>
      </c>
      <c r="D101" s="228">
        <v>1873609.1069966659</v>
      </c>
      <c r="E101" s="228">
        <v>1487596.9449784867</v>
      </c>
    </row>
    <row r="102" spans="1:5" x14ac:dyDescent="0.25">
      <c r="A102" s="227" t="s">
        <v>573</v>
      </c>
      <c r="B102" s="228">
        <v>15028398.368320284</v>
      </c>
      <c r="C102" s="228">
        <v>10934864.934245305</v>
      </c>
      <c r="D102" s="228">
        <v>2145117.4776902464</v>
      </c>
      <c r="E102" s="228">
        <v>1726456.0997398666</v>
      </c>
    </row>
    <row r="103" spans="1:5" x14ac:dyDescent="0.25">
      <c r="A103" s="227" t="s">
        <v>574</v>
      </c>
      <c r="B103" s="228">
        <v>17693062.052085578</v>
      </c>
      <c r="C103" s="228">
        <v>12778832.993547233</v>
      </c>
      <c r="D103" s="228">
        <v>2309466.3017106852</v>
      </c>
      <c r="E103" s="228">
        <v>1870817.0617767142</v>
      </c>
    </row>
    <row r="104" spans="1:5" x14ac:dyDescent="0.25">
      <c r="A104" s="227" t="s">
        <v>575</v>
      </c>
      <c r="B104" s="228">
        <v>22026093.42393636</v>
      </c>
      <c r="C104" s="228">
        <v>15785831.809762007</v>
      </c>
      <c r="D104" s="228">
        <v>2656108.6514058975</v>
      </c>
      <c r="E104" s="228">
        <v>2170783.9154642965</v>
      </c>
    </row>
    <row r="105" spans="1:5" x14ac:dyDescent="0.25">
      <c r="A105" s="227" t="s">
        <v>576</v>
      </c>
      <c r="B105" s="228">
        <v>25758208.861809745</v>
      </c>
      <c r="C105" s="228">
        <v>18313834.917808082</v>
      </c>
      <c r="D105" s="228">
        <v>2811976.0036181766</v>
      </c>
      <c r="E105" s="228">
        <v>2328781.0642876038</v>
      </c>
    </row>
    <row r="106" spans="1:5" x14ac:dyDescent="0.25">
      <c r="A106" s="227" t="s">
        <v>577</v>
      </c>
      <c r="B106" s="228">
        <v>31325043.761277139</v>
      </c>
      <c r="C106" s="228">
        <v>22124351.396135092</v>
      </c>
      <c r="D106" s="228">
        <v>3077999.2799660643</v>
      </c>
      <c r="E106" s="228">
        <v>2588562.3438297664</v>
      </c>
    </row>
    <row r="107" spans="1:5" x14ac:dyDescent="0.25">
      <c r="A107" s="227" t="s">
        <v>578</v>
      </c>
      <c r="B107" s="228">
        <v>52124871.761183031</v>
      </c>
      <c r="C107" s="228">
        <v>36060454.038666867</v>
      </c>
      <c r="D107" s="228">
        <v>4073396.1219694219</v>
      </c>
      <c r="E107" s="228">
        <v>3463066.8552737548</v>
      </c>
    </row>
    <row r="108" spans="1:5" x14ac:dyDescent="0.25">
      <c r="A108" s="245" t="s">
        <v>579</v>
      </c>
      <c r="B108" s="246">
        <v>70325409.227225527</v>
      </c>
      <c r="C108" s="246">
        <v>48621672.881336205</v>
      </c>
      <c r="D108" s="246">
        <v>5150957.0731636398</v>
      </c>
      <c r="E108" s="246">
        <v>4569506.209414009</v>
      </c>
    </row>
    <row r="109" spans="1:5" x14ac:dyDescent="0.25">
      <c r="A109" s="230" t="s">
        <v>596</v>
      </c>
      <c r="B109" s="228">
        <v>63696362.958414577</v>
      </c>
      <c r="C109" s="228">
        <v>44309021.858175702</v>
      </c>
      <c r="D109" s="228">
        <v>4762977.5698647648</v>
      </c>
      <c r="E109" s="228">
        <v>4091361.7391424058</v>
      </c>
    </row>
    <row r="110" spans="1:5" x14ac:dyDescent="0.25">
      <c r="A110" s="230" t="s">
        <v>597</v>
      </c>
      <c r="B110" s="228">
        <v>63994907.637665316</v>
      </c>
      <c r="C110" s="228">
        <v>44520514.941822201</v>
      </c>
      <c r="D110" s="228">
        <v>4770319.8015366821</v>
      </c>
      <c r="E110" s="228">
        <v>4099156.4931002227</v>
      </c>
    </row>
    <row r="111" spans="1:5" x14ac:dyDescent="0.25">
      <c r="A111" s="230" t="s">
        <v>598</v>
      </c>
      <c r="B111" s="228">
        <v>64860053.544890635</v>
      </c>
      <c r="C111" s="228">
        <v>44970556.341564067</v>
      </c>
      <c r="D111" s="228">
        <v>4790436.5807098188</v>
      </c>
      <c r="E111" s="228">
        <v>4120914.664349474</v>
      </c>
    </row>
    <row r="112" spans="1:5" x14ac:dyDescent="0.25">
      <c r="A112" s="230" t="s">
        <v>599</v>
      </c>
      <c r="B112" s="228">
        <v>65728334.705676571</v>
      </c>
      <c r="C112" s="228">
        <v>45436158.618098512</v>
      </c>
      <c r="D112" s="228">
        <v>4853879.4257550761</v>
      </c>
      <c r="E112" s="228">
        <v>4205557.1092847055</v>
      </c>
    </row>
    <row r="113" spans="1:5" x14ac:dyDescent="0.25">
      <c r="A113" s="230" t="s">
        <v>600</v>
      </c>
      <c r="B113" s="228">
        <v>66487237.463731125</v>
      </c>
      <c r="C113" s="228">
        <v>45869113.586396888</v>
      </c>
      <c r="D113" s="228">
        <v>4942107.9733611783</v>
      </c>
      <c r="E113" s="228">
        <v>4317325.5893974723</v>
      </c>
    </row>
    <row r="114" spans="1:5" x14ac:dyDescent="0.25">
      <c r="A114" s="230" t="s">
        <v>601</v>
      </c>
      <c r="B114" s="228">
        <v>67158507.375148997</v>
      </c>
      <c r="C114" s="228">
        <v>46243176.301030934</v>
      </c>
      <c r="D114" s="228">
        <v>4996697.9239287786</v>
      </c>
      <c r="E114" s="228">
        <v>4398896.771803827</v>
      </c>
    </row>
    <row r="115" spans="1:5" x14ac:dyDescent="0.25">
      <c r="A115" s="230" t="s">
        <v>602</v>
      </c>
      <c r="B115" s="228">
        <v>71495305.011722028</v>
      </c>
      <c r="C115" s="228">
        <v>49293780.097641803</v>
      </c>
      <c r="D115" s="228">
        <v>5285358.0406123968</v>
      </c>
      <c r="E115" s="228">
        <v>4703728.2221015217</v>
      </c>
    </row>
    <row r="116" spans="1:5" x14ac:dyDescent="0.25">
      <c r="A116" s="230" t="s">
        <v>603</v>
      </c>
      <c r="B116" s="228">
        <v>72562820.255994841</v>
      </c>
      <c r="C116" s="228">
        <v>50049476.158138156</v>
      </c>
      <c r="D116" s="228">
        <v>5343223.9759224355</v>
      </c>
      <c r="E116" s="228">
        <v>4791257.5344296834</v>
      </c>
    </row>
    <row r="117" spans="1:5" x14ac:dyDescent="0.25">
      <c r="A117" s="230" t="s">
        <v>604</v>
      </c>
      <c r="B117" s="228">
        <v>74341706.803722784</v>
      </c>
      <c r="C117" s="228">
        <v>51336522.716239899</v>
      </c>
      <c r="D117" s="228">
        <v>5419614.7033567168</v>
      </c>
      <c r="E117" s="228">
        <v>4887790.7821044028</v>
      </c>
    </row>
    <row r="118" spans="1:5" x14ac:dyDescent="0.25">
      <c r="A118" s="230" t="s">
        <v>605</v>
      </c>
      <c r="B118" s="228">
        <v>76383252.740311757</v>
      </c>
      <c r="C118" s="228">
        <v>52777445.495826118</v>
      </c>
      <c r="D118" s="228">
        <v>5494279.9203069536</v>
      </c>
      <c r="E118" s="228">
        <v>4985450.6875939816</v>
      </c>
    </row>
    <row r="119" spans="1:5" x14ac:dyDescent="0.25">
      <c r="A119" s="230" t="s">
        <v>606</v>
      </c>
      <c r="B119" s="228">
        <v>77822215.433380589</v>
      </c>
      <c r="C119" s="228">
        <v>53790438.48087886</v>
      </c>
      <c r="D119" s="228">
        <v>5553125.5563144684</v>
      </c>
      <c r="E119" s="228">
        <v>5084684.765986192</v>
      </c>
    </row>
    <row r="120" spans="1:5" x14ac:dyDescent="0.25">
      <c r="A120" s="230" t="s">
        <v>607</v>
      </c>
      <c r="B120" s="228">
        <v>79374206.796047181</v>
      </c>
      <c r="C120" s="228">
        <v>54863869.980221249</v>
      </c>
      <c r="D120" s="228">
        <v>5599463.4062944036</v>
      </c>
      <c r="E120" s="228">
        <v>5147950.1536742188</v>
      </c>
    </row>
    <row r="121" spans="1:5" x14ac:dyDescent="0.25">
      <c r="A121" s="245" t="s">
        <v>580</v>
      </c>
      <c r="B121" s="246">
        <v>28404314.458391637</v>
      </c>
      <c r="C121" s="246">
        <v>19538600.04015791</v>
      </c>
      <c r="D121" s="246">
        <v>7087207.4631598182</v>
      </c>
      <c r="E121" s="246">
        <v>6735884.6632310161</v>
      </c>
    </row>
    <row r="122" spans="1:5" x14ac:dyDescent="0.25">
      <c r="A122" s="230" t="s">
        <v>596</v>
      </c>
      <c r="B122" s="228">
        <v>85329225.032237858</v>
      </c>
      <c r="C122" s="228">
        <v>59281217.267202884</v>
      </c>
      <c r="D122" s="228">
        <v>6132700.1791782491</v>
      </c>
      <c r="E122" s="228">
        <v>5679553.632685883</v>
      </c>
    </row>
    <row r="123" spans="1:5" x14ac:dyDescent="0.25">
      <c r="A123" s="230" t="s">
        <v>597</v>
      </c>
      <c r="B123" s="228">
        <v>25600211.370473564</v>
      </c>
      <c r="C123" s="228">
        <v>23066984.063865762</v>
      </c>
      <c r="D123" s="228">
        <v>6498751.6686510267</v>
      </c>
      <c r="E123" s="228">
        <v>6057090.6828516349</v>
      </c>
    </row>
    <row r="124" spans="1:5" x14ac:dyDescent="0.25">
      <c r="A124" s="230" t="s">
        <v>598</v>
      </c>
      <c r="B124" s="228">
        <v>26343023.491362132</v>
      </c>
      <c r="C124" s="228">
        <v>23864446.290870335</v>
      </c>
      <c r="D124" s="228">
        <v>6658569.4005818935</v>
      </c>
      <c r="E124" s="228">
        <v>6232259.3259341298</v>
      </c>
    </row>
    <row r="125" spans="1:5" x14ac:dyDescent="0.25">
      <c r="A125" s="230" t="s">
        <v>599</v>
      </c>
      <c r="B125" s="228">
        <v>26307696.940407004</v>
      </c>
      <c r="C125" s="228">
        <v>24186619.725794081</v>
      </c>
      <c r="D125" s="228">
        <v>6756216.970998928</v>
      </c>
      <c r="E125" s="228">
        <v>6351773.5113056358</v>
      </c>
    </row>
    <row r="126" spans="1:5" x14ac:dyDescent="0.25">
      <c r="A126" s="230" t="s">
        <v>600</v>
      </c>
      <c r="B126" s="228">
        <v>20202999.442572609</v>
      </c>
      <c r="C126" s="228">
        <v>11805726.360177547</v>
      </c>
      <c r="D126" s="228">
        <v>6834328.4957676977</v>
      </c>
      <c r="E126" s="228">
        <v>6450792.0539269475</v>
      </c>
    </row>
    <row r="127" spans="1:5" x14ac:dyDescent="0.25">
      <c r="A127" s="230" t="s">
        <v>601</v>
      </c>
      <c r="B127" s="228">
        <v>20053029.638470855</v>
      </c>
      <c r="C127" s="228">
        <v>11793055.343836</v>
      </c>
      <c r="D127" s="228">
        <v>6907765.9940315234</v>
      </c>
      <c r="E127" s="228">
        <v>6550657.2089116909</v>
      </c>
    </row>
    <row r="128" spans="1:5" x14ac:dyDescent="0.25">
      <c r="A128" s="230" t="s">
        <v>602</v>
      </c>
      <c r="B128" s="228">
        <v>22377324.760191623</v>
      </c>
      <c r="C128" s="228">
        <v>13224117.54782065</v>
      </c>
      <c r="D128" s="228">
        <v>7376892.1677712034</v>
      </c>
      <c r="E128" s="228">
        <v>7023761.3156361412</v>
      </c>
    </row>
    <row r="129" spans="1:5" x14ac:dyDescent="0.25">
      <c r="A129" s="230" t="s">
        <v>603</v>
      </c>
      <c r="B129" s="228">
        <v>22684708.714051336</v>
      </c>
      <c r="C129" s="228">
        <v>13379686.190742709</v>
      </c>
      <c r="D129" s="228">
        <v>7478883.8662241418</v>
      </c>
      <c r="E129" s="228">
        <v>7148149.1247316077</v>
      </c>
    </row>
    <row r="130" spans="1:5" x14ac:dyDescent="0.25">
      <c r="A130" s="230" t="s">
        <v>604</v>
      </c>
      <c r="B130" s="228">
        <v>22838710.828177366</v>
      </c>
      <c r="C130" s="228">
        <v>13432771.509775188</v>
      </c>
      <c r="D130" s="228">
        <v>7534369.5666278116</v>
      </c>
      <c r="E130" s="228">
        <v>7235405.0305390116</v>
      </c>
    </row>
    <row r="131" spans="1:5" x14ac:dyDescent="0.25">
      <c r="A131" s="230" t="s">
        <v>605</v>
      </c>
      <c r="B131" s="228">
        <v>22907039.828335743</v>
      </c>
      <c r="C131" s="228">
        <v>13420917.645273631</v>
      </c>
      <c r="D131" s="228">
        <v>7564538.8144861665</v>
      </c>
      <c r="E131" s="228">
        <v>7286512.3733402435</v>
      </c>
    </row>
    <row r="132" spans="1:5" x14ac:dyDescent="0.25">
      <c r="A132" s="230" t="s">
        <v>606</v>
      </c>
      <c r="B132" s="228">
        <v>23067765.572419517</v>
      </c>
      <c r="C132" s="228">
        <v>13508671.80453616</v>
      </c>
      <c r="D132" s="228">
        <v>7653519.1425991999</v>
      </c>
      <c r="E132" s="228">
        <v>7392855.8299092585</v>
      </c>
    </row>
    <row r="133" spans="1:5" x14ac:dyDescent="0.25">
      <c r="A133" s="230" t="s">
        <v>607</v>
      </c>
      <c r="B133" s="228">
        <v>23140037.881999999</v>
      </c>
      <c r="C133" s="228">
        <v>13498986.732000001</v>
      </c>
      <c r="D133" s="228">
        <v>7649953.2910000002</v>
      </c>
      <c r="E133" s="228">
        <v>7421805.8689999999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A8527-C835-4E16-9043-DB37FE34F7D7}">
  <sheetPr>
    <tabColor theme="9"/>
  </sheetPr>
  <dimension ref="B2:P70"/>
  <sheetViews>
    <sheetView showGridLines="0" workbookViewId="0">
      <selection activeCell="I35" sqref="I35"/>
    </sheetView>
  </sheetViews>
  <sheetFormatPr baseColWidth="10" defaultRowHeight="15" x14ac:dyDescent="0.25"/>
  <cols>
    <col min="2" max="2" width="17.140625" customWidth="1"/>
    <col min="3" max="3" width="13.85546875" customWidth="1"/>
    <col min="4" max="4" width="14.28515625" customWidth="1"/>
    <col min="5" max="5" width="13.7109375" customWidth="1"/>
    <col min="6" max="6" width="17.28515625" customWidth="1"/>
    <col min="7" max="7" width="14.85546875" customWidth="1"/>
    <col min="8" max="8" width="15.7109375" customWidth="1"/>
    <col min="9" max="9" width="14.7109375" customWidth="1"/>
    <col min="10" max="10" width="15.42578125" customWidth="1"/>
    <col min="11" max="11" width="14.5703125" customWidth="1"/>
    <col min="12" max="12" width="15.7109375" bestFit="1" customWidth="1"/>
    <col min="13" max="13" width="20.140625" bestFit="1" customWidth="1"/>
    <col min="14" max="14" width="15.7109375" customWidth="1"/>
    <col min="18" max="18" width="13.5703125" bestFit="1" customWidth="1"/>
    <col min="22" max="23" width="12" bestFit="1" customWidth="1"/>
  </cols>
  <sheetData>
    <row r="2" spans="2:12" ht="23.25" x14ac:dyDescent="0.25">
      <c r="B2" s="1" t="s">
        <v>837</v>
      </c>
      <c r="C2" s="5"/>
      <c r="D2" s="5"/>
      <c r="E2" s="5"/>
    </row>
    <row r="3" spans="2:12" x14ac:dyDescent="0.25">
      <c r="B3" s="5"/>
      <c r="C3" s="5"/>
      <c r="D3" s="5"/>
      <c r="E3" s="5"/>
    </row>
    <row r="4" spans="2:12" ht="15.75" x14ac:dyDescent="0.25">
      <c r="B4" s="297"/>
      <c r="C4" s="297"/>
      <c r="D4" s="297"/>
      <c r="E4" s="297"/>
      <c r="F4" s="297"/>
      <c r="G4" s="297"/>
      <c r="H4" s="297"/>
      <c r="I4" s="297"/>
      <c r="J4" s="297"/>
      <c r="K4" s="297"/>
      <c r="L4" s="297"/>
    </row>
    <row r="5" spans="2:12" ht="18.75" x14ac:dyDescent="0.3">
      <c r="B5" s="2" t="s">
        <v>895</v>
      </c>
      <c r="C5" s="2"/>
      <c r="D5" s="2"/>
      <c r="E5" s="2"/>
      <c r="F5" s="2"/>
      <c r="G5" s="2"/>
      <c r="J5" s="5"/>
      <c r="K5" s="5"/>
    </row>
    <row r="6" spans="2:12" x14ac:dyDescent="0.25">
      <c r="B6" s="3" t="s">
        <v>520</v>
      </c>
      <c r="J6" s="5"/>
      <c r="K6" s="5"/>
    </row>
    <row r="7" spans="2:12" x14ac:dyDescent="0.25">
      <c r="J7" s="5"/>
      <c r="K7" s="5"/>
    </row>
    <row r="8" spans="2:12" x14ac:dyDescent="0.25">
      <c r="D8" s="464" t="s">
        <v>714</v>
      </c>
      <c r="E8" s="464"/>
      <c r="F8" s="464"/>
      <c r="G8" s="464" t="s">
        <v>501</v>
      </c>
      <c r="H8" s="464"/>
      <c r="I8" s="464"/>
      <c r="J8" s="470" t="s">
        <v>715</v>
      </c>
      <c r="K8" s="470"/>
      <c r="L8" s="470"/>
    </row>
    <row r="9" spans="2:12" ht="30" x14ac:dyDescent="0.25">
      <c r="B9" s="154" t="s">
        <v>487</v>
      </c>
      <c r="C9" s="179" t="s">
        <v>610</v>
      </c>
      <c r="D9" s="154" t="s">
        <v>2</v>
      </c>
      <c r="E9" s="179" t="s">
        <v>611</v>
      </c>
      <c r="F9" s="179" t="s">
        <v>612</v>
      </c>
      <c r="G9" s="154" t="s">
        <v>2</v>
      </c>
      <c r="H9" s="179" t="s">
        <v>611</v>
      </c>
      <c r="I9" s="179" t="s">
        <v>612</v>
      </c>
      <c r="J9" s="279" t="s">
        <v>2</v>
      </c>
      <c r="K9" s="281" t="s">
        <v>611</v>
      </c>
      <c r="L9" s="281" t="s">
        <v>612</v>
      </c>
    </row>
    <row r="10" spans="2:12" x14ac:dyDescent="0.25">
      <c r="B10" s="468" t="s">
        <v>971</v>
      </c>
      <c r="C10" s="305" t="s">
        <v>87</v>
      </c>
      <c r="D10" s="315">
        <f>+[1]PGU_desagr!$C$18</f>
        <v>322141</v>
      </c>
      <c r="E10" s="315">
        <f>+[1]PGU_desagr!$O$18/1000</f>
        <v>62098939.511</v>
      </c>
      <c r="F10" s="315">
        <f>+[1]PGU_desagr!$AB$18</f>
        <v>62882408.158995435</v>
      </c>
      <c r="G10" s="315">
        <f>+[1]PGU_desagr!$F$18</f>
        <v>686334</v>
      </c>
      <c r="H10" s="315">
        <f>+[1]PGU_desagr!$R$18/1000</f>
        <v>131986560.543</v>
      </c>
      <c r="I10" s="315">
        <f>+[1]PGU_desagr!$AE$18</f>
        <v>133651763.41049623</v>
      </c>
      <c r="J10" s="334">
        <f>+[1]PGU_desagr!$I$18</f>
        <v>1008475</v>
      </c>
      <c r="K10" s="334">
        <f>+[1]PGU_desagr!$U$18/1000</f>
        <v>194085500.05399999</v>
      </c>
      <c r="L10" s="334">
        <f>+[1]PGU_desagr!$AH$18</f>
        <v>196534171.56949165</v>
      </c>
    </row>
    <row r="11" spans="2:12" x14ac:dyDescent="0.25">
      <c r="B11" s="469"/>
      <c r="C11" s="305" t="s">
        <v>88</v>
      </c>
      <c r="D11" s="315">
        <f>+[1]PGU_desagr!$D$18</f>
        <v>109963</v>
      </c>
      <c r="E11" s="315">
        <f>+[1]PGU_desagr!$P$18/1000</f>
        <v>21312758.105999999</v>
      </c>
      <c r="F11" s="315">
        <f>+[1]PGU_desagr!$AC$18</f>
        <v>21581649.618638534</v>
      </c>
      <c r="G11" s="315">
        <f>+[1]PGU_desagr!$G$18</f>
        <v>563950</v>
      </c>
      <c r="H11" s="315">
        <f>+[1]PGU_desagr!$S$18/1000</f>
        <v>108014882.678</v>
      </c>
      <c r="I11" s="315">
        <f>+[1]PGU_desagr!$AF$18</f>
        <v>109377647.88400048</v>
      </c>
      <c r="J11" s="334">
        <f>+[1]PGU_desagr!$J$18</f>
        <v>673913</v>
      </c>
      <c r="K11" s="334">
        <f>+[1]PGU_desagr!$V$18/1000</f>
        <v>129327640.78399999</v>
      </c>
      <c r="L11" s="334">
        <f>+[1]PGU_desagr!$AI$18</f>
        <v>130959297.502639</v>
      </c>
    </row>
    <row r="12" spans="2:12" x14ac:dyDescent="0.25">
      <c r="B12" s="469"/>
      <c r="C12" s="305" t="s">
        <v>609</v>
      </c>
      <c r="D12" s="315">
        <f>+[1]PGU_desagr!$E$18</f>
        <v>432104</v>
      </c>
      <c r="E12" s="315">
        <f>+[1]PGU_desagr!$Q$18/1000</f>
        <v>83411697.616999999</v>
      </c>
      <c r="F12" s="315">
        <f>+[1]PGU_desagr!$AD$18</f>
        <v>84464057.777633965</v>
      </c>
      <c r="G12" s="315">
        <f>+[1]PGU_desagr!$H$18</f>
        <v>1250284</v>
      </c>
      <c r="H12" s="315">
        <f>+[1]PGU_desagr!$T$18/1000</f>
        <v>240001443.22099999</v>
      </c>
      <c r="I12" s="315">
        <f>+[1]PGU_desagr!$AG$18</f>
        <v>243029411.29449672</v>
      </c>
      <c r="J12" s="334">
        <f>+[1]PGU_desagr!$K$18</f>
        <v>1682388</v>
      </c>
      <c r="K12" s="334">
        <f>+[1]PGU_desagr!$W$18/1000</f>
        <v>323413140.838</v>
      </c>
      <c r="L12" s="334">
        <f>+[1]PGU_desagr!$AJ$18</f>
        <v>327493469.07213068</v>
      </c>
    </row>
    <row r="13" spans="2:12" x14ac:dyDescent="0.25">
      <c r="B13" s="468" t="s">
        <v>972</v>
      </c>
      <c r="C13" s="305" t="s">
        <v>87</v>
      </c>
      <c r="D13" s="315">
        <f>+[1]PGU_desagr!$C$19</f>
        <v>327443</v>
      </c>
      <c r="E13" s="315">
        <f>+[1]PGU_desagr!$O$19/1000</f>
        <v>63080932.634000003</v>
      </c>
      <c r="F13" s="315">
        <f>+[1]PGU_desagr!$AB$19</f>
        <v>63259851.976667479</v>
      </c>
      <c r="G13" s="315">
        <f>+[1]PGU_desagr!$F$19</f>
        <v>704099</v>
      </c>
      <c r="H13" s="315">
        <f>+[1]PGU_desagr!$R$19/1000</f>
        <v>135236238.01499999</v>
      </c>
      <c r="I13" s="315">
        <f>+[1]PGU_desagr!$AE$19</f>
        <v>135619814.75998658</v>
      </c>
      <c r="J13" s="334">
        <f>+[1]PGU_desagr!$I$19</f>
        <v>1031542</v>
      </c>
      <c r="K13" s="334">
        <f>+[1]PGU_desagr!$U$19/1000</f>
        <v>198317170.64899999</v>
      </c>
      <c r="L13" s="334">
        <f>+[1]PGU_desagr!$AH$19</f>
        <v>198879666.73665404</v>
      </c>
    </row>
    <row r="14" spans="2:12" x14ac:dyDescent="0.25">
      <c r="B14" s="469"/>
      <c r="C14" s="305" t="s">
        <v>88</v>
      </c>
      <c r="D14" s="315">
        <f>+[1]PGU_desagr!$D$19</f>
        <v>121585</v>
      </c>
      <c r="E14" s="315">
        <f>+[1]PGU_desagr!$P$19/1000</f>
        <v>23564397.059999999</v>
      </c>
      <c r="F14" s="315">
        <f>+[1]PGU_desagr!$AC$19</f>
        <v>23631233.840248529</v>
      </c>
      <c r="G14" s="315">
        <f>+[1]PGU_desagr!$G$19</f>
        <v>584193</v>
      </c>
      <c r="H14" s="315">
        <f>+[1]PGU_desagr!$S$19/1000</f>
        <v>111537201.04000001</v>
      </c>
      <c r="I14" s="315">
        <f>+[1]PGU_desagr!$AF$19</f>
        <v>111853559.11937138</v>
      </c>
      <c r="J14" s="334">
        <f>+[1]PGU_desagr!$J$19</f>
        <v>705778</v>
      </c>
      <c r="K14" s="334">
        <f>+[1]PGU_desagr!$V$19/1000</f>
        <v>135101598.09999999</v>
      </c>
      <c r="L14" s="334">
        <f>+[1]PGU_desagr!$AI$19</f>
        <v>135484792.95961991</v>
      </c>
    </row>
    <row r="15" spans="2:12" x14ac:dyDescent="0.25">
      <c r="B15" s="469"/>
      <c r="C15" s="305" t="s">
        <v>609</v>
      </c>
      <c r="D15" s="315">
        <f>+[1]PGU_desagr!$E$19</f>
        <v>449028</v>
      </c>
      <c r="E15" s="315">
        <f>+[1]PGU_desagr!$Q$19/1000</f>
        <v>86645329.694000006</v>
      </c>
      <c r="F15" s="315">
        <f>+[1]PGU_desagr!$AD$19</f>
        <v>86891085.816916019</v>
      </c>
      <c r="G15" s="315">
        <f>+[1]PGU_desagr!$H$19</f>
        <v>1288292</v>
      </c>
      <c r="H15" s="315">
        <f>+[1]PGU_desagr!$T$19/1000</f>
        <v>246773439.05500001</v>
      </c>
      <c r="I15" s="315">
        <f>+[1]PGU_desagr!$AG$19</f>
        <v>247473373.87935796</v>
      </c>
      <c r="J15" s="334">
        <f>+[1]PGU_desagr!$K$19</f>
        <v>1737320</v>
      </c>
      <c r="K15" s="334">
        <f>+[1]PGU_desagr!$W$19/1000</f>
        <v>333418768.74900001</v>
      </c>
      <c r="L15" s="334">
        <f>+[1]PGU_desagr!$AJ$19</f>
        <v>334364459.69627398</v>
      </c>
    </row>
    <row r="16" spans="2:12" x14ac:dyDescent="0.25">
      <c r="B16" s="462" t="s">
        <v>973</v>
      </c>
      <c r="C16" s="306" t="s">
        <v>87</v>
      </c>
      <c r="D16" s="315">
        <f>+[1]PGU_desagr!$C$20</f>
        <v>329180</v>
      </c>
      <c r="E16" s="315">
        <f>+[1]PGU_desagr!$O$20/1000</f>
        <v>63417031.792999998</v>
      </c>
      <c r="F16" s="315">
        <f>+[1]PGU_desagr!$AB$20</f>
        <v>63417031.792999998</v>
      </c>
      <c r="G16" s="315">
        <f>+[1]PGU_desagr!$F$20</f>
        <v>717919</v>
      </c>
      <c r="H16" s="315">
        <f>+[1]PGU_desagr!$R$20/1000</f>
        <v>137636217.15900001</v>
      </c>
      <c r="I16" s="315">
        <f>+[1]PGU_desagr!$AE$20</f>
        <v>137636217.15900001</v>
      </c>
      <c r="J16" s="334">
        <f>+[1]PGU_desagr!$I$20</f>
        <v>1047099</v>
      </c>
      <c r="K16" s="334">
        <f>+[1]PGU_desagr!$U$20/1000</f>
        <v>201053248.95199999</v>
      </c>
      <c r="L16" s="334">
        <f>+[1]PGU_desagr!$AH$20</f>
        <v>201053248.95199999</v>
      </c>
    </row>
    <row r="17" spans="2:13" x14ac:dyDescent="0.25">
      <c r="B17" s="463"/>
      <c r="C17" s="306" t="s">
        <v>88</v>
      </c>
      <c r="D17" s="315">
        <f>+[1]PGU_desagr!$D$20</f>
        <v>125728</v>
      </c>
      <c r="E17" s="315">
        <f>+[1]PGU_desagr!$P$20/1000</f>
        <v>24368202.673</v>
      </c>
      <c r="F17" s="315">
        <f>+[1]PGU_desagr!$AC$20</f>
        <v>24368202.673</v>
      </c>
      <c r="G17" s="315">
        <f>+[1]PGU_desagr!$G$20</f>
        <v>594890</v>
      </c>
      <c r="H17" s="315">
        <f>+[1]PGU_desagr!$S$20/1000</f>
        <v>113286938.10600001</v>
      </c>
      <c r="I17" s="315">
        <f>+[1]PGU_desagr!$AF$20</f>
        <v>113286938.10600001</v>
      </c>
      <c r="J17" s="334">
        <f>+[1]PGU_desagr!$J$20</f>
        <v>720618</v>
      </c>
      <c r="K17" s="334">
        <f>+[1]PGU_desagr!$V$20/1000</f>
        <v>137655140.77900001</v>
      </c>
      <c r="L17" s="334">
        <f>+[1]PGU_desagr!$AI$20</f>
        <v>137655140.77900001</v>
      </c>
    </row>
    <row r="18" spans="2:13" x14ac:dyDescent="0.25">
      <c r="B18" s="463"/>
      <c r="C18" s="306" t="s">
        <v>609</v>
      </c>
      <c r="D18" s="315">
        <f>+[1]PGU_desagr!$E$20</f>
        <v>454908</v>
      </c>
      <c r="E18" s="315">
        <f>+[1]PGU_desagr!$Q$20/1000</f>
        <v>87785234.466000006</v>
      </c>
      <c r="F18" s="315">
        <f>+[1]PGU_desagr!$AD$20</f>
        <v>87785234.466000006</v>
      </c>
      <c r="G18" s="315">
        <f>+[1]PGU_desagr!$H$20</f>
        <v>1312809</v>
      </c>
      <c r="H18" s="315">
        <f>+[1]PGU_desagr!$T$20/1000</f>
        <v>250923155.26499999</v>
      </c>
      <c r="I18" s="315">
        <f>+[1]PGU_desagr!$AG$20</f>
        <v>250923155.26499999</v>
      </c>
      <c r="J18" s="334">
        <f>+[1]PGU_desagr!$K$20</f>
        <v>1767717</v>
      </c>
      <c r="K18" s="334">
        <f>+[1]PGU_desagr!$W$20/1000</f>
        <v>338708389.73100001</v>
      </c>
      <c r="L18" s="334">
        <f>+[1]PGU_desagr!$AJ$20</f>
        <v>338708389.73100001</v>
      </c>
    </row>
    <row r="19" spans="2:13" x14ac:dyDescent="0.25">
      <c r="B19" s="328" t="s">
        <v>887</v>
      </c>
      <c r="C19" s="325"/>
      <c r="D19" s="329"/>
      <c r="E19" s="329"/>
      <c r="F19" s="329"/>
      <c r="G19" s="329"/>
      <c r="H19" s="329"/>
      <c r="I19" s="329"/>
      <c r="J19" s="329"/>
      <c r="K19" s="329"/>
      <c r="L19" s="329"/>
    </row>
    <row r="20" spans="2:13" ht="69" customHeight="1" x14ac:dyDescent="0.25">
      <c r="B20" s="472" t="s">
        <v>968</v>
      </c>
      <c r="C20" s="472"/>
      <c r="D20" s="472"/>
      <c r="E20" s="472"/>
      <c r="F20" s="472"/>
      <c r="G20" s="472"/>
      <c r="H20" s="472"/>
      <c r="I20" s="472"/>
      <c r="J20" s="472"/>
      <c r="K20" s="472"/>
      <c r="L20" s="472"/>
    </row>
    <row r="21" spans="2:13" x14ac:dyDescent="0.25">
      <c r="B21" s="330" t="s">
        <v>969</v>
      </c>
      <c r="C21" s="331"/>
      <c r="D21" s="331"/>
      <c r="E21" s="331"/>
      <c r="F21" s="325"/>
      <c r="G21" s="325"/>
      <c r="H21" s="325"/>
      <c r="I21" s="325"/>
      <c r="J21" s="325"/>
      <c r="K21" s="325"/>
      <c r="L21" s="325"/>
    </row>
    <row r="22" spans="2:13" ht="15" customHeight="1" x14ac:dyDescent="0.25">
      <c r="B22" s="327" t="s">
        <v>888</v>
      </c>
      <c r="C22" s="440"/>
      <c r="D22" s="440"/>
      <c r="E22" s="440"/>
      <c r="F22" s="440"/>
      <c r="G22" s="440"/>
      <c r="H22" s="440"/>
      <c r="I22" s="440"/>
      <c r="J22" s="440"/>
      <c r="K22" s="440"/>
      <c r="L22" s="440"/>
    </row>
    <row r="23" spans="2:13" x14ac:dyDescent="0.25">
      <c r="B23" s="322"/>
      <c r="C23" s="5"/>
      <c r="D23" s="5"/>
      <c r="E23" s="5"/>
      <c r="F23" s="323"/>
      <c r="G23" s="323"/>
      <c r="H23" s="323"/>
      <c r="I23" s="323"/>
      <c r="J23" s="323"/>
      <c r="K23" s="323"/>
      <c r="L23" s="323"/>
    </row>
    <row r="24" spans="2:13" ht="18.75" x14ac:dyDescent="0.3">
      <c r="B24" s="2" t="s">
        <v>896</v>
      </c>
      <c r="C24" s="2"/>
      <c r="D24" s="2"/>
      <c r="E24" s="2"/>
      <c r="F24" s="2"/>
      <c r="G24" s="5"/>
      <c r="H24" s="5"/>
      <c r="I24" s="5"/>
      <c r="J24" s="5"/>
      <c r="K24" s="5"/>
    </row>
    <row r="25" spans="2:13" x14ac:dyDescent="0.25">
      <c r="B25" s="3" t="s">
        <v>10</v>
      </c>
      <c r="C25" s="5"/>
      <c r="D25" s="5"/>
      <c r="E25" s="5"/>
      <c r="F25" s="5"/>
      <c r="G25" s="5"/>
      <c r="H25" s="5"/>
      <c r="I25" s="5"/>
      <c r="J25" s="5"/>
      <c r="K25" s="5"/>
    </row>
    <row r="26" spans="2:13" x14ac:dyDescent="0.25">
      <c r="B26" s="5"/>
      <c r="C26" s="5"/>
      <c r="D26" s="5"/>
      <c r="E26" s="5"/>
      <c r="F26" s="5"/>
      <c r="G26" s="5"/>
      <c r="H26" s="5"/>
      <c r="I26" s="5"/>
      <c r="J26" s="5"/>
      <c r="K26" s="5"/>
    </row>
    <row r="27" spans="2:13" x14ac:dyDescent="0.25">
      <c r="D27" s="464" t="s">
        <v>714</v>
      </c>
      <c r="E27" s="464"/>
      <c r="F27" s="464"/>
      <c r="G27" s="464" t="s">
        <v>501</v>
      </c>
      <c r="H27" s="464"/>
      <c r="I27" s="464"/>
      <c r="J27" s="470" t="s">
        <v>715</v>
      </c>
      <c r="K27" s="470"/>
      <c r="L27" s="470"/>
    </row>
    <row r="28" spans="2:13" ht="30" x14ac:dyDescent="0.25">
      <c r="B28" s="154" t="s">
        <v>487</v>
      </c>
      <c r="C28" s="179" t="s">
        <v>610</v>
      </c>
      <c r="D28" s="179" t="s">
        <v>996</v>
      </c>
      <c r="E28" s="179" t="s">
        <v>611</v>
      </c>
      <c r="F28" s="179" t="s">
        <v>612</v>
      </c>
      <c r="G28" s="179" t="s">
        <v>996</v>
      </c>
      <c r="H28" s="179" t="s">
        <v>611</v>
      </c>
      <c r="I28" s="179" t="s">
        <v>612</v>
      </c>
      <c r="J28" s="281" t="s">
        <v>996</v>
      </c>
      <c r="K28" s="281" t="s">
        <v>611</v>
      </c>
      <c r="L28" s="281" t="s">
        <v>612</v>
      </c>
    </row>
    <row r="29" spans="2:13" x14ac:dyDescent="0.25">
      <c r="B29" s="469" t="s">
        <v>559</v>
      </c>
      <c r="C29" s="446" t="s">
        <v>87</v>
      </c>
      <c r="D29" s="315">
        <v>319227.81818181818</v>
      </c>
      <c r="E29" s="315">
        <v>663560170.22000003</v>
      </c>
      <c r="F29" s="315">
        <v>692494779.24141347</v>
      </c>
      <c r="G29" s="315">
        <v>626988.27272727271</v>
      </c>
      <c r="H29" s="315">
        <v>1294043351.842</v>
      </c>
      <c r="I29" s="315">
        <v>1345837532.0443234</v>
      </c>
      <c r="J29" s="334">
        <v>946216.09090909094</v>
      </c>
      <c r="K29" s="334">
        <v>1957603522.062</v>
      </c>
      <c r="L29" s="334">
        <v>2038332311.285737</v>
      </c>
    </row>
    <row r="30" spans="2:13" x14ac:dyDescent="0.25">
      <c r="B30" s="469"/>
      <c r="C30" s="446" t="s">
        <v>88</v>
      </c>
      <c r="D30" s="315">
        <v>111460.54545454546</v>
      </c>
      <c r="E30" s="315">
        <v>232845777.42300001</v>
      </c>
      <c r="F30" s="315">
        <v>242811824.55876711</v>
      </c>
      <c r="G30" s="315">
        <v>488475.90909090912</v>
      </c>
      <c r="H30" s="315">
        <v>1011775079.973</v>
      </c>
      <c r="I30" s="315">
        <v>1050086524.594137</v>
      </c>
      <c r="J30" s="334">
        <v>599936.45454545459</v>
      </c>
      <c r="K30" s="334">
        <v>1244620857.3959999</v>
      </c>
      <c r="L30" s="334">
        <v>1292898349.152904</v>
      </c>
    </row>
    <row r="31" spans="2:13" x14ac:dyDescent="0.25">
      <c r="B31" s="474"/>
      <c r="C31" s="447" t="s">
        <v>609</v>
      </c>
      <c r="D31" s="315">
        <v>430688.36363636365</v>
      </c>
      <c r="E31" s="315">
        <v>896405947.64300001</v>
      </c>
      <c r="F31" s="315">
        <v>935306603.80018055</v>
      </c>
      <c r="G31" s="315">
        <v>1115464.1818181819</v>
      </c>
      <c r="H31" s="315">
        <v>2305818431.8150001</v>
      </c>
      <c r="I31" s="315">
        <v>2395924056.6384602</v>
      </c>
      <c r="J31" s="334">
        <v>1546152.5454545454</v>
      </c>
      <c r="K31" s="334">
        <v>3202224379.4580002</v>
      </c>
      <c r="L31" s="334">
        <v>3331230660.4386411</v>
      </c>
    </row>
    <row r="32" spans="2:13" x14ac:dyDescent="0.25">
      <c r="B32" s="324" t="s">
        <v>887</v>
      </c>
      <c r="C32" s="324"/>
      <c r="D32" s="324"/>
      <c r="E32" s="324"/>
      <c r="F32" s="324"/>
      <c r="G32" s="324"/>
      <c r="H32" s="324"/>
      <c r="I32" s="324"/>
      <c r="J32" s="324"/>
      <c r="K32" s="324"/>
      <c r="L32" s="324"/>
      <c r="M32" s="324"/>
    </row>
    <row r="33" spans="2:16" x14ac:dyDescent="0.25">
      <c r="B33" s="322" t="s">
        <v>967</v>
      </c>
      <c r="C33" s="324"/>
      <c r="D33" s="324"/>
      <c r="E33" s="324"/>
      <c r="F33" s="324"/>
      <c r="G33" s="324"/>
      <c r="H33" s="324"/>
      <c r="I33" s="324"/>
      <c r="J33" s="324"/>
      <c r="K33" s="324"/>
      <c r="L33" s="324"/>
      <c r="M33" s="324"/>
    </row>
    <row r="34" spans="2:16" x14ac:dyDescent="0.25">
      <c r="B34" s="476" t="s">
        <v>613</v>
      </c>
      <c r="C34" s="476"/>
      <c r="D34" s="476"/>
      <c r="E34" s="476"/>
      <c r="F34" s="476"/>
      <c r="G34" s="476"/>
      <c r="H34" s="476"/>
      <c r="I34" s="476"/>
      <c r="J34" s="476"/>
      <c r="K34" s="476"/>
      <c r="L34" s="476"/>
      <c r="M34" s="476"/>
    </row>
    <row r="35" spans="2:16" x14ac:dyDescent="0.25">
      <c r="B35" s="5"/>
      <c r="C35" s="5"/>
      <c r="D35" s="5"/>
      <c r="E35" s="5"/>
    </row>
    <row r="36" spans="2:16" ht="18.75" x14ac:dyDescent="0.3">
      <c r="B36" s="2" t="s">
        <v>772</v>
      </c>
      <c r="C36" s="2"/>
      <c r="D36" s="2"/>
      <c r="E36" s="2"/>
      <c r="F36" s="2"/>
    </row>
    <row r="37" spans="2:16" x14ac:dyDescent="0.25">
      <c r="B37" s="3" t="s">
        <v>10</v>
      </c>
    </row>
    <row r="39" spans="2:16" x14ac:dyDescent="0.25">
      <c r="C39" s="464" t="s">
        <v>714</v>
      </c>
      <c r="D39" s="464"/>
      <c r="E39" s="464"/>
      <c r="F39" s="464"/>
      <c r="G39" s="464" t="s">
        <v>501</v>
      </c>
      <c r="H39" s="464"/>
      <c r="I39" s="464"/>
      <c r="J39" s="464"/>
      <c r="K39" s="464" t="s">
        <v>715</v>
      </c>
      <c r="L39" s="464"/>
      <c r="M39" s="464"/>
      <c r="N39" s="464"/>
    </row>
    <row r="40" spans="2:16" x14ac:dyDescent="0.25">
      <c r="C40" s="464" t="s">
        <v>87</v>
      </c>
      <c r="D40" s="464"/>
      <c r="E40" s="464" t="s">
        <v>88</v>
      </c>
      <c r="F40" s="464"/>
      <c r="G40" s="464" t="s">
        <v>87</v>
      </c>
      <c r="H40" s="464"/>
      <c r="I40" s="464" t="s">
        <v>88</v>
      </c>
      <c r="J40" s="464"/>
      <c r="K40" s="464" t="s">
        <v>87</v>
      </c>
      <c r="L40" s="464"/>
      <c r="M40" s="464" t="s">
        <v>88</v>
      </c>
      <c r="N40" s="464"/>
    </row>
    <row r="41" spans="2:16" ht="45" x14ac:dyDescent="0.25">
      <c r="B41" s="154" t="s">
        <v>487</v>
      </c>
      <c r="C41" s="234" t="s">
        <v>614</v>
      </c>
      <c r="D41" s="179" t="s">
        <v>643</v>
      </c>
      <c r="E41" s="234" t="s">
        <v>614</v>
      </c>
      <c r="F41" s="179" t="s">
        <v>643</v>
      </c>
      <c r="G41" s="234" t="s">
        <v>614</v>
      </c>
      <c r="H41" s="179" t="s">
        <v>643</v>
      </c>
      <c r="I41" s="234" t="s">
        <v>614</v>
      </c>
      <c r="J41" s="179" t="s">
        <v>643</v>
      </c>
      <c r="K41" s="234" t="s">
        <v>614</v>
      </c>
      <c r="L41" s="179" t="s">
        <v>643</v>
      </c>
      <c r="M41" s="234" t="s">
        <v>614</v>
      </c>
      <c r="N41" s="179" t="s">
        <v>643</v>
      </c>
    </row>
    <row r="42" spans="2:16" x14ac:dyDescent="0.25">
      <c r="B42" s="249">
        <v>44593</v>
      </c>
      <c r="C42" s="338">
        <v>309683</v>
      </c>
      <c r="D42" s="338">
        <v>63567502.979001544</v>
      </c>
      <c r="E42" s="338">
        <v>106066</v>
      </c>
      <c r="F42" s="338">
        <v>21799084.171651684</v>
      </c>
      <c r="G42" s="338">
        <v>517361</v>
      </c>
      <c r="H42" s="338">
        <v>94540259.292897657</v>
      </c>
      <c r="I42" s="338">
        <v>340110</v>
      </c>
      <c r="J42" s="338">
        <v>64788470.491378151</v>
      </c>
      <c r="K42" s="349">
        <v>827044</v>
      </c>
      <c r="L42" s="349">
        <v>158107762.27189919</v>
      </c>
      <c r="M42" s="349">
        <v>446176</v>
      </c>
      <c r="N42" s="349">
        <v>86587554.663029835</v>
      </c>
      <c r="P42" s="163"/>
    </row>
    <row r="43" spans="2:16" x14ac:dyDescent="0.25">
      <c r="B43" s="249">
        <v>44621</v>
      </c>
      <c r="C43" s="338">
        <v>312946</v>
      </c>
      <c r="D43" s="338">
        <v>62964957.48071871</v>
      </c>
      <c r="E43" s="338">
        <v>107255</v>
      </c>
      <c r="F43" s="338">
        <v>21641655.179427341</v>
      </c>
      <c r="G43" s="338">
        <v>536699</v>
      </c>
      <c r="H43" s="338">
        <v>108091115.81637299</v>
      </c>
      <c r="I43" s="338">
        <v>361057</v>
      </c>
      <c r="J43" s="338">
        <v>72791330.693828031</v>
      </c>
      <c r="K43" s="349">
        <v>849645</v>
      </c>
      <c r="L43" s="349">
        <v>171056073.29709169</v>
      </c>
      <c r="M43" s="349">
        <v>468312</v>
      </c>
      <c r="N43" s="349">
        <v>94432985.873255387</v>
      </c>
      <c r="P43" s="163"/>
    </row>
    <row r="44" spans="2:16" x14ac:dyDescent="0.25">
      <c r="B44" s="249">
        <v>44652</v>
      </c>
      <c r="C44" s="338">
        <v>314601</v>
      </c>
      <c r="D44" s="338">
        <v>62358335.942094751</v>
      </c>
      <c r="E44" s="338">
        <v>107763</v>
      </c>
      <c r="F44" s="338">
        <v>21443356.009147152</v>
      </c>
      <c r="G44" s="338">
        <v>552501</v>
      </c>
      <c r="H44" s="338">
        <v>109665425.54372509</v>
      </c>
      <c r="I44" s="338">
        <v>374925</v>
      </c>
      <c r="J44" s="338">
        <v>74569057.505194038</v>
      </c>
      <c r="K44" s="349">
        <v>867102</v>
      </c>
      <c r="L44" s="349">
        <v>172023761.48581982</v>
      </c>
      <c r="M44" s="349">
        <v>482688</v>
      </c>
      <c r="N44" s="349">
        <v>96012413.514341176</v>
      </c>
      <c r="P44" s="163"/>
    </row>
    <row r="45" spans="2:16" x14ac:dyDescent="0.25">
      <c r="B45" s="249">
        <v>44682</v>
      </c>
      <c r="C45" s="338">
        <v>316872</v>
      </c>
      <c r="D45" s="338">
        <v>62011410.436865583</v>
      </c>
      <c r="E45" s="338">
        <v>108938</v>
      </c>
      <c r="F45" s="338">
        <v>21418403.130154539</v>
      </c>
      <c r="G45" s="338">
        <v>605836</v>
      </c>
      <c r="H45" s="338">
        <v>118778766.68952742</v>
      </c>
      <c r="I45" s="338">
        <v>477591</v>
      </c>
      <c r="J45" s="338">
        <v>93875674.675584644</v>
      </c>
      <c r="K45" s="349">
        <v>922708</v>
      </c>
      <c r="L45" s="349">
        <v>180790177.12639302</v>
      </c>
      <c r="M45" s="349">
        <v>586529</v>
      </c>
      <c r="N45" s="349">
        <v>115294077.80573918</v>
      </c>
      <c r="P45" s="163"/>
    </row>
    <row r="46" spans="2:16" x14ac:dyDescent="0.25">
      <c r="B46" s="249">
        <v>44713</v>
      </c>
      <c r="C46" s="338">
        <v>317138</v>
      </c>
      <c r="D46" s="338">
        <v>61468785.03050632</v>
      </c>
      <c r="E46" s="338">
        <v>109221</v>
      </c>
      <c r="F46" s="338">
        <v>21274909.49213938</v>
      </c>
      <c r="G46" s="338">
        <v>615086</v>
      </c>
      <c r="H46" s="338">
        <v>119428996.19496794</v>
      </c>
      <c r="I46" s="338">
        <v>487043</v>
      </c>
      <c r="J46" s="338">
        <v>94849048.613448858</v>
      </c>
      <c r="K46" s="349">
        <v>932224</v>
      </c>
      <c r="L46" s="349">
        <v>180897781.22547424</v>
      </c>
      <c r="M46" s="349">
        <v>596264</v>
      </c>
      <c r="N46" s="349">
        <v>116123958.10558823</v>
      </c>
      <c r="P46" s="163"/>
    </row>
    <row r="47" spans="2:16" x14ac:dyDescent="0.25">
      <c r="B47" s="249">
        <v>44743</v>
      </c>
      <c r="C47" s="338">
        <v>317824</v>
      </c>
      <c r="D47" s="338">
        <v>63694685.896699049</v>
      </c>
      <c r="E47" s="338">
        <v>109691</v>
      </c>
      <c r="F47" s="338">
        <v>22092523.118721429</v>
      </c>
      <c r="G47" s="338">
        <v>621791</v>
      </c>
      <c r="H47" s="338">
        <v>124846044.74487002</v>
      </c>
      <c r="I47" s="338">
        <v>498271</v>
      </c>
      <c r="J47" s="338">
        <v>100340301.3114422</v>
      </c>
      <c r="K47" s="349">
        <v>939615</v>
      </c>
      <c r="L47" s="349">
        <v>188540730.64156908</v>
      </c>
      <c r="M47" s="349">
        <v>607962</v>
      </c>
      <c r="N47" s="349">
        <v>122432824.43016364</v>
      </c>
      <c r="P47" s="163"/>
    </row>
    <row r="48" spans="2:16" x14ac:dyDescent="0.25">
      <c r="B48" s="249">
        <v>44774</v>
      </c>
      <c r="C48" s="338">
        <v>322017</v>
      </c>
      <c r="D48" s="338">
        <v>63749171.25515049</v>
      </c>
      <c r="E48" s="338">
        <v>110018</v>
      </c>
      <c r="F48" s="338">
        <v>21892426.648315407</v>
      </c>
      <c r="G48" s="338">
        <v>660104</v>
      </c>
      <c r="H48" s="338">
        <v>130552863.39097837</v>
      </c>
      <c r="I48" s="338">
        <v>538150</v>
      </c>
      <c r="J48" s="338">
        <v>106345989.25074311</v>
      </c>
      <c r="K48" s="349">
        <v>982121</v>
      </c>
      <c r="L48" s="349">
        <v>194302034.64612883</v>
      </c>
      <c r="M48" s="349">
        <v>648168</v>
      </c>
      <c r="N48" s="349">
        <v>128238415.89905852</v>
      </c>
      <c r="P48" s="163"/>
    </row>
    <row r="49" spans="2:16" x14ac:dyDescent="0.25">
      <c r="B49" s="249">
        <v>44805</v>
      </c>
      <c r="C49" s="338">
        <v>321661</v>
      </c>
      <c r="D49" s="338">
        <v>63120638.291714109</v>
      </c>
      <c r="E49" s="338">
        <v>109838</v>
      </c>
      <c r="F49" s="338">
        <v>21668380.67732311</v>
      </c>
      <c r="G49" s="338">
        <v>679141</v>
      </c>
      <c r="H49" s="338">
        <v>133026265.04150128</v>
      </c>
      <c r="I49" s="338">
        <v>553055</v>
      </c>
      <c r="J49" s="338">
        <v>108008506.94314609</v>
      </c>
      <c r="K49" s="349">
        <v>1000802</v>
      </c>
      <c r="L49" s="349">
        <v>196146903.33321539</v>
      </c>
      <c r="M49" s="349">
        <v>662893</v>
      </c>
      <c r="N49" s="349">
        <v>129676887.62046921</v>
      </c>
      <c r="P49" s="163"/>
    </row>
    <row r="50" spans="2:16" x14ac:dyDescent="0.25">
      <c r="B50" s="249">
        <v>44835</v>
      </c>
      <c r="C50" s="338">
        <v>322141</v>
      </c>
      <c r="D50" s="338">
        <v>62882408.158995435</v>
      </c>
      <c r="E50" s="338">
        <v>109963</v>
      </c>
      <c r="F50" s="338">
        <v>21581649.618638534</v>
      </c>
      <c r="G50" s="338">
        <v>686334</v>
      </c>
      <c r="H50" s="338">
        <v>133651763.41049623</v>
      </c>
      <c r="I50" s="338">
        <v>563950</v>
      </c>
      <c r="J50" s="338">
        <v>109377647.88400048</v>
      </c>
      <c r="K50" s="349">
        <v>1008475</v>
      </c>
      <c r="L50" s="349">
        <v>196534171.56949165</v>
      </c>
      <c r="M50" s="349">
        <v>673913</v>
      </c>
      <c r="N50" s="349">
        <v>130959297.502639</v>
      </c>
      <c r="P50" s="163"/>
    </row>
    <row r="51" spans="2:16" x14ac:dyDescent="0.25">
      <c r="B51" s="249">
        <v>44866</v>
      </c>
      <c r="C51" s="338">
        <v>327443</v>
      </c>
      <c r="D51" s="338">
        <v>63259851.976667479</v>
      </c>
      <c r="E51" s="338">
        <v>121585</v>
      </c>
      <c r="F51" s="338">
        <v>23631233.840248529</v>
      </c>
      <c r="G51" s="338">
        <v>704099</v>
      </c>
      <c r="H51" s="338">
        <v>135619814.75998658</v>
      </c>
      <c r="I51" s="338">
        <v>584193</v>
      </c>
      <c r="J51" s="338">
        <v>111853559.11937138</v>
      </c>
      <c r="K51" s="349">
        <v>1031542</v>
      </c>
      <c r="L51" s="349">
        <v>198879666.73665404</v>
      </c>
      <c r="M51" s="349">
        <v>705778</v>
      </c>
      <c r="N51" s="349">
        <v>135484792.95961991</v>
      </c>
      <c r="P51" s="163"/>
    </row>
    <row r="52" spans="2:16" x14ac:dyDescent="0.25">
      <c r="B52" s="249">
        <v>44896</v>
      </c>
      <c r="C52" s="338">
        <v>329180</v>
      </c>
      <c r="D52" s="338">
        <v>63417031.792999998</v>
      </c>
      <c r="E52" s="338">
        <v>125728</v>
      </c>
      <c r="F52" s="338">
        <v>24368202.673</v>
      </c>
      <c r="G52" s="338">
        <v>717919</v>
      </c>
      <c r="H52" s="338">
        <v>137636217.15900001</v>
      </c>
      <c r="I52" s="338">
        <v>594890</v>
      </c>
      <c r="J52" s="338">
        <v>113286938.10600001</v>
      </c>
      <c r="K52" s="349">
        <v>1047099</v>
      </c>
      <c r="L52" s="349">
        <v>201053248.95199999</v>
      </c>
      <c r="M52" s="349">
        <v>720618</v>
      </c>
      <c r="N52" s="349">
        <v>137655140.77900001</v>
      </c>
      <c r="P52" s="163"/>
    </row>
    <row r="53" spans="2:16" x14ac:dyDescent="0.25">
      <c r="B53" s="282" t="s">
        <v>771</v>
      </c>
      <c r="C53" s="346">
        <v>319227.81818181818</v>
      </c>
      <c r="D53" s="346">
        <v>62954070.840128496</v>
      </c>
      <c r="E53" s="346">
        <v>111460.54545454546</v>
      </c>
      <c r="F53" s="346">
        <v>22073802.232615191</v>
      </c>
      <c r="G53" s="346">
        <v>626988.27272727271</v>
      </c>
      <c r="H53" s="346">
        <v>122348866.54948395</v>
      </c>
      <c r="I53" s="346">
        <v>488475.90909090912</v>
      </c>
      <c r="J53" s="346">
        <v>95462411.326739728</v>
      </c>
      <c r="K53" s="346">
        <v>946216.09090909094</v>
      </c>
      <c r="L53" s="346">
        <v>185302937.38961247</v>
      </c>
      <c r="M53" s="346">
        <v>599936.45454545459</v>
      </c>
      <c r="N53" s="346">
        <v>117536213.55935492</v>
      </c>
      <c r="P53" s="163"/>
    </row>
    <row r="54" spans="2:16" x14ac:dyDescent="0.25">
      <c r="B54" s="328" t="s">
        <v>887</v>
      </c>
      <c r="C54" s="326"/>
      <c r="D54" s="326"/>
      <c r="E54" s="326"/>
      <c r="F54" s="326"/>
      <c r="G54" s="326"/>
      <c r="H54" s="326"/>
      <c r="I54" s="326"/>
      <c r="J54" s="326"/>
      <c r="K54" s="326"/>
      <c r="L54" s="326"/>
      <c r="M54" s="326"/>
      <c r="N54" s="248"/>
    </row>
    <row r="55" spans="2:16" x14ac:dyDescent="0.25">
      <c r="B55" s="330" t="s">
        <v>967</v>
      </c>
      <c r="C55" s="326"/>
      <c r="D55" s="326"/>
      <c r="E55" s="326"/>
      <c r="F55" s="326"/>
      <c r="G55" s="326"/>
      <c r="H55" s="326"/>
      <c r="I55" s="326"/>
      <c r="J55" s="326"/>
      <c r="K55" s="326"/>
      <c r="L55" s="326"/>
      <c r="M55" s="326"/>
      <c r="N55" s="248"/>
    </row>
    <row r="56" spans="2:16" x14ac:dyDescent="0.25">
      <c r="B56" s="473" t="s">
        <v>889</v>
      </c>
      <c r="C56" s="473"/>
      <c r="D56" s="473"/>
      <c r="E56" s="473"/>
      <c r="F56" s="473"/>
      <c r="G56" s="473"/>
      <c r="H56" s="473"/>
      <c r="I56" s="473"/>
      <c r="J56" s="473"/>
      <c r="K56" s="473"/>
      <c r="L56" s="473"/>
      <c r="M56" s="473"/>
      <c r="N56" s="248"/>
    </row>
    <row r="57" spans="2:16" x14ac:dyDescent="0.25">
      <c r="C57" s="326"/>
      <c r="D57" s="326"/>
      <c r="E57" s="326"/>
      <c r="F57" s="326"/>
      <c r="G57" s="326"/>
      <c r="H57" s="326"/>
      <c r="I57" s="326"/>
      <c r="J57" s="326"/>
      <c r="K57" s="326"/>
      <c r="L57" s="326"/>
      <c r="M57" s="326"/>
      <c r="N57" s="248"/>
    </row>
    <row r="58" spans="2:16" x14ac:dyDescent="0.25">
      <c r="B58" s="105"/>
      <c r="C58" s="248"/>
      <c r="D58" s="248"/>
      <c r="E58" s="248"/>
      <c r="F58" s="248"/>
      <c r="G58" s="248"/>
      <c r="H58" s="248"/>
      <c r="I58" s="248"/>
      <c r="J58" s="248"/>
      <c r="K58" s="248"/>
      <c r="L58" s="248"/>
      <c r="M58" s="248"/>
      <c r="N58" s="248"/>
    </row>
    <row r="59" spans="2:16" x14ac:dyDescent="0.25">
      <c r="B59" s="105"/>
      <c r="C59" s="248"/>
      <c r="D59" s="248"/>
      <c r="E59" s="248"/>
      <c r="F59" s="248"/>
      <c r="G59" s="248"/>
      <c r="H59" s="248"/>
      <c r="I59" s="248"/>
      <c r="J59" s="248"/>
      <c r="K59" s="248"/>
      <c r="L59" s="248"/>
      <c r="M59" s="248"/>
      <c r="N59" s="248"/>
    </row>
    <row r="60" spans="2:16" x14ac:dyDescent="0.25">
      <c r="B60" s="105"/>
      <c r="C60" s="248"/>
      <c r="D60" s="248"/>
      <c r="E60" s="248"/>
      <c r="F60" s="248"/>
      <c r="G60" s="248"/>
      <c r="H60" s="248"/>
      <c r="I60" s="248"/>
      <c r="J60" s="248"/>
      <c r="K60" s="248"/>
      <c r="L60" s="248"/>
      <c r="M60" s="248"/>
      <c r="N60" s="248"/>
    </row>
    <row r="61" spans="2:16" x14ac:dyDescent="0.25">
      <c r="B61" s="105"/>
      <c r="C61" s="248"/>
      <c r="D61" s="248"/>
      <c r="E61" s="248"/>
      <c r="F61" s="248"/>
      <c r="G61" s="248"/>
      <c r="H61" s="248"/>
      <c r="I61" s="248"/>
      <c r="J61" s="248"/>
      <c r="K61" s="248"/>
      <c r="L61" s="248"/>
      <c r="M61" s="248"/>
      <c r="N61" s="248"/>
    </row>
    <row r="62" spans="2:16" x14ac:dyDescent="0.25">
      <c r="B62" s="105"/>
      <c r="C62" s="248"/>
      <c r="D62" s="248"/>
      <c r="E62" s="248"/>
      <c r="F62" s="248"/>
      <c r="G62" s="248"/>
      <c r="H62" s="248"/>
      <c r="I62" s="248"/>
      <c r="J62" s="248"/>
      <c r="K62" s="248"/>
      <c r="L62" s="248"/>
      <c r="M62" s="248"/>
      <c r="N62" s="248"/>
    </row>
    <row r="63" spans="2:16" x14ac:dyDescent="0.25">
      <c r="B63" s="105"/>
      <c r="C63" s="248"/>
      <c r="D63" s="248"/>
      <c r="E63" s="248"/>
      <c r="F63" s="248"/>
      <c r="G63" s="248"/>
      <c r="H63" s="248"/>
      <c r="I63" s="248"/>
      <c r="J63" s="248"/>
      <c r="K63" s="248"/>
      <c r="L63" s="248"/>
      <c r="M63" s="248"/>
      <c r="N63" s="248"/>
    </row>
    <row r="64" spans="2:16" x14ac:dyDescent="0.25">
      <c r="B64" s="105"/>
      <c r="C64" s="248"/>
      <c r="D64" s="248"/>
      <c r="E64" s="248"/>
      <c r="F64" s="248"/>
      <c r="G64" s="248"/>
      <c r="H64" s="248"/>
      <c r="I64" s="248"/>
      <c r="J64" s="248"/>
      <c r="K64" s="248"/>
      <c r="L64" s="248"/>
      <c r="M64" s="248"/>
      <c r="N64" s="248"/>
    </row>
    <row r="65" spans="2:14" x14ac:dyDescent="0.25">
      <c r="B65" s="105"/>
      <c r="C65" s="248"/>
      <c r="D65" s="248"/>
      <c r="E65" s="248"/>
      <c r="F65" s="248"/>
      <c r="G65" s="248"/>
      <c r="H65" s="248"/>
      <c r="I65" s="248"/>
      <c r="J65" s="248"/>
      <c r="K65" s="248"/>
      <c r="L65" s="248"/>
      <c r="M65" s="248"/>
      <c r="N65" s="248"/>
    </row>
    <row r="66" spans="2:14" x14ac:dyDescent="0.25">
      <c r="B66" s="105"/>
      <c r="C66" s="248"/>
      <c r="D66" s="248"/>
      <c r="E66" s="248"/>
      <c r="F66" s="248"/>
      <c r="G66" s="248"/>
      <c r="H66" s="248"/>
      <c r="I66" s="248"/>
      <c r="J66" s="248"/>
      <c r="K66" s="248"/>
      <c r="L66" s="248"/>
      <c r="M66" s="248"/>
      <c r="N66" s="248"/>
    </row>
    <row r="67" spans="2:14" x14ac:dyDescent="0.25">
      <c r="B67" s="105"/>
      <c r="C67" s="248"/>
      <c r="D67" s="248"/>
      <c r="E67" s="248"/>
      <c r="F67" s="248"/>
      <c r="G67" s="248"/>
      <c r="H67" s="248"/>
      <c r="I67" s="248"/>
      <c r="J67" s="248"/>
      <c r="K67" s="248"/>
      <c r="L67" s="248"/>
      <c r="M67" s="248"/>
      <c r="N67" s="248"/>
    </row>
    <row r="68" spans="2:14" x14ac:dyDescent="0.25">
      <c r="B68" s="105"/>
      <c r="C68" s="248"/>
      <c r="D68" s="248"/>
      <c r="E68" s="248"/>
      <c r="F68" s="248"/>
      <c r="G68" s="248"/>
      <c r="H68" s="248"/>
      <c r="I68" s="248"/>
      <c r="J68" s="248"/>
      <c r="K68" s="248"/>
      <c r="L68" s="248"/>
      <c r="M68" s="248"/>
      <c r="N68" s="248"/>
    </row>
    <row r="69" spans="2:14" x14ac:dyDescent="0.25">
      <c r="B69" s="5"/>
      <c r="C69" s="5"/>
      <c r="D69" s="5"/>
      <c r="E69" s="5"/>
    </row>
    <row r="70" spans="2:14" x14ac:dyDescent="0.25">
      <c r="B70" s="5"/>
      <c r="C70" s="5"/>
      <c r="D70" s="5"/>
      <c r="E70" s="5"/>
    </row>
  </sheetData>
  <mergeCells count="22">
    <mergeCell ref="I40:J40"/>
    <mergeCell ref="K40:L40"/>
    <mergeCell ref="M40:N40"/>
    <mergeCell ref="B20:L20"/>
    <mergeCell ref="C40:D40"/>
    <mergeCell ref="E40:F40"/>
    <mergeCell ref="B56:M56"/>
    <mergeCell ref="D8:F8"/>
    <mergeCell ref="G8:I8"/>
    <mergeCell ref="J8:L8"/>
    <mergeCell ref="B10:B12"/>
    <mergeCell ref="B13:B15"/>
    <mergeCell ref="B16:B18"/>
    <mergeCell ref="D27:F27"/>
    <mergeCell ref="G27:I27"/>
    <mergeCell ref="B34:M34"/>
    <mergeCell ref="C39:F39"/>
    <mergeCell ref="G39:J39"/>
    <mergeCell ref="K39:N39"/>
    <mergeCell ref="J27:L27"/>
    <mergeCell ref="B29:B31"/>
    <mergeCell ref="G40:H4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319F6-925B-4008-8FC0-367BEBFFF7D7}">
  <sheetPr>
    <tabColor theme="9"/>
  </sheetPr>
  <dimension ref="A2:AR262"/>
  <sheetViews>
    <sheetView showGridLines="0" workbookViewId="0">
      <selection activeCell="I35" sqref="I35"/>
    </sheetView>
  </sheetViews>
  <sheetFormatPr baseColWidth="10" defaultRowHeight="15" x14ac:dyDescent="0.25"/>
  <cols>
    <col min="2" max="2" width="16.42578125" customWidth="1"/>
    <col min="3" max="3" width="13" customWidth="1"/>
    <col min="4" max="4" width="14.85546875" customWidth="1"/>
    <col min="5" max="5" width="15.140625" customWidth="1"/>
    <col min="6" max="6" width="14.85546875" customWidth="1"/>
    <col min="7" max="7" width="13.85546875" customWidth="1"/>
    <col min="8" max="8" width="14.7109375" customWidth="1"/>
    <col min="9" max="9" width="13.140625" customWidth="1"/>
    <col min="10" max="10" width="15.42578125" customWidth="1"/>
    <col min="11" max="11" width="13.28515625" customWidth="1"/>
    <col min="12" max="12" width="14.5703125" customWidth="1"/>
    <col min="13" max="13" width="13.5703125" customWidth="1"/>
    <col min="14" max="14" width="15.28515625" customWidth="1"/>
    <col min="15" max="16" width="12.85546875" bestFit="1" customWidth="1"/>
    <col min="17" max="17" width="13.7109375" bestFit="1" customWidth="1"/>
    <col min="18" max="19" width="12" bestFit="1" customWidth="1"/>
    <col min="20" max="21" width="12.85546875" bestFit="1" customWidth="1"/>
    <col min="22" max="23" width="13.7109375" bestFit="1" customWidth="1"/>
    <col min="27" max="27" width="17.42578125" bestFit="1" customWidth="1"/>
    <col min="28" max="28" width="13.7109375" customWidth="1"/>
    <col min="29" max="29" width="13.42578125" customWidth="1"/>
    <col min="33" max="33" width="13.140625" customWidth="1"/>
    <col min="34" max="34" width="12.85546875" customWidth="1"/>
    <col min="35" max="35" width="13.42578125" customWidth="1"/>
  </cols>
  <sheetData>
    <row r="2" spans="2:14" ht="23.25" x14ac:dyDescent="0.25">
      <c r="B2" s="1" t="s">
        <v>838</v>
      </c>
      <c r="C2" s="5"/>
      <c r="D2" s="5"/>
      <c r="E2" s="5"/>
      <c r="F2" s="5"/>
      <c r="G2" s="5"/>
      <c r="H2" s="5"/>
      <c r="I2" s="5"/>
      <c r="J2" s="5"/>
      <c r="K2" s="5"/>
    </row>
    <row r="3" spans="2:14" x14ac:dyDescent="0.25">
      <c r="B3" s="5"/>
      <c r="C3" s="5"/>
      <c r="D3" s="5"/>
      <c r="E3" s="5"/>
      <c r="F3" s="5"/>
      <c r="G3" s="5"/>
      <c r="H3" s="5"/>
      <c r="I3" s="5"/>
      <c r="J3" s="5"/>
      <c r="K3" s="5"/>
    </row>
    <row r="4" spans="2:14" ht="18.75" x14ac:dyDescent="0.3">
      <c r="B4" s="2" t="s">
        <v>895</v>
      </c>
      <c r="C4" s="2"/>
      <c r="D4" s="2"/>
      <c r="E4" s="2"/>
      <c r="F4" s="2"/>
      <c r="G4" s="2"/>
      <c r="J4" s="5"/>
      <c r="K4" s="5"/>
    </row>
    <row r="5" spans="2:14" x14ac:dyDescent="0.25">
      <c r="B5" s="3" t="s">
        <v>520</v>
      </c>
      <c r="J5" s="5"/>
      <c r="K5" s="5"/>
    </row>
    <row r="6" spans="2:14" x14ac:dyDescent="0.25">
      <c r="J6" s="5"/>
      <c r="K6" s="5"/>
    </row>
    <row r="7" spans="2:14" x14ac:dyDescent="0.25">
      <c r="D7" s="464" t="s">
        <v>5</v>
      </c>
      <c r="E7" s="464"/>
      <c r="F7" s="464"/>
      <c r="G7" s="464" t="s">
        <v>6</v>
      </c>
      <c r="H7" s="464"/>
      <c r="I7" s="464"/>
      <c r="J7" s="470" t="s">
        <v>645</v>
      </c>
      <c r="K7" s="470"/>
      <c r="L7" s="470"/>
      <c r="N7" s="5"/>
    </row>
    <row r="8" spans="2:14" ht="30" x14ac:dyDescent="0.25">
      <c r="B8" s="154" t="s">
        <v>487</v>
      </c>
      <c r="C8" s="179" t="s">
        <v>610</v>
      </c>
      <c r="D8" s="154" t="s">
        <v>2</v>
      </c>
      <c r="E8" s="265" t="s">
        <v>611</v>
      </c>
      <c r="F8" s="265" t="s">
        <v>612</v>
      </c>
      <c r="G8" s="154" t="s">
        <v>2</v>
      </c>
      <c r="H8" s="265" t="s">
        <v>611</v>
      </c>
      <c r="I8" s="265" t="s">
        <v>612</v>
      </c>
      <c r="J8" s="279" t="s">
        <v>2</v>
      </c>
      <c r="K8" s="283" t="s">
        <v>611</v>
      </c>
      <c r="L8" s="283" t="s">
        <v>612</v>
      </c>
      <c r="M8" s="5"/>
    </row>
    <row r="9" spans="2:14" x14ac:dyDescent="0.25">
      <c r="B9" s="468" t="s">
        <v>971</v>
      </c>
      <c r="C9" s="305" t="s">
        <v>87</v>
      </c>
      <c r="D9" s="315">
        <v>109393</v>
      </c>
      <c r="E9" s="315">
        <f>+[1]APS!$P$182/1000</f>
        <v>23196045.528999999</v>
      </c>
      <c r="F9" s="347">
        <f>+[1]APS!$AA$182</f>
        <v>23488697.457882408</v>
      </c>
      <c r="G9" s="315">
        <f>+[1]APS!$G$182</f>
        <v>45739</v>
      </c>
      <c r="H9" s="315">
        <f>+[1]APS!$S$182/1000</f>
        <v>7659976.4989999998</v>
      </c>
      <c r="I9" s="347">
        <f>+[1]APS!$AD$182</f>
        <v>7756618.2690303121</v>
      </c>
      <c r="J9" s="334">
        <f>+[1]APS!$J$182</f>
        <v>155132</v>
      </c>
      <c r="K9" s="334">
        <f>+[1]APS!$V$182/1000</f>
        <v>30856022.028000001</v>
      </c>
      <c r="L9" s="334">
        <f>+[1]APS!$AG$182</f>
        <v>31245315.726912722</v>
      </c>
    </row>
    <row r="10" spans="2:14" x14ac:dyDescent="0.25">
      <c r="B10" s="469"/>
      <c r="C10" s="305" t="s">
        <v>88</v>
      </c>
      <c r="D10" s="315">
        <v>63815</v>
      </c>
      <c r="E10" s="315">
        <f>+[1]APS!$O$182/1000</f>
        <v>13590242.085999999</v>
      </c>
      <c r="F10" s="347">
        <f>+[1]APS!$AB$182</f>
        <v>13761702.801382475</v>
      </c>
      <c r="G10" s="315">
        <f>+[1]APS!$F$182</f>
        <v>46381</v>
      </c>
      <c r="H10" s="315">
        <f>+[1]APS!$R$182/1000</f>
        <v>7378442.3490000004</v>
      </c>
      <c r="I10" s="347">
        <f>+[1]APS!$AE$182</f>
        <v>7471532.1553156022</v>
      </c>
      <c r="J10" s="334">
        <f>+[1]APS!$I$182</f>
        <v>110196</v>
      </c>
      <c r="K10" s="334">
        <f>+[1]APS!$U$182/1000</f>
        <v>20968684.434999999</v>
      </c>
      <c r="L10" s="334">
        <f>+[1]APS!$AH$182</f>
        <v>21233234.956698079</v>
      </c>
      <c r="M10" s="5"/>
    </row>
    <row r="11" spans="2:14" x14ac:dyDescent="0.25">
      <c r="B11" s="469"/>
      <c r="C11" s="305" t="s">
        <v>609</v>
      </c>
      <c r="D11" s="315">
        <v>173208</v>
      </c>
      <c r="E11" s="315">
        <f>+[1]APS!$Q$182/1000</f>
        <v>36786287.615000002</v>
      </c>
      <c r="F11" s="347">
        <f>+[1]APS!$AC$182</f>
        <v>37250400.259264886</v>
      </c>
      <c r="G11" s="315">
        <f>+[1]APS!$H$182</f>
        <v>92120</v>
      </c>
      <c r="H11" s="315">
        <f>+[1]APS!$T$182/1000</f>
        <v>15038418.847999999</v>
      </c>
      <c r="I11" s="347">
        <f>+[1]APS!$AF$182</f>
        <v>15228150.424345914</v>
      </c>
      <c r="J11" s="334">
        <f>+[1]APS!$K$182</f>
        <v>265328</v>
      </c>
      <c r="K11" s="334">
        <f>+[1]APS!$W$182/1000</f>
        <v>51824706.463</v>
      </c>
      <c r="L11" s="334">
        <f>+[1]APS!$AI$182</f>
        <v>52478550.683610804</v>
      </c>
      <c r="M11" s="5"/>
    </row>
    <row r="12" spans="2:14" x14ac:dyDescent="0.25">
      <c r="B12" s="468" t="s">
        <v>972</v>
      </c>
      <c r="C12" s="305" t="s">
        <v>87</v>
      </c>
      <c r="D12" s="315">
        <v>109031</v>
      </c>
      <c r="E12" s="315">
        <f>+[1]APS!$P$183/1000</f>
        <v>23133193.734000001</v>
      </c>
      <c r="F12" s="347">
        <f>+[1]APS!$AA$183</f>
        <v>23198807.472476278</v>
      </c>
      <c r="G12" s="315">
        <f>+[1]APS!$G$183</f>
        <v>45910</v>
      </c>
      <c r="H12" s="315">
        <f>+[1]APS!$S$183/1000</f>
        <v>7675227.1699999999</v>
      </c>
      <c r="I12" s="347">
        <f>+[1]APS!$AD$183</f>
        <v>7696996.768874635</v>
      </c>
      <c r="J12" s="334">
        <f>+[1]APS!$J$183</f>
        <v>154941</v>
      </c>
      <c r="K12" s="334">
        <f>+[1]APS!$V$183/1000</f>
        <v>30808420.903999999</v>
      </c>
      <c r="L12" s="334">
        <f>+[1]APS!$AG$183</f>
        <v>30895804.241350912</v>
      </c>
      <c r="M12" s="5"/>
    </row>
    <row r="13" spans="2:14" x14ac:dyDescent="0.25">
      <c r="B13" s="469"/>
      <c r="C13" s="305" t="s">
        <v>88</v>
      </c>
      <c r="D13" s="315">
        <v>63526</v>
      </c>
      <c r="E13" s="315">
        <f>+[1]APS!$O$183/1000</f>
        <v>13546987.07</v>
      </c>
      <c r="F13" s="347">
        <f>+[1]APS!$AB$183</f>
        <v>13585411.010808747</v>
      </c>
      <c r="G13" s="315">
        <f>+[1]APS!$F$183</f>
        <v>46666</v>
      </c>
      <c r="H13" s="315">
        <f>+[1]APS!$R$183/1000</f>
        <v>7413824.5259999996</v>
      </c>
      <c r="I13" s="347">
        <f>+[1]APS!$AE$183</f>
        <v>7434852.6965652686</v>
      </c>
      <c r="J13" s="334">
        <f>+[1]APS!$I$183</f>
        <v>110192</v>
      </c>
      <c r="K13" s="334">
        <f>+[1]APS!$U$183/1000</f>
        <v>20960811.596000001</v>
      </c>
      <c r="L13" s="334">
        <f>+[1]APS!$AH$183</f>
        <v>21020263.707374014</v>
      </c>
      <c r="M13" s="5"/>
    </row>
    <row r="14" spans="2:14" x14ac:dyDescent="0.25">
      <c r="B14" s="469"/>
      <c r="C14" s="305" t="s">
        <v>609</v>
      </c>
      <c r="D14" s="315">
        <v>172557</v>
      </c>
      <c r="E14" s="315">
        <f>+[1]APS!$Q$183/1000</f>
        <v>36680180.803999998</v>
      </c>
      <c r="F14" s="347">
        <f>+[1]APS!$AC$183</f>
        <v>36784218.483285017</v>
      </c>
      <c r="G14" s="315">
        <f>+[1]APS!$H$183</f>
        <v>92576</v>
      </c>
      <c r="H14" s="315">
        <f>+[1]APS!$T$183/1000</f>
        <v>15089051.696</v>
      </c>
      <c r="I14" s="347">
        <f>+[1]APS!$AF$183</f>
        <v>15131849.465439903</v>
      </c>
      <c r="J14" s="334">
        <f>+[1]APS!$K$183</f>
        <v>265133</v>
      </c>
      <c r="K14" s="334">
        <f>+[1]APS!$W$183/1000</f>
        <v>51769232.5</v>
      </c>
      <c r="L14" s="334">
        <f>+[1]APS!$AI$183</f>
        <v>51916067.948724926</v>
      </c>
      <c r="M14" s="5"/>
    </row>
    <row r="15" spans="2:14" x14ac:dyDescent="0.25">
      <c r="B15" s="462" t="s">
        <v>973</v>
      </c>
      <c r="C15" s="306" t="s">
        <v>87</v>
      </c>
      <c r="D15" s="315">
        <v>108989</v>
      </c>
      <c r="E15" s="315">
        <f>+[1]APS!$P$184/1000</f>
        <v>23140037.881999999</v>
      </c>
      <c r="F15" s="347">
        <f>+[1]APS!$AA$184</f>
        <v>23140037.881999999</v>
      </c>
      <c r="G15" s="315">
        <f>+[1]APS!$G$184</f>
        <v>45881</v>
      </c>
      <c r="H15" s="315">
        <f>+[1]APS!$S$184/1000</f>
        <v>7649953.2910000002</v>
      </c>
      <c r="I15" s="347">
        <f>+[1]APS!$AD$184</f>
        <v>7649953.2910000002</v>
      </c>
      <c r="J15" s="334">
        <f>+[1]APS!$J$184</f>
        <v>154870</v>
      </c>
      <c r="K15" s="334">
        <f>+[1]APS!$V$184/1000</f>
        <v>30789991.173</v>
      </c>
      <c r="L15" s="334">
        <f>+[1]APS!$AG$184</f>
        <v>30789991.173</v>
      </c>
      <c r="M15" s="5"/>
    </row>
    <row r="16" spans="2:14" x14ac:dyDescent="0.25">
      <c r="B16" s="463"/>
      <c r="C16" s="306" t="s">
        <v>88</v>
      </c>
      <c r="D16" s="315">
        <v>63190</v>
      </c>
      <c r="E16" s="315">
        <f>+[1]APS!$O$184/1000</f>
        <v>13498986.732000001</v>
      </c>
      <c r="F16" s="347">
        <f>+[1]APS!$AB$184</f>
        <v>13498986.732000001</v>
      </c>
      <c r="G16" s="315">
        <f>+[1]APS!$F$184</f>
        <v>46817</v>
      </c>
      <c r="H16" s="315">
        <f>+[1]APS!$R$184/1000</f>
        <v>7421805.8689999999</v>
      </c>
      <c r="I16" s="347">
        <f>+[1]APS!$AE$184</f>
        <v>7421805.8689999999</v>
      </c>
      <c r="J16" s="334">
        <f>+[1]APS!$I$184</f>
        <v>110007</v>
      </c>
      <c r="K16" s="334">
        <f>+[1]APS!$U$184/1000</f>
        <v>20920792.601</v>
      </c>
      <c r="L16" s="334">
        <f>+[1]APS!$AH$184</f>
        <v>20920792.601</v>
      </c>
      <c r="M16" s="5"/>
    </row>
    <row r="17" spans="2:13" x14ac:dyDescent="0.25">
      <c r="B17" s="463"/>
      <c r="C17" s="306" t="s">
        <v>609</v>
      </c>
      <c r="D17" s="315">
        <v>172179</v>
      </c>
      <c r="E17" s="315">
        <f>+[1]APS!$Q$184/1000</f>
        <v>36639024.614</v>
      </c>
      <c r="F17" s="347">
        <f>+[1]APS!$AC$184</f>
        <v>36639024.614</v>
      </c>
      <c r="G17" s="315">
        <f>+[1]APS!$H$184</f>
        <v>92698</v>
      </c>
      <c r="H17" s="315">
        <f>+[1]APS!$T$184/1000</f>
        <v>15071759.16</v>
      </c>
      <c r="I17" s="347">
        <f>+[1]APS!$AF$184</f>
        <v>15071759.16</v>
      </c>
      <c r="J17" s="334">
        <f>+[1]APS!$K$184</f>
        <v>264877</v>
      </c>
      <c r="K17" s="334">
        <f>+[1]APS!$W$184/1000</f>
        <v>51710783.773999996</v>
      </c>
      <c r="L17" s="334">
        <f>+[1]APS!$AI$184</f>
        <v>51710783.773999996</v>
      </c>
    </row>
    <row r="18" spans="2:13" x14ac:dyDescent="0.25">
      <c r="B18" s="328" t="s">
        <v>887</v>
      </c>
      <c r="C18" s="325"/>
      <c r="D18" s="329"/>
      <c r="E18" s="329"/>
      <c r="F18" s="329"/>
      <c r="G18" s="329"/>
      <c r="H18" s="329"/>
      <c r="I18" s="329"/>
      <c r="J18" s="329"/>
      <c r="K18" s="329"/>
      <c r="L18" s="329"/>
      <c r="M18" s="325"/>
    </row>
    <row r="19" spans="2:13" x14ac:dyDescent="0.25">
      <c r="B19" s="330" t="s">
        <v>967</v>
      </c>
      <c r="C19" s="325"/>
      <c r="D19" s="329"/>
      <c r="E19" s="329"/>
      <c r="F19" s="329"/>
      <c r="G19" s="329"/>
      <c r="H19" s="329"/>
      <c r="I19" s="329"/>
      <c r="J19" s="329"/>
      <c r="K19" s="329"/>
      <c r="L19" s="329"/>
      <c r="M19" s="325"/>
    </row>
    <row r="20" spans="2:13" x14ac:dyDescent="0.25">
      <c r="B20" s="473" t="s">
        <v>613</v>
      </c>
      <c r="C20" s="473"/>
      <c r="D20" s="473"/>
      <c r="E20" s="473"/>
      <c r="F20" s="473"/>
      <c r="G20" s="473"/>
      <c r="H20" s="473"/>
      <c r="I20" s="473"/>
      <c r="J20" s="473"/>
      <c r="K20" s="473"/>
      <c r="L20" s="473"/>
      <c r="M20" s="473"/>
    </row>
    <row r="21" spans="2:13" x14ac:dyDescent="0.25">
      <c r="B21" s="322"/>
      <c r="D21" s="232"/>
      <c r="E21" s="232"/>
      <c r="F21" s="232"/>
      <c r="G21" s="232"/>
      <c r="H21" s="232"/>
      <c r="I21" s="232"/>
      <c r="J21" s="232"/>
      <c r="K21" s="232"/>
    </row>
    <row r="22" spans="2:13" ht="18.75" x14ac:dyDescent="0.3">
      <c r="B22" s="2" t="s">
        <v>896</v>
      </c>
      <c r="C22" s="2"/>
      <c r="D22" s="2"/>
      <c r="E22" s="2"/>
      <c r="F22" s="2"/>
      <c r="G22" s="5"/>
      <c r="H22" s="5"/>
      <c r="I22" s="5"/>
      <c r="J22" s="5"/>
      <c r="K22" s="5"/>
    </row>
    <row r="23" spans="2:13" x14ac:dyDescent="0.25">
      <c r="B23" s="3" t="s">
        <v>560</v>
      </c>
      <c r="C23" s="5"/>
      <c r="D23" s="5"/>
      <c r="E23" s="5"/>
      <c r="F23" s="5"/>
      <c r="G23" s="5"/>
      <c r="H23" s="5"/>
      <c r="I23" s="5"/>
      <c r="J23" s="5"/>
      <c r="K23" s="5"/>
    </row>
    <row r="24" spans="2:13" x14ac:dyDescent="0.25">
      <c r="B24" s="5"/>
      <c r="C24" s="5"/>
      <c r="D24" s="5"/>
      <c r="E24" s="5"/>
      <c r="F24" s="5"/>
      <c r="G24" s="5"/>
      <c r="H24" s="5"/>
      <c r="I24" s="5"/>
      <c r="J24" s="5"/>
      <c r="K24" s="5"/>
    </row>
    <row r="25" spans="2:13" x14ac:dyDescent="0.25">
      <c r="D25" s="465" t="s">
        <v>5</v>
      </c>
      <c r="E25" s="466"/>
      <c r="F25" s="467"/>
      <c r="G25" s="465" t="s">
        <v>6</v>
      </c>
      <c r="H25" s="466"/>
      <c r="I25" s="467"/>
      <c r="J25" s="470" t="s">
        <v>645</v>
      </c>
      <c r="K25" s="470"/>
      <c r="L25" s="470"/>
    </row>
    <row r="26" spans="2:13" ht="30" x14ac:dyDescent="0.25">
      <c r="B26" s="154" t="s">
        <v>487</v>
      </c>
      <c r="C26" s="179" t="s">
        <v>610</v>
      </c>
      <c r="D26" s="179" t="s">
        <v>996</v>
      </c>
      <c r="E26" s="265" t="s">
        <v>611</v>
      </c>
      <c r="F26" s="442" t="s">
        <v>612</v>
      </c>
      <c r="G26" s="179" t="s">
        <v>996</v>
      </c>
      <c r="H26" s="265" t="s">
        <v>611</v>
      </c>
      <c r="I26" s="442" t="s">
        <v>612</v>
      </c>
      <c r="J26" s="283" t="s">
        <v>996</v>
      </c>
      <c r="K26" s="283" t="s">
        <v>611</v>
      </c>
      <c r="L26" s="283" t="s">
        <v>612</v>
      </c>
    </row>
    <row r="27" spans="2:13" x14ac:dyDescent="0.25">
      <c r="B27" s="469" t="s">
        <v>559</v>
      </c>
      <c r="C27" s="446" t="s">
        <v>87</v>
      </c>
      <c r="D27" s="315">
        <v>168156.41666666666</v>
      </c>
      <c r="E27" s="315">
        <v>362446009.14999998</v>
      </c>
      <c r="F27" s="315">
        <v>386043206.86965799</v>
      </c>
      <c r="G27" s="315">
        <v>45050.166666666664</v>
      </c>
      <c r="H27" s="315">
        <v>89129736.667999998</v>
      </c>
      <c r="I27" s="315">
        <v>93534965.960678011</v>
      </c>
      <c r="J27" s="334">
        <v>213206.58333333334</v>
      </c>
      <c r="K27" s="334">
        <v>451575745.81799996</v>
      </c>
      <c r="L27" s="334">
        <v>479578172.83033597</v>
      </c>
    </row>
    <row r="28" spans="2:13" x14ac:dyDescent="0.25">
      <c r="B28" s="469"/>
      <c r="C28" s="446" t="s">
        <v>88</v>
      </c>
      <c r="D28" s="315">
        <v>123230.08333333333</v>
      </c>
      <c r="E28" s="315">
        <v>250516499.96700001</v>
      </c>
      <c r="F28" s="315">
        <v>268085359.35525483</v>
      </c>
      <c r="G28" s="315">
        <v>44846.333333333336</v>
      </c>
      <c r="H28" s="315">
        <v>84667893.447999999</v>
      </c>
      <c r="I28" s="315">
        <v>88806430.536888674</v>
      </c>
      <c r="J28" s="334">
        <v>168076.41666666666</v>
      </c>
      <c r="K28" s="334">
        <v>335184393.41500002</v>
      </c>
      <c r="L28" s="334">
        <v>356891789.89214349</v>
      </c>
    </row>
    <row r="29" spans="2:13" x14ac:dyDescent="0.25">
      <c r="B29" s="474"/>
      <c r="C29" s="447" t="s">
        <v>609</v>
      </c>
      <c r="D29" s="315">
        <v>291386.5</v>
      </c>
      <c r="E29" s="315">
        <v>612962509.11699998</v>
      </c>
      <c r="F29" s="315">
        <v>654128566.22491264</v>
      </c>
      <c r="G29" s="315">
        <v>89896.5</v>
      </c>
      <c r="H29" s="315">
        <v>173797630.116</v>
      </c>
      <c r="I29" s="315">
        <v>182341396.49756673</v>
      </c>
      <c r="J29" s="334">
        <v>381283</v>
      </c>
      <c r="K29" s="334">
        <v>786760139.23300004</v>
      </c>
      <c r="L29" s="334">
        <v>836469962.72247934</v>
      </c>
    </row>
    <row r="30" spans="2:13" x14ac:dyDescent="0.25">
      <c r="B30" s="328" t="s">
        <v>887</v>
      </c>
      <c r="C30" s="328"/>
      <c r="D30" s="328"/>
      <c r="E30" s="328"/>
      <c r="F30" s="328"/>
      <c r="G30" s="328"/>
      <c r="H30" s="328"/>
      <c r="I30" s="328"/>
      <c r="J30" s="328"/>
      <c r="K30" s="328"/>
      <c r="L30" s="328"/>
      <c r="M30" s="328"/>
    </row>
    <row r="31" spans="2:13" x14ac:dyDescent="0.25">
      <c r="B31" s="330" t="s">
        <v>967</v>
      </c>
      <c r="C31" s="328"/>
      <c r="D31" s="328"/>
      <c r="E31" s="328"/>
      <c r="F31" s="328"/>
      <c r="G31" s="328"/>
      <c r="H31" s="328"/>
      <c r="I31" s="328"/>
      <c r="J31" s="328"/>
      <c r="K31" s="328"/>
      <c r="L31" s="328"/>
      <c r="M31" s="328"/>
    </row>
    <row r="32" spans="2:13" x14ac:dyDescent="0.25">
      <c r="B32" s="473" t="s">
        <v>613</v>
      </c>
      <c r="C32" s="473"/>
      <c r="D32" s="473"/>
      <c r="E32" s="473"/>
      <c r="F32" s="473"/>
      <c r="G32" s="473"/>
      <c r="H32" s="473"/>
      <c r="I32" s="473"/>
      <c r="J32" s="473"/>
      <c r="K32" s="473"/>
      <c r="L32" s="473"/>
      <c r="M32" s="473"/>
    </row>
    <row r="34" spans="2:14" ht="18.75" x14ac:dyDescent="0.3">
      <c r="B34" s="2" t="s">
        <v>772</v>
      </c>
      <c r="C34" s="2"/>
      <c r="D34" s="2"/>
      <c r="E34" s="2"/>
      <c r="F34" s="2"/>
    </row>
    <row r="35" spans="2:14" x14ac:dyDescent="0.25">
      <c r="B35" s="3" t="s">
        <v>17</v>
      </c>
    </row>
    <row r="37" spans="2:14" x14ac:dyDescent="0.25">
      <c r="C37" s="464" t="s">
        <v>5</v>
      </c>
      <c r="D37" s="464"/>
      <c r="E37" s="464"/>
      <c r="F37" s="464"/>
      <c r="G37" s="464" t="s">
        <v>6</v>
      </c>
      <c r="H37" s="464"/>
      <c r="I37" s="464"/>
      <c r="J37" s="464"/>
      <c r="K37" s="464" t="s">
        <v>645</v>
      </c>
      <c r="L37" s="464"/>
      <c r="M37" s="464"/>
      <c r="N37" s="464"/>
    </row>
    <row r="38" spans="2:14" x14ac:dyDescent="0.25">
      <c r="C38" s="464" t="s">
        <v>87</v>
      </c>
      <c r="D38" s="464"/>
      <c r="E38" s="464" t="s">
        <v>88</v>
      </c>
      <c r="F38" s="464"/>
      <c r="G38" s="464" t="s">
        <v>87</v>
      </c>
      <c r="H38" s="464"/>
      <c r="I38" s="464" t="s">
        <v>88</v>
      </c>
      <c r="J38" s="464"/>
      <c r="K38" s="464" t="s">
        <v>87</v>
      </c>
      <c r="L38" s="464"/>
      <c r="M38" s="464" t="s">
        <v>88</v>
      </c>
      <c r="N38" s="464"/>
    </row>
    <row r="39" spans="2:14" ht="30" x14ac:dyDescent="0.25">
      <c r="B39" s="154" t="s">
        <v>487</v>
      </c>
      <c r="C39" s="234" t="s">
        <v>614</v>
      </c>
      <c r="D39" s="179" t="s">
        <v>643</v>
      </c>
      <c r="E39" s="234" t="s">
        <v>614</v>
      </c>
      <c r="F39" s="179" t="s">
        <v>643</v>
      </c>
      <c r="G39" s="234" t="s">
        <v>614</v>
      </c>
      <c r="H39" s="179" t="s">
        <v>643</v>
      </c>
      <c r="I39" s="234" t="s">
        <v>614</v>
      </c>
      <c r="J39" s="179" t="s">
        <v>643</v>
      </c>
      <c r="K39" s="234" t="s">
        <v>614</v>
      </c>
      <c r="L39" s="179" t="s">
        <v>643</v>
      </c>
      <c r="M39" s="234" t="s">
        <v>614</v>
      </c>
      <c r="N39" s="179" t="s">
        <v>643</v>
      </c>
    </row>
    <row r="40" spans="2:14" x14ac:dyDescent="0.25">
      <c r="B40" s="279" t="s">
        <v>769</v>
      </c>
      <c r="C40" s="335">
        <f>+[1]APS!$D$189</f>
        <v>569814.16666666663</v>
      </c>
      <c r="D40" s="335">
        <v>78109549.136965886</v>
      </c>
      <c r="E40" s="335">
        <v>419795.08333333331</v>
      </c>
      <c r="F40" s="335">
        <v>54038961.233899079</v>
      </c>
      <c r="G40" s="335">
        <f>+[1]APS!$G$189</f>
        <v>38063.25</v>
      </c>
      <c r="H40" s="335">
        <v>6106010.0273520509</v>
      </c>
      <c r="I40" s="335">
        <v>33240.166666666664</v>
      </c>
      <c r="J40" s="335">
        <v>5190963.9025755869</v>
      </c>
      <c r="K40" s="335">
        <v>607877.41666666663</v>
      </c>
      <c r="L40" s="335">
        <v>84215559.164317951</v>
      </c>
      <c r="M40" s="335">
        <v>453035.25</v>
      </c>
      <c r="N40" s="335">
        <v>59229925.136474647</v>
      </c>
    </row>
    <row r="41" spans="2:14" x14ac:dyDescent="0.25">
      <c r="B41" s="223">
        <v>44197</v>
      </c>
      <c r="C41" s="336">
        <v>600842</v>
      </c>
      <c r="D41" s="336">
        <v>91766145.726905033</v>
      </c>
      <c r="E41" s="336">
        <v>443662</v>
      </c>
      <c r="F41" s="336">
        <v>63835169.984643944</v>
      </c>
      <c r="G41" s="336">
        <v>38683</v>
      </c>
      <c r="H41" s="336">
        <v>6861931.7252940554</v>
      </c>
      <c r="I41" s="336">
        <v>34228</v>
      </c>
      <c r="J41" s="336">
        <v>5894347.4970579501</v>
      </c>
      <c r="K41" s="336">
        <v>639525</v>
      </c>
      <c r="L41" s="336">
        <v>98628077.452199087</v>
      </c>
      <c r="M41" s="336">
        <v>477890</v>
      </c>
      <c r="N41" s="336">
        <v>69729517.48170191</v>
      </c>
    </row>
    <row r="42" spans="2:14" x14ac:dyDescent="0.25">
      <c r="B42" s="236">
        <v>44228</v>
      </c>
      <c r="C42" s="336">
        <v>605436</v>
      </c>
      <c r="D42" s="336">
        <v>91855518.432678685</v>
      </c>
      <c r="E42" s="336">
        <v>447257</v>
      </c>
      <c r="F42" s="336">
        <v>63902818.705905542</v>
      </c>
      <c r="G42" s="336">
        <v>38750</v>
      </c>
      <c r="H42" s="336">
        <v>6847110.4129217649</v>
      </c>
      <c r="I42" s="336">
        <v>34279</v>
      </c>
      <c r="J42" s="336">
        <v>5883751.6719656717</v>
      </c>
      <c r="K42" s="336">
        <v>644186</v>
      </c>
      <c r="L42" s="336">
        <v>98702628.845600456</v>
      </c>
      <c r="M42" s="336">
        <v>481536</v>
      </c>
      <c r="N42" s="336">
        <v>69786570.377871215</v>
      </c>
    </row>
    <row r="43" spans="2:14" x14ac:dyDescent="0.25">
      <c r="B43" s="236">
        <v>44256</v>
      </c>
      <c r="C43" s="336">
        <v>610095</v>
      </c>
      <c r="D43" s="336">
        <v>92402342.424179092</v>
      </c>
      <c r="E43" s="336">
        <v>450099</v>
      </c>
      <c r="F43" s="336">
        <v>64066933.635863192</v>
      </c>
      <c r="G43" s="336">
        <v>38777</v>
      </c>
      <c r="H43" s="336">
        <v>6824656.1188189462</v>
      </c>
      <c r="I43" s="336">
        <v>34317</v>
      </c>
      <c r="J43" s="336">
        <v>5870827.2211415302</v>
      </c>
      <c r="K43" s="336">
        <v>648872</v>
      </c>
      <c r="L43" s="336">
        <v>99226998.542998031</v>
      </c>
      <c r="M43" s="336">
        <v>484416</v>
      </c>
      <c r="N43" s="336">
        <v>69937760.857004717</v>
      </c>
    </row>
    <row r="44" spans="2:14" x14ac:dyDescent="0.25">
      <c r="B44" s="223">
        <v>44287</v>
      </c>
      <c r="C44" s="336">
        <v>615165</v>
      </c>
      <c r="D44" s="336">
        <v>92937319.100301936</v>
      </c>
      <c r="E44" s="336">
        <v>453554</v>
      </c>
      <c r="F44" s="336">
        <v>64244968.187478893</v>
      </c>
      <c r="G44" s="336">
        <v>39434</v>
      </c>
      <c r="H44" s="336">
        <v>6863197.4792270297</v>
      </c>
      <c r="I44" s="336">
        <v>35231</v>
      </c>
      <c r="J44" s="336">
        <v>5946494.8383422289</v>
      </c>
      <c r="K44" s="336">
        <v>654599</v>
      </c>
      <c r="L44" s="336">
        <v>99800516.579528973</v>
      </c>
      <c r="M44" s="336">
        <v>488785</v>
      </c>
      <c r="N44" s="336">
        <v>70191463.02582112</v>
      </c>
    </row>
    <row r="45" spans="2:14" x14ac:dyDescent="0.25">
      <c r="B45" s="236">
        <v>44317</v>
      </c>
      <c r="C45" s="336">
        <v>619925</v>
      </c>
      <c r="D45" s="336">
        <v>93507275.350180566</v>
      </c>
      <c r="E45" s="336">
        <v>456843</v>
      </c>
      <c r="F45" s="336">
        <v>64510062.34890765</v>
      </c>
      <c r="G45" s="336">
        <v>40665</v>
      </c>
      <c r="H45" s="336">
        <v>6950552.7482247297</v>
      </c>
      <c r="I45" s="336">
        <v>36858</v>
      </c>
      <c r="J45" s="336">
        <v>6071862.3312389804</v>
      </c>
      <c r="K45" s="336">
        <v>660590</v>
      </c>
      <c r="L45" s="336">
        <v>100457828.0984053</v>
      </c>
      <c r="M45" s="336">
        <v>493701</v>
      </c>
      <c r="N45" s="336">
        <v>70581924.68014662</v>
      </c>
    </row>
    <row r="46" spans="2:14" x14ac:dyDescent="0.25">
      <c r="B46" s="236">
        <v>44348</v>
      </c>
      <c r="C46" s="336">
        <v>624280</v>
      </c>
      <c r="D46" s="336">
        <v>94300915.724115774</v>
      </c>
      <c r="E46" s="336">
        <v>459648</v>
      </c>
      <c r="F46" s="336">
        <v>64932560.916215152</v>
      </c>
      <c r="G46" s="336">
        <v>41406</v>
      </c>
      <c r="H46" s="336">
        <v>7016135.5312913042</v>
      </c>
      <c r="I46" s="336">
        <v>37901</v>
      </c>
      <c r="J46" s="336">
        <v>6176730.3945539389</v>
      </c>
      <c r="K46" s="336">
        <v>665686</v>
      </c>
      <c r="L46" s="336">
        <v>101317051.25540708</v>
      </c>
      <c r="M46" s="336">
        <v>497549</v>
      </c>
      <c r="N46" s="336">
        <v>71109291.310769096</v>
      </c>
    </row>
    <row r="47" spans="2:14" x14ac:dyDescent="0.25">
      <c r="B47" s="223">
        <v>44378</v>
      </c>
      <c r="C47" s="336">
        <v>628233</v>
      </c>
      <c r="D47" s="336">
        <v>98785632.317665175</v>
      </c>
      <c r="E47" s="336">
        <v>462542</v>
      </c>
      <c r="F47" s="336">
        <v>68109608.532687575</v>
      </c>
      <c r="G47" s="336">
        <v>41969</v>
      </c>
      <c r="H47" s="336">
        <v>7302821.2968886225</v>
      </c>
      <c r="I47" s="336">
        <v>38877</v>
      </c>
      <c r="J47" s="336">
        <v>6499178.7445981558</v>
      </c>
      <c r="K47" s="336">
        <v>670202</v>
      </c>
      <c r="L47" s="336">
        <v>106088453.61455381</v>
      </c>
      <c r="M47" s="336">
        <v>501419</v>
      </c>
      <c r="N47" s="336">
        <v>74608787.27728574</v>
      </c>
    </row>
    <row r="48" spans="2:14" x14ac:dyDescent="0.25">
      <c r="B48" s="236">
        <v>44409</v>
      </c>
      <c r="C48" s="336">
        <v>632311</v>
      </c>
      <c r="D48" s="336">
        <v>99543994.266627684</v>
      </c>
      <c r="E48" s="336">
        <v>464709</v>
      </c>
      <c r="F48" s="336">
        <v>68659469.824311584</v>
      </c>
      <c r="G48" s="336">
        <v>42296</v>
      </c>
      <c r="H48" s="336">
        <v>7330005.2967633698</v>
      </c>
      <c r="I48" s="336">
        <v>39447</v>
      </c>
      <c r="J48" s="336">
        <v>6572800.1041663233</v>
      </c>
      <c r="K48" s="336">
        <v>674607</v>
      </c>
      <c r="L48" s="336">
        <v>106873999.56339106</v>
      </c>
      <c r="M48" s="336">
        <v>504156</v>
      </c>
      <c r="N48" s="336">
        <v>75232269.928477898</v>
      </c>
    </row>
    <row r="49" spans="2:14" x14ac:dyDescent="0.25">
      <c r="B49" s="236">
        <v>44440</v>
      </c>
      <c r="C49" s="336">
        <v>638396</v>
      </c>
      <c r="D49" s="336">
        <v>99623617.582478553</v>
      </c>
      <c r="E49" s="336">
        <v>469874</v>
      </c>
      <c r="F49" s="336">
        <v>68794897.60168916</v>
      </c>
      <c r="G49" s="336">
        <v>42481</v>
      </c>
      <c r="H49" s="336">
        <v>7262701.4614702128</v>
      </c>
      <c r="I49" s="336">
        <v>39831</v>
      </c>
      <c r="J49" s="336">
        <v>6550016.4125253642</v>
      </c>
      <c r="K49" s="336">
        <v>680877</v>
      </c>
      <c r="L49" s="336">
        <v>106886319.04394875</v>
      </c>
      <c r="M49" s="336">
        <v>509705</v>
      </c>
      <c r="N49" s="336">
        <v>75344914.014214531</v>
      </c>
    </row>
    <row r="50" spans="2:14" x14ac:dyDescent="0.25">
      <c r="B50" s="223">
        <v>44470</v>
      </c>
      <c r="C50" s="336">
        <v>645913</v>
      </c>
      <c r="D50" s="336">
        <v>99668383.940322593</v>
      </c>
      <c r="E50" s="336">
        <v>475311</v>
      </c>
      <c r="F50" s="336">
        <v>68866440.120732397</v>
      </c>
      <c r="G50" s="336">
        <v>42530</v>
      </c>
      <c r="H50" s="336">
        <v>7169189.3304742165</v>
      </c>
      <c r="I50" s="336">
        <v>40062</v>
      </c>
      <c r="J50" s="336">
        <v>6505245.527262345</v>
      </c>
      <c r="K50" s="336">
        <v>688443</v>
      </c>
      <c r="L50" s="336">
        <v>106837573.27079682</v>
      </c>
      <c r="M50" s="336">
        <v>515373</v>
      </c>
      <c r="N50" s="336">
        <v>75371685.647994742</v>
      </c>
    </row>
    <row r="51" spans="2:14" x14ac:dyDescent="0.25">
      <c r="B51" s="236">
        <v>44501</v>
      </c>
      <c r="C51" s="336">
        <v>654021</v>
      </c>
      <c r="D51" s="336">
        <v>100540560.68921554</v>
      </c>
      <c r="E51" s="336">
        <v>481364</v>
      </c>
      <c r="F51" s="336">
        <v>69493277.908747241</v>
      </c>
      <c r="G51" s="336">
        <v>43059</v>
      </c>
      <c r="H51" s="336">
        <v>7174228.5143168597</v>
      </c>
      <c r="I51" s="336">
        <v>41024</v>
      </c>
      <c r="J51" s="336">
        <v>6569037.5743387798</v>
      </c>
      <c r="K51" s="336">
        <v>697080</v>
      </c>
      <c r="L51" s="336">
        <v>107714789.2035324</v>
      </c>
      <c r="M51" s="336">
        <v>522388</v>
      </c>
      <c r="N51" s="336">
        <v>76062315.483086035</v>
      </c>
    </row>
    <row r="52" spans="2:14" x14ac:dyDescent="0.25">
      <c r="B52" s="236">
        <v>44531</v>
      </c>
      <c r="C52" s="336">
        <v>661228</v>
      </c>
      <c r="D52" s="336">
        <v>100961621.82161441</v>
      </c>
      <c r="E52" s="336">
        <v>486375</v>
      </c>
      <c r="F52" s="336">
        <v>69785204.995449111</v>
      </c>
      <c r="G52" s="336">
        <v>43273</v>
      </c>
      <c r="H52" s="336">
        <v>7122350.3156748125</v>
      </c>
      <c r="I52" s="336">
        <v>41477</v>
      </c>
      <c r="J52" s="336">
        <v>6548038.9354600972</v>
      </c>
      <c r="K52" s="336">
        <v>704501</v>
      </c>
      <c r="L52" s="336">
        <v>108083972.13728923</v>
      </c>
      <c r="M52" s="336">
        <v>527852</v>
      </c>
      <c r="N52" s="336">
        <v>76333243.930909216</v>
      </c>
    </row>
    <row r="53" spans="2:14" x14ac:dyDescent="0.25">
      <c r="B53" s="279" t="s">
        <v>770</v>
      </c>
      <c r="C53" s="335">
        <v>627987.08333333337</v>
      </c>
      <c r="D53" s="335">
        <v>96324443.948023751</v>
      </c>
      <c r="E53" s="335">
        <v>462603.16666666669</v>
      </c>
      <c r="F53" s="335">
        <v>66600117.730219275</v>
      </c>
      <c r="G53" s="335">
        <v>41110.25</v>
      </c>
      <c r="H53" s="335">
        <v>7060406.6859471602</v>
      </c>
      <c r="I53" s="335">
        <v>37794.333333333336</v>
      </c>
      <c r="J53" s="335">
        <v>6257360.937720947</v>
      </c>
      <c r="K53" s="335">
        <v>669097.33333333337</v>
      </c>
      <c r="L53" s="335">
        <v>103384850.63397092</v>
      </c>
      <c r="M53" s="335">
        <v>500397.5</v>
      </c>
      <c r="N53" s="335">
        <v>72857478.667940244</v>
      </c>
    </row>
    <row r="54" spans="2:14" x14ac:dyDescent="0.25">
      <c r="B54" s="223">
        <v>44562</v>
      </c>
      <c r="C54" s="336">
        <v>669074</v>
      </c>
      <c r="D54" s="336">
        <v>105975175.44695592</v>
      </c>
      <c r="E54" s="336">
        <v>492231</v>
      </c>
      <c r="F54" s="336">
        <v>73624686.011474222</v>
      </c>
      <c r="G54" s="336">
        <v>43561</v>
      </c>
      <c r="H54" s="336">
        <v>7616546.1154305805</v>
      </c>
      <c r="I54" s="336">
        <v>41983</v>
      </c>
      <c r="J54" s="336">
        <v>7053757.870845356</v>
      </c>
      <c r="K54" s="336">
        <v>712635</v>
      </c>
      <c r="L54" s="336">
        <v>113591721.5623865</v>
      </c>
      <c r="M54" s="336">
        <v>534214</v>
      </c>
      <c r="N54" s="336">
        <v>80678443.882319584</v>
      </c>
    </row>
    <row r="55" spans="2:14" x14ac:dyDescent="0.25">
      <c r="B55" s="236">
        <v>44593</v>
      </c>
      <c r="C55" s="336">
        <v>157011</v>
      </c>
      <c r="D55" s="336">
        <v>31611157.678000111</v>
      </c>
      <c r="E55" s="336">
        <v>156303</v>
      </c>
      <c r="F55" s="336">
        <v>28483126.949482206</v>
      </c>
      <c r="G55" s="336">
        <v>43796</v>
      </c>
      <c r="H55" s="336">
        <v>8024662.7941843327</v>
      </c>
      <c r="I55" s="336">
        <v>42423</v>
      </c>
      <c r="J55" s="336">
        <v>7479299.5211908845</v>
      </c>
      <c r="K55" s="336">
        <v>200807</v>
      </c>
      <c r="L55" s="336">
        <v>39635820.472184442</v>
      </c>
      <c r="M55" s="336">
        <v>198726</v>
      </c>
      <c r="N55" s="336">
        <v>35962426.470673092</v>
      </c>
    </row>
    <row r="56" spans="2:14" x14ac:dyDescent="0.25">
      <c r="B56" s="236">
        <v>44621</v>
      </c>
      <c r="C56" s="336">
        <v>158373</v>
      </c>
      <c r="D56" s="336">
        <v>31354650.666394901</v>
      </c>
      <c r="E56" s="336">
        <v>158291</v>
      </c>
      <c r="F56" s="336">
        <v>28404536.671446901</v>
      </c>
      <c r="G56" s="336">
        <v>44375</v>
      </c>
      <c r="H56" s="336">
        <v>7925328.600251588</v>
      </c>
      <c r="I56" s="336">
        <v>43297</v>
      </c>
      <c r="J56" s="336">
        <v>7417915.1869610315</v>
      </c>
      <c r="K56" s="336">
        <v>202748</v>
      </c>
      <c r="L56" s="336">
        <v>39279979.26664649</v>
      </c>
      <c r="M56" s="336">
        <v>201588</v>
      </c>
      <c r="N56" s="336">
        <v>35822451.85840793</v>
      </c>
    </row>
    <row r="57" spans="2:14" x14ac:dyDescent="0.25">
      <c r="B57" s="223">
        <v>44652</v>
      </c>
      <c r="C57" s="336">
        <v>154818</v>
      </c>
      <c r="D57" s="336">
        <v>30454958.567335695</v>
      </c>
      <c r="E57" s="336">
        <v>157061</v>
      </c>
      <c r="F57" s="336">
        <v>27999505.365351338</v>
      </c>
      <c r="G57" s="336">
        <v>44630</v>
      </c>
      <c r="H57" s="336">
        <v>7821296.8771001548</v>
      </c>
      <c r="I57" s="336">
        <v>43805</v>
      </c>
      <c r="J57" s="336">
        <v>7353095.1627619267</v>
      </c>
      <c r="K57" s="336">
        <v>199448</v>
      </c>
      <c r="L57" s="336">
        <v>38276255.44443585</v>
      </c>
      <c r="M57" s="336">
        <v>200866</v>
      </c>
      <c r="N57" s="336">
        <v>35352600.528113268</v>
      </c>
    </row>
    <row r="58" spans="2:14" x14ac:dyDescent="0.25">
      <c r="B58" s="236">
        <v>44682</v>
      </c>
      <c r="C58" s="336">
        <v>111871</v>
      </c>
      <c r="D58" s="336">
        <v>22837041.475552902</v>
      </c>
      <c r="E58" s="336">
        <v>65720</v>
      </c>
      <c r="F58" s="336">
        <v>13344942.334071141</v>
      </c>
      <c r="G58" s="336">
        <v>44880</v>
      </c>
      <c r="H58" s="336">
        <v>7725379.7763568917</v>
      </c>
      <c r="I58" s="336">
        <v>44391</v>
      </c>
      <c r="J58" s="336">
        <v>7291838.3284842465</v>
      </c>
      <c r="K58" s="336">
        <v>156751</v>
      </c>
      <c r="L58" s="336">
        <v>30562421.251909792</v>
      </c>
      <c r="M58" s="336">
        <v>110111</v>
      </c>
      <c r="N58" s="336">
        <v>20636780.662555385</v>
      </c>
    </row>
    <row r="59" spans="2:14" x14ac:dyDescent="0.25">
      <c r="B59" s="236">
        <v>44713</v>
      </c>
      <c r="C59" s="336">
        <v>109948</v>
      </c>
      <c r="D59" s="336">
        <v>22250552.607895713</v>
      </c>
      <c r="E59" s="336">
        <v>64976</v>
      </c>
      <c r="F59" s="336">
        <v>13085404.204083053</v>
      </c>
      <c r="G59" s="336">
        <v>45192</v>
      </c>
      <c r="H59" s="336">
        <v>7664757.5665255906</v>
      </c>
      <c r="I59" s="336">
        <v>45010</v>
      </c>
      <c r="J59" s="336">
        <v>7268514.8065385036</v>
      </c>
      <c r="K59" s="336">
        <v>155140</v>
      </c>
      <c r="L59" s="336">
        <v>29915310.174421307</v>
      </c>
      <c r="M59" s="336">
        <v>109986</v>
      </c>
      <c r="N59" s="336">
        <v>20353919.010621555</v>
      </c>
    </row>
    <row r="60" spans="2:14" x14ac:dyDescent="0.25">
      <c r="B60" s="223">
        <v>44743</v>
      </c>
      <c r="C60" s="336">
        <v>109799</v>
      </c>
      <c r="D60" s="336">
        <v>24160689.428189915</v>
      </c>
      <c r="E60" s="336">
        <v>64729</v>
      </c>
      <c r="F60" s="336">
        <v>14278015.824445456</v>
      </c>
      <c r="G60" s="336">
        <v>45366</v>
      </c>
      <c r="H60" s="336">
        <v>7964794.8323041834</v>
      </c>
      <c r="I60" s="336">
        <v>45364</v>
      </c>
      <c r="J60" s="336">
        <v>7583521.1573953228</v>
      </c>
      <c r="K60" s="336">
        <v>155165</v>
      </c>
      <c r="L60" s="336">
        <v>32125484.260494094</v>
      </c>
      <c r="M60" s="336">
        <v>110093</v>
      </c>
      <c r="N60" s="336">
        <v>21861536.981840778</v>
      </c>
    </row>
    <row r="61" spans="2:14" x14ac:dyDescent="0.25">
      <c r="B61" s="236">
        <v>44774</v>
      </c>
      <c r="C61" s="336">
        <v>109904</v>
      </c>
      <c r="D61" s="336">
        <v>23910001.160265502</v>
      </c>
      <c r="E61" s="336">
        <v>64644</v>
      </c>
      <c r="F61" s="336">
        <v>14102376.908480611</v>
      </c>
      <c r="G61" s="336">
        <v>45575</v>
      </c>
      <c r="H61" s="336">
        <v>7882848.493802594</v>
      </c>
      <c r="I61" s="336">
        <v>45817</v>
      </c>
      <c r="J61" s="336">
        <v>7534249.4373849863</v>
      </c>
      <c r="K61" s="336">
        <v>155479</v>
      </c>
      <c r="L61" s="336">
        <v>31792849.654068097</v>
      </c>
      <c r="M61" s="336">
        <v>110461</v>
      </c>
      <c r="N61" s="336">
        <v>21636626.345865596</v>
      </c>
    </row>
    <row r="62" spans="2:14" x14ac:dyDescent="0.25">
      <c r="B62" s="236">
        <v>44805</v>
      </c>
      <c r="C62" s="336">
        <v>109666</v>
      </c>
      <c r="D62" s="336">
        <v>23661437.026708584</v>
      </c>
      <c r="E62" s="336">
        <v>64275</v>
      </c>
      <c r="F62" s="336">
        <v>13916664.542228704</v>
      </c>
      <c r="G62" s="336">
        <v>45697</v>
      </c>
      <c r="H62" s="336">
        <v>7805782.5758171594</v>
      </c>
      <c r="I62" s="336">
        <v>46202</v>
      </c>
      <c r="J62" s="336">
        <v>7496048.3444455368</v>
      </c>
      <c r="K62" s="336">
        <v>155363</v>
      </c>
      <c r="L62" s="336">
        <v>31467219.602525741</v>
      </c>
      <c r="M62" s="336">
        <v>110477</v>
      </c>
      <c r="N62" s="336">
        <v>21412712.88667424</v>
      </c>
    </row>
    <row r="63" spans="2:14" x14ac:dyDescent="0.25">
      <c r="B63" s="223">
        <v>44835</v>
      </c>
      <c r="C63" s="336">
        <v>109393</v>
      </c>
      <c r="D63" s="336">
        <v>23488697.457882408</v>
      </c>
      <c r="E63" s="336">
        <v>63815</v>
      </c>
      <c r="F63" s="336">
        <v>13761702.801382475</v>
      </c>
      <c r="G63" s="336">
        <v>45739</v>
      </c>
      <c r="H63" s="336">
        <v>7756618.2690303121</v>
      </c>
      <c r="I63" s="336">
        <v>46381</v>
      </c>
      <c r="J63" s="336">
        <v>7471532.1553156022</v>
      </c>
      <c r="K63" s="336">
        <v>155132</v>
      </c>
      <c r="L63" s="336">
        <v>31245315.726912722</v>
      </c>
      <c r="M63" s="336">
        <v>110196</v>
      </c>
      <c r="N63" s="336">
        <v>21233234.956698079</v>
      </c>
    </row>
    <row r="64" spans="2:14" x14ac:dyDescent="0.25">
      <c r="B64" s="236">
        <v>44866</v>
      </c>
      <c r="C64" s="336">
        <v>109031</v>
      </c>
      <c r="D64" s="336">
        <v>23198807.472476278</v>
      </c>
      <c r="E64" s="336">
        <v>63526</v>
      </c>
      <c r="F64" s="336">
        <v>13585411.010808747</v>
      </c>
      <c r="G64" s="336">
        <v>45910</v>
      </c>
      <c r="H64" s="336">
        <v>7696996.768874635</v>
      </c>
      <c r="I64" s="336">
        <v>46666</v>
      </c>
      <c r="J64" s="336">
        <v>7434852.6965652686</v>
      </c>
      <c r="K64" s="336">
        <v>154941</v>
      </c>
      <c r="L64" s="336">
        <v>30895804.241350912</v>
      </c>
      <c r="M64" s="336">
        <v>110192</v>
      </c>
      <c r="N64" s="336">
        <v>21020263.707374014</v>
      </c>
    </row>
    <row r="65" spans="1:14" x14ac:dyDescent="0.25">
      <c r="B65" s="236">
        <v>44896</v>
      </c>
      <c r="C65" s="336">
        <v>108989</v>
      </c>
      <c r="D65" s="336">
        <v>23140037.881999999</v>
      </c>
      <c r="E65" s="336">
        <v>63190</v>
      </c>
      <c r="F65" s="336">
        <v>13498986.732000001</v>
      </c>
      <c r="G65" s="336">
        <v>45881</v>
      </c>
      <c r="H65" s="336">
        <v>7649953.2910000002</v>
      </c>
      <c r="I65" s="336">
        <v>46817</v>
      </c>
      <c r="J65" s="336">
        <v>7421805.8689999999</v>
      </c>
      <c r="K65" s="336">
        <v>154870</v>
      </c>
      <c r="L65" s="336">
        <v>30789991.173</v>
      </c>
      <c r="M65" s="336">
        <v>110007</v>
      </c>
      <c r="N65" s="336">
        <v>20920792.601</v>
      </c>
    </row>
    <row r="66" spans="1:14" x14ac:dyDescent="0.25">
      <c r="B66" s="279" t="s">
        <v>771</v>
      </c>
      <c r="C66" s="335">
        <v>168156.41666666666</v>
      </c>
      <c r="D66" s="335">
        <v>32170267.239138167</v>
      </c>
      <c r="E66" s="335">
        <v>123230.08333333333</v>
      </c>
      <c r="F66" s="335">
        <v>22340446.612937901</v>
      </c>
      <c r="G66" s="335">
        <v>45050.166666666664</v>
      </c>
      <c r="H66" s="335">
        <v>7794580.4967231676</v>
      </c>
      <c r="I66" s="335">
        <v>44846.333333333336</v>
      </c>
      <c r="J66" s="335">
        <v>7400535.8780740565</v>
      </c>
      <c r="K66" s="335">
        <v>213206.58333333334</v>
      </c>
      <c r="L66" s="335">
        <v>39964847.735861331</v>
      </c>
      <c r="M66" s="335">
        <v>168076.41666666666</v>
      </c>
      <c r="N66" s="335">
        <v>29740982.491011962</v>
      </c>
    </row>
    <row r="67" spans="1:14" x14ac:dyDescent="0.25">
      <c r="B67" s="328" t="s">
        <v>887</v>
      </c>
      <c r="C67" s="328"/>
      <c r="D67" s="328"/>
      <c r="E67" s="328"/>
      <c r="F67" s="328"/>
      <c r="G67" s="328"/>
      <c r="H67" s="328"/>
      <c r="I67" s="328"/>
      <c r="J67" s="328"/>
      <c r="K67" s="328"/>
      <c r="L67" s="328"/>
      <c r="M67" s="328"/>
    </row>
    <row r="68" spans="1:14" x14ac:dyDescent="0.25">
      <c r="B68" s="330" t="s">
        <v>967</v>
      </c>
      <c r="C68" s="328"/>
      <c r="D68" s="328"/>
      <c r="E68" s="328"/>
      <c r="F68" s="328"/>
      <c r="G68" s="328"/>
      <c r="H68" s="328"/>
      <c r="I68" s="328"/>
      <c r="J68" s="328"/>
      <c r="K68" s="328"/>
      <c r="L68" s="328"/>
      <c r="M68" s="328"/>
    </row>
    <row r="69" spans="1:14" x14ac:dyDescent="0.25">
      <c r="B69" s="472" t="s">
        <v>891</v>
      </c>
      <c r="C69" s="473"/>
      <c r="D69" s="473"/>
      <c r="E69" s="473"/>
      <c r="F69" s="473"/>
      <c r="G69" s="473"/>
      <c r="H69" s="473"/>
      <c r="I69" s="473"/>
      <c r="J69" s="473"/>
      <c r="K69" s="473"/>
      <c r="L69" s="473"/>
      <c r="M69" s="473"/>
    </row>
    <row r="70" spans="1:14" x14ac:dyDescent="0.25">
      <c r="C70" s="331"/>
      <c r="D70" s="331"/>
      <c r="E70" s="331"/>
      <c r="F70" s="331"/>
      <c r="G70" s="331"/>
      <c r="H70" s="331"/>
      <c r="I70" s="331"/>
      <c r="J70" s="331"/>
      <c r="K70" s="331"/>
      <c r="L70" s="325"/>
      <c r="M70" s="325"/>
    </row>
    <row r="71" spans="1:14" x14ac:dyDescent="0.25">
      <c r="B71" s="5"/>
      <c r="C71" s="5"/>
      <c r="D71" s="5"/>
      <c r="E71" s="5"/>
      <c r="F71" s="5"/>
      <c r="G71" s="5"/>
      <c r="H71" s="5"/>
      <c r="I71" s="5"/>
      <c r="J71" s="5"/>
      <c r="K71" s="5"/>
    </row>
    <row r="72" spans="1:14" x14ac:dyDescent="0.25">
      <c r="B72" s="5"/>
      <c r="C72" s="5"/>
      <c r="D72" s="5"/>
      <c r="E72" s="5"/>
      <c r="F72" s="5"/>
      <c r="G72" s="5"/>
      <c r="H72" s="5"/>
      <c r="I72" s="5"/>
      <c r="J72" s="5"/>
      <c r="K72" s="5"/>
    </row>
    <row r="73" spans="1:14" x14ac:dyDescent="0.25">
      <c r="B73" s="5"/>
      <c r="C73" s="5"/>
      <c r="D73" s="5"/>
      <c r="E73" s="5"/>
      <c r="F73" s="5"/>
      <c r="G73" s="5"/>
      <c r="H73" s="5"/>
      <c r="I73" s="5"/>
      <c r="J73" s="5"/>
      <c r="K73" s="5"/>
    </row>
    <row r="74" spans="1:14" x14ac:dyDescent="0.25">
      <c r="B74" s="5"/>
      <c r="C74" s="5"/>
      <c r="D74" s="5"/>
      <c r="E74" s="5"/>
      <c r="F74" s="5"/>
      <c r="G74" s="5"/>
      <c r="H74" s="5"/>
      <c r="I74" s="5"/>
      <c r="J74" s="5"/>
      <c r="K74" s="5"/>
    </row>
    <row r="75" spans="1:14" x14ac:dyDescent="0.25">
      <c r="B75" s="5"/>
      <c r="C75" s="5"/>
      <c r="D75" s="5"/>
      <c r="E75" s="5"/>
      <c r="F75" s="5"/>
      <c r="G75" s="5"/>
      <c r="H75" s="5"/>
      <c r="I75" s="5"/>
      <c r="J75" s="5"/>
      <c r="K75" s="5"/>
    </row>
    <row r="76" spans="1:14" x14ac:dyDescent="0.25">
      <c r="B76" s="5"/>
      <c r="C76" s="5"/>
      <c r="D76" s="5"/>
      <c r="E76" s="5"/>
      <c r="F76" s="5"/>
      <c r="G76" s="5"/>
      <c r="H76" s="5"/>
      <c r="I76" s="5"/>
      <c r="J76" s="5"/>
      <c r="K76" s="5"/>
    </row>
    <row r="77" spans="1:14" x14ac:dyDescent="0.25">
      <c r="B77" s="5"/>
      <c r="C77" s="5"/>
      <c r="D77" s="5"/>
      <c r="E77" s="5"/>
      <c r="F77" s="5"/>
      <c r="G77" s="5"/>
      <c r="H77" s="5"/>
      <c r="I77" s="5"/>
      <c r="J77" s="5"/>
      <c r="K77" s="5"/>
    </row>
    <row r="78" spans="1:14" x14ac:dyDescent="0.25">
      <c r="B78" s="5"/>
      <c r="C78" s="5"/>
      <c r="D78" s="5"/>
      <c r="E78" s="5"/>
      <c r="F78" s="5"/>
      <c r="G78" s="5"/>
      <c r="H78" s="5"/>
      <c r="I78" s="5"/>
      <c r="J78" s="5"/>
      <c r="K78" s="5"/>
    </row>
    <row r="79" spans="1:14" hidden="1" x14ac:dyDescent="0.25">
      <c r="A79" s="155" t="s">
        <v>644</v>
      </c>
      <c r="B79" s="5"/>
      <c r="C79" s="5"/>
      <c r="D79" s="5"/>
      <c r="E79" s="5"/>
      <c r="F79" s="5"/>
      <c r="G79" s="5"/>
      <c r="H79" s="5"/>
      <c r="I79" s="5"/>
      <c r="J79" s="5"/>
      <c r="K79" s="5"/>
    </row>
    <row r="80" spans="1:14" ht="18.75" hidden="1" x14ac:dyDescent="0.3">
      <c r="B80" s="2" t="s">
        <v>19</v>
      </c>
      <c r="C80" s="6"/>
      <c r="D80" s="2"/>
      <c r="E80" s="2"/>
      <c r="F80" s="2"/>
      <c r="G80" s="2"/>
      <c r="H80" s="2"/>
      <c r="I80" s="20"/>
      <c r="J80" s="20"/>
      <c r="K80" s="20"/>
    </row>
    <row r="81" spans="2:41" hidden="1" x14ac:dyDescent="0.25">
      <c r="B81" s="10" t="s">
        <v>12</v>
      </c>
      <c r="C81" s="5"/>
      <c r="D81" s="11"/>
      <c r="E81" s="11"/>
      <c r="F81" s="11"/>
      <c r="G81" s="11"/>
      <c r="H81" s="11"/>
      <c r="I81" s="11"/>
      <c r="J81" s="11"/>
      <c r="K81" s="11"/>
    </row>
    <row r="82" spans="2:41" hidden="1" x14ac:dyDescent="0.25">
      <c r="B82" s="5"/>
      <c r="C82" s="5"/>
      <c r="D82" s="5"/>
      <c r="E82" s="5"/>
      <c r="F82" s="5"/>
      <c r="G82" s="5"/>
      <c r="H82" s="5"/>
      <c r="I82" s="5"/>
      <c r="J82" s="5"/>
      <c r="K82" s="5"/>
    </row>
    <row r="83" spans="2:41" hidden="1" x14ac:dyDescent="0.25">
      <c r="B83" s="5"/>
      <c r="C83" s="5"/>
      <c r="D83" s="5"/>
      <c r="E83" s="5"/>
      <c r="F83" s="5"/>
      <c r="G83" s="5"/>
      <c r="H83" s="5"/>
      <c r="I83" s="5"/>
      <c r="J83" s="5"/>
      <c r="K83" s="5"/>
    </row>
    <row r="84" spans="2:41" hidden="1" x14ac:dyDescent="0.25">
      <c r="B84" s="5"/>
      <c r="C84" s="477" t="s">
        <v>13</v>
      </c>
      <c r="D84" s="477"/>
      <c r="E84" s="477"/>
      <c r="F84" s="477"/>
      <c r="G84" s="477"/>
      <c r="H84" s="477"/>
      <c r="I84" s="477"/>
      <c r="J84" s="477"/>
      <c r="K84" s="477"/>
      <c r="N84" s="5"/>
      <c r="O84" s="477" t="s">
        <v>18</v>
      </c>
      <c r="P84" s="477"/>
      <c r="Q84" s="477"/>
      <c r="R84" s="477"/>
      <c r="S84" s="477"/>
      <c r="T84" s="477"/>
      <c r="U84" s="477"/>
      <c r="V84" s="477"/>
      <c r="W84" s="477"/>
    </row>
    <row r="85" spans="2:41" hidden="1" x14ac:dyDescent="0.25">
      <c r="B85" s="21"/>
      <c r="C85" s="478" t="s">
        <v>14</v>
      </c>
      <c r="D85" s="478"/>
      <c r="E85" s="478"/>
      <c r="F85" s="478" t="s">
        <v>15</v>
      </c>
      <c r="G85" s="478"/>
      <c r="H85" s="478"/>
      <c r="I85" s="477" t="s">
        <v>16</v>
      </c>
      <c r="J85" s="477"/>
      <c r="K85" s="477"/>
      <c r="N85" s="21"/>
      <c r="O85" s="478" t="s">
        <v>14</v>
      </c>
      <c r="P85" s="478"/>
      <c r="Q85" s="478"/>
      <c r="R85" s="478" t="s">
        <v>15</v>
      </c>
      <c r="S85" s="478"/>
      <c r="T85" s="478"/>
      <c r="U85" s="477" t="s">
        <v>16</v>
      </c>
      <c r="V85" s="477"/>
      <c r="W85" s="477"/>
      <c r="AA85">
        <v>1000</v>
      </c>
    </row>
    <row r="86" spans="2:41" hidden="1" x14ac:dyDescent="0.25">
      <c r="B86" s="12" t="s">
        <v>11</v>
      </c>
      <c r="C86" s="22" t="s">
        <v>673</v>
      </c>
      <c r="D86" s="22" t="s">
        <v>674</v>
      </c>
      <c r="E86" s="22" t="s">
        <v>675</v>
      </c>
      <c r="F86" s="22" t="s">
        <v>676</v>
      </c>
      <c r="G86" s="22" t="s">
        <v>677</v>
      </c>
      <c r="H86" s="22" t="s">
        <v>678</v>
      </c>
      <c r="I86" s="22" t="s">
        <v>679</v>
      </c>
      <c r="J86" s="22" t="s">
        <v>680</v>
      </c>
      <c r="K86" s="22" t="s">
        <v>681</v>
      </c>
      <c r="L86" s="22" t="s">
        <v>646</v>
      </c>
      <c r="M86" s="22" t="s">
        <v>647</v>
      </c>
      <c r="N86" s="22" t="s">
        <v>654</v>
      </c>
      <c r="O86" s="22" t="s">
        <v>648</v>
      </c>
      <c r="P86" s="22" t="s">
        <v>649</v>
      </c>
      <c r="Q86" s="22" t="s">
        <v>653</v>
      </c>
      <c r="R86" s="22" t="s">
        <v>650</v>
      </c>
      <c r="S86" s="22" t="s">
        <v>651</v>
      </c>
      <c r="T86" s="22" t="s">
        <v>652</v>
      </c>
      <c r="U86" s="224" t="s">
        <v>561</v>
      </c>
      <c r="V86" s="224" t="s">
        <v>562</v>
      </c>
      <c r="W86" s="224" t="s">
        <v>563</v>
      </c>
      <c r="X86" s="13" t="s">
        <v>655</v>
      </c>
      <c r="Y86" s="13" t="s">
        <v>656</v>
      </c>
      <c r="Z86" s="13" t="s">
        <v>657</v>
      </c>
      <c r="AA86" s="13" t="s">
        <v>658</v>
      </c>
      <c r="AB86" s="13" t="s">
        <v>659</v>
      </c>
      <c r="AC86" s="13" t="s">
        <v>660</v>
      </c>
      <c r="AD86" s="13" t="s">
        <v>661</v>
      </c>
      <c r="AE86" s="13" t="s">
        <v>662</v>
      </c>
      <c r="AF86" s="244" t="s">
        <v>663</v>
      </c>
      <c r="AG86" s="22" t="s">
        <v>664</v>
      </c>
      <c r="AH86" s="22" t="s">
        <v>665</v>
      </c>
      <c r="AI86" s="22" t="s">
        <v>666</v>
      </c>
      <c r="AJ86" s="22" t="s">
        <v>667</v>
      </c>
      <c r="AK86" s="22" t="s">
        <v>668</v>
      </c>
      <c r="AL86" s="22" t="s">
        <v>669</v>
      </c>
      <c r="AM86" s="22" t="s">
        <v>670</v>
      </c>
      <c r="AN86" s="22" t="s">
        <v>671</v>
      </c>
      <c r="AO86" s="22" t="s">
        <v>672</v>
      </c>
    </row>
    <row r="87" spans="2:41" hidden="1" x14ac:dyDescent="0.25">
      <c r="B87" s="14">
        <v>39630</v>
      </c>
      <c r="C87" s="22"/>
      <c r="D87" s="22"/>
      <c r="E87" s="22"/>
      <c r="F87" s="22"/>
      <c r="G87" s="22"/>
      <c r="H87" s="22"/>
      <c r="I87" s="22"/>
      <c r="J87" s="22"/>
      <c r="K87" s="22"/>
      <c r="L87" s="22"/>
      <c r="M87" s="22"/>
      <c r="N87" s="22"/>
      <c r="O87" s="22"/>
      <c r="P87" s="22"/>
      <c r="Q87" s="22"/>
      <c r="R87" s="22"/>
      <c r="S87" s="22"/>
      <c r="T87" s="22"/>
      <c r="U87">
        <v>75.937682870000003</v>
      </c>
      <c r="V87">
        <v>129.01505570699999</v>
      </c>
      <c r="W87" s="225">
        <f>+V87/U87</f>
        <v>1.6989596051786928</v>
      </c>
      <c r="X87" s="240"/>
      <c r="Y87" s="240"/>
      <c r="Z87" s="240"/>
      <c r="AA87" s="240"/>
      <c r="AB87" s="240"/>
      <c r="AC87" s="240"/>
      <c r="AD87" s="240"/>
      <c r="AE87" s="240"/>
      <c r="AF87" s="240"/>
      <c r="AG87" s="240"/>
      <c r="AH87" s="240"/>
      <c r="AI87" s="240"/>
      <c r="AJ87" s="240"/>
      <c r="AK87" s="240"/>
      <c r="AL87" s="240"/>
      <c r="AM87" s="240"/>
      <c r="AN87" s="240"/>
      <c r="AO87" s="240"/>
    </row>
    <row r="88" spans="2:41" hidden="1" x14ac:dyDescent="0.25">
      <c r="B88" s="14">
        <v>39661</v>
      </c>
      <c r="C88" s="22"/>
      <c r="D88" s="22"/>
      <c r="E88" s="22"/>
      <c r="F88" s="22"/>
      <c r="G88" s="22"/>
      <c r="H88" s="22"/>
      <c r="I88" s="22"/>
      <c r="J88" s="22"/>
      <c r="K88" s="22"/>
      <c r="L88" s="22"/>
      <c r="M88" s="22"/>
      <c r="N88" s="22"/>
      <c r="O88" s="22"/>
      <c r="P88" s="22"/>
      <c r="Q88" s="22"/>
      <c r="R88" s="22"/>
      <c r="S88" s="22"/>
      <c r="T88" s="22"/>
      <c r="U88">
        <v>76.645666680000005</v>
      </c>
      <c r="V88">
        <v>129.01505570699999</v>
      </c>
      <c r="W88" s="225">
        <f t="shared" ref="W88:W151" si="0">+V88/U88</f>
        <v>1.6832661426985187</v>
      </c>
      <c r="X88" s="240"/>
      <c r="Y88" s="240"/>
      <c r="Z88" s="240"/>
      <c r="AA88" s="240"/>
      <c r="AB88" s="240"/>
      <c r="AC88" s="240"/>
      <c r="AD88" s="240"/>
      <c r="AE88" s="240"/>
      <c r="AF88" s="240"/>
      <c r="AG88" s="240"/>
      <c r="AH88" s="240"/>
      <c r="AI88" s="240"/>
      <c r="AJ88" s="240"/>
      <c r="AK88" s="240"/>
      <c r="AL88" s="240"/>
      <c r="AM88" s="240"/>
      <c r="AN88" s="240"/>
      <c r="AO88" s="240"/>
    </row>
    <row r="89" spans="2:41" hidden="1" x14ac:dyDescent="0.25">
      <c r="B89" s="14">
        <v>39692</v>
      </c>
      <c r="C89" s="22"/>
      <c r="D89" s="22"/>
      <c r="E89" s="22"/>
      <c r="F89" s="22"/>
      <c r="G89" s="22"/>
      <c r="H89" s="22"/>
      <c r="I89" s="22"/>
      <c r="J89" s="22"/>
      <c r="K89" s="22"/>
      <c r="L89" s="22"/>
      <c r="M89" s="22"/>
      <c r="N89" s="22"/>
      <c r="O89" s="22"/>
      <c r="P89" s="22"/>
      <c r="Q89" s="22"/>
      <c r="R89" s="22"/>
      <c r="S89" s="22"/>
      <c r="T89" s="22"/>
      <c r="U89">
        <v>77.460120860000004</v>
      </c>
      <c r="V89">
        <v>129.01505570699999</v>
      </c>
      <c r="W89" s="225">
        <f t="shared" si="0"/>
        <v>1.6655674465081125</v>
      </c>
      <c r="X89" s="240"/>
      <c r="Y89" s="240"/>
      <c r="Z89" s="240"/>
      <c r="AA89" s="240"/>
      <c r="AB89" s="240"/>
      <c r="AC89" s="240"/>
      <c r="AD89" s="240"/>
      <c r="AE89" s="240"/>
      <c r="AF89" s="240"/>
      <c r="AG89" s="240"/>
      <c r="AH89" s="240"/>
      <c r="AI89" s="240"/>
      <c r="AJ89" s="240"/>
      <c r="AK89" s="240"/>
      <c r="AL89" s="240"/>
      <c r="AM89" s="240"/>
      <c r="AN89" s="240"/>
      <c r="AO89" s="240"/>
    </row>
    <row r="90" spans="2:41" hidden="1" x14ac:dyDescent="0.25">
      <c r="B90" s="14">
        <v>39722</v>
      </c>
      <c r="C90" s="15">
        <v>955</v>
      </c>
      <c r="D90" s="15">
        <v>2444</v>
      </c>
      <c r="E90" s="15">
        <v>3399</v>
      </c>
      <c r="F90" s="15">
        <v>229</v>
      </c>
      <c r="G90" s="15">
        <v>217</v>
      </c>
      <c r="H90" s="15">
        <v>446</v>
      </c>
      <c r="I90" s="15">
        <v>1184</v>
      </c>
      <c r="J90" s="15">
        <v>2661</v>
      </c>
      <c r="K90" s="16">
        <v>3845</v>
      </c>
      <c r="L90" s="15">
        <v>191695297</v>
      </c>
      <c r="M90" s="15">
        <v>385553922</v>
      </c>
      <c r="N90" s="15">
        <f>+L90+M90</f>
        <v>577249219</v>
      </c>
      <c r="O90" s="15">
        <v>35923118</v>
      </c>
      <c r="P90" s="15">
        <v>35328138</v>
      </c>
      <c r="Q90" s="15">
        <f>+O90+P90</f>
        <v>71251256</v>
      </c>
      <c r="R90" s="15">
        <f>+L90+O90</f>
        <v>227618415</v>
      </c>
      <c r="S90" s="15">
        <f>+M90+P90</f>
        <v>420882060</v>
      </c>
      <c r="T90" s="16">
        <f>+R90+S90</f>
        <v>648500475</v>
      </c>
      <c r="U90">
        <v>78.144751220000003</v>
      </c>
      <c r="V90">
        <v>129.01505570699999</v>
      </c>
      <c r="W90" s="225">
        <f t="shared" si="0"/>
        <v>1.6509753207068945</v>
      </c>
      <c r="X90" s="240">
        <f t="shared" ref="X90:X121" si="1">+L90/$W90/$AA$85</f>
        <v>116110.33465837772</v>
      </c>
      <c r="Y90" s="240">
        <f t="shared" ref="Y90:Y121" si="2">+M90/$W90/$AA$85</f>
        <v>233531.0026529762</v>
      </c>
      <c r="Z90" s="240">
        <f t="shared" ref="Z90:Z121" si="3">+N90/$W90/$AA$85</f>
        <v>349641.33731135394</v>
      </c>
      <c r="AA90" s="240">
        <f t="shared" ref="AA90:AA121" si="4">+O90/$W90/$AA$85</f>
        <v>21758.72500905639</v>
      </c>
      <c r="AB90" s="240">
        <f t="shared" ref="AB90:AB121" si="5">+P90/$W90/$AA$85</f>
        <v>21398.344092068939</v>
      </c>
      <c r="AC90" s="240">
        <f t="shared" ref="AC90:AC121" si="6">+Q90/$W90/$AA$85</f>
        <v>43157.069101125329</v>
      </c>
      <c r="AD90" s="240">
        <f t="shared" ref="AD90:AD121" si="7">+R90/$W90/$AA$85</f>
        <v>137869.05966743414</v>
      </c>
      <c r="AE90" s="240">
        <f t="shared" ref="AE90:AE121" si="8">+S90/$W90/$AA$85</f>
        <v>254929.34674504513</v>
      </c>
      <c r="AF90" s="240">
        <f t="shared" ref="AF90:AF121" si="9">+T90/$W90/$AA$85</f>
        <v>392798.40641247923</v>
      </c>
      <c r="AG90" s="240">
        <f t="shared" ref="AG90:AG151" si="10">+L90/$AA$85</f>
        <v>191695.29699999999</v>
      </c>
      <c r="AH90" s="240">
        <f t="shared" ref="AH90:AH151" si="11">+M90/$AA$85</f>
        <v>385553.92200000002</v>
      </c>
      <c r="AI90" s="240">
        <f t="shared" ref="AI90:AI151" si="12">+N90/$AA$85</f>
        <v>577249.21900000004</v>
      </c>
      <c r="AJ90" s="240">
        <f t="shared" ref="AJ90:AJ151" si="13">+O90/$AA$85</f>
        <v>35923.118000000002</v>
      </c>
      <c r="AK90" s="240">
        <f t="shared" ref="AK90:AK151" si="14">+P90/$AA$85</f>
        <v>35328.137999999999</v>
      </c>
      <c r="AL90" s="240">
        <f t="shared" ref="AL90:AL151" si="15">+Q90/$AA$85</f>
        <v>71251.255999999994</v>
      </c>
      <c r="AM90" s="240">
        <f t="shared" ref="AM90:AM151" si="16">+R90/$AA$85</f>
        <v>227618.41500000001</v>
      </c>
      <c r="AN90" s="240">
        <f t="shared" ref="AN90:AN151" si="17">+S90/$AA$85</f>
        <v>420882.06</v>
      </c>
      <c r="AO90" s="240">
        <f t="shared" ref="AO90:AO151" si="18">+T90/$AA$85</f>
        <v>648500.47499999998</v>
      </c>
    </row>
    <row r="91" spans="2:41" hidden="1" x14ac:dyDescent="0.25">
      <c r="B91" s="14">
        <v>39753</v>
      </c>
      <c r="C91" s="15">
        <v>1159</v>
      </c>
      <c r="D91" s="15">
        <v>3067</v>
      </c>
      <c r="E91" s="15">
        <v>4226</v>
      </c>
      <c r="F91" s="15">
        <v>294</v>
      </c>
      <c r="G91" s="15">
        <v>290</v>
      </c>
      <c r="H91" s="15">
        <v>584</v>
      </c>
      <c r="I91" s="15">
        <v>1453</v>
      </c>
      <c r="J91" s="15">
        <v>3357</v>
      </c>
      <c r="K91" s="16">
        <v>4810</v>
      </c>
      <c r="L91" s="15">
        <v>85654067</v>
      </c>
      <c r="M91" s="15">
        <v>192967990</v>
      </c>
      <c r="N91" s="15">
        <f t="shared" ref="N91:N154" si="19">+L91+M91</f>
        <v>278622057</v>
      </c>
      <c r="O91" s="15">
        <v>19636312</v>
      </c>
      <c r="P91" s="15">
        <v>20520752</v>
      </c>
      <c r="Q91" s="15">
        <f t="shared" ref="Q91:Q154" si="20">+O91+P91</f>
        <v>40157064</v>
      </c>
      <c r="R91" s="15">
        <f t="shared" ref="R91:R154" si="21">+L91+O91</f>
        <v>105290379</v>
      </c>
      <c r="S91" s="15">
        <f t="shared" ref="S91:S154" si="22">+M91+P91</f>
        <v>213488742</v>
      </c>
      <c r="T91" s="16">
        <f t="shared" ref="T91:T154" si="23">+R91+S91</f>
        <v>318779121</v>
      </c>
      <c r="U91">
        <v>78.04899709</v>
      </c>
      <c r="V91">
        <v>129.01505570699999</v>
      </c>
      <c r="W91" s="225">
        <f t="shared" si="0"/>
        <v>1.6530008138122507</v>
      </c>
      <c r="X91" s="240">
        <f t="shared" si="1"/>
        <v>51817.3168968135</v>
      </c>
      <c r="Y91" s="240">
        <f t="shared" si="2"/>
        <v>116737.98850405011</v>
      </c>
      <c r="Z91" s="240">
        <f t="shared" si="3"/>
        <v>168555.30540086361</v>
      </c>
      <c r="AA91" s="240">
        <f t="shared" si="4"/>
        <v>11879.190763804614</v>
      </c>
      <c r="AB91" s="240">
        <f t="shared" si="5"/>
        <v>12414.241922043462</v>
      </c>
      <c r="AC91" s="240">
        <f t="shared" si="6"/>
        <v>24293.432685848074</v>
      </c>
      <c r="AD91" s="240">
        <f t="shared" si="7"/>
        <v>63696.50766061811</v>
      </c>
      <c r="AE91" s="240">
        <f t="shared" si="8"/>
        <v>129152.23042609356</v>
      </c>
      <c r="AF91" s="240">
        <f t="shared" si="9"/>
        <v>192848.73808671167</v>
      </c>
      <c r="AG91" s="240">
        <f t="shared" si="10"/>
        <v>85654.066999999995</v>
      </c>
      <c r="AH91" s="240">
        <f t="shared" si="11"/>
        <v>192967.99</v>
      </c>
      <c r="AI91" s="240">
        <f t="shared" si="12"/>
        <v>278622.05699999997</v>
      </c>
      <c r="AJ91" s="240">
        <f t="shared" si="13"/>
        <v>19636.312000000002</v>
      </c>
      <c r="AK91" s="240">
        <f t="shared" si="14"/>
        <v>20520.752</v>
      </c>
      <c r="AL91" s="240">
        <f t="shared" si="15"/>
        <v>40157.063999999998</v>
      </c>
      <c r="AM91" s="240">
        <f t="shared" si="16"/>
        <v>105290.379</v>
      </c>
      <c r="AN91" s="240">
        <f t="shared" si="17"/>
        <v>213488.742</v>
      </c>
      <c r="AO91" s="240">
        <f t="shared" si="18"/>
        <v>318779.12099999998</v>
      </c>
    </row>
    <row r="92" spans="2:41" hidden="1" x14ac:dyDescent="0.25">
      <c r="B92" s="17">
        <v>39783</v>
      </c>
      <c r="C92" s="18">
        <v>1234</v>
      </c>
      <c r="D92" s="18">
        <v>3251</v>
      </c>
      <c r="E92" s="18">
        <v>4485</v>
      </c>
      <c r="F92" s="18">
        <v>348</v>
      </c>
      <c r="G92" s="18">
        <v>352</v>
      </c>
      <c r="H92" s="18">
        <v>700</v>
      </c>
      <c r="I92" s="19">
        <v>1582</v>
      </c>
      <c r="J92" s="19">
        <v>3603</v>
      </c>
      <c r="K92" s="19">
        <v>5185</v>
      </c>
      <c r="L92" s="18">
        <v>107688464</v>
      </c>
      <c r="M92" s="18">
        <v>198565283</v>
      </c>
      <c r="N92" s="18">
        <f t="shared" si="19"/>
        <v>306253747</v>
      </c>
      <c r="O92" s="18">
        <v>20228436</v>
      </c>
      <c r="P92" s="18">
        <v>21138228</v>
      </c>
      <c r="Q92" s="18">
        <f t="shared" si="20"/>
        <v>41366664</v>
      </c>
      <c r="R92" s="18">
        <f t="shared" si="21"/>
        <v>127916900</v>
      </c>
      <c r="S92" s="18">
        <f t="shared" si="22"/>
        <v>219703511</v>
      </c>
      <c r="T92" s="18">
        <f t="shared" si="23"/>
        <v>347620411</v>
      </c>
      <c r="U92">
        <v>77.128789299999994</v>
      </c>
      <c r="V92">
        <v>129.01505570699999</v>
      </c>
      <c r="W92" s="225">
        <f t="shared" si="0"/>
        <v>1.6727224280052324</v>
      </c>
      <c r="X92" s="240">
        <f t="shared" si="1"/>
        <v>64379.159504916461</v>
      </c>
      <c r="Y92" s="240">
        <f t="shared" si="2"/>
        <v>118707.84995499496</v>
      </c>
      <c r="Z92" s="240">
        <f t="shared" si="3"/>
        <v>183087.00945991144</v>
      </c>
      <c r="AA92" s="240">
        <f t="shared" si="4"/>
        <v>12093.121764453752</v>
      </c>
      <c r="AB92" s="240">
        <f t="shared" si="5"/>
        <v>12637.020731053339</v>
      </c>
      <c r="AC92" s="240">
        <f t="shared" si="6"/>
        <v>24730.142495507091</v>
      </c>
      <c r="AD92" s="240">
        <f t="shared" si="7"/>
        <v>76472.281269370214</v>
      </c>
      <c r="AE92" s="240">
        <f t="shared" si="8"/>
        <v>131344.87068604832</v>
      </c>
      <c r="AF92" s="240">
        <f t="shared" si="9"/>
        <v>207817.15195541852</v>
      </c>
      <c r="AG92" s="240">
        <f t="shared" si="10"/>
        <v>107688.46400000001</v>
      </c>
      <c r="AH92" s="240">
        <f t="shared" si="11"/>
        <v>198565.283</v>
      </c>
      <c r="AI92" s="240">
        <f t="shared" si="12"/>
        <v>306253.74699999997</v>
      </c>
      <c r="AJ92" s="240">
        <f t="shared" si="13"/>
        <v>20228.436000000002</v>
      </c>
      <c r="AK92" s="240">
        <f t="shared" si="14"/>
        <v>21138.227999999999</v>
      </c>
      <c r="AL92" s="240">
        <f t="shared" si="15"/>
        <v>41366.663999999997</v>
      </c>
      <c r="AM92" s="240">
        <f t="shared" si="16"/>
        <v>127916.9</v>
      </c>
      <c r="AN92" s="240">
        <f t="shared" si="17"/>
        <v>219703.511</v>
      </c>
      <c r="AO92" s="240">
        <f t="shared" si="18"/>
        <v>347620.41100000002</v>
      </c>
    </row>
    <row r="93" spans="2:41" hidden="1" x14ac:dyDescent="0.25">
      <c r="B93" s="14">
        <v>39814</v>
      </c>
      <c r="C93" s="15">
        <v>1765</v>
      </c>
      <c r="D93" s="15">
        <v>4434</v>
      </c>
      <c r="E93" s="15">
        <v>6199</v>
      </c>
      <c r="F93" s="15">
        <v>481</v>
      </c>
      <c r="G93" s="15">
        <v>468</v>
      </c>
      <c r="H93" s="15">
        <v>949</v>
      </c>
      <c r="I93" s="15">
        <v>2246</v>
      </c>
      <c r="J93" s="15">
        <v>4902</v>
      </c>
      <c r="K93" s="16">
        <v>7148</v>
      </c>
      <c r="L93" s="15">
        <v>194887690</v>
      </c>
      <c r="M93" s="15">
        <v>386551685</v>
      </c>
      <c r="N93" s="15">
        <f t="shared" si="19"/>
        <v>581439375</v>
      </c>
      <c r="O93" s="15">
        <v>43687880</v>
      </c>
      <c r="P93" s="15">
        <v>38038701</v>
      </c>
      <c r="Q93" s="15">
        <f t="shared" si="20"/>
        <v>81726581</v>
      </c>
      <c r="R93" s="15">
        <f t="shared" si="21"/>
        <v>238575570</v>
      </c>
      <c r="S93" s="15">
        <f t="shared" si="22"/>
        <v>424590386</v>
      </c>
      <c r="T93" s="16">
        <f t="shared" si="23"/>
        <v>663165956</v>
      </c>
      <c r="U93">
        <v>76.540568890000003</v>
      </c>
      <c r="V93">
        <v>129.01505570699999</v>
      </c>
      <c r="W93" s="225">
        <f t="shared" si="0"/>
        <v>1.6855774340064482</v>
      </c>
      <c r="X93" s="240">
        <f t="shared" si="1"/>
        <v>115620.72798801746</v>
      </c>
      <c r="Y93" s="240">
        <f t="shared" si="2"/>
        <v>229328.9392710992</v>
      </c>
      <c r="Z93" s="240">
        <f t="shared" si="3"/>
        <v>344949.66725911666</v>
      </c>
      <c r="AA93" s="240">
        <f t="shared" si="4"/>
        <v>25918.643141868779</v>
      </c>
      <c r="AB93" s="240">
        <f t="shared" si="5"/>
        <v>22567.163176589183</v>
      </c>
      <c r="AC93" s="240">
        <f t="shared" si="6"/>
        <v>48485.806318457959</v>
      </c>
      <c r="AD93" s="240">
        <f t="shared" si="7"/>
        <v>141539.37112988625</v>
      </c>
      <c r="AE93" s="240">
        <f t="shared" si="8"/>
        <v>251896.1024476884</v>
      </c>
      <c r="AF93" s="240">
        <f t="shared" si="9"/>
        <v>393435.47357757459</v>
      </c>
      <c r="AG93" s="240">
        <f t="shared" si="10"/>
        <v>194887.69</v>
      </c>
      <c r="AH93" s="240">
        <f t="shared" si="11"/>
        <v>386551.685</v>
      </c>
      <c r="AI93" s="240">
        <f t="shared" si="12"/>
        <v>581439.375</v>
      </c>
      <c r="AJ93" s="240">
        <f t="shared" si="13"/>
        <v>43687.88</v>
      </c>
      <c r="AK93" s="240">
        <f t="shared" si="14"/>
        <v>38038.701000000001</v>
      </c>
      <c r="AL93" s="240">
        <f t="shared" si="15"/>
        <v>81726.581000000006</v>
      </c>
      <c r="AM93" s="240">
        <f t="shared" si="16"/>
        <v>238575.57</v>
      </c>
      <c r="AN93" s="240">
        <f t="shared" si="17"/>
        <v>424590.386</v>
      </c>
      <c r="AO93" s="240">
        <f t="shared" si="18"/>
        <v>663165.95600000001</v>
      </c>
    </row>
    <row r="94" spans="2:41" hidden="1" x14ac:dyDescent="0.25">
      <c r="B94" s="14">
        <v>39845</v>
      </c>
      <c r="C94" s="15">
        <v>2132</v>
      </c>
      <c r="D94" s="15">
        <v>5048</v>
      </c>
      <c r="E94" s="15">
        <v>7180</v>
      </c>
      <c r="F94" s="15">
        <v>584</v>
      </c>
      <c r="G94" s="15">
        <v>596</v>
      </c>
      <c r="H94" s="15">
        <v>1180</v>
      </c>
      <c r="I94" s="15">
        <v>2716</v>
      </c>
      <c r="J94" s="15">
        <v>5644</v>
      </c>
      <c r="K94" s="16">
        <v>8360</v>
      </c>
      <c r="L94" s="15">
        <v>156341312</v>
      </c>
      <c r="M94" s="15">
        <v>297761340</v>
      </c>
      <c r="N94" s="15">
        <f t="shared" si="19"/>
        <v>454102652</v>
      </c>
      <c r="O94" s="15">
        <v>43785755</v>
      </c>
      <c r="P94" s="15">
        <v>47118131</v>
      </c>
      <c r="Q94" s="15">
        <f t="shared" si="20"/>
        <v>90903886</v>
      </c>
      <c r="R94" s="15">
        <f t="shared" si="21"/>
        <v>200127067</v>
      </c>
      <c r="S94" s="15">
        <f t="shared" si="22"/>
        <v>344879471</v>
      </c>
      <c r="T94" s="16">
        <f t="shared" si="23"/>
        <v>545006538</v>
      </c>
      <c r="U94">
        <v>76.261696380000004</v>
      </c>
      <c r="V94">
        <v>129.01505570699999</v>
      </c>
      <c r="W94" s="225">
        <f t="shared" si="0"/>
        <v>1.6917412256886906</v>
      </c>
      <c r="X94" s="240">
        <f t="shared" si="1"/>
        <v>92414.436455170653</v>
      </c>
      <c r="Y94" s="240">
        <f t="shared" si="2"/>
        <v>176008.79820067305</v>
      </c>
      <c r="Z94" s="240">
        <f t="shared" si="3"/>
        <v>268423.2346558437</v>
      </c>
      <c r="AA94" s="240">
        <f t="shared" si="4"/>
        <v>25882.064192279329</v>
      </c>
      <c r="AB94" s="240">
        <f t="shared" si="5"/>
        <v>27851.854813562688</v>
      </c>
      <c r="AC94" s="240">
        <f t="shared" si="6"/>
        <v>53733.919005842014</v>
      </c>
      <c r="AD94" s="240">
        <f t="shared" si="7"/>
        <v>118296.50064744997</v>
      </c>
      <c r="AE94" s="240">
        <f t="shared" si="8"/>
        <v>203860.65301423572</v>
      </c>
      <c r="AF94" s="240">
        <f t="shared" si="9"/>
        <v>322157.1536616857</v>
      </c>
      <c r="AG94" s="240">
        <f t="shared" si="10"/>
        <v>156341.31200000001</v>
      </c>
      <c r="AH94" s="240">
        <f t="shared" si="11"/>
        <v>297761.34000000003</v>
      </c>
      <c r="AI94" s="240">
        <f t="shared" si="12"/>
        <v>454102.652</v>
      </c>
      <c r="AJ94" s="240">
        <f t="shared" si="13"/>
        <v>43785.754999999997</v>
      </c>
      <c r="AK94" s="240">
        <f t="shared" si="14"/>
        <v>47118.131000000001</v>
      </c>
      <c r="AL94" s="240">
        <f t="shared" si="15"/>
        <v>90903.885999999999</v>
      </c>
      <c r="AM94" s="240">
        <f t="shared" si="16"/>
        <v>200127.06700000001</v>
      </c>
      <c r="AN94" s="240">
        <f t="shared" si="17"/>
        <v>344879.47100000002</v>
      </c>
      <c r="AO94" s="240">
        <f t="shared" si="18"/>
        <v>545006.53799999994</v>
      </c>
    </row>
    <row r="95" spans="2:41" hidden="1" x14ac:dyDescent="0.25">
      <c r="B95" s="14">
        <v>39873</v>
      </c>
      <c r="C95" s="15">
        <v>2584</v>
      </c>
      <c r="D95" s="15">
        <v>5703</v>
      </c>
      <c r="E95" s="15">
        <v>8287</v>
      </c>
      <c r="F95" s="15">
        <v>703</v>
      </c>
      <c r="G95" s="15">
        <v>787</v>
      </c>
      <c r="H95" s="15">
        <v>1490</v>
      </c>
      <c r="I95" s="15">
        <v>3287</v>
      </c>
      <c r="J95" s="15">
        <v>6490</v>
      </c>
      <c r="K95" s="16">
        <v>9777</v>
      </c>
      <c r="L95" s="15">
        <v>202020432</v>
      </c>
      <c r="M95" s="15">
        <v>330681512</v>
      </c>
      <c r="N95" s="15">
        <f t="shared" si="19"/>
        <v>532701944</v>
      </c>
      <c r="O95" s="15">
        <v>47441952</v>
      </c>
      <c r="P95" s="15">
        <v>61973136</v>
      </c>
      <c r="Q95" s="15">
        <f t="shared" si="20"/>
        <v>109415088</v>
      </c>
      <c r="R95" s="15">
        <f t="shared" si="21"/>
        <v>249462384</v>
      </c>
      <c r="S95" s="15">
        <f t="shared" si="22"/>
        <v>392654648</v>
      </c>
      <c r="T95" s="16">
        <f t="shared" si="23"/>
        <v>642117032</v>
      </c>
      <c r="U95">
        <v>76.560749150000007</v>
      </c>
      <c r="V95">
        <v>129.01505570699999</v>
      </c>
      <c r="W95" s="225">
        <f t="shared" si="0"/>
        <v>1.6851331411900112</v>
      </c>
      <c r="X95" s="240">
        <f t="shared" si="1"/>
        <v>119883.95875790369</v>
      </c>
      <c r="Y95" s="240">
        <f t="shared" si="2"/>
        <v>196234.64990219026</v>
      </c>
      <c r="Z95" s="240">
        <f t="shared" si="3"/>
        <v>316118.60866009397</v>
      </c>
      <c r="AA95" s="240">
        <f t="shared" si="4"/>
        <v>28153.23658431958</v>
      </c>
      <c r="AB95" s="240">
        <f t="shared" si="5"/>
        <v>36776.403291336181</v>
      </c>
      <c r="AC95" s="240">
        <f t="shared" si="6"/>
        <v>64929.639875655761</v>
      </c>
      <c r="AD95" s="240">
        <f t="shared" si="7"/>
        <v>148037.19534222325</v>
      </c>
      <c r="AE95" s="240">
        <f t="shared" si="8"/>
        <v>233011.05319352646</v>
      </c>
      <c r="AF95" s="240">
        <f t="shared" si="9"/>
        <v>381048.24853574974</v>
      </c>
      <c r="AG95" s="240">
        <f t="shared" si="10"/>
        <v>202020.432</v>
      </c>
      <c r="AH95" s="240">
        <f t="shared" si="11"/>
        <v>330681.51199999999</v>
      </c>
      <c r="AI95" s="240">
        <f t="shared" si="12"/>
        <v>532701.94400000002</v>
      </c>
      <c r="AJ95" s="240">
        <f t="shared" si="13"/>
        <v>47441.951999999997</v>
      </c>
      <c r="AK95" s="240">
        <f t="shared" si="14"/>
        <v>61973.135999999999</v>
      </c>
      <c r="AL95" s="240">
        <f t="shared" si="15"/>
        <v>109415.088</v>
      </c>
      <c r="AM95" s="240">
        <f t="shared" si="16"/>
        <v>249462.38399999999</v>
      </c>
      <c r="AN95" s="240">
        <f t="shared" si="17"/>
        <v>392654.64799999999</v>
      </c>
      <c r="AO95" s="240">
        <f t="shared" si="18"/>
        <v>642117.03200000001</v>
      </c>
    </row>
    <row r="96" spans="2:41" hidden="1" x14ac:dyDescent="0.25">
      <c r="B96" s="14">
        <v>39904</v>
      </c>
      <c r="C96" s="15">
        <v>3131</v>
      </c>
      <c r="D96" s="15">
        <v>6499</v>
      </c>
      <c r="E96" s="15">
        <v>9630</v>
      </c>
      <c r="F96" s="15">
        <v>922</v>
      </c>
      <c r="G96" s="15">
        <v>1119</v>
      </c>
      <c r="H96" s="15">
        <v>2041</v>
      </c>
      <c r="I96" s="15">
        <v>4053</v>
      </c>
      <c r="J96" s="15">
        <v>7618</v>
      </c>
      <c r="K96" s="16">
        <v>11671</v>
      </c>
      <c r="L96" s="15">
        <v>281550462</v>
      </c>
      <c r="M96" s="15">
        <v>474237539</v>
      </c>
      <c r="N96" s="15">
        <f t="shared" si="19"/>
        <v>755788001</v>
      </c>
      <c r="O96" s="15">
        <v>79704356</v>
      </c>
      <c r="P96" s="15">
        <v>109278129</v>
      </c>
      <c r="Q96" s="15">
        <f t="shared" si="20"/>
        <v>188982485</v>
      </c>
      <c r="R96" s="15">
        <f t="shared" si="21"/>
        <v>361254818</v>
      </c>
      <c r="S96" s="15">
        <f t="shared" si="22"/>
        <v>583515668</v>
      </c>
      <c r="T96" s="16">
        <f t="shared" si="23"/>
        <v>944770486</v>
      </c>
      <c r="U96">
        <v>76.441391870000004</v>
      </c>
      <c r="V96">
        <v>129.01505570699999</v>
      </c>
      <c r="W96" s="225">
        <f t="shared" si="0"/>
        <v>1.6877643453485167</v>
      </c>
      <c r="X96" s="240">
        <f t="shared" si="1"/>
        <v>166818.58624158869</v>
      </c>
      <c r="Y96" s="240">
        <f t="shared" si="2"/>
        <v>280985.63659494289</v>
      </c>
      <c r="Z96" s="240">
        <f t="shared" si="3"/>
        <v>447804.22283653158</v>
      </c>
      <c r="AA96" s="240">
        <f t="shared" si="4"/>
        <v>47224.813238687871</v>
      </c>
      <c r="AB96" s="240">
        <f t="shared" si="5"/>
        <v>64747.267176943766</v>
      </c>
      <c r="AC96" s="240">
        <f t="shared" si="6"/>
        <v>111972.08041563163</v>
      </c>
      <c r="AD96" s="240">
        <f t="shared" si="7"/>
        <v>214043.39948027657</v>
      </c>
      <c r="AE96" s="240">
        <f t="shared" si="8"/>
        <v>345732.90377188666</v>
      </c>
      <c r="AF96" s="240">
        <f t="shared" si="9"/>
        <v>559776.30325216323</v>
      </c>
      <c r="AG96" s="240">
        <f t="shared" si="10"/>
        <v>281550.462</v>
      </c>
      <c r="AH96" s="240">
        <f t="shared" si="11"/>
        <v>474237.53899999999</v>
      </c>
      <c r="AI96" s="240">
        <f t="shared" si="12"/>
        <v>755788.00100000005</v>
      </c>
      <c r="AJ96" s="240">
        <f t="shared" si="13"/>
        <v>79704.356</v>
      </c>
      <c r="AK96" s="240">
        <f t="shared" si="14"/>
        <v>109278.129</v>
      </c>
      <c r="AL96" s="240">
        <f t="shared" si="15"/>
        <v>188982.48499999999</v>
      </c>
      <c r="AM96" s="240">
        <f t="shared" si="16"/>
        <v>361254.81800000003</v>
      </c>
      <c r="AN96" s="240">
        <f t="shared" si="17"/>
        <v>583515.66799999995</v>
      </c>
      <c r="AO96" s="240">
        <f t="shared" si="18"/>
        <v>944770.48600000003</v>
      </c>
    </row>
    <row r="97" spans="2:41" hidden="1" x14ac:dyDescent="0.25">
      <c r="B97" s="14">
        <v>39934</v>
      </c>
      <c r="C97" s="15">
        <v>3842</v>
      </c>
      <c r="D97" s="15">
        <v>7208</v>
      </c>
      <c r="E97" s="15">
        <v>11050</v>
      </c>
      <c r="F97" s="15">
        <v>1125</v>
      </c>
      <c r="G97" s="15">
        <v>1372</v>
      </c>
      <c r="H97" s="15">
        <v>2497</v>
      </c>
      <c r="I97" s="15">
        <v>4967</v>
      </c>
      <c r="J97" s="15">
        <v>8580</v>
      </c>
      <c r="K97" s="16">
        <v>13547</v>
      </c>
      <c r="L97" s="15">
        <v>331166000</v>
      </c>
      <c r="M97" s="15">
        <v>435187423</v>
      </c>
      <c r="N97" s="15">
        <f t="shared" si="19"/>
        <v>766353423</v>
      </c>
      <c r="O97" s="15">
        <v>83507484</v>
      </c>
      <c r="P97" s="15">
        <v>103344394</v>
      </c>
      <c r="Q97" s="15">
        <f t="shared" si="20"/>
        <v>186851878</v>
      </c>
      <c r="R97" s="15">
        <f t="shared" si="21"/>
        <v>414673484</v>
      </c>
      <c r="S97" s="15">
        <f t="shared" si="22"/>
        <v>538531817</v>
      </c>
      <c r="T97" s="16">
        <f t="shared" si="23"/>
        <v>953205301</v>
      </c>
      <c r="U97">
        <v>76.250226720000001</v>
      </c>
      <c r="V97">
        <v>129.01505570699999</v>
      </c>
      <c r="W97" s="225">
        <f t="shared" si="0"/>
        <v>1.6919956996424257</v>
      </c>
      <c r="X97" s="240">
        <f t="shared" si="1"/>
        <v>195725.0837398619</v>
      </c>
      <c r="Y97" s="240">
        <f t="shared" si="2"/>
        <v>257203.62238034612</v>
      </c>
      <c r="Z97" s="240">
        <f t="shared" si="3"/>
        <v>452928.70612020802</v>
      </c>
      <c r="AA97" s="240">
        <f t="shared" si="4"/>
        <v>49354.430402895159</v>
      </c>
      <c r="AB97" s="240">
        <f t="shared" si="5"/>
        <v>61078.402280715054</v>
      </c>
      <c r="AC97" s="240">
        <f t="shared" si="6"/>
        <v>110432.83268361022</v>
      </c>
      <c r="AD97" s="240">
        <f t="shared" si="7"/>
        <v>245079.51414275705</v>
      </c>
      <c r="AE97" s="240">
        <f t="shared" si="8"/>
        <v>318282.02466106118</v>
      </c>
      <c r="AF97" s="240">
        <f t="shared" si="9"/>
        <v>563361.53880381817</v>
      </c>
      <c r="AG97" s="240">
        <f t="shared" si="10"/>
        <v>331166</v>
      </c>
      <c r="AH97" s="240">
        <f t="shared" si="11"/>
        <v>435187.42300000001</v>
      </c>
      <c r="AI97" s="240">
        <f t="shared" si="12"/>
        <v>766353.42299999995</v>
      </c>
      <c r="AJ97" s="240">
        <f t="shared" si="13"/>
        <v>83507.483999999997</v>
      </c>
      <c r="AK97" s="240">
        <f t="shared" si="14"/>
        <v>103344.394</v>
      </c>
      <c r="AL97" s="240">
        <f t="shared" si="15"/>
        <v>186851.878</v>
      </c>
      <c r="AM97" s="240">
        <f t="shared" si="16"/>
        <v>414673.484</v>
      </c>
      <c r="AN97" s="240">
        <f t="shared" si="17"/>
        <v>538531.81700000004</v>
      </c>
      <c r="AO97" s="240">
        <f t="shared" si="18"/>
        <v>953205.30099999998</v>
      </c>
    </row>
    <row r="98" spans="2:41" hidden="1" x14ac:dyDescent="0.25">
      <c r="B98" s="14">
        <v>39965</v>
      </c>
      <c r="C98" s="15">
        <v>4373</v>
      </c>
      <c r="D98" s="15">
        <v>7817</v>
      </c>
      <c r="E98" s="15">
        <v>12190</v>
      </c>
      <c r="F98" s="15">
        <v>1346</v>
      </c>
      <c r="G98" s="15">
        <v>1674</v>
      </c>
      <c r="H98" s="15">
        <v>3020</v>
      </c>
      <c r="I98" s="15">
        <v>5719</v>
      </c>
      <c r="J98" s="15">
        <v>9491</v>
      </c>
      <c r="K98" s="16">
        <v>15210</v>
      </c>
      <c r="L98" s="15">
        <v>305748999</v>
      </c>
      <c r="M98" s="15">
        <v>439866065</v>
      </c>
      <c r="N98" s="15">
        <f t="shared" si="19"/>
        <v>745615064</v>
      </c>
      <c r="O98" s="15">
        <v>94453398</v>
      </c>
      <c r="P98" s="15">
        <v>122954975</v>
      </c>
      <c r="Q98" s="15">
        <f t="shared" si="20"/>
        <v>217408373</v>
      </c>
      <c r="R98" s="15">
        <f t="shared" si="21"/>
        <v>400202397</v>
      </c>
      <c r="S98" s="15">
        <f t="shared" si="22"/>
        <v>562821040</v>
      </c>
      <c r="T98" s="16">
        <f t="shared" si="23"/>
        <v>963023437</v>
      </c>
      <c r="U98">
        <v>76.514479230000006</v>
      </c>
      <c r="V98">
        <v>129.01505570699999</v>
      </c>
      <c r="W98" s="225">
        <f t="shared" si="0"/>
        <v>1.6861521767557872</v>
      </c>
      <c r="X98" s="240">
        <f t="shared" si="1"/>
        <v>181329.42163516418</v>
      </c>
      <c r="Y98" s="240">
        <f t="shared" si="2"/>
        <v>260869.73113323431</v>
      </c>
      <c r="Z98" s="240">
        <f t="shared" si="3"/>
        <v>442199.15276839846</v>
      </c>
      <c r="AA98" s="240">
        <f t="shared" si="4"/>
        <v>56017.125442219265</v>
      </c>
      <c r="AB98" s="240">
        <f t="shared" si="5"/>
        <v>72920.449704942672</v>
      </c>
      <c r="AC98" s="240">
        <f t="shared" si="6"/>
        <v>128937.57514716194</v>
      </c>
      <c r="AD98" s="240">
        <f t="shared" si="7"/>
        <v>237346.54707738344</v>
      </c>
      <c r="AE98" s="240">
        <f t="shared" si="8"/>
        <v>333790.18083817704</v>
      </c>
      <c r="AF98" s="240">
        <f t="shared" si="9"/>
        <v>571136.72791556048</v>
      </c>
      <c r="AG98" s="240">
        <f t="shared" si="10"/>
        <v>305748.99900000001</v>
      </c>
      <c r="AH98" s="240">
        <f t="shared" si="11"/>
        <v>439866.065</v>
      </c>
      <c r="AI98" s="240">
        <f t="shared" si="12"/>
        <v>745615.06400000001</v>
      </c>
      <c r="AJ98" s="240">
        <f t="shared" si="13"/>
        <v>94453.398000000001</v>
      </c>
      <c r="AK98" s="240">
        <f t="shared" si="14"/>
        <v>122954.97500000001</v>
      </c>
      <c r="AL98" s="240">
        <f t="shared" si="15"/>
        <v>217408.37299999999</v>
      </c>
      <c r="AM98" s="240">
        <f t="shared" si="16"/>
        <v>400202.397</v>
      </c>
      <c r="AN98" s="240">
        <f t="shared" si="17"/>
        <v>562821.04</v>
      </c>
      <c r="AO98" s="240">
        <f t="shared" si="18"/>
        <v>963023.43700000003</v>
      </c>
    </row>
    <row r="99" spans="2:41" hidden="1" x14ac:dyDescent="0.25">
      <c r="B99" s="14">
        <v>39995</v>
      </c>
      <c r="C99" s="15">
        <v>4882</v>
      </c>
      <c r="D99" s="15">
        <v>8395</v>
      </c>
      <c r="E99" s="15">
        <v>13277</v>
      </c>
      <c r="F99" s="15">
        <v>1670</v>
      </c>
      <c r="G99" s="15">
        <v>2118</v>
      </c>
      <c r="H99" s="15">
        <v>3788</v>
      </c>
      <c r="I99" s="15">
        <v>6552</v>
      </c>
      <c r="J99" s="15">
        <v>10513</v>
      </c>
      <c r="K99" s="16">
        <v>17065</v>
      </c>
      <c r="L99" s="15">
        <v>424219133</v>
      </c>
      <c r="M99" s="15">
        <v>635123794</v>
      </c>
      <c r="N99" s="15">
        <f t="shared" si="19"/>
        <v>1059342927</v>
      </c>
      <c r="O99" s="15">
        <v>172993990</v>
      </c>
      <c r="P99" s="15">
        <v>222382190</v>
      </c>
      <c r="Q99" s="15">
        <f t="shared" si="20"/>
        <v>395376180</v>
      </c>
      <c r="R99" s="15">
        <f t="shared" si="21"/>
        <v>597213123</v>
      </c>
      <c r="S99" s="15">
        <f t="shared" si="22"/>
        <v>857505984</v>
      </c>
      <c r="T99" s="16">
        <f t="shared" si="23"/>
        <v>1454719107</v>
      </c>
      <c r="U99">
        <v>76.177530309999995</v>
      </c>
      <c r="V99">
        <v>129.01505570699999</v>
      </c>
      <c r="W99" s="225">
        <f t="shared" si="0"/>
        <v>1.6936103754214764</v>
      </c>
      <c r="X99" s="240">
        <f t="shared" si="1"/>
        <v>250482.12927629691</v>
      </c>
      <c r="Y99" s="240">
        <f t="shared" si="2"/>
        <v>375011.75194556854</v>
      </c>
      <c r="Z99" s="240">
        <f t="shared" si="3"/>
        <v>625493.88122186554</v>
      </c>
      <c r="AA99" s="240">
        <f t="shared" si="4"/>
        <v>102145.0934114337</v>
      </c>
      <c r="AB99" s="240">
        <f t="shared" si="5"/>
        <v>131306.58221473009</v>
      </c>
      <c r="AC99" s="240">
        <f t="shared" si="6"/>
        <v>233451.67562616381</v>
      </c>
      <c r="AD99" s="240">
        <f t="shared" si="7"/>
        <v>352627.22268773062</v>
      </c>
      <c r="AE99" s="240">
        <f t="shared" si="8"/>
        <v>506318.33416029869</v>
      </c>
      <c r="AF99" s="240">
        <f t="shared" si="9"/>
        <v>858945.55684802926</v>
      </c>
      <c r="AG99" s="240">
        <f t="shared" si="10"/>
        <v>424219.13299999997</v>
      </c>
      <c r="AH99" s="240">
        <f t="shared" si="11"/>
        <v>635123.79399999999</v>
      </c>
      <c r="AI99" s="240">
        <f t="shared" si="12"/>
        <v>1059342.9269999999</v>
      </c>
      <c r="AJ99" s="240">
        <f t="shared" si="13"/>
        <v>172993.99</v>
      </c>
      <c r="AK99" s="240">
        <f t="shared" si="14"/>
        <v>222382.19</v>
      </c>
      <c r="AL99" s="240">
        <f t="shared" si="15"/>
        <v>395376.18</v>
      </c>
      <c r="AM99" s="240">
        <f t="shared" si="16"/>
        <v>597213.12300000002</v>
      </c>
      <c r="AN99" s="240">
        <f t="shared" si="17"/>
        <v>857505.98400000005</v>
      </c>
      <c r="AO99" s="240">
        <f t="shared" si="18"/>
        <v>1454719.1070000001</v>
      </c>
    </row>
    <row r="100" spans="2:41" hidden="1" x14ac:dyDescent="0.25">
      <c r="B100" s="14">
        <v>40026</v>
      </c>
      <c r="C100" s="15">
        <v>5603</v>
      </c>
      <c r="D100" s="15">
        <v>9052</v>
      </c>
      <c r="E100" s="15">
        <v>14655</v>
      </c>
      <c r="F100" s="15">
        <v>1969</v>
      </c>
      <c r="G100" s="15">
        <v>2469</v>
      </c>
      <c r="H100" s="15">
        <v>4438</v>
      </c>
      <c r="I100" s="15">
        <v>7572</v>
      </c>
      <c r="J100" s="15">
        <v>11521</v>
      </c>
      <c r="K100" s="16">
        <v>19093</v>
      </c>
      <c r="L100" s="15">
        <v>579269980</v>
      </c>
      <c r="M100" s="15">
        <v>737039569</v>
      </c>
      <c r="N100" s="15">
        <f t="shared" si="19"/>
        <v>1316309549</v>
      </c>
      <c r="O100" s="15">
        <v>179837233</v>
      </c>
      <c r="P100" s="15">
        <v>230495621</v>
      </c>
      <c r="Q100" s="15">
        <f t="shared" si="20"/>
        <v>410332854</v>
      </c>
      <c r="R100" s="15">
        <f t="shared" si="21"/>
        <v>759107213</v>
      </c>
      <c r="S100" s="15">
        <f t="shared" si="22"/>
        <v>967535190</v>
      </c>
      <c r="T100" s="16">
        <f t="shared" si="23"/>
        <v>1726642403</v>
      </c>
      <c r="U100">
        <v>75.903217299999994</v>
      </c>
      <c r="V100">
        <v>129.01505570699999</v>
      </c>
      <c r="W100" s="225">
        <f t="shared" si="0"/>
        <v>1.6997310561564298</v>
      </c>
      <c r="X100" s="240">
        <f t="shared" si="1"/>
        <v>340800.96254162258</v>
      </c>
      <c r="Y100" s="240">
        <f t="shared" si="2"/>
        <v>433621.28751512832</v>
      </c>
      <c r="Z100" s="240">
        <f t="shared" si="3"/>
        <v>774422.25005675084</v>
      </c>
      <c r="AA100" s="240">
        <f t="shared" si="4"/>
        <v>105803.34597560544</v>
      </c>
      <c r="AB100" s="240">
        <f t="shared" si="5"/>
        <v>135607.11276360124</v>
      </c>
      <c r="AC100" s="240">
        <f t="shared" si="6"/>
        <v>241410.45873920666</v>
      </c>
      <c r="AD100" s="240">
        <f t="shared" si="7"/>
        <v>446604.308517228</v>
      </c>
      <c r="AE100" s="240">
        <f t="shared" si="8"/>
        <v>569228.4002787295</v>
      </c>
      <c r="AF100" s="240">
        <f t="shared" si="9"/>
        <v>1015832.7087959576</v>
      </c>
      <c r="AG100" s="240">
        <f t="shared" si="10"/>
        <v>579269.98</v>
      </c>
      <c r="AH100" s="240">
        <f t="shared" si="11"/>
        <v>737039.56900000002</v>
      </c>
      <c r="AI100" s="240">
        <f t="shared" si="12"/>
        <v>1316309.5490000001</v>
      </c>
      <c r="AJ100" s="240">
        <f t="shared" si="13"/>
        <v>179837.23300000001</v>
      </c>
      <c r="AK100" s="240">
        <f t="shared" si="14"/>
        <v>230495.62100000001</v>
      </c>
      <c r="AL100" s="240">
        <f t="shared" si="15"/>
        <v>410332.85399999999</v>
      </c>
      <c r="AM100" s="240">
        <f t="shared" si="16"/>
        <v>759107.21299999999</v>
      </c>
      <c r="AN100" s="240">
        <f t="shared" si="17"/>
        <v>967535.19</v>
      </c>
      <c r="AO100" s="240">
        <f t="shared" si="18"/>
        <v>1726642.4029999999</v>
      </c>
    </row>
    <row r="101" spans="2:41" hidden="1" x14ac:dyDescent="0.25">
      <c r="B101" s="14">
        <v>40057</v>
      </c>
      <c r="C101" s="15">
        <v>15010</v>
      </c>
      <c r="D101" s="15">
        <v>12193</v>
      </c>
      <c r="E101" s="15">
        <v>27203</v>
      </c>
      <c r="F101" s="15">
        <v>2203</v>
      </c>
      <c r="G101" s="15">
        <v>2777</v>
      </c>
      <c r="H101" s="15">
        <v>4980</v>
      </c>
      <c r="I101" s="15">
        <v>17213</v>
      </c>
      <c r="J101" s="15">
        <v>14970</v>
      </c>
      <c r="K101" s="16">
        <v>32183</v>
      </c>
      <c r="L101" s="15">
        <v>989777643</v>
      </c>
      <c r="M101" s="15">
        <v>957691029</v>
      </c>
      <c r="N101" s="15">
        <f t="shared" si="19"/>
        <v>1947468672</v>
      </c>
      <c r="O101" s="15">
        <v>186413223</v>
      </c>
      <c r="P101" s="15">
        <v>240836118</v>
      </c>
      <c r="Q101" s="15">
        <f t="shared" si="20"/>
        <v>427249341</v>
      </c>
      <c r="R101" s="15">
        <f t="shared" si="21"/>
        <v>1176190866</v>
      </c>
      <c r="S101" s="15">
        <f t="shared" si="22"/>
        <v>1198527147</v>
      </c>
      <c r="T101" s="16">
        <f t="shared" si="23"/>
        <v>2374718013</v>
      </c>
      <c r="U101">
        <v>76.648749370000004</v>
      </c>
      <c r="V101">
        <v>129.01505570699999</v>
      </c>
      <c r="W101" s="225">
        <f t="shared" si="0"/>
        <v>1.6831984444288393</v>
      </c>
      <c r="X101" s="240">
        <f t="shared" si="1"/>
        <v>588033.8389546586</v>
      </c>
      <c r="Y101" s="240">
        <f t="shared" si="2"/>
        <v>568970.95655585278</v>
      </c>
      <c r="Z101" s="240">
        <f t="shared" si="3"/>
        <v>1157004.7955105114</v>
      </c>
      <c r="AA101" s="240">
        <f t="shared" si="4"/>
        <v>110749.40308850851</v>
      </c>
      <c r="AB101" s="240">
        <f t="shared" si="5"/>
        <v>143082.42667234823</v>
      </c>
      <c r="AC101" s="240">
        <f t="shared" si="6"/>
        <v>253831.82976085675</v>
      </c>
      <c r="AD101" s="240">
        <f t="shared" si="7"/>
        <v>698783.24204316712</v>
      </c>
      <c r="AE101" s="240">
        <f t="shared" si="8"/>
        <v>712053.38322820095</v>
      </c>
      <c r="AF101" s="240">
        <f t="shared" si="9"/>
        <v>1410836.6252713681</v>
      </c>
      <c r="AG101" s="240">
        <f t="shared" si="10"/>
        <v>989777.64300000004</v>
      </c>
      <c r="AH101" s="240">
        <f t="shared" si="11"/>
        <v>957691.02899999998</v>
      </c>
      <c r="AI101" s="240">
        <f t="shared" si="12"/>
        <v>1947468.672</v>
      </c>
      <c r="AJ101" s="240">
        <f t="shared" si="13"/>
        <v>186413.223</v>
      </c>
      <c r="AK101" s="240">
        <f t="shared" si="14"/>
        <v>240836.11799999999</v>
      </c>
      <c r="AL101" s="240">
        <f t="shared" si="15"/>
        <v>427249.34100000001</v>
      </c>
      <c r="AM101" s="240">
        <f t="shared" si="16"/>
        <v>1176190.8659999999</v>
      </c>
      <c r="AN101" s="240">
        <f t="shared" si="17"/>
        <v>1198527.1470000001</v>
      </c>
      <c r="AO101" s="240">
        <f t="shared" si="18"/>
        <v>2374718.0129999998</v>
      </c>
    </row>
    <row r="102" spans="2:41" hidden="1" x14ac:dyDescent="0.25">
      <c r="B102" s="14">
        <v>40087</v>
      </c>
      <c r="C102" s="15">
        <v>70157</v>
      </c>
      <c r="D102" s="15">
        <v>98877</v>
      </c>
      <c r="E102" s="15">
        <v>169034</v>
      </c>
      <c r="F102" s="15">
        <v>3042</v>
      </c>
      <c r="G102" s="15">
        <v>3876</v>
      </c>
      <c r="H102" s="15">
        <v>6918</v>
      </c>
      <c r="I102" s="15">
        <v>73199</v>
      </c>
      <c r="J102" s="15">
        <v>102753</v>
      </c>
      <c r="K102" s="16">
        <v>175952</v>
      </c>
      <c r="L102" s="15">
        <v>2976202751</v>
      </c>
      <c r="M102" s="15">
        <v>4711096314</v>
      </c>
      <c r="N102" s="15">
        <f t="shared" si="19"/>
        <v>7687299065</v>
      </c>
      <c r="O102" s="15">
        <v>324540829</v>
      </c>
      <c r="P102" s="15">
        <v>432331835</v>
      </c>
      <c r="Q102" s="15">
        <f t="shared" si="20"/>
        <v>756872664</v>
      </c>
      <c r="R102" s="15">
        <f t="shared" si="21"/>
        <v>3300743580</v>
      </c>
      <c r="S102" s="15">
        <f t="shared" si="22"/>
        <v>5143428149</v>
      </c>
      <c r="T102" s="16">
        <f t="shared" si="23"/>
        <v>8444171729</v>
      </c>
      <c r="U102">
        <v>76.646904160000005</v>
      </c>
      <c r="V102">
        <v>129.01505570699999</v>
      </c>
      <c r="W102" s="225">
        <f t="shared" si="0"/>
        <v>1.6832389660211422</v>
      </c>
      <c r="X102" s="240">
        <f t="shared" si="1"/>
        <v>1768140.3597940577</v>
      </c>
      <c r="Y102" s="240">
        <f t="shared" si="2"/>
        <v>2798827.979330908</v>
      </c>
      <c r="Z102" s="240">
        <f t="shared" si="3"/>
        <v>4566968.3391249655</v>
      </c>
      <c r="AA102" s="240">
        <f t="shared" si="4"/>
        <v>192807.34081813291</v>
      </c>
      <c r="AB102" s="240">
        <f t="shared" si="5"/>
        <v>256845.19175667048</v>
      </c>
      <c r="AC102" s="240">
        <f t="shared" si="6"/>
        <v>449652.53257480334</v>
      </c>
      <c r="AD102" s="240">
        <f t="shared" si="7"/>
        <v>1960947.7006121904</v>
      </c>
      <c r="AE102" s="240">
        <f t="shared" si="8"/>
        <v>3055673.1710875784</v>
      </c>
      <c r="AF102" s="240">
        <f t="shared" si="9"/>
        <v>5016620.871699769</v>
      </c>
      <c r="AG102" s="240">
        <f t="shared" si="10"/>
        <v>2976202.7510000002</v>
      </c>
      <c r="AH102" s="240">
        <f t="shared" si="11"/>
        <v>4711096.3140000002</v>
      </c>
      <c r="AI102" s="240">
        <f t="shared" si="12"/>
        <v>7687299.0650000004</v>
      </c>
      <c r="AJ102" s="240">
        <f t="shared" si="13"/>
        <v>324540.82900000003</v>
      </c>
      <c r="AK102" s="240">
        <f t="shared" si="14"/>
        <v>432331.83500000002</v>
      </c>
      <c r="AL102" s="240">
        <f t="shared" si="15"/>
        <v>756872.66399999999</v>
      </c>
      <c r="AM102" s="240">
        <f t="shared" si="16"/>
        <v>3300743.58</v>
      </c>
      <c r="AN102" s="240">
        <f t="shared" si="17"/>
        <v>5143428.1490000002</v>
      </c>
      <c r="AO102" s="240">
        <f t="shared" si="18"/>
        <v>8444171.7290000003</v>
      </c>
    </row>
    <row r="103" spans="2:41" hidden="1" x14ac:dyDescent="0.25">
      <c r="B103" s="14">
        <v>40118</v>
      </c>
      <c r="C103" s="15">
        <v>85364</v>
      </c>
      <c r="D103" s="15">
        <v>118191</v>
      </c>
      <c r="E103" s="15">
        <v>203555</v>
      </c>
      <c r="F103" s="15">
        <v>3394</v>
      </c>
      <c r="G103" s="15">
        <v>4342</v>
      </c>
      <c r="H103" s="15">
        <v>7736</v>
      </c>
      <c r="I103" s="15">
        <v>88758</v>
      </c>
      <c r="J103" s="15">
        <v>122533</v>
      </c>
      <c r="K103" s="16">
        <v>211291</v>
      </c>
      <c r="L103" s="15">
        <v>2120002026</v>
      </c>
      <c r="M103" s="15">
        <v>2839653290</v>
      </c>
      <c r="N103" s="15">
        <f t="shared" si="19"/>
        <v>4959655316</v>
      </c>
      <c r="O103" s="15">
        <v>289394586</v>
      </c>
      <c r="P103" s="15">
        <v>379201822</v>
      </c>
      <c r="Q103" s="15">
        <f t="shared" si="20"/>
        <v>668596408</v>
      </c>
      <c r="R103" s="15">
        <f t="shared" si="21"/>
        <v>2409396612</v>
      </c>
      <c r="S103" s="15">
        <f t="shared" si="22"/>
        <v>3218855112</v>
      </c>
      <c r="T103" s="16">
        <f t="shared" si="23"/>
        <v>5628251724</v>
      </c>
      <c r="U103">
        <v>76.297590920000005</v>
      </c>
      <c r="V103">
        <v>129.01505570699999</v>
      </c>
      <c r="W103" s="225">
        <f t="shared" si="0"/>
        <v>1.6909453385268167</v>
      </c>
      <c r="X103" s="240">
        <f t="shared" si="1"/>
        <v>1253737.762952755</v>
      </c>
      <c r="Y103" s="240">
        <f t="shared" si="2"/>
        <v>1679328.849549897</v>
      </c>
      <c r="Z103" s="240">
        <f t="shared" si="3"/>
        <v>2933066.6125026518</v>
      </c>
      <c r="AA103" s="240">
        <f t="shared" si="4"/>
        <v>171143.66704019302</v>
      </c>
      <c r="AB103" s="240">
        <f t="shared" si="5"/>
        <v>224254.33475594647</v>
      </c>
      <c r="AC103" s="240">
        <f t="shared" si="6"/>
        <v>395398.00179613946</v>
      </c>
      <c r="AD103" s="240">
        <f t="shared" si="7"/>
        <v>1424881.4299929477</v>
      </c>
      <c r="AE103" s="240">
        <f t="shared" si="8"/>
        <v>1903583.1843058434</v>
      </c>
      <c r="AF103" s="240">
        <f t="shared" si="9"/>
        <v>3328464.6142987916</v>
      </c>
      <c r="AG103" s="240">
        <f t="shared" si="10"/>
        <v>2120002.0260000001</v>
      </c>
      <c r="AH103" s="240">
        <f t="shared" si="11"/>
        <v>2839653.29</v>
      </c>
      <c r="AI103" s="240">
        <f t="shared" si="12"/>
        <v>4959655.3159999996</v>
      </c>
      <c r="AJ103" s="240">
        <f t="shared" si="13"/>
        <v>289394.58600000001</v>
      </c>
      <c r="AK103" s="240">
        <f t="shared" si="14"/>
        <v>379201.82199999999</v>
      </c>
      <c r="AL103" s="240">
        <f t="shared" si="15"/>
        <v>668596.40800000005</v>
      </c>
      <c r="AM103" s="240">
        <f t="shared" si="16"/>
        <v>2409396.6120000002</v>
      </c>
      <c r="AN103" s="240">
        <f t="shared" si="17"/>
        <v>3218855.1120000002</v>
      </c>
      <c r="AO103" s="240">
        <f t="shared" si="18"/>
        <v>5628251.7240000004</v>
      </c>
    </row>
    <row r="104" spans="2:41" hidden="1" x14ac:dyDescent="0.25">
      <c r="B104" s="17">
        <v>40148</v>
      </c>
      <c r="C104" s="18">
        <v>100434</v>
      </c>
      <c r="D104" s="18">
        <v>137544</v>
      </c>
      <c r="E104" s="18">
        <v>237978</v>
      </c>
      <c r="F104" s="18">
        <v>3798</v>
      </c>
      <c r="G104" s="18">
        <v>4968</v>
      </c>
      <c r="H104" s="18">
        <v>8766</v>
      </c>
      <c r="I104" s="19">
        <v>104232</v>
      </c>
      <c r="J104" s="19">
        <v>142512</v>
      </c>
      <c r="K104" s="19">
        <v>246744</v>
      </c>
      <c r="L104" s="18">
        <v>2651948824</v>
      </c>
      <c r="M104" s="18">
        <v>3411337309</v>
      </c>
      <c r="N104" s="18">
        <f t="shared" si="19"/>
        <v>6063286133</v>
      </c>
      <c r="O104" s="18">
        <v>345570858</v>
      </c>
      <c r="P104" s="18">
        <v>462489303</v>
      </c>
      <c r="Q104" s="18">
        <f t="shared" si="20"/>
        <v>808060161</v>
      </c>
      <c r="R104" s="18">
        <f t="shared" si="21"/>
        <v>2997519682</v>
      </c>
      <c r="S104" s="18">
        <f t="shared" si="22"/>
        <v>3873826612</v>
      </c>
      <c r="T104" s="18">
        <f t="shared" si="23"/>
        <v>6871346294</v>
      </c>
      <c r="U104">
        <v>76.064574460000003</v>
      </c>
      <c r="V104">
        <v>129.01505570699999</v>
      </c>
      <c r="W104" s="225">
        <f t="shared" si="0"/>
        <v>1.6961253858699361</v>
      </c>
      <c r="X104" s="240">
        <f t="shared" si="1"/>
        <v>1563533.4781808162</v>
      </c>
      <c r="Y104" s="240">
        <f t="shared" si="2"/>
        <v>2011253.0225767114</v>
      </c>
      <c r="Z104" s="240">
        <f t="shared" si="3"/>
        <v>3574786.5007575275</v>
      </c>
      <c r="AA104" s="240">
        <f t="shared" si="4"/>
        <v>203741.33945454631</v>
      </c>
      <c r="AB104" s="240">
        <f t="shared" si="5"/>
        <v>272674.00562063459</v>
      </c>
      <c r="AC104" s="240">
        <f t="shared" si="6"/>
        <v>476415.34507518093</v>
      </c>
      <c r="AD104" s="240">
        <f t="shared" si="7"/>
        <v>1767274.8176353625</v>
      </c>
      <c r="AE104" s="240">
        <f t="shared" si="8"/>
        <v>2283927.0281973463</v>
      </c>
      <c r="AF104" s="240">
        <f t="shared" si="9"/>
        <v>4051201.8458327083</v>
      </c>
      <c r="AG104" s="240">
        <f t="shared" si="10"/>
        <v>2651948.824</v>
      </c>
      <c r="AH104" s="240">
        <f t="shared" si="11"/>
        <v>3411337.3089999999</v>
      </c>
      <c r="AI104" s="240">
        <f t="shared" si="12"/>
        <v>6063286.1330000004</v>
      </c>
      <c r="AJ104" s="240">
        <f t="shared" si="13"/>
        <v>345570.85800000001</v>
      </c>
      <c r="AK104" s="240">
        <f t="shared" si="14"/>
        <v>462489.30300000001</v>
      </c>
      <c r="AL104" s="240">
        <f t="shared" si="15"/>
        <v>808060.16099999996</v>
      </c>
      <c r="AM104" s="240">
        <f t="shared" si="16"/>
        <v>2997519.682</v>
      </c>
      <c r="AN104" s="240">
        <f t="shared" si="17"/>
        <v>3873826.6120000002</v>
      </c>
      <c r="AO104" s="240">
        <f t="shared" si="18"/>
        <v>6871346.2939999998</v>
      </c>
    </row>
    <row r="105" spans="2:41" hidden="1" x14ac:dyDescent="0.25">
      <c r="B105" s="14">
        <v>40179</v>
      </c>
      <c r="C105" s="15">
        <v>103465</v>
      </c>
      <c r="D105" s="15">
        <v>147468</v>
      </c>
      <c r="E105" s="15">
        <v>250933</v>
      </c>
      <c r="F105" s="15">
        <v>4172</v>
      </c>
      <c r="G105" s="15">
        <v>5495</v>
      </c>
      <c r="H105" s="15">
        <v>9667</v>
      </c>
      <c r="I105" s="15">
        <v>107637</v>
      </c>
      <c r="J105" s="15">
        <v>152963</v>
      </c>
      <c r="K105" s="16">
        <v>260600</v>
      </c>
      <c r="L105" s="15">
        <v>2379907921</v>
      </c>
      <c r="M105" s="15">
        <v>3231997495</v>
      </c>
      <c r="N105" s="15">
        <f t="shared" si="19"/>
        <v>5611905416</v>
      </c>
      <c r="O105" s="15">
        <v>351938424</v>
      </c>
      <c r="P105" s="15">
        <v>471503431</v>
      </c>
      <c r="Q105" s="15">
        <f t="shared" si="20"/>
        <v>823441855</v>
      </c>
      <c r="R105" s="15">
        <f t="shared" si="21"/>
        <v>2731846345</v>
      </c>
      <c r="S105" s="15">
        <f t="shared" si="22"/>
        <v>3703500926</v>
      </c>
      <c r="T105" s="16">
        <f t="shared" si="23"/>
        <v>6435347271</v>
      </c>
      <c r="U105">
        <v>76.458779579999998</v>
      </c>
      <c r="V105">
        <v>129.01505570699999</v>
      </c>
      <c r="W105" s="225">
        <f t="shared" si="0"/>
        <v>1.6873805260259163</v>
      </c>
      <c r="X105" s="240">
        <f t="shared" si="1"/>
        <v>1410415.6616084161</v>
      </c>
      <c r="Y105" s="240">
        <f t="shared" si="2"/>
        <v>1915393.3835019027</v>
      </c>
      <c r="Z105" s="240">
        <f t="shared" si="3"/>
        <v>3325809.0451103188</v>
      </c>
      <c r="AA105" s="240">
        <f t="shared" si="4"/>
        <v>208570.86980189235</v>
      </c>
      <c r="AB105" s="240">
        <f t="shared" si="5"/>
        <v>279429.22401177353</v>
      </c>
      <c r="AC105" s="240">
        <f t="shared" si="6"/>
        <v>488000.09381366585</v>
      </c>
      <c r="AD105" s="240">
        <f t="shared" si="7"/>
        <v>1618986.5314103086</v>
      </c>
      <c r="AE105" s="240">
        <f t="shared" si="8"/>
        <v>2194822.6075136764</v>
      </c>
      <c r="AF105" s="240">
        <f t="shared" si="9"/>
        <v>3813809.1389239845</v>
      </c>
      <c r="AG105" s="240">
        <f t="shared" si="10"/>
        <v>2379907.9210000001</v>
      </c>
      <c r="AH105" s="240">
        <f t="shared" si="11"/>
        <v>3231997.4950000001</v>
      </c>
      <c r="AI105" s="240">
        <f t="shared" si="12"/>
        <v>5611905.4160000002</v>
      </c>
      <c r="AJ105" s="240">
        <f t="shared" si="13"/>
        <v>351938.424</v>
      </c>
      <c r="AK105" s="240">
        <f t="shared" si="14"/>
        <v>471503.43099999998</v>
      </c>
      <c r="AL105" s="240">
        <f t="shared" si="15"/>
        <v>823441.85499999998</v>
      </c>
      <c r="AM105" s="240">
        <f t="shared" si="16"/>
        <v>2731846.3450000002</v>
      </c>
      <c r="AN105" s="240">
        <f t="shared" si="17"/>
        <v>3703500.926</v>
      </c>
      <c r="AO105" s="240">
        <f t="shared" si="18"/>
        <v>6435347.2709999997</v>
      </c>
    </row>
    <row r="106" spans="2:41" hidden="1" x14ac:dyDescent="0.25">
      <c r="B106" s="14">
        <v>40210</v>
      </c>
      <c r="C106" s="15">
        <v>108163</v>
      </c>
      <c r="D106" s="15">
        <v>157189</v>
      </c>
      <c r="E106" s="15">
        <v>265352</v>
      </c>
      <c r="F106" s="15">
        <v>4576</v>
      </c>
      <c r="G106" s="15">
        <v>5997</v>
      </c>
      <c r="H106" s="15">
        <v>10573</v>
      </c>
      <c r="I106" s="15">
        <v>112739</v>
      </c>
      <c r="J106" s="15">
        <v>163186</v>
      </c>
      <c r="K106" s="16">
        <v>275925</v>
      </c>
      <c r="L106" s="15">
        <v>2506907601</v>
      </c>
      <c r="M106" s="15">
        <v>3484520068</v>
      </c>
      <c r="N106" s="15">
        <f t="shared" si="19"/>
        <v>5991427669</v>
      </c>
      <c r="O106" s="15">
        <v>365194655</v>
      </c>
      <c r="P106" s="15">
        <v>477915724</v>
      </c>
      <c r="Q106" s="15">
        <f t="shared" si="20"/>
        <v>843110379</v>
      </c>
      <c r="R106" s="15">
        <f t="shared" si="21"/>
        <v>2872102256</v>
      </c>
      <c r="S106" s="15">
        <f t="shared" si="22"/>
        <v>3962435792</v>
      </c>
      <c r="T106" s="16">
        <f t="shared" si="23"/>
        <v>6834538048</v>
      </c>
      <c r="U106">
        <v>76.673626780000006</v>
      </c>
      <c r="V106">
        <v>129.01505570699999</v>
      </c>
      <c r="W106" s="225">
        <f t="shared" si="0"/>
        <v>1.6826523163849219</v>
      </c>
      <c r="X106" s="240">
        <f t="shared" si="1"/>
        <v>1489854.7825886819</v>
      </c>
      <c r="Y106" s="240">
        <f t="shared" si="2"/>
        <v>2070849.7139125471</v>
      </c>
      <c r="Z106" s="240">
        <f t="shared" si="3"/>
        <v>3560704.4965012292</v>
      </c>
      <c r="AA106" s="240">
        <f t="shared" si="4"/>
        <v>217035.12451377889</v>
      </c>
      <c r="AB106" s="240">
        <f t="shared" si="5"/>
        <v>284025.23762411799</v>
      </c>
      <c r="AC106" s="240">
        <f t="shared" si="6"/>
        <v>501060.36213789688</v>
      </c>
      <c r="AD106" s="240">
        <f t="shared" si="7"/>
        <v>1706889.907102461</v>
      </c>
      <c r="AE106" s="240">
        <f t="shared" si="8"/>
        <v>2354874.9515366647</v>
      </c>
      <c r="AF106" s="240">
        <f t="shared" si="9"/>
        <v>4061764.8586391257</v>
      </c>
      <c r="AG106" s="240">
        <f t="shared" si="10"/>
        <v>2506907.6009999998</v>
      </c>
      <c r="AH106" s="240">
        <f t="shared" si="11"/>
        <v>3484520.068</v>
      </c>
      <c r="AI106" s="240">
        <f t="shared" si="12"/>
        <v>5991427.6689999998</v>
      </c>
      <c r="AJ106" s="240">
        <f t="shared" si="13"/>
        <v>365194.65500000003</v>
      </c>
      <c r="AK106" s="240">
        <f t="shared" si="14"/>
        <v>477915.72399999999</v>
      </c>
      <c r="AL106" s="240">
        <f t="shared" si="15"/>
        <v>843110.37899999996</v>
      </c>
      <c r="AM106" s="240">
        <f t="shared" si="16"/>
        <v>2872102.2560000001</v>
      </c>
      <c r="AN106" s="240">
        <f t="shared" si="17"/>
        <v>3962435.7919999999</v>
      </c>
      <c r="AO106" s="240">
        <f t="shared" si="18"/>
        <v>6834538.0480000004</v>
      </c>
    </row>
    <row r="107" spans="2:41" hidden="1" x14ac:dyDescent="0.25">
      <c r="B107" s="14">
        <v>40238</v>
      </c>
      <c r="C107" s="15">
        <v>115920</v>
      </c>
      <c r="D107" s="15">
        <v>167854</v>
      </c>
      <c r="E107" s="15">
        <v>283774</v>
      </c>
      <c r="F107" s="15">
        <v>4862</v>
      </c>
      <c r="G107" s="15">
        <v>6477</v>
      </c>
      <c r="H107" s="15">
        <v>11339</v>
      </c>
      <c r="I107" s="15">
        <v>120782</v>
      </c>
      <c r="J107" s="15">
        <v>174331</v>
      </c>
      <c r="K107" s="16">
        <v>295113</v>
      </c>
      <c r="L107" s="15">
        <v>3086123204</v>
      </c>
      <c r="M107" s="15">
        <v>3992205803</v>
      </c>
      <c r="N107" s="15">
        <f t="shared" si="19"/>
        <v>7078329007</v>
      </c>
      <c r="O107" s="15">
        <v>403716065</v>
      </c>
      <c r="P107" s="15">
        <v>550247245</v>
      </c>
      <c r="Q107" s="15">
        <f t="shared" si="20"/>
        <v>953963310</v>
      </c>
      <c r="R107" s="15">
        <f t="shared" si="21"/>
        <v>3489839269</v>
      </c>
      <c r="S107" s="15">
        <f t="shared" si="22"/>
        <v>4542453048</v>
      </c>
      <c r="T107" s="16">
        <f t="shared" si="23"/>
        <v>8032292317</v>
      </c>
      <c r="U107">
        <v>76.738096589999998</v>
      </c>
      <c r="V107">
        <v>129.01505570699999</v>
      </c>
      <c r="W107" s="225">
        <f t="shared" si="0"/>
        <v>1.6812386733581346</v>
      </c>
      <c r="X107" s="240">
        <f t="shared" si="1"/>
        <v>1835624.6813164994</v>
      </c>
      <c r="Y107" s="240">
        <f t="shared" si="2"/>
        <v>2374562.2000390347</v>
      </c>
      <c r="Z107" s="240">
        <f t="shared" si="3"/>
        <v>4210186.8813555343</v>
      </c>
      <c r="AA107" s="240">
        <f t="shared" si="4"/>
        <v>240130.13226349992</v>
      </c>
      <c r="AB107" s="240">
        <f t="shared" si="5"/>
        <v>327286.81163449975</v>
      </c>
      <c r="AC107" s="240">
        <f t="shared" si="6"/>
        <v>567416.94389799959</v>
      </c>
      <c r="AD107" s="240">
        <f t="shared" si="7"/>
        <v>2075754.8135799991</v>
      </c>
      <c r="AE107" s="240">
        <f t="shared" si="8"/>
        <v>2701849.0116735343</v>
      </c>
      <c r="AF107" s="240">
        <f t="shared" si="9"/>
        <v>4777603.8252535332</v>
      </c>
      <c r="AG107" s="240">
        <f t="shared" si="10"/>
        <v>3086123.2039999999</v>
      </c>
      <c r="AH107" s="240">
        <f t="shared" si="11"/>
        <v>3992205.8029999998</v>
      </c>
      <c r="AI107" s="240">
        <f t="shared" si="12"/>
        <v>7078329.0070000002</v>
      </c>
      <c r="AJ107" s="240">
        <f t="shared" si="13"/>
        <v>403716.065</v>
      </c>
      <c r="AK107" s="240">
        <f t="shared" si="14"/>
        <v>550247.245</v>
      </c>
      <c r="AL107" s="240">
        <f t="shared" si="15"/>
        <v>953963.31</v>
      </c>
      <c r="AM107" s="240">
        <f t="shared" si="16"/>
        <v>3489839.2689999999</v>
      </c>
      <c r="AN107" s="240">
        <f t="shared" si="17"/>
        <v>4542453.0480000004</v>
      </c>
      <c r="AO107" s="240">
        <f t="shared" si="18"/>
        <v>8032292.3169999998</v>
      </c>
    </row>
    <row r="108" spans="2:41" hidden="1" x14ac:dyDescent="0.25">
      <c r="B108" s="14">
        <v>40269</v>
      </c>
      <c r="C108" s="15">
        <v>118241</v>
      </c>
      <c r="D108" s="15">
        <v>172340</v>
      </c>
      <c r="E108" s="15">
        <v>290581</v>
      </c>
      <c r="F108" s="15">
        <v>5130</v>
      </c>
      <c r="G108" s="15">
        <v>6887</v>
      </c>
      <c r="H108" s="15">
        <v>12017</v>
      </c>
      <c r="I108" s="15">
        <v>123371</v>
      </c>
      <c r="J108" s="15">
        <v>179227</v>
      </c>
      <c r="K108" s="16">
        <v>302598</v>
      </c>
      <c r="L108" s="15">
        <v>2589495364</v>
      </c>
      <c r="M108" s="15">
        <v>3533379966</v>
      </c>
      <c r="N108" s="15">
        <f t="shared" si="19"/>
        <v>6122875330</v>
      </c>
      <c r="O108" s="15">
        <v>402946712</v>
      </c>
      <c r="P108" s="15">
        <v>551553424</v>
      </c>
      <c r="Q108" s="15">
        <f t="shared" si="20"/>
        <v>954500136</v>
      </c>
      <c r="R108" s="15">
        <f t="shared" si="21"/>
        <v>2992442076</v>
      </c>
      <c r="S108" s="15">
        <f t="shared" si="22"/>
        <v>4084933390</v>
      </c>
      <c r="T108" s="16">
        <f t="shared" si="23"/>
        <v>7077375466</v>
      </c>
      <c r="U108">
        <v>77.092779820000004</v>
      </c>
      <c r="V108">
        <v>129.01505570699999</v>
      </c>
      <c r="W108" s="225">
        <f t="shared" si="0"/>
        <v>1.6735037445559837</v>
      </c>
      <c r="X108" s="240">
        <f t="shared" si="1"/>
        <v>1547349.6085227155</v>
      </c>
      <c r="Y108" s="240">
        <f t="shared" si="2"/>
        <v>2111366.6327274824</v>
      </c>
      <c r="Z108" s="240">
        <f t="shared" si="3"/>
        <v>3658716.2412501979</v>
      </c>
      <c r="AA108" s="240">
        <f t="shared" si="4"/>
        <v>240780.28705392015</v>
      </c>
      <c r="AB108" s="240">
        <f t="shared" si="5"/>
        <v>329580.03577478637</v>
      </c>
      <c r="AC108" s="240">
        <f t="shared" si="6"/>
        <v>570360.32282870647</v>
      </c>
      <c r="AD108" s="240">
        <f t="shared" si="7"/>
        <v>1788129.8955766356</v>
      </c>
      <c r="AE108" s="240">
        <f t="shared" si="8"/>
        <v>2440946.6685022688</v>
      </c>
      <c r="AF108" s="240">
        <f t="shared" si="9"/>
        <v>4229076.5640789038</v>
      </c>
      <c r="AG108" s="240">
        <f t="shared" si="10"/>
        <v>2589495.3640000001</v>
      </c>
      <c r="AH108" s="240">
        <f t="shared" si="11"/>
        <v>3533379.966</v>
      </c>
      <c r="AI108" s="240">
        <f t="shared" si="12"/>
        <v>6122875.3300000001</v>
      </c>
      <c r="AJ108" s="240">
        <f t="shared" si="13"/>
        <v>402946.712</v>
      </c>
      <c r="AK108" s="240">
        <f t="shared" si="14"/>
        <v>551553.424</v>
      </c>
      <c r="AL108" s="240">
        <f t="shared" si="15"/>
        <v>954500.13600000006</v>
      </c>
      <c r="AM108" s="240">
        <f t="shared" si="16"/>
        <v>2992442.0759999999</v>
      </c>
      <c r="AN108" s="240">
        <f t="shared" si="17"/>
        <v>4084933.39</v>
      </c>
      <c r="AO108" s="240">
        <f t="shared" si="18"/>
        <v>7077375.466</v>
      </c>
    </row>
    <row r="109" spans="2:41" hidden="1" x14ac:dyDescent="0.25">
      <c r="B109" s="14">
        <v>40299</v>
      </c>
      <c r="C109" s="15">
        <v>120927</v>
      </c>
      <c r="D109" s="15">
        <v>177041</v>
      </c>
      <c r="E109" s="15">
        <v>297968</v>
      </c>
      <c r="F109" s="15">
        <v>5506</v>
      </c>
      <c r="G109" s="15">
        <v>7424</v>
      </c>
      <c r="H109" s="15">
        <v>12930</v>
      </c>
      <c r="I109" s="15">
        <v>126433</v>
      </c>
      <c r="J109" s="15">
        <v>184465</v>
      </c>
      <c r="K109" s="16">
        <v>310898</v>
      </c>
      <c r="L109" s="15">
        <v>2776372445</v>
      </c>
      <c r="M109" s="15">
        <v>3677489480</v>
      </c>
      <c r="N109" s="15">
        <f t="shared" si="19"/>
        <v>6453861925</v>
      </c>
      <c r="O109" s="15">
        <v>437436151</v>
      </c>
      <c r="P109" s="15">
        <v>607874598</v>
      </c>
      <c r="Q109" s="15">
        <f t="shared" si="20"/>
        <v>1045310749</v>
      </c>
      <c r="R109" s="15">
        <f t="shared" si="21"/>
        <v>3213808596</v>
      </c>
      <c r="S109" s="15">
        <f t="shared" si="22"/>
        <v>4285364078</v>
      </c>
      <c r="T109" s="16">
        <f t="shared" si="23"/>
        <v>7499172674</v>
      </c>
      <c r="U109">
        <v>77.370182610000001</v>
      </c>
      <c r="V109">
        <v>129.01505570699999</v>
      </c>
      <c r="W109" s="225">
        <f t="shared" si="0"/>
        <v>1.6675035699130552</v>
      </c>
      <c r="X109" s="240">
        <f t="shared" si="1"/>
        <v>1664987.4069803415</v>
      </c>
      <c r="Y109" s="240">
        <f t="shared" si="2"/>
        <v>2205386.2710421346</v>
      </c>
      <c r="Z109" s="240">
        <f t="shared" si="3"/>
        <v>3870373.6780224759</v>
      </c>
      <c r="AA109" s="240">
        <f t="shared" si="4"/>
        <v>262329.96372104215</v>
      </c>
      <c r="AB109" s="240">
        <f t="shared" si="5"/>
        <v>364541.70711712184</v>
      </c>
      <c r="AC109" s="240">
        <f t="shared" si="6"/>
        <v>626871.67083816393</v>
      </c>
      <c r="AD109" s="240">
        <f t="shared" si="7"/>
        <v>1927317.3707013833</v>
      </c>
      <c r="AE109" s="240">
        <f t="shared" si="8"/>
        <v>2569927.9781592563</v>
      </c>
      <c r="AF109" s="240">
        <f t="shared" si="9"/>
        <v>4497245.3488606391</v>
      </c>
      <c r="AG109" s="240">
        <f t="shared" si="10"/>
        <v>2776372.4449999998</v>
      </c>
      <c r="AH109" s="240">
        <f t="shared" si="11"/>
        <v>3677489.48</v>
      </c>
      <c r="AI109" s="240">
        <f t="shared" si="12"/>
        <v>6453861.9249999998</v>
      </c>
      <c r="AJ109" s="240">
        <f t="shared" si="13"/>
        <v>437436.15100000001</v>
      </c>
      <c r="AK109" s="240">
        <f t="shared" si="14"/>
        <v>607874.598</v>
      </c>
      <c r="AL109" s="240">
        <f t="shared" si="15"/>
        <v>1045310.749</v>
      </c>
      <c r="AM109" s="240">
        <f t="shared" si="16"/>
        <v>3213808.5959999999</v>
      </c>
      <c r="AN109" s="240">
        <f t="shared" si="17"/>
        <v>4285364.0779999997</v>
      </c>
      <c r="AO109" s="240">
        <f t="shared" si="18"/>
        <v>7499172.6739999996</v>
      </c>
    </row>
    <row r="110" spans="2:41" hidden="1" x14ac:dyDescent="0.25">
      <c r="B110" s="14">
        <v>40330</v>
      </c>
      <c r="C110" s="15">
        <v>125869</v>
      </c>
      <c r="D110" s="15">
        <v>183571</v>
      </c>
      <c r="E110" s="15">
        <v>309440</v>
      </c>
      <c r="F110" s="15">
        <v>6003</v>
      </c>
      <c r="G110" s="15">
        <v>8152</v>
      </c>
      <c r="H110" s="15">
        <v>14155</v>
      </c>
      <c r="I110" s="15">
        <v>131872</v>
      </c>
      <c r="J110" s="15">
        <v>191723</v>
      </c>
      <c r="K110" s="16">
        <v>323595</v>
      </c>
      <c r="L110" s="15">
        <v>2812183769</v>
      </c>
      <c r="M110" s="15">
        <v>3903654623</v>
      </c>
      <c r="N110" s="15">
        <f t="shared" si="19"/>
        <v>6715838392</v>
      </c>
      <c r="O110" s="15">
        <v>519396267</v>
      </c>
      <c r="P110" s="15">
        <v>737631705</v>
      </c>
      <c r="Q110" s="15">
        <f t="shared" si="20"/>
        <v>1257027972</v>
      </c>
      <c r="R110" s="15">
        <f t="shared" si="21"/>
        <v>3331580036</v>
      </c>
      <c r="S110" s="15">
        <f t="shared" si="22"/>
        <v>4641286328</v>
      </c>
      <c r="T110" s="16">
        <f t="shared" si="23"/>
        <v>7972866364</v>
      </c>
      <c r="U110">
        <v>77.370464859999998</v>
      </c>
      <c r="V110">
        <v>129.01505570699999</v>
      </c>
      <c r="W110" s="225">
        <f t="shared" si="0"/>
        <v>1.6674974868051993</v>
      </c>
      <c r="X110" s="240">
        <f t="shared" si="1"/>
        <v>1686469.5696710967</v>
      </c>
      <c r="Y110" s="240">
        <f t="shared" si="2"/>
        <v>2341025.7909768196</v>
      </c>
      <c r="Z110" s="240">
        <f t="shared" si="3"/>
        <v>4027495.3606479163</v>
      </c>
      <c r="AA110" s="240">
        <f t="shared" si="4"/>
        <v>311482.4886453799</v>
      </c>
      <c r="AB110" s="240">
        <f t="shared" si="5"/>
        <v>442358.51078447339</v>
      </c>
      <c r="AC110" s="240">
        <f t="shared" si="6"/>
        <v>753840.99942985328</v>
      </c>
      <c r="AD110" s="240">
        <f t="shared" si="7"/>
        <v>1997952.0583164769</v>
      </c>
      <c r="AE110" s="240">
        <f t="shared" si="8"/>
        <v>2783384.3017612929</v>
      </c>
      <c r="AF110" s="240">
        <f t="shared" si="9"/>
        <v>4781336.3600777695</v>
      </c>
      <c r="AG110" s="240">
        <f t="shared" si="10"/>
        <v>2812183.7689999999</v>
      </c>
      <c r="AH110" s="240">
        <f t="shared" si="11"/>
        <v>3903654.6230000001</v>
      </c>
      <c r="AI110" s="240">
        <f t="shared" si="12"/>
        <v>6715838.392</v>
      </c>
      <c r="AJ110" s="240">
        <f t="shared" si="13"/>
        <v>519396.26699999999</v>
      </c>
      <c r="AK110" s="240">
        <f t="shared" si="14"/>
        <v>737631.70499999996</v>
      </c>
      <c r="AL110" s="240">
        <f t="shared" si="15"/>
        <v>1257027.9720000001</v>
      </c>
      <c r="AM110" s="240">
        <f t="shared" si="16"/>
        <v>3331580.0359999998</v>
      </c>
      <c r="AN110" s="240">
        <f t="shared" si="17"/>
        <v>4641286.3279999997</v>
      </c>
      <c r="AO110" s="240">
        <f t="shared" si="18"/>
        <v>7972866.3640000001</v>
      </c>
    </row>
    <row r="111" spans="2:41" hidden="1" x14ac:dyDescent="0.25">
      <c r="B111" s="14">
        <v>40360</v>
      </c>
      <c r="C111" s="15">
        <v>129748</v>
      </c>
      <c r="D111" s="15">
        <v>187484</v>
      </c>
      <c r="E111" s="15">
        <v>317232</v>
      </c>
      <c r="F111" s="15">
        <v>6395</v>
      </c>
      <c r="G111" s="15">
        <v>8702</v>
      </c>
      <c r="H111" s="15">
        <v>15097</v>
      </c>
      <c r="I111" s="15">
        <v>136143</v>
      </c>
      <c r="J111" s="15">
        <v>196186</v>
      </c>
      <c r="K111" s="16">
        <v>332329</v>
      </c>
      <c r="L111" s="15">
        <v>5016331446</v>
      </c>
      <c r="M111" s="15">
        <v>6978003893</v>
      </c>
      <c r="N111" s="15">
        <f t="shared" si="19"/>
        <v>11994335339</v>
      </c>
      <c r="O111" s="15">
        <v>530831523</v>
      </c>
      <c r="P111" s="15">
        <v>725533885</v>
      </c>
      <c r="Q111" s="15">
        <f t="shared" si="20"/>
        <v>1256365408</v>
      </c>
      <c r="R111" s="15">
        <f t="shared" si="21"/>
        <v>5547162969</v>
      </c>
      <c r="S111" s="15">
        <f t="shared" si="22"/>
        <v>7703537778</v>
      </c>
      <c r="T111" s="16">
        <f t="shared" si="23"/>
        <v>13250700747</v>
      </c>
      <c r="U111">
        <v>77.867484759999996</v>
      </c>
      <c r="V111">
        <v>129.01505570699999</v>
      </c>
      <c r="W111" s="225">
        <f t="shared" si="0"/>
        <v>1.6568540271288454</v>
      </c>
      <c r="X111" s="240">
        <f t="shared" si="1"/>
        <v>3027624.2589051593</v>
      </c>
      <c r="Y111" s="240">
        <f t="shared" si="2"/>
        <v>4211598.4744245391</v>
      </c>
      <c r="Z111" s="240">
        <f t="shared" si="3"/>
        <v>7239222.7333296994</v>
      </c>
      <c r="AA111" s="240">
        <f t="shared" si="4"/>
        <v>320385.20853878447</v>
      </c>
      <c r="AB111" s="240">
        <f t="shared" si="5"/>
        <v>437898.49505165778</v>
      </c>
      <c r="AC111" s="240">
        <f t="shared" si="6"/>
        <v>758283.70359044231</v>
      </c>
      <c r="AD111" s="240">
        <f t="shared" si="7"/>
        <v>3348009.467443944</v>
      </c>
      <c r="AE111" s="240">
        <f t="shared" si="8"/>
        <v>4649496.9694761969</v>
      </c>
      <c r="AF111" s="240">
        <f t="shared" si="9"/>
        <v>7997506.4369201409</v>
      </c>
      <c r="AG111" s="240">
        <f t="shared" si="10"/>
        <v>5016331.4460000005</v>
      </c>
      <c r="AH111" s="240">
        <f t="shared" si="11"/>
        <v>6978003.8930000002</v>
      </c>
      <c r="AI111" s="240">
        <f t="shared" si="12"/>
        <v>11994335.339</v>
      </c>
      <c r="AJ111" s="240">
        <f t="shared" si="13"/>
        <v>530831.52300000004</v>
      </c>
      <c r="AK111" s="240">
        <f t="shared" si="14"/>
        <v>725533.88500000001</v>
      </c>
      <c r="AL111" s="240">
        <f t="shared" si="15"/>
        <v>1256365.4080000001</v>
      </c>
      <c r="AM111" s="240">
        <f t="shared" si="16"/>
        <v>5547162.9689999996</v>
      </c>
      <c r="AN111" s="240">
        <f t="shared" si="17"/>
        <v>7703537.7779999999</v>
      </c>
      <c r="AO111" s="240">
        <f t="shared" si="18"/>
        <v>13250700.747</v>
      </c>
    </row>
    <row r="112" spans="2:41" hidden="1" x14ac:dyDescent="0.25">
      <c r="B112" s="14">
        <v>40391</v>
      </c>
      <c r="C112" s="15">
        <v>133983</v>
      </c>
      <c r="D112" s="15">
        <v>192848</v>
      </c>
      <c r="E112" s="15">
        <v>326831</v>
      </c>
      <c r="F112" s="15">
        <v>6680</v>
      </c>
      <c r="G112" s="15">
        <v>9142</v>
      </c>
      <c r="H112" s="15">
        <v>15822</v>
      </c>
      <c r="I112" s="15">
        <v>140663</v>
      </c>
      <c r="J112" s="15">
        <v>201990</v>
      </c>
      <c r="K112" s="16">
        <v>342653</v>
      </c>
      <c r="L112" s="15">
        <v>5234640792</v>
      </c>
      <c r="M112" s="15">
        <v>7437883694</v>
      </c>
      <c r="N112" s="15">
        <f t="shared" si="19"/>
        <v>12672524486</v>
      </c>
      <c r="O112" s="15">
        <v>544858304</v>
      </c>
      <c r="P112" s="15">
        <v>741398031</v>
      </c>
      <c r="Q112" s="15">
        <f t="shared" si="20"/>
        <v>1286256335</v>
      </c>
      <c r="R112" s="15">
        <f t="shared" si="21"/>
        <v>5779499096</v>
      </c>
      <c r="S112" s="15">
        <f t="shared" si="22"/>
        <v>8179281725</v>
      </c>
      <c r="T112" s="16">
        <f t="shared" si="23"/>
        <v>13958780821</v>
      </c>
      <c r="U112">
        <v>77.790935050000002</v>
      </c>
      <c r="V112">
        <v>129.01505570699999</v>
      </c>
      <c r="W112" s="225">
        <f t="shared" si="0"/>
        <v>1.6584844445445444</v>
      </c>
      <c r="X112" s="240">
        <f t="shared" si="1"/>
        <v>3156279.7041714462</v>
      </c>
      <c r="Y112" s="240">
        <f t="shared" si="2"/>
        <v>4484747.335717462</v>
      </c>
      <c r="Z112" s="240">
        <f t="shared" si="3"/>
        <v>7641027.0398889082</v>
      </c>
      <c r="AA112" s="240">
        <f t="shared" si="4"/>
        <v>328527.83503171767</v>
      </c>
      <c r="AB112" s="240">
        <f t="shared" si="5"/>
        <v>447033.45481398463</v>
      </c>
      <c r="AC112" s="240">
        <f t="shared" si="6"/>
        <v>775561.28984570224</v>
      </c>
      <c r="AD112" s="240">
        <f t="shared" si="7"/>
        <v>3484807.5392031642</v>
      </c>
      <c r="AE112" s="240">
        <f t="shared" si="8"/>
        <v>4931780.7905314462</v>
      </c>
      <c r="AF112" s="240">
        <f t="shared" si="9"/>
        <v>8416588.3297346104</v>
      </c>
      <c r="AG112" s="240">
        <f t="shared" si="10"/>
        <v>5234640.7920000004</v>
      </c>
      <c r="AH112" s="240">
        <f t="shared" si="11"/>
        <v>7437883.6940000001</v>
      </c>
      <c r="AI112" s="240">
        <f t="shared" si="12"/>
        <v>12672524.486</v>
      </c>
      <c r="AJ112" s="240">
        <f t="shared" si="13"/>
        <v>544858.304</v>
      </c>
      <c r="AK112" s="240">
        <f t="shared" si="14"/>
        <v>741398.03099999996</v>
      </c>
      <c r="AL112" s="240">
        <f t="shared" si="15"/>
        <v>1286256.335</v>
      </c>
      <c r="AM112" s="240">
        <f t="shared" si="16"/>
        <v>5779499.0959999999</v>
      </c>
      <c r="AN112" s="240">
        <f t="shared" si="17"/>
        <v>8179281.7249999996</v>
      </c>
      <c r="AO112" s="240">
        <f t="shared" si="18"/>
        <v>13958780.821</v>
      </c>
    </row>
    <row r="113" spans="2:41" hidden="1" x14ac:dyDescent="0.25">
      <c r="B113" s="14">
        <v>40422</v>
      </c>
      <c r="C113" s="15">
        <v>138718</v>
      </c>
      <c r="D113" s="15">
        <v>198415</v>
      </c>
      <c r="E113" s="15">
        <v>337133</v>
      </c>
      <c r="F113" s="15">
        <v>6646</v>
      </c>
      <c r="G113" s="15">
        <v>9139</v>
      </c>
      <c r="H113" s="15">
        <v>15785</v>
      </c>
      <c r="I113" s="15">
        <v>145364</v>
      </c>
      <c r="J113" s="15">
        <v>207554</v>
      </c>
      <c r="K113" s="16">
        <v>352918</v>
      </c>
      <c r="L113" s="15">
        <v>5168893015</v>
      </c>
      <c r="M113" s="15">
        <v>7259748727</v>
      </c>
      <c r="N113" s="15">
        <f t="shared" si="19"/>
        <v>12428641742</v>
      </c>
      <c r="O113" s="15">
        <v>500634772</v>
      </c>
      <c r="P113" s="15">
        <v>696795040</v>
      </c>
      <c r="Q113" s="15">
        <f t="shared" si="20"/>
        <v>1197429812</v>
      </c>
      <c r="R113" s="15">
        <f t="shared" si="21"/>
        <v>5669527787</v>
      </c>
      <c r="S113" s="15">
        <f t="shared" si="22"/>
        <v>7956543767</v>
      </c>
      <c r="T113" s="16">
        <f t="shared" si="23"/>
        <v>13626071554</v>
      </c>
      <c r="U113">
        <v>78.102046270000002</v>
      </c>
      <c r="V113">
        <v>129.01505570699999</v>
      </c>
      <c r="W113" s="225">
        <f t="shared" si="0"/>
        <v>1.6518780476121318</v>
      </c>
      <c r="X113" s="240">
        <f t="shared" si="1"/>
        <v>3129100.8573374292</v>
      </c>
      <c r="Y113" s="240">
        <f t="shared" si="2"/>
        <v>4394845.4533276912</v>
      </c>
      <c r="Z113" s="240">
        <f t="shared" si="3"/>
        <v>7523946.3106651204</v>
      </c>
      <c r="AA113" s="240">
        <f t="shared" si="4"/>
        <v>303070.05576089065</v>
      </c>
      <c r="AB113" s="240">
        <f t="shared" si="5"/>
        <v>421819.90432480793</v>
      </c>
      <c r="AC113" s="240">
        <f t="shared" si="6"/>
        <v>724889.96008569864</v>
      </c>
      <c r="AD113" s="240">
        <f t="shared" si="7"/>
        <v>3432170.9130983199</v>
      </c>
      <c r="AE113" s="240">
        <f t="shared" si="8"/>
        <v>4816665.3576524993</v>
      </c>
      <c r="AF113" s="240">
        <f t="shared" si="9"/>
        <v>8248836.2707508178</v>
      </c>
      <c r="AG113" s="240">
        <f t="shared" si="10"/>
        <v>5168893.0149999997</v>
      </c>
      <c r="AH113" s="240">
        <f t="shared" si="11"/>
        <v>7259748.727</v>
      </c>
      <c r="AI113" s="240">
        <f t="shared" si="12"/>
        <v>12428641.742000001</v>
      </c>
      <c r="AJ113" s="240">
        <f t="shared" si="13"/>
        <v>500634.772</v>
      </c>
      <c r="AK113" s="240">
        <f t="shared" si="14"/>
        <v>696795.04</v>
      </c>
      <c r="AL113" s="240">
        <f t="shared" si="15"/>
        <v>1197429.8119999999</v>
      </c>
      <c r="AM113" s="240">
        <f t="shared" si="16"/>
        <v>5669527.7869999995</v>
      </c>
      <c r="AN113" s="240">
        <f t="shared" si="17"/>
        <v>7956543.767</v>
      </c>
      <c r="AO113" s="240">
        <f t="shared" si="18"/>
        <v>13626071.554</v>
      </c>
    </row>
    <row r="114" spans="2:41" hidden="1" x14ac:dyDescent="0.25">
      <c r="B114" s="14">
        <v>40452</v>
      </c>
      <c r="C114" s="15">
        <v>143664</v>
      </c>
      <c r="D114" s="15">
        <v>204343</v>
      </c>
      <c r="E114" s="15">
        <v>348007</v>
      </c>
      <c r="F114" s="15">
        <v>6792</v>
      </c>
      <c r="G114" s="15">
        <v>9374</v>
      </c>
      <c r="H114" s="15">
        <v>16166</v>
      </c>
      <c r="I114" s="15">
        <v>150456</v>
      </c>
      <c r="J114" s="15">
        <v>213717</v>
      </c>
      <c r="K114" s="16">
        <v>364173</v>
      </c>
      <c r="L114" s="15">
        <v>5666357137</v>
      </c>
      <c r="M114" s="15">
        <v>7907342017</v>
      </c>
      <c r="N114" s="15">
        <f t="shared" si="19"/>
        <v>13573699154</v>
      </c>
      <c r="O114" s="15">
        <v>525646489</v>
      </c>
      <c r="P114" s="15">
        <v>735642107</v>
      </c>
      <c r="Q114" s="15">
        <f t="shared" si="20"/>
        <v>1261288596</v>
      </c>
      <c r="R114" s="15">
        <f t="shared" si="21"/>
        <v>6192003626</v>
      </c>
      <c r="S114" s="15">
        <f t="shared" si="22"/>
        <v>8642984124</v>
      </c>
      <c r="T114" s="16">
        <f t="shared" si="23"/>
        <v>14834987750</v>
      </c>
      <c r="U114">
        <v>78.178624009999993</v>
      </c>
      <c r="V114">
        <v>129.01505570699999</v>
      </c>
      <c r="W114" s="225">
        <f t="shared" si="0"/>
        <v>1.6502599955007828</v>
      </c>
      <c r="X114" s="240">
        <f t="shared" si="1"/>
        <v>3433614.7955162087</v>
      </c>
      <c r="Y114" s="240">
        <f t="shared" si="2"/>
        <v>4791573.4723972771</v>
      </c>
      <c r="Z114" s="240">
        <f t="shared" si="3"/>
        <v>8225188.2679134859</v>
      </c>
      <c r="AA114" s="240">
        <f t="shared" si="4"/>
        <v>318523.43899331387</v>
      </c>
      <c r="AB114" s="240">
        <f t="shared" si="5"/>
        <v>445773.45933709329</v>
      </c>
      <c r="AC114" s="240">
        <f t="shared" si="6"/>
        <v>764296.8983304071</v>
      </c>
      <c r="AD114" s="240">
        <f t="shared" si="7"/>
        <v>3752138.2345095226</v>
      </c>
      <c r="AE114" s="240">
        <f t="shared" si="8"/>
        <v>5237346.9317343701</v>
      </c>
      <c r="AF114" s="240">
        <f t="shared" si="9"/>
        <v>8989485.1662438922</v>
      </c>
      <c r="AG114" s="240">
        <f t="shared" si="10"/>
        <v>5666357.1370000001</v>
      </c>
      <c r="AH114" s="240">
        <f t="shared" si="11"/>
        <v>7907342.017</v>
      </c>
      <c r="AI114" s="240">
        <f t="shared" si="12"/>
        <v>13573699.153999999</v>
      </c>
      <c r="AJ114" s="240">
        <f t="shared" si="13"/>
        <v>525646.48899999994</v>
      </c>
      <c r="AK114" s="240">
        <f t="shared" si="14"/>
        <v>735642.10699999996</v>
      </c>
      <c r="AL114" s="240">
        <f t="shared" si="15"/>
        <v>1261288.5959999999</v>
      </c>
      <c r="AM114" s="240">
        <f t="shared" si="16"/>
        <v>6192003.6260000002</v>
      </c>
      <c r="AN114" s="240">
        <f t="shared" si="17"/>
        <v>8642984.1239999998</v>
      </c>
      <c r="AO114" s="240">
        <f t="shared" si="18"/>
        <v>14834987.75</v>
      </c>
    </row>
    <row r="115" spans="2:41" hidden="1" x14ac:dyDescent="0.25">
      <c r="B115" s="14">
        <v>40483</v>
      </c>
      <c r="C115" s="15">
        <v>150888</v>
      </c>
      <c r="D115" s="15">
        <v>211646</v>
      </c>
      <c r="E115" s="15">
        <v>362534</v>
      </c>
      <c r="F115" s="15">
        <v>7036</v>
      </c>
      <c r="G115" s="15">
        <v>9728</v>
      </c>
      <c r="H115" s="15">
        <v>16764</v>
      </c>
      <c r="I115" s="15">
        <v>157924</v>
      </c>
      <c r="J115" s="15">
        <v>221374</v>
      </c>
      <c r="K115" s="16">
        <v>379298</v>
      </c>
      <c r="L115" s="15">
        <v>6069989446</v>
      </c>
      <c r="M115" s="15">
        <v>8385359780</v>
      </c>
      <c r="N115" s="15">
        <f t="shared" si="19"/>
        <v>14455349226</v>
      </c>
      <c r="O115" s="15">
        <v>569561985</v>
      </c>
      <c r="P115" s="15">
        <v>794328911</v>
      </c>
      <c r="Q115" s="15">
        <f t="shared" si="20"/>
        <v>1363890896</v>
      </c>
      <c r="R115" s="15">
        <f t="shared" si="21"/>
        <v>6639551431</v>
      </c>
      <c r="S115" s="15">
        <f t="shared" si="22"/>
        <v>9179688691</v>
      </c>
      <c r="T115" s="16">
        <f t="shared" si="23"/>
        <v>15819240122</v>
      </c>
      <c r="U115">
        <v>78.23364977</v>
      </c>
      <c r="V115">
        <v>129.01505570699999</v>
      </c>
      <c r="W115" s="225">
        <f t="shared" si="0"/>
        <v>1.6490992825503197</v>
      </c>
      <c r="X115" s="240">
        <f t="shared" si="1"/>
        <v>3680790.7869639033</v>
      </c>
      <c r="Y115" s="240">
        <f t="shared" si="2"/>
        <v>5084811.9750753297</v>
      </c>
      <c r="Z115" s="240">
        <f t="shared" si="3"/>
        <v>8765602.762039233</v>
      </c>
      <c r="AA115" s="240">
        <f t="shared" si="4"/>
        <v>345377.61978719477</v>
      </c>
      <c r="AB115" s="240">
        <f t="shared" si="5"/>
        <v>481674.4021448947</v>
      </c>
      <c r="AC115" s="240">
        <f t="shared" si="6"/>
        <v>827052.02193208947</v>
      </c>
      <c r="AD115" s="240">
        <f t="shared" si="7"/>
        <v>4026168.4067510981</v>
      </c>
      <c r="AE115" s="240">
        <f t="shared" si="8"/>
        <v>5566486.3772202246</v>
      </c>
      <c r="AF115" s="240">
        <f t="shared" si="9"/>
        <v>9592654.7839713227</v>
      </c>
      <c r="AG115" s="240">
        <f t="shared" si="10"/>
        <v>6069989.4460000005</v>
      </c>
      <c r="AH115" s="240">
        <f t="shared" si="11"/>
        <v>8385359.7800000003</v>
      </c>
      <c r="AI115" s="240">
        <f t="shared" si="12"/>
        <v>14455349.226</v>
      </c>
      <c r="AJ115" s="240">
        <f t="shared" si="13"/>
        <v>569561.98499999999</v>
      </c>
      <c r="AK115" s="240">
        <f t="shared" si="14"/>
        <v>794328.91099999996</v>
      </c>
      <c r="AL115" s="240">
        <f t="shared" si="15"/>
        <v>1363890.8959999999</v>
      </c>
      <c r="AM115" s="240">
        <f t="shared" si="16"/>
        <v>6639551.4309999999</v>
      </c>
      <c r="AN115" s="240">
        <f t="shared" si="17"/>
        <v>9179688.6909999996</v>
      </c>
      <c r="AO115" s="240">
        <f t="shared" si="18"/>
        <v>15819240.122</v>
      </c>
    </row>
    <row r="116" spans="2:41" hidden="1" x14ac:dyDescent="0.25">
      <c r="B116" s="17">
        <v>40513</v>
      </c>
      <c r="C116" s="18">
        <v>154356</v>
      </c>
      <c r="D116" s="18">
        <v>215860</v>
      </c>
      <c r="E116" s="18">
        <v>370216</v>
      </c>
      <c r="F116" s="18">
        <v>7277</v>
      </c>
      <c r="G116" s="18">
        <v>10094</v>
      </c>
      <c r="H116" s="18">
        <v>17371</v>
      </c>
      <c r="I116" s="19">
        <v>161633</v>
      </c>
      <c r="J116" s="19">
        <v>225954</v>
      </c>
      <c r="K116" s="19">
        <v>387587</v>
      </c>
      <c r="L116" s="18">
        <v>6018338269</v>
      </c>
      <c r="M116" s="18">
        <v>8301289317</v>
      </c>
      <c r="N116" s="18">
        <f t="shared" si="19"/>
        <v>14319627586</v>
      </c>
      <c r="O116" s="18">
        <v>589406510</v>
      </c>
      <c r="P116" s="18">
        <v>820455598</v>
      </c>
      <c r="Q116" s="18">
        <f t="shared" si="20"/>
        <v>1409862108</v>
      </c>
      <c r="R116" s="18">
        <f t="shared" si="21"/>
        <v>6607744779</v>
      </c>
      <c r="S116" s="18">
        <f t="shared" si="22"/>
        <v>9121744915</v>
      </c>
      <c r="T116" s="18">
        <f t="shared" si="23"/>
        <v>15729489694</v>
      </c>
      <c r="U116">
        <v>78.325873939999994</v>
      </c>
      <c r="V116">
        <v>129.01505570699999</v>
      </c>
      <c r="W116" s="225">
        <f t="shared" si="0"/>
        <v>1.6471575638700113</v>
      </c>
      <c r="X116" s="240">
        <f t="shared" si="1"/>
        <v>3653772.0501127173</v>
      </c>
      <c r="Y116" s="240">
        <f t="shared" si="2"/>
        <v>5039766.3824558752</v>
      </c>
      <c r="Z116" s="240">
        <f t="shared" si="3"/>
        <v>8693538.432568593</v>
      </c>
      <c r="AA116" s="240">
        <f t="shared" si="4"/>
        <v>357832.50062318513</v>
      </c>
      <c r="AB116" s="240">
        <f t="shared" si="5"/>
        <v>498103.89485285932</v>
      </c>
      <c r="AC116" s="240">
        <f t="shared" si="6"/>
        <v>855936.39547604439</v>
      </c>
      <c r="AD116" s="240">
        <f t="shared" si="7"/>
        <v>4011604.5507359025</v>
      </c>
      <c r="AE116" s="240">
        <f t="shared" si="8"/>
        <v>5537870.2773087351</v>
      </c>
      <c r="AF116" s="240">
        <f t="shared" si="9"/>
        <v>9549474.828044638</v>
      </c>
      <c r="AG116" s="240">
        <f t="shared" si="10"/>
        <v>6018338.2690000003</v>
      </c>
      <c r="AH116" s="240">
        <f t="shared" si="11"/>
        <v>8301289.3169999998</v>
      </c>
      <c r="AI116" s="240">
        <f t="shared" si="12"/>
        <v>14319627.585999999</v>
      </c>
      <c r="AJ116" s="240">
        <f t="shared" si="13"/>
        <v>589406.51</v>
      </c>
      <c r="AK116" s="240">
        <f t="shared" si="14"/>
        <v>820455.598</v>
      </c>
      <c r="AL116" s="240">
        <f t="shared" si="15"/>
        <v>1409862.108</v>
      </c>
      <c r="AM116" s="240">
        <f t="shared" si="16"/>
        <v>6607744.7790000001</v>
      </c>
      <c r="AN116" s="240">
        <f t="shared" si="17"/>
        <v>9121744.9149999991</v>
      </c>
      <c r="AO116" s="240">
        <f t="shared" si="18"/>
        <v>15729489.694</v>
      </c>
    </row>
    <row r="117" spans="2:41" hidden="1" x14ac:dyDescent="0.25">
      <c r="B117" s="14">
        <v>40544</v>
      </c>
      <c r="C117" s="15">
        <v>156801</v>
      </c>
      <c r="D117" s="15">
        <v>216052</v>
      </c>
      <c r="E117" s="15">
        <v>372853</v>
      </c>
      <c r="F117" s="15">
        <v>7665</v>
      </c>
      <c r="G117" s="15">
        <v>10664</v>
      </c>
      <c r="H117" s="15">
        <v>18329</v>
      </c>
      <c r="I117" s="15">
        <v>164466</v>
      </c>
      <c r="J117" s="15">
        <v>226716</v>
      </c>
      <c r="K117" s="16">
        <v>391182</v>
      </c>
      <c r="L117" s="15">
        <v>6162838203</v>
      </c>
      <c r="M117" s="15">
        <v>8129503838</v>
      </c>
      <c r="N117" s="15">
        <f t="shared" si="19"/>
        <v>14292342041</v>
      </c>
      <c r="O117" s="15">
        <v>676929695</v>
      </c>
      <c r="P117" s="15">
        <v>943536722</v>
      </c>
      <c r="Q117" s="15">
        <f t="shared" si="20"/>
        <v>1620466417</v>
      </c>
      <c r="R117" s="15">
        <f t="shared" si="21"/>
        <v>6839767898</v>
      </c>
      <c r="S117" s="15">
        <f t="shared" si="22"/>
        <v>9073040560</v>
      </c>
      <c r="T117" s="16">
        <f t="shared" si="23"/>
        <v>15912808458</v>
      </c>
      <c r="U117">
        <v>78.537898409999997</v>
      </c>
      <c r="V117">
        <v>129.01505570699999</v>
      </c>
      <c r="W117" s="225">
        <f t="shared" si="0"/>
        <v>1.642710822658999</v>
      </c>
      <c r="X117" s="240">
        <f t="shared" si="1"/>
        <v>3751626.9558779844</v>
      </c>
      <c r="Y117" s="240">
        <f t="shared" si="2"/>
        <v>4948834.4058274692</v>
      </c>
      <c r="Z117" s="240">
        <f t="shared" si="3"/>
        <v>8700461.3617054541</v>
      </c>
      <c r="AA117" s="240">
        <f t="shared" si="4"/>
        <v>412080.86393701198</v>
      </c>
      <c r="AB117" s="240">
        <f t="shared" si="5"/>
        <v>574377.85700634145</v>
      </c>
      <c r="AC117" s="240">
        <f t="shared" si="6"/>
        <v>986458.72094335337</v>
      </c>
      <c r="AD117" s="240">
        <f t="shared" si="7"/>
        <v>4163707.8198149963</v>
      </c>
      <c r="AE117" s="240">
        <f t="shared" si="8"/>
        <v>5523212.2628338095</v>
      </c>
      <c r="AF117" s="240">
        <f t="shared" si="9"/>
        <v>9686920.0826488081</v>
      </c>
      <c r="AG117" s="240">
        <f t="shared" si="10"/>
        <v>6162838.2029999997</v>
      </c>
      <c r="AH117" s="240">
        <f t="shared" si="11"/>
        <v>8129503.8380000005</v>
      </c>
      <c r="AI117" s="240">
        <f t="shared" si="12"/>
        <v>14292342.040999999</v>
      </c>
      <c r="AJ117" s="240">
        <f t="shared" si="13"/>
        <v>676929.69499999995</v>
      </c>
      <c r="AK117" s="240">
        <f t="shared" si="14"/>
        <v>943536.72199999995</v>
      </c>
      <c r="AL117" s="240">
        <f t="shared" si="15"/>
        <v>1620466.4169999999</v>
      </c>
      <c r="AM117" s="240">
        <f t="shared" si="16"/>
        <v>6839767.898</v>
      </c>
      <c r="AN117" s="240">
        <f t="shared" si="17"/>
        <v>9073040.5600000005</v>
      </c>
      <c r="AO117" s="240">
        <f t="shared" si="18"/>
        <v>15912808.458000001</v>
      </c>
    </row>
    <row r="118" spans="2:41" hidden="1" x14ac:dyDescent="0.25">
      <c r="B118" s="14">
        <v>40575</v>
      </c>
      <c r="C118" s="15">
        <v>159862</v>
      </c>
      <c r="D118" s="15">
        <v>221369</v>
      </c>
      <c r="E118" s="15">
        <v>381231</v>
      </c>
      <c r="F118" s="15">
        <v>7770</v>
      </c>
      <c r="G118" s="15">
        <v>10862</v>
      </c>
      <c r="H118" s="15">
        <v>18632</v>
      </c>
      <c r="I118" s="15">
        <v>167632</v>
      </c>
      <c r="J118" s="15">
        <v>232231</v>
      </c>
      <c r="K118" s="16">
        <v>399863</v>
      </c>
      <c r="L118" s="15">
        <v>6288169323</v>
      </c>
      <c r="M118" s="15">
        <v>8823039511</v>
      </c>
      <c r="N118" s="15">
        <f t="shared" si="19"/>
        <v>15111208834</v>
      </c>
      <c r="O118" s="15">
        <v>595696176</v>
      </c>
      <c r="P118" s="15">
        <v>843745750</v>
      </c>
      <c r="Q118" s="15">
        <f t="shared" si="20"/>
        <v>1439441926</v>
      </c>
      <c r="R118" s="15">
        <f t="shared" si="21"/>
        <v>6883865499</v>
      </c>
      <c r="S118" s="15">
        <f t="shared" si="22"/>
        <v>9666785261</v>
      </c>
      <c r="T118" s="16">
        <f t="shared" si="23"/>
        <v>16550650760</v>
      </c>
      <c r="U118">
        <v>78.718604459999995</v>
      </c>
      <c r="V118">
        <v>129.01505570699999</v>
      </c>
      <c r="W118" s="225">
        <f t="shared" si="0"/>
        <v>1.6389398235909731</v>
      </c>
      <c r="X118" s="240">
        <f t="shared" si="1"/>
        <v>3836729.8374765259</v>
      </c>
      <c r="Y118" s="240">
        <f t="shared" si="2"/>
        <v>5383382.223069313</v>
      </c>
      <c r="Z118" s="240">
        <f t="shared" si="3"/>
        <v>9220112.0605458375</v>
      </c>
      <c r="AA118" s="240">
        <f t="shared" si="4"/>
        <v>363464.33677766722</v>
      </c>
      <c r="AB118" s="240">
        <f t="shared" si="5"/>
        <v>514811.9155170226</v>
      </c>
      <c r="AC118" s="240">
        <f t="shared" si="6"/>
        <v>878276.25229468988</v>
      </c>
      <c r="AD118" s="240">
        <f t="shared" si="7"/>
        <v>4200194.174254193</v>
      </c>
      <c r="AE118" s="240">
        <f t="shared" si="8"/>
        <v>5898194.1385863349</v>
      </c>
      <c r="AF118" s="240">
        <f t="shared" si="9"/>
        <v>10098388.312840529</v>
      </c>
      <c r="AG118" s="240">
        <f t="shared" si="10"/>
        <v>6288169.3229999999</v>
      </c>
      <c r="AH118" s="240">
        <f t="shared" si="11"/>
        <v>8823039.5109999999</v>
      </c>
      <c r="AI118" s="240">
        <f t="shared" si="12"/>
        <v>15111208.834000001</v>
      </c>
      <c r="AJ118" s="240">
        <f t="shared" si="13"/>
        <v>595696.17599999998</v>
      </c>
      <c r="AK118" s="240">
        <f t="shared" si="14"/>
        <v>843745.75</v>
      </c>
      <c r="AL118" s="240">
        <f t="shared" si="15"/>
        <v>1439441.926</v>
      </c>
      <c r="AM118" s="240">
        <f t="shared" si="16"/>
        <v>6883865.4989999998</v>
      </c>
      <c r="AN118" s="240">
        <f t="shared" si="17"/>
        <v>9666785.2609999999</v>
      </c>
      <c r="AO118" s="240">
        <f t="shared" si="18"/>
        <v>16550650.76</v>
      </c>
    </row>
    <row r="119" spans="2:41" hidden="1" x14ac:dyDescent="0.25">
      <c r="B119" s="14">
        <v>40603</v>
      </c>
      <c r="C119" s="15">
        <v>161524</v>
      </c>
      <c r="D119" s="15">
        <v>222893</v>
      </c>
      <c r="E119" s="15">
        <v>384417</v>
      </c>
      <c r="F119" s="15">
        <v>8148</v>
      </c>
      <c r="G119" s="15">
        <v>11369</v>
      </c>
      <c r="H119" s="15">
        <v>19517</v>
      </c>
      <c r="I119" s="15">
        <v>169672</v>
      </c>
      <c r="J119" s="15">
        <v>234262</v>
      </c>
      <c r="K119" s="16">
        <v>403934</v>
      </c>
      <c r="L119" s="15">
        <v>6041629769</v>
      </c>
      <c r="M119" s="15">
        <v>8191716339</v>
      </c>
      <c r="N119" s="15">
        <f t="shared" si="19"/>
        <v>14233346108</v>
      </c>
      <c r="O119" s="15">
        <v>697485183</v>
      </c>
      <c r="P119" s="15">
        <v>988420323</v>
      </c>
      <c r="Q119" s="15">
        <f t="shared" si="20"/>
        <v>1685905506</v>
      </c>
      <c r="R119" s="15">
        <f t="shared" si="21"/>
        <v>6739114952</v>
      </c>
      <c r="S119" s="15">
        <f t="shared" si="22"/>
        <v>9180136662</v>
      </c>
      <c r="T119" s="16">
        <f t="shared" si="23"/>
        <v>15919251614</v>
      </c>
      <c r="U119">
        <v>79.320558019999993</v>
      </c>
      <c r="V119">
        <v>129.01505570699999</v>
      </c>
      <c r="W119" s="225">
        <f t="shared" si="0"/>
        <v>1.6265021190908662</v>
      </c>
      <c r="X119" s="240">
        <f t="shared" si="1"/>
        <v>3714492.4055659827</v>
      </c>
      <c r="Y119" s="240">
        <f t="shared" si="2"/>
        <v>5036400.6556467097</v>
      </c>
      <c r="Z119" s="240">
        <f t="shared" si="3"/>
        <v>8750893.0612126924</v>
      </c>
      <c r="AA119" s="240">
        <f t="shared" si="4"/>
        <v>428825.2531695806</v>
      </c>
      <c r="AB119" s="240">
        <f t="shared" si="5"/>
        <v>607696.91683677468</v>
      </c>
      <c r="AC119" s="240">
        <f t="shared" si="6"/>
        <v>1036522.1700063553</v>
      </c>
      <c r="AD119" s="240">
        <f t="shared" si="7"/>
        <v>4143317.658735563</v>
      </c>
      <c r="AE119" s="240">
        <f t="shared" si="8"/>
        <v>5644097.5724834837</v>
      </c>
      <c r="AF119" s="240">
        <f t="shared" si="9"/>
        <v>9787415.2312190477</v>
      </c>
      <c r="AG119" s="240">
        <f t="shared" si="10"/>
        <v>6041629.7690000003</v>
      </c>
      <c r="AH119" s="240">
        <f t="shared" si="11"/>
        <v>8191716.3389999997</v>
      </c>
      <c r="AI119" s="240">
        <f t="shared" si="12"/>
        <v>14233346.107999999</v>
      </c>
      <c r="AJ119" s="240">
        <f t="shared" si="13"/>
        <v>697485.18299999996</v>
      </c>
      <c r="AK119" s="240">
        <f t="shared" si="14"/>
        <v>988420.32299999997</v>
      </c>
      <c r="AL119" s="240">
        <f t="shared" si="15"/>
        <v>1685905.5060000001</v>
      </c>
      <c r="AM119" s="240">
        <f t="shared" si="16"/>
        <v>6739114.9519999996</v>
      </c>
      <c r="AN119" s="240">
        <f t="shared" si="17"/>
        <v>9180136.6620000005</v>
      </c>
      <c r="AO119" s="240">
        <f t="shared" si="18"/>
        <v>15919251.614</v>
      </c>
    </row>
    <row r="120" spans="2:41" hidden="1" x14ac:dyDescent="0.25">
      <c r="B120" s="14">
        <v>40634</v>
      </c>
      <c r="C120" s="15">
        <v>161901</v>
      </c>
      <c r="D120" s="15">
        <v>222010</v>
      </c>
      <c r="E120" s="15">
        <v>383911</v>
      </c>
      <c r="F120" s="15">
        <v>8406</v>
      </c>
      <c r="G120" s="15">
        <v>11684</v>
      </c>
      <c r="H120" s="15">
        <v>20090</v>
      </c>
      <c r="I120" s="15">
        <v>170307</v>
      </c>
      <c r="J120" s="15">
        <v>233694</v>
      </c>
      <c r="K120" s="16">
        <v>404001</v>
      </c>
      <c r="L120" s="15">
        <v>5763556123</v>
      </c>
      <c r="M120" s="15">
        <v>7768121312</v>
      </c>
      <c r="N120" s="15">
        <f t="shared" si="19"/>
        <v>13531677435</v>
      </c>
      <c r="O120" s="15">
        <v>601583549</v>
      </c>
      <c r="P120" s="15">
        <v>844452334</v>
      </c>
      <c r="Q120" s="15">
        <f t="shared" si="20"/>
        <v>1446035883</v>
      </c>
      <c r="R120" s="15">
        <f t="shared" si="21"/>
        <v>6365139672</v>
      </c>
      <c r="S120" s="15">
        <f t="shared" si="22"/>
        <v>8612573646</v>
      </c>
      <c r="T120" s="16">
        <f t="shared" si="23"/>
        <v>14977713318</v>
      </c>
      <c r="U120">
        <v>79.573556539999998</v>
      </c>
      <c r="V120">
        <v>129.01505570699999</v>
      </c>
      <c r="W120" s="225">
        <f t="shared" si="0"/>
        <v>1.6213307701302349</v>
      </c>
      <c r="X120" s="240">
        <f t="shared" si="1"/>
        <v>3554830.5313030216</v>
      </c>
      <c r="Y120" s="240">
        <f t="shared" si="2"/>
        <v>4791200.8179404493</v>
      </c>
      <c r="Z120" s="240">
        <f t="shared" si="3"/>
        <v>8346031.3492434714</v>
      </c>
      <c r="AA120" s="240">
        <f t="shared" si="4"/>
        <v>371043.07158228866</v>
      </c>
      <c r="AB120" s="240">
        <f t="shared" si="5"/>
        <v>520839.02283071371</v>
      </c>
      <c r="AC120" s="240">
        <f t="shared" si="6"/>
        <v>891882.09441300237</v>
      </c>
      <c r="AD120" s="240">
        <f t="shared" si="7"/>
        <v>3925873.6028853101</v>
      </c>
      <c r="AE120" s="240">
        <f t="shared" si="8"/>
        <v>5312039.8407711629</v>
      </c>
      <c r="AF120" s="240">
        <f t="shared" si="9"/>
        <v>9237913.4436564725</v>
      </c>
      <c r="AG120" s="240">
        <f t="shared" si="10"/>
        <v>5763556.1229999997</v>
      </c>
      <c r="AH120" s="240">
        <f t="shared" si="11"/>
        <v>7768121.3119999999</v>
      </c>
      <c r="AI120" s="240">
        <f t="shared" si="12"/>
        <v>13531677.435000001</v>
      </c>
      <c r="AJ120" s="240">
        <f t="shared" si="13"/>
        <v>601583.549</v>
      </c>
      <c r="AK120" s="240">
        <f t="shared" si="14"/>
        <v>844452.33400000003</v>
      </c>
      <c r="AL120" s="240">
        <f t="shared" si="15"/>
        <v>1446035.8829999999</v>
      </c>
      <c r="AM120" s="240">
        <f t="shared" si="16"/>
        <v>6365139.6720000003</v>
      </c>
      <c r="AN120" s="240">
        <f t="shared" si="17"/>
        <v>8612573.6459999997</v>
      </c>
      <c r="AO120" s="240">
        <f t="shared" si="18"/>
        <v>14977713.318</v>
      </c>
    </row>
    <row r="121" spans="2:41" hidden="1" x14ac:dyDescent="0.25">
      <c r="B121" s="14">
        <v>40664</v>
      </c>
      <c r="C121" s="15">
        <v>165419</v>
      </c>
      <c r="D121" s="15">
        <v>223751</v>
      </c>
      <c r="E121" s="15">
        <v>389170</v>
      </c>
      <c r="F121" s="15">
        <v>9044</v>
      </c>
      <c r="G121" s="15">
        <v>12497</v>
      </c>
      <c r="H121" s="15">
        <v>21541</v>
      </c>
      <c r="I121" s="15">
        <v>174463</v>
      </c>
      <c r="J121" s="15">
        <v>236248</v>
      </c>
      <c r="K121" s="15">
        <v>410711</v>
      </c>
      <c r="L121" s="15">
        <v>6442570634</v>
      </c>
      <c r="M121" s="15">
        <v>8385773560</v>
      </c>
      <c r="N121" s="15">
        <f t="shared" si="19"/>
        <v>14828344194</v>
      </c>
      <c r="O121" s="15">
        <v>834321983</v>
      </c>
      <c r="P121" s="15">
        <v>1136068074</v>
      </c>
      <c r="Q121" s="15">
        <f t="shared" si="20"/>
        <v>1970390057</v>
      </c>
      <c r="R121" s="15">
        <f t="shared" si="21"/>
        <v>7276892617</v>
      </c>
      <c r="S121" s="15">
        <f t="shared" si="22"/>
        <v>9521841634</v>
      </c>
      <c r="T121" s="16">
        <f t="shared" si="23"/>
        <v>16798734251</v>
      </c>
      <c r="U121">
        <v>79.89172499</v>
      </c>
      <c r="V121">
        <v>129.01505570699999</v>
      </c>
      <c r="W121" s="225">
        <f t="shared" si="0"/>
        <v>1.6148738273350429</v>
      </c>
      <c r="X121" s="240">
        <f t="shared" si="1"/>
        <v>3989519.5060730525</v>
      </c>
      <c r="Y121" s="240">
        <f t="shared" si="2"/>
        <v>5192835.1417018641</v>
      </c>
      <c r="Z121" s="240">
        <f t="shared" si="3"/>
        <v>9182354.647774918</v>
      </c>
      <c r="AA121" s="240">
        <f t="shared" si="4"/>
        <v>516648.40241843899</v>
      </c>
      <c r="AB121" s="240">
        <f t="shared" si="5"/>
        <v>703502.68533041026</v>
      </c>
      <c r="AC121" s="240">
        <f t="shared" si="6"/>
        <v>1220151.0877488491</v>
      </c>
      <c r="AD121" s="240">
        <f t="shared" si="7"/>
        <v>4506167.9084914913</v>
      </c>
      <c r="AE121" s="240">
        <f t="shared" si="8"/>
        <v>5896337.8270322755</v>
      </c>
      <c r="AF121" s="240">
        <f t="shared" si="9"/>
        <v>10402505.735523766</v>
      </c>
      <c r="AG121" s="240">
        <f t="shared" si="10"/>
        <v>6442570.6339999996</v>
      </c>
      <c r="AH121" s="240">
        <f t="shared" si="11"/>
        <v>8385773.5599999996</v>
      </c>
      <c r="AI121" s="240">
        <f t="shared" si="12"/>
        <v>14828344.194</v>
      </c>
      <c r="AJ121" s="240">
        <f t="shared" si="13"/>
        <v>834321.98300000001</v>
      </c>
      <c r="AK121" s="240">
        <f t="shared" si="14"/>
        <v>1136068.074</v>
      </c>
      <c r="AL121" s="240">
        <f t="shared" si="15"/>
        <v>1970390.057</v>
      </c>
      <c r="AM121" s="240">
        <f t="shared" si="16"/>
        <v>7276892.6169999996</v>
      </c>
      <c r="AN121" s="240">
        <f t="shared" si="17"/>
        <v>9521841.6339999996</v>
      </c>
      <c r="AO121" s="240">
        <f t="shared" si="18"/>
        <v>16798734.250999998</v>
      </c>
    </row>
    <row r="122" spans="2:41" hidden="1" x14ac:dyDescent="0.25">
      <c r="B122" s="14">
        <v>40695</v>
      </c>
      <c r="C122" s="15">
        <v>168072</v>
      </c>
      <c r="D122" s="15">
        <v>229420</v>
      </c>
      <c r="E122" s="15">
        <v>397492</v>
      </c>
      <c r="F122" s="15">
        <v>9368</v>
      </c>
      <c r="G122" s="15">
        <v>13001</v>
      </c>
      <c r="H122" s="15">
        <v>22369</v>
      </c>
      <c r="I122" s="15">
        <v>177440</v>
      </c>
      <c r="J122" s="15">
        <v>242421</v>
      </c>
      <c r="K122" s="15">
        <v>419861</v>
      </c>
      <c r="L122" s="15">
        <v>6439677760</v>
      </c>
      <c r="M122" s="15">
        <v>9001948485</v>
      </c>
      <c r="N122" s="15">
        <f t="shared" si="19"/>
        <v>15441626245</v>
      </c>
      <c r="O122" s="15">
        <v>766367074</v>
      </c>
      <c r="P122" s="15">
        <v>1085237373</v>
      </c>
      <c r="Q122" s="15">
        <f t="shared" si="20"/>
        <v>1851604447</v>
      </c>
      <c r="R122" s="15">
        <f t="shared" si="21"/>
        <v>7206044834</v>
      </c>
      <c r="S122" s="15">
        <f t="shared" si="22"/>
        <v>10087185858</v>
      </c>
      <c r="T122" s="16">
        <f t="shared" si="23"/>
        <v>17293230692</v>
      </c>
      <c r="U122">
        <v>80.027305999999996</v>
      </c>
      <c r="V122">
        <v>129.01505570699999</v>
      </c>
      <c r="W122" s="225">
        <f t="shared" si="0"/>
        <v>1.6121379333573966</v>
      </c>
      <c r="X122" s="240">
        <f t="shared" ref="X122:X153" si="24">+L122/$W122/$AA$85</f>
        <v>3994495.5247029602</v>
      </c>
      <c r="Y122" s="240">
        <f t="shared" ref="Y122:Y153" si="25">+M122/$W122/$AA$85</f>
        <v>5583857.4967669016</v>
      </c>
      <c r="Z122" s="240">
        <f t="shared" ref="Z122:Z153" si="26">+N122/$W122/$AA$85</f>
        <v>9578353.0214698613</v>
      </c>
      <c r="AA122" s="240">
        <f t="shared" ref="AA122:AA153" si="27">+O122/$W122/$AA$85</f>
        <v>475373.14155494364</v>
      </c>
      <c r="AB122" s="240">
        <f t="shared" ref="AB122:AB153" si="28">+P122/$W122/$AA$85</f>
        <v>673166.57622459938</v>
      </c>
      <c r="AC122" s="240">
        <f t="shared" ref="AC122:AC153" si="29">+Q122/$W122/$AA$85</f>
        <v>1148539.717779543</v>
      </c>
      <c r="AD122" s="240">
        <f t="shared" ref="AD122:AD153" si="30">+R122/$W122/$AA$85</f>
        <v>4469868.6662579039</v>
      </c>
      <c r="AE122" s="240">
        <f t="shared" ref="AE122:AE153" si="31">+S122/$W122/$AA$85</f>
        <v>6257024.0729915015</v>
      </c>
      <c r="AF122" s="240">
        <f t="shared" ref="AF122:AF153" si="32">+T122/$W122/$AA$85</f>
        <v>10726892.739249405</v>
      </c>
      <c r="AG122" s="240">
        <f t="shared" si="10"/>
        <v>6439677.7599999998</v>
      </c>
      <c r="AH122" s="240">
        <f t="shared" si="11"/>
        <v>9001948.4849999994</v>
      </c>
      <c r="AI122" s="240">
        <f t="shared" si="12"/>
        <v>15441626.244999999</v>
      </c>
      <c r="AJ122" s="240">
        <f t="shared" si="13"/>
        <v>766367.07400000002</v>
      </c>
      <c r="AK122" s="240">
        <f t="shared" si="14"/>
        <v>1085237.3729999999</v>
      </c>
      <c r="AL122" s="240">
        <f t="shared" si="15"/>
        <v>1851604.4469999999</v>
      </c>
      <c r="AM122" s="240">
        <f t="shared" si="16"/>
        <v>7206044.8339999998</v>
      </c>
      <c r="AN122" s="240">
        <f t="shared" si="17"/>
        <v>10087185.857999999</v>
      </c>
      <c r="AO122" s="240">
        <f t="shared" si="18"/>
        <v>17293230.692000002</v>
      </c>
    </row>
    <row r="123" spans="2:41" hidden="1" x14ac:dyDescent="0.25">
      <c r="B123" s="14">
        <v>40725</v>
      </c>
      <c r="C123" s="15">
        <v>169626</v>
      </c>
      <c r="D123" s="15">
        <v>232716</v>
      </c>
      <c r="E123" s="15">
        <v>402342</v>
      </c>
      <c r="F123" s="15">
        <v>9629</v>
      </c>
      <c r="G123" s="15">
        <v>13322</v>
      </c>
      <c r="H123" s="15">
        <v>22951</v>
      </c>
      <c r="I123" s="15">
        <v>179255</v>
      </c>
      <c r="J123" s="15">
        <v>246038</v>
      </c>
      <c r="K123" s="15">
        <v>425293</v>
      </c>
      <c r="L123" s="15">
        <v>8074691873</v>
      </c>
      <c r="M123" s="15">
        <v>11131936645</v>
      </c>
      <c r="N123" s="15">
        <f t="shared" si="19"/>
        <v>19206628518</v>
      </c>
      <c r="O123" s="15">
        <v>785916326</v>
      </c>
      <c r="P123" s="15">
        <v>1081480996</v>
      </c>
      <c r="Q123" s="15">
        <f t="shared" si="20"/>
        <v>1867397322</v>
      </c>
      <c r="R123" s="15">
        <f t="shared" si="21"/>
        <v>8860608199</v>
      </c>
      <c r="S123" s="15">
        <f t="shared" si="22"/>
        <v>12213417641</v>
      </c>
      <c r="T123" s="16">
        <f t="shared" si="23"/>
        <v>21074025840</v>
      </c>
      <c r="U123">
        <v>80.12891166</v>
      </c>
      <c r="V123">
        <v>129.01505570699999</v>
      </c>
      <c r="W123" s="225">
        <f t="shared" si="0"/>
        <v>1.6100936981951264</v>
      </c>
      <c r="X123" s="240">
        <f t="shared" si="24"/>
        <v>5015044.7033309443</v>
      </c>
      <c r="Y123" s="240">
        <f t="shared" si="25"/>
        <v>6913843.9939729059</v>
      </c>
      <c r="Z123" s="240">
        <f t="shared" si="26"/>
        <v>11928888.69730385</v>
      </c>
      <c r="AA123" s="240">
        <f t="shared" si="27"/>
        <v>488118.3789993042</v>
      </c>
      <c r="AB123" s="240">
        <f t="shared" si="28"/>
        <v>671688.23604012141</v>
      </c>
      <c r="AC123" s="240">
        <f t="shared" si="29"/>
        <v>1159806.6150394257</v>
      </c>
      <c r="AD123" s="240">
        <f t="shared" si="30"/>
        <v>5503163.0823302483</v>
      </c>
      <c r="AE123" s="240">
        <f t="shared" si="31"/>
        <v>7585532.2300130278</v>
      </c>
      <c r="AF123" s="240">
        <f t="shared" si="32"/>
        <v>13088695.312343275</v>
      </c>
      <c r="AG123" s="240">
        <f t="shared" si="10"/>
        <v>8074691.8729999997</v>
      </c>
      <c r="AH123" s="240">
        <f t="shared" si="11"/>
        <v>11131936.645</v>
      </c>
      <c r="AI123" s="240">
        <f t="shared" si="12"/>
        <v>19206628.517999999</v>
      </c>
      <c r="AJ123" s="240">
        <f t="shared" si="13"/>
        <v>785916.326</v>
      </c>
      <c r="AK123" s="240">
        <f t="shared" si="14"/>
        <v>1081480.996</v>
      </c>
      <c r="AL123" s="240">
        <f t="shared" si="15"/>
        <v>1867397.3219999999</v>
      </c>
      <c r="AM123" s="240">
        <f t="shared" si="16"/>
        <v>8860608.1989999991</v>
      </c>
      <c r="AN123" s="240">
        <f t="shared" si="17"/>
        <v>12213417.641000001</v>
      </c>
      <c r="AO123" s="240">
        <f t="shared" si="18"/>
        <v>21074025.84</v>
      </c>
    </row>
    <row r="124" spans="2:41" hidden="1" x14ac:dyDescent="0.25">
      <c r="B124" s="14">
        <v>40756</v>
      </c>
      <c r="C124" s="15">
        <v>172104</v>
      </c>
      <c r="D124" s="15">
        <v>237643</v>
      </c>
      <c r="E124" s="15">
        <v>409747</v>
      </c>
      <c r="F124" s="15">
        <v>9887</v>
      </c>
      <c r="G124" s="15">
        <v>13665</v>
      </c>
      <c r="H124" s="15">
        <v>23552</v>
      </c>
      <c r="I124" s="15">
        <v>181991</v>
      </c>
      <c r="J124" s="15">
        <v>251308</v>
      </c>
      <c r="K124" s="15">
        <v>433299</v>
      </c>
      <c r="L124" s="15">
        <v>8420956934</v>
      </c>
      <c r="M124" s="15">
        <v>11666210709</v>
      </c>
      <c r="N124" s="15">
        <f t="shared" si="19"/>
        <v>20087167643</v>
      </c>
      <c r="O124" s="15">
        <v>819803003</v>
      </c>
      <c r="P124" s="15">
        <v>1121989017</v>
      </c>
      <c r="Q124" s="15">
        <f t="shared" si="20"/>
        <v>1941792020</v>
      </c>
      <c r="R124" s="15">
        <f t="shared" si="21"/>
        <v>9240759937</v>
      </c>
      <c r="S124" s="15">
        <f t="shared" si="22"/>
        <v>12788199726</v>
      </c>
      <c r="T124" s="16">
        <f t="shared" si="23"/>
        <v>22028959663</v>
      </c>
      <c r="U124">
        <v>80.258840259999999</v>
      </c>
      <c r="V124">
        <v>129.01505570699999</v>
      </c>
      <c r="W124" s="225">
        <f t="shared" si="0"/>
        <v>1.6074871663863237</v>
      </c>
      <c r="X124" s="240">
        <f t="shared" si="24"/>
        <v>5238584.2388593042</v>
      </c>
      <c r="Y124" s="240">
        <f t="shared" si="25"/>
        <v>7257420.745215633</v>
      </c>
      <c r="Z124" s="240">
        <f t="shared" si="26"/>
        <v>12496004.984074937</v>
      </c>
      <c r="AA124" s="240">
        <f t="shared" si="27"/>
        <v>509990.3875705211</v>
      </c>
      <c r="AB124" s="240">
        <f t="shared" si="28"/>
        <v>697976.96707107325</v>
      </c>
      <c r="AC124" s="240">
        <f t="shared" si="29"/>
        <v>1207967.3546415945</v>
      </c>
      <c r="AD124" s="240">
        <f t="shared" si="30"/>
        <v>5748574.626429826</v>
      </c>
      <c r="AE124" s="240">
        <f t="shared" si="31"/>
        <v>7955397.712286707</v>
      </c>
      <c r="AF124" s="240">
        <f t="shared" si="32"/>
        <v>13703972.338716531</v>
      </c>
      <c r="AG124" s="240">
        <f t="shared" si="10"/>
        <v>8420956.9340000004</v>
      </c>
      <c r="AH124" s="240">
        <f t="shared" si="11"/>
        <v>11666210.709000001</v>
      </c>
      <c r="AI124" s="240">
        <f t="shared" si="12"/>
        <v>20087167.642999999</v>
      </c>
      <c r="AJ124" s="240">
        <f t="shared" si="13"/>
        <v>819803.00300000003</v>
      </c>
      <c r="AK124" s="240">
        <f t="shared" si="14"/>
        <v>1121989.017</v>
      </c>
      <c r="AL124" s="240">
        <f t="shared" si="15"/>
        <v>1941792.02</v>
      </c>
      <c r="AM124" s="240">
        <f t="shared" si="16"/>
        <v>9240759.9370000008</v>
      </c>
      <c r="AN124" s="240">
        <f t="shared" si="17"/>
        <v>12788199.726</v>
      </c>
      <c r="AO124" s="240">
        <f t="shared" si="18"/>
        <v>22028959.662999999</v>
      </c>
    </row>
    <row r="125" spans="2:41" hidden="1" x14ac:dyDescent="0.25">
      <c r="B125" s="14">
        <v>40787</v>
      </c>
      <c r="C125" s="15">
        <v>171862</v>
      </c>
      <c r="D125" s="15">
        <v>237602</v>
      </c>
      <c r="E125" s="15">
        <v>409464</v>
      </c>
      <c r="F125" s="15">
        <v>9861</v>
      </c>
      <c r="G125" s="15">
        <v>13650</v>
      </c>
      <c r="H125" s="15">
        <v>23511</v>
      </c>
      <c r="I125" s="15">
        <v>181723</v>
      </c>
      <c r="J125" s="15">
        <v>251252</v>
      </c>
      <c r="K125" s="15">
        <v>432975</v>
      </c>
      <c r="L125" s="15">
        <v>7874370677</v>
      </c>
      <c r="M125" s="15">
        <v>10801076694</v>
      </c>
      <c r="N125" s="15">
        <f t="shared" si="19"/>
        <v>18675447371</v>
      </c>
      <c r="O125" s="15">
        <v>736387641</v>
      </c>
      <c r="P125" s="15">
        <v>1030572640</v>
      </c>
      <c r="Q125" s="15">
        <f t="shared" si="20"/>
        <v>1766960281</v>
      </c>
      <c r="R125" s="15">
        <f t="shared" si="21"/>
        <v>8610758318</v>
      </c>
      <c r="S125" s="15">
        <f t="shared" si="22"/>
        <v>11831649334</v>
      </c>
      <c r="T125" s="16">
        <f t="shared" si="23"/>
        <v>20442407652</v>
      </c>
      <c r="U125">
        <v>80.657741869999995</v>
      </c>
      <c r="V125">
        <v>129.01505570699999</v>
      </c>
      <c r="W125" s="225">
        <f t="shared" si="0"/>
        <v>1.5995371642679983</v>
      </c>
      <c r="X125" s="240">
        <f t="shared" si="24"/>
        <v>4922905.733549227</v>
      </c>
      <c r="Y125" s="240">
        <f t="shared" si="25"/>
        <v>6752626.2817050172</v>
      </c>
      <c r="Z125" s="240">
        <f t="shared" si="26"/>
        <v>11675532.015254244</v>
      </c>
      <c r="AA125" s="240">
        <f t="shared" si="27"/>
        <v>460375.44950510457</v>
      </c>
      <c r="AB125" s="240">
        <f t="shared" si="28"/>
        <v>644294.27650818264</v>
      </c>
      <c r="AC125" s="240">
        <f t="shared" si="29"/>
        <v>1104669.726013287</v>
      </c>
      <c r="AD125" s="240">
        <f t="shared" si="30"/>
        <v>5383281.1830543308</v>
      </c>
      <c r="AE125" s="240">
        <f t="shared" si="31"/>
        <v>7396920.5582131995</v>
      </c>
      <c r="AF125" s="240">
        <f t="shared" si="32"/>
        <v>12780201.74126753</v>
      </c>
      <c r="AG125" s="240">
        <f t="shared" si="10"/>
        <v>7874370.6770000001</v>
      </c>
      <c r="AH125" s="240">
        <f t="shared" si="11"/>
        <v>10801076.694</v>
      </c>
      <c r="AI125" s="240">
        <f t="shared" si="12"/>
        <v>18675447.370999999</v>
      </c>
      <c r="AJ125" s="240">
        <f t="shared" si="13"/>
        <v>736387.64099999995</v>
      </c>
      <c r="AK125" s="240">
        <f t="shared" si="14"/>
        <v>1030572.64</v>
      </c>
      <c r="AL125" s="240">
        <f t="shared" si="15"/>
        <v>1766960.281</v>
      </c>
      <c r="AM125" s="240">
        <f t="shared" si="16"/>
        <v>8610758.318</v>
      </c>
      <c r="AN125" s="240">
        <f t="shared" si="17"/>
        <v>11831649.334000001</v>
      </c>
      <c r="AO125" s="240">
        <f t="shared" si="18"/>
        <v>20442407.651999999</v>
      </c>
    </row>
    <row r="126" spans="2:41" hidden="1" x14ac:dyDescent="0.25">
      <c r="B126" s="14">
        <v>40817</v>
      </c>
      <c r="C126" s="15">
        <v>177646</v>
      </c>
      <c r="D126" s="15">
        <v>244518</v>
      </c>
      <c r="E126" s="15">
        <v>422164</v>
      </c>
      <c r="F126" s="15">
        <v>10422</v>
      </c>
      <c r="G126" s="15">
        <v>14421</v>
      </c>
      <c r="H126" s="15">
        <v>24843</v>
      </c>
      <c r="I126" s="15">
        <v>188068</v>
      </c>
      <c r="J126" s="15">
        <v>258939</v>
      </c>
      <c r="K126" s="15">
        <v>447007</v>
      </c>
      <c r="L126" s="15">
        <v>9310324617</v>
      </c>
      <c r="M126" s="15">
        <v>12331326425</v>
      </c>
      <c r="N126" s="15">
        <f t="shared" si="19"/>
        <v>21641651042</v>
      </c>
      <c r="O126" s="15">
        <v>932633139</v>
      </c>
      <c r="P126" s="15">
        <v>1284272713</v>
      </c>
      <c r="Q126" s="15">
        <f t="shared" si="20"/>
        <v>2216905852</v>
      </c>
      <c r="R126" s="15">
        <f t="shared" si="21"/>
        <v>10242957756</v>
      </c>
      <c r="S126" s="15">
        <f t="shared" si="22"/>
        <v>13615599138</v>
      </c>
      <c r="T126" s="16">
        <f t="shared" si="23"/>
        <v>23858556894</v>
      </c>
      <c r="U126">
        <v>81.04926494</v>
      </c>
      <c r="V126">
        <v>129.01505570699999</v>
      </c>
      <c r="W126" s="225">
        <f t="shared" si="0"/>
        <v>1.5918103119443292</v>
      </c>
      <c r="X126" s="240">
        <f t="shared" si="24"/>
        <v>5848890.7548461789</v>
      </c>
      <c r="Y126" s="240">
        <f t="shared" si="25"/>
        <v>7746731.0850234441</v>
      </c>
      <c r="Z126" s="240">
        <f t="shared" si="26"/>
        <v>13595621.839869624</v>
      </c>
      <c r="AA126" s="240">
        <f t="shared" si="27"/>
        <v>585894.64586444839</v>
      </c>
      <c r="AB126" s="240">
        <f t="shared" si="28"/>
        <v>806800.09632009175</v>
      </c>
      <c r="AC126" s="240">
        <f t="shared" si="29"/>
        <v>1392694.7421845403</v>
      </c>
      <c r="AD126" s="240">
        <f t="shared" si="30"/>
        <v>6434785.4007106274</v>
      </c>
      <c r="AE126" s="240">
        <f t="shared" si="31"/>
        <v>8553531.181343535</v>
      </c>
      <c r="AF126" s="240">
        <f t="shared" si="32"/>
        <v>14988316.582054162</v>
      </c>
      <c r="AG126" s="240">
        <f t="shared" si="10"/>
        <v>9310324.6170000006</v>
      </c>
      <c r="AH126" s="240">
        <f t="shared" si="11"/>
        <v>12331326.425000001</v>
      </c>
      <c r="AI126" s="240">
        <f t="shared" si="12"/>
        <v>21641651.041999999</v>
      </c>
      <c r="AJ126" s="240">
        <f t="shared" si="13"/>
        <v>932633.13899999997</v>
      </c>
      <c r="AK126" s="240">
        <f t="shared" si="14"/>
        <v>1284272.713</v>
      </c>
      <c r="AL126" s="240">
        <f t="shared" si="15"/>
        <v>2216905.852</v>
      </c>
      <c r="AM126" s="240">
        <f t="shared" si="16"/>
        <v>10242957.755999999</v>
      </c>
      <c r="AN126" s="240">
        <f t="shared" si="17"/>
        <v>13615599.138</v>
      </c>
      <c r="AO126" s="240">
        <f t="shared" si="18"/>
        <v>23858556.894000001</v>
      </c>
    </row>
    <row r="127" spans="2:41" hidden="1" x14ac:dyDescent="0.25">
      <c r="B127" s="14">
        <v>40848</v>
      </c>
      <c r="C127" s="15">
        <v>177882</v>
      </c>
      <c r="D127" s="15">
        <v>244805</v>
      </c>
      <c r="E127" s="15">
        <v>422687</v>
      </c>
      <c r="F127" s="15">
        <v>10364</v>
      </c>
      <c r="G127" s="15">
        <v>14395</v>
      </c>
      <c r="H127" s="15">
        <v>24759</v>
      </c>
      <c r="I127" s="15">
        <v>188246</v>
      </c>
      <c r="J127" s="15">
        <v>259200</v>
      </c>
      <c r="K127" s="15">
        <v>447446</v>
      </c>
      <c r="L127" s="15">
        <v>8523793522</v>
      </c>
      <c r="M127" s="15">
        <v>11477395828</v>
      </c>
      <c r="N127" s="15">
        <f t="shared" si="19"/>
        <v>20001189350</v>
      </c>
      <c r="O127" s="15">
        <v>780005958</v>
      </c>
      <c r="P127" s="15">
        <v>1091560498</v>
      </c>
      <c r="Q127" s="15">
        <f t="shared" si="20"/>
        <v>1871566456</v>
      </c>
      <c r="R127" s="15">
        <f t="shared" si="21"/>
        <v>9303799480</v>
      </c>
      <c r="S127" s="15">
        <f t="shared" si="22"/>
        <v>12568956326</v>
      </c>
      <c r="T127" s="16">
        <f t="shared" si="23"/>
        <v>21872755806</v>
      </c>
      <c r="U127">
        <v>81.306441989999996</v>
      </c>
      <c r="V127">
        <v>129.01505570699999</v>
      </c>
      <c r="W127" s="225">
        <f t="shared" si="0"/>
        <v>1.5867753224629821</v>
      </c>
      <c r="X127" s="240">
        <f t="shared" si="24"/>
        <v>5371770.9125759685</v>
      </c>
      <c r="Y127" s="240">
        <f t="shared" si="25"/>
        <v>7233157.5022132704</v>
      </c>
      <c r="Z127" s="240">
        <f t="shared" si="26"/>
        <v>12604928.414789237</v>
      </c>
      <c r="AA127" s="240">
        <f t="shared" si="27"/>
        <v>491566.73094038281</v>
      </c>
      <c r="AB127" s="240">
        <f t="shared" si="28"/>
        <v>687911.18852648092</v>
      </c>
      <c r="AC127" s="240">
        <f t="shared" si="29"/>
        <v>1179477.9194668636</v>
      </c>
      <c r="AD127" s="240">
        <f t="shared" si="30"/>
        <v>5863337.6435163505</v>
      </c>
      <c r="AE127" s="240">
        <f t="shared" si="31"/>
        <v>7921068.6907397509</v>
      </c>
      <c r="AF127" s="240">
        <f t="shared" si="32"/>
        <v>13784406.334256101</v>
      </c>
      <c r="AG127" s="240">
        <f t="shared" si="10"/>
        <v>8523793.5219999999</v>
      </c>
      <c r="AH127" s="240">
        <f t="shared" si="11"/>
        <v>11477395.828</v>
      </c>
      <c r="AI127" s="240">
        <f t="shared" si="12"/>
        <v>20001189.350000001</v>
      </c>
      <c r="AJ127" s="240">
        <f t="shared" si="13"/>
        <v>780005.95799999998</v>
      </c>
      <c r="AK127" s="240">
        <f t="shared" si="14"/>
        <v>1091560.4979999999</v>
      </c>
      <c r="AL127" s="240">
        <f t="shared" si="15"/>
        <v>1871566.456</v>
      </c>
      <c r="AM127" s="240">
        <f t="shared" si="16"/>
        <v>9303799.4800000004</v>
      </c>
      <c r="AN127" s="240">
        <f t="shared" si="17"/>
        <v>12568956.325999999</v>
      </c>
      <c r="AO127" s="240">
        <f t="shared" si="18"/>
        <v>21872755.806000002</v>
      </c>
    </row>
    <row r="128" spans="2:41" hidden="1" x14ac:dyDescent="0.25">
      <c r="B128" s="17">
        <v>40878</v>
      </c>
      <c r="C128" s="18">
        <v>183726</v>
      </c>
      <c r="D128" s="18">
        <v>253065</v>
      </c>
      <c r="E128" s="18">
        <v>436791</v>
      </c>
      <c r="F128" s="18">
        <v>10837</v>
      </c>
      <c r="G128" s="18">
        <v>15067</v>
      </c>
      <c r="H128" s="18">
        <v>25904</v>
      </c>
      <c r="I128" s="19">
        <v>194563</v>
      </c>
      <c r="J128" s="19">
        <v>268132</v>
      </c>
      <c r="K128" s="19">
        <v>462695</v>
      </c>
      <c r="L128" s="18">
        <v>9472467759</v>
      </c>
      <c r="M128" s="18">
        <v>12824071208</v>
      </c>
      <c r="N128" s="18">
        <f t="shared" si="19"/>
        <v>22296538967</v>
      </c>
      <c r="O128" s="18">
        <v>956107644</v>
      </c>
      <c r="P128" s="18">
        <v>1327843193</v>
      </c>
      <c r="Q128" s="18">
        <f t="shared" si="20"/>
        <v>2283950837</v>
      </c>
      <c r="R128" s="18">
        <f t="shared" si="21"/>
        <v>10428575403</v>
      </c>
      <c r="S128" s="18">
        <f t="shared" si="22"/>
        <v>14151914401</v>
      </c>
      <c r="T128" s="18">
        <f t="shared" si="23"/>
        <v>24580489804</v>
      </c>
      <c r="U128">
        <v>81.801766929999999</v>
      </c>
      <c r="V128">
        <v>129.01505570699999</v>
      </c>
      <c r="W128" s="225">
        <f t="shared" si="0"/>
        <v>1.5771671022387779</v>
      </c>
      <c r="X128" s="240">
        <f t="shared" si="24"/>
        <v>6006001.3587361146</v>
      </c>
      <c r="Y128" s="240">
        <f t="shared" si="25"/>
        <v>8131079.5728596672</v>
      </c>
      <c r="Z128" s="240">
        <f t="shared" si="26"/>
        <v>14137080.931595782</v>
      </c>
      <c r="AA128" s="240">
        <f t="shared" si="27"/>
        <v>606218.35355480842</v>
      </c>
      <c r="AB128" s="240">
        <f t="shared" si="28"/>
        <v>841916.61816629057</v>
      </c>
      <c r="AC128" s="240">
        <f t="shared" si="29"/>
        <v>1448134.971721099</v>
      </c>
      <c r="AD128" s="240">
        <f t="shared" si="30"/>
        <v>6612219.7122909222</v>
      </c>
      <c r="AE128" s="240">
        <f t="shared" si="31"/>
        <v>8972996.1910259575</v>
      </c>
      <c r="AF128" s="240">
        <f t="shared" si="32"/>
        <v>15585215.90331688</v>
      </c>
      <c r="AG128" s="240">
        <f t="shared" si="10"/>
        <v>9472467.7589999996</v>
      </c>
      <c r="AH128" s="240">
        <f t="shared" si="11"/>
        <v>12824071.208000001</v>
      </c>
      <c r="AI128" s="240">
        <f t="shared" si="12"/>
        <v>22296538.967</v>
      </c>
      <c r="AJ128" s="240">
        <f t="shared" si="13"/>
        <v>956107.64399999997</v>
      </c>
      <c r="AK128" s="240">
        <f t="shared" si="14"/>
        <v>1327843.193</v>
      </c>
      <c r="AL128" s="240">
        <f t="shared" si="15"/>
        <v>2283950.8369999998</v>
      </c>
      <c r="AM128" s="240">
        <f t="shared" si="16"/>
        <v>10428575.403000001</v>
      </c>
      <c r="AN128" s="240">
        <f t="shared" si="17"/>
        <v>14151914.401000001</v>
      </c>
      <c r="AO128" s="240">
        <f t="shared" si="18"/>
        <v>24580489.804000001</v>
      </c>
    </row>
    <row r="129" spans="2:41" hidden="1" x14ac:dyDescent="0.25">
      <c r="B129" s="14">
        <v>40909</v>
      </c>
      <c r="C129" s="15">
        <v>182814</v>
      </c>
      <c r="D129" s="15">
        <v>252071</v>
      </c>
      <c r="E129" s="15">
        <v>434885</v>
      </c>
      <c r="F129" s="15">
        <v>10786</v>
      </c>
      <c r="G129" s="15">
        <v>15016</v>
      </c>
      <c r="H129" s="15">
        <v>25802</v>
      </c>
      <c r="I129" s="15">
        <v>193600</v>
      </c>
      <c r="J129" s="15">
        <v>267087</v>
      </c>
      <c r="K129" s="15">
        <v>460687</v>
      </c>
      <c r="L129" s="15">
        <v>8554672451</v>
      </c>
      <c r="M129" s="15">
        <v>11273151109</v>
      </c>
      <c r="N129" s="15">
        <f t="shared" si="19"/>
        <v>19827823560</v>
      </c>
      <c r="O129" s="15">
        <v>806445767</v>
      </c>
      <c r="P129" s="15">
        <v>1134397493</v>
      </c>
      <c r="Q129" s="15">
        <f t="shared" si="20"/>
        <v>1940843260</v>
      </c>
      <c r="R129" s="15">
        <f t="shared" si="21"/>
        <v>9361118218</v>
      </c>
      <c r="S129" s="15">
        <f t="shared" si="22"/>
        <v>12407548602</v>
      </c>
      <c r="T129" s="16">
        <f t="shared" si="23"/>
        <v>21768666820</v>
      </c>
      <c r="U129">
        <v>81.873765579999997</v>
      </c>
      <c r="V129">
        <v>129.01505570699999</v>
      </c>
      <c r="W129" s="225">
        <f t="shared" si="0"/>
        <v>1.5757801634387707</v>
      </c>
      <c r="X129" s="240">
        <f t="shared" si="24"/>
        <v>5428848.9279693896</v>
      </c>
      <c r="Y129" s="240">
        <f t="shared" si="25"/>
        <v>7154012.5777437063</v>
      </c>
      <c r="Z129" s="240">
        <f t="shared" si="26"/>
        <v>12582861.505713096</v>
      </c>
      <c r="AA129" s="240">
        <f t="shared" si="27"/>
        <v>511775.55455459043</v>
      </c>
      <c r="AB129" s="240">
        <f t="shared" si="28"/>
        <v>719895.78198804299</v>
      </c>
      <c r="AC129" s="240">
        <f t="shared" si="29"/>
        <v>1231671.3365426334</v>
      </c>
      <c r="AD129" s="240">
        <f t="shared" si="30"/>
        <v>5940624.4825239806</v>
      </c>
      <c r="AE129" s="240">
        <f t="shared" si="31"/>
        <v>7873908.3597317506</v>
      </c>
      <c r="AF129" s="240">
        <f t="shared" si="32"/>
        <v>13814532.84225573</v>
      </c>
      <c r="AG129" s="240">
        <f t="shared" si="10"/>
        <v>8554672.4509999994</v>
      </c>
      <c r="AH129" s="240">
        <f t="shared" si="11"/>
        <v>11273151.108999999</v>
      </c>
      <c r="AI129" s="240">
        <f t="shared" si="12"/>
        <v>19827823.559999999</v>
      </c>
      <c r="AJ129" s="240">
        <f t="shared" si="13"/>
        <v>806445.76699999999</v>
      </c>
      <c r="AK129" s="240">
        <f t="shared" si="14"/>
        <v>1134397.493</v>
      </c>
      <c r="AL129" s="240">
        <f t="shared" si="15"/>
        <v>1940843.26</v>
      </c>
      <c r="AM129" s="240">
        <f t="shared" si="16"/>
        <v>9361118.2180000003</v>
      </c>
      <c r="AN129" s="240">
        <f t="shared" si="17"/>
        <v>12407548.602</v>
      </c>
      <c r="AO129" s="240">
        <f t="shared" si="18"/>
        <v>21768666.82</v>
      </c>
    </row>
    <row r="130" spans="2:41" hidden="1" x14ac:dyDescent="0.25">
      <c r="B130" s="14">
        <v>40940</v>
      </c>
      <c r="C130" s="15">
        <v>187623</v>
      </c>
      <c r="D130" s="15">
        <v>257841</v>
      </c>
      <c r="E130" s="15">
        <v>445464</v>
      </c>
      <c r="F130" s="15">
        <v>11407</v>
      </c>
      <c r="G130" s="15">
        <v>15866</v>
      </c>
      <c r="H130" s="15">
        <v>27273</v>
      </c>
      <c r="I130" s="15">
        <v>199030</v>
      </c>
      <c r="J130" s="15">
        <v>273707</v>
      </c>
      <c r="K130" s="15">
        <v>472737</v>
      </c>
      <c r="L130" s="15">
        <v>9425869013</v>
      </c>
      <c r="M130" s="15">
        <v>12687628673</v>
      </c>
      <c r="N130" s="15">
        <f t="shared" si="19"/>
        <v>22113497686</v>
      </c>
      <c r="O130" s="15">
        <v>1037314769</v>
      </c>
      <c r="P130" s="15">
        <v>1431536124</v>
      </c>
      <c r="Q130" s="15">
        <f t="shared" si="20"/>
        <v>2468850893</v>
      </c>
      <c r="R130" s="15">
        <f t="shared" si="21"/>
        <v>10463183782</v>
      </c>
      <c r="S130" s="15">
        <f t="shared" si="22"/>
        <v>14119164797</v>
      </c>
      <c r="T130" s="16">
        <f t="shared" si="23"/>
        <v>24582348579</v>
      </c>
      <c r="U130">
        <v>82.191759719999993</v>
      </c>
      <c r="V130">
        <v>129.01505570699999</v>
      </c>
      <c r="W130" s="225">
        <f t="shared" si="0"/>
        <v>1.5696835807690626</v>
      </c>
      <c r="X130" s="240">
        <f t="shared" si="24"/>
        <v>6004948.467627991</v>
      </c>
      <c r="Y130" s="240">
        <f t="shared" si="25"/>
        <v>8082921.1877107918</v>
      </c>
      <c r="Z130" s="240">
        <f t="shared" si="26"/>
        <v>14087869.655338783</v>
      </c>
      <c r="AA130" s="240">
        <f t="shared" si="27"/>
        <v>660843.23089610855</v>
      </c>
      <c r="AB130" s="240">
        <f t="shared" si="28"/>
        <v>911990.25175419275</v>
      </c>
      <c r="AC130" s="240">
        <f t="shared" si="29"/>
        <v>1572833.4826503012</v>
      </c>
      <c r="AD130" s="240">
        <f t="shared" si="30"/>
        <v>6665791.6985240998</v>
      </c>
      <c r="AE130" s="240">
        <f t="shared" si="31"/>
        <v>8994911.4394649845</v>
      </c>
      <c r="AF130" s="240">
        <f t="shared" si="32"/>
        <v>15660703.137989085</v>
      </c>
      <c r="AG130" s="240">
        <f t="shared" si="10"/>
        <v>9425869.0130000003</v>
      </c>
      <c r="AH130" s="240">
        <f t="shared" si="11"/>
        <v>12687628.673</v>
      </c>
      <c r="AI130" s="240">
        <f t="shared" si="12"/>
        <v>22113497.686000001</v>
      </c>
      <c r="AJ130" s="240">
        <f t="shared" si="13"/>
        <v>1037314.769</v>
      </c>
      <c r="AK130" s="240">
        <f t="shared" si="14"/>
        <v>1431536.1240000001</v>
      </c>
      <c r="AL130" s="240">
        <f t="shared" si="15"/>
        <v>2468850.8930000002</v>
      </c>
      <c r="AM130" s="240">
        <f t="shared" si="16"/>
        <v>10463183.782</v>
      </c>
      <c r="AN130" s="240">
        <f t="shared" si="17"/>
        <v>14119164.797</v>
      </c>
      <c r="AO130" s="240">
        <f t="shared" si="18"/>
        <v>24582348.579</v>
      </c>
    </row>
    <row r="131" spans="2:41" hidden="1" x14ac:dyDescent="0.25">
      <c r="B131" s="14">
        <v>40969</v>
      </c>
      <c r="C131" s="15">
        <v>193233</v>
      </c>
      <c r="D131" s="15">
        <v>266227</v>
      </c>
      <c r="E131" s="15">
        <v>459460</v>
      </c>
      <c r="F131" s="15">
        <v>11662</v>
      </c>
      <c r="G131" s="15">
        <v>16203</v>
      </c>
      <c r="H131" s="15">
        <v>27865</v>
      </c>
      <c r="I131" s="15">
        <v>204895</v>
      </c>
      <c r="J131" s="15">
        <v>282430</v>
      </c>
      <c r="K131" s="15">
        <v>487325</v>
      </c>
      <c r="L131" s="15">
        <v>9493115514</v>
      </c>
      <c r="M131" s="15">
        <v>13091164983</v>
      </c>
      <c r="N131" s="15">
        <f t="shared" si="19"/>
        <v>22584280497</v>
      </c>
      <c r="O131" s="15">
        <v>962925862</v>
      </c>
      <c r="P131" s="15">
        <v>1327328452</v>
      </c>
      <c r="Q131" s="15">
        <f t="shared" si="20"/>
        <v>2290254314</v>
      </c>
      <c r="R131" s="15">
        <f t="shared" si="21"/>
        <v>10456041376</v>
      </c>
      <c r="S131" s="15">
        <f t="shared" si="22"/>
        <v>14418493435</v>
      </c>
      <c r="T131" s="16">
        <f t="shared" si="23"/>
        <v>24874534811</v>
      </c>
      <c r="U131">
        <v>82.325894520000006</v>
      </c>
      <c r="V131">
        <v>129.01505570699999</v>
      </c>
      <c r="W131" s="225">
        <f t="shared" si="0"/>
        <v>1.5671260720484179</v>
      </c>
      <c r="X131" s="240">
        <f t="shared" si="24"/>
        <v>6057659.1017922265</v>
      </c>
      <c r="Y131" s="240">
        <f t="shared" si="25"/>
        <v>8353613.1626527719</v>
      </c>
      <c r="Z131" s="240">
        <f t="shared" si="26"/>
        <v>14411272.264444999</v>
      </c>
      <c r="AA131" s="240">
        <f t="shared" si="27"/>
        <v>614453.34818617546</v>
      </c>
      <c r="AB131" s="240">
        <f t="shared" si="28"/>
        <v>846982.55977901362</v>
      </c>
      <c r="AC131" s="240">
        <f t="shared" si="29"/>
        <v>1461435.9079651893</v>
      </c>
      <c r="AD131" s="240">
        <f t="shared" si="30"/>
        <v>6672112.4499784019</v>
      </c>
      <c r="AE131" s="240">
        <f t="shared" si="31"/>
        <v>9200595.7224317864</v>
      </c>
      <c r="AF131" s="240">
        <f t="shared" si="32"/>
        <v>15872708.172410188</v>
      </c>
      <c r="AG131" s="240">
        <f t="shared" si="10"/>
        <v>9493115.5140000004</v>
      </c>
      <c r="AH131" s="240">
        <f t="shared" si="11"/>
        <v>13091164.982999999</v>
      </c>
      <c r="AI131" s="240">
        <f t="shared" si="12"/>
        <v>22584280.497000001</v>
      </c>
      <c r="AJ131" s="240">
        <f t="shared" si="13"/>
        <v>962925.86199999996</v>
      </c>
      <c r="AK131" s="240">
        <f t="shared" si="14"/>
        <v>1327328.452</v>
      </c>
      <c r="AL131" s="240">
        <f t="shared" si="15"/>
        <v>2290254.3139999998</v>
      </c>
      <c r="AM131" s="240">
        <f t="shared" si="16"/>
        <v>10456041.376</v>
      </c>
      <c r="AN131" s="240">
        <f t="shared" si="17"/>
        <v>14418493.435000001</v>
      </c>
      <c r="AO131" s="240">
        <f t="shared" si="18"/>
        <v>24874534.811000001</v>
      </c>
    </row>
    <row r="132" spans="2:41" hidden="1" x14ac:dyDescent="0.25">
      <c r="B132" s="14">
        <v>41000</v>
      </c>
      <c r="C132" s="15">
        <v>195360</v>
      </c>
      <c r="D132" s="15">
        <v>268907</v>
      </c>
      <c r="E132" s="15">
        <v>464267</v>
      </c>
      <c r="F132" s="15">
        <v>12056</v>
      </c>
      <c r="G132" s="15">
        <v>16729</v>
      </c>
      <c r="H132" s="15">
        <v>28785</v>
      </c>
      <c r="I132" s="15">
        <v>207416</v>
      </c>
      <c r="J132" s="15">
        <v>285636</v>
      </c>
      <c r="K132" s="15">
        <v>493052</v>
      </c>
      <c r="L132" s="15">
        <v>9138591962</v>
      </c>
      <c r="M132" s="15">
        <v>12376984071</v>
      </c>
      <c r="N132" s="15">
        <f t="shared" si="19"/>
        <v>21515576033</v>
      </c>
      <c r="O132" s="15">
        <v>966805724</v>
      </c>
      <c r="P132" s="15">
        <v>1353401746</v>
      </c>
      <c r="Q132" s="15">
        <f t="shared" si="20"/>
        <v>2320207470</v>
      </c>
      <c r="R132" s="15">
        <f t="shared" si="21"/>
        <v>10105397686</v>
      </c>
      <c r="S132" s="15">
        <f t="shared" si="22"/>
        <v>13730385817</v>
      </c>
      <c r="T132" s="16">
        <f t="shared" si="23"/>
        <v>23835783503</v>
      </c>
      <c r="U132">
        <v>82.367637090000002</v>
      </c>
      <c r="V132">
        <v>129.01505570699999</v>
      </c>
      <c r="W132" s="225">
        <f t="shared" si="0"/>
        <v>1.5663318782112217</v>
      </c>
      <c r="X132" s="240">
        <f t="shared" si="24"/>
        <v>5834390.5842205239</v>
      </c>
      <c r="Y132" s="240">
        <f t="shared" si="25"/>
        <v>7901891.1912427731</v>
      </c>
      <c r="Z132" s="240">
        <f t="shared" si="26"/>
        <v>13736281.775463296</v>
      </c>
      <c r="AA132" s="240">
        <f t="shared" si="27"/>
        <v>617241.93796279561</v>
      </c>
      <c r="AB132" s="240">
        <f t="shared" si="28"/>
        <v>864058.09958079143</v>
      </c>
      <c r="AC132" s="240">
        <f t="shared" si="29"/>
        <v>1481300.0375435872</v>
      </c>
      <c r="AD132" s="240">
        <f t="shared" si="30"/>
        <v>6451632.5221833196</v>
      </c>
      <c r="AE132" s="240">
        <f t="shared" si="31"/>
        <v>8765949.2908235639</v>
      </c>
      <c r="AF132" s="240">
        <f t="shared" si="32"/>
        <v>15217581.813006883</v>
      </c>
      <c r="AG132" s="240">
        <f t="shared" si="10"/>
        <v>9138591.9619999994</v>
      </c>
      <c r="AH132" s="240">
        <f t="shared" si="11"/>
        <v>12376984.071</v>
      </c>
      <c r="AI132" s="240">
        <f t="shared" si="12"/>
        <v>21515576.033</v>
      </c>
      <c r="AJ132" s="240">
        <f t="shared" si="13"/>
        <v>966805.72400000005</v>
      </c>
      <c r="AK132" s="240">
        <f t="shared" si="14"/>
        <v>1353401.746</v>
      </c>
      <c r="AL132" s="240">
        <f t="shared" si="15"/>
        <v>2320207.4700000002</v>
      </c>
      <c r="AM132" s="240">
        <f t="shared" si="16"/>
        <v>10105397.686000001</v>
      </c>
      <c r="AN132" s="240">
        <f t="shared" si="17"/>
        <v>13730385.817</v>
      </c>
      <c r="AO132" s="240">
        <f t="shared" si="18"/>
        <v>23835783.502999999</v>
      </c>
    </row>
    <row r="133" spans="2:41" hidden="1" x14ac:dyDescent="0.25">
      <c r="B133" s="14">
        <v>41030</v>
      </c>
      <c r="C133" s="15">
        <v>198501</v>
      </c>
      <c r="D133" s="15">
        <v>273881</v>
      </c>
      <c r="E133" s="15">
        <v>472382</v>
      </c>
      <c r="F133" s="15">
        <v>12311</v>
      </c>
      <c r="G133" s="15">
        <v>17101</v>
      </c>
      <c r="H133" s="15">
        <v>29412</v>
      </c>
      <c r="I133" s="15">
        <v>210812</v>
      </c>
      <c r="J133" s="15">
        <v>290982</v>
      </c>
      <c r="K133" s="15">
        <v>501794</v>
      </c>
      <c r="L133" s="15">
        <v>9569241176</v>
      </c>
      <c r="M133" s="15">
        <v>13076498553</v>
      </c>
      <c r="N133" s="15">
        <f t="shared" si="19"/>
        <v>22645739729</v>
      </c>
      <c r="O133" s="15">
        <v>994775129</v>
      </c>
      <c r="P133" s="15">
        <v>1386578179</v>
      </c>
      <c r="Q133" s="15">
        <f t="shared" si="20"/>
        <v>2381353308</v>
      </c>
      <c r="R133" s="15">
        <f t="shared" si="21"/>
        <v>10564016305</v>
      </c>
      <c r="S133" s="15">
        <f t="shared" si="22"/>
        <v>14463076732</v>
      </c>
      <c r="T133" s="16">
        <f t="shared" si="23"/>
        <v>25027093037</v>
      </c>
      <c r="U133">
        <v>82.392904430000002</v>
      </c>
      <c r="V133">
        <v>129.01505570699999</v>
      </c>
      <c r="W133" s="225">
        <f t="shared" si="0"/>
        <v>1.5658515329631277</v>
      </c>
      <c r="X133" s="240">
        <f t="shared" si="24"/>
        <v>6111205.9314408405</v>
      </c>
      <c r="Y133" s="240">
        <f t="shared" si="25"/>
        <v>8351046.2376051601</v>
      </c>
      <c r="Z133" s="240">
        <f t="shared" si="26"/>
        <v>14462252.169046002</v>
      </c>
      <c r="AA133" s="240">
        <f t="shared" si="27"/>
        <v>635293.39024725067</v>
      </c>
      <c r="AB133" s="240">
        <f t="shared" si="28"/>
        <v>885510.63099585113</v>
      </c>
      <c r="AC133" s="240">
        <f t="shared" si="29"/>
        <v>1520804.0212431019</v>
      </c>
      <c r="AD133" s="240">
        <f t="shared" si="30"/>
        <v>6746499.3216880923</v>
      </c>
      <c r="AE133" s="240">
        <f t="shared" si="31"/>
        <v>9236556.8686010111</v>
      </c>
      <c r="AF133" s="240">
        <f t="shared" si="32"/>
        <v>15983056.190289102</v>
      </c>
      <c r="AG133" s="240">
        <f t="shared" si="10"/>
        <v>9569241.1760000009</v>
      </c>
      <c r="AH133" s="240">
        <f t="shared" si="11"/>
        <v>13076498.552999999</v>
      </c>
      <c r="AI133" s="240">
        <f t="shared" si="12"/>
        <v>22645739.728999998</v>
      </c>
      <c r="AJ133" s="240">
        <f t="shared" si="13"/>
        <v>994775.12899999996</v>
      </c>
      <c r="AK133" s="240">
        <f t="shared" si="14"/>
        <v>1386578.179</v>
      </c>
      <c r="AL133" s="240">
        <f t="shared" si="15"/>
        <v>2381353.3080000002</v>
      </c>
      <c r="AM133" s="240">
        <f t="shared" si="16"/>
        <v>10564016.305</v>
      </c>
      <c r="AN133" s="240">
        <f t="shared" si="17"/>
        <v>14463076.732000001</v>
      </c>
      <c r="AO133" s="240">
        <f t="shared" si="18"/>
        <v>25027093.037</v>
      </c>
    </row>
    <row r="134" spans="2:41" hidden="1" x14ac:dyDescent="0.25">
      <c r="B134" s="14">
        <v>41061</v>
      </c>
      <c r="C134" s="15">
        <v>201334</v>
      </c>
      <c r="D134" s="15">
        <v>279232</v>
      </c>
      <c r="E134" s="15">
        <v>480566</v>
      </c>
      <c r="F134" s="15">
        <v>12603</v>
      </c>
      <c r="G134" s="15">
        <v>17619</v>
      </c>
      <c r="H134" s="15">
        <v>30222</v>
      </c>
      <c r="I134" s="15">
        <v>213937</v>
      </c>
      <c r="J134" s="15">
        <v>296851</v>
      </c>
      <c r="K134" s="15">
        <v>510788</v>
      </c>
      <c r="L134" s="15">
        <v>9544139413</v>
      </c>
      <c r="M134" s="15">
        <v>13266851407</v>
      </c>
      <c r="N134" s="15">
        <f t="shared" si="19"/>
        <v>22810990820</v>
      </c>
      <c r="O134" s="15">
        <v>1020063631</v>
      </c>
      <c r="P134" s="15">
        <v>1412549894</v>
      </c>
      <c r="Q134" s="15">
        <f t="shared" si="20"/>
        <v>2432613525</v>
      </c>
      <c r="R134" s="15">
        <f t="shared" si="21"/>
        <v>10564203044</v>
      </c>
      <c r="S134" s="15">
        <f t="shared" si="22"/>
        <v>14679401301</v>
      </c>
      <c r="T134" s="16">
        <f t="shared" si="23"/>
        <v>25243604345</v>
      </c>
      <c r="U134">
        <v>82.148900620000006</v>
      </c>
      <c r="V134">
        <v>129.01505570699999</v>
      </c>
      <c r="W134" s="225">
        <f t="shared" si="0"/>
        <v>1.570502523263104</v>
      </c>
      <c r="X134" s="240">
        <f t="shared" si="24"/>
        <v>6077124.5328340577</v>
      </c>
      <c r="Y134" s="240">
        <f t="shared" si="25"/>
        <v>8447519.9565008432</v>
      </c>
      <c r="Z134" s="240">
        <f t="shared" si="26"/>
        <v>14524644.4893349</v>
      </c>
      <c r="AA134" s="240">
        <f t="shared" si="27"/>
        <v>649514.16243545269</v>
      </c>
      <c r="AB134" s="240">
        <f t="shared" si="28"/>
        <v>899425.42153009807</v>
      </c>
      <c r="AC134" s="240">
        <f t="shared" si="29"/>
        <v>1548939.5839655506</v>
      </c>
      <c r="AD134" s="240">
        <f t="shared" si="30"/>
        <v>6726638.6952695101</v>
      </c>
      <c r="AE134" s="240">
        <f t="shared" si="31"/>
        <v>9346945.3780309409</v>
      </c>
      <c r="AF134" s="240">
        <f t="shared" si="32"/>
        <v>16073584.073300451</v>
      </c>
      <c r="AG134" s="240">
        <f t="shared" si="10"/>
        <v>9544139.4130000006</v>
      </c>
      <c r="AH134" s="240">
        <f t="shared" si="11"/>
        <v>13266851.407</v>
      </c>
      <c r="AI134" s="240">
        <f t="shared" si="12"/>
        <v>22810990.82</v>
      </c>
      <c r="AJ134" s="240">
        <f t="shared" si="13"/>
        <v>1020063.6310000001</v>
      </c>
      <c r="AK134" s="240">
        <f t="shared" si="14"/>
        <v>1412549.8940000001</v>
      </c>
      <c r="AL134" s="240">
        <f t="shared" si="15"/>
        <v>2432613.5249999999</v>
      </c>
      <c r="AM134" s="240">
        <f t="shared" si="16"/>
        <v>10564203.044</v>
      </c>
      <c r="AN134" s="240">
        <f t="shared" si="17"/>
        <v>14679401.301000001</v>
      </c>
      <c r="AO134" s="240">
        <f t="shared" si="18"/>
        <v>25243604.344999999</v>
      </c>
    </row>
    <row r="135" spans="2:41" hidden="1" x14ac:dyDescent="0.25">
      <c r="B135" s="14">
        <v>41091</v>
      </c>
      <c r="C135" s="15">
        <v>202381</v>
      </c>
      <c r="D135" s="15">
        <v>276215</v>
      </c>
      <c r="E135" s="15">
        <v>478596</v>
      </c>
      <c r="F135" s="15">
        <v>12634</v>
      </c>
      <c r="G135" s="15">
        <v>17698</v>
      </c>
      <c r="H135" s="15">
        <v>30332</v>
      </c>
      <c r="I135" s="15">
        <v>215015</v>
      </c>
      <c r="J135" s="15">
        <v>293913</v>
      </c>
      <c r="K135" s="15">
        <v>508928</v>
      </c>
      <c r="L135" s="15">
        <v>9885448001</v>
      </c>
      <c r="M135" s="15">
        <v>13383284857</v>
      </c>
      <c r="N135" s="15">
        <f t="shared" si="19"/>
        <v>23268732858</v>
      </c>
      <c r="O135" s="15">
        <v>1036291517</v>
      </c>
      <c r="P135" s="15">
        <v>1442595267</v>
      </c>
      <c r="Q135" s="15">
        <f t="shared" si="20"/>
        <v>2478886784</v>
      </c>
      <c r="R135" s="15">
        <f t="shared" si="21"/>
        <v>10921739518</v>
      </c>
      <c r="S135" s="15">
        <f t="shared" si="22"/>
        <v>14825880124</v>
      </c>
      <c r="T135" s="16">
        <f t="shared" si="23"/>
        <v>25747619642</v>
      </c>
      <c r="U135">
        <v>82.138100140000006</v>
      </c>
      <c r="V135">
        <v>129.01505570699999</v>
      </c>
      <c r="W135" s="225">
        <f t="shared" si="0"/>
        <v>1.5707090313399106</v>
      </c>
      <c r="X135" s="240">
        <f t="shared" si="24"/>
        <v>6293621.4179446781</v>
      </c>
      <c r="Y135" s="240">
        <f t="shared" si="25"/>
        <v>8520537.2796406727</v>
      </c>
      <c r="Z135" s="240">
        <f t="shared" si="26"/>
        <v>14814158.697585352</v>
      </c>
      <c r="AA135" s="240">
        <f t="shared" si="27"/>
        <v>659760.33518823038</v>
      </c>
      <c r="AB135" s="240">
        <f t="shared" si="28"/>
        <v>918435.71165397728</v>
      </c>
      <c r="AC135" s="240">
        <f t="shared" si="29"/>
        <v>1578196.0468422077</v>
      </c>
      <c r="AD135" s="240">
        <f t="shared" si="30"/>
        <v>6953381.7531329086</v>
      </c>
      <c r="AE135" s="240">
        <f t="shared" si="31"/>
        <v>9438972.9912946504</v>
      </c>
      <c r="AF135" s="240">
        <f t="shared" si="32"/>
        <v>16392354.74442756</v>
      </c>
      <c r="AG135" s="240">
        <f t="shared" si="10"/>
        <v>9885448.0010000002</v>
      </c>
      <c r="AH135" s="240">
        <f t="shared" si="11"/>
        <v>13383284.857000001</v>
      </c>
      <c r="AI135" s="240">
        <f t="shared" si="12"/>
        <v>23268732.857999999</v>
      </c>
      <c r="AJ135" s="240">
        <f t="shared" si="13"/>
        <v>1036291.517</v>
      </c>
      <c r="AK135" s="240">
        <f t="shared" si="14"/>
        <v>1442595.267</v>
      </c>
      <c r="AL135" s="240">
        <f t="shared" si="15"/>
        <v>2478886.784</v>
      </c>
      <c r="AM135" s="240">
        <f t="shared" si="16"/>
        <v>10921739.517999999</v>
      </c>
      <c r="AN135" s="240">
        <f t="shared" si="17"/>
        <v>14825880.124</v>
      </c>
      <c r="AO135" s="240">
        <f t="shared" si="18"/>
        <v>25747619.642000001</v>
      </c>
    </row>
    <row r="136" spans="2:41" hidden="1" x14ac:dyDescent="0.25">
      <c r="B136" s="14">
        <v>41122</v>
      </c>
      <c r="C136" s="15">
        <v>207070</v>
      </c>
      <c r="D136" s="15">
        <v>282810</v>
      </c>
      <c r="E136" s="15">
        <v>489880</v>
      </c>
      <c r="F136" s="15">
        <v>19160</v>
      </c>
      <c r="G136" s="15">
        <v>23663</v>
      </c>
      <c r="H136" s="15">
        <v>42823</v>
      </c>
      <c r="I136" s="15">
        <v>226230</v>
      </c>
      <c r="J136" s="15">
        <v>306473</v>
      </c>
      <c r="K136" s="15">
        <v>532703</v>
      </c>
      <c r="L136" s="15">
        <v>10303166095</v>
      </c>
      <c r="M136" s="15">
        <v>13990675440</v>
      </c>
      <c r="N136" s="15">
        <f t="shared" si="19"/>
        <v>24293841535</v>
      </c>
      <c r="O136" s="15">
        <v>1516749480</v>
      </c>
      <c r="P136" s="15">
        <v>1912333246</v>
      </c>
      <c r="Q136" s="15">
        <f t="shared" si="20"/>
        <v>3429082726</v>
      </c>
      <c r="R136" s="15">
        <f t="shared" si="21"/>
        <v>11819915575</v>
      </c>
      <c r="S136" s="15">
        <f t="shared" si="22"/>
        <v>15903008686</v>
      </c>
      <c r="T136" s="16">
        <f t="shared" si="23"/>
        <v>27722924261</v>
      </c>
      <c r="U136">
        <v>82.319750740000003</v>
      </c>
      <c r="V136">
        <v>129.01505570699999</v>
      </c>
      <c r="W136" s="225">
        <f t="shared" si="0"/>
        <v>1.5672430315597428</v>
      </c>
      <c r="X136" s="240">
        <f t="shared" si="24"/>
        <v>6574070.4456960587</v>
      </c>
      <c r="Y136" s="240">
        <f t="shared" si="25"/>
        <v>8926934.2139465623</v>
      </c>
      <c r="Z136" s="240">
        <f t="shared" si="26"/>
        <v>15501004.659642622</v>
      </c>
      <c r="AA136" s="240">
        <f t="shared" si="27"/>
        <v>967781.9262597129</v>
      </c>
      <c r="AB136" s="240">
        <f t="shared" si="28"/>
        <v>1220189.3436379288</v>
      </c>
      <c r="AC136" s="240">
        <f t="shared" si="29"/>
        <v>2187971.2698976416</v>
      </c>
      <c r="AD136" s="240">
        <f t="shared" si="30"/>
        <v>7541852.371955771</v>
      </c>
      <c r="AE136" s="240">
        <f t="shared" si="31"/>
        <v>10147123.557584492</v>
      </c>
      <c r="AF136" s="240">
        <f t="shared" si="32"/>
        <v>17688975.929540265</v>
      </c>
      <c r="AG136" s="240">
        <f t="shared" si="10"/>
        <v>10303166.095000001</v>
      </c>
      <c r="AH136" s="240">
        <f t="shared" si="11"/>
        <v>13990675.439999999</v>
      </c>
      <c r="AI136" s="240">
        <f t="shared" si="12"/>
        <v>24293841.535</v>
      </c>
      <c r="AJ136" s="240">
        <f t="shared" si="13"/>
        <v>1516749.48</v>
      </c>
      <c r="AK136" s="240">
        <f t="shared" si="14"/>
        <v>1912333.246</v>
      </c>
      <c r="AL136" s="240">
        <f t="shared" si="15"/>
        <v>3429082.7259999998</v>
      </c>
      <c r="AM136" s="240">
        <f t="shared" si="16"/>
        <v>11819915.574999999</v>
      </c>
      <c r="AN136" s="240">
        <f t="shared" si="17"/>
        <v>15903008.686000001</v>
      </c>
      <c r="AO136" s="240">
        <f t="shared" si="18"/>
        <v>27722924.261</v>
      </c>
    </row>
    <row r="137" spans="2:41" hidden="1" x14ac:dyDescent="0.25">
      <c r="B137" s="14">
        <v>41153</v>
      </c>
      <c r="C137" s="15">
        <v>211511</v>
      </c>
      <c r="D137" s="15">
        <v>287696</v>
      </c>
      <c r="E137" s="15">
        <v>499207</v>
      </c>
      <c r="F137" s="15">
        <v>19316</v>
      </c>
      <c r="G137" s="15">
        <v>23918</v>
      </c>
      <c r="H137" s="15">
        <v>43234</v>
      </c>
      <c r="I137" s="15">
        <v>230827</v>
      </c>
      <c r="J137" s="15">
        <v>311614</v>
      </c>
      <c r="K137" s="15">
        <v>542441</v>
      </c>
      <c r="L137" s="15">
        <v>10442705949</v>
      </c>
      <c r="M137" s="15">
        <v>14069211757</v>
      </c>
      <c r="N137" s="15">
        <f t="shared" si="19"/>
        <v>24511917706</v>
      </c>
      <c r="O137" s="15">
        <v>1552793889</v>
      </c>
      <c r="P137" s="15">
        <v>1914024118</v>
      </c>
      <c r="Q137" s="15">
        <f t="shared" si="20"/>
        <v>3466818007</v>
      </c>
      <c r="R137" s="15">
        <f t="shared" si="21"/>
        <v>11995499838</v>
      </c>
      <c r="S137" s="15">
        <f t="shared" si="22"/>
        <v>15983235875</v>
      </c>
      <c r="T137" s="16">
        <f t="shared" si="23"/>
        <v>27978735713</v>
      </c>
      <c r="U137">
        <v>82.952428870000006</v>
      </c>
      <c r="V137">
        <v>129.01505570699999</v>
      </c>
      <c r="W137" s="225">
        <f t="shared" si="0"/>
        <v>1.5552896698080731</v>
      </c>
      <c r="X137" s="240">
        <f t="shared" si="24"/>
        <v>6714315.7649138486</v>
      </c>
      <c r="Y137" s="240">
        <f t="shared" si="25"/>
        <v>9046039.4806944076</v>
      </c>
      <c r="Z137" s="240">
        <f t="shared" si="26"/>
        <v>15760355.245608257</v>
      </c>
      <c r="AA137" s="240">
        <f t="shared" si="27"/>
        <v>998395.29519386496</v>
      </c>
      <c r="AB137" s="240">
        <f t="shared" si="28"/>
        <v>1230654.4273750598</v>
      </c>
      <c r="AC137" s="240">
        <f t="shared" si="29"/>
        <v>2229049.722568925</v>
      </c>
      <c r="AD137" s="240">
        <f t="shared" si="30"/>
        <v>7712711.0601077136</v>
      </c>
      <c r="AE137" s="240">
        <f t="shared" si="31"/>
        <v>10276693.908069467</v>
      </c>
      <c r="AF137" s="240">
        <f t="shared" si="32"/>
        <v>17989404.968177181</v>
      </c>
      <c r="AG137" s="240">
        <f t="shared" si="10"/>
        <v>10442705.948999999</v>
      </c>
      <c r="AH137" s="240">
        <f t="shared" si="11"/>
        <v>14069211.756999999</v>
      </c>
      <c r="AI137" s="240">
        <f t="shared" si="12"/>
        <v>24511917.706</v>
      </c>
      <c r="AJ137" s="240">
        <f t="shared" si="13"/>
        <v>1552793.889</v>
      </c>
      <c r="AK137" s="240">
        <f t="shared" si="14"/>
        <v>1914024.118</v>
      </c>
      <c r="AL137" s="240">
        <f t="shared" si="15"/>
        <v>3466818.0070000002</v>
      </c>
      <c r="AM137" s="240">
        <f t="shared" si="16"/>
        <v>11995499.838</v>
      </c>
      <c r="AN137" s="240">
        <f t="shared" si="17"/>
        <v>15983235.875</v>
      </c>
      <c r="AO137" s="240">
        <f t="shared" si="18"/>
        <v>27978735.713</v>
      </c>
    </row>
    <row r="138" spans="2:41" hidden="1" x14ac:dyDescent="0.25">
      <c r="B138" s="14">
        <v>41183</v>
      </c>
      <c r="C138" s="15">
        <v>216179</v>
      </c>
      <c r="D138" s="15">
        <v>294781</v>
      </c>
      <c r="E138" s="15">
        <v>510960</v>
      </c>
      <c r="F138" s="15">
        <v>18437</v>
      </c>
      <c r="G138" s="15">
        <v>22975</v>
      </c>
      <c r="H138" s="15">
        <v>41412</v>
      </c>
      <c r="I138" s="15">
        <v>234616</v>
      </c>
      <c r="J138" s="15">
        <v>317756</v>
      </c>
      <c r="K138" s="15">
        <v>552372</v>
      </c>
      <c r="L138" s="15">
        <v>10722556332</v>
      </c>
      <c r="M138" s="15">
        <v>14684423467</v>
      </c>
      <c r="N138" s="15">
        <f t="shared" si="19"/>
        <v>25406979799</v>
      </c>
      <c r="O138" s="15">
        <v>1473349714</v>
      </c>
      <c r="P138" s="15">
        <v>1863965471</v>
      </c>
      <c r="Q138" s="15">
        <f t="shared" si="20"/>
        <v>3337315185</v>
      </c>
      <c r="R138" s="15">
        <f t="shared" si="21"/>
        <v>12195906046</v>
      </c>
      <c r="S138" s="15">
        <f t="shared" si="22"/>
        <v>16548388938</v>
      </c>
      <c r="T138" s="16">
        <f t="shared" si="23"/>
        <v>28744294984</v>
      </c>
      <c r="U138">
        <v>83.415861460000002</v>
      </c>
      <c r="V138">
        <v>129.01505570699999</v>
      </c>
      <c r="W138" s="225">
        <f t="shared" si="0"/>
        <v>1.5466489639846965</v>
      </c>
      <c r="X138" s="240">
        <f t="shared" si="24"/>
        <v>6932766.6339846309</v>
      </c>
      <c r="Y138" s="240">
        <f t="shared" si="25"/>
        <v>9494347.9800147433</v>
      </c>
      <c r="Z138" s="240">
        <f t="shared" si="26"/>
        <v>16427114.613999374</v>
      </c>
      <c r="AA138" s="240">
        <f t="shared" si="27"/>
        <v>952607.70110636321</v>
      </c>
      <c r="AB138" s="240">
        <f t="shared" si="28"/>
        <v>1205163.882952333</v>
      </c>
      <c r="AC138" s="240">
        <f t="shared" si="29"/>
        <v>2157771.5840586964</v>
      </c>
      <c r="AD138" s="240">
        <f t="shared" si="30"/>
        <v>7885374.335090993</v>
      </c>
      <c r="AE138" s="240">
        <f t="shared" si="31"/>
        <v>10699511.862967078</v>
      </c>
      <c r="AF138" s="240">
        <f t="shared" si="32"/>
        <v>18584886.198058072</v>
      </c>
      <c r="AG138" s="240">
        <f t="shared" si="10"/>
        <v>10722556.332</v>
      </c>
      <c r="AH138" s="240">
        <f t="shared" si="11"/>
        <v>14684423.467</v>
      </c>
      <c r="AI138" s="240">
        <f t="shared" si="12"/>
        <v>25406979.798999999</v>
      </c>
      <c r="AJ138" s="240">
        <f t="shared" si="13"/>
        <v>1473349.7139999999</v>
      </c>
      <c r="AK138" s="240">
        <f t="shared" si="14"/>
        <v>1863965.4709999999</v>
      </c>
      <c r="AL138" s="240">
        <f t="shared" si="15"/>
        <v>3337315.1850000001</v>
      </c>
      <c r="AM138" s="240">
        <f t="shared" si="16"/>
        <v>12195906.046</v>
      </c>
      <c r="AN138" s="240">
        <f t="shared" si="17"/>
        <v>16548388.937999999</v>
      </c>
      <c r="AO138" s="240">
        <f t="shared" si="18"/>
        <v>28744294.984000001</v>
      </c>
    </row>
    <row r="139" spans="2:41" hidden="1" x14ac:dyDescent="0.25">
      <c r="B139" s="14">
        <v>41214</v>
      </c>
      <c r="C139" s="15">
        <v>223185</v>
      </c>
      <c r="D139" s="15">
        <v>303521</v>
      </c>
      <c r="E139" s="15">
        <v>526706</v>
      </c>
      <c r="F139" s="15">
        <v>16946</v>
      </c>
      <c r="G139" s="15">
        <v>21524</v>
      </c>
      <c r="H139" s="15">
        <v>38470</v>
      </c>
      <c r="I139" s="15">
        <v>240131</v>
      </c>
      <c r="J139" s="15">
        <v>325045</v>
      </c>
      <c r="K139" s="15">
        <v>565176</v>
      </c>
      <c r="L139" s="15">
        <v>11120846161</v>
      </c>
      <c r="M139" s="15">
        <v>15047736121</v>
      </c>
      <c r="N139" s="15">
        <f t="shared" si="19"/>
        <v>26168582282</v>
      </c>
      <c r="O139" s="15">
        <v>1317267708</v>
      </c>
      <c r="P139" s="15">
        <v>1709710864</v>
      </c>
      <c r="Q139" s="15">
        <f t="shared" si="20"/>
        <v>3026978572</v>
      </c>
      <c r="R139" s="15">
        <f t="shared" si="21"/>
        <v>12438113869</v>
      </c>
      <c r="S139" s="15">
        <f t="shared" si="22"/>
        <v>16757446985</v>
      </c>
      <c r="T139" s="16">
        <f t="shared" si="23"/>
        <v>29195560854</v>
      </c>
      <c r="U139">
        <v>83.040174840000006</v>
      </c>
      <c r="V139">
        <v>129.01505570699999</v>
      </c>
      <c r="W139" s="225">
        <f t="shared" si="0"/>
        <v>1.5536462435873164</v>
      </c>
      <c r="X139" s="240">
        <f t="shared" si="24"/>
        <v>7157901.1032281993</v>
      </c>
      <c r="Y139" s="240">
        <f t="shared" si="25"/>
        <v>9685432.6930017788</v>
      </c>
      <c r="Z139" s="240">
        <f t="shared" si="26"/>
        <v>16843333.796229977</v>
      </c>
      <c r="AA139" s="240">
        <f t="shared" si="27"/>
        <v>847855.62571726344</v>
      </c>
      <c r="AB139" s="240">
        <f t="shared" si="28"/>
        <v>1100450.5504755934</v>
      </c>
      <c r="AC139" s="240">
        <f t="shared" si="29"/>
        <v>1948306.1761928569</v>
      </c>
      <c r="AD139" s="240">
        <f t="shared" si="30"/>
        <v>8005756.728945463</v>
      </c>
      <c r="AE139" s="240">
        <f t="shared" si="31"/>
        <v>10785883.243477372</v>
      </c>
      <c r="AF139" s="240">
        <f t="shared" si="32"/>
        <v>18791639.972422834</v>
      </c>
      <c r="AG139" s="240">
        <f t="shared" si="10"/>
        <v>11120846.161</v>
      </c>
      <c r="AH139" s="240">
        <f t="shared" si="11"/>
        <v>15047736.120999999</v>
      </c>
      <c r="AI139" s="240">
        <f t="shared" si="12"/>
        <v>26168582.282000002</v>
      </c>
      <c r="AJ139" s="240">
        <f t="shared" si="13"/>
        <v>1317267.7080000001</v>
      </c>
      <c r="AK139" s="240">
        <f t="shared" si="14"/>
        <v>1709710.8640000001</v>
      </c>
      <c r="AL139" s="240">
        <f t="shared" si="15"/>
        <v>3026978.5720000002</v>
      </c>
      <c r="AM139" s="240">
        <f t="shared" si="16"/>
        <v>12438113.869000001</v>
      </c>
      <c r="AN139" s="240">
        <f t="shared" si="17"/>
        <v>16757446.984999999</v>
      </c>
      <c r="AO139" s="240">
        <f t="shared" si="18"/>
        <v>29195560.853999998</v>
      </c>
    </row>
    <row r="140" spans="2:41" hidden="1" x14ac:dyDescent="0.25">
      <c r="B140" s="17">
        <v>41244</v>
      </c>
      <c r="C140" s="18">
        <v>227534</v>
      </c>
      <c r="D140" s="18">
        <v>312354</v>
      </c>
      <c r="E140" s="18">
        <v>539888</v>
      </c>
      <c r="F140" s="18">
        <v>17699</v>
      </c>
      <c r="G140" s="18">
        <v>22465</v>
      </c>
      <c r="H140" s="18">
        <v>40164</v>
      </c>
      <c r="I140" s="19">
        <v>245233</v>
      </c>
      <c r="J140" s="19">
        <v>334819</v>
      </c>
      <c r="K140" s="19">
        <v>580052</v>
      </c>
      <c r="L140" s="18">
        <v>11110423657</v>
      </c>
      <c r="M140" s="18">
        <v>15379786630</v>
      </c>
      <c r="N140" s="18">
        <f t="shared" si="19"/>
        <v>26490210287</v>
      </c>
      <c r="O140" s="18">
        <v>1421339906</v>
      </c>
      <c r="P140" s="18">
        <v>1849911610</v>
      </c>
      <c r="Q140" s="18">
        <f t="shared" si="20"/>
        <v>3271251516</v>
      </c>
      <c r="R140" s="18">
        <f t="shared" si="21"/>
        <v>12531763563</v>
      </c>
      <c r="S140" s="18">
        <f t="shared" si="22"/>
        <v>17229698240</v>
      </c>
      <c r="T140" s="18">
        <f t="shared" si="23"/>
        <v>29761461803</v>
      </c>
      <c r="U140">
        <v>83.01813027</v>
      </c>
      <c r="V140">
        <v>129.01505570699999</v>
      </c>
      <c r="W140" s="225">
        <f t="shared" si="0"/>
        <v>1.5540587976072711</v>
      </c>
      <c r="X140" s="240">
        <f t="shared" si="24"/>
        <v>7149294.2700149594</v>
      </c>
      <c r="Y140" s="240">
        <f t="shared" si="25"/>
        <v>9896528.1453183815</v>
      </c>
      <c r="Z140" s="240">
        <f t="shared" si="26"/>
        <v>17045822.415333338</v>
      </c>
      <c r="AA140" s="240">
        <f t="shared" si="27"/>
        <v>914598.53912116215</v>
      </c>
      <c r="AB140" s="240">
        <f t="shared" si="28"/>
        <v>1190374.2720984835</v>
      </c>
      <c r="AC140" s="240">
        <f t="shared" si="29"/>
        <v>2104972.8112196457</v>
      </c>
      <c r="AD140" s="240">
        <f t="shared" si="30"/>
        <v>8063892.8091361215</v>
      </c>
      <c r="AE140" s="240">
        <f t="shared" si="31"/>
        <v>11086902.417416865</v>
      </c>
      <c r="AF140" s="240">
        <f t="shared" si="32"/>
        <v>19150795.226552986</v>
      </c>
      <c r="AG140" s="240">
        <f t="shared" si="10"/>
        <v>11110423.657</v>
      </c>
      <c r="AH140" s="240">
        <f t="shared" si="11"/>
        <v>15379786.630000001</v>
      </c>
      <c r="AI140" s="240">
        <f t="shared" si="12"/>
        <v>26490210.287</v>
      </c>
      <c r="AJ140" s="240">
        <f t="shared" si="13"/>
        <v>1421339.906</v>
      </c>
      <c r="AK140" s="240">
        <f t="shared" si="14"/>
        <v>1849911.61</v>
      </c>
      <c r="AL140" s="240">
        <f t="shared" si="15"/>
        <v>3271251.5159999998</v>
      </c>
      <c r="AM140" s="240">
        <f t="shared" si="16"/>
        <v>12531763.562999999</v>
      </c>
      <c r="AN140" s="240">
        <f t="shared" si="17"/>
        <v>17229698.239999998</v>
      </c>
      <c r="AO140" s="240">
        <f t="shared" si="18"/>
        <v>29761461.802999999</v>
      </c>
    </row>
    <row r="141" spans="2:41" hidden="1" x14ac:dyDescent="0.25">
      <c r="B141" s="14">
        <v>41275</v>
      </c>
      <c r="C141" s="15">
        <v>230222</v>
      </c>
      <c r="D141" s="15">
        <v>316102</v>
      </c>
      <c r="E141" s="15">
        <v>546324</v>
      </c>
      <c r="F141" s="15">
        <v>18080</v>
      </c>
      <c r="G141" s="15">
        <v>22998</v>
      </c>
      <c r="H141" s="15">
        <v>41078</v>
      </c>
      <c r="I141" s="15">
        <v>248302</v>
      </c>
      <c r="J141" s="15">
        <v>339100</v>
      </c>
      <c r="K141" s="15">
        <v>587402</v>
      </c>
      <c r="L141" s="15">
        <v>11117546098</v>
      </c>
      <c r="M141" s="15">
        <v>15155009141</v>
      </c>
      <c r="N141" s="15">
        <f t="shared" si="19"/>
        <v>26272555239</v>
      </c>
      <c r="O141" s="15">
        <v>1422533870</v>
      </c>
      <c r="P141" s="15">
        <v>1842425649</v>
      </c>
      <c r="Q141" s="15">
        <f t="shared" si="20"/>
        <v>3264959519</v>
      </c>
      <c r="R141" s="15">
        <f t="shared" si="21"/>
        <v>12540079968</v>
      </c>
      <c r="S141" s="15">
        <f t="shared" si="22"/>
        <v>16997434790</v>
      </c>
      <c r="T141" s="16">
        <f t="shared" si="23"/>
        <v>29537514758</v>
      </c>
      <c r="U141">
        <v>83.165705209999999</v>
      </c>
      <c r="V141">
        <v>129.01505570699999</v>
      </c>
      <c r="W141" s="225">
        <f t="shared" si="0"/>
        <v>1.5513011689280665</v>
      </c>
      <c r="X141" s="240">
        <f t="shared" si="24"/>
        <v>7166594.2891554143</v>
      </c>
      <c r="Y141" s="240">
        <f t="shared" si="25"/>
        <v>9769224.3418290969</v>
      </c>
      <c r="Z141" s="240">
        <f t="shared" si="26"/>
        <v>16935818.630984511</v>
      </c>
      <c r="AA141" s="240">
        <f t="shared" si="27"/>
        <v>916994.00380324386</v>
      </c>
      <c r="AB141" s="240">
        <f t="shared" si="28"/>
        <v>1187664.7074746278</v>
      </c>
      <c r="AC141" s="240">
        <f t="shared" si="29"/>
        <v>2104658.7112778714</v>
      </c>
      <c r="AD141" s="240">
        <f t="shared" si="30"/>
        <v>8083588.2929586582</v>
      </c>
      <c r="AE141" s="240">
        <f t="shared" si="31"/>
        <v>10956889.049303725</v>
      </c>
      <c r="AF141" s="240">
        <f t="shared" si="32"/>
        <v>19040477.342262384</v>
      </c>
      <c r="AG141" s="240">
        <f t="shared" si="10"/>
        <v>11117546.097999999</v>
      </c>
      <c r="AH141" s="240">
        <f t="shared" si="11"/>
        <v>15155009.141000001</v>
      </c>
      <c r="AI141" s="240">
        <f t="shared" si="12"/>
        <v>26272555.239</v>
      </c>
      <c r="AJ141" s="240">
        <f t="shared" si="13"/>
        <v>1422533.87</v>
      </c>
      <c r="AK141" s="240">
        <f t="shared" si="14"/>
        <v>1842425.649</v>
      </c>
      <c r="AL141" s="240">
        <f t="shared" si="15"/>
        <v>3264959.5189999999</v>
      </c>
      <c r="AM141" s="240">
        <f t="shared" si="16"/>
        <v>12540079.968</v>
      </c>
      <c r="AN141" s="240">
        <f t="shared" si="17"/>
        <v>16997434.789999999</v>
      </c>
      <c r="AO141" s="240">
        <f t="shared" si="18"/>
        <v>29537514.758000001</v>
      </c>
    </row>
    <row r="142" spans="2:41" hidden="1" x14ac:dyDescent="0.25">
      <c r="B142" s="14">
        <v>41306</v>
      </c>
      <c r="C142" s="15">
        <v>231652</v>
      </c>
      <c r="D142" s="15">
        <v>318370</v>
      </c>
      <c r="E142" s="15">
        <v>550022</v>
      </c>
      <c r="F142" s="15">
        <v>18243</v>
      </c>
      <c r="G142" s="15">
        <v>23375</v>
      </c>
      <c r="H142" s="15">
        <v>41618</v>
      </c>
      <c r="I142" s="15">
        <v>249895</v>
      </c>
      <c r="J142" s="15">
        <v>341745</v>
      </c>
      <c r="K142" s="15">
        <v>591640</v>
      </c>
      <c r="L142" s="15">
        <v>11012384293</v>
      </c>
      <c r="M142" s="15">
        <v>14937260643</v>
      </c>
      <c r="N142" s="15">
        <f t="shared" si="19"/>
        <v>25949644936</v>
      </c>
      <c r="O142" s="15">
        <v>1419562821</v>
      </c>
      <c r="P142" s="15">
        <v>1863082623</v>
      </c>
      <c r="Q142" s="15">
        <f t="shared" si="20"/>
        <v>3282645444</v>
      </c>
      <c r="R142" s="15">
        <f t="shared" si="21"/>
        <v>12431947114</v>
      </c>
      <c r="S142" s="15">
        <f t="shared" si="22"/>
        <v>16800343266</v>
      </c>
      <c r="T142" s="16">
        <f t="shared" si="23"/>
        <v>29232290380</v>
      </c>
      <c r="U142">
        <v>83.263245900000001</v>
      </c>
      <c r="V142">
        <v>129.01505570699999</v>
      </c>
      <c r="W142" s="225">
        <f t="shared" si="0"/>
        <v>1.5494838606454087</v>
      </c>
      <c r="X142" s="240">
        <f t="shared" si="24"/>
        <v>7107130.685706527</v>
      </c>
      <c r="Y142" s="240">
        <f t="shared" si="25"/>
        <v>9640152.4548814353</v>
      </c>
      <c r="Z142" s="240">
        <f t="shared" si="26"/>
        <v>16747283.140587963</v>
      </c>
      <c r="AA142" s="240">
        <f t="shared" si="27"/>
        <v>916152.0536320447</v>
      </c>
      <c r="AB142" s="240">
        <f t="shared" si="28"/>
        <v>1202389.1763699737</v>
      </c>
      <c r="AC142" s="240">
        <f t="shared" si="29"/>
        <v>2118541.2300020182</v>
      </c>
      <c r="AD142" s="240">
        <f t="shared" si="30"/>
        <v>8023282.7393385712</v>
      </c>
      <c r="AE142" s="240">
        <f t="shared" si="31"/>
        <v>10842541.63125141</v>
      </c>
      <c r="AF142" s="240">
        <f t="shared" si="32"/>
        <v>18865824.370589983</v>
      </c>
      <c r="AG142" s="240">
        <f t="shared" si="10"/>
        <v>11012384.293</v>
      </c>
      <c r="AH142" s="240">
        <f t="shared" si="11"/>
        <v>14937260.642999999</v>
      </c>
      <c r="AI142" s="240">
        <f t="shared" si="12"/>
        <v>25949644.936000001</v>
      </c>
      <c r="AJ142" s="240">
        <f t="shared" si="13"/>
        <v>1419562.821</v>
      </c>
      <c r="AK142" s="240">
        <f t="shared" si="14"/>
        <v>1863082.6229999999</v>
      </c>
      <c r="AL142" s="240">
        <f t="shared" si="15"/>
        <v>3282645.4440000001</v>
      </c>
      <c r="AM142" s="240">
        <f t="shared" si="16"/>
        <v>12431947.114</v>
      </c>
      <c r="AN142" s="240">
        <f t="shared" si="17"/>
        <v>16800343.265999999</v>
      </c>
      <c r="AO142" s="240">
        <f t="shared" si="18"/>
        <v>29232290.379999999</v>
      </c>
    </row>
    <row r="143" spans="2:41" hidden="1" x14ac:dyDescent="0.25">
      <c r="B143" s="14">
        <v>41334</v>
      </c>
      <c r="C143" s="15">
        <v>233004</v>
      </c>
      <c r="D143" s="15">
        <v>320652</v>
      </c>
      <c r="E143" s="15">
        <v>553656</v>
      </c>
      <c r="F143" s="15">
        <v>18581</v>
      </c>
      <c r="G143" s="15">
        <v>23775</v>
      </c>
      <c r="H143" s="15">
        <v>42356</v>
      </c>
      <c r="I143" s="15">
        <v>251585</v>
      </c>
      <c r="J143" s="15">
        <v>344427</v>
      </c>
      <c r="K143" s="15">
        <v>596012</v>
      </c>
      <c r="L143" s="15">
        <v>11135083166</v>
      </c>
      <c r="M143" s="15">
        <v>15129817061</v>
      </c>
      <c r="N143" s="15">
        <f t="shared" si="19"/>
        <v>26264900227</v>
      </c>
      <c r="O143" s="15">
        <v>1437877771</v>
      </c>
      <c r="P143" s="15">
        <v>1887289306</v>
      </c>
      <c r="Q143" s="15">
        <f t="shared" si="20"/>
        <v>3325167077</v>
      </c>
      <c r="R143" s="15">
        <f t="shared" si="21"/>
        <v>12572960937</v>
      </c>
      <c r="S143" s="15">
        <f t="shared" si="22"/>
        <v>17017106367</v>
      </c>
      <c r="T143" s="16">
        <f t="shared" si="23"/>
        <v>29590067304</v>
      </c>
      <c r="U143">
        <v>83.582810629999997</v>
      </c>
      <c r="V143">
        <v>129.01505570699999</v>
      </c>
      <c r="W143" s="225">
        <f t="shared" si="0"/>
        <v>1.5435596713553588</v>
      </c>
      <c r="X143" s="240">
        <f t="shared" si="24"/>
        <v>7213898.7385065453</v>
      </c>
      <c r="Y143" s="240">
        <f t="shared" si="25"/>
        <v>9801899.6879562866</v>
      </c>
      <c r="Z143" s="240">
        <f t="shared" si="26"/>
        <v>17015798.426462833</v>
      </c>
      <c r="AA143" s="240">
        <f t="shared" si="27"/>
        <v>931533.64763503941</v>
      </c>
      <c r="AB143" s="240">
        <f t="shared" si="28"/>
        <v>1222686.3275993867</v>
      </c>
      <c r="AC143" s="240">
        <f t="shared" si="29"/>
        <v>2154219.9752344261</v>
      </c>
      <c r="AD143" s="240">
        <f t="shared" si="30"/>
        <v>8145432.3861415843</v>
      </c>
      <c r="AE143" s="240">
        <f t="shared" si="31"/>
        <v>11024586.015555674</v>
      </c>
      <c r="AF143" s="240">
        <f t="shared" si="32"/>
        <v>19170018.401697259</v>
      </c>
      <c r="AG143" s="240">
        <f t="shared" si="10"/>
        <v>11135083.165999999</v>
      </c>
      <c r="AH143" s="240">
        <f t="shared" si="11"/>
        <v>15129817.061000001</v>
      </c>
      <c r="AI143" s="240">
        <f t="shared" si="12"/>
        <v>26264900.227000002</v>
      </c>
      <c r="AJ143" s="240">
        <f t="shared" si="13"/>
        <v>1437877.7709999999</v>
      </c>
      <c r="AK143" s="240">
        <f t="shared" si="14"/>
        <v>1887289.3060000001</v>
      </c>
      <c r="AL143" s="240">
        <f t="shared" si="15"/>
        <v>3325167.077</v>
      </c>
      <c r="AM143" s="240">
        <f t="shared" si="16"/>
        <v>12572960.937000001</v>
      </c>
      <c r="AN143" s="240">
        <f t="shared" si="17"/>
        <v>17017106.366999999</v>
      </c>
      <c r="AO143" s="240">
        <f t="shared" si="18"/>
        <v>29590067.304000001</v>
      </c>
    </row>
    <row r="144" spans="2:41" hidden="1" x14ac:dyDescent="0.25">
      <c r="B144" s="14">
        <v>41365</v>
      </c>
      <c r="C144" s="15">
        <v>234782</v>
      </c>
      <c r="D144" s="15">
        <v>322878</v>
      </c>
      <c r="E144" s="15">
        <v>557660</v>
      </c>
      <c r="F144" s="15">
        <v>18856</v>
      </c>
      <c r="G144" s="15">
        <v>24167</v>
      </c>
      <c r="H144" s="15">
        <v>43023</v>
      </c>
      <c r="I144" s="15">
        <v>253638</v>
      </c>
      <c r="J144" s="15">
        <v>347045</v>
      </c>
      <c r="K144" s="15">
        <v>600683</v>
      </c>
      <c r="L144" s="15">
        <v>11175832334</v>
      </c>
      <c r="M144" s="15">
        <v>15261790780</v>
      </c>
      <c r="N144" s="15">
        <f t="shared" si="19"/>
        <v>26437623114</v>
      </c>
      <c r="O144" s="15">
        <v>1456472347</v>
      </c>
      <c r="P144" s="15">
        <v>1909986928</v>
      </c>
      <c r="Q144" s="15">
        <f t="shared" si="20"/>
        <v>3366459275</v>
      </c>
      <c r="R144" s="15">
        <f t="shared" si="21"/>
        <v>12632304681</v>
      </c>
      <c r="S144" s="15">
        <f t="shared" si="22"/>
        <v>17171777708</v>
      </c>
      <c r="T144" s="16">
        <f t="shared" si="23"/>
        <v>29804082389</v>
      </c>
      <c r="U144">
        <v>83.178496589999995</v>
      </c>
      <c r="V144">
        <v>129.01505570699999</v>
      </c>
      <c r="W144" s="225">
        <f t="shared" si="0"/>
        <v>1.5510626062759425</v>
      </c>
      <c r="X144" s="240">
        <f t="shared" si="24"/>
        <v>7205274.8153298972</v>
      </c>
      <c r="Y144" s="240">
        <f t="shared" si="25"/>
        <v>9839571.0903269909</v>
      </c>
      <c r="Z144" s="240">
        <f t="shared" si="26"/>
        <v>17044845.905656885</v>
      </c>
      <c r="AA144" s="240">
        <f t="shared" si="27"/>
        <v>939015.83411706961</v>
      </c>
      <c r="AB144" s="240">
        <f t="shared" si="28"/>
        <v>1231405.4379699246</v>
      </c>
      <c r="AC144" s="240">
        <f t="shared" si="29"/>
        <v>2170421.2720869943</v>
      </c>
      <c r="AD144" s="240">
        <f t="shared" si="30"/>
        <v>8144290.6494469661</v>
      </c>
      <c r="AE144" s="240">
        <f t="shared" si="31"/>
        <v>11070976.528296916</v>
      </c>
      <c r="AF144" s="240">
        <f t="shared" si="32"/>
        <v>19215267.177743882</v>
      </c>
      <c r="AG144" s="240">
        <f t="shared" si="10"/>
        <v>11175832.334000001</v>
      </c>
      <c r="AH144" s="240">
        <f t="shared" si="11"/>
        <v>15261790.779999999</v>
      </c>
      <c r="AI144" s="240">
        <f t="shared" si="12"/>
        <v>26437623.114</v>
      </c>
      <c r="AJ144" s="240">
        <f t="shared" si="13"/>
        <v>1456472.3470000001</v>
      </c>
      <c r="AK144" s="240">
        <f t="shared" si="14"/>
        <v>1909986.9280000001</v>
      </c>
      <c r="AL144" s="240">
        <f t="shared" si="15"/>
        <v>3366459.2749999999</v>
      </c>
      <c r="AM144" s="240">
        <f t="shared" si="16"/>
        <v>12632304.681</v>
      </c>
      <c r="AN144" s="240">
        <f t="shared" si="17"/>
        <v>17171777.708000001</v>
      </c>
      <c r="AO144" s="240">
        <f t="shared" si="18"/>
        <v>29804082.388999999</v>
      </c>
    </row>
    <row r="145" spans="2:41" hidden="1" x14ac:dyDescent="0.25">
      <c r="B145" s="14">
        <v>41395</v>
      </c>
      <c r="C145" s="15">
        <v>234339</v>
      </c>
      <c r="D145" s="15">
        <v>323526</v>
      </c>
      <c r="E145" s="15">
        <v>557865</v>
      </c>
      <c r="F145" s="15">
        <v>20403</v>
      </c>
      <c r="G145" s="15">
        <v>25946</v>
      </c>
      <c r="H145" s="15">
        <v>46349</v>
      </c>
      <c r="I145" s="15">
        <v>254742</v>
      </c>
      <c r="J145" s="15">
        <v>349472</v>
      </c>
      <c r="K145" s="15">
        <v>604214</v>
      </c>
      <c r="L145" s="15">
        <v>11166313655</v>
      </c>
      <c r="M145" s="15">
        <v>15231414180</v>
      </c>
      <c r="N145" s="15">
        <f t="shared" si="19"/>
        <v>26397727835</v>
      </c>
      <c r="O145" s="15">
        <v>1576561504</v>
      </c>
      <c r="P145" s="15">
        <v>2045467379</v>
      </c>
      <c r="Q145" s="15">
        <f t="shared" si="20"/>
        <v>3622028883</v>
      </c>
      <c r="R145" s="15">
        <f t="shared" si="21"/>
        <v>12742875159</v>
      </c>
      <c r="S145" s="15">
        <f t="shared" si="22"/>
        <v>17276881559</v>
      </c>
      <c r="T145" s="16">
        <f t="shared" si="23"/>
        <v>30019756718</v>
      </c>
      <c r="U145">
        <v>83.171387879999997</v>
      </c>
      <c r="V145">
        <v>129.01505570699999</v>
      </c>
      <c r="W145" s="225">
        <f t="shared" si="0"/>
        <v>1.5511951765569119</v>
      </c>
      <c r="X145" s="240">
        <f t="shared" si="24"/>
        <v>7198522.6770657888</v>
      </c>
      <c r="Y145" s="240">
        <f t="shared" si="25"/>
        <v>9819147.4613840599</v>
      </c>
      <c r="Z145" s="240">
        <f t="shared" si="26"/>
        <v>17017670.138449848</v>
      </c>
      <c r="AA145" s="240">
        <f t="shared" si="27"/>
        <v>1016352.7632282819</v>
      </c>
      <c r="AB145" s="240">
        <f t="shared" si="28"/>
        <v>1318639.5947544088</v>
      </c>
      <c r="AC145" s="240">
        <f t="shared" si="29"/>
        <v>2334992.3579826909</v>
      </c>
      <c r="AD145" s="240">
        <f t="shared" si="30"/>
        <v>8214875.4402940702</v>
      </c>
      <c r="AE145" s="240">
        <f t="shared" si="31"/>
        <v>11137787.056138469</v>
      </c>
      <c r="AF145" s="240">
        <f t="shared" si="32"/>
        <v>19352662.496432539</v>
      </c>
      <c r="AG145" s="240">
        <f t="shared" si="10"/>
        <v>11166313.654999999</v>
      </c>
      <c r="AH145" s="240">
        <f t="shared" si="11"/>
        <v>15231414.18</v>
      </c>
      <c r="AI145" s="240">
        <f t="shared" si="12"/>
        <v>26397727.835000001</v>
      </c>
      <c r="AJ145" s="240">
        <f t="shared" si="13"/>
        <v>1576561.504</v>
      </c>
      <c r="AK145" s="240">
        <f t="shared" si="14"/>
        <v>2045467.379</v>
      </c>
      <c r="AL145" s="240">
        <f t="shared" si="15"/>
        <v>3622028.8829999999</v>
      </c>
      <c r="AM145" s="240">
        <f t="shared" si="16"/>
        <v>12742875.159</v>
      </c>
      <c r="AN145" s="240">
        <f t="shared" si="17"/>
        <v>17276881.559</v>
      </c>
      <c r="AO145" s="240">
        <f t="shared" si="18"/>
        <v>30019756.717999998</v>
      </c>
    </row>
    <row r="146" spans="2:41" hidden="1" x14ac:dyDescent="0.25">
      <c r="B146" s="14">
        <v>41426</v>
      </c>
      <c r="C146" s="15">
        <v>235609</v>
      </c>
      <c r="D146" s="15">
        <v>325229</v>
      </c>
      <c r="E146" s="15">
        <v>560838</v>
      </c>
      <c r="F146" s="15">
        <v>20883</v>
      </c>
      <c r="G146" s="15">
        <v>26338</v>
      </c>
      <c r="H146" s="15">
        <v>47221</v>
      </c>
      <c r="I146" s="15">
        <v>256492</v>
      </c>
      <c r="J146" s="15">
        <v>351567</v>
      </c>
      <c r="K146" s="15">
        <v>608059</v>
      </c>
      <c r="L146" s="15">
        <v>11208011100</v>
      </c>
      <c r="M146" s="15">
        <v>15283216640</v>
      </c>
      <c r="N146" s="15">
        <f t="shared" si="19"/>
        <v>26491227740</v>
      </c>
      <c r="O146" s="15">
        <v>1622885009</v>
      </c>
      <c r="P146" s="15">
        <v>2081801552</v>
      </c>
      <c r="Q146" s="15">
        <f t="shared" si="20"/>
        <v>3704686561</v>
      </c>
      <c r="R146" s="15">
        <f t="shared" si="21"/>
        <v>12830896109</v>
      </c>
      <c r="S146" s="15">
        <f t="shared" si="22"/>
        <v>17365018192</v>
      </c>
      <c r="T146" s="16">
        <f t="shared" si="23"/>
        <v>30195914301</v>
      </c>
      <c r="U146">
        <v>83.703907880000003</v>
      </c>
      <c r="V146">
        <v>129.01505570699999</v>
      </c>
      <c r="W146" s="225">
        <f t="shared" si="0"/>
        <v>1.5413265518255035</v>
      </c>
      <c r="X146" s="240">
        <f t="shared" si="24"/>
        <v>7271665.4927702043</v>
      </c>
      <c r="Y146" s="240">
        <f t="shared" si="25"/>
        <v>9915625.3565469254</v>
      </c>
      <c r="Z146" s="240">
        <f t="shared" si="26"/>
        <v>17187290.84931713</v>
      </c>
      <c r="AA146" s="240">
        <f t="shared" si="27"/>
        <v>1052914.4567566821</v>
      </c>
      <c r="AB146" s="240">
        <f t="shared" si="28"/>
        <v>1350655.7384185547</v>
      </c>
      <c r="AC146" s="240">
        <f t="shared" si="29"/>
        <v>2403570.1951752366</v>
      </c>
      <c r="AD146" s="240">
        <f t="shared" si="30"/>
        <v>8324579.9495268874</v>
      </c>
      <c r="AE146" s="240">
        <f t="shared" si="31"/>
        <v>11266281.094965478</v>
      </c>
      <c r="AF146" s="240">
        <f t="shared" si="32"/>
        <v>19590861.044492368</v>
      </c>
      <c r="AG146" s="240">
        <f t="shared" si="10"/>
        <v>11208011.1</v>
      </c>
      <c r="AH146" s="240">
        <f t="shared" si="11"/>
        <v>15283216.640000001</v>
      </c>
      <c r="AI146" s="240">
        <f t="shared" si="12"/>
        <v>26491227.739999998</v>
      </c>
      <c r="AJ146" s="240">
        <f t="shared" si="13"/>
        <v>1622885.0090000001</v>
      </c>
      <c r="AK146" s="240">
        <f t="shared" si="14"/>
        <v>2081801.5519999999</v>
      </c>
      <c r="AL146" s="240">
        <f t="shared" si="15"/>
        <v>3704686.5610000002</v>
      </c>
      <c r="AM146" s="240">
        <f t="shared" si="16"/>
        <v>12830896.108999999</v>
      </c>
      <c r="AN146" s="240">
        <f t="shared" si="17"/>
        <v>17365018.192000002</v>
      </c>
      <c r="AO146" s="240">
        <f t="shared" si="18"/>
        <v>30195914.300999999</v>
      </c>
    </row>
    <row r="147" spans="2:41" hidden="1" x14ac:dyDescent="0.25">
      <c r="B147" s="14">
        <v>41456</v>
      </c>
      <c r="C147" s="15">
        <v>237441</v>
      </c>
      <c r="D147" s="15">
        <v>327498</v>
      </c>
      <c r="E147" s="15">
        <v>564939</v>
      </c>
      <c r="F147" s="15">
        <v>21252</v>
      </c>
      <c r="G147" s="15">
        <v>26760</v>
      </c>
      <c r="H147" s="15">
        <v>48012</v>
      </c>
      <c r="I147" s="15">
        <v>258693</v>
      </c>
      <c r="J147" s="15">
        <v>354258</v>
      </c>
      <c r="K147" s="15">
        <v>612951</v>
      </c>
      <c r="L147" s="15">
        <v>11493164507</v>
      </c>
      <c r="M147" s="15">
        <v>15640317400</v>
      </c>
      <c r="N147" s="15">
        <f t="shared" si="19"/>
        <v>27133481907</v>
      </c>
      <c r="O147" s="15">
        <v>1649866295</v>
      </c>
      <c r="P147" s="15">
        <v>2123471783</v>
      </c>
      <c r="Q147" s="15">
        <f t="shared" si="20"/>
        <v>3773338078</v>
      </c>
      <c r="R147" s="15">
        <f t="shared" si="21"/>
        <v>13143030802</v>
      </c>
      <c r="S147" s="15">
        <f t="shared" si="22"/>
        <v>17763789183</v>
      </c>
      <c r="T147" s="16">
        <f t="shared" si="23"/>
        <v>30906819985</v>
      </c>
      <c r="U147">
        <v>83.922140080000005</v>
      </c>
      <c r="V147">
        <v>129.01505570699999</v>
      </c>
      <c r="W147" s="225">
        <f t="shared" si="0"/>
        <v>1.5373184666646311</v>
      </c>
      <c r="X147" s="240">
        <f t="shared" si="24"/>
        <v>7476111.6555996304</v>
      </c>
      <c r="Y147" s="240">
        <f t="shared" si="25"/>
        <v>10173765.383781059</v>
      </c>
      <c r="Z147" s="240">
        <f t="shared" si="26"/>
        <v>17649877.039380688</v>
      </c>
      <c r="AA147" s="240">
        <f t="shared" si="27"/>
        <v>1073210.4835633393</v>
      </c>
      <c r="AB147" s="240">
        <f t="shared" si="28"/>
        <v>1381282.9475776013</v>
      </c>
      <c r="AC147" s="240">
        <f t="shared" si="29"/>
        <v>2454493.4311409406</v>
      </c>
      <c r="AD147" s="240">
        <f t="shared" si="30"/>
        <v>8549322.1391629688</v>
      </c>
      <c r="AE147" s="240">
        <f t="shared" si="31"/>
        <v>11555048.33135866</v>
      </c>
      <c r="AF147" s="240">
        <f t="shared" si="32"/>
        <v>20104370.470521629</v>
      </c>
      <c r="AG147" s="240">
        <f t="shared" si="10"/>
        <v>11493164.506999999</v>
      </c>
      <c r="AH147" s="240">
        <f t="shared" si="11"/>
        <v>15640317.4</v>
      </c>
      <c r="AI147" s="240">
        <f t="shared" si="12"/>
        <v>27133481.907000002</v>
      </c>
      <c r="AJ147" s="240">
        <f t="shared" si="13"/>
        <v>1649866.2949999999</v>
      </c>
      <c r="AK147" s="240">
        <f t="shared" si="14"/>
        <v>2123471.7829999998</v>
      </c>
      <c r="AL147" s="240">
        <f t="shared" si="15"/>
        <v>3773338.0780000002</v>
      </c>
      <c r="AM147" s="240">
        <f t="shared" si="16"/>
        <v>13143030.801999999</v>
      </c>
      <c r="AN147" s="240">
        <f t="shared" si="17"/>
        <v>17763789.182999998</v>
      </c>
      <c r="AO147" s="240">
        <f t="shared" si="18"/>
        <v>30906819.984999999</v>
      </c>
    </row>
    <row r="148" spans="2:41" hidden="1" x14ac:dyDescent="0.25">
      <c r="B148" s="14">
        <v>41487</v>
      </c>
      <c r="C148" s="15">
        <v>239444</v>
      </c>
      <c r="D148" s="15">
        <v>329632</v>
      </c>
      <c r="E148" s="15">
        <v>569076</v>
      </c>
      <c r="F148" s="15">
        <v>21757</v>
      </c>
      <c r="G148" s="15">
        <v>27306</v>
      </c>
      <c r="H148" s="15">
        <v>49063</v>
      </c>
      <c r="I148" s="15">
        <v>261201</v>
      </c>
      <c r="J148" s="15">
        <v>356938</v>
      </c>
      <c r="K148" s="15">
        <v>618139</v>
      </c>
      <c r="L148" s="15">
        <v>11811438084</v>
      </c>
      <c r="M148" s="15">
        <v>16056738143</v>
      </c>
      <c r="N148" s="15">
        <f t="shared" si="19"/>
        <v>27868176227</v>
      </c>
      <c r="O148" s="15">
        <v>1704041082</v>
      </c>
      <c r="P148" s="15">
        <v>2174239917</v>
      </c>
      <c r="Q148" s="15">
        <f t="shared" si="20"/>
        <v>3878280999</v>
      </c>
      <c r="R148" s="15">
        <f t="shared" si="21"/>
        <v>13515479166</v>
      </c>
      <c r="S148" s="15">
        <f t="shared" si="22"/>
        <v>18230978060</v>
      </c>
      <c r="T148" s="16">
        <f t="shared" si="23"/>
        <v>31746457226</v>
      </c>
      <c r="U148">
        <v>84.124094580000005</v>
      </c>
      <c r="V148">
        <v>129.01505570699999</v>
      </c>
      <c r="W148" s="225">
        <f t="shared" si="0"/>
        <v>1.5336278666786689</v>
      </c>
      <c r="X148" s="240">
        <f t="shared" si="24"/>
        <v>7701632.4107227335</v>
      </c>
      <c r="Y148" s="240">
        <f t="shared" si="25"/>
        <v>10469774.638207108</v>
      </c>
      <c r="Z148" s="240">
        <f t="shared" si="26"/>
        <v>18171407.04892984</v>
      </c>
      <c r="AA148" s="240">
        <f t="shared" si="27"/>
        <v>1111117.7092069862</v>
      </c>
      <c r="AB148" s="240">
        <f t="shared" si="28"/>
        <v>1417710.2309106349</v>
      </c>
      <c r="AC148" s="240">
        <f t="shared" si="29"/>
        <v>2528827.9401176209</v>
      </c>
      <c r="AD148" s="240">
        <f t="shared" si="30"/>
        <v>8812750.1199297197</v>
      </c>
      <c r="AE148" s="240">
        <f t="shared" si="31"/>
        <v>11887484.869117742</v>
      </c>
      <c r="AF148" s="240">
        <f t="shared" si="32"/>
        <v>20700234.989047464</v>
      </c>
      <c r="AG148" s="240">
        <f t="shared" si="10"/>
        <v>11811438.084000001</v>
      </c>
      <c r="AH148" s="240">
        <f t="shared" si="11"/>
        <v>16056738.142999999</v>
      </c>
      <c r="AI148" s="240">
        <f t="shared" si="12"/>
        <v>27868176.227000002</v>
      </c>
      <c r="AJ148" s="240">
        <f t="shared" si="13"/>
        <v>1704041.0819999999</v>
      </c>
      <c r="AK148" s="240">
        <f t="shared" si="14"/>
        <v>2174239.9169999999</v>
      </c>
      <c r="AL148" s="240">
        <f t="shared" si="15"/>
        <v>3878280.9989999998</v>
      </c>
      <c r="AM148" s="240">
        <f t="shared" si="16"/>
        <v>13515479.165999999</v>
      </c>
      <c r="AN148" s="240">
        <f t="shared" si="17"/>
        <v>18230978.059999999</v>
      </c>
      <c r="AO148" s="240">
        <f t="shared" si="18"/>
        <v>31746457.226</v>
      </c>
    </row>
    <row r="149" spans="2:41" hidden="1" x14ac:dyDescent="0.25">
      <c r="B149" s="14">
        <v>41518</v>
      </c>
      <c r="C149" s="15">
        <v>241073</v>
      </c>
      <c r="D149" s="15">
        <v>331319</v>
      </c>
      <c r="E149" s="15">
        <v>572392</v>
      </c>
      <c r="F149" s="15">
        <v>22887</v>
      </c>
      <c r="G149" s="15">
        <v>28726</v>
      </c>
      <c r="H149" s="15">
        <v>51613</v>
      </c>
      <c r="I149" s="15">
        <v>263960</v>
      </c>
      <c r="J149" s="15">
        <v>360045</v>
      </c>
      <c r="K149" s="15">
        <v>624005</v>
      </c>
      <c r="L149" s="15">
        <v>12125554197</v>
      </c>
      <c r="M149" s="15">
        <v>16424761711</v>
      </c>
      <c r="N149" s="15">
        <f t="shared" si="19"/>
        <v>28550315908</v>
      </c>
      <c r="O149" s="15">
        <v>1848895693</v>
      </c>
      <c r="P149" s="15">
        <v>2359518320</v>
      </c>
      <c r="Q149" s="15">
        <f t="shared" si="20"/>
        <v>4208414013</v>
      </c>
      <c r="R149" s="15">
        <f t="shared" si="21"/>
        <v>13974449890</v>
      </c>
      <c r="S149" s="15">
        <f t="shared" si="22"/>
        <v>18784280031</v>
      </c>
      <c r="T149" s="16">
        <f t="shared" si="23"/>
        <v>32758729921</v>
      </c>
      <c r="U149">
        <v>84.57561853</v>
      </c>
      <c r="V149">
        <v>129.01505570699999</v>
      </c>
      <c r="W149" s="225">
        <f t="shared" si="0"/>
        <v>1.5254402858577591</v>
      </c>
      <c r="X149" s="240">
        <f t="shared" si="24"/>
        <v>7948888.1403061729</v>
      </c>
      <c r="Y149" s="240">
        <f t="shared" si="25"/>
        <v>10767226.920170337</v>
      </c>
      <c r="Z149" s="240">
        <f t="shared" si="26"/>
        <v>18716115.060476508</v>
      </c>
      <c r="AA149" s="240">
        <f t="shared" si="27"/>
        <v>1212040.6876237448</v>
      </c>
      <c r="AB149" s="240">
        <f t="shared" si="28"/>
        <v>1546778.554280305</v>
      </c>
      <c r="AC149" s="240">
        <f t="shared" si="29"/>
        <v>2758819.2419040496</v>
      </c>
      <c r="AD149" s="240">
        <f t="shared" si="30"/>
        <v>9160928.8279299177</v>
      </c>
      <c r="AE149" s="240">
        <f t="shared" si="31"/>
        <v>12314005.474450644</v>
      </c>
      <c r="AF149" s="240">
        <f t="shared" si="32"/>
        <v>21474934.302380562</v>
      </c>
      <c r="AG149" s="240">
        <f t="shared" si="10"/>
        <v>12125554.197000001</v>
      </c>
      <c r="AH149" s="240">
        <f t="shared" si="11"/>
        <v>16424761.710999999</v>
      </c>
      <c r="AI149" s="240">
        <f t="shared" si="12"/>
        <v>28550315.908</v>
      </c>
      <c r="AJ149" s="240">
        <f t="shared" si="13"/>
        <v>1848895.693</v>
      </c>
      <c r="AK149" s="240">
        <f t="shared" si="14"/>
        <v>2359518.3199999998</v>
      </c>
      <c r="AL149" s="240">
        <f t="shared" si="15"/>
        <v>4208414.0130000003</v>
      </c>
      <c r="AM149" s="240">
        <f t="shared" si="16"/>
        <v>13974449.890000001</v>
      </c>
      <c r="AN149" s="240">
        <f t="shared" si="17"/>
        <v>18784280.030999999</v>
      </c>
      <c r="AO149" s="240">
        <f t="shared" si="18"/>
        <v>32758729.921</v>
      </c>
    </row>
    <row r="150" spans="2:41" hidden="1" x14ac:dyDescent="0.25">
      <c r="B150" s="14">
        <v>41548</v>
      </c>
      <c r="C150" s="15">
        <v>242881</v>
      </c>
      <c r="D150" s="15">
        <v>333585</v>
      </c>
      <c r="E150" s="15">
        <v>576466</v>
      </c>
      <c r="F150" s="15">
        <v>23639</v>
      </c>
      <c r="G150" s="15">
        <v>29640</v>
      </c>
      <c r="H150" s="15">
        <v>53279</v>
      </c>
      <c r="I150" s="15">
        <v>266520</v>
      </c>
      <c r="J150" s="15">
        <v>363225</v>
      </c>
      <c r="K150" s="15">
        <v>629745</v>
      </c>
      <c r="L150" s="15">
        <v>12175806493</v>
      </c>
      <c r="M150" s="15">
        <v>16533519283</v>
      </c>
      <c r="N150" s="15">
        <f t="shared" si="19"/>
        <v>28709325776</v>
      </c>
      <c r="O150" s="15">
        <v>1928986719</v>
      </c>
      <c r="P150" s="15">
        <v>2516117456</v>
      </c>
      <c r="Q150" s="15">
        <f t="shared" si="20"/>
        <v>4445104175</v>
      </c>
      <c r="R150" s="15">
        <f t="shared" si="21"/>
        <v>14104793212</v>
      </c>
      <c r="S150" s="15">
        <f t="shared" si="22"/>
        <v>19049636739</v>
      </c>
      <c r="T150" s="16">
        <f t="shared" si="23"/>
        <v>33154429951</v>
      </c>
      <c r="U150">
        <v>84.696262430000004</v>
      </c>
      <c r="V150">
        <v>129.01505570699999</v>
      </c>
      <c r="W150" s="225">
        <f t="shared" si="0"/>
        <v>1.5232674028990205</v>
      </c>
      <c r="X150" s="240">
        <f t="shared" si="24"/>
        <v>7993216.7325497158</v>
      </c>
      <c r="Y150" s="240">
        <f t="shared" si="25"/>
        <v>10853983.516967593</v>
      </c>
      <c r="Z150" s="240">
        <f t="shared" si="26"/>
        <v>18847200.249517307</v>
      </c>
      <c r="AA150" s="240">
        <f t="shared" si="27"/>
        <v>1266348.059000561</v>
      </c>
      <c r="AB150" s="240">
        <f t="shared" si="28"/>
        <v>1651789.732525903</v>
      </c>
      <c r="AC150" s="240">
        <f t="shared" si="29"/>
        <v>2918137.7915264638</v>
      </c>
      <c r="AD150" s="240">
        <f t="shared" si="30"/>
        <v>9259564.7915502749</v>
      </c>
      <c r="AE150" s="240">
        <f t="shared" si="31"/>
        <v>12505773.249493495</v>
      </c>
      <c r="AF150" s="240">
        <f t="shared" si="32"/>
        <v>21765338.04104377</v>
      </c>
      <c r="AG150" s="240">
        <f t="shared" si="10"/>
        <v>12175806.493000001</v>
      </c>
      <c r="AH150" s="240">
        <f t="shared" si="11"/>
        <v>16533519.283</v>
      </c>
      <c r="AI150" s="240">
        <f t="shared" si="12"/>
        <v>28709325.776000001</v>
      </c>
      <c r="AJ150" s="240">
        <f t="shared" si="13"/>
        <v>1928986.719</v>
      </c>
      <c r="AK150" s="240">
        <f t="shared" si="14"/>
        <v>2516117.4559999998</v>
      </c>
      <c r="AL150" s="240">
        <f t="shared" si="15"/>
        <v>4445104.1749999998</v>
      </c>
      <c r="AM150" s="240">
        <f t="shared" si="16"/>
        <v>14104793.211999999</v>
      </c>
      <c r="AN150" s="240">
        <f t="shared" si="17"/>
        <v>19049636.739</v>
      </c>
      <c r="AO150" s="240">
        <f t="shared" si="18"/>
        <v>33154429.951000001</v>
      </c>
    </row>
    <row r="151" spans="2:41" hidden="1" x14ac:dyDescent="0.25">
      <c r="B151" s="14">
        <v>41579</v>
      </c>
      <c r="C151" s="15">
        <v>245366</v>
      </c>
      <c r="D151" s="15">
        <v>336778</v>
      </c>
      <c r="E151" s="15">
        <v>582144</v>
      </c>
      <c r="F151" s="15">
        <v>23904</v>
      </c>
      <c r="G151" s="15">
        <v>30000</v>
      </c>
      <c r="H151" s="15">
        <v>53904</v>
      </c>
      <c r="I151" s="15">
        <v>269270</v>
      </c>
      <c r="J151" s="15">
        <v>366778</v>
      </c>
      <c r="K151" s="15">
        <v>636048</v>
      </c>
      <c r="L151" s="15">
        <v>12291361639</v>
      </c>
      <c r="M151" s="15">
        <v>16747936438</v>
      </c>
      <c r="N151" s="15">
        <f t="shared" si="19"/>
        <v>29039298077</v>
      </c>
      <c r="O151" s="15">
        <v>1904563206</v>
      </c>
      <c r="P151" s="15">
        <v>2441689977</v>
      </c>
      <c r="Q151" s="15">
        <f t="shared" si="20"/>
        <v>4346253183</v>
      </c>
      <c r="R151" s="15">
        <f t="shared" si="21"/>
        <v>14195924845</v>
      </c>
      <c r="S151" s="15">
        <f t="shared" si="22"/>
        <v>19189626415</v>
      </c>
      <c r="T151" s="16">
        <f t="shared" si="23"/>
        <v>33385551260</v>
      </c>
      <c r="U151">
        <v>85.011592280000002</v>
      </c>
      <c r="V151">
        <v>129.01505570699999</v>
      </c>
      <c r="W151" s="225">
        <f t="shared" si="0"/>
        <v>1.5176172125098795</v>
      </c>
      <c r="X151" s="240">
        <f t="shared" si="24"/>
        <v>8099118.4981832076</v>
      </c>
      <c r="Y151" s="240">
        <f t="shared" si="25"/>
        <v>11035679.023633223</v>
      </c>
      <c r="Z151" s="240">
        <f t="shared" si="26"/>
        <v>19134797.521816429</v>
      </c>
      <c r="AA151" s="240">
        <f t="shared" si="27"/>
        <v>1254969.4285887666</v>
      </c>
      <c r="AB151" s="240">
        <f t="shared" si="28"/>
        <v>1608897.1295745005</v>
      </c>
      <c r="AC151" s="240">
        <f t="shared" si="29"/>
        <v>2863866.5581632671</v>
      </c>
      <c r="AD151" s="240">
        <f t="shared" si="30"/>
        <v>9354087.9267719723</v>
      </c>
      <c r="AE151" s="240">
        <f t="shared" si="31"/>
        <v>12644576.153207723</v>
      </c>
      <c r="AF151" s="240">
        <f t="shared" si="32"/>
        <v>21998664.079979699</v>
      </c>
      <c r="AG151" s="240">
        <f t="shared" si="10"/>
        <v>12291361.639</v>
      </c>
      <c r="AH151" s="240">
        <f t="shared" si="11"/>
        <v>16747936.437999999</v>
      </c>
      <c r="AI151" s="240">
        <f t="shared" si="12"/>
        <v>29039298.077</v>
      </c>
      <c r="AJ151" s="240">
        <f t="shared" si="13"/>
        <v>1904563.206</v>
      </c>
      <c r="AK151" s="240">
        <f t="shared" si="14"/>
        <v>2441689.977</v>
      </c>
      <c r="AL151" s="240">
        <f t="shared" si="15"/>
        <v>4346253.1830000002</v>
      </c>
      <c r="AM151" s="240">
        <f t="shared" si="16"/>
        <v>14195924.845000001</v>
      </c>
      <c r="AN151" s="240">
        <f t="shared" si="17"/>
        <v>19189626.414999999</v>
      </c>
      <c r="AO151" s="240">
        <f t="shared" si="18"/>
        <v>33385551.260000002</v>
      </c>
    </row>
    <row r="152" spans="2:41" hidden="1" x14ac:dyDescent="0.25">
      <c r="B152" s="17">
        <v>41609</v>
      </c>
      <c r="C152" s="18">
        <v>247347</v>
      </c>
      <c r="D152" s="18">
        <v>339536</v>
      </c>
      <c r="E152" s="18">
        <v>586883</v>
      </c>
      <c r="F152" s="18">
        <v>24221</v>
      </c>
      <c r="G152" s="18">
        <v>30254</v>
      </c>
      <c r="H152" s="18">
        <v>54475</v>
      </c>
      <c r="I152" s="19">
        <v>271568</v>
      </c>
      <c r="J152" s="19">
        <v>369790</v>
      </c>
      <c r="K152" s="19">
        <v>641358</v>
      </c>
      <c r="L152" s="18">
        <v>12384592756</v>
      </c>
      <c r="M152" s="18">
        <v>16901835812</v>
      </c>
      <c r="N152" s="18">
        <f t="shared" si="19"/>
        <v>29286428568</v>
      </c>
      <c r="O152" s="18">
        <v>1921108466</v>
      </c>
      <c r="P152" s="18">
        <v>2443637139</v>
      </c>
      <c r="Q152" s="18">
        <f t="shared" si="20"/>
        <v>4364745605</v>
      </c>
      <c r="R152" s="18">
        <f t="shared" si="21"/>
        <v>14305701222</v>
      </c>
      <c r="S152" s="18">
        <f t="shared" si="22"/>
        <v>19345472951</v>
      </c>
      <c r="T152" s="18">
        <f t="shared" si="23"/>
        <v>33651174173</v>
      </c>
      <c r="U152">
        <v>85.520646979999995</v>
      </c>
      <c r="V152">
        <v>129.01505570699999</v>
      </c>
      <c r="W152" s="225">
        <f t="shared" ref="W152:W215" si="33">+V152/U152</f>
        <v>1.5085837194048786</v>
      </c>
      <c r="X152" s="240">
        <f t="shared" si="24"/>
        <v>8209416.9496178841</v>
      </c>
      <c r="Y152" s="240">
        <f t="shared" si="25"/>
        <v>11203777.15508398</v>
      </c>
      <c r="Z152" s="240">
        <f t="shared" si="26"/>
        <v>19413194.104701865</v>
      </c>
      <c r="AA152" s="240">
        <f t="shared" si="27"/>
        <v>1273451.6760911741</v>
      </c>
      <c r="AB152" s="240">
        <f t="shared" si="28"/>
        <v>1619822.0274868079</v>
      </c>
      <c r="AC152" s="240">
        <f t="shared" si="29"/>
        <v>2893273.7035779818</v>
      </c>
      <c r="AD152" s="240">
        <f t="shared" si="30"/>
        <v>9482868.6257090587</v>
      </c>
      <c r="AE152" s="240">
        <f t="shared" si="31"/>
        <v>12823599.182570787</v>
      </c>
      <c r="AF152" s="240">
        <f t="shared" si="32"/>
        <v>22306467.808279846</v>
      </c>
      <c r="AG152" s="240">
        <f t="shared" ref="AG152:AG215" si="34">+L152/$AA$85</f>
        <v>12384592.755999999</v>
      </c>
      <c r="AH152" s="240">
        <f t="shared" ref="AH152:AH215" si="35">+M152/$AA$85</f>
        <v>16901835.811999999</v>
      </c>
      <c r="AI152" s="240">
        <f t="shared" ref="AI152:AI215" si="36">+N152/$AA$85</f>
        <v>29286428.568</v>
      </c>
      <c r="AJ152" s="240">
        <f t="shared" ref="AJ152:AJ215" si="37">+O152/$AA$85</f>
        <v>1921108.466</v>
      </c>
      <c r="AK152" s="240">
        <f t="shared" ref="AK152:AK215" si="38">+P152/$AA$85</f>
        <v>2443637.139</v>
      </c>
      <c r="AL152" s="240">
        <f t="shared" ref="AL152:AL215" si="39">+Q152/$AA$85</f>
        <v>4364745.6050000004</v>
      </c>
      <c r="AM152" s="240">
        <f t="shared" ref="AM152:AM215" si="40">+R152/$AA$85</f>
        <v>14305701.221999999</v>
      </c>
      <c r="AN152" s="240">
        <f t="shared" ref="AN152:AN215" si="41">+S152/$AA$85</f>
        <v>19345472.951000001</v>
      </c>
      <c r="AO152" s="240">
        <f t="shared" ref="AO152:AO215" si="42">+T152/$AA$85</f>
        <v>33651174.173</v>
      </c>
    </row>
    <row r="153" spans="2:41" hidden="1" x14ac:dyDescent="0.25">
      <c r="B153" s="14">
        <v>41640</v>
      </c>
      <c r="C153" s="15">
        <v>250199</v>
      </c>
      <c r="D153" s="15">
        <v>343977</v>
      </c>
      <c r="E153" s="15">
        <v>594176</v>
      </c>
      <c r="F153" s="15">
        <v>24692</v>
      </c>
      <c r="G153" s="15">
        <v>30730</v>
      </c>
      <c r="H153" s="15">
        <v>55422</v>
      </c>
      <c r="I153" s="15">
        <v>274891</v>
      </c>
      <c r="J153" s="15">
        <v>374707</v>
      </c>
      <c r="K153" s="15">
        <v>649598</v>
      </c>
      <c r="L153" s="15">
        <v>12425191925</v>
      </c>
      <c r="M153" s="15">
        <v>17017659096</v>
      </c>
      <c r="N153" s="15">
        <f t="shared" si="19"/>
        <v>29442851021</v>
      </c>
      <c r="O153" s="15">
        <v>1967140496</v>
      </c>
      <c r="P153" s="15">
        <v>2491701375</v>
      </c>
      <c r="Q153" s="15">
        <f t="shared" si="20"/>
        <v>4458841871</v>
      </c>
      <c r="R153" s="15">
        <f t="shared" si="21"/>
        <v>14392332421</v>
      </c>
      <c r="S153" s="15">
        <f t="shared" si="22"/>
        <v>19509360471</v>
      </c>
      <c r="T153" s="16">
        <f t="shared" si="23"/>
        <v>33901692892</v>
      </c>
      <c r="U153">
        <v>85.673733110000001</v>
      </c>
      <c r="V153">
        <v>129.01505570699999</v>
      </c>
      <c r="W153" s="225">
        <f t="shared" si="33"/>
        <v>1.5058881062338243</v>
      </c>
      <c r="X153" s="240">
        <f t="shared" si="24"/>
        <v>8251072.4890941521</v>
      </c>
      <c r="Y153" s="240">
        <f t="shared" si="25"/>
        <v>11300746.068418453</v>
      </c>
      <c r="Z153" s="240">
        <f t="shared" si="26"/>
        <v>19551818.557512604</v>
      </c>
      <c r="AA153" s="240">
        <f t="shared" si="27"/>
        <v>1306299.2448487773</v>
      </c>
      <c r="AB153" s="240">
        <f t="shared" si="28"/>
        <v>1654639.1227112229</v>
      </c>
      <c r="AC153" s="240">
        <f t="shared" si="29"/>
        <v>2960938.3675600006</v>
      </c>
      <c r="AD153" s="240">
        <f t="shared" si="30"/>
        <v>9557371.7339429297</v>
      </c>
      <c r="AE153" s="240">
        <f t="shared" si="31"/>
        <v>12955385.191129677</v>
      </c>
      <c r="AF153" s="240">
        <f t="shared" si="32"/>
        <v>22512756.925072607</v>
      </c>
      <c r="AG153" s="240">
        <f t="shared" si="34"/>
        <v>12425191.925000001</v>
      </c>
      <c r="AH153" s="240">
        <f t="shared" si="35"/>
        <v>17017659.096000001</v>
      </c>
      <c r="AI153" s="240">
        <f t="shared" si="36"/>
        <v>29442851.021000002</v>
      </c>
      <c r="AJ153" s="240">
        <f t="shared" si="37"/>
        <v>1967140.496</v>
      </c>
      <c r="AK153" s="240">
        <f t="shared" si="38"/>
        <v>2491701.375</v>
      </c>
      <c r="AL153" s="240">
        <f t="shared" si="39"/>
        <v>4458841.8710000003</v>
      </c>
      <c r="AM153" s="240">
        <f t="shared" si="40"/>
        <v>14392332.421</v>
      </c>
      <c r="AN153" s="240">
        <f t="shared" si="41"/>
        <v>19509360.471000001</v>
      </c>
      <c r="AO153" s="240">
        <f t="shared" si="42"/>
        <v>33901692.891999997</v>
      </c>
    </row>
    <row r="154" spans="2:41" hidden="1" x14ac:dyDescent="0.25">
      <c r="B154" s="14">
        <v>41671</v>
      </c>
      <c r="C154" s="15">
        <v>250279</v>
      </c>
      <c r="D154" s="15">
        <v>345030</v>
      </c>
      <c r="E154" s="15">
        <v>595309</v>
      </c>
      <c r="F154" s="15">
        <v>25927</v>
      </c>
      <c r="G154" s="15">
        <v>31813</v>
      </c>
      <c r="H154" s="15">
        <v>57740</v>
      </c>
      <c r="I154" s="15">
        <v>276206</v>
      </c>
      <c r="J154" s="15">
        <v>376843</v>
      </c>
      <c r="K154" s="15">
        <v>653049</v>
      </c>
      <c r="L154" s="15">
        <v>12407675955</v>
      </c>
      <c r="M154" s="15">
        <v>16889411190</v>
      </c>
      <c r="N154" s="15">
        <f t="shared" si="19"/>
        <v>29297087145</v>
      </c>
      <c r="O154" s="15">
        <v>2087722716</v>
      </c>
      <c r="P154" s="15">
        <v>2646217919</v>
      </c>
      <c r="Q154" s="15">
        <f t="shared" si="20"/>
        <v>4733940635</v>
      </c>
      <c r="R154" s="15">
        <f t="shared" si="21"/>
        <v>14495398671</v>
      </c>
      <c r="S154" s="15">
        <f t="shared" si="22"/>
        <v>19535629109</v>
      </c>
      <c r="T154" s="16">
        <f t="shared" si="23"/>
        <v>34031027780</v>
      </c>
      <c r="U154">
        <v>86.090680660000004</v>
      </c>
      <c r="V154">
        <v>129.01505570699999</v>
      </c>
      <c r="W154" s="225">
        <f t="shared" si="33"/>
        <v>1.4985949085072547</v>
      </c>
      <c r="X154" s="240">
        <f t="shared" ref="X154:X185" si="43">+L154/$W154/$AA$85</f>
        <v>8279539.6438115779</v>
      </c>
      <c r="Y154" s="240">
        <f t="shared" ref="Y154:Y185" si="44">+M154/$W154/$AA$85</f>
        <v>11270164.534873193</v>
      </c>
      <c r="Z154" s="240">
        <f t="shared" ref="Z154:Z185" si="45">+N154/$W154/$AA$85</f>
        <v>19549704.178684771</v>
      </c>
      <c r="AA154" s="240">
        <f t="shared" ref="AA154:AA185" si="46">+O154/$W154/$AA$85</f>
        <v>1393120.1181509241</v>
      </c>
      <c r="AB154" s="240">
        <f t="shared" ref="AB154:AB185" si="47">+P154/$W154/$AA$85</f>
        <v>1765799.3524319984</v>
      </c>
      <c r="AC154" s="240">
        <f t="shared" ref="AC154:AC185" si="48">+Q154/$W154/$AA$85</f>
        <v>3158919.4705829225</v>
      </c>
      <c r="AD154" s="240">
        <f t="shared" ref="AD154:AD185" si="49">+R154/$W154/$AA$85</f>
        <v>9672659.7619625013</v>
      </c>
      <c r="AE154" s="240">
        <f t="shared" ref="AE154:AE185" si="50">+S154/$W154/$AA$85</f>
        <v>13035963.887305191</v>
      </c>
      <c r="AF154" s="240">
        <f t="shared" ref="AF154:AF185" si="51">+T154/$W154/$AA$85</f>
        <v>22708623.649267692</v>
      </c>
      <c r="AG154" s="240">
        <f t="shared" si="34"/>
        <v>12407675.955</v>
      </c>
      <c r="AH154" s="240">
        <f t="shared" si="35"/>
        <v>16889411.190000001</v>
      </c>
      <c r="AI154" s="240">
        <f t="shared" si="36"/>
        <v>29297087.145</v>
      </c>
      <c r="AJ154" s="240">
        <f t="shared" si="37"/>
        <v>2087722.716</v>
      </c>
      <c r="AK154" s="240">
        <f t="shared" si="38"/>
        <v>2646217.9190000002</v>
      </c>
      <c r="AL154" s="240">
        <f t="shared" si="39"/>
        <v>4733940.6349999998</v>
      </c>
      <c r="AM154" s="240">
        <f t="shared" si="40"/>
        <v>14495398.671</v>
      </c>
      <c r="AN154" s="240">
        <f t="shared" si="41"/>
        <v>19535629.109000001</v>
      </c>
      <c r="AO154" s="240">
        <f t="shared" si="42"/>
        <v>34031027.780000001</v>
      </c>
    </row>
    <row r="155" spans="2:41" hidden="1" x14ac:dyDescent="0.25">
      <c r="B155" s="14">
        <v>41699</v>
      </c>
      <c r="C155" s="15">
        <v>251731</v>
      </c>
      <c r="D155" s="15">
        <v>347209</v>
      </c>
      <c r="E155" s="15">
        <v>598940</v>
      </c>
      <c r="F155" s="15">
        <v>26144</v>
      </c>
      <c r="G155" s="15">
        <v>32148</v>
      </c>
      <c r="H155" s="15">
        <v>58292</v>
      </c>
      <c r="I155" s="15">
        <v>277875</v>
      </c>
      <c r="J155" s="15">
        <v>379357</v>
      </c>
      <c r="K155" s="15">
        <v>657232</v>
      </c>
      <c r="L155" s="15">
        <v>12491475307</v>
      </c>
      <c r="M155" s="15">
        <v>17010565615</v>
      </c>
      <c r="N155" s="15">
        <f t="shared" ref="N155:N218" si="52">+L155+M155</f>
        <v>29502040922</v>
      </c>
      <c r="O155" s="15">
        <v>2094060488</v>
      </c>
      <c r="P155" s="15">
        <v>2667664351</v>
      </c>
      <c r="Q155" s="15">
        <f t="shared" ref="Q155:Q218" si="53">+O155+P155</f>
        <v>4761724839</v>
      </c>
      <c r="R155" s="15">
        <f t="shared" ref="R155:R218" si="54">+L155+O155</f>
        <v>14585535795</v>
      </c>
      <c r="S155" s="15">
        <f t="shared" ref="S155:S218" si="55">+M155+P155</f>
        <v>19678229966</v>
      </c>
      <c r="T155" s="16">
        <f t="shared" ref="T155:T218" si="56">+R155+S155</f>
        <v>34263765761</v>
      </c>
      <c r="U155">
        <v>86.811527290000001</v>
      </c>
      <c r="V155">
        <v>129.01505570699999</v>
      </c>
      <c r="W155" s="225">
        <f t="shared" si="33"/>
        <v>1.4861512028928616</v>
      </c>
      <c r="X155" s="240">
        <f t="shared" si="43"/>
        <v>8405251.9573276062</v>
      </c>
      <c r="Y155" s="240">
        <f t="shared" si="44"/>
        <v>11446053.12157212</v>
      </c>
      <c r="Z155" s="240">
        <f t="shared" si="45"/>
        <v>19851305.078899726</v>
      </c>
      <c r="AA155" s="240">
        <f t="shared" si="46"/>
        <v>1409049.4183390054</v>
      </c>
      <c r="AB155" s="240">
        <f t="shared" si="47"/>
        <v>1795015.4370613627</v>
      </c>
      <c r="AC155" s="240">
        <f t="shared" si="48"/>
        <v>3204064.8554003681</v>
      </c>
      <c r="AD155" s="240">
        <f t="shared" si="49"/>
        <v>9814301.3756666109</v>
      </c>
      <c r="AE155" s="240">
        <f t="shared" si="50"/>
        <v>13241068.558633482</v>
      </c>
      <c r="AF155" s="240">
        <f t="shared" si="51"/>
        <v>23055369.934300095</v>
      </c>
      <c r="AG155" s="240">
        <f t="shared" si="34"/>
        <v>12491475.307</v>
      </c>
      <c r="AH155" s="240">
        <f t="shared" si="35"/>
        <v>17010565.614999998</v>
      </c>
      <c r="AI155" s="240">
        <f t="shared" si="36"/>
        <v>29502040.921999998</v>
      </c>
      <c r="AJ155" s="240">
        <f t="shared" si="37"/>
        <v>2094060.4879999999</v>
      </c>
      <c r="AK155" s="240">
        <f t="shared" si="38"/>
        <v>2667664.3509999998</v>
      </c>
      <c r="AL155" s="240">
        <f t="shared" si="39"/>
        <v>4761724.8389999997</v>
      </c>
      <c r="AM155" s="240">
        <f t="shared" si="40"/>
        <v>14585535.795</v>
      </c>
      <c r="AN155" s="240">
        <f t="shared" si="41"/>
        <v>19678229.965999998</v>
      </c>
      <c r="AO155" s="240">
        <f t="shared" si="42"/>
        <v>34263765.761</v>
      </c>
    </row>
    <row r="156" spans="2:41" hidden="1" x14ac:dyDescent="0.25">
      <c r="B156" s="14">
        <v>41730</v>
      </c>
      <c r="C156" s="15">
        <v>253310</v>
      </c>
      <c r="D156" s="15">
        <v>348949</v>
      </c>
      <c r="E156" s="15">
        <v>602259</v>
      </c>
      <c r="F156" s="15">
        <v>26100</v>
      </c>
      <c r="G156" s="15">
        <v>32204</v>
      </c>
      <c r="H156" s="15">
        <v>58304</v>
      </c>
      <c r="I156" s="15">
        <v>279410</v>
      </c>
      <c r="J156" s="15">
        <v>381153</v>
      </c>
      <c r="K156" s="15">
        <v>660563</v>
      </c>
      <c r="L156" s="15">
        <v>12560923931</v>
      </c>
      <c r="M156" s="15">
        <v>17049109342</v>
      </c>
      <c r="N156" s="15">
        <f t="shared" si="52"/>
        <v>29610033273</v>
      </c>
      <c r="O156" s="15">
        <v>2062958971</v>
      </c>
      <c r="P156" s="15">
        <v>2612728784</v>
      </c>
      <c r="Q156" s="15">
        <f t="shared" si="53"/>
        <v>4675687755</v>
      </c>
      <c r="R156" s="15">
        <f t="shared" si="54"/>
        <v>14623882902</v>
      </c>
      <c r="S156" s="15">
        <f t="shared" si="55"/>
        <v>19661838126</v>
      </c>
      <c r="T156" s="16">
        <f t="shared" si="56"/>
        <v>34285721028</v>
      </c>
      <c r="U156">
        <v>87.350598349999999</v>
      </c>
      <c r="V156">
        <v>129.01505570699999</v>
      </c>
      <c r="W156" s="225">
        <f t="shared" si="33"/>
        <v>1.476979644604804</v>
      </c>
      <c r="X156" s="240">
        <f t="shared" si="43"/>
        <v>8504466.5150824953</v>
      </c>
      <c r="Y156" s="240">
        <f t="shared" si="44"/>
        <v>11543225.666161321</v>
      </c>
      <c r="Z156" s="240">
        <f t="shared" si="45"/>
        <v>20047692.181243815</v>
      </c>
      <c r="AA156" s="240">
        <f t="shared" si="46"/>
        <v>1396741.6399648397</v>
      </c>
      <c r="AB156" s="240">
        <f t="shared" si="47"/>
        <v>1768967.3608867431</v>
      </c>
      <c r="AC156" s="240">
        <f t="shared" si="48"/>
        <v>3165709.0008515832</v>
      </c>
      <c r="AD156" s="240">
        <f t="shared" si="49"/>
        <v>9901208.1550473347</v>
      </c>
      <c r="AE156" s="240">
        <f t="shared" si="50"/>
        <v>13312193.027048063</v>
      </c>
      <c r="AF156" s="240">
        <f t="shared" si="51"/>
        <v>23213401.182095397</v>
      </c>
      <c r="AG156" s="240">
        <f t="shared" si="34"/>
        <v>12560923.931</v>
      </c>
      <c r="AH156" s="240">
        <f t="shared" si="35"/>
        <v>17049109.342</v>
      </c>
      <c r="AI156" s="240">
        <f t="shared" si="36"/>
        <v>29610033.272999998</v>
      </c>
      <c r="AJ156" s="240">
        <f t="shared" si="37"/>
        <v>2062958.9709999999</v>
      </c>
      <c r="AK156" s="240">
        <f t="shared" si="38"/>
        <v>2612728.784</v>
      </c>
      <c r="AL156" s="240">
        <f t="shared" si="39"/>
        <v>4675687.7549999999</v>
      </c>
      <c r="AM156" s="240">
        <f t="shared" si="40"/>
        <v>14623882.902000001</v>
      </c>
      <c r="AN156" s="240">
        <f t="shared" si="41"/>
        <v>19661838.125999998</v>
      </c>
      <c r="AO156" s="240">
        <f t="shared" si="42"/>
        <v>34285721.027999997</v>
      </c>
    </row>
    <row r="157" spans="2:41" hidden="1" x14ac:dyDescent="0.25">
      <c r="B157" s="14">
        <v>41760</v>
      </c>
      <c r="C157" s="15">
        <v>254716</v>
      </c>
      <c r="D157" s="15">
        <v>350968</v>
      </c>
      <c r="E157" s="15">
        <v>605684</v>
      </c>
      <c r="F157" s="15">
        <v>26240</v>
      </c>
      <c r="G157" s="15">
        <v>32394</v>
      </c>
      <c r="H157" s="15">
        <v>58634</v>
      </c>
      <c r="I157" s="15">
        <v>280956</v>
      </c>
      <c r="J157" s="15">
        <v>383362</v>
      </c>
      <c r="K157" s="15">
        <v>664318</v>
      </c>
      <c r="L157" s="15">
        <v>12637621505</v>
      </c>
      <c r="M157" s="15">
        <v>17198754387</v>
      </c>
      <c r="N157" s="15">
        <f t="shared" si="52"/>
        <v>29836375892</v>
      </c>
      <c r="O157" s="15">
        <v>2074013047</v>
      </c>
      <c r="P157" s="15">
        <v>2631893554</v>
      </c>
      <c r="Q157" s="15">
        <f t="shared" si="53"/>
        <v>4705906601</v>
      </c>
      <c r="R157" s="15">
        <f t="shared" si="54"/>
        <v>14711634552</v>
      </c>
      <c r="S157" s="15">
        <f t="shared" si="55"/>
        <v>19830647941</v>
      </c>
      <c r="T157" s="16">
        <f t="shared" si="56"/>
        <v>34542282493</v>
      </c>
      <c r="U157">
        <v>87.645523609999998</v>
      </c>
      <c r="V157">
        <v>129.01505570699999</v>
      </c>
      <c r="W157" s="225">
        <f t="shared" si="33"/>
        <v>1.4720096405731313</v>
      </c>
      <c r="X157" s="240">
        <f t="shared" si="43"/>
        <v>8585284.4687073547</v>
      </c>
      <c r="Y157" s="240">
        <f t="shared" si="44"/>
        <v>11683859.883080395</v>
      </c>
      <c r="Z157" s="240">
        <f t="shared" si="45"/>
        <v>20269144.35178775</v>
      </c>
      <c r="AA157" s="240">
        <f t="shared" si="46"/>
        <v>1408967.0270043046</v>
      </c>
      <c r="AB157" s="240">
        <f t="shared" si="47"/>
        <v>1787959.4545150292</v>
      </c>
      <c r="AC157" s="240">
        <f t="shared" si="48"/>
        <v>3196926.481519334</v>
      </c>
      <c r="AD157" s="240">
        <f t="shared" si="49"/>
        <v>9994251.49571166</v>
      </c>
      <c r="AE157" s="240">
        <f t="shared" si="50"/>
        <v>13471819.337595426</v>
      </c>
      <c r="AF157" s="240">
        <f t="shared" si="51"/>
        <v>23466070.833307084</v>
      </c>
      <c r="AG157" s="240">
        <f t="shared" si="34"/>
        <v>12637621.505000001</v>
      </c>
      <c r="AH157" s="240">
        <f t="shared" si="35"/>
        <v>17198754.386999998</v>
      </c>
      <c r="AI157" s="240">
        <f t="shared" si="36"/>
        <v>29836375.892000001</v>
      </c>
      <c r="AJ157" s="240">
        <f t="shared" si="37"/>
        <v>2074013.047</v>
      </c>
      <c r="AK157" s="240">
        <f t="shared" si="38"/>
        <v>2631893.554</v>
      </c>
      <c r="AL157" s="240">
        <f t="shared" si="39"/>
        <v>4705906.6009999998</v>
      </c>
      <c r="AM157" s="240">
        <f t="shared" si="40"/>
        <v>14711634.551999999</v>
      </c>
      <c r="AN157" s="240">
        <f t="shared" si="41"/>
        <v>19830647.941</v>
      </c>
      <c r="AO157" s="240">
        <f t="shared" si="42"/>
        <v>34542282.493000001</v>
      </c>
    </row>
    <row r="158" spans="2:41" hidden="1" x14ac:dyDescent="0.25">
      <c r="B158" s="14">
        <v>41791</v>
      </c>
      <c r="C158" s="15">
        <v>256647</v>
      </c>
      <c r="D158" s="15">
        <v>353222</v>
      </c>
      <c r="E158" s="15">
        <v>609869</v>
      </c>
      <c r="F158" s="15">
        <v>26540</v>
      </c>
      <c r="G158" s="15">
        <v>32788</v>
      </c>
      <c r="H158" s="15">
        <v>59328</v>
      </c>
      <c r="I158" s="15">
        <v>283187</v>
      </c>
      <c r="J158" s="15">
        <v>386010</v>
      </c>
      <c r="K158" s="15">
        <v>669197</v>
      </c>
      <c r="L158" s="15">
        <v>12939953055</v>
      </c>
      <c r="M158" s="15">
        <v>17558967081</v>
      </c>
      <c r="N158" s="15">
        <f t="shared" si="52"/>
        <v>30498920136</v>
      </c>
      <c r="O158" s="15">
        <v>2098754357</v>
      </c>
      <c r="P158" s="15">
        <v>2689859362</v>
      </c>
      <c r="Q158" s="15">
        <f t="shared" si="53"/>
        <v>4788613719</v>
      </c>
      <c r="R158" s="15">
        <f t="shared" si="54"/>
        <v>15038707412</v>
      </c>
      <c r="S158" s="15">
        <f t="shared" si="55"/>
        <v>20248826443</v>
      </c>
      <c r="T158" s="16">
        <f t="shared" si="56"/>
        <v>35287533855</v>
      </c>
      <c r="U158">
        <v>87.690897609999993</v>
      </c>
      <c r="V158">
        <v>129.01505570699999</v>
      </c>
      <c r="W158" s="225">
        <f t="shared" si="33"/>
        <v>1.4712479769654851</v>
      </c>
      <c r="X158" s="240">
        <f t="shared" si="43"/>
        <v>8795222.3266190868</v>
      </c>
      <c r="Y158" s="240">
        <f t="shared" si="44"/>
        <v>11934743.398741085</v>
      </c>
      <c r="Z158" s="240">
        <f t="shared" si="45"/>
        <v>20729965.725360174</v>
      </c>
      <c r="AA158" s="240">
        <f t="shared" si="46"/>
        <v>1426512.9943143744</v>
      </c>
      <c r="AB158" s="240">
        <f t="shared" si="47"/>
        <v>1828284.1533946954</v>
      </c>
      <c r="AC158" s="240">
        <f t="shared" si="48"/>
        <v>3254797.1477090698</v>
      </c>
      <c r="AD158" s="240">
        <f t="shared" si="49"/>
        <v>10221735.320933463</v>
      </c>
      <c r="AE158" s="240">
        <f t="shared" si="50"/>
        <v>13763027.55213578</v>
      </c>
      <c r="AF158" s="240">
        <f t="shared" si="51"/>
        <v>23984762.873069242</v>
      </c>
      <c r="AG158" s="240">
        <f t="shared" si="34"/>
        <v>12939953.055</v>
      </c>
      <c r="AH158" s="240">
        <f t="shared" si="35"/>
        <v>17558967.081</v>
      </c>
      <c r="AI158" s="240">
        <f t="shared" si="36"/>
        <v>30498920.136</v>
      </c>
      <c r="AJ158" s="240">
        <f t="shared" si="37"/>
        <v>2098754.3569999998</v>
      </c>
      <c r="AK158" s="240">
        <f t="shared" si="38"/>
        <v>2689859.3620000002</v>
      </c>
      <c r="AL158" s="240">
        <f t="shared" si="39"/>
        <v>4788613.7189999996</v>
      </c>
      <c r="AM158" s="240">
        <f t="shared" si="40"/>
        <v>15038707.412</v>
      </c>
      <c r="AN158" s="240">
        <f t="shared" si="41"/>
        <v>20248826.443</v>
      </c>
      <c r="AO158" s="240">
        <f t="shared" si="42"/>
        <v>35287533.854999997</v>
      </c>
    </row>
    <row r="159" spans="2:41" hidden="1" x14ac:dyDescent="0.25">
      <c r="B159" s="14">
        <v>41821</v>
      </c>
      <c r="C159" s="15">
        <v>259553</v>
      </c>
      <c r="D159" s="15">
        <v>355536</v>
      </c>
      <c r="E159" s="15">
        <v>615089</v>
      </c>
      <c r="F159" s="15">
        <v>27793</v>
      </c>
      <c r="G159" s="15">
        <v>33848</v>
      </c>
      <c r="H159" s="15">
        <v>61641</v>
      </c>
      <c r="I159" s="15">
        <v>287346</v>
      </c>
      <c r="J159" s="15">
        <v>389384</v>
      </c>
      <c r="K159" s="15">
        <v>676730</v>
      </c>
      <c r="L159" s="15">
        <v>13544605573</v>
      </c>
      <c r="M159" s="15">
        <v>18031541399</v>
      </c>
      <c r="N159" s="15">
        <f t="shared" si="52"/>
        <v>31576146972</v>
      </c>
      <c r="O159" s="15">
        <v>2294137835</v>
      </c>
      <c r="P159" s="15">
        <v>2881665078</v>
      </c>
      <c r="Q159" s="15">
        <f t="shared" si="53"/>
        <v>5175802913</v>
      </c>
      <c r="R159" s="15">
        <f t="shared" si="54"/>
        <v>15838743408</v>
      </c>
      <c r="S159" s="15">
        <f t="shared" si="55"/>
        <v>20913206477</v>
      </c>
      <c r="T159" s="16">
        <f t="shared" si="56"/>
        <v>36751949885</v>
      </c>
      <c r="U159">
        <v>87.894560830000003</v>
      </c>
      <c r="V159">
        <v>129.01505570699999</v>
      </c>
      <c r="W159" s="225">
        <f t="shared" si="33"/>
        <v>1.4678389025292771</v>
      </c>
      <c r="X159" s="240">
        <f t="shared" si="43"/>
        <v>9227583.1834548637</v>
      </c>
      <c r="Y159" s="240">
        <f t="shared" si="44"/>
        <v>12284414.432625618</v>
      </c>
      <c r="Z159" s="240">
        <f t="shared" si="45"/>
        <v>21511997.616080482</v>
      </c>
      <c r="AA159" s="240">
        <f t="shared" si="46"/>
        <v>1562935.7084397359</v>
      </c>
      <c r="AB159" s="240">
        <f t="shared" si="47"/>
        <v>1963202.5510664124</v>
      </c>
      <c r="AC159" s="240">
        <f t="shared" si="48"/>
        <v>3526138.2595061483</v>
      </c>
      <c r="AD159" s="240">
        <f t="shared" si="49"/>
        <v>10790518.891894599</v>
      </c>
      <c r="AE159" s="240">
        <f t="shared" si="50"/>
        <v>14247616.983692031</v>
      </c>
      <c r="AF159" s="240">
        <f t="shared" si="51"/>
        <v>25038135.875586633</v>
      </c>
      <c r="AG159" s="240">
        <f t="shared" si="34"/>
        <v>13544605.573000001</v>
      </c>
      <c r="AH159" s="240">
        <f t="shared" si="35"/>
        <v>18031541.399</v>
      </c>
      <c r="AI159" s="240">
        <f t="shared" si="36"/>
        <v>31576146.971999999</v>
      </c>
      <c r="AJ159" s="240">
        <f t="shared" si="37"/>
        <v>2294137.835</v>
      </c>
      <c r="AK159" s="240">
        <f t="shared" si="38"/>
        <v>2881665.0780000002</v>
      </c>
      <c r="AL159" s="240">
        <f t="shared" si="39"/>
        <v>5175802.9129999997</v>
      </c>
      <c r="AM159" s="240">
        <f t="shared" si="40"/>
        <v>15838743.408</v>
      </c>
      <c r="AN159" s="240">
        <f t="shared" si="41"/>
        <v>20913206.477000002</v>
      </c>
      <c r="AO159" s="240">
        <f t="shared" si="42"/>
        <v>36751949.884999998</v>
      </c>
    </row>
    <row r="160" spans="2:41" hidden="1" x14ac:dyDescent="0.25">
      <c r="B160" s="14">
        <v>41852</v>
      </c>
      <c r="C160" s="15">
        <v>261086</v>
      </c>
      <c r="D160" s="15">
        <v>357619</v>
      </c>
      <c r="E160" s="15">
        <v>618705</v>
      </c>
      <c r="F160" s="15">
        <v>28023</v>
      </c>
      <c r="G160" s="15">
        <v>34057</v>
      </c>
      <c r="H160" s="15">
        <v>62080</v>
      </c>
      <c r="I160" s="15">
        <v>289109</v>
      </c>
      <c r="J160" s="15">
        <v>391676</v>
      </c>
      <c r="K160" s="15">
        <v>680785</v>
      </c>
      <c r="L160" s="15">
        <v>13943406603</v>
      </c>
      <c r="M160" s="15">
        <v>19014907000</v>
      </c>
      <c r="N160" s="15">
        <f t="shared" si="52"/>
        <v>32958313603</v>
      </c>
      <c r="O160" s="15">
        <v>2301399338</v>
      </c>
      <c r="P160" s="15">
        <v>2870428605</v>
      </c>
      <c r="Q160" s="15">
        <f t="shared" si="53"/>
        <v>5171827943</v>
      </c>
      <c r="R160" s="15">
        <f t="shared" si="54"/>
        <v>16244805941</v>
      </c>
      <c r="S160" s="15">
        <f t="shared" si="55"/>
        <v>21885335605</v>
      </c>
      <c r="T160" s="16">
        <f t="shared" si="56"/>
        <v>38130141546</v>
      </c>
      <c r="U160">
        <v>88.179932219999998</v>
      </c>
      <c r="V160">
        <v>129.01505570699999</v>
      </c>
      <c r="W160" s="225">
        <f t="shared" si="33"/>
        <v>1.4630886241227823</v>
      </c>
      <c r="X160" s="240">
        <f t="shared" si="43"/>
        <v>9530117.5698498711</v>
      </c>
      <c r="Y160" s="240">
        <f t="shared" si="44"/>
        <v>12996415.040408563</v>
      </c>
      <c r="Z160" s="240">
        <f t="shared" si="45"/>
        <v>22526532.610258434</v>
      </c>
      <c r="AA160" s="240">
        <f t="shared" si="46"/>
        <v>1572973.2977589378</v>
      </c>
      <c r="AB160" s="240">
        <f t="shared" si="47"/>
        <v>1961896.6053549971</v>
      </c>
      <c r="AC160" s="240">
        <f t="shared" si="48"/>
        <v>3534869.9031139351</v>
      </c>
      <c r="AD160" s="240">
        <f t="shared" si="49"/>
        <v>11103090.867608808</v>
      </c>
      <c r="AE160" s="240">
        <f t="shared" si="50"/>
        <v>14958311.645763561</v>
      </c>
      <c r="AF160" s="240">
        <f t="shared" si="51"/>
        <v>26061402.513372369</v>
      </c>
      <c r="AG160" s="240">
        <f t="shared" si="34"/>
        <v>13943406.603</v>
      </c>
      <c r="AH160" s="240">
        <f t="shared" si="35"/>
        <v>19014907</v>
      </c>
      <c r="AI160" s="240">
        <f t="shared" si="36"/>
        <v>32958313.603</v>
      </c>
      <c r="AJ160" s="240">
        <f t="shared" si="37"/>
        <v>2301399.338</v>
      </c>
      <c r="AK160" s="240">
        <f t="shared" si="38"/>
        <v>2870428.605</v>
      </c>
      <c r="AL160" s="240">
        <f t="shared" si="39"/>
        <v>5171827.943</v>
      </c>
      <c r="AM160" s="240">
        <f t="shared" si="40"/>
        <v>16244805.941</v>
      </c>
      <c r="AN160" s="240">
        <f t="shared" si="41"/>
        <v>21885335.605</v>
      </c>
      <c r="AO160" s="240">
        <f t="shared" si="42"/>
        <v>38130141.545999996</v>
      </c>
    </row>
    <row r="161" spans="2:41" hidden="1" x14ac:dyDescent="0.25">
      <c r="B161" s="14">
        <v>41883</v>
      </c>
      <c r="C161" s="15">
        <v>262411</v>
      </c>
      <c r="D161" s="15">
        <v>360197</v>
      </c>
      <c r="E161" s="15">
        <v>622608</v>
      </c>
      <c r="F161" s="15">
        <v>28113</v>
      </c>
      <c r="G161" s="15">
        <v>34152</v>
      </c>
      <c r="H161" s="15">
        <v>62265</v>
      </c>
      <c r="I161" s="15">
        <v>290524</v>
      </c>
      <c r="J161" s="15">
        <v>394349</v>
      </c>
      <c r="K161" s="15">
        <v>684873</v>
      </c>
      <c r="L161" s="15">
        <v>14087387029</v>
      </c>
      <c r="M161" s="15">
        <v>19280307316</v>
      </c>
      <c r="N161" s="15">
        <f t="shared" si="52"/>
        <v>33367694345</v>
      </c>
      <c r="O161" s="15">
        <v>2277711013</v>
      </c>
      <c r="P161" s="15">
        <v>2849202995</v>
      </c>
      <c r="Q161" s="15">
        <f t="shared" si="53"/>
        <v>5126914008</v>
      </c>
      <c r="R161" s="15">
        <f t="shared" si="54"/>
        <v>16365098042</v>
      </c>
      <c r="S161" s="15">
        <f t="shared" si="55"/>
        <v>22129510311</v>
      </c>
      <c r="T161" s="16">
        <f t="shared" si="56"/>
        <v>38494608353</v>
      </c>
      <c r="U161">
        <v>88.917875609999996</v>
      </c>
      <c r="V161">
        <v>129.01505570699999</v>
      </c>
      <c r="W161" s="225">
        <f t="shared" si="33"/>
        <v>1.4509462222519689</v>
      </c>
      <c r="X161" s="240">
        <f t="shared" si="43"/>
        <v>9709103.4891254622</v>
      </c>
      <c r="Y161" s="240">
        <f t="shared" si="44"/>
        <v>13288092.294747926</v>
      </c>
      <c r="Z161" s="240">
        <f t="shared" si="45"/>
        <v>22997195.78387339</v>
      </c>
      <c r="AA161" s="240">
        <f t="shared" si="46"/>
        <v>1569810.7745611931</v>
      </c>
      <c r="AB161" s="240">
        <f t="shared" si="47"/>
        <v>1963686.1458433932</v>
      </c>
      <c r="AC161" s="240">
        <f t="shared" si="48"/>
        <v>3533496.920404586</v>
      </c>
      <c r="AD161" s="240">
        <f t="shared" si="49"/>
        <v>11278914.263686655</v>
      </c>
      <c r="AE161" s="240">
        <f t="shared" si="50"/>
        <v>15251778.44059132</v>
      </c>
      <c r="AF161" s="240">
        <f t="shared" si="51"/>
        <v>26530692.704277974</v>
      </c>
      <c r="AG161" s="240">
        <f t="shared" si="34"/>
        <v>14087387.028999999</v>
      </c>
      <c r="AH161" s="240">
        <f t="shared" si="35"/>
        <v>19280307.316</v>
      </c>
      <c r="AI161" s="240">
        <f t="shared" si="36"/>
        <v>33367694.344999999</v>
      </c>
      <c r="AJ161" s="240">
        <f t="shared" si="37"/>
        <v>2277711.0129999998</v>
      </c>
      <c r="AK161" s="240">
        <f t="shared" si="38"/>
        <v>2849202.9950000001</v>
      </c>
      <c r="AL161" s="240">
        <f t="shared" si="39"/>
        <v>5126914.0080000004</v>
      </c>
      <c r="AM161" s="240">
        <f t="shared" si="40"/>
        <v>16365098.041999999</v>
      </c>
      <c r="AN161" s="240">
        <f t="shared" si="41"/>
        <v>22129510.311000001</v>
      </c>
      <c r="AO161" s="240">
        <f t="shared" si="42"/>
        <v>38494608.353</v>
      </c>
    </row>
    <row r="162" spans="2:41" hidden="1" x14ac:dyDescent="0.25">
      <c r="B162" s="14">
        <v>41913</v>
      </c>
      <c r="C162" s="15">
        <v>264197</v>
      </c>
      <c r="D162" s="15">
        <v>362823</v>
      </c>
      <c r="E162" s="15">
        <v>627020</v>
      </c>
      <c r="F162" s="15">
        <v>27992</v>
      </c>
      <c r="G162" s="15">
        <v>34073</v>
      </c>
      <c r="H162" s="15">
        <v>62065</v>
      </c>
      <c r="I162" s="15">
        <v>292189</v>
      </c>
      <c r="J162" s="15">
        <v>396896</v>
      </c>
      <c r="K162" s="15">
        <v>689085</v>
      </c>
      <c r="L162" s="15">
        <v>14150872445</v>
      </c>
      <c r="M162" s="15">
        <v>19431069140</v>
      </c>
      <c r="N162" s="15">
        <f t="shared" si="52"/>
        <v>33581941585</v>
      </c>
      <c r="O162" s="15">
        <v>2293777481</v>
      </c>
      <c r="P162" s="15">
        <v>2862864285</v>
      </c>
      <c r="Q162" s="15">
        <f t="shared" si="53"/>
        <v>5156641766</v>
      </c>
      <c r="R162" s="15">
        <f t="shared" si="54"/>
        <v>16444649926</v>
      </c>
      <c r="S162" s="15">
        <f t="shared" si="55"/>
        <v>22293933425</v>
      </c>
      <c r="T162" s="16">
        <f t="shared" si="56"/>
        <v>38738583351</v>
      </c>
      <c r="U162">
        <v>89.84344969</v>
      </c>
      <c r="V162">
        <v>129.01505570699999</v>
      </c>
      <c r="W162" s="225">
        <f t="shared" si="33"/>
        <v>1.4359984634623839</v>
      </c>
      <c r="X162" s="240">
        <f t="shared" si="43"/>
        <v>9854378.5422167908</v>
      </c>
      <c r="Y162" s="240">
        <f t="shared" si="44"/>
        <v>13531399.673749719</v>
      </c>
      <c r="Z162" s="240">
        <f t="shared" si="45"/>
        <v>23385778.215966512</v>
      </c>
      <c r="AA162" s="240">
        <f t="shared" si="46"/>
        <v>1597339.7878639763</v>
      </c>
      <c r="AB162" s="240">
        <f t="shared" si="47"/>
        <v>1993640.2146958099</v>
      </c>
      <c r="AC162" s="240">
        <f t="shared" si="48"/>
        <v>3590980.0025597857</v>
      </c>
      <c r="AD162" s="240">
        <f t="shared" si="49"/>
        <v>11451718.330080768</v>
      </c>
      <c r="AE162" s="240">
        <f t="shared" si="50"/>
        <v>15525039.88844553</v>
      </c>
      <c r="AF162" s="240">
        <f t="shared" si="51"/>
        <v>26976758.2185263</v>
      </c>
      <c r="AG162" s="240">
        <f t="shared" si="34"/>
        <v>14150872.445</v>
      </c>
      <c r="AH162" s="240">
        <f t="shared" si="35"/>
        <v>19431069.140000001</v>
      </c>
      <c r="AI162" s="240">
        <f t="shared" si="36"/>
        <v>33581941.585000001</v>
      </c>
      <c r="AJ162" s="240">
        <f t="shared" si="37"/>
        <v>2293777.4810000001</v>
      </c>
      <c r="AK162" s="240">
        <f t="shared" si="38"/>
        <v>2862864.2850000001</v>
      </c>
      <c r="AL162" s="240">
        <f t="shared" si="39"/>
        <v>5156641.7659999998</v>
      </c>
      <c r="AM162" s="240">
        <f t="shared" si="40"/>
        <v>16444649.926000001</v>
      </c>
      <c r="AN162" s="240">
        <f t="shared" si="41"/>
        <v>22293933.425000001</v>
      </c>
      <c r="AO162" s="240">
        <f t="shared" si="42"/>
        <v>38738583.351000004</v>
      </c>
    </row>
    <row r="163" spans="2:41" hidden="1" x14ac:dyDescent="0.25">
      <c r="B163" s="14">
        <v>41944</v>
      </c>
      <c r="C163" s="15">
        <v>265553</v>
      </c>
      <c r="D163" s="15">
        <v>364650</v>
      </c>
      <c r="E163" s="15">
        <v>630203</v>
      </c>
      <c r="F163" s="15">
        <v>28146</v>
      </c>
      <c r="G163" s="15">
        <v>34283</v>
      </c>
      <c r="H163" s="15">
        <v>62429</v>
      </c>
      <c r="I163" s="15">
        <v>293699</v>
      </c>
      <c r="J163" s="15">
        <v>398933</v>
      </c>
      <c r="K163" s="15">
        <v>692632</v>
      </c>
      <c r="L163" s="15">
        <v>14212716136</v>
      </c>
      <c r="M163" s="15">
        <v>19484811821</v>
      </c>
      <c r="N163" s="15">
        <f t="shared" si="52"/>
        <v>33697527957</v>
      </c>
      <c r="O163" s="15">
        <v>2318889234</v>
      </c>
      <c r="P163" s="15">
        <v>2876259170</v>
      </c>
      <c r="Q163" s="15">
        <f t="shared" si="53"/>
        <v>5195148404</v>
      </c>
      <c r="R163" s="15">
        <f t="shared" si="54"/>
        <v>16531605370</v>
      </c>
      <c r="S163" s="15">
        <f t="shared" si="55"/>
        <v>22361070991</v>
      </c>
      <c r="T163" s="16">
        <f t="shared" si="56"/>
        <v>38892676361</v>
      </c>
      <c r="U163">
        <v>89.865715080000001</v>
      </c>
      <c r="V163">
        <v>129.01505570699999</v>
      </c>
      <c r="W163" s="225">
        <f t="shared" si="33"/>
        <v>1.435642676321538</v>
      </c>
      <c r="X163" s="240">
        <f t="shared" si="43"/>
        <v>9899898.0529168993</v>
      </c>
      <c r="Y163" s="240">
        <f t="shared" si="44"/>
        <v>13572187.66366348</v>
      </c>
      <c r="Z163" s="240">
        <f t="shared" si="45"/>
        <v>23472085.71658038</v>
      </c>
      <c r="AA163" s="240">
        <f t="shared" si="46"/>
        <v>1615227.2931461972</v>
      </c>
      <c r="AB163" s="240">
        <f t="shared" si="47"/>
        <v>2003464.5231985359</v>
      </c>
      <c r="AC163" s="240">
        <f t="shared" si="48"/>
        <v>3618691.8163447333</v>
      </c>
      <c r="AD163" s="240">
        <f t="shared" si="49"/>
        <v>11515125.346063096</v>
      </c>
      <c r="AE163" s="240">
        <f t="shared" si="50"/>
        <v>15575652.186862016</v>
      </c>
      <c r="AF163" s="240">
        <f t="shared" si="51"/>
        <v>27090777.532925114</v>
      </c>
      <c r="AG163" s="240">
        <f t="shared" si="34"/>
        <v>14212716.136</v>
      </c>
      <c r="AH163" s="240">
        <f t="shared" si="35"/>
        <v>19484811.820999999</v>
      </c>
      <c r="AI163" s="240">
        <f t="shared" si="36"/>
        <v>33697527.957000002</v>
      </c>
      <c r="AJ163" s="240">
        <f t="shared" si="37"/>
        <v>2318889.2340000002</v>
      </c>
      <c r="AK163" s="240">
        <f t="shared" si="38"/>
        <v>2876259.17</v>
      </c>
      <c r="AL163" s="240">
        <f t="shared" si="39"/>
        <v>5195148.4040000001</v>
      </c>
      <c r="AM163" s="240">
        <f t="shared" si="40"/>
        <v>16531605.369999999</v>
      </c>
      <c r="AN163" s="240">
        <f t="shared" si="41"/>
        <v>22361070.991</v>
      </c>
      <c r="AO163" s="240">
        <f t="shared" si="42"/>
        <v>38892676.361000001</v>
      </c>
    </row>
    <row r="164" spans="2:41" hidden="1" x14ac:dyDescent="0.25">
      <c r="B164" s="17">
        <v>41974</v>
      </c>
      <c r="C164" s="18">
        <v>267943</v>
      </c>
      <c r="D164" s="18">
        <v>367802</v>
      </c>
      <c r="E164" s="18">
        <v>635745</v>
      </c>
      <c r="F164" s="18">
        <v>28268</v>
      </c>
      <c r="G164" s="18">
        <v>34413</v>
      </c>
      <c r="H164" s="18">
        <v>62681</v>
      </c>
      <c r="I164" s="19">
        <v>296211</v>
      </c>
      <c r="J164" s="19">
        <v>402215</v>
      </c>
      <c r="K164" s="19">
        <v>698426</v>
      </c>
      <c r="L164" s="18">
        <v>14442871674</v>
      </c>
      <c r="M164" s="18">
        <v>19840959571</v>
      </c>
      <c r="N164" s="18">
        <f t="shared" si="52"/>
        <v>34283831245</v>
      </c>
      <c r="O164" s="18">
        <v>2295297656</v>
      </c>
      <c r="P164" s="18">
        <v>2878523933</v>
      </c>
      <c r="Q164" s="18">
        <f t="shared" si="53"/>
        <v>5173821589</v>
      </c>
      <c r="R164" s="18">
        <f t="shared" si="54"/>
        <v>16738169330</v>
      </c>
      <c r="S164" s="18">
        <f t="shared" si="55"/>
        <v>22719483504</v>
      </c>
      <c r="T164" s="18">
        <f t="shared" si="56"/>
        <v>39457652834</v>
      </c>
      <c r="U164">
        <v>89.494262109999994</v>
      </c>
      <c r="V164">
        <v>129.01505570699999</v>
      </c>
      <c r="W164" s="225">
        <f t="shared" si="33"/>
        <v>1.4416014241049759</v>
      </c>
      <c r="X164" s="240">
        <f t="shared" si="43"/>
        <v>10018630.276372621</v>
      </c>
      <c r="Y164" s="240">
        <f t="shared" si="44"/>
        <v>13763138.15957718</v>
      </c>
      <c r="Z164" s="240">
        <f t="shared" si="45"/>
        <v>23781768.435949802</v>
      </c>
      <c r="AA164" s="240">
        <f t="shared" si="46"/>
        <v>1592186.035349573</v>
      </c>
      <c r="AB164" s="240">
        <f t="shared" si="47"/>
        <v>1996754.3627997893</v>
      </c>
      <c r="AC164" s="240">
        <f t="shared" si="48"/>
        <v>3588940.3981493623</v>
      </c>
      <c r="AD164" s="240">
        <f t="shared" si="49"/>
        <v>11610816.311722195</v>
      </c>
      <c r="AE164" s="240">
        <f t="shared" si="50"/>
        <v>15759892.522376968</v>
      </c>
      <c r="AF164" s="240">
        <f t="shared" si="51"/>
        <v>27370708.834099162</v>
      </c>
      <c r="AG164" s="240">
        <f t="shared" si="34"/>
        <v>14442871.674000001</v>
      </c>
      <c r="AH164" s="240">
        <f t="shared" si="35"/>
        <v>19840959.570999999</v>
      </c>
      <c r="AI164" s="240">
        <f t="shared" si="36"/>
        <v>34283831.244999997</v>
      </c>
      <c r="AJ164" s="240">
        <f t="shared" si="37"/>
        <v>2295297.656</v>
      </c>
      <c r="AK164" s="240">
        <f t="shared" si="38"/>
        <v>2878523.9330000002</v>
      </c>
      <c r="AL164" s="240">
        <f t="shared" si="39"/>
        <v>5173821.5889999997</v>
      </c>
      <c r="AM164" s="240">
        <f t="shared" si="40"/>
        <v>16738169.33</v>
      </c>
      <c r="AN164" s="240">
        <f t="shared" si="41"/>
        <v>22719483.504000001</v>
      </c>
      <c r="AO164" s="240">
        <f t="shared" si="42"/>
        <v>39457652.833999999</v>
      </c>
    </row>
    <row r="165" spans="2:41" hidden="1" x14ac:dyDescent="0.25">
      <c r="B165" s="14">
        <v>42005</v>
      </c>
      <c r="C165" s="15">
        <v>270420</v>
      </c>
      <c r="D165" s="15">
        <v>373408</v>
      </c>
      <c r="E165" s="15">
        <v>643828</v>
      </c>
      <c r="F165" s="15">
        <v>28687</v>
      </c>
      <c r="G165" s="15">
        <v>34985</v>
      </c>
      <c r="H165" s="15">
        <v>63672</v>
      </c>
      <c r="I165" s="15">
        <v>299107</v>
      </c>
      <c r="J165" s="15">
        <v>408393</v>
      </c>
      <c r="K165" s="15">
        <v>707500</v>
      </c>
      <c r="L165" s="15">
        <v>14781631240</v>
      </c>
      <c r="M165" s="15">
        <v>19889787521</v>
      </c>
      <c r="N165" s="15">
        <f t="shared" si="52"/>
        <v>34671418761</v>
      </c>
      <c r="O165" s="15">
        <v>2337224526</v>
      </c>
      <c r="P165" s="15">
        <v>2938559506</v>
      </c>
      <c r="Q165" s="15">
        <f t="shared" si="53"/>
        <v>5275784032</v>
      </c>
      <c r="R165" s="15">
        <f t="shared" si="54"/>
        <v>17118855766</v>
      </c>
      <c r="S165" s="15">
        <f t="shared" si="55"/>
        <v>22828347027</v>
      </c>
      <c r="T165" s="16">
        <f t="shared" si="56"/>
        <v>39947202793</v>
      </c>
      <c r="U165">
        <v>89.563556840000004</v>
      </c>
      <c r="V165">
        <v>129.01505570699999</v>
      </c>
      <c r="W165" s="225">
        <f t="shared" si="33"/>
        <v>1.4404860666429065</v>
      </c>
      <c r="X165" s="240">
        <f t="shared" si="43"/>
        <v>10261557.943735624</v>
      </c>
      <c r="Y165" s="240">
        <f t="shared" si="44"/>
        <v>13807691.710169548</v>
      </c>
      <c r="Z165" s="240">
        <f t="shared" si="45"/>
        <v>24069249.653905176</v>
      </c>
      <c r="AA165" s="240">
        <f t="shared" si="46"/>
        <v>1622524.9102526677</v>
      </c>
      <c r="AB165" s="240">
        <f t="shared" si="47"/>
        <v>2039977.736715216</v>
      </c>
      <c r="AC165" s="240">
        <f t="shared" si="48"/>
        <v>3662502.6469678837</v>
      </c>
      <c r="AD165" s="240">
        <f t="shared" si="49"/>
        <v>11884082.853988292</v>
      </c>
      <c r="AE165" s="240">
        <f t="shared" si="50"/>
        <v>15847669.446884766</v>
      </c>
      <c r="AF165" s="240">
        <f t="shared" si="51"/>
        <v>27731752.300873056</v>
      </c>
      <c r="AG165" s="240">
        <f t="shared" si="34"/>
        <v>14781631.24</v>
      </c>
      <c r="AH165" s="240">
        <f t="shared" si="35"/>
        <v>19889787.521000002</v>
      </c>
      <c r="AI165" s="240">
        <f t="shared" si="36"/>
        <v>34671418.761</v>
      </c>
      <c r="AJ165" s="240">
        <f t="shared" si="37"/>
        <v>2337224.5260000001</v>
      </c>
      <c r="AK165" s="240">
        <f t="shared" si="38"/>
        <v>2938559.5060000001</v>
      </c>
      <c r="AL165" s="240">
        <f t="shared" si="39"/>
        <v>5275784.0319999997</v>
      </c>
      <c r="AM165" s="240">
        <f t="shared" si="40"/>
        <v>17118855.765999999</v>
      </c>
      <c r="AN165" s="240">
        <f t="shared" si="41"/>
        <v>22828347.026999999</v>
      </c>
      <c r="AO165" s="240">
        <f t="shared" si="42"/>
        <v>39947202.792999998</v>
      </c>
    </row>
    <row r="166" spans="2:41" hidden="1" x14ac:dyDescent="0.25">
      <c r="B166" s="14">
        <v>42036</v>
      </c>
      <c r="C166" s="15">
        <v>271647</v>
      </c>
      <c r="D166" s="15">
        <v>375153</v>
      </c>
      <c r="E166" s="15">
        <v>646800</v>
      </c>
      <c r="F166" s="15">
        <v>28687</v>
      </c>
      <c r="G166" s="15">
        <v>35009</v>
      </c>
      <c r="H166" s="15">
        <v>63696</v>
      </c>
      <c r="I166" s="15">
        <v>300334</v>
      </c>
      <c r="J166" s="15">
        <v>410162</v>
      </c>
      <c r="K166" s="15">
        <v>710496</v>
      </c>
      <c r="L166" s="15">
        <v>14305261460</v>
      </c>
      <c r="M166" s="15">
        <v>19643531189</v>
      </c>
      <c r="N166" s="15">
        <f t="shared" si="52"/>
        <v>33948792649</v>
      </c>
      <c r="O166" s="15">
        <v>2327086137</v>
      </c>
      <c r="P166" s="15">
        <v>2929395307</v>
      </c>
      <c r="Q166" s="15">
        <f t="shared" si="53"/>
        <v>5256481444</v>
      </c>
      <c r="R166" s="15">
        <f t="shared" si="54"/>
        <v>16632347597</v>
      </c>
      <c r="S166" s="15">
        <f t="shared" si="55"/>
        <v>22572926496</v>
      </c>
      <c r="T166" s="16">
        <f t="shared" si="56"/>
        <v>39205274093</v>
      </c>
      <c r="U166">
        <v>89.878604980000006</v>
      </c>
      <c r="V166">
        <v>129.01505570699999</v>
      </c>
      <c r="W166" s="225">
        <f t="shared" si="33"/>
        <v>1.4354367842681661</v>
      </c>
      <c r="X166" s="240">
        <f t="shared" si="43"/>
        <v>9965789.9370979983</v>
      </c>
      <c r="Y166" s="240">
        <f t="shared" si="44"/>
        <v>13684706.567565728</v>
      </c>
      <c r="Z166" s="240">
        <f t="shared" si="45"/>
        <v>23650496.504663724</v>
      </c>
      <c r="AA166" s="240">
        <f t="shared" si="46"/>
        <v>1621169.3628754446</v>
      </c>
      <c r="AB166" s="240">
        <f t="shared" si="47"/>
        <v>2040769.2899506572</v>
      </c>
      <c r="AC166" s="240">
        <f t="shared" si="48"/>
        <v>3661938.652826102</v>
      </c>
      <c r="AD166" s="240">
        <f t="shared" si="49"/>
        <v>11586959.299973441</v>
      </c>
      <c r="AE166" s="240">
        <f t="shared" si="50"/>
        <v>15725475.857516384</v>
      </c>
      <c r="AF166" s="240">
        <f t="shared" si="51"/>
        <v>27312435.157489825</v>
      </c>
      <c r="AG166" s="240">
        <f t="shared" si="34"/>
        <v>14305261.460000001</v>
      </c>
      <c r="AH166" s="240">
        <f t="shared" si="35"/>
        <v>19643531.188999999</v>
      </c>
      <c r="AI166" s="240">
        <f t="shared" si="36"/>
        <v>33948792.648999996</v>
      </c>
      <c r="AJ166" s="240">
        <f t="shared" si="37"/>
        <v>2327086.1370000001</v>
      </c>
      <c r="AK166" s="240">
        <f t="shared" si="38"/>
        <v>2929395.307</v>
      </c>
      <c r="AL166" s="240">
        <f t="shared" si="39"/>
        <v>5256481.4440000001</v>
      </c>
      <c r="AM166" s="240">
        <f t="shared" si="40"/>
        <v>16632347.596999999</v>
      </c>
      <c r="AN166" s="240">
        <f t="shared" si="41"/>
        <v>22572926.495999999</v>
      </c>
      <c r="AO166" s="240">
        <f t="shared" si="42"/>
        <v>39205274.093000002</v>
      </c>
    </row>
    <row r="167" spans="2:41" hidden="1" x14ac:dyDescent="0.25">
      <c r="B167" s="14">
        <v>42064</v>
      </c>
      <c r="C167" s="15">
        <v>273086</v>
      </c>
      <c r="D167" s="15">
        <v>377612</v>
      </c>
      <c r="E167" s="15">
        <v>650698</v>
      </c>
      <c r="F167" s="15">
        <v>28777</v>
      </c>
      <c r="G167" s="15">
        <v>35086</v>
      </c>
      <c r="H167" s="15">
        <v>63863</v>
      </c>
      <c r="I167" s="15">
        <v>301863</v>
      </c>
      <c r="J167" s="15">
        <v>412698</v>
      </c>
      <c r="K167" s="15">
        <v>714561</v>
      </c>
      <c r="L167" s="15">
        <v>14411990753</v>
      </c>
      <c r="M167" s="15">
        <v>19832220369</v>
      </c>
      <c r="N167" s="15">
        <f t="shared" si="52"/>
        <v>34244211122</v>
      </c>
      <c r="O167" s="15">
        <v>2351460132</v>
      </c>
      <c r="P167" s="15">
        <v>2937425038</v>
      </c>
      <c r="Q167" s="15">
        <f t="shared" si="53"/>
        <v>5288885170</v>
      </c>
      <c r="R167" s="15">
        <f t="shared" si="54"/>
        <v>16763450885</v>
      </c>
      <c r="S167" s="15">
        <f t="shared" si="55"/>
        <v>22769645407</v>
      </c>
      <c r="T167" s="16">
        <f t="shared" si="56"/>
        <v>39533096292</v>
      </c>
      <c r="U167">
        <v>90.443760650000002</v>
      </c>
      <c r="V167">
        <v>129.01505570699999</v>
      </c>
      <c r="W167" s="225">
        <f t="shared" si="33"/>
        <v>1.4264671745159236</v>
      </c>
      <c r="X167" s="240">
        <f t="shared" si="43"/>
        <v>10103275.427905137</v>
      </c>
      <c r="Y167" s="240">
        <f t="shared" si="44"/>
        <v>13903033.117975624</v>
      </c>
      <c r="Z167" s="240">
        <f t="shared" si="45"/>
        <v>24006308.545880761</v>
      </c>
      <c r="AA167" s="240">
        <f t="shared" si="46"/>
        <v>1648450.2230470013</v>
      </c>
      <c r="AB167" s="240">
        <f t="shared" si="47"/>
        <v>2059230.7278271753</v>
      </c>
      <c r="AC167" s="240">
        <f t="shared" si="48"/>
        <v>3707680.9508741768</v>
      </c>
      <c r="AD167" s="240">
        <f t="shared" si="49"/>
        <v>11751725.650952138</v>
      </c>
      <c r="AE167" s="240">
        <f t="shared" si="50"/>
        <v>15962263.845802799</v>
      </c>
      <c r="AF167" s="240">
        <f t="shared" si="51"/>
        <v>27713989.496754937</v>
      </c>
      <c r="AG167" s="240">
        <f t="shared" si="34"/>
        <v>14411990.753</v>
      </c>
      <c r="AH167" s="240">
        <f t="shared" si="35"/>
        <v>19832220.368999999</v>
      </c>
      <c r="AI167" s="240">
        <f t="shared" si="36"/>
        <v>34244211.122000001</v>
      </c>
      <c r="AJ167" s="240">
        <f t="shared" si="37"/>
        <v>2351460.1320000002</v>
      </c>
      <c r="AK167" s="240">
        <f t="shared" si="38"/>
        <v>2937425.0380000002</v>
      </c>
      <c r="AL167" s="240">
        <f t="shared" si="39"/>
        <v>5288885.17</v>
      </c>
      <c r="AM167" s="240">
        <f t="shared" si="40"/>
        <v>16763450.885</v>
      </c>
      <c r="AN167" s="240">
        <f t="shared" si="41"/>
        <v>22769645.407000002</v>
      </c>
      <c r="AO167" s="240">
        <f t="shared" si="42"/>
        <v>39533096.292000003</v>
      </c>
    </row>
    <row r="168" spans="2:41" hidden="1" x14ac:dyDescent="0.25">
      <c r="B168" s="14">
        <v>42095</v>
      </c>
      <c r="C168" s="15">
        <v>274911</v>
      </c>
      <c r="D168" s="15">
        <v>379874</v>
      </c>
      <c r="E168" s="15">
        <v>654785</v>
      </c>
      <c r="F168" s="15">
        <v>29023</v>
      </c>
      <c r="G168" s="15">
        <v>35272</v>
      </c>
      <c r="H168" s="15">
        <v>64295</v>
      </c>
      <c r="I168" s="15">
        <v>303934</v>
      </c>
      <c r="J168" s="15">
        <v>415146</v>
      </c>
      <c r="K168" s="15">
        <v>719080</v>
      </c>
      <c r="L168" s="15">
        <v>14553598954</v>
      </c>
      <c r="M168" s="15">
        <v>19949869049</v>
      </c>
      <c r="N168" s="15">
        <f t="shared" si="52"/>
        <v>34503468003</v>
      </c>
      <c r="O168" s="15">
        <v>2346975364</v>
      </c>
      <c r="P168" s="15">
        <v>2925067985</v>
      </c>
      <c r="Q168" s="15">
        <f t="shared" si="53"/>
        <v>5272043349</v>
      </c>
      <c r="R168" s="15">
        <f t="shared" si="54"/>
        <v>16900574318</v>
      </c>
      <c r="S168" s="15">
        <f t="shared" si="55"/>
        <v>22874937034</v>
      </c>
      <c r="T168" s="16">
        <f t="shared" si="56"/>
        <v>39775511352</v>
      </c>
      <c r="U168">
        <v>90.963671410000003</v>
      </c>
      <c r="V168">
        <v>129.01505570699999</v>
      </c>
      <c r="W168" s="225">
        <f t="shared" si="33"/>
        <v>1.418314077556206</v>
      </c>
      <c r="X168" s="240">
        <f t="shared" si="43"/>
        <v>10261196.151332187</v>
      </c>
      <c r="Y168" s="240">
        <f t="shared" si="44"/>
        <v>14065903.571495371</v>
      </c>
      <c r="Z168" s="240">
        <f t="shared" si="45"/>
        <v>24327099.722827557</v>
      </c>
      <c r="AA168" s="240">
        <f t="shared" si="46"/>
        <v>1654764.2028935531</v>
      </c>
      <c r="AB168" s="240">
        <f t="shared" si="47"/>
        <v>2062355.6032384397</v>
      </c>
      <c r="AC168" s="240">
        <f t="shared" si="48"/>
        <v>3717119.8061319925</v>
      </c>
      <c r="AD168" s="240">
        <f t="shared" si="49"/>
        <v>11915960.354225738</v>
      </c>
      <c r="AE168" s="240">
        <f t="shared" si="50"/>
        <v>16128259.17473381</v>
      </c>
      <c r="AF168" s="240">
        <f t="shared" si="51"/>
        <v>28044219.52895955</v>
      </c>
      <c r="AG168" s="240">
        <f t="shared" si="34"/>
        <v>14553598.954</v>
      </c>
      <c r="AH168" s="240">
        <f t="shared" si="35"/>
        <v>19949869.048999999</v>
      </c>
      <c r="AI168" s="240">
        <f t="shared" si="36"/>
        <v>34503468.002999999</v>
      </c>
      <c r="AJ168" s="240">
        <f t="shared" si="37"/>
        <v>2346975.3640000001</v>
      </c>
      <c r="AK168" s="240">
        <f t="shared" si="38"/>
        <v>2925067.9849999999</v>
      </c>
      <c r="AL168" s="240">
        <f t="shared" si="39"/>
        <v>5272043.3490000004</v>
      </c>
      <c r="AM168" s="240">
        <f t="shared" si="40"/>
        <v>16900574.318</v>
      </c>
      <c r="AN168" s="240">
        <f t="shared" si="41"/>
        <v>22874937.034000002</v>
      </c>
      <c r="AO168" s="240">
        <f t="shared" si="42"/>
        <v>39775511.351999998</v>
      </c>
    </row>
    <row r="169" spans="2:41" hidden="1" x14ac:dyDescent="0.25">
      <c r="B169" s="14">
        <v>42125</v>
      </c>
      <c r="C169" s="15">
        <v>275948</v>
      </c>
      <c r="D169" s="15">
        <v>381450</v>
      </c>
      <c r="E169" s="15">
        <v>657398</v>
      </c>
      <c r="F169" s="15">
        <v>29091</v>
      </c>
      <c r="G169" s="15">
        <v>35349</v>
      </c>
      <c r="H169" s="15">
        <v>64440</v>
      </c>
      <c r="I169" s="15">
        <v>305039</v>
      </c>
      <c r="J169" s="15">
        <v>416799</v>
      </c>
      <c r="K169" s="15">
        <v>721838</v>
      </c>
      <c r="L169" s="15">
        <v>14572582986</v>
      </c>
      <c r="M169" s="15">
        <v>20025843295</v>
      </c>
      <c r="N169" s="15">
        <f t="shared" si="52"/>
        <v>34598426281</v>
      </c>
      <c r="O169" s="15">
        <v>2351073283</v>
      </c>
      <c r="P169" s="15">
        <v>2927213558</v>
      </c>
      <c r="Q169" s="15">
        <f t="shared" si="53"/>
        <v>5278286841</v>
      </c>
      <c r="R169" s="15">
        <f t="shared" si="54"/>
        <v>16923656269</v>
      </c>
      <c r="S169" s="15">
        <f t="shared" si="55"/>
        <v>22953056853</v>
      </c>
      <c r="T169" s="16">
        <f t="shared" si="56"/>
        <v>39876713122</v>
      </c>
      <c r="U169">
        <v>91.124380560000006</v>
      </c>
      <c r="V169">
        <v>129.01505570699999</v>
      </c>
      <c r="W169" s="225">
        <f t="shared" si="33"/>
        <v>1.415812704724519</v>
      </c>
      <c r="X169" s="240">
        <f t="shared" si="43"/>
        <v>10292733.592071738</v>
      </c>
      <c r="Y169" s="240">
        <f t="shared" si="44"/>
        <v>14144415.591253305</v>
      </c>
      <c r="Z169" s="240">
        <f t="shared" si="45"/>
        <v>24437149.183325041</v>
      </c>
      <c r="AA169" s="240">
        <f t="shared" si="46"/>
        <v>1660582.1343137748</v>
      </c>
      <c r="AB169" s="240">
        <f t="shared" si="47"/>
        <v>2067514.6848393064</v>
      </c>
      <c r="AC169" s="240">
        <f t="shared" si="48"/>
        <v>3728096.8191530816</v>
      </c>
      <c r="AD169" s="240">
        <f t="shared" si="49"/>
        <v>11953315.726385511</v>
      </c>
      <c r="AE169" s="240">
        <f t="shared" si="50"/>
        <v>16211930.276092613</v>
      </c>
      <c r="AF169" s="240">
        <f t="shared" si="51"/>
        <v>28165246.002478123</v>
      </c>
      <c r="AG169" s="240">
        <f t="shared" si="34"/>
        <v>14572582.986</v>
      </c>
      <c r="AH169" s="240">
        <f t="shared" si="35"/>
        <v>20025843.295000002</v>
      </c>
      <c r="AI169" s="240">
        <f t="shared" si="36"/>
        <v>34598426.281000003</v>
      </c>
      <c r="AJ169" s="240">
        <f t="shared" si="37"/>
        <v>2351073.2829999998</v>
      </c>
      <c r="AK169" s="240">
        <f t="shared" si="38"/>
        <v>2927213.5580000002</v>
      </c>
      <c r="AL169" s="240">
        <f t="shared" si="39"/>
        <v>5278286.841</v>
      </c>
      <c r="AM169" s="240">
        <f t="shared" si="40"/>
        <v>16923656.269000001</v>
      </c>
      <c r="AN169" s="240">
        <f t="shared" si="41"/>
        <v>22953056.853</v>
      </c>
      <c r="AO169" s="240">
        <f t="shared" si="42"/>
        <v>39876713.122000001</v>
      </c>
    </row>
    <row r="170" spans="2:41" hidden="1" x14ac:dyDescent="0.25">
      <c r="B170" s="14">
        <v>42156</v>
      </c>
      <c r="C170" s="15">
        <v>277655</v>
      </c>
      <c r="D170" s="15">
        <v>383881</v>
      </c>
      <c r="E170" s="15">
        <v>661536</v>
      </c>
      <c r="F170" s="15">
        <v>29464</v>
      </c>
      <c r="G170" s="15">
        <v>35662</v>
      </c>
      <c r="H170" s="15">
        <v>65126</v>
      </c>
      <c r="I170" s="15">
        <v>307119</v>
      </c>
      <c r="J170" s="15">
        <v>419543</v>
      </c>
      <c r="K170" s="15">
        <v>726662</v>
      </c>
      <c r="L170" s="15">
        <v>14706054701</v>
      </c>
      <c r="M170" s="15">
        <v>20224673155</v>
      </c>
      <c r="N170" s="15">
        <f t="shared" si="52"/>
        <v>34930727856</v>
      </c>
      <c r="O170" s="15">
        <v>2380563659</v>
      </c>
      <c r="P170" s="15">
        <v>2959385958</v>
      </c>
      <c r="Q170" s="15">
        <f t="shared" si="53"/>
        <v>5339949617</v>
      </c>
      <c r="R170" s="15">
        <f t="shared" si="54"/>
        <v>17086618360</v>
      </c>
      <c r="S170" s="15">
        <f t="shared" si="55"/>
        <v>23184059113</v>
      </c>
      <c r="T170" s="16">
        <f t="shared" si="56"/>
        <v>40270677473</v>
      </c>
      <c r="U170">
        <v>91.565864430000005</v>
      </c>
      <c r="V170">
        <v>129.01505570699999</v>
      </c>
      <c r="W170" s="225">
        <f t="shared" si="33"/>
        <v>1.4089863783858998</v>
      </c>
      <c r="X170" s="240">
        <f t="shared" si="43"/>
        <v>10437329.222335631</v>
      </c>
      <c r="Y170" s="240">
        <f t="shared" si="44"/>
        <v>14354058.680232869</v>
      </c>
      <c r="Z170" s="240">
        <f t="shared" si="45"/>
        <v>24791387.9025685</v>
      </c>
      <c r="AA170" s="240">
        <f t="shared" si="46"/>
        <v>1689557.6107180789</v>
      </c>
      <c r="AB170" s="240">
        <f t="shared" si="47"/>
        <v>2100365.2011101767</v>
      </c>
      <c r="AC170" s="240">
        <f t="shared" si="48"/>
        <v>3789922.8118282557</v>
      </c>
      <c r="AD170" s="240">
        <f t="shared" si="49"/>
        <v>12126886.83305371</v>
      </c>
      <c r="AE170" s="240">
        <f t="shared" si="50"/>
        <v>16454423.881343046</v>
      </c>
      <c r="AF170" s="240">
        <f t="shared" si="51"/>
        <v>28581310.714396756</v>
      </c>
      <c r="AG170" s="240">
        <f t="shared" si="34"/>
        <v>14706054.700999999</v>
      </c>
      <c r="AH170" s="240">
        <f t="shared" si="35"/>
        <v>20224673.155000001</v>
      </c>
      <c r="AI170" s="240">
        <f t="shared" si="36"/>
        <v>34930727.855999999</v>
      </c>
      <c r="AJ170" s="240">
        <f t="shared" si="37"/>
        <v>2380563.659</v>
      </c>
      <c r="AK170" s="240">
        <f t="shared" si="38"/>
        <v>2959385.9580000001</v>
      </c>
      <c r="AL170" s="240">
        <f t="shared" si="39"/>
        <v>5339949.6169999996</v>
      </c>
      <c r="AM170" s="240">
        <f t="shared" si="40"/>
        <v>17086618.359999999</v>
      </c>
      <c r="AN170" s="240">
        <f t="shared" si="41"/>
        <v>23184059.113000002</v>
      </c>
      <c r="AO170" s="240">
        <f t="shared" si="42"/>
        <v>40270677.472999997</v>
      </c>
    </row>
    <row r="171" spans="2:41" hidden="1" x14ac:dyDescent="0.25">
      <c r="B171" s="14">
        <v>42186</v>
      </c>
      <c r="C171" s="15">
        <v>281099</v>
      </c>
      <c r="D171" s="15">
        <v>387145</v>
      </c>
      <c r="E171" s="15">
        <v>668244</v>
      </c>
      <c r="F171" s="15">
        <v>29626</v>
      </c>
      <c r="G171" s="15">
        <v>35854</v>
      </c>
      <c r="H171" s="15">
        <v>65480</v>
      </c>
      <c r="I171" s="15">
        <v>310725</v>
      </c>
      <c r="J171" s="15">
        <v>422999</v>
      </c>
      <c r="K171" s="15">
        <v>733724</v>
      </c>
      <c r="L171" s="15">
        <v>16041225586</v>
      </c>
      <c r="M171" s="15">
        <v>21906233717</v>
      </c>
      <c r="N171" s="15">
        <f t="shared" si="52"/>
        <v>37947459303</v>
      </c>
      <c r="O171" s="15">
        <v>2525715001</v>
      </c>
      <c r="P171" s="15">
        <v>3119418376</v>
      </c>
      <c r="Q171" s="15">
        <f t="shared" si="53"/>
        <v>5645133377</v>
      </c>
      <c r="R171" s="15">
        <f t="shared" si="54"/>
        <v>18566940587</v>
      </c>
      <c r="S171" s="15">
        <f t="shared" si="55"/>
        <v>25025652093</v>
      </c>
      <c r="T171" s="16">
        <f t="shared" si="56"/>
        <v>43592592680</v>
      </c>
      <c r="U171">
        <v>91.952975289999998</v>
      </c>
      <c r="V171">
        <v>129.01505570699999</v>
      </c>
      <c r="W171" s="225">
        <f t="shared" si="33"/>
        <v>1.403054716827967</v>
      </c>
      <c r="X171" s="240">
        <f t="shared" si="43"/>
        <v>11433071.99185081</v>
      </c>
      <c r="Y171" s="240">
        <f t="shared" si="44"/>
        <v>15613242.629999293</v>
      </c>
      <c r="Z171" s="240">
        <f t="shared" si="45"/>
        <v>27046314.621850103</v>
      </c>
      <c r="AA171" s="240">
        <f t="shared" si="46"/>
        <v>1800154.3138033482</v>
      </c>
      <c r="AB171" s="240">
        <f t="shared" si="47"/>
        <v>2223304.8637279067</v>
      </c>
      <c r="AC171" s="240">
        <f t="shared" si="48"/>
        <v>4023459.1775312549</v>
      </c>
      <c r="AD171" s="240">
        <f t="shared" si="49"/>
        <v>13233226.305654159</v>
      </c>
      <c r="AE171" s="240">
        <f t="shared" si="50"/>
        <v>17836547.4937272</v>
      </c>
      <c r="AF171" s="240">
        <f t="shared" si="51"/>
        <v>31069773.79938136</v>
      </c>
      <c r="AG171" s="240">
        <f t="shared" si="34"/>
        <v>16041225.585999999</v>
      </c>
      <c r="AH171" s="240">
        <f t="shared" si="35"/>
        <v>21906233.717</v>
      </c>
      <c r="AI171" s="240">
        <f t="shared" si="36"/>
        <v>37947459.303000003</v>
      </c>
      <c r="AJ171" s="240">
        <f t="shared" si="37"/>
        <v>2525715.0010000002</v>
      </c>
      <c r="AK171" s="240">
        <f t="shared" si="38"/>
        <v>3119418.3760000002</v>
      </c>
      <c r="AL171" s="240">
        <f t="shared" si="39"/>
        <v>5645133.3770000003</v>
      </c>
      <c r="AM171" s="240">
        <f t="shared" si="40"/>
        <v>18566940.587000001</v>
      </c>
      <c r="AN171" s="240">
        <f t="shared" si="41"/>
        <v>25025652.092999998</v>
      </c>
      <c r="AO171" s="240">
        <f t="shared" si="42"/>
        <v>43592592.68</v>
      </c>
    </row>
    <row r="172" spans="2:41" hidden="1" x14ac:dyDescent="0.25">
      <c r="B172" s="14">
        <v>42217</v>
      </c>
      <c r="C172" s="15">
        <v>282181</v>
      </c>
      <c r="D172" s="15">
        <v>388790</v>
      </c>
      <c r="E172" s="15">
        <v>670971</v>
      </c>
      <c r="F172" s="15">
        <v>29711</v>
      </c>
      <c r="G172" s="15">
        <v>35902</v>
      </c>
      <c r="H172" s="15">
        <v>65613</v>
      </c>
      <c r="I172" s="15">
        <v>311892</v>
      </c>
      <c r="J172" s="15">
        <v>424692</v>
      </c>
      <c r="K172" s="15">
        <v>736584</v>
      </c>
      <c r="L172" s="15">
        <v>15892980879</v>
      </c>
      <c r="M172" s="15">
        <v>21926701459</v>
      </c>
      <c r="N172" s="15">
        <f t="shared" si="52"/>
        <v>37819682338</v>
      </c>
      <c r="O172" s="15">
        <v>2491109842</v>
      </c>
      <c r="P172" s="15">
        <v>3092242871</v>
      </c>
      <c r="Q172" s="15">
        <f t="shared" si="53"/>
        <v>5583352713</v>
      </c>
      <c r="R172" s="15">
        <f t="shared" si="54"/>
        <v>18384090721</v>
      </c>
      <c r="S172" s="15">
        <f t="shared" si="55"/>
        <v>25018944330</v>
      </c>
      <c r="T172" s="16">
        <f t="shared" si="56"/>
        <v>43403035051</v>
      </c>
      <c r="U172">
        <v>92.574250430000006</v>
      </c>
      <c r="V172">
        <v>129.01505570699999</v>
      </c>
      <c r="W172" s="225">
        <f t="shared" si="33"/>
        <v>1.3936386749850562</v>
      </c>
      <c r="X172" s="240">
        <f t="shared" si="43"/>
        <v>11403946.492207114</v>
      </c>
      <c r="Y172" s="240">
        <f t="shared" si="44"/>
        <v>15733419.180000236</v>
      </c>
      <c r="Z172" s="240">
        <f t="shared" si="45"/>
        <v>27137365.672207348</v>
      </c>
      <c r="AA172" s="240">
        <f t="shared" si="46"/>
        <v>1787486.1588687696</v>
      </c>
      <c r="AB172" s="240">
        <f t="shared" si="47"/>
        <v>2218826.8211149909</v>
      </c>
      <c r="AC172" s="240">
        <f t="shared" si="48"/>
        <v>4006312.9799837605</v>
      </c>
      <c r="AD172" s="240">
        <f t="shared" si="49"/>
        <v>13191432.651075883</v>
      </c>
      <c r="AE172" s="240">
        <f t="shared" si="50"/>
        <v>17952246.001115225</v>
      </c>
      <c r="AF172" s="240">
        <f t="shared" si="51"/>
        <v>31143678.65219111</v>
      </c>
      <c r="AG172" s="240">
        <f t="shared" si="34"/>
        <v>15892980.879000001</v>
      </c>
      <c r="AH172" s="240">
        <f t="shared" si="35"/>
        <v>21926701.458999999</v>
      </c>
      <c r="AI172" s="240">
        <f t="shared" si="36"/>
        <v>37819682.338</v>
      </c>
      <c r="AJ172" s="240">
        <f t="shared" si="37"/>
        <v>2491109.8420000002</v>
      </c>
      <c r="AK172" s="240">
        <f t="shared" si="38"/>
        <v>3092242.8709999998</v>
      </c>
      <c r="AL172" s="240">
        <f t="shared" si="39"/>
        <v>5583352.7130000005</v>
      </c>
      <c r="AM172" s="240">
        <f t="shared" si="40"/>
        <v>18384090.721000001</v>
      </c>
      <c r="AN172" s="240">
        <f t="shared" si="41"/>
        <v>25018944.329999998</v>
      </c>
      <c r="AO172" s="240">
        <f t="shared" si="42"/>
        <v>43403035.050999999</v>
      </c>
    </row>
    <row r="173" spans="2:41" hidden="1" x14ac:dyDescent="0.25">
      <c r="B173" s="14">
        <v>42248</v>
      </c>
      <c r="C173" s="15">
        <v>283655</v>
      </c>
      <c r="D173" s="15">
        <v>391060</v>
      </c>
      <c r="E173" s="15">
        <v>674715</v>
      </c>
      <c r="F173" s="15">
        <v>29687</v>
      </c>
      <c r="G173" s="15">
        <v>35845</v>
      </c>
      <c r="H173" s="15">
        <v>65532</v>
      </c>
      <c r="I173" s="15">
        <v>313342</v>
      </c>
      <c r="J173" s="15">
        <v>426905</v>
      </c>
      <c r="K173" s="15">
        <v>740247</v>
      </c>
      <c r="L173" s="15">
        <v>16104807119</v>
      </c>
      <c r="M173" s="15">
        <v>22248031108</v>
      </c>
      <c r="N173" s="15">
        <f t="shared" si="52"/>
        <v>38352838227</v>
      </c>
      <c r="O173" s="15">
        <v>2511621644</v>
      </c>
      <c r="P173" s="15">
        <v>3101324763</v>
      </c>
      <c r="Q173" s="15">
        <f t="shared" si="53"/>
        <v>5612946407</v>
      </c>
      <c r="R173" s="15">
        <f t="shared" si="54"/>
        <v>18616428763</v>
      </c>
      <c r="S173" s="15">
        <f t="shared" si="55"/>
        <v>25349355871</v>
      </c>
      <c r="T173" s="16">
        <f t="shared" si="56"/>
        <v>43965784634</v>
      </c>
      <c r="U173">
        <v>93.047945729999995</v>
      </c>
      <c r="V173">
        <v>129.01505570699999</v>
      </c>
      <c r="W173" s="225">
        <f t="shared" si="33"/>
        <v>1.3865438371027214</v>
      </c>
      <c r="X173" s="240">
        <f t="shared" si="43"/>
        <v>11615072.447079713</v>
      </c>
      <c r="Y173" s="240">
        <f t="shared" si="44"/>
        <v>16045674.51288723</v>
      </c>
      <c r="Z173" s="240">
        <f t="shared" si="45"/>
        <v>27660746.959966943</v>
      </c>
      <c r="AA173" s="240">
        <f t="shared" si="46"/>
        <v>1811426.0629856505</v>
      </c>
      <c r="AB173" s="240">
        <f t="shared" si="47"/>
        <v>2236730.4083803301</v>
      </c>
      <c r="AC173" s="240">
        <f t="shared" si="48"/>
        <v>4048156.4713659808</v>
      </c>
      <c r="AD173" s="240">
        <f t="shared" si="49"/>
        <v>13426498.510065364</v>
      </c>
      <c r="AE173" s="240">
        <f t="shared" si="50"/>
        <v>18282404.921267558</v>
      </c>
      <c r="AF173" s="240">
        <f t="shared" si="51"/>
        <v>31708903.43133292</v>
      </c>
      <c r="AG173" s="240">
        <f t="shared" si="34"/>
        <v>16104807.119000001</v>
      </c>
      <c r="AH173" s="240">
        <f t="shared" si="35"/>
        <v>22248031.107999999</v>
      </c>
      <c r="AI173" s="240">
        <f t="shared" si="36"/>
        <v>38352838.226999998</v>
      </c>
      <c r="AJ173" s="240">
        <f t="shared" si="37"/>
        <v>2511621.6439999999</v>
      </c>
      <c r="AK173" s="240">
        <f t="shared" si="38"/>
        <v>3101324.7629999998</v>
      </c>
      <c r="AL173" s="240">
        <f t="shared" si="39"/>
        <v>5612946.4069999997</v>
      </c>
      <c r="AM173" s="240">
        <f t="shared" si="40"/>
        <v>18616428.763</v>
      </c>
      <c r="AN173" s="240">
        <f t="shared" si="41"/>
        <v>25349355.870999999</v>
      </c>
      <c r="AO173" s="240">
        <f t="shared" si="42"/>
        <v>43965784.634000003</v>
      </c>
    </row>
    <row r="174" spans="2:41" hidden="1" x14ac:dyDescent="0.25">
      <c r="B174" s="14">
        <v>42278</v>
      </c>
      <c r="C174" s="15">
        <v>285404</v>
      </c>
      <c r="D174" s="15">
        <v>393767</v>
      </c>
      <c r="E174" s="15">
        <v>679171</v>
      </c>
      <c r="F174" s="15">
        <v>29631</v>
      </c>
      <c r="G174" s="15">
        <v>35726</v>
      </c>
      <c r="H174" s="15">
        <v>65357</v>
      </c>
      <c r="I174" s="15">
        <v>315035</v>
      </c>
      <c r="J174" s="15">
        <v>429493</v>
      </c>
      <c r="K174" s="15">
        <v>744528</v>
      </c>
      <c r="L174" s="15">
        <v>16237880278</v>
      </c>
      <c r="M174" s="15">
        <v>22458624022</v>
      </c>
      <c r="N174" s="15">
        <f t="shared" si="52"/>
        <v>38696504300</v>
      </c>
      <c r="O174" s="15">
        <v>2500792061</v>
      </c>
      <c r="P174" s="15">
        <v>3086793074</v>
      </c>
      <c r="Q174" s="15">
        <f t="shared" si="53"/>
        <v>5587585135</v>
      </c>
      <c r="R174" s="15">
        <f t="shared" si="54"/>
        <v>18738672339</v>
      </c>
      <c r="S174" s="15">
        <f t="shared" si="55"/>
        <v>25545417096</v>
      </c>
      <c r="T174" s="16">
        <f t="shared" si="56"/>
        <v>44284089435</v>
      </c>
      <c r="U174">
        <v>93.427485750000002</v>
      </c>
      <c r="V174">
        <v>129.01505570699999</v>
      </c>
      <c r="W174" s="225">
        <f t="shared" si="33"/>
        <v>1.3809111384226669</v>
      </c>
      <c r="X174" s="240">
        <f t="shared" si="43"/>
        <v>11758816.209236728</v>
      </c>
      <c r="Y174" s="240">
        <f t="shared" si="44"/>
        <v>16263627.250956319</v>
      </c>
      <c r="Z174" s="240">
        <f t="shared" si="45"/>
        <v>28022443.460193049</v>
      </c>
      <c r="AA174" s="240">
        <f t="shared" si="46"/>
        <v>1810972.4742002639</v>
      </c>
      <c r="AB174" s="240">
        <f t="shared" si="47"/>
        <v>2235330.7089157533</v>
      </c>
      <c r="AC174" s="240">
        <f t="shared" si="48"/>
        <v>4046303.1831160174</v>
      </c>
      <c r="AD174" s="240">
        <f t="shared" si="49"/>
        <v>13569788.683436994</v>
      </c>
      <c r="AE174" s="240">
        <f t="shared" si="50"/>
        <v>18498957.959872074</v>
      </c>
      <c r="AF174" s="240">
        <f t="shared" si="51"/>
        <v>32068746.643309068</v>
      </c>
      <c r="AG174" s="240">
        <f t="shared" si="34"/>
        <v>16237880.278000001</v>
      </c>
      <c r="AH174" s="240">
        <f t="shared" si="35"/>
        <v>22458624.022</v>
      </c>
      <c r="AI174" s="240">
        <f t="shared" si="36"/>
        <v>38696504.299999997</v>
      </c>
      <c r="AJ174" s="240">
        <f t="shared" si="37"/>
        <v>2500792.0610000002</v>
      </c>
      <c r="AK174" s="240">
        <f t="shared" si="38"/>
        <v>3086793.074</v>
      </c>
      <c r="AL174" s="240">
        <f t="shared" si="39"/>
        <v>5587585.1349999998</v>
      </c>
      <c r="AM174" s="240">
        <f t="shared" si="40"/>
        <v>18738672.339000002</v>
      </c>
      <c r="AN174" s="240">
        <f t="shared" si="41"/>
        <v>25545417.096000001</v>
      </c>
      <c r="AO174" s="240">
        <f t="shared" si="42"/>
        <v>44284089.435000002</v>
      </c>
    </row>
    <row r="175" spans="2:41" hidden="1" x14ac:dyDescent="0.25">
      <c r="B175" s="14">
        <v>42309</v>
      </c>
      <c r="C175" s="15">
        <v>286695</v>
      </c>
      <c r="D175" s="15">
        <v>394851</v>
      </c>
      <c r="E175" s="15">
        <v>681546</v>
      </c>
      <c r="F175" s="15">
        <v>29591</v>
      </c>
      <c r="G175" s="15">
        <v>35684</v>
      </c>
      <c r="H175" s="15">
        <v>65275</v>
      </c>
      <c r="I175" s="15">
        <f>C175+F175</f>
        <v>316286</v>
      </c>
      <c r="J175" s="15">
        <f t="shared" ref="J175:K188" si="57">D175+G175</f>
        <v>430535</v>
      </c>
      <c r="K175" s="15">
        <f t="shared" si="57"/>
        <v>746821</v>
      </c>
      <c r="L175" s="15">
        <v>16295615647</v>
      </c>
      <c r="M175" s="15">
        <v>22486036004</v>
      </c>
      <c r="N175" s="15">
        <f t="shared" si="52"/>
        <v>38781651651</v>
      </c>
      <c r="O175" s="15">
        <v>2498516558</v>
      </c>
      <c r="P175" s="15">
        <v>3085806031</v>
      </c>
      <c r="Q175" s="15">
        <f t="shared" si="53"/>
        <v>5584322589</v>
      </c>
      <c r="R175" s="15">
        <f t="shared" si="54"/>
        <v>18794132205</v>
      </c>
      <c r="S175" s="15">
        <f t="shared" si="55"/>
        <v>25571842035</v>
      </c>
      <c r="T175" s="16">
        <f t="shared" si="56"/>
        <v>44365974240</v>
      </c>
      <c r="U175">
        <v>93.403431920000003</v>
      </c>
      <c r="V175">
        <v>129.01505570699999</v>
      </c>
      <c r="W175" s="225">
        <f t="shared" si="33"/>
        <v>1.3812667592075345</v>
      </c>
      <c r="X175" s="240">
        <f t="shared" si="43"/>
        <v>11797587.640745936</v>
      </c>
      <c r="Y175" s="240">
        <f t="shared" si="44"/>
        <v>16279285.557339245</v>
      </c>
      <c r="Z175" s="240">
        <f t="shared" si="45"/>
        <v>28076873.198085178</v>
      </c>
      <c r="AA175" s="240">
        <f t="shared" si="46"/>
        <v>1808858.8184323339</v>
      </c>
      <c r="AB175" s="240">
        <f t="shared" si="47"/>
        <v>2234040.60832565</v>
      </c>
      <c r="AC175" s="240">
        <f t="shared" si="48"/>
        <v>4042899.4267579843</v>
      </c>
      <c r="AD175" s="240">
        <f t="shared" si="49"/>
        <v>13606446.459178269</v>
      </c>
      <c r="AE175" s="240">
        <f t="shared" si="50"/>
        <v>18513326.165664893</v>
      </c>
      <c r="AF175" s="240">
        <f t="shared" si="51"/>
        <v>32119772.624843162</v>
      </c>
      <c r="AG175" s="240">
        <f t="shared" si="34"/>
        <v>16295615.647</v>
      </c>
      <c r="AH175" s="240">
        <f t="shared" si="35"/>
        <v>22486036.004000001</v>
      </c>
      <c r="AI175" s="240">
        <f t="shared" si="36"/>
        <v>38781651.651000001</v>
      </c>
      <c r="AJ175" s="240">
        <f t="shared" si="37"/>
        <v>2498516.5580000002</v>
      </c>
      <c r="AK175" s="240">
        <f t="shared" si="38"/>
        <v>3085806.031</v>
      </c>
      <c r="AL175" s="240">
        <f t="shared" si="39"/>
        <v>5584322.5889999997</v>
      </c>
      <c r="AM175" s="240">
        <f t="shared" si="40"/>
        <v>18794132.204999998</v>
      </c>
      <c r="AN175" s="240">
        <f t="shared" si="41"/>
        <v>25571842.035</v>
      </c>
      <c r="AO175" s="240">
        <f t="shared" si="42"/>
        <v>44365974.240000002</v>
      </c>
    </row>
    <row r="176" spans="2:41" hidden="1" x14ac:dyDescent="0.25">
      <c r="B176" s="17">
        <v>42339</v>
      </c>
      <c r="C176" s="18">
        <v>288817</v>
      </c>
      <c r="D176" s="18">
        <v>397672</v>
      </c>
      <c r="E176" s="18">
        <v>686489</v>
      </c>
      <c r="F176" s="18">
        <v>29530</v>
      </c>
      <c r="G176" s="18">
        <v>35597</v>
      </c>
      <c r="H176" s="18">
        <v>65127</v>
      </c>
      <c r="I176" s="19">
        <f>C176+F176</f>
        <v>318347</v>
      </c>
      <c r="J176" s="19">
        <f t="shared" si="57"/>
        <v>433269</v>
      </c>
      <c r="K176" s="19">
        <f t="shared" si="57"/>
        <v>751616</v>
      </c>
      <c r="L176" s="18">
        <v>16418859100</v>
      </c>
      <c r="M176" s="18">
        <v>22713656139</v>
      </c>
      <c r="N176" s="18">
        <f t="shared" si="52"/>
        <v>39132515239</v>
      </c>
      <c r="O176" s="18">
        <v>2488140257</v>
      </c>
      <c r="P176" s="18">
        <v>3070197758</v>
      </c>
      <c r="Q176" s="18">
        <f t="shared" si="53"/>
        <v>5558338015</v>
      </c>
      <c r="R176" s="18">
        <f t="shared" si="54"/>
        <v>18906999357</v>
      </c>
      <c r="S176" s="18">
        <f t="shared" si="55"/>
        <v>25783853897</v>
      </c>
      <c r="T176" s="18">
        <f t="shared" si="56"/>
        <v>44690853254</v>
      </c>
      <c r="U176">
        <v>93.412779229999998</v>
      </c>
      <c r="V176">
        <v>129.01505570699999</v>
      </c>
      <c r="W176" s="225">
        <f t="shared" si="33"/>
        <v>1.3811285433370999</v>
      </c>
      <c r="X176" s="240">
        <f t="shared" si="43"/>
        <v>11888002.155345041</v>
      </c>
      <c r="Y176" s="240">
        <f t="shared" si="44"/>
        <v>16445722.049968632</v>
      </c>
      <c r="Z176" s="240">
        <f t="shared" si="45"/>
        <v>28333724.205313671</v>
      </c>
      <c r="AA176" s="240">
        <f t="shared" si="46"/>
        <v>1801526.9244875098</v>
      </c>
      <c r="AB176" s="240">
        <f t="shared" si="47"/>
        <v>2222963.0781373545</v>
      </c>
      <c r="AC176" s="240">
        <f t="shared" si="48"/>
        <v>4024490.0026248642</v>
      </c>
      <c r="AD176" s="240">
        <f t="shared" si="49"/>
        <v>13689529.07983255</v>
      </c>
      <c r="AE176" s="240">
        <f t="shared" si="50"/>
        <v>18668685.128105987</v>
      </c>
      <c r="AF176" s="240">
        <f t="shared" si="51"/>
        <v>32358214.207938537</v>
      </c>
      <c r="AG176" s="240">
        <f t="shared" si="34"/>
        <v>16418859.1</v>
      </c>
      <c r="AH176" s="240">
        <f t="shared" si="35"/>
        <v>22713656.138999999</v>
      </c>
      <c r="AI176" s="240">
        <f t="shared" si="36"/>
        <v>39132515.239</v>
      </c>
      <c r="AJ176" s="240">
        <f t="shared" si="37"/>
        <v>2488140.2570000002</v>
      </c>
      <c r="AK176" s="240">
        <f t="shared" si="38"/>
        <v>3070197.7579999999</v>
      </c>
      <c r="AL176" s="240">
        <f t="shared" si="39"/>
        <v>5558338.0149999997</v>
      </c>
      <c r="AM176" s="240">
        <f t="shared" si="40"/>
        <v>18906999.357000001</v>
      </c>
      <c r="AN176" s="240">
        <f t="shared" si="41"/>
        <v>25783853.897</v>
      </c>
      <c r="AO176" s="240">
        <f t="shared" si="42"/>
        <v>44690853.254000001</v>
      </c>
    </row>
    <row r="177" spans="2:41" hidden="1" x14ac:dyDescent="0.25">
      <c r="B177" s="14">
        <v>42370</v>
      </c>
      <c r="C177" s="15">
        <v>290198</v>
      </c>
      <c r="D177" s="15">
        <v>399583</v>
      </c>
      <c r="E177" s="15">
        <f>C177+D177</f>
        <v>689781</v>
      </c>
      <c r="F177" s="15">
        <v>29617</v>
      </c>
      <c r="G177" s="15">
        <v>35653</v>
      </c>
      <c r="H177" s="15">
        <f>F177+G177</f>
        <v>65270</v>
      </c>
      <c r="I177" s="15">
        <f>C177+F177</f>
        <v>319815</v>
      </c>
      <c r="J177" s="15">
        <f t="shared" si="57"/>
        <v>435236</v>
      </c>
      <c r="K177" s="15">
        <f t="shared" si="57"/>
        <v>755051</v>
      </c>
      <c r="L177" s="15">
        <v>16548300026</v>
      </c>
      <c r="M177" s="15">
        <v>22789592183</v>
      </c>
      <c r="N177" s="15">
        <f t="shared" si="52"/>
        <v>39337892209</v>
      </c>
      <c r="O177" s="15">
        <v>2503378238</v>
      </c>
      <c r="P177" s="15">
        <v>3090894367</v>
      </c>
      <c r="Q177" s="15">
        <f t="shared" si="53"/>
        <v>5594272605</v>
      </c>
      <c r="R177" s="15">
        <f t="shared" si="54"/>
        <v>19051678264</v>
      </c>
      <c r="S177" s="15">
        <f t="shared" si="55"/>
        <v>25880486550</v>
      </c>
      <c r="T177" s="16">
        <f t="shared" si="56"/>
        <v>44932164814</v>
      </c>
      <c r="U177">
        <v>93.852448350000003</v>
      </c>
      <c r="V177">
        <v>129.01505570699999</v>
      </c>
      <c r="W177" s="225">
        <f t="shared" si="33"/>
        <v>1.3746583917115252</v>
      </c>
      <c r="X177" s="240">
        <f t="shared" si="43"/>
        <v>12038118.070480375</v>
      </c>
      <c r="Y177" s="240">
        <f t="shared" si="44"/>
        <v>16578367.629666673</v>
      </c>
      <c r="Z177" s="240">
        <f t="shared" si="45"/>
        <v>28616485.700147048</v>
      </c>
      <c r="AA177" s="240">
        <f t="shared" si="46"/>
        <v>1821091.1547873043</v>
      </c>
      <c r="AB177" s="240">
        <f t="shared" si="47"/>
        <v>2248481.7941944594</v>
      </c>
      <c r="AC177" s="240">
        <f t="shared" si="48"/>
        <v>4069572.9489817638</v>
      </c>
      <c r="AD177" s="240">
        <f t="shared" si="49"/>
        <v>13859209.225267678</v>
      </c>
      <c r="AE177" s="240">
        <f t="shared" si="50"/>
        <v>18826849.423861135</v>
      </c>
      <c r="AF177" s="240">
        <f t="shared" si="51"/>
        <v>32686058.64912881</v>
      </c>
      <c r="AG177" s="240">
        <f t="shared" si="34"/>
        <v>16548300.026000001</v>
      </c>
      <c r="AH177" s="240">
        <f t="shared" si="35"/>
        <v>22789592.182999998</v>
      </c>
      <c r="AI177" s="240">
        <f t="shared" si="36"/>
        <v>39337892.208999999</v>
      </c>
      <c r="AJ177" s="240">
        <f t="shared" si="37"/>
        <v>2503378.2379999999</v>
      </c>
      <c r="AK177" s="240">
        <f t="shared" si="38"/>
        <v>3090894.3670000001</v>
      </c>
      <c r="AL177" s="240">
        <f t="shared" si="39"/>
        <v>5594272.6050000004</v>
      </c>
      <c r="AM177" s="240">
        <f t="shared" si="40"/>
        <v>19051678.263999999</v>
      </c>
      <c r="AN177" s="240">
        <f t="shared" si="41"/>
        <v>25880486.550000001</v>
      </c>
      <c r="AO177" s="240">
        <f t="shared" si="42"/>
        <v>44932164.814000003</v>
      </c>
    </row>
    <row r="178" spans="2:41" hidden="1" x14ac:dyDescent="0.25">
      <c r="B178" s="14">
        <v>42401</v>
      </c>
      <c r="C178" s="15">
        <v>291345</v>
      </c>
      <c r="D178" s="15">
        <v>401765</v>
      </c>
      <c r="E178" s="15">
        <f t="shared" ref="E178:E188" si="58">C178+D178</f>
        <v>693110</v>
      </c>
      <c r="F178" s="15">
        <v>29599</v>
      </c>
      <c r="G178" s="15">
        <v>35604</v>
      </c>
      <c r="H178" s="15">
        <f t="shared" ref="H178:H188" si="59">F178+G178</f>
        <v>65203</v>
      </c>
      <c r="I178" s="15">
        <f t="shared" ref="I178:I188" si="60">C178+F178</f>
        <v>320944</v>
      </c>
      <c r="J178" s="15">
        <f t="shared" si="57"/>
        <v>437369</v>
      </c>
      <c r="K178" s="15">
        <f t="shared" si="57"/>
        <v>758313</v>
      </c>
      <c r="L178" s="15">
        <v>16407786059</v>
      </c>
      <c r="M178" s="15">
        <v>22635180851</v>
      </c>
      <c r="N178" s="15">
        <f t="shared" si="52"/>
        <v>39042966910</v>
      </c>
      <c r="O178" s="15">
        <v>2490719319</v>
      </c>
      <c r="P178" s="15">
        <v>3077814227</v>
      </c>
      <c r="Q178" s="15">
        <f t="shared" si="53"/>
        <v>5568533546</v>
      </c>
      <c r="R178" s="15">
        <f t="shared" si="54"/>
        <v>18898505378</v>
      </c>
      <c r="S178" s="15">
        <f t="shared" si="55"/>
        <v>25712995078</v>
      </c>
      <c r="T178" s="16">
        <f t="shared" si="56"/>
        <v>44611500456</v>
      </c>
      <c r="U178">
        <v>94.113330169999998</v>
      </c>
      <c r="V178">
        <v>129.01505570699999</v>
      </c>
      <c r="W178" s="225">
        <f t="shared" si="33"/>
        <v>1.370847843487802</v>
      </c>
      <c r="X178" s="240">
        <f t="shared" si="43"/>
        <v>11969078.944060067</v>
      </c>
      <c r="Y178" s="240">
        <f t="shared" si="44"/>
        <v>16511811.255004108</v>
      </c>
      <c r="Z178" s="240">
        <f t="shared" si="45"/>
        <v>28480890.199064173</v>
      </c>
      <c r="AA178" s="240">
        <f t="shared" si="46"/>
        <v>1816918.8731135519</v>
      </c>
      <c r="AB178" s="240">
        <f t="shared" si="47"/>
        <v>2245190.2606267529</v>
      </c>
      <c r="AC178" s="240">
        <f t="shared" si="48"/>
        <v>4062109.1337403045</v>
      </c>
      <c r="AD178" s="240">
        <f t="shared" si="49"/>
        <v>13785997.817173619</v>
      </c>
      <c r="AE178" s="240">
        <f t="shared" si="50"/>
        <v>18757001.515630864</v>
      </c>
      <c r="AF178" s="240">
        <f t="shared" si="51"/>
        <v>32542999.332804482</v>
      </c>
      <c r="AG178" s="240">
        <f t="shared" si="34"/>
        <v>16407786.059</v>
      </c>
      <c r="AH178" s="240">
        <f t="shared" si="35"/>
        <v>22635180.851</v>
      </c>
      <c r="AI178" s="240">
        <f t="shared" si="36"/>
        <v>39042966.909999996</v>
      </c>
      <c r="AJ178" s="240">
        <f t="shared" si="37"/>
        <v>2490719.3190000001</v>
      </c>
      <c r="AK178" s="240">
        <f t="shared" si="38"/>
        <v>3077814.227</v>
      </c>
      <c r="AL178" s="240">
        <f t="shared" si="39"/>
        <v>5568533.5460000001</v>
      </c>
      <c r="AM178" s="240">
        <f t="shared" si="40"/>
        <v>18898505.377999999</v>
      </c>
      <c r="AN178" s="240">
        <f t="shared" si="41"/>
        <v>25712995.078000002</v>
      </c>
      <c r="AO178" s="240">
        <f t="shared" si="42"/>
        <v>44611500.456</v>
      </c>
    </row>
    <row r="179" spans="2:41" hidden="1" x14ac:dyDescent="0.25">
      <c r="B179" s="14">
        <v>42430</v>
      </c>
      <c r="C179" s="15">
        <v>292122</v>
      </c>
      <c r="D179" s="15">
        <v>402760</v>
      </c>
      <c r="E179" s="15">
        <f t="shared" si="58"/>
        <v>694882</v>
      </c>
      <c r="F179" s="15">
        <v>29505</v>
      </c>
      <c r="G179" s="15">
        <v>35532</v>
      </c>
      <c r="H179" s="15">
        <f t="shared" si="59"/>
        <v>65037</v>
      </c>
      <c r="I179" s="15">
        <f t="shared" si="60"/>
        <v>321627</v>
      </c>
      <c r="J179" s="15">
        <f t="shared" si="57"/>
        <v>438292</v>
      </c>
      <c r="K179" s="15">
        <f t="shared" si="57"/>
        <v>759919</v>
      </c>
      <c r="L179" s="15">
        <v>16352677604</v>
      </c>
      <c r="M179" s="15">
        <v>22620982057</v>
      </c>
      <c r="N179" s="15">
        <f t="shared" si="52"/>
        <v>38973659661</v>
      </c>
      <c r="O179" s="15">
        <v>2476491708</v>
      </c>
      <c r="P179" s="15">
        <v>3056782234</v>
      </c>
      <c r="Q179" s="15">
        <f t="shared" si="53"/>
        <v>5533273942</v>
      </c>
      <c r="R179" s="15">
        <f t="shared" si="54"/>
        <v>18829169312</v>
      </c>
      <c r="S179" s="15">
        <f t="shared" si="55"/>
        <v>25677764291</v>
      </c>
      <c r="T179" s="16">
        <f t="shared" si="56"/>
        <v>44506933603</v>
      </c>
      <c r="U179">
        <v>94.47035631</v>
      </c>
      <c r="V179">
        <v>129.01505570699999</v>
      </c>
      <c r="W179" s="225">
        <f t="shared" si="33"/>
        <v>1.3656670806199056</v>
      </c>
      <c r="X179" s="240">
        <f t="shared" si="43"/>
        <v>11974131.789555306</v>
      </c>
      <c r="Y179" s="240">
        <f t="shared" si="44"/>
        <v>16564053.112221062</v>
      </c>
      <c r="Z179" s="240">
        <f t="shared" si="45"/>
        <v>28538184.901776366</v>
      </c>
      <c r="AA179" s="240">
        <f t="shared" si="46"/>
        <v>1813393.4273907132</v>
      </c>
      <c r="AB179" s="240">
        <f t="shared" si="47"/>
        <v>2238307.0349857602</v>
      </c>
      <c r="AC179" s="240">
        <f t="shared" si="48"/>
        <v>4051700.4623764735</v>
      </c>
      <c r="AD179" s="240">
        <f t="shared" si="49"/>
        <v>13787525.216946019</v>
      </c>
      <c r="AE179" s="240">
        <f t="shared" si="50"/>
        <v>18802360.147206821</v>
      </c>
      <c r="AF179" s="240">
        <f t="shared" si="51"/>
        <v>32589885.364152841</v>
      </c>
      <c r="AG179" s="240">
        <f t="shared" si="34"/>
        <v>16352677.604</v>
      </c>
      <c r="AH179" s="240">
        <f t="shared" si="35"/>
        <v>22620982.057</v>
      </c>
      <c r="AI179" s="240">
        <f t="shared" si="36"/>
        <v>38973659.660999998</v>
      </c>
      <c r="AJ179" s="240">
        <f t="shared" si="37"/>
        <v>2476491.7080000001</v>
      </c>
      <c r="AK179" s="240">
        <f t="shared" si="38"/>
        <v>3056782.2340000002</v>
      </c>
      <c r="AL179" s="240">
        <f t="shared" si="39"/>
        <v>5533273.9419999998</v>
      </c>
      <c r="AM179" s="240">
        <f t="shared" si="40"/>
        <v>18829169.311999999</v>
      </c>
      <c r="AN179" s="240">
        <f t="shared" si="41"/>
        <v>25677764.291000001</v>
      </c>
      <c r="AO179" s="240">
        <f t="shared" si="42"/>
        <v>44506933.603</v>
      </c>
    </row>
    <row r="180" spans="2:41" hidden="1" x14ac:dyDescent="0.25">
      <c r="B180" s="14">
        <v>42461</v>
      </c>
      <c r="C180" s="15">
        <v>293491</v>
      </c>
      <c r="D180" s="15">
        <v>405007</v>
      </c>
      <c r="E180" s="15">
        <f t="shared" si="58"/>
        <v>698498</v>
      </c>
      <c r="F180" s="15">
        <v>29521</v>
      </c>
      <c r="G180" s="15">
        <v>35542</v>
      </c>
      <c r="H180" s="15">
        <f t="shared" si="59"/>
        <v>65063</v>
      </c>
      <c r="I180" s="15">
        <f t="shared" si="60"/>
        <v>323012</v>
      </c>
      <c r="J180" s="15">
        <f t="shared" si="57"/>
        <v>440549</v>
      </c>
      <c r="K180" s="15">
        <f t="shared" si="57"/>
        <v>763561</v>
      </c>
      <c r="L180" s="15">
        <v>16495083677</v>
      </c>
      <c r="M180" s="15">
        <v>22744876349</v>
      </c>
      <c r="N180" s="15">
        <f t="shared" si="52"/>
        <v>39239960026</v>
      </c>
      <c r="O180" s="15">
        <v>2496793482</v>
      </c>
      <c r="P180" s="15">
        <v>3082608775</v>
      </c>
      <c r="Q180" s="15">
        <f t="shared" si="53"/>
        <v>5579402257</v>
      </c>
      <c r="R180" s="15">
        <f t="shared" si="54"/>
        <v>18991877159</v>
      </c>
      <c r="S180" s="15">
        <f t="shared" si="55"/>
        <v>25827485124</v>
      </c>
      <c r="T180" s="16">
        <f t="shared" si="56"/>
        <v>44819362283</v>
      </c>
      <c r="U180">
        <v>94.778282419999996</v>
      </c>
      <c r="V180">
        <v>129.01505570699999</v>
      </c>
      <c r="W180" s="225">
        <f t="shared" si="33"/>
        <v>1.3612301511783398</v>
      </c>
      <c r="X180" s="240">
        <f t="shared" si="43"/>
        <v>12117777.19052222</v>
      </c>
      <c r="Y180" s="240">
        <f t="shared" si="44"/>
        <v>16709060.058147442</v>
      </c>
      <c r="Z180" s="240">
        <f t="shared" si="45"/>
        <v>28826837.248669662</v>
      </c>
      <c r="AA180" s="240">
        <f t="shared" si="46"/>
        <v>1834218.4676402204</v>
      </c>
      <c r="AB180" s="240">
        <f t="shared" si="47"/>
        <v>2264575.7385931835</v>
      </c>
      <c r="AC180" s="240">
        <f t="shared" si="48"/>
        <v>4098794.2062334041</v>
      </c>
      <c r="AD180" s="240">
        <f t="shared" si="49"/>
        <v>13951995.658162441</v>
      </c>
      <c r="AE180" s="240">
        <f t="shared" si="50"/>
        <v>18973635.796740625</v>
      </c>
      <c r="AF180" s="240">
        <f t="shared" si="51"/>
        <v>32925631.454903066</v>
      </c>
      <c r="AG180" s="240">
        <f t="shared" si="34"/>
        <v>16495083.676999999</v>
      </c>
      <c r="AH180" s="240">
        <f t="shared" si="35"/>
        <v>22744876.348999999</v>
      </c>
      <c r="AI180" s="240">
        <f t="shared" si="36"/>
        <v>39239960.026000001</v>
      </c>
      <c r="AJ180" s="240">
        <f t="shared" si="37"/>
        <v>2496793.4819999998</v>
      </c>
      <c r="AK180" s="240">
        <f t="shared" si="38"/>
        <v>3082608.7749999999</v>
      </c>
      <c r="AL180" s="240">
        <f t="shared" si="39"/>
        <v>5579402.2570000002</v>
      </c>
      <c r="AM180" s="240">
        <f t="shared" si="40"/>
        <v>18991877.159000002</v>
      </c>
      <c r="AN180" s="240">
        <f t="shared" si="41"/>
        <v>25827485.124000002</v>
      </c>
      <c r="AO180" s="240">
        <f t="shared" si="42"/>
        <v>44819362.283</v>
      </c>
    </row>
    <row r="181" spans="2:41" hidden="1" x14ac:dyDescent="0.25">
      <c r="B181" s="14">
        <v>42491</v>
      </c>
      <c r="C181" s="15">
        <v>295268</v>
      </c>
      <c r="D181" s="15">
        <v>407494</v>
      </c>
      <c r="E181" s="15">
        <f t="shared" si="58"/>
        <v>702762</v>
      </c>
      <c r="F181" s="15">
        <v>29498</v>
      </c>
      <c r="G181" s="15">
        <v>35521</v>
      </c>
      <c r="H181" s="15">
        <f t="shared" si="59"/>
        <v>65019</v>
      </c>
      <c r="I181" s="15">
        <f t="shared" si="60"/>
        <v>324766</v>
      </c>
      <c r="J181" s="15">
        <f t="shared" si="57"/>
        <v>443015</v>
      </c>
      <c r="K181" s="15">
        <f t="shared" si="57"/>
        <v>767781</v>
      </c>
      <c r="L181" s="15">
        <v>16761793857</v>
      </c>
      <c r="M181" s="15">
        <v>23151650998</v>
      </c>
      <c r="N181" s="15">
        <f t="shared" si="52"/>
        <v>39913444855</v>
      </c>
      <c r="O181" s="15">
        <v>2484643830</v>
      </c>
      <c r="P181" s="15">
        <v>3071492417</v>
      </c>
      <c r="Q181" s="15">
        <f t="shared" si="53"/>
        <v>5556136247</v>
      </c>
      <c r="R181" s="15">
        <f t="shared" si="54"/>
        <v>19246437687</v>
      </c>
      <c r="S181" s="15">
        <f t="shared" si="55"/>
        <v>26223143415</v>
      </c>
      <c r="T181" s="16">
        <f t="shared" si="56"/>
        <v>45469581102</v>
      </c>
      <c r="U181">
        <v>94.991013120000005</v>
      </c>
      <c r="V181">
        <v>129.01505570699999</v>
      </c>
      <c r="W181" s="225">
        <f t="shared" si="33"/>
        <v>1.3581817002416658</v>
      </c>
      <c r="X181" s="240">
        <f t="shared" si="43"/>
        <v>12341348.623691158</v>
      </c>
      <c r="Y181" s="240">
        <f t="shared" si="44"/>
        <v>17046063.125339229</v>
      </c>
      <c r="Z181" s="240">
        <f t="shared" si="45"/>
        <v>29387411.749030389</v>
      </c>
      <c r="AA181" s="240">
        <f t="shared" si="46"/>
        <v>1829389.85966156</v>
      </c>
      <c r="AB181" s="240">
        <f t="shared" si="47"/>
        <v>2261473.8635143433</v>
      </c>
      <c r="AC181" s="240">
        <f t="shared" si="48"/>
        <v>4090863.7231759033</v>
      </c>
      <c r="AD181" s="240">
        <f t="shared" si="49"/>
        <v>14170738.483352719</v>
      </c>
      <c r="AE181" s="240">
        <f t="shared" si="50"/>
        <v>19307536.988853574</v>
      </c>
      <c r="AF181" s="240">
        <f t="shared" si="51"/>
        <v>33478275.472206291</v>
      </c>
      <c r="AG181" s="240">
        <f t="shared" si="34"/>
        <v>16761793.857000001</v>
      </c>
      <c r="AH181" s="240">
        <f t="shared" si="35"/>
        <v>23151650.998</v>
      </c>
      <c r="AI181" s="240">
        <f t="shared" si="36"/>
        <v>39913444.854999997</v>
      </c>
      <c r="AJ181" s="240">
        <f t="shared" si="37"/>
        <v>2484643.83</v>
      </c>
      <c r="AK181" s="240">
        <f t="shared" si="38"/>
        <v>3071492.4169999999</v>
      </c>
      <c r="AL181" s="240">
        <f t="shared" si="39"/>
        <v>5556136.2470000004</v>
      </c>
      <c r="AM181" s="240">
        <f t="shared" si="40"/>
        <v>19246437.686999999</v>
      </c>
      <c r="AN181" s="240">
        <f t="shared" si="41"/>
        <v>26223143.414999999</v>
      </c>
      <c r="AO181" s="240">
        <f t="shared" si="42"/>
        <v>45469581.101999998</v>
      </c>
    </row>
    <row r="182" spans="2:41" hidden="1" x14ac:dyDescent="0.25">
      <c r="B182" s="14">
        <v>42522</v>
      </c>
      <c r="C182" s="15">
        <v>296574</v>
      </c>
      <c r="D182" s="15">
        <v>409023</v>
      </c>
      <c r="E182" s="15">
        <f t="shared" si="58"/>
        <v>705597</v>
      </c>
      <c r="F182" s="15">
        <v>29478</v>
      </c>
      <c r="G182" s="15">
        <v>35515</v>
      </c>
      <c r="H182" s="15">
        <f t="shared" si="59"/>
        <v>64993</v>
      </c>
      <c r="I182" s="15">
        <f t="shared" si="60"/>
        <v>326052</v>
      </c>
      <c r="J182" s="15">
        <f t="shared" si="57"/>
        <v>444538</v>
      </c>
      <c r="K182" s="15">
        <f t="shared" si="57"/>
        <v>770590</v>
      </c>
      <c r="L182" s="15">
        <v>16626167460</v>
      </c>
      <c r="M182" s="15">
        <v>22891099246</v>
      </c>
      <c r="N182" s="15">
        <f t="shared" si="52"/>
        <v>39517266706</v>
      </c>
      <c r="O182" s="15">
        <v>2479221224</v>
      </c>
      <c r="P182" s="15">
        <v>3064223888</v>
      </c>
      <c r="Q182" s="15">
        <f t="shared" si="53"/>
        <v>5543445112</v>
      </c>
      <c r="R182" s="15">
        <f t="shared" si="54"/>
        <v>19105388684</v>
      </c>
      <c r="S182" s="15">
        <f t="shared" si="55"/>
        <v>25955323134</v>
      </c>
      <c r="T182" s="16">
        <f t="shared" si="56"/>
        <v>45060711818</v>
      </c>
      <c r="U182">
        <v>95.418256529999994</v>
      </c>
      <c r="V182">
        <v>129.01505570699999</v>
      </c>
      <c r="W182" s="225">
        <f t="shared" si="33"/>
        <v>1.3521003254386332</v>
      </c>
      <c r="X182" s="240">
        <f t="shared" si="43"/>
        <v>12296548.671124922</v>
      </c>
      <c r="Y182" s="240">
        <f t="shared" si="44"/>
        <v>16930030.128181446</v>
      </c>
      <c r="Z182" s="240">
        <f t="shared" si="45"/>
        <v>29226578.79930637</v>
      </c>
      <c r="AA182" s="240">
        <f t="shared" si="46"/>
        <v>1833607.4456573471</v>
      </c>
      <c r="AB182" s="240">
        <f t="shared" si="47"/>
        <v>2266269.6179781919</v>
      </c>
      <c r="AC182" s="240">
        <f t="shared" si="48"/>
        <v>4099877.0636355388</v>
      </c>
      <c r="AD182" s="240">
        <f t="shared" si="49"/>
        <v>14130156.116782269</v>
      </c>
      <c r="AE182" s="240">
        <f t="shared" si="50"/>
        <v>19196299.746159639</v>
      </c>
      <c r="AF182" s="240">
        <f t="shared" si="51"/>
        <v>33326455.862941906</v>
      </c>
      <c r="AG182" s="240">
        <f t="shared" si="34"/>
        <v>16626167.460000001</v>
      </c>
      <c r="AH182" s="240">
        <f t="shared" si="35"/>
        <v>22891099.245999999</v>
      </c>
      <c r="AI182" s="240">
        <f t="shared" si="36"/>
        <v>39517266.706</v>
      </c>
      <c r="AJ182" s="240">
        <f t="shared" si="37"/>
        <v>2479221.2239999999</v>
      </c>
      <c r="AK182" s="240">
        <f t="shared" si="38"/>
        <v>3064223.8879999998</v>
      </c>
      <c r="AL182" s="240">
        <f t="shared" si="39"/>
        <v>5543445.1119999997</v>
      </c>
      <c r="AM182" s="240">
        <f t="shared" si="40"/>
        <v>19105388.684</v>
      </c>
      <c r="AN182" s="240">
        <f t="shared" si="41"/>
        <v>25955323.134</v>
      </c>
      <c r="AO182" s="240">
        <f t="shared" si="42"/>
        <v>45060711.818000004</v>
      </c>
    </row>
    <row r="183" spans="2:41" hidden="1" x14ac:dyDescent="0.25">
      <c r="B183" s="14">
        <v>42552</v>
      </c>
      <c r="C183" s="15">
        <v>298366</v>
      </c>
      <c r="D183" s="15">
        <v>409755</v>
      </c>
      <c r="E183" s="15">
        <f t="shared" si="58"/>
        <v>708121</v>
      </c>
      <c r="F183" s="15">
        <v>29434</v>
      </c>
      <c r="G183" s="15">
        <v>35484</v>
      </c>
      <c r="H183" s="15">
        <f t="shared" si="59"/>
        <v>64918</v>
      </c>
      <c r="I183" s="15">
        <f t="shared" si="60"/>
        <v>327800</v>
      </c>
      <c r="J183" s="15">
        <f t="shared" si="57"/>
        <v>445239</v>
      </c>
      <c r="K183" s="15">
        <f t="shared" si="57"/>
        <v>773039</v>
      </c>
      <c r="L183" s="15">
        <v>17844580951</v>
      </c>
      <c r="M183" s="15">
        <v>24588525248</v>
      </c>
      <c r="N183" s="15">
        <f t="shared" si="52"/>
        <v>42433106199</v>
      </c>
      <c r="O183" s="15">
        <v>2595310706</v>
      </c>
      <c r="P183" s="15">
        <v>3195549461</v>
      </c>
      <c r="Q183" s="15">
        <f t="shared" si="53"/>
        <v>5790860167</v>
      </c>
      <c r="R183" s="15">
        <f t="shared" si="54"/>
        <v>20439891657</v>
      </c>
      <c r="S183" s="15">
        <f t="shared" si="55"/>
        <v>27784074709</v>
      </c>
      <c r="T183" s="16">
        <f t="shared" si="56"/>
        <v>48223966366</v>
      </c>
      <c r="U183">
        <v>95.649096819999997</v>
      </c>
      <c r="V183">
        <v>129.01505570699999</v>
      </c>
      <c r="W183" s="225">
        <f t="shared" si="33"/>
        <v>1.3488371557735739</v>
      </c>
      <c r="X183" s="240">
        <f t="shared" si="43"/>
        <v>13229603.643863091</v>
      </c>
      <c r="Y183" s="240">
        <f t="shared" si="44"/>
        <v>18229424.614195324</v>
      </c>
      <c r="Z183" s="240">
        <f t="shared" si="45"/>
        <v>31459028.258058414</v>
      </c>
      <c r="AA183" s="240">
        <f t="shared" si="46"/>
        <v>1924109.7377033322</v>
      </c>
      <c r="AB183" s="240">
        <f t="shared" si="47"/>
        <v>2369114.3495875266</v>
      </c>
      <c r="AC183" s="240">
        <f t="shared" si="48"/>
        <v>4293224.0872908588</v>
      </c>
      <c r="AD183" s="240">
        <f t="shared" si="49"/>
        <v>15153713.381566424</v>
      </c>
      <c r="AE183" s="240">
        <f t="shared" si="50"/>
        <v>20598538.963782851</v>
      </c>
      <c r="AF183" s="240">
        <f t="shared" si="51"/>
        <v>35752252.345349275</v>
      </c>
      <c r="AG183" s="240">
        <f t="shared" si="34"/>
        <v>17844580.951000001</v>
      </c>
      <c r="AH183" s="240">
        <f t="shared" si="35"/>
        <v>24588525.248</v>
      </c>
      <c r="AI183" s="240">
        <f t="shared" si="36"/>
        <v>42433106.199000001</v>
      </c>
      <c r="AJ183" s="240">
        <f t="shared" si="37"/>
        <v>2595310.7059999998</v>
      </c>
      <c r="AK183" s="240">
        <f t="shared" si="38"/>
        <v>3195549.4610000001</v>
      </c>
      <c r="AL183" s="240">
        <f t="shared" si="39"/>
        <v>5790860.1670000004</v>
      </c>
      <c r="AM183" s="240">
        <f t="shared" si="40"/>
        <v>20439891.657000002</v>
      </c>
      <c r="AN183" s="240">
        <f t="shared" si="41"/>
        <v>27784074.708999999</v>
      </c>
      <c r="AO183" s="240">
        <f t="shared" si="42"/>
        <v>48223966.365999997</v>
      </c>
    </row>
    <row r="184" spans="2:41" hidden="1" x14ac:dyDescent="0.25">
      <c r="B184" s="14">
        <v>42583</v>
      </c>
      <c r="C184" s="15">
        <v>299699</v>
      </c>
      <c r="D184" s="15">
        <v>411971</v>
      </c>
      <c r="E184" s="15">
        <f t="shared" si="58"/>
        <v>711670</v>
      </c>
      <c r="F184" s="15">
        <v>29404</v>
      </c>
      <c r="G184" s="15">
        <v>35469</v>
      </c>
      <c r="H184" s="15">
        <f t="shared" si="59"/>
        <v>64873</v>
      </c>
      <c r="I184" s="15">
        <f t="shared" si="60"/>
        <v>329103</v>
      </c>
      <c r="J184" s="15">
        <f t="shared" si="57"/>
        <v>447440</v>
      </c>
      <c r="K184" s="15">
        <f t="shared" si="57"/>
        <v>776543</v>
      </c>
      <c r="L184" s="15">
        <v>17975217673</v>
      </c>
      <c r="M184" s="15">
        <v>24867925235</v>
      </c>
      <c r="N184" s="15">
        <f t="shared" si="52"/>
        <v>42843142908</v>
      </c>
      <c r="O184" s="15">
        <v>2586263131</v>
      </c>
      <c r="P184" s="15">
        <v>3192667899</v>
      </c>
      <c r="Q184" s="15">
        <f t="shared" si="53"/>
        <v>5778931030</v>
      </c>
      <c r="R184" s="15">
        <f t="shared" si="54"/>
        <v>20561480804</v>
      </c>
      <c r="S184" s="15">
        <f t="shared" si="55"/>
        <v>28060593134</v>
      </c>
      <c r="T184" s="16">
        <f t="shared" si="56"/>
        <v>48622073938</v>
      </c>
      <c r="U184">
        <v>95.695814540000001</v>
      </c>
      <c r="V184">
        <v>129.01505570699999</v>
      </c>
      <c r="W184" s="225">
        <f t="shared" si="33"/>
        <v>1.3481786672401732</v>
      </c>
      <c r="X184" s="240">
        <f t="shared" si="43"/>
        <v>13332964.027532546</v>
      </c>
      <c r="Y184" s="240">
        <f t="shared" si="44"/>
        <v>18445570.931563977</v>
      </c>
      <c r="Z184" s="240">
        <f t="shared" si="45"/>
        <v>31778534.959096521</v>
      </c>
      <c r="AA184" s="240">
        <f t="shared" si="46"/>
        <v>1918338.565832882</v>
      </c>
      <c r="AB184" s="240">
        <f t="shared" si="47"/>
        <v>2368134.1179620055</v>
      </c>
      <c r="AC184" s="240">
        <f t="shared" si="48"/>
        <v>4286472.6837948877</v>
      </c>
      <c r="AD184" s="240">
        <f t="shared" si="49"/>
        <v>15251302.593365427</v>
      </c>
      <c r="AE184" s="240">
        <f t="shared" si="50"/>
        <v>20813705.049525984</v>
      </c>
      <c r="AF184" s="240">
        <f t="shared" si="51"/>
        <v>36065007.642891414</v>
      </c>
      <c r="AG184" s="240">
        <f t="shared" si="34"/>
        <v>17975217.673</v>
      </c>
      <c r="AH184" s="240">
        <f t="shared" si="35"/>
        <v>24867925.234999999</v>
      </c>
      <c r="AI184" s="240">
        <f t="shared" si="36"/>
        <v>42843142.908</v>
      </c>
      <c r="AJ184" s="240">
        <f t="shared" si="37"/>
        <v>2586263.1310000001</v>
      </c>
      <c r="AK184" s="240">
        <f t="shared" si="38"/>
        <v>3192667.8990000002</v>
      </c>
      <c r="AL184" s="240">
        <f t="shared" si="39"/>
        <v>5778931.0300000003</v>
      </c>
      <c r="AM184" s="240">
        <f t="shared" si="40"/>
        <v>20561480.804000001</v>
      </c>
      <c r="AN184" s="240">
        <f t="shared" si="41"/>
        <v>28060593.134</v>
      </c>
      <c r="AO184" s="240">
        <f t="shared" si="42"/>
        <v>48622073.938000001</v>
      </c>
    </row>
    <row r="185" spans="2:41" hidden="1" x14ac:dyDescent="0.25">
      <c r="B185" s="14">
        <v>42614</v>
      </c>
      <c r="C185" s="15">
        <v>300890</v>
      </c>
      <c r="D185" s="15">
        <v>413826</v>
      </c>
      <c r="E185" s="15">
        <f t="shared" si="58"/>
        <v>714716</v>
      </c>
      <c r="F185" s="15">
        <v>29305</v>
      </c>
      <c r="G185" s="15">
        <v>35378</v>
      </c>
      <c r="H185" s="15">
        <f t="shared" si="59"/>
        <v>64683</v>
      </c>
      <c r="I185" s="15">
        <f t="shared" si="60"/>
        <v>330195</v>
      </c>
      <c r="J185" s="15">
        <f t="shared" si="57"/>
        <v>449204</v>
      </c>
      <c r="K185" s="15">
        <f t="shared" si="57"/>
        <v>779399</v>
      </c>
      <c r="L185" s="15">
        <v>18029193178</v>
      </c>
      <c r="M185" s="15">
        <v>25033986456</v>
      </c>
      <c r="N185" s="15">
        <f t="shared" si="52"/>
        <v>43063179634</v>
      </c>
      <c r="O185" s="15">
        <v>2573433933</v>
      </c>
      <c r="P185" s="15">
        <v>3175030485</v>
      </c>
      <c r="Q185" s="15">
        <f t="shared" si="53"/>
        <v>5748464418</v>
      </c>
      <c r="R185" s="15">
        <f t="shared" si="54"/>
        <v>20602627111</v>
      </c>
      <c r="S185" s="15">
        <f t="shared" si="55"/>
        <v>28209016941</v>
      </c>
      <c r="T185" s="16">
        <f t="shared" si="56"/>
        <v>48811644052</v>
      </c>
      <c r="U185">
        <v>95.928713310000006</v>
      </c>
      <c r="V185">
        <v>129.01505570699999</v>
      </c>
      <c r="W185" s="225">
        <f t="shared" si="33"/>
        <v>1.344905516350243</v>
      </c>
      <c r="X185" s="240">
        <f t="shared" si="43"/>
        <v>13405546.307020128</v>
      </c>
      <c r="Y185" s="240">
        <f t="shared" si="44"/>
        <v>18613936.928399511</v>
      </c>
      <c r="Z185" s="240">
        <f t="shared" si="45"/>
        <v>32019483.235419638</v>
      </c>
      <c r="AA185" s="240">
        <f t="shared" si="46"/>
        <v>1913468.1966237256</v>
      </c>
      <c r="AB185" s="240">
        <f t="shared" si="47"/>
        <v>2360783.3014294459</v>
      </c>
      <c r="AC185" s="240">
        <f t="shared" si="48"/>
        <v>4274251.4980531707</v>
      </c>
      <c r="AD185" s="240">
        <f t="shared" si="49"/>
        <v>15319014.503643854</v>
      </c>
      <c r="AE185" s="240">
        <f t="shared" si="50"/>
        <v>20974720.229828957</v>
      </c>
      <c r="AF185" s="240">
        <f t="shared" si="51"/>
        <v>36293734.733472809</v>
      </c>
      <c r="AG185" s="240">
        <f t="shared" si="34"/>
        <v>18029193.177999999</v>
      </c>
      <c r="AH185" s="240">
        <f t="shared" si="35"/>
        <v>25033986.456</v>
      </c>
      <c r="AI185" s="240">
        <f t="shared" si="36"/>
        <v>43063179.634000003</v>
      </c>
      <c r="AJ185" s="240">
        <f t="shared" si="37"/>
        <v>2573433.9330000002</v>
      </c>
      <c r="AK185" s="240">
        <f t="shared" si="38"/>
        <v>3175030.4849999999</v>
      </c>
      <c r="AL185" s="240">
        <f t="shared" si="39"/>
        <v>5748464.4179999996</v>
      </c>
      <c r="AM185" s="240">
        <f t="shared" si="40"/>
        <v>20602627.111000001</v>
      </c>
      <c r="AN185" s="240">
        <f t="shared" si="41"/>
        <v>28209016.941</v>
      </c>
      <c r="AO185" s="240">
        <f t="shared" si="42"/>
        <v>48811644.052000001</v>
      </c>
    </row>
    <row r="186" spans="2:41" hidden="1" x14ac:dyDescent="0.25">
      <c r="B186" s="14">
        <v>42644</v>
      </c>
      <c r="C186" s="15">
        <v>302315</v>
      </c>
      <c r="D186" s="15">
        <v>415563</v>
      </c>
      <c r="E186" s="15">
        <f t="shared" si="58"/>
        <v>717878</v>
      </c>
      <c r="F186" s="15">
        <v>29264</v>
      </c>
      <c r="G186" s="15">
        <v>35331</v>
      </c>
      <c r="H186" s="15">
        <f t="shared" si="59"/>
        <v>64595</v>
      </c>
      <c r="I186" s="15">
        <f t="shared" si="60"/>
        <v>331579</v>
      </c>
      <c r="J186" s="15">
        <f t="shared" si="57"/>
        <v>450894</v>
      </c>
      <c r="K186" s="15">
        <f t="shared" si="57"/>
        <v>782473</v>
      </c>
      <c r="L186" s="15">
        <v>18068775129</v>
      </c>
      <c r="M186" s="15">
        <v>25096386040</v>
      </c>
      <c r="N186" s="15">
        <f t="shared" si="52"/>
        <v>43165161169</v>
      </c>
      <c r="O186" s="15">
        <v>2567636250</v>
      </c>
      <c r="P186" s="15">
        <v>3174256344</v>
      </c>
      <c r="Q186" s="15">
        <f t="shared" si="53"/>
        <v>5741892594</v>
      </c>
      <c r="R186" s="15">
        <f t="shared" si="54"/>
        <v>20636411379</v>
      </c>
      <c r="S186" s="15">
        <f t="shared" si="55"/>
        <v>28270642384</v>
      </c>
      <c r="T186" s="16">
        <f t="shared" si="56"/>
        <v>48907053763</v>
      </c>
      <c r="U186">
        <v>96.087759489999996</v>
      </c>
      <c r="V186">
        <v>129.01505570699999</v>
      </c>
      <c r="W186" s="225">
        <f t="shared" si="33"/>
        <v>1.3426794046584756</v>
      </c>
      <c r="X186" s="240">
        <f t="shared" ref="X186:X217" si="61">+L186/$W186/$AA$85</f>
        <v>13457252.018843604</v>
      </c>
      <c r="Y186" s="240">
        <f t="shared" ref="Y186:Y217" si="62">+M186/$W186/$AA$85</f>
        <v>18691272.058636758</v>
      </c>
      <c r="Z186" s="240">
        <f t="shared" ref="Z186:Z217" si="63">+N186/$W186/$AA$85</f>
        <v>32148524.077480361</v>
      </c>
      <c r="AA186" s="240">
        <f t="shared" ref="AA186:AA217" si="64">+O186/$W186/$AA$85</f>
        <v>1912322.6595205762</v>
      </c>
      <c r="AB186" s="240">
        <f t="shared" ref="AB186:AB217" si="65">+P186/$W186/$AA$85</f>
        <v>2364120.8266000068</v>
      </c>
      <c r="AC186" s="240">
        <f t="shared" ref="AC186:AC217" si="66">+Q186/$W186/$AA$85</f>
        <v>4276443.4861205835</v>
      </c>
      <c r="AD186" s="240">
        <f t="shared" ref="AD186:AD217" si="67">+R186/$W186/$AA$85</f>
        <v>15369574.678364182</v>
      </c>
      <c r="AE186" s="240">
        <f t="shared" ref="AE186:AE217" si="68">+S186/$W186/$AA$85</f>
        <v>21055392.885236762</v>
      </c>
      <c r="AF186" s="240">
        <f t="shared" ref="AF186:AF217" si="69">+T186/$W186/$AA$85</f>
        <v>36424967.563600942</v>
      </c>
      <c r="AG186" s="240">
        <f t="shared" si="34"/>
        <v>18068775.129000001</v>
      </c>
      <c r="AH186" s="240">
        <f t="shared" si="35"/>
        <v>25096386.039999999</v>
      </c>
      <c r="AI186" s="240">
        <f t="shared" si="36"/>
        <v>43165161.169</v>
      </c>
      <c r="AJ186" s="240">
        <f t="shared" si="37"/>
        <v>2567636.25</v>
      </c>
      <c r="AK186" s="240">
        <f t="shared" si="38"/>
        <v>3174256.344</v>
      </c>
      <c r="AL186" s="240">
        <f t="shared" si="39"/>
        <v>5741892.5939999996</v>
      </c>
      <c r="AM186" s="240">
        <f t="shared" si="40"/>
        <v>20636411.379000001</v>
      </c>
      <c r="AN186" s="240">
        <f t="shared" si="41"/>
        <v>28270642.384</v>
      </c>
      <c r="AO186" s="240">
        <f t="shared" si="42"/>
        <v>48907053.762999997</v>
      </c>
    </row>
    <row r="187" spans="2:41" hidden="1" x14ac:dyDescent="0.25">
      <c r="B187" s="14">
        <v>42675</v>
      </c>
      <c r="C187" s="15">
        <v>304146</v>
      </c>
      <c r="D187" s="15">
        <v>418973</v>
      </c>
      <c r="E187" s="15">
        <f t="shared" si="58"/>
        <v>723119</v>
      </c>
      <c r="F187" s="15">
        <v>29235</v>
      </c>
      <c r="G187" s="15">
        <v>35297</v>
      </c>
      <c r="H187" s="15">
        <f t="shared" si="59"/>
        <v>64532</v>
      </c>
      <c r="I187" s="15">
        <f t="shared" si="60"/>
        <v>333381</v>
      </c>
      <c r="J187" s="15">
        <f t="shared" si="57"/>
        <v>454270</v>
      </c>
      <c r="K187" s="15">
        <f t="shared" si="57"/>
        <v>787651</v>
      </c>
      <c r="L187" s="15">
        <v>18306691760</v>
      </c>
      <c r="M187" s="15">
        <v>25579163465</v>
      </c>
      <c r="N187" s="15">
        <f t="shared" si="52"/>
        <v>43885855225</v>
      </c>
      <c r="O187" s="15">
        <v>2564748517</v>
      </c>
      <c r="P187" s="15">
        <v>3174145174</v>
      </c>
      <c r="Q187" s="15">
        <f t="shared" si="53"/>
        <v>5738893691</v>
      </c>
      <c r="R187" s="15">
        <f t="shared" si="54"/>
        <v>20871440277</v>
      </c>
      <c r="S187" s="15">
        <f t="shared" si="55"/>
        <v>28753308639</v>
      </c>
      <c r="T187" s="16">
        <f t="shared" si="56"/>
        <v>49624748916</v>
      </c>
      <c r="U187">
        <v>96.139417210000005</v>
      </c>
      <c r="V187">
        <v>129.01505570699999</v>
      </c>
      <c r="W187" s="225">
        <f t="shared" si="33"/>
        <v>1.3419579549269454</v>
      </c>
      <c r="X187" s="240">
        <f t="shared" si="61"/>
        <v>13641777.443762457</v>
      </c>
      <c r="Y187" s="240">
        <f t="shared" si="62"/>
        <v>19061076.668674394</v>
      </c>
      <c r="Z187" s="240">
        <f t="shared" si="63"/>
        <v>32702854.112436853</v>
      </c>
      <c r="AA187" s="240">
        <f t="shared" si="64"/>
        <v>1911198.8625154966</v>
      </c>
      <c r="AB187" s="240">
        <f t="shared" si="65"/>
        <v>2365308.959454543</v>
      </c>
      <c r="AC187" s="240">
        <f t="shared" si="66"/>
        <v>4276507.82197004</v>
      </c>
      <c r="AD187" s="240">
        <f t="shared" si="67"/>
        <v>15552976.306277955</v>
      </c>
      <c r="AE187" s="240">
        <f t="shared" si="68"/>
        <v>21426385.628128938</v>
      </c>
      <c r="AF187" s="240">
        <f t="shared" si="69"/>
        <v>36979361.934406891</v>
      </c>
      <c r="AG187" s="240">
        <f t="shared" si="34"/>
        <v>18306691.760000002</v>
      </c>
      <c r="AH187" s="240">
        <f t="shared" si="35"/>
        <v>25579163.465</v>
      </c>
      <c r="AI187" s="240">
        <f t="shared" si="36"/>
        <v>43885855.225000001</v>
      </c>
      <c r="AJ187" s="240">
        <f t="shared" si="37"/>
        <v>2564748.517</v>
      </c>
      <c r="AK187" s="240">
        <f t="shared" si="38"/>
        <v>3174145.1740000001</v>
      </c>
      <c r="AL187" s="240">
        <f t="shared" si="39"/>
        <v>5738893.6909999996</v>
      </c>
      <c r="AM187" s="240">
        <f t="shared" si="40"/>
        <v>20871440.276999999</v>
      </c>
      <c r="AN187" s="240">
        <f t="shared" si="41"/>
        <v>28753308.638999999</v>
      </c>
      <c r="AO187" s="240">
        <f t="shared" si="42"/>
        <v>49624748.916000001</v>
      </c>
    </row>
    <row r="188" spans="2:41" hidden="1" x14ac:dyDescent="0.25">
      <c r="B188" s="17">
        <v>42705</v>
      </c>
      <c r="C188" s="18">
        <v>305119</v>
      </c>
      <c r="D188" s="18">
        <v>420635</v>
      </c>
      <c r="E188" s="18">
        <f t="shared" si="58"/>
        <v>725754</v>
      </c>
      <c r="F188" s="18">
        <v>29476</v>
      </c>
      <c r="G188" s="18">
        <v>35407</v>
      </c>
      <c r="H188" s="18">
        <f t="shared" si="59"/>
        <v>64883</v>
      </c>
      <c r="I188" s="19">
        <f t="shared" si="60"/>
        <v>334595</v>
      </c>
      <c r="J188" s="19">
        <f t="shared" si="57"/>
        <v>456042</v>
      </c>
      <c r="K188" s="19">
        <f t="shared" si="57"/>
        <v>790637</v>
      </c>
      <c r="L188" s="18">
        <v>18209781609</v>
      </c>
      <c r="M188" s="18">
        <v>25463423947</v>
      </c>
      <c r="N188" s="18">
        <f t="shared" si="52"/>
        <v>43673205556</v>
      </c>
      <c r="O188" s="18">
        <v>2584181940</v>
      </c>
      <c r="P188" s="18">
        <v>3175970482</v>
      </c>
      <c r="Q188" s="18">
        <f t="shared" si="53"/>
        <v>5760152422</v>
      </c>
      <c r="R188" s="18">
        <f t="shared" si="54"/>
        <v>20793963549</v>
      </c>
      <c r="S188" s="18">
        <f t="shared" si="55"/>
        <v>28639394429</v>
      </c>
      <c r="T188" s="18">
        <f t="shared" si="56"/>
        <v>49433357978</v>
      </c>
      <c r="U188">
        <v>95.943074190000004</v>
      </c>
      <c r="V188">
        <v>129.01505570699999</v>
      </c>
      <c r="W188" s="225">
        <f t="shared" si="33"/>
        <v>1.3447042092012413</v>
      </c>
      <c r="X188" s="240">
        <f t="shared" si="61"/>
        <v>13541849.192110932</v>
      </c>
      <c r="Y188" s="240">
        <f t="shared" si="62"/>
        <v>18936078.114997022</v>
      </c>
      <c r="Z188" s="240">
        <f t="shared" si="63"/>
        <v>32477927.307107951</v>
      </c>
      <c r="AA188" s="240">
        <f t="shared" si="64"/>
        <v>1921747.4908738572</v>
      </c>
      <c r="AB188" s="240">
        <f t="shared" si="65"/>
        <v>2361835.7556019975</v>
      </c>
      <c r="AC188" s="240">
        <f t="shared" si="66"/>
        <v>4283583.246475854</v>
      </c>
      <c r="AD188" s="240">
        <f t="shared" si="67"/>
        <v>15463596.682984788</v>
      </c>
      <c r="AE188" s="240">
        <f t="shared" si="68"/>
        <v>21297913.870599017</v>
      </c>
      <c r="AF188" s="240">
        <f t="shared" si="69"/>
        <v>36761510.553583808</v>
      </c>
      <c r="AG188" s="240">
        <f t="shared" si="34"/>
        <v>18209781.609000001</v>
      </c>
      <c r="AH188" s="240">
        <f t="shared" si="35"/>
        <v>25463423.947000001</v>
      </c>
      <c r="AI188" s="240">
        <f t="shared" si="36"/>
        <v>43673205.556000002</v>
      </c>
      <c r="AJ188" s="240">
        <f t="shared" si="37"/>
        <v>2584181.94</v>
      </c>
      <c r="AK188" s="240">
        <f t="shared" si="38"/>
        <v>3175970.4819999998</v>
      </c>
      <c r="AL188" s="240">
        <f t="shared" si="39"/>
        <v>5760152.4220000003</v>
      </c>
      <c r="AM188" s="240">
        <f t="shared" si="40"/>
        <v>20793963.548999999</v>
      </c>
      <c r="AN188" s="240">
        <f t="shared" si="41"/>
        <v>28639394.429000001</v>
      </c>
      <c r="AO188" s="240">
        <f t="shared" si="42"/>
        <v>49433357.978</v>
      </c>
    </row>
    <row r="189" spans="2:41" hidden="1" x14ac:dyDescent="0.25">
      <c r="B189" s="14">
        <v>42736</v>
      </c>
      <c r="C189" s="15">
        <v>306164</v>
      </c>
      <c r="D189" s="15">
        <v>422492</v>
      </c>
      <c r="E189" s="15">
        <v>728656</v>
      </c>
      <c r="F189" s="15">
        <v>29465</v>
      </c>
      <c r="G189" s="15">
        <v>35386</v>
      </c>
      <c r="H189" s="15">
        <v>64851</v>
      </c>
      <c r="I189" s="15">
        <v>335629</v>
      </c>
      <c r="J189" s="15">
        <v>457878</v>
      </c>
      <c r="K189" s="15">
        <v>793507</v>
      </c>
      <c r="L189" s="15">
        <v>20062643259</v>
      </c>
      <c r="M189" s="15">
        <v>28092849913</v>
      </c>
      <c r="N189" s="15">
        <f t="shared" si="52"/>
        <v>48155493172</v>
      </c>
      <c r="O189" s="15">
        <v>2863941809</v>
      </c>
      <c r="P189" s="15">
        <v>3510119871</v>
      </c>
      <c r="Q189" s="15">
        <f t="shared" si="53"/>
        <v>6374061680</v>
      </c>
      <c r="R189" s="15">
        <f t="shared" si="54"/>
        <v>22926585068</v>
      </c>
      <c r="S189" s="15">
        <f t="shared" si="55"/>
        <v>31602969784</v>
      </c>
      <c r="T189" s="16">
        <f t="shared" si="56"/>
        <v>54529554852</v>
      </c>
      <c r="U189">
        <v>96.461260159999995</v>
      </c>
      <c r="V189">
        <v>129.01505570699999</v>
      </c>
      <c r="W189" s="225">
        <f t="shared" si="33"/>
        <v>1.3374805128297425</v>
      </c>
      <c r="X189" s="240">
        <f t="shared" si="61"/>
        <v>15000325.661981378</v>
      </c>
      <c r="Y189" s="240">
        <f t="shared" si="62"/>
        <v>21004305.964475866</v>
      </c>
      <c r="Z189" s="240">
        <f t="shared" si="63"/>
        <v>36004631.626457244</v>
      </c>
      <c r="AA189" s="240">
        <f t="shared" si="64"/>
        <v>2141296.1022816575</v>
      </c>
      <c r="AB189" s="240">
        <f t="shared" si="65"/>
        <v>2624426.9260967006</v>
      </c>
      <c r="AC189" s="240">
        <f t="shared" si="66"/>
        <v>4765723.028378359</v>
      </c>
      <c r="AD189" s="240">
        <f t="shared" si="67"/>
        <v>17141621.764263038</v>
      </c>
      <c r="AE189" s="240">
        <f t="shared" si="68"/>
        <v>23628732.890572567</v>
      </c>
      <c r="AF189" s="240">
        <f t="shared" si="69"/>
        <v>40770354.654835604</v>
      </c>
      <c r="AG189" s="240">
        <f t="shared" si="34"/>
        <v>20062643.259</v>
      </c>
      <c r="AH189" s="240">
        <f t="shared" si="35"/>
        <v>28092849.912999999</v>
      </c>
      <c r="AI189" s="240">
        <f t="shared" si="36"/>
        <v>48155493.171999998</v>
      </c>
      <c r="AJ189" s="240">
        <f t="shared" si="37"/>
        <v>2863941.8089999999</v>
      </c>
      <c r="AK189" s="240">
        <f t="shared" si="38"/>
        <v>3510119.8709999998</v>
      </c>
      <c r="AL189" s="240">
        <f t="shared" si="39"/>
        <v>6374061.6799999997</v>
      </c>
      <c r="AM189" s="240">
        <f t="shared" si="40"/>
        <v>22926585.068</v>
      </c>
      <c r="AN189" s="240">
        <f t="shared" si="41"/>
        <v>31602969.784000002</v>
      </c>
      <c r="AO189" s="240">
        <f t="shared" si="42"/>
        <v>54529554.851999998</v>
      </c>
    </row>
    <row r="190" spans="2:41" hidden="1" x14ac:dyDescent="0.25">
      <c r="B190" s="14">
        <v>42767</v>
      </c>
      <c r="C190" s="15">
        <v>306699</v>
      </c>
      <c r="D190" s="15">
        <v>424127</v>
      </c>
      <c r="E190" s="15">
        <v>730826</v>
      </c>
      <c r="F190" s="15">
        <v>29378</v>
      </c>
      <c r="G190" s="15">
        <v>35320</v>
      </c>
      <c r="H190" s="15">
        <v>64698</v>
      </c>
      <c r="I190" s="15">
        <v>336077</v>
      </c>
      <c r="J190" s="15">
        <v>459447</v>
      </c>
      <c r="K190" s="15">
        <v>795524</v>
      </c>
      <c r="L190" s="15">
        <v>20023786872</v>
      </c>
      <c r="M190" s="15">
        <v>27978911712</v>
      </c>
      <c r="N190" s="15">
        <f t="shared" si="52"/>
        <v>48002698584</v>
      </c>
      <c r="O190" s="15">
        <v>2851866179</v>
      </c>
      <c r="P190" s="15">
        <v>3504848284</v>
      </c>
      <c r="Q190" s="15">
        <f t="shared" si="53"/>
        <v>6356714463</v>
      </c>
      <c r="R190" s="15">
        <f t="shared" si="54"/>
        <v>22875653051</v>
      </c>
      <c r="S190" s="15">
        <f t="shared" si="55"/>
        <v>31483759996</v>
      </c>
      <c r="T190" s="16">
        <f t="shared" si="56"/>
        <v>54359413047</v>
      </c>
      <c r="U190">
        <v>96.692182329999994</v>
      </c>
      <c r="V190">
        <v>129.01505570699999</v>
      </c>
      <c r="W190" s="225">
        <f t="shared" si="33"/>
        <v>1.3342863155853233</v>
      </c>
      <c r="X190" s="240">
        <f t="shared" si="61"/>
        <v>15007114.019014718</v>
      </c>
      <c r="Y190" s="240">
        <f t="shared" si="62"/>
        <v>20969196.330044232</v>
      </c>
      <c r="Z190" s="240">
        <f t="shared" si="63"/>
        <v>35976310.349058941</v>
      </c>
      <c r="AA190" s="240">
        <f t="shared" si="64"/>
        <v>2137371.976080671</v>
      </c>
      <c r="AB190" s="240">
        <f t="shared" si="65"/>
        <v>2626758.7721324242</v>
      </c>
      <c r="AC190" s="240">
        <f t="shared" si="66"/>
        <v>4764130.7482130947</v>
      </c>
      <c r="AD190" s="240">
        <f t="shared" si="67"/>
        <v>17144485.995095387</v>
      </c>
      <c r="AE190" s="240">
        <f t="shared" si="68"/>
        <v>23595955.102176655</v>
      </c>
      <c r="AF190" s="240">
        <f t="shared" si="69"/>
        <v>40740441.097272038</v>
      </c>
      <c r="AG190" s="240">
        <f t="shared" si="34"/>
        <v>20023786.872000001</v>
      </c>
      <c r="AH190" s="240">
        <f t="shared" si="35"/>
        <v>27978911.712000001</v>
      </c>
      <c r="AI190" s="240">
        <f t="shared" si="36"/>
        <v>48002698.583999999</v>
      </c>
      <c r="AJ190" s="240">
        <f t="shared" si="37"/>
        <v>2851866.179</v>
      </c>
      <c r="AK190" s="240">
        <f t="shared" si="38"/>
        <v>3504848.284</v>
      </c>
      <c r="AL190" s="240">
        <f t="shared" si="39"/>
        <v>6356714.4630000005</v>
      </c>
      <c r="AM190" s="240">
        <f t="shared" si="40"/>
        <v>22875653.050999999</v>
      </c>
      <c r="AN190" s="240">
        <f t="shared" si="41"/>
        <v>31483759.995999999</v>
      </c>
      <c r="AO190" s="240">
        <f t="shared" si="42"/>
        <v>54359413.046999998</v>
      </c>
    </row>
    <row r="191" spans="2:41" hidden="1" x14ac:dyDescent="0.25">
      <c r="B191" s="14">
        <v>42795</v>
      </c>
      <c r="C191" s="15">
        <v>308300</v>
      </c>
      <c r="D191" s="15">
        <v>424388</v>
      </c>
      <c r="E191" s="15">
        <v>732688</v>
      </c>
      <c r="F191" s="15">
        <v>29336</v>
      </c>
      <c r="G191" s="15">
        <v>35219</v>
      </c>
      <c r="H191" s="15">
        <v>64555</v>
      </c>
      <c r="I191" s="15">
        <v>337636</v>
      </c>
      <c r="J191" s="15">
        <v>459607</v>
      </c>
      <c r="K191" s="15">
        <v>797243</v>
      </c>
      <c r="L191" s="15">
        <v>20054637783</v>
      </c>
      <c r="M191" s="15">
        <v>27879944389</v>
      </c>
      <c r="N191" s="15">
        <f t="shared" si="52"/>
        <v>47934582172</v>
      </c>
      <c r="O191" s="15">
        <v>2844920296</v>
      </c>
      <c r="P191" s="15">
        <v>3489106291</v>
      </c>
      <c r="Q191" s="15">
        <f t="shared" si="53"/>
        <v>6334026587</v>
      </c>
      <c r="R191" s="15">
        <f t="shared" si="54"/>
        <v>22899558079</v>
      </c>
      <c r="S191" s="15">
        <f t="shared" si="55"/>
        <v>31369050680</v>
      </c>
      <c r="T191" s="16">
        <f t="shared" si="56"/>
        <v>54268608759</v>
      </c>
      <c r="U191">
        <v>97.061786810000001</v>
      </c>
      <c r="V191">
        <v>129.01505570699999</v>
      </c>
      <c r="W191" s="225">
        <f t="shared" si="33"/>
        <v>1.3292054468309864</v>
      </c>
      <c r="X191" s="240">
        <f t="shared" si="61"/>
        <v>15087688.536646528</v>
      </c>
      <c r="Y191" s="240">
        <f t="shared" si="62"/>
        <v>20974894.78053955</v>
      </c>
      <c r="Z191" s="240">
        <f t="shared" si="63"/>
        <v>36062583.31718608</v>
      </c>
      <c r="AA191" s="240">
        <f t="shared" si="64"/>
        <v>2140316.4595681517</v>
      </c>
      <c r="AB191" s="240">
        <f t="shared" si="65"/>
        <v>2624956.3596948255</v>
      </c>
      <c r="AC191" s="240">
        <f t="shared" si="66"/>
        <v>4765272.8192629777</v>
      </c>
      <c r="AD191" s="240">
        <f t="shared" si="67"/>
        <v>17228004.99621468</v>
      </c>
      <c r="AE191" s="240">
        <f t="shared" si="68"/>
        <v>23599851.140234377</v>
      </c>
      <c r="AF191" s="240">
        <f t="shared" si="69"/>
        <v>40827856.136449061</v>
      </c>
      <c r="AG191" s="240">
        <f t="shared" si="34"/>
        <v>20054637.783</v>
      </c>
      <c r="AH191" s="240">
        <f t="shared" si="35"/>
        <v>27879944.388999999</v>
      </c>
      <c r="AI191" s="240">
        <f t="shared" si="36"/>
        <v>47934582.171999998</v>
      </c>
      <c r="AJ191" s="240">
        <f t="shared" si="37"/>
        <v>2844920.2960000001</v>
      </c>
      <c r="AK191" s="240">
        <f t="shared" si="38"/>
        <v>3489106.2910000002</v>
      </c>
      <c r="AL191" s="240">
        <f t="shared" si="39"/>
        <v>6334026.5870000003</v>
      </c>
      <c r="AM191" s="240">
        <f t="shared" si="40"/>
        <v>22899558.079</v>
      </c>
      <c r="AN191" s="240">
        <f t="shared" si="41"/>
        <v>31369050.68</v>
      </c>
      <c r="AO191" s="240">
        <f t="shared" si="42"/>
        <v>54268608.759000003</v>
      </c>
    </row>
    <row r="192" spans="2:41" hidden="1" x14ac:dyDescent="0.25">
      <c r="B192" s="14">
        <v>42826</v>
      </c>
      <c r="C192" s="15">
        <v>310215</v>
      </c>
      <c r="D192" s="15">
        <v>427169</v>
      </c>
      <c r="E192" s="15">
        <v>737384</v>
      </c>
      <c r="F192" s="15">
        <v>29366</v>
      </c>
      <c r="G192" s="15">
        <v>35233</v>
      </c>
      <c r="H192" s="15">
        <v>64599</v>
      </c>
      <c r="I192" s="15">
        <v>339581</v>
      </c>
      <c r="J192" s="15">
        <v>462402</v>
      </c>
      <c r="K192" s="15">
        <v>801983</v>
      </c>
      <c r="L192" s="15">
        <v>20253871109</v>
      </c>
      <c r="M192" s="15">
        <v>28196861346</v>
      </c>
      <c r="N192" s="15">
        <f t="shared" si="52"/>
        <v>48450732455</v>
      </c>
      <c r="O192" s="15">
        <v>2843535737</v>
      </c>
      <c r="P192" s="15">
        <v>3493294386</v>
      </c>
      <c r="Q192" s="15">
        <f t="shared" si="53"/>
        <v>6336830123</v>
      </c>
      <c r="R192" s="15">
        <f t="shared" si="54"/>
        <v>23097406846</v>
      </c>
      <c r="S192" s="15">
        <f t="shared" si="55"/>
        <v>31690155732</v>
      </c>
      <c r="T192" s="16">
        <f t="shared" si="56"/>
        <v>54787562578</v>
      </c>
      <c r="U192">
        <v>97.29417085</v>
      </c>
      <c r="V192">
        <v>129.01505570699999</v>
      </c>
      <c r="W192" s="225">
        <f t="shared" si="33"/>
        <v>1.3260306817959793</v>
      </c>
      <c r="X192" s="240">
        <f t="shared" si="61"/>
        <v>15274059.180567455</v>
      </c>
      <c r="Y192" s="240">
        <f t="shared" si="62"/>
        <v>21264109.294824235</v>
      </c>
      <c r="Z192" s="240">
        <f t="shared" si="63"/>
        <v>36538168.475391693</v>
      </c>
      <c r="AA192" s="240">
        <f t="shared" si="64"/>
        <v>2144396.6388083179</v>
      </c>
      <c r="AB192" s="240">
        <f t="shared" si="65"/>
        <v>2634399.3649292286</v>
      </c>
      <c r="AC192" s="240">
        <f t="shared" si="66"/>
        <v>4778796.0037375465</v>
      </c>
      <c r="AD192" s="240">
        <f t="shared" si="67"/>
        <v>17418455.819375776</v>
      </c>
      <c r="AE192" s="240">
        <f t="shared" si="68"/>
        <v>23898508.659753464</v>
      </c>
      <c r="AF192" s="240">
        <f t="shared" si="69"/>
        <v>41316964.479129232</v>
      </c>
      <c r="AG192" s="240">
        <f t="shared" si="34"/>
        <v>20253871.109000001</v>
      </c>
      <c r="AH192" s="240">
        <f t="shared" si="35"/>
        <v>28196861.346000001</v>
      </c>
      <c r="AI192" s="240">
        <f t="shared" si="36"/>
        <v>48450732.454999998</v>
      </c>
      <c r="AJ192" s="240">
        <f t="shared" si="37"/>
        <v>2843535.7370000002</v>
      </c>
      <c r="AK192" s="240">
        <f t="shared" si="38"/>
        <v>3493294.3859999999</v>
      </c>
      <c r="AL192" s="240">
        <f t="shared" si="39"/>
        <v>6336830.1229999997</v>
      </c>
      <c r="AM192" s="240">
        <f t="shared" si="40"/>
        <v>23097406.846000001</v>
      </c>
      <c r="AN192" s="240">
        <f t="shared" si="41"/>
        <v>31690155.732000001</v>
      </c>
      <c r="AO192" s="240">
        <f t="shared" si="42"/>
        <v>54787562.578000002</v>
      </c>
    </row>
    <row r="193" spans="2:41" hidden="1" x14ac:dyDescent="0.25">
      <c r="B193" s="14">
        <v>42856</v>
      </c>
      <c r="C193" s="15">
        <v>312104</v>
      </c>
      <c r="D193" s="15">
        <v>429990</v>
      </c>
      <c r="E193" s="15">
        <v>742094</v>
      </c>
      <c r="F193" s="15">
        <v>29372</v>
      </c>
      <c r="G193" s="15">
        <v>35231</v>
      </c>
      <c r="H193" s="15">
        <v>64603</v>
      </c>
      <c r="I193" s="15">
        <v>341476</v>
      </c>
      <c r="J193" s="15">
        <v>465221</v>
      </c>
      <c r="K193" s="15">
        <v>806697</v>
      </c>
      <c r="L193" s="15">
        <v>20421904558</v>
      </c>
      <c r="M193" s="15">
        <v>28398884397</v>
      </c>
      <c r="N193" s="15">
        <f t="shared" si="52"/>
        <v>48820788955</v>
      </c>
      <c r="O193" s="15">
        <v>2844504024</v>
      </c>
      <c r="P193" s="15">
        <v>3489339557</v>
      </c>
      <c r="Q193" s="15">
        <f t="shared" si="53"/>
        <v>6333843581</v>
      </c>
      <c r="R193" s="15">
        <f t="shared" si="54"/>
        <v>23266408582</v>
      </c>
      <c r="S193" s="15">
        <f t="shared" si="55"/>
        <v>31888223954</v>
      </c>
      <c r="T193" s="16">
        <f t="shared" si="56"/>
        <v>55154632536</v>
      </c>
      <c r="U193">
        <v>97.417611260000001</v>
      </c>
      <c r="V193">
        <v>129.01505570699999</v>
      </c>
      <c r="W193" s="225">
        <f t="shared" si="33"/>
        <v>1.3243504335439809</v>
      </c>
      <c r="X193" s="240">
        <f t="shared" si="61"/>
        <v>15420317.79560844</v>
      </c>
      <c r="Y193" s="240">
        <f t="shared" si="62"/>
        <v>21443632.801179502</v>
      </c>
      <c r="Z193" s="240">
        <f t="shared" si="63"/>
        <v>36863950.596787944</v>
      </c>
      <c r="AA193" s="240">
        <f t="shared" si="64"/>
        <v>2147848.4485319084</v>
      </c>
      <c r="AB193" s="240">
        <f t="shared" si="65"/>
        <v>2634755.4760581586</v>
      </c>
      <c r="AC193" s="240">
        <f t="shared" si="66"/>
        <v>4782603.924590067</v>
      </c>
      <c r="AD193" s="240">
        <f t="shared" si="67"/>
        <v>17568166.244140346</v>
      </c>
      <c r="AE193" s="240">
        <f t="shared" si="68"/>
        <v>24078388.277237661</v>
      </c>
      <c r="AF193" s="240">
        <f t="shared" si="69"/>
        <v>41646554.521378003</v>
      </c>
      <c r="AG193" s="240">
        <f t="shared" si="34"/>
        <v>20421904.557999998</v>
      </c>
      <c r="AH193" s="240">
        <f t="shared" si="35"/>
        <v>28398884.397</v>
      </c>
      <c r="AI193" s="240">
        <f t="shared" si="36"/>
        <v>48820788.954999998</v>
      </c>
      <c r="AJ193" s="240">
        <f t="shared" si="37"/>
        <v>2844504.0240000002</v>
      </c>
      <c r="AK193" s="240">
        <f t="shared" si="38"/>
        <v>3489339.557</v>
      </c>
      <c r="AL193" s="240">
        <f t="shared" si="39"/>
        <v>6333843.5810000002</v>
      </c>
      <c r="AM193" s="240">
        <f t="shared" si="40"/>
        <v>23266408.581999999</v>
      </c>
      <c r="AN193" s="240">
        <f t="shared" si="41"/>
        <v>31888223.954</v>
      </c>
      <c r="AO193" s="240">
        <f t="shared" si="42"/>
        <v>55154632.535999998</v>
      </c>
    </row>
    <row r="194" spans="2:41" hidden="1" x14ac:dyDescent="0.25">
      <c r="B194" s="14">
        <v>42887</v>
      </c>
      <c r="C194" s="15">
        <v>313616</v>
      </c>
      <c r="D194" s="15">
        <v>432504</v>
      </c>
      <c r="E194" s="15">
        <v>746120</v>
      </c>
      <c r="F194" s="15">
        <v>29496</v>
      </c>
      <c r="G194" s="15">
        <v>35330</v>
      </c>
      <c r="H194" s="15">
        <v>64826</v>
      </c>
      <c r="I194" s="15">
        <v>343112</v>
      </c>
      <c r="J194" s="15">
        <v>467834</v>
      </c>
      <c r="K194" s="15">
        <v>810946</v>
      </c>
      <c r="L194" s="15">
        <v>20410585299</v>
      </c>
      <c r="M194" s="15">
        <v>28506998823</v>
      </c>
      <c r="N194" s="15">
        <f t="shared" si="52"/>
        <v>48917584122</v>
      </c>
      <c r="O194" s="15">
        <v>2850199068</v>
      </c>
      <c r="P194" s="15">
        <v>3494063541</v>
      </c>
      <c r="Q194" s="15">
        <f t="shared" si="53"/>
        <v>6344262609</v>
      </c>
      <c r="R194" s="15">
        <f t="shared" si="54"/>
        <v>23260784367</v>
      </c>
      <c r="S194" s="15">
        <f t="shared" si="55"/>
        <v>32001062364</v>
      </c>
      <c r="T194" s="16">
        <f t="shared" si="56"/>
        <v>55261846731</v>
      </c>
      <c r="U194">
        <v>97.037847170000006</v>
      </c>
      <c r="V194">
        <v>129.01505570699999</v>
      </c>
      <c r="W194" s="225">
        <f t="shared" si="33"/>
        <v>1.3295333673363476</v>
      </c>
      <c r="X194" s="240">
        <f t="shared" si="61"/>
        <v>15351690.901817355</v>
      </c>
      <c r="Y194" s="240">
        <f t="shared" si="62"/>
        <v>21441356.436290368</v>
      </c>
      <c r="Z194" s="240">
        <f t="shared" si="63"/>
        <v>36793047.33810772</v>
      </c>
      <c r="AA194" s="240">
        <f t="shared" si="64"/>
        <v>2143758.9593634862</v>
      </c>
      <c r="AB194" s="240">
        <f t="shared" si="65"/>
        <v>2628037.4955915385</v>
      </c>
      <c r="AC194" s="240">
        <f t="shared" si="66"/>
        <v>4771796.4549550246</v>
      </c>
      <c r="AD194" s="240">
        <f t="shared" si="67"/>
        <v>17495449.861180842</v>
      </c>
      <c r="AE194" s="240">
        <f t="shared" si="68"/>
        <v>24069393.931881905</v>
      </c>
      <c r="AF194" s="240">
        <f t="shared" si="69"/>
        <v>41564843.793062747</v>
      </c>
      <c r="AG194" s="240">
        <f t="shared" si="34"/>
        <v>20410585.298999999</v>
      </c>
      <c r="AH194" s="240">
        <f t="shared" si="35"/>
        <v>28506998.822999999</v>
      </c>
      <c r="AI194" s="240">
        <f t="shared" si="36"/>
        <v>48917584.122000001</v>
      </c>
      <c r="AJ194" s="240">
        <f t="shared" si="37"/>
        <v>2850199.068</v>
      </c>
      <c r="AK194" s="240">
        <f t="shared" si="38"/>
        <v>3494063.5410000002</v>
      </c>
      <c r="AL194" s="240">
        <f t="shared" si="39"/>
        <v>6344262.6090000002</v>
      </c>
      <c r="AM194" s="240">
        <f t="shared" si="40"/>
        <v>23260784.366999999</v>
      </c>
      <c r="AN194" s="240">
        <f t="shared" si="41"/>
        <v>32001062.364</v>
      </c>
      <c r="AO194" s="240">
        <f t="shared" si="42"/>
        <v>55261846.730999999</v>
      </c>
    </row>
    <row r="195" spans="2:41" hidden="1" x14ac:dyDescent="0.25">
      <c r="B195" s="14">
        <v>42917</v>
      </c>
      <c r="C195" s="15">
        <v>316011</v>
      </c>
      <c r="D195" s="15">
        <v>434836</v>
      </c>
      <c r="E195" s="15">
        <v>750847</v>
      </c>
      <c r="F195" s="15">
        <v>29485</v>
      </c>
      <c r="G195" s="15">
        <v>35288</v>
      </c>
      <c r="H195" s="15">
        <v>64773</v>
      </c>
      <c r="I195" s="15">
        <v>345496</v>
      </c>
      <c r="J195" s="15">
        <v>470124</v>
      </c>
      <c r="K195" s="15">
        <v>815620</v>
      </c>
      <c r="L195" s="15">
        <v>21475352472</v>
      </c>
      <c r="M195" s="15">
        <v>29820947833</v>
      </c>
      <c r="N195" s="15">
        <f t="shared" si="52"/>
        <v>51296300305</v>
      </c>
      <c r="O195" s="15">
        <v>2915674809</v>
      </c>
      <c r="P195" s="15">
        <v>3569695781</v>
      </c>
      <c r="Q195" s="15">
        <f t="shared" si="53"/>
        <v>6485370590</v>
      </c>
      <c r="R195" s="15">
        <f t="shared" si="54"/>
        <v>24391027281</v>
      </c>
      <c r="S195" s="15">
        <f t="shared" si="55"/>
        <v>33390643614</v>
      </c>
      <c r="T195" s="16">
        <f t="shared" si="56"/>
        <v>57781670895</v>
      </c>
      <c r="U195">
        <v>97.271810860000002</v>
      </c>
      <c r="V195">
        <v>129.01505570699999</v>
      </c>
      <c r="W195" s="225">
        <f t="shared" si="33"/>
        <v>1.326335498088824</v>
      </c>
      <c r="X195" s="240">
        <f t="shared" si="61"/>
        <v>16191493.40641549</v>
      </c>
      <c r="Y195" s="240">
        <f t="shared" si="62"/>
        <v>22483713.868753668</v>
      </c>
      <c r="Z195" s="240">
        <f t="shared" si="63"/>
        <v>38675207.275169156</v>
      </c>
      <c r="AA195" s="240">
        <f t="shared" si="64"/>
        <v>2198293.5789634869</v>
      </c>
      <c r="AB195" s="240">
        <f t="shared" si="65"/>
        <v>2691397.3019222771</v>
      </c>
      <c r="AC195" s="240">
        <f t="shared" si="66"/>
        <v>4889690.880885764</v>
      </c>
      <c r="AD195" s="240">
        <f t="shared" si="67"/>
        <v>18389786.985378977</v>
      </c>
      <c r="AE195" s="240">
        <f t="shared" si="68"/>
        <v>25175111.170675948</v>
      </c>
      <c r="AF195" s="240">
        <f t="shared" si="69"/>
        <v>43564898.156054921</v>
      </c>
      <c r="AG195" s="240">
        <f t="shared" si="34"/>
        <v>21475352.471999999</v>
      </c>
      <c r="AH195" s="240">
        <f t="shared" si="35"/>
        <v>29820947.833000001</v>
      </c>
      <c r="AI195" s="240">
        <f t="shared" si="36"/>
        <v>51296300.305</v>
      </c>
      <c r="AJ195" s="240">
        <f t="shared" si="37"/>
        <v>2915674.8089999999</v>
      </c>
      <c r="AK195" s="240">
        <f t="shared" si="38"/>
        <v>3569695.781</v>
      </c>
      <c r="AL195" s="240">
        <f t="shared" si="39"/>
        <v>6485370.5899999999</v>
      </c>
      <c r="AM195" s="240">
        <f t="shared" si="40"/>
        <v>24391027.280999999</v>
      </c>
      <c r="AN195" s="240">
        <f t="shared" si="41"/>
        <v>33390643.614</v>
      </c>
      <c r="AO195" s="240">
        <f t="shared" si="42"/>
        <v>57781670.895000003</v>
      </c>
    </row>
    <row r="196" spans="2:41" hidden="1" x14ac:dyDescent="0.25">
      <c r="B196" s="14">
        <v>42948</v>
      </c>
      <c r="C196" s="15">
        <v>317865</v>
      </c>
      <c r="D196" s="15">
        <v>436895</v>
      </c>
      <c r="E196" s="15">
        <v>754760</v>
      </c>
      <c r="F196" s="15">
        <v>29535</v>
      </c>
      <c r="G196" s="15">
        <v>35290</v>
      </c>
      <c r="H196" s="15">
        <v>64825</v>
      </c>
      <c r="I196" s="15">
        <v>347400</v>
      </c>
      <c r="J196" s="15">
        <v>472185</v>
      </c>
      <c r="K196" s="15">
        <v>819585</v>
      </c>
      <c r="L196" s="15">
        <v>21403202716</v>
      </c>
      <c r="M196" s="15">
        <v>29744478148</v>
      </c>
      <c r="N196" s="15">
        <f t="shared" si="52"/>
        <v>51147680864</v>
      </c>
      <c r="O196" s="15">
        <v>2916354606</v>
      </c>
      <c r="P196" s="15">
        <v>3550245569</v>
      </c>
      <c r="Q196" s="15">
        <f t="shared" si="53"/>
        <v>6466600175</v>
      </c>
      <c r="R196" s="15">
        <f t="shared" si="54"/>
        <v>24319557322</v>
      </c>
      <c r="S196" s="15">
        <f t="shared" si="55"/>
        <v>33294723717</v>
      </c>
      <c r="T196" s="16">
        <f t="shared" si="56"/>
        <v>57614281039</v>
      </c>
      <c r="U196">
        <v>97.468426390000005</v>
      </c>
      <c r="V196">
        <v>129.01505570699999</v>
      </c>
      <c r="W196" s="225">
        <f t="shared" si="33"/>
        <v>1.3236599839087644</v>
      </c>
      <c r="X196" s="240">
        <f t="shared" si="61"/>
        <v>16169713.503611706</v>
      </c>
      <c r="Y196" s="240">
        <f t="shared" si="62"/>
        <v>22471388.807996321</v>
      </c>
      <c r="Z196" s="240">
        <f t="shared" si="63"/>
        <v>38641102.311608024</v>
      </c>
      <c r="AA196" s="240">
        <f t="shared" si="64"/>
        <v>2203250.563931088</v>
      </c>
      <c r="AB196" s="240">
        <f t="shared" si="65"/>
        <v>2682143.1577285691</v>
      </c>
      <c r="AC196" s="240">
        <f t="shared" si="66"/>
        <v>4885393.7216596566</v>
      </c>
      <c r="AD196" s="240">
        <f t="shared" si="67"/>
        <v>18372964.067542795</v>
      </c>
      <c r="AE196" s="240">
        <f t="shared" si="68"/>
        <v>25153531.965724893</v>
      </c>
      <c r="AF196" s="240">
        <f t="shared" si="69"/>
        <v>43526496.033267684</v>
      </c>
      <c r="AG196" s="240">
        <f t="shared" si="34"/>
        <v>21403202.715999998</v>
      </c>
      <c r="AH196" s="240">
        <f t="shared" si="35"/>
        <v>29744478.147999998</v>
      </c>
      <c r="AI196" s="240">
        <f t="shared" si="36"/>
        <v>51147680.864</v>
      </c>
      <c r="AJ196" s="240">
        <f t="shared" si="37"/>
        <v>2916354.6060000001</v>
      </c>
      <c r="AK196" s="240">
        <f t="shared" si="38"/>
        <v>3550245.5690000001</v>
      </c>
      <c r="AL196" s="240">
        <f t="shared" si="39"/>
        <v>6466600.1749999998</v>
      </c>
      <c r="AM196" s="240">
        <f t="shared" si="40"/>
        <v>24319557.322000001</v>
      </c>
      <c r="AN196" s="240">
        <f t="shared" si="41"/>
        <v>33294723.717</v>
      </c>
      <c r="AO196" s="240">
        <f t="shared" si="42"/>
        <v>57614281.038999997</v>
      </c>
    </row>
    <row r="197" spans="2:41" hidden="1" x14ac:dyDescent="0.25">
      <c r="B197" s="14">
        <v>42979</v>
      </c>
      <c r="C197" s="15">
        <v>319533</v>
      </c>
      <c r="D197" s="15">
        <v>439139</v>
      </c>
      <c r="E197" s="15">
        <v>758672</v>
      </c>
      <c r="F197" s="15">
        <v>29509</v>
      </c>
      <c r="G197" s="15">
        <v>35214</v>
      </c>
      <c r="H197" s="15">
        <v>64723</v>
      </c>
      <c r="I197" s="15">
        <v>349042</v>
      </c>
      <c r="J197" s="15">
        <v>474353</v>
      </c>
      <c r="K197" s="15">
        <v>823395</v>
      </c>
      <c r="L197" s="15">
        <v>21478966999</v>
      </c>
      <c r="M197" s="15">
        <v>29976170540</v>
      </c>
      <c r="N197" s="15">
        <f t="shared" si="52"/>
        <v>51455137539</v>
      </c>
      <c r="O197" s="15">
        <v>2901995397</v>
      </c>
      <c r="P197" s="15">
        <v>3535566330</v>
      </c>
      <c r="Q197" s="15">
        <f t="shared" si="53"/>
        <v>6437561727</v>
      </c>
      <c r="R197" s="15">
        <f t="shared" si="54"/>
        <v>24380962396</v>
      </c>
      <c r="S197" s="15">
        <f t="shared" si="55"/>
        <v>33511736870</v>
      </c>
      <c r="T197" s="16">
        <f t="shared" si="56"/>
        <v>57892699266</v>
      </c>
      <c r="U197">
        <v>97.321077840000001</v>
      </c>
      <c r="V197">
        <v>129.01505570699999</v>
      </c>
      <c r="W197" s="225">
        <f t="shared" si="33"/>
        <v>1.3256640654875014</v>
      </c>
      <c r="X197" s="240">
        <f t="shared" si="61"/>
        <v>16202420.777771704</v>
      </c>
      <c r="Y197" s="240">
        <f t="shared" si="62"/>
        <v>22612192.123482298</v>
      </c>
      <c r="Z197" s="240">
        <f t="shared" si="63"/>
        <v>38814612.901253998</v>
      </c>
      <c r="AA197" s="240">
        <f t="shared" si="64"/>
        <v>2189088.0748380371</v>
      </c>
      <c r="AB197" s="240">
        <f t="shared" si="65"/>
        <v>2667015.288447022</v>
      </c>
      <c r="AC197" s="240">
        <f t="shared" si="66"/>
        <v>4856103.3632850591</v>
      </c>
      <c r="AD197" s="240">
        <f t="shared" si="67"/>
        <v>18391508.852609742</v>
      </c>
      <c r="AE197" s="240">
        <f t="shared" si="68"/>
        <v>25279207.411929321</v>
      </c>
      <c r="AF197" s="240">
        <f t="shared" si="69"/>
        <v>43670716.264539063</v>
      </c>
      <c r="AG197" s="240">
        <f t="shared" si="34"/>
        <v>21478966.999000002</v>
      </c>
      <c r="AH197" s="240">
        <f t="shared" si="35"/>
        <v>29976170.539999999</v>
      </c>
      <c r="AI197" s="240">
        <f t="shared" si="36"/>
        <v>51455137.538999997</v>
      </c>
      <c r="AJ197" s="240">
        <f t="shared" si="37"/>
        <v>2901995.3969999999</v>
      </c>
      <c r="AK197" s="240">
        <f t="shared" si="38"/>
        <v>3535566.33</v>
      </c>
      <c r="AL197" s="240">
        <f t="shared" si="39"/>
        <v>6437561.727</v>
      </c>
      <c r="AM197" s="240">
        <f t="shared" si="40"/>
        <v>24380962.396000002</v>
      </c>
      <c r="AN197" s="240">
        <f t="shared" si="41"/>
        <v>33511736.870000001</v>
      </c>
      <c r="AO197" s="240">
        <f t="shared" si="42"/>
        <v>57892699.266000003</v>
      </c>
    </row>
    <row r="198" spans="2:41" hidden="1" x14ac:dyDescent="0.25">
      <c r="B198" s="14">
        <v>43009</v>
      </c>
      <c r="C198" s="15">
        <v>321666</v>
      </c>
      <c r="D198" s="15">
        <v>442652</v>
      </c>
      <c r="E198" s="15">
        <v>764318</v>
      </c>
      <c r="F198" s="15">
        <v>29486</v>
      </c>
      <c r="G198" s="15">
        <v>35178</v>
      </c>
      <c r="H198" s="15">
        <v>64664</v>
      </c>
      <c r="I198" s="15">
        <v>351152</v>
      </c>
      <c r="J198" s="15">
        <v>477830</v>
      </c>
      <c r="K198" s="15">
        <v>828982</v>
      </c>
      <c r="L198" s="15">
        <v>21719831153</v>
      </c>
      <c r="M198" s="15">
        <v>30342106068</v>
      </c>
      <c r="N198" s="15">
        <f t="shared" si="52"/>
        <v>52061937221</v>
      </c>
      <c r="O198" s="15">
        <v>2901994196</v>
      </c>
      <c r="P198" s="15">
        <v>3546912231</v>
      </c>
      <c r="Q198" s="15">
        <f t="shared" si="53"/>
        <v>6448906427</v>
      </c>
      <c r="R198" s="15">
        <f t="shared" si="54"/>
        <v>24621825349</v>
      </c>
      <c r="S198" s="15">
        <f t="shared" si="55"/>
        <v>33889018299</v>
      </c>
      <c r="T198" s="16">
        <f t="shared" si="56"/>
        <v>58510843648</v>
      </c>
      <c r="U198">
        <v>97.892102530000003</v>
      </c>
      <c r="V198">
        <v>129.01505570699999</v>
      </c>
      <c r="W198" s="225">
        <f t="shared" si="33"/>
        <v>1.3179311953940518</v>
      </c>
      <c r="X198" s="240">
        <f t="shared" si="61"/>
        <v>16480246.638752587</v>
      </c>
      <c r="Y198" s="240">
        <f t="shared" si="62"/>
        <v>23022526.649373326</v>
      </c>
      <c r="Z198" s="240">
        <f t="shared" si="63"/>
        <v>39502773.28812591</v>
      </c>
      <c r="AA198" s="240">
        <f t="shared" si="64"/>
        <v>2201931.4863643735</v>
      </c>
      <c r="AB198" s="240">
        <f t="shared" si="65"/>
        <v>2691272.6881311121</v>
      </c>
      <c r="AC198" s="240">
        <f t="shared" si="66"/>
        <v>4893204.1744954865</v>
      </c>
      <c r="AD198" s="240">
        <f t="shared" si="67"/>
        <v>18682178.125116959</v>
      </c>
      <c r="AE198" s="240">
        <f t="shared" si="68"/>
        <v>25713799.337504435</v>
      </c>
      <c r="AF198" s="240">
        <f t="shared" si="69"/>
        <v>44395977.462621398</v>
      </c>
      <c r="AG198" s="240">
        <f t="shared" si="34"/>
        <v>21719831.153000001</v>
      </c>
      <c r="AH198" s="240">
        <f t="shared" si="35"/>
        <v>30342106.068</v>
      </c>
      <c r="AI198" s="240">
        <f t="shared" si="36"/>
        <v>52061937.221000001</v>
      </c>
      <c r="AJ198" s="240">
        <f t="shared" si="37"/>
        <v>2901994.196</v>
      </c>
      <c r="AK198" s="240">
        <f t="shared" si="38"/>
        <v>3546912.2310000001</v>
      </c>
      <c r="AL198" s="240">
        <f t="shared" si="39"/>
        <v>6448906.4270000001</v>
      </c>
      <c r="AM198" s="240">
        <f t="shared" si="40"/>
        <v>24621825.348999999</v>
      </c>
      <c r="AN198" s="240">
        <f t="shared" si="41"/>
        <v>33889018.299000002</v>
      </c>
      <c r="AO198" s="240">
        <f t="shared" si="42"/>
        <v>58510843.648000002</v>
      </c>
    </row>
    <row r="199" spans="2:41" hidden="1" x14ac:dyDescent="0.25">
      <c r="B199" s="14">
        <v>43040</v>
      </c>
      <c r="C199" s="15">
        <v>323597</v>
      </c>
      <c r="D199" s="15">
        <v>445509</v>
      </c>
      <c r="E199" s="15">
        <v>769106</v>
      </c>
      <c r="F199" s="15">
        <v>29463</v>
      </c>
      <c r="G199" s="15">
        <v>35101</v>
      </c>
      <c r="H199" s="15">
        <v>64564</v>
      </c>
      <c r="I199" s="15">
        <v>353060</v>
      </c>
      <c r="J199" s="15">
        <v>480610</v>
      </c>
      <c r="K199" s="15">
        <v>833670</v>
      </c>
      <c r="L199" s="15">
        <v>21792278573</v>
      </c>
      <c r="M199" s="15">
        <v>30540621130</v>
      </c>
      <c r="N199" s="15">
        <f t="shared" si="52"/>
        <v>52332899703</v>
      </c>
      <c r="O199" s="15">
        <v>2902061934</v>
      </c>
      <c r="P199" s="15">
        <v>3535958880</v>
      </c>
      <c r="Q199" s="15">
        <f t="shared" si="53"/>
        <v>6438020814</v>
      </c>
      <c r="R199" s="15">
        <f t="shared" si="54"/>
        <v>24694340507</v>
      </c>
      <c r="S199" s="15">
        <f t="shared" si="55"/>
        <v>34076580010</v>
      </c>
      <c r="T199" s="16">
        <f t="shared" si="56"/>
        <v>58770920517</v>
      </c>
      <c r="U199">
        <v>97.97588863</v>
      </c>
      <c r="V199">
        <v>129.01505570699999</v>
      </c>
      <c r="W199" s="225">
        <f t="shared" si="33"/>
        <v>1.3168041393757348</v>
      </c>
      <c r="X199" s="240">
        <f t="shared" si="61"/>
        <v>16549369.736437185</v>
      </c>
      <c r="Y199" s="240">
        <f t="shared" si="62"/>
        <v>23192986.881464828</v>
      </c>
      <c r="Z199" s="240">
        <f t="shared" si="63"/>
        <v>39742356.617902018</v>
      </c>
      <c r="AA199" s="240">
        <f t="shared" si="64"/>
        <v>2203867.5663457424</v>
      </c>
      <c r="AB199" s="240">
        <f t="shared" si="65"/>
        <v>2685258.0230164775</v>
      </c>
      <c r="AC199" s="240">
        <f t="shared" si="66"/>
        <v>4889125.5893622199</v>
      </c>
      <c r="AD199" s="240">
        <f t="shared" si="67"/>
        <v>18753237.302782927</v>
      </c>
      <c r="AE199" s="240">
        <f t="shared" si="68"/>
        <v>25878244.904481303</v>
      </c>
      <c r="AF199" s="240">
        <f t="shared" si="69"/>
        <v>44631482.207264237</v>
      </c>
      <c r="AG199" s="240">
        <f t="shared" si="34"/>
        <v>21792278.572999999</v>
      </c>
      <c r="AH199" s="240">
        <f t="shared" si="35"/>
        <v>30540621.129999999</v>
      </c>
      <c r="AI199" s="240">
        <f t="shared" si="36"/>
        <v>52332899.703000002</v>
      </c>
      <c r="AJ199" s="240">
        <f t="shared" si="37"/>
        <v>2902061.9339999999</v>
      </c>
      <c r="AK199" s="240">
        <f t="shared" si="38"/>
        <v>3535958.88</v>
      </c>
      <c r="AL199" s="240">
        <f t="shared" si="39"/>
        <v>6438020.8140000002</v>
      </c>
      <c r="AM199" s="240">
        <f t="shared" si="40"/>
        <v>24694340.506999999</v>
      </c>
      <c r="AN199" s="240">
        <f t="shared" si="41"/>
        <v>34076580.009999998</v>
      </c>
      <c r="AO199" s="240">
        <f t="shared" si="42"/>
        <v>58770920.516999997</v>
      </c>
    </row>
    <row r="200" spans="2:41" hidden="1" x14ac:dyDescent="0.25">
      <c r="B200" s="17">
        <v>43070</v>
      </c>
      <c r="C200" s="18">
        <v>325611</v>
      </c>
      <c r="D200" s="18">
        <v>448472</v>
      </c>
      <c r="E200" s="18">
        <v>774083</v>
      </c>
      <c r="F200" s="18">
        <v>29394</v>
      </c>
      <c r="G200" s="18">
        <v>35047</v>
      </c>
      <c r="H200" s="18">
        <v>64441</v>
      </c>
      <c r="I200" s="19">
        <v>355005</v>
      </c>
      <c r="J200" s="19">
        <v>483519</v>
      </c>
      <c r="K200" s="19">
        <v>838524</v>
      </c>
      <c r="L200" s="18">
        <v>21952336185</v>
      </c>
      <c r="M200" s="18">
        <v>30810925061</v>
      </c>
      <c r="N200" s="18">
        <f t="shared" si="52"/>
        <v>52763261246</v>
      </c>
      <c r="O200" s="18">
        <v>2890050152</v>
      </c>
      <c r="P200" s="18">
        <v>3527621344</v>
      </c>
      <c r="Q200" s="18">
        <f t="shared" si="53"/>
        <v>6417671496</v>
      </c>
      <c r="R200" s="18">
        <f t="shared" si="54"/>
        <v>24842386337</v>
      </c>
      <c r="S200" s="18">
        <f t="shared" si="55"/>
        <v>34338546405</v>
      </c>
      <c r="T200" s="18">
        <f t="shared" si="56"/>
        <v>59180932742</v>
      </c>
      <c r="U200">
        <v>98.120592090000002</v>
      </c>
      <c r="V200">
        <v>129.01505570699999</v>
      </c>
      <c r="W200" s="225">
        <f t="shared" si="33"/>
        <v>1.3148621809034986</v>
      </c>
      <c r="X200" s="240">
        <f t="shared" si="61"/>
        <v>16695541.55851954</v>
      </c>
      <c r="Y200" s="240">
        <f t="shared" si="62"/>
        <v>23432817.148812115</v>
      </c>
      <c r="Z200" s="240">
        <f t="shared" si="63"/>
        <v>40128358.707331657</v>
      </c>
      <c r="AA200" s="240">
        <f t="shared" si="64"/>
        <v>2197987.130494636</v>
      </c>
      <c r="AB200" s="240">
        <f t="shared" si="65"/>
        <v>2682882.9631224307</v>
      </c>
      <c r="AC200" s="240">
        <f t="shared" si="66"/>
        <v>4880870.0936170677</v>
      </c>
      <c r="AD200" s="240">
        <f t="shared" si="67"/>
        <v>18893528.689014178</v>
      </c>
      <c r="AE200" s="240">
        <f t="shared" si="68"/>
        <v>26115700.111934546</v>
      </c>
      <c r="AF200" s="240">
        <f t="shared" si="69"/>
        <v>45009228.800948724</v>
      </c>
      <c r="AG200" s="240">
        <f t="shared" si="34"/>
        <v>21952336.184999999</v>
      </c>
      <c r="AH200" s="240">
        <f t="shared" si="35"/>
        <v>30810925.061000001</v>
      </c>
      <c r="AI200" s="240">
        <f t="shared" si="36"/>
        <v>52763261.245999999</v>
      </c>
      <c r="AJ200" s="240">
        <f t="shared" si="37"/>
        <v>2890050.1519999998</v>
      </c>
      <c r="AK200" s="240">
        <f t="shared" si="38"/>
        <v>3527621.344</v>
      </c>
      <c r="AL200" s="240">
        <f t="shared" si="39"/>
        <v>6417671.4960000003</v>
      </c>
      <c r="AM200" s="240">
        <f t="shared" si="40"/>
        <v>24842386.337000001</v>
      </c>
      <c r="AN200" s="240">
        <f t="shared" si="41"/>
        <v>34338546.405000001</v>
      </c>
      <c r="AO200" s="240">
        <f t="shared" si="42"/>
        <v>59180932.741999999</v>
      </c>
    </row>
    <row r="201" spans="2:41" hidden="1" x14ac:dyDescent="0.25">
      <c r="B201" s="14">
        <v>43101</v>
      </c>
      <c r="C201" s="15">
        <v>327550</v>
      </c>
      <c r="D201" s="15">
        <v>451178</v>
      </c>
      <c r="E201" s="15">
        <v>778728</v>
      </c>
      <c r="F201" s="15">
        <v>29405</v>
      </c>
      <c r="G201" s="15">
        <v>35049</v>
      </c>
      <c r="H201" s="15">
        <v>64454</v>
      </c>
      <c r="I201" s="15">
        <v>356955</v>
      </c>
      <c r="J201" s="15">
        <v>486227</v>
      </c>
      <c r="K201" s="15">
        <v>843182</v>
      </c>
      <c r="L201" s="15">
        <v>22079706386</v>
      </c>
      <c r="M201" s="15">
        <v>31016005504</v>
      </c>
      <c r="N201" s="15">
        <f t="shared" si="52"/>
        <v>53095711890</v>
      </c>
      <c r="O201" s="15">
        <v>2896976921</v>
      </c>
      <c r="P201" s="15">
        <v>3527121043</v>
      </c>
      <c r="Q201" s="15">
        <f t="shared" si="53"/>
        <v>6424097964</v>
      </c>
      <c r="R201" s="15">
        <f t="shared" si="54"/>
        <v>24976683307</v>
      </c>
      <c r="S201" s="15">
        <f t="shared" si="55"/>
        <v>34543126547</v>
      </c>
      <c r="T201" s="16">
        <f t="shared" si="56"/>
        <v>59519809854</v>
      </c>
      <c r="U201">
        <v>98.572460250000006</v>
      </c>
      <c r="V201">
        <v>129.01505570699999</v>
      </c>
      <c r="W201" s="225">
        <f t="shared" si="33"/>
        <v>1.3088346925682011</v>
      </c>
      <c r="X201" s="240">
        <f t="shared" si="61"/>
        <v>16869744.140625663</v>
      </c>
      <c r="Y201" s="240">
        <f t="shared" si="62"/>
        <v>23697420.063904528</v>
      </c>
      <c r="Z201" s="240">
        <f t="shared" si="63"/>
        <v>40567164.204530187</v>
      </c>
      <c r="AA201" s="240">
        <f t="shared" si="64"/>
        <v>2213401.6904117502</v>
      </c>
      <c r="AB201" s="240">
        <f t="shared" si="65"/>
        <v>2694856.0143061825</v>
      </c>
      <c r="AC201" s="240">
        <f t="shared" si="66"/>
        <v>4908257.7047179323</v>
      </c>
      <c r="AD201" s="240">
        <f t="shared" si="67"/>
        <v>19083145.831037413</v>
      </c>
      <c r="AE201" s="240">
        <f t="shared" si="68"/>
        <v>26392276.078210708</v>
      </c>
      <c r="AF201" s="240">
        <f t="shared" si="69"/>
        <v>45475421.909248121</v>
      </c>
      <c r="AG201" s="240">
        <f t="shared" si="34"/>
        <v>22079706.386</v>
      </c>
      <c r="AH201" s="240">
        <f t="shared" si="35"/>
        <v>31016005.504000001</v>
      </c>
      <c r="AI201" s="240">
        <f t="shared" si="36"/>
        <v>53095711.890000001</v>
      </c>
      <c r="AJ201" s="240">
        <f t="shared" si="37"/>
        <v>2896976.9210000001</v>
      </c>
      <c r="AK201" s="240">
        <f t="shared" si="38"/>
        <v>3527121.0430000001</v>
      </c>
      <c r="AL201" s="240">
        <f t="shared" si="39"/>
        <v>6424097.9639999997</v>
      </c>
      <c r="AM201" s="240">
        <f t="shared" si="40"/>
        <v>24976683.307</v>
      </c>
      <c r="AN201" s="240">
        <f t="shared" si="41"/>
        <v>34543126.546999998</v>
      </c>
      <c r="AO201" s="240">
        <f t="shared" si="42"/>
        <v>59519809.854000002</v>
      </c>
    </row>
    <row r="202" spans="2:41" hidden="1" x14ac:dyDescent="0.25">
      <c r="B202" s="14">
        <v>43132</v>
      </c>
      <c r="C202" s="15">
        <v>329547</v>
      </c>
      <c r="D202" s="15">
        <v>453700</v>
      </c>
      <c r="E202" s="15">
        <v>783247</v>
      </c>
      <c r="F202" s="15">
        <v>29490</v>
      </c>
      <c r="G202" s="15">
        <v>35033</v>
      </c>
      <c r="H202" s="15">
        <v>64523</v>
      </c>
      <c r="I202" s="15">
        <v>359037</v>
      </c>
      <c r="J202" s="15">
        <v>488733</v>
      </c>
      <c r="K202" s="15">
        <v>847770</v>
      </c>
      <c r="L202" s="15">
        <v>22141134330</v>
      </c>
      <c r="M202" s="15">
        <v>30974827267</v>
      </c>
      <c r="N202" s="15">
        <f t="shared" si="52"/>
        <v>53115961597</v>
      </c>
      <c r="O202" s="15">
        <v>2906061927</v>
      </c>
      <c r="P202" s="15">
        <v>3521235328</v>
      </c>
      <c r="Q202" s="15">
        <f t="shared" si="53"/>
        <v>6427297255</v>
      </c>
      <c r="R202" s="15">
        <f t="shared" si="54"/>
        <v>25047196257</v>
      </c>
      <c r="S202" s="15">
        <f t="shared" si="55"/>
        <v>34496062595</v>
      </c>
      <c r="T202" s="16">
        <f t="shared" si="56"/>
        <v>59543258852</v>
      </c>
      <c r="U202">
        <v>98.616791239999998</v>
      </c>
      <c r="V202">
        <v>129.01505570699999</v>
      </c>
      <c r="W202" s="225">
        <f t="shared" si="33"/>
        <v>1.3082463349777917</v>
      </c>
      <c r="X202" s="240">
        <f t="shared" si="61"/>
        <v>16924285.387259163</v>
      </c>
      <c r="Y202" s="240">
        <f t="shared" si="62"/>
        <v>23676601.599289645</v>
      </c>
      <c r="Z202" s="240">
        <f t="shared" si="63"/>
        <v>40600886.986548811</v>
      </c>
      <c r="AA202" s="240">
        <f t="shared" si="64"/>
        <v>2221341.5389001127</v>
      </c>
      <c r="AB202" s="240">
        <f t="shared" si="65"/>
        <v>2691569.0370038566</v>
      </c>
      <c r="AC202" s="240">
        <f t="shared" si="66"/>
        <v>4912910.5759039698</v>
      </c>
      <c r="AD202" s="240">
        <f t="shared" si="67"/>
        <v>19145626.926159278</v>
      </c>
      <c r="AE202" s="240">
        <f t="shared" si="68"/>
        <v>26368170.636293504</v>
      </c>
      <c r="AF202" s="240">
        <f t="shared" si="69"/>
        <v>45513797.562452778</v>
      </c>
      <c r="AG202" s="240">
        <f t="shared" si="34"/>
        <v>22141134.329999998</v>
      </c>
      <c r="AH202" s="240">
        <f t="shared" si="35"/>
        <v>30974827.267000001</v>
      </c>
      <c r="AI202" s="240">
        <f t="shared" si="36"/>
        <v>53115961.597000003</v>
      </c>
      <c r="AJ202" s="240">
        <f t="shared" si="37"/>
        <v>2906061.9270000001</v>
      </c>
      <c r="AK202" s="240">
        <f t="shared" si="38"/>
        <v>3521235.3280000002</v>
      </c>
      <c r="AL202" s="240">
        <f t="shared" si="39"/>
        <v>6427297.2549999999</v>
      </c>
      <c r="AM202" s="240">
        <f t="shared" si="40"/>
        <v>25047196.256999999</v>
      </c>
      <c r="AN202" s="240">
        <f t="shared" si="41"/>
        <v>34496062.594999999</v>
      </c>
      <c r="AO202" s="240">
        <f t="shared" si="42"/>
        <v>59543258.851999998</v>
      </c>
    </row>
    <row r="203" spans="2:41" hidden="1" x14ac:dyDescent="0.25">
      <c r="B203" s="14">
        <v>43160</v>
      </c>
      <c r="C203" s="15">
        <v>332732</v>
      </c>
      <c r="D203" s="15">
        <v>458631</v>
      </c>
      <c r="E203" s="15">
        <v>791363</v>
      </c>
      <c r="F203" s="15">
        <v>29743</v>
      </c>
      <c r="G203" s="15">
        <v>35283</v>
      </c>
      <c r="H203" s="15">
        <v>65026</v>
      </c>
      <c r="I203" s="15">
        <v>362475</v>
      </c>
      <c r="J203" s="15">
        <v>493914</v>
      </c>
      <c r="K203" s="15">
        <v>856389</v>
      </c>
      <c r="L203" s="15">
        <v>22568380043</v>
      </c>
      <c r="M203" s="15">
        <v>31717601551</v>
      </c>
      <c r="N203" s="15">
        <f t="shared" si="52"/>
        <v>54285981594</v>
      </c>
      <c r="O203" s="15">
        <v>2952555039</v>
      </c>
      <c r="P203" s="15">
        <v>3578391634</v>
      </c>
      <c r="Q203" s="15">
        <f t="shared" si="53"/>
        <v>6530946673</v>
      </c>
      <c r="R203" s="15">
        <f t="shared" si="54"/>
        <v>25520935082</v>
      </c>
      <c r="S203" s="15">
        <f t="shared" si="55"/>
        <v>35295993185</v>
      </c>
      <c r="T203" s="16">
        <f t="shared" si="56"/>
        <v>60816928267</v>
      </c>
      <c r="U203">
        <v>98.818593930000006</v>
      </c>
      <c r="V203">
        <v>129.01505570699999</v>
      </c>
      <c r="W203" s="225">
        <f t="shared" si="33"/>
        <v>1.3055746957742609</v>
      </c>
      <c r="X203" s="240">
        <f t="shared" si="61"/>
        <v>17286165.330905098</v>
      </c>
      <c r="Y203" s="240">
        <f t="shared" si="62"/>
        <v>24293976.93878413</v>
      </c>
      <c r="Z203" s="240">
        <f t="shared" si="63"/>
        <v>41580142.269689232</v>
      </c>
      <c r="AA203" s="240">
        <f t="shared" si="64"/>
        <v>2261498.3643268379</v>
      </c>
      <c r="AB203" s="240">
        <f t="shared" si="65"/>
        <v>2740855.5370919337</v>
      </c>
      <c r="AC203" s="240">
        <f t="shared" si="66"/>
        <v>5002353.9014187716</v>
      </c>
      <c r="AD203" s="240">
        <f t="shared" si="67"/>
        <v>19547663.695231937</v>
      </c>
      <c r="AE203" s="240">
        <f t="shared" si="68"/>
        <v>27034832.475876063</v>
      </c>
      <c r="AF203" s="240">
        <f t="shared" si="69"/>
        <v>46582496.171108</v>
      </c>
      <c r="AG203" s="240">
        <f t="shared" si="34"/>
        <v>22568380.043000001</v>
      </c>
      <c r="AH203" s="240">
        <f t="shared" si="35"/>
        <v>31717601.550999999</v>
      </c>
      <c r="AI203" s="240">
        <f t="shared" si="36"/>
        <v>54285981.593999997</v>
      </c>
      <c r="AJ203" s="240">
        <f t="shared" si="37"/>
        <v>2952555.0389999999</v>
      </c>
      <c r="AK203" s="240">
        <f t="shared" si="38"/>
        <v>3578391.6340000001</v>
      </c>
      <c r="AL203" s="240">
        <f t="shared" si="39"/>
        <v>6530946.6730000004</v>
      </c>
      <c r="AM203" s="240">
        <f t="shared" si="40"/>
        <v>25520935.081999999</v>
      </c>
      <c r="AN203" s="240">
        <f t="shared" si="41"/>
        <v>35295993.185000002</v>
      </c>
      <c r="AO203" s="240">
        <f t="shared" si="42"/>
        <v>60816928.266999997</v>
      </c>
    </row>
    <row r="204" spans="2:41" hidden="1" x14ac:dyDescent="0.25">
      <c r="B204" s="14">
        <v>43191</v>
      </c>
      <c r="C204" s="15">
        <v>336427</v>
      </c>
      <c r="D204" s="15">
        <v>464449</v>
      </c>
      <c r="E204" s="15">
        <v>800876</v>
      </c>
      <c r="F204" s="15">
        <v>29988</v>
      </c>
      <c r="G204" s="15">
        <v>35549</v>
      </c>
      <c r="H204" s="15">
        <v>65537</v>
      </c>
      <c r="I204" s="15">
        <v>366415</v>
      </c>
      <c r="J204" s="15">
        <v>499998</v>
      </c>
      <c r="K204" s="15">
        <v>866413</v>
      </c>
      <c r="L204" s="15">
        <v>22802667324</v>
      </c>
      <c r="M204" s="15">
        <v>32183666956</v>
      </c>
      <c r="N204" s="15">
        <f t="shared" si="52"/>
        <v>54986334280</v>
      </c>
      <c r="O204" s="15">
        <v>2955326007</v>
      </c>
      <c r="P204" s="15">
        <v>3587054371</v>
      </c>
      <c r="Q204" s="15">
        <f t="shared" si="53"/>
        <v>6542380378</v>
      </c>
      <c r="R204" s="15">
        <f t="shared" si="54"/>
        <v>25757993331</v>
      </c>
      <c r="S204" s="15">
        <f t="shared" si="55"/>
        <v>35770721327</v>
      </c>
      <c r="T204" s="16">
        <f t="shared" si="56"/>
        <v>61528714658</v>
      </c>
      <c r="U204">
        <v>99.131000330000006</v>
      </c>
      <c r="V204">
        <v>129.01505570699999</v>
      </c>
      <c r="W204" s="225">
        <f t="shared" si="33"/>
        <v>1.3014602422805994</v>
      </c>
      <c r="X204" s="240">
        <f t="shared" si="61"/>
        <v>17520832.817790881</v>
      </c>
      <c r="Y204" s="240">
        <f t="shared" si="62"/>
        <v>24728889.835008182</v>
      </c>
      <c r="Z204" s="240">
        <f t="shared" si="63"/>
        <v>42249722.652799062</v>
      </c>
      <c r="AA204" s="240">
        <f t="shared" si="64"/>
        <v>2270777.0172227984</v>
      </c>
      <c r="AB204" s="240">
        <f t="shared" si="65"/>
        <v>2756176.68098279</v>
      </c>
      <c r="AC204" s="240">
        <f t="shared" si="66"/>
        <v>5026953.6982055884</v>
      </c>
      <c r="AD204" s="240">
        <f t="shared" si="67"/>
        <v>19791609.83501368</v>
      </c>
      <c r="AE204" s="240">
        <f t="shared" si="68"/>
        <v>27485066.515990969</v>
      </c>
      <c r="AF204" s="240">
        <f t="shared" si="69"/>
        <v>47276676.351004653</v>
      </c>
      <c r="AG204" s="240">
        <f t="shared" si="34"/>
        <v>22802667.324000001</v>
      </c>
      <c r="AH204" s="240">
        <f t="shared" si="35"/>
        <v>32183666.956</v>
      </c>
      <c r="AI204" s="240">
        <f t="shared" si="36"/>
        <v>54986334.280000001</v>
      </c>
      <c r="AJ204" s="240">
        <f t="shared" si="37"/>
        <v>2955326.0070000002</v>
      </c>
      <c r="AK204" s="240">
        <f t="shared" si="38"/>
        <v>3587054.3709999998</v>
      </c>
      <c r="AL204" s="240">
        <f t="shared" si="39"/>
        <v>6542380.3779999996</v>
      </c>
      <c r="AM204" s="240">
        <f t="shared" si="40"/>
        <v>25757993.331</v>
      </c>
      <c r="AN204" s="240">
        <f t="shared" si="41"/>
        <v>35770721.327</v>
      </c>
      <c r="AO204" s="240">
        <f t="shared" si="42"/>
        <v>61528714.658</v>
      </c>
    </row>
    <row r="205" spans="2:41" hidden="1" x14ac:dyDescent="0.25">
      <c r="B205" s="14">
        <v>43221</v>
      </c>
      <c r="C205" s="15">
        <v>339383</v>
      </c>
      <c r="D205" s="15">
        <v>468409</v>
      </c>
      <c r="E205" s="15">
        <v>807792</v>
      </c>
      <c r="F205" s="15">
        <v>30386</v>
      </c>
      <c r="G205" s="15">
        <v>35884</v>
      </c>
      <c r="H205" s="15">
        <v>66270</v>
      </c>
      <c r="I205" s="15">
        <v>369769</v>
      </c>
      <c r="J205" s="15">
        <v>504293</v>
      </c>
      <c r="K205" s="15">
        <v>874062</v>
      </c>
      <c r="L205" s="15">
        <v>22971107954</v>
      </c>
      <c r="M205" s="15">
        <v>32299686549</v>
      </c>
      <c r="N205" s="15">
        <f t="shared" si="52"/>
        <v>55270794503</v>
      </c>
      <c r="O205" s="15">
        <v>2998856462</v>
      </c>
      <c r="P205" s="15">
        <v>3628450113</v>
      </c>
      <c r="Q205" s="15">
        <f t="shared" si="53"/>
        <v>6627306575</v>
      </c>
      <c r="R205" s="15">
        <f t="shared" si="54"/>
        <v>25969964416</v>
      </c>
      <c r="S205" s="15">
        <f t="shared" si="55"/>
        <v>35928136662</v>
      </c>
      <c r="T205" s="16">
        <f t="shared" si="56"/>
        <v>61898101078</v>
      </c>
      <c r="U205">
        <v>99.408296890000003</v>
      </c>
      <c r="V205">
        <v>129.01505570699999</v>
      </c>
      <c r="W205" s="225">
        <f t="shared" si="33"/>
        <v>1.2978298566945701</v>
      </c>
      <c r="X205" s="240">
        <f t="shared" si="61"/>
        <v>17699629.759254333</v>
      </c>
      <c r="Y205" s="240">
        <f t="shared" si="62"/>
        <v>24887458.384771448</v>
      </c>
      <c r="Z205" s="240">
        <f t="shared" si="63"/>
        <v>42587088.14402578</v>
      </c>
      <c r="AA205" s="240">
        <f t="shared" si="64"/>
        <v>2310669.9591869134</v>
      </c>
      <c r="AB205" s="240">
        <f t="shared" si="65"/>
        <v>2795782.586048115</v>
      </c>
      <c r="AC205" s="240">
        <f t="shared" si="66"/>
        <v>5106452.5452350294</v>
      </c>
      <c r="AD205" s="240">
        <f t="shared" si="67"/>
        <v>20010299.718441244</v>
      </c>
      <c r="AE205" s="240">
        <f t="shared" si="68"/>
        <v>27683240.970819563</v>
      </c>
      <c r="AF205" s="240">
        <f t="shared" si="69"/>
        <v>47693540.689260811</v>
      </c>
      <c r="AG205" s="240">
        <f t="shared" si="34"/>
        <v>22971107.954</v>
      </c>
      <c r="AH205" s="240">
        <f t="shared" si="35"/>
        <v>32299686.548999999</v>
      </c>
      <c r="AI205" s="240">
        <f t="shared" si="36"/>
        <v>55270794.502999999</v>
      </c>
      <c r="AJ205" s="240">
        <f t="shared" si="37"/>
        <v>2998856.4619999998</v>
      </c>
      <c r="AK205" s="240">
        <f t="shared" si="38"/>
        <v>3628450.1129999999</v>
      </c>
      <c r="AL205" s="240">
        <f t="shared" si="39"/>
        <v>6627306.5750000002</v>
      </c>
      <c r="AM205" s="240">
        <f t="shared" si="40"/>
        <v>25969964.416000001</v>
      </c>
      <c r="AN205" s="240">
        <f t="shared" si="41"/>
        <v>35928136.662</v>
      </c>
      <c r="AO205" s="240">
        <f t="shared" si="42"/>
        <v>61898101.078000002</v>
      </c>
    </row>
    <row r="206" spans="2:41" hidden="1" x14ac:dyDescent="0.25">
      <c r="B206" s="14">
        <v>43252</v>
      </c>
      <c r="C206" s="15">
        <v>342712</v>
      </c>
      <c r="D206" s="15">
        <v>471975</v>
      </c>
      <c r="E206" s="15">
        <v>814687</v>
      </c>
      <c r="F206" s="15">
        <v>30563</v>
      </c>
      <c r="G206" s="15">
        <v>36044</v>
      </c>
      <c r="H206" s="15">
        <v>66607</v>
      </c>
      <c r="I206" s="15">
        <v>373275</v>
      </c>
      <c r="J206" s="15">
        <v>508019</v>
      </c>
      <c r="K206" s="15">
        <v>881294</v>
      </c>
      <c r="L206" s="15">
        <v>23198800916</v>
      </c>
      <c r="M206" s="15">
        <v>32539504044</v>
      </c>
      <c r="N206" s="15">
        <f t="shared" si="52"/>
        <v>55738304960</v>
      </c>
      <c r="O206" s="15">
        <v>2990751458</v>
      </c>
      <c r="P206" s="15">
        <v>3624529981</v>
      </c>
      <c r="Q206" s="15">
        <f t="shared" si="53"/>
        <v>6615281439</v>
      </c>
      <c r="R206" s="15">
        <f t="shared" si="54"/>
        <v>26189552374</v>
      </c>
      <c r="S206" s="15">
        <f t="shared" si="55"/>
        <v>36164034025</v>
      </c>
      <c r="T206" s="16">
        <f t="shared" si="56"/>
        <v>62353586399</v>
      </c>
      <c r="U206">
        <v>99.510759739999997</v>
      </c>
      <c r="V206">
        <v>129.01505570699999</v>
      </c>
      <c r="W206" s="225">
        <f t="shared" si="33"/>
        <v>1.2964935253643757</v>
      </c>
      <c r="X206" s="240">
        <f t="shared" si="61"/>
        <v>17893495.387476034</v>
      </c>
      <c r="Y206" s="240">
        <f t="shared" si="62"/>
        <v>25098084.492828354</v>
      </c>
      <c r="Z206" s="240">
        <f t="shared" si="63"/>
        <v>42991579.880304389</v>
      </c>
      <c r="AA206" s="240">
        <f t="shared" si="64"/>
        <v>2306800.1493948516</v>
      </c>
      <c r="AB206" s="240">
        <f t="shared" si="65"/>
        <v>2795640.6338252532</v>
      </c>
      <c r="AC206" s="240">
        <f t="shared" si="66"/>
        <v>5102440.7832201049</v>
      </c>
      <c r="AD206" s="240">
        <f t="shared" si="67"/>
        <v>20200295.536870889</v>
      </c>
      <c r="AE206" s="240">
        <f t="shared" si="68"/>
        <v>27893725.126653608</v>
      </c>
      <c r="AF206" s="240">
        <f t="shared" si="69"/>
        <v>48094020.663524494</v>
      </c>
      <c r="AG206" s="240">
        <f t="shared" si="34"/>
        <v>23198800.916000001</v>
      </c>
      <c r="AH206" s="240">
        <f t="shared" si="35"/>
        <v>32539504.044</v>
      </c>
      <c r="AI206" s="240">
        <f t="shared" si="36"/>
        <v>55738304.960000001</v>
      </c>
      <c r="AJ206" s="240">
        <f t="shared" si="37"/>
        <v>2990751.4580000001</v>
      </c>
      <c r="AK206" s="240">
        <f t="shared" si="38"/>
        <v>3624529.9810000001</v>
      </c>
      <c r="AL206" s="240">
        <f t="shared" si="39"/>
        <v>6615281.4390000002</v>
      </c>
      <c r="AM206" s="240">
        <f t="shared" si="40"/>
        <v>26189552.374000002</v>
      </c>
      <c r="AN206" s="240">
        <f t="shared" si="41"/>
        <v>36164034.024999999</v>
      </c>
      <c r="AO206" s="240">
        <f t="shared" si="42"/>
        <v>62353586.398999996</v>
      </c>
    </row>
    <row r="207" spans="2:41" hidden="1" x14ac:dyDescent="0.25">
      <c r="B207" s="14">
        <v>43282</v>
      </c>
      <c r="C207" s="15">
        <v>346201</v>
      </c>
      <c r="D207" s="15">
        <v>475671</v>
      </c>
      <c r="E207" s="15">
        <v>821872</v>
      </c>
      <c r="F207" s="15">
        <v>30697</v>
      </c>
      <c r="G207" s="15">
        <v>36149</v>
      </c>
      <c r="H207" s="15">
        <v>66846</v>
      </c>
      <c r="I207" s="15">
        <v>376898</v>
      </c>
      <c r="J207" s="15">
        <v>511820</v>
      </c>
      <c r="K207" s="15">
        <v>888718</v>
      </c>
      <c r="L207" s="15">
        <v>24308135318</v>
      </c>
      <c r="M207" s="15">
        <v>34093858626</v>
      </c>
      <c r="N207" s="15">
        <f t="shared" si="52"/>
        <v>58401993944</v>
      </c>
      <c r="O207" s="15">
        <v>3080056038</v>
      </c>
      <c r="P207" s="15">
        <v>3714883039</v>
      </c>
      <c r="Q207" s="15">
        <f t="shared" si="53"/>
        <v>6794939077</v>
      </c>
      <c r="R207" s="15">
        <f t="shared" si="54"/>
        <v>27388191356</v>
      </c>
      <c r="S207" s="15">
        <f t="shared" si="55"/>
        <v>37808741665</v>
      </c>
      <c r="T207" s="16">
        <f t="shared" si="56"/>
        <v>65196933021</v>
      </c>
      <c r="U207">
        <v>99.863231380000002</v>
      </c>
      <c r="V207">
        <v>129.01505570699999</v>
      </c>
      <c r="W207" s="225">
        <f t="shared" si="33"/>
        <v>1.2919174947991752</v>
      </c>
      <c r="X207" s="240">
        <f t="shared" si="61"/>
        <v>18815547.754292645</v>
      </c>
      <c r="Y207" s="240">
        <f t="shared" si="62"/>
        <v>26390120.702947669</v>
      </c>
      <c r="Z207" s="240">
        <f t="shared" si="63"/>
        <v>45205668.457240313</v>
      </c>
      <c r="AA207" s="240">
        <f t="shared" si="64"/>
        <v>2384096.5467216512</v>
      </c>
      <c r="AB207" s="240">
        <f t="shared" si="65"/>
        <v>2875480.0937017016</v>
      </c>
      <c r="AC207" s="240">
        <f t="shared" si="66"/>
        <v>5259576.6404233528</v>
      </c>
      <c r="AD207" s="240">
        <f t="shared" si="67"/>
        <v>21199644.301014297</v>
      </c>
      <c r="AE207" s="240">
        <f t="shared" si="68"/>
        <v>29265600.79664937</v>
      </c>
      <c r="AF207" s="240">
        <f t="shared" si="69"/>
        <v>50465245.097663663</v>
      </c>
      <c r="AG207" s="240">
        <f t="shared" si="34"/>
        <v>24308135.318</v>
      </c>
      <c r="AH207" s="240">
        <f t="shared" si="35"/>
        <v>34093858.626000002</v>
      </c>
      <c r="AI207" s="240">
        <f t="shared" si="36"/>
        <v>58401993.943999998</v>
      </c>
      <c r="AJ207" s="240">
        <f t="shared" si="37"/>
        <v>3080056.0380000002</v>
      </c>
      <c r="AK207" s="240">
        <f t="shared" si="38"/>
        <v>3714883.0389999999</v>
      </c>
      <c r="AL207" s="240">
        <f t="shared" si="39"/>
        <v>6794939.0769999996</v>
      </c>
      <c r="AM207" s="240">
        <f t="shared" si="40"/>
        <v>27388191.355999999</v>
      </c>
      <c r="AN207" s="240">
        <f t="shared" si="41"/>
        <v>37808741.664999999</v>
      </c>
      <c r="AO207" s="240">
        <f t="shared" si="42"/>
        <v>65196933.020999998</v>
      </c>
    </row>
    <row r="208" spans="2:41" hidden="1" x14ac:dyDescent="0.25">
      <c r="B208" s="14">
        <v>43313</v>
      </c>
      <c r="C208" s="15">
        <v>349112</v>
      </c>
      <c r="D208" s="15">
        <v>478874</v>
      </c>
      <c r="E208" s="15">
        <v>827986</v>
      </c>
      <c r="F208" s="15">
        <v>30737</v>
      </c>
      <c r="G208" s="15">
        <v>36176</v>
      </c>
      <c r="H208" s="15">
        <v>66913</v>
      </c>
      <c r="I208" s="15">
        <v>379849</v>
      </c>
      <c r="J208" s="15">
        <v>515050</v>
      </c>
      <c r="K208" s="15">
        <v>894899</v>
      </c>
      <c r="L208" s="15">
        <v>24476822149</v>
      </c>
      <c r="M208" s="15">
        <v>34336824353</v>
      </c>
      <c r="N208" s="15">
        <f t="shared" si="52"/>
        <v>58813646502</v>
      </c>
      <c r="O208" s="15">
        <v>3072001505</v>
      </c>
      <c r="P208" s="15">
        <v>3702232916</v>
      </c>
      <c r="Q208" s="15">
        <f t="shared" si="53"/>
        <v>6774234421</v>
      </c>
      <c r="R208" s="15">
        <f t="shared" si="54"/>
        <v>27548823654</v>
      </c>
      <c r="S208" s="15">
        <f t="shared" si="55"/>
        <v>38039057269</v>
      </c>
      <c r="T208" s="16">
        <f t="shared" si="56"/>
        <v>65587880923</v>
      </c>
      <c r="U208">
        <v>100.0348635</v>
      </c>
      <c r="V208">
        <v>129.01505570699999</v>
      </c>
      <c r="W208" s="225">
        <f t="shared" si="33"/>
        <v>1.2897009221889926</v>
      </c>
      <c r="X208" s="240">
        <f t="shared" si="61"/>
        <v>18978680.814972054</v>
      </c>
      <c r="Y208" s="240">
        <f t="shared" si="62"/>
        <v>26623865.86086994</v>
      </c>
      <c r="Z208" s="240">
        <f t="shared" si="63"/>
        <v>45602546.675841995</v>
      </c>
      <c r="AA208" s="240">
        <f t="shared" si="64"/>
        <v>2381948.7542785751</v>
      </c>
      <c r="AB208" s="240">
        <f t="shared" si="65"/>
        <v>2870613.5293105384</v>
      </c>
      <c r="AC208" s="240">
        <f t="shared" si="66"/>
        <v>5252562.2835891135</v>
      </c>
      <c r="AD208" s="240">
        <f t="shared" si="67"/>
        <v>21360629.569250628</v>
      </c>
      <c r="AE208" s="240">
        <f t="shared" si="68"/>
        <v>29494479.39018048</v>
      </c>
      <c r="AF208" s="240">
        <f t="shared" si="69"/>
        <v>50855108.959431104</v>
      </c>
      <c r="AG208" s="240">
        <f t="shared" si="34"/>
        <v>24476822.149</v>
      </c>
      <c r="AH208" s="240">
        <f t="shared" si="35"/>
        <v>34336824.353</v>
      </c>
      <c r="AI208" s="240">
        <f t="shared" si="36"/>
        <v>58813646.501999997</v>
      </c>
      <c r="AJ208" s="240">
        <f t="shared" si="37"/>
        <v>3072001.5049999999</v>
      </c>
      <c r="AK208" s="240">
        <f t="shared" si="38"/>
        <v>3702232.9160000002</v>
      </c>
      <c r="AL208" s="240">
        <f t="shared" si="39"/>
        <v>6774234.4210000001</v>
      </c>
      <c r="AM208" s="240">
        <f t="shared" si="40"/>
        <v>27548823.653999999</v>
      </c>
      <c r="AN208" s="240">
        <f t="shared" si="41"/>
        <v>38039057.269000001</v>
      </c>
      <c r="AO208" s="240">
        <f t="shared" si="42"/>
        <v>65587880.923</v>
      </c>
    </row>
    <row r="209" spans="2:41" hidden="1" x14ac:dyDescent="0.25">
      <c r="B209" s="14">
        <v>43344</v>
      </c>
      <c r="C209" s="15">
        <v>351534</v>
      </c>
      <c r="D209" s="15">
        <v>481641</v>
      </c>
      <c r="E209" s="15">
        <v>833175</v>
      </c>
      <c r="F209" s="15">
        <v>30718</v>
      </c>
      <c r="G209" s="15">
        <v>36125</v>
      </c>
      <c r="H209" s="15">
        <v>66843</v>
      </c>
      <c r="I209" s="15">
        <v>382252</v>
      </c>
      <c r="J209" s="15">
        <v>517766</v>
      </c>
      <c r="K209" s="15">
        <v>900018</v>
      </c>
      <c r="L209" s="15">
        <v>24601059805</v>
      </c>
      <c r="M209" s="15">
        <v>34595251151</v>
      </c>
      <c r="N209" s="15">
        <f t="shared" si="52"/>
        <v>59196310956</v>
      </c>
      <c r="O209" s="15">
        <v>3063034327</v>
      </c>
      <c r="P209" s="15">
        <v>3685154648</v>
      </c>
      <c r="Q209" s="15">
        <f t="shared" si="53"/>
        <v>6748188975</v>
      </c>
      <c r="R209" s="15">
        <f t="shared" si="54"/>
        <v>27664094132</v>
      </c>
      <c r="S209" s="15">
        <f t="shared" si="55"/>
        <v>38280405799</v>
      </c>
      <c r="T209" s="16">
        <f t="shared" si="56"/>
        <v>65944499931</v>
      </c>
      <c r="U209">
        <v>100.3748626</v>
      </c>
      <c r="V209">
        <v>129.01505570699999</v>
      </c>
      <c r="W209" s="225">
        <f t="shared" si="33"/>
        <v>1.2853323268907766</v>
      </c>
      <c r="X209" s="240">
        <f t="shared" si="61"/>
        <v>19139843.67335571</v>
      </c>
      <c r="Y209" s="240">
        <f t="shared" si="62"/>
        <v>26915413.568322856</v>
      </c>
      <c r="Z209" s="240">
        <f t="shared" si="63"/>
        <v>46055257.241678566</v>
      </c>
      <c r="AA209" s="240">
        <f t="shared" si="64"/>
        <v>2383067.9917694833</v>
      </c>
      <c r="AB209" s="240">
        <f t="shared" si="65"/>
        <v>2867083.1433255882</v>
      </c>
      <c r="AC209" s="240">
        <f t="shared" si="66"/>
        <v>5250151.135095072</v>
      </c>
      <c r="AD209" s="240">
        <f t="shared" si="67"/>
        <v>21522911.665125191</v>
      </c>
      <c r="AE209" s="240">
        <f t="shared" si="68"/>
        <v>29782496.711648446</v>
      </c>
      <c r="AF209" s="240">
        <f t="shared" si="69"/>
        <v>51305408.376773633</v>
      </c>
      <c r="AG209" s="240">
        <f t="shared" si="34"/>
        <v>24601059.805</v>
      </c>
      <c r="AH209" s="240">
        <f t="shared" si="35"/>
        <v>34595251.151000001</v>
      </c>
      <c r="AI209" s="240">
        <f t="shared" si="36"/>
        <v>59196310.956</v>
      </c>
      <c r="AJ209" s="240">
        <f t="shared" si="37"/>
        <v>3063034.327</v>
      </c>
      <c r="AK209" s="240">
        <f t="shared" si="38"/>
        <v>3685154.648</v>
      </c>
      <c r="AL209" s="240">
        <f t="shared" si="39"/>
        <v>6748188.9749999996</v>
      </c>
      <c r="AM209" s="240">
        <f t="shared" si="40"/>
        <v>27664094.131999999</v>
      </c>
      <c r="AN209" s="240">
        <f t="shared" si="41"/>
        <v>38280405.799000002</v>
      </c>
      <c r="AO209" s="240">
        <f t="shared" si="42"/>
        <v>65944499.931000002</v>
      </c>
    </row>
    <row r="210" spans="2:41" hidden="1" x14ac:dyDescent="0.25">
      <c r="B210" s="14">
        <v>43374</v>
      </c>
      <c r="C210" s="15">
        <v>354434</v>
      </c>
      <c r="D210" s="15">
        <v>485731</v>
      </c>
      <c r="E210" s="15">
        <v>840165</v>
      </c>
      <c r="F210" s="15">
        <v>30790</v>
      </c>
      <c r="G210" s="15">
        <v>36113</v>
      </c>
      <c r="H210" s="15">
        <v>66903</v>
      </c>
      <c r="I210" s="15">
        <v>385224</v>
      </c>
      <c r="J210" s="15">
        <v>521844</v>
      </c>
      <c r="K210" s="15">
        <v>907068</v>
      </c>
      <c r="L210" s="15">
        <v>24857678187</v>
      </c>
      <c r="M210" s="15">
        <v>35020226123</v>
      </c>
      <c r="N210" s="15">
        <f t="shared" si="52"/>
        <v>59877904310</v>
      </c>
      <c r="O210" s="15">
        <v>3078110338</v>
      </c>
      <c r="P210" s="15">
        <v>3694474642</v>
      </c>
      <c r="Q210" s="15">
        <f t="shared" si="53"/>
        <v>6772584980</v>
      </c>
      <c r="R210" s="15">
        <f t="shared" si="54"/>
        <v>27935788525</v>
      </c>
      <c r="S210" s="15">
        <f t="shared" si="55"/>
        <v>38714700765</v>
      </c>
      <c r="T210" s="16">
        <f t="shared" si="56"/>
        <v>66650489290</v>
      </c>
      <c r="U210">
        <v>100.74281120000001</v>
      </c>
      <c r="V210">
        <v>129.01505570699999</v>
      </c>
      <c r="W210" s="225">
        <f t="shared" si="33"/>
        <v>1.2806378357942823</v>
      </c>
      <c r="X210" s="240">
        <f t="shared" si="61"/>
        <v>19410388.708047714</v>
      </c>
      <c r="Y210" s="240">
        <f t="shared" si="62"/>
        <v>27345924.93222693</v>
      </c>
      <c r="Z210" s="240">
        <f t="shared" si="63"/>
        <v>46756313.640274644</v>
      </c>
      <c r="AA210" s="240">
        <f t="shared" si="64"/>
        <v>2403575.9775056797</v>
      </c>
      <c r="AB210" s="240">
        <f t="shared" si="65"/>
        <v>2884870.756382579</v>
      </c>
      <c r="AC210" s="240">
        <f t="shared" si="66"/>
        <v>5288446.7338882592</v>
      </c>
      <c r="AD210" s="240">
        <f t="shared" si="67"/>
        <v>21813964.685553394</v>
      </c>
      <c r="AE210" s="240">
        <f t="shared" si="68"/>
        <v>30230795.688609507</v>
      </c>
      <c r="AF210" s="240">
        <f t="shared" si="69"/>
        <v>52044760.374162905</v>
      </c>
      <c r="AG210" s="240">
        <f t="shared" si="34"/>
        <v>24857678.186999999</v>
      </c>
      <c r="AH210" s="240">
        <f t="shared" si="35"/>
        <v>35020226.123000003</v>
      </c>
      <c r="AI210" s="240">
        <f t="shared" si="36"/>
        <v>59877904.310000002</v>
      </c>
      <c r="AJ210" s="240">
        <f t="shared" si="37"/>
        <v>3078110.338</v>
      </c>
      <c r="AK210" s="240">
        <f t="shared" si="38"/>
        <v>3694474.642</v>
      </c>
      <c r="AL210" s="240">
        <f t="shared" si="39"/>
        <v>6772584.9800000004</v>
      </c>
      <c r="AM210" s="240">
        <f t="shared" si="40"/>
        <v>27935788.524999999</v>
      </c>
      <c r="AN210" s="240">
        <f t="shared" si="41"/>
        <v>38714700.765000001</v>
      </c>
      <c r="AO210" s="240">
        <f t="shared" si="42"/>
        <v>66650489.289999999</v>
      </c>
    </row>
    <row r="211" spans="2:41" hidden="1" x14ac:dyDescent="0.25">
      <c r="B211" s="14">
        <v>43405</v>
      </c>
      <c r="C211" s="15">
        <v>357070</v>
      </c>
      <c r="D211" s="15">
        <v>489744</v>
      </c>
      <c r="E211" s="15">
        <v>846814</v>
      </c>
      <c r="F211" s="15">
        <v>30850</v>
      </c>
      <c r="G211" s="15">
        <v>36146</v>
      </c>
      <c r="H211" s="15">
        <v>66996</v>
      </c>
      <c r="I211" s="15">
        <v>387920</v>
      </c>
      <c r="J211" s="15">
        <v>525890</v>
      </c>
      <c r="K211" s="15">
        <v>913810</v>
      </c>
      <c r="L211" s="15">
        <v>24965162729</v>
      </c>
      <c r="M211" s="15">
        <v>35365985254</v>
      </c>
      <c r="N211" s="15">
        <f t="shared" si="52"/>
        <v>60331147983</v>
      </c>
      <c r="O211" s="15">
        <v>3078719754</v>
      </c>
      <c r="P211" s="15">
        <v>3702426144</v>
      </c>
      <c r="Q211" s="15">
        <f t="shared" si="53"/>
        <v>6781145898</v>
      </c>
      <c r="R211" s="15">
        <f t="shared" si="54"/>
        <v>28043882483</v>
      </c>
      <c r="S211" s="15">
        <f t="shared" si="55"/>
        <v>39068411398</v>
      </c>
      <c r="T211" s="16">
        <f t="shared" si="56"/>
        <v>67112293881</v>
      </c>
      <c r="U211">
        <v>100.73748740000001</v>
      </c>
      <c r="V211">
        <v>129.01505570699999</v>
      </c>
      <c r="W211" s="225">
        <f t="shared" si="33"/>
        <v>1.280705515263824</v>
      </c>
      <c r="X211" s="240">
        <f t="shared" si="61"/>
        <v>19493288.996930104</v>
      </c>
      <c r="Y211" s="240">
        <f t="shared" si="62"/>
        <v>27614455.339262471</v>
      </c>
      <c r="Z211" s="240">
        <f t="shared" si="63"/>
        <v>47107744.336192571</v>
      </c>
      <c r="AA211" s="240">
        <f t="shared" si="64"/>
        <v>2403924.8034047754</v>
      </c>
      <c r="AB211" s="240">
        <f t="shared" si="65"/>
        <v>2890926.9928749418</v>
      </c>
      <c r="AC211" s="240">
        <f t="shared" si="66"/>
        <v>5294851.7962797172</v>
      </c>
      <c r="AD211" s="240">
        <f t="shared" si="67"/>
        <v>21897213.800334882</v>
      </c>
      <c r="AE211" s="240">
        <f t="shared" si="68"/>
        <v>30505382.332137413</v>
      </c>
      <c r="AF211" s="240">
        <f t="shared" si="69"/>
        <v>52402596.132472292</v>
      </c>
      <c r="AG211" s="240">
        <f t="shared" si="34"/>
        <v>24965162.728999998</v>
      </c>
      <c r="AH211" s="240">
        <f t="shared" si="35"/>
        <v>35365985.254000001</v>
      </c>
      <c r="AI211" s="240">
        <f t="shared" si="36"/>
        <v>60331147.983000003</v>
      </c>
      <c r="AJ211" s="240">
        <f t="shared" si="37"/>
        <v>3078719.7540000002</v>
      </c>
      <c r="AK211" s="240">
        <f t="shared" si="38"/>
        <v>3702426.1439999999</v>
      </c>
      <c r="AL211" s="240">
        <f t="shared" si="39"/>
        <v>6781145.898</v>
      </c>
      <c r="AM211" s="240">
        <f t="shared" si="40"/>
        <v>28043882.482999999</v>
      </c>
      <c r="AN211" s="240">
        <f t="shared" si="41"/>
        <v>39068411.398000002</v>
      </c>
      <c r="AO211" s="240">
        <f t="shared" si="42"/>
        <v>67112293.880999997</v>
      </c>
    </row>
    <row r="212" spans="2:41" hidden="1" x14ac:dyDescent="0.25">
      <c r="B212" s="17">
        <v>43435</v>
      </c>
      <c r="C212" s="18">
        <v>360031</v>
      </c>
      <c r="D212" s="18">
        <v>493400</v>
      </c>
      <c r="E212" s="18">
        <v>853431</v>
      </c>
      <c r="F212" s="18">
        <v>30827</v>
      </c>
      <c r="G212" s="18">
        <v>36075</v>
      </c>
      <c r="H212" s="18">
        <v>66902</v>
      </c>
      <c r="I212" s="19">
        <v>390858</v>
      </c>
      <c r="J212" s="19">
        <v>529475</v>
      </c>
      <c r="K212" s="19">
        <v>920333</v>
      </c>
      <c r="L212" s="18">
        <v>25299169172</v>
      </c>
      <c r="M212" s="18">
        <v>35673355039</v>
      </c>
      <c r="N212" s="18">
        <f t="shared" si="52"/>
        <v>60972524211</v>
      </c>
      <c r="O212" s="18">
        <v>3082278029</v>
      </c>
      <c r="P212" s="18">
        <v>3691981415</v>
      </c>
      <c r="Q212" s="18">
        <f t="shared" si="53"/>
        <v>6774259444</v>
      </c>
      <c r="R212" s="18">
        <f t="shared" si="54"/>
        <v>28381447201</v>
      </c>
      <c r="S212" s="18">
        <f t="shared" si="55"/>
        <v>39365336454</v>
      </c>
      <c r="T212" s="18">
        <f t="shared" si="56"/>
        <v>67746783655</v>
      </c>
      <c r="U212">
        <v>100.63564100000001</v>
      </c>
      <c r="V212">
        <v>129.01505570699999</v>
      </c>
      <c r="W212" s="225">
        <f t="shared" si="33"/>
        <v>1.2820016290948053</v>
      </c>
      <c r="X212" s="240">
        <f t="shared" si="61"/>
        <v>19734116.242787629</v>
      </c>
      <c r="Y212" s="240">
        <f t="shared" si="62"/>
        <v>27826294.623500764</v>
      </c>
      <c r="Z212" s="240">
        <f t="shared" si="63"/>
        <v>47560410.866288394</v>
      </c>
      <c r="AA212" s="240">
        <f t="shared" si="64"/>
        <v>2404269.9783278219</v>
      </c>
      <c r="AB212" s="240">
        <f t="shared" si="65"/>
        <v>2879857.0385646317</v>
      </c>
      <c r="AC212" s="240">
        <f t="shared" si="66"/>
        <v>5284127.0168924546</v>
      </c>
      <c r="AD212" s="240">
        <f t="shared" si="67"/>
        <v>22138386.221115451</v>
      </c>
      <c r="AE212" s="240">
        <f t="shared" si="68"/>
        <v>30706151.662065394</v>
      </c>
      <c r="AF212" s="240">
        <f t="shared" si="69"/>
        <v>52844537.883180849</v>
      </c>
      <c r="AG212" s="240">
        <f t="shared" si="34"/>
        <v>25299169.171999998</v>
      </c>
      <c r="AH212" s="240">
        <f t="shared" si="35"/>
        <v>35673355.038999997</v>
      </c>
      <c r="AI212" s="240">
        <f t="shared" si="36"/>
        <v>60972524.211000003</v>
      </c>
      <c r="AJ212" s="240">
        <f t="shared" si="37"/>
        <v>3082278.0290000001</v>
      </c>
      <c r="AK212" s="240">
        <f t="shared" si="38"/>
        <v>3691981.415</v>
      </c>
      <c r="AL212" s="240">
        <f t="shared" si="39"/>
        <v>6774259.4440000001</v>
      </c>
      <c r="AM212" s="240">
        <f t="shared" si="40"/>
        <v>28381447.201000001</v>
      </c>
      <c r="AN212" s="240">
        <f t="shared" si="41"/>
        <v>39365336.454000004</v>
      </c>
      <c r="AO212" s="240">
        <f t="shared" si="42"/>
        <v>67746783.655000001</v>
      </c>
    </row>
    <row r="213" spans="2:41" hidden="1" x14ac:dyDescent="0.25">
      <c r="B213" s="14">
        <v>43466</v>
      </c>
      <c r="C213" s="15">
        <v>362514</v>
      </c>
      <c r="D213" s="15">
        <v>496897</v>
      </c>
      <c r="E213" s="15">
        <f>C213+D213</f>
        <v>859411</v>
      </c>
      <c r="F213" s="15">
        <v>30910</v>
      </c>
      <c r="G213" s="15">
        <v>36096</v>
      </c>
      <c r="H213" s="15">
        <f>F213+G213</f>
        <v>67006</v>
      </c>
      <c r="I213" s="15">
        <f>C213+F213</f>
        <v>393424</v>
      </c>
      <c r="J213" s="15">
        <f>D213+G213</f>
        <v>532993</v>
      </c>
      <c r="K213" s="15">
        <f>E213+H213</f>
        <v>926417</v>
      </c>
      <c r="L213" s="15">
        <v>25431251421</v>
      </c>
      <c r="M213" s="15">
        <v>36058491905</v>
      </c>
      <c r="N213" s="15">
        <f t="shared" si="52"/>
        <v>61489743326</v>
      </c>
      <c r="O213" s="15">
        <v>3101534964</v>
      </c>
      <c r="P213" s="15">
        <v>3706589951</v>
      </c>
      <c r="Q213" s="15">
        <f t="shared" si="53"/>
        <v>6808124915</v>
      </c>
      <c r="R213" s="15">
        <f t="shared" si="54"/>
        <v>28532786385</v>
      </c>
      <c r="S213" s="15">
        <f t="shared" si="55"/>
        <v>39765081856</v>
      </c>
      <c r="T213" s="16">
        <f t="shared" si="56"/>
        <v>68297868241</v>
      </c>
      <c r="U213">
        <v>100.748087958</v>
      </c>
      <c r="V213">
        <v>129.01505570699999</v>
      </c>
      <c r="W213" s="225">
        <f t="shared" si="33"/>
        <v>1.2805707614102211</v>
      </c>
      <c r="X213" s="240">
        <f t="shared" si="61"/>
        <v>19859309.760433685</v>
      </c>
      <c r="Y213" s="240">
        <f t="shared" si="62"/>
        <v>28158140.87875222</v>
      </c>
      <c r="Z213" s="240">
        <f t="shared" si="63"/>
        <v>48017450.639185905</v>
      </c>
      <c r="AA213" s="240">
        <f t="shared" si="64"/>
        <v>2421994.2056028615</v>
      </c>
      <c r="AB213" s="240">
        <f t="shared" si="65"/>
        <v>2894482.7280908236</v>
      </c>
      <c r="AC213" s="240">
        <f t="shared" si="66"/>
        <v>5316476.9336936856</v>
      </c>
      <c r="AD213" s="240">
        <f t="shared" si="67"/>
        <v>22281303.966036547</v>
      </c>
      <c r="AE213" s="240">
        <f t="shared" si="68"/>
        <v>31052623.606843039</v>
      </c>
      <c r="AF213" s="240">
        <f t="shared" si="69"/>
        <v>53333927.57287959</v>
      </c>
      <c r="AG213" s="240">
        <f t="shared" si="34"/>
        <v>25431251.421</v>
      </c>
      <c r="AH213" s="240">
        <f t="shared" si="35"/>
        <v>36058491.905000001</v>
      </c>
      <c r="AI213" s="240">
        <f t="shared" si="36"/>
        <v>61489743.325999998</v>
      </c>
      <c r="AJ213" s="240">
        <f t="shared" si="37"/>
        <v>3101534.9640000002</v>
      </c>
      <c r="AK213" s="240">
        <f t="shared" si="38"/>
        <v>3706589.9509999999</v>
      </c>
      <c r="AL213" s="240">
        <f t="shared" si="39"/>
        <v>6808124.915</v>
      </c>
      <c r="AM213" s="240">
        <f t="shared" si="40"/>
        <v>28532786.385000002</v>
      </c>
      <c r="AN213" s="240">
        <f t="shared" si="41"/>
        <v>39765081.855999999</v>
      </c>
      <c r="AO213" s="240">
        <f t="shared" si="42"/>
        <v>68297868.240999997</v>
      </c>
    </row>
    <row r="214" spans="2:41" hidden="1" x14ac:dyDescent="0.25">
      <c r="B214" s="14">
        <v>43497</v>
      </c>
      <c r="C214" s="15">
        <v>365127</v>
      </c>
      <c r="D214" s="15">
        <v>499418</v>
      </c>
      <c r="E214" s="15">
        <f t="shared" ref="E214:E236" si="70">C214+D214</f>
        <v>864545</v>
      </c>
      <c r="F214" s="15">
        <v>30991</v>
      </c>
      <c r="G214" s="15">
        <v>36240</v>
      </c>
      <c r="H214" s="15">
        <f t="shared" ref="H214:H260" si="71">F214+G214</f>
        <v>67231</v>
      </c>
      <c r="I214" s="15">
        <f t="shared" ref="I214:K236" si="72">C214+F214</f>
        <v>396118</v>
      </c>
      <c r="J214" s="15">
        <f t="shared" si="72"/>
        <v>535658</v>
      </c>
      <c r="K214" s="15">
        <f t="shared" si="72"/>
        <v>931776</v>
      </c>
      <c r="L214" s="15">
        <v>25518935997</v>
      </c>
      <c r="M214" s="15">
        <v>35798638282</v>
      </c>
      <c r="N214" s="15">
        <f t="shared" si="52"/>
        <v>61317574279</v>
      </c>
      <c r="O214" s="15">
        <v>3104254860</v>
      </c>
      <c r="P214" s="15">
        <v>3721033081</v>
      </c>
      <c r="Q214" s="15">
        <f t="shared" si="53"/>
        <v>6825287941</v>
      </c>
      <c r="R214" s="15">
        <f t="shared" si="54"/>
        <v>28623190857</v>
      </c>
      <c r="S214" s="15">
        <f t="shared" si="55"/>
        <v>39519671363</v>
      </c>
      <c r="T214" s="16">
        <f t="shared" si="56"/>
        <v>68142862220</v>
      </c>
      <c r="U214">
        <v>100.79463698399999</v>
      </c>
      <c r="V214">
        <v>129.01505570699999</v>
      </c>
      <c r="W214" s="225">
        <f t="shared" si="33"/>
        <v>1.2799793676272644</v>
      </c>
      <c r="X214" s="240">
        <f t="shared" si="61"/>
        <v>19936990.112821277</v>
      </c>
      <c r="Y214" s="240">
        <f t="shared" si="62"/>
        <v>27968136.977364715</v>
      </c>
      <c r="Z214" s="240">
        <f t="shared" si="63"/>
        <v>47905127.090186</v>
      </c>
      <c r="AA214" s="240">
        <f t="shared" si="64"/>
        <v>2425238.2018894954</v>
      </c>
      <c r="AB214" s="240">
        <f t="shared" si="65"/>
        <v>2907103.9542596606</v>
      </c>
      <c r="AC214" s="240">
        <f t="shared" si="66"/>
        <v>5332342.1561491555</v>
      </c>
      <c r="AD214" s="240">
        <f t="shared" si="67"/>
        <v>22362228.314710774</v>
      </c>
      <c r="AE214" s="240">
        <f t="shared" si="68"/>
        <v>30875240.931624379</v>
      </c>
      <c r="AF214" s="240">
        <f t="shared" si="69"/>
        <v>53237469.246335149</v>
      </c>
      <c r="AG214" s="240">
        <f t="shared" si="34"/>
        <v>25518935.997000001</v>
      </c>
      <c r="AH214" s="240">
        <f t="shared" si="35"/>
        <v>35798638.281999998</v>
      </c>
      <c r="AI214" s="240">
        <f t="shared" si="36"/>
        <v>61317574.278999999</v>
      </c>
      <c r="AJ214" s="240">
        <f t="shared" si="37"/>
        <v>3104254.86</v>
      </c>
      <c r="AK214" s="240">
        <f t="shared" si="38"/>
        <v>3721033.0809999998</v>
      </c>
      <c r="AL214" s="240">
        <f t="shared" si="39"/>
        <v>6825287.9409999996</v>
      </c>
      <c r="AM214" s="240">
        <f t="shared" si="40"/>
        <v>28623190.857000001</v>
      </c>
      <c r="AN214" s="240">
        <f t="shared" si="41"/>
        <v>39519671.362999998</v>
      </c>
      <c r="AO214" s="240">
        <f t="shared" si="42"/>
        <v>68142862.219999999</v>
      </c>
    </row>
    <row r="215" spans="2:41" hidden="1" x14ac:dyDescent="0.25">
      <c r="B215" s="14">
        <v>43525</v>
      </c>
      <c r="C215" s="15">
        <v>368185</v>
      </c>
      <c r="D215" s="15">
        <v>503074</v>
      </c>
      <c r="E215" s="15">
        <f t="shared" si="70"/>
        <v>871259</v>
      </c>
      <c r="F215" s="15">
        <v>31236</v>
      </c>
      <c r="G215" s="15">
        <v>36473</v>
      </c>
      <c r="H215" s="15">
        <f t="shared" si="71"/>
        <v>67709</v>
      </c>
      <c r="I215" s="15">
        <f t="shared" si="72"/>
        <v>399421</v>
      </c>
      <c r="J215" s="15">
        <f t="shared" si="72"/>
        <v>539547</v>
      </c>
      <c r="K215" s="15">
        <f t="shared" si="72"/>
        <v>938968</v>
      </c>
      <c r="L215" s="15">
        <v>25777105260</v>
      </c>
      <c r="M215" s="15">
        <v>36244202856</v>
      </c>
      <c r="N215" s="15">
        <f t="shared" si="52"/>
        <v>62021308116</v>
      </c>
      <c r="O215" s="15">
        <v>3131110402</v>
      </c>
      <c r="P215" s="15">
        <v>3743192044</v>
      </c>
      <c r="Q215" s="15">
        <f t="shared" si="53"/>
        <v>6874302446</v>
      </c>
      <c r="R215" s="15">
        <f t="shared" si="54"/>
        <v>28908215662</v>
      </c>
      <c r="S215" s="15">
        <f t="shared" si="55"/>
        <v>39987394900</v>
      </c>
      <c r="T215" s="16">
        <f t="shared" si="56"/>
        <v>68895610562</v>
      </c>
      <c r="U215">
        <v>101.272680897</v>
      </c>
      <c r="V215">
        <v>129.01505570699999</v>
      </c>
      <c r="W215" s="225">
        <f t="shared" si="33"/>
        <v>1.273937399151263</v>
      </c>
      <c r="X215" s="240">
        <f t="shared" si="61"/>
        <v>20234200.893366907</v>
      </c>
      <c r="Y215" s="240">
        <f t="shared" si="62"/>
        <v>28450536.800432287</v>
      </c>
      <c r="Z215" s="240">
        <f t="shared" si="63"/>
        <v>48684737.69379919</v>
      </c>
      <c r="AA215" s="240">
        <f t="shared" si="64"/>
        <v>2457821.2430893732</v>
      </c>
      <c r="AB215" s="240">
        <f t="shared" si="65"/>
        <v>2938285.701082197</v>
      </c>
      <c r="AC215" s="240">
        <f t="shared" si="66"/>
        <v>5396106.9441715712</v>
      </c>
      <c r="AD215" s="240">
        <f t="shared" si="67"/>
        <v>22692022.136456281</v>
      </c>
      <c r="AE215" s="240">
        <f t="shared" si="68"/>
        <v>31388822.50151448</v>
      </c>
      <c r="AF215" s="240">
        <f t="shared" si="69"/>
        <v>54080844.63797076</v>
      </c>
      <c r="AG215" s="240">
        <f t="shared" si="34"/>
        <v>25777105.260000002</v>
      </c>
      <c r="AH215" s="240">
        <f t="shared" si="35"/>
        <v>36244202.855999999</v>
      </c>
      <c r="AI215" s="240">
        <f t="shared" si="36"/>
        <v>62021308.115999997</v>
      </c>
      <c r="AJ215" s="240">
        <f t="shared" si="37"/>
        <v>3131110.4019999998</v>
      </c>
      <c r="AK215" s="240">
        <f t="shared" si="38"/>
        <v>3743192.0440000002</v>
      </c>
      <c r="AL215" s="240">
        <f t="shared" si="39"/>
        <v>6874302.4460000005</v>
      </c>
      <c r="AM215" s="240">
        <f t="shared" si="40"/>
        <v>28908215.662</v>
      </c>
      <c r="AN215" s="240">
        <f t="shared" si="41"/>
        <v>39987394.899999999</v>
      </c>
      <c r="AO215" s="240">
        <f t="shared" si="42"/>
        <v>68895610.562000006</v>
      </c>
    </row>
    <row r="216" spans="2:41" hidden="1" x14ac:dyDescent="0.25">
      <c r="B216" s="14">
        <v>43556</v>
      </c>
      <c r="C216" s="15">
        <v>370802</v>
      </c>
      <c r="D216" s="15">
        <v>506604</v>
      </c>
      <c r="E216" s="15">
        <f t="shared" si="70"/>
        <v>877406</v>
      </c>
      <c r="F216" s="15">
        <v>31411</v>
      </c>
      <c r="G216" s="15">
        <v>36631</v>
      </c>
      <c r="H216" s="15">
        <f t="shared" si="71"/>
        <v>68042</v>
      </c>
      <c r="I216" s="15">
        <f t="shared" si="72"/>
        <v>402213</v>
      </c>
      <c r="J216" s="15">
        <f t="shared" si="72"/>
        <v>543235</v>
      </c>
      <c r="K216" s="15">
        <f t="shared" si="72"/>
        <v>945448</v>
      </c>
      <c r="L216" s="15">
        <v>25931350271</v>
      </c>
      <c r="M216" s="15">
        <v>36495616800</v>
      </c>
      <c r="N216" s="15">
        <f t="shared" si="52"/>
        <v>62426967071</v>
      </c>
      <c r="O216" s="15">
        <v>3138435683</v>
      </c>
      <c r="P216" s="15">
        <v>3744336974</v>
      </c>
      <c r="Q216" s="15">
        <f t="shared" si="53"/>
        <v>6882772657</v>
      </c>
      <c r="R216" s="15">
        <f t="shared" si="54"/>
        <v>29069785954</v>
      </c>
      <c r="S216" s="15">
        <f t="shared" si="55"/>
        <v>40239953774</v>
      </c>
      <c r="T216" s="16">
        <f t="shared" si="56"/>
        <v>69309739728</v>
      </c>
      <c r="U216">
        <v>101.536606212</v>
      </c>
      <c r="V216">
        <v>129.01505570699999</v>
      </c>
      <c r="W216" s="225">
        <f t="shared" ref="W216:W260" si="73">+V216/U216</f>
        <v>1.2706260384321619</v>
      </c>
      <c r="X216" s="240">
        <f t="shared" si="61"/>
        <v>20408325.885558706</v>
      </c>
      <c r="Y216" s="240">
        <f t="shared" si="62"/>
        <v>28722547.544383951</v>
      </c>
      <c r="Z216" s="240">
        <f t="shared" si="63"/>
        <v>49130873.42994266</v>
      </c>
      <c r="AA216" s="240">
        <f t="shared" si="64"/>
        <v>2469991.6325282827</v>
      </c>
      <c r="AB216" s="240">
        <f t="shared" si="65"/>
        <v>2946844.2017921926</v>
      </c>
      <c r="AC216" s="240">
        <f t="shared" si="66"/>
        <v>5416835.8343204753</v>
      </c>
      <c r="AD216" s="240">
        <f t="shared" si="67"/>
        <v>22878317.518086985</v>
      </c>
      <c r="AE216" s="240">
        <f t="shared" si="68"/>
        <v>31669391.746176142</v>
      </c>
      <c r="AF216" s="240">
        <f t="shared" si="69"/>
        <v>54547709.264263131</v>
      </c>
      <c r="AG216" s="240">
        <f t="shared" ref="AG216:AG260" si="74">+L216/$AA$85</f>
        <v>25931350.271000002</v>
      </c>
      <c r="AH216" s="240">
        <f t="shared" ref="AH216:AH260" si="75">+M216/$AA$85</f>
        <v>36495616.799999997</v>
      </c>
      <c r="AI216" s="240">
        <f t="shared" ref="AI216:AI260" si="76">+N216/$AA$85</f>
        <v>62426967.071000002</v>
      </c>
      <c r="AJ216" s="240">
        <f t="shared" ref="AJ216:AJ260" si="77">+O216/$AA$85</f>
        <v>3138435.6830000002</v>
      </c>
      <c r="AK216" s="240">
        <f t="shared" ref="AK216:AK260" si="78">+P216/$AA$85</f>
        <v>3744336.9739999999</v>
      </c>
      <c r="AL216" s="240">
        <f t="shared" ref="AL216:AL260" si="79">+Q216/$AA$85</f>
        <v>6882772.6569999997</v>
      </c>
      <c r="AM216" s="240">
        <f t="shared" ref="AM216:AM260" si="80">+R216/$AA$85</f>
        <v>29069785.954</v>
      </c>
      <c r="AN216" s="240">
        <f t="shared" ref="AN216:AN260" si="81">+S216/$AA$85</f>
        <v>40239953.773999996</v>
      </c>
      <c r="AO216" s="240">
        <f t="shared" ref="AO216:AO260" si="82">+T216/$AA$85</f>
        <v>69309739.728</v>
      </c>
    </row>
    <row r="217" spans="2:41" hidden="1" x14ac:dyDescent="0.25">
      <c r="B217" s="14">
        <v>43586</v>
      </c>
      <c r="C217" s="15">
        <v>373627</v>
      </c>
      <c r="D217" s="15">
        <v>510020</v>
      </c>
      <c r="E217" s="15">
        <f t="shared" si="70"/>
        <v>883647</v>
      </c>
      <c r="F217" s="15">
        <v>31638</v>
      </c>
      <c r="G217" s="15">
        <v>36814</v>
      </c>
      <c r="H217" s="15">
        <f t="shared" si="71"/>
        <v>68452</v>
      </c>
      <c r="I217" s="15">
        <f t="shared" si="72"/>
        <v>405265</v>
      </c>
      <c r="J217" s="15">
        <f t="shared" si="72"/>
        <v>546834</v>
      </c>
      <c r="K217" s="15">
        <f t="shared" si="72"/>
        <v>952099</v>
      </c>
      <c r="L217" s="15">
        <v>26107342028</v>
      </c>
      <c r="M217" s="15">
        <v>36743915141</v>
      </c>
      <c r="N217" s="15">
        <f t="shared" si="52"/>
        <v>62851257169</v>
      </c>
      <c r="O217" s="15">
        <v>3158996179</v>
      </c>
      <c r="P217" s="15">
        <v>3763433530</v>
      </c>
      <c r="Q217" s="15">
        <f t="shared" si="53"/>
        <v>6922429709</v>
      </c>
      <c r="R217" s="15">
        <f t="shared" si="54"/>
        <v>29266338207</v>
      </c>
      <c r="S217" s="15">
        <f t="shared" si="55"/>
        <v>40507348671</v>
      </c>
      <c r="T217" s="16">
        <f t="shared" si="56"/>
        <v>69773686878</v>
      </c>
      <c r="U217">
        <v>102.150333284</v>
      </c>
      <c r="V217">
        <v>129.01505570699999</v>
      </c>
      <c r="W217" s="225">
        <f t="shared" si="73"/>
        <v>1.2629920193046287</v>
      </c>
      <c r="X217" s="240">
        <f t="shared" si="61"/>
        <v>20671026.917790059</v>
      </c>
      <c r="Y217" s="240">
        <f t="shared" si="62"/>
        <v>29092753.223595403</v>
      </c>
      <c r="Z217" s="240">
        <f t="shared" si="63"/>
        <v>49763780.141385458</v>
      </c>
      <c r="AA217" s="240">
        <f t="shared" si="64"/>
        <v>2501200.4278057618</v>
      </c>
      <c r="AB217" s="240">
        <f t="shared" si="65"/>
        <v>2979776.1763150734</v>
      </c>
      <c r="AC217" s="240">
        <f t="shared" si="66"/>
        <v>5480976.6041208357</v>
      </c>
      <c r="AD217" s="240">
        <f t="shared" si="67"/>
        <v>23172227.345595822</v>
      </c>
      <c r="AE217" s="240">
        <f t="shared" si="68"/>
        <v>32072529.399910472</v>
      </c>
      <c r="AF217" s="240">
        <f t="shared" si="69"/>
        <v>55244756.745506294</v>
      </c>
      <c r="AG217" s="240">
        <f t="shared" si="74"/>
        <v>26107342.028000001</v>
      </c>
      <c r="AH217" s="240">
        <f t="shared" si="75"/>
        <v>36743915.141000003</v>
      </c>
      <c r="AI217" s="240">
        <f t="shared" si="76"/>
        <v>62851257.169</v>
      </c>
      <c r="AJ217" s="240">
        <f t="shared" si="77"/>
        <v>3158996.179</v>
      </c>
      <c r="AK217" s="240">
        <f t="shared" si="78"/>
        <v>3763433.53</v>
      </c>
      <c r="AL217" s="240">
        <f t="shared" si="79"/>
        <v>6922429.7089999998</v>
      </c>
      <c r="AM217" s="240">
        <f t="shared" si="80"/>
        <v>29266338.206999999</v>
      </c>
      <c r="AN217" s="240">
        <f t="shared" si="81"/>
        <v>40507348.670999996</v>
      </c>
      <c r="AO217" s="240">
        <f t="shared" si="82"/>
        <v>69773686.878000006</v>
      </c>
    </row>
    <row r="218" spans="2:41" hidden="1" x14ac:dyDescent="0.25">
      <c r="B218" s="14">
        <v>43617</v>
      </c>
      <c r="C218" s="15">
        <v>375576</v>
      </c>
      <c r="D218" s="15">
        <v>512725</v>
      </c>
      <c r="E218" s="15">
        <f t="shared" si="70"/>
        <v>888301</v>
      </c>
      <c r="F218" s="15">
        <v>31723</v>
      </c>
      <c r="G218" s="15">
        <v>36850</v>
      </c>
      <c r="H218" s="15">
        <f t="shared" si="71"/>
        <v>68573</v>
      </c>
      <c r="I218" s="15">
        <f t="shared" si="72"/>
        <v>407299</v>
      </c>
      <c r="J218" s="15">
        <f t="shared" si="72"/>
        <v>549575</v>
      </c>
      <c r="K218" s="15">
        <f t="shared" si="72"/>
        <v>956874</v>
      </c>
      <c r="L218" s="15">
        <v>26270797719</v>
      </c>
      <c r="M218" s="15">
        <v>36997395981</v>
      </c>
      <c r="N218" s="15">
        <f t="shared" si="52"/>
        <v>63268193700</v>
      </c>
      <c r="O218" s="15">
        <v>3158421835</v>
      </c>
      <c r="P218" s="15">
        <v>3755130694</v>
      </c>
      <c r="Q218" s="15">
        <f t="shared" si="53"/>
        <v>6913552529</v>
      </c>
      <c r="R218" s="15">
        <f t="shared" si="54"/>
        <v>29429219554</v>
      </c>
      <c r="S218" s="15">
        <f t="shared" si="55"/>
        <v>40752526675</v>
      </c>
      <c r="T218" s="16">
        <f t="shared" si="56"/>
        <v>70181746229</v>
      </c>
      <c r="U218">
        <v>102.200162221</v>
      </c>
      <c r="V218">
        <v>129.01505570699999</v>
      </c>
      <c r="W218" s="225">
        <f t="shared" si="73"/>
        <v>1.262376232123926</v>
      </c>
      <c r="X218" s="240">
        <f t="shared" ref="X218:X249" si="83">+L218/$W218/$AA$85</f>
        <v>20810592.793560319</v>
      </c>
      <c r="Y218" s="240">
        <f t="shared" ref="Y218:Y249" si="84">+M218/$W218/$AA$85</f>
        <v>29307741.257733066</v>
      </c>
      <c r="Z218" s="240">
        <f t="shared" ref="Z218:Z249" si="85">+N218/$W218/$AA$85</f>
        <v>50118334.051293381</v>
      </c>
      <c r="AA218" s="240">
        <f t="shared" ref="AA218:AA249" si="86">+O218/$W218/$AA$85</f>
        <v>2501965.5429396117</v>
      </c>
      <c r="AB218" s="240">
        <f t="shared" ref="AB218:AB249" si="87">+P218/$W218/$AA$85</f>
        <v>2974652.5627166298</v>
      </c>
      <c r="AC218" s="240">
        <f t="shared" ref="AC218:AC249" si="88">+Q218/$W218/$AA$85</f>
        <v>5476618.1056562411</v>
      </c>
      <c r="AD218" s="240">
        <f t="shared" ref="AD218:AD249" si="89">+R218/$W218/$AA$85</f>
        <v>23312558.336499926</v>
      </c>
      <c r="AE218" s="240">
        <f t="shared" ref="AE218:AE249" si="90">+S218/$W218/$AA$85</f>
        <v>32282393.820449695</v>
      </c>
      <c r="AF218" s="240">
        <f t="shared" ref="AF218:AF249" si="91">+T218/$W218/$AA$85</f>
        <v>55594952.156949624</v>
      </c>
      <c r="AG218" s="240">
        <f t="shared" si="74"/>
        <v>26270797.719000001</v>
      </c>
      <c r="AH218" s="240">
        <f t="shared" si="75"/>
        <v>36997395.980999999</v>
      </c>
      <c r="AI218" s="240">
        <f t="shared" si="76"/>
        <v>63268193.700000003</v>
      </c>
      <c r="AJ218" s="240">
        <f t="shared" si="77"/>
        <v>3158421.835</v>
      </c>
      <c r="AK218" s="240">
        <f t="shared" si="78"/>
        <v>3755130.6940000001</v>
      </c>
      <c r="AL218" s="240">
        <f t="shared" si="79"/>
        <v>6913552.5290000001</v>
      </c>
      <c r="AM218" s="240">
        <f t="shared" si="80"/>
        <v>29429219.554000001</v>
      </c>
      <c r="AN218" s="240">
        <f t="shared" si="81"/>
        <v>40752526.674999997</v>
      </c>
      <c r="AO218" s="240">
        <f t="shared" si="82"/>
        <v>70181746.229000002</v>
      </c>
    </row>
    <row r="219" spans="2:41" hidden="1" x14ac:dyDescent="0.25">
      <c r="B219" s="14">
        <v>43647</v>
      </c>
      <c r="C219" s="15">
        <v>379973</v>
      </c>
      <c r="D219" s="15">
        <v>517325</v>
      </c>
      <c r="E219" s="15">
        <f t="shared" si="70"/>
        <v>897298</v>
      </c>
      <c r="F219" s="15">
        <v>32159</v>
      </c>
      <c r="G219" s="15">
        <v>37208</v>
      </c>
      <c r="H219" s="15">
        <f t="shared" si="71"/>
        <v>69367</v>
      </c>
      <c r="I219" s="15">
        <f t="shared" si="72"/>
        <v>412132</v>
      </c>
      <c r="J219" s="15">
        <f t="shared" si="72"/>
        <v>554533</v>
      </c>
      <c r="K219" s="15">
        <f t="shared" si="72"/>
        <v>966665</v>
      </c>
      <c r="L219" s="15">
        <v>27412672030</v>
      </c>
      <c r="M219" s="15">
        <v>38788561956</v>
      </c>
      <c r="N219" s="15">
        <f t="shared" ref="N219:N260" si="92">+L219+M219</f>
        <v>66201233986</v>
      </c>
      <c r="O219" s="15">
        <v>3260201037</v>
      </c>
      <c r="P219" s="15">
        <v>3868175031</v>
      </c>
      <c r="Q219" s="15">
        <f t="shared" ref="Q219:Q260" si="93">+O219+P219</f>
        <v>7128376068</v>
      </c>
      <c r="R219" s="15">
        <f t="shared" ref="R219:R260" si="94">+L219+O219</f>
        <v>30672873067</v>
      </c>
      <c r="S219" s="15">
        <f t="shared" ref="S219:S260" si="95">+M219+P219</f>
        <v>42656736987</v>
      </c>
      <c r="T219" s="16">
        <f t="shared" ref="T219:T260" si="96">+R219+S219</f>
        <v>73329610054</v>
      </c>
      <c r="U219">
        <v>102.42867542899999</v>
      </c>
      <c r="V219">
        <v>129.01505570699999</v>
      </c>
      <c r="W219" s="225">
        <f t="shared" si="73"/>
        <v>1.2595599344289945</v>
      </c>
      <c r="X219" s="240">
        <f t="shared" si="83"/>
        <v>21763690.064043827</v>
      </c>
      <c r="Y219" s="240">
        <f t="shared" si="84"/>
        <v>30795328.507796895</v>
      </c>
      <c r="Z219" s="240">
        <f t="shared" si="85"/>
        <v>52559018.571840718</v>
      </c>
      <c r="AA219" s="240">
        <f t="shared" si="86"/>
        <v>2588365.1487199538</v>
      </c>
      <c r="AB219" s="240">
        <f t="shared" si="87"/>
        <v>3071052.7742799218</v>
      </c>
      <c r="AC219" s="240">
        <f t="shared" si="88"/>
        <v>5659417.9229998756</v>
      </c>
      <c r="AD219" s="240">
        <f t="shared" si="89"/>
        <v>24352055.212763779</v>
      </c>
      <c r="AE219" s="240">
        <f t="shared" si="90"/>
        <v>33866381.282076813</v>
      </c>
      <c r="AF219" s="240">
        <f t="shared" si="91"/>
        <v>58218436.494840592</v>
      </c>
      <c r="AG219" s="240">
        <f t="shared" si="74"/>
        <v>27412672.030000001</v>
      </c>
      <c r="AH219" s="240">
        <f t="shared" si="75"/>
        <v>38788561.956</v>
      </c>
      <c r="AI219" s="240">
        <f t="shared" si="76"/>
        <v>66201233.986000001</v>
      </c>
      <c r="AJ219" s="240">
        <f t="shared" si="77"/>
        <v>3260201.037</v>
      </c>
      <c r="AK219" s="240">
        <f t="shared" si="78"/>
        <v>3868175.031</v>
      </c>
      <c r="AL219" s="240">
        <f t="shared" si="79"/>
        <v>7128376.068</v>
      </c>
      <c r="AM219" s="240">
        <f t="shared" si="80"/>
        <v>30672873.067000002</v>
      </c>
      <c r="AN219" s="240">
        <f t="shared" si="81"/>
        <v>42656736.987000003</v>
      </c>
      <c r="AO219" s="240">
        <f t="shared" si="82"/>
        <v>73329610.054000005</v>
      </c>
    </row>
    <row r="220" spans="2:41" hidden="1" x14ac:dyDescent="0.25">
      <c r="B220" s="14">
        <v>43678</v>
      </c>
      <c r="C220" s="15">
        <v>380060</v>
      </c>
      <c r="D220" s="15">
        <v>518553</v>
      </c>
      <c r="E220" s="15">
        <f t="shared" si="70"/>
        <v>898613</v>
      </c>
      <c r="F220" s="15">
        <v>31821</v>
      </c>
      <c r="G220" s="15">
        <v>36864</v>
      </c>
      <c r="H220" s="15">
        <f t="shared" si="71"/>
        <v>68685</v>
      </c>
      <c r="I220" s="15">
        <f t="shared" si="72"/>
        <v>411881</v>
      </c>
      <c r="J220" s="15">
        <f t="shared" si="72"/>
        <v>555417</v>
      </c>
      <c r="K220" s="15">
        <f t="shared" si="72"/>
        <v>967298</v>
      </c>
      <c r="L220" s="15">
        <v>27472775984</v>
      </c>
      <c r="M220" s="15">
        <v>38944915400</v>
      </c>
      <c r="N220" s="15">
        <f t="shared" si="92"/>
        <v>66417691384</v>
      </c>
      <c r="O220" s="15">
        <v>3238617377</v>
      </c>
      <c r="P220" s="15">
        <v>3843231953</v>
      </c>
      <c r="Q220" s="15">
        <f t="shared" si="93"/>
        <v>7081849330</v>
      </c>
      <c r="R220" s="15">
        <f t="shared" si="94"/>
        <v>30711393361</v>
      </c>
      <c r="S220" s="15">
        <f t="shared" si="95"/>
        <v>42788147353</v>
      </c>
      <c r="T220" s="16">
        <f t="shared" si="96"/>
        <v>73499540714</v>
      </c>
      <c r="U220">
        <v>102.620430008</v>
      </c>
      <c r="V220">
        <v>129.01505570699999</v>
      </c>
      <c r="W220" s="225">
        <f t="shared" si="73"/>
        <v>1.2572063447496988</v>
      </c>
      <c r="X220" s="240">
        <f t="shared" si="83"/>
        <v>21852240.961661424</v>
      </c>
      <c r="Y220" s="240">
        <f t="shared" si="84"/>
        <v>30977345.574686598</v>
      </c>
      <c r="Z220" s="240">
        <f t="shared" si="85"/>
        <v>52829586.536348023</v>
      </c>
      <c r="AA220" s="240">
        <f t="shared" si="86"/>
        <v>2576042.8194822599</v>
      </c>
      <c r="AB220" s="240">
        <f t="shared" si="87"/>
        <v>3056961.9450696944</v>
      </c>
      <c r="AC220" s="240">
        <f t="shared" si="88"/>
        <v>5633004.7645519543</v>
      </c>
      <c r="AD220" s="240">
        <f t="shared" si="89"/>
        <v>24428283.78114368</v>
      </c>
      <c r="AE220" s="240">
        <f t="shared" si="90"/>
        <v>34034307.519756295</v>
      </c>
      <c r="AF220" s="240">
        <f t="shared" si="91"/>
        <v>58462591.300899975</v>
      </c>
      <c r="AG220" s="240">
        <f t="shared" si="74"/>
        <v>27472775.984000001</v>
      </c>
      <c r="AH220" s="240">
        <f t="shared" si="75"/>
        <v>38944915.399999999</v>
      </c>
      <c r="AI220" s="240">
        <f t="shared" si="76"/>
        <v>66417691.384000003</v>
      </c>
      <c r="AJ220" s="240">
        <f t="shared" si="77"/>
        <v>3238617.3769999999</v>
      </c>
      <c r="AK220" s="240">
        <f t="shared" si="78"/>
        <v>3843231.9530000002</v>
      </c>
      <c r="AL220" s="240">
        <f t="shared" si="79"/>
        <v>7081849.3300000001</v>
      </c>
      <c r="AM220" s="240">
        <f t="shared" si="80"/>
        <v>30711393.361000001</v>
      </c>
      <c r="AN220" s="240">
        <f t="shared" si="81"/>
        <v>42788147.353</v>
      </c>
      <c r="AO220" s="240">
        <f t="shared" si="82"/>
        <v>73499540.714000002</v>
      </c>
    </row>
    <row r="221" spans="2:41" hidden="1" x14ac:dyDescent="0.25">
      <c r="B221" s="14">
        <v>43709</v>
      </c>
      <c r="C221" s="15">
        <v>383041</v>
      </c>
      <c r="D221" s="15">
        <v>522483</v>
      </c>
      <c r="E221" s="15">
        <f t="shared" si="70"/>
        <v>905524</v>
      </c>
      <c r="F221" s="15">
        <v>32069</v>
      </c>
      <c r="G221" s="15">
        <v>37036</v>
      </c>
      <c r="H221" s="15">
        <f t="shared" si="71"/>
        <v>69105</v>
      </c>
      <c r="I221" s="15">
        <f t="shared" si="72"/>
        <v>415110</v>
      </c>
      <c r="J221" s="15">
        <f t="shared" si="72"/>
        <v>559519</v>
      </c>
      <c r="K221" s="15">
        <f t="shared" si="72"/>
        <v>974629</v>
      </c>
      <c r="L221" s="15">
        <v>27762002280</v>
      </c>
      <c r="M221" s="15">
        <v>39466839700</v>
      </c>
      <c r="N221" s="15">
        <f t="shared" si="92"/>
        <v>67228841980</v>
      </c>
      <c r="O221" s="15">
        <v>3304209767</v>
      </c>
      <c r="P221" s="15">
        <v>3895468836</v>
      </c>
      <c r="Q221" s="15">
        <f t="shared" si="93"/>
        <v>7199678603</v>
      </c>
      <c r="R221" s="15">
        <f t="shared" si="94"/>
        <v>31066212047</v>
      </c>
      <c r="S221" s="15">
        <f t="shared" si="95"/>
        <v>43362308536</v>
      </c>
      <c r="T221" s="16">
        <f t="shared" si="96"/>
        <v>74428520583</v>
      </c>
      <c r="U221">
        <v>102.632852466</v>
      </c>
      <c r="V221">
        <v>129.01505570699999</v>
      </c>
      <c r="W221" s="225">
        <f t="shared" si="73"/>
        <v>1.2570541752187958</v>
      </c>
      <c r="X221" s="240">
        <f t="shared" si="83"/>
        <v>22084968.832125235</v>
      </c>
      <c r="Y221" s="240">
        <f t="shared" si="84"/>
        <v>31396291.805109054</v>
      </c>
      <c r="Z221" s="240">
        <f t="shared" si="85"/>
        <v>53481260.637234293</v>
      </c>
      <c r="AA221" s="240">
        <f t="shared" si="86"/>
        <v>2628534.1015035314</v>
      </c>
      <c r="AB221" s="240">
        <f t="shared" si="87"/>
        <v>3098886.9953214042</v>
      </c>
      <c r="AC221" s="240">
        <f t="shared" si="88"/>
        <v>5727421.0968249347</v>
      </c>
      <c r="AD221" s="240">
        <f t="shared" si="89"/>
        <v>24713502.933628764</v>
      </c>
      <c r="AE221" s="240">
        <f t="shared" si="90"/>
        <v>34495178.800430462</v>
      </c>
      <c r="AF221" s="240">
        <f t="shared" si="91"/>
        <v>59208681.734059229</v>
      </c>
      <c r="AG221" s="240">
        <f t="shared" si="74"/>
        <v>27762002.280000001</v>
      </c>
      <c r="AH221" s="240">
        <f t="shared" si="75"/>
        <v>39466839.700000003</v>
      </c>
      <c r="AI221" s="240">
        <f t="shared" si="76"/>
        <v>67228841.980000004</v>
      </c>
      <c r="AJ221" s="240">
        <f t="shared" si="77"/>
        <v>3304209.767</v>
      </c>
      <c r="AK221" s="240">
        <f t="shared" si="78"/>
        <v>3895468.8360000001</v>
      </c>
      <c r="AL221" s="240">
        <f t="shared" si="79"/>
        <v>7199678.6030000001</v>
      </c>
      <c r="AM221" s="240">
        <f t="shared" si="80"/>
        <v>31066212.046999998</v>
      </c>
      <c r="AN221" s="240">
        <f t="shared" si="81"/>
        <v>43362308.535999998</v>
      </c>
      <c r="AO221" s="240">
        <f t="shared" si="82"/>
        <v>74428520.583000004</v>
      </c>
    </row>
    <row r="222" spans="2:41" hidden="1" x14ac:dyDescent="0.25">
      <c r="B222" s="14">
        <v>43739</v>
      </c>
      <c r="C222" s="15">
        <v>385533</v>
      </c>
      <c r="D222" s="15">
        <v>525564</v>
      </c>
      <c r="E222" s="15">
        <f t="shared" si="70"/>
        <v>911097</v>
      </c>
      <c r="F222" s="15">
        <v>32232</v>
      </c>
      <c r="G222" s="15">
        <v>37173</v>
      </c>
      <c r="H222" s="15">
        <f t="shared" si="71"/>
        <v>69405</v>
      </c>
      <c r="I222" s="15">
        <f t="shared" si="72"/>
        <v>417765</v>
      </c>
      <c r="J222" s="15">
        <f t="shared" si="72"/>
        <v>562737</v>
      </c>
      <c r="K222" s="15">
        <f t="shared" si="72"/>
        <v>980502</v>
      </c>
      <c r="L222" s="15">
        <v>27901112212</v>
      </c>
      <c r="M222" s="15">
        <v>39684366445</v>
      </c>
      <c r="N222" s="15">
        <f t="shared" si="92"/>
        <v>67585478657</v>
      </c>
      <c r="O222" s="15">
        <v>3268601323</v>
      </c>
      <c r="P222" s="15">
        <v>3877926282</v>
      </c>
      <c r="Q222" s="15">
        <f t="shared" si="93"/>
        <v>7146527605</v>
      </c>
      <c r="R222" s="15">
        <f t="shared" si="94"/>
        <v>31169713535</v>
      </c>
      <c r="S222" s="15">
        <f t="shared" si="95"/>
        <v>43562292727</v>
      </c>
      <c r="T222" s="16">
        <f t="shared" si="96"/>
        <v>74732006262</v>
      </c>
      <c r="U222">
        <v>103.465396218</v>
      </c>
      <c r="V222">
        <v>129.01505570699999</v>
      </c>
      <c r="W222" s="225">
        <f t="shared" si="73"/>
        <v>1.2469391740903137</v>
      </c>
      <c r="X222" s="240">
        <f t="shared" si="83"/>
        <v>22375680.219008956</v>
      </c>
      <c r="Y222" s="240">
        <f t="shared" si="84"/>
        <v>31825422.819000896</v>
      </c>
      <c r="Z222" s="240">
        <f t="shared" si="85"/>
        <v>54201103.038009852</v>
      </c>
      <c r="AA222" s="240">
        <f t="shared" si="86"/>
        <v>2621299.7321096761</v>
      </c>
      <c r="AB222" s="240">
        <f t="shared" si="87"/>
        <v>3109956.2533425773</v>
      </c>
      <c r="AC222" s="240">
        <f t="shared" si="88"/>
        <v>5731255.9854522534</v>
      </c>
      <c r="AD222" s="240">
        <f t="shared" si="89"/>
        <v>24996979.951118633</v>
      </c>
      <c r="AE222" s="240">
        <f t="shared" si="90"/>
        <v>34935379.072343476</v>
      </c>
      <c r="AF222" s="240">
        <f t="shared" si="91"/>
        <v>59932359.023462102</v>
      </c>
      <c r="AG222" s="240">
        <f t="shared" si="74"/>
        <v>27901112.212000001</v>
      </c>
      <c r="AH222" s="240">
        <f t="shared" si="75"/>
        <v>39684366.445</v>
      </c>
      <c r="AI222" s="240">
        <f t="shared" si="76"/>
        <v>67585478.657000005</v>
      </c>
      <c r="AJ222" s="240">
        <f t="shared" si="77"/>
        <v>3268601.3229999999</v>
      </c>
      <c r="AK222" s="240">
        <f t="shared" si="78"/>
        <v>3877926.2820000001</v>
      </c>
      <c r="AL222" s="240">
        <f t="shared" si="79"/>
        <v>7146527.6050000004</v>
      </c>
      <c r="AM222" s="240">
        <f t="shared" si="80"/>
        <v>31169713.535</v>
      </c>
      <c r="AN222" s="240">
        <f t="shared" si="81"/>
        <v>43562292.726999998</v>
      </c>
      <c r="AO222" s="240">
        <f t="shared" si="82"/>
        <v>74732006.261999995</v>
      </c>
    </row>
    <row r="223" spans="2:41" hidden="1" x14ac:dyDescent="0.25">
      <c r="B223" s="14">
        <v>43770</v>
      </c>
      <c r="C223" s="15">
        <v>386948</v>
      </c>
      <c r="D223" s="15">
        <v>528588</v>
      </c>
      <c r="E223" s="15">
        <f t="shared" si="70"/>
        <v>915536</v>
      </c>
      <c r="F223" s="15">
        <v>31887</v>
      </c>
      <c r="G223" s="15">
        <v>36934</v>
      </c>
      <c r="H223" s="15">
        <f t="shared" si="71"/>
        <v>68821</v>
      </c>
      <c r="I223" s="15">
        <f t="shared" si="72"/>
        <v>418835</v>
      </c>
      <c r="J223" s="15">
        <f t="shared" si="72"/>
        <v>565522</v>
      </c>
      <c r="K223" s="15">
        <f t="shared" si="72"/>
        <v>984357</v>
      </c>
      <c r="L223" s="15">
        <v>27954551500</v>
      </c>
      <c r="M223" s="15">
        <v>40008684036</v>
      </c>
      <c r="N223" s="15">
        <f t="shared" si="92"/>
        <v>67963235536</v>
      </c>
      <c r="O223" s="15">
        <v>3244535878</v>
      </c>
      <c r="P223" s="15">
        <v>3850292568</v>
      </c>
      <c r="Q223" s="15">
        <f t="shared" si="93"/>
        <v>7094828446</v>
      </c>
      <c r="R223" s="15">
        <f t="shared" si="94"/>
        <v>31199087378</v>
      </c>
      <c r="S223" s="15">
        <f t="shared" si="95"/>
        <v>43858976604</v>
      </c>
      <c r="T223" s="16">
        <f t="shared" si="96"/>
        <v>75058063982</v>
      </c>
      <c r="U223">
        <v>103.553177745</v>
      </c>
      <c r="V223">
        <v>129.01505570699999</v>
      </c>
      <c r="W223" s="225">
        <f t="shared" si="73"/>
        <v>1.2458821497945716</v>
      </c>
      <c r="X223" s="240">
        <f t="shared" si="83"/>
        <v>22437556.798296943</v>
      </c>
      <c r="Y223" s="240">
        <f t="shared" si="84"/>
        <v>32112735.576632883</v>
      </c>
      <c r="Z223" s="240">
        <f t="shared" si="85"/>
        <v>54550292.374929823</v>
      </c>
      <c r="AA223" s="240">
        <f t="shared" si="86"/>
        <v>2604207.6921440591</v>
      </c>
      <c r="AB223" s="240">
        <f t="shared" si="87"/>
        <v>3090414.7463986534</v>
      </c>
      <c r="AC223" s="240">
        <f t="shared" si="88"/>
        <v>5694622.4385427125</v>
      </c>
      <c r="AD223" s="240">
        <f t="shared" si="89"/>
        <v>25041764.490441002</v>
      </c>
      <c r="AE223" s="240">
        <f t="shared" si="90"/>
        <v>35203150.323031537</v>
      </c>
      <c r="AF223" s="240">
        <f t="shared" si="91"/>
        <v>60244914.813472539</v>
      </c>
      <c r="AG223" s="240">
        <f t="shared" si="74"/>
        <v>27954551.5</v>
      </c>
      <c r="AH223" s="240">
        <f t="shared" si="75"/>
        <v>40008684.035999998</v>
      </c>
      <c r="AI223" s="240">
        <f t="shared" si="76"/>
        <v>67963235.535999998</v>
      </c>
      <c r="AJ223" s="240">
        <f t="shared" si="77"/>
        <v>3244535.878</v>
      </c>
      <c r="AK223" s="240">
        <f t="shared" si="78"/>
        <v>3850292.568</v>
      </c>
      <c r="AL223" s="240">
        <f t="shared" si="79"/>
        <v>7094828.4460000005</v>
      </c>
      <c r="AM223" s="240">
        <f t="shared" si="80"/>
        <v>31199087.377999999</v>
      </c>
      <c r="AN223" s="240">
        <f t="shared" si="81"/>
        <v>43858976.604000002</v>
      </c>
      <c r="AO223" s="240">
        <f t="shared" si="82"/>
        <v>75058063.981999993</v>
      </c>
    </row>
    <row r="224" spans="2:41" hidden="1" x14ac:dyDescent="0.25">
      <c r="B224" s="17">
        <v>43800</v>
      </c>
      <c r="C224" s="18">
        <v>388114</v>
      </c>
      <c r="D224" s="18">
        <v>525915</v>
      </c>
      <c r="E224" s="18">
        <f t="shared" si="70"/>
        <v>914029</v>
      </c>
      <c r="F224" s="18">
        <v>31630</v>
      </c>
      <c r="G224" s="18">
        <v>36702</v>
      </c>
      <c r="H224" s="18">
        <f t="shared" si="71"/>
        <v>68332</v>
      </c>
      <c r="I224" s="19">
        <f t="shared" si="72"/>
        <v>419744</v>
      </c>
      <c r="J224" s="19">
        <f t="shared" si="72"/>
        <v>562617</v>
      </c>
      <c r="K224" s="19">
        <f t="shared" si="72"/>
        <v>982361</v>
      </c>
      <c r="L224" s="18">
        <v>41145068046</v>
      </c>
      <c r="M224" s="18">
        <v>58614815199</v>
      </c>
      <c r="N224" s="18">
        <f t="shared" si="92"/>
        <v>99759883245</v>
      </c>
      <c r="O224" s="18">
        <v>4065124243</v>
      </c>
      <c r="P224" s="18">
        <v>4813761620</v>
      </c>
      <c r="Q224" s="18">
        <f t="shared" si="93"/>
        <v>8878885863</v>
      </c>
      <c r="R224" s="18">
        <f t="shared" si="94"/>
        <v>45210192289</v>
      </c>
      <c r="S224" s="18">
        <f t="shared" si="95"/>
        <v>63428576819</v>
      </c>
      <c r="T224" s="18">
        <f t="shared" si="96"/>
        <v>108638769108</v>
      </c>
      <c r="U224">
        <v>103.65598192</v>
      </c>
      <c r="V224">
        <v>129.01505570699999</v>
      </c>
      <c r="W224" s="225">
        <f t="shared" si="73"/>
        <v>1.2446465058482752</v>
      </c>
      <c r="X224" s="240">
        <f t="shared" si="83"/>
        <v>33057633.514953736</v>
      </c>
      <c r="Y224" s="240">
        <f t="shared" si="84"/>
        <v>47093544.169837773</v>
      </c>
      <c r="Z224" s="240">
        <f t="shared" si="85"/>
        <v>80151177.684791505</v>
      </c>
      <c r="AA224" s="240">
        <f t="shared" si="86"/>
        <v>3266087.3781423257</v>
      </c>
      <c r="AB224" s="240">
        <f t="shared" si="87"/>
        <v>3867573.3209239463</v>
      </c>
      <c r="AC224" s="240">
        <f t="shared" si="88"/>
        <v>7133660.6990662729</v>
      </c>
      <c r="AD224" s="240">
        <f t="shared" si="89"/>
        <v>36323720.89309606</v>
      </c>
      <c r="AE224" s="240">
        <f t="shared" si="90"/>
        <v>50961117.490761727</v>
      </c>
      <c r="AF224" s="240">
        <f t="shared" si="91"/>
        <v>87284838.383857787</v>
      </c>
      <c r="AG224" s="240">
        <f t="shared" si="74"/>
        <v>41145068.045999996</v>
      </c>
      <c r="AH224" s="240">
        <f t="shared" si="75"/>
        <v>58614815.199000001</v>
      </c>
      <c r="AI224" s="240">
        <f t="shared" si="76"/>
        <v>99759883.245000005</v>
      </c>
      <c r="AJ224" s="240">
        <f t="shared" si="77"/>
        <v>4065124.2429999998</v>
      </c>
      <c r="AK224" s="240">
        <f t="shared" si="78"/>
        <v>4813761.62</v>
      </c>
      <c r="AL224" s="240">
        <f t="shared" si="79"/>
        <v>8878885.8629999999</v>
      </c>
      <c r="AM224" s="240">
        <f t="shared" si="80"/>
        <v>45210192.288999997</v>
      </c>
      <c r="AN224" s="240">
        <f t="shared" si="81"/>
        <v>63428576.818999998</v>
      </c>
      <c r="AO224" s="240">
        <f t="shared" si="82"/>
        <v>108638769.108</v>
      </c>
    </row>
    <row r="225" spans="2:41" hidden="1" x14ac:dyDescent="0.25">
      <c r="B225" s="14">
        <v>43831</v>
      </c>
      <c r="C225" s="15">
        <v>392610</v>
      </c>
      <c r="D225" s="15">
        <v>540610</v>
      </c>
      <c r="E225" s="15">
        <f t="shared" si="70"/>
        <v>933220</v>
      </c>
      <c r="F225" s="15">
        <v>32309</v>
      </c>
      <c r="G225" s="15">
        <v>37278</v>
      </c>
      <c r="H225" s="15">
        <f t="shared" si="71"/>
        <v>69587</v>
      </c>
      <c r="I225" s="15">
        <f t="shared" si="72"/>
        <v>424919</v>
      </c>
      <c r="J225" s="15">
        <f t="shared" si="72"/>
        <v>577888</v>
      </c>
      <c r="K225" s="15">
        <f t="shared" si="72"/>
        <v>1002807</v>
      </c>
      <c r="L225" s="15">
        <v>41855011823</v>
      </c>
      <c r="M225" s="15">
        <v>60801972767</v>
      </c>
      <c r="N225" s="15">
        <f t="shared" si="92"/>
        <v>102656984590</v>
      </c>
      <c r="O225" s="15">
        <v>4172720449</v>
      </c>
      <c r="P225" s="15">
        <v>4925404287</v>
      </c>
      <c r="Q225" s="15">
        <f t="shared" si="93"/>
        <v>9098124736</v>
      </c>
      <c r="R225" s="15">
        <f t="shared" si="94"/>
        <v>46027732272</v>
      </c>
      <c r="S225" s="15">
        <f t="shared" si="95"/>
        <v>65727377054</v>
      </c>
      <c r="T225" s="16">
        <f t="shared" si="96"/>
        <v>111755109326</v>
      </c>
      <c r="U225">
        <v>104.242876376</v>
      </c>
      <c r="V225">
        <v>129.01505570699999</v>
      </c>
      <c r="W225" s="225">
        <f t="shared" si="73"/>
        <v>1.2376390617009425</v>
      </c>
      <c r="X225" s="240">
        <f t="shared" si="83"/>
        <v>33818431.49445913</v>
      </c>
      <c r="Y225" s="240">
        <f t="shared" si="84"/>
        <v>49127386.690136574</v>
      </c>
      <c r="Z225" s="240">
        <f t="shared" si="85"/>
        <v>82945818.184595704</v>
      </c>
      <c r="AA225" s="240">
        <f t="shared" si="86"/>
        <v>3371516.4445967344</v>
      </c>
      <c r="AB225" s="240">
        <f t="shared" si="87"/>
        <v>3979677.4677027385</v>
      </c>
      <c r="AC225" s="240">
        <f t="shared" si="88"/>
        <v>7351193.9122994728</v>
      </c>
      <c r="AD225" s="240">
        <f t="shared" si="89"/>
        <v>37189947.93905586</v>
      </c>
      <c r="AE225" s="240">
        <f t="shared" si="90"/>
        <v>53107064.157839313</v>
      </c>
      <c r="AF225" s="240">
        <f t="shared" si="91"/>
        <v>90297012.096895173</v>
      </c>
      <c r="AG225" s="240">
        <f t="shared" si="74"/>
        <v>41855011.822999999</v>
      </c>
      <c r="AH225" s="240">
        <f t="shared" si="75"/>
        <v>60801972.766999997</v>
      </c>
      <c r="AI225" s="240">
        <f t="shared" si="76"/>
        <v>102656984.59</v>
      </c>
      <c r="AJ225" s="240">
        <f t="shared" si="77"/>
        <v>4172720.449</v>
      </c>
      <c r="AK225" s="240">
        <f t="shared" si="78"/>
        <v>4925404.2869999995</v>
      </c>
      <c r="AL225" s="240">
        <f t="shared" si="79"/>
        <v>9098124.7359999996</v>
      </c>
      <c r="AM225" s="240">
        <f t="shared" si="80"/>
        <v>46027732.272</v>
      </c>
      <c r="AN225" s="240">
        <f t="shared" si="81"/>
        <v>65727377.053999998</v>
      </c>
      <c r="AO225" s="240">
        <f t="shared" si="82"/>
        <v>111755109.32600001</v>
      </c>
    </row>
    <row r="226" spans="2:41" hidden="1" x14ac:dyDescent="0.25">
      <c r="B226" s="14">
        <v>43862</v>
      </c>
      <c r="C226" s="15">
        <v>398903</v>
      </c>
      <c r="D226" s="15">
        <v>546952</v>
      </c>
      <c r="E226" s="15">
        <f t="shared" si="70"/>
        <v>945855</v>
      </c>
      <c r="F226" s="15">
        <v>32349</v>
      </c>
      <c r="G226" s="15">
        <v>37310</v>
      </c>
      <c r="H226" s="15">
        <f t="shared" si="71"/>
        <v>69659</v>
      </c>
      <c r="I226" s="15">
        <f t="shared" si="72"/>
        <v>431252</v>
      </c>
      <c r="J226" s="15">
        <f t="shared" si="72"/>
        <v>584262</v>
      </c>
      <c r="K226" s="15">
        <f t="shared" si="72"/>
        <v>1015514</v>
      </c>
      <c r="L226" s="15">
        <v>41691861558</v>
      </c>
      <c r="M226" s="15">
        <v>60218816060</v>
      </c>
      <c r="N226" s="15">
        <f t="shared" si="92"/>
        <v>101910677618</v>
      </c>
      <c r="O226" s="15">
        <v>4127753277</v>
      </c>
      <c r="P226" s="15">
        <v>4865028026</v>
      </c>
      <c r="Q226" s="15">
        <f t="shared" si="93"/>
        <v>8992781303</v>
      </c>
      <c r="R226" s="15">
        <f t="shared" si="94"/>
        <v>45819614835</v>
      </c>
      <c r="S226" s="15">
        <f t="shared" si="95"/>
        <v>65083844086</v>
      </c>
      <c r="T226" s="16">
        <f t="shared" si="96"/>
        <v>110903458921</v>
      </c>
      <c r="U226">
        <v>104.710269657</v>
      </c>
      <c r="V226">
        <v>129.01505570699999</v>
      </c>
      <c r="W226" s="225">
        <f t="shared" si="73"/>
        <v>1.2321146352656269</v>
      </c>
      <c r="X226" s="240">
        <f t="shared" si="83"/>
        <v>33837648.190106764</v>
      </c>
      <c r="Y226" s="240">
        <f t="shared" si="84"/>
        <v>48874361.47288166</v>
      </c>
      <c r="Z226" s="240">
        <f t="shared" si="85"/>
        <v>82712009.662988439</v>
      </c>
      <c r="AA226" s="240">
        <f t="shared" si="86"/>
        <v>3350137.36454004</v>
      </c>
      <c r="AB226" s="240">
        <f t="shared" si="87"/>
        <v>3948518.9825305231</v>
      </c>
      <c r="AC226" s="240">
        <f t="shared" si="88"/>
        <v>7298656.3470705636</v>
      </c>
      <c r="AD226" s="240">
        <f t="shared" si="89"/>
        <v>37187785.554646805</v>
      </c>
      <c r="AE226" s="240">
        <f t="shared" si="90"/>
        <v>52822880.455412187</v>
      </c>
      <c r="AF226" s="240">
        <f t="shared" si="91"/>
        <v>90010666.010058984</v>
      </c>
      <c r="AG226" s="240">
        <f t="shared" si="74"/>
        <v>41691861.557999998</v>
      </c>
      <c r="AH226" s="240">
        <f t="shared" si="75"/>
        <v>60218816.060000002</v>
      </c>
      <c r="AI226" s="240">
        <f t="shared" si="76"/>
        <v>101910677.618</v>
      </c>
      <c r="AJ226" s="240">
        <f t="shared" si="77"/>
        <v>4127753.2769999998</v>
      </c>
      <c r="AK226" s="240">
        <f t="shared" si="78"/>
        <v>4865028.0259999996</v>
      </c>
      <c r="AL226" s="240">
        <f t="shared" si="79"/>
        <v>8992781.3029999994</v>
      </c>
      <c r="AM226" s="240">
        <f t="shared" si="80"/>
        <v>45819614.835000001</v>
      </c>
      <c r="AN226" s="240">
        <f t="shared" si="81"/>
        <v>65083844.086000003</v>
      </c>
      <c r="AO226" s="240">
        <f t="shared" si="82"/>
        <v>110903458.921</v>
      </c>
    </row>
    <row r="227" spans="2:41" hidden="1" x14ac:dyDescent="0.25">
      <c r="B227" s="14">
        <v>43891</v>
      </c>
      <c r="C227" s="15">
        <v>408322</v>
      </c>
      <c r="D227" s="15">
        <v>555640</v>
      </c>
      <c r="E227" s="15">
        <f t="shared" si="70"/>
        <v>963962</v>
      </c>
      <c r="F227" s="15">
        <v>32685</v>
      </c>
      <c r="G227" s="15">
        <v>37607</v>
      </c>
      <c r="H227" s="15">
        <f t="shared" si="71"/>
        <v>70292</v>
      </c>
      <c r="I227" s="15">
        <f t="shared" si="72"/>
        <v>441007</v>
      </c>
      <c r="J227" s="15">
        <f t="shared" si="72"/>
        <v>593247</v>
      </c>
      <c r="K227" s="15">
        <f t="shared" si="72"/>
        <v>1034254</v>
      </c>
      <c r="L227" s="15">
        <v>42411382586</v>
      </c>
      <c r="M227" s="15">
        <v>61074740948</v>
      </c>
      <c r="N227" s="15">
        <f t="shared" si="92"/>
        <v>103486123534</v>
      </c>
      <c r="O227" s="15">
        <v>4146596031</v>
      </c>
      <c r="P227" s="15">
        <v>4888172823</v>
      </c>
      <c r="Q227" s="15">
        <f t="shared" si="93"/>
        <v>9034768854</v>
      </c>
      <c r="R227" s="15">
        <f t="shared" si="94"/>
        <v>46557978617</v>
      </c>
      <c r="S227" s="15">
        <f t="shared" si="95"/>
        <v>65962913771</v>
      </c>
      <c r="T227" s="16">
        <f t="shared" si="96"/>
        <v>112520892388</v>
      </c>
      <c r="U227">
        <v>105.056432253</v>
      </c>
      <c r="V227">
        <v>129.01505570699999</v>
      </c>
      <c r="W227" s="225">
        <f t="shared" si="73"/>
        <v>1.2280547981707786</v>
      </c>
      <c r="X227" s="240">
        <f t="shared" si="83"/>
        <v>34535415.397727303</v>
      </c>
      <c r="Y227" s="240">
        <f t="shared" si="84"/>
        <v>49732911.787790336</v>
      </c>
      <c r="Z227" s="240">
        <f t="shared" si="85"/>
        <v>84268327.185517639</v>
      </c>
      <c r="AA227" s="240">
        <f t="shared" si="86"/>
        <v>3376556.190470058</v>
      </c>
      <c r="AB227" s="240">
        <f t="shared" si="87"/>
        <v>3980419.1395050678</v>
      </c>
      <c r="AC227" s="240">
        <f t="shared" si="88"/>
        <v>7356975.3299751254</v>
      </c>
      <c r="AD227" s="240">
        <f t="shared" si="89"/>
        <v>37911971.588197358</v>
      </c>
      <c r="AE227" s="240">
        <f t="shared" si="90"/>
        <v>53713330.927295409</v>
      </c>
      <c r="AF227" s="240">
        <f t="shared" si="91"/>
        <v>91625302.515492767</v>
      </c>
      <c r="AG227" s="240">
        <f t="shared" si="74"/>
        <v>42411382.586000003</v>
      </c>
      <c r="AH227" s="240">
        <f t="shared" si="75"/>
        <v>61074740.947999999</v>
      </c>
      <c r="AI227" s="240">
        <f t="shared" si="76"/>
        <v>103486123.53399999</v>
      </c>
      <c r="AJ227" s="240">
        <f t="shared" si="77"/>
        <v>4146596.031</v>
      </c>
      <c r="AK227" s="240">
        <f t="shared" si="78"/>
        <v>4888172.8229999999</v>
      </c>
      <c r="AL227" s="240">
        <f t="shared" si="79"/>
        <v>9034768.8540000003</v>
      </c>
      <c r="AM227" s="240">
        <f t="shared" si="80"/>
        <v>46557978.616999999</v>
      </c>
      <c r="AN227" s="240">
        <f t="shared" si="81"/>
        <v>65962913.770999998</v>
      </c>
      <c r="AO227" s="240">
        <f t="shared" si="82"/>
        <v>112520892.388</v>
      </c>
    </row>
    <row r="228" spans="2:41" hidden="1" x14ac:dyDescent="0.25">
      <c r="B228" s="14">
        <v>43922</v>
      </c>
      <c r="C228" s="15">
        <v>415744</v>
      </c>
      <c r="D228" s="15">
        <v>565082</v>
      </c>
      <c r="E228" s="15">
        <f t="shared" si="70"/>
        <v>980826</v>
      </c>
      <c r="F228" s="15">
        <v>32913</v>
      </c>
      <c r="G228" s="15">
        <v>37780</v>
      </c>
      <c r="H228" s="15">
        <f t="shared" si="71"/>
        <v>70693</v>
      </c>
      <c r="I228" s="15">
        <f t="shared" si="72"/>
        <v>448657</v>
      </c>
      <c r="J228" s="15">
        <f t="shared" si="72"/>
        <v>602862</v>
      </c>
      <c r="K228" s="15">
        <f t="shared" si="72"/>
        <v>1051519</v>
      </c>
      <c r="L228" s="15">
        <v>42936057123</v>
      </c>
      <c r="M228" s="15">
        <v>61839544070</v>
      </c>
      <c r="N228" s="15">
        <f t="shared" si="92"/>
        <v>104775601193</v>
      </c>
      <c r="O228" s="15">
        <v>4153356022</v>
      </c>
      <c r="P228" s="15">
        <v>4894366209</v>
      </c>
      <c r="Q228" s="15">
        <f t="shared" si="93"/>
        <v>9047722231</v>
      </c>
      <c r="R228" s="15">
        <f t="shared" si="94"/>
        <v>47089413145</v>
      </c>
      <c r="S228" s="15">
        <f t="shared" si="95"/>
        <v>66733910279</v>
      </c>
      <c r="T228" s="16">
        <f t="shared" si="96"/>
        <v>113823323424</v>
      </c>
      <c r="U228">
        <v>105.013698925</v>
      </c>
      <c r="V228">
        <v>129.01505570699999</v>
      </c>
      <c r="W228" s="225">
        <f t="shared" si="73"/>
        <v>1.2285545317201099</v>
      </c>
      <c r="X228" s="240">
        <f t="shared" si="83"/>
        <v>34948434.126798466</v>
      </c>
      <c r="Y228" s="240">
        <f t="shared" si="84"/>
        <v>50335204.887826927</v>
      </c>
      <c r="Z228" s="240">
        <f t="shared" si="85"/>
        <v>85283639.0146254</v>
      </c>
      <c r="AA228" s="240">
        <f t="shared" si="86"/>
        <v>3380685.1179693672</v>
      </c>
      <c r="AB228" s="240">
        <f t="shared" si="87"/>
        <v>3983841.2399548558</v>
      </c>
      <c r="AC228" s="240">
        <f t="shared" si="88"/>
        <v>7364526.3579242229</v>
      </c>
      <c r="AD228" s="240">
        <f t="shared" si="89"/>
        <v>38329119.244767837</v>
      </c>
      <c r="AE228" s="240">
        <f t="shared" si="90"/>
        <v>54319046.127781786</v>
      </c>
      <c r="AF228" s="240">
        <f t="shared" si="91"/>
        <v>92648165.372549623</v>
      </c>
      <c r="AG228" s="240">
        <f t="shared" si="74"/>
        <v>42936057.123000003</v>
      </c>
      <c r="AH228" s="240">
        <f t="shared" si="75"/>
        <v>61839544.07</v>
      </c>
      <c r="AI228" s="240">
        <f t="shared" si="76"/>
        <v>104775601.193</v>
      </c>
      <c r="AJ228" s="240">
        <f t="shared" si="77"/>
        <v>4153356.0219999999</v>
      </c>
      <c r="AK228" s="240">
        <f t="shared" si="78"/>
        <v>4894366.2089999998</v>
      </c>
      <c r="AL228" s="240">
        <f t="shared" si="79"/>
        <v>9047722.2310000006</v>
      </c>
      <c r="AM228" s="240">
        <f t="shared" si="80"/>
        <v>47089413.145000003</v>
      </c>
      <c r="AN228" s="240">
        <f t="shared" si="81"/>
        <v>66733910.278999999</v>
      </c>
      <c r="AO228" s="240">
        <f t="shared" si="82"/>
        <v>113823323.42399999</v>
      </c>
    </row>
    <row r="229" spans="2:41" hidden="1" x14ac:dyDescent="0.25">
      <c r="B229" s="14">
        <v>43952</v>
      </c>
      <c r="C229" s="15">
        <v>417174</v>
      </c>
      <c r="D229" s="15">
        <v>566670</v>
      </c>
      <c r="E229" s="15">
        <f t="shared" si="70"/>
        <v>983844</v>
      </c>
      <c r="F229" s="15">
        <v>33101</v>
      </c>
      <c r="G229" s="15">
        <v>37953</v>
      </c>
      <c r="H229" s="15">
        <f t="shared" si="71"/>
        <v>71054</v>
      </c>
      <c r="I229" s="15">
        <f t="shared" si="72"/>
        <v>450275</v>
      </c>
      <c r="J229" s="15">
        <f t="shared" si="72"/>
        <v>604623</v>
      </c>
      <c r="K229" s="15">
        <f t="shared" si="72"/>
        <v>1054898</v>
      </c>
      <c r="L229" s="15">
        <v>43068075157</v>
      </c>
      <c r="M229" s="15">
        <v>62074697443</v>
      </c>
      <c r="N229" s="15">
        <f t="shared" si="92"/>
        <v>105142772600</v>
      </c>
      <c r="O229" s="15">
        <v>4172313768</v>
      </c>
      <c r="P229" s="15">
        <v>4910685710</v>
      </c>
      <c r="Q229" s="15">
        <f t="shared" si="93"/>
        <v>9082999478</v>
      </c>
      <c r="R229" s="15">
        <f t="shared" si="94"/>
        <v>47240388925</v>
      </c>
      <c r="S229" s="15">
        <f t="shared" si="95"/>
        <v>66985383153</v>
      </c>
      <c r="T229" s="16">
        <f t="shared" si="96"/>
        <v>114225772078</v>
      </c>
      <c r="U229">
        <v>104.961473516</v>
      </c>
      <c r="V229">
        <v>129.01505570699999</v>
      </c>
      <c r="W229" s="225">
        <f t="shared" si="73"/>
        <v>1.2291658204220364</v>
      </c>
      <c r="X229" s="240">
        <f t="shared" si="83"/>
        <v>35038458.148968458</v>
      </c>
      <c r="Y229" s="240">
        <f t="shared" si="84"/>
        <v>50501483.535953298</v>
      </c>
      <c r="Z229" s="240">
        <f t="shared" si="85"/>
        <v>85539941.684921756</v>
      </c>
      <c r="AA229" s="240">
        <f t="shared" si="86"/>
        <v>3394427.0973687088</v>
      </c>
      <c r="AB229" s="240">
        <f t="shared" si="87"/>
        <v>3995136.8874818753</v>
      </c>
      <c r="AC229" s="240">
        <f t="shared" si="88"/>
        <v>7389563.9848505836</v>
      </c>
      <c r="AD229" s="240">
        <f t="shared" si="89"/>
        <v>38432885.246337168</v>
      </c>
      <c r="AE229" s="240">
        <f t="shared" si="90"/>
        <v>54496620.423435174</v>
      </c>
      <c r="AF229" s="240">
        <f t="shared" si="91"/>
        <v>92929505.669772342</v>
      </c>
      <c r="AG229" s="240">
        <f t="shared" si="74"/>
        <v>43068075.156999998</v>
      </c>
      <c r="AH229" s="240">
        <f t="shared" si="75"/>
        <v>62074697.443000004</v>
      </c>
      <c r="AI229" s="240">
        <f t="shared" si="76"/>
        <v>105142772.59999999</v>
      </c>
      <c r="AJ229" s="240">
        <f t="shared" si="77"/>
        <v>4172313.7680000002</v>
      </c>
      <c r="AK229" s="240">
        <f t="shared" si="78"/>
        <v>4910685.71</v>
      </c>
      <c r="AL229" s="240">
        <f t="shared" si="79"/>
        <v>9082999.4780000001</v>
      </c>
      <c r="AM229" s="240">
        <f t="shared" si="80"/>
        <v>47240388.924999997</v>
      </c>
      <c r="AN229" s="240">
        <f t="shared" si="81"/>
        <v>66985383.152999997</v>
      </c>
      <c r="AO229" s="240">
        <f t="shared" si="82"/>
        <v>114225772.07799999</v>
      </c>
    </row>
    <row r="230" spans="2:41" hidden="1" x14ac:dyDescent="0.25">
      <c r="B230" s="14">
        <v>43983</v>
      </c>
      <c r="C230" s="15">
        <v>421409</v>
      </c>
      <c r="D230" s="15">
        <v>570289</v>
      </c>
      <c r="E230" s="15">
        <f t="shared" si="70"/>
        <v>991698</v>
      </c>
      <c r="F230" s="15">
        <v>33326</v>
      </c>
      <c r="G230" s="15">
        <v>38176</v>
      </c>
      <c r="H230" s="15">
        <f t="shared" si="71"/>
        <v>71502</v>
      </c>
      <c r="I230" s="15">
        <f t="shared" si="72"/>
        <v>454735</v>
      </c>
      <c r="J230" s="15">
        <f t="shared" si="72"/>
        <v>608465</v>
      </c>
      <c r="K230" s="15">
        <f t="shared" si="72"/>
        <v>1063200</v>
      </c>
      <c r="L230" s="15">
        <v>43498026591</v>
      </c>
      <c r="M230" s="15">
        <v>62544771733</v>
      </c>
      <c r="N230" s="15">
        <f t="shared" si="92"/>
        <v>106042798324</v>
      </c>
      <c r="O230" s="15">
        <v>4189203947</v>
      </c>
      <c r="P230" s="15">
        <v>4932858628</v>
      </c>
      <c r="Q230" s="15">
        <f t="shared" si="93"/>
        <v>9122062575</v>
      </c>
      <c r="R230" s="15">
        <f t="shared" si="94"/>
        <v>47687230538</v>
      </c>
      <c r="S230" s="15">
        <f t="shared" si="95"/>
        <v>67477630361</v>
      </c>
      <c r="T230" s="16">
        <f t="shared" si="96"/>
        <v>115164860899</v>
      </c>
      <c r="U230">
        <v>104.88601455600001</v>
      </c>
      <c r="V230">
        <v>129.01505570699999</v>
      </c>
      <c r="W230" s="225">
        <f t="shared" si="73"/>
        <v>1.2300501287339618</v>
      </c>
      <c r="X230" s="240">
        <f t="shared" si="83"/>
        <v>35362808.047319718</v>
      </c>
      <c r="Y230" s="240">
        <f t="shared" si="84"/>
        <v>50847335.626373753</v>
      </c>
      <c r="Z230" s="240">
        <f t="shared" si="85"/>
        <v>86210143.673693478</v>
      </c>
      <c r="AA230" s="240">
        <f t="shared" si="86"/>
        <v>3405718.0672073658</v>
      </c>
      <c r="AB230" s="240">
        <f t="shared" si="87"/>
        <v>4010290.7294332641</v>
      </c>
      <c r="AC230" s="240">
        <f t="shared" si="88"/>
        <v>7416008.7966406299</v>
      </c>
      <c r="AD230" s="240">
        <f t="shared" si="89"/>
        <v>38768526.114527084</v>
      </c>
      <c r="AE230" s="240">
        <f t="shared" si="90"/>
        <v>54857626.355807021</v>
      </c>
      <c r="AF230" s="240">
        <f t="shared" si="91"/>
        <v>93626152.470334113</v>
      </c>
      <c r="AG230" s="240">
        <f t="shared" si="74"/>
        <v>43498026.590999998</v>
      </c>
      <c r="AH230" s="240">
        <f t="shared" si="75"/>
        <v>62544771.733000003</v>
      </c>
      <c r="AI230" s="240">
        <f t="shared" si="76"/>
        <v>106042798.324</v>
      </c>
      <c r="AJ230" s="240">
        <f t="shared" si="77"/>
        <v>4189203.9470000002</v>
      </c>
      <c r="AK230" s="240">
        <f t="shared" si="78"/>
        <v>4932858.6279999996</v>
      </c>
      <c r="AL230" s="240">
        <f t="shared" si="79"/>
        <v>9122062.5749999993</v>
      </c>
      <c r="AM230" s="240">
        <f t="shared" si="80"/>
        <v>47687230.538000003</v>
      </c>
      <c r="AN230" s="240">
        <f t="shared" si="81"/>
        <v>67477630.361000001</v>
      </c>
      <c r="AO230" s="240">
        <f t="shared" si="82"/>
        <v>115164860.899</v>
      </c>
    </row>
    <row r="231" spans="2:41" hidden="1" x14ac:dyDescent="0.25">
      <c r="B231" s="14">
        <v>44013</v>
      </c>
      <c r="C231" s="15">
        <v>422356</v>
      </c>
      <c r="D231" s="15">
        <v>572080</v>
      </c>
      <c r="E231" s="15">
        <f t="shared" si="70"/>
        <v>994436</v>
      </c>
      <c r="F231" s="15">
        <v>33396</v>
      </c>
      <c r="G231" s="15">
        <v>38270</v>
      </c>
      <c r="H231" s="15">
        <f t="shared" si="71"/>
        <v>71666</v>
      </c>
      <c r="I231" s="15">
        <f t="shared" si="72"/>
        <v>455752</v>
      </c>
      <c r="J231" s="15">
        <f t="shared" si="72"/>
        <v>610350</v>
      </c>
      <c r="K231" s="15">
        <f t="shared" si="72"/>
        <v>1066102</v>
      </c>
      <c r="L231" s="15">
        <v>45060808461</v>
      </c>
      <c r="M231" s="15">
        <v>64938763323</v>
      </c>
      <c r="N231" s="15">
        <f t="shared" si="92"/>
        <v>109999571784</v>
      </c>
      <c r="O231" s="15">
        <v>4309623730</v>
      </c>
      <c r="P231" s="15">
        <v>5072761186</v>
      </c>
      <c r="Q231" s="15">
        <f t="shared" si="93"/>
        <v>9382384916</v>
      </c>
      <c r="R231" s="15">
        <f t="shared" si="94"/>
        <v>49370432191</v>
      </c>
      <c r="S231" s="15">
        <f t="shared" si="95"/>
        <v>70011524509</v>
      </c>
      <c r="T231" s="16">
        <f t="shared" si="96"/>
        <v>119381956700</v>
      </c>
      <c r="U231">
        <v>104.991247675</v>
      </c>
      <c r="V231">
        <v>129.01505570699999</v>
      </c>
      <c r="W231" s="225">
        <f t="shared" si="73"/>
        <v>1.2288172449037429</v>
      </c>
      <c r="X231" s="240">
        <f t="shared" si="83"/>
        <v>36670065.176803209</v>
      </c>
      <c r="Y231" s="240">
        <f t="shared" si="84"/>
        <v>52846559.235980488</v>
      </c>
      <c r="Z231" s="240">
        <f t="shared" si="85"/>
        <v>89516624.412783712</v>
      </c>
      <c r="AA231" s="240">
        <f t="shared" si="86"/>
        <v>3507131.5509879473</v>
      </c>
      <c r="AB231" s="240">
        <f t="shared" si="87"/>
        <v>4128165.6869955184</v>
      </c>
      <c r="AC231" s="240">
        <f t="shared" si="88"/>
        <v>7635297.2379834661</v>
      </c>
      <c r="AD231" s="240">
        <f t="shared" si="89"/>
        <v>40177196.727791153</v>
      </c>
      <c r="AE231" s="240">
        <f t="shared" si="90"/>
        <v>56974724.92297601</v>
      </c>
      <c r="AF231" s="240">
        <f t="shared" si="91"/>
        <v>97151921.650767162</v>
      </c>
      <c r="AG231" s="240">
        <f t="shared" si="74"/>
        <v>45060808.461000003</v>
      </c>
      <c r="AH231" s="240">
        <f t="shared" si="75"/>
        <v>64938763.322999999</v>
      </c>
      <c r="AI231" s="240">
        <f t="shared" si="76"/>
        <v>109999571.78399999</v>
      </c>
      <c r="AJ231" s="240">
        <f t="shared" si="77"/>
        <v>4309623.7300000004</v>
      </c>
      <c r="AK231" s="240">
        <f t="shared" si="78"/>
        <v>5072761.1859999998</v>
      </c>
      <c r="AL231" s="240">
        <f t="shared" si="79"/>
        <v>9382384.9159999993</v>
      </c>
      <c r="AM231" s="240">
        <f t="shared" si="80"/>
        <v>49370432.191</v>
      </c>
      <c r="AN231" s="240">
        <f t="shared" si="81"/>
        <v>70011524.509000003</v>
      </c>
      <c r="AO231" s="240">
        <f t="shared" si="82"/>
        <v>119381956.7</v>
      </c>
    </row>
    <row r="232" spans="2:41" hidden="1" x14ac:dyDescent="0.25">
      <c r="B232" s="14">
        <v>44044</v>
      </c>
      <c r="C232" s="15">
        <v>424814</v>
      </c>
      <c r="D232" s="15">
        <v>574464</v>
      </c>
      <c r="E232" s="15">
        <f t="shared" si="70"/>
        <v>999278</v>
      </c>
      <c r="F232" s="15">
        <v>33472</v>
      </c>
      <c r="G232" s="15">
        <v>38301</v>
      </c>
      <c r="H232" s="15">
        <f t="shared" si="71"/>
        <v>71773</v>
      </c>
      <c r="I232" s="15">
        <f t="shared" si="72"/>
        <v>458286</v>
      </c>
      <c r="J232" s="15">
        <f t="shared" si="72"/>
        <v>612765</v>
      </c>
      <c r="K232" s="15">
        <f t="shared" si="72"/>
        <v>1071051</v>
      </c>
      <c r="L232" s="15">
        <v>45301512495</v>
      </c>
      <c r="M232" s="15">
        <v>65312368182</v>
      </c>
      <c r="N232" s="15">
        <f t="shared" si="92"/>
        <v>110613880677</v>
      </c>
      <c r="O232" s="15">
        <v>4314028947</v>
      </c>
      <c r="P232" s="15">
        <v>5071808879</v>
      </c>
      <c r="Q232" s="15">
        <f t="shared" si="93"/>
        <v>9385837826</v>
      </c>
      <c r="R232" s="15">
        <f t="shared" si="94"/>
        <v>49615541442</v>
      </c>
      <c r="S232" s="15">
        <f t="shared" si="95"/>
        <v>70384177061</v>
      </c>
      <c r="T232" s="16">
        <f t="shared" si="96"/>
        <v>119999718503</v>
      </c>
      <c r="U232">
        <v>105.129937336</v>
      </c>
      <c r="V232">
        <v>129.01505570699999</v>
      </c>
      <c r="W232" s="225">
        <f t="shared" si="73"/>
        <v>1.2271961629222901</v>
      </c>
      <c r="X232" s="240">
        <f t="shared" si="83"/>
        <v>36914646.462978415</v>
      </c>
      <c r="Y232" s="240">
        <f t="shared" si="84"/>
        <v>53220805.406100176</v>
      </c>
      <c r="Z232" s="240">
        <f t="shared" si="85"/>
        <v>90135451.869078577</v>
      </c>
      <c r="AA232" s="240">
        <f t="shared" si="86"/>
        <v>3515354.0056115529</v>
      </c>
      <c r="AB232" s="240">
        <f t="shared" si="87"/>
        <v>4132842.8430892695</v>
      </c>
      <c r="AC232" s="240">
        <f t="shared" si="88"/>
        <v>7648196.8487008233</v>
      </c>
      <c r="AD232" s="240">
        <f t="shared" si="89"/>
        <v>40430000.468589976</v>
      </c>
      <c r="AE232" s="240">
        <f t="shared" si="90"/>
        <v>57353648.249189436</v>
      </c>
      <c r="AF232" s="240">
        <f t="shared" si="91"/>
        <v>97783648.717779398</v>
      </c>
      <c r="AG232" s="240">
        <f t="shared" si="74"/>
        <v>45301512.494999997</v>
      </c>
      <c r="AH232" s="240">
        <f t="shared" si="75"/>
        <v>65312368.181999996</v>
      </c>
      <c r="AI232" s="240">
        <f t="shared" si="76"/>
        <v>110613880.677</v>
      </c>
      <c r="AJ232" s="240">
        <f t="shared" si="77"/>
        <v>4314028.9469999997</v>
      </c>
      <c r="AK232" s="240">
        <f t="shared" si="78"/>
        <v>5071808.8789999997</v>
      </c>
      <c r="AL232" s="240">
        <f t="shared" si="79"/>
        <v>9385837.8259999994</v>
      </c>
      <c r="AM232" s="240">
        <f t="shared" si="80"/>
        <v>49615541.442000002</v>
      </c>
      <c r="AN232" s="240">
        <f t="shared" si="81"/>
        <v>70384177.061000004</v>
      </c>
      <c r="AO232" s="240">
        <f t="shared" si="82"/>
        <v>119999718.50300001</v>
      </c>
    </row>
    <row r="233" spans="2:41" hidden="1" x14ac:dyDescent="0.25">
      <c r="B233" s="14">
        <v>44075</v>
      </c>
      <c r="C233" s="15">
        <v>428184</v>
      </c>
      <c r="D233" s="15">
        <v>578357</v>
      </c>
      <c r="E233" s="15">
        <f t="shared" si="70"/>
        <v>1006541</v>
      </c>
      <c r="F233" s="15">
        <v>33532</v>
      </c>
      <c r="G233" s="15">
        <v>38339</v>
      </c>
      <c r="H233" s="15">
        <f t="shared" si="71"/>
        <v>71871</v>
      </c>
      <c r="I233" s="15">
        <f t="shared" si="72"/>
        <v>461716</v>
      </c>
      <c r="J233" s="15">
        <f t="shared" si="72"/>
        <v>616696</v>
      </c>
      <c r="K233" s="15">
        <f t="shared" si="72"/>
        <v>1078412</v>
      </c>
      <c r="L233" s="15">
        <v>45549264078</v>
      </c>
      <c r="M233" s="15">
        <v>65768817581</v>
      </c>
      <c r="N233" s="15">
        <f t="shared" si="92"/>
        <v>111318081659</v>
      </c>
      <c r="O233" s="15">
        <v>4314469495</v>
      </c>
      <c r="P233" s="15">
        <v>5069716406</v>
      </c>
      <c r="Q233" s="15">
        <f t="shared" si="93"/>
        <v>9384185901</v>
      </c>
      <c r="R233" s="15">
        <f t="shared" si="94"/>
        <v>49863733573</v>
      </c>
      <c r="S233" s="15">
        <f t="shared" si="95"/>
        <v>70838533987</v>
      </c>
      <c r="T233" s="16">
        <f t="shared" si="96"/>
        <v>120702267560</v>
      </c>
      <c r="U233">
        <v>105.797754142</v>
      </c>
      <c r="V233">
        <v>129.01505570699999</v>
      </c>
      <c r="W233" s="225">
        <f t="shared" si="73"/>
        <v>1.2194498527240767</v>
      </c>
      <c r="X233" s="240">
        <f t="shared" si="83"/>
        <v>37352306.022465341</v>
      </c>
      <c r="Y233" s="240">
        <f t="shared" si="84"/>
        <v>53933187.52229283</v>
      </c>
      <c r="Z233" s="240">
        <f t="shared" si="85"/>
        <v>91285493.544758171</v>
      </c>
      <c r="AA233" s="240">
        <f t="shared" si="86"/>
        <v>3538045.8535150844</v>
      </c>
      <c r="AB233" s="240">
        <f t="shared" si="87"/>
        <v>4157379.9813702698</v>
      </c>
      <c r="AC233" s="240">
        <f t="shared" si="88"/>
        <v>7695425.8348853542</v>
      </c>
      <c r="AD233" s="240">
        <f t="shared" si="89"/>
        <v>40890351.875980422</v>
      </c>
      <c r="AE233" s="240">
        <f t="shared" si="90"/>
        <v>58090567.5036631</v>
      </c>
      <c r="AF233" s="240">
        <f t="shared" si="91"/>
        <v>98980919.37964353</v>
      </c>
      <c r="AG233" s="240">
        <f t="shared" si="74"/>
        <v>45549264.078000002</v>
      </c>
      <c r="AH233" s="240">
        <f t="shared" si="75"/>
        <v>65768817.581</v>
      </c>
      <c r="AI233" s="240">
        <f t="shared" si="76"/>
        <v>111318081.65899999</v>
      </c>
      <c r="AJ233" s="240">
        <f t="shared" si="77"/>
        <v>4314469.4950000001</v>
      </c>
      <c r="AK233" s="240">
        <f t="shared" si="78"/>
        <v>5069716.4060000004</v>
      </c>
      <c r="AL233" s="240">
        <f t="shared" si="79"/>
        <v>9384185.9010000005</v>
      </c>
      <c r="AM233" s="240">
        <f t="shared" si="80"/>
        <v>49863733.572999999</v>
      </c>
      <c r="AN233" s="240">
        <f t="shared" si="81"/>
        <v>70838533.987000003</v>
      </c>
      <c r="AO233" s="240">
        <f t="shared" si="82"/>
        <v>120702267.56</v>
      </c>
    </row>
    <row r="234" spans="2:41" hidden="1" x14ac:dyDescent="0.25">
      <c r="B234" s="14">
        <v>44105</v>
      </c>
      <c r="C234" s="15">
        <v>432062</v>
      </c>
      <c r="D234" s="15">
        <v>583043</v>
      </c>
      <c r="E234" s="15">
        <f t="shared" si="70"/>
        <v>1015105</v>
      </c>
      <c r="F234" s="15">
        <v>33724</v>
      </c>
      <c r="G234" s="15">
        <v>38500</v>
      </c>
      <c r="H234" s="15">
        <f t="shared" si="71"/>
        <v>72224</v>
      </c>
      <c r="I234" s="15">
        <f t="shared" si="72"/>
        <v>465786</v>
      </c>
      <c r="J234" s="15">
        <f t="shared" si="72"/>
        <v>621543</v>
      </c>
      <c r="K234" s="15">
        <f t="shared" si="72"/>
        <v>1087329</v>
      </c>
      <c r="L234" s="15">
        <v>45789821788</v>
      </c>
      <c r="M234" s="15">
        <v>66275487600</v>
      </c>
      <c r="N234" s="15">
        <f t="shared" si="92"/>
        <v>112065309388</v>
      </c>
      <c r="O234" s="15">
        <v>4318991399</v>
      </c>
      <c r="P234" s="15">
        <v>5075460232</v>
      </c>
      <c r="Q234" s="15">
        <f t="shared" si="93"/>
        <v>9394451631</v>
      </c>
      <c r="R234" s="15">
        <f t="shared" si="94"/>
        <v>50108813187</v>
      </c>
      <c r="S234" s="15">
        <f t="shared" si="95"/>
        <v>71350947832</v>
      </c>
      <c r="T234" s="16">
        <f t="shared" si="96"/>
        <v>121459761019</v>
      </c>
      <c r="U234">
        <v>106.52430936899999</v>
      </c>
      <c r="V234">
        <v>129.01505570699999</v>
      </c>
      <c r="W234" s="225">
        <f t="shared" si="73"/>
        <v>1.2111325243151034</v>
      </c>
      <c r="X234" s="240">
        <f t="shared" si="83"/>
        <v>37807441.273938365</v>
      </c>
      <c r="Y234" s="240">
        <f t="shared" si="84"/>
        <v>54721912.151999101</v>
      </c>
      <c r="Z234" s="240">
        <f t="shared" si="85"/>
        <v>92529353.425937459</v>
      </c>
      <c r="AA234" s="240">
        <f t="shared" si="86"/>
        <v>3566076.6367763048</v>
      </c>
      <c r="AB234" s="240">
        <f t="shared" si="87"/>
        <v>4190672.8868256407</v>
      </c>
      <c r="AC234" s="240">
        <f t="shared" si="88"/>
        <v>7756749.5236019446</v>
      </c>
      <c r="AD234" s="240">
        <f t="shared" si="89"/>
        <v>41373517.910714671</v>
      </c>
      <c r="AE234" s="240">
        <f t="shared" si="90"/>
        <v>58912585.038824737</v>
      </c>
      <c r="AF234" s="240">
        <f t="shared" si="91"/>
        <v>100286102.94953939</v>
      </c>
      <c r="AG234" s="240">
        <f t="shared" si="74"/>
        <v>45789821.788000003</v>
      </c>
      <c r="AH234" s="240">
        <f t="shared" si="75"/>
        <v>66275487.600000001</v>
      </c>
      <c r="AI234" s="240">
        <f t="shared" si="76"/>
        <v>112065309.388</v>
      </c>
      <c r="AJ234" s="240">
        <f t="shared" si="77"/>
        <v>4318991.3990000002</v>
      </c>
      <c r="AK234" s="240">
        <f t="shared" si="78"/>
        <v>5075460.2319999998</v>
      </c>
      <c r="AL234" s="240">
        <f t="shared" si="79"/>
        <v>9394451.6309999991</v>
      </c>
      <c r="AM234" s="240">
        <f t="shared" si="80"/>
        <v>50108813.186999999</v>
      </c>
      <c r="AN234" s="240">
        <f t="shared" si="81"/>
        <v>71350947.832000002</v>
      </c>
      <c r="AO234" s="240">
        <f t="shared" si="82"/>
        <v>121459761.01899999</v>
      </c>
    </row>
    <row r="235" spans="2:41" hidden="1" x14ac:dyDescent="0.25">
      <c r="B235" s="14">
        <v>44136</v>
      </c>
      <c r="C235" s="15">
        <v>436187</v>
      </c>
      <c r="D235" s="15">
        <v>589403</v>
      </c>
      <c r="E235" s="15">
        <f t="shared" si="70"/>
        <v>1025590</v>
      </c>
      <c r="F235" s="15">
        <v>34000</v>
      </c>
      <c r="G235" s="15">
        <v>38626</v>
      </c>
      <c r="H235" s="15">
        <f t="shared" si="71"/>
        <v>72626</v>
      </c>
      <c r="I235" s="15">
        <f t="shared" si="72"/>
        <v>470187</v>
      </c>
      <c r="J235" s="15">
        <f t="shared" si="72"/>
        <v>628029</v>
      </c>
      <c r="K235" s="15">
        <f t="shared" si="72"/>
        <v>1098216</v>
      </c>
      <c r="L235" s="15">
        <v>46130794787</v>
      </c>
      <c r="M235" s="15">
        <v>67057614181</v>
      </c>
      <c r="N235" s="15">
        <f t="shared" si="92"/>
        <v>113188408968</v>
      </c>
      <c r="O235" s="15">
        <v>4331358300</v>
      </c>
      <c r="P235" s="15">
        <v>5074666615</v>
      </c>
      <c r="Q235" s="15">
        <f t="shared" si="93"/>
        <v>9406024915</v>
      </c>
      <c r="R235" s="15">
        <f t="shared" si="94"/>
        <v>50462153087</v>
      </c>
      <c r="S235" s="15">
        <f t="shared" si="95"/>
        <v>72132280796</v>
      </c>
      <c r="T235" s="16">
        <f t="shared" si="96"/>
        <v>122594433883</v>
      </c>
      <c r="U235">
        <v>106.37812172300001</v>
      </c>
      <c r="V235">
        <v>129.01505570699999</v>
      </c>
      <c r="W235" s="225">
        <f t="shared" si="73"/>
        <v>1.2127968948628809</v>
      </c>
      <c r="X235" s="240">
        <f t="shared" si="83"/>
        <v>38036702.585897997</v>
      </c>
      <c r="Y235" s="240">
        <f t="shared" si="84"/>
        <v>55291709.984614983</v>
      </c>
      <c r="Z235" s="240">
        <f t="shared" si="85"/>
        <v>93328412.57051298</v>
      </c>
      <c r="AA235" s="240">
        <f t="shared" si="86"/>
        <v>3571379.7737664101</v>
      </c>
      <c r="AB235" s="240">
        <f t="shared" si="87"/>
        <v>4184267.4865800533</v>
      </c>
      <c r="AC235" s="240">
        <f t="shared" si="88"/>
        <v>7755647.260346463</v>
      </c>
      <c r="AD235" s="240">
        <f t="shared" si="89"/>
        <v>41608082.359664403</v>
      </c>
      <c r="AE235" s="240">
        <f t="shared" si="90"/>
        <v>59475977.471195035</v>
      </c>
      <c r="AF235" s="240">
        <f t="shared" si="91"/>
        <v>101084059.83085944</v>
      </c>
      <c r="AG235" s="240">
        <f t="shared" si="74"/>
        <v>46130794.787</v>
      </c>
      <c r="AH235" s="240">
        <f t="shared" si="75"/>
        <v>67057614.181000002</v>
      </c>
      <c r="AI235" s="240">
        <f t="shared" si="76"/>
        <v>113188408.96799999</v>
      </c>
      <c r="AJ235" s="240">
        <f t="shared" si="77"/>
        <v>4331358.3</v>
      </c>
      <c r="AK235" s="240">
        <f t="shared" si="78"/>
        <v>5074666.6150000002</v>
      </c>
      <c r="AL235" s="240">
        <f t="shared" si="79"/>
        <v>9406024.9149999991</v>
      </c>
      <c r="AM235" s="240">
        <f t="shared" si="80"/>
        <v>50462153.086999997</v>
      </c>
      <c r="AN235" s="240">
        <f t="shared" si="81"/>
        <v>72132280.796000004</v>
      </c>
      <c r="AO235" s="240">
        <f t="shared" si="82"/>
        <v>122594433.883</v>
      </c>
    </row>
    <row r="236" spans="2:41" hidden="1" x14ac:dyDescent="0.25">
      <c r="B236" s="17">
        <v>44166</v>
      </c>
      <c r="C236" s="18">
        <v>439776</v>
      </c>
      <c r="D236" s="18">
        <v>595180</v>
      </c>
      <c r="E236" s="18">
        <f t="shared" si="70"/>
        <v>1034956</v>
      </c>
      <c r="F236" s="18">
        <v>34075</v>
      </c>
      <c r="G236" s="18">
        <v>38619</v>
      </c>
      <c r="H236" s="18">
        <f t="shared" si="71"/>
        <v>72694</v>
      </c>
      <c r="I236" s="19">
        <f t="shared" si="72"/>
        <v>473851</v>
      </c>
      <c r="J236" s="19">
        <f t="shared" si="72"/>
        <v>633799</v>
      </c>
      <c r="K236" s="19">
        <f t="shared" si="72"/>
        <v>1107650</v>
      </c>
      <c r="L236" s="18">
        <v>46418317055</v>
      </c>
      <c r="M236" s="18">
        <v>67767224565</v>
      </c>
      <c r="N236" s="18">
        <f t="shared" si="92"/>
        <v>114185541620</v>
      </c>
      <c r="O236" s="18">
        <v>4326919665</v>
      </c>
      <c r="P236" s="18">
        <v>5063951739</v>
      </c>
      <c r="Q236" s="18">
        <f t="shared" si="93"/>
        <v>9390871404</v>
      </c>
      <c r="R236" s="18">
        <f t="shared" si="94"/>
        <v>50745236720</v>
      </c>
      <c r="S236" s="18">
        <f t="shared" si="95"/>
        <v>72831176304</v>
      </c>
      <c r="T236" s="18">
        <f t="shared" si="96"/>
        <v>123576413024</v>
      </c>
      <c r="U236">
        <v>106.737540442</v>
      </c>
      <c r="V236">
        <v>129.01505570699999</v>
      </c>
      <c r="W236" s="225">
        <f t="shared" si="73"/>
        <v>1.2087130279819904</v>
      </c>
      <c r="X236" s="240">
        <f t="shared" si="83"/>
        <v>38403091.536539331</v>
      </c>
      <c r="Y236" s="240">
        <f t="shared" si="84"/>
        <v>56065602.832246229</v>
      </c>
      <c r="Z236" s="240">
        <f t="shared" si="85"/>
        <v>94468694.36878556</v>
      </c>
      <c r="AA236" s="240">
        <f t="shared" si="86"/>
        <v>3579774.1604754757</v>
      </c>
      <c r="AB236" s="240">
        <f t="shared" si="87"/>
        <v>4189540.1321639861</v>
      </c>
      <c r="AC236" s="240">
        <f t="shared" si="88"/>
        <v>7769314.2926394613</v>
      </c>
      <c r="AD236" s="240">
        <f t="shared" si="89"/>
        <v>41982865.697014801</v>
      </c>
      <c r="AE236" s="240">
        <f t="shared" si="90"/>
        <v>60255142.964410216</v>
      </c>
      <c r="AF236" s="240">
        <f t="shared" si="91"/>
        <v>102238008.66142502</v>
      </c>
      <c r="AG236" s="240">
        <f t="shared" si="74"/>
        <v>46418317.055</v>
      </c>
      <c r="AH236" s="240">
        <f t="shared" si="75"/>
        <v>67767224.564999998</v>
      </c>
      <c r="AI236" s="240">
        <f t="shared" si="76"/>
        <v>114185541.62</v>
      </c>
      <c r="AJ236" s="240">
        <f t="shared" si="77"/>
        <v>4326919.665</v>
      </c>
      <c r="AK236" s="240">
        <f t="shared" si="78"/>
        <v>5063951.7390000001</v>
      </c>
      <c r="AL236" s="240">
        <f t="shared" si="79"/>
        <v>9390871.4039999992</v>
      </c>
      <c r="AM236" s="240">
        <f t="shared" si="80"/>
        <v>50745236.719999999</v>
      </c>
      <c r="AN236" s="240">
        <f t="shared" si="81"/>
        <v>72831176.304000005</v>
      </c>
      <c r="AO236" s="240">
        <f t="shared" si="82"/>
        <v>123576413.024</v>
      </c>
    </row>
    <row r="237" spans="2:41" hidden="1" x14ac:dyDescent="0.25">
      <c r="B237" s="14">
        <v>44197</v>
      </c>
      <c r="C237" s="15">
        <v>443662</v>
      </c>
      <c r="D237" s="15">
        <v>600842</v>
      </c>
      <c r="E237" s="15">
        <f>C237+D237</f>
        <v>1044504</v>
      </c>
      <c r="F237" s="15">
        <v>34228</v>
      </c>
      <c r="G237" s="15">
        <v>38683</v>
      </c>
      <c r="H237" s="15">
        <f t="shared" si="71"/>
        <v>72911</v>
      </c>
      <c r="I237" s="15">
        <f t="shared" ref="I237:K252" si="97">C237+F237</f>
        <v>477890</v>
      </c>
      <c r="J237" s="15">
        <f t="shared" si="97"/>
        <v>639525</v>
      </c>
      <c r="K237" s="15">
        <f t="shared" si="97"/>
        <v>1117415</v>
      </c>
      <c r="L237" s="15">
        <v>53183399122</v>
      </c>
      <c r="M237" s="15">
        <v>76453709691</v>
      </c>
      <c r="N237" s="15">
        <f t="shared" si="92"/>
        <v>129637108813</v>
      </c>
      <c r="O237" s="15">
        <v>4910795030</v>
      </c>
      <c r="P237" s="15">
        <v>5716924601</v>
      </c>
      <c r="Q237" s="15">
        <f t="shared" si="93"/>
        <v>10627719631</v>
      </c>
      <c r="R237" s="15">
        <f t="shared" si="94"/>
        <v>58094194152</v>
      </c>
      <c r="S237" s="15">
        <f t="shared" si="95"/>
        <v>82170634292</v>
      </c>
      <c r="T237" s="16">
        <f t="shared" si="96"/>
        <v>140264828444</v>
      </c>
      <c r="U237">
        <v>107.487129776</v>
      </c>
      <c r="V237">
        <v>129.01505570699999</v>
      </c>
      <c r="W237" s="225">
        <f t="shared" si="73"/>
        <v>1.2002837546770813</v>
      </c>
      <c r="X237" s="240">
        <f t="shared" si="83"/>
        <v>44309021.858175702</v>
      </c>
      <c r="Y237" s="240">
        <f t="shared" si="84"/>
        <v>63696362.958414577</v>
      </c>
      <c r="Z237" s="240">
        <f t="shared" si="85"/>
        <v>108005384.81659026</v>
      </c>
      <c r="AA237" s="240">
        <f t="shared" si="86"/>
        <v>4091361.7391424058</v>
      </c>
      <c r="AB237" s="240">
        <f t="shared" si="87"/>
        <v>4762977.5698647648</v>
      </c>
      <c r="AC237" s="240">
        <f t="shared" si="88"/>
        <v>8854339.3090071697</v>
      </c>
      <c r="AD237" s="240">
        <f t="shared" si="89"/>
        <v>48400383.597318113</v>
      </c>
      <c r="AE237" s="240">
        <f t="shared" si="90"/>
        <v>68459340.528279334</v>
      </c>
      <c r="AF237" s="240">
        <f t="shared" si="91"/>
        <v>116859724.12559745</v>
      </c>
      <c r="AG237" s="240">
        <f t="shared" si="74"/>
        <v>53183399.122000001</v>
      </c>
      <c r="AH237" s="240">
        <f t="shared" si="75"/>
        <v>76453709.691</v>
      </c>
      <c r="AI237" s="240">
        <f t="shared" si="76"/>
        <v>129637108.81299999</v>
      </c>
      <c r="AJ237" s="240">
        <f t="shared" si="77"/>
        <v>4910795.03</v>
      </c>
      <c r="AK237" s="240">
        <f t="shared" si="78"/>
        <v>5716924.6009999998</v>
      </c>
      <c r="AL237" s="240">
        <f t="shared" si="79"/>
        <v>10627719.630999999</v>
      </c>
      <c r="AM237" s="240">
        <f t="shared" si="80"/>
        <v>58094194.152000003</v>
      </c>
      <c r="AN237" s="240">
        <f t="shared" si="81"/>
        <v>82170634.291999996</v>
      </c>
      <c r="AO237" s="240">
        <f t="shared" si="82"/>
        <v>140264828.44400001</v>
      </c>
    </row>
    <row r="238" spans="2:41" hidden="1" x14ac:dyDescent="0.25">
      <c r="B238" s="14">
        <v>44228</v>
      </c>
      <c r="C238" s="15">
        <v>447257</v>
      </c>
      <c r="D238" s="15">
        <v>605436</v>
      </c>
      <c r="E238" s="15">
        <f t="shared" ref="E238:E260" si="98">C238+D238</f>
        <v>1052693</v>
      </c>
      <c r="F238" s="15">
        <v>34279</v>
      </c>
      <c r="G238" s="15">
        <v>38750</v>
      </c>
      <c r="H238" s="15">
        <f t="shared" si="71"/>
        <v>73029</v>
      </c>
      <c r="I238" s="15">
        <f t="shared" si="97"/>
        <v>481536</v>
      </c>
      <c r="J238" s="15">
        <f t="shared" si="97"/>
        <v>644186</v>
      </c>
      <c r="K238" s="15">
        <f t="shared" si="97"/>
        <v>1125722</v>
      </c>
      <c r="L238" s="15">
        <v>53338413878</v>
      </c>
      <c r="M238" s="15">
        <v>76669977293</v>
      </c>
      <c r="N238" s="15">
        <f t="shared" si="92"/>
        <v>130008391171</v>
      </c>
      <c r="O238" s="15">
        <v>4911050689</v>
      </c>
      <c r="P238" s="15">
        <v>5715147101</v>
      </c>
      <c r="Q238" s="15">
        <f t="shared" si="93"/>
        <v>10626197790</v>
      </c>
      <c r="R238" s="15">
        <f t="shared" si="94"/>
        <v>58249464567</v>
      </c>
      <c r="S238" s="15">
        <f t="shared" si="95"/>
        <v>82385124394</v>
      </c>
      <c r="T238" s="16">
        <f t="shared" si="96"/>
        <v>140634588961</v>
      </c>
      <c r="U238">
        <v>107.68630519200001</v>
      </c>
      <c r="V238">
        <v>129.01505570699999</v>
      </c>
      <c r="W238" s="225">
        <f t="shared" si="73"/>
        <v>1.1980637229308939</v>
      </c>
      <c r="X238" s="240">
        <f t="shared" si="83"/>
        <v>44520514.941822201</v>
      </c>
      <c r="Y238" s="240">
        <f t="shared" si="84"/>
        <v>63994907.637665316</v>
      </c>
      <c r="Z238" s="240">
        <f t="shared" si="85"/>
        <v>108515422.57948752</v>
      </c>
      <c r="AA238" s="240">
        <f t="shared" si="86"/>
        <v>4099156.4931002227</v>
      </c>
      <c r="AB238" s="240">
        <f t="shared" si="87"/>
        <v>4770319.8015366821</v>
      </c>
      <c r="AC238" s="240">
        <f t="shared" si="88"/>
        <v>8869476.2946369033</v>
      </c>
      <c r="AD238" s="240">
        <f t="shared" si="89"/>
        <v>48619671.434922427</v>
      </c>
      <c r="AE238" s="240">
        <f t="shared" si="90"/>
        <v>68765227.439201996</v>
      </c>
      <c r="AF238" s="240">
        <f t="shared" si="91"/>
        <v>117384898.87412442</v>
      </c>
      <c r="AG238" s="240">
        <f t="shared" si="74"/>
        <v>53338413.877999999</v>
      </c>
      <c r="AH238" s="240">
        <f t="shared" si="75"/>
        <v>76669977.292999998</v>
      </c>
      <c r="AI238" s="240">
        <f t="shared" si="76"/>
        <v>130008391.171</v>
      </c>
      <c r="AJ238" s="240">
        <f t="shared" si="77"/>
        <v>4911050.6890000002</v>
      </c>
      <c r="AK238" s="240">
        <f t="shared" si="78"/>
        <v>5715147.1009999998</v>
      </c>
      <c r="AL238" s="240">
        <f t="shared" si="79"/>
        <v>10626197.789999999</v>
      </c>
      <c r="AM238" s="240">
        <f t="shared" si="80"/>
        <v>58249464.567000002</v>
      </c>
      <c r="AN238" s="240">
        <f t="shared" si="81"/>
        <v>82385124.393999994</v>
      </c>
      <c r="AO238" s="240">
        <f t="shared" si="82"/>
        <v>140634588.961</v>
      </c>
    </row>
    <row r="239" spans="2:41" hidden="1" x14ac:dyDescent="0.25">
      <c r="B239" s="14">
        <v>44256</v>
      </c>
      <c r="C239" s="15">
        <v>450099</v>
      </c>
      <c r="D239" s="15">
        <v>610095</v>
      </c>
      <c r="E239" s="15">
        <f t="shared" si="98"/>
        <v>1060194</v>
      </c>
      <c r="F239" s="15">
        <v>34317</v>
      </c>
      <c r="G239" s="15">
        <v>38777</v>
      </c>
      <c r="H239" s="15">
        <f t="shared" si="71"/>
        <v>73094</v>
      </c>
      <c r="I239" s="15">
        <f t="shared" si="97"/>
        <v>484416</v>
      </c>
      <c r="J239" s="15">
        <f t="shared" si="97"/>
        <v>648872</v>
      </c>
      <c r="K239" s="15">
        <f t="shared" si="97"/>
        <v>1133288</v>
      </c>
      <c r="L239" s="15">
        <v>53676118048</v>
      </c>
      <c r="M239" s="15">
        <v>77415895508</v>
      </c>
      <c r="N239" s="15">
        <f t="shared" si="92"/>
        <v>131092013556</v>
      </c>
      <c r="O239" s="15">
        <v>4918656116</v>
      </c>
      <c r="P239" s="15">
        <v>5717786488</v>
      </c>
      <c r="Q239" s="15">
        <f t="shared" si="93"/>
        <v>10636442604</v>
      </c>
      <c r="R239" s="15">
        <f t="shared" si="94"/>
        <v>58594774164</v>
      </c>
      <c r="S239" s="15">
        <f t="shared" si="95"/>
        <v>83133681996</v>
      </c>
      <c r="T239" s="16">
        <f t="shared" si="96"/>
        <v>141728456160</v>
      </c>
      <c r="U239">
        <v>108.090507335</v>
      </c>
      <c r="V239">
        <v>129.01505570699999</v>
      </c>
      <c r="W239" s="225">
        <f t="shared" si="73"/>
        <v>1.1935835892336919</v>
      </c>
      <c r="X239" s="240">
        <f t="shared" si="83"/>
        <v>44970556.341564067</v>
      </c>
      <c r="Y239" s="240">
        <f t="shared" si="84"/>
        <v>64860053.544890635</v>
      </c>
      <c r="Z239" s="240">
        <f t="shared" si="85"/>
        <v>109830609.8864547</v>
      </c>
      <c r="AA239" s="240">
        <f t="shared" si="86"/>
        <v>4120914.664349474</v>
      </c>
      <c r="AB239" s="240">
        <f t="shared" si="87"/>
        <v>4790436.5807098188</v>
      </c>
      <c r="AC239" s="240">
        <f t="shared" si="88"/>
        <v>8911351.2450592946</v>
      </c>
      <c r="AD239" s="240">
        <f t="shared" si="89"/>
        <v>49091471.005913533</v>
      </c>
      <c r="AE239" s="240">
        <f t="shared" si="90"/>
        <v>69650490.125600442</v>
      </c>
      <c r="AF239" s="240">
        <f t="shared" si="91"/>
        <v>118741961.131514</v>
      </c>
      <c r="AG239" s="240">
        <f t="shared" si="74"/>
        <v>53676118.048</v>
      </c>
      <c r="AH239" s="240">
        <f t="shared" si="75"/>
        <v>77415895.508000001</v>
      </c>
      <c r="AI239" s="240">
        <f t="shared" si="76"/>
        <v>131092013.55599999</v>
      </c>
      <c r="AJ239" s="240">
        <f t="shared" si="77"/>
        <v>4918656.1160000004</v>
      </c>
      <c r="AK239" s="240">
        <f t="shared" si="78"/>
        <v>5717786.4879999999</v>
      </c>
      <c r="AL239" s="240">
        <f t="shared" si="79"/>
        <v>10636442.604</v>
      </c>
      <c r="AM239" s="240">
        <f t="shared" si="80"/>
        <v>58594774.163999997</v>
      </c>
      <c r="AN239" s="240">
        <f t="shared" si="81"/>
        <v>83133681.996000007</v>
      </c>
      <c r="AO239" s="240">
        <f t="shared" si="82"/>
        <v>141728456.16</v>
      </c>
    </row>
    <row r="240" spans="2:41" hidden="1" x14ac:dyDescent="0.25">
      <c r="B240" s="14">
        <v>44287</v>
      </c>
      <c r="C240" s="15">
        <v>453554</v>
      </c>
      <c r="D240" s="15">
        <v>615165</v>
      </c>
      <c r="E240" s="15">
        <f t="shared" si="98"/>
        <v>1068719</v>
      </c>
      <c r="F240" s="15">
        <v>35231</v>
      </c>
      <c r="G240" s="15">
        <v>39434</v>
      </c>
      <c r="H240" s="15">
        <f t="shared" si="71"/>
        <v>74665</v>
      </c>
      <c r="I240" s="15">
        <f t="shared" si="97"/>
        <v>488785</v>
      </c>
      <c r="J240" s="15">
        <f t="shared" si="97"/>
        <v>654599</v>
      </c>
      <c r="K240" s="15">
        <f t="shared" si="97"/>
        <v>1143384</v>
      </c>
      <c r="L240" s="15">
        <v>54028183062</v>
      </c>
      <c r="M240" s="15">
        <v>78157630571</v>
      </c>
      <c r="N240" s="15">
        <f t="shared" si="92"/>
        <v>132185813633</v>
      </c>
      <c r="O240" s="15">
        <v>5000832295</v>
      </c>
      <c r="P240" s="15">
        <v>5771753030</v>
      </c>
      <c r="Q240" s="15">
        <f t="shared" si="93"/>
        <v>10772585325</v>
      </c>
      <c r="R240" s="15">
        <f t="shared" si="94"/>
        <v>59029015357</v>
      </c>
      <c r="S240" s="15">
        <f t="shared" si="95"/>
        <v>83929383601</v>
      </c>
      <c r="T240" s="16">
        <f t="shared" si="96"/>
        <v>142958398958</v>
      </c>
      <c r="U240">
        <v>108.497976482</v>
      </c>
      <c r="V240">
        <v>129.01505570699999</v>
      </c>
      <c r="W240" s="225">
        <f t="shared" si="73"/>
        <v>1.1891010310999099</v>
      </c>
      <c r="X240" s="240">
        <f t="shared" si="83"/>
        <v>45436158.618098512</v>
      </c>
      <c r="Y240" s="240">
        <f t="shared" si="84"/>
        <v>65728334.705676571</v>
      </c>
      <c r="Z240" s="240">
        <f t="shared" si="85"/>
        <v>111164493.32377507</v>
      </c>
      <c r="AA240" s="240">
        <f t="shared" si="86"/>
        <v>4205557.1092847055</v>
      </c>
      <c r="AB240" s="240">
        <f t="shared" si="87"/>
        <v>4853879.4257550761</v>
      </c>
      <c r="AC240" s="240">
        <f t="shared" si="88"/>
        <v>9059436.5350397807</v>
      </c>
      <c r="AD240" s="240">
        <f t="shared" si="89"/>
        <v>49641715.727383219</v>
      </c>
      <c r="AE240" s="240">
        <f t="shared" si="90"/>
        <v>70582214.131431639</v>
      </c>
      <c r="AF240" s="240">
        <f t="shared" si="91"/>
        <v>120223929.85881487</v>
      </c>
      <c r="AG240" s="240">
        <f t="shared" si="74"/>
        <v>54028183.061999999</v>
      </c>
      <c r="AH240" s="240">
        <f t="shared" si="75"/>
        <v>78157630.570999995</v>
      </c>
      <c r="AI240" s="240">
        <f t="shared" si="76"/>
        <v>132185813.633</v>
      </c>
      <c r="AJ240" s="240">
        <f t="shared" si="77"/>
        <v>5000832.2949999999</v>
      </c>
      <c r="AK240" s="240">
        <f t="shared" si="78"/>
        <v>5771753.0300000003</v>
      </c>
      <c r="AL240" s="240">
        <f t="shared" si="79"/>
        <v>10772585.324999999</v>
      </c>
      <c r="AM240" s="240">
        <f t="shared" si="80"/>
        <v>59029015.357000001</v>
      </c>
      <c r="AN240" s="240">
        <f t="shared" si="81"/>
        <v>83929383.600999996</v>
      </c>
      <c r="AO240" s="240">
        <f t="shared" si="82"/>
        <v>142958398.958</v>
      </c>
    </row>
    <row r="241" spans="2:41" hidden="1" x14ac:dyDescent="0.25">
      <c r="B241" s="14">
        <v>44317</v>
      </c>
      <c r="C241" s="15">
        <v>456843</v>
      </c>
      <c r="D241" s="15">
        <v>619925</v>
      </c>
      <c r="E241" s="15">
        <f t="shared" si="98"/>
        <v>1076768</v>
      </c>
      <c r="F241" s="15">
        <v>36858</v>
      </c>
      <c r="G241" s="15">
        <v>40665</v>
      </c>
      <c r="H241" s="15">
        <f t="shared" si="71"/>
        <v>77523</v>
      </c>
      <c r="I241" s="15">
        <f t="shared" si="97"/>
        <v>493701</v>
      </c>
      <c r="J241" s="15">
        <f t="shared" si="97"/>
        <v>660590</v>
      </c>
      <c r="K241" s="15">
        <f t="shared" si="97"/>
        <v>1154291</v>
      </c>
      <c r="L241" s="15">
        <v>54396869187</v>
      </c>
      <c r="M241" s="15">
        <v>78848211272</v>
      </c>
      <c r="N241" s="15">
        <f t="shared" si="92"/>
        <v>133245080459</v>
      </c>
      <c r="O241" s="15">
        <v>5119981115</v>
      </c>
      <c r="P241" s="15">
        <v>5860919907</v>
      </c>
      <c r="Q241" s="15">
        <f t="shared" si="93"/>
        <v>10980901022</v>
      </c>
      <c r="R241" s="15">
        <f t="shared" si="94"/>
        <v>59516850302</v>
      </c>
      <c r="S241" s="15">
        <f t="shared" si="95"/>
        <v>84709131179</v>
      </c>
      <c r="T241" s="16">
        <f t="shared" si="96"/>
        <v>144225981481</v>
      </c>
      <c r="U241">
        <v>108.789464045</v>
      </c>
      <c r="V241">
        <v>129.01505570699999</v>
      </c>
      <c r="W241" s="225">
        <f t="shared" si="73"/>
        <v>1.1859149857897435</v>
      </c>
      <c r="X241" s="240">
        <f t="shared" si="83"/>
        <v>45869113.586396888</v>
      </c>
      <c r="Y241" s="240">
        <f t="shared" si="84"/>
        <v>66487237.463731125</v>
      </c>
      <c r="Z241" s="240">
        <f t="shared" si="85"/>
        <v>112356351.05012803</v>
      </c>
      <c r="AA241" s="240">
        <f t="shared" si="86"/>
        <v>4317325.5893974723</v>
      </c>
      <c r="AB241" s="240">
        <f t="shared" si="87"/>
        <v>4942107.9733611783</v>
      </c>
      <c r="AC241" s="240">
        <f t="shared" si="88"/>
        <v>9259433.5627586525</v>
      </c>
      <c r="AD241" s="240">
        <f t="shared" si="89"/>
        <v>50186439.175794363</v>
      </c>
      <c r="AE241" s="240">
        <f t="shared" si="90"/>
        <v>71429345.437092304</v>
      </c>
      <c r="AF241" s="240">
        <f t="shared" si="91"/>
        <v>121615784.61288667</v>
      </c>
      <c r="AG241" s="240">
        <f t="shared" si="74"/>
        <v>54396869.186999999</v>
      </c>
      <c r="AH241" s="240">
        <f t="shared" si="75"/>
        <v>78848211.272</v>
      </c>
      <c r="AI241" s="240">
        <f t="shared" si="76"/>
        <v>133245080.45900001</v>
      </c>
      <c r="AJ241" s="240">
        <f t="shared" si="77"/>
        <v>5119981.1150000002</v>
      </c>
      <c r="AK241" s="240">
        <f t="shared" si="78"/>
        <v>5860919.9069999997</v>
      </c>
      <c r="AL241" s="240">
        <f t="shared" si="79"/>
        <v>10980901.022</v>
      </c>
      <c r="AM241" s="240">
        <f t="shared" si="80"/>
        <v>59516850.302000001</v>
      </c>
      <c r="AN241" s="240">
        <f t="shared" si="81"/>
        <v>84709131.179000005</v>
      </c>
      <c r="AO241" s="240">
        <f t="shared" si="82"/>
        <v>144225981.48100001</v>
      </c>
    </row>
    <row r="242" spans="2:41" hidden="1" x14ac:dyDescent="0.25">
      <c r="B242" s="14">
        <v>44348</v>
      </c>
      <c r="C242" s="15">
        <v>459648</v>
      </c>
      <c r="D242" s="15">
        <v>624280</v>
      </c>
      <c r="E242" s="15">
        <f t="shared" si="98"/>
        <v>1083928</v>
      </c>
      <c r="F242" s="15">
        <v>37901</v>
      </c>
      <c r="G242" s="15">
        <v>41406</v>
      </c>
      <c r="H242" s="15">
        <f t="shared" si="71"/>
        <v>79307</v>
      </c>
      <c r="I242" s="15">
        <f t="shared" si="97"/>
        <v>497549</v>
      </c>
      <c r="J242" s="15">
        <f t="shared" si="97"/>
        <v>665686</v>
      </c>
      <c r="K242" s="15">
        <f t="shared" si="97"/>
        <v>1163235</v>
      </c>
      <c r="L242" s="15">
        <v>54796786969</v>
      </c>
      <c r="M242" s="15">
        <v>79580831512</v>
      </c>
      <c r="N242" s="15">
        <f t="shared" si="92"/>
        <v>134377618481</v>
      </c>
      <c r="O242" s="15">
        <v>5212561692</v>
      </c>
      <c r="P242" s="15">
        <v>5920938257</v>
      </c>
      <c r="Q242" s="15">
        <f t="shared" si="93"/>
        <v>11133499949</v>
      </c>
      <c r="R242" s="15">
        <f t="shared" si="94"/>
        <v>60009348661</v>
      </c>
      <c r="S242" s="15">
        <f t="shared" si="95"/>
        <v>85501769769</v>
      </c>
      <c r="T242" s="16">
        <f t="shared" si="96"/>
        <v>145511118430</v>
      </c>
      <c r="U242">
        <v>108.876200532</v>
      </c>
      <c r="V242">
        <v>129.01505570699999</v>
      </c>
      <c r="W242" s="225">
        <f t="shared" si="73"/>
        <v>1.1849702237642004</v>
      </c>
      <c r="X242" s="240">
        <f t="shared" si="83"/>
        <v>46243176.301030934</v>
      </c>
      <c r="Y242" s="240">
        <f t="shared" si="84"/>
        <v>67158507.375148997</v>
      </c>
      <c r="Z242" s="240">
        <f t="shared" si="85"/>
        <v>113401683.67617993</v>
      </c>
      <c r="AA242" s="240">
        <f t="shared" si="86"/>
        <v>4398896.771803827</v>
      </c>
      <c r="AB242" s="240">
        <f t="shared" si="87"/>
        <v>4996697.9239287786</v>
      </c>
      <c r="AC242" s="240">
        <f t="shared" si="88"/>
        <v>9395594.6957326047</v>
      </c>
      <c r="AD242" s="240">
        <f t="shared" si="89"/>
        <v>50642073.072834767</v>
      </c>
      <c r="AE242" s="240">
        <f t="shared" si="90"/>
        <v>72155205.299077779</v>
      </c>
      <c r="AF242" s="240">
        <f t="shared" si="91"/>
        <v>122797278.37191254</v>
      </c>
      <c r="AG242" s="240">
        <f t="shared" si="74"/>
        <v>54796786.968999997</v>
      </c>
      <c r="AH242" s="240">
        <f t="shared" si="75"/>
        <v>79580831.511999995</v>
      </c>
      <c r="AI242" s="240">
        <f t="shared" si="76"/>
        <v>134377618.48100001</v>
      </c>
      <c r="AJ242" s="240">
        <f t="shared" si="77"/>
        <v>5212561.6919999998</v>
      </c>
      <c r="AK242" s="240">
        <f t="shared" si="78"/>
        <v>5920938.2570000002</v>
      </c>
      <c r="AL242" s="240">
        <f t="shared" si="79"/>
        <v>11133499.948999999</v>
      </c>
      <c r="AM242" s="240">
        <f t="shared" si="80"/>
        <v>60009348.660999998</v>
      </c>
      <c r="AN242" s="240">
        <f t="shared" si="81"/>
        <v>85501769.768999994</v>
      </c>
      <c r="AO242" s="240">
        <f t="shared" si="82"/>
        <v>145511118.43000001</v>
      </c>
    </row>
    <row r="243" spans="2:41" hidden="1" x14ac:dyDescent="0.25">
      <c r="B243" s="14">
        <v>44378</v>
      </c>
      <c r="C243" s="15">
        <v>462542</v>
      </c>
      <c r="D243" s="15">
        <v>628233</v>
      </c>
      <c r="E243" s="15">
        <f t="shared" si="98"/>
        <v>1090775</v>
      </c>
      <c r="F243" s="15">
        <v>38877</v>
      </c>
      <c r="G243" s="15">
        <v>41969</v>
      </c>
      <c r="H243" s="15">
        <f t="shared" si="71"/>
        <v>80846</v>
      </c>
      <c r="I243" s="15">
        <f t="shared" si="97"/>
        <v>501419</v>
      </c>
      <c r="J243" s="15">
        <f t="shared" si="97"/>
        <v>670202</v>
      </c>
      <c r="K243" s="15">
        <f t="shared" si="97"/>
        <v>1171621</v>
      </c>
      <c r="L243" s="15">
        <v>57942903496</v>
      </c>
      <c r="M243" s="15">
        <v>84039924520</v>
      </c>
      <c r="N243" s="15">
        <f t="shared" si="92"/>
        <v>141982828016</v>
      </c>
      <c r="O243" s="15">
        <v>5529047882</v>
      </c>
      <c r="P243" s="15">
        <v>6212730902</v>
      </c>
      <c r="Q243" s="15">
        <f t="shared" si="93"/>
        <v>11741778784</v>
      </c>
      <c r="R243" s="15">
        <f t="shared" si="94"/>
        <v>63471951378</v>
      </c>
      <c r="S243" s="15">
        <f t="shared" si="95"/>
        <v>90252655422</v>
      </c>
      <c r="T243" s="16">
        <f t="shared" si="96"/>
        <v>153724606800</v>
      </c>
      <c r="U243">
        <v>109.757009083</v>
      </c>
      <c r="V243">
        <v>129.01505570699999</v>
      </c>
      <c r="W243" s="225">
        <f t="shared" si="73"/>
        <v>1.175460745376514</v>
      </c>
      <c r="X243" s="240">
        <f t="shared" si="83"/>
        <v>49293780.097641803</v>
      </c>
      <c r="Y243" s="240">
        <f t="shared" si="84"/>
        <v>71495305.011722028</v>
      </c>
      <c r="Z243" s="240">
        <f t="shared" si="85"/>
        <v>120789085.10936382</v>
      </c>
      <c r="AA243" s="240">
        <f t="shared" si="86"/>
        <v>4703728.2221015217</v>
      </c>
      <c r="AB243" s="240">
        <f t="shared" si="87"/>
        <v>5285358.0406123968</v>
      </c>
      <c r="AC243" s="240">
        <f t="shared" si="88"/>
        <v>9989086.2627139185</v>
      </c>
      <c r="AD243" s="240">
        <f t="shared" si="89"/>
        <v>53997508.31974332</v>
      </c>
      <c r="AE243" s="240">
        <f t="shared" si="90"/>
        <v>76780663.052334428</v>
      </c>
      <c r="AF243" s="240">
        <f t="shared" si="91"/>
        <v>130778171.37207775</v>
      </c>
      <c r="AG243" s="240">
        <f t="shared" si="74"/>
        <v>57942903.495999999</v>
      </c>
      <c r="AH243" s="240">
        <f t="shared" si="75"/>
        <v>84039924.519999996</v>
      </c>
      <c r="AI243" s="240">
        <f t="shared" si="76"/>
        <v>141982828.016</v>
      </c>
      <c r="AJ243" s="240">
        <f t="shared" si="77"/>
        <v>5529047.8820000002</v>
      </c>
      <c r="AK243" s="240">
        <f t="shared" si="78"/>
        <v>6212730.9019999998</v>
      </c>
      <c r="AL243" s="240">
        <f t="shared" si="79"/>
        <v>11741778.784</v>
      </c>
      <c r="AM243" s="240">
        <f t="shared" si="80"/>
        <v>63471951.377999999</v>
      </c>
      <c r="AN243" s="240">
        <f t="shared" si="81"/>
        <v>90252655.422000006</v>
      </c>
      <c r="AO243" s="240">
        <f t="shared" si="82"/>
        <v>153724606.80000001</v>
      </c>
    </row>
    <row r="244" spans="2:41" hidden="1" x14ac:dyDescent="0.25">
      <c r="B244" s="14">
        <v>44409</v>
      </c>
      <c r="C244" s="15">
        <v>464709</v>
      </c>
      <c r="D244" s="15">
        <v>632311</v>
      </c>
      <c r="E244" s="15">
        <f t="shared" si="98"/>
        <v>1097020</v>
      </c>
      <c r="F244" s="15">
        <v>39447</v>
      </c>
      <c r="G244" s="15">
        <v>42296</v>
      </c>
      <c r="H244" s="15">
        <f t="shared" si="71"/>
        <v>81743</v>
      </c>
      <c r="I244" s="15">
        <f t="shared" si="97"/>
        <v>504156</v>
      </c>
      <c r="J244" s="15">
        <f t="shared" si="97"/>
        <v>674607</v>
      </c>
      <c r="K244" s="15">
        <f t="shared" si="97"/>
        <v>1178763</v>
      </c>
      <c r="L244" s="15">
        <v>58620563781</v>
      </c>
      <c r="M244" s="15">
        <v>84989369709</v>
      </c>
      <c r="N244" s="15">
        <f t="shared" si="92"/>
        <v>143609933490</v>
      </c>
      <c r="O244" s="15">
        <v>5611771380</v>
      </c>
      <c r="P244" s="15">
        <v>6258263341</v>
      </c>
      <c r="Q244" s="15">
        <f t="shared" si="93"/>
        <v>11870034721</v>
      </c>
      <c r="R244" s="15">
        <f t="shared" si="94"/>
        <v>64232335161</v>
      </c>
      <c r="S244" s="15">
        <f t="shared" si="95"/>
        <v>91247633050</v>
      </c>
      <c r="T244" s="16">
        <f t="shared" si="96"/>
        <v>155479968211</v>
      </c>
      <c r="U244">
        <v>110.15137928</v>
      </c>
      <c r="V244">
        <v>129.01505570699999</v>
      </c>
      <c r="W244" s="225">
        <f t="shared" si="73"/>
        <v>1.1712522943453059</v>
      </c>
      <c r="X244" s="240">
        <f t="shared" si="83"/>
        <v>50049476.158138156</v>
      </c>
      <c r="Y244" s="240">
        <f t="shared" si="84"/>
        <v>72562820.255994841</v>
      </c>
      <c r="Z244" s="240">
        <f t="shared" si="85"/>
        <v>122612296.41413301</v>
      </c>
      <c r="AA244" s="240">
        <f t="shared" si="86"/>
        <v>4791257.5344296834</v>
      </c>
      <c r="AB244" s="240">
        <f t="shared" si="87"/>
        <v>5343223.9759224355</v>
      </c>
      <c r="AC244" s="240">
        <f t="shared" si="88"/>
        <v>10134481.51035212</v>
      </c>
      <c r="AD244" s="240">
        <f t="shared" si="89"/>
        <v>54840733.69256784</v>
      </c>
      <c r="AE244" s="240">
        <f t="shared" si="90"/>
        <v>77906044.231917277</v>
      </c>
      <c r="AF244" s="240">
        <f t="shared" si="91"/>
        <v>132746777.92448512</v>
      </c>
      <c r="AG244" s="240">
        <f t="shared" si="74"/>
        <v>58620563.781000003</v>
      </c>
      <c r="AH244" s="240">
        <f t="shared" si="75"/>
        <v>84989369.709000006</v>
      </c>
      <c r="AI244" s="240">
        <f t="shared" si="76"/>
        <v>143609933.49000001</v>
      </c>
      <c r="AJ244" s="240">
        <f t="shared" si="77"/>
        <v>5611771.3799999999</v>
      </c>
      <c r="AK244" s="240">
        <f t="shared" si="78"/>
        <v>6258263.341</v>
      </c>
      <c r="AL244" s="240">
        <f t="shared" si="79"/>
        <v>11870034.721000001</v>
      </c>
      <c r="AM244" s="240">
        <f t="shared" si="80"/>
        <v>64232335.160999998</v>
      </c>
      <c r="AN244" s="240">
        <f t="shared" si="81"/>
        <v>91247633.049999997</v>
      </c>
      <c r="AO244" s="240">
        <f t="shared" si="82"/>
        <v>155479968.211</v>
      </c>
    </row>
    <row r="245" spans="2:41" hidden="1" x14ac:dyDescent="0.25">
      <c r="B245" s="14">
        <v>44440</v>
      </c>
      <c r="C245" s="15">
        <v>469874</v>
      </c>
      <c r="D245" s="15">
        <v>638396</v>
      </c>
      <c r="E245" s="15">
        <f t="shared" si="98"/>
        <v>1108270</v>
      </c>
      <c r="F245" s="15">
        <v>39831</v>
      </c>
      <c r="G245" s="15">
        <v>42481</v>
      </c>
      <c r="H245" s="15">
        <f t="shared" si="71"/>
        <v>82312</v>
      </c>
      <c r="I245" s="15">
        <f t="shared" si="97"/>
        <v>509705</v>
      </c>
      <c r="J245" s="15">
        <f t="shared" si="97"/>
        <v>680877</v>
      </c>
      <c r="K245" s="15">
        <f t="shared" si="97"/>
        <v>1190582</v>
      </c>
      <c r="L245" s="15">
        <v>59428030621</v>
      </c>
      <c r="M245" s="15">
        <v>86059222452</v>
      </c>
      <c r="N245" s="15">
        <f t="shared" si="92"/>
        <v>145487253073</v>
      </c>
      <c r="O245" s="15">
        <v>5658189626</v>
      </c>
      <c r="P245" s="15">
        <v>6273838030</v>
      </c>
      <c r="Q245" s="15">
        <f t="shared" si="93"/>
        <v>11932027656</v>
      </c>
      <c r="R245" s="15">
        <f t="shared" si="94"/>
        <v>65086220247</v>
      </c>
      <c r="S245" s="15">
        <f t="shared" si="95"/>
        <v>92333060482</v>
      </c>
      <c r="T245" s="16">
        <f t="shared" si="96"/>
        <v>157419280729</v>
      </c>
      <c r="U245">
        <v>111.448827579</v>
      </c>
      <c r="V245">
        <v>129.01505570699999</v>
      </c>
      <c r="W245" s="225">
        <f t="shared" si="73"/>
        <v>1.1576169844904671</v>
      </c>
      <c r="X245" s="240">
        <f t="shared" si="83"/>
        <v>51336522.716239899</v>
      </c>
      <c r="Y245" s="240">
        <f t="shared" si="84"/>
        <v>74341706.803722784</v>
      </c>
      <c r="Z245" s="240">
        <f t="shared" si="85"/>
        <v>125678229.51996268</v>
      </c>
      <c r="AA245" s="240">
        <f t="shared" si="86"/>
        <v>4887790.7821044028</v>
      </c>
      <c r="AB245" s="240">
        <f t="shared" si="87"/>
        <v>5419614.7033567168</v>
      </c>
      <c r="AC245" s="240">
        <f t="shared" si="88"/>
        <v>10307405.48546112</v>
      </c>
      <c r="AD245" s="240">
        <f t="shared" si="89"/>
        <v>56224313.49834431</v>
      </c>
      <c r="AE245" s="240">
        <f t="shared" si="90"/>
        <v>79761321.507079482</v>
      </c>
      <c r="AF245" s="240">
        <f t="shared" si="91"/>
        <v>135985635.00542378</v>
      </c>
      <c r="AG245" s="240">
        <f t="shared" si="74"/>
        <v>59428030.620999999</v>
      </c>
      <c r="AH245" s="240">
        <f t="shared" si="75"/>
        <v>86059222.452000007</v>
      </c>
      <c r="AI245" s="240">
        <f t="shared" si="76"/>
        <v>145487253.07300001</v>
      </c>
      <c r="AJ245" s="240">
        <f t="shared" si="77"/>
        <v>5658189.6260000002</v>
      </c>
      <c r="AK245" s="240">
        <f t="shared" si="78"/>
        <v>6273838.0300000003</v>
      </c>
      <c r="AL245" s="240">
        <f t="shared" si="79"/>
        <v>11932027.655999999</v>
      </c>
      <c r="AM245" s="240">
        <f t="shared" si="80"/>
        <v>65086220.247000001</v>
      </c>
      <c r="AN245" s="240">
        <f t="shared" si="81"/>
        <v>92333060.481999993</v>
      </c>
      <c r="AO245" s="240">
        <f t="shared" si="82"/>
        <v>157419280.729</v>
      </c>
    </row>
    <row r="246" spans="2:41" hidden="1" x14ac:dyDescent="0.25">
      <c r="B246" s="14">
        <v>44470</v>
      </c>
      <c r="C246" s="15">
        <v>475311</v>
      </c>
      <c r="D246" s="15">
        <v>645913</v>
      </c>
      <c r="E246" s="15">
        <f t="shared" si="98"/>
        <v>1121224</v>
      </c>
      <c r="F246" s="15">
        <v>40062</v>
      </c>
      <c r="G246" s="15">
        <v>42530</v>
      </c>
      <c r="H246" s="15">
        <f t="shared" si="71"/>
        <v>82592</v>
      </c>
      <c r="I246" s="15">
        <f t="shared" si="97"/>
        <v>515373</v>
      </c>
      <c r="J246" s="15">
        <f t="shared" si="97"/>
        <v>688443</v>
      </c>
      <c r="K246" s="15">
        <f t="shared" si="97"/>
        <v>1203816</v>
      </c>
      <c r="L246" s="15">
        <v>60287600632</v>
      </c>
      <c r="M246" s="15">
        <v>87252480542</v>
      </c>
      <c r="N246" s="15">
        <f t="shared" si="92"/>
        <v>147540081174</v>
      </c>
      <c r="O246" s="15">
        <v>5694873202</v>
      </c>
      <c r="P246" s="15">
        <v>6276108108</v>
      </c>
      <c r="Q246" s="15">
        <f t="shared" si="93"/>
        <v>11970981310</v>
      </c>
      <c r="R246" s="15">
        <f t="shared" si="94"/>
        <v>65982473834</v>
      </c>
      <c r="S246" s="15">
        <f t="shared" si="95"/>
        <v>93528588650</v>
      </c>
      <c r="T246" s="16">
        <f t="shared" si="96"/>
        <v>159511062484</v>
      </c>
      <c r="U246">
        <v>112.943374746</v>
      </c>
      <c r="V246">
        <v>129.01505570699999</v>
      </c>
      <c r="W246" s="225">
        <f t="shared" si="73"/>
        <v>1.1422985721574535</v>
      </c>
      <c r="X246" s="240">
        <f t="shared" si="83"/>
        <v>52777445.495826118</v>
      </c>
      <c r="Y246" s="240">
        <f t="shared" si="84"/>
        <v>76383252.740311757</v>
      </c>
      <c r="Z246" s="240">
        <f t="shared" si="85"/>
        <v>129160698.23613787</v>
      </c>
      <c r="AA246" s="240">
        <f t="shared" si="86"/>
        <v>4985450.6875939816</v>
      </c>
      <c r="AB246" s="240">
        <f t="shared" si="87"/>
        <v>5494279.9203069536</v>
      </c>
      <c r="AC246" s="240">
        <f t="shared" si="88"/>
        <v>10479730.607900936</v>
      </c>
      <c r="AD246" s="240">
        <f t="shared" si="89"/>
        <v>57762896.183420107</v>
      </c>
      <c r="AE246" s="240">
        <f t="shared" si="90"/>
        <v>81877532.660618693</v>
      </c>
      <c r="AF246" s="240">
        <f t="shared" si="91"/>
        <v>139640428.84403878</v>
      </c>
      <c r="AG246" s="240">
        <f t="shared" si="74"/>
        <v>60287600.631999999</v>
      </c>
      <c r="AH246" s="240">
        <f t="shared" si="75"/>
        <v>87252480.541999996</v>
      </c>
      <c r="AI246" s="240">
        <f t="shared" si="76"/>
        <v>147540081.17399999</v>
      </c>
      <c r="AJ246" s="240">
        <f t="shared" si="77"/>
        <v>5694873.2019999996</v>
      </c>
      <c r="AK246" s="240">
        <f t="shared" si="78"/>
        <v>6276108.108</v>
      </c>
      <c r="AL246" s="240">
        <f t="shared" si="79"/>
        <v>11970981.310000001</v>
      </c>
      <c r="AM246" s="240">
        <f t="shared" si="80"/>
        <v>65982473.833999999</v>
      </c>
      <c r="AN246" s="240">
        <f t="shared" si="81"/>
        <v>93528588.650000006</v>
      </c>
      <c r="AO246" s="240">
        <f t="shared" si="82"/>
        <v>159511062.484</v>
      </c>
    </row>
    <row r="247" spans="2:41" hidden="1" x14ac:dyDescent="0.25">
      <c r="B247" s="14">
        <v>44501</v>
      </c>
      <c r="C247" s="15">
        <v>481364</v>
      </c>
      <c r="D247" s="15">
        <v>654021</v>
      </c>
      <c r="E247" s="15">
        <f t="shared" si="98"/>
        <v>1135385</v>
      </c>
      <c r="F247" s="15">
        <v>41024</v>
      </c>
      <c r="G247" s="15">
        <v>43059</v>
      </c>
      <c r="H247" s="15">
        <f t="shared" si="71"/>
        <v>84083</v>
      </c>
      <c r="I247" s="15">
        <f t="shared" si="97"/>
        <v>522388</v>
      </c>
      <c r="J247" s="15">
        <f t="shared" si="97"/>
        <v>697080</v>
      </c>
      <c r="K247" s="15">
        <f t="shared" si="97"/>
        <v>1219468</v>
      </c>
      <c r="L247" s="15">
        <v>61139789746</v>
      </c>
      <c r="M247" s="15">
        <v>88455012146</v>
      </c>
      <c r="N247" s="15">
        <f t="shared" si="92"/>
        <v>149594801892</v>
      </c>
      <c r="O247" s="15">
        <v>5779401810</v>
      </c>
      <c r="P247" s="15">
        <v>6311845349</v>
      </c>
      <c r="Q247" s="15">
        <f t="shared" si="93"/>
        <v>12091247159</v>
      </c>
      <c r="R247" s="15">
        <f t="shared" si="94"/>
        <v>66919191556</v>
      </c>
      <c r="S247" s="15">
        <f t="shared" si="95"/>
        <v>94766857495</v>
      </c>
      <c r="T247" s="16">
        <f t="shared" si="96"/>
        <v>161686049051</v>
      </c>
      <c r="U247">
        <v>113.506710539</v>
      </c>
      <c r="V247">
        <v>129.01505570699999</v>
      </c>
      <c r="W247" s="225">
        <f t="shared" si="73"/>
        <v>1.136629324331194</v>
      </c>
      <c r="X247" s="240">
        <f t="shared" si="83"/>
        <v>53790438.48087886</v>
      </c>
      <c r="Y247" s="240">
        <f t="shared" si="84"/>
        <v>77822215.433380589</v>
      </c>
      <c r="Z247" s="240">
        <f t="shared" si="85"/>
        <v>131612653.91425946</v>
      </c>
      <c r="AA247" s="240">
        <f t="shared" si="86"/>
        <v>5084684.765986192</v>
      </c>
      <c r="AB247" s="240">
        <f t="shared" si="87"/>
        <v>5553125.5563144684</v>
      </c>
      <c r="AC247" s="240">
        <f t="shared" si="88"/>
        <v>10637810.322300659</v>
      </c>
      <c r="AD247" s="240">
        <f t="shared" si="89"/>
        <v>58875123.246865049</v>
      </c>
      <c r="AE247" s="240">
        <f t="shared" si="90"/>
        <v>83375340.989695057</v>
      </c>
      <c r="AF247" s="240">
        <f t="shared" si="91"/>
        <v>142250464.23656011</v>
      </c>
      <c r="AG247" s="240">
        <f t="shared" si="74"/>
        <v>61139789.745999999</v>
      </c>
      <c r="AH247" s="240">
        <f t="shared" si="75"/>
        <v>88455012.145999998</v>
      </c>
      <c r="AI247" s="240">
        <f t="shared" si="76"/>
        <v>149594801.89199999</v>
      </c>
      <c r="AJ247" s="240">
        <f t="shared" si="77"/>
        <v>5779401.8099999996</v>
      </c>
      <c r="AK247" s="240">
        <f t="shared" si="78"/>
        <v>6311845.3490000004</v>
      </c>
      <c r="AL247" s="240">
        <f t="shared" si="79"/>
        <v>12091247.159</v>
      </c>
      <c r="AM247" s="240">
        <f t="shared" si="80"/>
        <v>66919191.556000002</v>
      </c>
      <c r="AN247" s="240">
        <f t="shared" si="81"/>
        <v>94766857.495000005</v>
      </c>
      <c r="AO247" s="240">
        <f t="shared" si="82"/>
        <v>161686049.051</v>
      </c>
    </row>
    <row r="248" spans="2:41" hidden="1" x14ac:dyDescent="0.25">
      <c r="B248" s="17">
        <v>44531</v>
      </c>
      <c r="C248" s="18">
        <v>486375</v>
      </c>
      <c r="D248" s="18">
        <v>661228</v>
      </c>
      <c r="E248" s="18">
        <f t="shared" si="98"/>
        <v>1147603</v>
      </c>
      <c r="F248" s="18">
        <v>41477</v>
      </c>
      <c r="G248" s="18">
        <v>43273</v>
      </c>
      <c r="H248" s="18">
        <f t="shared" si="71"/>
        <v>84750</v>
      </c>
      <c r="I248" s="19">
        <f t="shared" si="97"/>
        <v>527852</v>
      </c>
      <c r="J248" s="19">
        <f t="shared" si="97"/>
        <v>704501</v>
      </c>
      <c r="K248" s="19">
        <f t="shared" si="97"/>
        <v>1232353</v>
      </c>
      <c r="L248" s="18">
        <v>61876380093</v>
      </c>
      <c r="M248" s="18">
        <v>89519543391</v>
      </c>
      <c r="N248" s="18">
        <f t="shared" si="92"/>
        <v>151395923484</v>
      </c>
      <c r="O248" s="18">
        <v>5805943338</v>
      </c>
      <c r="P248" s="18">
        <v>6315167453</v>
      </c>
      <c r="Q248" s="18">
        <f t="shared" si="93"/>
        <v>12121110791</v>
      </c>
      <c r="R248" s="18">
        <f t="shared" si="94"/>
        <v>67682323431</v>
      </c>
      <c r="S248" s="18">
        <f t="shared" si="95"/>
        <v>95834710844</v>
      </c>
      <c r="T248" s="18">
        <f t="shared" si="96"/>
        <v>163517034275</v>
      </c>
      <c r="U248">
        <v>114.393654431</v>
      </c>
      <c r="V248">
        <v>129.01505570699999</v>
      </c>
      <c r="W248" s="225">
        <f t="shared" si="73"/>
        <v>1.1278165414745041</v>
      </c>
      <c r="X248" s="240">
        <f t="shared" si="83"/>
        <v>54863869.980221249</v>
      </c>
      <c r="Y248" s="240">
        <f t="shared" si="84"/>
        <v>79374206.796047181</v>
      </c>
      <c r="Z248" s="240">
        <f t="shared" si="85"/>
        <v>134238076.77626842</v>
      </c>
      <c r="AA248" s="240">
        <f t="shared" si="86"/>
        <v>5147950.1536742188</v>
      </c>
      <c r="AB248" s="240">
        <f t="shared" si="87"/>
        <v>5599463.4062944036</v>
      </c>
      <c r="AC248" s="240">
        <f t="shared" si="88"/>
        <v>10747413.559968624</v>
      </c>
      <c r="AD248" s="240">
        <f t="shared" si="89"/>
        <v>60011820.133895472</v>
      </c>
      <c r="AE248" s="240">
        <f t="shared" si="90"/>
        <v>84973670.202341586</v>
      </c>
      <c r="AF248" s="240">
        <f t="shared" si="91"/>
        <v>144985490.33623707</v>
      </c>
      <c r="AG248" s="240">
        <f t="shared" si="74"/>
        <v>61876380.093000002</v>
      </c>
      <c r="AH248" s="240">
        <f t="shared" si="75"/>
        <v>89519543.391000003</v>
      </c>
      <c r="AI248" s="240">
        <f t="shared" si="76"/>
        <v>151395923.484</v>
      </c>
      <c r="AJ248" s="240">
        <f t="shared" si="77"/>
        <v>5805943.3380000005</v>
      </c>
      <c r="AK248" s="240">
        <f t="shared" si="78"/>
        <v>6315167.4529999997</v>
      </c>
      <c r="AL248" s="240">
        <f t="shared" si="79"/>
        <v>12121110.790999999</v>
      </c>
      <c r="AM248" s="240">
        <f t="shared" si="80"/>
        <v>67682323.430999994</v>
      </c>
      <c r="AN248" s="240">
        <f t="shared" si="81"/>
        <v>95834710.843999997</v>
      </c>
      <c r="AO248" s="240">
        <f t="shared" si="82"/>
        <v>163517034.27500001</v>
      </c>
    </row>
    <row r="249" spans="2:41" hidden="1" x14ac:dyDescent="0.25">
      <c r="B249" s="14">
        <v>44562</v>
      </c>
      <c r="C249" s="15">
        <v>492231</v>
      </c>
      <c r="D249" s="15">
        <v>669074</v>
      </c>
      <c r="E249" s="15">
        <f t="shared" si="98"/>
        <v>1161305</v>
      </c>
      <c r="F249" s="15">
        <v>41983</v>
      </c>
      <c r="G249" s="15">
        <v>43561</v>
      </c>
      <c r="H249" s="15">
        <f t="shared" si="71"/>
        <v>85544</v>
      </c>
      <c r="I249" s="15">
        <f t="shared" si="97"/>
        <v>534214</v>
      </c>
      <c r="J249" s="15">
        <f t="shared" si="97"/>
        <v>712635</v>
      </c>
      <c r="K249" s="15">
        <f t="shared" si="97"/>
        <v>1246849</v>
      </c>
      <c r="L249" s="15">
        <v>66064824284</v>
      </c>
      <c r="M249" s="15">
        <v>95093530766</v>
      </c>
      <c r="N249" s="15">
        <f t="shared" si="92"/>
        <v>161158355050</v>
      </c>
      <c r="O249" s="15">
        <v>6329470447</v>
      </c>
      <c r="P249" s="15">
        <v>6834470991</v>
      </c>
      <c r="Q249" s="15">
        <f t="shared" si="93"/>
        <v>13163941438</v>
      </c>
      <c r="R249" s="15">
        <f t="shared" si="94"/>
        <v>72394294731</v>
      </c>
      <c r="S249" s="15">
        <f t="shared" si="95"/>
        <v>101928001757</v>
      </c>
      <c r="T249" s="16">
        <f t="shared" si="96"/>
        <v>174322296488</v>
      </c>
      <c r="U249">
        <v>115.767651409</v>
      </c>
      <c r="V249">
        <v>129.01505570699999</v>
      </c>
      <c r="W249" s="225">
        <f t="shared" si="73"/>
        <v>1.1144309669995613</v>
      </c>
      <c r="X249" s="240">
        <f t="shared" si="83"/>
        <v>59281217.267202884</v>
      </c>
      <c r="Y249" s="240">
        <f t="shared" si="84"/>
        <v>85329225.032237858</v>
      </c>
      <c r="Z249" s="240">
        <f t="shared" si="85"/>
        <v>144610442.29944074</v>
      </c>
      <c r="AA249" s="240">
        <f t="shared" si="86"/>
        <v>5679553.632685883</v>
      </c>
      <c r="AB249" s="240">
        <f t="shared" si="87"/>
        <v>6132700.1791782491</v>
      </c>
      <c r="AC249" s="240">
        <f t="shared" si="88"/>
        <v>11812253.811864132</v>
      </c>
      <c r="AD249" s="240">
        <f t="shared" si="89"/>
        <v>64960770.899888761</v>
      </c>
      <c r="AE249" s="240">
        <f t="shared" si="90"/>
        <v>91461925.211416095</v>
      </c>
      <c r="AF249" s="240">
        <f t="shared" si="91"/>
        <v>156422696.11130488</v>
      </c>
      <c r="AG249" s="240">
        <f t="shared" si="74"/>
        <v>66064824.284000002</v>
      </c>
      <c r="AH249" s="240">
        <f t="shared" si="75"/>
        <v>95093530.766000003</v>
      </c>
      <c r="AI249" s="240">
        <f t="shared" si="76"/>
        <v>161158355.05000001</v>
      </c>
      <c r="AJ249" s="240">
        <f t="shared" si="77"/>
        <v>6329470.4469999997</v>
      </c>
      <c r="AK249" s="240">
        <f t="shared" si="78"/>
        <v>6834470.9910000004</v>
      </c>
      <c r="AL249" s="240">
        <f t="shared" si="79"/>
        <v>13163941.437999999</v>
      </c>
      <c r="AM249" s="240">
        <f t="shared" si="80"/>
        <v>72394294.731000006</v>
      </c>
      <c r="AN249" s="240">
        <f t="shared" si="81"/>
        <v>101928001.757</v>
      </c>
      <c r="AO249" s="240">
        <f t="shared" si="82"/>
        <v>174322296.48800001</v>
      </c>
    </row>
    <row r="250" spans="2:41" hidden="1" x14ac:dyDescent="0.25">
      <c r="B250" s="14">
        <v>44593</v>
      </c>
      <c r="C250" s="15">
        <v>156303</v>
      </c>
      <c r="D250" s="15">
        <v>157011</v>
      </c>
      <c r="E250" s="15">
        <f t="shared" si="98"/>
        <v>313314</v>
      </c>
      <c r="F250" s="15">
        <v>42423</v>
      </c>
      <c r="G250" s="15">
        <v>43796</v>
      </c>
      <c r="H250" s="15">
        <f t="shared" si="71"/>
        <v>86219</v>
      </c>
      <c r="I250" s="15">
        <f t="shared" si="97"/>
        <v>198726</v>
      </c>
      <c r="J250" s="15">
        <f t="shared" si="97"/>
        <v>200807</v>
      </c>
      <c r="K250" s="15">
        <f t="shared" si="97"/>
        <v>399533</v>
      </c>
      <c r="L250" s="15">
        <v>25632398160</v>
      </c>
      <c r="M250" s="15">
        <v>28447360479</v>
      </c>
      <c r="N250" s="15">
        <f t="shared" si="92"/>
        <v>54079758639</v>
      </c>
      <c r="O250" s="15">
        <v>6730735134</v>
      </c>
      <c r="P250" s="15">
        <v>7221515819</v>
      </c>
      <c r="Q250" s="15">
        <f t="shared" si="93"/>
        <v>13952250953</v>
      </c>
      <c r="R250" s="15">
        <f t="shared" si="94"/>
        <v>32363133294</v>
      </c>
      <c r="S250" s="15">
        <f t="shared" si="95"/>
        <v>35668876298</v>
      </c>
      <c r="T250" s="16">
        <f t="shared" si="96"/>
        <v>68032009592</v>
      </c>
      <c r="U250">
        <v>116.102606374</v>
      </c>
      <c r="V250">
        <v>129.01505570699999</v>
      </c>
      <c r="W250" s="225">
        <f t="shared" si="73"/>
        <v>1.1112158437805026</v>
      </c>
      <c r="X250" s="240">
        <f t="shared" ref="X250:X260" si="99">+L250/$W250/$AA$85</f>
        <v>23066984.063865762</v>
      </c>
      <c r="Y250" s="240">
        <f t="shared" ref="Y250:Y260" si="100">+M250/$W250/$AA$85</f>
        <v>25600211.370473564</v>
      </c>
      <c r="Z250" s="240">
        <f t="shared" ref="Z250:Z260" si="101">+N250/$W250/$AA$85</f>
        <v>48667195.434339322</v>
      </c>
      <c r="AA250" s="240">
        <f t="shared" ref="AA250:AA260" si="102">+O250/$W250/$AA$85</f>
        <v>6057090.6828516349</v>
      </c>
      <c r="AB250" s="240">
        <f t="shared" ref="AB250:AB260" si="103">+P250/$W250/$AA$85</f>
        <v>6498751.6686510267</v>
      </c>
      <c r="AC250" s="240">
        <f t="shared" ref="AC250:AC260" si="104">+Q250/$W250/$AA$85</f>
        <v>12555842.351502661</v>
      </c>
      <c r="AD250" s="240">
        <f t="shared" ref="AD250:AD260" si="105">+R250/$W250/$AA$85</f>
        <v>29124074.746717397</v>
      </c>
      <c r="AE250" s="240">
        <f t="shared" ref="AE250:AE260" si="106">+S250/$W250/$AA$85</f>
        <v>32098963.039124593</v>
      </c>
      <c r="AF250" s="240">
        <f t="shared" ref="AF250:AF260" si="107">+T250/$W250/$AA$85</f>
        <v>61223037.785841987</v>
      </c>
      <c r="AG250" s="240">
        <f t="shared" si="74"/>
        <v>25632398.16</v>
      </c>
      <c r="AH250" s="240">
        <f t="shared" si="75"/>
        <v>28447360.478999998</v>
      </c>
      <c r="AI250" s="240">
        <f t="shared" si="76"/>
        <v>54079758.638999999</v>
      </c>
      <c r="AJ250" s="240">
        <f t="shared" si="77"/>
        <v>6730735.1339999996</v>
      </c>
      <c r="AK250" s="240">
        <f t="shared" si="78"/>
        <v>7221515.8190000001</v>
      </c>
      <c r="AL250" s="240">
        <f t="shared" si="79"/>
        <v>13952250.953</v>
      </c>
      <c r="AM250" s="240">
        <f t="shared" si="80"/>
        <v>32363133.294</v>
      </c>
      <c r="AN250" s="240">
        <f t="shared" si="81"/>
        <v>35668876.298</v>
      </c>
      <c r="AO250" s="240">
        <f t="shared" si="82"/>
        <v>68032009.591999993</v>
      </c>
    </row>
    <row r="251" spans="2:41" hidden="1" x14ac:dyDescent="0.25">
      <c r="B251" s="14">
        <v>44621</v>
      </c>
      <c r="C251" s="15">
        <v>158291</v>
      </c>
      <c r="D251" s="15">
        <v>158373</v>
      </c>
      <c r="E251" s="15">
        <f t="shared" si="98"/>
        <v>316664</v>
      </c>
      <c r="F251" s="15">
        <v>43297</v>
      </c>
      <c r="G251" s="15">
        <v>44375</v>
      </c>
      <c r="H251" s="15">
        <f t="shared" si="71"/>
        <v>87672</v>
      </c>
      <c r="I251" s="15">
        <f t="shared" si="97"/>
        <v>201588</v>
      </c>
      <c r="J251" s="15">
        <f t="shared" si="97"/>
        <v>202748</v>
      </c>
      <c r="K251" s="15">
        <f t="shared" si="97"/>
        <v>404336</v>
      </c>
      <c r="L251" s="15">
        <v>26035716618</v>
      </c>
      <c r="M251" s="15">
        <v>28739803393</v>
      </c>
      <c r="N251" s="15">
        <f t="shared" si="92"/>
        <v>54775520011</v>
      </c>
      <c r="O251" s="15">
        <v>6799291956</v>
      </c>
      <c r="P251" s="15">
        <v>7264389204</v>
      </c>
      <c r="Q251" s="15">
        <f t="shared" si="93"/>
        <v>14063681160</v>
      </c>
      <c r="R251" s="15">
        <f t="shared" si="94"/>
        <v>32835008574</v>
      </c>
      <c r="S251" s="15">
        <f t="shared" si="95"/>
        <v>36004192597</v>
      </c>
      <c r="T251" s="16">
        <f t="shared" si="96"/>
        <v>68839201171</v>
      </c>
      <c r="U251">
        <v>118.25573740900001</v>
      </c>
      <c r="V251">
        <v>129.01505570699999</v>
      </c>
      <c r="W251" s="225">
        <f t="shared" si="73"/>
        <v>1.0909834781274734</v>
      </c>
      <c r="X251" s="240">
        <f t="shared" si="99"/>
        <v>23864446.290870335</v>
      </c>
      <c r="Y251" s="240">
        <f t="shared" si="100"/>
        <v>26343023.491362132</v>
      </c>
      <c r="Z251" s="240">
        <f t="shared" si="101"/>
        <v>50207469.782232471</v>
      </c>
      <c r="AA251" s="240">
        <f t="shared" si="102"/>
        <v>6232259.3259341298</v>
      </c>
      <c r="AB251" s="240">
        <f t="shared" si="103"/>
        <v>6658569.4005818935</v>
      </c>
      <c r="AC251" s="240">
        <f t="shared" si="104"/>
        <v>12890828.726516023</v>
      </c>
      <c r="AD251" s="240">
        <f t="shared" si="105"/>
        <v>30096705.616804466</v>
      </c>
      <c r="AE251" s="240">
        <f t="shared" si="106"/>
        <v>33001592.891944028</v>
      </c>
      <c r="AF251" s="240">
        <f t="shared" si="107"/>
        <v>63098298.508748487</v>
      </c>
      <c r="AG251" s="240">
        <f t="shared" si="74"/>
        <v>26035716.618000001</v>
      </c>
      <c r="AH251" s="240">
        <f t="shared" si="75"/>
        <v>28739803.392999999</v>
      </c>
      <c r="AI251" s="240">
        <f t="shared" si="76"/>
        <v>54775520.011</v>
      </c>
      <c r="AJ251" s="240">
        <f t="shared" si="77"/>
        <v>6799291.9560000002</v>
      </c>
      <c r="AK251" s="240">
        <f t="shared" si="78"/>
        <v>7264389.2039999999</v>
      </c>
      <c r="AL251" s="240">
        <f t="shared" si="79"/>
        <v>14063681.16</v>
      </c>
      <c r="AM251" s="240">
        <f t="shared" si="80"/>
        <v>32835008.574000001</v>
      </c>
      <c r="AN251" s="240">
        <f t="shared" si="81"/>
        <v>36004192.597000003</v>
      </c>
      <c r="AO251" s="240">
        <f t="shared" si="82"/>
        <v>68839201.171000004</v>
      </c>
    </row>
    <row r="252" spans="2:41" hidden="1" x14ac:dyDescent="0.25">
      <c r="B252" s="14">
        <v>44652</v>
      </c>
      <c r="C252" s="15">
        <v>157061</v>
      </c>
      <c r="D252" s="15">
        <v>154818</v>
      </c>
      <c r="E252" s="15">
        <f t="shared" si="98"/>
        <v>311879</v>
      </c>
      <c r="F252" s="15">
        <v>43805</v>
      </c>
      <c r="G252" s="15">
        <v>44630</v>
      </c>
      <c r="H252" s="15">
        <f t="shared" si="71"/>
        <v>88435</v>
      </c>
      <c r="I252" s="15">
        <f t="shared" si="97"/>
        <v>200866</v>
      </c>
      <c r="J252" s="15">
        <f t="shared" si="97"/>
        <v>199448</v>
      </c>
      <c r="K252" s="15">
        <f t="shared" si="97"/>
        <v>400314</v>
      </c>
      <c r="L252" s="15">
        <v>26023323938</v>
      </c>
      <c r="M252" s="15">
        <v>28305473328</v>
      </c>
      <c r="N252" s="15">
        <f t="shared" si="92"/>
        <v>54328797266</v>
      </c>
      <c r="O252" s="15">
        <v>6834119920</v>
      </c>
      <c r="P252" s="15">
        <v>7269276353</v>
      </c>
      <c r="Q252" s="15">
        <f t="shared" si="93"/>
        <v>14103396273</v>
      </c>
      <c r="R252" s="15">
        <f t="shared" si="94"/>
        <v>32857443858</v>
      </c>
      <c r="S252" s="15">
        <f t="shared" si="95"/>
        <v>35574749681</v>
      </c>
      <c r="T252" s="16">
        <f t="shared" si="96"/>
        <v>68432193539</v>
      </c>
      <c r="U252">
        <v>119.909282101</v>
      </c>
      <c r="V252">
        <v>129.01505570699999</v>
      </c>
      <c r="W252" s="225">
        <f t="shared" si="73"/>
        <v>1.075938855161606</v>
      </c>
      <c r="X252" s="240">
        <f t="shared" si="99"/>
        <v>24186619.725794081</v>
      </c>
      <c r="Y252" s="240">
        <f t="shared" si="100"/>
        <v>26307696.940407004</v>
      </c>
      <c r="Z252" s="240">
        <f t="shared" si="101"/>
        <v>50494316.666201085</v>
      </c>
      <c r="AA252" s="240">
        <f t="shared" si="102"/>
        <v>6351773.5113056358</v>
      </c>
      <c r="AB252" s="240">
        <f t="shared" si="103"/>
        <v>6756216.970998928</v>
      </c>
      <c r="AC252" s="240">
        <f t="shared" si="104"/>
        <v>13107990.482304564</v>
      </c>
      <c r="AD252" s="240">
        <f t="shared" si="105"/>
        <v>30538393.237099715</v>
      </c>
      <c r="AE252" s="240">
        <f t="shared" si="106"/>
        <v>33063913.911405932</v>
      </c>
      <c r="AF252" s="240">
        <f t="shared" si="107"/>
        <v>63602307.148505643</v>
      </c>
      <c r="AG252" s="240">
        <f t="shared" si="74"/>
        <v>26023323.938000001</v>
      </c>
      <c r="AH252" s="240">
        <f t="shared" si="75"/>
        <v>28305473.328000002</v>
      </c>
      <c r="AI252" s="240">
        <f t="shared" si="76"/>
        <v>54328797.266000003</v>
      </c>
      <c r="AJ252" s="240">
        <f t="shared" si="77"/>
        <v>6834119.9199999999</v>
      </c>
      <c r="AK252" s="240">
        <f t="shared" si="78"/>
        <v>7269276.3530000001</v>
      </c>
      <c r="AL252" s="240">
        <f t="shared" si="79"/>
        <v>14103396.273</v>
      </c>
      <c r="AM252" s="240">
        <f t="shared" si="80"/>
        <v>32857443.857999999</v>
      </c>
      <c r="AN252" s="240">
        <f t="shared" si="81"/>
        <v>35574749.681000002</v>
      </c>
      <c r="AO252" s="240">
        <f t="shared" si="82"/>
        <v>68432193.539000005</v>
      </c>
    </row>
    <row r="253" spans="2:41" hidden="1" x14ac:dyDescent="0.25">
      <c r="B253" s="14">
        <v>44682</v>
      </c>
      <c r="C253" s="15">
        <v>65720</v>
      </c>
      <c r="D253" s="15">
        <v>111871</v>
      </c>
      <c r="E253" s="15">
        <f t="shared" si="98"/>
        <v>177591</v>
      </c>
      <c r="F253" s="15">
        <v>44391</v>
      </c>
      <c r="G253" s="15">
        <v>44880</v>
      </c>
      <c r="H253" s="15">
        <f t="shared" si="71"/>
        <v>89271</v>
      </c>
      <c r="I253" s="15">
        <f t="shared" ref="I253:K260" si="108">C253+F253</f>
        <v>110111</v>
      </c>
      <c r="J253" s="15">
        <f t="shared" si="108"/>
        <v>156751</v>
      </c>
      <c r="K253" s="15">
        <f t="shared" si="108"/>
        <v>266862</v>
      </c>
      <c r="L253" s="15">
        <v>12551762326</v>
      </c>
      <c r="M253" s="15">
        <v>21479681939</v>
      </c>
      <c r="N253" s="15">
        <f t="shared" si="92"/>
        <v>34031444265</v>
      </c>
      <c r="O253" s="15">
        <v>6858435153</v>
      </c>
      <c r="P253" s="15">
        <v>7266208306</v>
      </c>
      <c r="Q253" s="15">
        <f t="shared" si="93"/>
        <v>14124643459</v>
      </c>
      <c r="R253" s="15">
        <f t="shared" si="94"/>
        <v>19410197479</v>
      </c>
      <c r="S253" s="15">
        <f t="shared" si="95"/>
        <v>28745890245</v>
      </c>
      <c r="T253" s="16">
        <f t="shared" si="96"/>
        <v>48156087724</v>
      </c>
      <c r="U253">
        <v>121.346820029</v>
      </c>
      <c r="V253">
        <v>129.01505570699999</v>
      </c>
      <c r="W253" s="225">
        <f t="shared" si="73"/>
        <v>1.0631927204698681</v>
      </c>
      <c r="X253" s="240">
        <f t="shared" si="99"/>
        <v>11805726.360177547</v>
      </c>
      <c r="Y253" s="240">
        <f t="shared" si="100"/>
        <v>20202999.442572609</v>
      </c>
      <c r="Z253" s="240">
        <f t="shared" si="101"/>
        <v>32008725.802750152</v>
      </c>
      <c r="AA253" s="240">
        <f t="shared" si="102"/>
        <v>6450792.0539269475</v>
      </c>
      <c r="AB253" s="240">
        <f t="shared" si="103"/>
        <v>6834328.4957676977</v>
      </c>
      <c r="AC253" s="240">
        <f t="shared" si="104"/>
        <v>13285120.549694644</v>
      </c>
      <c r="AD253" s="240">
        <f t="shared" si="105"/>
        <v>18256518.414104495</v>
      </c>
      <c r="AE253" s="240">
        <f t="shared" si="106"/>
        <v>27037327.938340306</v>
      </c>
      <c r="AF253" s="240">
        <f t="shared" si="107"/>
        <v>45293846.352444798</v>
      </c>
      <c r="AG253" s="240">
        <f t="shared" si="74"/>
        <v>12551762.325999999</v>
      </c>
      <c r="AH253" s="240">
        <f t="shared" si="75"/>
        <v>21479681.938999999</v>
      </c>
      <c r="AI253" s="240">
        <f t="shared" si="76"/>
        <v>34031444.265000001</v>
      </c>
      <c r="AJ253" s="240">
        <f t="shared" si="77"/>
        <v>6858435.1529999999</v>
      </c>
      <c r="AK253" s="240">
        <f t="shared" si="78"/>
        <v>7266208.3059999999</v>
      </c>
      <c r="AL253" s="240">
        <f t="shared" si="79"/>
        <v>14124643.459000001</v>
      </c>
      <c r="AM253" s="240">
        <f t="shared" si="80"/>
        <v>19410197.478999998</v>
      </c>
      <c r="AN253" s="240">
        <f t="shared" si="81"/>
        <v>28745890.245000001</v>
      </c>
      <c r="AO253" s="240">
        <f t="shared" si="82"/>
        <v>48156087.723999999</v>
      </c>
    </row>
    <row r="254" spans="2:41" hidden="1" x14ac:dyDescent="0.25">
      <c r="B254" s="14">
        <v>44713</v>
      </c>
      <c r="C254" s="15">
        <v>64976</v>
      </c>
      <c r="D254" s="15">
        <v>109948</v>
      </c>
      <c r="E254" s="15">
        <f t="shared" si="98"/>
        <v>174924</v>
      </c>
      <c r="F254" s="15">
        <v>45010</v>
      </c>
      <c r="G254" s="15">
        <v>45192</v>
      </c>
      <c r="H254" s="15">
        <f t="shared" si="71"/>
        <v>90202</v>
      </c>
      <c r="I254" s="15">
        <f t="shared" si="108"/>
        <v>109986</v>
      </c>
      <c r="J254" s="15">
        <f t="shared" si="108"/>
        <v>155140</v>
      </c>
      <c r="K254" s="15">
        <f t="shared" si="108"/>
        <v>265126</v>
      </c>
      <c r="L254" s="15">
        <v>12422435187</v>
      </c>
      <c r="M254" s="15">
        <v>21123233439</v>
      </c>
      <c r="N254" s="15">
        <f t="shared" si="92"/>
        <v>33545668626</v>
      </c>
      <c r="O254" s="15">
        <v>6900257163</v>
      </c>
      <c r="P254" s="15">
        <v>7276424374</v>
      </c>
      <c r="Q254" s="15">
        <f t="shared" si="93"/>
        <v>14176681537</v>
      </c>
      <c r="R254" s="15">
        <f t="shared" si="94"/>
        <v>19322692350</v>
      </c>
      <c r="S254" s="15">
        <f t="shared" si="95"/>
        <v>28399657813</v>
      </c>
      <c r="T254" s="16">
        <f t="shared" si="96"/>
        <v>47722350163</v>
      </c>
      <c r="U254">
        <v>122.478537359</v>
      </c>
      <c r="V254">
        <v>129.01505570699999</v>
      </c>
      <c r="W254" s="225">
        <f t="shared" si="73"/>
        <v>1.0533686839257448</v>
      </c>
      <c r="X254" s="240">
        <f t="shared" si="99"/>
        <v>11793055.343836</v>
      </c>
      <c r="Y254" s="240">
        <f t="shared" si="100"/>
        <v>20053029.638470855</v>
      </c>
      <c r="Z254" s="240">
        <f t="shared" si="101"/>
        <v>31846084.982306857</v>
      </c>
      <c r="AA254" s="240">
        <f t="shared" si="102"/>
        <v>6550657.2089116909</v>
      </c>
      <c r="AB254" s="240">
        <f t="shared" si="103"/>
        <v>6907765.9940315234</v>
      </c>
      <c r="AC254" s="240">
        <f t="shared" si="104"/>
        <v>13458423.202943215</v>
      </c>
      <c r="AD254" s="240">
        <f t="shared" si="105"/>
        <v>18343712.552747693</v>
      </c>
      <c r="AE254" s="240">
        <f t="shared" si="106"/>
        <v>26960795.632502381</v>
      </c>
      <c r="AF254" s="240">
        <f t="shared" si="107"/>
        <v>45304508.185250066</v>
      </c>
      <c r="AG254" s="240">
        <f t="shared" si="74"/>
        <v>12422435.187000001</v>
      </c>
      <c r="AH254" s="240">
        <f t="shared" si="75"/>
        <v>21123233.438999999</v>
      </c>
      <c r="AI254" s="240">
        <f t="shared" si="76"/>
        <v>33545668.625999998</v>
      </c>
      <c r="AJ254" s="240">
        <f t="shared" si="77"/>
        <v>6900257.1629999997</v>
      </c>
      <c r="AK254" s="240">
        <f t="shared" si="78"/>
        <v>7276424.3739999998</v>
      </c>
      <c r="AL254" s="240">
        <f t="shared" si="79"/>
        <v>14176681.537</v>
      </c>
      <c r="AM254" s="240">
        <f t="shared" si="80"/>
        <v>19322692.350000001</v>
      </c>
      <c r="AN254" s="240">
        <f t="shared" si="81"/>
        <v>28399657.813000001</v>
      </c>
      <c r="AO254" s="240">
        <f t="shared" si="82"/>
        <v>47722350.163000003</v>
      </c>
    </row>
    <row r="255" spans="2:41" hidden="1" x14ac:dyDescent="0.25">
      <c r="B255" s="14">
        <v>44743</v>
      </c>
      <c r="C255" s="15">
        <v>64729</v>
      </c>
      <c r="D255" s="15">
        <v>109799</v>
      </c>
      <c r="E255" s="15">
        <f t="shared" si="98"/>
        <v>174528</v>
      </c>
      <c r="F255" s="15">
        <v>45364</v>
      </c>
      <c r="G255" s="15">
        <v>45366</v>
      </c>
      <c r="H255" s="15">
        <f t="shared" si="71"/>
        <v>90730</v>
      </c>
      <c r="I255" s="15">
        <f t="shared" si="108"/>
        <v>110093</v>
      </c>
      <c r="J255" s="15">
        <f t="shared" si="108"/>
        <v>155165</v>
      </c>
      <c r="K255" s="15">
        <f t="shared" si="108"/>
        <v>265258</v>
      </c>
      <c r="L255" s="15">
        <v>13740966473</v>
      </c>
      <c r="M255" s="15">
        <v>23251915916</v>
      </c>
      <c r="N255" s="15">
        <f t="shared" si="92"/>
        <v>36992882389</v>
      </c>
      <c r="O255" s="15">
        <v>7298276683</v>
      </c>
      <c r="P255" s="15">
        <v>7665209235</v>
      </c>
      <c r="Q255" s="15">
        <f t="shared" si="93"/>
        <v>14963485918</v>
      </c>
      <c r="R255" s="15">
        <f t="shared" si="94"/>
        <v>21039243156</v>
      </c>
      <c r="S255" s="15">
        <f t="shared" si="95"/>
        <v>30917125151</v>
      </c>
      <c r="T255" s="16">
        <f t="shared" si="96"/>
        <v>51956368307</v>
      </c>
      <c r="U255">
        <v>124.162318965</v>
      </c>
      <c r="V255">
        <v>129.01505570699999</v>
      </c>
      <c r="W255" s="225">
        <f t="shared" si="73"/>
        <v>1.0390838120812476</v>
      </c>
      <c r="X255" s="240">
        <f t="shared" si="99"/>
        <v>13224117.54782065</v>
      </c>
      <c r="Y255" s="240">
        <f t="shared" si="100"/>
        <v>22377324.760191623</v>
      </c>
      <c r="Z255" s="240">
        <f t="shared" si="101"/>
        <v>35601442.308012277</v>
      </c>
      <c r="AA255" s="240">
        <f t="shared" si="102"/>
        <v>7023761.3156361412</v>
      </c>
      <c r="AB255" s="240">
        <f t="shared" si="103"/>
        <v>7376892.1677712034</v>
      </c>
      <c r="AC255" s="240">
        <f t="shared" si="104"/>
        <v>14400653.483407345</v>
      </c>
      <c r="AD255" s="240">
        <f t="shared" si="105"/>
        <v>20247878.863456789</v>
      </c>
      <c r="AE255" s="240">
        <f t="shared" si="106"/>
        <v>29754216.927962825</v>
      </c>
      <c r="AF255" s="240">
        <f t="shared" si="107"/>
        <v>50002095.791419618</v>
      </c>
      <c r="AG255" s="240">
        <f t="shared" si="74"/>
        <v>13740966.472999999</v>
      </c>
      <c r="AH255" s="240">
        <f t="shared" si="75"/>
        <v>23251915.916000001</v>
      </c>
      <c r="AI255" s="240">
        <f t="shared" si="76"/>
        <v>36992882.388999999</v>
      </c>
      <c r="AJ255" s="240">
        <f t="shared" si="77"/>
        <v>7298276.6830000002</v>
      </c>
      <c r="AK255" s="240">
        <f t="shared" si="78"/>
        <v>7665209.2350000003</v>
      </c>
      <c r="AL255" s="240">
        <f t="shared" si="79"/>
        <v>14963485.918</v>
      </c>
      <c r="AM255" s="240">
        <f t="shared" si="80"/>
        <v>21039243.155999999</v>
      </c>
      <c r="AN255" s="240">
        <f t="shared" si="81"/>
        <v>30917125.151000001</v>
      </c>
      <c r="AO255" s="240">
        <f t="shared" si="82"/>
        <v>51956368.306999996</v>
      </c>
    </row>
    <row r="256" spans="2:41" hidden="1" x14ac:dyDescent="0.25">
      <c r="B256" s="14">
        <v>44774</v>
      </c>
      <c r="C256" s="15">
        <v>64644</v>
      </c>
      <c r="D256" s="15">
        <v>109904</v>
      </c>
      <c r="E256" s="15">
        <f t="shared" si="98"/>
        <v>174548</v>
      </c>
      <c r="F256" s="15">
        <v>45817</v>
      </c>
      <c r="G256" s="15">
        <v>45575</v>
      </c>
      <c r="H256" s="15">
        <f t="shared" si="71"/>
        <v>91392</v>
      </c>
      <c r="I256" s="15">
        <f t="shared" si="108"/>
        <v>110461</v>
      </c>
      <c r="J256" s="15">
        <f t="shared" si="108"/>
        <v>155479</v>
      </c>
      <c r="K256" s="15">
        <f t="shared" si="108"/>
        <v>265940</v>
      </c>
      <c r="L256" s="15">
        <v>13736279612</v>
      </c>
      <c r="M256" s="15">
        <v>23289298222</v>
      </c>
      <c r="N256" s="15">
        <f t="shared" si="92"/>
        <v>37025577834</v>
      </c>
      <c r="O256" s="15">
        <v>7338660540</v>
      </c>
      <c r="P256" s="15">
        <v>7678209975</v>
      </c>
      <c r="Q256" s="15">
        <f t="shared" si="93"/>
        <v>15016870515</v>
      </c>
      <c r="R256" s="15">
        <f t="shared" si="94"/>
        <v>21074940152</v>
      </c>
      <c r="S256" s="15">
        <f t="shared" si="95"/>
        <v>30967508197</v>
      </c>
      <c r="T256" s="16">
        <f t="shared" si="96"/>
        <v>52042448349</v>
      </c>
      <c r="U256">
        <v>125.665828594</v>
      </c>
      <c r="V256">
        <v>129.01505570699999</v>
      </c>
      <c r="W256" s="225">
        <f t="shared" si="73"/>
        <v>1.0266518523808141</v>
      </c>
      <c r="X256" s="240">
        <f t="shared" si="99"/>
        <v>13379686.190742709</v>
      </c>
      <c r="Y256" s="240">
        <f t="shared" si="100"/>
        <v>22684708.714051336</v>
      </c>
      <c r="Z256" s="240">
        <f t="shared" si="101"/>
        <v>36064394.904794045</v>
      </c>
      <c r="AA256" s="240">
        <f t="shared" si="102"/>
        <v>7148149.1247316077</v>
      </c>
      <c r="AB256" s="240">
        <f t="shared" si="103"/>
        <v>7478883.8662241418</v>
      </c>
      <c r="AC256" s="240">
        <f t="shared" si="104"/>
        <v>14627032.99095575</v>
      </c>
      <c r="AD256" s="240">
        <f t="shared" si="105"/>
        <v>20527835.315474316</v>
      </c>
      <c r="AE256" s="240">
        <f t="shared" si="106"/>
        <v>30163592.58027548</v>
      </c>
      <c r="AF256" s="240">
        <f t="shared" si="107"/>
        <v>50691427.895749792</v>
      </c>
      <c r="AG256" s="240">
        <f t="shared" si="74"/>
        <v>13736279.612</v>
      </c>
      <c r="AH256" s="240">
        <f t="shared" si="75"/>
        <v>23289298.221999999</v>
      </c>
      <c r="AI256" s="240">
        <f t="shared" si="76"/>
        <v>37025577.833999999</v>
      </c>
      <c r="AJ256" s="240">
        <f t="shared" si="77"/>
        <v>7338660.54</v>
      </c>
      <c r="AK256" s="240">
        <f t="shared" si="78"/>
        <v>7678209.9749999996</v>
      </c>
      <c r="AL256" s="240">
        <f t="shared" si="79"/>
        <v>15016870.515000001</v>
      </c>
      <c r="AM256" s="240">
        <f t="shared" si="80"/>
        <v>21074940.151999999</v>
      </c>
      <c r="AN256" s="240">
        <f t="shared" si="81"/>
        <v>30967508.197000001</v>
      </c>
      <c r="AO256" s="240">
        <f t="shared" si="82"/>
        <v>52042448.348999999</v>
      </c>
    </row>
    <row r="257" spans="2:44" hidden="1" x14ac:dyDescent="0.25">
      <c r="B257" s="14">
        <v>44805</v>
      </c>
      <c r="C257" s="15">
        <v>64275</v>
      </c>
      <c r="D257" s="15">
        <v>109666</v>
      </c>
      <c r="E257" s="15">
        <f t="shared" si="98"/>
        <v>173941</v>
      </c>
      <c r="F257" s="15">
        <v>46202</v>
      </c>
      <c r="G257" s="15">
        <v>45697</v>
      </c>
      <c r="H257" s="15">
        <f t="shared" si="71"/>
        <v>91899</v>
      </c>
      <c r="I257" s="15">
        <f t="shared" si="108"/>
        <v>110477</v>
      </c>
      <c r="J257" s="15">
        <f t="shared" si="108"/>
        <v>155363</v>
      </c>
      <c r="K257" s="15">
        <f t="shared" si="108"/>
        <v>265840</v>
      </c>
      <c r="L257" s="15">
        <v>13672577481</v>
      </c>
      <c r="M257" s="15">
        <v>23246434523</v>
      </c>
      <c r="N257" s="15">
        <f t="shared" si="92"/>
        <v>36919012004</v>
      </c>
      <c r="O257" s="15">
        <v>7364573708</v>
      </c>
      <c r="P257" s="15">
        <v>7668875451</v>
      </c>
      <c r="Q257" s="15">
        <f t="shared" si="93"/>
        <v>15033449159</v>
      </c>
      <c r="R257" s="15">
        <f t="shared" si="94"/>
        <v>21037151189</v>
      </c>
      <c r="S257" s="15">
        <f t="shared" si="95"/>
        <v>30915309974</v>
      </c>
      <c r="T257" s="16">
        <f t="shared" si="96"/>
        <v>51952461163</v>
      </c>
      <c r="U257">
        <v>126.752235783</v>
      </c>
      <c r="V257">
        <v>129.01505570699999</v>
      </c>
      <c r="W257" s="225">
        <f t="shared" si="73"/>
        <v>1.0178523077721007</v>
      </c>
      <c r="X257" s="240">
        <f t="shared" si="99"/>
        <v>13432771.509775188</v>
      </c>
      <c r="Y257" s="240">
        <f t="shared" si="100"/>
        <v>22838710.828177366</v>
      </c>
      <c r="Z257" s="240">
        <f t="shared" si="101"/>
        <v>36271482.337952562</v>
      </c>
      <c r="AA257" s="240">
        <f t="shared" si="102"/>
        <v>7235405.0305390116</v>
      </c>
      <c r="AB257" s="240">
        <f t="shared" si="103"/>
        <v>7534369.5666278116</v>
      </c>
      <c r="AC257" s="240">
        <f t="shared" si="104"/>
        <v>14769774.597166825</v>
      </c>
      <c r="AD257" s="240">
        <f t="shared" si="105"/>
        <v>20668176.540314201</v>
      </c>
      <c r="AE257" s="240">
        <f t="shared" si="106"/>
        <v>30373080.394805178</v>
      </c>
      <c r="AF257" s="240">
        <f t="shared" si="107"/>
        <v>51041256.935119376</v>
      </c>
      <c r="AG257" s="240">
        <f t="shared" si="74"/>
        <v>13672577.481000001</v>
      </c>
      <c r="AH257" s="240">
        <f t="shared" si="75"/>
        <v>23246434.522999998</v>
      </c>
      <c r="AI257" s="240">
        <f t="shared" si="76"/>
        <v>36919012.004000001</v>
      </c>
      <c r="AJ257" s="240">
        <f t="shared" si="77"/>
        <v>7364573.7079999996</v>
      </c>
      <c r="AK257" s="240">
        <f t="shared" si="78"/>
        <v>7668875.4510000004</v>
      </c>
      <c r="AL257" s="240">
        <f t="shared" si="79"/>
        <v>15033449.159</v>
      </c>
      <c r="AM257" s="240">
        <f t="shared" si="80"/>
        <v>21037151.188999999</v>
      </c>
      <c r="AN257" s="240">
        <f t="shared" si="81"/>
        <v>30915309.973999999</v>
      </c>
      <c r="AO257" s="240">
        <f t="shared" si="82"/>
        <v>51952461.163000003</v>
      </c>
    </row>
    <row r="258" spans="2:44" hidden="1" x14ac:dyDescent="0.25">
      <c r="B258" s="14">
        <v>44835</v>
      </c>
      <c r="C258" s="15">
        <v>63815</v>
      </c>
      <c r="D258" s="15">
        <v>109393</v>
      </c>
      <c r="E258" s="15">
        <f t="shared" si="98"/>
        <v>173208</v>
      </c>
      <c r="F258" s="15">
        <v>46381</v>
      </c>
      <c r="G258" s="15">
        <v>45739</v>
      </c>
      <c r="H258" s="15">
        <f t="shared" si="71"/>
        <v>92120</v>
      </c>
      <c r="I258" s="15">
        <f t="shared" si="108"/>
        <v>110196</v>
      </c>
      <c r="J258" s="15">
        <f t="shared" si="108"/>
        <v>155132</v>
      </c>
      <c r="K258" s="15">
        <f t="shared" si="108"/>
        <v>265328</v>
      </c>
      <c r="L258" s="15">
        <v>13590242086</v>
      </c>
      <c r="M258" s="15">
        <v>23196045529</v>
      </c>
      <c r="N258" s="15">
        <f t="shared" si="92"/>
        <v>36786287615</v>
      </c>
      <c r="O258" s="15">
        <v>7378442349</v>
      </c>
      <c r="P258" s="15">
        <v>7659976499</v>
      </c>
      <c r="Q258" s="15">
        <f t="shared" si="93"/>
        <v>15038418848</v>
      </c>
      <c r="R258" s="15">
        <f t="shared" si="94"/>
        <v>20968684435</v>
      </c>
      <c r="S258" s="15">
        <f t="shared" si="95"/>
        <v>30856022028</v>
      </c>
      <c r="T258" s="16">
        <f t="shared" si="96"/>
        <v>51824706463</v>
      </c>
      <c r="U258">
        <v>127.40762281400001</v>
      </c>
      <c r="V258">
        <v>129.01505570699999</v>
      </c>
      <c r="W258" s="225">
        <f t="shared" si="73"/>
        <v>1.0126164577714996</v>
      </c>
      <c r="X258" s="240">
        <f t="shared" si="99"/>
        <v>13420917.645273631</v>
      </c>
      <c r="Y258" s="240">
        <f t="shared" si="100"/>
        <v>22907039.828335743</v>
      </c>
      <c r="Z258" s="240">
        <f t="shared" si="101"/>
        <v>36327957.473609373</v>
      </c>
      <c r="AA258" s="240">
        <f t="shared" si="102"/>
        <v>7286512.3733402435</v>
      </c>
      <c r="AB258" s="240">
        <f t="shared" si="103"/>
        <v>7564538.8144861665</v>
      </c>
      <c r="AC258" s="240">
        <f t="shared" si="104"/>
        <v>14851051.18782641</v>
      </c>
      <c r="AD258" s="240">
        <f t="shared" si="105"/>
        <v>20707430.018613875</v>
      </c>
      <c r="AE258" s="240">
        <f t="shared" si="106"/>
        <v>30471578.642821912</v>
      </c>
      <c r="AF258" s="240">
        <f t="shared" si="107"/>
        <v>51179008.661435783</v>
      </c>
      <c r="AG258" s="240">
        <f t="shared" si="74"/>
        <v>13590242.085999999</v>
      </c>
      <c r="AH258" s="240">
        <f t="shared" si="75"/>
        <v>23196045.528999999</v>
      </c>
      <c r="AI258" s="240">
        <f t="shared" si="76"/>
        <v>36786287.615000002</v>
      </c>
      <c r="AJ258" s="240">
        <f t="shared" si="77"/>
        <v>7378442.3490000004</v>
      </c>
      <c r="AK258" s="240">
        <f t="shared" si="78"/>
        <v>7659976.4989999998</v>
      </c>
      <c r="AL258" s="240">
        <f t="shared" si="79"/>
        <v>15038418.847999999</v>
      </c>
      <c r="AM258" s="240">
        <f t="shared" si="80"/>
        <v>20968684.434999999</v>
      </c>
      <c r="AN258" s="240">
        <f t="shared" si="81"/>
        <v>30856022.028000001</v>
      </c>
      <c r="AO258" s="240">
        <f t="shared" si="82"/>
        <v>51824706.463</v>
      </c>
    </row>
    <row r="259" spans="2:44" hidden="1" x14ac:dyDescent="0.25">
      <c r="B259" s="14">
        <v>44866</v>
      </c>
      <c r="C259" s="15">
        <v>63526</v>
      </c>
      <c r="D259" s="15">
        <v>109031</v>
      </c>
      <c r="E259" s="15">
        <f t="shared" si="98"/>
        <v>172557</v>
      </c>
      <c r="F259" s="15">
        <v>46666</v>
      </c>
      <c r="G259" s="15">
        <v>45910</v>
      </c>
      <c r="H259" s="15">
        <f t="shared" si="71"/>
        <v>92576</v>
      </c>
      <c r="I259" s="15">
        <f t="shared" si="108"/>
        <v>110192</v>
      </c>
      <c r="J259" s="15">
        <f t="shared" si="108"/>
        <v>154941</v>
      </c>
      <c r="K259" s="15">
        <f t="shared" si="108"/>
        <v>265133</v>
      </c>
      <c r="L259" s="15">
        <v>13546987070</v>
      </c>
      <c r="M259" s="15">
        <v>23133193734</v>
      </c>
      <c r="N259" s="15">
        <f t="shared" si="92"/>
        <v>36680180804</v>
      </c>
      <c r="O259" s="15">
        <v>7413824526</v>
      </c>
      <c r="P259" s="15">
        <v>7675227170</v>
      </c>
      <c r="Q259" s="15">
        <f t="shared" si="93"/>
        <v>15089051696</v>
      </c>
      <c r="R259" s="15">
        <f t="shared" si="94"/>
        <v>20960811596</v>
      </c>
      <c r="S259" s="15">
        <f t="shared" si="95"/>
        <v>30808420904</v>
      </c>
      <c r="T259" s="16">
        <f t="shared" si="96"/>
        <v>51769232500</v>
      </c>
      <c r="U259">
        <v>128.65015935900001</v>
      </c>
      <c r="V259">
        <v>129.01505570699999</v>
      </c>
      <c r="W259" s="225">
        <f t="shared" si="73"/>
        <v>1.0028363458686571</v>
      </c>
      <c r="X259" s="240">
        <f t="shared" si="99"/>
        <v>13508671.80453616</v>
      </c>
      <c r="Y259" s="240">
        <f t="shared" si="100"/>
        <v>23067765.572419517</v>
      </c>
      <c r="Z259" s="240">
        <f t="shared" si="101"/>
        <v>36576437.376955673</v>
      </c>
      <c r="AA259" s="240">
        <f t="shared" si="102"/>
        <v>7392855.8299092585</v>
      </c>
      <c r="AB259" s="240">
        <f t="shared" si="103"/>
        <v>7653519.1425991999</v>
      </c>
      <c r="AC259" s="240">
        <f t="shared" si="104"/>
        <v>15046374.972508458</v>
      </c>
      <c r="AD259" s="240">
        <f t="shared" si="105"/>
        <v>20901527.634445418</v>
      </c>
      <c r="AE259" s="240">
        <f t="shared" si="106"/>
        <v>30721284.715018719</v>
      </c>
      <c r="AF259" s="240">
        <f t="shared" si="107"/>
        <v>51622812.349464133</v>
      </c>
      <c r="AG259" s="240">
        <f t="shared" si="74"/>
        <v>13546987.07</v>
      </c>
      <c r="AH259" s="240">
        <f t="shared" si="75"/>
        <v>23133193.734000001</v>
      </c>
      <c r="AI259" s="240">
        <f t="shared" si="76"/>
        <v>36680180.803999998</v>
      </c>
      <c r="AJ259" s="240">
        <f t="shared" si="77"/>
        <v>7413824.5259999996</v>
      </c>
      <c r="AK259" s="240">
        <f t="shared" si="78"/>
        <v>7675227.1699999999</v>
      </c>
      <c r="AL259" s="240">
        <f t="shared" si="79"/>
        <v>15089051.696</v>
      </c>
      <c r="AM259" s="240">
        <f t="shared" si="80"/>
        <v>20960811.596000001</v>
      </c>
      <c r="AN259" s="240">
        <f t="shared" si="81"/>
        <v>30808420.903999999</v>
      </c>
      <c r="AO259" s="240">
        <f t="shared" si="82"/>
        <v>51769232.5</v>
      </c>
    </row>
    <row r="260" spans="2:44" hidden="1" x14ac:dyDescent="0.25">
      <c r="B260" s="17">
        <v>44896</v>
      </c>
      <c r="C260" s="18">
        <v>63190</v>
      </c>
      <c r="D260" s="18">
        <v>108989</v>
      </c>
      <c r="E260" s="18">
        <f t="shared" si="98"/>
        <v>172179</v>
      </c>
      <c r="F260" s="18">
        <v>46817</v>
      </c>
      <c r="G260" s="18">
        <v>45881</v>
      </c>
      <c r="H260" s="18">
        <f t="shared" si="71"/>
        <v>92698</v>
      </c>
      <c r="I260" s="19">
        <f t="shared" si="108"/>
        <v>110007</v>
      </c>
      <c r="J260" s="19">
        <f t="shared" si="108"/>
        <v>154870</v>
      </c>
      <c r="K260" s="19">
        <f t="shared" si="108"/>
        <v>264877</v>
      </c>
      <c r="L260" s="18">
        <v>13498986732</v>
      </c>
      <c r="M260" s="18">
        <v>23140037882</v>
      </c>
      <c r="N260" s="18">
        <f t="shared" si="92"/>
        <v>36639024614</v>
      </c>
      <c r="O260" s="18">
        <v>7421805869</v>
      </c>
      <c r="P260" s="18">
        <v>7649953291</v>
      </c>
      <c r="Q260" s="18">
        <f t="shared" si="93"/>
        <v>15071759160</v>
      </c>
      <c r="R260" s="18">
        <f t="shared" si="94"/>
        <v>20920792601</v>
      </c>
      <c r="S260" s="18">
        <f t="shared" si="95"/>
        <v>30789991173</v>
      </c>
      <c r="T260" s="18">
        <f t="shared" si="96"/>
        <v>51710783774</v>
      </c>
      <c r="U260">
        <v>129.01505570699999</v>
      </c>
      <c r="V260">
        <v>129.01505570699999</v>
      </c>
      <c r="W260" s="225">
        <f t="shared" si="73"/>
        <v>1</v>
      </c>
      <c r="X260" s="240">
        <f t="shared" si="99"/>
        <v>13498986.732000001</v>
      </c>
      <c r="Y260" s="240">
        <f t="shared" si="100"/>
        <v>23140037.881999999</v>
      </c>
      <c r="Z260" s="240">
        <f t="shared" si="101"/>
        <v>36639024.614</v>
      </c>
      <c r="AA260" s="240">
        <f t="shared" si="102"/>
        <v>7421805.8689999999</v>
      </c>
      <c r="AB260" s="240">
        <f t="shared" si="103"/>
        <v>7649953.2910000002</v>
      </c>
      <c r="AC260" s="240">
        <f t="shared" si="104"/>
        <v>15071759.16</v>
      </c>
      <c r="AD260" s="240">
        <f t="shared" si="105"/>
        <v>20920792.601</v>
      </c>
      <c r="AE260" s="240">
        <f t="shared" si="106"/>
        <v>30789991.173</v>
      </c>
      <c r="AF260" s="240">
        <f t="shared" si="107"/>
        <v>51710783.773999996</v>
      </c>
      <c r="AG260" s="240">
        <f t="shared" si="74"/>
        <v>13498986.732000001</v>
      </c>
      <c r="AH260" s="240">
        <f t="shared" si="75"/>
        <v>23140037.881999999</v>
      </c>
      <c r="AI260" s="240">
        <f t="shared" si="76"/>
        <v>36639024.614</v>
      </c>
      <c r="AJ260" s="240">
        <f t="shared" si="77"/>
        <v>7421805.8689999999</v>
      </c>
      <c r="AK260" s="240">
        <f t="shared" si="78"/>
        <v>7649953.2910000002</v>
      </c>
      <c r="AL260" s="240">
        <f t="shared" si="79"/>
        <v>15071759.16</v>
      </c>
      <c r="AM260" s="240">
        <f t="shared" si="80"/>
        <v>20920792.601</v>
      </c>
      <c r="AN260" s="240">
        <f t="shared" si="81"/>
        <v>30789991.173</v>
      </c>
      <c r="AO260" s="240">
        <f t="shared" si="82"/>
        <v>51710783.773999996</v>
      </c>
    </row>
    <row r="261" spans="2:44" hidden="1" x14ac:dyDescent="0.25">
      <c r="B261" s="8" t="s">
        <v>8</v>
      </c>
      <c r="C261" s="9"/>
      <c r="D261" s="9"/>
      <c r="E261" s="9"/>
      <c r="F261" s="9"/>
      <c r="G261" s="9"/>
      <c r="H261" s="9"/>
      <c r="I261" s="9"/>
      <c r="J261" s="9"/>
      <c r="K261" s="9"/>
      <c r="N261" s="8" t="s">
        <v>8</v>
      </c>
      <c r="O261" s="9"/>
      <c r="P261" s="9"/>
      <c r="Q261" s="9"/>
      <c r="R261" s="9"/>
      <c r="S261" s="9"/>
      <c r="T261" s="9"/>
      <c r="U261" s="9"/>
      <c r="V261" s="9"/>
      <c r="W261" s="9"/>
      <c r="Z261" s="225"/>
      <c r="AJ261" s="240"/>
      <c r="AK261" s="240"/>
      <c r="AL261" s="240"/>
      <c r="AM261" s="240"/>
      <c r="AN261" s="240"/>
      <c r="AO261" s="240"/>
      <c r="AP261" s="240"/>
      <c r="AQ261" s="240"/>
      <c r="AR261" s="240"/>
    </row>
    <row r="262" spans="2:44" hidden="1" x14ac:dyDescent="0.25"/>
  </sheetData>
  <mergeCells count="30">
    <mergeCell ref="B69:M69"/>
    <mergeCell ref="B32:M32"/>
    <mergeCell ref="C37:F37"/>
    <mergeCell ref="G37:J37"/>
    <mergeCell ref="K37:N37"/>
    <mergeCell ref="C38:D38"/>
    <mergeCell ref="E38:F38"/>
    <mergeCell ref="G38:H38"/>
    <mergeCell ref="I38:J38"/>
    <mergeCell ref="K38:L38"/>
    <mergeCell ref="M38:N38"/>
    <mergeCell ref="B15:B17"/>
    <mergeCell ref="D25:F25"/>
    <mergeCell ref="G25:I25"/>
    <mergeCell ref="J25:L25"/>
    <mergeCell ref="B27:B29"/>
    <mergeCell ref="B20:M20"/>
    <mergeCell ref="D7:F7"/>
    <mergeCell ref="G7:I7"/>
    <mergeCell ref="J7:L7"/>
    <mergeCell ref="B9:B11"/>
    <mergeCell ref="B12:B14"/>
    <mergeCell ref="C84:K84"/>
    <mergeCell ref="C85:E85"/>
    <mergeCell ref="F85:H85"/>
    <mergeCell ref="I85:K85"/>
    <mergeCell ref="O84:W84"/>
    <mergeCell ref="O85:Q85"/>
    <mergeCell ref="R85:T85"/>
    <mergeCell ref="U85:W85"/>
  </mergeCells>
  <phoneticPr fontId="28"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CAA76-D40E-4EF1-9A35-63A3E588DF5B}">
  <sheetPr>
    <tabColor theme="9"/>
  </sheetPr>
  <dimension ref="B2:M59"/>
  <sheetViews>
    <sheetView showGridLines="0" workbookViewId="0">
      <selection activeCell="I35" sqref="I35"/>
    </sheetView>
  </sheetViews>
  <sheetFormatPr baseColWidth="10" defaultRowHeight="15" x14ac:dyDescent="0.25"/>
  <cols>
    <col min="2" max="2" width="16.28515625" customWidth="1"/>
    <col min="3" max="3" width="13.42578125" customWidth="1"/>
    <col min="6" max="6" width="15" customWidth="1"/>
    <col min="7" max="7" width="16.140625" customWidth="1"/>
  </cols>
  <sheetData>
    <row r="2" spans="2:8" ht="23.25" x14ac:dyDescent="0.25">
      <c r="B2" s="1" t="s">
        <v>841</v>
      </c>
      <c r="C2" s="5"/>
      <c r="D2" s="5"/>
      <c r="E2" s="5"/>
      <c r="F2" s="5"/>
      <c r="G2" s="5"/>
      <c r="H2" s="5"/>
    </row>
    <row r="3" spans="2:8" x14ac:dyDescent="0.25">
      <c r="B3" s="5"/>
      <c r="C3" s="5"/>
      <c r="D3" s="5"/>
      <c r="E3" s="5"/>
      <c r="F3" s="5"/>
      <c r="G3" s="5"/>
      <c r="H3" s="5"/>
    </row>
    <row r="4" spans="2:8" x14ac:dyDescent="0.25">
      <c r="B4" s="5"/>
      <c r="C4" s="5"/>
      <c r="D4" s="5"/>
      <c r="E4" s="5"/>
      <c r="F4" s="5"/>
      <c r="G4" s="5"/>
      <c r="H4" s="5"/>
    </row>
    <row r="5" spans="2:8" ht="18.75" x14ac:dyDescent="0.3">
      <c r="B5" s="2" t="s">
        <v>895</v>
      </c>
      <c r="C5" s="2"/>
      <c r="D5" s="2"/>
      <c r="E5" s="2"/>
      <c r="F5" s="2"/>
      <c r="G5" s="2"/>
      <c r="H5" s="5"/>
    </row>
    <row r="6" spans="2:8" x14ac:dyDescent="0.25">
      <c r="B6" s="3" t="s">
        <v>520</v>
      </c>
      <c r="C6" s="5"/>
      <c r="D6" s="5"/>
      <c r="E6" s="5"/>
      <c r="F6" s="5"/>
      <c r="G6" s="5"/>
      <c r="H6" s="5"/>
    </row>
    <row r="7" spans="2:8" x14ac:dyDescent="0.25">
      <c r="B7" s="5"/>
      <c r="C7" s="5"/>
      <c r="D7" s="5"/>
      <c r="E7" s="5"/>
      <c r="F7" s="5"/>
      <c r="G7" s="5"/>
      <c r="H7" s="5"/>
    </row>
    <row r="8" spans="2:8" x14ac:dyDescent="0.25">
      <c r="B8" s="7" t="s">
        <v>773</v>
      </c>
      <c r="C8" s="5"/>
      <c r="D8" s="5"/>
      <c r="E8" s="5"/>
      <c r="F8" s="5"/>
      <c r="G8" s="5"/>
      <c r="H8" s="5"/>
    </row>
    <row r="9" spans="2:8" x14ac:dyDescent="0.25">
      <c r="B9" s="5"/>
      <c r="C9" s="5"/>
      <c r="D9" s="5"/>
      <c r="E9" s="5"/>
      <c r="F9" s="5"/>
      <c r="G9" s="5"/>
      <c r="H9" s="5"/>
    </row>
    <row r="10" spans="2:8" x14ac:dyDescent="0.25">
      <c r="B10" s="5"/>
      <c r="C10" s="5"/>
      <c r="D10" s="5"/>
      <c r="E10" s="5"/>
      <c r="F10" s="5"/>
      <c r="G10" s="5"/>
      <c r="H10" s="5"/>
    </row>
    <row r="11" spans="2:8" ht="18.75" x14ac:dyDescent="0.3">
      <c r="B11" s="2" t="s">
        <v>896</v>
      </c>
      <c r="C11" s="2"/>
      <c r="D11" s="2"/>
      <c r="E11" s="2"/>
      <c r="F11" s="2"/>
      <c r="G11" s="2"/>
      <c r="H11" s="5"/>
    </row>
    <row r="12" spans="2:8" x14ac:dyDescent="0.25">
      <c r="B12" s="3" t="s">
        <v>560</v>
      </c>
      <c r="C12" s="5"/>
      <c r="D12" s="5"/>
      <c r="E12" s="5"/>
      <c r="F12" s="5"/>
      <c r="G12" s="5"/>
      <c r="H12" s="5"/>
    </row>
    <row r="13" spans="2:8" x14ac:dyDescent="0.25">
      <c r="B13" s="3"/>
      <c r="C13" s="5"/>
      <c r="D13" s="5"/>
      <c r="E13" s="5"/>
      <c r="F13" s="5"/>
      <c r="G13" s="5"/>
      <c r="H13" s="5"/>
    </row>
    <row r="14" spans="2:8" x14ac:dyDescent="0.25">
      <c r="D14" s="464" t="s">
        <v>777</v>
      </c>
      <c r="E14" s="464"/>
      <c r="F14" s="464"/>
      <c r="G14" s="5"/>
    </row>
    <row r="15" spans="2:8" ht="45" x14ac:dyDescent="0.25">
      <c r="B15" s="154" t="s">
        <v>487</v>
      </c>
      <c r="C15" s="179" t="s">
        <v>610</v>
      </c>
      <c r="D15" s="179" t="s">
        <v>996</v>
      </c>
      <c r="E15" s="179" t="s">
        <v>775</v>
      </c>
      <c r="F15" s="179" t="s">
        <v>776</v>
      </c>
      <c r="G15" s="5"/>
    </row>
    <row r="16" spans="2:8" x14ac:dyDescent="0.25">
      <c r="B16" s="469" t="s">
        <v>559</v>
      </c>
      <c r="C16" s="446" t="s">
        <v>87</v>
      </c>
      <c r="D16" s="315">
        <v>3</v>
      </c>
      <c r="E16" s="315">
        <v>183.096</v>
      </c>
      <c r="F16" s="315">
        <v>204.04785233375168</v>
      </c>
      <c r="G16" s="5"/>
    </row>
    <row r="17" spans="2:13" x14ac:dyDescent="0.25">
      <c r="B17" s="469"/>
      <c r="C17" s="446" t="s">
        <v>88</v>
      </c>
      <c r="D17" s="315">
        <v>13</v>
      </c>
      <c r="E17" s="315">
        <v>851.88099999999997</v>
      </c>
      <c r="F17" s="315">
        <v>949.36256659855337</v>
      </c>
      <c r="G17" s="5"/>
    </row>
    <row r="18" spans="2:13" x14ac:dyDescent="0.25">
      <c r="B18" s="474"/>
      <c r="C18" s="447" t="s">
        <v>609</v>
      </c>
      <c r="D18" s="315">
        <v>16</v>
      </c>
      <c r="E18" s="315">
        <v>1034.9769999999999</v>
      </c>
      <c r="F18" s="315">
        <v>1153.410418932305</v>
      </c>
      <c r="G18" s="5"/>
    </row>
    <row r="19" spans="2:13" x14ac:dyDescent="0.25">
      <c r="B19" s="328" t="s">
        <v>887</v>
      </c>
      <c r="C19" s="328"/>
      <c r="D19" s="328"/>
      <c r="E19" s="328"/>
      <c r="F19" s="328"/>
      <c r="G19" s="328"/>
      <c r="H19" s="328"/>
      <c r="I19" s="328"/>
      <c r="J19" s="328"/>
      <c r="K19" s="328"/>
      <c r="L19" s="328"/>
      <c r="M19" s="328"/>
    </row>
    <row r="20" spans="2:13" x14ac:dyDescent="0.25">
      <c r="B20" s="330" t="s">
        <v>967</v>
      </c>
      <c r="C20" s="328"/>
      <c r="D20" s="328"/>
      <c r="E20" s="328"/>
      <c r="F20" s="328"/>
      <c r="G20" s="328"/>
      <c r="H20" s="328"/>
      <c r="I20" s="328"/>
      <c r="J20" s="328"/>
      <c r="K20" s="328"/>
      <c r="L20" s="328"/>
      <c r="M20" s="328"/>
    </row>
    <row r="21" spans="2:13" ht="35.25" customHeight="1" x14ac:dyDescent="0.25">
      <c r="B21" s="472" t="s">
        <v>892</v>
      </c>
      <c r="C21" s="473"/>
      <c r="D21" s="473"/>
      <c r="E21" s="473"/>
      <c r="F21" s="473"/>
      <c r="G21" s="473"/>
      <c r="H21" s="473"/>
      <c r="I21" s="473"/>
      <c r="J21" s="473"/>
      <c r="K21" s="473"/>
      <c r="L21" s="473"/>
      <c r="M21" s="473"/>
    </row>
    <row r="22" spans="2:13" x14ac:dyDescent="0.25">
      <c r="B22" s="322"/>
      <c r="C22" s="5"/>
      <c r="D22" s="5"/>
      <c r="E22" s="5"/>
      <c r="F22" s="5"/>
      <c r="G22" s="5"/>
      <c r="H22" s="5"/>
    </row>
    <row r="23" spans="2:13" ht="18.75" x14ac:dyDescent="0.3">
      <c r="B23" s="2" t="s">
        <v>772</v>
      </c>
      <c r="C23" s="2"/>
      <c r="D23" s="2"/>
      <c r="E23" s="2"/>
      <c r="F23" s="2"/>
      <c r="G23" s="2"/>
      <c r="H23" s="5"/>
    </row>
    <row r="24" spans="2:13" x14ac:dyDescent="0.25">
      <c r="B24" s="3" t="s">
        <v>813</v>
      </c>
      <c r="C24" s="5"/>
      <c r="D24" s="5"/>
      <c r="E24" s="5"/>
      <c r="F24" s="5"/>
      <c r="G24" s="5"/>
      <c r="H24" s="5"/>
    </row>
    <row r="25" spans="2:13" x14ac:dyDescent="0.25">
      <c r="B25" s="3"/>
      <c r="C25" s="5"/>
      <c r="D25" s="5"/>
      <c r="E25" s="5"/>
      <c r="F25" s="5"/>
      <c r="G25" s="5"/>
      <c r="H25" s="5"/>
    </row>
    <row r="26" spans="2:13" x14ac:dyDescent="0.25">
      <c r="C26" s="464" t="s">
        <v>777</v>
      </c>
      <c r="D26" s="464"/>
      <c r="E26" s="464"/>
      <c r="F26" s="464"/>
      <c r="G26" s="5"/>
      <c r="H26" s="5"/>
    </row>
    <row r="27" spans="2:13" x14ac:dyDescent="0.25">
      <c r="C27" s="464" t="s">
        <v>87</v>
      </c>
      <c r="D27" s="464"/>
      <c r="E27" s="464" t="s">
        <v>88</v>
      </c>
      <c r="F27" s="464"/>
      <c r="G27" s="5"/>
      <c r="H27" s="5"/>
    </row>
    <row r="28" spans="2:13" ht="45" x14ac:dyDescent="0.25">
      <c r="B28" s="154" t="s">
        <v>487</v>
      </c>
      <c r="C28" s="234" t="s">
        <v>614</v>
      </c>
      <c r="D28" s="179" t="s">
        <v>966</v>
      </c>
      <c r="E28" s="234" t="s">
        <v>614</v>
      </c>
      <c r="F28" s="179" t="s">
        <v>966</v>
      </c>
      <c r="G28" s="5"/>
      <c r="H28" s="5"/>
    </row>
    <row r="29" spans="2:13" x14ac:dyDescent="0.25">
      <c r="B29" s="284" t="s">
        <v>769</v>
      </c>
      <c r="C29" s="350">
        <f>+[1]Nbis!$D$55</f>
        <v>2.0909090909090908</v>
      </c>
      <c r="D29" s="350">
        <v>181.42383506124312</v>
      </c>
      <c r="E29" s="350">
        <v>2.1428571428571428</v>
      </c>
      <c r="F29" s="350">
        <v>219.49576691635974</v>
      </c>
      <c r="G29" s="5"/>
      <c r="H29" s="5"/>
    </row>
    <row r="30" spans="2:13" x14ac:dyDescent="0.25">
      <c r="B30" s="261">
        <v>44197</v>
      </c>
      <c r="C30" s="351">
        <v>3</v>
      </c>
      <c r="D30" s="351">
        <v>420.12211952831728</v>
      </c>
      <c r="E30" s="351">
        <v>3</v>
      </c>
      <c r="F30" s="351">
        <v>259.58896847527637</v>
      </c>
      <c r="G30" s="5"/>
      <c r="H30" s="5"/>
    </row>
    <row r="31" spans="2:13" x14ac:dyDescent="0.25">
      <c r="B31" s="261">
        <v>44228</v>
      </c>
      <c r="C31" s="351">
        <v>2</v>
      </c>
      <c r="D31" s="351">
        <v>249.22960209014508</v>
      </c>
      <c r="E31" s="351">
        <v>2</v>
      </c>
      <c r="F31" s="351">
        <v>215.74012684305777</v>
      </c>
      <c r="G31" s="5"/>
      <c r="H31" s="5"/>
    </row>
    <row r="32" spans="2:13" x14ac:dyDescent="0.25">
      <c r="B32" s="261">
        <v>44256</v>
      </c>
      <c r="C32" s="351">
        <v>2</v>
      </c>
      <c r="D32" s="351">
        <v>247.58265674756623</v>
      </c>
      <c r="E32" s="351">
        <v>4</v>
      </c>
      <c r="F32" s="351">
        <v>226.79520495747227</v>
      </c>
      <c r="G32" s="5"/>
      <c r="H32" s="5"/>
    </row>
    <row r="33" spans="2:8" x14ac:dyDescent="0.25">
      <c r="B33" s="261">
        <v>44287</v>
      </c>
      <c r="C33" s="351">
        <v>2</v>
      </c>
      <c r="D33" s="351">
        <v>246.52680396969552</v>
      </c>
      <c r="E33" s="351">
        <v>4</v>
      </c>
      <c r="F33" s="351">
        <v>432.8363426234605</v>
      </c>
      <c r="G33" s="5"/>
      <c r="H33" s="5"/>
    </row>
    <row r="34" spans="2:8" x14ac:dyDescent="0.25">
      <c r="B34" s="261">
        <v>44317</v>
      </c>
      <c r="C34" s="351">
        <v>3</v>
      </c>
      <c r="D34" s="351">
        <v>260.73408286074721</v>
      </c>
      <c r="E34" s="351">
        <v>5</v>
      </c>
      <c r="F34" s="351">
        <v>477.22760717660805</v>
      </c>
      <c r="G34" s="5"/>
      <c r="H34" s="5"/>
    </row>
    <row r="35" spans="2:8" x14ac:dyDescent="0.25">
      <c r="B35" s="261">
        <v>44348</v>
      </c>
      <c r="C35" s="351">
        <v>3</v>
      </c>
      <c r="D35" s="351">
        <v>259.30584909609621</v>
      </c>
      <c r="E35" s="351">
        <v>6</v>
      </c>
      <c r="F35" s="351">
        <v>677.08250609707397</v>
      </c>
      <c r="G35" s="5"/>
      <c r="H35" s="5"/>
    </row>
    <row r="36" spans="2:8" x14ac:dyDescent="0.25">
      <c r="B36" s="261">
        <v>44378</v>
      </c>
      <c r="C36" s="351">
        <v>2</v>
      </c>
      <c r="D36" s="351">
        <v>145.8147300032112</v>
      </c>
      <c r="E36" s="351">
        <v>7</v>
      </c>
      <c r="F36" s="351">
        <v>762.96218330526085</v>
      </c>
      <c r="G36" s="5"/>
      <c r="H36" s="5"/>
    </row>
    <row r="37" spans="2:8" x14ac:dyDescent="0.25">
      <c r="B37" s="261">
        <v>44409</v>
      </c>
      <c r="C37" s="351">
        <v>2</v>
      </c>
      <c r="D37" s="351">
        <v>145.20366068687059</v>
      </c>
      <c r="E37" s="351">
        <v>6</v>
      </c>
      <c r="F37" s="351">
        <v>712.67188354028826</v>
      </c>
      <c r="G37" s="5"/>
      <c r="H37" s="5"/>
    </row>
    <row r="38" spans="2:8" x14ac:dyDescent="0.25">
      <c r="B38" s="261">
        <v>44440</v>
      </c>
      <c r="C38" s="351">
        <v>2</v>
      </c>
      <c r="D38" s="351">
        <v>142.04654969888725</v>
      </c>
      <c r="E38" s="351">
        <v>6</v>
      </c>
      <c r="F38" s="351">
        <v>684.17015970561795</v>
      </c>
      <c r="G38" s="5"/>
      <c r="H38" s="5"/>
    </row>
    <row r="39" spans="2:8" x14ac:dyDescent="0.25">
      <c r="B39" s="261">
        <v>44470</v>
      </c>
      <c r="C39" s="351">
        <v>2</v>
      </c>
      <c r="D39" s="351">
        <v>138.9903210658303</v>
      </c>
      <c r="E39" s="351">
        <v>10</v>
      </c>
      <c r="F39" s="351">
        <v>993.69466630834597</v>
      </c>
      <c r="G39" s="5"/>
      <c r="H39" s="5"/>
    </row>
    <row r="40" spans="2:8" x14ac:dyDescent="0.25">
      <c r="B40" s="261">
        <v>44501</v>
      </c>
      <c r="C40" s="351">
        <v>2</v>
      </c>
      <c r="D40" s="351">
        <v>135.95678000055142</v>
      </c>
      <c r="E40" s="351">
        <v>11</v>
      </c>
      <c r="F40" s="351">
        <v>855.83186953111851</v>
      </c>
      <c r="G40" s="5"/>
      <c r="H40" s="5"/>
    </row>
    <row r="41" spans="2:8" x14ac:dyDescent="0.25">
      <c r="B41" s="261">
        <v>44531</v>
      </c>
      <c r="C41" s="351">
        <v>2</v>
      </c>
      <c r="D41" s="351">
        <v>131.92408430589714</v>
      </c>
      <c r="E41" s="351">
        <v>13</v>
      </c>
      <c r="F41" s="351">
        <v>1052.7862904198298</v>
      </c>
      <c r="G41" s="5"/>
      <c r="H41" s="5"/>
    </row>
    <row r="42" spans="2:8" x14ac:dyDescent="0.25">
      <c r="B42" s="284" t="s">
        <v>770</v>
      </c>
      <c r="C42" s="350">
        <f>+[1]Nbis!$D$56</f>
        <v>2.25</v>
      </c>
      <c r="D42" s="350">
        <v>210.28643667115125</v>
      </c>
      <c r="E42" s="350">
        <f>+[1]Nbis!$C$56</f>
        <v>6.416666666666667</v>
      </c>
      <c r="F42" s="350">
        <v>612.61565074861755</v>
      </c>
      <c r="G42" s="5"/>
      <c r="H42" s="5"/>
    </row>
    <row r="43" spans="2:8" x14ac:dyDescent="0.25">
      <c r="B43" s="261">
        <v>44562</v>
      </c>
      <c r="C43" s="351">
        <f>+[1]Nbis!$D$34</f>
        <v>3</v>
      </c>
      <c r="D43" s="351">
        <v>204.04785233375168</v>
      </c>
      <c r="E43" s="351">
        <f>+[1]Nbis!$C$34</f>
        <v>13</v>
      </c>
      <c r="F43" s="351">
        <v>949.36256659855337</v>
      </c>
      <c r="G43" s="5"/>
      <c r="H43" s="5"/>
    </row>
    <row r="44" spans="2:8" x14ac:dyDescent="0.25">
      <c r="B44" s="261">
        <v>44593</v>
      </c>
      <c r="C44" s="351"/>
      <c r="D44" s="351"/>
      <c r="E44" s="351"/>
      <c r="F44" s="351"/>
      <c r="G44" s="5"/>
      <c r="H44" s="5"/>
    </row>
    <row r="45" spans="2:8" x14ac:dyDescent="0.25">
      <c r="B45" s="261">
        <v>44621</v>
      </c>
      <c r="C45" s="351"/>
      <c r="D45" s="351"/>
      <c r="E45" s="351"/>
      <c r="F45" s="351"/>
      <c r="G45" s="5"/>
      <c r="H45" s="5"/>
    </row>
    <row r="46" spans="2:8" x14ac:dyDescent="0.25">
      <c r="B46" s="261">
        <v>44652</v>
      </c>
      <c r="C46" s="351"/>
      <c r="D46" s="351"/>
      <c r="E46" s="351"/>
      <c r="F46" s="351"/>
      <c r="G46" s="5"/>
      <c r="H46" s="5"/>
    </row>
    <row r="47" spans="2:8" x14ac:dyDescent="0.25">
      <c r="B47" s="261">
        <v>44682</v>
      </c>
      <c r="C47" s="351"/>
      <c r="D47" s="351"/>
      <c r="E47" s="351"/>
      <c r="F47" s="351"/>
      <c r="G47" s="5"/>
      <c r="H47" s="5"/>
    </row>
    <row r="48" spans="2:8" x14ac:dyDescent="0.25">
      <c r="B48" s="261">
        <v>44713</v>
      </c>
      <c r="C48" s="351"/>
      <c r="D48" s="351"/>
      <c r="E48" s="351"/>
      <c r="F48" s="351"/>
      <c r="G48" s="5"/>
      <c r="H48" s="5"/>
    </row>
    <row r="49" spans="2:13" x14ac:dyDescent="0.25">
      <c r="B49" s="261">
        <v>44743</v>
      </c>
      <c r="C49" s="351"/>
      <c r="D49" s="351"/>
      <c r="E49" s="351"/>
      <c r="F49" s="351"/>
      <c r="G49" s="5"/>
      <c r="H49" s="5"/>
    </row>
    <row r="50" spans="2:13" x14ac:dyDescent="0.25">
      <c r="B50" s="261">
        <v>44774</v>
      </c>
      <c r="C50" s="351"/>
      <c r="D50" s="351"/>
      <c r="E50" s="351"/>
      <c r="F50" s="351"/>
      <c r="G50" s="5"/>
      <c r="H50" s="5"/>
    </row>
    <row r="51" spans="2:13" x14ac:dyDescent="0.25">
      <c r="B51" s="261">
        <v>44805</v>
      </c>
      <c r="C51" s="351"/>
      <c r="D51" s="351"/>
      <c r="E51" s="351"/>
      <c r="F51" s="351"/>
      <c r="G51" s="5"/>
      <c r="H51" s="5"/>
    </row>
    <row r="52" spans="2:13" x14ac:dyDescent="0.25">
      <c r="B52" s="261">
        <v>44835</v>
      </c>
      <c r="C52" s="351"/>
      <c r="D52" s="351"/>
      <c r="E52" s="351"/>
      <c r="F52" s="351"/>
      <c r="G52" s="5"/>
      <c r="H52" s="5"/>
    </row>
    <row r="53" spans="2:13" x14ac:dyDescent="0.25">
      <c r="B53" s="261">
        <v>44866</v>
      </c>
      <c r="C53" s="351"/>
      <c r="D53" s="351"/>
      <c r="E53" s="351"/>
      <c r="F53" s="351"/>
      <c r="G53" s="5"/>
      <c r="H53" s="5"/>
    </row>
    <row r="54" spans="2:13" x14ac:dyDescent="0.25">
      <c r="B54" s="261">
        <v>44896</v>
      </c>
      <c r="C54" s="351"/>
      <c r="D54" s="351"/>
      <c r="E54" s="351"/>
      <c r="F54" s="351"/>
      <c r="G54" s="5"/>
      <c r="H54" s="5"/>
    </row>
    <row r="55" spans="2:13" x14ac:dyDescent="0.25">
      <c r="B55" s="284" t="s">
        <v>771</v>
      </c>
      <c r="C55" s="350">
        <v>3</v>
      </c>
      <c r="D55" s="350">
        <v>204.04785233375168</v>
      </c>
      <c r="E55" s="350">
        <f>+[1]Nbis!$C$57</f>
        <v>13</v>
      </c>
      <c r="F55" s="350">
        <v>949.36256659855337</v>
      </c>
      <c r="G55" s="5"/>
      <c r="H55" s="5"/>
    </row>
    <row r="56" spans="2:13" x14ac:dyDescent="0.25">
      <c r="B56" s="328" t="s">
        <v>887</v>
      </c>
      <c r="C56" s="331"/>
      <c r="D56" s="331"/>
      <c r="E56" s="331"/>
      <c r="F56" s="331"/>
      <c r="G56" s="331"/>
      <c r="H56" s="331"/>
      <c r="I56" s="325"/>
      <c r="J56" s="325"/>
      <c r="K56" s="325"/>
      <c r="L56" s="325"/>
      <c r="M56" s="325"/>
    </row>
    <row r="57" spans="2:13" x14ac:dyDescent="0.25">
      <c r="B57" s="330" t="s">
        <v>967</v>
      </c>
      <c r="C57" s="331"/>
      <c r="D57" s="331"/>
      <c r="E57" s="331"/>
      <c r="F57" s="331"/>
      <c r="G57" s="331"/>
      <c r="H57" s="331"/>
      <c r="I57" s="325"/>
      <c r="J57" s="325"/>
      <c r="K57" s="325"/>
      <c r="L57" s="325"/>
      <c r="M57" s="325"/>
    </row>
    <row r="58" spans="2:13" ht="36" customHeight="1" x14ac:dyDescent="0.25">
      <c r="B58" s="472" t="s">
        <v>970</v>
      </c>
      <c r="C58" s="473"/>
      <c r="D58" s="473"/>
      <c r="E58" s="473"/>
      <c r="F58" s="473"/>
      <c r="G58" s="473"/>
      <c r="H58" s="473"/>
      <c r="I58" s="473"/>
      <c r="J58" s="473"/>
      <c r="K58" s="473"/>
      <c r="L58" s="473"/>
      <c r="M58" s="473"/>
    </row>
    <row r="59" spans="2:13" x14ac:dyDescent="0.25">
      <c r="C59" s="325"/>
      <c r="D59" s="325"/>
      <c r="E59" s="325"/>
      <c r="F59" s="325"/>
      <c r="G59" s="325"/>
      <c r="H59" s="325"/>
      <c r="I59" s="325"/>
      <c r="J59" s="325"/>
      <c r="K59" s="325"/>
      <c r="L59" s="325"/>
      <c r="M59" s="325"/>
    </row>
  </sheetData>
  <mergeCells count="7">
    <mergeCell ref="B58:M58"/>
    <mergeCell ref="D14:F14"/>
    <mergeCell ref="B16:B18"/>
    <mergeCell ref="C26:F26"/>
    <mergeCell ref="C27:D27"/>
    <mergeCell ref="E27:F27"/>
    <mergeCell ref="B21:M21"/>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F14E4-7163-48E4-923D-CC159E0CB4FE}">
  <dimension ref="A3:I519"/>
  <sheetViews>
    <sheetView workbookViewId="0"/>
  </sheetViews>
  <sheetFormatPr baseColWidth="10" defaultRowHeight="15" x14ac:dyDescent="0.25"/>
  <sheetData>
    <row r="3" spans="1:7" ht="45" x14ac:dyDescent="0.25">
      <c r="A3" s="152" t="s">
        <v>517</v>
      </c>
      <c r="B3" s="152" t="s">
        <v>518</v>
      </c>
      <c r="C3" s="152">
        <v>1</v>
      </c>
      <c r="D3" s="172"/>
      <c r="E3" s="172"/>
      <c r="F3" s="173"/>
    </row>
    <row r="4" spans="1:7" x14ac:dyDescent="0.25">
      <c r="A4" s="152"/>
      <c r="B4" s="152"/>
      <c r="C4" s="152"/>
      <c r="D4" s="152"/>
      <c r="F4" s="161"/>
    </row>
    <row r="5" spans="1:7" ht="30" x14ac:dyDescent="0.25">
      <c r="A5" s="152"/>
      <c r="B5" s="152"/>
      <c r="C5" s="152" t="s">
        <v>516</v>
      </c>
      <c r="D5" s="152"/>
      <c r="F5" s="161"/>
    </row>
    <row r="6" spans="1:7" x14ac:dyDescent="0.25">
      <c r="A6" s="152" t="s">
        <v>141</v>
      </c>
      <c r="B6" s="152" t="s">
        <v>495</v>
      </c>
      <c r="C6" s="152" t="s">
        <v>496</v>
      </c>
      <c r="D6" s="152" t="s">
        <v>497</v>
      </c>
      <c r="E6" s="152" t="s">
        <v>498</v>
      </c>
      <c r="F6" s="152" t="s">
        <v>499</v>
      </c>
      <c r="G6" s="152" t="s">
        <v>36</v>
      </c>
    </row>
    <row r="7" spans="1:7" x14ac:dyDescent="0.25">
      <c r="A7" s="152"/>
      <c r="B7" s="152"/>
      <c r="C7" s="152"/>
      <c r="G7" s="161"/>
    </row>
    <row r="8" spans="1:7" ht="30" x14ac:dyDescent="0.25">
      <c r="A8" s="152" t="s">
        <v>146</v>
      </c>
      <c r="B8" s="152">
        <v>32</v>
      </c>
      <c r="C8" s="164">
        <v>8631</v>
      </c>
      <c r="D8" s="152">
        <v>1</v>
      </c>
      <c r="E8" s="164">
        <v>1938</v>
      </c>
      <c r="F8" s="152">
        <v>329</v>
      </c>
      <c r="G8" s="164">
        <v>10931</v>
      </c>
    </row>
    <row r="9" spans="1:7" x14ac:dyDescent="0.25">
      <c r="A9" s="152" t="s">
        <v>152</v>
      </c>
      <c r="B9" s="152">
        <v>0</v>
      </c>
      <c r="C9" s="152">
        <v>192</v>
      </c>
      <c r="D9">
        <v>0</v>
      </c>
      <c r="E9" s="152">
        <v>38</v>
      </c>
      <c r="F9" s="152">
        <v>4</v>
      </c>
      <c r="G9" s="152">
        <v>234</v>
      </c>
    </row>
    <row r="10" spans="1:7" x14ac:dyDescent="0.25">
      <c r="A10" s="152" t="s">
        <v>147</v>
      </c>
      <c r="B10" s="152">
        <v>2</v>
      </c>
      <c r="C10" s="152">
        <v>137</v>
      </c>
      <c r="D10">
        <v>0</v>
      </c>
      <c r="E10" s="152">
        <v>25</v>
      </c>
      <c r="F10" s="152">
        <v>3</v>
      </c>
      <c r="G10" s="152">
        <v>167</v>
      </c>
    </row>
    <row r="11" spans="1:7" x14ac:dyDescent="0.25">
      <c r="A11" s="152" t="s">
        <v>148</v>
      </c>
      <c r="B11" s="152">
        <v>6</v>
      </c>
      <c r="C11" s="152">
        <v>476</v>
      </c>
      <c r="D11" s="152">
        <v>1</v>
      </c>
      <c r="E11" s="152">
        <v>103</v>
      </c>
      <c r="F11" s="152">
        <v>14</v>
      </c>
      <c r="G11" s="152">
        <v>600</v>
      </c>
    </row>
    <row r="12" spans="1:7" x14ac:dyDescent="0.25">
      <c r="A12" s="152" t="s">
        <v>149</v>
      </c>
      <c r="B12" s="152">
        <v>90</v>
      </c>
      <c r="C12" s="164">
        <v>26648</v>
      </c>
      <c r="D12" s="152">
        <v>11</v>
      </c>
      <c r="E12" s="164">
        <v>6786</v>
      </c>
      <c r="F12" s="152">
        <v>678</v>
      </c>
      <c r="G12" s="164">
        <v>34213</v>
      </c>
    </row>
    <row r="13" spans="1:7" x14ac:dyDescent="0.25">
      <c r="A13" s="152" t="s">
        <v>150</v>
      </c>
      <c r="B13" s="152">
        <v>2</v>
      </c>
      <c r="C13" s="152">
        <v>876</v>
      </c>
      <c r="D13" s="185">
        <v>0</v>
      </c>
      <c r="E13" s="152">
        <v>200</v>
      </c>
      <c r="F13" s="152">
        <v>26</v>
      </c>
      <c r="G13" s="164">
        <v>1104</v>
      </c>
    </row>
    <row r="14" spans="1:7" ht="30" x14ac:dyDescent="0.25">
      <c r="A14" s="152" t="s">
        <v>151</v>
      </c>
      <c r="B14" s="152">
        <v>9</v>
      </c>
      <c r="C14" s="164">
        <v>1589</v>
      </c>
      <c r="D14" s="185">
        <v>0</v>
      </c>
      <c r="E14" s="152">
        <v>403</v>
      </c>
      <c r="F14" s="152">
        <v>50</v>
      </c>
      <c r="G14" s="164">
        <v>2051</v>
      </c>
    </row>
    <row r="15" spans="1:7" x14ac:dyDescent="0.25">
      <c r="A15" s="152" t="s">
        <v>36</v>
      </c>
      <c r="B15" s="153">
        <f>SUM(B8:B14)</f>
        <v>141</v>
      </c>
      <c r="C15" s="153">
        <f t="shared" ref="C15:G15" si="0">SUM(C8:C14)</f>
        <v>38549</v>
      </c>
      <c r="D15" s="153">
        <f t="shared" si="0"/>
        <v>13</v>
      </c>
      <c r="E15" s="153">
        <f t="shared" si="0"/>
        <v>9493</v>
      </c>
      <c r="F15" s="153">
        <f t="shared" si="0"/>
        <v>1104</v>
      </c>
      <c r="G15" s="153">
        <f t="shared" si="0"/>
        <v>49300</v>
      </c>
    </row>
    <row r="16" spans="1:7" x14ac:dyDescent="0.25">
      <c r="A16" s="152"/>
      <c r="B16" s="152"/>
      <c r="C16" s="152"/>
      <c r="D16" s="165"/>
      <c r="E16" s="165"/>
      <c r="F16" s="165"/>
      <c r="G16" s="162"/>
    </row>
    <row r="21" spans="1:8" ht="45" x14ac:dyDescent="0.25">
      <c r="A21" s="152" t="s">
        <v>153</v>
      </c>
      <c r="B21" s="172"/>
      <c r="C21" s="172"/>
      <c r="D21" s="172"/>
      <c r="E21" s="172"/>
      <c r="F21" s="173"/>
    </row>
    <row r="22" spans="1:8" x14ac:dyDescent="0.25">
      <c r="A22" s="152"/>
      <c r="B22" s="152"/>
      <c r="C22" s="152"/>
      <c r="F22" s="161"/>
    </row>
    <row r="23" spans="1:8" ht="30" x14ac:dyDescent="0.25">
      <c r="A23" s="152"/>
      <c r="B23" s="152" t="s">
        <v>516</v>
      </c>
      <c r="C23" s="152"/>
      <c r="F23" s="161"/>
    </row>
    <row r="24" spans="1:8" x14ac:dyDescent="0.25">
      <c r="A24" s="152" t="s">
        <v>141</v>
      </c>
      <c r="B24" s="152" t="s">
        <v>495</v>
      </c>
      <c r="C24" s="152" t="s">
        <v>496</v>
      </c>
      <c r="D24" s="152" t="s">
        <v>497</v>
      </c>
      <c r="E24" s="152" t="s">
        <v>498</v>
      </c>
      <c r="F24" s="152" t="s">
        <v>499</v>
      </c>
      <c r="G24" s="152" t="s">
        <v>36</v>
      </c>
    </row>
    <row r="25" spans="1:8" x14ac:dyDescent="0.25">
      <c r="A25" s="152"/>
      <c r="B25" s="152"/>
      <c r="C25" s="152"/>
      <c r="G25" s="161"/>
    </row>
    <row r="26" spans="1:8" ht="30" x14ac:dyDescent="0.25">
      <c r="A26" s="152" t="s">
        <v>154</v>
      </c>
      <c r="B26" s="152">
        <v>137</v>
      </c>
      <c r="C26" s="164">
        <v>41859</v>
      </c>
      <c r="D26" s="152">
        <v>18</v>
      </c>
      <c r="E26" s="164">
        <v>10946</v>
      </c>
      <c r="F26" s="164">
        <v>1282</v>
      </c>
      <c r="G26" s="164">
        <v>54242</v>
      </c>
    </row>
    <row r="27" spans="1:8" x14ac:dyDescent="0.25">
      <c r="A27" s="152" t="s">
        <v>155</v>
      </c>
      <c r="B27" s="152">
        <v>30</v>
      </c>
      <c r="C27" s="164">
        <v>14670</v>
      </c>
      <c r="D27" s="152">
        <v>8</v>
      </c>
      <c r="E27" s="164">
        <v>3983</v>
      </c>
      <c r="F27" s="152">
        <v>498</v>
      </c>
      <c r="G27" s="164">
        <v>19189</v>
      </c>
    </row>
    <row r="28" spans="1:8" ht="30" x14ac:dyDescent="0.25">
      <c r="A28" s="152" t="s">
        <v>156</v>
      </c>
      <c r="B28">
        <v>0</v>
      </c>
      <c r="C28" s="152">
        <v>414</v>
      </c>
      <c r="D28">
        <v>0</v>
      </c>
      <c r="E28" s="152">
        <v>130</v>
      </c>
      <c r="F28" s="152">
        <v>12</v>
      </c>
      <c r="G28" s="152">
        <v>556</v>
      </c>
    </row>
    <row r="29" spans="1:8" ht="30" x14ac:dyDescent="0.25">
      <c r="A29" s="152" t="s">
        <v>157</v>
      </c>
      <c r="B29" s="152">
        <v>3</v>
      </c>
      <c r="C29" s="164">
        <v>1165</v>
      </c>
      <c r="D29" s="152">
        <v>1</v>
      </c>
      <c r="E29" s="152">
        <v>377</v>
      </c>
      <c r="F29" s="152">
        <v>59</v>
      </c>
      <c r="G29" s="164">
        <v>1605</v>
      </c>
    </row>
    <row r="30" spans="1:8" x14ac:dyDescent="0.25">
      <c r="A30" s="152" t="s">
        <v>158</v>
      </c>
      <c r="B30" s="152">
        <v>0</v>
      </c>
      <c r="C30" s="152">
        <v>37</v>
      </c>
      <c r="D30" s="186">
        <v>0</v>
      </c>
      <c r="E30" s="152">
        <v>5</v>
      </c>
      <c r="F30" s="152">
        <v>1</v>
      </c>
      <c r="G30" s="152">
        <v>43</v>
      </c>
      <c r="H30" s="161"/>
    </row>
    <row r="31" spans="1:8" ht="45" x14ac:dyDescent="0.25">
      <c r="A31" s="152" t="s">
        <v>159</v>
      </c>
      <c r="B31" s="152">
        <v>1</v>
      </c>
      <c r="C31" s="152">
        <v>680</v>
      </c>
      <c r="D31" s="186">
        <v>0</v>
      </c>
      <c r="E31" s="152">
        <v>145</v>
      </c>
      <c r="F31" s="152">
        <v>25</v>
      </c>
      <c r="G31" s="152">
        <v>851</v>
      </c>
    </row>
    <row r="32" spans="1:8" ht="30" x14ac:dyDescent="0.25">
      <c r="A32" s="152" t="s">
        <v>160</v>
      </c>
      <c r="B32" s="185">
        <v>0</v>
      </c>
      <c r="C32" s="152">
        <v>98</v>
      </c>
      <c r="D32" s="186">
        <v>0</v>
      </c>
      <c r="E32" s="152">
        <v>29</v>
      </c>
      <c r="F32" s="152">
        <v>2</v>
      </c>
      <c r="G32" s="152">
        <v>129</v>
      </c>
    </row>
    <row r="33" spans="1:8" x14ac:dyDescent="0.25">
      <c r="A33" s="152" t="s">
        <v>161</v>
      </c>
      <c r="B33" s="152">
        <v>4</v>
      </c>
      <c r="C33" s="164">
        <v>1885</v>
      </c>
      <c r="D33" s="186">
        <v>0</v>
      </c>
      <c r="E33" s="152">
        <v>570</v>
      </c>
      <c r="F33" s="152">
        <v>63</v>
      </c>
      <c r="G33" s="164">
        <v>2522</v>
      </c>
    </row>
    <row r="34" spans="1:8" x14ac:dyDescent="0.25">
      <c r="A34" s="152" t="s">
        <v>162</v>
      </c>
      <c r="B34" s="152">
        <v>11</v>
      </c>
      <c r="C34" s="164">
        <v>4223</v>
      </c>
      <c r="D34" s="152">
        <v>7</v>
      </c>
      <c r="E34" s="164">
        <v>1046</v>
      </c>
      <c r="F34" s="152">
        <v>126</v>
      </c>
      <c r="G34" s="164">
        <v>5413</v>
      </c>
    </row>
    <row r="35" spans="1:8" x14ac:dyDescent="0.25">
      <c r="A35" s="152"/>
      <c r="G35" s="161"/>
    </row>
    <row r="36" spans="1:8" x14ac:dyDescent="0.25">
      <c r="A36" s="152" t="s">
        <v>36</v>
      </c>
      <c r="B36" s="153">
        <f>SUM(B26:B35)</f>
        <v>186</v>
      </c>
      <c r="C36" s="153">
        <f t="shared" ref="C36:G36" si="1">SUM(C26:C35)</f>
        <v>65031</v>
      </c>
      <c r="D36" s="153">
        <f t="shared" si="1"/>
        <v>34</v>
      </c>
      <c r="E36" s="153">
        <f t="shared" si="1"/>
        <v>17231</v>
      </c>
      <c r="F36" s="153">
        <f t="shared" si="1"/>
        <v>2068</v>
      </c>
      <c r="G36" s="153">
        <f t="shared" si="1"/>
        <v>84550</v>
      </c>
    </row>
    <row r="37" spans="1:8" x14ac:dyDescent="0.25">
      <c r="A37" s="152"/>
      <c r="B37" s="152"/>
      <c r="C37" s="152"/>
      <c r="D37" s="165"/>
      <c r="E37" s="165"/>
      <c r="F37" s="165"/>
      <c r="G37" s="162"/>
    </row>
    <row r="42" spans="1:8" ht="45" x14ac:dyDescent="0.25">
      <c r="A42" s="152" t="s">
        <v>517</v>
      </c>
      <c r="B42" s="152" t="s">
        <v>518</v>
      </c>
      <c r="C42" s="152">
        <v>3</v>
      </c>
      <c r="D42" s="172"/>
      <c r="E42" s="172"/>
      <c r="F42" s="172"/>
      <c r="G42" s="173"/>
    </row>
    <row r="43" spans="1:8" x14ac:dyDescent="0.25">
      <c r="A43" s="152"/>
      <c r="B43" s="152"/>
      <c r="C43" s="152"/>
      <c r="D43" s="152"/>
      <c r="G43" s="161"/>
    </row>
    <row r="44" spans="1:8" ht="30" x14ac:dyDescent="0.25">
      <c r="A44" s="152"/>
      <c r="B44" s="152"/>
      <c r="C44" s="152" t="s">
        <v>516</v>
      </c>
      <c r="D44" s="152"/>
      <c r="G44" s="161"/>
    </row>
    <row r="45" spans="1:8" x14ac:dyDescent="0.25">
      <c r="A45" s="152" t="s">
        <v>141</v>
      </c>
      <c r="B45" s="152"/>
      <c r="C45" s="152" t="s">
        <v>495</v>
      </c>
      <c r="D45" s="152" t="s">
        <v>496</v>
      </c>
      <c r="E45" s="152" t="s">
        <v>497</v>
      </c>
      <c r="F45" s="152" t="s">
        <v>498</v>
      </c>
      <c r="G45" s="152" t="s">
        <v>499</v>
      </c>
      <c r="H45" s="152" t="s">
        <v>36</v>
      </c>
    </row>
    <row r="46" spans="1:8" x14ac:dyDescent="0.25">
      <c r="A46" s="152"/>
      <c r="B46" s="152"/>
      <c r="C46" s="152"/>
      <c r="D46" s="152"/>
      <c r="H46" s="161"/>
    </row>
    <row r="47" spans="1:8" ht="30" x14ac:dyDescent="0.25">
      <c r="A47" s="152" t="s">
        <v>163</v>
      </c>
      <c r="B47" s="152"/>
      <c r="C47" s="152">
        <v>1</v>
      </c>
      <c r="D47" s="152">
        <v>962</v>
      </c>
      <c r="E47" s="152">
        <v>0</v>
      </c>
      <c r="F47" s="152">
        <v>159</v>
      </c>
      <c r="G47" s="152">
        <v>31</v>
      </c>
      <c r="H47" s="164">
        <v>1153</v>
      </c>
    </row>
    <row r="48" spans="1:8" x14ac:dyDescent="0.25">
      <c r="A48" s="152" t="s">
        <v>164</v>
      </c>
      <c r="B48" s="152"/>
      <c r="C48" s="152">
        <v>9</v>
      </c>
      <c r="D48" s="164">
        <v>2524</v>
      </c>
      <c r="E48" s="152">
        <v>1</v>
      </c>
      <c r="F48" s="152">
        <v>499</v>
      </c>
      <c r="G48" s="152">
        <v>92</v>
      </c>
      <c r="H48" s="164">
        <v>3125</v>
      </c>
    </row>
    <row r="49" spans="1:8" x14ac:dyDescent="0.25">
      <c r="A49" s="152" t="s">
        <v>506</v>
      </c>
      <c r="B49" s="152"/>
      <c r="C49" s="152">
        <v>5</v>
      </c>
      <c r="D49" s="164">
        <v>2246</v>
      </c>
      <c r="E49" s="152">
        <v>3</v>
      </c>
      <c r="F49" s="152">
        <v>497</v>
      </c>
      <c r="G49" s="152">
        <v>44</v>
      </c>
      <c r="H49" s="164">
        <v>2795</v>
      </c>
    </row>
    <row r="50" spans="1:8" x14ac:dyDescent="0.25">
      <c r="A50" s="152" t="s">
        <v>165</v>
      </c>
      <c r="B50" s="152"/>
      <c r="C50" s="152">
        <v>67</v>
      </c>
      <c r="D50" s="164">
        <v>20329</v>
      </c>
      <c r="E50" s="152">
        <v>7</v>
      </c>
      <c r="F50" s="164">
        <v>4285</v>
      </c>
      <c r="G50" s="152">
        <v>511</v>
      </c>
      <c r="H50" s="164">
        <v>25199</v>
      </c>
    </row>
    <row r="51" spans="1:8" ht="30" x14ac:dyDescent="0.25">
      <c r="A51" s="152" t="s">
        <v>166</v>
      </c>
      <c r="B51" s="152"/>
      <c r="C51" s="152">
        <v>6</v>
      </c>
      <c r="D51" s="164">
        <v>1399</v>
      </c>
      <c r="E51" s="152">
        <v>1</v>
      </c>
      <c r="F51" s="152">
        <v>380</v>
      </c>
      <c r="G51" s="152">
        <v>25</v>
      </c>
      <c r="H51" s="164">
        <v>1811</v>
      </c>
    </row>
    <row r="52" spans="1:8" x14ac:dyDescent="0.25">
      <c r="A52" s="152" t="s">
        <v>167</v>
      </c>
      <c r="B52" s="152"/>
      <c r="C52" s="152">
        <v>4</v>
      </c>
      <c r="D52" s="164">
        <v>1169</v>
      </c>
      <c r="E52" s="185">
        <v>0</v>
      </c>
      <c r="F52" s="152">
        <v>197</v>
      </c>
      <c r="G52" s="152">
        <v>13</v>
      </c>
      <c r="H52" s="164">
        <v>1383</v>
      </c>
    </row>
    <row r="53" spans="1:8" x14ac:dyDescent="0.25">
      <c r="A53" s="152" t="s">
        <v>168</v>
      </c>
      <c r="B53" s="152"/>
      <c r="C53" s="152">
        <v>2</v>
      </c>
      <c r="D53" s="164">
        <v>1687</v>
      </c>
      <c r="E53" s="152">
        <v>1</v>
      </c>
      <c r="F53" s="152">
        <v>361</v>
      </c>
      <c r="G53" s="152">
        <v>43</v>
      </c>
      <c r="H53" s="164">
        <v>2094</v>
      </c>
    </row>
    <row r="54" spans="1:8" ht="30" x14ac:dyDescent="0.25">
      <c r="A54" s="152" t="s">
        <v>169</v>
      </c>
      <c r="B54" s="152"/>
      <c r="C54" s="152">
        <v>4</v>
      </c>
      <c r="D54" s="164">
        <v>1565</v>
      </c>
      <c r="E54" s="152">
        <v>1</v>
      </c>
      <c r="F54" s="152">
        <v>299</v>
      </c>
      <c r="G54" s="152">
        <v>40</v>
      </c>
      <c r="H54" s="164">
        <v>1909</v>
      </c>
    </row>
    <row r="55" spans="1:8" x14ac:dyDescent="0.25">
      <c r="A55" s="152" t="s">
        <v>170</v>
      </c>
      <c r="B55" s="152"/>
      <c r="C55" s="152">
        <v>34</v>
      </c>
      <c r="D55" s="164">
        <v>9905</v>
      </c>
      <c r="E55" s="152">
        <v>3</v>
      </c>
      <c r="F55" s="164">
        <v>1871</v>
      </c>
      <c r="G55" s="152">
        <v>198</v>
      </c>
      <c r="H55" s="164">
        <v>12011</v>
      </c>
    </row>
    <row r="56" spans="1:8" x14ac:dyDescent="0.25">
      <c r="A56" s="152"/>
      <c r="H56" s="161"/>
    </row>
    <row r="57" spans="1:8" x14ac:dyDescent="0.25">
      <c r="A57" s="152" t="s">
        <v>36</v>
      </c>
      <c r="B57" s="152"/>
      <c r="C57" s="152">
        <v>132</v>
      </c>
      <c r="D57" s="164">
        <v>41786</v>
      </c>
      <c r="E57" s="152">
        <v>17</v>
      </c>
      <c r="F57" s="164">
        <v>8548</v>
      </c>
      <c r="G57" s="152">
        <v>997</v>
      </c>
      <c r="H57" s="164">
        <v>51480</v>
      </c>
    </row>
    <row r="58" spans="1:8" x14ac:dyDescent="0.25">
      <c r="A58" s="152"/>
      <c r="B58" s="152"/>
      <c r="C58" s="152"/>
      <c r="D58" s="152"/>
      <c r="E58" s="165"/>
      <c r="F58" s="165"/>
      <c r="G58" s="165"/>
      <c r="H58" s="162"/>
    </row>
    <row r="63" spans="1:8" ht="45" x14ac:dyDescent="0.25">
      <c r="A63" s="152" t="s">
        <v>517</v>
      </c>
      <c r="B63" s="152" t="s">
        <v>518</v>
      </c>
      <c r="C63" s="152">
        <v>4</v>
      </c>
      <c r="D63" s="172"/>
      <c r="E63" s="172"/>
      <c r="F63" s="173"/>
    </row>
    <row r="64" spans="1:8" x14ac:dyDescent="0.25">
      <c r="A64" s="152"/>
      <c r="B64" s="152"/>
      <c r="C64" s="152"/>
      <c r="D64" s="152"/>
      <c r="F64" s="161"/>
    </row>
    <row r="65" spans="1:7" ht="30" x14ac:dyDescent="0.25">
      <c r="A65" s="152"/>
      <c r="B65" s="152"/>
      <c r="C65" s="152" t="s">
        <v>516</v>
      </c>
      <c r="D65" s="152"/>
      <c r="F65" s="161"/>
    </row>
    <row r="66" spans="1:7" x14ac:dyDescent="0.25">
      <c r="A66" s="152" t="s">
        <v>141</v>
      </c>
      <c r="B66" s="152" t="s">
        <v>495</v>
      </c>
      <c r="C66" s="152" t="s">
        <v>496</v>
      </c>
      <c r="D66" s="152" t="s">
        <v>497</v>
      </c>
      <c r="E66" s="152" t="s">
        <v>498</v>
      </c>
      <c r="F66" s="152" t="s">
        <v>499</v>
      </c>
      <c r="G66" s="152" t="s">
        <v>36</v>
      </c>
    </row>
    <row r="67" spans="1:7" x14ac:dyDescent="0.25">
      <c r="A67" s="152"/>
      <c r="B67" s="152"/>
      <c r="C67" s="152"/>
      <c r="G67" s="161"/>
    </row>
    <row r="68" spans="1:7" ht="30" x14ac:dyDescent="0.25">
      <c r="A68" s="152" t="s">
        <v>171</v>
      </c>
      <c r="B68" s="152">
        <v>13</v>
      </c>
      <c r="C68" s="164">
        <v>2131</v>
      </c>
      <c r="D68" s="152">
        <v>1</v>
      </c>
      <c r="E68" s="152">
        <v>347</v>
      </c>
      <c r="F68" s="152">
        <v>52</v>
      </c>
      <c r="G68" s="164">
        <v>2544</v>
      </c>
    </row>
    <row r="69" spans="1:7" x14ac:dyDescent="0.25">
      <c r="A69" s="152" t="s">
        <v>172</v>
      </c>
      <c r="B69" s="152">
        <v>2</v>
      </c>
      <c r="C69" s="164">
        <v>1814</v>
      </c>
      <c r="D69">
        <v>0</v>
      </c>
      <c r="E69" s="152">
        <v>241</v>
      </c>
      <c r="F69" s="152">
        <v>31</v>
      </c>
      <c r="G69" s="164">
        <v>2088</v>
      </c>
    </row>
    <row r="70" spans="1:7" ht="30" x14ac:dyDescent="0.25">
      <c r="A70" s="152" t="s">
        <v>173</v>
      </c>
      <c r="B70" s="152">
        <v>3</v>
      </c>
      <c r="C70" s="164">
        <v>3132</v>
      </c>
      <c r="D70" s="152">
        <v>4</v>
      </c>
      <c r="E70" s="152">
        <v>459</v>
      </c>
      <c r="F70" s="152">
        <v>47</v>
      </c>
      <c r="G70" s="164">
        <v>3645</v>
      </c>
    </row>
    <row r="71" spans="1:7" x14ac:dyDescent="0.25">
      <c r="A71" s="152" t="s">
        <v>174</v>
      </c>
      <c r="B71" s="152">
        <v>86</v>
      </c>
      <c r="C71" s="164">
        <v>35562</v>
      </c>
      <c r="D71" s="152">
        <v>30</v>
      </c>
      <c r="E71" s="164">
        <v>7197</v>
      </c>
      <c r="F71" s="152">
        <v>906</v>
      </c>
      <c r="G71" s="164">
        <v>43781</v>
      </c>
    </row>
    <row r="72" spans="1:7" x14ac:dyDescent="0.25">
      <c r="A72" s="152" t="s">
        <v>175</v>
      </c>
      <c r="B72" s="152">
        <v>15</v>
      </c>
      <c r="C72" s="164">
        <v>6324</v>
      </c>
      <c r="D72" s="152">
        <v>3</v>
      </c>
      <c r="E72" s="164">
        <v>1147</v>
      </c>
      <c r="F72" s="152">
        <v>126</v>
      </c>
      <c r="G72" s="164">
        <v>7615</v>
      </c>
    </row>
    <row r="73" spans="1:7" x14ac:dyDescent="0.25">
      <c r="A73" s="152" t="s">
        <v>176</v>
      </c>
      <c r="B73" s="152">
        <v>3</v>
      </c>
      <c r="C73" s="152">
        <v>731</v>
      </c>
      <c r="D73" s="152">
        <v>1</v>
      </c>
      <c r="E73" s="152">
        <v>102</v>
      </c>
      <c r="F73" s="152">
        <v>20</v>
      </c>
      <c r="G73" s="152">
        <v>857</v>
      </c>
    </row>
    <row r="74" spans="1:7" x14ac:dyDescent="0.25">
      <c r="A74" s="152" t="s">
        <v>177</v>
      </c>
      <c r="B74" s="152">
        <v>89</v>
      </c>
      <c r="C74" s="164">
        <v>32734</v>
      </c>
      <c r="D74" s="152">
        <v>44</v>
      </c>
      <c r="E74" s="164">
        <v>7692</v>
      </c>
      <c r="F74" s="152">
        <v>869</v>
      </c>
      <c r="G74" s="164">
        <v>41428</v>
      </c>
    </row>
    <row r="75" spans="1:7" x14ac:dyDescent="0.25">
      <c r="A75" s="152" t="s">
        <v>178</v>
      </c>
      <c r="B75" s="152">
        <v>3</v>
      </c>
      <c r="C75" s="164">
        <v>3849</v>
      </c>
      <c r="D75" s="152">
        <v>3</v>
      </c>
      <c r="E75" s="152">
        <v>606</v>
      </c>
      <c r="F75" s="152">
        <v>88</v>
      </c>
      <c r="G75" s="164">
        <v>4549</v>
      </c>
    </row>
    <row r="76" spans="1:7" ht="30" x14ac:dyDescent="0.25">
      <c r="A76" s="152" t="s">
        <v>179</v>
      </c>
      <c r="B76" s="152">
        <v>11</v>
      </c>
      <c r="C76" s="164">
        <v>5111</v>
      </c>
      <c r="D76" s="152">
        <v>5</v>
      </c>
      <c r="E76" s="152">
        <v>715</v>
      </c>
      <c r="F76" s="152">
        <v>107</v>
      </c>
      <c r="G76" s="164">
        <v>5949</v>
      </c>
    </row>
    <row r="77" spans="1:7" x14ac:dyDescent="0.25">
      <c r="A77" s="152" t="s">
        <v>180</v>
      </c>
      <c r="B77" s="152">
        <v>39</v>
      </c>
      <c r="C77" s="164">
        <v>19496</v>
      </c>
      <c r="D77" s="152">
        <v>8</v>
      </c>
      <c r="E77" s="164">
        <v>3011</v>
      </c>
      <c r="F77" s="152">
        <v>420</v>
      </c>
      <c r="G77" s="164">
        <v>22974</v>
      </c>
    </row>
    <row r="78" spans="1:7" x14ac:dyDescent="0.25">
      <c r="A78" s="152" t="s">
        <v>181</v>
      </c>
      <c r="B78" s="152">
        <v>2</v>
      </c>
      <c r="C78" s="152">
        <v>837</v>
      </c>
      <c r="D78" s="152">
        <v>1</v>
      </c>
      <c r="E78" s="152">
        <v>126</v>
      </c>
      <c r="F78" s="152">
        <v>24</v>
      </c>
      <c r="G78" s="152">
        <v>990</v>
      </c>
    </row>
    <row r="79" spans="1:7" x14ac:dyDescent="0.25">
      <c r="A79" s="152" t="s">
        <v>182</v>
      </c>
      <c r="B79" s="152">
        <v>7</v>
      </c>
      <c r="C79" s="164">
        <v>2024</v>
      </c>
      <c r="D79" s="152">
        <v>1</v>
      </c>
      <c r="E79" s="152">
        <v>473</v>
      </c>
      <c r="F79" s="152">
        <v>56</v>
      </c>
      <c r="G79" s="164">
        <v>2561</v>
      </c>
    </row>
    <row r="80" spans="1:7" ht="30" x14ac:dyDescent="0.25">
      <c r="A80" s="152" t="s">
        <v>183</v>
      </c>
      <c r="B80" s="152"/>
      <c r="C80" s="152">
        <v>927</v>
      </c>
      <c r="D80" s="185">
        <v>0</v>
      </c>
      <c r="E80" s="152">
        <v>84</v>
      </c>
      <c r="F80" s="152">
        <v>10</v>
      </c>
      <c r="G80" s="164">
        <v>1021</v>
      </c>
    </row>
    <row r="81" spans="1:8" ht="30" x14ac:dyDescent="0.25">
      <c r="A81" s="152" t="s">
        <v>184</v>
      </c>
      <c r="B81" s="152">
        <v>10</v>
      </c>
      <c r="C81" s="164">
        <v>5212</v>
      </c>
      <c r="D81" s="152">
        <v>7</v>
      </c>
      <c r="E81" s="152">
        <v>858</v>
      </c>
      <c r="F81" s="152">
        <v>98</v>
      </c>
      <c r="G81" s="164">
        <v>6185</v>
      </c>
    </row>
    <row r="82" spans="1:8" x14ac:dyDescent="0.25">
      <c r="A82" s="152" t="s">
        <v>507</v>
      </c>
      <c r="B82" s="152">
        <v>16</v>
      </c>
      <c r="C82" s="164">
        <v>4735</v>
      </c>
      <c r="D82" s="152">
        <v>13</v>
      </c>
      <c r="E82" s="152">
        <v>764</v>
      </c>
      <c r="F82" s="152">
        <v>120</v>
      </c>
      <c r="G82" s="164">
        <v>5648</v>
      </c>
    </row>
    <row r="83" spans="1:8" x14ac:dyDescent="0.25">
      <c r="A83" s="152" t="s">
        <v>36</v>
      </c>
      <c r="B83" s="152">
        <v>299</v>
      </c>
      <c r="C83" s="164">
        <v>124619</v>
      </c>
      <c r="D83" s="152">
        <v>121</v>
      </c>
      <c r="E83" s="164">
        <v>23822</v>
      </c>
      <c r="F83" s="164">
        <v>2974</v>
      </c>
      <c r="G83" s="164">
        <v>151835</v>
      </c>
    </row>
    <row r="84" spans="1:8" x14ac:dyDescent="0.25">
      <c r="A84" s="152"/>
      <c r="B84" s="152"/>
      <c r="C84" s="152"/>
      <c r="F84" s="161"/>
    </row>
    <row r="85" spans="1:8" x14ac:dyDescent="0.25">
      <c r="A85" s="152"/>
      <c r="B85" s="165"/>
      <c r="C85" s="165"/>
      <c r="D85" s="165"/>
      <c r="E85" s="165"/>
      <c r="F85" s="162"/>
    </row>
    <row r="91" spans="1:8" ht="45" x14ac:dyDescent="0.25">
      <c r="A91" s="152" t="s">
        <v>517</v>
      </c>
      <c r="B91" s="152" t="s">
        <v>518</v>
      </c>
      <c r="C91" s="152">
        <v>5</v>
      </c>
      <c r="D91" s="172"/>
      <c r="E91" s="172"/>
      <c r="F91" s="172"/>
      <c r="G91" s="173"/>
    </row>
    <row r="92" spans="1:8" x14ac:dyDescent="0.25">
      <c r="A92" s="152"/>
      <c r="B92" s="152"/>
      <c r="C92" s="152"/>
      <c r="D92" s="152"/>
      <c r="G92" s="161"/>
    </row>
    <row r="93" spans="1:8" ht="30" x14ac:dyDescent="0.25">
      <c r="A93" s="152"/>
      <c r="B93" s="152"/>
      <c r="C93" s="152" t="s">
        <v>516</v>
      </c>
      <c r="D93" s="152"/>
      <c r="G93" s="161"/>
    </row>
    <row r="94" spans="1:8" x14ac:dyDescent="0.25">
      <c r="A94" s="152" t="s">
        <v>141</v>
      </c>
      <c r="B94" s="152"/>
      <c r="C94" s="152" t="s">
        <v>495</v>
      </c>
      <c r="D94" s="152" t="s">
        <v>496</v>
      </c>
      <c r="E94" s="152" t="s">
        <v>497</v>
      </c>
      <c r="F94" s="152" t="s">
        <v>498</v>
      </c>
      <c r="G94" s="152" t="s">
        <v>499</v>
      </c>
      <c r="H94" s="152" t="s">
        <v>36</v>
      </c>
    </row>
    <row r="95" spans="1:8" x14ac:dyDescent="0.25">
      <c r="A95" s="152"/>
      <c r="B95" s="152"/>
      <c r="C95" s="152"/>
      <c r="D95" s="152"/>
      <c r="H95" s="161"/>
    </row>
    <row r="96" spans="1:8" ht="30" x14ac:dyDescent="0.25">
      <c r="A96" s="152" t="s">
        <v>185</v>
      </c>
      <c r="B96" s="152"/>
      <c r="C96" s="152">
        <v>8</v>
      </c>
      <c r="D96" s="164">
        <v>2930</v>
      </c>
      <c r="E96" s="152">
        <v>1</v>
      </c>
      <c r="F96" s="152">
        <v>718</v>
      </c>
      <c r="G96" s="152">
        <v>100</v>
      </c>
      <c r="H96" s="164">
        <v>3757</v>
      </c>
    </row>
    <row r="97" spans="1:8" x14ac:dyDescent="0.25">
      <c r="A97" s="152" t="s">
        <v>186</v>
      </c>
      <c r="B97" s="152"/>
      <c r="C97" s="152">
        <v>13</v>
      </c>
      <c r="D97" s="164">
        <v>3901</v>
      </c>
      <c r="E97" s="152">
        <v>1</v>
      </c>
      <c r="F97" s="152">
        <v>979</v>
      </c>
      <c r="G97" s="152">
        <v>85</v>
      </c>
      <c r="H97" s="164">
        <v>4979</v>
      </c>
    </row>
    <row r="98" spans="1:8" ht="30" x14ac:dyDescent="0.25">
      <c r="A98" s="152" t="s">
        <v>187</v>
      </c>
      <c r="B98" s="152"/>
      <c r="C98" s="152">
        <v>5</v>
      </c>
      <c r="D98" s="164">
        <v>2004</v>
      </c>
      <c r="E98" s="152">
        <v>2</v>
      </c>
      <c r="F98" s="152">
        <v>378</v>
      </c>
      <c r="G98" s="152">
        <v>42</v>
      </c>
      <c r="H98" s="164">
        <v>2431</v>
      </c>
    </row>
    <row r="99" spans="1:8" ht="30" x14ac:dyDescent="0.25">
      <c r="A99" s="152" t="s">
        <v>188</v>
      </c>
      <c r="B99" s="152"/>
      <c r="C99" s="152">
        <v>13</v>
      </c>
      <c r="D99" s="164">
        <v>5034</v>
      </c>
      <c r="E99" s="152">
        <v>1</v>
      </c>
      <c r="F99" s="152">
        <v>862</v>
      </c>
      <c r="G99" s="152">
        <v>124</v>
      </c>
      <c r="H99" s="164">
        <v>6034</v>
      </c>
    </row>
    <row r="100" spans="1:8" ht="30" x14ac:dyDescent="0.25">
      <c r="A100" s="152" t="s">
        <v>189</v>
      </c>
      <c r="B100" s="152"/>
      <c r="C100" s="152">
        <v>13</v>
      </c>
      <c r="D100" s="164">
        <v>4521</v>
      </c>
      <c r="E100" s="152">
        <v>5</v>
      </c>
      <c r="F100" s="152">
        <v>897</v>
      </c>
      <c r="G100" s="152">
        <v>92</v>
      </c>
      <c r="H100" s="164">
        <v>5528</v>
      </c>
    </row>
    <row r="101" spans="1:8" x14ac:dyDescent="0.25">
      <c r="A101" s="152" t="s">
        <v>190</v>
      </c>
      <c r="B101" s="152"/>
      <c r="C101" s="152">
        <v>3</v>
      </c>
      <c r="D101" s="164">
        <v>2676</v>
      </c>
      <c r="E101" s="152">
        <v>1</v>
      </c>
      <c r="F101" s="152">
        <v>468</v>
      </c>
      <c r="G101" s="152">
        <v>49</v>
      </c>
      <c r="H101" s="164">
        <v>3197</v>
      </c>
    </row>
    <row r="102" spans="1:8" x14ac:dyDescent="0.25">
      <c r="A102" s="152" t="s">
        <v>191</v>
      </c>
      <c r="B102" s="152"/>
      <c r="C102" s="152">
        <v>17</v>
      </c>
      <c r="D102" s="164">
        <v>5887</v>
      </c>
      <c r="E102" s="152">
        <v>2</v>
      </c>
      <c r="F102" s="164">
        <v>1489</v>
      </c>
      <c r="G102" s="152">
        <v>172</v>
      </c>
      <c r="H102" s="164">
        <v>7567</v>
      </c>
    </row>
    <row r="103" spans="1:8" x14ac:dyDescent="0.25">
      <c r="A103" s="152" t="s">
        <v>192</v>
      </c>
      <c r="B103" s="152"/>
      <c r="C103" s="152">
        <v>6</v>
      </c>
      <c r="D103" s="164">
        <v>3878</v>
      </c>
      <c r="E103" s="152">
        <v>1</v>
      </c>
      <c r="F103" s="152">
        <v>920</v>
      </c>
      <c r="G103" s="152">
        <v>99</v>
      </c>
      <c r="H103" s="164">
        <v>4904</v>
      </c>
    </row>
    <row r="104" spans="1:8" x14ac:dyDescent="0.25">
      <c r="A104" s="152" t="s">
        <v>193</v>
      </c>
      <c r="B104" s="152"/>
      <c r="C104" s="152">
        <v>4</v>
      </c>
      <c r="D104" s="164">
        <v>3390</v>
      </c>
      <c r="E104" s="152">
        <v>4</v>
      </c>
      <c r="F104" s="152">
        <v>696</v>
      </c>
      <c r="G104" s="152">
        <v>92</v>
      </c>
      <c r="H104" s="164">
        <v>4186</v>
      </c>
    </row>
    <row r="105" spans="1:8" x14ac:dyDescent="0.25">
      <c r="A105" s="152" t="s">
        <v>194</v>
      </c>
      <c r="B105" s="152"/>
      <c r="C105" s="152">
        <v>6</v>
      </c>
      <c r="D105" s="164">
        <v>3345</v>
      </c>
      <c r="E105" s="152">
        <v>2</v>
      </c>
      <c r="F105" s="152">
        <v>650</v>
      </c>
      <c r="G105" s="152">
        <v>70</v>
      </c>
      <c r="H105" s="164">
        <v>4073</v>
      </c>
    </row>
    <row r="106" spans="1:8" ht="30" x14ac:dyDescent="0.25">
      <c r="A106" s="152" t="s">
        <v>195</v>
      </c>
      <c r="B106" s="152"/>
      <c r="C106" s="152">
        <v>4</v>
      </c>
      <c r="D106" s="152">
        <v>668</v>
      </c>
      <c r="E106" s="185">
        <v>0</v>
      </c>
      <c r="F106" s="152">
        <v>107</v>
      </c>
      <c r="G106" s="152">
        <v>21</v>
      </c>
      <c r="H106" s="152">
        <v>800</v>
      </c>
    </row>
    <row r="107" spans="1:8" ht="45" x14ac:dyDescent="0.25">
      <c r="A107" s="152" t="s">
        <v>196</v>
      </c>
      <c r="B107" s="152"/>
      <c r="C107" s="185">
        <v>0</v>
      </c>
      <c r="D107" s="152">
        <v>141</v>
      </c>
      <c r="E107" s="185">
        <v>0</v>
      </c>
      <c r="F107" s="152">
        <v>18</v>
      </c>
      <c r="G107" s="152">
        <v>1</v>
      </c>
      <c r="H107" s="152">
        <v>160</v>
      </c>
    </row>
    <row r="108" spans="1:8" x14ac:dyDescent="0.25">
      <c r="A108" s="152" t="s">
        <v>197</v>
      </c>
      <c r="B108" s="152"/>
      <c r="C108" s="152">
        <v>22</v>
      </c>
      <c r="D108" s="164">
        <v>10654</v>
      </c>
      <c r="E108" s="152">
        <v>6</v>
      </c>
      <c r="F108" s="164">
        <v>1904</v>
      </c>
      <c r="G108" s="152">
        <v>204</v>
      </c>
      <c r="H108" s="164">
        <v>12790</v>
      </c>
    </row>
    <row r="109" spans="1:8" x14ac:dyDescent="0.25">
      <c r="A109" s="152" t="s">
        <v>198</v>
      </c>
      <c r="B109" s="152"/>
      <c r="C109" s="152">
        <v>10</v>
      </c>
      <c r="D109" s="164">
        <v>2659</v>
      </c>
      <c r="E109" s="152">
        <v>1</v>
      </c>
      <c r="F109" s="152">
        <v>513</v>
      </c>
      <c r="G109" s="152">
        <v>64</v>
      </c>
      <c r="H109" s="164">
        <v>3247</v>
      </c>
    </row>
    <row r="110" spans="1:8" x14ac:dyDescent="0.25">
      <c r="A110" s="152" t="s">
        <v>199</v>
      </c>
      <c r="B110" s="152"/>
      <c r="C110" s="152">
        <v>25</v>
      </c>
      <c r="D110" s="164">
        <v>7222</v>
      </c>
      <c r="E110" s="152">
        <v>5</v>
      </c>
      <c r="F110" s="164">
        <v>1401</v>
      </c>
      <c r="G110" s="152">
        <v>150</v>
      </c>
      <c r="H110" s="164">
        <v>8803</v>
      </c>
    </row>
    <row r="111" spans="1:8" x14ac:dyDescent="0.25">
      <c r="A111" s="152" t="s">
        <v>200</v>
      </c>
      <c r="B111" s="152"/>
      <c r="C111" s="152">
        <v>29</v>
      </c>
      <c r="D111" s="164">
        <v>8916</v>
      </c>
      <c r="E111" s="152">
        <v>4</v>
      </c>
      <c r="F111" s="164">
        <v>1518</v>
      </c>
      <c r="G111" s="152">
        <v>205</v>
      </c>
      <c r="H111" s="164">
        <v>10672</v>
      </c>
    </row>
    <row r="112" spans="1:8" x14ac:dyDescent="0.25">
      <c r="A112" s="152" t="s">
        <v>201</v>
      </c>
      <c r="B112" s="152"/>
      <c r="C112" s="152">
        <v>13</v>
      </c>
      <c r="D112" s="164">
        <v>4744</v>
      </c>
      <c r="E112" s="152">
        <v>3</v>
      </c>
      <c r="F112" s="152">
        <v>832</v>
      </c>
      <c r="G112" s="152">
        <v>95</v>
      </c>
      <c r="H112" s="164">
        <v>5687</v>
      </c>
    </row>
    <row r="113" spans="1:9" x14ac:dyDescent="0.25">
      <c r="A113" s="152" t="s">
        <v>202</v>
      </c>
      <c r="B113" s="152"/>
      <c r="C113" s="152">
        <v>35</v>
      </c>
      <c r="D113" s="164">
        <v>11557</v>
      </c>
      <c r="E113" s="152">
        <v>11</v>
      </c>
      <c r="F113" s="164">
        <v>2786</v>
      </c>
      <c r="G113" s="152">
        <v>217</v>
      </c>
      <c r="H113" s="164">
        <v>14606</v>
      </c>
    </row>
    <row r="114" spans="1:9" x14ac:dyDescent="0.25">
      <c r="A114" s="152" t="s">
        <v>203</v>
      </c>
      <c r="B114" s="152"/>
      <c r="C114" s="152">
        <v>17</v>
      </c>
      <c r="D114" s="164">
        <v>4300</v>
      </c>
      <c r="E114" s="152">
        <v>1</v>
      </c>
      <c r="F114" s="164">
        <v>1016</v>
      </c>
      <c r="G114" s="152">
        <v>110</v>
      </c>
      <c r="H114" s="164">
        <v>5444</v>
      </c>
    </row>
    <row r="115" spans="1:9" x14ac:dyDescent="0.25">
      <c r="A115" s="152" t="s">
        <v>204</v>
      </c>
      <c r="B115" s="152"/>
      <c r="C115" s="152">
        <v>6</v>
      </c>
      <c r="D115" s="164">
        <v>3399</v>
      </c>
      <c r="E115" s="152">
        <v>1</v>
      </c>
      <c r="F115" s="152">
        <v>626</v>
      </c>
      <c r="G115" s="152">
        <v>97</v>
      </c>
      <c r="H115" s="164">
        <v>4129</v>
      </c>
    </row>
    <row r="116" spans="1:9" ht="30" x14ac:dyDescent="0.25">
      <c r="A116" s="152" t="s">
        <v>205</v>
      </c>
      <c r="B116" s="152"/>
      <c r="C116" s="185">
        <v>0</v>
      </c>
      <c r="D116" s="164">
        <v>1253</v>
      </c>
      <c r="E116" s="152">
        <v>1</v>
      </c>
      <c r="F116" s="187">
        <v>269</v>
      </c>
      <c r="G116" s="152">
        <v>27</v>
      </c>
      <c r="H116" s="164">
        <v>1550</v>
      </c>
    </row>
    <row r="117" spans="1:9" x14ac:dyDescent="0.25">
      <c r="A117" s="152" t="s">
        <v>206</v>
      </c>
      <c r="B117" s="152"/>
      <c r="C117" s="152">
        <v>0</v>
      </c>
      <c r="D117" s="164">
        <v>1068</v>
      </c>
      <c r="E117" s="185">
        <v>0</v>
      </c>
      <c r="F117" s="152">
        <v>194</v>
      </c>
      <c r="G117" s="152">
        <v>37</v>
      </c>
      <c r="H117" s="164">
        <v>1299</v>
      </c>
      <c r="I117" s="161"/>
    </row>
    <row r="118" spans="1:9" x14ac:dyDescent="0.25">
      <c r="A118" s="152" t="s">
        <v>207</v>
      </c>
      <c r="B118" s="152"/>
      <c r="C118" s="152">
        <v>4</v>
      </c>
      <c r="D118" s="164">
        <v>1890</v>
      </c>
      <c r="E118" s="185">
        <v>0</v>
      </c>
      <c r="F118" s="152">
        <v>422</v>
      </c>
      <c r="G118" s="152">
        <v>43</v>
      </c>
      <c r="H118" s="164">
        <v>2359</v>
      </c>
    </row>
    <row r="119" spans="1:9" ht="30" x14ac:dyDescent="0.25">
      <c r="A119" s="152" t="s">
        <v>208</v>
      </c>
      <c r="B119" s="152"/>
      <c r="C119" s="152">
        <v>13</v>
      </c>
      <c r="D119" s="164">
        <v>3568</v>
      </c>
      <c r="E119" s="185">
        <v>0</v>
      </c>
      <c r="F119" s="152">
        <v>837</v>
      </c>
      <c r="G119" s="152">
        <v>91</v>
      </c>
      <c r="H119" s="164">
        <v>4509</v>
      </c>
    </row>
    <row r="120" spans="1:9" x14ac:dyDescent="0.25">
      <c r="A120" s="152" t="s">
        <v>209</v>
      </c>
      <c r="B120" s="152"/>
      <c r="C120" s="152">
        <v>5</v>
      </c>
      <c r="D120" s="164">
        <v>3328</v>
      </c>
      <c r="E120" s="152">
        <v>2</v>
      </c>
      <c r="F120" s="152">
        <v>613</v>
      </c>
      <c r="G120" s="152">
        <v>83</v>
      </c>
      <c r="H120" s="164">
        <v>4031</v>
      </c>
    </row>
    <row r="121" spans="1:9" x14ac:dyDescent="0.25">
      <c r="A121" s="152" t="s">
        <v>210</v>
      </c>
      <c r="B121" s="152"/>
      <c r="C121" s="152">
        <v>54</v>
      </c>
      <c r="D121" s="164">
        <v>17131</v>
      </c>
      <c r="E121" s="152">
        <v>8</v>
      </c>
      <c r="F121" s="164">
        <v>3182</v>
      </c>
      <c r="G121" s="152">
        <v>342</v>
      </c>
      <c r="H121" s="164">
        <v>20717</v>
      </c>
    </row>
    <row r="122" spans="1:9" x14ac:dyDescent="0.25">
      <c r="A122" s="152" t="s">
        <v>211</v>
      </c>
      <c r="B122" s="152"/>
      <c r="C122" s="152">
        <v>73</v>
      </c>
      <c r="D122" s="164">
        <v>27789</v>
      </c>
      <c r="E122" s="152">
        <v>41</v>
      </c>
      <c r="F122" s="164">
        <v>5264</v>
      </c>
      <c r="G122" s="152">
        <v>574</v>
      </c>
      <c r="H122" s="164">
        <v>33741</v>
      </c>
    </row>
    <row r="123" spans="1:9" x14ac:dyDescent="0.25">
      <c r="A123" s="152" t="s">
        <v>212</v>
      </c>
      <c r="B123" s="152"/>
      <c r="C123" s="152">
        <v>14</v>
      </c>
      <c r="D123" s="164">
        <v>5665</v>
      </c>
      <c r="E123" s="152">
        <v>3</v>
      </c>
      <c r="F123" s="164">
        <v>1043</v>
      </c>
      <c r="G123" s="152">
        <v>146</v>
      </c>
      <c r="H123" s="164">
        <v>6871</v>
      </c>
    </row>
    <row r="124" spans="1:9" ht="30" x14ac:dyDescent="0.25">
      <c r="A124" s="152" t="s">
        <v>213</v>
      </c>
      <c r="B124" s="152"/>
      <c r="C124" s="152">
        <v>5</v>
      </c>
      <c r="D124" s="164">
        <v>1463</v>
      </c>
      <c r="E124" s="152">
        <v>2</v>
      </c>
      <c r="F124" s="152">
        <v>224</v>
      </c>
      <c r="G124" s="152">
        <v>24</v>
      </c>
      <c r="H124" s="164">
        <v>1718</v>
      </c>
    </row>
    <row r="125" spans="1:9" ht="30" x14ac:dyDescent="0.25">
      <c r="A125" s="152" t="s">
        <v>214</v>
      </c>
      <c r="B125" s="152"/>
      <c r="C125" s="152">
        <v>64</v>
      </c>
      <c r="D125" s="164">
        <v>18084</v>
      </c>
      <c r="E125" s="152">
        <v>9</v>
      </c>
      <c r="F125" s="164">
        <v>4161</v>
      </c>
      <c r="G125" s="152">
        <v>425</v>
      </c>
      <c r="H125" s="164">
        <v>22743</v>
      </c>
    </row>
    <row r="126" spans="1:9" ht="30" x14ac:dyDescent="0.25">
      <c r="A126" s="152" t="s">
        <v>215</v>
      </c>
      <c r="B126" s="152"/>
      <c r="C126" s="152">
        <v>6</v>
      </c>
      <c r="D126" s="164">
        <v>2897</v>
      </c>
      <c r="E126" s="152">
        <v>3</v>
      </c>
      <c r="F126" s="152">
        <v>721</v>
      </c>
      <c r="G126" s="152">
        <v>58</v>
      </c>
      <c r="H126" s="164">
        <v>3685</v>
      </c>
    </row>
    <row r="127" spans="1:9" x14ac:dyDescent="0.25">
      <c r="A127" s="152" t="s">
        <v>216</v>
      </c>
      <c r="B127" s="152"/>
      <c r="C127" s="152">
        <v>44</v>
      </c>
      <c r="D127" s="164">
        <v>13418</v>
      </c>
      <c r="E127" s="152">
        <v>9</v>
      </c>
      <c r="F127" s="164">
        <v>2758</v>
      </c>
      <c r="G127" s="152">
        <v>266</v>
      </c>
      <c r="H127" s="164">
        <v>16495</v>
      </c>
    </row>
    <row r="128" spans="1:9" ht="30" x14ac:dyDescent="0.25">
      <c r="A128" s="152" t="s">
        <v>217</v>
      </c>
      <c r="B128" s="152"/>
      <c r="C128" s="152">
        <v>10</v>
      </c>
      <c r="D128" s="164">
        <v>2603</v>
      </c>
      <c r="E128" s="152">
        <v>1</v>
      </c>
      <c r="F128" s="152">
        <v>504</v>
      </c>
      <c r="G128" s="152">
        <v>44</v>
      </c>
      <c r="H128" s="164">
        <v>3162</v>
      </c>
    </row>
    <row r="129" spans="1:8" ht="30" x14ac:dyDescent="0.25">
      <c r="A129" s="152" t="s">
        <v>218</v>
      </c>
      <c r="B129" s="152"/>
      <c r="C129" s="152">
        <v>5</v>
      </c>
      <c r="D129" s="164">
        <v>1695</v>
      </c>
      <c r="E129" s="185">
        <v>0</v>
      </c>
      <c r="F129" s="152">
        <v>540</v>
      </c>
      <c r="G129" s="152">
        <v>56</v>
      </c>
      <c r="H129" s="164">
        <v>2296</v>
      </c>
    </row>
    <row r="130" spans="1:8" ht="30" x14ac:dyDescent="0.25">
      <c r="A130" s="152" t="s">
        <v>219</v>
      </c>
      <c r="B130" s="152"/>
      <c r="C130" s="152">
        <v>176</v>
      </c>
      <c r="D130" s="164">
        <v>57195</v>
      </c>
      <c r="E130" s="152">
        <v>44</v>
      </c>
      <c r="F130" s="164">
        <v>10444</v>
      </c>
      <c r="G130" s="164">
        <v>1233</v>
      </c>
      <c r="H130" s="164">
        <v>69092</v>
      </c>
    </row>
    <row r="131" spans="1:8" ht="30" x14ac:dyDescent="0.25">
      <c r="A131" s="152" t="s">
        <v>220</v>
      </c>
      <c r="B131" s="152"/>
      <c r="C131" s="152">
        <v>45</v>
      </c>
      <c r="D131" s="164">
        <v>19458</v>
      </c>
      <c r="E131" s="152">
        <v>20</v>
      </c>
      <c r="F131" s="164">
        <v>4016</v>
      </c>
      <c r="G131" s="152">
        <v>531</v>
      </c>
      <c r="H131" s="164">
        <v>24070</v>
      </c>
    </row>
    <row r="132" spans="1:8" ht="30" x14ac:dyDescent="0.25">
      <c r="A132" s="152" t="s">
        <v>508</v>
      </c>
      <c r="B132" s="152"/>
      <c r="C132" s="152">
        <v>132</v>
      </c>
      <c r="D132" s="164">
        <v>56510</v>
      </c>
      <c r="E132" s="152">
        <v>42</v>
      </c>
      <c r="F132" s="164">
        <v>12188</v>
      </c>
      <c r="G132" s="164">
        <v>1307</v>
      </c>
      <c r="H132" s="164">
        <v>70179</v>
      </c>
    </row>
    <row r="133" spans="1:8" x14ac:dyDescent="0.25">
      <c r="A133" s="152" t="s">
        <v>221</v>
      </c>
      <c r="B133" s="152"/>
      <c r="C133" s="152">
        <v>7</v>
      </c>
      <c r="D133" s="164">
        <v>1284</v>
      </c>
      <c r="E133" s="185">
        <v>0</v>
      </c>
      <c r="F133" s="152">
        <v>248</v>
      </c>
      <c r="G133" s="152">
        <v>27</v>
      </c>
      <c r="H133" s="164">
        <v>1566</v>
      </c>
    </row>
    <row r="134" spans="1:8" x14ac:dyDescent="0.25">
      <c r="A134" s="152"/>
      <c r="H134" s="161"/>
    </row>
    <row r="135" spans="1:8" x14ac:dyDescent="0.25">
      <c r="A135" s="152" t="s">
        <v>36</v>
      </c>
      <c r="B135" s="152"/>
      <c r="C135" s="153">
        <f>SUM(C96:C134)</f>
        <v>906</v>
      </c>
      <c r="D135" s="153">
        <f t="shared" ref="D135:H135" si="2">SUM(D96:D134)</f>
        <v>328125</v>
      </c>
      <c r="E135" s="153">
        <f t="shared" si="2"/>
        <v>237</v>
      </c>
      <c r="F135" s="153">
        <f t="shared" si="2"/>
        <v>66406</v>
      </c>
      <c r="G135" s="153">
        <f t="shared" si="2"/>
        <v>7403</v>
      </c>
      <c r="H135" s="153">
        <f t="shared" si="2"/>
        <v>403077</v>
      </c>
    </row>
    <row r="136" spans="1:8" x14ac:dyDescent="0.25">
      <c r="A136" s="152"/>
      <c r="B136" s="152"/>
      <c r="C136" s="152"/>
      <c r="D136" s="152"/>
      <c r="H136" s="161"/>
    </row>
    <row r="137" spans="1:8" x14ac:dyDescent="0.25">
      <c r="A137" s="152"/>
      <c r="B137" s="165"/>
      <c r="C137" s="165"/>
      <c r="D137" s="165"/>
      <c r="E137" s="165"/>
      <c r="F137" s="165"/>
      <c r="G137" s="165"/>
      <c r="H137" s="162"/>
    </row>
    <row r="141" spans="1:8" ht="45" x14ac:dyDescent="0.25">
      <c r="A141" s="152" t="s">
        <v>517</v>
      </c>
      <c r="B141" s="152" t="s">
        <v>518</v>
      </c>
      <c r="C141" s="152">
        <v>6</v>
      </c>
      <c r="D141" s="172"/>
      <c r="E141" s="172"/>
      <c r="F141" s="172"/>
      <c r="G141" s="173"/>
    </row>
    <row r="142" spans="1:8" x14ac:dyDescent="0.25">
      <c r="A142" s="152"/>
      <c r="B142" s="152"/>
      <c r="C142" s="152"/>
      <c r="D142" s="152"/>
      <c r="G142" s="161"/>
    </row>
    <row r="143" spans="1:8" ht="30" x14ac:dyDescent="0.25">
      <c r="A143" s="152"/>
      <c r="B143" s="152"/>
      <c r="C143" s="152" t="s">
        <v>516</v>
      </c>
      <c r="D143" s="152"/>
      <c r="G143" s="161"/>
    </row>
    <row r="144" spans="1:8" x14ac:dyDescent="0.25">
      <c r="A144" s="152" t="s">
        <v>141</v>
      </c>
      <c r="B144" s="152"/>
      <c r="C144" s="152" t="s">
        <v>495</v>
      </c>
      <c r="D144" s="152" t="s">
        <v>496</v>
      </c>
      <c r="E144" s="152" t="s">
        <v>497</v>
      </c>
      <c r="F144" s="152" t="s">
        <v>498</v>
      </c>
      <c r="G144" s="152" t="s">
        <v>499</v>
      </c>
      <c r="H144" s="152" t="s">
        <v>36</v>
      </c>
    </row>
    <row r="145" spans="1:8" x14ac:dyDescent="0.25">
      <c r="A145" s="152"/>
      <c r="B145" s="152"/>
      <c r="C145" s="152"/>
      <c r="D145" s="152"/>
      <c r="H145" s="161"/>
    </row>
    <row r="146" spans="1:8" x14ac:dyDescent="0.25">
      <c r="A146" s="152" t="s">
        <v>222</v>
      </c>
      <c r="B146" s="152"/>
      <c r="C146" s="152">
        <v>10</v>
      </c>
      <c r="D146" s="164">
        <v>3236</v>
      </c>
      <c r="E146" s="152">
        <v>2</v>
      </c>
      <c r="F146" s="152">
        <v>704</v>
      </c>
      <c r="G146" s="152">
        <v>83</v>
      </c>
      <c r="H146" s="164">
        <v>4035</v>
      </c>
    </row>
    <row r="147" spans="1:8" ht="30" x14ac:dyDescent="0.25">
      <c r="A147" s="152" t="s">
        <v>223</v>
      </c>
      <c r="B147" s="152"/>
      <c r="C147" s="152">
        <v>18</v>
      </c>
      <c r="D147" s="164">
        <v>6369</v>
      </c>
      <c r="E147" s="152">
        <v>2</v>
      </c>
      <c r="F147" s="164">
        <v>1452</v>
      </c>
      <c r="G147" s="152">
        <v>146</v>
      </c>
      <c r="H147" s="164">
        <v>7987</v>
      </c>
    </row>
    <row r="148" spans="1:8" x14ac:dyDescent="0.25">
      <c r="A148" s="152" t="s">
        <v>224</v>
      </c>
      <c r="B148" s="152"/>
      <c r="C148" s="152">
        <v>5</v>
      </c>
      <c r="D148" s="164">
        <v>2111</v>
      </c>
      <c r="E148">
        <v>0</v>
      </c>
      <c r="F148" s="152">
        <v>379</v>
      </c>
      <c r="G148" s="152">
        <v>50</v>
      </c>
      <c r="H148" s="164">
        <v>2545</v>
      </c>
    </row>
    <row r="149" spans="1:8" x14ac:dyDescent="0.25">
      <c r="A149" s="152" t="s">
        <v>225</v>
      </c>
      <c r="B149" s="152"/>
      <c r="C149" s="152">
        <v>6</v>
      </c>
      <c r="D149" s="164">
        <v>1465</v>
      </c>
      <c r="E149" s="186">
        <v>0</v>
      </c>
      <c r="F149" s="152">
        <v>276</v>
      </c>
      <c r="G149" s="152">
        <v>26</v>
      </c>
      <c r="H149" s="164">
        <v>1773</v>
      </c>
    </row>
    <row r="150" spans="1:8" x14ac:dyDescent="0.25">
      <c r="A150" s="152" t="s">
        <v>226</v>
      </c>
      <c r="B150" s="152"/>
      <c r="C150" s="152">
        <v>2</v>
      </c>
      <c r="D150" s="164">
        <v>3576</v>
      </c>
      <c r="E150" s="152">
        <v>1</v>
      </c>
      <c r="F150" s="152">
        <v>601</v>
      </c>
      <c r="G150" s="152">
        <v>69</v>
      </c>
      <c r="H150" s="164">
        <v>4249</v>
      </c>
    </row>
    <row r="151" spans="1:8" x14ac:dyDescent="0.25">
      <c r="A151" s="152" t="s">
        <v>509</v>
      </c>
      <c r="B151" s="152"/>
      <c r="C151" s="152">
        <v>7</v>
      </c>
      <c r="D151" s="164">
        <v>3428</v>
      </c>
      <c r="E151" s="152">
        <v>3</v>
      </c>
      <c r="F151" s="152">
        <v>661</v>
      </c>
      <c r="G151" s="152">
        <v>66</v>
      </c>
      <c r="H151" s="164">
        <v>4165</v>
      </c>
    </row>
    <row r="152" spans="1:8" x14ac:dyDescent="0.25">
      <c r="A152" s="152" t="s">
        <v>227</v>
      </c>
      <c r="B152" s="152"/>
      <c r="C152" s="152">
        <v>11</v>
      </c>
      <c r="D152" s="164">
        <v>4835</v>
      </c>
      <c r="E152" s="152">
        <v>1</v>
      </c>
      <c r="F152" s="152">
        <v>871</v>
      </c>
      <c r="G152" s="152">
        <v>88</v>
      </c>
      <c r="H152" s="164">
        <v>5806</v>
      </c>
    </row>
    <row r="153" spans="1:8" ht="30" x14ac:dyDescent="0.25">
      <c r="A153" s="152" t="s">
        <v>228</v>
      </c>
      <c r="B153" s="152"/>
      <c r="C153" s="152">
        <v>1</v>
      </c>
      <c r="D153" s="152">
        <v>771</v>
      </c>
      <c r="E153" s="185">
        <v>0</v>
      </c>
      <c r="F153" s="152">
        <v>142</v>
      </c>
      <c r="G153" s="152">
        <v>13</v>
      </c>
      <c r="H153" s="152">
        <v>927</v>
      </c>
    </row>
    <row r="154" spans="1:8" ht="30" x14ac:dyDescent="0.25">
      <c r="A154" s="152" t="s">
        <v>229</v>
      </c>
      <c r="B154" s="152"/>
      <c r="C154" s="152">
        <v>8</v>
      </c>
      <c r="D154" s="164">
        <v>4613</v>
      </c>
      <c r="E154" s="152">
        <v>1</v>
      </c>
      <c r="F154" s="152">
        <v>817</v>
      </c>
      <c r="G154" s="152">
        <v>117</v>
      </c>
      <c r="H154" s="164">
        <v>5556</v>
      </c>
    </row>
    <row r="155" spans="1:8" x14ac:dyDescent="0.25">
      <c r="A155" s="152" t="s">
        <v>230</v>
      </c>
      <c r="B155" s="152"/>
      <c r="C155" s="152">
        <v>4</v>
      </c>
      <c r="D155" s="164">
        <v>1243</v>
      </c>
      <c r="E155" s="185">
        <v>0</v>
      </c>
      <c r="F155" s="152">
        <v>258</v>
      </c>
      <c r="G155" s="152">
        <v>33</v>
      </c>
      <c r="H155" s="164">
        <v>1538</v>
      </c>
    </row>
    <row r="156" spans="1:8" x14ac:dyDescent="0.25">
      <c r="A156" s="152" t="s">
        <v>231</v>
      </c>
      <c r="B156" s="152"/>
      <c r="C156" s="152">
        <v>5</v>
      </c>
      <c r="D156" s="164">
        <v>1604</v>
      </c>
      <c r="E156" s="185">
        <v>0</v>
      </c>
      <c r="F156" s="152">
        <v>297</v>
      </c>
      <c r="G156" s="152">
        <v>41</v>
      </c>
      <c r="H156" s="164">
        <v>1947</v>
      </c>
    </row>
    <row r="157" spans="1:8" x14ac:dyDescent="0.25">
      <c r="A157" s="152" t="s">
        <v>232</v>
      </c>
      <c r="B157" s="152"/>
      <c r="C157" s="152">
        <v>12</v>
      </c>
      <c r="D157" s="164">
        <v>5219</v>
      </c>
      <c r="E157" s="152">
        <v>2</v>
      </c>
      <c r="F157" s="164">
        <v>1268</v>
      </c>
      <c r="G157" s="152">
        <v>141</v>
      </c>
      <c r="H157" s="164">
        <v>6642</v>
      </c>
    </row>
    <row r="158" spans="1:8" x14ac:dyDescent="0.25">
      <c r="A158" s="152" t="s">
        <v>233</v>
      </c>
      <c r="B158" s="152"/>
      <c r="C158" s="152">
        <v>10</v>
      </c>
      <c r="D158" s="164">
        <v>2637</v>
      </c>
      <c r="E158" s="152">
        <v>1</v>
      </c>
      <c r="F158" s="152">
        <v>471</v>
      </c>
      <c r="G158" s="152">
        <v>44</v>
      </c>
      <c r="H158" s="164">
        <v>3163</v>
      </c>
    </row>
    <row r="159" spans="1:8" ht="30" x14ac:dyDescent="0.25">
      <c r="A159" s="152" t="s">
        <v>234</v>
      </c>
      <c r="B159" s="152"/>
      <c r="C159" s="152">
        <v>3</v>
      </c>
      <c r="D159" s="164">
        <v>1624</v>
      </c>
      <c r="E159" s="152">
        <v>1</v>
      </c>
      <c r="F159" s="152">
        <v>260</v>
      </c>
      <c r="G159" s="152">
        <v>42</v>
      </c>
      <c r="H159" s="164">
        <v>1930</v>
      </c>
    </row>
    <row r="160" spans="1:8" x14ac:dyDescent="0.25">
      <c r="A160" s="152" t="s">
        <v>235</v>
      </c>
      <c r="B160" s="152"/>
      <c r="C160" s="152">
        <v>21</v>
      </c>
      <c r="D160" s="164">
        <v>4253</v>
      </c>
      <c r="E160" s="185">
        <v>0</v>
      </c>
      <c r="F160" s="152">
        <v>961</v>
      </c>
      <c r="G160" s="152">
        <v>102</v>
      </c>
      <c r="H160" s="164">
        <v>5337</v>
      </c>
    </row>
    <row r="161" spans="1:8" x14ac:dyDescent="0.25">
      <c r="A161" s="152" t="s">
        <v>236</v>
      </c>
      <c r="B161" s="152"/>
      <c r="C161" s="152">
        <v>11</v>
      </c>
      <c r="D161" s="164">
        <v>3154</v>
      </c>
      <c r="E161" s="185">
        <v>0</v>
      </c>
      <c r="F161" s="152">
        <v>585</v>
      </c>
      <c r="G161" s="152">
        <v>61</v>
      </c>
      <c r="H161" s="164">
        <v>3811</v>
      </c>
    </row>
    <row r="162" spans="1:8" x14ac:dyDescent="0.25">
      <c r="A162" s="152" t="s">
        <v>237</v>
      </c>
      <c r="B162" s="152"/>
      <c r="C162" s="152">
        <v>4</v>
      </c>
      <c r="D162" s="164">
        <v>1444</v>
      </c>
      <c r="E162" s="152">
        <v>1</v>
      </c>
      <c r="F162" s="152">
        <v>294</v>
      </c>
      <c r="G162" s="152">
        <v>41</v>
      </c>
      <c r="H162" s="164">
        <v>1784</v>
      </c>
    </row>
    <row r="163" spans="1:8" x14ac:dyDescent="0.25">
      <c r="A163" s="152" t="s">
        <v>238</v>
      </c>
      <c r="B163" s="152"/>
      <c r="C163" s="152">
        <v>3</v>
      </c>
      <c r="D163" s="164">
        <v>2042</v>
      </c>
      <c r="E163" s="152">
        <v>3</v>
      </c>
      <c r="F163" s="152">
        <v>443</v>
      </c>
      <c r="G163" s="152">
        <v>43</v>
      </c>
      <c r="H163" s="164">
        <v>2534</v>
      </c>
    </row>
    <row r="164" spans="1:8" x14ac:dyDescent="0.25">
      <c r="A164" s="152" t="s">
        <v>239</v>
      </c>
      <c r="B164" s="152"/>
      <c r="C164" s="152">
        <v>8</v>
      </c>
      <c r="D164" s="164">
        <v>2364</v>
      </c>
      <c r="E164" s="185">
        <v>0</v>
      </c>
      <c r="F164" s="152">
        <v>538</v>
      </c>
      <c r="G164" s="152">
        <v>42</v>
      </c>
      <c r="H164" s="164">
        <v>2952</v>
      </c>
    </row>
    <row r="165" spans="1:8" ht="30" x14ac:dyDescent="0.25">
      <c r="A165" s="152" t="s">
        <v>240</v>
      </c>
      <c r="B165" s="152"/>
      <c r="C165" s="152">
        <v>5</v>
      </c>
      <c r="D165" s="164">
        <v>1463</v>
      </c>
      <c r="E165" s="185">
        <v>0</v>
      </c>
      <c r="F165" s="152">
        <v>234</v>
      </c>
      <c r="G165" s="152">
        <v>33</v>
      </c>
      <c r="H165" s="164">
        <v>1735</v>
      </c>
    </row>
    <row r="166" spans="1:8" x14ac:dyDescent="0.25">
      <c r="A166" s="152" t="s">
        <v>241</v>
      </c>
      <c r="B166" s="152"/>
      <c r="C166" s="152">
        <v>4</v>
      </c>
      <c r="D166" s="164">
        <v>2223</v>
      </c>
      <c r="E166" s="152">
        <v>1</v>
      </c>
      <c r="F166" s="152">
        <v>473</v>
      </c>
      <c r="G166" s="152">
        <v>43</v>
      </c>
      <c r="H166" s="164">
        <v>2744</v>
      </c>
    </row>
    <row r="167" spans="1:8" x14ac:dyDescent="0.25">
      <c r="A167" s="152" t="s">
        <v>242</v>
      </c>
      <c r="B167" s="152"/>
      <c r="C167" s="152">
        <v>6</v>
      </c>
      <c r="D167" s="164">
        <v>2894</v>
      </c>
      <c r="E167" s="152">
        <v>2</v>
      </c>
      <c r="F167" s="152">
        <v>414</v>
      </c>
      <c r="G167" s="152">
        <v>47</v>
      </c>
      <c r="H167" s="164">
        <v>3363</v>
      </c>
    </row>
    <row r="168" spans="1:8" ht="30" x14ac:dyDescent="0.25">
      <c r="A168" s="152" t="s">
        <v>243</v>
      </c>
      <c r="B168" s="152"/>
      <c r="C168" s="152">
        <v>8</v>
      </c>
      <c r="D168" s="164">
        <v>3969</v>
      </c>
      <c r="E168" s="152">
        <v>3</v>
      </c>
      <c r="F168" s="152">
        <v>747</v>
      </c>
      <c r="G168" s="152">
        <v>66</v>
      </c>
      <c r="H168" s="164">
        <v>4793</v>
      </c>
    </row>
    <row r="169" spans="1:8" x14ac:dyDescent="0.25">
      <c r="A169" s="152" t="s">
        <v>244</v>
      </c>
      <c r="B169" s="152"/>
      <c r="C169" s="152">
        <v>9</v>
      </c>
      <c r="D169" s="164">
        <v>3233</v>
      </c>
      <c r="E169" s="152">
        <v>1</v>
      </c>
      <c r="F169" s="152">
        <v>612</v>
      </c>
      <c r="G169" s="152">
        <v>97</v>
      </c>
      <c r="H169" s="164">
        <v>3952</v>
      </c>
    </row>
    <row r="170" spans="1:8" x14ac:dyDescent="0.25">
      <c r="A170" s="152" t="s">
        <v>245</v>
      </c>
      <c r="B170" s="152"/>
      <c r="C170" s="152">
        <v>5</v>
      </c>
      <c r="D170" s="164">
        <v>1619</v>
      </c>
      <c r="E170" s="185">
        <v>0</v>
      </c>
      <c r="F170" s="152">
        <v>324</v>
      </c>
      <c r="G170" s="152">
        <v>30</v>
      </c>
      <c r="H170" s="164">
        <v>1978</v>
      </c>
    </row>
    <row r="171" spans="1:8" ht="30" x14ac:dyDescent="0.25">
      <c r="A171" s="152" t="s">
        <v>246</v>
      </c>
      <c r="B171" s="152"/>
      <c r="C171" s="152">
        <v>2</v>
      </c>
      <c r="D171" s="152">
        <v>909</v>
      </c>
      <c r="E171" s="152">
        <v>1</v>
      </c>
      <c r="F171" s="152">
        <v>193</v>
      </c>
      <c r="G171" s="152">
        <v>17</v>
      </c>
      <c r="H171" s="164">
        <v>1122</v>
      </c>
    </row>
    <row r="172" spans="1:8" ht="30" x14ac:dyDescent="0.25">
      <c r="A172" s="152" t="s">
        <v>247</v>
      </c>
      <c r="B172" s="152"/>
      <c r="C172" s="152">
        <v>8</v>
      </c>
      <c r="D172" s="164">
        <v>2491</v>
      </c>
      <c r="E172" s="152">
        <v>1</v>
      </c>
      <c r="F172" s="152">
        <v>455</v>
      </c>
      <c r="G172" s="152">
        <v>63</v>
      </c>
      <c r="H172" s="164">
        <v>3018</v>
      </c>
    </row>
    <row r="173" spans="1:8" x14ac:dyDescent="0.25">
      <c r="A173" s="152" t="s">
        <v>248</v>
      </c>
      <c r="B173" s="152"/>
      <c r="C173" s="152">
        <v>117</v>
      </c>
      <c r="D173" s="164">
        <v>38092</v>
      </c>
      <c r="E173" s="152">
        <v>35</v>
      </c>
      <c r="F173" s="164">
        <v>8952</v>
      </c>
      <c r="G173" s="152">
        <v>957</v>
      </c>
      <c r="H173" s="164">
        <v>48153</v>
      </c>
    </row>
    <row r="174" spans="1:8" x14ac:dyDescent="0.25">
      <c r="A174" s="152" t="s">
        <v>249</v>
      </c>
      <c r="B174" s="152"/>
      <c r="C174" s="152">
        <v>21</v>
      </c>
      <c r="D174" s="164">
        <v>10380</v>
      </c>
      <c r="E174" s="152">
        <v>9</v>
      </c>
      <c r="F174" s="164">
        <v>2209</v>
      </c>
      <c r="G174" s="152">
        <v>211</v>
      </c>
      <c r="H174" s="164">
        <v>12830</v>
      </c>
    </row>
    <row r="175" spans="1:8" x14ac:dyDescent="0.25">
      <c r="A175" s="152" t="s">
        <v>250</v>
      </c>
      <c r="B175" s="152"/>
      <c r="C175" s="152">
        <v>8</v>
      </c>
      <c r="D175" s="164">
        <v>3845</v>
      </c>
      <c r="E175" s="152">
        <v>2</v>
      </c>
      <c r="F175" s="152">
        <v>841</v>
      </c>
      <c r="G175" s="152">
        <v>90</v>
      </c>
      <c r="H175" s="164">
        <v>4786</v>
      </c>
    </row>
    <row r="176" spans="1:8" ht="30" x14ac:dyDescent="0.25">
      <c r="A176" s="152" t="s">
        <v>251</v>
      </c>
      <c r="B176" s="152"/>
      <c r="C176" s="152">
        <v>30</v>
      </c>
      <c r="D176" s="164">
        <v>12944</v>
      </c>
      <c r="E176" s="152">
        <v>1</v>
      </c>
      <c r="F176" s="164">
        <v>2516</v>
      </c>
      <c r="G176" s="152">
        <v>277</v>
      </c>
      <c r="H176" s="164">
        <v>15768</v>
      </c>
    </row>
    <row r="177" spans="1:8" ht="30" x14ac:dyDescent="0.25">
      <c r="A177" s="152" t="s">
        <v>252</v>
      </c>
      <c r="B177" s="152"/>
      <c r="C177" s="152">
        <v>21</v>
      </c>
      <c r="D177" s="164">
        <v>9778</v>
      </c>
      <c r="E177" s="152">
        <v>2</v>
      </c>
      <c r="F177" s="164">
        <v>1826</v>
      </c>
      <c r="G177" s="152">
        <v>230</v>
      </c>
      <c r="H177" s="164">
        <v>11857</v>
      </c>
    </row>
    <row r="178" spans="1:8" ht="30" x14ac:dyDescent="0.25">
      <c r="A178" s="152" t="s">
        <v>253</v>
      </c>
      <c r="B178" s="152"/>
      <c r="C178" s="152">
        <v>11</v>
      </c>
      <c r="D178" s="164">
        <v>7565</v>
      </c>
      <c r="E178" s="152">
        <v>5</v>
      </c>
      <c r="F178" s="164">
        <v>1496</v>
      </c>
      <c r="G178" s="152">
        <v>160</v>
      </c>
      <c r="H178" s="164">
        <v>9237</v>
      </c>
    </row>
    <row r="179" spans="1:8" x14ac:dyDescent="0.25">
      <c r="A179" s="152"/>
      <c r="H179" s="161"/>
    </row>
    <row r="180" spans="1:8" x14ac:dyDescent="0.25">
      <c r="A180" s="152" t="s">
        <v>36</v>
      </c>
      <c r="B180" s="152"/>
      <c r="C180" s="153">
        <f>SUM(C146:C179)</f>
        <v>404</v>
      </c>
      <c r="D180" s="153">
        <f t="shared" ref="D180:H180" si="3">SUM(D146:D179)</f>
        <v>157393</v>
      </c>
      <c r="E180" s="153">
        <f t="shared" si="3"/>
        <v>81</v>
      </c>
      <c r="F180" s="153">
        <f t="shared" si="3"/>
        <v>32570</v>
      </c>
      <c r="G180" s="153">
        <f t="shared" si="3"/>
        <v>3569</v>
      </c>
      <c r="H180" s="153">
        <f t="shared" si="3"/>
        <v>194017</v>
      </c>
    </row>
    <row r="181" spans="1:8" x14ac:dyDescent="0.25">
      <c r="A181" s="152"/>
      <c r="B181" s="152"/>
      <c r="C181" s="152"/>
      <c r="D181" s="152"/>
      <c r="E181" s="165"/>
      <c r="F181" s="165"/>
      <c r="G181" s="165"/>
      <c r="H181" s="162"/>
    </row>
    <row r="185" spans="1:8" ht="45" x14ac:dyDescent="0.25">
      <c r="A185" s="152" t="s">
        <v>517</v>
      </c>
      <c r="B185" s="152" t="s">
        <v>518</v>
      </c>
      <c r="C185" s="152">
        <v>7</v>
      </c>
      <c r="D185" s="172"/>
      <c r="E185" s="172"/>
      <c r="F185" s="173"/>
    </row>
    <row r="186" spans="1:8" x14ac:dyDescent="0.25">
      <c r="A186" s="152"/>
      <c r="B186" s="152"/>
      <c r="C186" s="152"/>
      <c r="D186" s="152"/>
      <c r="F186" s="161"/>
    </row>
    <row r="187" spans="1:8" ht="30" x14ac:dyDescent="0.25">
      <c r="A187" s="152"/>
      <c r="B187" s="152"/>
      <c r="C187" s="152" t="s">
        <v>516</v>
      </c>
      <c r="D187" s="152"/>
      <c r="F187" s="161"/>
    </row>
    <row r="188" spans="1:8" x14ac:dyDescent="0.25">
      <c r="A188" s="152" t="s">
        <v>141</v>
      </c>
      <c r="B188" s="152" t="s">
        <v>495</v>
      </c>
      <c r="C188" s="152" t="s">
        <v>496</v>
      </c>
      <c r="D188" s="152" t="s">
        <v>497</v>
      </c>
      <c r="E188" s="152" t="s">
        <v>498</v>
      </c>
      <c r="F188" s="152" t="s">
        <v>499</v>
      </c>
      <c r="G188" s="152" t="s">
        <v>36</v>
      </c>
    </row>
    <row r="189" spans="1:8" x14ac:dyDescent="0.25">
      <c r="A189" s="152"/>
      <c r="B189" s="152"/>
      <c r="C189" s="152"/>
      <c r="D189" s="152"/>
      <c r="E189" s="176"/>
      <c r="G189" s="161"/>
    </row>
    <row r="190" spans="1:8" ht="30" x14ac:dyDescent="0.25">
      <c r="A190" s="152" t="s">
        <v>254</v>
      </c>
      <c r="B190" s="152">
        <v>27</v>
      </c>
      <c r="C190" s="164">
        <v>9982</v>
      </c>
      <c r="D190" s="152">
        <v>12</v>
      </c>
      <c r="E190" s="164">
        <v>1856</v>
      </c>
      <c r="F190" s="152">
        <v>174</v>
      </c>
      <c r="G190" s="164">
        <v>12051</v>
      </c>
    </row>
    <row r="191" spans="1:8" x14ac:dyDescent="0.25">
      <c r="A191" s="152" t="s">
        <v>255</v>
      </c>
      <c r="B191" s="152">
        <v>5</v>
      </c>
      <c r="C191" s="164">
        <v>1892</v>
      </c>
      <c r="D191">
        <v>0</v>
      </c>
      <c r="E191" s="152">
        <v>397</v>
      </c>
      <c r="F191" s="152">
        <v>50</v>
      </c>
      <c r="G191" s="164">
        <v>2344</v>
      </c>
    </row>
    <row r="192" spans="1:8" x14ac:dyDescent="0.25">
      <c r="A192" s="152" t="s">
        <v>256</v>
      </c>
      <c r="B192" s="152">
        <v>8</v>
      </c>
      <c r="C192" s="164">
        <v>3773</v>
      </c>
      <c r="D192" s="152">
        <v>1</v>
      </c>
      <c r="E192" s="152">
        <v>786</v>
      </c>
      <c r="F192" s="152">
        <v>83</v>
      </c>
      <c r="G192" s="164">
        <v>4651</v>
      </c>
    </row>
    <row r="193" spans="1:7" ht="30" x14ac:dyDescent="0.25">
      <c r="A193" s="152" t="s">
        <v>257</v>
      </c>
      <c r="B193" s="152">
        <v>33</v>
      </c>
      <c r="C193" s="164">
        <v>8007</v>
      </c>
      <c r="D193" s="152">
        <v>3</v>
      </c>
      <c r="E193" s="164">
        <v>1747</v>
      </c>
      <c r="F193" s="152">
        <v>172</v>
      </c>
      <c r="G193" s="164">
        <v>9962</v>
      </c>
    </row>
    <row r="194" spans="1:7" x14ac:dyDescent="0.25">
      <c r="A194" s="152" t="s">
        <v>258</v>
      </c>
      <c r="B194" s="152">
        <v>8</v>
      </c>
      <c r="C194" s="164">
        <v>2551</v>
      </c>
      <c r="D194" s="185">
        <v>0</v>
      </c>
      <c r="E194" s="152">
        <v>610</v>
      </c>
      <c r="F194" s="152">
        <v>32</v>
      </c>
      <c r="G194" s="164">
        <v>3201</v>
      </c>
    </row>
    <row r="195" spans="1:7" x14ac:dyDescent="0.25">
      <c r="A195" s="152" t="s">
        <v>259</v>
      </c>
      <c r="B195" s="152">
        <v>47</v>
      </c>
      <c r="C195" s="164">
        <v>25031</v>
      </c>
      <c r="D195" s="152">
        <v>16</v>
      </c>
      <c r="E195" s="164">
        <v>3837</v>
      </c>
      <c r="F195" s="152">
        <v>537</v>
      </c>
      <c r="G195" s="164">
        <v>29468</v>
      </c>
    </row>
    <row r="196" spans="1:7" ht="30" x14ac:dyDescent="0.25">
      <c r="A196" s="152" t="s">
        <v>260</v>
      </c>
      <c r="B196" s="152">
        <v>2</v>
      </c>
      <c r="C196" s="152">
        <v>706</v>
      </c>
      <c r="D196" s="185">
        <v>0</v>
      </c>
      <c r="E196" s="152">
        <v>180</v>
      </c>
      <c r="F196" s="152">
        <v>11</v>
      </c>
      <c r="G196" s="152">
        <v>899</v>
      </c>
    </row>
    <row r="197" spans="1:7" x14ac:dyDescent="0.25">
      <c r="A197" s="152" t="s">
        <v>510</v>
      </c>
      <c r="B197" s="152">
        <v>5</v>
      </c>
      <c r="C197" s="164">
        <v>2353</v>
      </c>
      <c r="D197" s="185">
        <v>0</v>
      </c>
      <c r="E197" s="152">
        <v>435</v>
      </c>
      <c r="F197" s="152">
        <v>28</v>
      </c>
      <c r="G197" s="164">
        <v>2821</v>
      </c>
    </row>
    <row r="198" spans="1:7" x14ac:dyDescent="0.25">
      <c r="A198" s="152" t="s">
        <v>261</v>
      </c>
      <c r="B198" s="152">
        <v>3</v>
      </c>
      <c r="C198" s="164">
        <v>1378</v>
      </c>
      <c r="D198" s="152">
        <v>1</v>
      </c>
      <c r="E198" s="152">
        <v>199</v>
      </c>
      <c r="F198" s="152">
        <v>26</v>
      </c>
      <c r="G198" s="164">
        <v>1607</v>
      </c>
    </row>
    <row r="199" spans="1:7" x14ac:dyDescent="0.25">
      <c r="A199" s="152" t="s">
        <v>262</v>
      </c>
      <c r="B199" s="152">
        <v>46</v>
      </c>
      <c r="C199" s="164">
        <v>17260</v>
      </c>
      <c r="D199" s="152">
        <v>10</v>
      </c>
      <c r="E199" s="164">
        <v>3215</v>
      </c>
      <c r="F199" s="152">
        <v>325</v>
      </c>
      <c r="G199" s="164">
        <v>20856</v>
      </c>
    </row>
    <row r="200" spans="1:7" x14ac:dyDescent="0.25">
      <c r="A200" s="152" t="s">
        <v>263</v>
      </c>
      <c r="B200" s="152">
        <v>9</v>
      </c>
      <c r="C200" s="164">
        <v>5818</v>
      </c>
      <c r="D200" s="185">
        <v>0</v>
      </c>
      <c r="E200" s="164">
        <v>1235</v>
      </c>
      <c r="F200" s="152">
        <v>146</v>
      </c>
      <c r="G200" s="164">
        <v>7208</v>
      </c>
    </row>
    <row r="201" spans="1:7" x14ac:dyDescent="0.25">
      <c r="A201" s="152" t="s">
        <v>264</v>
      </c>
      <c r="B201" s="152">
        <v>6</v>
      </c>
      <c r="C201" s="164">
        <v>5115</v>
      </c>
      <c r="D201" s="152">
        <v>2</v>
      </c>
      <c r="E201" s="164">
        <v>1016</v>
      </c>
      <c r="F201" s="152">
        <v>159</v>
      </c>
      <c r="G201" s="164">
        <v>6298</v>
      </c>
    </row>
    <row r="202" spans="1:7" x14ac:dyDescent="0.25">
      <c r="A202" s="152" t="s">
        <v>265</v>
      </c>
      <c r="B202" s="152">
        <v>18</v>
      </c>
      <c r="C202" s="164">
        <v>7962</v>
      </c>
      <c r="D202" s="152">
        <v>7</v>
      </c>
      <c r="E202" s="164">
        <v>1147</v>
      </c>
      <c r="F202" s="152">
        <v>157</v>
      </c>
      <c r="G202" s="164">
        <v>9291</v>
      </c>
    </row>
    <row r="203" spans="1:7" x14ac:dyDescent="0.25">
      <c r="A203" s="152" t="s">
        <v>266</v>
      </c>
      <c r="B203" s="152">
        <v>29</v>
      </c>
      <c r="C203" s="164">
        <v>8694</v>
      </c>
      <c r="D203" s="152">
        <v>8</v>
      </c>
      <c r="E203" s="164">
        <v>1726</v>
      </c>
      <c r="F203" s="152">
        <v>175</v>
      </c>
      <c r="G203" s="164">
        <v>10632</v>
      </c>
    </row>
    <row r="204" spans="1:7" x14ac:dyDescent="0.25">
      <c r="A204" s="152" t="s">
        <v>267</v>
      </c>
      <c r="B204" s="152">
        <v>0</v>
      </c>
      <c r="C204" s="164">
        <v>1678</v>
      </c>
      <c r="D204" s="185">
        <v>0</v>
      </c>
      <c r="E204" s="152">
        <v>292</v>
      </c>
      <c r="F204" s="152">
        <v>38</v>
      </c>
      <c r="G204" s="164">
        <v>2008</v>
      </c>
    </row>
    <row r="205" spans="1:7" x14ac:dyDescent="0.25">
      <c r="A205" s="152" t="s">
        <v>268</v>
      </c>
      <c r="B205" s="152">
        <v>7</v>
      </c>
      <c r="C205" s="164">
        <v>1433</v>
      </c>
      <c r="D205" s="185">
        <v>0</v>
      </c>
      <c r="E205" s="152">
        <v>320</v>
      </c>
      <c r="F205" s="152">
        <v>35</v>
      </c>
      <c r="G205" s="164">
        <v>1795</v>
      </c>
    </row>
    <row r="206" spans="1:7" x14ac:dyDescent="0.25">
      <c r="A206" s="152" t="s">
        <v>269</v>
      </c>
      <c r="B206" s="152">
        <v>4</v>
      </c>
      <c r="C206" s="164">
        <v>1631</v>
      </c>
      <c r="D206" s="185">
        <v>0</v>
      </c>
      <c r="E206" s="152">
        <v>224</v>
      </c>
      <c r="F206" s="152">
        <v>34</v>
      </c>
      <c r="G206" s="164">
        <v>1893</v>
      </c>
    </row>
    <row r="207" spans="1:7" x14ac:dyDescent="0.25">
      <c r="A207" s="152" t="s">
        <v>270</v>
      </c>
      <c r="B207" s="152">
        <v>2</v>
      </c>
      <c r="C207" s="164">
        <v>1880</v>
      </c>
      <c r="D207" s="185">
        <v>0</v>
      </c>
      <c r="E207" s="152">
        <v>248</v>
      </c>
      <c r="F207" s="152">
        <v>31</v>
      </c>
      <c r="G207" s="164">
        <v>2161</v>
      </c>
    </row>
    <row r="208" spans="1:7" x14ac:dyDescent="0.25">
      <c r="A208" s="152" t="s">
        <v>271</v>
      </c>
      <c r="B208" s="152">
        <v>7</v>
      </c>
      <c r="C208" s="164">
        <v>4002</v>
      </c>
      <c r="D208" s="152">
        <v>2</v>
      </c>
      <c r="E208" s="152">
        <v>872</v>
      </c>
      <c r="F208" s="152">
        <v>73</v>
      </c>
      <c r="G208" s="164">
        <v>4956</v>
      </c>
    </row>
    <row r="209" spans="1:7" x14ac:dyDescent="0.25">
      <c r="A209" s="152" t="s">
        <v>272</v>
      </c>
      <c r="B209" s="152">
        <v>2</v>
      </c>
      <c r="C209" s="164">
        <v>2570</v>
      </c>
      <c r="D209" s="185">
        <v>0</v>
      </c>
      <c r="E209" s="152">
        <v>522</v>
      </c>
      <c r="F209" s="152">
        <v>55</v>
      </c>
      <c r="G209" s="164">
        <v>3149</v>
      </c>
    </row>
    <row r="210" spans="1:7" x14ac:dyDescent="0.25">
      <c r="A210" s="152" t="s">
        <v>273</v>
      </c>
      <c r="B210" s="152">
        <v>2</v>
      </c>
      <c r="C210" s="164">
        <v>2439</v>
      </c>
      <c r="D210" s="185">
        <v>0</v>
      </c>
      <c r="E210" s="152">
        <v>350</v>
      </c>
      <c r="F210" s="152">
        <v>56</v>
      </c>
      <c r="G210" s="164">
        <v>2847</v>
      </c>
    </row>
    <row r="211" spans="1:7" ht="30" x14ac:dyDescent="0.25">
      <c r="A211" s="152" t="s">
        <v>274</v>
      </c>
      <c r="B211" s="152">
        <v>8</v>
      </c>
      <c r="C211" s="164">
        <v>3367</v>
      </c>
      <c r="D211" s="152">
        <v>3</v>
      </c>
      <c r="E211" s="152">
        <v>458</v>
      </c>
      <c r="F211" s="152">
        <v>71</v>
      </c>
      <c r="G211" s="164">
        <v>3907</v>
      </c>
    </row>
    <row r="212" spans="1:7" ht="30" x14ac:dyDescent="0.25">
      <c r="A212" s="152" t="s">
        <v>275</v>
      </c>
      <c r="B212" s="152">
        <v>19</v>
      </c>
      <c r="C212" s="164">
        <v>7507</v>
      </c>
      <c r="D212" s="152">
        <v>2</v>
      </c>
      <c r="E212" s="164">
        <v>1281</v>
      </c>
      <c r="F212" s="152">
        <v>139</v>
      </c>
      <c r="G212" s="164">
        <v>8948</v>
      </c>
    </row>
    <row r="213" spans="1:7" x14ac:dyDescent="0.25">
      <c r="A213" s="152" t="s">
        <v>276</v>
      </c>
      <c r="B213" s="152">
        <v>32</v>
      </c>
      <c r="C213" s="164">
        <v>8613</v>
      </c>
      <c r="D213" s="152">
        <v>2</v>
      </c>
      <c r="E213" s="164">
        <v>1325</v>
      </c>
      <c r="F213" s="152">
        <v>147</v>
      </c>
      <c r="G213" s="164">
        <v>10119</v>
      </c>
    </row>
    <row r="214" spans="1:7" ht="30" x14ac:dyDescent="0.25">
      <c r="A214" s="152" t="s">
        <v>277</v>
      </c>
      <c r="B214" s="152">
        <v>2</v>
      </c>
      <c r="C214" s="164">
        <v>1608</v>
      </c>
      <c r="E214" s="152">
        <v>390</v>
      </c>
      <c r="F214" s="152">
        <v>30</v>
      </c>
      <c r="G214" s="164">
        <v>2030</v>
      </c>
    </row>
    <row r="215" spans="1:7" x14ac:dyDescent="0.25">
      <c r="A215" s="152" t="s">
        <v>278</v>
      </c>
      <c r="B215" s="152">
        <v>105</v>
      </c>
      <c r="C215" s="164">
        <v>39306</v>
      </c>
      <c r="D215" s="152">
        <v>26</v>
      </c>
      <c r="E215" s="164">
        <v>7612</v>
      </c>
      <c r="F215" s="152">
        <v>865</v>
      </c>
      <c r="G215" s="164">
        <v>47914</v>
      </c>
    </row>
    <row r="216" spans="1:7" x14ac:dyDescent="0.25">
      <c r="A216" s="152" t="s">
        <v>279</v>
      </c>
      <c r="B216" s="152">
        <v>14</v>
      </c>
      <c r="C216" s="164">
        <v>5362</v>
      </c>
      <c r="D216" s="152">
        <v>3</v>
      </c>
      <c r="E216" s="152">
        <v>834</v>
      </c>
      <c r="F216" s="152">
        <v>136</v>
      </c>
      <c r="G216" s="164">
        <v>6349</v>
      </c>
    </row>
    <row r="217" spans="1:7" ht="30" x14ac:dyDescent="0.25">
      <c r="A217" s="152" t="s">
        <v>280</v>
      </c>
      <c r="B217" s="152">
        <v>1</v>
      </c>
      <c r="C217" s="152">
        <v>864</v>
      </c>
      <c r="D217" s="152">
        <v>1</v>
      </c>
      <c r="E217" s="152">
        <v>135</v>
      </c>
      <c r="F217" s="152">
        <v>24</v>
      </c>
      <c r="G217" s="164">
        <v>1025</v>
      </c>
    </row>
    <row r="218" spans="1:7" ht="30" x14ac:dyDescent="0.25">
      <c r="A218" s="152" t="s">
        <v>281</v>
      </c>
      <c r="B218" s="152">
        <v>8</v>
      </c>
      <c r="C218" s="164">
        <v>3230</v>
      </c>
      <c r="D218" s="152">
        <v>1</v>
      </c>
      <c r="E218" s="152">
        <v>631</v>
      </c>
      <c r="F218" s="152">
        <v>64</v>
      </c>
      <c r="G218" s="164">
        <v>3934</v>
      </c>
    </row>
    <row r="219" spans="1:7" ht="30" x14ac:dyDescent="0.25">
      <c r="A219" s="152" t="s">
        <v>282</v>
      </c>
      <c r="B219" s="152">
        <v>5</v>
      </c>
      <c r="C219" s="164">
        <v>3240</v>
      </c>
      <c r="D219" s="152">
        <v>1</v>
      </c>
      <c r="E219" s="152">
        <v>558</v>
      </c>
      <c r="F219" s="152">
        <v>77</v>
      </c>
      <c r="G219" s="164">
        <v>3881</v>
      </c>
    </row>
    <row r="220" spans="1:7" x14ac:dyDescent="0.25">
      <c r="A220" s="152" t="s">
        <v>36</v>
      </c>
      <c r="B220" s="153">
        <f>SUM(B190:B219)</f>
        <v>464</v>
      </c>
      <c r="C220" s="153">
        <f t="shared" ref="C220:G220" si="4">SUM(C190:C219)</f>
        <v>189252</v>
      </c>
      <c r="D220" s="153">
        <f t="shared" si="4"/>
        <v>101</v>
      </c>
      <c r="E220" s="153">
        <f t="shared" si="4"/>
        <v>34438</v>
      </c>
      <c r="F220" s="153">
        <f t="shared" si="4"/>
        <v>3950</v>
      </c>
      <c r="G220" s="153">
        <f t="shared" si="4"/>
        <v>228205</v>
      </c>
    </row>
    <row r="221" spans="1:7" x14ac:dyDescent="0.25">
      <c r="A221" s="152"/>
      <c r="B221" s="152"/>
      <c r="C221" s="152"/>
      <c r="D221" s="152"/>
      <c r="E221" s="188"/>
      <c r="F221" s="165"/>
      <c r="G221" s="162"/>
    </row>
    <row r="225" spans="1:8" ht="45" x14ac:dyDescent="0.25">
      <c r="A225" s="152" t="s">
        <v>283</v>
      </c>
      <c r="B225" s="172"/>
      <c r="C225" s="172"/>
      <c r="D225" s="172"/>
      <c r="E225" s="173"/>
    </row>
    <row r="226" spans="1:8" x14ac:dyDescent="0.25">
      <c r="A226" s="152"/>
      <c r="B226" s="152"/>
      <c r="C226" s="152"/>
      <c r="E226" s="161"/>
    </row>
    <row r="227" spans="1:8" x14ac:dyDescent="0.25">
      <c r="A227" s="152"/>
      <c r="B227" s="152"/>
      <c r="C227" s="152"/>
      <c r="D227" s="172"/>
      <c r="E227" s="172"/>
      <c r="F227" s="172"/>
      <c r="G227" s="173"/>
    </row>
    <row r="228" spans="1:8" ht="30" x14ac:dyDescent="0.25">
      <c r="A228" s="152"/>
      <c r="B228" s="152"/>
      <c r="C228" s="152" t="s">
        <v>516</v>
      </c>
      <c r="D228" s="152"/>
      <c r="G228" s="161"/>
    </row>
    <row r="229" spans="1:8" x14ac:dyDescent="0.25">
      <c r="A229" s="152" t="s">
        <v>141</v>
      </c>
      <c r="B229" s="152" t="s">
        <v>495</v>
      </c>
      <c r="C229" s="152" t="s">
        <v>496</v>
      </c>
      <c r="D229" s="152" t="s">
        <v>497</v>
      </c>
      <c r="E229" s="152" t="s">
        <v>498</v>
      </c>
      <c r="F229" s="152" t="s">
        <v>499</v>
      </c>
      <c r="G229" s="152" t="s">
        <v>36</v>
      </c>
      <c r="H229" s="161"/>
    </row>
    <row r="230" spans="1:8" x14ac:dyDescent="0.25">
      <c r="A230" s="152"/>
      <c r="B230" s="152"/>
      <c r="C230" s="152"/>
      <c r="H230" s="161"/>
    </row>
    <row r="231" spans="1:8" ht="30" x14ac:dyDescent="0.25">
      <c r="A231" s="152" t="s">
        <v>284</v>
      </c>
      <c r="B231" s="152">
        <v>4</v>
      </c>
      <c r="C231" s="152">
        <v>815</v>
      </c>
      <c r="D231" s="152">
        <v>0</v>
      </c>
      <c r="E231" s="152">
        <v>128</v>
      </c>
      <c r="F231" s="152">
        <v>23</v>
      </c>
      <c r="G231" s="152">
        <v>970</v>
      </c>
      <c r="H231" s="161"/>
    </row>
    <row r="232" spans="1:8" x14ac:dyDescent="0.25">
      <c r="A232" s="152" t="s">
        <v>285</v>
      </c>
      <c r="B232" s="152">
        <v>4</v>
      </c>
      <c r="C232" s="152">
        <v>863</v>
      </c>
      <c r="D232" s="152">
        <v>0</v>
      </c>
      <c r="E232" s="152">
        <v>151</v>
      </c>
      <c r="F232" s="152">
        <v>9</v>
      </c>
      <c r="G232" s="164">
        <v>1027</v>
      </c>
      <c r="H232" s="161"/>
    </row>
    <row r="233" spans="1:8" x14ac:dyDescent="0.25">
      <c r="A233" s="152" t="s">
        <v>286</v>
      </c>
      <c r="B233" s="152">
        <v>16</v>
      </c>
      <c r="C233" s="164">
        <v>5959</v>
      </c>
      <c r="D233" s="152">
        <v>3</v>
      </c>
      <c r="E233" s="164">
        <v>1709</v>
      </c>
      <c r="F233" s="152">
        <v>121</v>
      </c>
      <c r="G233" s="164">
        <v>7808</v>
      </c>
      <c r="H233" s="161"/>
    </row>
    <row r="234" spans="1:8" x14ac:dyDescent="0.25">
      <c r="A234" s="152" t="s">
        <v>287</v>
      </c>
      <c r="B234" s="152">
        <v>18</v>
      </c>
      <c r="C234" s="164">
        <v>5555</v>
      </c>
      <c r="D234" s="152">
        <v>3</v>
      </c>
      <c r="E234" s="164">
        <v>1081</v>
      </c>
      <c r="F234" s="152">
        <v>116</v>
      </c>
      <c r="G234" s="164">
        <v>6773</v>
      </c>
      <c r="H234" s="161"/>
    </row>
    <row r="235" spans="1:8" x14ac:dyDescent="0.25">
      <c r="A235" s="152" t="s">
        <v>511</v>
      </c>
      <c r="B235" s="152">
        <v>11</v>
      </c>
      <c r="C235" s="164">
        <v>6031</v>
      </c>
      <c r="D235" s="186">
        <v>0</v>
      </c>
      <c r="E235" s="164">
        <v>1432</v>
      </c>
      <c r="F235" s="152">
        <v>117</v>
      </c>
      <c r="G235" s="164">
        <v>7591</v>
      </c>
      <c r="H235" s="161"/>
    </row>
    <row r="236" spans="1:8" ht="30" x14ac:dyDescent="0.25">
      <c r="A236" s="152" t="s">
        <v>288</v>
      </c>
      <c r="B236" s="152">
        <v>44</v>
      </c>
      <c r="C236" s="164">
        <v>13344</v>
      </c>
      <c r="D236" s="152">
        <v>12</v>
      </c>
      <c r="E236" s="164">
        <v>2946</v>
      </c>
      <c r="F236" s="152">
        <v>274</v>
      </c>
      <c r="G236" s="164">
        <v>16620</v>
      </c>
      <c r="H236" s="161"/>
    </row>
    <row r="237" spans="1:8" ht="30" x14ac:dyDescent="0.25">
      <c r="A237" s="152" t="s">
        <v>289</v>
      </c>
      <c r="B237" s="152">
        <v>113</v>
      </c>
      <c r="C237" s="164">
        <v>35778</v>
      </c>
      <c r="D237" s="152">
        <v>37</v>
      </c>
      <c r="E237" s="164">
        <v>8576</v>
      </c>
      <c r="F237" s="152">
        <v>804</v>
      </c>
      <c r="G237" s="164">
        <v>45308</v>
      </c>
      <c r="H237" s="161"/>
    </row>
    <row r="238" spans="1:8" x14ac:dyDescent="0.25">
      <c r="A238" s="152" t="s">
        <v>290</v>
      </c>
      <c r="B238" s="152">
        <v>3</v>
      </c>
      <c r="C238" s="164">
        <v>1171</v>
      </c>
      <c r="D238" s="152">
        <v>1</v>
      </c>
      <c r="E238" s="152">
        <v>424</v>
      </c>
      <c r="F238" s="152">
        <v>50</v>
      </c>
      <c r="G238" s="164">
        <v>1649</v>
      </c>
      <c r="H238" s="161"/>
    </row>
    <row r="239" spans="1:8" x14ac:dyDescent="0.25">
      <c r="A239" s="152" t="s">
        <v>291</v>
      </c>
      <c r="B239" s="152">
        <v>45</v>
      </c>
      <c r="C239" s="164">
        <v>18189</v>
      </c>
      <c r="D239" s="152">
        <v>11</v>
      </c>
      <c r="E239" s="164">
        <v>4342</v>
      </c>
      <c r="F239" s="152">
        <v>373</v>
      </c>
      <c r="G239" s="164">
        <v>22960</v>
      </c>
      <c r="H239" s="161"/>
    </row>
    <row r="240" spans="1:8" ht="30" x14ac:dyDescent="0.25">
      <c r="A240" s="152" t="s">
        <v>292</v>
      </c>
      <c r="B240" s="152">
        <v>22</v>
      </c>
      <c r="C240" s="164">
        <v>5903</v>
      </c>
      <c r="D240" s="152">
        <v>2</v>
      </c>
      <c r="E240" s="164">
        <v>1890</v>
      </c>
      <c r="F240" s="152">
        <v>107</v>
      </c>
      <c r="G240" s="164">
        <v>7924</v>
      </c>
      <c r="H240" s="161"/>
    </row>
    <row r="241" spans="1:9" x14ac:dyDescent="0.25">
      <c r="A241" s="152" t="s">
        <v>293</v>
      </c>
      <c r="B241" s="152">
        <v>2</v>
      </c>
      <c r="C241" s="164">
        <v>2299</v>
      </c>
      <c r="D241" s="164">
        <v>0</v>
      </c>
      <c r="E241" s="152">
        <v>393</v>
      </c>
      <c r="F241" s="152">
        <v>45</v>
      </c>
      <c r="G241" s="164">
        <v>2739</v>
      </c>
      <c r="I241" s="161"/>
    </row>
    <row r="242" spans="1:9" x14ac:dyDescent="0.25">
      <c r="A242" s="152" t="s">
        <v>294</v>
      </c>
      <c r="B242" s="152">
        <v>44</v>
      </c>
      <c r="C242" s="164">
        <v>15216</v>
      </c>
      <c r="D242" s="152">
        <v>11</v>
      </c>
      <c r="E242" s="164">
        <v>3105</v>
      </c>
      <c r="F242" s="152">
        <v>292</v>
      </c>
      <c r="G242" s="164">
        <v>18668</v>
      </c>
      <c r="H242" s="161"/>
    </row>
    <row r="243" spans="1:9" x14ac:dyDescent="0.25">
      <c r="A243" s="152" t="s">
        <v>295</v>
      </c>
      <c r="B243" s="152">
        <v>10</v>
      </c>
      <c r="C243" s="164">
        <v>3863</v>
      </c>
      <c r="D243" s="152">
        <v>3</v>
      </c>
      <c r="E243" s="152">
        <v>829</v>
      </c>
      <c r="F243" s="152">
        <v>90</v>
      </c>
      <c r="G243" s="164">
        <v>4795</v>
      </c>
      <c r="H243" s="161"/>
    </row>
    <row r="244" spans="1:9" x14ac:dyDescent="0.25">
      <c r="A244" s="152" t="s">
        <v>296</v>
      </c>
      <c r="B244" s="152">
        <v>16</v>
      </c>
      <c r="C244" s="164">
        <v>5049</v>
      </c>
      <c r="D244" s="152">
        <v>1</v>
      </c>
      <c r="E244" s="164">
        <v>1158</v>
      </c>
      <c r="F244" s="152">
        <v>108</v>
      </c>
      <c r="G244" s="164">
        <v>6332</v>
      </c>
      <c r="H244" s="161"/>
    </row>
    <row r="245" spans="1:9" x14ac:dyDescent="0.25">
      <c r="A245" s="152" t="s">
        <v>297</v>
      </c>
      <c r="B245" s="152">
        <v>11</v>
      </c>
      <c r="C245" s="164">
        <v>4313</v>
      </c>
      <c r="D245" s="152">
        <v>1</v>
      </c>
      <c r="E245" s="163">
        <v>1292</v>
      </c>
      <c r="F245" s="152">
        <v>115</v>
      </c>
      <c r="G245" s="164">
        <v>5732</v>
      </c>
      <c r="H245" s="161"/>
    </row>
    <row r="246" spans="1:9" ht="30" x14ac:dyDescent="0.25">
      <c r="A246" s="152" t="s">
        <v>298</v>
      </c>
      <c r="B246" s="152">
        <v>10</v>
      </c>
      <c r="C246" s="164">
        <v>3287</v>
      </c>
      <c r="D246" s="152">
        <v>1</v>
      </c>
      <c r="E246">
        <v>768</v>
      </c>
      <c r="F246" s="152">
        <v>71</v>
      </c>
      <c r="G246" s="164">
        <v>4137</v>
      </c>
      <c r="H246" s="161"/>
    </row>
    <row r="247" spans="1:9" ht="30" x14ac:dyDescent="0.25">
      <c r="A247" s="152" t="s">
        <v>299</v>
      </c>
      <c r="B247" s="152">
        <v>78</v>
      </c>
      <c r="C247" s="164">
        <v>33883</v>
      </c>
      <c r="D247" s="152">
        <v>13</v>
      </c>
      <c r="E247" s="163">
        <v>6500</v>
      </c>
      <c r="F247" s="152">
        <v>708</v>
      </c>
      <c r="G247" s="164">
        <v>41182</v>
      </c>
      <c r="H247" s="161"/>
    </row>
    <row r="248" spans="1:9" x14ac:dyDescent="0.25">
      <c r="A248" s="152" t="s">
        <v>300</v>
      </c>
      <c r="B248" s="152">
        <v>22</v>
      </c>
      <c r="C248" s="164">
        <v>9398</v>
      </c>
      <c r="D248" s="152">
        <v>3</v>
      </c>
      <c r="E248" s="163">
        <v>2441</v>
      </c>
      <c r="F248" s="152">
        <v>172</v>
      </c>
      <c r="G248" s="164">
        <v>12036</v>
      </c>
      <c r="H248" s="161"/>
    </row>
    <row r="249" spans="1:9" x14ac:dyDescent="0.25">
      <c r="A249" s="152" t="s">
        <v>301</v>
      </c>
      <c r="B249" s="152">
        <v>20</v>
      </c>
      <c r="C249" s="164">
        <v>6090</v>
      </c>
      <c r="D249" s="152">
        <v>6</v>
      </c>
      <c r="E249" s="163">
        <v>1218</v>
      </c>
      <c r="F249" s="152">
        <v>125</v>
      </c>
      <c r="G249" s="164">
        <v>7459</v>
      </c>
      <c r="H249" s="161"/>
    </row>
    <row r="250" spans="1:9" ht="30" x14ac:dyDescent="0.25">
      <c r="A250" s="152" t="s">
        <v>302</v>
      </c>
      <c r="B250" s="152">
        <v>10</v>
      </c>
      <c r="C250" s="164">
        <v>5056</v>
      </c>
      <c r="D250" s="152">
        <v>4</v>
      </c>
      <c r="E250" s="163">
        <v>1117</v>
      </c>
      <c r="F250" s="152">
        <v>110</v>
      </c>
      <c r="G250" s="164">
        <v>6297</v>
      </c>
      <c r="H250" s="161"/>
    </row>
    <row r="251" spans="1:9" x14ac:dyDescent="0.25">
      <c r="A251" s="152" t="s">
        <v>303</v>
      </c>
      <c r="B251" s="152">
        <v>8</v>
      </c>
      <c r="C251" s="164">
        <v>1921</v>
      </c>
      <c r="E251" s="152">
        <v>324</v>
      </c>
      <c r="F251" s="152">
        <v>47</v>
      </c>
      <c r="G251" s="164">
        <v>2300</v>
      </c>
      <c r="H251" s="161"/>
    </row>
    <row r="252" spans="1:9" x14ac:dyDescent="0.25">
      <c r="A252" s="152" t="s">
        <v>304</v>
      </c>
      <c r="B252" s="152">
        <v>22</v>
      </c>
      <c r="C252" s="164">
        <v>8390</v>
      </c>
      <c r="D252" s="152">
        <v>2</v>
      </c>
      <c r="E252" s="163">
        <v>1974</v>
      </c>
      <c r="F252" s="152">
        <v>155</v>
      </c>
      <c r="G252" s="164">
        <v>10543</v>
      </c>
      <c r="H252" s="161"/>
    </row>
    <row r="253" spans="1:9" x14ac:dyDescent="0.25">
      <c r="A253" s="152" t="s">
        <v>305</v>
      </c>
      <c r="B253" s="152">
        <v>2</v>
      </c>
      <c r="C253" s="152">
        <v>975</v>
      </c>
      <c r="D253" s="152">
        <v>1</v>
      </c>
      <c r="E253">
        <v>124</v>
      </c>
      <c r="F253" s="152">
        <v>20</v>
      </c>
      <c r="G253" s="164">
        <v>1122</v>
      </c>
      <c r="H253" s="161"/>
    </row>
    <row r="254" spans="1:9" x14ac:dyDescent="0.25">
      <c r="A254" s="152" t="s">
        <v>306</v>
      </c>
      <c r="B254" s="152">
        <v>4</v>
      </c>
      <c r="C254" s="164">
        <v>2024</v>
      </c>
      <c r="E254" s="152">
        <v>351</v>
      </c>
      <c r="F254" s="152">
        <v>35</v>
      </c>
      <c r="G254" s="164">
        <v>2414</v>
      </c>
      <c r="H254" s="161"/>
    </row>
    <row r="255" spans="1:9" ht="30" x14ac:dyDescent="0.25">
      <c r="A255" s="152" t="s">
        <v>307</v>
      </c>
      <c r="B255" s="152">
        <v>38</v>
      </c>
      <c r="C255" s="164">
        <v>14176</v>
      </c>
      <c r="D255" s="152">
        <v>7</v>
      </c>
      <c r="E255" s="163">
        <v>3543</v>
      </c>
      <c r="F255" s="152">
        <v>373</v>
      </c>
      <c r="G255" s="164">
        <v>18137</v>
      </c>
    </row>
    <row r="256" spans="1:9" ht="30" x14ac:dyDescent="0.25">
      <c r="A256" s="152" t="s">
        <v>308</v>
      </c>
      <c r="B256" s="152">
        <v>6</v>
      </c>
      <c r="C256" s="152">
        <v>791</v>
      </c>
      <c r="E256" s="152">
        <v>155</v>
      </c>
      <c r="F256" s="152">
        <v>19</v>
      </c>
      <c r="G256" s="152">
        <v>971</v>
      </c>
      <c r="H256" s="161"/>
    </row>
    <row r="257" spans="1:8" ht="30" x14ac:dyDescent="0.25">
      <c r="A257" s="152" t="s">
        <v>309</v>
      </c>
      <c r="B257" s="152">
        <v>11</v>
      </c>
      <c r="C257" s="164">
        <v>2684</v>
      </c>
      <c r="D257" s="152">
        <v>3</v>
      </c>
      <c r="E257">
        <v>487</v>
      </c>
      <c r="F257" s="152">
        <v>50</v>
      </c>
      <c r="G257" s="164">
        <v>3235</v>
      </c>
      <c r="H257" s="161"/>
    </row>
    <row r="258" spans="1:8" ht="30" x14ac:dyDescent="0.25">
      <c r="A258" s="152" t="s">
        <v>310</v>
      </c>
      <c r="B258" s="152">
        <v>9</v>
      </c>
      <c r="C258" s="164">
        <v>2616</v>
      </c>
      <c r="D258" s="152">
        <v>1</v>
      </c>
      <c r="E258">
        <v>663</v>
      </c>
      <c r="F258" s="152">
        <v>63</v>
      </c>
      <c r="G258" s="164">
        <v>3352</v>
      </c>
      <c r="H258" s="161"/>
    </row>
    <row r="259" spans="1:8" ht="30" x14ac:dyDescent="0.25">
      <c r="A259" s="152" t="s">
        <v>311</v>
      </c>
      <c r="B259" s="152">
        <v>82</v>
      </c>
      <c r="C259" s="164">
        <v>25316</v>
      </c>
      <c r="D259" s="152">
        <v>39</v>
      </c>
      <c r="E259" s="163">
        <v>6847</v>
      </c>
      <c r="F259" s="152">
        <v>597</v>
      </c>
      <c r="G259" s="164">
        <v>32881</v>
      </c>
      <c r="H259" s="161"/>
    </row>
    <row r="260" spans="1:8" x14ac:dyDescent="0.25">
      <c r="A260" s="152" t="s">
        <v>312</v>
      </c>
      <c r="B260" s="152">
        <v>2</v>
      </c>
      <c r="C260" s="164">
        <v>1390</v>
      </c>
      <c r="E260" s="152">
        <v>364</v>
      </c>
      <c r="F260" s="152">
        <v>41</v>
      </c>
      <c r="G260" s="164">
        <v>1797</v>
      </c>
      <c r="H260" s="161"/>
    </row>
    <row r="261" spans="1:8" x14ac:dyDescent="0.25">
      <c r="A261" s="152" t="s">
        <v>313</v>
      </c>
      <c r="B261" s="152">
        <v>34</v>
      </c>
      <c r="C261" s="164">
        <v>11181</v>
      </c>
      <c r="D261" s="152">
        <v>4</v>
      </c>
      <c r="E261" s="163">
        <v>2262</v>
      </c>
      <c r="F261" s="152">
        <v>210</v>
      </c>
      <c r="G261" s="164">
        <v>13691</v>
      </c>
      <c r="H261" s="161"/>
    </row>
    <row r="262" spans="1:8" x14ac:dyDescent="0.25">
      <c r="A262" s="152" t="s">
        <v>314</v>
      </c>
      <c r="B262" s="152">
        <v>12</v>
      </c>
      <c r="C262" s="164">
        <v>3050</v>
      </c>
      <c r="D262" s="152">
        <v>3</v>
      </c>
      <c r="E262">
        <v>531</v>
      </c>
      <c r="F262" s="152">
        <v>61</v>
      </c>
      <c r="G262" s="164">
        <v>3657</v>
      </c>
      <c r="H262" s="161"/>
    </row>
    <row r="263" spans="1:8" x14ac:dyDescent="0.25">
      <c r="A263" s="152" t="s">
        <v>315</v>
      </c>
      <c r="B263" s="152">
        <v>19</v>
      </c>
      <c r="C263" s="164">
        <v>5296</v>
      </c>
      <c r="E263" s="164">
        <v>1243</v>
      </c>
      <c r="F263" s="152">
        <v>108</v>
      </c>
      <c r="G263" s="164">
        <v>6666</v>
      </c>
      <c r="H263" s="161"/>
    </row>
    <row r="264" spans="1:8" x14ac:dyDescent="0.25">
      <c r="A264" s="152"/>
      <c r="H264" s="161"/>
    </row>
    <row r="265" spans="1:8" x14ac:dyDescent="0.25">
      <c r="A265" s="152" t="s">
        <v>36</v>
      </c>
      <c r="B265" s="153">
        <f>SUM(B231:B264)</f>
        <v>752</v>
      </c>
      <c r="C265" s="153">
        <f t="shared" ref="C265:G265" si="5">SUM(C231:C264)</f>
        <v>261872</v>
      </c>
      <c r="D265" s="153">
        <f t="shared" si="5"/>
        <v>172</v>
      </c>
      <c r="E265" s="153">
        <f t="shared" si="5"/>
        <v>60368</v>
      </c>
      <c r="F265" s="153">
        <f t="shared" si="5"/>
        <v>5609</v>
      </c>
      <c r="G265" s="153">
        <f t="shared" si="5"/>
        <v>328773</v>
      </c>
      <c r="H265" s="161"/>
    </row>
    <row r="266" spans="1:8" x14ac:dyDescent="0.25">
      <c r="A266" s="152"/>
      <c r="B266" s="152"/>
      <c r="C266" s="152"/>
      <c r="D266" s="165"/>
      <c r="E266" s="165"/>
      <c r="F266" s="165"/>
      <c r="G266" s="162"/>
    </row>
    <row r="267" spans="1:8" ht="45" x14ac:dyDescent="0.25">
      <c r="A267" s="152" t="s">
        <v>517</v>
      </c>
      <c r="B267" s="152" t="s">
        <v>518</v>
      </c>
      <c r="C267" s="152">
        <v>9</v>
      </c>
      <c r="D267" s="172"/>
      <c r="E267" s="172"/>
      <c r="F267" s="173"/>
    </row>
    <row r="268" spans="1:8" x14ac:dyDescent="0.25">
      <c r="A268" s="152"/>
      <c r="B268" s="152"/>
      <c r="C268" s="152"/>
      <c r="D268" s="152"/>
      <c r="F268" s="161"/>
    </row>
    <row r="269" spans="1:8" ht="30" x14ac:dyDescent="0.25">
      <c r="A269" s="152"/>
      <c r="B269" s="152"/>
      <c r="C269" s="152" t="s">
        <v>516</v>
      </c>
      <c r="D269" s="152"/>
      <c r="F269" s="161"/>
    </row>
    <row r="270" spans="1:8" x14ac:dyDescent="0.25">
      <c r="A270" s="152" t="s">
        <v>141</v>
      </c>
      <c r="B270" s="152" t="s">
        <v>495</v>
      </c>
      <c r="C270" s="152" t="s">
        <v>496</v>
      </c>
      <c r="D270" s="152" t="s">
        <v>497</v>
      </c>
      <c r="E270" t="s">
        <v>498</v>
      </c>
      <c r="F270" s="152" t="s">
        <v>499</v>
      </c>
      <c r="G270" s="152" t="s">
        <v>36</v>
      </c>
    </row>
    <row r="271" spans="1:8" x14ac:dyDescent="0.25">
      <c r="A271" s="152"/>
      <c r="B271" s="152"/>
      <c r="C271" s="152"/>
      <c r="D271" s="152"/>
      <c r="G271" s="161"/>
    </row>
    <row r="272" spans="1:8" x14ac:dyDescent="0.25">
      <c r="A272" s="152" t="s">
        <v>316</v>
      </c>
      <c r="B272" s="152">
        <v>25</v>
      </c>
      <c r="C272" s="164">
        <v>9666</v>
      </c>
      <c r="D272" s="152">
        <v>4</v>
      </c>
      <c r="E272" s="163">
        <v>2211</v>
      </c>
      <c r="F272" s="152">
        <v>190</v>
      </c>
      <c r="G272" s="164">
        <v>12096</v>
      </c>
    </row>
    <row r="273" spans="1:7" x14ac:dyDescent="0.25">
      <c r="A273" s="152" t="s">
        <v>317</v>
      </c>
      <c r="B273" s="152">
        <v>15</v>
      </c>
      <c r="C273" s="164">
        <v>4939</v>
      </c>
      <c r="E273" s="164">
        <v>1139</v>
      </c>
      <c r="F273" s="152">
        <v>109</v>
      </c>
      <c r="G273" s="164">
        <v>6202</v>
      </c>
    </row>
    <row r="274" spans="1:7" x14ac:dyDescent="0.25">
      <c r="A274" s="152" t="s">
        <v>318</v>
      </c>
      <c r="B274" s="152">
        <v>7</v>
      </c>
      <c r="C274" s="164">
        <v>1900</v>
      </c>
      <c r="E274" s="152">
        <v>377</v>
      </c>
      <c r="F274" s="152">
        <v>59</v>
      </c>
      <c r="G274" s="164">
        <v>2343</v>
      </c>
    </row>
    <row r="275" spans="1:7" x14ac:dyDescent="0.25">
      <c r="A275" s="152" t="s">
        <v>319</v>
      </c>
      <c r="B275" s="152">
        <v>12</v>
      </c>
      <c r="C275" s="164">
        <v>4094</v>
      </c>
      <c r="D275" s="152">
        <v>2</v>
      </c>
      <c r="E275">
        <v>789</v>
      </c>
      <c r="F275" s="152">
        <v>87</v>
      </c>
      <c r="G275" s="164">
        <v>4984</v>
      </c>
    </row>
    <row r="276" spans="1:7" x14ac:dyDescent="0.25">
      <c r="A276" s="152" t="s">
        <v>320</v>
      </c>
      <c r="B276" s="152">
        <v>10</v>
      </c>
      <c r="C276" s="164">
        <v>4058</v>
      </c>
      <c r="D276" s="152">
        <v>3</v>
      </c>
      <c r="E276">
        <v>798</v>
      </c>
      <c r="F276" s="152">
        <v>113</v>
      </c>
      <c r="G276" s="164">
        <v>4982</v>
      </c>
    </row>
    <row r="277" spans="1:7" ht="30" x14ac:dyDescent="0.25">
      <c r="A277" s="152" t="s">
        <v>321</v>
      </c>
      <c r="B277" s="152">
        <v>13</v>
      </c>
      <c r="C277" s="164">
        <v>3953</v>
      </c>
      <c r="D277" s="152">
        <v>1</v>
      </c>
      <c r="E277">
        <v>718</v>
      </c>
      <c r="F277" s="152">
        <v>98</v>
      </c>
      <c r="G277" s="164">
        <v>4783</v>
      </c>
    </row>
    <row r="278" spans="1:7" ht="30" x14ac:dyDescent="0.25">
      <c r="A278" s="152" t="s">
        <v>322</v>
      </c>
      <c r="B278" s="152">
        <v>3</v>
      </c>
      <c r="C278" s="164">
        <v>1348</v>
      </c>
      <c r="E278" s="152">
        <v>238</v>
      </c>
      <c r="F278" s="152">
        <v>33</v>
      </c>
      <c r="G278" s="164">
        <v>1622</v>
      </c>
    </row>
    <row r="279" spans="1:7" x14ac:dyDescent="0.25">
      <c r="A279" s="152" t="s">
        <v>323</v>
      </c>
      <c r="B279" s="152">
        <v>3</v>
      </c>
      <c r="C279" s="164">
        <v>1309</v>
      </c>
      <c r="D279" s="152">
        <v>1</v>
      </c>
      <c r="E279">
        <v>281</v>
      </c>
      <c r="F279" s="152">
        <v>25</v>
      </c>
      <c r="G279" s="164">
        <v>1619</v>
      </c>
    </row>
    <row r="280" spans="1:7" x14ac:dyDescent="0.25">
      <c r="A280" s="152" t="s">
        <v>324</v>
      </c>
      <c r="B280" s="152">
        <v>13</v>
      </c>
      <c r="C280" s="164">
        <v>4463</v>
      </c>
      <c r="D280" s="152">
        <v>1</v>
      </c>
      <c r="E280">
        <v>770</v>
      </c>
      <c r="F280" s="152">
        <v>93</v>
      </c>
      <c r="G280" s="164">
        <v>5340</v>
      </c>
    </row>
    <row r="281" spans="1:7" ht="30" x14ac:dyDescent="0.25">
      <c r="A281" s="152" t="s">
        <v>325</v>
      </c>
      <c r="B281" s="152">
        <v>8</v>
      </c>
      <c r="C281" s="164">
        <v>2191</v>
      </c>
      <c r="D281" s="152">
        <v>1</v>
      </c>
      <c r="E281">
        <v>524</v>
      </c>
      <c r="F281" s="152">
        <v>58</v>
      </c>
      <c r="G281" s="164">
        <v>2782</v>
      </c>
    </row>
    <row r="282" spans="1:7" x14ac:dyDescent="0.25">
      <c r="A282" s="152" t="s">
        <v>326</v>
      </c>
      <c r="B282" s="152">
        <v>8</v>
      </c>
      <c r="C282" s="164">
        <v>3449</v>
      </c>
      <c r="E282" s="152">
        <v>736</v>
      </c>
      <c r="F282" s="152">
        <v>78</v>
      </c>
      <c r="G282" s="164">
        <v>4271</v>
      </c>
    </row>
    <row r="283" spans="1:7" x14ac:dyDescent="0.25">
      <c r="A283" s="152" t="s">
        <v>327</v>
      </c>
      <c r="B283" s="152">
        <v>11</v>
      </c>
      <c r="C283" s="164">
        <v>5963</v>
      </c>
      <c r="D283" s="152">
        <v>2</v>
      </c>
      <c r="E283" s="163">
        <v>1283</v>
      </c>
      <c r="F283" s="152">
        <v>153</v>
      </c>
      <c r="G283" s="164">
        <v>7412</v>
      </c>
    </row>
    <row r="284" spans="1:7" x14ac:dyDescent="0.25">
      <c r="A284" s="152" t="s">
        <v>328</v>
      </c>
      <c r="B284" s="152">
        <v>12</v>
      </c>
      <c r="C284" s="164">
        <v>4568</v>
      </c>
      <c r="D284" s="152">
        <v>3</v>
      </c>
      <c r="E284">
        <v>802</v>
      </c>
      <c r="F284" s="152">
        <v>132</v>
      </c>
      <c r="G284" s="164">
        <v>5517</v>
      </c>
    </row>
    <row r="285" spans="1:7" ht="30" x14ac:dyDescent="0.25">
      <c r="A285" s="152" t="s">
        <v>329</v>
      </c>
      <c r="B285" s="152">
        <v>8</v>
      </c>
      <c r="C285" s="164">
        <v>1647</v>
      </c>
      <c r="E285" s="152">
        <v>347</v>
      </c>
      <c r="F285" s="152">
        <v>55</v>
      </c>
      <c r="G285" s="164">
        <v>2057</v>
      </c>
    </row>
    <row r="286" spans="1:7" x14ac:dyDescent="0.25">
      <c r="A286" s="152" t="s">
        <v>330</v>
      </c>
      <c r="B286" s="152">
        <v>7</v>
      </c>
      <c r="C286" s="164">
        <v>1420</v>
      </c>
      <c r="E286" s="152">
        <v>341</v>
      </c>
      <c r="F286" s="152">
        <v>37</v>
      </c>
      <c r="G286" s="164">
        <v>1805</v>
      </c>
    </row>
    <row r="287" spans="1:7" x14ac:dyDescent="0.25">
      <c r="A287" s="152" t="s">
        <v>331</v>
      </c>
      <c r="B287" s="152">
        <v>3</v>
      </c>
      <c r="C287" s="164">
        <v>1547</v>
      </c>
      <c r="E287" s="152">
        <v>327</v>
      </c>
      <c r="F287" s="152">
        <v>40</v>
      </c>
      <c r="G287" s="164">
        <v>1917</v>
      </c>
    </row>
    <row r="288" spans="1:7" x14ac:dyDescent="0.25">
      <c r="A288" s="152" t="s">
        <v>332</v>
      </c>
      <c r="B288" s="152">
        <v>7</v>
      </c>
      <c r="C288" s="164">
        <v>1419</v>
      </c>
      <c r="E288" s="152">
        <v>252</v>
      </c>
      <c r="F288" s="152">
        <v>52</v>
      </c>
      <c r="G288" s="164">
        <v>1730</v>
      </c>
    </row>
    <row r="289" spans="1:7" ht="30" x14ac:dyDescent="0.25">
      <c r="A289" s="152" t="s">
        <v>333</v>
      </c>
      <c r="B289" s="152">
        <v>13</v>
      </c>
      <c r="C289" s="164">
        <v>6025</v>
      </c>
      <c r="D289" s="152">
        <v>3</v>
      </c>
      <c r="E289" s="163">
        <v>1140</v>
      </c>
      <c r="F289" s="152">
        <v>162</v>
      </c>
      <c r="G289" s="164">
        <v>7343</v>
      </c>
    </row>
    <row r="290" spans="1:7" ht="30" x14ac:dyDescent="0.25">
      <c r="A290" s="152" t="s">
        <v>334</v>
      </c>
      <c r="B290" s="152">
        <v>29</v>
      </c>
      <c r="C290" s="164">
        <v>9961</v>
      </c>
      <c r="D290" s="152">
        <v>2</v>
      </c>
      <c r="E290" s="163">
        <v>2042</v>
      </c>
      <c r="F290" s="152">
        <v>292</v>
      </c>
      <c r="G290" s="164">
        <v>12326</v>
      </c>
    </row>
    <row r="291" spans="1:7" ht="30" x14ac:dyDescent="0.25">
      <c r="A291" s="152" t="s">
        <v>335</v>
      </c>
      <c r="B291" s="152">
        <v>1</v>
      </c>
      <c r="C291" s="164">
        <v>1085</v>
      </c>
      <c r="E291" s="152">
        <v>210</v>
      </c>
      <c r="F291" s="152">
        <v>28</v>
      </c>
      <c r="G291" s="164">
        <v>1324</v>
      </c>
    </row>
    <row r="292" spans="1:7" ht="30" x14ac:dyDescent="0.25">
      <c r="A292" s="152" t="s">
        <v>336</v>
      </c>
      <c r="B292" s="152">
        <v>14</v>
      </c>
      <c r="C292" s="164">
        <v>4874</v>
      </c>
      <c r="D292" s="152">
        <v>2</v>
      </c>
      <c r="E292" s="163">
        <v>1116</v>
      </c>
      <c r="F292" s="152">
        <v>128</v>
      </c>
      <c r="G292" s="164">
        <v>6134</v>
      </c>
    </row>
    <row r="293" spans="1:7" x14ac:dyDescent="0.25">
      <c r="A293" s="152" t="s">
        <v>337</v>
      </c>
      <c r="B293" s="152">
        <v>9</v>
      </c>
      <c r="C293" s="164">
        <v>3663</v>
      </c>
      <c r="D293" s="152">
        <v>2</v>
      </c>
      <c r="E293">
        <v>783</v>
      </c>
      <c r="F293" s="152">
        <v>117</v>
      </c>
      <c r="G293" s="164">
        <v>4574</v>
      </c>
    </row>
    <row r="294" spans="1:7" x14ac:dyDescent="0.25">
      <c r="A294" s="152" t="s">
        <v>338</v>
      </c>
      <c r="B294" s="152"/>
      <c r="C294" s="164">
        <v>2403</v>
      </c>
      <c r="E294" s="152">
        <v>632</v>
      </c>
      <c r="F294" s="152">
        <v>70</v>
      </c>
      <c r="G294" s="164">
        <v>3105</v>
      </c>
    </row>
    <row r="295" spans="1:7" x14ac:dyDescent="0.25">
      <c r="A295" s="152" t="s">
        <v>339</v>
      </c>
      <c r="B295" s="152">
        <v>3</v>
      </c>
      <c r="C295" s="164">
        <v>1857</v>
      </c>
      <c r="D295" s="152">
        <v>1</v>
      </c>
      <c r="E295">
        <v>467</v>
      </c>
      <c r="F295" s="152">
        <v>69</v>
      </c>
      <c r="G295" s="164">
        <v>2397</v>
      </c>
    </row>
    <row r="296" spans="1:7" x14ac:dyDescent="0.25">
      <c r="A296" s="152" t="s">
        <v>340</v>
      </c>
      <c r="B296" s="152">
        <v>10</v>
      </c>
      <c r="C296" s="164">
        <v>2325</v>
      </c>
      <c r="E296" s="152">
        <v>503</v>
      </c>
      <c r="F296" s="152">
        <v>55</v>
      </c>
      <c r="G296" s="164">
        <v>2893</v>
      </c>
    </row>
    <row r="297" spans="1:7" x14ac:dyDescent="0.25">
      <c r="A297" s="152" t="s">
        <v>341</v>
      </c>
      <c r="B297" s="152">
        <v>141</v>
      </c>
      <c r="C297" s="164">
        <v>42674</v>
      </c>
      <c r="D297" s="152">
        <v>17</v>
      </c>
      <c r="E297" s="163">
        <v>9506</v>
      </c>
      <c r="F297" s="152">
        <v>940</v>
      </c>
      <c r="G297" s="164">
        <v>53278</v>
      </c>
    </row>
    <row r="298" spans="1:7" ht="30" x14ac:dyDescent="0.25">
      <c r="A298" s="152" t="s">
        <v>342</v>
      </c>
      <c r="B298" s="152">
        <v>10</v>
      </c>
      <c r="C298" s="164">
        <v>2865</v>
      </c>
      <c r="D298" s="152">
        <v>1</v>
      </c>
      <c r="E298">
        <v>557</v>
      </c>
      <c r="F298" s="152">
        <v>59</v>
      </c>
      <c r="G298" s="164">
        <v>3492</v>
      </c>
    </row>
    <row r="299" spans="1:7" x14ac:dyDescent="0.25">
      <c r="A299" s="152" t="s">
        <v>343</v>
      </c>
      <c r="B299" s="152">
        <v>6</v>
      </c>
      <c r="C299" s="164">
        <v>1911</v>
      </c>
      <c r="E299" s="152">
        <v>467</v>
      </c>
      <c r="F299" s="152">
        <v>51</v>
      </c>
      <c r="G299" s="164">
        <v>2435</v>
      </c>
    </row>
    <row r="300" spans="1:7" x14ac:dyDescent="0.25">
      <c r="A300" s="152" t="s">
        <v>344</v>
      </c>
      <c r="B300" s="152">
        <v>13</v>
      </c>
      <c r="C300" s="164">
        <v>4227</v>
      </c>
      <c r="D300" s="152">
        <v>2</v>
      </c>
      <c r="E300" s="163">
        <v>1039</v>
      </c>
      <c r="F300" s="152">
        <v>81</v>
      </c>
      <c r="G300" s="164">
        <v>5362</v>
      </c>
    </row>
    <row r="301" spans="1:7" x14ac:dyDescent="0.25">
      <c r="A301" s="152" t="s">
        <v>345</v>
      </c>
      <c r="B301" s="152">
        <v>27</v>
      </c>
      <c r="C301" s="164">
        <v>7246</v>
      </c>
      <c r="D301" s="152">
        <v>6</v>
      </c>
      <c r="E301" s="163">
        <v>1584</v>
      </c>
      <c r="F301" s="152">
        <v>165</v>
      </c>
      <c r="G301" s="164">
        <v>9028</v>
      </c>
    </row>
    <row r="302" spans="1:7" x14ac:dyDescent="0.25">
      <c r="A302" s="152" t="s">
        <v>346</v>
      </c>
      <c r="B302" s="152">
        <v>12</v>
      </c>
      <c r="C302" s="164">
        <v>4318</v>
      </c>
      <c r="D302" s="152">
        <v>1</v>
      </c>
      <c r="E302">
        <v>899</v>
      </c>
      <c r="F302" s="152">
        <v>115</v>
      </c>
      <c r="G302" s="164">
        <v>5345</v>
      </c>
    </row>
    <row r="303" spans="1:7" x14ac:dyDescent="0.25">
      <c r="A303" s="152" t="s">
        <v>347</v>
      </c>
      <c r="B303" s="152">
        <v>18</v>
      </c>
      <c r="C303" s="164">
        <v>10264</v>
      </c>
      <c r="D303" s="152">
        <v>4</v>
      </c>
      <c r="E303" s="163">
        <v>1970</v>
      </c>
      <c r="F303" s="152">
        <v>286</v>
      </c>
      <c r="G303" s="164">
        <v>12542</v>
      </c>
    </row>
    <row r="304" spans="1:7" x14ac:dyDescent="0.25">
      <c r="A304" s="152" t="s">
        <v>36</v>
      </c>
      <c r="B304" s="153">
        <f>SUM(B272:B303)</f>
        <v>471</v>
      </c>
      <c r="C304" s="153">
        <f t="shared" ref="C304:G304" si="6">SUM(C272:C303)</f>
        <v>163632</v>
      </c>
      <c r="D304" s="153">
        <f t="shared" si="6"/>
        <v>59</v>
      </c>
      <c r="E304" s="153">
        <f t="shared" si="6"/>
        <v>34848</v>
      </c>
      <c r="F304" s="153">
        <f t="shared" si="6"/>
        <v>4030</v>
      </c>
      <c r="G304" s="153">
        <f t="shared" si="6"/>
        <v>203040</v>
      </c>
    </row>
    <row r="305" spans="1:7" x14ac:dyDescent="0.25">
      <c r="A305" s="152"/>
      <c r="B305" s="152"/>
      <c r="C305" s="152"/>
      <c r="D305" s="152"/>
      <c r="F305" s="161"/>
    </row>
    <row r="306" spans="1:7" x14ac:dyDescent="0.25">
      <c r="A306" s="152"/>
      <c r="B306" s="165"/>
      <c r="C306" s="165"/>
      <c r="D306" s="165"/>
      <c r="E306" s="165"/>
      <c r="F306" s="162"/>
    </row>
    <row r="308" spans="1:7" ht="45" x14ac:dyDescent="0.25">
      <c r="A308" s="152" t="s">
        <v>348</v>
      </c>
      <c r="B308" s="172"/>
      <c r="C308" s="172"/>
      <c r="D308" s="172"/>
      <c r="E308" s="173"/>
    </row>
    <row r="309" spans="1:7" x14ac:dyDescent="0.25">
      <c r="A309" s="152"/>
      <c r="B309" s="152"/>
      <c r="C309" s="152"/>
      <c r="E309" s="161"/>
    </row>
    <row r="310" spans="1:7" x14ac:dyDescent="0.25">
      <c r="A310" s="152"/>
      <c r="B310" s="152"/>
      <c r="C310" s="152"/>
      <c r="D310" s="172"/>
      <c r="E310" s="172"/>
      <c r="F310" s="172"/>
      <c r="G310" s="173"/>
    </row>
    <row r="311" spans="1:7" ht="30" x14ac:dyDescent="0.25">
      <c r="A311" s="152"/>
      <c r="B311" s="152"/>
      <c r="C311" s="152" t="s">
        <v>516</v>
      </c>
      <c r="D311" s="152"/>
      <c r="G311" s="161"/>
    </row>
    <row r="312" spans="1:7" x14ac:dyDescent="0.25">
      <c r="A312" s="152" t="s">
        <v>141</v>
      </c>
      <c r="B312" s="152" t="s">
        <v>495</v>
      </c>
      <c r="C312" s="152" t="s">
        <v>496</v>
      </c>
      <c r="D312" s="152" t="s">
        <v>497</v>
      </c>
      <c r="E312" t="s">
        <v>498</v>
      </c>
      <c r="F312" s="152" t="s">
        <v>36</v>
      </c>
      <c r="G312" s="161"/>
    </row>
    <row r="313" spans="1:7" x14ac:dyDescent="0.25">
      <c r="A313" s="152"/>
      <c r="B313" s="152"/>
      <c r="C313" s="152"/>
      <c r="G313" s="161"/>
    </row>
    <row r="314" spans="1:7" x14ac:dyDescent="0.25">
      <c r="A314" s="152" t="s">
        <v>349</v>
      </c>
      <c r="B314" s="152">
        <v>15</v>
      </c>
      <c r="C314" s="164">
        <v>7617</v>
      </c>
      <c r="D314" s="152">
        <v>7</v>
      </c>
      <c r="E314" s="163">
        <v>1476</v>
      </c>
      <c r="F314" s="164">
        <v>9277</v>
      </c>
      <c r="G314" s="161"/>
    </row>
    <row r="315" spans="1:7" x14ac:dyDescent="0.25">
      <c r="A315" s="152" t="s">
        <v>350</v>
      </c>
      <c r="B315" s="152">
        <v>17</v>
      </c>
      <c r="C315" s="164">
        <v>5174</v>
      </c>
      <c r="D315" s="152">
        <v>2</v>
      </c>
      <c r="E315">
        <v>959</v>
      </c>
      <c r="F315" s="164">
        <v>6285</v>
      </c>
      <c r="G315" s="161"/>
    </row>
    <row r="316" spans="1:7" x14ac:dyDescent="0.25">
      <c r="A316" s="152" t="s">
        <v>351</v>
      </c>
      <c r="B316" s="152">
        <v>16</v>
      </c>
      <c r="C316" s="164">
        <v>7188</v>
      </c>
      <c r="D316" s="152">
        <v>8</v>
      </c>
      <c r="E316" s="163">
        <v>1675</v>
      </c>
      <c r="F316" s="164">
        <v>9051</v>
      </c>
      <c r="G316" s="161"/>
    </row>
    <row r="317" spans="1:7" x14ac:dyDescent="0.25">
      <c r="A317" s="152" t="s">
        <v>352</v>
      </c>
      <c r="B317" s="152">
        <v>1</v>
      </c>
      <c r="C317" s="152">
        <v>540</v>
      </c>
      <c r="E317" s="152">
        <v>90</v>
      </c>
      <c r="F317" s="152">
        <v>647</v>
      </c>
      <c r="G317" s="161"/>
    </row>
    <row r="318" spans="1:7" x14ac:dyDescent="0.25">
      <c r="A318" s="152" t="s">
        <v>353</v>
      </c>
      <c r="B318" s="152">
        <v>9</v>
      </c>
      <c r="C318" s="164">
        <v>2331</v>
      </c>
      <c r="D318" s="152">
        <v>1</v>
      </c>
      <c r="E318">
        <v>386</v>
      </c>
      <c r="F318" s="164">
        <v>2768</v>
      </c>
      <c r="G318" s="161"/>
    </row>
    <row r="319" spans="1:7" x14ac:dyDescent="0.25">
      <c r="A319" s="152" t="s">
        <v>354</v>
      </c>
      <c r="B319" s="152">
        <v>2</v>
      </c>
      <c r="C319" s="152">
        <v>711</v>
      </c>
      <c r="D319" s="152">
        <v>1</v>
      </c>
      <c r="E319">
        <v>116</v>
      </c>
      <c r="F319" s="152">
        <v>846</v>
      </c>
      <c r="G319" s="161"/>
    </row>
    <row r="320" spans="1:7" ht="30" x14ac:dyDescent="0.25">
      <c r="A320" s="152" t="s">
        <v>355</v>
      </c>
      <c r="B320" s="152">
        <v>1</v>
      </c>
      <c r="C320" s="152">
        <v>675</v>
      </c>
      <c r="E320" s="152">
        <v>110</v>
      </c>
      <c r="F320" s="152">
        <v>802</v>
      </c>
      <c r="G320" s="161"/>
    </row>
    <row r="321" spans="1:7" x14ac:dyDescent="0.25">
      <c r="A321" s="152" t="s">
        <v>356</v>
      </c>
      <c r="B321" s="152">
        <v>4</v>
      </c>
      <c r="C321" s="164">
        <v>1923</v>
      </c>
      <c r="D321" s="152">
        <v>3</v>
      </c>
      <c r="E321">
        <v>322</v>
      </c>
      <c r="F321" s="164">
        <v>2306</v>
      </c>
      <c r="G321" s="161"/>
    </row>
    <row r="322" spans="1:7" x14ac:dyDescent="0.25">
      <c r="A322" s="152" t="s">
        <v>357</v>
      </c>
      <c r="B322" s="152">
        <v>12</v>
      </c>
      <c r="C322" s="164">
        <v>2347</v>
      </c>
      <c r="E322" s="152">
        <v>468</v>
      </c>
      <c r="F322" s="164">
        <v>2879</v>
      </c>
      <c r="G322" s="161"/>
    </row>
    <row r="323" spans="1:7" x14ac:dyDescent="0.25">
      <c r="A323" s="152" t="s">
        <v>358</v>
      </c>
      <c r="B323" s="152">
        <v>8</v>
      </c>
      <c r="C323" s="164">
        <v>3125</v>
      </c>
      <c r="D323" s="152">
        <v>2</v>
      </c>
      <c r="E323">
        <v>583</v>
      </c>
      <c r="F323" s="164">
        <v>3791</v>
      </c>
      <c r="G323" s="161"/>
    </row>
    <row r="324" spans="1:7" x14ac:dyDescent="0.25">
      <c r="A324" s="152" t="s">
        <v>359</v>
      </c>
      <c r="B324" s="152">
        <v>1</v>
      </c>
      <c r="C324" s="152">
        <v>410</v>
      </c>
      <c r="E324" s="152">
        <v>57</v>
      </c>
      <c r="F324" s="152">
        <v>479</v>
      </c>
      <c r="G324" s="161"/>
    </row>
    <row r="325" spans="1:7" x14ac:dyDescent="0.25">
      <c r="A325" s="152" t="s">
        <v>360</v>
      </c>
      <c r="B325" s="152">
        <v>5</v>
      </c>
      <c r="C325" s="164">
        <v>1234</v>
      </c>
      <c r="E325" s="152">
        <v>289</v>
      </c>
      <c r="F325" s="164">
        <v>1567</v>
      </c>
      <c r="G325" s="161"/>
    </row>
    <row r="326" spans="1:7" ht="30" x14ac:dyDescent="0.25">
      <c r="A326" s="152" t="s">
        <v>361</v>
      </c>
      <c r="B326" s="152">
        <v>6</v>
      </c>
      <c r="C326" s="164">
        <v>3044</v>
      </c>
      <c r="D326" s="152">
        <v>1</v>
      </c>
      <c r="E326">
        <v>704</v>
      </c>
      <c r="F326" s="164">
        <v>3820</v>
      </c>
      <c r="G326" s="161"/>
    </row>
    <row r="327" spans="1:7" ht="30" x14ac:dyDescent="0.25">
      <c r="A327" s="152" t="s">
        <v>362</v>
      </c>
      <c r="B327" s="152">
        <v>8</v>
      </c>
      <c r="C327" s="164">
        <v>3285</v>
      </c>
      <c r="D327" s="152">
        <v>1</v>
      </c>
      <c r="E327">
        <v>846</v>
      </c>
      <c r="F327" s="164">
        <v>4215</v>
      </c>
      <c r="G327" s="161"/>
    </row>
    <row r="328" spans="1:7" x14ac:dyDescent="0.25">
      <c r="A328" s="152" t="s">
        <v>363</v>
      </c>
      <c r="B328" s="152">
        <v>12</v>
      </c>
      <c r="C328" s="164">
        <v>2909</v>
      </c>
      <c r="D328" s="152">
        <v>1</v>
      </c>
      <c r="E328">
        <v>602</v>
      </c>
      <c r="F328" s="164">
        <v>3603</v>
      </c>
      <c r="G328" s="161"/>
    </row>
    <row r="329" spans="1:7" x14ac:dyDescent="0.25">
      <c r="A329" s="152" t="s">
        <v>364</v>
      </c>
      <c r="B329" s="152">
        <v>91</v>
      </c>
      <c r="C329" s="164">
        <v>29501</v>
      </c>
      <c r="D329" s="152">
        <v>5</v>
      </c>
      <c r="E329" s="163">
        <v>4407</v>
      </c>
      <c r="F329" s="164">
        <v>34740</v>
      </c>
      <c r="G329" s="161"/>
    </row>
    <row r="330" spans="1:7" x14ac:dyDescent="0.25">
      <c r="A330" s="152" t="s">
        <v>365</v>
      </c>
      <c r="B330" s="152">
        <v>2</v>
      </c>
      <c r="C330" s="152">
        <v>405</v>
      </c>
      <c r="D330" s="152">
        <v>1</v>
      </c>
      <c r="E330">
        <v>65</v>
      </c>
      <c r="F330" s="152">
        <v>482</v>
      </c>
      <c r="G330" s="161"/>
    </row>
    <row r="331" spans="1:7" ht="30" x14ac:dyDescent="0.25">
      <c r="A331" s="152" t="s">
        <v>366</v>
      </c>
      <c r="B331" s="152">
        <v>83</v>
      </c>
      <c r="C331" s="164">
        <v>30044</v>
      </c>
      <c r="D331" s="152">
        <v>11</v>
      </c>
      <c r="E331" s="163">
        <v>5777</v>
      </c>
      <c r="F331" s="164">
        <v>36694</v>
      </c>
      <c r="G331" s="161"/>
    </row>
    <row r="332" spans="1:7" ht="30" x14ac:dyDescent="0.25">
      <c r="A332" s="152" t="s">
        <v>367</v>
      </c>
      <c r="B332" s="152">
        <v>1</v>
      </c>
      <c r="C332" s="164">
        <v>1477</v>
      </c>
      <c r="E332" s="152">
        <v>248</v>
      </c>
      <c r="F332" s="164">
        <v>1766</v>
      </c>
      <c r="G332" s="161"/>
    </row>
    <row r="333" spans="1:7" ht="30" x14ac:dyDescent="0.25">
      <c r="A333" s="152" t="s">
        <v>368</v>
      </c>
      <c r="B333" s="152">
        <v>12</v>
      </c>
      <c r="C333" s="164">
        <v>5493</v>
      </c>
      <c r="D333" s="152">
        <v>6</v>
      </c>
      <c r="E333" s="163">
        <v>1168</v>
      </c>
      <c r="F333" s="164">
        <v>6845</v>
      </c>
      <c r="G333" s="161"/>
    </row>
    <row r="334" spans="1:7" ht="30" x14ac:dyDescent="0.25">
      <c r="A334" s="152" t="s">
        <v>369</v>
      </c>
      <c r="B334" s="152">
        <v>5</v>
      </c>
      <c r="C334" s="152">
        <v>717</v>
      </c>
      <c r="E334" s="152">
        <v>171</v>
      </c>
      <c r="F334" s="152">
        <v>906</v>
      </c>
      <c r="G334" s="161"/>
    </row>
    <row r="335" spans="1:7" ht="30" x14ac:dyDescent="0.25">
      <c r="A335" s="152" t="s">
        <v>370</v>
      </c>
      <c r="B335" s="152">
        <v>14</v>
      </c>
      <c r="C335" s="164">
        <v>4588</v>
      </c>
      <c r="E335" s="152">
        <v>603</v>
      </c>
      <c r="F335" s="164">
        <v>5321</v>
      </c>
      <c r="G335" s="161"/>
    </row>
    <row r="336" spans="1:7" x14ac:dyDescent="0.25">
      <c r="A336" s="152" t="s">
        <v>371</v>
      </c>
      <c r="B336" s="152">
        <v>4</v>
      </c>
      <c r="C336" s="164">
        <v>2166</v>
      </c>
      <c r="D336" s="152">
        <v>1</v>
      </c>
      <c r="E336">
        <v>380</v>
      </c>
      <c r="F336" s="164">
        <v>2617</v>
      </c>
      <c r="G336" s="161"/>
    </row>
    <row r="337" spans="1:7" x14ac:dyDescent="0.25">
      <c r="A337" s="152" t="s">
        <v>372</v>
      </c>
      <c r="B337" s="152">
        <v>4</v>
      </c>
      <c r="C337" s="152">
        <v>884</v>
      </c>
      <c r="D337" s="152">
        <v>1</v>
      </c>
      <c r="E337">
        <v>119</v>
      </c>
      <c r="F337" s="164">
        <v>1025</v>
      </c>
      <c r="G337" s="161"/>
    </row>
    <row r="338" spans="1:7" x14ac:dyDescent="0.25">
      <c r="A338" s="152" t="s">
        <v>373</v>
      </c>
      <c r="B338" s="152">
        <v>10</v>
      </c>
      <c r="C338" s="164">
        <v>3070</v>
      </c>
      <c r="D338" s="152">
        <v>2</v>
      </c>
      <c r="E338">
        <v>592</v>
      </c>
      <c r="F338" s="164">
        <v>3771</v>
      </c>
      <c r="G338" s="161"/>
    </row>
    <row r="339" spans="1:7" x14ac:dyDescent="0.25">
      <c r="A339" s="152" t="s">
        <v>374</v>
      </c>
      <c r="B339" s="152">
        <v>2</v>
      </c>
      <c r="C339" s="164">
        <v>1388</v>
      </c>
      <c r="D339" s="152">
        <v>1</v>
      </c>
      <c r="E339" s="163">
        <v>254</v>
      </c>
      <c r="F339" s="164">
        <v>1671</v>
      </c>
      <c r="G339" s="161"/>
    </row>
    <row r="340" spans="1:7" x14ac:dyDescent="0.25">
      <c r="A340" s="152" t="s">
        <v>375</v>
      </c>
      <c r="B340" s="152">
        <v>6</v>
      </c>
      <c r="C340" s="164">
        <v>1458</v>
      </c>
      <c r="D340" s="152">
        <v>1</v>
      </c>
      <c r="E340">
        <v>366</v>
      </c>
      <c r="F340" s="164">
        <v>1867</v>
      </c>
      <c r="G340" s="161"/>
    </row>
    <row r="341" spans="1:7" x14ac:dyDescent="0.25">
      <c r="A341" s="152" t="s">
        <v>376</v>
      </c>
      <c r="B341" s="152">
        <v>14</v>
      </c>
      <c r="C341" s="164">
        <v>2959</v>
      </c>
      <c r="D341" s="152">
        <v>2</v>
      </c>
      <c r="E341">
        <v>426</v>
      </c>
      <c r="F341" s="164">
        <v>3465</v>
      </c>
      <c r="G341" s="161"/>
    </row>
    <row r="342" spans="1:7" ht="45" x14ac:dyDescent="0.25">
      <c r="A342" s="152" t="s">
        <v>377</v>
      </c>
      <c r="B342" s="152">
        <v>9</v>
      </c>
      <c r="C342" s="164">
        <v>1697</v>
      </c>
      <c r="E342" s="152">
        <v>292</v>
      </c>
      <c r="F342" s="164">
        <v>2052</v>
      </c>
    </row>
    <row r="343" spans="1:7" x14ac:dyDescent="0.25">
      <c r="A343" s="152" t="s">
        <v>378</v>
      </c>
      <c r="B343" s="152">
        <v>8</v>
      </c>
      <c r="C343" s="164">
        <v>2247</v>
      </c>
      <c r="D343" s="152">
        <v>1</v>
      </c>
      <c r="E343" s="163">
        <v>300</v>
      </c>
      <c r="F343" s="164">
        <v>2627</v>
      </c>
      <c r="G343" s="161"/>
    </row>
    <row r="344" spans="1:7" x14ac:dyDescent="0.25">
      <c r="A344" s="152"/>
      <c r="G344" s="161"/>
    </row>
    <row r="345" spans="1:7" x14ac:dyDescent="0.25">
      <c r="A345" s="152" t="s">
        <v>36</v>
      </c>
      <c r="B345" s="153">
        <f>SUM(B314:B344)</f>
        <v>382</v>
      </c>
      <c r="C345" s="153">
        <f t="shared" ref="C345:F345" si="7">SUM(C314:C344)</f>
        <v>130607</v>
      </c>
      <c r="D345" s="153">
        <f t="shared" si="7"/>
        <v>59</v>
      </c>
      <c r="E345" s="153">
        <f t="shared" si="7"/>
        <v>23851</v>
      </c>
      <c r="F345" s="153">
        <f t="shared" si="7"/>
        <v>158185</v>
      </c>
      <c r="G345" s="161"/>
    </row>
    <row r="346" spans="1:7" x14ac:dyDescent="0.25">
      <c r="A346" s="152"/>
      <c r="B346" s="152"/>
      <c r="C346" s="152"/>
      <c r="D346" s="165"/>
      <c r="E346" s="165"/>
      <c r="F346" s="165"/>
      <c r="G346" s="162"/>
    </row>
    <row r="348" spans="1:7" ht="45" x14ac:dyDescent="0.25">
      <c r="A348" s="152" t="s">
        <v>517</v>
      </c>
      <c r="B348" s="152" t="s">
        <v>518</v>
      </c>
      <c r="C348" s="152">
        <v>11</v>
      </c>
      <c r="D348" s="172"/>
      <c r="E348" s="172"/>
      <c r="F348" s="173"/>
    </row>
    <row r="349" spans="1:7" x14ac:dyDescent="0.25">
      <c r="A349" s="152"/>
      <c r="B349" s="152"/>
      <c r="C349" s="152"/>
      <c r="D349" s="152"/>
      <c r="F349" s="161"/>
    </row>
    <row r="350" spans="1:7" ht="30" x14ac:dyDescent="0.25">
      <c r="A350" s="152"/>
      <c r="B350" s="152"/>
      <c r="C350" s="152" t="s">
        <v>516</v>
      </c>
      <c r="D350" s="152"/>
      <c r="F350" s="161"/>
    </row>
    <row r="351" spans="1:7" x14ac:dyDescent="0.25">
      <c r="A351" s="152" t="s">
        <v>141</v>
      </c>
      <c r="B351" s="152" t="s">
        <v>495</v>
      </c>
      <c r="C351" s="152" t="s">
        <v>496</v>
      </c>
      <c r="D351" s="152" t="s">
        <v>497</v>
      </c>
      <c r="E351" t="s">
        <v>498</v>
      </c>
      <c r="F351" s="152" t="s">
        <v>499</v>
      </c>
      <c r="G351" s="152" t="s">
        <v>36</v>
      </c>
    </row>
    <row r="352" spans="1:7" x14ac:dyDescent="0.25">
      <c r="A352" s="152"/>
      <c r="B352" s="152"/>
      <c r="C352" s="152"/>
      <c r="G352" s="161"/>
    </row>
    <row r="353" spans="1:7" ht="30" x14ac:dyDescent="0.25">
      <c r="A353" s="152" t="s">
        <v>379</v>
      </c>
      <c r="B353" s="152">
        <v>3</v>
      </c>
      <c r="C353" s="164">
        <v>1159</v>
      </c>
      <c r="D353" s="152">
        <v>1</v>
      </c>
      <c r="E353">
        <v>200</v>
      </c>
      <c r="F353" s="152">
        <v>33</v>
      </c>
      <c r="G353" s="164">
        <v>1396</v>
      </c>
    </row>
    <row r="354" spans="1:7" x14ac:dyDescent="0.25">
      <c r="A354" s="152" t="s">
        <v>380</v>
      </c>
      <c r="B354" s="152">
        <v>3</v>
      </c>
      <c r="C354" s="152">
        <v>644</v>
      </c>
      <c r="D354" s="152">
        <v>1</v>
      </c>
      <c r="E354">
        <v>143</v>
      </c>
      <c r="F354" s="152">
        <v>16</v>
      </c>
      <c r="G354" s="152">
        <v>807</v>
      </c>
    </row>
    <row r="355" spans="1:7" x14ac:dyDescent="0.25">
      <c r="A355" s="152" t="s">
        <v>381</v>
      </c>
      <c r="B355" s="152">
        <v>3</v>
      </c>
      <c r="C355" s="152">
        <v>473</v>
      </c>
      <c r="D355" s="152">
        <v>2</v>
      </c>
      <c r="E355">
        <v>89</v>
      </c>
      <c r="F355" s="152">
        <v>15</v>
      </c>
      <c r="G355" s="152">
        <v>582</v>
      </c>
    </row>
    <row r="356" spans="1:7" x14ac:dyDescent="0.25">
      <c r="A356" s="152" t="s">
        <v>382</v>
      </c>
      <c r="B356" s="152">
        <v>26</v>
      </c>
      <c r="C356" s="164">
        <v>7403</v>
      </c>
      <c r="D356" s="152">
        <v>4</v>
      </c>
      <c r="E356" s="163">
        <v>1966</v>
      </c>
      <c r="F356" s="152">
        <v>194</v>
      </c>
      <c r="G356" s="164">
        <v>9593</v>
      </c>
    </row>
    <row r="357" spans="1:7" x14ac:dyDescent="0.25">
      <c r="A357" s="152" t="s">
        <v>383</v>
      </c>
      <c r="B357" s="152"/>
      <c r="C357" s="152">
        <v>153</v>
      </c>
      <c r="E357" s="152">
        <v>27</v>
      </c>
      <c r="F357" s="152">
        <v>3</v>
      </c>
      <c r="G357" s="152">
        <v>183</v>
      </c>
    </row>
    <row r="358" spans="1:7" ht="30" x14ac:dyDescent="0.25">
      <c r="A358" s="152" t="s">
        <v>384</v>
      </c>
      <c r="B358" s="152"/>
      <c r="C358" s="152">
        <v>158</v>
      </c>
      <c r="E358" s="152">
        <v>17</v>
      </c>
      <c r="F358" s="152">
        <v>3</v>
      </c>
      <c r="G358" s="152">
        <v>178</v>
      </c>
    </row>
    <row r="359" spans="1:7" x14ac:dyDescent="0.25">
      <c r="A359" s="152" t="s">
        <v>385</v>
      </c>
      <c r="B359" s="152"/>
      <c r="C359" s="152">
        <v>44</v>
      </c>
      <c r="E359" s="152">
        <v>5</v>
      </c>
      <c r="F359" s="152">
        <v>1</v>
      </c>
      <c r="G359" s="152">
        <v>50</v>
      </c>
    </row>
    <row r="360" spans="1:7" ht="30" x14ac:dyDescent="0.25">
      <c r="A360" s="152" t="s">
        <v>386</v>
      </c>
      <c r="B360" s="152">
        <v>7</v>
      </c>
      <c r="C360" s="164">
        <v>3013</v>
      </c>
      <c r="D360" s="152">
        <v>3</v>
      </c>
      <c r="E360">
        <v>662</v>
      </c>
      <c r="F360" s="152">
        <v>54</v>
      </c>
      <c r="G360" s="164">
        <v>3739</v>
      </c>
    </row>
    <row r="361" spans="1:7" x14ac:dyDescent="0.25">
      <c r="A361" s="152" t="s">
        <v>512</v>
      </c>
      <c r="B361" s="152">
        <v>2</v>
      </c>
      <c r="C361" s="152">
        <v>469</v>
      </c>
      <c r="E361" s="152">
        <v>83</v>
      </c>
      <c r="F361" s="152">
        <v>13</v>
      </c>
      <c r="G361" s="152">
        <v>567</v>
      </c>
    </row>
    <row r="362" spans="1:7" x14ac:dyDescent="0.25">
      <c r="A362" s="152" t="s">
        <v>387</v>
      </c>
      <c r="B362" s="152"/>
      <c r="C362" s="152">
        <v>41</v>
      </c>
      <c r="E362" s="152">
        <v>7</v>
      </c>
      <c r="F362" s="152">
        <v>1</v>
      </c>
      <c r="G362" s="152">
        <v>49</v>
      </c>
    </row>
    <row r="363" spans="1:7" x14ac:dyDescent="0.25">
      <c r="A363" s="152" t="s">
        <v>36</v>
      </c>
      <c r="B363" s="153">
        <f>SUM(B353:B362)</f>
        <v>44</v>
      </c>
      <c r="C363" s="153">
        <f t="shared" ref="C363:G363" si="8">SUM(C353:C362)</f>
        <v>13557</v>
      </c>
      <c r="D363" s="153">
        <f t="shared" si="8"/>
        <v>11</v>
      </c>
      <c r="E363" s="153">
        <f t="shared" si="8"/>
        <v>3199</v>
      </c>
      <c r="F363" s="153">
        <f t="shared" si="8"/>
        <v>333</v>
      </c>
      <c r="G363" s="153">
        <f t="shared" si="8"/>
        <v>17144</v>
      </c>
    </row>
    <row r="364" spans="1:7" x14ac:dyDescent="0.25">
      <c r="A364" s="152"/>
      <c r="B364" s="152"/>
      <c r="C364" s="152"/>
      <c r="D364" s="165"/>
      <c r="E364" s="165"/>
      <c r="F364" s="162"/>
    </row>
    <row r="368" spans="1:7" ht="45" x14ac:dyDescent="0.25">
      <c r="A368" s="152" t="s">
        <v>517</v>
      </c>
      <c r="B368" s="152" t="s">
        <v>518</v>
      </c>
      <c r="C368" s="152">
        <v>12</v>
      </c>
      <c r="D368" s="172"/>
      <c r="E368" s="172"/>
      <c r="F368" s="172"/>
      <c r="G368" s="173"/>
    </row>
    <row r="369" spans="1:9" x14ac:dyDescent="0.25">
      <c r="A369" s="152"/>
      <c r="B369" s="152"/>
      <c r="C369" s="152"/>
      <c r="D369" s="152"/>
      <c r="G369" s="161"/>
    </row>
    <row r="370" spans="1:9" x14ac:dyDescent="0.25">
      <c r="A370" s="152"/>
      <c r="B370" s="152"/>
      <c r="C370" s="152"/>
      <c r="D370" s="172"/>
      <c r="E370" s="172"/>
      <c r="F370" s="173"/>
      <c r="G370" s="161"/>
    </row>
    <row r="371" spans="1:9" ht="30" x14ac:dyDescent="0.25">
      <c r="A371" s="174"/>
      <c r="B371" s="174" t="s">
        <v>516</v>
      </c>
      <c r="C371" s="174"/>
      <c r="F371" s="161"/>
      <c r="G371" s="174"/>
    </row>
    <row r="372" spans="1:9" x14ac:dyDescent="0.25">
      <c r="A372" s="177" t="s">
        <v>141</v>
      </c>
      <c r="B372" s="177" t="s">
        <v>495</v>
      </c>
      <c r="C372" s="177" t="s">
        <v>496</v>
      </c>
      <c r="D372" s="177" t="s">
        <v>497</v>
      </c>
      <c r="E372" s="170" t="s">
        <v>498</v>
      </c>
      <c r="F372" s="177" t="s">
        <v>499</v>
      </c>
      <c r="G372" s="177" t="s">
        <v>36</v>
      </c>
    </row>
    <row r="373" spans="1:9" x14ac:dyDescent="0.25">
      <c r="A373" s="177"/>
      <c r="B373" s="177"/>
      <c r="C373" s="177"/>
      <c r="D373" s="170"/>
      <c r="E373" s="170"/>
      <c r="F373" s="170"/>
      <c r="G373" s="170"/>
      <c r="H373" s="176"/>
    </row>
    <row r="374" spans="1:9" ht="30" x14ac:dyDescent="0.25">
      <c r="A374" s="177" t="s">
        <v>388</v>
      </c>
      <c r="B374" s="177">
        <v>1</v>
      </c>
      <c r="C374" s="177">
        <v>101</v>
      </c>
      <c r="D374" s="170"/>
      <c r="E374" s="177">
        <v>33</v>
      </c>
      <c r="F374" s="177">
        <v>4</v>
      </c>
      <c r="G374" s="177">
        <v>139</v>
      </c>
    </row>
    <row r="375" spans="1:9" ht="30" x14ac:dyDescent="0.25">
      <c r="A375" s="177" t="s">
        <v>389</v>
      </c>
      <c r="C375" s="177">
        <v>4</v>
      </c>
      <c r="D375" s="170"/>
      <c r="E375" s="170"/>
      <c r="F375" s="170"/>
      <c r="G375" s="177">
        <v>4</v>
      </c>
    </row>
    <row r="376" spans="1:9" ht="30" x14ac:dyDescent="0.25">
      <c r="A376" s="177" t="s">
        <v>390</v>
      </c>
      <c r="C376" s="177">
        <v>19</v>
      </c>
      <c r="E376" s="177">
        <v>4</v>
      </c>
      <c r="F376" s="177">
        <v>2</v>
      </c>
      <c r="G376" s="177">
        <v>25</v>
      </c>
      <c r="H376" s="189"/>
    </row>
    <row r="377" spans="1:9" x14ac:dyDescent="0.25">
      <c r="A377" s="177" t="s">
        <v>391</v>
      </c>
      <c r="B377" s="177">
        <v>7</v>
      </c>
      <c r="C377" s="190">
        <v>4322</v>
      </c>
      <c r="D377" s="177">
        <v>7</v>
      </c>
      <c r="E377" s="170">
        <v>872</v>
      </c>
      <c r="F377" s="177">
        <v>107</v>
      </c>
      <c r="G377" s="193">
        <v>5315</v>
      </c>
      <c r="H377" s="189"/>
    </row>
    <row r="378" spans="1:9" x14ac:dyDescent="0.25">
      <c r="A378" s="177" t="s">
        <v>392</v>
      </c>
      <c r="B378" s="177">
        <v>3</v>
      </c>
      <c r="C378" s="177">
        <v>918</v>
      </c>
      <c r="E378" s="177">
        <v>182</v>
      </c>
      <c r="F378" s="177">
        <v>17</v>
      </c>
      <c r="G378" s="193">
        <v>1120</v>
      </c>
    </row>
    <row r="379" spans="1:9" ht="30" x14ac:dyDescent="0.25">
      <c r="A379" s="177" t="s">
        <v>393</v>
      </c>
      <c r="B379" s="177"/>
      <c r="C379" s="177">
        <v>65</v>
      </c>
      <c r="E379" s="177">
        <v>13</v>
      </c>
      <c r="F379" s="177">
        <v>2</v>
      </c>
      <c r="G379" s="194">
        <v>80</v>
      </c>
      <c r="I379" s="189"/>
    </row>
    <row r="380" spans="1:9" ht="30" x14ac:dyDescent="0.25">
      <c r="A380" s="177" t="s">
        <v>394</v>
      </c>
      <c r="B380" s="177">
        <v>71</v>
      </c>
      <c r="C380" s="190">
        <v>19979</v>
      </c>
      <c r="D380" s="177">
        <v>32</v>
      </c>
      <c r="E380" s="191">
        <v>4673</v>
      </c>
      <c r="F380" s="177">
        <v>454</v>
      </c>
      <c r="G380" s="193">
        <v>25209</v>
      </c>
    </row>
    <row r="381" spans="1:9" x14ac:dyDescent="0.25">
      <c r="A381" s="177" t="s">
        <v>395</v>
      </c>
      <c r="B381" s="177"/>
      <c r="C381" s="177">
        <v>15</v>
      </c>
      <c r="F381" s="177">
        <v>1</v>
      </c>
      <c r="G381" s="194">
        <v>16</v>
      </c>
    </row>
    <row r="382" spans="1:9" ht="30" x14ac:dyDescent="0.25">
      <c r="A382" s="177" t="s">
        <v>396</v>
      </c>
      <c r="B382" s="177"/>
      <c r="C382" s="177">
        <v>28</v>
      </c>
      <c r="E382" s="177">
        <v>7</v>
      </c>
      <c r="G382" s="194">
        <v>35</v>
      </c>
    </row>
    <row r="383" spans="1:9" x14ac:dyDescent="0.25">
      <c r="A383" s="177" t="s">
        <v>397</v>
      </c>
      <c r="B383" s="177"/>
      <c r="C383" s="177">
        <v>3</v>
      </c>
      <c r="D383" s="177"/>
      <c r="E383" s="177"/>
      <c r="F383" s="177">
        <v>1</v>
      </c>
      <c r="G383" s="194">
        <v>4</v>
      </c>
    </row>
    <row r="384" spans="1:9" ht="30" x14ac:dyDescent="0.25">
      <c r="A384" s="177" t="s">
        <v>398</v>
      </c>
      <c r="B384" s="177"/>
      <c r="C384" s="177">
        <v>4</v>
      </c>
      <c r="D384" s="177"/>
      <c r="E384" s="177">
        <v>2</v>
      </c>
      <c r="G384" s="194">
        <v>6</v>
      </c>
    </row>
    <row r="385" spans="1:8" x14ac:dyDescent="0.25">
      <c r="A385" s="177"/>
      <c r="B385" s="170"/>
      <c r="C385" s="170"/>
      <c r="D385" s="170"/>
      <c r="E385" s="170"/>
      <c r="F385" s="170"/>
      <c r="G385" s="171"/>
      <c r="H385" s="189"/>
    </row>
    <row r="386" spans="1:8" x14ac:dyDescent="0.25">
      <c r="A386" s="177" t="s">
        <v>36</v>
      </c>
      <c r="B386" s="192">
        <f>SUM(B374:B385)</f>
        <v>82</v>
      </c>
      <c r="C386" s="192">
        <f t="shared" ref="C386:G386" si="9">SUM(C374:C385)</f>
        <v>25458</v>
      </c>
      <c r="D386" s="192">
        <f t="shared" si="9"/>
        <v>39</v>
      </c>
      <c r="E386" s="192">
        <f t="shared" si="9"/>
        <v>5786</v>
      </c>
      <c r="F386" s="192">
        <f t="shared" si="9"/>
        <v>588</v>
      </c>
      <c r="G386" s="195">
        <f t="shared" si="9"/>
        <v>31953</v>
      </c>
    </row>
    <row r="387" spans="1:8" x14ac:dyDescent="0.25">
      <c r="A387" s="175"/>
      <c r="B387" s="175"/>
      <c r="C387" s="175"/>
      <c r="D387" s="165"/>
      <c r="E387" s="165"/>
      <c r="F387" s="162"/>
    </row>
    <row r="390" spans="1:8" ht="45" x14ac:dyDescent="0.25">
      <c r="A390" s="152" t="s">
        <v>399</v>
      </c>
      <c r="B390" s="172"/>
      <c r="C390" s="172"/>
      <c r="D390" s="172"/>
      <c r="E390" s="172"/>
      <c r="F390" s="173"/>
    </row>
    <row r="391" spans="1:8" x14ac:dyDescent="0.25">
      <c r="A391" s="152"/>
      <c r="B391" s="152"/>
      <c r="C391" s="152"/>
      <c r="F391" s="161"/>
    </row>
    <row r="392" spans="1:8" ht="30" x14ac:dyDescent="0.25">
      <c r="A392" s="152"/>
      <c r="B392" s="152" t="s">
        <v>516</v>
      </c>
      <c r="C392" s="152"/>
      <c r="F392" s="161"/>
    </row>
    <row r="393" spans="1:8" x14ac:dyDescent="0.25">
      <c r="A393" s="152" t="s">
        <v>141</v>
      </c>
      <c r="B393" s="152" t="s">
        <v>495</v>
      </c>
      <c r="C393" s="152" t="s">
        <v>496</v>
      </c>
      <c r="D393" s="152" t="s">
        <v>497</v>
      </c>
      <c r="E393" t="s">
        <v>498</v>
      </c>
      <c r="F393" s="152" t="s">
        <v>499</v>
      </c>
      <c r="G393" s="152" t="s">
        <v>36</v>
      </c>
    </row>
    <row r="394" spans="1:8" x14ac:dyDescent="0.25">
      <c r="A394" s="152"/>
      <c r="B394" s="152"/>
      <c r="C394" s="152"/>
      <c r="G394" s="161"/>
    </row>
    <row r="395" spans="1:8" x14ac:dyDescent="0.25">
      <c r="A395" s="152" t="s">
        <v>400</v>
      </c>
      <c r="B395" s="152">
        <v>1</v>
      </c>
      <c r="C395" s="152">
        <v>924</v>
      </c>
      <c r="D395" s="152">
        <v>1</v>
      </c>
      <c r="E395">
        <v>119</v>
      </c>
      <c r="F395" s="152">
        <v>21</v>
      </c>
      <c r="G395" s="164">
        <v>1066</v>
      </c>
    </row>
    <row r="396" spans="1:8" x14ac:dyDescent="0.25">
      <c r="A396" s="152" t="s">
        <v>401</v>
      </c>
      <c r="B396" s="152">
        <v>17</v>
      </c>
      <c r="C396" s="164">
        <v>12230</v>
      </c>
      <c r="D396" s="152">
        <v>9</v>
      </c>
      <c r="E396" s="163">
        <v>1993</v>
      </c>
      <c r="F396" s="152">
        <v>282</v>
      </c>
      <c r="G396" s="164">
        <v>14531</v>
      </c>
    </row>
    <row r="397" spans="1:8" ht="30" x14ac:dyDescent="0.25">
      <c r="A397" s="152" t="s">
        <v>402</v>
      </c>
      <c r="B397" s="152">
        <v>6</v>
      </c>
      <c r="C397" s="164">
        <v>2917</v>
      </c>
      <c r="D397" s="152">
        <v>1</v>
      </c>
      <c r="E397">
        <v>571</v>
      </c>
      <c r="F397" s="152">
        <v>86</v>
      </c>
      <c r="G397" s="164">
        <v>3581</v>
      </c>
    </row>
    <row r="398" spans="1:8" x14ac:dyDescent="0.25">
      <c r="A398" s="152" t="s">
        <v>403</v>
      </c>
      <c r="B398" s="152">
        <v>38</v>
      </c>
      <c r="C398" s="164">
        <v>13179</v>
      </c>
      <c r="D398" s="152">
        <v>5</v>
      </c>
      <c r="E398" s="163">
        <v>2692</v>
      </c>
      <c r="F398" s="152">
        <v>261</v>
      </c>
      <c r="G398" s="164">
        <v>16175</v>
      </c>
    </row>
    <row r="399" spans="1:8" ht="30" x14ac:dyDescent="0.25">
      <c r="A399" s="152" t="s">
        <v>404</v>
      </c>
      <c r="B399" s="152">
        <v>62</v>
      </c>
      <c r="C399" s="164">
        <v>25815</v>
      </c>
      <c r="D399" s="152">
        <v>11</v>
      </c>
      <c r="E399" s="163">
        <v>3671</v>
      </c>
      <c r="F399" s="152">
        <v>485</v>
      </c>
      <c r="G399" s="164">
        <v>30044</v>
      </c>
    </row>
    <row r="400" spans="1:8" x14ac:dyDescent="0.25">
      <c r="A400" s="152" t="s">
        <v>405</v>
      </c>
      <c r="B400" s="152">
        <v>29</v>
      </c>
      <c r="C400" s="164">
        <v>12648</v>
      </c>
      <c r="D400" s="152">
        <v>7</v>
      </c>
      <c r="E400" s="163">
        <v>2490</v>
      </c>
      <c r="F400" s="152">
        <v>406</v>
      </c>
      <c r="G400" s="164">
        <v>15580</v>
      </c>
    </row>
    <row r="401" spans="1:7" x14ac:dyDescent="0.25">
      <c r="A401" s="152" t="s">
        <v>406</v>
      </c>
      <c r="B401" s="152">
        <v>66</v>
      </c>
      <c r="C401" s="164">
        <v>25984</v>
      </c>
      <c r="D401" s="152">
        <v>9</v>
      </c>
      <c r="E401" s="163">
        <v>4636</v>
      </c>
      <c r="F401" s="152">
        <v>488</v>
      </c>
      <c r="G401" s="164">
        <v>31183</v>
      </c>
    </row>
    <row r="402" spans="1:7" x14ac:dyDescent="0.25">
      <c r="A402" s="152" t="s">
        <v>407</v>
      </c>
      <c r="B402" s="152">
        <v>4</v>
      </c>
      <c r="C402" s="164">
        <v>5170</v>
      </c>
      <c r="D402" s="152">
        <v>1</v>
      </c>
      <c r="E402">
        <v>887</v>
      </c>
      <c r="F402" s="152">
        <v>158</v>
      </c>
      <c r="G402" s="164">
        <v>6220</v>
      </c>
    </row>
    <row r="403" spans="1:7" x14ac:dyDescent="0.25">
      <c r="A403" s="152" t="s">
        <v>408</v>
      </c>
      <c r="B403" s="152">
        <v>60</v>
      </c>
      <c r="C403" s="164">
        <v>28734</v>
      </c>
      <c r="D403" s="152">
        <v>22</v>
      </c>
      <c r="E403" s="163">
        <v>4750</v>
      </c>
      <c r="F403" s="152">
        <v>584</v>
      </c>
      <c r="G403" s="164">
        <v>34150</v>
      </c>
    </row>
    <row r="404" spans="1:7" x14ac:dyDescent="0.25">
      <c r="A404" s="152" t="s">
        <v>409</v>
      </c>
      <c r="B404" s="152">
        <v>16</v>
      </c>
      <c r="C404" s="164">
        <v>5174</v>
      </c>
      <c r="D404" s="152">
        <v>2</v>
      </c>
      <c r="E404">
        <v>822</v>
      </c>
      <c r="F404" s="152">
        <v>144</v>
      </c>
      <c r="G404" s="164">
        <v>6158</v>
      </c>
    </row>
    <row r="405" spans="1:7" ht="30" x14ac:dyDescent="0.25">
      <c r="A405" s="152" t="s">
        <v>410</v>
      </c>
      <c r="B405" s="152">
        <v>58</v>
      </c>
      <c r="C405" s="164">
        <v>24111</v>
      </c>
      <c r="D405" s="152">
        <v>18</v>
      </c>
      <c r="E405" s="163">
        <v>4393</v>
      </c>
      <c r="F405" s="152">
        <v>550</v>
      </c>
      <c r="G405" s="164">
        <v>29130</v>
      </c>
    </row>
    <row r="406" spans="1:7" ht="30" x14ac:dyDescent="0.25">
      <c r="A406" s="152" t="s">
        <v>411</v>
      </c>
      <c r="B406" s="152">
        <v>39</v>
      </c>
      <c r="C406" s="164">
        <v>12333</v>
      </c>
      <c r="D406" s="152">
        <v>7</v>
      </c>
      <c r="E406" s="163">
        <v>2733</v>
      </c>
      <c r="F406" s="152">
        <v>301</v>
      </c>
      <c r="G406" s="164">
        <v>15413</v>
      </c>
    </row>
    <row r="407" spans="1:7" ht="30" x14ac:dyDescent="0.25">
      <c r="A407" s="152" t="s">
        <v>412</v>
      </c>
      <c r="B407" s="152">
        <v>33</v>
      </c>
      <c r="C407" s="164">
        <v>14458</v>
      </c>
      <c r="D407" s="152">
        <v>11</v>
      </c>
      <c r="E407" s="163">
        <v>2637</v>
      </c>
      <c r="F407" s="152">
        <v>377</v>
      </c>
      <c r="G407" s="164">
        <v>17516</v>
      </c>
    </row>
    <row r="408" spans="1:7" ht="30" x14ac:dyDescent="0.25">
      <c r="A408" s="152" t="s">
        <v>413</v>
      </c>
      <c r="B408" s="152">
        <v>7</v>
      </c>
      <c r="C408" s="164">
        <v>5267</v>
      </c>
      <c r="D408" s="152">
        <v>2</v>
      </c>
      <c r="E408">
        <v>771</v>
      </c>
      <c r="F408" s="152">
        <v>127</v>
      </c>
      <c r="G408" s="164">
        <v>6174</v>
      </c>
    </row>
    <row r="409" spans="1:7" ht="30" x14ac:dyDescent="0.25">
      <c r="A409" s="152" t="s">
        <v>414</v>
      </c>
      <c r="B409" s="152">
        <v>40</v>
      </c>
      <c r="C409" s="164">
        <v>16217</v>
      </c>
      <c r="D409" s="152">
        <v>5</v>
      </c>
      <c r="E409" s="163">
        <v>2774</v>
      </c>
      <c r="F409" s="152">
        <v>315</v>
      </c>
      <c r="G409" s="164">
        <v>19351</v>
      </c>
    </row>
    <row r="410" spans="1:7" x14ac:dyDescent="0.25">
      <c r="A410" s="152" t="s">
        <v>415</v>
      </c>
      <c r="B410" s="152">
        <v>143</v>
      </c>
      <c r="C410" s="164">
        <v>60425</v>
      </c>
      <c r="D410" s="152">
        <v>33</v>
      </c>
      <c r="E410" s="163">
        <v>13569</v>
      </c>
      <c r="F410" s="164">
        <v>1419</v>
      </c>
      <c r="G410" s="164">
        <v>75589</v>
      </c>
    </row>
    <row r="411" spans="1:7" x14ac:dyDescent="0.25">
      <c r="A411" s="152" t="s">
        <v>416</v>
      </c>
      <c r="B411" s="152">
        <v>56</v>
      </c>
      <c r="C411" s="164">
        <v>22154</v>
      </c>
      <c r="D411" s="152">
        <v>8</v>
      </c>
      <c r="E411" s="163">
        <v>3556</v>
      </c>
      <c r="F411" s="152">
        <v>449</v>
      </c>
      <c r="G411" s="164">
        <v>26223</v>
      </c>
    </row>
    <row r="412" spans="1:7" ht="30" x14ac:dyDescent="0.25">
      <c r="A412" s="152" t="s">
        <v>417</v>
      </c>
      <c r="B412" s="152">
        <v>74</v>
      </c>
      <c r="C412" s="164">
        <v>28470</v>
      </c>
      <c r="D412" s="152">
        <v>6</v>
      </c>
      <c r="E412" s="163">
        <v>3852</v>
      </c>
      <c r="F412" s="152">
        <v>642</v>
      </c>
      <c r="G412" s="164">
        <v>33044</v>
      </c>
    </row>
    <row r="413" spans="1:7" x14ac:dyDescent="0.25">
      <c r="A413" s="152" t="s">
        <v>418</v>
      </c>
      <c r="B413" s="152">
        <v>18</v>
      </c>
      <c r="C413" s="164">
        <v>10581</v>
      </c>
      <c r="D413" s="152">
        <v>3</v>
      </c>
      <c r="E413" s="163">
        <v>2744</v>
      </c>
      <c r="F413" s="152">
        <v>327</v>
      </c>
      <c r="G413" s="164">
        <v>13673</v>
      </c>
    </row>
    <row r="414" spans="1:7" x14ac:dyDescent="0.25">
      <c r="A414" s="152" t="s">
        <v>419</v>
      </c>
      <c r="B414" s="152">
        <v>22</v>
      </c>
      <c r="C414" s="164">
        <v>8601</v>
      </c>
      <c r="D414" s="152">
        <v>4</v>
      </c>
      <c r="E414" s="163">
        <v>1394</v>
      </c>
      <c r="F414" s="152">
        <v>378</v>
      </c>
      <c r="G414" s="164">
        <v>10399</v>
      </c>
    </row>
    <row r="415" spans="1:7" ht="30" x14ac:dyDescent="0.25">
      <c r="A415" s="152" t="s">
        <v>420</v>
      </c>
      <c r="B415" s="152">
        <v>47</v>
      </c>
      <c r="C415" s="164">
        <v>25934</v>
      </c>
      <c r="D415" s="152">
        <v>19</v>
      </c>
      <c r="E415" s="163">
        <v>11809</v>
      </c>
      <c r="F415" s="152">
        <v>995</v>
      </c>
      <c r="G415" s="164">
        <v>38804</v>
      </c>
    </row>
    <row r="416" spans="1:7" ht="45" x14ac:dyDescent="0.25">
      <c r="A416" s="152" t="s">
        <v>421</v>
      </c>
      <c r="B416" s="152">
        <v>13</v>
      </c>
      <c r="C416" s="164">
        <v>5898</v>
      </c>
      <c r="D416" s="152">
        <v>3</v>
      </c>
      <c r="E416" s="163">
        <v>1373</v>
      </c>
      <c r="F416" s="152">
        <v>225</v>
      </c>
      <c r="G416" s="164">
        <v>7512</v>
      </c>
    </row>
    <row r="417" spans="1:7" x14ac:dyDescent="0.25">
      <c r="A417" s="152" t="s">
        <v>422</v>
      </c>
      <c r="B417" s="152">
        <v>66</v>
      </c>
      <c r="C417" s="164">
        <v>19232</v>
      </c>
      <c r="D417" s="152">
        <v>7</v>
      </c>
      <c r="E417" s="163">
        <v>2796</v>
      </c>
      <c r="F417" s="152">
        <v>398</v>
      </c>
      <c r="G417" s="164">
        <v>22499</v>
      </c>
    </row>
    <row r="418" spans="1:7" x14ac:dyDescent="0.25">
      <c r="A418" s="152" t="s">
        <v>423</v>
      </c>
      <c r="B418" s="152">
        <v>56</v>
      </c>
      <c r="C418" s="164">
        <v>19634</v>
      </c>
      <c r="D418" s="152">
        <v>8</v>
      </c>
      <c r="E418" s="163">
        <v>3323</v>
      </c>
      <c r="F418" s="152">
        <v>387</v>
      </c>
      <c r="G418" s="164">
        <v>23408</v>
      </c>
    </row>
    <row r="419" spans="1:7" x14ac:dyDescent="0.25">
      <c r="A419" s="152" t="s">
        <v>424</v>
      </c>
      <c r="B419" s="152">
        <v>39</v>
      </c>
      <c r="C419" s="164">
        <v>20899</v>
      </c>
      <c r="D419" s="152">
        <v>11</v>
      </c>
      <c r="E419" s="163">
        <v>3948</v>
      </c>
      <c r="F419" s="152">
        <v>426</v>
      </c>
      <c r="G419" s="164">
        <v>25323</v>
      </c>
    </row>
    <row r="420" spans="1:7" x14ac:dyDescent="0.25">
      <c r="A420" s="152" t="s">
        <v>425</v>
      </c>
      <c r="B420" s="152">
        <v>181</v>
      </c>
      <c r="C420" s="164">
        <v>72617</v>
      </c>
      <c r="D420" s="152">
        <v>61</v>
      </c>
      <c r="E420" s="163">
        <v>16053</v>
      </c>
      <c r="F420" s="164">
        <v>1674</v>
      </c>
      <c r="G420" s="164">
        <v>90586</v>
      </c>
    </row>
    <row r="421" spans="1:7" ht="30" x14ac:dyDescent="0.25">
      <c r="A421" s="152" t="s">
        <v>426</v>
      </c>
      <c r="B421" s="152">
        <v>8</v>
      </c>
      <c r="C421" s="164">
        <v>2095</v>
      </c>
      <c r="E421" s="152">
        <v>515</v>
      </c>
      <c r="F421" s="152">
        <v>49</v>
      </c>
      <c r="G421" s="164">
        <v>2667</v>
      </c>
    </row>
    <row r="422" spans="1:7" x14ac:dyDescent="0.25">
      <c r="A422" s="152" t="s">
        <v>427</v>
      </c>
      <c r="B422" s="152">
        <v>54</v>
      </c>
      <c r="C422" s="164">
        <v>21093</v>
      </c>
      <c r="D422" s="152">
        <v>13</v>
      </c>
      <c r="E422" s="163">
        <v>3862</v>
      </c>
      <c r="F422" s="152">
        <v>467</v>
      </c>
      <c r="G422" s="164">
        <v>25489</v>
      </c>
    </row>
    <row r="423" spans="1:7" ht="30" x14ac:dyDescent="0.25">
      <c r="A423" s="152" t="s">
        <v>428</v>
      </c>
      <c r="B423" s="152">
        <v>20</v>
      </c>
      <c r="C423" s="164">
        <v>8171</v>
      </c>
      <c r="D423" s="152">
        <v>2</v>
      </c>
      <c r="E423" s="163">
        <v>1386</v>
      </c>
      <c r="F423" s="152">
        <v>233</v>
      </c>
      <c r="G423" s="164">
        <v>9812</v>
      </c>
    </row>
    <row r="424" spans="1:7" x14ac:dyDescent="0.25">
      <c r="A424" s="152" t="s">
        <v>429</v>
      </c>
      <c r="B424" s="152">
        <v>24</v>
      </c>
      <c r="C424" s="164">
        <v>9511</v>
      </c>
      <c r="D424" s="152">
        <v>2</v>
      </c>
      <c r="E424" s="163">
        <v>1446</v>
      </c>
      <c r="F424" s="152">
        <v>258</v>
      </c>
      <c r="G424" s="164">
        <v>11241</v>
      </c>
    </row>
    <row r="425" spans="1:7" ht="45" x14ac:dyDescent="0.25">
      <c r="A425" s="152" t="s">
        <v>430</v>
      </c>
      <c r="B425" s="152">
        <v>49</v>
      </c>
      <c r="C425" s="164">
        <v>22381</v>
      </c>
      <c r="D425" s="152">
        <v>17</v>
      </c>
      <c r="E425" s="163">
        <v>3608</v>
      </c>
      <c r="F425" s="152">
        <v>479</v>
      </c>
      <c r="G425" s="164">
        <v>26534</v>
      </c>
    </row>
    <row r="426" spans="1:7" x14ac:dyDescent="0.25">
      <c r="A426" s="152" t="s">
        <v>513</v>
      </c>
      <c r="B426" s="152">
        <v>22</v>
      </c>
      <c r="C426" s="164">
        <v>13162</v>
      </c>
      <c r="D426" s="152">
        <v>7</v>
      </c>
      <c r="E426" s="163">
        <v>2639</v>
      </c>
      <c r="F426" s="152">
        <v>275</v>
      </c>
      <c r="G426" s="164">
        <v>16105</v>
      </c>
    </row>
    <row r="427" spans="1:7" x14ac:dyDescent="0.25">
      <c r="A427" s="152" t="s">
        <v>514</v>
      </c>
      <c r="B427" s="152">
        <v>78</v>
      </c>
      <c r="C427" s="164">
        <v>34107</v>
      </c>
      <c r="D427" s="152">
        <v>13</v>
      </c>
      <c r="E427" s="163">
        <v>5884</v>
      </c>
      <c r="F427" s="152">
        <v>805</v>
      </c>
      <c r="G427" s="164">
        <v>40887</v>
      </c>
    </row>
    <row r="428" spans="1:7" x14ac:dyDescent="0.25">
      <c r="A428" s="152" t="s">
        <v>431</v>
      </c>
      <c r="B428" s="152">
        <v>7</v>
      </c>
      <c r="C428" s="164">
        <v>3175</v>
      </c>
      <c r="D428" s="152">
        <v>1</v>
      </c>
      <c r="E428">
        <v>611</v>
      </c>
      <c r="F428" s="152">
        <v>103</v>
      </c>
      <c r="G428" s="164">
        <v>3897</v>
      </c>
    </row>
    <row r="429" spans="1:7" ht="30" x14ac:dyDescent="0.25">
      <c r="A429" s="152" t="s">
        <v>432</v>
      </c>
      <c r="B429" s="152">
        <v>22</v>
      </c>
      <c r="C429" s="164">
        <v>12602</v>
      </c>
      <c r="D429" s="152">
        <v>7</v>
      </c>
      <c r="E429" s="163">
        <v>4503</v>
      </c>
      <c r="F429" s="152">
        <v>493</v>
      </c>
      <c r="G429" s="164">
        <v>17627</v>
      </c>
    </row>
    <row r="430" spans="1:7" x14ac:dyDescent="0.25">
      <c r="A430" s="152" t="s">
        <v>433</v>
      </c>
      <c r="B430" s="152">
        <v>82</v>
      </c>
      <c r="C430" s="164">
        <v>31452</v>
      </c>
      <c r="D430" s="152">
        <v>25</v>
      </c>
      <c r="E430" s="163">
        <v>5262</v>
      </c>
      <c r="F430" s="152">
        <v>839</v>
      </c>
      <c r="G430" s="164">
        <v>37660</v>
      </c>
    </row>
    <row r="431" spans="1:7" ht="30" x14ac:dyDescent="0.25">
      <c r="A431" s="152" t="s">
        <v>434</v>
      </c>
      <c r="B431" s="152">
        <v>139</v>
      </c>
      <c r="C431" s="164">
        <v>71068</v>
      </c>
      <c r="D431" s="152">
        <v>25</v>
      </c>
      <c r="E431" s="163">
        <v>11252</v>
      </c>
      <c r="F431" s="164">
        <v>1837</v>
      </c>
      <c r="G431" s="164">
        <v>84321</v>
      </c>
    </row>
    <row r="432" spans="1:7" x14ac:dyDescent="0.25">
      <c r="A432" s="152" t="s">
        <v>435</v>
      </c>
      <c r="B432" s="152">
        <v>46</v>
      </c>
      <c r="C432" s="164">
        <v>18143</v>
      </c>
      <c r="D432" s="152">
        <v>6</v>
      </c>
      <c r="E432" s="163">
        <v>3143</v>
      </c>
      <c r="F432" s="152">
        <v>568</v>
      </c>
      <c r="G432" s="164">
        <v>21906</v>
      </c>
    </row>
    <row r="433" spans="1:7" ht="30" x14ac:dyDescent="0.25">
      <c r="A433" s="152" t="s">
        <v>436</v>
      </c>
      <c r="B433" s="152">
        <v>49</v>
      </c>
      <c r="C433" s="164">
        <v>21030</v>
      </c>
      <c r="D433" s="152">
        <v>4</v>
      </c>
      <c r="E433" s="163">
        <v>3207</v>
      </c>
      <c r="F433" s="152">
        <v>438</v>
      </c>
      <c r="G433" s="164">
        <v>24728</v>
      </c>
    </row>
    <row r="434" spans="1:7" x14ac:dyDescent="0.25">
      <c r="A434" s="152" t="s">
        <v>437</v>
      </c>
      <c r="B434" s="152">
        <v>89</v>
      </c>
      <c r="C434" s="164">
        <v>28084</v>
      </c>
      <c r="D434" s="152">
        <v>6</v>
      </c>
      <c r="E434" s="163">
        <v>4734</v>
      </c>
      <c r="F434" s="152">
        <v>625</v>
      </c>
      <c r="G434" s="164">
        <v>33538</v>
      </c>
    </row>
    <row r="435" spans="1:7" x14ac:dyDescent="0.25">
      <c r="A435" s="152" t="s">
        <v>438</v>
      </c>
      <c r="B435" s="152">
        <v>50</v>
      </c>
      <c r="C435" s="164">
        <v>23517</v>
      </c>
      <c r="D435" s="152">
        <v>10</v>
      </c>
      <c r="E435" s="163">
        <v>3534</v>
      </c>
      <c r="F435" s="152">
        <v>544</v>
      </c>
      <c r="G435" s="164">
        <v>27655</v>
      </c>
    </row>
    <row r="436" spans="1:7" ht="30" x14ac:dyDescent="0.25">
      <c r="A436" s="152" t="s">
        <v>439</v>
      </c>
      <c r="B436" s="152">
        <v>87</v>
      </c>
      <c r="C436" s="164">
        <v>40881</v>
      </c>
      <c r="D436" s="152">
        <v>25</v>
      </c>
      <c r="E436" s="163">
        <v>6718</v>
      </c>
      <c r="F436" s="164">
        <v>1025</v>
      </c>
      <c r="G436" s="164">
        <v>48736</v>
      </c>
    </row>
    <row r="437" spans="1:7" ht="30" x14ac:dyDescent="0.25">
      <c r="A437" s="152" t="s">
        <v>440</v>
      </c>
      <c r="B437" s="152">
        <v>50</v>
      </c>
      <c r="C437" s="164">
        <v>19809</v>
      </c>
      <c r="D437" s="152">
        <v>8</v>
      </c>
      <c r="E437" s="163">
        <v>2971</v>
      </c>
      <c r="F437" s="152">
        <v>448</v>
      </c>
      <c r="G437" s="164">
        <v>23286</v>
      </c>
    </row>
    <row r="438" spans="1:7" ht="30" x14ac:dyDescent="0.25">
      <c r="A438" s="152" t="s">
        <v>441</v>
      </c>
      <c r="B438" s="152">
        <v>3</v>
      </c>
      <c r="C438" s="164">
        <v>2383</v>
      </c>
      <c r="D438" s="152">
        <v>1</v>
      </c>
      <c r="E438">
        <v>492</v>
      </c>
      <c r="F438" s="152">
        <v>53</v>
      </c>
      <c r="G438" s="164">
        <v>2932</v>
      </c>
    </row>
    <row r="439" spans="1:7" ht="30" x14ac:dyDescent="0.25">
      <c r="A439" s="152" t="s">
        <v>442</v>
      </c>
      <c r="B439" s="152">
        <v>49</v>
      </c>
      <c r="C439" s="164">
        <v>16683</v>
      </c>
      <c r="D439" s="152">
        <v>5</v>
      </c>
      <c r="E439" s="163">
        <v>3202</v>
      </c>
      <c r="F439" s="152">
        <v>431</v>
      </c>
      <c r="G439" s="164">
        <v>20370</v>
      </c>
    </row>
    <row r="440" spans="1:7" x14ac:dyDescent="0.25">
      <c r="A440" s="152" t="s">
        <v>443</v>
      </c>
      <c r="B440" s="152">
        <v>6</v>
      </c>
      <c r="C440" s="164">
        <v>1653</v>
      </c>
      <c r="D440" s="152">
        <v>2</v>
      </c>
      <c r="E440">
        <v>321</v>
      </c>
      <c r="F440" s="152">
        <v>47</v>
      </c>
      <c r="G440" s="164">
        <v>2029</v>
      </c>
    </row>
    <row r="441" spans="1:7" ht="30" x14ac:dyDescent="0.25">
      <c r="A441" s="152" t="s">
        <v>444</v>
      </c>
      <c r="B441" s="152">
        <v>45</v>
      </c>
      <c r="C441" s="164">
        <v>17432</v>
      </c>
      <c r="D441" s="152">
        <v>5</v>
      </c>
      <c r="E441" s="163">
        <v>2147</v>
      </c>
      <c r="F441" s="152">
        <v>292</v>
      </c>
      <c r="G441" s="164">
        <v>19921</v>
      </c>
    </row>
    <row r="442" spans="1:7" x14ac:dyDescent="0.25">
      <c r="A442" s="152" t="s">
        <v>445</v>
      </c>
      <c r="B442" s="152">
        <v>420</v>
      </c>
      <c r="C442" s="164">
        <v>53928</v>
      </c>
      <c r="D442" s="152">
        <v>14</v>
      </c>
      <c r="E442" s="163">
        <v>10554</v>
      </c>
      <c r="F442" s="164">
        <v>1765</v>
      </c>
      <c r="G442" s="164">
        <v>66681</v>
      </c>
    </row>
    <row r="443" spans="1:7" x14ac:dyDescent="0.25">
      <c r="A443" s="152" t="s">
        <v>446</v>
      </c>
      <c r="B443" s="152">
        <v>22</v>
      </c>
      <c r="C443" s="164">
        <v>10410</v>
      </c>
      <c r="D443" s="152">
        <v>10</v>
      </c>
      <c r="E443" s="163">
        <v>1956</v>
      </c>
      <c r="F443" s="152">
        <v>255</v>
      </c>
      <c r="G443" s="164">
        <v>12653</v>
      </c>
    </row>
    <row r="444" spans="1:7" x14ac:dyDescent="0.25">
      <c r="A444" s="152" t="s">
        <v>447</v>
      </c>
      <c r="B444" s="152">
        <v>6</v>
      </c>
      <c r="C444" s="164">
        <v>2581</v>
      </c>
      <c r="E444" s="152">
        <v>416</v>
      </c>
      <c r="F444" s="152">
        <v>58</v>
      </c>
      <c r="G444" s="164">
        <v>3061</v>
      </c>
    </row>
    <row r="445" spans="1:7" x14ac:dyDescent="0.25">
      <c r="A445" s="152" t="s">
        <v>448</v>
      </c>
      <c r="B445" s="152">
        <v>7</v>
      </c>
      <c r="C445" s="164">
        <v>4977</v>
      </c>
      <c r="E445" s="164">
        <v>2219</v>
      </c>
      <c r="F445" s="152">
        <v>223</v>
      </c>
      <c r="G445" s="164">
        <v>7426</v>
      </c>
    </row>
    <row r="446" spans="1:7" x14ac:dyDescent="0.25">
      <c r="A446" s="152" t="s">
        <v>515</v>
      </c>
      <c r="B446" s="152">
        <v>56</v>
      </c>
      <c r="C446" s="164">
        <v>28379</v>
      </c>
      <c r="D446" s="152">
        <v>13</v>
      </c>
      <c r="E446" s="163">
        <v>7415</v>
      </c>
      <c r="F446" s="152">
        <v>772</v>
      </c>
      <c r="G446" s="164">
        <v>36635</v>
      </c>
    </row>
    <row r="447" spans="1:7" x14ac:dyDescent="0.25">
      <c r="A447" s="152"/>
      <c r="G447" s="161"/>
    </row>
    <row r="448" spans="1:7" x14ac:dyDescent="0.25">
      <c r="A448" s="152" t="s">
        <v>36</v>
      </c>
      <c r="B448" s="164">
        <f>SUM(B395:B447)</f>
        <v>2681</v>
      </c>
      <c r="C448" s="164">
        <f t="shared" ref="C448:G448" si="10">SUM(C395:C447)</f>
        <v>1018313</v>
      </c>
      <c r="D448" s="164">
        <f t="shared" si="10"/>
        <v>495</v>
      </c>
      <c r="E448" s="164">
        <f t="shared" si="10"/>
        <v>194353</v>
      </c>
      <c r="F448" s="164">
        <f t="shared" si="10"/>
        <v>25287</v>
      </c>
      <c r="G448" s="164">
        <f t="shared" si="10"/>
        <v>1241129</v>
      </c>
    </row>
    <row r="449" spans="1:7" x14ac:dyDescent="0.25">
      <c r="A449" s="152"/>
      <c r="B449" s="152"/>
      <c r="C449" s="152"/>
      <c r="D449" s="165"/>
      <c r="F449" s="165"/>
      <c r="G449" s="162"/>
    </row>
    <row r="454" spans="1:7" ht="45" x14ac:dyDescent="0.25">
      <c r="A454" s="152" t="s">
        <v>449</v>
      </c>
      <c r="B454" s="172"/>
      <c r="C454" s="172"/>
      <c r="D454" s="172"/>
      <c r="E454" s="172"/>
      <c r="F454" s="173"/>
    </row>
    <row r="455" spans="1:7" x14ac:dyDescent="0.25">
      <c r="A455" s="152"/>
      <c r="B455" s="152"/>
      <c r="C455" s="152"/>
      <c r="F455" s="161"/>
    </row>
    <row r="456" spans="1:7" ht="30" x14ac:dyDescent="0.25">
      <c r="A456" s="152"/>
      <c r="B456" s="152" t="s">
        <v>516</v>
      </c>
      <c r="C456" s="152"/>
      <c r="F456" s="161"/>
    </row>
    <row r="457" spans="1:7" x14ac:dyDescent="0.25">
      <c r="A457" s="152" t="s">
        <v>141</v>
      </c>
      <c r="B457" s="152" t="s">
        <v>495</v>
      </c>
      <c r="C457" s="152" t="s">
        <v>496</v>
      </c>
      <c r="D457" s="152" t="s">
        <v>497</v>
      </c>
      <c r="E457" s="152" t="s">
        <v>498</v>
      </c>
      <c r="F457" s="152" t="s">
        <v>499</v>
      </c>
      <c r="G457" s="152" t="s">
        <v>36</v>
      </c>
    </row>
    <row r="458" spans="1:7" x14ac:dyDescent="0.25">
      <c r="A458" s="152"/>
      <c r="B458" s="152"/>
      <c r="C458" s="152"/>
      <c r="G458" s="161"/>
    </row>
    <row r="459" spans="1:7" x14ac:dyDescent="0.25">
      <c r="A459" s="152" t="s">
        <v>450</v>
      </c>
      <c r="B459" s="152">
        <v>2</v>
      </c>
      <c r="C459" s="164">
        <v>1040</v>
      </c>
      <c r="D459" s="152">
        <v>1</v>
      </c>
      <c r="E459" s="152">
        <v>159</v>
      </c>
      <c r="F459" s="152">
        <v>13</v>
      </c>
      <c r="G459" s="164">
        <v>1215</v>
      </c>
    </row>
    <row r="460" spans="1:7" x14ac:dyDescent="0.25">
      <c r="A460" s="152" t="s">
        <v>451</v>
      </c>
      <c r="B460" s="152">
        <v>9</v>
      </c>
      <c r="C460" s="164">
        <v>2600</v>
      </c>
      <c r="D460" s="152">
        <v>2</v>
      </c>
      <c r="E460" s="152">
        <v>421</v>
      </c>
      <c r="F460" s="152">
        <v>81</v>
      </c>
      <c r="G460" s="164">
        <v>3113</v>
      </c>
    </row>
    <row r="461" spans="1:7" x14ac:dyDescent="0.25">
      <c r="A461" s="152" t="s">
        <v>452</v>
      </c>
      <c r="B461" s="152">
        <v>22</v>
      </c>
      <c r="C461" s="164">
        <v>8352</v>
      </c>
      <c r="D461" s="152">
        <v>8</v>
      </c>
      <c r="E461" s="164">
        <v>1465</v>
      </c>
      <c r="F461" s="152">
        <v>187</v>
      </c>
      <c r="G461" s="164">
        <v>10034</v>
      </c>
    </row>
    <row r="462" spans="1:7" ht="30" x14ac:dyDescent="0.25">
      <c r="A462" s="152" t="s">
        <v>453</v>
      </c>
      <c r="B462" s="152">
        <v>5</v>
      </c>
      <c r="C462" s="164">
        <v>1993</v>
      </c>
      <c r="D462" s="152">
        <v>1</v>
      </c>
      <c r="E462" s="152">
        <v>282</v>
      </c>
      <c r="F462" s="152">
        <v>48</v>
      </c>
      <c r="G462" s="164">
        <v>2329</v>
      </c>
    </row>
    <row r="463" spans="1:7" x14ac:dyDescent="0.25">
      <c r="A463" s="152" t="s">
        <v>454</v>
      </c>
      <c r="B463" s="152">
        <v>17</v>
      </c>
      <c r="C463" s="164">
        <v>3454</v>
      </c>
      <c r="D463" s="152">
        <v>5</v>
      </c>
      <c r="E463" s="152">
        <v>556</v>
      </c>
      <c r="F463" s="152">
        <v>66</v>
      </c>
      <c r="G463" s="164">
        <v>4098</v>
      </c>
    </row>
    <row r="464" spans="1:7" x14ac:dyDescent="0.25">
      <c r="A464" s="152" t="s">
        <v>455</v>
      </c>
      <c r="B464" s="152">
        <v>10</v>
      </c>
      <c r="C464" s="164">
        <v>3912</v>
      </c>
      <c r="D464" s="152">
        <v>2</v>
      </c>
      <c r="E464" s="152">
        <v>567</v>
      </c>
      <c r="F464" s="152">
        <v>98</v>
      </c>
      <c r="G464" s="164">
        <v>4589</v>
      </c>
    </row>
    <row r="465" spans="1:7" x14ac:dyDescent="0.25">
      <c r="A465" s="152" t="s">
        <v>456</v>
      </c>
      <c r="B465" s="152">
        <v>7</v>
      </c>
      <c r="C465" s="164">
        <v>1486</v>
      </c>
      <c r="D465" s="152">
        <v>1</v>
      </c>
      <c r="E465" s="152">
        <v>250</v>
      </c>
      <c r="F465" s="152">
        <v>24</v>
      </c>
      <c r="G465" s="164">
        <v>1768</v>
      </c>
    </row>
    <row r="466" spans="1:7" x14ac:dyDescent="0.25">
      <c r="A466" s="152" t="s">
        <v>457</v>
      </c>
      <c r="B466" s="152">
        <v>19</v>
      </c>
      <c r="C466" s="164">
        <v>4468</v>
      </c>
      <c r="D466" s="152">
        <v>2</v>
      </c>
      <c r="E466" s="152">
        <v>955</v>
      </c>
      <c r="F466" s="152">
        <v>104</v>
      </c>
      <c r="G466" s="164">
        <v>5548</v>
      </c>
    </row>
    <row r="467" spans="1:7" ht="30" x14ac:dyDescent="0.25">
      <c r="A467" s="152" t="s">
        <v>458</v>
      </c>
      <c r="B467" s="152">
        <v>12</v>
      </c>
      <c r="C467" s="164">
        <v>6294</v>
      </c>
      <c r="D467" s="152">
        <v>5</v>
      </c>
      <c r="E467" s="164">
        <v>1104</v>
      </c>
      <c r="F467" s="152">
        <v>155</v>
      </c>
      <c r="G467" s="164">
        <v>7570</v>
      </c>
    </row>
    <row r="468" spans="1:7" x14ac:dyDescent="0.25">
      <c r="A468" s="152" t="s">
        <v>459</v>
      </c>
      <c r="B468" s="152">
        <v>20</v>
      </c>
      <c r="C468" s="164">
        <v>6998</v>
      </c>
      <c r="D468" s="152">
        <v>11</v>
      </c>
      <c r="E468" s="164">
        <v>1159</v>
      </c>
      <c r="F468" s="152">
        <v>156</v>
      </c>
      <c r="G468" s="164">
        <v>8344</v>
      </c>
    </row>
    <row r="469" spans="1:7" ht="60" x14ac:dyDescent="0.25">
      <c r="A469" s="152" t="s">
        <v>519</v>
      </c>
      <c r="B469" s="152">
        <v>13</v>
      </c>
      <c r="C469" s="164">
        <v>3804</v>
      </c>
      <c r="D469" s="152">
        <v>1</v>
      </c>
      <c r="E469" s="152">
        <v>560</v>
      </c>
      <c r="F469" s="152">
        <v>88</v>
      </c>
      <c r="G469" s="164">
        <v>4466</v>
      </c>
    </row>
    <row r="470" spans="1:7" x14ac:dyDescent="0.25">
      <c r="A470" s="152" t="s">
        <v>461</v>
      </c>
      <c r="B470" s="152">
        <v>97</v>
      </c>
      <c r="C470" s="164">
        <v>27778</v>
      </c>
      <c r="D470" s="152">
        <v>29</v>
      </c>
      <c r="E470" s="164">
        <v>4913</v>
      </c>
      <c r="F470" s="152">
        <v>600</v>
      </c>
      <c r="G470" s="164">
        <v>33417</v>
      </c>
    </row>
    <row r="471" spans="1:7" x14ac:dyDescent="0.25">
      <c r="A471" s="152"/>
      <c r="G471" s="161"/>
    </row>
    <row r="472" spans="1:7" x14ac:dyDescent="0.25">
      <c r="A472" s="152" t="s">
        <v>36</v>
      </c>
      <c r="B472" s="152">
        <v>233</v>
      </c>
      <c r="C472" s="164">
        <v>72179</v>
      </c>
      <c r="D472" s="152">
        <v>68</v>
      </c>
      <c r="E472" s="164">
        <v>12391</v>
      </c>
      <c r="F472" s="164">
        <v>1620</v>
      </c>
      <c r="G472" s="164">
        <v>86491</v>
      </c>
    </row>
    <row r="473" spans="1:7" x14ac:dyDescent="0.25">
      <c r="A473" s="152"/>
      <c r="B473" s="152"/>
      <c r="C473" s="152"/>
      <c r="F473" s="161"/>
    </row>
    <row r="474" spans="1:7" x14ac:dyDescent="0.25">
      <c r="A474" s="152"/>
      <c r="B474" s="165"/>
      <c r="C474" s="165"/>
      <c r="D474" s="165"/>
      <c r="E474" s="165"/>
      <c r="F474" s="162"/>
    </row>
    <row r="478" spans="1:7" ht="45" x14ac:dyDescent="0.25">
      <c r="A478" s="152" t="s">
        <v>517</v>
      </c>
      <c r="B478" s="152" t="s">
        <v>518</v>
      </c>
      <c r="C478" s="152">
        <v>15</v>
      </c>
      <c r="D478" s="172"/>
      <c r="E478" s="172"/>
      <c r="F478" s="173"/>
    </row>
    <row r="479" spans="1:7" x14ac:dyDescent="0.25">
      <c r="A479" s="152"/>
      <c r="B479" s="152"/>
      <c r="C479" s="152"/>
      <c r="D479" s="152"/>
      <c r="F479" s="161"/>
    </row>
    <row r="480" spans="1:7" ht="30" x14ac:dyDescent="0.25">
      <c r="A480" s="152"/>
      <c r="B480" s="152"/>
      <c r="C480" s="152" t="s">
        <v>516</v>
      </c>
      <c r="D480" s="152"/>
      <c r="F480" s="161"/>
    </row>
    <row r="481" spans="1:7" x14ac:dyDescent="0.25">
      <c r="A481" s="152" t="s">
        <v>141</v>
      </c>
      <c r="B481" s="152" t="s">
        <v>495</v>
      </c>
      <c r="C481" s="152" t="s">
        <v>496</v>
      </c>
      <c r="D481" s="152" t="s">
        <v>497</v>
      </c>
      <c r="E481" s="152" t="s">
        <v>498</v>
      </c>
      <c r="F481" s="152" t="s">
        <v>499</v>
      </c>
      <c r="G481" s="152" t="s">
        <v>36</v>
      </c>
    </row>
    <row r="482" spans="1:7" x14ac:dyDescent="0.25">
      <c r="A482" s="152"/>
      <c r="B482" s="152"/>
      <c r="C482" s="152"/>
      <c r="G482" s="161"/>
    </row>
    <row r="483" spans="1:7" x14ac:dyDescent="0.25">
      <c r="A483" s="152" t="s">
        <v>462</v>
      </c>
      <c r="B483" s="152">
        <v>109</v>
      </c>
      <c r="C483" s="164">
        <v>34285</v>
      </c>
      <c r="D483" s="152">
        <v>16</v>
      </c>
      <c r="E483" s="164">
        <v>5811</v>
      </c>
      <c r="F483" s="152">
        <v>828</v>
      </c>
      <c r="G483" s="164">
        <v>41049</v>
      </c>
    </row>
    <row r="484" spans="1:7" ht="30" x14ac:dyDescent="0.25">
      <c r="A484" s="152" t="s">
        <v>463</v>
      </c>
      <c r="B484" s="152"/>
      <c r="C484" s="152">
        <v>75</v>
      </c>
      <c r="E484" s="152">
        <v>15</v>
      </c>
      <c r="F484" s="152">
        <v>1</v>
      </c>
      <c r="G484" s="152">
        <v>91</v>
      </c>
    </row>
    <row r="485" spans="1:7" ht="30" x14ac:dyDescent="0.25">
      <c r="A485" s="152" t="s">
        <v>464</v>
      </c>
      <c r="B485" s="152">
        <v>1</v>
      </c>
      <c r="C485" s="152">
        <v>62</v>
      </c>
      <c r="E485" s="152">
        <v>21</v>
      </c>
      <c r="G485" s="152">
        <v>84</v>
      </c>
    </row>
    <row r="486" spans="1:7" x14ac:dyDescent="0.25">
      <c r="A486" s="152" t="s">
        <v>465</v>
      </c>
      <c r="B486" s="152"/>
      <c r="C486" s="152">
        <v>218</v>
      </c>
      <c r="E486" s="152">
        <v>58</v>
      </c>
      <c r="F486" s="152">
        <v>8</v>
      </c>
      <c r="G486" s="152">
        <v>284</v>
      </c>
    </row>
    <row r="487" spans="1:7" x14ac:dyDescent="0.25">
      <c r="A487" s="152" t="s">
        <v>36</v>
      </c>
      <c r="B487" s="153">
        <f>SUM(B483:B486)</f>
        <v>110</v>
      </c>
      <c r="C487" s="153">
        <f t="shared" ref="C487:F487" si="11">SUM(C483:C486)</f>
        <v>34640</v>
      </c>
      <c r="D487" s="153">
        <f t="shared" si="11"/>
        <v>16</v>
      </c>
      <c r="E487" s="153">
        <f t="shared" si="11"/>
        <v>5905</v>
      </c>
      <c r="F487" s="153">
        <f t="shared" si="11"/>
        <v>837</v>
      </c>
      <c r="G487" s="153">
        <f>SUM(G483:G486)</f>
        <v>41508</v>
      </c>
    </row>
    <row r="488" spans="1:7" x14ac:dyDescent="0.25">
      <c r="A488" s="152"/>
      <c r="B488" s="152"/>
      <c r="C488" s="152"/>
      <c r="D488" s="165"/>
      <c r="E488" s="165"/>
      <c r="F488" s="162"/>
    </row>
    <row r="492" spans="1:7" ht="45" x14ac:dyDescent="0.25">
      <c r="A492" s="152" t="s">
        <v>517</v>
      </c>
      <c r="B492" s="152" t="s">
        <v>518</v>
      </c>
      <c r="C492" s="152">
        <v>16</v>
      </c>
      <c r="D492" s="172"/>
      <c r="E492" s="172"/>
      <c r="F492" s="173"/>
    </row>
    <row r="493" spans="1:7" x14ac:dyDescent="0.25">
      <c r="A493" s="152"/>
      <c r="B493" s="152"/>
      <c r="C493" s="152"/>
      <c r="D493" s="152"/>
      <c r="F493" s="161"/>
    </row>
    <row r="494" spans="1:7" ht="30" x14ac:dyDescent="0.25">
      <c r="A494" s="152"/>
      <c r="B494" s="152"/>
      <c r="C494" s="152" t="s">
        <v>516</v>
      </c>
      <c r="D494" s="152"/>
      <c r="F494" s="161"/>
    </row>
    <row r="495" spans="1:7" x14ac:dyDescent="0.25">
      <c r="A495" s="152" t="s">
        <v>141</v>
      </c>
      <c r="B495" s="152" t="s">
        <v>495</v>
      </c>
      <c r="C495" s="152" t="s">
        <v>496</v>
      </c>
      <c r="D495" s="152" t="s">
        <v>497</v>
      </c>
      <c r="E495" s="152" t="s">
        <v>498</v>
      </c>
      <c r="F495" s="152" t="s">
        <v>499</v>
      </c>
      <c r="G495" s="152" t="s">
        <v>36</v>
      </c>
    </row>
    <row r="496" spans="1:7" x14ac:dyDescent="0.25">
      <c r="A496" s="152"/>
      <c r="B496" s="152"/>
      <c r="C496" s="152"/>
      <c r="G496" s="161"/>
    </row>
    <row r="497" spans="1:7" x14ac:dyDescent="0.25">
      <c r="A497" s="152" t="s">
        <v>466</v>
      </c>
      <c r="B497" s="152">
        <v>13</v>
      </c>
      <c r="C497" s="164">
        <v>4610</v>
      </c>
      <c r="D497" s="152">
        <v>1</v>
      </c>
      <c r="E497" s="164">
        <v>1258</v>
      </c>
      <c r="F497" s="152">
        <v>132</v>
      </c>
      <c r="G497" s="164">
        <v>6014</v>
      </c>
    </row>
    <row r="498" spans="1:7" x14ac:dyDescent="0.25">
      <c r="A498" s="152" t="s">
        <v>467</v>
      </c>
      <c r="B498" s="152">
        <v>107</v>
      </c>
      <c r="C498" s="164">
        <v>35823</v>
      </c>
      <c r="D498" s="152">
        <v>9</v>
      </c>
      <c r="E498" s="164">
        <v>8805</v>
      </c>
      <c r="F498" s="152">
        <v>912</v>
      </c>
      <c r="G498" s="164">
        <v>45656</v>
      </c>
    </row>
    <row r="499" spans="1:7" ht="30" x14ac:dyDescent="0.25">
      <c r="A499" s="152" t="s">
        <v>468</v>
      </c>
      <c r="B499" s="152">
        <v>18</v>
      </c>
      <c r="C499" s="164">
        <v>4008</v>
      </c>
      <c r="E499" s="152">
        <v>891</v>
      </c>
      <c r="F499" s="152">
        <v>106</v>
      </c>
      <c r="G499" s="164">
        <v>5023</v>
      </c>
    </row>
    <row r="500" spans="1:7" ht="30" x14ac:dyDescent="0.25">
      <c r="A500" s="152" t="s">
        <v>469</v>
      </c>
      <c r="B500" s="152">
        <v>5</v>
      </c>
      <c r="C500" s="164">
        <v>1172</v>
      </c>
      <c r="E500" s="152">
        <v>277</v>
      </c>
      <c r="F500" s="152">
        <v>24</v>
      </c>
      <c r="G500" s="164">
        <v>1478</v>
      </c>
    </row>
    <row r="501" spans="1:7" x14ac:dyDescent="0.25">
      <c r="A501" s="152" t="s">
        <v>470</v>
      </c>
      <c r="B501" s="152">
        <v>5</v>
      </c>
      <c r="C501" s="164">
        <v>3897</v>
      </c>
      <c r="E501" s="152">
        <v>822</v>
      </c>
      <c r="F501" s="152">
        <v>74</v>
      </c>
      <c r="G501" s="164">
        <v>4798</v>
      </c>
    </row>
    <row r="502" spans="1:7" x14ac:dyDescent="0.25">
      <c r="A502" s="152" t="s">
        <v>471</v>
      </c>
      <c r="B502" s="152">
        <v>18</v>
      </c>
      <c r="C502" s="164">
        <v>4370</v>
      </c>
      <c r="D502" s="152">
        <v>1</v>
      </c>
      <c r="E502" s="164">
        <v>1431</v>
      </c>
      <c r="F502" s="152">
        <v>147</v>
      </c>
      <c r="G502" s="164">
        <v>5967</v>
      </c>
    </row>
    <row r="503" spans="1:7" x14ac:dyDescent="0.25">
      <c r="A503" s="152" t="s">
        <v>472</v>
      </c>
      <c r="B503" s="152">
        <v>10</v>
      </c>
      <c r="C503" s="164">
        <v>2703</v>
      </c>
      <c r="D503" s="152">
        <v>1</v>
      </c>
      <c r="E503" s="152">
        <v>848</v>
      </c>
      <c r="F503" s="152">
        <v>73</v>
      </c>
      <c r="G503" s="164">
        <v>3635</v>
      </c>
    </row>
    <row r="504" spans="1:7" x14ac:dyDescent="0.25">
      <c r="A504" s="152" t="s">
        <v>473</v>
      </c>
      <c r="B504" s="152">
        <v>3</v>
      </c>
      <c r="C504" s="164">
        <v>1384</v>
      </c>
      <c r="E504" s="152">
        <v>494</v>
      </c>
      <c r="F504" s="152">
        <v>28</v>
      </c>
      <c r="G504" s="164">
        <v>1909</v>
      </c>
    </row>
    <row r="505" spans="1:7" x14ac:dyDescent="0.25">
      <c r="A505" s="152" t="s">
        <v>474</v>
      </c>
      <c r="B505" s="152">
        <v>2</v>
      </c>
      <c r="C505" s="164">
        <v>1686</v>
      </c>
      <c r="E505" s="152">
        <v>551</v>
      </c>
      <c r="F505" s="152">
        <v>51</v>
      </c>
      <c r="G505" s="164">
        <v>2290</v>
      </c>
    </row>
    <row r="506" spans="1:7" x14ac:dyDescent="0.25">
      <c r="A506" s="152" t="s">
        <v>475</v>
      </c>
      <c r="B506" s="152">
        <v>5</v>
      </c>
      <c r="C506" s="164">
        <v>2316</v>
      </c>
      <c r="E506" s="152">
        <v>695</v>
      </c>
      <c r="F506" s="152">
        <v>81</v>
      </c>
      <c r="G506" s="164">
        <v>3097</v>
      </c>
    </row>
    <row r="507" spans="1:7" ht="30" x14ac:dyDescent="0.25">
      <c r="A507" s="152" t="s">
        <v>476</v>
      </c>
      <c r="B507" s="152">
        <v>4</v>
      </c>
      <c r="C507" s="164">
        <v>1278</v>
      </c>
      <c r="E507" s="152">
        <v>260</v>
      </c>
      <c r="F507" s="152">
        <v>26</v>
      </c>
      <c r="G507" s="164">
        <v>1568</v>
      </c>
    </row>
    <row r="508" spans="1:7" x14ac:dyDescent="0.25">
      <c r="A508" s="152" t="s">
        <v>477</v>
      </c>
      <c r="B508" s="152">
        <v>15</v>
      </c>
      <c r="C508" s="164">
        <v>4075</v>
      </c>
      <c r="D508" s="152">
        <v>3</v>
      </c>
      <c r="E508" s="152">
        <v>910</v>
      </c>
      <c r="F508" s="152">
        <v>132</v>
      </c>
      <c r="G508" s="164">
        <v>5135</v>
      </c>
    </row>
    <row r="509" spans="1:7" x14ac:dyDescent="0.25">
      <c r="A509" s="152" t="s">
        <v>478</v>
      </c>
      <c r="B509" s="152">
        <v>9</v>
      </c>
      <c r="C509" s="164">
        <v>2735</v>
      </c>
      <c r="E509" s="152">
        <v>605</v>
      </c>
      <c r="F509" s="152">
        <v>57</v>
      </c>
      <c r="G509" s="164">
        <v>3406</v>
      </c>
    </row>
    <row r="510" spans="1:7" x14ac:dyDescent="0.25">
      <c r="A510" s="152" t="s">
        <v>479</v>
      </c>
      <c r="B510" s="152">
        <v>4</v>
      </c>
      <c r="C510" s="164">
        <v>1532</v>
      </c>
      <c r="D510" s="152">
        <v>1</v>
      </c>
      <c r="E510" s="152">
        <v>322</v>
      </c>
      <c r="F510" s="152">
        <v>37</v>
      </c>
      <c r="G510" s="164">
        <v>1896</v>
      </c>
    </row>
    <row r="511" spans="1:7" ht="30" x14ac:dyDescent="0.25">
      <c r="A511" s="152" t="s">
        <v>480</v>
      </c>
      <c r="B511" s="152">
        <v>34</v>
      </c>
      <c r="C511" s="164">
        <v>11662</v>
      </c>
      <c r="D511" s="152">
        <v>6</v>
      </c>
      <c r="E511" s="164">
        <v>2801</v>
      </c>
      <c r="F511" s="152">
        <v>253</v>
      </c>
      <c r="G511" s="164">
        <v>14756</v>
      </c>
    </row>
    <row r="512" spans="1:7" ht="30" x14ac:dyDescent="0.25">
      <c r="A512" s="152" t="s">
        <v>481</v>
      </c>
      <c r="B512" s="152">
        <v>2</v>
      </c>
      <c r="C512" s="152">
        <v>915</v>
      </c>
      <c r="E512" s="152">
        <v>208</v>
      </c>
      <c r="F512" s="152">
        <v>24</v>
      </c>
      <c r="G512" s="164">
        <v>1149</v>
      </c>
    </row>
    <row r="513" spans="1:7" ht="30" x14ac:dyDescent="0.25">
      <c r="A513" s="152" t="s">
        <v>482</v>
      </c>
      <c r="B513" s="152">
        <v>16</v>
      </c>
      <c r="C513" s="164">
        <v>3685</v>
      </c>
      <c r="E513" s="164">
        <v>1109</v>
      </c>
      <c r="F513" s="152">
        <v>141</v>
      </c>
      <c r="G513" s="164">
        <v>4951</v>
      </c>
    </row>
    <row r="514" spans="1:7" ht="30" x14ac:dyDescent="0.25">
      <c r="A514" s="152" t="s">
        <v>483</v>
      </c>
      <c r="B514" s="152">
        <v>10</v>
      </c>
      <c r="C514" s="164">
        <v>2256</v>
      </c>
      <c r="D514" s="152">
        <v>1</v>
      </c>
      <c r="E514" s="152">
        <v>614</v>
      </c>
      <c r="F514" s="152">
        <v>62</v>
      </c>
      <c r="G514" s="164">
        <v>2943</v>
      </c>
    </row>
    <row r="515" spans="1:7" x14ac:dyDescent="0.25">
      <c r="A515" s="152" t="s">
        <v>484</v>
      </c>
      <c r="B515" s="152">
        <v>5</v>
      </c>
      <c r="C515" s="164">
        <v>1271</v>
      </c>
      <c r="D515" s="152">
        <v>1</v>
      </c>
      <c r="E515" s="152">
        <v>240</v>
      </c>
      <c r="F515" s="152">
        <v>33</v>
      </c>
      <c r="G515" s="164">
        <v>1550</v>
      </c>
    </row>
    <row r="516" spans="1:7" x14ac:dyDescent="0.25">
      <c r="A516" s="152" t="s">
        <v>485</v>
      </c>
      <c r="B516" s="152">
        <v>11</v>
      </c>
      <c r="C516" s="164">
        <v>3744</v>
      </c>
      <c r="E516" s="152">
        <v>854</v>
      </c>
      <c r="F516" s="152">
        <v>95</v>
      </c>
      <c r="G516" s="164">
        <v>4704</v>
      </c>
    </row>
    <row r="517" spans="1:7" x14ac:dyDescent="0.25">
      <c r="A517" s="152" t="s">
        <v>486</v>
      </c>
      <c r="B517" s="152">
        <v>3</v>
      </c>
      <c r="C517" s="164">
        <v>2785</v>
      </c>
      <c r="D517" s="152">
        <v>1</v>
      </c>
      <c r="E517" s="152">
        <v>811</v>
      </c>
      <c r="F517" s="152">
        <v>75</v>
      </c>
      <c r="G517" s="164">
        <v>3675</v>
      </c>
    </row>
    <row r="518" spans="1:7" x14ac:dyDescent="0.25">
      <c r="A518" s="152" t="s">
        <v>36</v>
      </c>
      <c r="B518" s="153">
        <f>SUM(B497:B517)</f>
        <v>299</v>
      </c>
      <c r="C518" s="153">
        <f t="shared" ref="C518:G518" si="12">SUM(C497:C517)</f>
        <v>97907</v>
      </c>
      <c r="D518" s="153">
        <f t="shared" si="12"/>
        <v>25</v>
      </c>
      <c r="E518" s="153">
        <f t="shared" si="12"/>
        <v>24806</v>
      </c>
      <c r="F518" s="153">
        <f t="shared" si="12"/>
        <v>2563</v>
      </c>
      <c r="G518" s="153">
        <f t="shared" si="12"/>
        <v>125600</v>
      </c>
    </row>
    <row r="519" spans="1:7" x14ac:dyDescent="0.25">
      <c r="A519" s="152"/>
      <c r="B519" s="152"/>
      <c r="C519" s="152"/>
      <c r="D519" s="165"/>
      <c r="E519" s="165"/>
      <c r="F519" s="165"/>
      <c r="G519" s="16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7B861-38AA-4A81-BA18-1E600ACAF51A}">
  <sheetPr>
    <tabColor theme="8" tint="0.79998168889431442"/>
  </sheetPr>
  <dimension ref="B1:M73"/>
  <sheetViews>
    <sheetView showGridLines="0" workbookViewId="0">
      <selection activeCell="I35" sqref="I35"/>
    </sheetView>
  </sheetViews>
  <sheetFormatPr baseColWidth="10" defaultRowHeight="15" x14ac:dyDescent="0.25"/>
  <cols>
    <col min="1" max="1" width="14.42578125" customWidth="1"/>
  </cols>
  <sheetData>
    <row r="1" spans="2:13" x14ac:dyDescent="0.25">
      <c r="B1" s="450" t="s">
        <v>781</v>
      </c>
      <c r="C1" s="451"/>
      <c r="D1" s="451"/>
      <c r="E1" s="451"/>
      <c r="F1" s="451"/>
      <c r="G1" s="451"/>
      <c r="H1" s="451"/>
      <c r="I1" s="451"/>
      <c r="J1" s="451"/>
      <c r="K1" s="451"/>
      <c r="L1" s="451"/>
      <c r="M1" s="451"/>
    </row>
    <row r="2" spans="2:13" x14ac:dyDescent="0.25">
      <c r="B2" s="451"/>
      <c r="C2" s="451"/>
      <c r="D2" s="451"/>
      <c r="E2" s="451"/>
      <c r="F2" s="451"/>
      <c r="G2" s="451"/>
      <c r="H2" s="451"/>
      <c r="I2" s="451"/>
      <c r="J2" s="451"/>
      <c r="K2" s="451"/>
      <c r="L2" s="451"/>
      <c r="M2" s="451"/>
    </row>
    <row r="3" spans="2:13" x14ac:dyDescent="0.25">
      <c r="B3" s="451"/>
      <c r="C3" s="451"/>
      <c r="D3" s="451"/>
      <c r="E3" s="451"/>
      <c r="F3" s="451"/>
      <c r="G3" s="451"/>
      <c r="H3" s="451"/>
      <c r="I3" s="451"/>
      <c r="J3" s="451"/>
      <c r="K3" s="451"/>
      <c r="L3" s="451"/>
      <c r="M3" s="451"/>
    </row>
    <row r="4" spans="2:13" x14ac:dyDescent="0.25">
      <c r="B4" s="451"/>
      <c r="C4" s="451"/>
      <c r="D4" s="451"/>
      <c r="E4" s="451"/>
      <c r="F4" s="451"/>
      <c r="G4" s="451"/>
      <c r="H4" s="451"/>
      <c r="I4" s="451"/>
      <c r="J4" s="451"/>
      <c r="K4" s="451"/>
      <c r="L4" s="451"/>
      <c r="M4" s="451"/>
    </row>
    <row r="5" spans="2:13" x14ac:dyDescent="0.25">
      <c r="B5" s="451"/>
      <c r="C5" s="451"/>
      <c r="D5" s="451"/>
      <c r="E5" s="451"/>
      <c r="F5" s="451"/>
      <c r="G5" s="451"/>
      <c r="H5" s="451"/>
      <c r="I5" s="451"/>
      <c r="J5" s="451"/>
      <c r="K5" s="451"/>
      <c r="L5" s="451"/>
      <c r="M5" s="451"/>
    </row>
    <row r="6" spans="2:13" ht="15.75" x14ac:dyDescent="0.25">
      <c r="B6" s="262"/>
      <c r="C6" s="262"/>
      <c r="D6" s="262"/>
      <c r="E6" s="262"/>
      <c r="F6" s="262"/>
      <c r="G6" s="262"/>
      <c r="H6" s="262"/>
      <c r="I6" s="262"/>
      <c r="J6" s="262"/>
      <c r="K6" s="262"/>
      <c r="L6" s="262"/>
      <c r="M6" s="262"/>
    </row>
    <row r="8" spans="2:13" ht="15.75" thickBot="1" x14ac:dyDescent="0.3"/>
    <row r="9" spans="2:13" ht="21.75" thickBot="1" x14ac:dyDescent="0.4">
      <c r="B9" s="480" t="s">
        <v>778</v>
      </c>
      <c r="C9" s="481"/>
      <c r="D9" s="481"/>
      <c r="E9" s="481"/>
      <c r="F9" s="481"/>
      <c r="G9" s="481"/>
      <c r="H9" s="481"/>
      <c r="I9" s="481"/>
      <c r="J9" s="481"/>
      <c r="K9" s="481"/>
      <c r="L9" s="481"/>
      <c r="M9" s="482"/>
    </row>
    <row r="10" spans="2:13" ht="15.75" x14ac:dyDescent="0.25">
      <c r="B10" s="456" t="s">
        <v>894</v>
      </c>
      <c r="C10" s="456"/>
      <c r="D10" s="456"/>
      <c r="E10" s="456"/>
      <c r="F10" s="456"/>
      <c r="G10" s="456"/>
      <c r="H10" s="456"/>
      <c r="I10" s="456"/>
      <c r="J10" s="456"/>
      <c r="K10" s="456"/>
      <c r="L10" s="456"/>
      <c r="M10" s="456"/>
    </row>
    <row r="11" spans="2:13" x14ac:dyDescent="0.25">
      <c r="B11" s="452"/>
      <c r="C11" s="452"/>
      <c r="D11" s="452"/>
      <c r="E11" s="452"/>
      <c r="F11" s="452"/>
      <c r="G11" s="452"/>
      <c r="H11" s="452"/>
      <c r="I11" s="452"/>
      <c r="J11" s="452"/>
      <c r="K11" s="452"/>
      <c r="L11" s="452"/>
      <c r="M11" s="452"/>
    </row>
    <row r="12" spans="2:13" ht="18.75" x14ac:dyDescent="0.3">
      <c r="B12" s="458" t="s">
        <v>852</v>
      </c>
      <c r="C12" s="458"/>
      <c r="D12" s="458"/>
      <c r="E12" s="458"/>
      <c r="F12" s="458"/>
      <c r="G12" s="458"/>
      <c r="H12" s="458"/>
      <c r="I12" s="458"/>
      <c r="J12" s="458"/>
      <c r="K12" s="458"/>
      <c r="L12" s="458"/>
      <c r="M12" s="458"/>
    </row>
    <row r="13" spans="2:13" x14ac:dyDescent="0.25">
      <c r="B13" s="479" t="s">
        <v>851</v>
      </c>
      <c r="C13" s="479"/>
      <c r="D13" s="479"/>
      <c r="E13" s="479"/>
      <c r="F13" s="479"/>
      <c r="G13" s="479"/>
      <c r="H13" s="479"/>
      <c r="I13" s="479"/>
      <c r="J13" s="479"/>
      <c r="K13" s="479"/>
      <c r="L13" s="479"/>
      <c r="M13" s="479"/>
    </row>
    <row r="14" spans="2:13" x14ac:dyDescent="0.25">
      <c r="B14" s="479" t="s">
        <v>848</v>
      </c>
      <c r="C14" s="479"/>
      <c r="D14" s="479"/>
      <c r="E14" s="479"/>
      <c r="F14" s="479"/>
      <c r="G14" s="479"/>
      <c r="H14" s="479"/>
      <c r="I14" s="479"/>
      <c r="J14" s="479"/>
      <c r="K14" s="479"/>
      <c r="L14" s="479"/>
      <c r="M14" s="479"/>
    </row>
    <row r="15" spans="2:13" ht="18.75" x14ac:dyDescent="0.3">
      <c r="B15" s="458" t="s">
        <v>861</v>
      </c>
      <c r="C15" s="458"/>
      <c r="D15" s="458"/>
      <c r="E15" s="458"/>
      <c r="F15" s="458"/>
      <c r="G15" s="458"/>
      <c r="H15" s="458"/>
      <c r="I15" s="458"/>
      <c r="J15" s="458"/>
      <c r="K15" s="458"/>
      <c r="L15" s="458"/>
      <c r="M15" s="458"/>
    </row>
    <row r="16" spans="2:13" x14ac:dyDescent="0.25">
      <c r="B16" s="479" t="s">
        <v>854</v>
      </c>
      <c r="C16" s="479"/>
      <c r="D16" s="479"/>
      <c r="E16" s="479"/>
      <c r="F16" s="479"/>
      <c r="G16" s="479"/>
      <c r="H16" s="479"/>
      <c r="I16" s="479"/>
      <c r="J16" s="479"/>
      <c r="K16" s="479"/>
      <c r="L16" s="479"/>
      <c r="M16" s="479"/>
    </row>
    <row r="17" spans="2:13" x14ac:dyDescent="0.25">
      <c r="B17" s="479" t="s">
        <v>855</v>
      </c>
      <c r="C17" s="479"/>
      <c r="D17" s="479"/>
      <c r="E17" s="479"/>
      <c r="F17" s="479"/>
      <c r="G17" s="479"/>
      <c r="H17" s="479"/>
      <c r="I17" s="479"/>
      <c r="J17" s="479"/>
      <c r="K17" s="479"/>
      <c r="L17" s="479"/>
      <c r="M17" s="479"/>
    </row>
    <row r="18" spans="2:13" x14ac:dyDescent="0.25">
      <c r="B18" s="479" t="s">
        <v>865</v>
      </c>
      <c r="C18" s="479"/>
      <c r="D18" s="479"/>
      <c r="E18" s="479"/>
      <c r="F18" s="479"/>
      <c r="G18" s="479"/>
      <c r="H18" s="479"/>
      <c r="I18" s="479"/>
      <c r="J18" s="479"/>
      <c r="K18" s="479"/>
      <c r="L18" s="479"/>
      <c r="M18" s="479"/>
    </row>
    <row r="19" spans="2:13" ht="18.75" x14ac:dyDescent="0.3">
      <c r="B19" s="458" t="s">
        <v>886</v>
      </c>
      <c r="C19" s="458"/>
      <c r="D19" s="458"/>
      <c r="E19" s="458"/>
      <c r="F19" s="458"/>
      <c r="G19" s="458"/>
      <c r="H19" s="458"/>
      <c r="I19" s="458"/>
      <c r="J19" s="458"/>
      <c r="K19" s="458"/>
      <c r="L19" s="458"/>
      <c r="M19" s="458"/>
    </row>
    <row r="20" spans="2:13" x14ac:dyDescent="0.25">
      <c r="B20" s="479" t="s">
        <v>856</v>
      </c>
      <c r="C20" s="479"/>
      <c r="D20" s="479"/>
      <c r="E20" s="479"/>
      <c r="F20" s="479"/>
      <c r="G20" s="479"/>
      <c r="H20" s="479"/>
      <c r="I20" s="479"/>
      <c r="J20" s="479"/>
      <c r="K20" s="479"/>
      <c r="L20" s="479"/>
      <c r="M20" s="479"/>
    </row>
    <row r="21" spans="2:13" x14ac:dyDescent="0.25">
      <c r="B21" s="479" t="s">
        <v>857</v>
      </c>
      <c r="C21" s="479"/>
      <c r="D21" s="479"/>
      <c r="E21" s="479"/>
      <c r="F21" s="479"/>
      <c r="G21" s="479"/>
      <c r="H21" s="479"/>
      <c r="I21" s="479"/>
      <c r="J21" s="479"/>
      <c r="K21" s="479"/>
      <c r="L21" s="479"/>
      <c r="M21" s="479"/>
    </row>
    <row r="22" spans="2:13" x14ac:dyDescent="0.25">
      <c r="B22" s="479" t="s">
        <v>858</v>
      </c>
      <c r="C22" s="479"/>
      <c r="D22" s="479"/>
      <c r="E22" s="479"/>
      <c r="F22" s="479"/>
      <c r="G22" s="479"/>
      <c r="H22" s="479"/>
      <c r="I22" s="479"/>
      <c r="J22" s="479"/>
      <c r="K22" s="479"/>
      <c r="L22" s="479"/>
      <c r="M22" s="479"/>
    </row>
    <row r="23" spans="2:13" x14ac:dyDescent="0.25">
      <c r="B23" s="479" t="s">
        <v>819</v>
      </c>
      <c r="C23" s="479"/>
      <c r="D23" s="479"/>
      <c r="E23" s="479"/>
      <c r="F23" s="479"/>
      <c r="G23" s="479"/>
      <c r="H23" s="479"/>
      <c r="I23" s="479"/>
      <c r="J23" s="479"/>
      <c r="K23" s="479"/>
      <c r="L23" s="479"/>
      <c r="M23" s="479"/>
    </row>
    <row r="24" spans="2:13" x14ac:dyDescent="0.25">
      <c r="B24" s="479" t="s">
        <v>820</v>
      </c>
      <c r="C24" s="479"/>
      <c r="D24" s="479"/>
      <c r="E24" s="479"/>
      <c r="F24" s="479"/>
      <c r="G24" s="479"/>
      <c r="H24" s="479"/>
      <c r="I24" s="479"/>
      <c r="J24" s="479"/>
      <c r="K24" s="479"/>
      <c r="L24" s="479"/>
      <c r="M24" s="479"/>
    </row>
    <row r="25" spans="2:13" x14ac:dyDescent="0.25">
      <c r="B25" s="479" t="s">
        <v>821</v>
      </c>
      <c r="C25" s="479"/>
      <c r="D25" s="479"/>
      <c r="E25" s="479"/>
      <c r="F25" s="479"/>
      <c r="G25" s="479"/>
      <c r="H25" s="479"/>
      <c r="I25" s="479"/>
      <c r="J25" s="479"/>
      <c r="K25" s="479"/>
      <c r="L25" s="479"/>
      <c r="M25" s="479"/>
    </row>
    <row r="26" spans="2:13" x14ac:dyDescent="0.25">
      <c r="B26" s="479" t="s">
        <v>822</v>
      </c>
      <c r="C26" s="479"/>
      <c r="D26" s="479"/>
      <c r="E26" s="479"/>
      <c r="F26" s="479"/>
      <c r="G26" s="479"/>
      <c r="H26" s="479"/>
      <c r="I26" s="479"/>
      <c r="J26" s="479"/>
      <c r="K26" s="479"/>
      <c r="L26" s="479"/>
      <c r="M26" s="479"/>
    </row>
    <row r="27" spans="2:13" x14ac:dyDescent="0.25">
      <c r="B27" s="479" t="s">
        <v>823</v>
      </c>
      <c r="C27" s="479"/>
      <c r="D27" s="479"/>
      <c r="E27" s="479"/>
      <c r="F27" s="479"/>
      <c r="G27" s="479"/>
      <c r="H27" s="479"/>
      <c r="I27" s="479"/>
      <c r="J27" s="479"/>
      <c r="K27" s="479"/>
      <c r="L27" s="479"/>
      <c r="M27" s="479"/>
    </row>
    <row r="28" spans="2:13" x14ac:dyDescent="0.25">
      <c r="B28" s="479" t="s">
        <v>824</v>
      </c>
      <c r="C28" s="479"/>
      <c r="D28" s="479"/>
      <c r="E28" s="479"/>
      <c r="F28" s="479"/>
      <c r="G28" s="479"/>
      <c r="H28" s="479"/>
      <c r="I28" s="479"/>
      <c r="J28" s="479"/>
      <c r="K28" s="479"/>
      <c r="L28" s="479"/>
      <c r="M28" s="479"/>
    </row>
    <row r="29" spans="2:13" x14ac:dyDescent="0.25">
      <c r="B29" s="479" t="s">
        <v>825</v>
      </c>
      <c r="C29" s="479"/>
      <c r="D29" s="479"/>
      <c r="E29" s="479"/>
      <c r="F29" s="479"/>
      <c r="G29" s="479"/>
      <c r="H29" s="479"/>
      <c r="I29" s="479"/>
      <c r="J29" s="479"/>
      <c r="K29" s="479"/>
      <c r="L29" s="479"/>
      <c r="M29" s="479"/>
    </row>
    <row r="30" spans="2:13" x14ac:dyDescent="0.25">
      <c r="B30" s="479" t="s">
        <v>826</v>
      </c>
      <c r="C30" s="479"/>
      <c r="D30" s="479"/>
      <c r="E30" s="479"/>
      <c r="F30" s="479"/>
      <c r="G30" s="479"/>
      <c r="H30" s="479"/>
      <c r="I30" s="479"/>
      <c r="J30" s="479"/>
      <c r="K30" s="479"/>
      <c r="L30" s="479"/>
      <c r="M30" s="479"/>
    </row>
    <row r="31" spans="2:13" x14ac:dyDescent="0.25">
      <c r="B31" s="479" t="s">
        <v>827</v>
      </c>
      <c r="C31" s="479"/>
      <c r="D31" s="479"/>
      <c r="E31" s="479"/>
      <c r="F31" s="479"/>
      <c r="G31" s="479"/>
      <c r="H31" s="479"/>
      <c r="I31" s="479"/>
      <c r="J31" s="479"/>
      <c r="K31" s="479"/>
      <c r="L31" s="479"/>
      <c r="M31" s="479"/>
    </row>
    <row r="32" spans="2:13" x14ac:dyDescent="0.25">
      <c r="B32" s="479" t="s">
        <v>828</v>
      </c>
      <c r="C32" s="479"/>
      <c r="D32" s="479"/>
      <c r="E32" s="479"/>
      <c r="F32" s="479"/>
      <c r="G32" s="479"/>
      <c r="H32" s="479"/>
      <c r="I32" s="479"/>
      <c r="J32" s="479"/>
      <c r="K32" s="479"/>
      <c r="L32" s="479"/>
      <c r="M32" s="479"/>
    </row>
    <row r="33" spans="2:13" x14ac:dyDescent="0.25">
      <c r="B33" s="479" t="s">
        <v>829</v>
      </c>
      <c r="C33" s="479"/>
      <c r="D33" s="479"/>
      <c r="E33" s="479"/>
      <c r="F33" s="479"/>
      <c r="G33" s="479"/>
      <c r="H33" s="479"/>
      <c r="I33" s="479"/>
      <c r="J33" s="479"/>
      <c r="K33" s="479"/>
      <c r="L33" s="479"/>
      <c r="M33" s="479"/>
    </row>
    <row r="34" spans="2:13" x14ac:dyDescent="0.25">
      <c r="B34" s="479" t="s">
        <v>830</v>
      </c>
      <c r="C34" s="479"/>
      <c r="D34" s="479"/>
      <c r="E34" s="479"/>
      <c r="F34" s="479"/>
      <c r="G34" s="479"/>
      <c r="H34" s="479"/>
      <c r="I34" s="479"/>
      <c r="J34" s="479"/>
      <c r="K34" s="479"/>
      <c r="L34" s="479"/>
      <c r="M34" s="479"/>
    </row>
    <row r="35" spans="2:13" x14ac:dyDescent="0.25">
      <c r="B35" s="479" t="s">
        <v>831</v>
      </c>
      <c r="C35" s="479"/>
      <c r="D35" s="479"/>
      <c r="E35" s="479"/>
      <c r="F35" s="479"/>
      <c r="G35" s="479"/>
      <c r="H35" s="479"/>
      <c r="I35" s="479"/>
      <c r="J35" s="479"/>
      <c r="K35" s="479"/>
      <c r="L35" s="479"/>
      <c r="M35" s="479"/>
    </row>
    <row r="36" spans="2:13" x14ac:dyDescent="0.25">
      <c r="B36" s="479" t="s">
        <v>832</v>
      </c>
      <c r="C36" s="479"/>
      <c r="D36" s="479"/>
      <c r="E36" s="479"/>
      <c r="F36" s="479"/>
      <c r="G36" s="479"/>
      <c r="H36" s="479"/>
      <c r="I36" s="479"/>
      <c r="J36" s="479"/>
      <c r="K36" s="479"/>
      <c r="L36" s="479"/>
      <c r="M36" s="479"/>
    </row>
    <row r="37" spans="2:13" x14ac:dyDescent="0.25">
      <c r="B37" s="479" t="s">
        <v>833</v>
      </c>
      <c r="C37" s="479"/>
      <c r="D37" s="479"/>
      <c r="E37" s="479"/>
      <c r="F37" s="479"/>
      <c r="G37" s="479"/>
      <c r="H37" s="479"/>
      <c r="I37" s="479"/>
      <c r="J37" s="479"/>
      <c r="K37" s="479"/>
      <c r="L37" s="479"/>
      <c r="M37" s="479"/>
    </row>
    <row r="38" spans="2:13" x14ac:dyDescent="0.25">
      <c r="B38" s="479" t="s">
        <v>834</v>
      </c>
      <c r="C38" s="479"/>
      <c r="D38" s="479"/>
      <c r="E38" s="479"/>
      <c r="F38" s="479"/>
      <c r="G38" s="479"/>
      <c r="H38" s="479"/>
      <c r="I38" s="479"/>
      <c r="J38" s="479"/>
      <c r="K38" s="479"/>
      <c r="L38" s="479"/>
      <c r="M38" s="479"/>
    </row>
    <row r="39" spans="2:13" ht="18.75" x14ac:dyDescent="0.3">
      <c r="B39" s="458" t="s">
        <v>860</v>
      </c>
      <c r="C39" s="458"/>
      <c r="D39" s="458"/>
      <c r="E39" s="458"/>
      <c r="F39" s="458"/>
      <c r="G39" s="458"/>
      <c r="H39" s="458"/>
      <c r="I39" s="458"/>
      <c r="J39" s="458"/>
      <c r="K39" s="458"/>
      <c r="L39" s="458"/>
      <c r="M39" s="458"/>
    </row>
    <row r="40" spans="2:13" x14ac:dyDescent="0.25">
      <c r="B40" s="479" t="s">
        <v>867</v>
      </c>
      <c r="C40" s="479"/>
      <c r="D40" s="479"/>
      <c r="E40" s="479"/>
      <c r="F40" s="479"/>
      <c r="G40" s="479"/>
      <c r="H40" s="479"/>
      <c r="I40" s="479"/>
      <c r="J40" s="479"/>
      <c r="K40" s="479"/>
      <c r="L40" s="479"/>
      <c r="M40" s="479"/>
    </row>
    <row r="41" spans="2:13" x14ac:dyDescent="0.25">
      <c r="B41" s="479" t="s">
        <v>868</v>
      </c>
      <c r="C41" s="479"/>
      <c r="D41" s="479"/>
      <c r="E41" s="479"/>
      <c r="F41" s="479"/>
      <c r="G41" s="479"/>
      <c r="H41" s="479"/>
      <c r="I41" s="479"/>
      <c r="J41" s="479"/>
      <c r="K41" s="479"/>
      <c r="L41" s="479"/>
      <c r="M41" s="479"/>
    </row>
    <row r="42" spans="2:13" x14ac:dyDescent="0.25">
      <c r="B42" s="479" t="s">
        <v>866</v>
      </c>
      <c r="C42" s="479"/>
      <c r="D42" s="479"/>
      <c r="E42" s="479"/>
      <c r="F42" s="479"/>
      <c r="G42" s="479"/>
      <c r="H42" s="479"/>
      <c r="I42" s="479"/>
      <c r="J42" s="479"/>
      <c r="K42" s="479"/>
      <c r="L42" s="479"/>
      <c r="M42" s="479"/>
    </row>
    <row r="43" spans="2:13" ht="18.75" x14ac:dyDescent="0.3">
      <c r="B43" s="458" t="s">
        <v>885</v>
      </c>
      <c r="C43" s="458"/>
      <c r="D43" s="458"/>
      <c r="E43" s="458"/>
      <c r="F43" s="458"/>
      <c r="G43" s="458"/>
      <c r="H43" s="458"/>
      <c r="I43" s="458"/>
      <c r="J43" s="458"/>
      <c r="K43" s="458"/>
      <c r="L43" s="458"/>
      <c r="M43" s="458"/>
    </row>
    <row r="44" spans="2:13" x14ac:dyDescent="0.25">
      <c r="B44" s="479" t="s">
        <v>869</v>
      </c>
      <c r="C44" s="479"/>
      <c r="D44" s="479"/>
      <c r="E44" s="479"/>
      <c r="F44" s="479"/>
      <c r="G44" s="479"/>
      <c r="H44" s="479"/>
      <c r="I44" s="479"/>
      <c r="J44" s="479"/>
      <c r="K44" s="479"/>
      <c r="L44" s="479"/>
      <c r="M44" s="479"/>
    </row>
    <row r="45" spans="2:13" x14ac:dyDescent="0.25">
      <c r="B45" s="479" t="s">
        <v>870</v>
      </c>
      <c r="C45" s="479"/>
      <c r="D45" s="479"/>
      <c r="E45" s="479"/>
      <c r="F45" s="479"/>
      <c r="G45" s="479"/>
      <c r="H45" s="479"/>
      <c r="I45" s="479"/>
      <c r="J45" s="479"/>
      <c r="K45" s="479"/>
      <c r="L45" s="479"/>
      <c r="M45" s="479"/>
    </row>
    <row r="46" spans="2:13" x14ac:dyDescent="0.25">
      <c r="B46" s="479" t="s">
        <v>871</v>
      </c>
      <c r="C46" s="479"/>
      <c r="D46" s="479"/>
      <c r="E46" s="479"/>
      <c r="F46" s="479"/>
      <c r="G46" s="479"/>
      <c r="H46" s="479"/>
      <c r="I46" s="479"/>
      <c r="J46" s="479"/>
      <c r="K46" s="479"/>
      <c r="L46" s="479"/>
      <c r="M46" s="479"/>
    </row>
    <row r="47" spans="2:13" x14ac:dyDescent="0.25">
      <c r="B47" s="479" t="s">
        <v>819</v>
      </c>
      <c r="C47" s="479"/>
      <c r="D47" s="479"/>
      <c r="E47" s="479"/>
      <c r="F47" s="479"/>
      <c r="G47" s="479"/>
      <c r="H47" s="479"/>
      <c r="I47" s="479"/>
      <c r="J47" s="479"/>
      <c r="K47" s="479"/>
      <c r="L47" s="479"/>
      <c r="M47" s="479"/>
    </row>
    <row r="48" spans="2:13" x14ac:dyDescent="0.25">
      <c r="B48" s="479" t="s">
        <v>820</v>
      </c>
      <c r="C48" s="479"/>
      <c r="D48" s="479"/>
      <c r="E48" s="479"/>
      <c r="F48" s="479"/>
      <c r="G48" s="479"/>
      <c r="H48" s="479"/>
      <c r="I48" s="479"/>
      <c r="J48" s="479"/>
      <c r="K48" s="479"/>
      <c r="L48" s="479"/>
      <c r="M48" s="479"/>
    </row>
    <row r="49" spans="2:13" x14ac:dyDescent="0.25">
      <c r="B49" s="479" t="s">
        <v>821</v>
      </c>
      <c r="C49" s="479"/>
      <c r="D49" s="479"/>
      <c r="E49" s="479"/>
      <c r="F49" s="479"/>
      <c r="G49" s="479"/>
      <c r="H49" s="479"/>
      <c r="I49" s="479"/>
      <c r="J49" s="479"/>
      <c r="K49" s="479"/>
      <c r="L49" s="479"/>
      <c r="M49" s="479"/>
    </row>
    <row r="50" spans="2:13" x14ac:dyDescent="0.25">
      <c r="B50" s="479" t="s">
        <v>822</v>
      </c>
      <c r="C50" s="479"/>
      <c r="D50" s="479"/>
      <c r="E50" s="479"/>
      <c r="F50" s="479"/>
      <c r="G50" s="479"/>
      <c r="H50" s="479"/>
      <c r="I50" s="479"/>
      <c r="J50" s="479"/>
      <c r="K50" s="479"/>
      <c r="L50" s="479"/>
      <c r="M50" s="479"/>
    </row>
    <row r="51" spans="2:13" x14ac:dyDescent="0.25">
      <c r="B51" s="479" t="s">
        <v>823</v>
      </c>
      <c r="C51" s="479"/>
      <c r="D51" s="479"/>
      <c r="E51" s="479"/>
      <c r="F51" s="479"/>
      <c r="G51" s="479"/>
      <c r="H51" s="479"/>
      <c r="I51" s="479"/>
      <c r="J51" s="479"/>
      <c r="K51" s="479"/>
      <c r="L51" s="479"/>
      <c r="M51" s="479"/>
    </row>
    <row r="52" spans="2:13" x14ac:dyDescent="0.25">
      <c r="B52" s="479" t="s">
        <v>824</v>
      </c>
      <c r="C52" s="479"/>
      <c r="D52" s="479"/>
      <c r="E52" s="479"/>
      <c r="F52" s="479"/>
      <c r="G52" s="479"/>
      <c r="H52" s="479"/>
      <c r="I52" s="479"/>
      <c r="J52" s="479"/>
      <c r="K52" s="479"/>
      <c r="L52" s="479"/>
      <c r="M52" s="479"/>
    </row>
    <row r="53" spans="2:13" x14ac:dyDescent="0.25">
      <c r="B53" s="479" t="s">
        <v>825</v>
      </c>
      <c r="C53" s="479"/>
      <c r="D53" s="479"/>
      <c r="E53" s="479"/>
      <c r="F53" s="479"/>
      <c r="G53" s="479"/>
      <c r="H53" s="479"/>
      <c r="I53" s="479"/>
      <c r="J53" s="479"/>
      <c r="K53" s="479"/>
      <c r="L53" s="479"/>
      <c r="M53" s="479"/>
    </row>
    <row r="54" spans="2:13" x14ac:dyDescent="0.25">
      <c r="B54" s="479" t="s">
        <v>826</v>
      </c>
      <c r="C54" s="479"/>
      <c r="D54" s="479"/>
      <c r="E54" s="479"/>
      <c r="F54" s="479"/>
      <c r="G54" s="479"/>
      <c r="H54" s="479"/>
      <c r="I54" s="479"/>
      <c r="J54" s="479"/>
      <c r="K54" s="479"/>
      <c r="L54" s="479"/>
      <c r="M54" s="479"/>
    </row>
    <row r="55" spans="2:13" x14ac:dyDescent="0.25">
      <c r="B55" s="479" t="s">
        <v>827</v>
      </c>
      <c r="C55" s="479"/>
      <c r="D55" s="479"/>
      <c r="E55" s="479"/>
      <c r="F55" s="479"/>
      <c r="G55" s="479"/>
      <c r="H55" s="479"/>
      <c r="I55" s="479"/>
      <c r="J55" s="479"/>
      <c r="K55" s="479"/>
      <c r="L55" s="479"/>
      <c r="M55" s="479"/>
    </row>
    <row r="56" spans="2:13" x14ac:dyDescent="0.25">
      <c r="B56" s="479" t="s">
        <v>828</v>
      </c>
      <c r="C56" s="479"/>
      <c r="D56" s="479"/>
      <c r="E56" s="479"/>
      <c r="F56" s="479"/>
      <c r="G56" s="479"/>
      <c r="H56" s="479"/>
      <c r="I56" s="479"/>
      <c r="J56" s="479"/>
      <c r="K56" s="479"/>
      <c r="L56" s="479"/>
      <c r="M56" s="479"/>
    </row>
    <row r="57" spans="2:13" x14ac:dyDescent="0.25">
      <c r="B57" s="479" t="s">
        <v>829</v>
      </c>
      <c r="C57" s="479"/>
      <c r="D57" s="479"/>
      <c r="E57" s="479"/>
      <c r="F57" s="479"/>
      <c r="G57" s="479"/>
      <c r="H57" s="479"/>
      <c r="I57" s="479"/>
      <c r="J57" s="479"/>
      <c r="K57" s="479"/>
      <c r="L57" s="479"/>
      <c r="M57" s="479"/>
    </row>
    <row r="58" spans="2:13" x14ac:dyDescent="0.25">
      <c r="B58" s="479" t="s">
        <v>830</v>
      </c>
      <c r="C58" s="479"/>
      <c r="D58" s="479"/>
      <c r="E58" s="479"/>
      <c r="F58" s="479"/>
      <c r="G58" s="479"/>
      <c r="H58" s="479"/>
      <c r="I58" s="479"/>
      <c r="J58" s="479"/>
      <c r="K58" s="479"/>
      <c r="L58" s="479"/>
      <c r="M58" s="479"/>
    </row>
    <row r="59" spans="2:13" x14ac:dyDescent="0.25">
      <c r="B59" s="479" t="s">
        <v>831</v>
      </c>
      <c r="C59" s="479"/>
      <c r="D59" s="479"/>
      <c r="E59" s="479"/>
      <c r="F59" s="479"/>
      <c r="G59" s="479"/>
      <c r="H59" s="479"/>
      <c r="I59" s="479"/>
      <c r="J59" s="479"/>
      <c r="K59" s="479"/>
      <c r="L59" s="479"/>
      <c r="M59" s="479"/>
    </row>
    <row r="60" spans="2:13" x14ac:dyDescent="0.25">
      <c r="B60" s="479" t="s">
        <v>832</v>
      </c>
      <c r="C60" s="479"/>
      <c r="D60" s="479"/>
      <c r="E60" s="479"/>
      <c r="F60" s="479"/>
      <c r="G60" s="479"/>
      <c r="H60" s="479"/>
      <c r="I60" s="479"/>
      <c r="J60" s="479"/>
      <c r="K60" s="479"/>
      <c r="L60" s="479"/>
      <c r="M60" s="479"/>
    </row>
    <row r="61" spans="2:13" x14ac:dyDescent="0.25">
      <c r="B61" s="479" t="s">
        <v>833</v>
      </c>
      <c r="C61" s="479"/>
      <c r="D61" s="479"/>
      <c r="E61" s="479"/>
      <c r="F61" s="479"/>
      <c r="G61" s="479"/>
      <c r="H61" s="479"/>
      <c r="I61" s="479"/>
      <c r="J61" s="479"/>
      <c r="K61" s="479"/>
      <c r="L61" s="479"/>
      <c r="M61" s="479"/>
    </row>
    <row r="62" spans="2:13" x14ac:dyDescent="0.25">
      <c r="B62" s="479" t="s">
        <v>834</v>
      </c>
      <c r="C62" s="479"/>
      <c r="D62" s="479"/>
      <c r="E62" s="479"/>
      <c r="F62" s="479"/>
      <c r="G62" s="479"/>
      <c r="H62" s="479"/>
      <c r="I62" s="479"/>
      <c r="J62" s="479"/>
      <c r="K62" s="479"/>
      <c r="L62" s="479"/>
      <c r="M62" s="479"/>
    </row>
    <row r="63" spans="2:13" ht="18.75" x14ac:dyDescent="0.3">
      <c r="B63" s="458" t="s">
        <v>873</v>
      </c>
      <c r="C63" s="458"/>
      <c r="D63" s="458"/>
      <c r="E63" s="458"/>
      <c r="F63" s="458"/>
      <c r="G63" s="458"/>
      <c r="H63" s="458"/>
      <c r="I63" s="458"/>
      <c r="J63" s="458"/>
      <c r="K63" s="458"/>
      <c r="L63" s="458"/>
      <c r="M63" s="458"/>
    </row>
    <row r="64" spans="2:13" x14ac:dyDescent="0.25">
      <c r="B64" s="479" t="s">
        <v>875</v>
      </c>
      <c r="C64" s="479"/>
      <c r="D64" s="479"/>
      <c r="E64" s="479"/>
      <c r="F64" s="479"/>
      <c r="G64" s="479"/>
      <c r="H64" s="479"/>
      <c r="I64" s="479"/>
      <c r="J64" s="479"/>
      <c r="K64" s="479"/>
      <c r="L64" s="479"/>
      <c r="M64" s="479"/>
    </row>
    <row r="65" spans="2:13" x14ac:dyDescent="0.25">
      <c r="B65" s="479" t="s">
        <v>876</v>
      </c>
      <c r="C65" s="479"/>
      <c r="D65" s="479"/>
      <c r="E65" s="479"/>
      <c r="F65" s="479"/>
      <c r="G65" s="479"/>
      <c r="H65" s="479"/>
      <c r="I65" s="479"/>
      <c r="J65" s="479"/>
      <c r="K65" s="479"/>
      <c r="L65" s="479"/>
      <c r="M65" s="479"/>
    </row>
    <row r="66" spans="2:13" x14ac:dyDescent="0.25">
      <c r="B66" s="479" t="s">
        <v>877</v>
      </c>
      <c r="C66" s="479"/>
      <c r="D66" s="479"/>
      <c r="E66" s="479"/>
      <c r="F66" s="479"/>
      <c r="G66" s="479"/>
      <c r="H66" s="479"/>
      <c r="I66" s="479"/>
      <c r="J66" s="479"/>
      <c r="K66" s="479"/>
      <c r="L66" s="479"/>
      <c r="M66" s="479"/>
    </row>
    <row r="67" spans="2:13" ht="18.75" x14ac:dyDescent="0.3">
      <c r="B67" s="458" t="s">
        <v>881</v>
      </c>
      <c r="C67" s="458"/>
      <c r="D67" s="458"/>
      <c r="E67" s="458"/>
      <c r="F67" s="458"/>
      <c r="G67" s="458"/>
      <c r="H67" s="458"/>
      <c r="I67" s="458"/>
      <c r="J67" s="458"/>
      <c r="K67" s="458"/>
      <c r="L67" s="458"/>
      <c r="M67" s="458"/>
    </row>
    <row r="68" spans="2:13" x14ac:dyDescent="0.25">
      <c r="B68" s="479" t="s">
        <v>878</v>
      </c>
      <c r="C68" s="479"/>
      <c r="D68" s="479"/>
      <c r="E68" s="479"/>
      <c r="F68" s="479"/>
      <c r="G68" s="479"/>
      <c r="H68" s="479"/>
      <c r="I68" s="479"/>
      <c r="J68" s="479"/>
      <c r="K68" s="479"/>
      <c r="L68" s="479"/>
      <c r="M68" s="479"/>
    </row>
    <row r="69" spans="2:13" x14ac:dyDescent="0.25">
      <c r="B69" s="479" t="s">
        <v>879</v>
      </c>
      <c r="C69" s="479"/>
      <c r="D69" s="479"/>
      <c r="E69" s="479"/>
      <c r="F69" s="479"/>
      <c r="G69" s="479"/>
      <c r="H69" s="479"/>
      <c r="I69" s="479"/>
      <c r="J69" s="479"/>
      <c r="K69" s="479"/>
      <c r="L69" s="479"/>
      <c r="M69" s="479"/>
    </row>
    <row r="70" spans="2:13" ht="18.75" x14ac:dyDescent="0.3">
      <c r="B70" s="458" t="s">
        <v>783</v>
      </c>
      <c r="C70" s="458"/>
      <c r="D70" s="458"/>
      <c r="E70" s="458"/>
      <c r="F70" s="458"/>
      <c r="G70" s="458"/>
      <c r="H70" s="458"/>
      <c r="I70" s="458"/>
      <c r="J70" s="458"/>
      <c r="K70" s="458"/>
      <c r="L70" s="458"/>
      <c r="M70" s="458"/>
    </row>
    <row r="71" spans="2:13" x14ac:dyDescent="0.25">
      <c r="B71" s="479" t="s">
        <v>882</v>
      </c>
      <c r="C71" s="479"/>
      <c r="D71" s="479"/>
      <c r="E71" s="479"/>
      <c r="F71" s="479"/>
      <c r="G71" s="479"/>
      <c r="H71" s="479"/>
      <c r="I71" s="479"/>
      <c r="J71" s="479"/>
      <c r="K71" s="479"/>
      <c r="L71" s="479"/>
      <c r="M71" s="479"/>
    </row>
    <row r="72" spans="2:13" x14ac:dyDescent="0.25">
      <c r="B72" s="479" t="s">
        <v>883</v>
      </c>
      <c r="C72" s="479"/>
      <c r="D72" s="479"/>
      <c r="E72" s="479"/>
      <c r="F72" s="479"/>
      <c r="G72" s="479"/>
      <c r="H72" s="479"/>
      <c r="I72" s="479"/>
      <c r="J72" s="479"/>
      <c r="K72" s="479"/>
      <c r="L72" s="479"/>
      <c r="M72" s="479"/>
    </row>
    <row r="73" spans="2:13" ht="15" customHeight="1" x14ac:dyDescent="0.25">
      <c r="B73" s="479" t="s">
        <v>884</v>
      </c>
      <c r="C73" s="479"/>
      <c r="D73" s="479"/>
      <c r="E73" s="479"/>
      <c r="F73" s="479"/>
      <c r="G73" s="479"/>
      <c r="H73" s="479"/>
      <c r="I73" s="479"/>
      <c r="J73" s="479"/>
      <c r="K73" s="479"/>
      <c r="L73" s="479"/>
      <c r="M73" s="479"/>
    </row>
  </sheetData>
  <mergeCells count="66">
    <mergeCell ref="B12:M12"/>
    <mergeCell ref="B1:M5"/>
    <mergeCell ref="B9:M9"/>
    <mergeCell ref="B10:M10"/>
    <mergeCell ref="B11:M11"/>
    <mergeCell ref="B73:M73"/>
    <mergeCell ref="B15:M15"/>
    <mergeCell ref="B19:M19"/>
    <mergeCell ref="B39:M39"/>
    <mergeCell ref="B43:M43"/>
    <mergeCell ref="B63:M63"/>
    <mergeCell ref="B67:M67"/>
    <mergeCell ref="B20:M20"/>
    <mergeCell ref="B21:M21"/>
    <mergeCell ref="B22:M22"/>
    <mergeCell ref="B23:M23"/>
    <mergeCell ref="B24:M24"/>
    <mergeCell ref="B25:M25"/>
    <mergeCell ref="B26:M26"/>
    <mergeCell ref="B27:M27"/>
    <mergeCell ref="B28:M28"/>
    <mergeCell ref="B13:M13"/>
    <mergeCell ref="B14:M14"/>
    <mergeCell ref="B16:M16"/>
    <mergeCell ref="B17:M17"/>
    <mergeCell ref="B18:M18"/>
    <mergeCell ref="B29:M29"/>
    <mergeCell ref="B30:M30"/>
    <mergeCell ref="B31:M31"/>
    <mergeCell ref="B32:M32"/>
    <mergeCell ref="B33:M33"/>
    <mergeCell ref="B34:M34"/>
    <mergeCell ref="B35:M35"/>
    <mergeCell ref="B36:M36"/>
    <mergeCell ref="B37:M37"/>
    <mergeCell ref="B38:M38"/>
    <mergeCell ref="B40:M40"/>
    <mergeCell ref="B41:M41"/>
    <mergeCell ref="B42:M42"/>
    <mergeCell ref="B44:M44"/>
    <mergeCell ref="B45:M45"/>
    <mergeCell ref="B46:M46"/>
    <mergeCell ref="B47:M47"/>
    <mergeCell ref="B48:M48"/>
    <mergeCell ref="B49:M49"/>
    <mergeCell ref="B50:M50"/>
    <mergeCell ref="B51:M51"/>
    <mergeCell ref="B52:M52"/>
    <mergeCell ref="B53:M53"/>
    <mergeCell ref="B54:M54"/>
    <mergeCell ref="B55:M55"/>
    <mergeCell ref="B56:M56"/>
    <mergeCell ref="B57:M57"/>
    <mergeCell ref="B58:M58"/>
    <mergeCell ref="B59:M59"/>
    <mergeCell ref="B60:M60"/>
    <mergeCell ref="B61:M61"/>
    <mergeCell ref="B69:M69"/>
    <mergeCell ref="B71:M71"/>
    <mergeCell ref="B72:M72"/>
    <mergeCell ref="B62:M62"/>
    <mergeCell ref="B64:M64"/>
    <mergeCell ref="B65:M65"/>
    <mergeCell ref="B66:M66"/>
    <mergeCell ref="B68:M68"/>
    <mergeCell ref="B70:M70"/>
  </mergeCells>
  <hyperlinks>
    <hyperlink ref="B12:M12" location="'2.1'!A1" display="1. Estado de las solicitudes del Pilar No Contributivo" xr:uid="{900B00DF-811A-4625-82AC-09617607B57A}"/>
    <hyperlink ref="B15:M15" location="'2.2'!A1" display="2. Solicitudes del Pilar No Contributivo a nivel nacional" xr:uid="{F0CD6D55-03C5-4097-8FC6-8DA15D5744FA}"/>
    <hyperlink ref="B19:M19" location="'2.3'!A1" display="3. Solicitudes del Pilar No Contributivo a nivel regional y comunal" xr:uid="{0BBF9435-F7CB-42B5-8F75-FEA728774609}"/>
    <hyperlink ref="B39:M39" location="'2.4'!A1" display="4. Solicitudes concedidas del Pilar No Contributivo a nivel nacional" xr:uid="{340C2423-79D6-43C2-A2B5-127138CE9936}"/>
    <hyperlink ref="B43:M43" location="'2.5'!A1" display="5. Solicitudes concedidas del Pilar No Contributivo a nivel regional y comunal" xr:uid="{7B3299D4-47F4-4DE4-B44C-A457DEF87006}"/>
    <hyperlink ref="B63:M63" location="'2.6'!A1" display="6. Solicitudes Rechazadas del Pilar No Contributivo" xr:uid="{B37B303C-0DE9-41FB-BCC9-4E833886EC68}"/>
    <hyperlink ref="B67:M67" location="'2.7'!A1" display="7. Beneficios suspendidos y extintos del Pilar No Contributivo" xr:uid="{1DDB8D8E-7DCA-4BF5-BA8C-CD2D84AAE240}"/>
    <hyperlink ref="B70:M70" location="'2.8'!A1" display="8. Tasas de concesión de solicitudes" xr:uid="{BEE9BADB-C12C-4A5A-906B-10B97D1B5DFC}"/>
    <hyperlink ref="B13" location="'Total Estado de Solicitudes'!B4" display="i. Resumen anual de estado de las solicitudes de beneficios del Pilar No Contributivo" xr:uid="{5A387539-7A99-42DF-AECA-10A035A92BD0}"/>
    <hyperlink ref="B14" location="'Indice Estado de Solicitudes'!B18" display="ii. Serie resumen por año del estado de las solicitudes por tipo de beneficio" xr:uid="{CD47338F-B7FE-485C-B692-BB118CD0DABC}"/>
    <hyperlink ref="B16" location="'Solicitudes Nacional'!B4" display="i. Resumen trimestral de número y estado de solicitudes en T4 2022, según tipo y sexo" xr:uid="{32B0199E-2C78-4F93-AAE1-A9F202516397}"/>
    <hyperlink ref="B17" location="'Solicitudes Nacional'!B33" display="ii. Resumen anual de número y estado de solicitudes en 2022, por tipo y sexo" xr:uid="{3E097127-D045-4BDE-895A-06AC45CFDF4B}"/>
    <hyperlink ref="B18" location="'Solicitudes Nacional'!B62" display="iii. Serie resumen de solicitudes de beneficios, por tipo y sexo" xr:uid="{0BF9EFC0-25A9-4BF7-89DA-2BD1E7BBFCDE}"/>
    <hyperlink ref="B20" location="'Solicitudes Regional y Comunal'!B4" display="i. Resumen trimestral de solicitudes por región en T4 2022, según tipo y sexo" xr:uid="{55971BC8-47CE-4A6B-9386-4B147711FF71}"/>
    <hyperlink ref="B21" location="'Solicitudes Regional y Comunal'!B28" display="ii. Resumen anual de solicitudes por región en 2022, según tipo y sexo" xr:uid="{04F5289B-2B02-4DDE-90E3-E726BB2CE6BD}"/>
    <hyperlink ref="B22" location="'Solicitudes Regional y Comunal'!B52" display="iii. Número de solicitudes por comuna en T4 2022, según tipo y sexo" xr:uid="{017D5618-5210-4130-8BCB-5E6CF2723ADE}"/>
    <hyperlink ref="B23" location="'Solicitudes Regional y Comunal'!B55" display="   Región de Tarapacá" xr:uid="{A0A144DC-B865-48BF-9FFC-A1154EBC0273}"/>
    <hyperlink ref="B24" location="'Solicitudes Regional y Comunal'!B69" display="   Región de Antofagasta" xr:uid="{42B1F47A-75CF-4C1A-B025-DCE7E47D451E}"/>
    <hyperlink ref="B25" location="'Solicitudes Regional y Comunal'!B85" display="   Región de Atacama" xr:uid="{7F7E9B14-EFB7-442C-A630-D799325DA2C8}"/>
    <hyperlink ref="B26" location="'Solicitudes Regional y Comunal'!B101" display="   Región de Coquimbo" xr:uid="{544B2125-BD21-4E6E-94F6-CE0421799AF8}"/>
    <hyperlink ref="B27" location="'Solicitudes Regional y Comunal'!B123" display="   Región de Valparaíso" xr:uid="{60C67B98-024B-44C1-A89C-A88C3A3DDE58}"/>
    <hyperlink ref="B28" location="'Solicitudes Regional y Comunal'!B168" display="   Región del Libertador General Bernardo O’Higgins" xr:uid="{5E6AC34F-93AD-4D2E-B4CA-E683F46855CB}"/>
    <hyperlink ref="B29" location="'Solicitudes Regional y Comunal'!B208" display="   Región del Maule" xr:uid="{9B6896F1-4128-4820-8AFC-C91ADA78FC45}"/>
    <hyperlink ref="B30" location="'Solicitudes Regional y Comunal'!B245" display="   Región del Bio-bío" xr:uid="{0BC107CE-2E43-4956-8538-36E30B36ADAD}"/>
    <hyperlink ref="B31" location="'Solicitudes Regional y Comunal'!B285" display="   Región de La Araucanía" xr:uid="{5D3EEB4B-655A-4C48-AE60-D900E1328859}"/>
    <hyperlink ref="B32" location="'Solicitudes Regional y Comunal'!B324" display="   Región de Los Lagos" xr:uid="{02475165-CCE1-4E3E-A6BB-298AFE244237}"/>
    <hyperlink ref="B33" location="'Solicitudes Regional y Comunal'!B361" display="   Región Aysén del General Carlos Ibáñez del Campo" xr:uid="{1DEBDA4B-413D-4477-A08E-17210FD9AA73}"/>
    <hyperlink ref="B34" location="'Solicitudes Regional y Comunal'!B378" display="   Región de Magallanes y Antártica Chilena" xr:uid="{87A56018-6B59-4775-81FB-C8CB9D09F8BC}"/>
    <hyperlink ref="B35" location="'Solicitudes Regional y Comunal'!B394" display="   Región Metropolitana de Santiago" xr:uid="{351D9AAC-5257-4BC1-A1DB-DEB01C48063D}"/>
    <hyperlink ref="B36" location="'Solicitudes Regional y Comunal'!B453" display="   Región de Los Ríos" xr:uid="{7D4C81B5-30CF-4B44-B905-3AA981875965}"/>
    <hyperlink ref="B37" location="'Solicitudes Regional y Comunal'!B472" display="   Región de Arica y Parinacota" xr:uid="{FC9A7D6F-8A01-4AAF-ABF7-C4BB2DEBBBA7}"/>
    <hyperlink ref="B38" location="'Solicitudes Regional y Comunal'!B482" display="   Región de Ñuble" xr:uid="{95E171A9-9FAC-4A6B-B9A3-E906336CBABD}"/>
    <hyperlink ref="B40" location="'Concesiones Nacional'!B4" display="i. Resumen trimestral de concesiones de beneficios del Pilar No Contributivo (Incluye Ex Pasis) en T4 2022" xr:uid="{4DF11B12-F624-4F0D-B7E1-9E02B2BCB962}"/>
    <hyperlink ref="B41" location="'Concesiones Nacional'!B20" display="ii. Resumen anual de concesiones de beneficios de vejez e invalidez del SPS y PGU (Incluye Ex Pasis) en 2022" xr:uid="{1ADF2133-AFC3-4E02-BDEB-50E2E35B72E9}"/>
    <hyperlink ref="B42" location="'Concesiones Nacional'!B36" display="iii. Serie resumen de solicitudes concedidas de beneficios, por tipo y sexo" xr:uid="{B940E59A-B84B-4ABD-A392-5B10F8003B45}"/>
    <hyperlink ref="B44" location="'Concesiones Regional y Comunal'!B4" display="i. Resumen trimestral de solicitudes concedidas por región en T4 2022, según tipo y sexo" xr:uid="{4E1C7BA1-DA4A-40BB-BDDA-24F594962EA8}"/>
    <hyperlink ref="B45" location="'Concesiones Regional y Comunal'!B28" display="ii. Resumen anual de solicitudes concedidas por región en 2022, según tipo y sexo" xr:uid="{776E42F7-3C4B-49BB-A728-4E8172BC2649}"/>
    <hyperlink ref="B46" location="'Concesiones Regional y Comunal'!B52" display="iii. Número de solicitudes concedidas por comuna en T4 2022, según tipo y sexo" xr:uid="{543044E5-8413-4ADC-B635-C10E9D896E27}"/>
    <hyperlink ref="B47" location="'Concesiones Regional y Comunal'!B55" display="   Región de Tarapacá" xr:uid="{AB5F1336-7576-4753-9253-4A4D1B53481A}"/>
    <hyperlink ref="B48" location="'Concesiones Regional y Comunal'!B69" display="   Región de Antofagasta" xr:uid="{44F8319B-FD0B-4C25-9C54-ACB4045CCAEE}"/>
    <hyperlink ref="B49" location="'Concesiones Regional y Comunal'!B84" display="   Región de Atacama" xr:uid="{C8774895-C2C9-46EC-A27E-7E4B5D9548C2}"/>
    <hyperlink ref="B50" location="'Concesiones Regional y Comunal'!B100" display="   Región de Coquimbo" xr:uid="{684DE907-2B29-4E7E-9A26-829BCDFF3C28}"/>
    <hyperlink ref="B51" location="'Concesiones Regional y Comunal'!B122" display="   Región de Valparaíso" xr:uid="{1A3FCE54-C7BC-402D-8CC9-291F5911DFA3}"/>
    <hyperlink ref="B52" location="'Concesiones Regional y Comunal'!B167" display="   Región del Libertador General Bernardo O’Higgins" xr:uid="{E6E40B05-B0D3-4052-8BC2-16B67BC8128C}"/>
    <hyperlink ref="B53" location="'Concesiones Regional y Comunal'!B207" display="   Región del Maule" xr:uid="{41BC4C45-E3F7-4187-AF45-AF3AC7F23945}"/>
    <hyperlink ref="B54" location="'Concesiones Regional y Comunal'!B244" display="   Región del Bio-bío" xr:uid="{60C6B31A-A396-410A-B50E-2658609FE61B}"/>
    <hyperlink ref="B55" location="'Concesiones Regional y Comunal'!B284" display="   Región de La Araucanía" xr:uid="{D3390226-FB2A-4282-AF67-34764A68DD39}"/>
    <hyperlink ref="B56" location="'Concesiones Regional y Comunal'!B323" display="   Región de Los Lagos" xr:uid="{4069498D-25F5-4A96-BAE5-682FE907E3DD}"/>
    <hyperlink ref="B57" location="'Concesiones Regional y Comunal'!B360" display="   Región Aysén del General Carlos Ibáñez del Campo" xr:uid="{74D516BF-FCC2-4B8E-B8C1-B1ACEBF04F1E}"/>
    <hyperlink ref="B58" location="'Concesiones Regional y Comunal'!B377" display="   Región de Magallanes y Antártica Chilena" xr:uid="{81AB519D-9E13-4CCE-9E2F-DE1ADD7130E7}"/>
    <hyperlink ref="B59" location="'Concesiones Regional y Comunal'!B392" display="   Región Metropolitana de Santiago" xr:uid="{D389EE0D-EDA5-4DCA-97DE-3402213B0BD2}"/>
    <hyperlink ref="B60" location="'Concesiones Regional y Comunal'!B451" display="   Región de Los Ríos" xr:uid="{ECC43761-606B-4B67-954A-EA8348582864}"/>
    <hyperlink ref="B61" location="'Concesiones Regional y Comunal'!B470" display="   Región de Arica y Parinacota" xr:uid="{5461A3F9-27FA-485E-8D6F-247D659848D9}"/>
    <hyperlink ref="B62" location="'Concesiones Regional y Comunal'!B479" display="   Región de Ñuble" xr:uid="{5FA5995B-556B-4697-98F9-CE11F41F9D3F}"/>
    <hyperlink ref="B64" location="Rechazadas!B4" display="i. Resumen trimestral de solicitudes rechazadas de beneficios en T4 2022" xr:uid="{0C4F5F9F-0F26-4177-8719-C6525142F16D}"/>
    <hyperlink ref="B65" location="Rechazadas!B27" display="ii. Resumen anual de solicitudes rechazadas de beneficios en 2022" xr:uid="{925CC77D-B1A3-452B-9600-0ABB26DD9B1A}"/>
    <hyperlink ref="B66" location="Rechazadas!B57" display="iii. Serie resumen de solicitudes rechazadas de beneficios, por tipo y sexo" xr:uid="{F7002CF2-ABC1-4730-A583-63EAADD39A53}"/>
    <hyperlink ref="B68" location="'Suspendidos - Extintos'!B4" display="i. Beneficios suspendidos por año, por tipo de beneficio" xr:uid="{6CAF767D-ED74-463D-86D8-DEE2EF433E00}"/>
    <hyperlink ref="B69" location="'Suspendidos - Extintos'!B18" display="ii. Beneficios extinguidos por año, por tipo de beneficio" xr:uid="{73BF728F-70CC-4842-9930-1A9E379E1AF1}"/>
    <hyperlink ref="B71" location="'Tasas de concesión'!B4" display="i. Resumen trimestral de tasas de concesiones de beneficios por región en T4 2022, según tipo y sexo" xr:uid="{F34F6B34-46FD-4B68-9569-E8B3082C925C}"/>
    <hyperlink ref="B72" location="'Tasas de concesión'!B28" display="ii. Resumen anual de tasas de concesiones de beneficios por región en 2022, según tipo y sexo" xr:uid="{CA6CF38A-6642-4BC8-A66A-5BC208812582}"/>
    <hyperlink ref="B73" location="'Tasas de concesión'!B52" display="iii. Serie resumen de tasas de concesión de solicitudes por tipo y sexo" xr:uid="{7649460E-220E-488E-BA93-A54175799C5A}"/>
    <hyperlink ref="B13:M13" location="'2.1'!B4" display="i. Resumen anual de estado de las solicitudes de beneficios del Pilar No Contributivo" xr:uid="{9B3A297A-437A-4665-B651-DDB7A6E8980D}"/>
    <hyperlink ref="B14:M14" location="'2.1'!B18" display="ii. Serie resumen por año del estado de las solicitudes por tipo de beneficio" xr:uid="{05E9BD1A-E6B6-42C7-9D43-0EB26CC301D8}"/>
    <hyperlink ref="B16:M16" location="'2.2'!B4" display="i. Resumen trimestral de número y estado de solicitudes en T4 2022, según tipo y sexo" xr:uid="{F9840F9C-17B3-447A-A8A0-856E3BCFF962}"/>
    <hyperlink ref="B17:M17" location="'2.2'!B33" display="ii. Resumen anual de número y estado de solicitudes en 2022, por tipo y sexo" xr:uid="{FD18DDC2-C07E-4AD8-BD96-9AACEF4A6E62}"/>
    <hyperlink ref="B18:M18" location="'2.2'!B62" display="iii. Serie resumen de solicitudes de beneficios, por tipo y sexo" xr:uid="{DBF3D3B9-66FD-48EE-B6B0-D35D3D01F240}"/>
    <hyperlink ref="B20:M20" location="'2.3'!B4" display="i. Resumen trimestral de solicitudes por región en T4 2022, según tipo y sexo" xr:uid="{BAB2D28D-8101-4853-A1D1-E324CEF9DBFC}"/>
    <hyperlink ref="B21:M21" location="'2.3'!B28" display="ii. Resumen anual de solicitudes por región en 2022, según tipo y sexo" xr:uid="{F8BE76BA-6110-43E9-B555-318944751C7E}"/>
    <hyperlink ref="B22:M22" location="'2.3'!B52" display="iii. Número de solicitudes por comuna en T4 2022, según tipo y sexo" xr:uid="{D01281FE-EF48-4FBA-8CEC-5F67E2CB8641}"/>
    <hyperlink ref="B23:M23" location="'2.3'!B55" display="   Región de Tarapacá" xr:uid="{1657A551-797A-4A21-A40B-750E2873475F}"/>
    <hyperlink ref="B24:M24" location="'2.3'!B69" display="   Región de Antofagasta" xr:uid="{6EF8AC32-D610-4520-A9DE-2B90638AD3FB}"/>
    <hyperlink ref="B25:M25" location="'2.3'!B85" display="   Región de Atacama" xr:uid="{D0BA49E8-319E-4AD2-A9F0-ADAFE19A9D4E}"/>
    <hyperlink ref="B26:M26" location="'2.3'!B101" display="   Región de Coquimbo" xr:uid="{04EE5D33-0DC2-460C-A8C3-8F7C1DFA71B2}"/>
    <hyperlink ref="B27:M27" location="'2.3'!B123" display="   Región de Valparaíso" xr:uid="{255635C7-ADF1-4CCD-8FDE-93E351CF6334}"/>
    <hyperlink ref="B28:M28" location="'2.3'!B168" display="   Región del Libertador General Bernardo O’Higgins" xr:uid="{A4A76A66-A3A8-4DE7-9C88-6389FF4ABD3B}"/>
    <hyperlink ref="B29:M29" location="'2.3'!B208" display="   Región del Maule" xr:uid="{E21D6971-BC66-4594-81E9-31F0B16A57CE}"/>
    <hyperlink ref="B30:M30" location="'2.3'!B245" display="   Región del Bio-bío" xr:uid="{5254674D-210E-4EEB-841A-55777B382BC1}"/>
    <hyperlink ref="B31:M31" location="'2.3'!B285" display="   Región de La Araucanía" xr:uid="{E0EB8E5D-F4F8-4E5F-8D32-D8B048ED4F40}"/>
    <hyperlink ref="B32:M32" location="'2.3'!B324" display="   Región de Los Lagos" xr:uid="{699CBC18-4308-466C-AB25-1AFF5EB8985A}"/>
    <hyperlink ref="B33:M33" location="'2.3'!B361" display="   Región Aysén del General Carlos Ibáñez del Campo" xr:uid="{2FA632D2-401B-4B64-BE08-4E0B3A7BC3FE}"/>
    <hyperlink ref="B34:M34" location="'2.3'!B378" display="   Región de Magallanes y Antártica Chilena" xr:uid="{54A04EB0-0D0F-4E3F-8E49-FD31AD185C03}"/>
    <hyperlink ref="B35:M35" location="'2.3'!B394" display="   Región Metropolitana de Santiago" xr:uid="{C57A82B4-EBA8-4D3E-AD11-4CF42DD94BB2}"/>
    <hyperlink ref="B36:M36" location="'2.3'!B453" display="   Región de Los Ríos" xr:uid="{39186885-F9B1-4FAF-B970-C09E94E8273B}"/>
    <hyperlink ref="B37:M37" location="'2.3'!B472" display="   Región de Arica y Parinacota" xr:uid="{68914A44-93B8-437B-8C33-CC9E452FC649}"/>
    <hyperlink ref="B38:M38" location="'2.3'!B482" display="   Región de Ñuble" xr:uid="{C26F2D9A-3404-402B-9D5D-3E4216447BA2}"/>
    <hyperlink ref="B40:M40" location="'2.4'!B4" display="i. Resumen trimestral de concesiones de beneficios del Pilar No Contributivo (Incluye Ex Pasis) en T4 2022" xr:uid="{10B80E02-079D-4A59-8AFA-8AA35497416C}"/>
    <hyperlink ref="B41:M41" location="'2.4'!B20" display="ii. Resumen anual de concesiones de beneficios de vejez e invalidez del SPS y PGU (Incluye Ex Pasis) en 2022" xr:uid="{3FF8E47E-478D-4884-9A8F-5D85C8678EA2}"/>
    <hyperlink ref="B42:M42" location="'2.4'!B36" display="iii. Serie resumen de solicitudes concedidas de beneficios, por tipo y sexo" xr:uid="{6790C714-06FD-4571-9E21-FA18F2254C4C}"/>
    <hyperlink ref="B44:M44" location="'2.5'!B4" display="i. Resumen trimestral de solicitudes concedidas por región en T4 2022, según tipo y sexo" xr:uid="{6380B1F6-A73E-4188-812D-A6046C1BFEF2}"/>
    <hyperlink ref="B45:M45" location="'2.5'!B28" display="ii. Resumen anual de solicitudes concedidas por región en 2022, según tipo y sexo" xr:uid="{51044188-B0DF-4902-9081-66984B1B9124}"/>
    <hyperlink ref="B46:M46" location="'2.5'!B52" display="iii. Número de solicitudes concedidas por comuna en T4 2022, según tipo y sexo" xr:uid="{D978FCDD-0BD7-4043-82AB-A88A975C32B8}"/>
    <hyperlink ref="B47:M47" location="'2.5'!B55" display="   Región de Tarapacá" xr:uid="{0BEC33FF-CAE9-40CD-B53A-F45AC360CA57}"/>
    <hyperlink ref="B48:M48" location="'2.5'!B69" display="   Región de Antofagasta" xr:uid="{6116FFF5-5F69-47CB-9592-6E6B9C37B136}"/>
    <hyperlink ref="B49:M49" location="'2.5'!B84" display="   Región de Atacama" xr:uid="{0E1A91D3-D4C2-46B8-BE5C-55014254F159}"/>
    <hyperlink ref="B50:M50" location="'2.5'!B100" display="   Región de Coquimbo" xr:uid="{33D7ECF1-D9B2-48FF-9131-BF36518BC35D}"/>
    <hyperlink ref="B51:M51" location="'2.5'!B122" display="   Región de Valparaíso" xr:uid="{D7D419E8-BD42-42C2-AC34-83FB1466E403}"/>
    <hyperlink ref="B52:M52" location="'2.5'!B167" display="   Región del Libertador General Bernardo O’Higgins" xr:uid="{FAED5637-FEB6-40BA-8CAB-771DA7764AA7}"/>
    <hyperlink ref="B53:M53" location="'2.5'!B207" display="   Región del Maule" xr:uid="{59360FDC-1831-4665-860F-47CB2E279F90}"/>
    <hyperlink ref="B55:M55" location="'2.5'!B284" display="   Región de La Araucanía" xr:uid="{9121FE1D-1C78-416E-9DB1-A370FC5A6E4A}"/>
    <hyperlink ref="B54:M54" location="'2.5'!B244" display="   Región del Bio-bío" xr:uid="{FC9895B5-7DA7-426D-BAA1-5413316CE0C9}"/>
    <hyperlink ref="B56:M56" location="'2.5'!B323" display="   Región de Los Lagos" xr:uid="{5D968DF8-39DD-45B1-A219-4C28FAC06744}"/>
    <hyperlink ref="B57:M57" location="'2.5'!B360" display="   Región Aysén del General Carlos Ibáñez del Campo" xr:uid="{5A90F533-63B2-4722-AC7F-073F965864C4}"/>
    <hyperlink ref="B58:M58" location="'2.5'!B377" display="   Región de Magallanes y Antártica Chilena" xr:uid="{1741DF51-DF73-40C2-9148-9D77A7D15F5E}"/>
    <hyperlink ref="B59:M59" location="'2.5'!B392" display="   Región Metropolitana de Santiago" xr:uid="{F138090E-3057-47EA-A9C3-AEAE73100B1B}"/>
    <hyperlink ref="B60:M60" location="'2.5'!B451" display="   Región de Los Ríos" xr:uid="{EB842029-48A2-4528-9FA7-D7A6D2C2C2E8}"/>
    <hyperlink ref="B61:M61" location="'2.5'!B470" display="   Región de Arica y Parinacota" xr:uid="{C57E1BE7-4906-49EA-B89D-39BB84D37C64}"/>
    <hyperlink ref="B62:M62" location="'2.5'!B479" display="   Región de Ñuble" xr:uid="{D573C2EC-2EFE-438A-A18A-4B355D5B2D62}"/>
    <hyperlink ref="B64:M64" location="'2.6'!B4" display="i. Resumen trimestral de solicitudes rechazadas de beneficios en T4 2022" xr:uid="{A58F2DDA-DE46-49A7-926C-961E27F66792}"/>
    <hyperlink ref="B65:M65" location="'2.6'!B27" display="ii. Resumen anual de solicitudes rechazadas de beneficios en 2022" xr:uid="{F5340A10-1ED1-439D-A520-8A789AA62432}"/>
    <hyperlink ref="B66:M66" location="'2.6'!B57" display="iii. Serie resumen de solicitudes rechazadas de beneficios, por tipo y sexo" xr:uid="{BE9870C7-2E6D-4F57-99E1-9C35453CF827}"/>
    <hyperlink ref="B68:M68" location="'2.7'!B4" display="i. Beneficios suspendidos por año, por tipo de beneficio" xr:uid="{2221DE89-5F5C-4F48-B8AD-25664CBE5CF4}"/>
    <hyperlink ref="B69:M69" location="'2.7'!B18" display="ii. Beneficios extinguidos por año, por tipo de beneficio" xr:uid="{498C1C68-5613-419E-AFD7-30C0D1E0B71B}"/>
    <hyperlink ref="B71:M71" location="'2.8'!B4" display="i. Resumen trimestral de tasas de concesiones de beneficios por región en T4 2022, según tipo y sexo" xr:uid="{181F72DD-945F-4E5F-B1EC-629B4A4FB9B4}"/>
    <hyperlink ref="B72:M72" location="'2.8'!B28" display="ii. Resumen anual de tasas de concesiones de beneficios por región en 2022, según tipo y sexo" xr:uid="{C984AD5F-7154-40FC-9868-0251DDBCA7C1}"/>
    <hyperlink ref="B73:M73" location="'2.8'!B52" display="iii. Serie resumen de tasas de concesión de solicitudes por tipo y sexo" xr:uid="{3F3ED18E-C3A4-4CC2-9A7C-4498ABBF89A5}"/>
  </hyperlinks>
  <pageMargins left="0.7" right="0.7" top="0.75" bottom="0.75" header="0.3" footer="0.3"/>
  <pageSetup paperSize="9" orientation="portrait" horizontalDpi="1200" verticalDpi="12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95821-DCE6-49C1-B9C4-5AFE0BE34EF6}">
  <sheetPr>
    <tabColor rgb="FF00B0F0"/>
  </sheetPr>
  <dimension ref="B2:AG52"/>
  <sheetViews>
    <sheetView showGridLines="0" workbookViewId="0">
      <selection activeCell="I35" sqref="I35"/>
    </sheetView>
  </sheetViews>
  <sheetFormatPr baseColWidth="10" defaultRowHeight="15" x14ac:dyDescent="0.25"/>
  <cols>
    <col min="1" max="1" width="6" customWidth="1"/>
    <col min="2" max="2" width="19.140625" customWidth="1"/>
    <col min="3" max="3" width="18.7109375" customWidth="1"/>
  </cols>
  <sheetData>
    <row r="2" spans="2:10" ht="23.25" x14ac:dyDescent="0.25">
      <c r="B2" s="1" t="s">
        <v>853</v>
      </c>
    </row>
    <row r="4" spans="2:10" ht="18.75" x14ac:dyDescent="0.3">
      <c r="B4" s="2" t="s">
        <v>849</v>
      </c>
      <c r="C4" s="2"/>
      <c r="D4" s="2"/>
      <c r="E4" s="2"/>
      <c r="F4" s="2"/>
      <c r="G4" s="2"/>
      <c r="H4" s="2"/>
    </row>
    <row r="5" spans="2:10" x14ac:dyDescent="0.25">
      <c r="B5" s="273" t="s">
        <v>560</v>
      </c>
    </row>
    <row r="7" spans="2:10" x14ac:dyDescent="0.25">
      <c r="B7" s="484" t="s">
        <v>503</v>
      </c>
      <c r="C7" s="464" t="s">
        <v>23</v>
      </c>
      <c r="D7" s="464"/>
      <c r="E7" s="464" t="s">
        <v>804</v>
      </c>
      <c r="F7" s="464"/>
      <c r="G7" s="464" t="s">
        <v>805</v>
      </c>
      <c r="H7" s="464"/>
      <c r="I7" s="470" t="s">
        <v>502</v>
      </c>
      <c r="J7" s="470"/>
    </row>
    <row r="8" spans="2:10" x14ac:dyDescent="0.25">
      <c r="B8" s="484"/>
      <c r="C8" s="4" t="s">
        <v>2</v>
      </c>
      <c r="D8" s="4" t="s">
        <v>9</v>
      </c>
      <c r="E8" s="4" t="s">
        <v>2</v>
      </c>
      <c r="F8" s="4" t="s">
        <v>9</v>
      </c>
      <c r="G8" s="4" t="s">
        <v>2</v>
      </c>
      <c r="H8" s="4" t="s">
        <v>9</v>
      </c>
      <c r="I8" s="280" t="s">
        <v>2</v>
      </c>
      <c r="J8" s="280" t="s">
        <v>9</v>
      </c>
    </row>
    <row r="9" spans="2:10" x14ac:dyDescent="0.25">
      <c r="B9" s="170" t="s">
        <v>3</v>
      </c>
      <c r="C9" s="315">
        <v>4474</v>
      </c>
      <c r="D9" s="352">
        <f>+C9/$I9</f>
        <v>0.91699118671858992</v>
      </c>
      <c r="E9" s="315">
        <v>53</v>
      </c>
      <c r="F9" s="352">
        <f>+E9/$I9</f>
        <v>1.0862881738061079E-2</v>
      </c>
      <c r="G9" s="315">
        <v>3828</v>
      </c>
      <c r="H9" s="352">
        <f>+G9/$I9</f>
        <v>0.78458700553392091</v>
      </c>
      <c r="I9" s="334">
        <v>4879</v>
      </c>
      <c r="J9" s="441">
        <f>+I9/$I9</f>
        <v>1</v>
      </c>
    </row>
    <row r="10" spans="2:10" x14ac:dyDescent="0.25">
      <c r="B10" s="170" t="s">
        <v>4</v>
      </c>
      <c r="C10" s="315">
        <v>9283</v>
      </c>
      <c r="D10" s="352">
        <f t="shared" ref="D10:D15" si="0">+C10/$I10</f>
        <v>0.25502747252747254</v>
      </c>
      <c r="E10" s="315">
        <v>1260</v>
      </c>
      <c r="F10" s="352">
        <f t="shared" ref="F10:F15" si="1">+E10/$I10</f>
        <v>3.4615384615384617E-2</v>
      </c>
      <c r="G10" s="315">
        <v>10252</v>
      </c>
      <c r="H10" s="352">
        <f t="shared" ref="H10:H15" si="2">+G10/$I10</f>
        <v>0.28164835164835167</v>
      </c>
      <c r="I10" s="334">
        <v>36400</v>
      </c>
      <c r="J10" s="441">
        <f t="shared" ref="J10:J14" si="3">+I10/$I10</f>
        <v>1</v>
      </c>
    </row>
    <row r="11" spans="2:10" x14ac:dyDescent="0.25">
      <c r="B11" s="170" t="s">
        <v>714</v>
      </c>
      <c r="C11" s="315">
        <v>61292</v>
      </c>
      <c r="D11" s="352">
        <f t="shared" si="0"/>
        <v>0.71298784388995518</v>
      </c>
      <c r="E11" s="315">
        <v>1251</v>
      </c>
      <c r="F11" s="352">
        <f t="shared" si="1"/>
        <v>1.4552434130169255E-2</v>
      </c>
      <c r="G11" s="315">
        <v>29767</v>
      </c>
      <c r="H11" s="352">
        <f t="shared" si="2"/>
        <v>0.34626883033792821</v>
      </c>
      <c r="I11" s="334">
        <v>85965</v>
      </c>
      <c r="J11" s="441">
        <f t="shared" si="3"/>
        <v>1</v>
      </c>
    </row>
    <row r="12" spans="2:10" x14ac:dyDescent="0.25">
      <c r="B12" s="170" t="s">
        <v>501</v>
      </c>
      <c r="C12" s="315">
        <v>372682</v>
      </c>
      <c r="D12" s="352">
        <f t="shared" si="0"/>
        <v>0.76852741632812982</v>
      </c>
      <c r="E12" s="315">
        <v>619</v>
      </c>
      <c r="F12" s="352">
        <f t="shared" si="1"/>
        <v>1.2764728929948652E-3</v>
      </c>
      <c r="G12" s="315">
        <v>41180</v>
      </c>
      <c r="H12" s="352">
        <f t="shared" si="2"/>
        <v>8.4919472913616401E-2</v>
      </c>
      <c r="I12" s="334">
        <v>484930</v>
      </c>
      <c r="J12" s="441">
        <f t="shared" si="3"/>
        <v>1</v>
      </c>
    </row>
    <row r="13" spans="2:10" x14ac:dyDescent="0.25">
      <c r="B13" s="170" t="s">
        <v>5</v>
      </c>
      <c r="C13" s="315">
        <v>20511</v>
      </c>
      <c r="D13" s="352">
        <f t="shared" si="0"/>
        <v>0.93359126081019572</v>
      </c>
      <c r="E13" s="315">
        <f>351+229</f>
        <v>580</v>
      </c>
      <c r="F13" s="352">
        <f t="shared" si="1"/>
        <v>2.639963586709149E-2</v>
      </c>
      <c r="G13" s="315">
        <f>14666+7811</f>
        <v>22477</v>
      </c>
      <c r="H13" s="352">
        <f t="shared" si="2"/>
        <v>1.023076923076923</v>
      </c>
      <c r="I13" s="334">
        <v>21970</v>
      </c>
      <c r="J13" s="441">
        <f t="shared" si="3"/>
        <v>1</v>
      </c>
    </row>
    <row r="14" spans="2:10" x14ac:dyDescent="0.25">
      <c r="B14" s="170" t="s">
        <v>6</v>
      </c>
      <c r="C14" s="315">
        <v>14797</v>
      </c>
      <c r="D14" s="352">
        <f t="shared" si="0"/>
        <v>0.76104510620788968</v>
      </c>
      <c r="E14" s="315">
        <v>431</v>
      </c>
      <c r="F14" s="352">
        <f t="shared" si="1"/>
        <v>2.2167361003960294E-2</v>
      </c>
      <c r="G14" s="315">
        <v>6508</v>
      </c>
      <c r="H14" s="352">
        <f t="shared" si="2"/>
        <v>0.33472200792058837</v>
      </c>
      <c r="I14" s="334">
        <v>19443</v>
      </c>
      <c r="J14" s="441">
        <f t="shared" si="3"/>
        <v>1</v>
      </c>
    </row>
    <row r="15" spans="2:10" x14ac:dyDescent="0.25">
      <c r="B15" s="285" t="s">
        <v>491</v>
      </c>
      <c r="C15" s="340">
        <v>483039</v>
      </c>
      <c r="D15" s="363">
        <f t="shared" si="0"/>
        <v>0.7390584574050586</v>
      </c>
      <c r="E15" s="340">
        <f>SUM(E9:E14)</f>
        <v>4194</v>
      </c>
      <c r="F15" s="363">
        <f t="shared" si="1"/>
        <v>6.4168962968969697E-3</v>
      </c>
      <c r="G15" s="340">
        <f>SUM(G9:G14)</f>
        <v>114012</v>
      </c>
      <c r="H15" s="363">
        <f t="shared" si="2"/>
        <v>0.17444043409676141</v>
      </c>
      <c r="I15" s="340">
        <v>653587</v>
      </c>
      <c r="J15" s="292">
        <f>+I15/$I15</f>
        <v>1</v>
      </c>
    </row>
    <row r="16" spans="2:10" ht="29.25" customHeight="1" x14ac:dyDescent="0.25">
      <c r="B16" s="483" t="s">
        <v>995</v>
      </c>
      <c r="C16" s="483"/>
      <c r="D16" s="483"/>
      <c r="E16" s="483"/>
      <c r="F16" s="483"/>
      <c r="G16" s="483"/>
      <c r="H16" s="483"/>
      <c r="I16" s="483"/>
      <c r="J16" s="483"/>
    </row>
    <row r="17" spans="2:33" x14ac:dyDescent="0.25">
      <c r="B17" s="8"/>
    </row>
    <row r="18" spans="2:33" ht="18.75" x14ac:dyDescent="0.3">
      <c r="B18" s="2" t="s">
        <v>814</v>
      </c>
      <c r="C18" s="2"/>
      <c r="D18" s="2"/>
      <c r="E18" s="2"/>
      <c r="F18" s="2"/>
      <c r="G18" s="2"/>
    </row>
    <row r="19" spans="2:33" x14ac:dyDescent="0.25">
      <c r="B19" s="273" t="s">
        <v>1</v>
      </c>
    </row>
    <row r="21" spans="2:33" ht="30" customHeight="1" x14ac:dyDescent="0.25">
      <c r="B21" s="484" t="s">
        <v>806</v>
      </c>
      <c r="C21" s="488" t="s">
        <v>807</v>
      </c>
      <c r="D21" s="485" t="s">
        <v>487</v>
      </c>
      <c r="E21" s="486"/>
      <c r="F21" s="486"/>
      <c r="G21" s="486"/>
      <c r="H21" s="486"/>
      <c r="I21" s="486"/>
      <c r="J21" s="486"/>
      <c r="K21" s="486"/>
      <c r="L21" s="486"/>
      <c r="M21" s="486"/>
      <c r="N21" s="486"/>
      <c r="O21" s="486"/>
      <c r="P21" s="486"/>
      <c r="Q21" s="486"/>
      <c r="R21" s="486"/>
      <c r="S21" s="486"/>
      <c r="T21" s="486"/>
      <c r="U21" s="486"/>
      <c r="V21" s="486"/>
      <c r="W21" s="486"/>
      <c r="X21" s="486"/>
      <c r="Y21" s="486"/>
      <c r="Z21" s="486"/>
      <c r="AA21" s="486"/>
      <c r="AB21" s="486"/>
      <c r="AC21" s="486"/>
      <c r="AD21" s="486"/>
      <c r="AE21" s="486"/>
      <c r="AF21" s="486"/>
      <c r="AG21" s="487"/>
    </row>
    <row r="22" spans="2:33" ht="15" customHeight="1" x14ac:dyDescent="0.25">
      <c r="B22" s="484"/>
      <c r="C22" s="488"/>
      <c r="D22" s="465">
        <v>2008</v>
      </c>
      <c r="E22" s="467"/>
      <c r="F22" s="465">
        <v>2009</v>
      </c>
      <c r="G22" s="467"/>
      <c r="H22" s="465">
        <v>2010</v>
      </c>
      <c r="I22" s="467"/>
      <c r="J22" s="465">
        <v>2011</v>
      </c>
      <c r="K22" s="467"/>
      <c r="L22" s="465">
        <v>2012</v>
      </c>
      <c r="M22" s="467"/>
      <c r="N22" s="465">
        <v>2013</v>
      </c>
      <c r="O22" s="467"/>
      <c r="P22" s="465">
        <v>2014</v>
      </c>
      <c r="Q22" s="467"/>
      <c r="R22" s="465">
        <v>2015</v>
      </c>
      <c r="S22" s="467"/>
      <c r="T22" s="465">
        <v>2016</v>
      </c>
      <c r="U22" s="467"/>
      <c r="V22" s="465">
        <v>2017</v>
      </c>
      <c r="W22" s="467"/>
      <c r="X22" s="465">
        <v>2018</v>
      </c>
      <c r="Y22" s="467"/>
      <c r="Z22" s="465">
        <v>2019</v>
      </c>
      <c r="AA22" s="467"/>
      <c r="AB22" s="465">
        <v>2020</v>
      </c>
      <c r="AC22" s="467"/>
      <c r="AD22" s="465">
        <v>2021</v>
      </c>
      <c r="AE22" s="467"/>
      <c r="AF22" s="465">
        <v>2022</v>
      </c>
      <c r="AG22" s="467"/>
    </row>
    <row r="23" spans="2:33" x14ac:dyDescent="0.25">
      <c r="B23" s="484"/>
      <c r="C23" s="488"/>
      <c r="D23" s="4" t="s">
        <v>2</v>
      </c>
      <c r="E23" s="4" t="s">
        <v>9</v>
      </c>
      <c r="F23" s="4" t="s">
        <v>2</v>
      </c>
      <c r="G23" s="4" t="s">
        <v>9</v>
      </c>
      <c r="H23" s="4" t="s">
        <v>2</v>
      </c>
      <c r="I23" s="4" t="s">
        <v>9</v>
      </c>
      <c r="J23" s="4" t="s">
        <v>2</v>
      </c>
      <c r="K23" s="4" t="s">
        <v>9</v>
      </c>
      <c r="L23" s="4" t="s">
        <v>2</v>
      </c>
      <c r="M23" s="4" t="s">
        <v>9</v>
      </c>
      <c r="N23" s="4" t="s">
        <v>2</v>
      </c>
      <c r="O23" s="4" t="s">
        <v>9</v>
      </c>
      <c r="P23" s="4" t="s">
        <v>2</v>
      </c>
      <c r="Q23" s="4" t="s">
        <v>9</v>
      </c>
      <c r="R23" s="4" t="s">
        <v>2</v>
      </c>
      <c r="S23" s="4" t="s">
        <v>9</v>
      </c>
      <c r="T23" s="4" t="s">
        <v>2</v>
      </c>
      <c r="U23" s="4" t="s">
        <v>9</v>
      </c>
      <c r="V23" s="4" t="s">
        <v>2</v>
      </c>
      <c r="W23" s="4" t="s">
        <v>9</v>
      </c>
      <c r="X23" s="4" t="s">
        <v>2</v>
      </c>
      <c r="Y23" s="4" t="s">
        <v>9</v>
      </c>
      <c r="Z23" s="4" t="s">
        <v>2</v>
      </c>
      <c r="AA23" s="4" t="s">
        <v>9</v>
      </c>
      <c r="AB23" s="4" t="s">
        <v>2</v>
      </c>
      <c r="AC23" s="4" t="s">
        <v>9</v>
      </c>
      <c r="AD23" s="4" t="s">
        <v>2</v>
      </c>
      <c r="AE23" s="4" t="s">
        <v>9</v>
      </c>
      <c r="AF23" s="4" t="s">
        <v>2</v>
      </c>
      <c r="AG23" s="4" t="s">
        <v>9</v>
      </c>
    </row>
    <row r="24" spans="2:33" x14ac:dyDescent="0.25">
      <c r="B24" s="484" t="s">
        <v>23</v>
      </c>
      <c r="C24" s="355" t="s">
        <v>3</v>
      </c>
      <c r="D24" s="353">
        <v>83064</v>
      </c>
      <c r="E24" s="354">
        <f>IFERROR(D24/D$45,0)</f>
        <v>0.99000035755574889</v>
      </c>
      <c r="F24" s="353">
        <v>57810</v>
      </c>
      <c r="G24" s="354">
        <f>IFERROR(F24/F$45,0)</f>
        <v>0.97727964296581804</v>
      </c>
      <c r="H24" s="353">
        <v>36125</v>
      </c>
      <c r="I24" s="354">
        <f>IFERROR(H24/H$45,0)</f>
        <v>0.88687305133429895</v>
      </c>
      <c r="J24" s="353">
        <v>29976</v>
      </c>
      <c r="K24" s="354">
        <f>IFERROR(J24/J$45,0)</f>
        <v>0.80119741273320144</v>
      </c>
      <c r="L24" s="353">
        <v>29369</v>
      </c>
      <c r="M24" s="354">
        <f>IFERROR(L24/L$45,0)</f>
        <v>0.8609832605317933</v>
      </c>
      <c r="N24" s="353">
        <v>29479</v>
      </c>
      <c r="O24" s="354">
        <f>IFERROR(N24/N$45,0)</f>
        <v>0.90100250626566414</v>
      </c>
      <c r="P24" s="353">
        <v>32567</v>
      </c>
      <c r="Q24" s="354">
        <f>IFERROR(P24/P$45,0)</f>
        <v>0.82674147034930956</v>
      </c>
      <c r="R24" s="353">
        <v>26363</v>
      </c>
      <c r="S24" s="354">
        <f>IFERROR(R24/R$45,0)</f>
        <v>0.84926873268474967</v>
      </c>
      <c r="T24" s="353">
        <v>24913</v>
      </c>
      <c r="U24" s="354">
        <f>IFERROR(T24/T$45,0)</f>
        <v>0.81189506273423495</v>
      </c>
      <c r="V24" s="353">
        <v>26161</v>
      </c>
      <c r="W24" s="354">
        <f>IFERROR(V24/V$45,0)</f>
        <v>0.81681653553140998</v>
      </c>
      <c r="X24" s="353">
        <v>28351</v>
      </c>
      <c r="Y24" s="354">
        <f>IFERROR(X24/X$45,0)</f>
        <v>0.8981214559508347</v>
      </c>
      <c r="Z24" s="353">
        <v>26756</v>
      </c>
      <c r="AA24" s="354">
        <f>IFERROR(Z24/Z$45,0)</f>
        <v>0.89987555914303974</v>
      </c>
      <c r="AB24" s="353">
        <v>27128</v>
      </c>
      <c r="AC24" s="354">
        <f>IFERROR(AB24/AB$45,0)</f>
        <v>0.88996784987861688</v>
      </c>
      <c r="AD24" s="353">
        <v>35508</v>
      </c>
      <c r="AE24" s="354">
        <f>IFERROR(AD24/AD$45,0)</f>
        <v>0.85247161068830579</v>
      </c>
      <c r="AF24" s="353">
        <v>4474</v>
      </c>
      <c r="AG24" s="354">
        <f>IFERROR(AF24/AF$45,0)</f>
        <v>0.91699118671858992</v>
      </c>
    </row>
    <row r="25" spans="2:33" x14ac:dyDescent="0.25">
      <c r="B25" s="484"/>
      <c r="C25" s="355" t="s">
        <v>4</v>
      </c>
      <c r="D25" s="353">
        <v>21142</v>
      </c>
      <c r="E25" s="354">
        <f>IFERROR(D25/D$46,0)</f>
        <v>0.57318693235732687</v>
      </c>
      <c r="F25" s="353">
        <v>21206</v>
      </c>
      <c r="G25" s="354">
        <f>IFERROR(F25/F$46,0)</f>
        <v>0.59805967623667433</v>
      </c>
      <c r="H25" s="353">
        <v>13245</v>
      </c>
      <c r="I25" s="354">
        <f>IFERROR(H25/H$46,0)</f>
        <v>0.53050026034365361</v>
      </c>
      <c r="J25" s="353">
        <v>10364</v>
      </c>
      <c r="K25" s="354">
        <f>IFERROR(J25/J$46,0)</f>
        <v>0.4949851943834177</v>
      </c>
      <c r="L25" s="353">
        <v>10380</v>
      </c>
      <c r="M25" s="354">
        <f>IFERROR(L25/L$46,0)</f>
        <v>0.52975400632846792</v>
      </c>
      <c r="N25" s="353">
        <v>9014</v>
      </c>
      <c r="O25" s="354">
        <f>IFERROR(N25/N$46,0)</f>
        <v>0.5292390793799906</v>
      </c>
      <c r="P25" s="353">
        <v>9988</v>
      </c>
      <c r="Q25" s="354">
        <f>IFERROR(P25/P$46,0)</f>
        <v>0.56837193421726517</v>
      </c>
      <c r="R25" s="353">
        <v>11711</v>
      </c>
      <c r="S25" s="354">
        <f>IFERROR(R25/R$46,0)</f>
        <v>0.63108261033572233</v>
      </c>
      <c r="T25" s="353">
        <v>11810</v>
      </c>
      <c r="U25" s="354">
        <f>IFERROR(T25/T$46,0)</f>
        <v>0.65270255333259641</v>
      </c>
      <c r="V25" s="353">
        <v>11910</v>
      </c>
      <c r="W25" s="354">
        <f>IFERROR(V25/V$46,0)</f>
        <v>0.64957731115353146</v>
      </c>
      <c r="X25" s="353">
        <v>10990</v>
      </c>
      <c r="Y25" s="354">
        <f>IFERROR(X25/X$46,0)</f>
        <v>0.64666078258311266</v>
      </c>
      <c r="Z25" s="353">
        <v>10802</v>
      </c>
      <c r="AA25" s="354">
        <f>IFERROR(Z25/Z$46,0)</f>
        <v>0.649275710765162</v>
      </c>
      <c r="AB25" s="353">
        <v>9792</v>
      </c>
      <c r="AC25" s="354">
        <f>IFERROR(AB25/AB$46,0)</f>
        <v>0.65245202558635396</v>
      </c>
      <c r="AD25" s="353">
        <v>16018</v>
      </c>
      <c r="AE25" s="354">
        <f>IFERROR(AD25/AD$46,0)</f>
        <v>0.59394119173866289</v>
      </c>
      <c r="AF25" s="353">
        <v>9283</v>
      </c>
      <c r="AG25" s="354">
        <f>IFERROR(AF25/AF$46,0)</f>
        <v>0.25502747252747254</v>
      </c>
    </row>
    <row r="26" spans="2:33" ht="30" x14ac:dyDescent="0.25">
      <c r="B26" s="484"/>
      <c r="C26" s="355" t="s">
        <v>714</v>
      </c>
      <c r="D26" s="353"/>
      <c r="E26" s="354">
        <f>IFERROR(D26/D$47,0)</f>
        <v>0</v>
      </c>
      <c r="F26" s="353"/>
      <c r="G26" s="354">
        <f>IFERROR(F26/F$47,0)</f>
        <v>0</v>
      </c>
      <c r="H26" s="353"/>
      <c r="I26" s="354">
        <f>IFERROR(H26/H$47,0)</f>
        <v>0</v>
      </c>
      <c r="J26" s="353"/>
      <c r="K26" s="354">
        <f>IFERROR(J26/J$47,0)</f>
        <v>0</v>
      </c>
      <c r="L26" s="353"/>
      <c r="M26" s="354">
        <f>IFERROR(L26/L$47,0)</f>
        <v>0</v>
      </c>
      <c r="N26" s="353"/>
      <c r="O26" s="354">
        <f>IFERROR(N26/N$47,0)</f>
        <v>0</v>
      </c>
      <c r="P26" s="353"/>
      <c r="Q26" s="354">
        <f>IFERROR(P26/P$47,0)</f>
        <v>0</v>
      </c>
      <c r="R26" s="353"/>
      <c r="S26" s="354">
        <f>IFERROR(R26/R$47,0)</f>
        <v>0</v>
      </c>
      <c r="T26" s="353"/>
      <c r="U26" s="354">
        <f>IFERROR(T26/T$47,0)</f>
        <v>0</v>
      </c>
      <c r="V26" s="353"/>
      <c r="W26" s="354">
        <f>IFERROR(V26/V$47,0)</f>
        <v>0</v>
      </c>
      <c r="X26" s="353"/>
      <c r="Y26" s="354">
        <f>IFERROR(X26/X$47,0)</f>
        <v>0</v>
      </c>
      <c r="Z26" s="353"/>
      <c r="AA26" s="354">
        <f>IFERROR(Z26/Z$47,0)</f>
        <v>0</v>
      </c>
      <c r="AB26" s="353"/>
      <c r="AC26" s="354">
        <f>IFERROR(AB26/AB$47,0)</f>
        <v>0</v>
      </c>
      <c r="AD26" s="353"/>
      <c r="AE26" s="354">
        <f>IFERROR(AD26/AD$47,0)</f>
        <v>0</v>
      </c>
      <c r="AF26" s="353">
        <v>61292</v>
      </c>
      <c r="AG26" s="354">
        <f>IFERROR(AF26/AF$47,0)</f>
        <v>0.71298784388995518</v>
      </c>
    </row>
    <row r="27" spans="2:33" x14ac:dyDescent="0.25">
      <c r="B27" s="484"/>
      <c r="C27" s="355" t="s">
        <v>501</v>
      </c>
      <c r="D27" s="353"/>
      <c r="E27" s="354">
        <f>IFERROR(D27/D$48,0)</f>
        <v>0</v>
      </c>
      <c r="F27" s="353"/>
      <c r="G27" s="354">
        <f>IFERROR(F27/F$48,0)</f>
        <v>0</v>
      </c>
      <c r="H27" s="353"/>
      <c r="I27" s="354">
        <f>IFERROR(H27/H$48,0)</f>
        <v>0</v>
      </c>
      <c r="J27" s="353"/>
      <c r="K27" s="354">
        <f>IFERROR(J27/J$48,0)</f>
        <v>0</v>
      </c>
      <c r="L27" s="353"/>
      <c r="M27" s="354">
        <f>IFERROR(L27/L$48,0)</f>
        <v>0</v>
      </c>
      <c r="N27" s="353"/>
      <c r="O27" s="354">
        <f>IFERROR(N27/N$48,0)</f>
        <v>0</v>
      </c>
      <c r="P27" s="353"/>
      <c r="Q27" s="354">
        <f>IFERROR(P27/P$48,0)</f>
        <v>0</v>
      </c>
      <c r="R27" s="353"/>
      <c r="S27" s="354">
        <f>IFERROR(R27/R$48,0)</f>
        <v>0</v>
      </c>
      <c r="T27" s="353"/>
      <c r="U27" s="354">
        <f>IFERROR(T27/T$48,0)</f>
        <v>0</v>
      </c>
      <c r="V27" s="353"/>
      <c r="W27" s="354">
        <f>IFERROR(V27/V$48,0)</f>
        <v>0</v>
      </c>
      <c r="X27" s="353"/>
      <c r="Y27" s="354">
        <f>IFERROR(X27/X$48,0)</f>
        <v>0</v>
      </c>
      <c r="Z27" s="353"/>
      <c r="AA27" s="354">
        <f>IFERROR(Z27/Z$48,0)</f>
        <v>0</v>
      </c>
      <c r="AB27" s="353"/>
      <c r="AC27" s="354">
        <f>IFERROR(AB27/AB$48,0)</f>
        <v>0</v>
      </c>
      <c r="AD27" s="353"/>
      <c r="AE27" s="354">
        <f>IFERROR(AD27/AD$48,0)</f>
        <v>0</v>
      </c>
      <c r="AF27" s="353">
        <v>372682</v>
      </c>
      <c r="AG27" s="354">
        <f>IFERROR(AF27/AF$48,0)</f>
        <v>0.76852741632812982</v>
      </c>
    </row>
    <row r="28" spans="2:33" x14ac:dyDescent="0.25">
      <c r="B28" s="484"/>
      <c r="C28" s="355" t="s">
        <v>5</v>
      </c>
      <c r="D28" s="353">
        <v>9346</v>
      </c>
      <c r="E28" s="354">
        <f>IFERROR(D28/D$49,0)</f>
        <v>0.73998416468725259</v>
      </c>
      <c r="F28" s="353">
        <v>277086</v>
      </c>
      <c r="G28" s="354">
        <f>IFERROR(F28/F$49,0)</f>
        <v>0.92944140131020625</v>
      </c>
      <c r="H28" s="353">
        <v>137886</v>
      </c>
      <c r="I28" s="354">
        <f>IFERROR(H28/H$49,0)</f>
        <v>0.82052533234947578</v>
      </c>
      <c r="J28" s="353">
        <v>90267</v>
      </c>
      <c r="K28" s="354">
        <f>IFERROR(J28/J$49,0)</f>
        <v>0.71600130085428049</v>
      </c>
      <c r="L28" s="353">
        <v>113364</v>
      </c>
      <c r="M28" s="354">
        <f>IFERROR(L28/L$49,0)</f>
        <v>0.86976269573957143</v>
      </c>
      <c r="N28" s="353">
        <v>65567</v>
      </c>
      <c r="O28" s="354">
        <f>IFERROR(N28/N$49,0)</f>
        <v>0.85164114353998621</v>
      </c>
      <c r="P28" s="353">
        <v>70060</v>
      </c>
      <c r="Q28" s="354">
        <f>IFERROR(P28/P$49,0)</f>
        <v>0.79123609464114297</v>
      </c>
      <c r="R28" s="353">
        <v>71190</v>
      </c>
      <c r="S28" s="354">
        <f>IFERROR(R28/R$49,0)</f>
        <v>0.80098562073854052</v>
      </c>
      <c r="T28" s="353">
        <v>67758</v>
      </c>
      <c r="U28" s="354">
        <f>IFERROR(T28/T$49,0)</f>
        <v>0.77497941257205605</v>
      </c>
      <c r="V28" s="353">
        <v>82237</v>
      </c>
      <c r="W28" s="354">
        <f>IFERROR(V28/V$49,0)</f>
        <v>0.79428411373821661</v>
      </c>
      <c r="X28" s="353">
        <v>111944</v>
      </c>
      <c r="Y28" s="354">
        <f>IFERROR(X28/X$49,0)</f>
        <v>0.90593766944248866</v>
      </c>
      <c r="Z28" s="353">
        <v>102022</v>
      </c>
      <c r="AA28" s="354">
        <f>IFERROR(Z28/Z$49,0)</f>
        <v>0.90391345566020187</v>
      </c>
      <c r="AB28" s="353">
        <v>149617</v>
      </c>
      <c r="AC28" s="354">
        <f>IFERROR(AB28/AB$49,0)</f>
        <v>0.89816365611924531</v>
      </c>
      <c r="AD28" s="353">
        <v>166454</v>
      </c>
      <c r="AE28" s="354">
        <f>IFERROR(AD28/AD$49,0)</f>
        <v>0.87113116109651556</v>
      </c>
      <c r="AF28" s="353">
        <v>20511</v>
      </c>
      <c r="AG28" s="354">
        <f>IFERROR(AF28/AF$49,0)</f>
        <v>0.93359126081019572</v>
      </c>
    </row>
    <row r="29" spans="2:33" x14ac:dyDescent="0.25">
      <c r="B29" s="484"/>
      <c r="C29" s="355" t="s">
        <v>6</v>
      </c>
      <c r="D29" s="353">
        <v>1529</v>
      </c>
      <c r="E29" s="354">
        <f>IFERROR(D29/D$50,0)</f>
        <v>0.25723418573351281</v>
      </c>
      <c r="F29" s="353">
        <v>9856</v>
      </c>
      <c r="G29" s="354">
        <f>IFERROR(F29/F$50,0)</f>
        <v>0.84188946783975405</v>
      </c>
      <c r="H29" s="353">
        <v>9914</v>
      </c>
      <c r="I29" s="354">
        <f>IFERROR(H29/H$50,0)</f>
        <v>0.83108391315282082</v>
      </c>
      <c r="J29" s="353">
        <v>8697</v>
      </c>
      <c r="K29" s="354">
        <f>IFERROR(J29/J$50,0)</f>
        <v>0.83883101851851849</v>
      </c>
      <c r="L29" s="353">
        <v>7014</v>
      </c>
      <c r="M29" s="354">
        <f>IFERROR(L29/L$50,0)</f>
        <v>0.85266229029905183</v>
      </c>
      <c r="N29" s="353">
        <v>6048</v>
      </c>
      <c r="O29" s="354">
        <f>IFERROR(N29/N$50,0)</f>
        <v>0.82906100068540101</v>
      </c>
      <c r="P29" s="353">
        <v>5270</v>
      </c>
      <c r="Q29" s="354">
        <f>IFERROR(P29/P$50,0)</f>
        <v>0.87049884373967623</v>
      </c>
      <c r="R29" s="353">
        <v>2081</v>
      </c>
      <c r="S29" s="354">
        <f>IFERROR(R29/R$50,0)</f>
        <v>0.83206717313074774</v>
      </c>
      <c r="T29" s="353">
        <v>2218</v>
      </c>
      <c r="U29" s="354">
        <f>IFERROR(T29/T$50,0)</f>
        <v>0.86069072564998061</v>
      </c>
      <c r="V29" s="353">
        <v>2802</v>
      </c>
      <c r="W29" s="354">
        <f>IFERROR(V29/V$50,0)</f>
        <v>0.88474897379223238</v>
      </c>
      <c r="X29" s="353">
        <v>5864</v>
      </c>
      <c r="Y29" s="354">
        <f>IFERROR(X29/X$50,0)</f>
        <v>0.93494897959183676</v>
      </c>
      <c r="Z29" s="353">
        <v>5629</v>
      </c>
      <c r="AA29" s="354">
        <f>IFERROR(Z29/Z$50,0)</f>
        <v>0.92658436213991768</v>
      </c>
      <c r="AB29" s="353">
        <v>7155</v>
      </c>
      <c r="AC29" s="354">
        <f>IFERROR(AB29/AB$50,0)</f>
        <v>0.92465753424657537</v>
      </c>
      <c r="AD29" s="353">
        <v>19064</v>
      </c>
      <c r="AE29" s="354">
        <f>IFERROR(AD29/AD$50,0)</f>
        <v>0.92949780594831788</v>
      </c>
      <c r="AF29" s="353">
        <v>14797</v>
      </c>
      <c r="AG29" s="354">
        <f>IFERROR(AF29/AF$50,0)</f>
        <v>0.76104510620788968</v>
      </c>
    </row>
    <row r="30" spans="2:33" x14ac:dyDescent="0.25">
      <c r="B30" s="484"/>
      <c r="C30" s="356" t="s">
        <v>808</v>
      </c>
      <c r="D30" s="364">
        <v>115081</v>
      </c>
      <c r="E30" s="365">
        <f>IFERROR(D30/D$51,0)</f>
        <v>0.82577029606348928</v>
      </c>
      <c r="F30" s="364">
        <v>365958</v>
      </c>
      <c r="G30" s="365">
        <f>IFERROR(F30/F$51,0)</f>
        <v>0.90485115221046386</v>
      </c>
      <c r="H30" s="364">
        <v>197170</v>
      </c>
      <c r="I30" s="365">
        <f>IFERROR(H30/H$51,0)</f>
        <v>0.80256436348834848</v>
      </c>
      <c r="J30" s="364">
        <v>139304</v>
      </c>
      <c r="K30" s="365">
        <f>IFERROR(J30/J$51,0)</f>
        <v>0.71514597697018856</v>
      </c>
      <c r="L30" s="364">
        <v>160127</v>
      </c>
      <c r="M30" s="365">
        <f>IFERROR(L30/L$51,0)</f>
        <v>0.83282363343215271</v>
      </c>
      <c r="N30" s="364">
        <v>110108</v>
      </c>
      <c r="O30" s="365">
        <f>IFERROR(N30/N$51,0)</f>
        <v>0.82149305400122352</v>
      </c>
      <c r="P30" s="364">
        <v>117885</v>
      </c>
      <c r="Q30" s="365">
        <f>IFERROR(P30/P$51,0)</f>
        <v>0.77779024042648648</v>
      </c>
      <c r="R30" s="364">
        <v>111345</v>
      </c>
      <c r="S30" s="365">
        <f>IFERROR(R30/R$51,0)</f>
        <v>0.7898040829065528</v>
      </c>
      <c r="T30" s="364">
        <v>106699</v>
      </c>
      <c r="U30" s="365">
        <f>IFERROR(T30/T$51,0)</f>
        <v>0.76879124996397386</v>
      </c>
      <c r="V30" s="364">
        <v>123110</v>
      </c>
      <c r="W30" s="365">
        <f>IFERROR(V30/V$51,0)</f>
        <v>0.78381062737957297</v>
      </c>
      <c r="X30" s="364">
        <v>157149</v>
      </c>
      <c r="Y30" s="365">
        <f>IFERROR(X30/X$51,0)</f>
        <v>0.88087510720231388</v>
      </c>
      <c r="Z30" s="364">
        <v>145209</v>
      </c>
      <c r="AA30" s="365">
        <f>IFERROR(Z30/Z$51,0)</f>
        <v>0.87839358304297332</v>
      </c>
      <c r="AB30" s="364">
        <v>193692</v>
      </c>
      <c r="AC30" s="365">
        <f>IFERROR(AB30/AB$51,0)</f>
        <v>0.88118320905877379</v>
      </c>
      <c r="AD30" s="364">
        <v>237044</v>
      </c>
      <c r="AE30" s="365">
        <f>IFERROR(AD30/AD$51,0)</f>
        <v>0.84595125084757861</v>
      </c>
      <c r="AF30" s="364">
        <v>483039</v>
      </c>
      <c r="AG30" s="365">
        <f>IFERROR(AF30/AF$51,0)</f>
        <v>0.7390584574050586</v>
      </c>
    </row>
    <row r="31" spans="2:33" x14ac:dyDescent="0.25">
      <c r="B31" s="484" t="s">
        <v>804</v>
      </c>
      <c r="C31" s="355" t="s">
        <v>3</v>
      </c>
      <c r="D31" s="353">
        <v>0</v>
      </c>
      <c r="E31" s="354">
        <f>IFERROR(D31/D$45,0)</f>
        <v>0</v>
      </c>
      <c r="F31" s="353">
        <v>1481</v>
      </c>
      <c r="G31" s="354">
        <f>IFERROR(F31/F$45,0)</f>
        <v>2.503634580924367E-2</v>
      </c>
      <c r="H31" s="353">
        <v>635</v>
      </c>
      <c r="I31" s="354">
        <f>IFERROR(H31/H$45,0)</f>
        <v>1.5589325608229201E-2</v>
      </c>
      <c r="J31" s="353">
        <v>746</v>
      </c>
      <c r="K31" s="354">
        <f t="shared" ref="K31" si="4">IFERROR(J31/J$45,0)</f>
        <v>1.9939060244828138E-2</v>
      </c>
      <c r="L31" s="353">
        <v>719</v>
      </c>
      <c r="M31" s="354">
        <f t="shared" ref="M31" si="5">IFERROR(L31/L$45,0)</f>
        <v>2.1078244554542522E-2</v>
      </c>
      <c r="N31" s="353">
        <v>407</v>
      </c>
      <c r="O31" s="354">
        <f t="shared" ref="O31" si="6">IFERROR(N31/N$45,0)</f>
        <v>1.2439635674552234E-2</v>
      </c>
      <c r="P31" s="353">
        <v>3429</v>
      </c>
      <c r="Q31" s="354">
        <f t="shared" ref="Q31" si="7">IFERROR(P31/P$45,0)</f>
        <v>8.7048131600324943E-2</v>
      </c>
      <c r="R31" s="353">
        <v>892</v>
      </c>
      <c r="S31" s="354">
        <f t="shared" ref="S31" si="8">IFERROR(R31/R$45,0)</f>
        <v>2.8735261903227886E-2</v>
      </c>
      <c r="T31" s="353">
        <v>736</v>
      </c>
      <c r="U31" s="354">
        <f t="shared" ref="U31" si="9">IFERROR(T31/T$45,0)</f>
        <v>2.3985660746292978E-2</v>
      </c>
      <c r="V31" s="353">
        <v>854</v>
      </c>
      <c r="W31" s="354">
        <f t="shared" ref="W31" si="10">IFERROR(V31/V$45,0)</f>
        <v>2.6664168852254276E-2</v>
      </c>
      <c r="X31" s="353">
        <v>587</v>
      </c>
      <c r="Y31" s="354">
        <f t="shared" ref="Y31" si="11">IFERROR(X31/X$45,0)</f>
        <v>1.8595368581113186E-2</v>
      </c>
      <c r="Z31" s="353">
        <v>781</v>
      </c>
      <c r="AA31" s="354">
        <f t="shared" ref="AA31" si="12">IFERROR(Z31/Z$45,0)</f>
        <v>2.6267110617832039E-2</v>
      </c>
      <c r="AB31" s="353">
        <v>2529</v>
      </c>
      <c r="AC31" s="354">
        <f t="shared" ref="AC31" si="13">IFERROR(AB31/AB$45,0)</f>
        <v>8.2966996916212843E-2</v>
      </c>
      <c r="AD31" s="353">
        <v>863</v>
      </c>
      <c r="AE31" s="354">
        <f t="shared" ref="AE31" si="14">IFERROR(AD31/AD$45,0)</f>
        <v>2.0718795765010924E-2</v>
      </c>
      <c r="AF31" s="353">
        <v>53</v>
      </c>
      <c r="AG31" s="354">
        <f t="shared" ref="AG31" si="15">IFERROR(AF31/AF$45,0)</f>
        <v>1.0862881738061079E-2</v>
      </c>
    </row>
    <row r="32" spans="2:33" x14ac:dyDescent="0.25">
      <c r="B32" s="484"/>
      <c r="C32" s="355" t="s">
        <v>4</v>
      </c>
      <c r="D32" s="353">
        <v>0</v>
      </c>
      <c r="E32" s="354">
        <f>IFERROR(D32/D$46,0)</f>
        <v>0</v>
      </c>
      <c r="F32" s="353">
        <v>818</v>
      </c>
      <c r="G32" s="354">
        <f>IFERROR(F32/F$46,0)</f>
        <v>2.306954706977269E-2</v>
      </c>
      <c r="H32" s="353">
        <v>247</v>
      </c>
      <c r="I32" s="354">
        <f>IFERROR(H32/H$46,0)</f>
        <v>9.8930588376657195E-3</v>
      </c>
      <c r="J32" s="353">
        <v>349</v>
      </c>
      <c r="K32" s="354">
        <f t="shared" ref="K32" si="16">IFERROR(J32/J$46,0)</f>
        <v>1.6668258668449707E-2</v>
      </c>
      <c r="L32" s="353">
        <v>487</v>
      </c>
      <c r="M32" s="354">
        <f t="shared" ref="M32" si="17">IFERROR(L32/L$46,0)</f>
        <v>2.4854547310401143E-2</v>
      </c>
      <c r="N32" s="353">
        <v>315</v>
      </c>
      <c r="O32" s="354">
        <f t="shared" ref="O32" si="18">IFERROR(N32/N$46,0)</f>
        <v>1.8494598403006105E-2</v>
      </c>
      <c r="P32" s="353">
        <v>557</v>
      </c>
      <c r="Q32" s="354">
        <f t="shared" ref="Q32" si="19">IFERROR(P32/P$46,0)</f>
        <v>3.1696352358732145E-2</v>
      </c>
      <c r="R32" s="353">
        <v>780</v>
      </c>
      <c r="S32" s="354">
        <f t="shared" ref="S32" si="20">IFERROR(R32/R$46,0)</f>
        <v>4.2032656140539956E-2</v>
      </c>
      <c r="T32" s="353">
        <v>804</v>
      </c>
      <c r="U32" s="354">
        <f t="shared" ref="U32" si="21">IFERROR(T32/T$46,0)</f>
        <v>4.4434619210788104E-2</v>
      </c>
      <c r="V32" s="353">
        <v>726</v>
      </c>
      <c r="W32" s="354">
        <f t="shared" ref="W32" si="22">IFERROR(V32/V$46,0)</f>
        <v>3.959640032724298E-2</v>
      </c>
      <c r="X32" s="353">
        <v>513</v>
      </c>
      <c r="Y32" s="354">
        <f t="shared" ref="Y32" si="23">IFERROR(X32/X$46,0)</f>
        <v>3.0185348631950572E-2</v>
      </c>
      <c r="Z32" s="353">
        <v>569</v>
      </c>
      <c r="AA32" s="354">
        <f t="shared" ref="AA32" si="24">IFERROR(Z32/Z$46,0)</f>
        <v>3.4200877562060465E-2</v>
      </c>
      <c r="AB32" s="353">
        <v>1122</v>
      </c>
      <c r="AC32" s="354">
        <f t="shared" ref="AC32" si="25">IFERROR(AB32/AB$46,0)</f>
        <v>7.4760127931769726E-2</v>
      </c>
      <c r="AD32" s="353">
        <v>2205</v>
      </c>
      <c r="AE32" s="354">
        <f t="shared" ref="AE32" si="26">IFERROR(AD32/AD$46,0)</f>
        <v>8.1760539879120478E-2</v>
      </c>
      <c r="AF32" s="353">
        <v>1260</v>
      </c>
      <c r="AG32" s="354">
        <f t="shared" ref="AG32" si="27">IFERROR(AF32/AF$46,0)</f>
        <v>3.4615384615384617E-2</v>
      </c>
    </row>
    <row r="33" spans="2:33" ht="30" x14ac:dyDescent="0.25">
      <c r="B33" s="484"/>
      <c r="C33" s="355" t="s">
        <v>714</v>
      </c>
      <c r="D33" s="353"/>
      <c r="E33" s="354">
        <f>IFERROR(D33/D$47,0)</f>
        <v>0</v>
      </c>
      <c r="F33" s="353"/>
      <c r="G33" s="354">
        <f>IFERROR(F33/F$47,0)</f>
        <v>0</v>
      </c>
      <c r="H33" s="353"/>
      <c r="I33" s="354">
        <f>IFERROR(H33/H$47,0)</f>
        <v>0</v>
      </c>
      <c r="J33" s="353"/>
      <c r="K33" s="354">
        <f t="shared" ref="K33" si="28">IFERROR(J33/J$47,0)</f>
        <v>0</v>
      </c>
      <c r="L33" s="353"/>
      <c r="M33" s="354">
        <f t="shared" ref="M33" si="29">IFERROR(L33/L$47,0)</f>
        <v>0</v>
      </c>
      <c r="N33" s="353"/>
      <c r="O33" s="354">
        <f t="shared" ref="O33" si="30">IFERROR(N33/N$47,0)</f>
        <v>0</v>
      </c>
      <c r="P33" s="353"/>
      <c r="Q33" s="354">
        <f t="shared" ref="Q33" si="31">IFERROR(P33/P$47,0)</f>
        <v>0</v>
      </c>
      <c r="R33" s="353"/>
      <c r="S33" s="354">
        <f t="shared" ref="S33" si="32">IFERROR(R33/R$47,0)</f>
        <v>0</v>
      </c>
      <c r="T33" s="353"/>
      <c r="U33" s="354">
        <f t="shared" ref="U33" si="33">IFERROR(T33/T$47,0)</f>
        <v>0</v>
      </c>
      <c r="V33" s="353"/>
      <c r="W33" s="354">
        <f t="shared" ref="W33" si="34">IFERROR(V33/V$47,0)</f>
        <v>0</v>
      </c>
      <c r="X33" s="353"/>
      <c r="Y33" s="354">
        <f t="shared" ref="Y33" si="35">IFERROR(X33/X$47,0)</f>
        <v>0</v>
      </c>
      <c r="Z33" s="353"/>
      <c r="AA33" s="354">
        <f t="shared" ref="AA33" si="36">IFERROR(Z33/Z$47,0)</f>
        <v>0</v>
      </c>
      <c r="AB33" s="353"/>
      <c r="AC33" s="354">
        <f t="shared" ref="AC33" si="37">IFERROR(AB33/AB$47,0)</f>
        <v>0</v>
      </c>
      <c r="AD33" s="353"/>
      <c r="AE33" s="354">
        <f t="shared" ref="AE33" si="38">IFERROR(AD33/AD$47,0)</f>
        <v>0</v>
      </c>
      <c r="AF33" s="353">
        <v>1251</v>
      </c>
      <c r="AG33" s="354">
        <f t="shared" ref="AG33" si="39">IFERROR(AF33/AF$47,0)</f>
        <v>1.4552434130169255E-2</v>
      </c>
    </row>
    <row r="34" spans="2:33" x14ac:dyDescent="0.25">
      <c r="B34" s="484"/>
      <c r="C34" s="355" t="s">
        <v>501</v>
      </c>
      <c r="D34" s="353"/>
      <c r="E34" s="354">
        <f>IFERROR(D34/D$48,0)</f>
        <v>0</v>
      </c>
      <c r="F34" s="353"/>
      <c r="G34" s="354">
        <f>IFERROR(F34/F$48,0)</f>
        <v>0</v>
      </c>
      <c r="H34" s="353"/>
      <c r="I34" s="354">
        <f>IFERROR(H34/H$48,0)</f>
        <v>0</v>
      </c>
      <c r="J34" s="353"/>
      <c r="K34" s="354">
        <f t="shared" ref="K34" si="40">IFERROR(J34/J$48,0)</f>
        <v>0</v>
      </c>
      <c r="L34" s="353"/>
      <c r="M34" s="354">
        <f t="shared" ref="M34" si="41">IFERROR(L34/L$48,0)</f>
        <v>0</v>
      </c>
      <c r="N34" s="353"/>
      <c r="O34" s="354">
        <f t="shared" ref="O34" si="42">IFERROR(N34/N$48,0)</f>
        <v>0</v>
      </c>
      <c r="P34" s="353"/>
      <c r="Q34" s="354">
        <f t="shared" ref="Q34" si="43">IFERROR(P34/P$48,0)</f>
        <v>0</v>
      </c>
      <c r="R34" s="353"/>
      <c r="S34" s="354">
        <f t="shared" ref="S34" si="44">IFERROR(R34/R$48,0)</f>
        <v>0</v>
      </c>
      <c r="T34" s="353"/>
      <c r="U34" s="354">
        <f t="shared" ref="U34" si="45">IFERROR(T34/T$48,0)</f>
        <v>0</v>
      </c>
      <c r="V34" s="353"/>
      <c r="W34" s="354">
        <f t="shared" ref="W34" si="46">IFERROR(V34/V$48,0)</f>
        <v>0</v>
      </c>
      <c r="X34" s="353"/>
      <c r="Y34" s="354">
        <f t="shared" ref="Y34" si="47">IFERROR(X34/X$48,0)</f>
        <v>0</v>
      </c>
      <c r="Z34" s="353"/>
      <c r="AA34" s="354">
        <f t="shared" ref="AA34" si="48">IFERROR(Z34/Z$48,0)</f>
        <v>0</v>
      </c>
      <c r="AB34" s="353"/>
      <c r="AC34" s="354">
        <f t="shared" ref="AC34" si="49">IFERROR(AB34/AB$48,0)</f>
        <v>0</v>
      </c>
      <c r="AD34" s="353"/>
      <c r="AE34" s="354">
        <f t="shared" ref="AE34" si="50">IFERROR(AD34/AD$48,0)</f>
        <v>0</v>
      </c>
      <c r="AF34" s="353">
        <v>619</v>
      </c>
      <c r="AG34" s="354">
        <f t="shared" ref="AG34" si="51">IFERROR(AF34/AF$48,0)</f>
        <v>1.2764728929948652E-3</v>
      </c>
    </row>
    <row r="35" spans="2:33" x14ac:dyDescent="0.25">
      <c r="B35" s="484"/>
      <c r="C35" s="355" t="s">
        <v>5</v>
      </c>
      <c r="D35" s="353">
        <v>0</v>
      </c>
      <c r="E35" s="354">
        <f>IFERROR(D35/D$49,0)</f>
        <v>0</v>
      </c>
      <c r="F35" s="353">
        <v>264</v>
      </c>
      <c r="G35" s="354">
        <f>IFERROR(F35/F$49,0)</f>
        <v>8.8554647274093404E-4</v>
      </c>
      <c r="H35" s="353">
        <v>12</v>
      </c>
      <c r="I35" s="354">
        <f>IFERROR(H35/H$49,0)</f>
        <v>7.1409018959094528E-5</v>
      </c>
      <c r="J35" s="353">
        <v>0</v>
      </c>
      <c r="K35" s="354">
        <f t="shared" ref="K35" si="52">IFERROR(J35/J$49,0)</f>
        <v>0</v>
      </c>
      <c r="L35" s="353">
        <v>518</v>
      </c>
      <c r="M35" s="354">
        <f t="shared" ref="M35" si="53">IFERROR(L35/L$49,0)</f>
        <v>3.9742517588749341E-3</v>
      </c>
      <c r="N35" s="353">
        <v>171</v>
      </c>
      <c r="O35" s="354">
        <f t="shared" ref="O35" si="54">IFERROR(N35/N$49,0)</f>
        <v>2.2210965202821183E-3</v>
      </c>
      <c r="P35" s="353">
        <v>780</v>
      </c>
      <c r="Q35" s="354">
        <f t="shared" ref="Q35" si="55">IFERROR(P35/P$49,0)</f>
        <v>8.8090801287480942E-3</v>
      </c>
      <c r="R35" s="353">
        <v>761</v>
      </c>
      <c r="S35" s="354">
        <f t="shared" ref="S35" si="56">IFERROR(R35/R$49,0)</f>
        <v>8.5622988816129973E-3</v>
      </c>
      <c r="T35" s="353">
        <v>9696</v>
      </c>
      <c r="U35" s="354">
        <f t="shared" ref="U35" si="57">IFERROR(T35/T$49,0)</f>
        <v>0.1108976118583585</v>
      </c>
      <c r="V35" s="353">
        <v>12811</v>
      </c>
      <c r="W35" s="354">
        <f t="shared" ref="W35" si="58">IFERROR(V35/V$49,0)</f>
        <v>0.12373473960747952</v>
      </c>
      <c r="X35" s="353">
        <v>15457</v>
      </c>
      <c r="Y35" s="354">
        <f>IFERROR(X35/X$49,0)</f>
        <v>0.12509003212831904</v>
      </c>
      <c r="Z35" s="353">
        <v>16560</v>
      </c>
      <c r="AA35" s="354">
        <f t="shared" ref="AA35" si="59">IFERROR(Z35/Z$49,0)</f>
        <v>0.14672136231139304</v>
      </c>
      <c r="AB35" s="353">
        <v>18510</v>
      </c>
      <c r="AC35" s="354">
        <f t="shared" ref="AC35" si="60">IFERROR(AB35/AB$49,0)</f>
        <v>0.11111711419669711</v>
      </c>
      <c r="AD35" s="353">
        <v>1687</v>
      </c>
      <c r="AE35" s="354">
        <f t="shared" ref="AE35" si="61">IFERROR(AD35/AD$49,0)</f>
        <v>8.828855231894828E-3</v>
      </c>
      <c r="AF35" s="353">
        <v>580</v>
      </c>
      <c r="AG35" s="354">
        <f t="shared" ref="AG35" si="62">IFERROR(AF35/AF$49,0)</f>
        <v>2.639963586709149E-2</v>
      </c>
    </row>
    <row r="36" spans="2:33" x14ac:dyDescent="0.25">
      <c r="B36" s="484"/>
      <c r="C36" s="355" t="s">
        <v>6</v>
      </c>
      <c r="D36" s="353">
        <v>0</v>
      </c>
      <c r="E36" s="354">
        <f>IFERROR(D36/D$50,0)</f>
        <v>0</v>
      </c>
      <c r="F36" s="353">
        <v>68</v>
      </c>
      <c r="G36" s="354">
        <f>IFERROR(F36/F$50,0)</f>
        <v>5.8084906466216793E-3</v>
      </c>
      <c r="H36" s="353">
        <v>5</v>
      </c>
      <c r="I36" s="354">
        <f>IFERROR(H36/H$50,0)</f>
        <v>4.191466174867969E-4</v>
      </c>
      <c r="J36" s="353">
        <v>0</v>
      </c>
      <c r="K36" s="354">
        <f t="shared" ref="K36" si="63">IFERROR(J36/J$50,0)</f>
        <v>0</v>
      </c>
      <c r="L36" s="353">
        <v>56</v>
      </c>
      <c r="M36" s="354">
        <f t="shared" ref="M36" si="64">IFERROR(L36/L$50,0)</f>
        <v>6.8076829564794553E-3</v>
      </c>
      <c r="N36" s="353">
        <v>13</v>
      </c>
      <c r="O36" s="354">
        <f t="shared" ref="O36" si="65">IFERROR(N36/N$50,0)</f>
        <v>1.7820424948594928E-3</v>
      </c>
      <c r="P36" s="353">
        <v>81</v>
      </c>
      <c r="Q36" s="354">
        <f t="shared" ref="Q36" si="66">IFERROR(P36/P$50,0)</f>
        <v>1.3379583746283449E-2</v>
      </c>
      <c r="R36" s="353">
        <v>140</v>
      </c>
      <c r="S36" s="354">
        <f t="shared" ref="S36" si="67">IFERROR(R36/R$50,0)</f>
        <v>5.5977608956417436E-2</v>
      </c>
      <c r="T36" s="353">
        <v>735</v>
      </c>
      <c r="U36" s="354">
        <f t="shared" ref="U36" si="68">IFERROR(T36/T$50,0)</f>
        <v>0.28521536670547148</v>
      </c>
      <c r="V36" s="353">
        <v>831</v>
      </c>
      <c r="W36" s="354">
        <f t="shared" ref="W36" si="69">IFERROR(V36/V$50,0)</f>
        <v>0.26239343227028733</v>
      </c>
      <c r="X36" s="353">
        <v>1252</v>
      </c>
      <c r="Y36" s="354">
        <f t="shared" ref="Y36" si="70">IFERROR(X36/X$50,0)</f>
        <v>0.1996173469387755</v>
      </c>
      <c r="Z36" s="353">
        <v>1641</v>
      </c>
      <c r="AA36" s="354">
        <f t="shared" ref="AA36" si="71">IFERROR(Z36/Z$50,0)</f>
        <v>0.27012345679012345</v>
      </c>
      <c r="AB36" s="353">
        <v>1261</v>
      </c>
      <c r="AC36" s="354">
        <f t="shared" ref="AC36" si="72">IFERROR(AB36/AB$50,0)</f>
        <v>0.16296200568622382</v>
      </c>
      <c r="AD36" s="353">
        <v>276</v>
      </c>
      <c r="AE36" s="354">
        <f t="shared" ref="AE36" si="73">IFERROR(AD36/AD$50,0)</f>
        <v>1.3456850316918576E-2</v>
      </c>
      <c r="AF36" s="353">
        <v>431</v>
      </c>
      <c r="AG36" s="354">
        <f t="shared" ref="AG36" si="74">IFERROR(AF36/AF$50,0)</f>
        <v>2.2167361003960294E-2</v>
      </c>
    </row>
    <row r="37" spans="2:33" x14ac:dyDescent="0.25">
      <c r="B37" s="484"/>
      <c r="C37" s="356" t="s">
        <v>808</v>
      </c>
      <c r="D37" s="364">
        <v>0</v>
      </c>
      <c r="E37" s="365">
        <f>IFERROR(D37/D$51,0)</f>
        <v>0</v>
      </c>
      <c r="F37" s="364">
        <v>2631</v>
      </c>
      <c r="G37" s="365">
        <f>IFERROR(F37/F$51,0)</f>
        <v>6.5052912669369993E-3</v>
      </c>
      <c r="H37" s="364">
        <v>899</v>
      </c>
      <c r="I37" s="365">
        <f>IFERROR(H37/H$51,0)</f>
        <v>3.6593059936908517E-3</v>
      </c>
      <c r="J37" s="364">
        <v>1095</v>
      </c>
      <c r="K37" s="365">
        <f t="shared" ref="K37" si="75">IFERROR(J37/J$51,0)</f>
        <v>5.6214096133804948E-3</v>
      </c>
      <c r="L37" s="364">
        <v>1780</v>
      </c>
      <c r="M37" s="365">
        <f t="shared" ref="M37" si="76">IFERROR(L37/L$51,0)</f>
        <v>9.2578145316482025E-3</v>
      </c>
      <c r="N37" s="364">
        <v>906</v>
      </c>
      <c r="O37" s="365">
        <f t="shared" ref="O37" si="77">IFERROR(N37/N$51,0)</f>
        <v>6.7594789381798647E-3</v>
      </c>
      <c r="P37" s="364">
        <v>4847</v>
      </c>
      <c r="Q37" s="365">
        <f t="shared" ref="Q37" si="78">IFERROR(P37/P$51,0)</f>
        <v>3.1979889683566021E-2</v>
      </c>
      <c r="R37" s="364">
        <v>2573</v>
      </c>
      <c r="S37" s="365">
        <f t="shared" ref="S37" si="79">IFERROR(R37/R$51,0)</f>
        <v>1.8251074635758771E-2</v>
      </c>
      <c r="T37" s="364">
        <v>11971</v>
      </c>
      <c r="U37" s="365">
        <f t="shared" ref="U37" si="80">IFERROR(T37/T$51,0)</f>
        <v>8.6253854800126817E-2</v>
      </c>
      <c r="V37" s="364">
        <v>15222</v>
      </c>
      <c r="W37" s="365">
        <f t="shared" ref="W37" si="81">IFERROR(V37/V$51,0)</f>
        <v>9.691467281270294E-2</v>
      </c>
      <c r="X37" s="364">
        <v>17809</v>
      </c>
      <c r="Y37" s="365">
        <f t="shared" ref="Y37" si="82">IFERROR(X37/X$51,0)</f>
        <v>9.9825673622905703E-2</v>
      </c>
      <c r="Z37" s="364">
        <v>19551</v>
      </c>
      <c r="AA37" s="365">
        <f t="shared" ref="AA37" si="83">IFERROR(Z37/Z$51,0)</f>
        <v>0.11826727642276423</v>
      </c>
      <c r="AB37" s="364">
        <v>23422</v>
      </c>
      <c r="AC37" s="365">
        <f t="shared" ref="AC37" si="84">IFERROR(AB37/AB$51,0)</f>
        <v>0.10655614647261941</v>
      </c>
      <c r="AD37" s="364">
        <v>5031</v>
      </c>
      <c r="AE37" s="365">
        <f t="shared" ref="AE37" si="85">IFERROR(AD37/AD$51,0)</f>
        <v>1.7954391349345133E-2</v>
      </c>
      <c r="AF37" s="364">
        <v>4194</v>
      </c>
      <c r="AG37" s="365">
        <f t="shared" ref="AG37" si="86">IFERROR(AF37/AF$51,0)</f>
        <v>6.4168962968969697E-3</v>
      </c>
    </row>
    <row r="38" spans="2:33" x14ac:dyDescent="0.25">
      <c r="B38" s="484" t="s">
        <v>805</v>
      </c>
      <c r="C38" s="355" t="s">
        <v>3</v>
      </c>
      <c r="D38" s="353">
        <v>6127</v>
      </c>
      <c r="E38" s="354">
        <f>IFERROR(D38/D$45,0)</f>
        <v>7.3024802450448734E-2</v>
      </c>
      <c r="F38" s="353">
        <v>17524</v>
      </c>
      <c r="G38" s="354">
        <f>IFERROR(F38/F$45,0)</f>
        <v>0.29624370287723567</v>
      </c>
      <c r="H38" s="353">
        <v>34791</v>
      </c>
      <c r="I38" s="354">
        <f>IFERROR(H38/H$45,0)</f>
        <v>0.85412319249748359</v>
      </c>
      <c r="J38" s="353">
        <v>26236</v>
      </c>
      <c r="K38" s="354">
        <f t="shared" ref="K38" si="87">IFERROR(J38/J$45,0)</f>
        <v>0.70123483188111402</v>
      </c>
      <c r="L38" s="353">
        <v>23012</v>
      </c>
      <c r="M38" s="354">
        <f t="shared" ref="M38" si="88">IFERROR(L38/L$45,0)</f>
        <v>0.67462108997097714</v>
      </c>
      <c r="N38" s="353">
        <v>22314</v>
      </c>
      <c r="O38" s="354">
        <f t="shared" ref="O38" si="89">IFERROR(N38/N$45,0)</f>
        <v>0.68200990280579499</v>
      </c>
      <c r="P38" s="353">
        <v>20472</v>
      </c>
      <c r="Q38" s="354">
        <f t="shared" ref="Q38" si="90">IFERROR(P38/P$45,0)</f>
        <v>0.51969943135662067</v>
      </c>
      <c r="R38" s="353">
        <v>17589</v>
      </c>
      <c r="S38" s="354">
        <f t="shared" ref="S38" si="91">IFERROR(R38/R$45,0)</f>
        <v>0.56661941885187805</v>
      </c>
      <c r="T38" s="353">
        <v>18952</v>
      </c>
      <c r="U38" s="354">
        <f t="shared" ref="U38" si="92">IFERROR(T38/T$45,0)</f>
        <v>0.6176307642170441</v>
      </c>
      <c r="V38" s="353">
        <v>18945</v>
      </c>
      <c r="W38" s="354">
        <f t="shared" ref="W38" si="93">IFERROR(V38/V$45,0)</f>
        <v>0.59151367553390788</v>
      </c>
      <c r="X38" s="353">
        <v>19764</v>
      </c>
      <c r="Y38" s="354">
        <f t="shared" ref="Y38" si="94">IFERROR(X38/X$45,0)</f>
        <v>0.62609687331707164</v>
      </c>
      <c r="Z38" s="353">
        <v>17332</v>
      </c>
      <c r="AA38" s="354">
        <f t="shared" ref="AA38" si="95">IFERROR(Z38/Z$45,0)</f>
        <v>0.58292133319880268</v>
      </c>
      <c r="AB38" s="353">
        <v>16993</v>
      </c>
      <c r="AC38" s="354">
        <f t="shared" ref="AC38" si="96">IFERROR(AB38/AB$45,0)</f>
        <v>0.55747654353388887</v>
      </c>
      <c r="AD38" s="353">
        <v>20883</v>
      </c>
      <c r="AE38" s="354">
        <f t="shared" ref="AE38" si="97">IFERROR(AD38/AD$45,0)</f>
        <v>0.50135644491393172</v>
      </c>
      <c r="AF38" s="353">
        <v>3828</v>
      </c>
      <c r="AG38" s="354">
        <f t="shared" ref="AG38" si="98">IFERROR(AF38/AF$45,0)</f>
        <v>0.78458700553392091</v>
      </c>
    </row>
    <row r="39" spans="2:33" x14ac:dyDescent="0.25">
      <c r="B39" s="484"/>
      <c r="C39" s="355" t="s">
        <v>4</v>
      </c>
      <c r="D39" s="353">
        <v>3730</v>
      </c>
      <c r="E39" s="354">
        <f>IFERROR(D39/D$46,0)</f>
        <v>0.10112511861190186</v>
      </c>
      <c r="F39" s="353">
        <v>11361</v>
      </c>
      <c r="G39" s="354">
        <f>IFERROR(F39/F$46,0)</f>
        <v>0.32040724237125612</v>
      </c>
      <c r="H39" s="353">
        <v>11302</v>
      </c>
      <c r="I39" s="354">
        <f>IFERROR(H39/H$46,0)</f>
        <v>0.45267753434533586</v>
      </c>
      <c r="J39" s="353">
        <v>10418</v>
      </c>
      <c r="K39" s="354">
        <f t="shared" ref="K39" si="99">IFERROR(J39/J$46,0)</f>
        <v>0.49756423727194576</v>
      </c>
      <c r="L39" s="353">
        <v>11740</v>
      </c>
      <c r="M39" s="354">
        <f t="shared" ref="M39" si="100">IFERROR(L39/L$46,0)</f>
        <v>0.59916300908441356</v>
      </c>
      <c r="N39" s="353">
        <v>12280</v>
      </c>
      <c r="O39" s="354">
        <f t="shared" ref="O39" si="101">IFERROR(N39/N$46,0)</f>
        <v>0.72099577266322212</v>
      </c>
      <c r="P39" s="353">
        <v>10259</v>
      </c>
      <c r="Q39" s="354">
        <f t="shared" ref="Q39" si="102">IFERROR(P39/P$46,0)</f>
        <v>0.58379331929664824</v>
      </c>
      <c r="R39" s="353">
        <v>9664</v>
      </c>
      <c r="S39" s="354">
        <f t="shared" ref="S39" si="103">IFERROR(R39/R$46,0)</f>
        <v>0.52077383197715144</v>
      </c>
      <c r="T39" s="353">
        <v>9782</v>
      </c>
      <c r="U39" s="354">
        <f t="shared" ref="U39" si="104">IFERROR(T39/T$46,0)</f>
        <v>0.54062120039792194</v>
      </c>
      <c r="V39" s="353">
        <v>11498</v>
      </c>
      <c r="W39" s="354">
        <f t="shared" ref="W39" si="105">IFERROR(V39/V$46,0)</f>
        <v>0.6271066266703027</v>
      </c>
      <c r="X39" s="353">
        <v>10439</v>
      </c>
      <c r="Y39" s="354">
        <f t="shared" ref="Y39" si="106">IFERROR(X39/X$46,0)</f>
        <v>0.61423948220064728</v>
      </c>
      <c r="Z39" s="353">
        <v>10546</v>
      </c>
      <c r="AA39" s="354">
        <f t="shared" ref="AA39" si="107">IFERROR(Z39/Z$46,0)</f>
        <v>0.63388832121175698</v>
      </c>
      <c r="AB39" s="353">
        <v>11291</v>
      </c>
      <c r="AC39" s="354">
        <f t="shared" ref="AC39" si="108">IFERROR(AB39/AB$46,0)</f>
        <v>0.75233208955223885</v>
      </c>
      <c r="AD39" s="353">
        <v>13221</v>
      </c>
      <c r="AE39" s="354">
        <f t="shared" ref="AE39" si="109">IFERROR(AD39/AD$46,0)</f>
        <v>0.49022952278542031</v>
      </c>
      <c r="AF39" s="353">
        <v>10252</v>
      </c>
      <c r="AG39" s="354">
        <f t="shared" ref="AG39" si="110">IFERROR(AF39/AF$46,0)</f>
        <v>0.28164835164835167</v>
      </c>
    </row>
    <row r="40" spans="2:33" ht="30" x14ac:dyDescent="0.25">
      <c r="B40" s="484"/>
      <c r="C40" s="355" t="s">
        <v>714</v>
      </c>
      <c r="D40" s="353"/>
      <c r="E40" s="354">
        <f>IFERROR(D40/D$47,0)</f>
        <v>0</v>
      </c>
      <c r="F40" s="353"/>
      <c r="G40" s="354">
        <f>IFERROR(F40/F$47,0)</f>
        <v>0</v>
      </c>
      <c r="H40" s="353"/>
      <c r="I40" s="354">
        <f>IFERROR(H40/H$47,0)</f>
        <v>0</v>
      </c>
      <c r="J40" s="353"/>
      <c r="K40" s="354">
        <f t="shared" ref="K40" si="111">IFERROR(J40/J$47,0)</f>
        <v>0</v>
      </c>
      <c r="L40" s="353"/>
      <c r="M40" s="354">
        <f t="shared" ref="M40" si="112">IFERROR(L40/L$47,0)</f>
        <v>0</v>
      </c>
      <c r="N40" s="353"/>
      <c r="O40" s="354">
        <f t="shared" ref="O40" si="113">IFERROR(N40/N$47,0)</f>
        <v>0</v>
      </c>
      <c r="P40" s="353"/>
      <c r="Q40" s="354">
        <f t="shared" ref="Q40" si="114">IFERROR(P40/P$47,0)</f>
        <v>0</v>
      </c>
      <c r="R40" s="353"/>
      <c r="S40" s="354">
        <f t="shared" ref="S40" si="115">IFERROR(R40/R$47,0)</f>
        <v>0</v>
      </c>
      <c r="T40" s="353"/>
      <c r="U40" s="354">
        <f t="shared" ref="U40" si="116">IFERROR(T40/T$47,0)</f>
        <v>0</v>
      </c>
      <c r="V40" s="353"/>
      <c r="W40" s="354">
        <f t="shared" ref="W40" si="117">IFERROR(V40/V$47,0)</f>
        <v>0</v>
      </c>
      <c r="X40" s="353"/>
      <c r="Y40" s="354">
        <f t="shared" ref="Y40" si="118">IFERROR(X40/X$47,0)</f>
        <v>0</v>
      </c>
      <c r="Z40" s="353"/>
      <c r="AA40" s="354">
        <f t="shared" ref="AA40" si="119">IFERROR(Z40/Z$47,0)</f>
        <v>0</v>
      </c>
      <c r="AB40" s="353"/>
      <c r="AC40" s="354">
        <f t="shared" ref="AC40" si="120">IFERROR(AB40/AB$47,0)</f>
        <v>0</v>
      </c>
      <c r="AD40" s="353"/>
      <c r="AE40" s="354">
        <f t="shared" ref="AE40" si="121">IFERROR(AD40/AD$47,0)</f>
        <v>0</v>
      </c>
      <c r="AF40" s="353">
        <v>29767</v>
      </c>
      <c r="AG40" s="354">
        <f t="shared" ref="AG40" si="122">IFERROR(AF40/AF$47,0)</f>
        <v>0.34626883033792821</v>
      </c>
    </row>
    <row r="41" spans="2:33" x14ac:dyDescent="0.25">
      <c r="B41" s="484"/>
      <c r="C41" s="355" t="s">
        <v>501</v>
      </c>
      <c r="D41" s="353"/>
      <c r="E41" s="354">
        <f>IFERROR(D41/D$48,0)</f>
        <v>0</v>
      </c>
      <c r="F41" s="353"/>
      <c r="G41" s="354">
        <f>IFERROR(F41/F$48,0)</f>
        <v>0</v>
      </c>
      <c r="H41" s="353"/>
      <c r="I41" s="354">
        <f>IFERROR(H41/H$48,0)</f>
        <v>0</v>
      </c>
      <c r="J41" s="353"/>
      <c r="K41" s="354">
        <f t="shared" ref="K41" si="123">IFERROR(J41/J$48,0)</f>
        <v>0</v>
      </c>
      <c r="L41" s="353"/>
      <c r="M41" s="354">
        <f t="shared" ref="M41" si="124">IFERROR(L41/L$48,0)</f>
        <v>0</v>
      </c>
      <c r="N41" s="353"/>
      <c r="O41" s="354">
        <f t="shared" ref="O41" si="125">IFERROR(N41/N$48,0)</f>
        <v>0</v>
      </c>
      <c r="P41" s="353"/>
      <c r="Q41" s="354">
        <f t="shared" ref="Q41" si="126">IFERROR(P41/P$48,0)</f>
        <v>0</v>
      </c>
      <c r="R41" s="353"/>
      <c r="S41" s="354">
        <f t="shared" ref="S41" si="127">IFERROR(R41/R$48,0)</f>
        <v>0</v>
      </c>
      <c r="T41" s="353"/>
      <c r="U41" s="354">
        <f t="shared" ref="U41" si="128">IFERROR(T41/T$48,0)</f>
        <v>0</v>
      </c>
      <c r="V41" s="353"/>
      <c r="W41" s="354">
        <f t="shared" ref="W41" si="129">IFERROR(V41/V$48,0)</f>
        <v>0</v>
      </c>
      <c r="X41" s="353"/>
      <c r="Y41" s="354">
        <f t="shared" ref="Y41" si="130">IFERROR(X41/X$48,0)</f>
        <v>0</v>
      </c>
      <c r="Z41" s="353"/>
      <c r="AA41" s="354">
        <f t="shared" ref="AA41" si="131">IFERROR(Z41/Z$48,0)</f>
        <v>0</v>
      </c>
      <c r="AB41" s="353"/>
      <c r="AC41" s="354">
        <f t="shared" ref="AC41" si="132">IFERROR(AB41/AB$48,0)</f>
        <v>0</v>
      </c>
      <c r="AD41" s="353"/>
      <c r="AE41" s="354">
        <f t="shared" ref="AE41" si="133">IFERROR(AD41/AD$48,0)</f>
        <v>0</v>
      </c>
      <c r="AF41" s="353">
        <v>41180</v>
      </c>
      <c r="AG41" s="354">
        <f t="shared" ref="AG41" si="134">IFERROR(AF41/AF$48,0)</f>
        <v>8.4919472913616401E-2</v>
      </c>
    </row>
    <row r="42" spans="2:33" x14ac:dyDescent="0.25">
      <c r="B42" s="484"/>
      <c r="C42" s="355" t="s">
        <v>5</v>
      </c>
      <c r="D42" s="353">
        <v>3949</v>
      </c>
      <c r="E42" s="354">
        <f>IFERROR(D42/D$49,0)</f>
        <v>0.31266825019794142</v>
      </c>
      <c r="F42" s="353">
        <v>17566</v>
      </c>
      <c r="G42" s="354">
        <f>IFERROR(F42/F$49,0)</f>
        <v>5.892238386426988E-2</v>
      </c>
      <c r="H42" s="353">
        <v>26970</v>
      </c>
      <c r="I42" s="354">
        <f>IFERROR(H42/H$49,0)</f>
        <v>0.16049177011056495</v>
      </c>
      <c r="J42" s="353">
        <v>29676</v>
      </c>
      <c r="K42" s="354">
        <f t="shared" ref="K42" si="135">IFERROR(J42/J$49,0)</f>
        <v>0.23539116846856137</v>
      </c>
      <c r="L42" s="353">
        <v>25599</v>
      </c>
      <c r="M42" s="354">
        <f t="shared" ref="M42" si="136">IFERROR(L42/L$49,0)</f>
        <v>0.19640322543521127</v>
      </c>
      <c r="N42" s="353">
        <v>36028</v>
      </c>
      <c r="O42" s="354">
        <f t="shared" ref="O42" si="137">IFERROR(N42/N$49,0)</f>
        <v>0.46796295574692487</v>
      </c>
      <c r="P42" s="353">
        <v>34628</v>
      </c>
      <c r="Q42" s="354">
        <f t="shared" ref="Q42" si="138">IFERROR(P42/P$49,0)</f>
        <v>0.39107798294652435</v>
      </c>
      <c r="R42" s="353">
        <v>30387</v>
      </c>
      <c r="S42" s="354">
        <f t="shared" ref="S42" si="139">IFERROR(R42/R$49,0)</f>
        <v>0.34189563221494634</v>
      </c>
      <c r="T42" s="353">
        <v>29535</v>
      </c>
      <c r="U42" s="354">
        <f t="shared" ref="U42" si="140">IFERROR(T42/T$49,0)</f>
        <v>0.33780538018116935</v>
      </c>
      <c r="V42" s="353">
        <v>35201</v>
      </c>
      <c r="W42" s="354">
        <f t="shared" ref="W42" si="141">IFERROR(V42/V$49,0)</f>
        <v>0.33998802348941431</v>
      </c>
      <c r="X42" s="353">
        <v>41694</v>
      </c>
      <c r="Y42" s="354">
        <f t="shared" ref="Y42" si="142">IFERROR(X42/X$49,0)</f>
        <v>0.33742018500084975</v>
      </c>
      <c r="Z42" s="353">
        <v>37187</v>
      </c>
      <c r="AA42" s="354">
        <f t="shared" ref="AA42" si="143">IFERROR(Z42/Z$49,0)</f>
        <v>0.32947628624841629</v>
      </c>
      <c r="AB42" s="353">
        <v>45606</v>
      </c>
      <c r="AC42" s="354">
        <f t="shared" ref="AC42" si="144">IFERROR(AB42/AB$49,0)</f>
        <v>0.27377672123471464</v>
      </c>
      <c r="AD42" s="353">
        <v>52794</v>
      </c>
      <c r="AE42" s="354">
        <f t="shared" ref="AE42" si="145">IFERROR(AD42/AD$49,0)</f>
        <v>0.27629554422801161</v>
      </c>
      <c r="AF42" s="353">
        <v>22477</v>
      </c>
      <c r="AG42" s="354">
        <f t="shared" ref="AG42" si="146">IFERROR(AF42/AF$49,0)</f>
        <v>1.023076923076923</v>
      </c>
    </row>
    <row r="43" spans="2:33" x14ac:dyDescent="0.25">
      <c r="B43" s="484"/>
      <c r="C43" s="355" t="s">
        <v>6</v>
      </c>
      <c r="D43" s="353">
        <v>11</v>
      </c>
      <c r="E43" s="354">
        <f>IFERROR(D43/D$50,0)</f>
        <v>1.8506056527590848E-3</v>
      </c>
      <c r="F43" s="353">
        <v>332</v>
      </c>
      <c r="G43" s="354">
        <f>IFERROR(F43/F$50,0)</f>
        <v>2.8359101392329375E-2</v>
      </c>
      <c r="H43" s="353">
        <v>1240</v>
      </c>
      <c r="I43" s="354">
        <f>IFERROR(H43/H$50,0)</f>
        <v>0.10394836113672562</v>
      </c>
      <c r="J43" s="353">
        <v>942</v>
      </c>
      <c r="K43" s="354">
        <f t="shared" ref="K43" si="147">IFERROR(J43/J$50,0)</f>
        <v>9.0856481481481483E-2</v>
      </c>
      <c r="L43" s="353">
        <v>1529</v>
      </c>
      <c r="M43" s="354">
        <f t="shared" ref="M43" si="148">IFERROR(L43/L$50,0)</f>
        <v>0.18587405786530514</v>
      </c>
      <c r="N43" s="353">
        <v>2494</v>
      </c>
      <c r="O43" s="354">
        <f t="shared" ref="O43" si="149">IFERROR(N43/N$50,0)</f>
        <v>0.3418779986291981</v>
      </c>
      <c r="P43" s="353">
        <v>3205</v>
      </c>
      <c r="Q43" s="354">
        <f t="shared" ref="Q43" si="150">IFERROR(P43/P$50,0)</f>
        <v>0.52940204823257353</v>
      </c>
      <c r="R43" s="353">
        <v>3262</v>
      </c>
      <c r="S43" s="354">
        <f t="shared" ref="S43" si="151">IFERROR(R43/R$50,0)</f>
        <v>1.3042782886845261</v>
      </c>
      <c r="T43" s="353">
        <v>3397</v>
      </c>
      <c r="U43" s="354">
        <f t="shared" ref="U43" si="152">IFERROR(T43/T$50,0)</f>
        <v>1.3181994567326349</v>
      </c>
      <c r="V43" s="353">
        <v>4160</v>
      </c>
      <c r="W43" s="354">
        <f t="shared" ref="W43" si="153">IFERROR(V43/V$50,0)</f>
        <v>1.313545942532365</v>
      </c>
      <c r="X43" s="353">
        <v>4987</v>
      </c>
      <c r="Y43" s="354">
        <f t="shared" ref="Y43" si="154">IFERROR(X43/X$50,0)</f>
        <v>0.79512117346938771</v>
      </c>
      <c r="Z43" s="353">
        <v>4101</v>
      </c>
      <c r="AA43" s="354">
        <f t="shared" ref="AA43" si="155">IFERROR(Z43/Z$50,0)</f>
        <v>0.67506172839506173</v>
      </c>
      <c r="AB43" s="353">
        <v>5697</v>
      </c>
      <c r="AC43" s="354">
        <f t="shared" ref="AC43" si="156">IFERROR(AB43/AB$50,0)</f>
        <v>0.73623675368312225</v>
      </c>
      <c r="AD43" s="353">
        <v>4803</v>
      </c>
      <c r="AE43" s="354">
        <f t="shared" ref="AE43" si="157">IFERROR(AD43/AD$50,0)</f>
        <v>0.2341784495368113</v>
      </c>
      <c r="AF43" s="353">
        <v>6508</v>
      </c>
      <c r="AG43" s="354">
        <f t="shared" ref="AG43" si="158">IFERROR(AF43/AF$50,0)</f>
        <v>0.33472200792058837</v>
      </c>
    </row>
    <row r="44" spans="2:33" x14ac:dyDescent="0.25">
      <c r="B44" s="484"/>
      <c r="C44" s="356" t="s">
        <v>808</v>
      </c>
      <c r="D44" s="364">
        <v>13817</v>
      </c>
      <c r="E44" s="365">
        <f>IFERROR(D44/D$51,0)</f>
        <v>9.9144673583903789E-2</v>
      </c>
      <c r="F44" s="364">
        <v>46783</v>
      </c>
      <c r="G44" s="365">
        <f>IFERROR(F44/F$51,0)</f>
        <v>0.11567352388487785</v>
      </c>
      <c r="H44" s="364">
        <v>74303</v>
      </c>
      <c r="I44" s="365">
        <f>IFERROR(H44/H$51,0)</f>
        <v>0.30244428615040198</v>
      </c>
      <c r="J44" s="364">
        <v>67272</v>
      </c>
      <c r="K44" s="365">
        <f t="shared" ref="K44" si="159">IFERROR(J44/J$51,0)</f>
        <v>0.34535476485053213</v>
      </c>
      <c r="L44" s="364">
        <v>61880</v>
      </c>
      <c r="M44" s="365">
        <f t="shared" ref="M44" si="160">IFERROR(L44/L$51,0)</f>
        <v>0.32183908045977011</v>
      </c>
      <c r="N44" s="364">
        <v>73116</v>
      </c>
      <c r="O44" s="365">
        <f t="shared" ref="O44" si="161">IFERROR(N44/N$51,0)</f>
        <v>0.54550337973946905</v>
      </c>
      <c r="P44" s="364">
        <v>68564</v>
      </c>
      <c r="Q44" s="365">
        <f t="shared" ref="Q44" si="162">IFERROR(P44/P$51,0)</f>
        <v>0.45237655379905517</v>
      </c>
      <c r="R44" s="364">
        <v>60902</v>
      </c>
      <c r="S44" s="365">
        <f t="shared" ref="S44" si="163">IFERROR(R44/R$51,0)</f>
        <v>0.43199648172055216</v>
      </c>
      <c r="T44" s="364">
        <v>61666</v>
      </c>
      <c r="U44" s="365">
        <f t="shared" ref="U44" si="164">IFERROR(T44/T$51,0)</f>
        <v>0.44431795256074014</v>
      </c>
      <c r="V44" s="364">
        <v>69804</v>
      </c>
      <c r="W44" s="365">
        <f t="shared" ref="W44" si="165">IFERROR(V44/V$51,0)</f>
        <v>0.44442463677689631</v>
      </c>
      <c r="X44" s="364">
        <v>76884</v>
      </c>
      <c r="Y44" s="365">
        <f t="shared" ref="Y44" si="166">IFERROR(X44/X$51,0)</f>
        <v>0.43096170985588644</v>
      </c>
      <c r="Z44" s="364">
        <v>69166</v>
      </c>
      <c r="AA44" s="365">
        <f t="shared" ref="AA44" si="167">IFERROR(Z44/Z$51,0)</f>
        <v>0.41839672861014326</v>
      </c>
      <c r="AB44" s="364">
        <v>79587</v>
      </c>
      <c r="AC44" s="365">
        <f t="shared" ref="AC44" si="168">IFERROR(AB44/AB$51,0)</f>
        <v>0.36207343648349249</v>
      </c>
      <c r="AD44" s="364">
        <v>91701</v>
      </c>
      <c r="AE44" s="365">
        <f t="shared" ref="AE44" si="169">IFERROR(AD44/AD$51,0)</f>
        <v>0.32725812783269692</v>
      </c>
      <c r="AF44" s="364">
        <v>114012</v>
      </c>
      <c r="AG44" s="365">
        <f t="shared" ref="AG44" si="170">IFERROR(AF44/AF$51,0)</f>
        <v>0.17444043409676141</v>
      </c>
    </row>
    <row r="45" spans="2:33" x14ac:dyDescent="0.25">
      <c r="B45" s="484" t="s">
        <v>502</v>
      </c>
      <c r="C45" s="355" t="s">
        <v>3</v>
      </c>
      <c r="D45" s="353">
        <v>83903</v>
      </c>
      <c r="E45" s="354">
        <f>IFERROR(D45/D$45,0)</f>
        <v>1</v>
      </c>
      <c r="F45" s="353">
        <v>59154</v>
      </c>
      <c r="G45" s="354">
        <f>IFERROR(F45/F$45,0)</f>
        <v>1</v>
      </c>
      <c r="H45" s="353">
        <v>40733</v>
      </c>
      <c r="I45" s="354">
        <f>IFERROR(H45/H$45,0)</f>
        <v>1</v>
      </c>
      <c r="J45" s="353">
        <v>37414</v>
      </c>
      <c r="K45" s="354">
        <f t="shared" ref="K45" si="171">IFERROR(J45/J$45,0)</f>
        <v>1</v>
      </c>
      <c r="L45" s="353">
        <v>34111</v>
      </c>
      <c r="M45" s="354">
        <f t="shared" ref="M45" si="172">IFERROR(L45/L$45,0)</f>
        <v>1</v>
      </c>
      <c r="N45" s="353">
        <v>32718</v>
      </c>
      <c r="O45" s="354">
        <f t="shared" ref="O45" si="173">IFERROR(N45/N$45,0)</f>
        <v>1</v>
      </c>
      <c r="P45" s="353">
        <v>39392</v>
      </c>
      <c r="Q45" s="354">
        <f t="shared" ref="Q45" si="174">IFERROR(P45/P$45,0)</f>
        <v>1</v>
      </c>
      <c r="R45" s="353">
        <v>31042</v>
      </c>
      <c r="S45" s="354">
        <f t="shared" ref="S45" si="175">IFERROR(R45/R$45,0)</f>
        <v>1</v>
      </c>
      <c r="T45" s="353">
        <v>30685</v>
      </c>
      <c r="U45" s="354">
        <f t="shared" ref="U45" si="176">IFERROR(T45/T$45,0)</f>
        <v>1</v>
      </c>
      <c r="V45" s="353">
        <v>32028</v>
      </c>
      <c r="W45" s="354">
        <f t="shared" ref="W45" si="177">IFERROR(V45/V$45,0)</f>
        <v>1</v>
      </c>
      <c r="X45" s="353">
        <v>31567</v>
      </c>
      <c r="Y45" s="354">
        <f t="shared" ref="Y45" si="178">IFERROR(X45/X$45,0)</f>
        <v>1</v>
      </c>
      <c r="Z45" s="353">
        <v>29733</v>
      </c>
      <c r="AA45" s="354">
        <f t="shared" ref="AA45" si="179">IFERROR(Z45/Z$45,0)</f>
        <v>1</v>
      </c>
      <c r="AB45" s="353">
        <v>30482</v>
      </c>
      <c r="AC45" s="354">
        <f t="shared" ref="AC45" si="180">IFERROR(AB45/AB$45,0)</f>
        <v>1</v>
      </c>
      <c r="AD45" s="353">
        <v>41653</v>
      </c>
      <c r="AE45" s="354">
        <f t="shared" ref="AE45" si="181">IFERROR(AD45/AD$45,0)</f>
        <v>1</v>
      </c>
      <c r="AF45" s="353">
        <v>4879</v>
      </c>
      <c r="AG45" s="354">
        <f t="shared" ref="AG45" si="182">IFERROR(AF45/AF$45,0)</f>
        <v>1</v>
      </c>
    </row>
    <row r="46" spans="2:33" x14ac:dyDescent="0.25">
      <c r="B46" s="484"/>
      <c r="C46" s="355" t="s">
        <v>4</v>
      </c>
      <c r="D46" s="353">
        <v>36885</v>
      </c>
      <c r="E46" s="354">
        <f>IFERROR(D46/D$46,0)</f>
        <v>1</v>
      </c>
      <c r="F46" s="353">
        <v>35458</v>
      </c>
      <c r="G46" s="354">
        <f>IFERROR(F46/F$46,0)</f>
        <v>1</v>
      </c>
      <c r="H46" s="353">
        <v>24967</v>
      </c>
      <c r="I46" s="354">
        <f>IFERROR(H46/H$46,0)</f>
        <v>1</v>
      </c>
      <c r="J46" s="353">
        <v>20938</v>
      </c>
      <c r="K46" s="354">
        <f t="shared" ref="K46" si="183">IFERROR(J46/J$46,0)</f>
        <v>1</v>
      </c>
      <c r="L46" s="353">
        <v>19594</v>
      </c>
      <c r="M46" s="354">
        <f t="shared" ref="M46" si="184">IFERROR(L46/L$46,0)</f>
        <v>1</v>
      </c>
      <c r="N46" s="353">
        <v>17032</v>
      </c>
      <c r="O46" s="354">
        <f t="shared" ref="O46" si="185">IFERROR(N46/N$46,0)</f>
        <v>1</v>
      </c>
      <c r="P46" s="353">
        <v>17573</v>
      </c>
      <c r="Q46" s="354">
        <f t="shared" ref="Q46" si="186">IFERROR(P46/P$46,0)</f>
        <v>1</v>
      </c>
      <c r="R46" s="353">
        <v>18557</v>
      </c>
      <c r="S46" s="354">
        <f t="shared" ref="S46" si="187">IFERROR(R46/R$46,0)</f>
        <v>1</v>
      </c>
      <c r="T46" s="353">
        <v>18094</v>
      </c>
      <c r="U46" s="354">
        <f t="shared" ref="U46" si="188">IFERROR(T46/T$46,0)</f>
        <v>1</v>
      </c>
      <c r="V46" s="353">
        <v>18335</v>
      </c>
      <c r="W46" s="354">
        <f t="shared" ref="W46" si="189">IFERROR(V46/V$46,0)</f>
        <v>1</v>
      </c>
      <c r="X46" s="353">
        <v>16995</v>
      </c>
      <c r="Y46" s="354">
        <f t="shared" ref="Y46" si="190">IFERROR(X46/X$46,0)</f>
        <v>1</v>
      </c>
      <c r="Z46" s="353">
        <v>16637</v>
      </c>
      <c r="AA46" s="354">
        <f t="shared" ref="AA46" si="191">IFERROR(Z46/Z$46,0)</f>
        <v>1</v>
      </c>
      <c r="AB46" s="353">
        <v>15008</v>
      </c>
      <c r="AC46" s="354">
        <f t="shared" ref="AC46" si="192">IFERROR(AB46/AB$46,0)</f>
        <v>1</v>
      </c>
      <c r="AD46" s="353">
        <v>26969</v>
      </c>
      <c r="AE46" s="354">
        <f t="shared" ref="AE46" si="193">IFERROR(AD46/AD$46,0)</f>
        <v>1</v>
      </c>
      <c r="AF46" s="353">
        <v>36400</v>
      </c>
      <c r="AG46" s="354">
        <f t="shared" ref="AG46" si="194">IFERROR(AF46/AF$46,0)</f>
        <v>1</v>
      </c>
    </row>
    <row r="47" spans="2:33" ht="30" x14ac:dyDescent="0.25">
      <c r="B47" s="484"/>
      <c r="C47" s="355" t="s">
        <v>714</v>
      </c>
      <c r="D47" s="353"/>
      <c r="E47" s="354">
        <f>IFERROR(D47/D$47,0)</f>
        <v>0</v>
      </c>
      <c r="F47" s="353"/>
      <c r="G47" s="354">
        <f>IFERROR(F47/F$47,0)</f>
        <v>0</v>
      </c>
      <c r="H47" s="353"/>
      <c r="I47" s="354">
        <f>IFERROR(H47/H$47,0)</f>
        <v>0</v>
      </c>
      <c r="J47" s="353"/>
      <c r="K47" s="354">
        <f t="shared" ref="K47" si="195">IFERROR(J47/J$47,0)</f>
        <v>0</v>
      </c>
      <c r="L47" s="353"/>
      <c r="M47" s="354">
        <f t="shared" ref="M47" si="196">IFERROR(L47/L$47,0)</f>
        <v>0</v>
      </c>
      <c r="N47" s="353"/>
      <c r="O47" s="354">
        <f t="shared" ref="O47" si="197">IFERROR(N47/N$47,0)</f>
        <v>0</v>
      </c>
      <c r="P47" s="353"/>
      <c r="Q47" s="354">
        <f t="shared" ref="Q47" si="198">IFERROR(P47/P$47,0)</f>
        <v>0</v>
      </c>
      <c r="R47" s="353"/>
      <c r="S47" s="354">
        <f t="shared" ref="S47" si="199">IFERROR(R47/R$47,0)</f>
        <v>0</v>
      </c>
      <c r="T47" s="353"/>
      <c r="U47" s="354">
        <f t="shared" ref="U47" si="200">IFERROR(T47/T$47,0)</f>
        <v>0</v>
      </c>
      <c r="V47" s="353"/>
      <c r="W47" s="354">
        <f t="shared" ref="W47" si="201">IFERROR(V47/V$47,0)</f>
        <v>0</v>
      </c>
      <c r="X47" s="353"/>
      <c r="Y47" s="354">
        <f t="shared" ref="Y47" si="202">IFERROR(X47/X$47,0)</f>
        <v>0</v>
      </c>
      <c r="Z47" s="353"/>
      <c r="AA47" s="354">
        <f t="shared" ref="AA47" si="203">IFERROR(Z47/Z$47,0)</f>
        <v>0</v>
      </c>
      <c r="AB47" s="353"/>
      <c r="AC47" s="354">
        <f t="shared" ref="AC47" si="204">IFERROR(AB47/AB$47,0)</f>
        <v>0</v>
      </c>
      <c r="AD47" s="353"/>
      <c r="AE47" s="354">
        <f t="shared" ref="AE47" si="205">IFERROR(AD47/AD$47,0)</f>
        <v>0</v>
      </c>
      <c r="AF47" s="353">
        <v>85965</v>
      </c>
      <c r="AG47" s="354">
        <f t="shared" ref="AG47" si="206">IFERROR(AF47/AF$47,0)</f>
        <v>1</v>
      </c>
    </row>
    <row r="48" spans="2:33" x14ac:dyDescent="0.25">
      <c r="B48" s="484"/>
      <c r="C48" s="355" t="s">
        <v>501</v>
      </c>
      <c r="D48" s="353"/>
      <c r="E48" s="354">
        <f>IFERROR(D48/D$48,0)</f>
        <v>0</v>
      </c>
      <c r="F48" s="353"/>
      <c r="G48" s="354">
        <f>IFERROR(F48/F$48,0)</f>
        <v>0</v>
      </c>
      <c r="H48" s="353"/>
      <c r="I48" s="354">
        <f>IFERROR(H48/H$48,0)</f>
        <v>0</v>
      </c>
      <c r="J48" s="353"/>
      <c r="K48" s="354">
        <f t="shared" ref="K48" si="207">IFERROR(J48/J$48,0)</f>
        <v>0</v>
      </c>
      <c r="L48" s="353"/>
      <c r="M48" s="354">
        <f t="shared" ref="M48" si="208">IFERROR(L48/L$48,0)</f>
        <v>0</v>
      </c>
      <c r="N48" s="353"/>
      <c r="O48" s="354">
        <f t="shared" ref="O48" si="209">IFERROR(N48/N$48,0)</f>
        <v>0</v>
      </c>
      <c r="P48" s="353"/>
      <c r="Q48" s="354">
        <f t="shared" ref="Q48" si="210">IFERROR(P48/P$48,0)</f>
        <v>0</v>
      </c>
      <c r="R48" s="353"/>
      <c r="S48" s="354">
        <f t="shared" ref="S48" si="211">IFERROR(R48/R$48,0)</f>
        <v>0</v>
      </c>
      <c r="T48" s="353"/>
      <c r="U48" s="354">
        <f t="shared" ref="U48" si="212">IFERROR(T48/T$48,0)</f>
        <v>0</v>
      </c>
      <c r="V48" s="353"/>
      <c r="W48" s="354">
        <f t="shared" ref="W48" si="213">IFERROR(V48/V$48,0)</f>
        <v>0</v>
      </c>
      <c r="X48" s="353"/>
      <c r="Y48" s="354">
        <f t="shared" ref="Y48" si="214">IFERROR(X48/X$48,0)</f>
        <v>0</v>
      </c>
      <c r="Z48" s="353"/>
      <c r="AA48" s="354">
        <f t="shared" ref="AA48" si="215">IFERROR(Z48/Z$48,0)</f>
        <v>0</v>
      </c>
      <c r="AB48" s="353"/>
      <c r="AC48" s="354">
        <f t="shared" ref="AC48" si="216">IFERROR(AB48/AB$48,0)</f>
        <v>0</v>
      </c>
      <c r="AD48" s="353"/>
      <c r="AE48" s="354">
        <f t="shared" ref="AE48" si="217">IFERROR(AD48/AD$48,0)</f>
        <v>0</v>
      </c>
      <c r="AF48" s="353">
        <v>484930</v>
      </c>
      <c r="AG48" s="354">
        <f t="shared" ref="AG48" si="218">IFERROR(AF48/AF$48,0)</f>
        <v>1</v>
      </c>
    </row>
    <row r="49" spans="2:33" x14ac:dyDescent="0.25">
      <c r="B49" s="484"/>
      <c r="C49" s="355" t="s">
        <v>5</v>
      </c>
      <c r="D49" s="353">
        <v>12630</v>
      </c>
      <c r="E49" s="354">
        <f>IFERROR(D49/D$49,0)</f>
        <v>1</v>
      </c>
      <c r="F49" s="353">
        <v>298121</v>
      </c>
      <c r="G49" s="354">
        <f>IFERROR(F49/F$49,0)</f>
        <v>1</v>
      </c>
      <c r="H49" s="353">
        <v>168046</v>
      </c>
      <c r="I49" s="354">
        <f>IFERROR(H49/H$49,0)</f>
        <v>1</v>
      </c>
      <c r="J49" s="353">
        <v>126071</v>
      </c>
      <c r="K49" s="354">
        <f t="shared" ref="K49" si="219">IFERROR(J49/J$49,0)</f>
        <v>1</v>
      </c>
      <c r="L49" s="353">
        <v>130339</v>
      </c>
      <c r="M49" s="354">
        <f t="shared" ref="M49" si="220">IFERROR(L49/L$49,0)</f>
        <v>1</v>
      </c>
      <c r="N49" s="353">
        <v>76989</v>
      </c>
      <c r="O49" s="354">
        <f t="shared" ref="O49" si="221">IFERROR(N49/N$49,0)</f>
        <v>1</v>
      </c>
      <c r="P49" s="353">
        <v>88545</v>
      </c>
      <c r="Q49" s="354">
        <f t="shared" ref="Q49" si="222">IFERROR(P49/P$49,0)</f>
        <v>1</v>
      </c>
      <c r="R49" s="353">
        <v>88878</v>
      </c>
      <c r="S49" s="354">
        <f t="shared" ref="S49" si="223">IFERROR(R49/R$49,0)</f>
        <v>1</v>
      </c>
      <c r="T49" s="353">
        <v>87432</v>
      </c>
      <c r="U49" s="354">
        <f t="shared" ref="U49" si="224">IFERROR(T49/T$49,0)</f>
        <v>1</v>
      </c>
      <c r="V49" s="353">
        <v>103536</v>
      </c>
      <c r="W49" s="354">
        <f t="shared" ref="W49" si="225">IFERROR(V49/V$49,0)</f>
        <v>1</v>
      </c>
      <c r="X49" s="353">
        <v>123567</v>
      </c>
      <c r="Y49" s="354">
        <f t="shared" ref="Y49" si="226">IFERROR(X49/X$49,0)</f>
        <v>1</v>
      </c>
      <c r="Z49" s="353">
        <v>112867</v>
      </c>
      <c r="AA49" s="354">
        <f t="shared" ref="AA49" si="227">IFERROR(Z49/Z$49,0)</f>
        <v>1</v>
      </c>
      <c r="AB49" s="353">
        <v>166581</v>
      </c>
      <c r="AC49" s="354">
        <f t="shared" ref="AC49" si="228">IFERROR(AB49/AB$49,0)</f>
        <v>1</v>
      </c>
      <c r="AD49" s="353">
        <v>191078</v>
      </c>
      <c r="AE49" s="354">
        <f t="shared" ref="AE49" si="229">IFERROR(AD49/AD$49,0)</f>
        <v>1</v>
      </c>
      <c r="AF49" s="353">
        <v>21970</v>
      </c>
      <c r="AG49" s="354">
        <f t="shared" ref="AG49" si="230">IFERROR(AF49/AF$49,0)</f>
        <v>1</v>
      </c>
    </row>
    <row r="50" spans="2:33" x14ac:dyDescent="0.25">
      <c r="B50" s="484"/>
      <c r="C50" s="355" t="s">
        <v>6</v>
      </c>
      <c r="D50" s="353">
        <v>5944</v>
      </c>
      <c r="E50" s="354">
        <f>IFERROR(D50/D$50,0)</f>
        <v>1</v>
      </c>
      <c r="F50" s="353">
        <v>11707</v>
      </c>
      <c r="G50" s="354">
        <f>IFERROR(F50/F$50,0)</f>
        <v>1</v>
      </c>
      <c r="H50" s="353">
        <v>11929</v>
      </c>
      <c r="I50" s="354">
        <f>IFERROR(H50/H$50,0)</f>
        <v>1</v>
      </c>
      <c r="J50" s="353">
        <v>10368</v>
      </c>
      <c r="K50" s="354">
        <f t="shared" ref="K50" si="231">IFERROR(J50/J$50,0)</f>
        <v>1</v>
      </c>
      <c r="L50" s="353">
        <v>8226</v>
      </c>
      <c r="M50" s="354">
        <f t="shared" ref="M50" si="232">IFERROR(L50/L$50,0)</f>
        <v>1</v>
      </c>
      <c r="N50" s="353">
        <v>7295</v>
      </c>
      <c r="O50" s="354">
        <f t="shared" ref="O50" si="233">IFERROR(N50/N$50,0)</f>
        <v>1</v>
      </c>
      <c r="P50" s="353">
        <v>6054</v>
      </c>
      <c r="Q50" s="354">
        <f t="shared" ref="Q50" si="234">IFERROR(P50/P$50,0)</f>
        <v>1</v>
      </c>
      <c r="R50" s="353">
        <v>2501</v>
      </c>
      <c r="S50" s="354">
        <f t="shared" ref="S50" si="235">IFERROR(R50/R$50,0)</f>
        <v>1</v>
      </c>
      <c r="T50" s="353">
        <v>2577</v>
      </c>
      <c r="U50" s="354">
        <f t="shared" ref="U50" si="236">IFERROR(T50/T$50,0)</f>
        <v>1</v>
      </c>
      <c r="V50" s="353">
        <v>3167</v>
      </c>
      <c r="W50" s="354">
        <f t="shared" ref="W50" si="237">IFERROR(V50/V$50,0)</f>
        <v>1</v>
      </c>
      <c r="X50" s="353">
        <v>6272</v>
      </c>
      <c r="Y50" s="354">
        <f t="shared" ref="Y50" si="238">IFERROR(X50/X$50,0)</f>
        <v>1</v>
      </c>
      <c r="Z50" s="353">
        <v>6075</v>
      </c>
      <c r="AA50" s="354">
        <f t="shared" ref="AA50" si="239">IFERROR(Z50/Z$50,0)</f>
        <v>1</v>
      </c>
      <c r="AB50" s="353">
        <v>7738</v>
      </c>
      <c r="AC50" s="354">
        <f t="shared" ref="AC50" si="240">IFERROR(AB50/AB$50,0)</f>
        <v>1</v>
      </c>
      <c r="AD50" s="353">
        <v>20510</v>
      </c>
      <c r="AE50" s="354">
        <f t="shared" ref="AE50" si="241">IFERROR(AD50/AD$50,0)</f>
        <v>1</v>
      </c>
      <c r="AF50" s="353">
        <v>19443</v>
      </c>
      <c r="AG50" s="354">
        <f t="shared" ref="AG50" si="242">IFERROR(AF50/AF$50,0)</f>
        <v>1</v>
      </c>
    </row>
    <row r="51" spans="2:33" x14ac:dyDescent="0.25">
      <c r="B51" s="484"/>
      <c r="C51" s="356" t="s">
        <v>808</v>
      </c>
      <c r="D51" s="364">
        <v>139362</v>
      </c>
      <c r="E51" s="365">
        <f>IFERROR(D51/D$51,0)</f>
        <v>1</v>
      </c>
      <c r="F51" s="364">
        <v>404440</v>
      </c>
      <c r="G51" s="365">
        <f>IFERROR(F51/F$51,0)</f>
        <v>1</v>
      </c>
      <c r="H51" s="364">
        <v>245675</v>
      </c>
      <c r="I51" s="365">
        <f>IFERROR(H51/H$51,0)</f>
        <v>1</v>
      </c>
      <c r="J51" s="364">
        <v>194791</v>
      </c>
      <c r="K51" s="365">
        <f t="shared" ref="K51" si="243">IFERROR(J51/J$51,0)</f>
        <v>1</v>
      </c>
      <c r="L51" s="364">
        <v>192270</v>
      </c>
      <c r="M51" s="365">
        <f t="shared" ref="M51" si="244">IFERROR(L51/L$51,0)</f>
        <v>1</v>
      </c>
      <c r="N51" s="364">
        <v>134034</v>
      </c>
      <c r="O51" s="365">
        <f t="shared" ref="O51" si="245">IFERROR(N51/N$51,0)</f>
        <v>1</v>
      </c>
      <c r="P51" s="364">
        <v>151564</v>
      </c>
      <c r="Q51" s="365">
        <f t="shared" ref="Q51" si="246">IFERROR(P51/P$51,0)</f>
        <v>1</v>
      </c>
      <c r="R51" s="364">
        <v>140978</v>
      </c>
      <c r="S51" s="365">
        <f t="shared" ref="S51" si="247">IFERROR(R51/R$51,0)</f>
        <v>1</v>
      </c>
      <c r="T51" s="364">
        <v>138788</v>
      </c>
      <c r="U51" s="365">
        <f t="shared" ref="U51" si="248">IFERROR(T51/T$51,0)</f>
        <v>1</v>
      </c>
      <c r="V51" s="364">
        <v>157066</v>
      </c>
      <c r="W51" s="365">
        <f t="shared" ref="W51" si="249">IFERROR(V51/V$51,0)</f>
        <v>1</v>
      </c>
      <c r="X51" s="364">
        <v>178401</v>
      </c>
      <c r="Y51" s="365">
        <f t="shared" ref="Y51" si="250">IFERROR(X51/X$51,0)</f>
        <v>1</v>
      </c>
      <c r="Z51" s="364">
        <v>165312</v>
      </c>
      <c r="AA51" s="365">
        <f t="shared" ref="AA51" si="251">IFERROR(Z51/Z$51,0)</f>
        <v>1</v>
      </c>
      <c r="AB51" s="364">
        <v>219809</v>
      </c>
      <c r="AC51" s="365">
        <f t="shared" ref="AC51" si="252">IFERROR(AB51/AB$51,0)</f>
        <v>1</v>
      </c>
      <c r="AD51" s="364">
        <v>280210</v>
      </c>
      <c r="AE51" s="365">
        <f t="shared" ref="AE51" si="253">IFERROR(AD51/AD$51,0)</f>
        <v>1</v>
      </c>
      <c r="AF51" s="364">
        <v>653587</v>
      </c>
      <c r="AG51" s="365">
        <f t="shared" ref="AG51" si="254">IFERROR(AF51/AF$51,0)</f>
        <v>1</v>
      </c>
    </row>
    <row r="52" spans="2:33" ht="27.75" customHeight="1" x14ac:dyDescent="0.25">
      <c r="B52" s="483" t="s">
        <v>995</v>
      </c>
      <c r="C52" s="483"/>
      <c r="D52" s="483"/>
      <c r="E52" s="483"/>
      <c r="F52" s="483"/>
      <c r="G52" s="483"/>
      <c r="H52" s="483"/>
      <c r="I52" s="483"/>
      <c r="J52" s="483"/>
      <c r="K52" s="483"/>
      <c r="L52" s="483"/>
      <c r="M52" s="483"/>
      <c r="N52" s="483"/>
      <c r="O52" s="483"/>
      <c r="P52" s="483"/>
      <c r="Q52" s="483"/>
      <c r="R52" s="483"/>
      <c r="S52" s="483"/>
      <c r="T52" s="483"/>
      <c r="U52" s="483"/>
      <c r="V52" s="483"/>
      <c r="W52" s="483"/>
      <c r="X52" s="483"/>
      <c r="Y52" s="483"/>
      <c r="Z52" s="483"/>
      <c r="AA52" s="483"/>
      <c r="AB52" s="483"/>
      <c r="AC52" s="483"/>
      <c r="AD52" s="483"/>
      <c r="AE52" s="483"/>
      <c r="AF52" s="483"/>
      <c r="AG52" s="483"/>
    </row>
  </sheetData>
  <mergeCells count="29">
    <mergeCell ref="B7:B8"/>
    <mergeCell ref="L22:M22"/>
    <mergeCell ref="P22:Q22"/>
    <mergeCell ref="C21:C23"/>
    <mergeCell ref="C7:D7"/>
    <mergeCell ref="E7:F7"/>
    <mergeCell ref="G7:H7"/>
    <mergeCell ref="I7:J7"/>
    <mergeCell ref="X22:Y22"/>
    <mergeCell ref="AB22:AC22"/>
    <mergeCell ref="R22:S22"/>
    <mergeCell ref="V22:W22"/>
    <mergeCell ref="Z22:AA22"/>
    <mergeCell ref="B52:AG52"/>
    <mergeCell ref="B16:J16"/>
    <mergeCell ref="B21:B23"/>
    <mergeCell ref="H22:I22"/>
    <mergeCell ref="D22:E22"/>
    <mergeCell ref="N22:O22"/>
    <mergeCell ref="J22:K22"/>
    <mergeCell ref="F22:G22"/>
    <mergeCell ref="B31:B37"/>
    <mergeCell ref="B38:B44"/>
    <mergeCell ref="B45:B51"/>
    <mergeCell ref="B24:B30"/>
    <mergeCell ref="D21:AG21"/>
    <mergeCell ref="AF22:AG22"/>
    <mergeCell ref="AD22:AE22"/>
    <mergeCell ref="T22:U22"/>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B9F9F-ED66-4AFE-B3C6-A2CF9AE6D3BB}">
  <sheetPr>
    <tabColor rgb="FF00B0F0"/>
  </sheetPr>
  <dimension ref="B2:AE154"/>
  <sheetViews>
    <sheetView showGridLines="0" topLeftCell="A58" workbookViewId="0">
      <selection activeCell="B79" sqref="B79"/>
    </sheetView>
  </sheetViews>
  <sheetFormatPr baseColWidth="10" defaultColWidth="11.42578125" defaultRowHeight="15" x14ac:dyDescent="0.25"/>
  <cols>
    <col min="1" max="1" width="5.5703125" style="23" customWidth="1"/>
    <col min="2" max="2" width="25.7109375" style="23" customWidth="1"/>
    <col min="3" max="3" width="16.85546875" style="23" customWidth="1"/>
    <col min="4" max="4" width="12" style="23" bestFit="1" customWidth="1"/>
    <col min="5" max="5" width="14.5703125" style="23" customWidth="1"/>
    <col min="6" max="6" width="14.42578125" style="23" customWidth="1"/>
    <col min="7" max="7" width="11" style="23" bestFit="1" customWidth="1"/>
    <col min="8" max="8" width="13.42578125" style="23" customWidth="1"/>
    <col min="9" max="9" width="13.5703125" style="23" customWidth="1"/>
    <col min="10" max="10" width="12.85546875" style="23" customWidth="1"/>
    <col min="11" max="11" width="11.7109375" style="23" customWidth="1"/>
    <col min="12" max="12" width="12.140625" style="23" customWidth="1"/>
    <col min="13" max="13" width="13" style="23" customWidth="1"/>
    <col min="14" max="14" width="11.42578125" style="23" customWidth="1"/>
    <col min="15" max="15" width="11.7109375" style="23" customWidth="1"/>
    <col min="16" max="16" width="12.5703125" style="23" customWidth="1"/>
    <col min="17" max="17" width="9.5703125" style="23" bestFit="1" customWidth="1"/>
    <col min="18" max="18" width="8.5703125" style="23" bestFit="1" customWidth="1"/>
    <col min="19" max="19" width="9.5703125" style="23" bestFit="1" customWidth="1"/>
    <col min="20" max="20" width="8.5703125" style="23" bestFit="1" customWidth="1"/>
    <col min="21" max="21" width="9.5703125" style="23" bestFit="1" customWidth="1"/>
    <col min="22" max="22" width="8.5703125" style="23" bestFit="1" customWidth="1"/>
    <col min="23" max="23" width="9.5703125" style="23" bestFit="1" customWidth="1"/>
    <col min="24" max="24" width="8.5703125" style="23" bestFit="1" customWidth="1"/>
    <col min="25" max="25" width="9.5703125" style="23" bestFit="1" customWidth="1"/>
    <col min="26" max="27" width="8.5703125" style="23" bestFit="1" customWidth="1"/>
    <col min="28" max="28" width="7.42578125" style="23" bestFit="1" customWidth="1"/>
    <col min="29" max="29" width="9.5703125" style="23" bestFit="1" customWidth="1"/>
    <col min="30" max="30" width="2.28515625" style="23" customWidth="1"/>
    <col min="31" max="31" width="11.140625" style="23" bestFit="1" customWidth="1"/>
    <col min="32" max="32" width="9.5703125" style="23" bestFit="1" customWidth="1"/>
    <col min="33" max="33" width="5.7109375" style="23" bestFit="1" customWidth="1"/>
    <col min="34" max="34" width="2.5703125" style="23" customWidth="1"/>
    <col min="35" max="36" width="9.5703125" style="23" bestFit="1" customWidth="1"/>
    <col min="37" max="37" width="5.7109375" style="23" bestFit="1" customWidth="1"/>
    <col min="38" max="16384" width="11.42578125" style="23"/>
  </cols>
  <sheetData>
    <row r="2" spans="2:20" ht="23.25" x14ac:dyDescent="0.25">
      <c r="B2" s="1" t="s">
        <v>862</v>
      </c>
    </row>
    <row r="4" spans="2:20" ht="18.75" x14ac:dyDescent="0.3">
      <c r="B4" s="2" t="s">
        <v>974</v>
      </c>
      <c r="C4" s="24"/>
      <c r="D4" s="24"/>
      <c r="E4" s="24"/>
      <c r="F4" s="24"/>
      <c r="G4" s="24"/>
      <c r="H4" s="24"/>
    </row>
    <row r="5" spans="2:20" x14ac:dyDescent="0.25">
      <c r="B5" s="31" t="s">
        <v>520</v>
      </c>
    </row>
    <row r="6" spans="2:20" x14ac:dyDescent="0.25">
      <c r="B6" s="31"/>
    </row>
    <row r="7" spans="2:20" x14ac:dyDescent="0.25">
      <c r="B7" s="496" t="s">
        <v>492</v>
      </c>
      <c r="C7" s="488" t="s">
        <v>610</v>
      </c>
      <c r="D7" s="495" t="s">
        <v>753</v>
      </c>
      <c r="E7" s="495"/>
      <c r="F7" s="495"/>
      <c r="G7" s="495"/>
      <c r="H7" s="495"/>
      <c r="I7" s="495"/>
      <c r="J7" s="495"/>
      <c r="K7" s="495"/>
      <c r="L7" s="495"/>
      <c r="M7" s="495"/>
      <c r="N7" s="495"/>
      <c r="O7" s="495"/>
      <c r="P7" s="29"/>
    </row>
    <row r="8" spans="2:20" x14ac:dyDescent="0.25">
      <c r="B8" s="497"/>
      <c r="C8" s="488"/>
      <c r="D8" s="488" t="s">
        <v>26</v>
      </c>
      <c r="E8" s="488"/>
      <c r="F8" s="488" t="s">
        <v>23</v>
      </c>
      <c r="G8" s="488"/>
      <c r="H8" s="488" t="s">
        <v>27</v>
      </c>
      <c r="I8" s="488"/>
      <c r="J8" s="488" t="s">
        <v>24</v>
      </c>
      <c r="K8" s="488"/>
      <c r="L8" s="488" t="s">
        <v>25</v>
      </c>
      <c r="M8" s="488"/>
      <c r="N8" s="492" t="s">
        <v>502</v>
      </c>
      <c r="O8" s="492"/>
      <c r="P8" s="29"/>
      <c r="Q8" s="29"/>
      <c r="R8" s="29"/>
      <c r="S8" s="29"/>
      <c r="T8" s="29"/>
    </row>
    <row r="9" spans="2:20" x14ac:dyDescent="0.25">
      <c r="B9" s="498"/>
      <c r="C9" s="488"/>
      <c r="D9" s="179" t="s">
        <v>2</v>
      </c>
      <c r="E9" s="179" t="s">
        <v>9</v>
      </c>
      <c r="F9" s="179" t="s">
        <v>2</v>
      </c>
      <c r="G9" s="179" t="s">
        <v>9</v>
      </c>
      <c r="H9" s="179" t="s">
        <v>2</v>
      </c>
      <c r="I9" s="179" t="s">
        <v>9</v>
      </c>
      <c r="J9" s="179" t="s">
        <v>2</v>
      </c>
      <c r="K9" s="179" t="s">
        <v>9</v>
      </c>
      <c r="L9" s="179" t="s">
        <v>2</v>
      </c>
      <c r="M9" s="179" t="s">
        <v>9</v>
      </c>
      <c r="N9" s="281" t="s">
        <v>2</v>
      </c>
      <c r="O9" s="281" t="s">
        <v>9</v>
      </c>
      <c r="P9" s="29"/>
      <c r="Q9" s="29"/>
      <c r="R9" s="29"/>
      <c r="S9" s="29"/>
      <c r="T9" s="29"/>
    </row>
    <row r="10" spans="2:20" x14ac:dyDescent="0.25">
      <c r="B10" s="489" t="s">
        <v>3</v>
      </c>
      <c r="C10" s="253" t="s">
        <v>87</v>
      </c>
      <c r="D10" s="358"/>
      <c r="E10" s="345">
        <f>IFERROR(D10/$N10,0)</f>
        <v>0</v>
      </c>
      <c r="F10" s="358"/>
      <c r="G10" s="345">
        <f>IFERROR(F10/$N10,0)</f>
        <v>0</v>
      </c>
      <c r="H10" s="358"/>
      <c r="I10" s="345">
        <f>IFERROR(H10/$N10,0)</f>
        <v>0</v>
      </c>
      <c r="J10" s="358"/>
      <c r="K10" s="345">
        <f>IFERROR(J10/$N10,0)</f>
        <v>0</v>
      </c>
      <c r="L10" s="358"/>
      <c r="M10" s="345">
        <f>IFERROR(L10/$N10,0)</f>
        <v>0</v>
      </c>
      <c r="N10" s="359"/>
      <c r="O10" s="445">
        <f>IFERROR(N10/$N10,0)</f>
        <v>0</v>
      </c>
      <c r="P10" s="29"/>
      <c r="Q10" s="29"/>
      <c r="R10" s="29"/>
      <c r="S10" s="29"/>
      <c r="T10" s="29"/>
    </row>
    <row r="11" spans="2:20" x14ac:dyDescent="0.25">
      <c r="B11" s="490"/>
      <c r="C11" s="253" t="s">
        <v>88</v>
      </c>
      <c r="D11" s="358"/>
      <c r="E11" s="345">
        <f t="shared" ref="E11:G30" si="0">IFERROR(D11/$N11,0)</f>
        <v>0</v>
      </c>
      <c r="F11" s="358"/>
      <c r="G11" s="345">
        <f t="shared" si="0"/>
        <v>0</v>
      </c>
      <c r="H11" s="358"/>
      <c r="I11" s="345">
        <f t="shared" ref="I11" si="1">IFERROR(H11/$N11,0)</f>
        <v>0</v>
      </c>
      <c r="J11" s="358"/>
      <c r="K11" s="345">
        <f t="shared" ref="K11" si="2">IFERROR(J11/$N11,0)</f>
        <v>0</v>
      </c>
      <c r="L11" s="358"/>
      <c r="M11" s="345">
        <f t="shared" ref="M11" si="3">IFERROR(L11/$N11,0)</f>
        <v>0</v>
      </c>
      <c r="N11" s="359"/>
      <c r="O11" s="445">
        <f t="shared" ref="O11:O30" si="4">IFERROR(N11/$N11,0)</f>
        <v>0</v>
      </c>
      <c r="P11" s="29"/>
      <c r="Q11" s="29"/>
      <c r="R11" s="29"/>
      <c r="S11" s="29"/>
      <c r="T11" s="29"/>
    </row>
    <row r="12" spans="2:20" x14ac:dyDescent="0.25">
      <c r="B12" s="491"/>
      <c r="C12" s="253" t="s">
        <v>609</v>
      </c>
      <c r="D12" s="358"/>
      <c r="E12" s="345">
        <f t="shared" si="0"/>
        <v>0</v>
      </c>
      <c r="F12" s="358"/>
      <c r="G12" s="345">
        <f t="shared" si="0"/>
        <v>0</v>
      </c>
      <c r="H12" s="358"/>
      <c r="I12" s="345">
        <f t="shared" ref="I12" si="5">IFERROR(H12/$N12,0)</f>
        <v>0</v>
      </c>
      <c r="J12" s="358"/>
      <c r="K12" s="345">
        <f t="shared" ref="K12" si="6">IFERROR(J12/$N12,0)</f>
        <v>0</v>
      </c>
      <c r="L12" s="358"/>
      <c r="M12" s="345">
        <f t="shared" ref="M12" si="7">IFERROR(L12/$N12,0)</f>
        <v>0</v>
      </c>
      <c r="N12" s="359"/>
      <c r="O12" s="445">
        <f t="shared" si="4"/>
        <v>0</v>
      </c>
      <c r="P12" s="29"/>
      <c r="Q12" s="29"/>
      <c r="R12" s="29"/>
      <c r="S12" s="29"/>
      <c r="T12" s="29"/>
    </row>
    <row r="13" spans="2:20" x14ac:dyDescent="0.25">
      <c r="B13" s="489" t="s">
        <v>4</v>
      </c>
      <c r="C13" s="253" t="s">
        <v>87</v>
      </c>
      <c r="D13" s="315">
        <v>12</v>
      </c>
      <c r="E13" s="345">
        <f t="shared" si="0"/>
        <v>2.0352781546811396E-3</v>
      </c>
      <c r="F13" s="315">
        <v>166</v>
      </c>
      <c r="G13" s="345">
        <f t="shared" si="0"/>
        <v>2.8154681139755767E-2</v>
      </c>
      <c r="H13" s="315">
        <v>2</v>
      </c>
      <c r="I13" s="345">
        <f t="shared" ref="I13" si="8">IFERROR(H13/$N13,0)</f>
        <v>3.3921302578018993E-4</v>
      </c>
      <c r="J13" s="315">
        <v>10</v>
      </c>
      <c r="K13" s="345">
        <f t="shared" ref="K13" si="9">IFERROR(J13/$N13,0)</f>
        <v>1.6960651289009499E-3</v>
      </c>
      <c r="L13" s="315">
        <v>5706</v>
      </c>
      <c r="M13" s="345">
        <f t="shared" ref="M13" si="10">IFERROR(L13/$N13,0)</f>
        <v>0.96777476255088191</v>
      </c>
      <c r="N13" s="334">
        <v>5896</v>
      </c>
      <c r="O13" s="445">
        <f t="shared" si="4"/>
        <v>1</v>
      </c>
      <c r="P13" s="29"/>
      <c r="Q13" s="29"/>
      <c r="R13" s="29"/>
      <c r="S13" s="29"/>
      <c r="T13" s="29"/>
    </row>
    <row r="14" spans="2:20" x14ac:dyDescent="0.25">
      <c r="B14" s="490"/>
      <c r="C14" s="253" t="s">
        <v>88</v>
      </c>
      <c r="D14" s="315">
        <v>4</v>
      </c>
      <c r="E14" s="345">
        <f t="shared" si="0"/>
        <v>1.6625103906899418E-3</v>
      </c>
      <c r="F14" s="315">
        <v>145</v>
      </c>
      <c r="G14" s="345">
        <f t="shared" si="0"/>
        <v>6.0266001662510393E-2</v>
      </c>
      <c r="H14" s="315">
        <v>0</v>
      </c>
      <c r="I14" s="345">
        <f t="shared" ref="I14" si="11">IFERROR(H14/$N14,0)</f>
        <v>0</v>
      </c>
      <c r="J14" s="315">
        <v>4</v>
      </c>
      <c r="K14" s="345">
        <f t="shared" ref="K14" si="12">IFERROR(J14/$N14,0)</f>
        <v>1.6625103906899418E-3</v>
      </c>
      <c r="L14" s="315">
        <v>2253</v>
      </c>
      <c r="M14" s="345">
        <f t="shared" ref="M14" si="13">IFERROR(L14/$N14,0)</f>
        <v>0.93640897755610975</v>
      </c>
      <c r="N14" s="334">
        <v>2406</v>
      </c>
      <c r="O14" s="445">
        <f t="shared" si="4"/>
        <v>1</v>
      </c>
      <c r="P14" s="29"/>
      <c r="Q14" s="29"/>
      <c r="R14" s="29"/>
      <c r="S14" s="29"/>
      <c r="T14" s="29"/>
    </row>
    <row r="15" spans="2:20" x14ac:dyDescent="0.25">
      <c r="B15" s="491"/>
      <c r="C15" s="253" t="s">
        <v>609</v>
      </c>
      <c r="D15" s="315">
        <v>16</v>
      </c>
      <c r="E15" s="345">
        <f t="shared" si="0"/>
        <v>1.927246446639364E-3</v>
      </c>
      <c r="F15" s="315">
        <v>311</v>
      </c>
      <c r="G15" s="345">
        <f t="shared" si="0"/>
        <v>3.746085280655264E-2</v>
      </c>
      <c r="H15" s="315">
        <v>2</v>
      </c>
      <c r="I15" s="345">
        <f t="shared" ref="I15" si="14">IFERROR(H15/$N15,0)</f>
        <v>2.409058058299205E-4</v>
      </c>
      <c r="J15" s="315">
        <v>14</v>
      </c>
      <c r="K15" s="345">
        <f t="shared" ref="K15" si="15">IFERROR(J15/$N15,0)</f>
        <v>1.6863406408094434E-3</v>
      </c>
      <c r="L15" s="315">
        <v>7959</v>
      </c>
      <c r="M15" s="345">
        <f t="shared" ref="M15" si="16">IFERROR(L15/$N15,0)</f>
        <v>0.95868465430016858</v>
      </c>
      <c r="N15" s="334">
        <v>8302</v>
      </c>
      <c r="O15" s="445">
        <f t="shared" si="4"/>
        <v>1</v>
      </c>
      <c r="P15" s="29"/>
      <c r="Q15" s="29"/>
      <c r="R15" s="29"/>
      <c r="S15" s="29"/>
      <c r="T15" s="29"/>
    </row>
    <row r="16" spans="2:20" x14ac:dyDescent="0.25">
      <c r="B16" s="489" t="s">
        <v>714</v>
      </c>
      <c r="C16" s="253" t="s">
        <v>87</v>
      </c>
      <c r="D16" s="315">
        <v>10</v>
      </c>
      <c r="E16" s="345">
        <f t="shared" si="0"/>
        <v>6.5406501406239785E-4</v>
      </c>
      <c r="F16" s="315">
        <v>8354</v>
      </c>
      <c r="G16" s="345">
        <f t="shared" si="0"/>
        <v>0.5464059127477271</v>
      </c>
      <c r="H16" s="315">
        <v>30</v>
      </c>
      <c r="I16" s="345">
        <f t="shared" ref="I16" si="17">IFERROR(H16/$N16,0)</f>
        <v>1.9621950421871933E-3</v>
      </c>
      <c r="J16" s="315">
        <v>1107</v>
      </c>
      <c r="K16" s="345">
        <f t="shared" ref="K16" si="18">IFERROR(J16/$N16,0)</f>
        <v>7.2404997056707443E-2</v>
      </c>
      <c r="L16" s="315">
        <v>5788</v>
      </c>
      <c r="M16" s="345">
        <f t="shared" ref="M16" si="19">IFERROR(L16/$N16,0)</f>
        <v>0.37857283013931586</v>
      </c>
      <c r="N16" s="334">
        <v>15289</v>
      </c>
      <c r="O16" s="445">
        <f t="shared" si="4"/>
        <v>1</v>
      </c>
      <c r="P16" s="29"/>
      <c r="Q16" s="29"/>
      <c r="R16" s="29"/>
      <c r="S16" s="29"/>
      <c r="T16" s="29"/>
    </row>
    <row r="17" spans="2:30" x14ac:dyDescent="0.25">
      <c r="B17" s="490"/>
      <c r="C17" s="253" t="s">
        <v>88</v>
      </c>
      <c r="D17" s="315">
        <v>5</v>
      </c>
      <c r="E17" s="345">
        <f t="shared" si="0"/>
        <v>2.5289565525264278E-4</v>
      </c>
      <c r="F17" s="315">
        <v>9397</v>
      </c>
      <c r="G17" s="345">
        <f t="shared" si="0"/>
        <v>0.47529209448181681</v>
      </c>
      <c r="H17" s="315">
        <v>5</v>
      </c>
      <c r="I17" s="345">
        <f t="shared" ref="I17" si="20">IFERROR(H17/$N17,0)</f>
        <v>2.5289565525264278E-4</v>
      </c>
      <c r="J17" s="315">
        <v>1664</v>
      </c>
      <c r="K17" s="345">
        <f t="shared" ref="K17" si="21">IFERROR(J17/$N17,0)</f>
        <v>8.4163674068079508E-2</v>
      </c>
      <c r="L17" s="315">
        <v>8700</v>
      </c>
      <c r="M17" s="345">
        <f t="shared" ref="M17" si="22">IFERROR(L17/$N17,0)</f>
        <v>0.44003844013959842</v>
      </c>
      <c r="N17" s="334">
        <v>19771</v>
      </c>
      <c r="O17" s="445">
        <f t="shared" si="4"/>
        <v>1</v>
      </c>
      <c r="P17" s="29"/>
      <c r="Q17" s="29"/>
      <c r="R17" s="29"/>
      <c r="S17" s="29"/>
      <c r="T17" s="29"/>
    </row>
    <row r="18" spans="2:30" x14ac:dyDescent="0.25">
      <c r="B18" s="491"/>
      <c r="C18" s="253" t="s">
        <v>609</v>
      </c>
      <c r="D18" s="315">
        <v>15</v>
      </c>
      <c r="E18" s="345">
        <f t="shared" si="0"/>
        <v>4.2783799201369084E-4</v>
      </c>
      <c r="F18" s="315">
        <v>17751</v>
      </c>
      <c r="G18" s="345">
        <f t="shared" si="0"/>
        <v>0.50630347974900169</v>
      </c>
      <c r="H18" s="315">
        <v>35</v>
      </c>
      <c r="I18" s="345">
        <f t="shared" ref="I18" si="23">IFERROR(H18/$N18,0)</f>
        <v>9.9828864803194533E-4</v>
      </c>
      <c r="J18" s="315">
        <v>2771</v>
      </c>
      <c r="K18" s="345">
        <f t="shared" ref="K18" si="24">IFERROR(J18/$N18,0)</f>
        <v>7.903593839132915E-2</v>
      </c>
      <c r="L18" s="315">
        <v>14488</v>
      </c>
      <c r="M18" s="345">
        <f t="shared" ref="M18" si="25">IFERROR(L18/$N18,0)</f>
        <v>0.41323445521962349</v>
      </c>
      <c r="N18" s="334">
        <v>35060</v>
      </c>
      <c r="O18" s="445">
        <f t="shared" si="4"/>
        <v>1</v>
      </c>
      <c r="P18" s="29"/>
      <c r="Q18" s="29"/>
      <c r="R18" s="29"/>
      <c r="S18" s="29"/>
      <c r="T18" s="29"/>
    </row>
    <row r="19" spans="2:30" x14ac:dyDescent="0.25">
      <c r="B19" s="489" t="s">
        <v>501</v>
      </c>
      <c r="C19" s="253" t="s">
        <v>87</v>
      </c>
      <c r="D19" s="315">
        <v>10</v>
      </c>
      <c r="E19" s="345">
        <f t="shared" si="0"/>
        <v>2.017227119601396E-4</v>
      </c>
      <c r="F19" s="315">
        <v>28964</v>
      </c>
      <c r="G19" s="345">
        <f t="shared" si="0"/>
        <v>0.5842696629213483</v>
      </c>
      <c r="H19" s="315">
        <v>33</v>
      </c>
      <c r="I19" s="345">
        <f t="shared" ref="I19" si="26">IFERROR(H19/$N19,0)</f>
        <v>6.6568494946846061E-4</v>
      </c>
      <c r="J19" s="315">
        <v>6731</v>
      </c>
      <c r="K19" s="345">
        <f t="shared" ref="K19" si="27">IFERROR(J19/$N19,0)</f>
        <v>0.13577955742036996</v>
      </c>
      <c r="L19" s="315">
        <v>13835</v>
      </c>
      <c r="M19" s="345">
        <f t="shared" ref="M19" si="28">IFERROR(L19/$N19,0)</f>
        <v>0.27908337199685312</v>
      </c>
      <c r="N19" s="334">
        <v>49573</v>
      </c>
      <c r="O19" s="445">
        <f t="shared" si="4"/>
        <v>1</v>
      </c>
      <c r="P19" s="29"/>
      <c r="Q19" s="29"/>
      <c r="R19" s="29"/>
      <c r="S19" s="29"/>
      <c r="T19" s="29"/>
    </row>
    <row r="20" spans="2:30" x14ac:dyDescent="0.25">
      <c r="B20" s="490"/>
      <c r="C20" s="253" t="s">
        <v>88</v>
      </c>
      <c r="D20" s="315">
        <v>10</v>
      </c>
      <c r="E20" s="345">
        <f t="shared" si="0"/>
        <v>2.5159764504604235E-4</v>
      </c>
      <c r="F20" s="315">
        <v>22003</v>
      </c>
      <c r="G20" s="345">
        <f t="shared" si="0"/>
        <v>0.553590298394807</v>
      </c>
      <c r="H20" s="315">
        <v>3</v>
      </c>
      <c r="I20" s="345">
        <f t="shared" ref="I20" si="29">IFERROR(H20/$N20,0)</f>
        <v>7.5479293513812715E-5</v>
      </c>
      <c r="J20" s="315">
        <v>6948</v>
      </c>
      <c r="K20" s="345">
        <f t="shared" ref="K20" si="30">IFERROR(J20/$N20,0)</f>
        <v>0.17481004377799023</v>
      </c>
      <c r="L20" s="315">
        <v>10782</v>
      </c>
      <c r="M20" s="345">
        <f t="shared" ref="M20" si="31">IFERROR(L20/$N20,0)</f>
        <v>0.27127258088864287</v>
      </c>
      <c r="N20" s="334">
        <v>39746</v>
      </c>
      <c r="O20" s="445">
        <f t="shared" si="4"/>
        <v>1</v>
      </c>
      <c r="P20" s="29"/>
      <c r="Q20" s="29"/>
      <c r="R20" s="29"/>
      <c r="S20" s="29"/>
      <c r="T20" s="29"/>
    </row>
    <row r="21" spans="2:30" x14ac:dyDescent="0.25">
      <c r="B21" s="491"/>
      <c r="C21" s="253" t="s">
        <v>609</v>
      </c>
      <c r="D21" s="315">
        <v>20</v>
      </c>
      <c r="E21" s="345">
        <f t="shared" si="0"/>
        <v>2.2391652391988266E-4</v>
      </c>
      <c r="F21" s="315">
        <v>50967</v>
      </c>
      <c r="G21" s="345">
        <f t="shared" si="0"/>
        <v>0.57061767373123295</v>
      </c>
      <c r="H21" s="315">
        <v>36</v>
      </c>
      <c r="I21" s="345">
        <f t="shared" ref="I21" si="32">IFERROR(H21/$N21,0)</f>
        <v>4.0304974305578882E-4</v>
      </c>
      <c r="J21" s="315">
        <v>13679</v>
      </c>
      <c r="K21" s="345">
        <f t="shared" ref="K21" si="33">IFERROR(J21/$N21,0)</f>
        <v>0.15314770653500376</v>
      </c>
      <c r="L21" s="315">
        <v>24617</v>
      </c>
      <c r="M21" s="345">
        <f t="shared" ref="M21" si="34">IFERROR(L21/$N21,0)</f>
        <v>0.27560765346678756</v>
      </c>
      <c r="N21" s="334">
        <v>89319</v>
      </c>
      <c r="O21" s="445">
        <f t="shared" si="4"/>
        <v>1</v>
      </c>
      <c r="P21" s="29"/>
      <c r="Q21" s="29"/>
      <c r="R21" s="29"/>
      <c r="S21" s="29"/>
      <c r="T21" s="29"/>
    </row>
    <row r="22" spans="2:30" x14ac:dyDescent="0.25">
      <c r="B22" s="489" t="s">
        <v>5</v>
      </c>
      <c r="C22" s="253" t="s">
        <v>87</v>
      </c>
      <c r="D22" s="358"/>
      <c r="E22" s="345">
        <f t="shared" si="0"/>
        <v>0</v>
      </c>
      <c r="F22" s="358"/>
      <c r="G22" s="345">
        <f t="shared" si="0"/>
        <v>0</v>
      </c>
      <c r="H22" s="358"/>
      <c r="I22" s="345">
        <f t="shared" ref="I22" si="35">IFERROR(H22/$N22,0)</f>
        <v>0</v>
      </c>
      <c r="J22" s="358"/>
      <c r="K22" s="345">
        <f t="shared" ref="K22" si="36">IFERROR(J22/$N22,0)</f>
        <v>0</v>
      </c>
      <c r="L22" s="358"/>
      <c r="M22" s="345">
        <f t="shared" ref="M22" si="37">IFERROR(L22/$N22,0)</f>
        <v>0</v>
      </c>
      <c r="N22" s="359"/>
      <c r="O22" s="445">
        <f t="shared" si="4"/>
        <v>0</v>
      </c>
      <c r="P22" s="29"/>
      <c r="Q22" s="29"/>
      <c r="R22" s="29"/>
      <c r="S22" s="29"/>
      <c r="T22" s="29"/>
      <c r="U22" s="29"/>
      <c r="V22" s="248"/>
      <c r="W22" s="248"/>
      <c r="X22" s="106"/>
      <c r="Y22" s="252"/>
      <c r="Z22" s="252"/>
      <c r="AA22" s="252"/>
      <c r="AB22" s="252"/>
      <c r="AC22" s="252"/>
      <c r="AD22" s="252"/>
    </row>
    <row r="23" spans="2:30" x14ac:dyDescent="0.25">
      <c r="B23" s="490"/>
      <c r="C23" s="253" t="s">
        <v>88</v>
      </c>
      <c r="D23" s="358"/>
      <c r="E23" s="345">
        <f t="shared" si="0"/>
        <v>0</v>
      </c>
      <c r="F23" s="358"/>
      <c r="G23" s="345">
        <f t="shared" si="0"/>
        <v>0</v>
      </c>
      <c r="H23" s="358"/>
      <c r="I23" s="345">
        <f t="shared" ref="I23" si="38">IFERROR(H23/$N23,0)</f>
        <v>0</v>
      </c>
      <c r="J23" s="358"/>
      <c r="K23" s="345">
        <f t="shared" ref="K23" si="39">IFERROR(J23/$N23,0)</f>
        <v>0</v>
      </c>
      <c r="L23" s="358"/>
      <c r="M23" s="345">
        <f t="shared" ref="M23" si="40">IFERROR(L23/$N23,0)</f>
        <v>0</v>
      </c>
      <c r="N23" s="359"/>
      <c r="O23" s="445">
        <f t="shared" si="4"/>
        <v>0</v>
      </c>
      <c r="P23" s="29"/>
      <c r="Q23" s="29"/>
      <c r="R23" s="29"/>
      <c r="S23" s="29"/>
      <c r="T23" s="29"/>
      <c r="U23" s="29"/>
      <c r="V23" s="248"/>
      <c r="W23" s="248"/>
      <c r="X23" s="106"/>
      <c r="Y23" s="252"/>
      <c r="Z23" s="252"/>
      <c r="AA23" s="252"/>
      <c r="AB23" s="252"/>
      <c r="AC23" s="252"/>
      <c r="AD23" s="252"/>
    </row>
    <row r="24" spans="2:30" x14ac:dyDescent="0.25">
      <c r="B24" s="491"/>
      <c r="C24" s="253" t="s">
        <v>609</v>
      </c>
      <c r="D24" s="358"/>
      <c r="E24" s="345">
        <f t="shared" si="0"/>
        <v>0</v>
      </c>
      <c r="F24" s="358"/>
      <c r="G24" s="345">
        <f t="shared" si="0"/>
        <v>0</v>
      </c>
      <c r="H24" s="358"/>
      <c r="I24" s="345">
        <f t="shared" ref="I24" si="41">IFERROR(H24/$N24,0)</f>
        <v>0</v>
      </c>
      <c r="J24" s="358"/>
      <c r="K24" s="345">
        <f t="shared" ref="K24" si="42">IFERROR(J24/$N24,0)</f>
        <v>0</v>
      </c>
      <c r="L24" s="358"/>
      <c r="M24" s="345">
        <f t="shared" ref="M24" si="43">IFERROR(L24/$N24,0)</f>
        <v>0</v>
      </c>
      <c r="N24" s="359"/>
      <c r="O24" s="445">
        <f t="shared" si="4"/>
        <v>0</v>
      </c>
      <c r="P24" s="29"/>
      <c r="Q24" s="29"/>
      <c r="R24" s="29"/>
      <c r="S24" s="29"/>
      <c r="T24" s="29"/>
      <c r="U24" s="29"/>
      <c r="V24" s="248"/>
      <c r="W24" s="248"/>
      <c r="X24" s="106"/>
      <c r="Y24" s="252"/>
      <c r="Z24" s="252"/>
      <c r="AA24" s="252"/>
      <c r="AB24" s="252"/>
      <c r="AC24" s="252"/>
      <c r="AD24" s="252"/>
    </row>
    <row r="25" spans="2:30" x14ac:dyDescent="0.25">
      <c r="B25" s="489" t="s">
        <v>6</v>
      </c>
      <c r="C25" s="253" t="s">
        <v>87</v>
      </c>
      <c r="D25" s="315">
        <v>3</v>
      </c>
      <c r="E25" s="345">
        <f t="shared" si="0"/>
        <v>2.018842530282638E-3</v>
      </c>
      <c r="F25" s="315">
        <v>664</v>
      </c>
      <c r="G25" s="345">
        <f t="shared" si="0"/>
        <v>0.4468371467025572</v>
      </c>
      <c r="H25" s="315">
        <v>0</v>
      </c>
      <c r="I25" s="345">
        <f t="shared" ref="I25" si="44">IFERROR(H25/$N25,0)</f>
        <v>0</v>
      </c>
      <c r="J25" s="315">
        <v>53</v>
      </c>
      <c r="K25" s="345">
        <f t="shared" ref="K25" si="45">IFERROR(J25/$N25,0)</f>
        <v>3.5666218034993272E-2</v>
      </c>
      <c r="L25" s="315">
        <v>766</v>
      </c>
      <c r="M25" s="345">
        <f t="shared" ref="M25" si="46">IFERROR(L25/$N25,0)</f>
        <v>0.51547779273216687</v>
      </c>
      <c r="N25" s="334">
        <v>1486</v>
      </c>
      <c r="O25" s="445">
        <f t="shared" si="4"/>
        <v>1</v>
      </c>
      <c r="P25" s="29"/>
      <c r="Q25" s="29"/>
      <c r="R25" s="29"/>
      <c r="S25" s="29"/>
      <c r="T25" s="29"/>
      <c r="U25" s="29"/>
      <c r="V25" s="248"/>
      <c r="W25" s="248"/>
      <c r="X25" s="106"/>
      <c r="Y25" s="252"/>
      <c r="Z25" s="252"/>
      <c r="AA25" s="252"/>
      <c r="AB25" s="252"/>
      <c r="AC25" s="252"/>
      <c r="AD25" s="252"/>
    </row>
    <row r="26" spans="2:30" x14ac:dyDescent="0.25">
      <c r="B26" s="490"/>
      <c r="C26" s="253" t="s">
        <v>88</v>
      </c>
      <c r="D26" s="315">
        <v>2</v>
      </c>
      <c r="E26" s="345">
        <f t="shared" si="0"/>
        <v>8.5106382978723403E-4</v>
      </c>
      <c r="F26" s="315">
        <v>1164</v>
      </c>
      <c r="G26" s="345">
        <f t="shared" si="0"/>
        <v>0.49531914893617024</v>
      </c>
      <c r="H26" s="315">
        <v>0</v>
      </c>
      <c r="I26" s="345">
        <f t="shared" ref="I26" si="47">IFERROR(H26/$N26,0)</f>
        <v>0</v>
      </c>
      <c r="J26" s="315">
        <v>139</v>
      </c>
      <c r="K26" s="345">
        <f t="shared" ref="K26" si="48">IFERROR(J26/$N26,0)</f>
        <v>5.9148936170212767E-2</v>
      </c>
      <c r="L26" s="315">
        <v>1045</v>
      </c>
      <c r="M26" s="345">
        <f t="shared" ref="M26" si="49">IFERROR(L26/$N26,0)</f>
        <v>0.44468085106382976</v>
      </c>
      <c r="N26" s="334">
        <v>2350</v>
      </c>
      <c r="O26" s="445">
        <f t="shared" si="4"/>
        <v>1</v>
      </c>
      <c r="P26" s="29"/>
      <c r="Q26" s="29"/>
      <c r="R26" s="29"/>
      <c r="S26" s="29"/>
      <c r="T26" s="29"/>
      <c r="U26" s="29"/>
      <c r="V26" s="248"/>
      <c r="W26" s="248"/>
      <c r="X26" s="106"/>
      <c r="Y26" s="252"/>
      <c r="Z26" s="252"/>
      <c r="AA26" s="252"/>
      <c r="AB26" s="252"/>
      <c r="AC26" s="252"/>
      <c r="AD26" s="252"/>
    </row>
    <row r="27" spans="2:30" x14ac:dyDescent="0.25">
      <c r="B27" s="491"/>
      <c r="C27" s="253" t="s">
        <v>609</v>
      </c>
      <c r="D27" s="315">
        <v>5</v>
      </c>
      <c r="E27" s="345">
        <f t="shared" si="0"/>
        <v>1.3034410844629822E-3</v>
      </c>
      <c r="F27" s="315">
        <v>1828</v>
      </c>
      <c r="G27" s="345">
        <f t="shared" si="0"/>
        <v>0.47653806047966629</v>
      </c>
      <c r="H27" s="315">
        <v>0</v>
      </c>
      <c r="I27" s="345">
        <f t="shared" ref="I27" si="50">IFERROR(H27/$N27,0)</f>
        <v>0</v>
      </c>
      <c r="J27" s="315">
        <v>192</v>
      </c>
      <c r="K27" s="345">
        <f t="shared" ref="K27" si="51">IFERROR(J27/$N27,0)</f>
        <v>5.0052137643378521E-2</v>
      </c>
      <c r="L27" s="315">
        <v>1811</v>
      </c>
      <c r="M27" s="345">
        <f t="shared" ref="M27" si="52">IFERROR(L27/$N27,0)</f>
        <v>0.47210636079249219</v>
      </c>
      <c r="N27" s="334">
        <v>3836</v>
      </c>
      <c r="O27" s="445">
        <f t="shared" si="4"/>
        <v>1</v>
      </c>
      <c r="P27" s="29"/>
      <c r="Q27" s="29"/>
      <c r="R27" s="29"/>
      <c r="S27" s="29"/>
      <c r="T27" s="29"/>
      <c r="U27" s="29"/>
      <c r="V27" s="248"/>
      <c r="W27" s="248"/>
      <c r="X27" s="106"/>
      <c r="Y27" s="252"/>
      <c r="Z27" s="252"/>
      <c r="AA27" s="252"/>
      <c r="AB27" s="252"/>
      <c r="AC27" s="252"/>
      <c r="AD27" s="252"/>
    </row>
    <row r="28" spans="2:30" x14ac:dyDescent="0.25">
      <c r="B28" s="492" t="s">
        <v>754</v>
      </c>
      <c r="C28" s="286" t="s">
        <v>87</v>
      </c>
      <c r="D28" s="334">
        <v>35</v>
      </c>
      <c r="E28" s="357">
        <f t="shared" si="0"/>
        <v>4.8446929848845581E-4</v>
      </c>
      <c r="F28" s="334">
        <v>38148</v>
      </c>
      <c r="G28" s="357">
        <f t="shared" si="0"/>
        <v>0.52804385139250321</v>
      </c>
      <c r="H28" s="334">
        <v>65</v>
      </c>
      <c r="I28" s="357">
        <f t="shared" ref="I28" si="53">IFERROR(H28/$N28,0)</f>
        <v>8.9972869719284645E-4</v>
      </c>
      <c r="J28" s="334">
        <v>7901</v>
      </c>
      <c r="K28" s="357">
        <f t="shared" ref="K28" si="54">IFERROR(J28/$N28,0)</f>
        <v>0.1093654836387797</v>
      </c>
      <c r="L28" s="334">
        <v>26095</v>
      </c>
      <c r="M28" s="357">
        <f t="shared" ref="M28" si="55">IFERROR(L28/$N28,0)</f>
        <v>0.36120646697303582</v>
      </c>
      <c r="N28" s="334">
        <v>72244</v>
      </c>
      <c r="O28" s="445">
        <f t="shared" si="4"/>
        <v>1</v>
      </c>
      <c r="P28" s="29"/>
      <c r="Q28" s="29"/>
      <c r="R28" s="29"/>
      <c r="S28" s="29"/>
      <c r="T28" s="29"/>
      <c r="U28" s="29"/>
      <c r="V28" s="248"/>
      <c r="W28" s="248"/>
      <c r="X28" s="106"/>
      <c r="Y28" s="252"/>
      <c r="Z28" s="252"/>
      <c r="AA28" s="252"/>
      <c r="AB28" s="252"/>
      <c r="AC28" s="252"/>
      <c r="AD28" s="252"/>
    </row>
    <row r="29" spans="2:30" x14ac:dyDescent="0.25">
      <c r="B29" s="492"/>
      <c r="C29" s="286" t="s">
        <v>88</v>
      </c>
      <c r="D29" s="334">
        <v>21</v>
      </c>
      <c r="E29" s="357">
        <f t="shared" si="0"/>
        <v>3.267312868545112E-4</v>
      </c>
      <c r="F29" s="334">
        <v>32709</v>
      </c>
      <c r="G29" s="357">
        <f t="shared" si="0"/>
        <v>0.5089073172249623</v>
      </c>
      <c r="H29" s="334">
        <v>8</v>
      </c>
      <c r="I29" s="357">
        <f t="shared" ref="I29" si="56">IFERROR(H29/$N29,0)</f>
        <v>1.2446906165886141E-4</v>
      </c>
      <c r="J29" s="334">
        <v>8755</v>
      </c>
      <c r="K29" s="357">
        <f t="shared" ref="K29" si="57">IFERROR(J29/$N29,0)</f>
        <v>0.13621582935291646</v>
      </c>
      <c r="L29" s="334">
        <v>22780</v>
      </c>
      <c r="M29" s="357">
        <f t="shared" ref="M29" si="58">IFERROR(L29/$N29,0)</f>
        <v>0.3544256530736079</v>
      </c>
      <c r="N29" s="334">
        <v>64273</v>
      </c>
      <c r="O29" s="445">
        <f t="shared" si="4"/>
        <v>1</v>
      </c>
      <c r="P29" s="29"/>
      <c r="Q29" s="29"/>
      <c r="R29" s="29"/>
      <c r="S29" s="29"/>
      <c r="T29" s="29"/>
      <c r="U29" s="29"/>
      <c r="V29" s="248"/>
      <c r="W29" s="248"/>
      <c r="X29" s="106"/>
      <c r="Y29" s="252"/>
      <c r="Z29" s="252"/>
      <c r="AA29" s="252"/>
      <c r="AB29" s="252"/>
      <c r="AC29" s="252"/>
      <c r="AD29" s="252"/>
    </row>
    <row r="30" spans="2:30" x14ac:dyDescent="0.25">
      <c r="B30" s="492"/>
      <c r="C30" s="286" t="s">
        <v>609</v>
      </c>
      <c r="D30" s="334">
        <v>56</v>
      </c>
      <c r="E30" s="357">
        <f t="shared" si="0"/>
        <v>4.1020532241405831E-4</v>
      </c>
      <c r="F30" s="334">
        <v>70857</v>
      </c>
      <c r="G30" s="357">
        <f t="shared" si="0"/>
        <v>0.51903425946951665</v>
      </c>
      <c r="H30" s="334">
        <v>73</v>
      </c>
      <c r="I30" s="357">
        <f t="shared" ref="I30" si="59">IFERROR(H30/$N30,0)</f>
        <v>5.347319381468975E-4</v>
      </c>
      <c r="J30" s="334">
        <v>16656</v>
      </c>
      <c r="K30" s="357">
        <f t="shared" ref="K30" si="60">IFERROR(J30/$N30,0)</f>
        <v>0.12200678303800992</v>
      </c>
      <c r="L30" s="334">
        <v>48875</v>
      </c>
      <c r="M30" s="357">
        <f t="shared" ref="M30" si="61">IFERROR(L30/$N30,0)</f>
        <v>0.35801402023191253</v>
      </c>
      <c r="N30" s="334">
        <v>136517</v>
      </c>
      <c r="O30" s="445">
        <f t="shared" si="4"/>
        <v>1</v>
      </c>
      <c r="P30" s="29"/>
      <c r="Q30" s="29"/>
      <c r="R30" s="29"/>
      <c r="S30" s="29"/>
      <c r="T30" s="29"/>
      <c r="U30" s="29"/>
      <c r="V30" s="248"/>
      <c r="W30" s="248"/>
      <c r="X30" s="106"/>
      <c r="Y30" s="252"/>
      <c r="Z30" s="252"/>
      <c r="AA30" s="252"/>
      <c r="AB30" s="252"/>
      <c r="AC30" s="252"/>
      <c r="AD30" s="252"/>
    </row>
    <row r="31" spans="2:30" ht="34.5" customHeight="1" x14ac:dyDescent="0.25">
      <c r="B31" s="483" t="s">
        <v>995</v>
      </c>
      <c r="C31" s="483"/>
      <c r="D31" s="483"/>
      <c r="E31" s="483"/>
      <c r="F31" s="483"/>
      <c r="G31" s="483"/>
      <c r="H31" s="483"/>
      <c r="I31" s="483"/>
      <c r="J31" s="483"/>
      <c r="K31" s="483"/>
      <c r="L31" s="483"/>
      <c r="M31" s="483"/>
      <c r="N31" s="483"/>
      <c r="O31" s="483"/>
      <c r="P31" s="29"/>
      <c r="Q31" s="29"/>
      <c r="R31" s="248"/>
      <c r="S31" s="248"/>
      <c r="T31" s="106"/>
      <c r="U31" s="252"/>
      <c r="V31" s="252"/>
      <c r="W31" s="252"/>
      <c r="X31" s="252"/>
      <c r="Y31" s="252"/>
      <c r="Z31" s="252"/>
    </row>
    <row r="32" spans="2:30" x14ac:dyDescent="0.25">
      <c r="C32" s="29"/>
      <c r="D32" s="29"/>
      <c r="E32" s="29"/>
      <c r="F32" s="29"/>
      <c r="G32" s="29"/>
      <c r="H32" s="29"/>
      <c r="I32" s="29"/>
      <c r="J32" s="29"/>
      <c r="K32" s="29"/>
      <c r="L32" s="29"/>
      <c r="M32" s="29"/>
      <c r="N32" s="29"/>
      <c r="O32" s="29"/>
      <c r="P32" s="29"/>
      <c r="Q32" s="29"/>
      <c r="R32" s="248"/>
      <c r="S32" s="248"/>
      <c r="T32" s="106"/>
      <c r="U32" s="252"/>
      <c r="V32" s="252"/>
      <c r="W32" s="252"/>
      <c r="X32" s="252"/>
      <c r="Y32" s="252"/>
      <c r="Z32" s="252"/>
    </row>
    <row r="33" spans="2:25" ht="18.75" x14ac:dyDescent="0.3">
      <c r="B33" s="2" t="s">
        <v>975</v>
      </c>
      <c r="C33" s="24"/>
      <c r="D33" s="24"/>
      <c r="E33" s="24"/>
      <c r="F33" s="24"/>
      <c r="G33" s="24"/>
      <c r="O33" s="29"/>
      <c r="P33" s="29"/>
      <c r="Q33" s="29"/>
      <c r="R33" s="29"/>
      <c r="S33" s="29"/>
      <c r="T33" s="29"/>
      <c r="U33" s="29"/>
      <c r="V33" s="29"/>
      <c r="W33" s="29"/>
      <c r="X33" s="29"/>
      <c r="Y33" s="29"/>
    </row>
    <row r="34" spans="2:25" x14ac:dyDescent="0.25">
      <c r="B34" s="31" t="s">
        <v>560</v>
      </c>
      <c r="O34" s="29"/>
      <c r="P34" s="29"/>
      <c r="Q34" s="29"/>
      <c r="R34" s="29"/>
      <c r="S34" s="29"/>
      <c r="T34" s="29"/>
      <c r="U34" s="29"/>
      <c r="V34" s="29"/>
      <c r="W34" s="29"/>
      <c r="X34" s="29"/>
      <c r="Y34" s="29"/>
    </row>
    <row r="35" spans="2:25" x14ac:dyDescent="0.25">
      <c r="B35" s="31"/>
      <c r="O35" s="29"/>
      <c r="P35" s="29"/>
      <c r="Q35" s="29"/>
      <c r="R35" s="29"/>
      <c r="S35" s="29"/>
      <c r="T35" s="29"/>
      <c r="U35" s="29"/>
      <c r="V35" s="29"/>
      <c r="W35" s="29"/>
      <c r="X35" s="29"/>
      <c r="Y35" s="29"/>
    </row>
    <row r="36" spans="2:25" ht="15" customHeight="1" x14ac:dyDescent="0.25">
      <c r="B36" s="496" t="s">
        <v>492</v>
      </c>
      <c r="C36" s="488" t="s">
        <v>610</v>
      </c>
      <c r="D36" s="495" t="s">
        <v>753</v>
      </c>
      <c r="E36" s="495"/>
      <c r="F36" s="495"/>
      <c r="G36" s="495"/>
      <c r="H36" s="495"/>
      <c r="I36" s="495"/>
      <c r="J36" s="495"/>
      <c r="K36" s="495"/>
      <c r="L36" s="495"/>
      <c r="M36" s="495"/>
      <c r="N36" s="495"/>
      <c r="O36" s="495"/>
      <c r="P36" s="29"/>
      <c r="Q36" s="29"/>
      <c r="R36" s="29"/>
      <c r="S36" s="29"/>
      <c r="T36" s="29"/>
      <c r="U36" s="29"/>
      <c r="V36" s="29"/>
      <c r="W36" s="29"/>
      <c r="X36" s="29"/>
      <c r="Y36" s="29"/>
    </row>
    <row r="37" spans="2:25" ht="15" customHeight="1" x14ac:dyDescent="0.25">
      <c r="B37" s="497"/>
      <c r="C37" s="488"/>
      <c r="D37" s="488" t="s">
        <v>26</v>
      </c>
      <c r="E37" s="488"/>
      <c r="F37" s="488" t="s">
        <v>23</v>
      </c>
      <c r="G37" s="488"/>
      <c r="H37" s="488" t="s">
        <v>27</v>
      </c>
      <c r="I37" s="488"/>
      <c r="J37" s="488" t="s">
        <v>24</v>
      </c>
      <c r="K37" s="488"/>
      <c r="L37" s="488" t="s">
        <v>25</v>
      </c>
      <c r="M37" s="488"/>
      <c r="N37" s="492" t="s">
        <v>502</v>
      </c>
      <c r="O37" s="492"/>
      <c r="P37" s="29"/>
      <c r="Q37" s="29"/>
      <c r="R37" s="29"/>
      <c r="S37" s="29"/>
      <c r="T37" s="29"/>
      <c r="U37" s="29"/>
      <c r="V37" s="29"/>
      <c r="W37" s="29"/>
      <c r="X37" s="29"/>
      <c r="Y37" s="29"/>
    </row>
    <row r="38" spans="2:25" x14ac:dyDescent="0.25">
      <c r="B38" s="498"/>
      <c r="C38" s="488"/>
      <c r="D38" s="179" t="s">
        <v>2</v>
      </c>
      <c r="E38" s="179" t="s">
        <v>9</v>
      </c>
      <c r="F38" s="179" t="s">
        <v>2</v>
      </c>
      <c r="G38" s="179" t="s">
        <v>9</v>
      </c>
      <c r="H38" s="179" t="s">
        <v>2</v>
      </c>
      <c r="I38" s="179" t="s">
        <v>9</v>
      </c>
      <c r="J38" s="179" t="s">
        <v>2</v>
      </c>
      <c r="K38" s="179" t="s">
        <v>9</v>
      </c>
      <c r="L38" s="179" t="s">
        <v>2</v>
      </c>
      <c r="M38" s="179" t="s">
        <v>9</v>
      </c>
      <c r="N38" s="281" t="s">
        <v>2</v>
      </c>
      <c r="O38" s="281" t="s">
        <v>9</v>
      </c>
      <c r="P38" s="29"/>
      <c r="Q38" s="29"/>
      <c r="R38" s="29"/>
      <c r="S38" s="29"/>
      <c r="T38" s="29"/>
      <c r="U38" s="29"/>
      <c r="V38" s="29"/>
      <c r="W38" s="29"/>
      <c r="X38" s="29"/>
      <c r="Y38" s="29"/>
    </row>
    <row r="39" spans="2:25" x14ac:dyDescent="0.25">
      <c r="B39" s="489" t="s">
        <v>3</v>
      </c>
      <c r="C39" s="266" t="s">
        <v>87</v>
      </c>
      <c r="D39" s="315">
        <v>6</v>
      </c>
      <c r="E39" s="345">
        <f>IFERROR(D39/$N39,0)</f>
        <v>1.6629711751662971E-3</v>
      </c>
      <c r="F39" s="315">
        <v>3279</v>
      </c>
      <c r="G39" s="345">
        <f>IFERROR(F39/$N39,0)</f>
        <v>0.90881374722838137</v>
      </c>
      <c r="H39" s="315">
        <v>5</v>
      </c>
      <c r="I39" s="345">
        <f>IFERROR(H39/$N39,0)</f>
        <v>1.385809312638581E-3</v>
      </c>
      <c r="J39" s="315">
        <v>316</v>
      </c>
      <c r="K39" s="345">
        <f>IFERROR(J39/$N39,0)</f>
        <v>8.7583148558758317E-2</v>
      </c>
      <c r="L39" s="315">
        <v>2</v>
      </c>
      <c r="M39" s="345">
        <f>IFERROR(L39/$N39,0)</f>
        <v>5.5432372505543237E-4</v>
      </c>
      <c r="N39" s="360">
        <v>3608</v>
      </c>
      <c r="O39" s="445">
        <f>IFERROR(N39/$N39,0)</f>
        <v>1</v>
      </c>
      <c r="P39" s="29"/>
      <c r="Q39" s="29"/>
      <c r="R39" s="29"/>
      <c r="S39" s="29"/>
      <c r="T39" s="29"/>
      <c r="U39" s="29"/>
      <c r="V39" s="29"/>
      <c r="W39" s="29"/>
      <c r="X39" s="29"/>
      <c r="Y39" s="29"/>
    </row>
    <row r="40" spans="2:25" x14ac:dyDescent="0.25">
      <c r="B40" s="490"/>
      <c r="C40" s="266" t="s">
        <v>88</v>
      </c>
      <c r="D40" s="315">
        <v>2</v>
      </c>
      <c r="E40" s="345">
        <f t="shared" ref="E40:E59" si="62">IFERROR(D40/$N40,0)</f>
        <v>1.5735641227380016E-3</v>
      </c>
      <c r="F40" s="315">
        <v>1195</v>
      </c>
      <c r="G40" s="345">
        <f t="shared" ref="G40:G59" si="63">IFERROR(F40/$N40,0)</f>
        <v>0.94020456333595592</v>
      </c>
      <c r="H40" s="315">
        <v>2</v>
      </c>
      <c r="I40" s="345">
        <f t="shared" ref="I40:I59" si="64">IFERROR(H40/$N40,0)</f>
        <v>1.5735641227380016E-3</v>
      </c>
      <c r="J40" s="315">
        <v>71</v>
      </c>
      <c r="K40" s="345">
        <f t="shared" ref="K40:K59" si="65">IFERROR(J40/$N40,0)</f>
        <v>5.5861526357199057E-2</v>
      </c>
      <c r="L40" s="315">
        <v>1</v>
      </c>
      <c r="M40" s="345">
        <f t="shared" ref="M40:M59" si="66">IFERROR(L40/$N40,0)</f>
        <v>7.8678206136900079E-4</v>
      </c>
      <c r="N40" s="360">
        <v>1271</v>
      </c>
      <c r="O40" s="445">
        <f t="shared" ref="O40:O59" si="67">IFERROR(N40/$N40,0)</f>
        <v>1</v>
      </c>
      <c r="P40" s="29"/>
      <c r="Q40" s="29"/>
      <c r="R40" s="29"/>
      <c r="S40" s="29"/>
      <c r="T40" s="29"/>
      <c r="U40" s="29"/>
      <c r="V40" s="29"/>
      <c r="W40" s="29"/>
      <c r="X40" s="29"/>
      <c r="Y40" s="29"/>
    </row>
    <row r="41" spans="2:25" x14ac:dyDescent="0.25">
      <c r="B41" s="491"/>
      <c r="C41" s="266" t="s">
        <v>609</v>
      </c>
      <c r="D41" s="315">
        <v>8</v>
      </c>
      <c r="E41" s="345">
        <f t="shared" si="62"/>
        <v>1.639680262348842E-3</v>
      </c>
      <c r="F41" s="315">
        <v>4474</v>
      </c>
      <c r="G41" s="345">
        <f t="shared" si="63"/>
        <v>0.91699118671858992</v>
      </c>
      <c r="H41" s="315">
        <v>7</v>
      </c>
      <c r="I41" s="345">
        <f t="shared" si="64"/>
        <v>1.4347202295552368E-3</v>
      </c>
      <c r="J41" s="315">
        <v>387</v>
      </c>
      <c r="K41" s="345">
        <f t="shared" si="65"/>
        <v>7.9319532691125225E-2</v>
      </c>
      <c r="L41" s="315">
        <v>3</v>
      </c>
      <c r="M41" s="345">
        <f t="shared" si="66"/>
        <v>6.148800983808157E-4</v>
      </c>
      <c r="N41" s="360">
        <v>4879</v>
      </c>
      <c r="O41" s="445">
        <f t="shared" si="67"/>
        <v>1</v>
      </c>
    </row>
    <row r="42" spans="2:25" x14ac:dyDescent="0.25">
      <c r="B42" s="489" t="s">
        <v>4</v>
      </c>
      <c r="C42" s="266" t="s">
        <v>87</v>
      </c>
      <c r="D42" s="315">
        <v>109</v>
      </c>
      <c r="E42" s="345">
        <f t="shared" si="62"/>
        <v>4.2761867398979992E-3</v>
      </c>
      <c r="F42" s="315">
        <v>5364</v>
      </c>
      <c r="G42" s="345">
        <f t="shared" si="63"/>
        <v>0.21043546488819145</v>
      </c>
      <c r="H42" s="315">
        <v>21</v>
      </c>
      <c r="I42" s="345">
        <f t="shared" si="64"/>
        <v>8.2385249117300898E-4</v>
      </c>
      <c r="J42" s="315">
        <v>4906</v>
      </c>
      <c r="K42" s="345">
        <f t="shared" si="65"/>
        <v>0.1924676343664182</v>
      </c>
      <c r="L42" s="315">
        <v>15090</v>
      </c>
      <c r="M42" s="345">
        <f t="shared" si="66"/>
        <v>0.59199686151431929</v>
      </c>
      <c r="N42" s="360">
        <v>25490</v>
      </c>
      <c r="O42" s="445">
        <f t="shared" si="67"/>
        <v>1</v>
      </c>
    </row>
    <row r="43" spans="2:25" x14ac:dyDescent="0.25">
      <c r="B43" s="490"/>
      <c r="C43" s="266" t="s">
        <v>88</v>
      </c>
      <c r="D43" s="315">
        <v>62</v>
      </c>
      <c r="E43" s="345">
        <f t="shared" si="62"/>
        <v>5.6828597616865265E-3</v>
      </c>
      <c r="F43" s="315">
        <v>3919</v>
      </c>
      <c r="G43" s="345">
        <f t="shared" si="63"/>
        <v>0.35921173235563703</v>
      </c>
      <c r="H43" s="315">
        <v>9</v>
      </c>
      <c r="I43" s="345">
        <f t="shared" si="64"/>
        <v>8.249312557286893E-4</v>
      </c>
      <c r="J43" s="315">
        <v>1300</v>
      </c>
      <c r="K43" s="345">
        <f t="shared" si="65"/>
        <v>0.11915673693858846</v>
      </c>
      <c r="L43" s="315">
        <v>5620</v>
      </c>
      <c r="M43" s="345">
        <f t="shared" si="66"/>
        <v>0.51512373968835934</v>
      </c>
      <c r="N43" s="360">
        <v>10910</v>
      </c>
      <c r="O43" s="445">
        <f t="shared" si="67"/>
        <v>1</v>
      </c>
    </row>
    <row r="44" spans="2:25" x14ac:dyDescent="0.25">
      <c r="B44" s="491"/>
      <c r="C44" s="266" t="s">
        <v>609</v>
      </c>
      <c r="D44" s="315">
        <v>171</v>
      </c>
      <c r="E44" s="345">
        <f t="shared" si="62"/>
        <v>4.6978021978021974E-3</v>
      </c>
      <c r="F44" s="315">
        <v>9283</v>
      </c>
      <c r="G44" s="345">
        <f t="shared" si="63"/>
        <v>0.25502747252747254</v>
      </c>
      <c r="H44" s="315">
        <v>30</v>
      </c>
      <c r="I44" s="345">
        <f t="shared" si="64"/>
        <v>8.2417582417582418E-4</v>
      </c>
      <c r="J44" s="315">
        <v>6206</v>
      </c>
      <c r="K44" s="345">
        <f t="shared" si="65"/>
        <v>0.17049450549450548</v>
      </c>
      <c r="L44" s="315">
        <v>20710</v>
      </c>
      <c r="M44" s="345">
        <f t="shared" si="66"/>
        <v>0.56895604395604393</v>
      </c>
      <c r="N44" s="360">
        <v>36400</v>
      </c>
      <c r="O44" s="445">
        <f t="shared" si="67"/>
        <v>1</v>
      </c>
    </row>
    <row r="45" spans="2:25" x14ac:dyDescent="0.25">
      <c r="B45" s="489" t="s">
        <v>714</v>
      </c>
      <c r="C45" s="266" t="s">
        <v>87</v>
      </c>
      <c r="D45" s="315">
        <v>87</v>
      </c>
      <c r="E45" s="345">
        <f t="shared" si="62"/>
        <v>1.9545291157440688E-3</v>
      </c>
      <c r="F45" s="315">
        <v>32733</v>
      </c>
      <c r="G45" s="345">
        <f t="shared" si="63"/>
        <v>0.73537473040977719</v>
      </c>
      <c r="H45" s="315">
        <v>81</v>
      </c>
      <c r="I45" s="345">
        <f t="shared" si="64"/>
        <v>1.8197340043134436E-3</v>
      </c>
      <c r="J45" s="315">
        <v>4979</v>
      </c>
      <c r="K45" s="345">
        <f t="shared" si="65"/>
        <v>0.11185747663551401</v>
      </c>
      <c r="L45" s="315">
        <v>6632</v>
      </c>
      <c r="M45" s="345">
        <f t="shared" si="66"/>
        <v>0.14899352983465133</v>
      </c>
      <c r="N45" s="360">
        <v>44512</v>
      </c>
      <c r="O45" s="445">
        <f t="shared" si="67"/>
        <v>1</v>
      </c>
    </row>
    <row r="46" spans="2:25" x14ac:dyDescent="0.25">
      <c r="B46" s="490"/>
      <c r="C46" s="266" t="s">
        <v>88</v>
      </c>
      <c r="D46" s="315">
        <v>43</v>
      </c>
      <c r="E46" s="345">
        <f t="shared" si="62"/>
        <v>1.0373193737485827E-3</v>
      </c>
      <c r="F46" s="315">
        <v>28559</v>
      </c>
      <c r="G46" s="345">
        <f t="shared" si="63"/>
        <v>0.68894893011362268</v>
      </c>
      <c r="H46" s="315">
        <v>6</v>
      </c>
      <c r="I46" s="345">
        <f t="shared" si="64"/>
        <v>1.4474223819747667E-4</v>
      </c>
      <c r="J46" s="315">
        <v>3554</v>
      </c>
      <c r="K46" s="345">
        <f t="shared" si="65"/>
        <v>8.5735652425638673E-2</v>
      </c>
      <c r="L46" s="315">
        <v>9291</v>
      </c>
      <c r="M46" s="345">
        <f t="shared" si="66"/>
        <v>0.2241333558487926</v>
      </c>
      <c r="N46" s="360">
        <v>41453</v>
      </c>
      <c r="O46" s="445">
        <f t="shared" si="67"/>
        <v>1</v>
      </c>
    </row>
    <row r="47" spans="2:25" x14ac:dyDescent="0.25">
      <c r="B47" s="491"/>
      <c r="C47" s="266" t="s">
        <v>609</v>
      </c>
      <c r="D47" s="315">
        <v>130</v>
      </c>
      <c r="E47" s="345">
        <f t="shared" si="62"/>
        <v>1.5122433548537195E-3</v>
      </c>
      <c r="F47" s="315">
        <v>61292</v>
      </c>
      <c r="G47" s="345">
        <f t="shared" si="63"/>
        <v>0.71298784388995518</v>
      </c>
      <c r="H47" s="315">
        <v>87</v>
      </c>
      <c r="I47" s="345">
        <f t="shared" si="64"/>
        <v>1.0120397836328738E-3</v>
      </c>
      <c r="J47" s="315">
        <v>8533</v>
      </c>
      <c r="K47" s="345">
        <f t="shared" si="65"/>
        <v>9.9261327284359907E-2</v>
      </c>
      <c r="L47" s="315">
        <v>15923</v>
      </c>
      <c r="M47" s="345">
        <f t="shared" si="66"/>
        <v>0.18522654568719829</v>
      </c>
      <c r="N47" s="360">
        <v>85965</v>
      </c>
      <c r="O47" s="445">
        <f t="shared" si="67"/>
        <v>1</v>
      </c>
    </row>
    <row r="48" spans="2:25" x14ac:dyDescent="0.25">
      <c r="B48" s="489" t="s">
        <v>501</v>
      </c>
      <c r="C48" s="266" t="s">
        <v>87</v>
      </c>
      <c r="D48" s="315">
        <v>158</v>
      </c>
      <c r="E48" s="345">
        <f t="shared" si="62"/>
        <v>6.6245435144461173E-4</v>
      </c>
      <c r="F48" s="315">
        <v>184362</v>
      </c>
      <c r="G48" s="345">
        <f t="shared" si="63"/>
        <v>0.77298360215842721</v>
      </c>
      <c r="H48" s="315">
        <v>88</v>
      </c>
      <c r="I48" s="345">
        <f t="shared" si="64"/>
        <v>3.6896191726029003E-4</v>
      </c>
      <c r="J48" s="315">
        <v>38852</v>
      </c>
      <c r="K48" s="345">
        <f t="shared" si="65"/>
        <v>0.16289668647041805</v>
      </c>
      <c r="L48" s="315">
        <v>15047</v>
      </c>
      <c r="M48" s="345">
        <f t="shared" si="66"/>
        <v>6.3088295102449829E-2</v>
      </c>
      <c r="N48" s="360">
        <v>238507</v>
      </c>
      <c r="O48" s="445">
        <f t="shared" si="67"/>
        <v>1</v>
      </c>
    </row>
    <row r="49" spans="2:25" x14ac:dyDescent="0.25">
      <c r="B49" s="490"/>
      <c r="C49" s="266" t="s">
        <v>88</v>
      </c>
      <c r="D49" s="315">
        <v>361</v>
      </c>
      <c r="E49" s="345">
        <f t="shared" si="62"/>
        <v>1.4649606570815224E-3</v>
      </c>
      <c r="F49" s="315">
        <v>188320</v>
      </c>
      <c r="G49" s="345">
        <f t="shared" si="63"/>
        <v>0.76421437933959091</v>
      </c>
      <c r="H49" s="315">
        <v>11</v>
      </c>
      <c r="I49" s="345">
        <f t="shared" si="64"/>
        <v>4.4638690381985448E-5</v>
      </c>
      <c r="J49" s="315">
        <v>45858</v>
      </c>
      <c r="K49" s="345">
        <f t="shared" si="65"/>
        <v>0.18609464213973534</v>
      </c>
      <c r="L49" s="315">
        <v>11873</v>
      </c>
      <c r="M49" s="345">
        <f t="shared" si="66"/>
        <v>4.818137917321029E-2</v>
      </c>
      <c r="N49" s="360">
        <v>246423</v>
      </c>
      <c r="O49" s="445">
        <f t="shared" si="67"/>
        <v>1</v>
      </c>
    </row>
    <row r="50" spans="2:25" x14ac:dyDescent="0.25">
      <c r="B50" s="491"/>
      <c r="C50" s="266" t="s">
        <v>609</v>
      </c>
      <c r="D50" s="315">
        <v>519</v>
      </c>
      <c r="E50" s="345">
        <f t="shared" si="62"/>
        <v>1.0702575629472294E-3</v>
      </c>
      <c r="F50" s="315">
        <v>372682</v>
      </c>
      <c r="G50" s="345">
        <f t="shared" si="63"/>
        <v>0.76852741632812982</v>
      </c>
      <c r="H50" s="315">
        <v>99</v>
      </c>
      <c r="I50" s="345">
        <f t="shared" si="64"/>
        <v>2.0415317674715938E-4</v>
      </c>
      <c r="J50" s="315">
        <v>84710</v>
      </c>
      <c r="K50" s="345">
        <f t="shared" si="65"/>
        <v>0.17468500608335225</v>
      </c>
      <c r="L50" s="315">
        <v>26920</v>
      </c>
      <c r="M50" s="345">
        <f t="shared" si="66"/>
        <v>5.5513166848823542E-2</v>
      </c>
      <c r="N50" s="360">
        <v>484930</v>
      </c>
      <c r="O50" s="445">
        <f t="shared" si="67"/>
        <v>1</v>
      </c>
    </row>
    <row r="51" spans="2:25" x14ac:dyDescent="0.25">
      <c r="B51" s="489" t="s">
        <v>5</v>
      </c>
      <c r="C51" s="266" t="s">
        <v>87</v>
      </c>
      <c r="D51" s="315">
        <v>25</v>
      </c>
      <c r="E51" s="345">
        <f t="shared" si="62"/>
        <v>2.1382141635306194E-3</v>
      </c>
      <c r="F51" s="315">
        <v>10811</v>
      </c>
      <c r="G51" s="345">
        <f t="shared" si="63"/>
        <v>0.92464933287718098</v>
      </c>
      <c r="H51" s="315">
        <v>5</v>
      </c>
      <c r="I51" s="345">
        <f t="shared" si="64"/>
        <v>4.2764283270612383E-4</v>
      </c>
      <c r="J51" s="315">
        <v>851</v>
      </c>
      <c r="K51" s="345">
        <f t="shared" si="65"/>
        <v>7.2784810126582278E-2</v>
      </c>
      <c r="L51" s="315">
        <v>0</v>
      </c>
      <c r="M51" s="345">
        <f t="shared" si="66"/>
        <v>0</v>
      </c>
      <c r="N51" s="360">
        <v>11692</v>
      </c>
      <c r="O51" s="445">
        <f t="shared" si="67"/>
        <v>1</v>
      </c>
    </row>
    <row r="52" spans="2:25" x14ac:dyDescent="0.25">
      <c r="B52" s="490"/>
      <c r="C52" s="266" t="s">
        <v>88</v>
      </c>
      <c r="D52" s="315">
        <v>16</v>
      </c>
      <c r="E52" s="345">
        <f t="shared" si="62"/>
        <v>1.5567230978789648E-3</v>
      </c>
      <c r="F52" s="315">
        <v>9700</v>
      </c>
      <c r="G52" s="345">
        <f t="shared" si="63"/>
        <v>0.94376337808912236</v>
      </c>
      <c r="H52" s="315">
        <v>0</v>
      </c>
      <c r="I52" s="345">
        <f t="shared" si="64"/>
        <v>0</v>
      </c>
      <c r="J52" s="315">
        <v>560</v>
      </c>
      <c r="K52" s="345">
        <f t="shared" si="65"/>
        <v>5.4485308425763768E-2</v>
      </c>
      <c r="L52" s="315">
        <v>2</v>
      </c>
      <c r="M52" s="345">
        <f t="shared" si="66"/>
        <v>1.945903872348706E-4</v>
      </c>
      <c r="N52" s="360">
        <v>10278</v>
      </c>
      <c r="O52" s="445">
        <f t="shared" si="67"/>
        <v>1</v>
      </c>
    </row>
    <row r="53" spans="2:25" x14ac:dyDescent="0.25">
      <c r="B53" s="491"/>
      <c r="C53" s="266" t="s">
        <v>609</v>
      </c>
      <c r="D53" s="315">
        <v>41</v>
      </c>
      <c r="E53" s="345">
        <f t="shared" si="62"/>
        <v>1.8661811561219844E-3</v>
      </c>
      <c r="F53" s="315">
        <v>20511</v>
      </c>
      <c r="G53" s="345">
        <f t="shared" si="63"/>
        <v>0.93359126081019572</v>
      </c>
      <c r="H53" s="315">
        <v>5</v>
      </c>
      <c r="I53" s="345">
        <f t="shared" si="64"/>
        <v>2.2758306781975421E-4</v>
      </c>
      <c r="J53" s="315">
        <v>1411</v>
      </c>
      <c r="K53" s="345">
        <f t="shared" si="65"/>
        <v>6.4223941738734636E-2</v>
      </c>
      <c r="L53" s="315">
        <v>2</v>
      </c>
      <c r="M53" s="345">
        <f t="shared" si="66"/>
        <v>9.1033227127901685E-5</v>
      </c>
      <c r="N53" s="360">
        <v>21970</v>
      </c>
      <c r="O53" s="445">
        <f t="shared" si="67"/>
        <v>1</v>
      </c>
      <c r="P53" s="29"/>
      <c r="Q53" s="29"/>
      <c r="R53" s="29"/>
      <c r="S53" s="29"/>
      <c r="T53" s="29"/>
      <c r="U53" s="29"/>
      <c r="V53" s="29"/>
      <c r="W53" s="29"/>
      <c r="X53" s="29"/>
      <c r="Y53" s="29"/>
    </row>
    <row r="54" spans="2:25" x14ac:dyDescent="0.25">
      <c r="B54" s="489" t="s">
        <v>6</v>
      </c>
      <c r="C54" s="266" t="s">
        <v>87</v>
      </c>
      <c r="D54" s="315">
        <v>15</v>
      </c>
      <c r="E54" s="345">
        <f t="shared" si="62"/>
        <v>1.9556714471968711E-3</v>
      </c>
      <c r="F54" s="315">
        <v>5519</v>
      </c>
      <c r="G54" s="345">
        <f t="shared" si="63"/>
        <v>0.71955671447196867</v>
      </c>
      <c r="H54" s="315">
        <v>5</v>
      </c>
      <c r="I54" s="345">
        <f t="shared" si="64"/>
        <v>6.5189048239895696E-4</v>
      </c>
      <c r="J54" s="315">
        <v>936</v>
      </c>
      <c r="K54" s="345">
        <f t="shared" si="65"/>
        <v>0.12203389830508475</v>
      </c>
      <c r="L54" s="315">
        <v>1195</v>
      </c>
      <c r="M54" s="345">
        <f t="shared" si="66"/>
        <v>0.15580182529335071</v>
      </c>
      <c r="N54" s="360">
        <v>7670</v>
      </c>
      <c r="O54" s="445">
        <f t="shared" si="67"/>
        <v>1</v>
      </c>
      <c r="P54" s="29"/>
      <c r="Q54" s="29"/>
      <c r="R54" s="29"/>
      <c r="S54" s="29"/>
      <c r="T54" s="29"/>
      <c r="U54" s="29"/>
      <c r="V54" s="29"/>
      <c r="W54" s="29"/>
      <c r="X54" s="29"/>
      <c r="Y54" s="29"/>
    </row>
    <row r="55" spans="2:25" x14ac:dyDescent="0.25">
      <c r="B55" s="490"/>
      <c r="C55" s="266" t="s">
        <v>88</v>
      </c>
      <c r="D55" s="315">
        <v>22</v>
      </c>
      <c r="E55" s="345">
        <f t="shared" si="62"/>
        <v>1.8686825787819588E-3</v>
      </c>
      <c r="F55" s="315">
        <v>9278</v>
      </c>
      <c r="G55" s="345">
        <f t="shared" si="63"/>
        <v>0.78807440754268243</v>
      </c>
      <c r="H55" s="315">
        <v>3</v>
      </c>
      <c r="I55" s="345">
        <f t="shared" si="64"/>
        <v>2.5482035165208528E-4</v>
      </c>
      <c r="J55" s="315">
        <v>1208</v>
      </c>
      <c r="K55" s="345">
        <f t="shared" si="65"/>
        <v>0.102607661598573</v>
      </c>
      <c r="L55" s="315">
        <v>1262</v>
      </c>
      <c r="M55" s="345">
        <f t="shared" si="66"/>
        <v>0.10719442792831053</v>
      </c>
      <c r="N55" s="360">
        <v>11773</v>
      </c>
      <c r="O55" s="445">
        <f t="shared" si="67"/>
        <v>1</v>
      </c>
      <c r="P55" s="29"/>
      <c r="Q55" s="29"/>
      <c r="R55" s="29"/>
      <c r="S55" s="29"/>
      <c r="T55" s="29"/>
      <c r="U55" s="29"/>
      <c r="V55" s="29"/>
      <c r="W55" s="29"/>
      <c r="X55" s="29"/>
      <c r="Y55" s="29"/>
    </row>
    <row r="56" spans="2:25" x14ac:dyDescent="0.25">
      <c r="B56" s="491"/>
      <c r="C56" s="266" t="s">
        <v>609</v>
      </c>
      <c r="D56" s="315">
        <v>37</v>
      </c>
      <c r="E56" s="345">
        <f t="shared" si="62"/>
        <v>1.9029985084606286E-3</v>
      </c>
      <c r="F56" s="315">
        <v>14797</v>
      </c>
      <c r="G56" s="345">
        <f t="shared" si="63"/>
        <v>0.76104510620788968</v>
      </c>
      <c r="H56" s="315">
        <v>8</v>
      </c>
      <c r="I56" s="345">
        <f t="shared" si="64"/>
        <v>4.1145913696446021E-4</v>
      </c>
      <c r="J56" s="315">
        <v>2144</v>
      </c>
      <c r="K56" s="345">
        <f t="shared" si="65"/>
        <v>0.11027104870647533</v>
      </c>
      <c r="L56" s="315">
        <v>2457</v>
      </c>
      <c r="M56" s="345">
        <f t="shared" si="66"/>
        <v>0.12636938744020984</v>
      </c>
      <c r="N56" s="360">
        <v>19443</v>
      </c>
      <c r="O56" s="445">
        <f t="shared" si="67"/>
        <v>1</v>
      </c>
      <c r="P56" s="29"/>
      <c r="Q56" s="29"/>
      <c r="R56" s="29"/>
      <c r="S56" s="29"/>
      <c r="T56" s="29"/>
      <c r="U56" s="29"/>
      <c r="V56" s="29"/>
      <c r="W56" s="29"/>
      <c r="X56" s="29"/>
      <c r="Y56" s="29"/>
    </row>
    <row r="57" spans="2:25" x14ac:dyDescent="0.25">
      <c r="B57" s="492" t="s">
        <v>754</v>
      </c>
      <c r="C57" s="287" t="s">
        <v>87</v>
      </c>
      <c r="D57" s="334">
        <v>400</v>
      </c>
      <c r="E57" s="357">
        <f t="shared" si="62"/>
        <v>1.2067129441080732E-3</v>
      </c>
      <c r="F57" s="334">
        <v>242068</v>
      </c>
      <c r="G57" s="357">
        <f t="shared" si="63"/>
        <v>0.73026647238588271</v>
      </c>
      <c r="H57" s="334">
        <v>205</v>
      </c>
      <c r="I57" s="357">
        <f t="shared" si="64"/>
        <v>6.1844038385538752E-4</v>
      </c>
      <c r="J57" s="334">
        <v>50840</v>
      </c>
      <c r="K57" s="357">
        <f t="shared" si="65"/>
        <v>0.15337321519613611</v>
      </c>
      <c r="L57" s="334">
        <v>37966</v>
      </c>
      <c r="M57" s="357">
        <f t="shared" si="66"/>
        <v>0.11453515909001777</v>
      </c>
      <c r="N57" s="360">
        <v>331479</v>
      </c>
      <c r="O57" s="445">
        <f t="shared" si="67"/>
        <v>1</v>
      </c>
      <c r="P57" s="29"/>
      <c r="Q57" s="29"/>
      <c r="R57" s="29"/>
      <c r="S57" s="29"/>
      <c r="T57" s="29"/>
      <c r="U57" s="29"/>
      <c r="V57" s="29"/>
      <c r="W57" s="29"/>
      <c r="X57" s="29"/>
      <c r="Y57" s="29"/>
    </row>
    <row r="58" spans="2:25" x14ac:dyDescent="0.25">
      <c r="B58" s="492"/>
      <c r="C58" s="287" t="s">
        <v>88</v>
      </c>
      <c r="D58" s="334">
        <v>506</v>
      </c>
      <c r="E58" s="357">
        <f t="shared" si="62"/>
        <v>1.5709016851490805E-3</v>
      </c>
      <c r="F58" s="334">
        <v>240971</v>
      </c>
      <c r="G58" s="357">
        <f t="shared" si="63"/>
        <v>0.74810622524122339</v>
      </c>
      <c r="H58" s="334">
        <v>31</v>
      </c>
      <c r="I58" s="357">
        <f t="shared" si="64"/>
        <v>9.6241012331267777E-5</v>
      </c>
      <c r="J58" s="334">
        <v>52551</v>
      </c>
      <c r="K58" s="357">
        <f t="shared" si="65"/>
        <v>0.16314714319420814</v>
      </c>
      <c r="L58" s="334">
        <v>28049</v>
      </c>
      <c r="M58" s="357">
        <f t="shared" si="66"/>
        <v>8.7079488867088051E-2</v>
      </c>
      <c r="N58" s="360">
        <v>322108</v>
      </c>
      <c r="O58" s="445">
        <f t="shared" si="67"/>
        <v>1</v>
      </c>
      <c r="P58" s="29"/>
      <c r="Q58" s="29"/>
      <c r="R58" s="29"/>
      <c r="S58" s="29"/>
      <c r="T58" s="29"/>
      <c r="U58" s="29"/>
      <c r="V58" s="29"/>
      <c r="W58" s="29"/>
      <c r="X58" s="29"/>
      <c r="Y58" s="29"/>
    </row>
    <row r="59" spans="2:25" x14ac:dyDescent="0.25">
      <c r="B59" s="492"/>
      <c r="C59" s="287" t="s">
        <v>609</v>
      </c>
      <c r="D59" s="334">
        <v>906</v>
      </c>
      <c r="E59" s="357">
        <f t="shared" si="62"/>
        <v>1.3861964818761695E-3</v>
      </c>
      <c r="F59" s="334">
        <v>483039</v>
      </c>
      <c r="G59" s="357">
        <f t="shared" si="63"/>
        <v>0.7390584574050586</v>
      </c>
      <c r="H59" s="334">
        <v>236</v>
      </c>
      <c r="I59" s="357">
        <f t="shared" si="64"/>
        <v>3.6108429329224722E-4</v>
      </c>
      <c r="J59" s="334">
        <v>103391</v>
      </c>
      <c r="K59" s="357">
        <f t="shared" si="65"/>
        <v>0.15819011088041837</v>
      </c>
      <c r="L59" s="334">
        <v>66015</v>
      </c>
      <c r="M59" s="357">
        <f t="shared" si="66"/>
        <v>0.10100415093935466</v>
      </c>
      <c r="N59" s="360">
        <v>653587</v>
      </c>
      <c r="O59" s="445">
        <f t="shared" si="67"/>
        <v>1</v>
      </c>
      <c r="P59" s="29"/>
      <c r="Q59" s="29"/>
      <c r="R59" s="29"/>
      <c r="S59" s="29"/>
      <c r="T59" s="29"/>
      <c r="U59" s="29"/>
      <c r="V59" s="29"/>
      <c r="W59" s="29"/>
      <c r="X59" s="29"/>
      <c r="Y59" s="29"/>
    </row>
    <row r="60" spans="2:25" ht="29.25" customHeight="1" x14ac:dyDescent="0.25">
      <c r="B60" s="483" t="s">
        <v>995</v>
      </c>
      <c r="C60" s="483"/>
      <c r="D60" s="483"/>
      <c r="E60" s="483"/>
      <c r="F60" s="483"/>
      <c r="G60" s="483"/>
      <c r="H60" s="483"/>
      <c r="I60" s="483"/>
      <c r="J60" s="483"/>
      <c r="K60" s="483"/>
      <c r="L60" s="483"/>
      <c r="M60" s="483"/>
      <c r="N60" s="483"/>
      <c r="O60" s="483"/>
      <c r="P60" s="29"/>
      <c r="Q60" s="29"/>
      <c r="R60" s="29"/>
      <c r="S60" s="29"/>
      <c r="T60" s="29"/>
      <c r="U60" s="29"/>
      <c r="V60" s="29"/>
      <c r="W60" s="29"/>
      <c r="X60" s="29"/>
      <c r="Y60" s="29"/>
    </row>
    <row r="61" spans="2:25" x14ac:dyDescent="0.25">
      <c r="C61" s="29"/>
      <c r="D61" s="29"/>
      <c r="E61" s="29"/>
      <c r="F61" s="29"/>
      <c r="G61" s="29"/>
      <c r="H61" s="29"/>
      <c r="I61" s="29"/>
      <c r="J61" s="29"/>
      <c r="K61" s="29"/>
      <c r="L61" s="29"/>
      <c r="M61" s="29"/>
      <c r="N61" s="29"/>
      <c r="O61" s="29"/>
      <c r="P61" s="29"/>
      <c r="Q61" s="29"/>
      <c r="R61" s="29"/>
      <c r="S61" s="29"/>
      <c r="T61" s="29"/>
      <c r="U61" s="29"/>
      <c r="V61" s="29"/>
      <c r="W61" s="29"/>
      <c r="X61" s="29"/>
      <c r="Y61" s="29"/>
    </row>
    <row r="62" spans="2:25" ht="18.75" x14ac:dyDescent="0.3">
      <c r="B62" s="2" t="s">
        <v>863</v>
      </c>
      <c r="C62" s="2"/>
      <c r="D62" s="2"/>
      <c r="E62" s="2"/>
      <c r="F62" s="294"/>
      <c r="G62" s="294"/>
      <c r="H62" s="294"/>
      <c r="I62" s="29"/>
      <c r="J62" s="29"/>
      <c r="K62" s="29"/>
      <c r="L62" s="29"/>
      <c r="M62" s="29"/>
      <c r="N62" s="29"/>
      <c r="O62" s="29"/>
      <c r="P62" s="29"/>
      <c r="Q62" s="29"/>
      <c r="R62" s="29"/>
      <c r="S62" s="29"/>
      <c r="T62" s="29"/>
      <c r="U62" s="29"/>
      <c r="V62" s="29"/>
      <c r="W62" s="29"/>
      <c r="X62" s="29"/>
      <c r="Y62" s="29"/>
    </row>
    <row r="63" spans="2:25" ht="15" customHeight="1" x14ac:dyDescent="0.25">
      <c r="B63" s="31" t="s">
        <v>1</v>
      </c>
      <c r="C63" s="208"/>
      <c r="D63" s="208"/>
      <c r="E63" s="208"/>
      <c r="F63" s="208"/>
      <c r="G63" s="208"/>
      <c r="H63" s="208"/>
      <c r="I63" s="29"/>
      <c r="J63" s="29"/>
      <c r="K63" s="29"/>
      <c r="L63" s="29"/>
      <c r="M63" s="29"/>
      <c r="N63" s="29"/>
      <c r="O63" s="29"/>
      <c r="P63" s="29"/>
      <c r="Q63" s="29"/>
      <c r="R63" s="29"/>
      <c r="S63" s="29"/>
      <c r="T63" s="29"/>
      <c r="U63" s="29"/>
      <c r="V63" s="29"/>
      <c r="W63" s="29"/>
      <c r="X63" s="29"/>
      <c r="Y63" s="29"/>
    </row>
    <row r="64" spans="2:25" x14ac:dyDescent="0.25">
      <c r="C64" s="29"/>
      <c r="D64" s="29"/>
      <c r="E64" s="29"/>
      <c r="F64" s="29"/>
      <c r="G64" s="29"/>
      <c r="H64" s="29"/>
      <c r="I64" s="29"/>
      <c r="J64" s="29"/>
      <c r="K64" s="29"/>
      <c r="L64" s="29"/>
      <c r="M64" s="29"/>
      <c r="N64" s="29"/>
      <c r="O64" s="29"/>
      <c r="P64" s="29"/>
      <c r="Q64" s="29"/>
      <c r="R64" s="29"/>
      <c r="S64" s="29"/>
      <c r="T64" s="29"/>
      <c r="U64" s="29"/>
      <c r="V64" s="29"/>
      <c r="W64" s="29"/>
      <c r="X64" s="29"/>
      <c r="Y64" s="29"/>
    </row>
    <row r="65" spans="2:30" ht="24" customHeight="1" x14ac:dyDescent="0.25">
      <c r="B65" s="499" t="s">
        <v>11</v>
      </c>
      <c r="C65" s="493" t="s">
        <v>3</v>
      </c>
      <c r="D65" s="494"/>
      <c r="E65" s="493" t="s">
        <v>4</v>
      </c>
      <c r="F65" s="494"/>
      <c r="G65" s="493" t="s">
        <v>714</v>
      </c>
      <c r="H65" s="494"/>
      <c r="I65" s="493" t="s">
        <v>501</v>
      </c>
      <c r="J65" s="494"/>
      <c r="K65" s="493" t="s">
        <v>5</v>
      </c>
      <c r="L65" s="494"/>
      <c r="M65" s="493" t="s">
        <v>6</v>
      </c>
      <c r="N65" s="494"/>
      <c r="O65" s="493" t="s">
        <v>491</v>
      </c>
      <c r="P65" s="494"/>
      <c r="Q65" s="29"/>
      <c r="R65" s="29"/>
      <c r="S65" s="29"/>
      <c r="T65" s="29"/>
      <c r="U65" s="29"/>
      <c r="V65" s="29"/>
      <c r="W65" s="29"/>
      <c r="X65" s="29"/>
      <c r="Y65" s="29"/>
    </row>
    <row r="66" spans="2:30" x14ac:dyDescent="0.25">
      <c r="B66" s="499"/>
      <c r="C66" s="274" t="s">
        <v>87</v>
      </c>
      <c r="D66" s="274" t="s">
        <v>88</v>
      </c>
      <c r="E66" s="274" t="s">
        <v>87</v>
      </c>
      <c r="F66" s="274" t="s">
        <v>88</v>
      </c>
      <c r="G66" s="274" t="s">
        <v>87</v>
      </c>
      <c r="H66" s="274" t="s">
        <v>88</v>
      </c>
      <c r="I66" s="274" t="s">
        <v>87</v>
      </c>
      <c r="J66" s="274" t="s">
        <v>88</v>
      </c>
      <c r="K66" s="274" t="s">
        <v>87</v>
      </c>
      <c r="L66" s="274" t="s">
        <v>88</v>
      </c>
      <c r="M66" s="274" t="s">
        <v>87</v>
      </c>
      <c r="N66" s="274" t="s">
        <v>88</v>
      </c>
      <c r="O66" s="274" t="s">
        <v>87</v>
      </c>
      <c r="P66" s="274" t="s">
        <v>88</v>
      </c>
      <c r="Q66" s="29"/>
      <c r="R66" s="29"/>
      <c r="S66" s="29"/>
      <c r="T66" s="29"/>
      <c r="U66" s="29"/>
      <c r="V66" s="29"/>
      <c r="W66" s="29"/>
      <c r="X66" s="29"/>
      <c r="Y66" s="29"/>
    </row>
    <row r="67" spans="2:30" x14ac:dyDescent="0.25">
      <c r="B67" s="288" t="s">
        <v>757</v>
      </c>
      <c r="C67" s="366">
        <v>11144</v>
      </c>
      <c r="D67" s="366">
        <v>2839.8333333333335</v>
      </c>
      <c r="E67" s="366">
        <v>4797.333333333333</v>
      </c>
      <c r="F67" s="366">
        <v>1350.1666666666667</v>
      </c>
      <c r="G67" s="366"/>
      <c r="H67" s="366"/>
      <c r="I67" s="366"/>
      <c r="J67" s="366"/>
      <c r="K67" s="366">
        <v>1363.3333333333333</v>
      </c>
      <c r="L67" s="366">
        <v>741.66666666666663</v>
      </c>
      <c r="M67" s="366">
        <v>635.33333333333337</v>
      </c>
      <c r="N67" s="366">
        <v>355.33333333333331</v>
      </c>
      <c r="O67" s="366">
        <v>17940</v>
      </c>
      <c r="P67" s="366">
        <v>5287</v>
      </c>
      <c r="Q67" s="29"/>
      <c r="R67" s="29"/>
      <c r="S67" s="29"/>
      <c r="T67" s="29"/>
      <c r="U67" s="29"/>
      <c r="V67" s="29"/>
      <c r="W67" s="29"/>
      <c r="X67" s="29"/>
      <c r="Y67" s="29"/>
    </row>
    <row r="68" spans="2:30" x14ac:dyDescent="0.25">
      <c r="B68" s="288" t="s">
        <v>758</v>
      </c>
      <c r="C68" s="366">
        <v>3802.4166666666665</v>
      </c>
      <c r="D68" s="366">
        <v>1127.0833333333333</v>
      </c>
      <c r="E68" s="366">
        <v>2238.3333333333335</v>
      </c>
      <c r="F68" s="366">
        <v>716.5</v>
      </c>
      <c r="G68" s="366"/>
      <c r="H68" s="366"/>
      <c r="I68" s="366"/>
      <c r="J68" s="366"/>
      <c r="K68" s="366">
        <v>14735.416666666666</v>
      </c>
      <c r="L68" s="366">
        <v>10108</v>
      </c>
      <c r="M68" s="366">
        <v>563.75</v>
      </c>
      <c r="N68" s="366">
        <v>411.83333333333331</v>
      </c>
      <c r="O68" s="366">
        <v>21339.916666666668</v>
      </c>
      <c r="P68" s="366">
        <v>12363.416666666666</v>
      </c>
      <c r="Q68" s="29"/>
      <c r="R68" s="29"/>
      <c r="S68" s="29"/>
      <c r="T68" s="29"/>
      <c r="U68" s="29"/>
      <c r="V68" s="29"/>
      <c r="W68" s="29"/>
      <c r="X68" s="29"/>
      <c r="Y68" s="29"/>
    </row>
    <row r="69" spans="2:30" x14ac:dyDescent="0.25">
      <c r="B69" s="288" t="s">
        <v>759</v>
      </c>
      <c r="C69" s="366">
        <v>2544.9166666666665</v>
      </c>
      <c r="D69" s="366">
        <v>849.5</v>
      </c>
      <c r="E69" s="366">
        <v>1551.25</v>
      </c>
      <c r="F69" s="366">
        <v>529.33333333333337</v>
      </c>
      <c r="G69" s="366"/>
      <c r="H69" s="366"/>
      <c r="I69" s="366"/>
      <c r="J69" s="366"/>
      <c r="K69" s="366">
        <v>8059.583333333333</v>
      </c>
      <c r="L69" s="366">
        <v>5944.25</v>
      </c>
      <c r="M69" s="366">
        <v>577.41666666666663</v>
      </c>
      <c r="N69" s="366">
        <v>416.66666666666669</v>
      </c>
      <c r="O69" s="366">
        <v>12733.166666666666</v>
      </c>
      <c r="P69" s="366">
        <v>7739.75</v>
      </c>
      <c r="Q69" s="29"/>
      <c r="R69" s="29"/>
      <c r="S69" s="29"/>
      <c r="T69" s="29"/>
      <c r="U69" s="29"/>
      <c r="V69" s="29"/>
      <c r="W69" s="29"/>
      <c r="X69" s="29"/>
      <c r="Y69" s="29"/>
    </row>
    <row r="70" spans="2:30" x14ac:dyDescent="0.25">
      <c r="B70" s="288" t="s">
        <v>760</v>
      </c>
      <c r="C70" s="366">
        <v>2356.9166666666665</v>
      </c>
      <c r="D70" s="366">
        <v>760.91666666666663</v>
      </c>
      <c r="E70" s="366">
        <v>1290.25</v>
      </c>
      <c r="F70" s="366">
        <v>454.58333333333331</v>
      </c>
      <c r="G70" s="366"/>
      <c r="H70" s="366"/>
      <c r="I70" s="366"/>
      <c r="J70" s="366"/>
      <c r="K70" s="366">
        <v>6132.25</v>
      </c>
      <c r="L70" s="366">
        <v>4373.666666666667</v>
      </c>
      <c r="M70" s="366">
        <v>501.91666666666669</v>
      </c>
      <c r="N70" s="366">
        <v>362.08333333333331</v>
      </c>
      <c r="O70" s="366">
        <v>10281.333333333334</v>
      </c>
      <c r="P70" s="366">
        <v>5951.25</v>
      </c>
      <c r="Q70" s="29"/>
      <c r="R70" s="29"/>
      <c r="S70" s="29"/>
      <c r="T70" s="29"/>
      <c r="U70" s="29"/>
      <c r="V70" s="29"/>
      <c r="W70" s="29"/>
      <c r="X70" s="29"/>
      <c r="Y70" s="29"/>
    </row>
    <row r="71" spans="2:30" x14ac:dyDescent="0.25">
      <c r="B71" s="288" t="s">
        <v>761</v>
      </c>
      <c r="C71" s="366">
        <v>2155</v>
      </c>
      <c r="D71" s="366">
        <v>687.58333333333337</v>
      </c>
      <c r="E71" s="366">
        <v>1182.25</v>
      </c>
      <c r="F71" s="366">
        <v>450.58333333333331</v>
      </c>
      <c r="G71" s="366"/>
      <c r="H71" s="366"/>
      <c r="I71" s="366"/>
      <c r="J71" s="366"/>
      <c r="K71" s="366">
        <v>6165.5</v>
      </c>
      <c r="L71" s="366">
        <v>4696.083333333333</v>
      </c>
      <c r="M71" s="366">
        <v>394.83333333333331</v>
      </c>
      <c r="N71" s="366">
        <v>290.66666666666669</v>
      </c>
      <c r="O71" s="366">
        <v>9897.5833333333339</v>
      </c>
      <c r="P71" s="366">
        <v>6124.916666666667</v>
      </c>
      <c r="Q71" s="29"/>
      <c r="R71" s="29"/>
      <c r="S71" s="29"/>
      <c r="T71" s="29"/>
      <c r="U71" s="29"/>
      <c r="V71" s="29"/>
      <c r="W71" s="29"/>
      <c r="X71" s="29"/>
      <c r="Y71" s="29"/>
    </row>
    <row r="72" spans="2:30" x14ac:dyDescent="0.25">
      <c r="B72" s="288" t="s">
        <v>762</v>
      </c>
      <c r="C72" s="366">
        <v>2082.5</v>
      </c>
      <c r="D72" s="366">
        <v>644</v>
      </c>
      <c r="E72" s="366">
        <v>1035.5833333333333</v>
      </c>
      <c r="F72" s="366">
        <v>383.75</v>
      </c>
      <c r="G72" s="366"/>
      <c r="H72" s="366"/>
      <c r="I72" s="366"/>
      <c r="J72" s="366"/>
      <c r="K72" s="366">
        <v>3374.0833333333335</v>
      </c>
      <c r="L72" s="366">
        <v>3041.6666666666665</v>
      </c>
      <c r="M72" s="366">
        <v>345</v>
      </c>
      <c r="N72" s="366">
        <v>262.91666666666669</v>
      </c>
      <c r="O72" s="366">
        <v>6837.166666666667</v>
      </c>
      <c r="P72" s="366">
        <v>4332.333333333333</v>
      </c>
      <c r="Q72" s="29"/>
      <c r="R72" s="29"/>
      <c r="S72" s="29"/>
      <c r="T72" s="29"/>
      <c r="U72" s="29"/>
      <c r="V72" s="29"/>
      <c r="W72" s="29"/>
      <c r="X72" s="29"/>
      <c r="Y72" s="29"/>
    </row>
    <row r="73" spans="2:30" x14ac:dyDescent="0.25">
      <c r="B73" s="288" t="s">
        <v>763</v>
      </c>
      <c r="C73" s="366">
        <v>2534.5833333333335</v>
      </c>
      <c r="D73" s="366">
        <v>748.08333333333337</v>
      </c>
      <c r="E73" s="366">
        <v>1047.9166666666667</v>
      </c>
      <c r="F73" s="366">
        <v>416.5</v>
      </c>
      <c r="G73" s="366"/>
      <c r="H73" s="366"/>
      <c r="I73" s="366"/>
      <c r="J73" s="366"/>
      <c r="K73" s="366">
        <v>3871</v>
      </c>
      <c r="L73" s="366">
        <v>3507.75</v>
      </c>
      <c r="M73" s="366">
        <v>284.66666666666669</v>
      </c>
      <c r="N73" s="366">
        <v>219.83333333333334</v>
      </c>
      <c r="O73" s="366">
        <v>7738.166666666667</v>
      </c>
      <c r="P73" s="366">
        <v>4892.166666666667</v>
      </c>
      <c r="Q73" s="29"/>
      <c r="R73" s="29"/>
      <c r="S73" s="29"/>
      <c r="T73" s="29"/>
      <c r="U73" s="29"/>
      <c r="V73" s="29"/>
      <c r="W73" s="29"/>
      <c r="X73" s="29"/>
      <c r="Y73" s="29"/>
    </row>
    <row r="74" spans="2:30" x14ac:dyDescent="0.25">
      <c r="B74" s="288" t="s">
        <v>764</v>
      </c>
      <c r="C74" s="366">
        <v>1953.5</v>
      </c>
      <c r="D74" s="366">
        <v>633.33333333333337</v>
      </c>
      <c r="E74" s="366">
        <v>1068.9166666666667</v>
      </c>
      <c r="F74" s="366">
        <v>477.5</v>
      </c>
      <c r="G74" s="366"/>
      <c r="H74" s="366"/>
      <c r="I74" s="366"/>
      <c r="J74" s="366"/>
      <c r="K74" s="366">
        <v>4056.8333333333335</v>
      </c>
      <c r="L74" s="366">
        <v>3349.6666666666665</v>
      </c>
      <c r="M74" s="366">
        <v>107.25</v>
      </c>
      <c r="N74" s="366">
        <v>101.16666666666667</v>
      </c>
      <c r="O74" s="366">
        <v>7186.5</v>
      </c>
      <c r="P74" s="366">
        <v>4561.666666666667</v>
      </c>
      <c r="Q74" s="29"/>
      <c r="R74" s="29"/>
      <c r="S74" s="29"/>
      <c r="T74" s="29"/>
      <c r="U74" s="29"/>
      <c r="V74" s="29"/>
      <c r="W74" s="29"/>
      <c r="X74" s="29"/>
      <c r="Y74" s="29"/>
    </row>
    <row r="75" spans="2:30" x14ac:dyDescent="0.25">
      <c r="B75" s="288" t="s">
        <v>765</v>
      </c>
      <c r="C75" s="366">
        <v>1939.5</v>
      </c>
      <c r="D75" s="366">
        <v>617.58333333333337</v>
      </c>
      <c r="E75" s="366">
        <v>1027.5833333333333</v>
      </c>
      <c r="F75" s="366">
        <v>480.25</v>
      </c>
      <c r="G75" s="366"/>
      <c r="H75" s="366"/>
      <c r="I75" s="366"/>
      <c r="J75" s="366"/>
      <c r="K75" s="366">
        <v>4120.833333333333</v>
      </c>
      <c r="L75" s="366">
        <v>3165.1666666666665</v>
      </c>
      <c r="M75" s="366">
        <v>110.66666666666667</v>
      </c>
      <c r="N75" s="366">
        <v>104.08333333333333</v>
      </c>
      <c r="O75" s="366">
        <v>7198.583333333333</v>
      </c>
      <c r="P75" s="366">
        <v>4367.083333333333</v>
      </c>
      <c r="Q75" s="29"/>
      <c r="R75" s="29"/>
      <c r="S75" s="29"/>
      <c r="T75" s="29"/>
      <c r="U75" s="29"/>
      <c r="V75" s="29"/>
      <c r="W75" s="29"/>
      <c r="X75" s="29"/>
      <c r="Y75" s="29"/>
    </row>
    <row r="76" spans="2:30" x14ac:dyDescent="0.25">
      <c r="B76" s="288" t="s">
        <v>766</v>
      </c>
      <c r="C76" s="366">
        <v>2016.6666666666667</v>
      </c>
      <c r="D76" s="366">
        <v>652.33333333333337</v>
      </c>
      <c r="E76" s="366">
        <v>1048.3333333333333</v>
      </c>
      <c r="F76" s="366">
        <v>479.58333333333331</v>
      </c>
      <c r="G76" s="366"/>
      <c r="H76" s="366"/>
      <c r="I76" s="366"/>
      <c r="J76" s="366"/>
      <c r="K76" s="366">
        <v>4749</v>
      </c>
      <c r="L76" s="366">
        <v>3879</v>
      </c>
      <c r="M76" s="366">
        <v>132.83333333333334</v>
      </c>
      <c r="N76" s="366">
        <v>131.08333333333334</v>
      </c>
      <c r="O76" s="366">
        <v>7946.833333333333</v>
      </c>
      <c r="P76" s="366">
        <v>5142</v>
      </c>
      <c r="Q76" s="29"/>
      <c r="R76" s="29"/>
      <c r="S76" s="29"/>
      <c r="T76" s="29"/>
      <c r="U76" s="29"/>
      <c r="V76" s="29"/>
      <c r="W76" s="29"/>
      <c r="X76" s="29"/>
      <c r="Y76" s="29"/>
    </row>
    <row r="77" spans="2:30" x14ac:dyDescent="0.25">
      <c r="B77" s="288" t="s">
        <v>767</v>
      </c>
      <c r="C77" s="366">
        <v>2019.1666666666667</v>
      </c>
      <c r="D77" s="366">
        <v>611.41666666666663</v>
      </c>
      <c r="E77" s="366">
        <v>966.83333333333337</v>
      </c>
      <c r="F77" s="366">
        <v>449.41666666666669</v>
      </c>
      <c r="G77" s="366"/>
      <c r="H77" s="366"/>
      <c r="I77" s="366"/>
      <c r="J77" s="366"/>
      <c r="K77" s="366">
        <v>5704.083333333333</v>
      </c>
      <c r="L77" s="366">
        <v>4593.166666666667</v>
      </c>
      <c r="M77" s="366">
        <v>257.83333333333331</v>
      </c>
      <c r="N77" s="366">
        <v>264.83333333333331</v>
      </c>
      <c r="O77" s="366">
        <v>8947.9166666666661</v>
      </c>
      <c r="P77" s="366">
        <v>5918.833333333333</v>
      </c>
      <c r="Q77" s="29"/>
      <c r="R77" s="29"/>
      <c r="S77" s="29"/>
      <c r="T77" s="29"/>
      <c r="U77" s="29"/>
      <c r="V77" s="29"/>
      <c r="W77" s="29"/>
      <c r="X77" s="29"/>
      <c r="Y77" s="29"/>
    </row>
    <row r="78" spans="2:30" x14ac:dyDescent="0.25">
      <c r="B78" s="288" t="s">
        <v>768</v>
      </c>
      <c r="C78" s="366">
        <v>1905.25</v>
      </c>
      <c r="D78" s="366">
        <v>572.5</v>
      </c>
      <c r="E78" s="366">
        <v>947.58333333333337</v>
      </c>
      <c r="F78" s="366">
        <v>438.83333333333331</v>
      </c>
      <c r="G78" s="366"/>
      <c r="H78" s="366"/>
      <c r="I78" s="366"/>
      <c r="J78" s="366"/>
      <c r="K78" s="366">
        <v>5122</v>
      </c>
      <c r="L78" s="366">
        <v>4283.583333333333</v>
      </c>
      <c r="M78" s="366">
        <v>252</v>
      </c>
      <c r="N78" s="366">
        <v>254.25</v>
      </c>
      <c r="O78" s="366">
        <v>8226.8333333333339</v>
      </c>
      <c r="P78" s="366">
        <v>5549.166666666667</v>
      </c>
      <c r="Q78" s="29"/>
      <c r="R78" s="29"/>
      <c r="S78" s="29"/>
      <c r="T78" s="29"/>
      <c r="U78" s="29"/>
      <c r="V78" s="29"/>
      <c r="W78" s="29"/>
      <c r="X78" s="29"/>
      <c r="Y78" s="29"/>
    </row>
    <row r="79" spans="2:30" x14ac:dyDescent="0.25">
      <c r="B79" s="288" t="s">
        <v>769</v>
      </c>
      <c r="C79" s="366">
        <v>1944.25</v>
      </c>
      <c r="D79" s="366">
        <v>595.91666666666663</v>
      </c>
      <c r="E79" s="366">
        <v>833.5</v>
      </c>
      <c r="F79" s="366">
        <v>417.16666666666669</v>
      </c>
      <c r="G79" s="366"/>
      <c r="H79" s="366"/>
      <c r="I79" s="366"/>
      <c r="J79" s="366"/>
      <c r="K79" s="366">
        <v>7444.583333333333</v>
      </c>
      <c r="L79" s="366">
        <v>6437.166666666667</v>
      </c>
      <c r="M79" s="366">
        <v>309.5</v>
      </c>
      <c r="N79" s="366">
        <v>335.33333333333331</v>
      </c>
      <c r="O79" s="366">
        <v>10531.833333333334</v>
      </c>
      <c r="P79" s="366">
        <v>7785.583333333333</v>
      </c>
      <c r="Q79" s="29"/>
      <c r="R79" s="29"/>
      <c r="S79" s="29"/>
      <c r="T79" s="29"/>
      <c r="U79" s="29"/>
      <c r="V79" s="29"/>
      <c r="W79" s="29"/>
      <c r="X79" s="29"/>
      <c r="Y79" s="29"/>
    </row>
    <row r="80" spans="2:30" x14ac:dyDescent="0.25">
      <c r="B80" s="260">
        <v>44197</v>
      </c>
      <c r="C80" s="361">
        <v>2020</v>
      </c>
      <c r="D80" s="361">
        <v>604</v>
      </c>
      <c r="E80" s="361">
        <v>1166</v>
      </c>
      <c r="F80" s="361">
        <v>720</v>
      </c>
      <c r="G80" s="361"/>
      <c r="H80" s="361"/>
      <c r="I80" s="361"/>
      <c r="J80" s="361"/>
      <c r="K80" s="361">
        <v>7345</v>
      </c>
      <c r="L80" s="361">
        <v>5352</v>
      </c>
      <c r="M80" s="361">
        <v>428</v>
      </c>
      <c r="N80" s="361">
        <v>517</v>
      </c>
      <c r="O80" s="361">
        <v>10959</v>
      </c>
      <c r="P80" s="361">
        <v>7193</v>
      </c>
      <c r="V80" s="29"/>
      <c r="W80" s="29"/>
      <c r="X80" s="29"/>
      <c r="Y80" s="29"/>
      <c r="Z80" s="29"/>
      <c r="AA80" s="29"/>
      <c r="AB80" s="29"/>
      <c r="AC80" s="29"/>
      <c r="AD80" s="29"/>
    </row>
    <row r="81" spans="2:31" x14ac:dyDescent="0.25">
      <c r="B81" s="260">
        <v>44228</v>
      </c>
      <c r="C81" s="361">
        <v>1834</v>
      </c>
      <c r="D81" s="361">
        <v>519</v>
      </c>
      <c r="E81" s="361">
        <v>1033</v>
      </c>
      <c r="F81" s="361">
        <v>574</v>
      </c>
      <c r="G81" s="361"/>
      <c r="H81" s="361"/>
      <c r="I81" s="361"/>
      <c r="J81" s="361"/>
      <c r="K81" s="361">
        <v>6860</v>
      </c>
      <c r="L81" s="361">
        <v>5345</v>
      </c>
      <c r="M81" s="361">
        <v>402</v>
      </c>
      <c r="N81" s="361">
        <v>460</v>
      </c>
      <c r="O81" s="361">
        <v>10129</v>
      </c>
      <c r="P81" s="361">
        <v>6898</v>
      </c>
      <c r="V81" s="29"/>
      <c r="W81" s="29"/>
      <c r="X81" s="29"/>
      <c r="Y81" s="29"/>
      <c r="Z81" s="29"/>
      <c r="AA81" s="29"/>
      <c r="AB81" s="29"/>
      <c r="AC81" s="29"/>
      <c r="AD81" s="29"/>
    </row>
    <row r="82" spans="2:31" x14ac:dyDescent="0.25">
      <c r="B82" s="260">
        <v>44256</v>
      </c>
      <c r="C82" s="362">
        <v>1992</v>
      </c>
      <c r="D82" s="362">
        <v>686</v>
      </c>
      <c r="E82" s="362">
        <v>1277</v>
      </c>
      <c r="F82" s="362">
        <v>654</v>
      </c>
      <c r="G82" s="362"/>
      <c r="H82" s="362"/>
      <c r="I82" s="362"/>
      <c r="J82" s="362"/>
      <c r="K82" s="362">
        <v>7991</v>
      </c>
      <c r="L82" s="362">
        <v>6603</v>
      </c>
      <c r="M82" s="362">
        <v>1205</v>
      </c>
      <c r="N82" s="362">
        <v>1595</v>
      </c>
      <c r="O82" s="362">
        <v>12465</v>
      </c>
      <c r="P82" s="362">
        <v>9538</v>
      </c>
      <c r="Q82" s="29"/>
      <c r="R82" s="29"/>
      <c r="S82" s="29"/>
      <c r="T82" s="29"/>
      <c r="U82" s="29"/>
      <c r="V82" s="29"/>
      <c r="W82" s="29"/>
      <c r="X82" s="29"/>
      <c r="Y82" s="29"/>
      <c r="Z82" s="29"/>
      <c r="AA82" s="29"/>
      <c r="AB82" s="29"/>
      <c r="AC82" s="29"/>
      <c r="AD82" s="29"/>
    </row>
    <row r="83" spans="2:31" x14ac:dyDescent="0.25">
      <c r="B83" s="260">
        <v>44287</v>
      </c>
      <c r="C83" s="362">
        <v>2259</v>
      </c>
      <c r="D83" s="362">
        <v>694</v>
      </c>
      <c r="E83" s="362">
        <v>1437</v>
      </c>
      <c r="F83" s="362">
        <v>690</v>
      </c>
      <c r="G83" s="362"/>
      <c r="H83" s="362"/>
      <c r="I83" s="362"/>
      <c r="J83" s="362"/>
      <c r="K83" s="362">
        <v>7730</v>
      </c>
      <c r="L83" s="362">
        <v>6023</v>
      </c>
      <c r="M83" s="362">
        <v>1351</v>
      </c>
      <c r="N83" s="362">
        <v>1712</v>
      </c>
      <c r="O83" s="362">
        <v>12777</v>
      </c>
      <c r="P83" s="362">
        <v>9119</v>
      </c>
      <c r="Q83" s="29"/>
      <c r="R83" s="29"/>
      <c r="S83" s="29"/>
      <c r="T83" s="29"/>
      <c r="U83" s="29"/>
      <c r="V83" s="29"/>
      <c r="W83" s="29"/>
      <c r="X83" s="29"/>
      <c r="Y83" s="29"/>
      <c r="Z83" s="29"/>
      <c r="AA83" s="29"/>
      <c r="AB83" s="29"/>
      <c r="AC83" s="29"/>
      <c r="AD83" s="29"/>
    </row>
    <row r="84" spans="2:31" x14ac:dyDescent="0.25">
      <c r="B84" s="260">
        <v>44317</v>
      </c>
      <c r="C84" s="362">
        <v>2499</v>
      </c>
      <c r="D84" s="362">
        <v>847</v>
      </c>
      <c r="E84" s="362">
        <v>1460</v>
      </c>
      <c r="F84" s="362">
        <v>817</v>
      </c>
      <c r="G84" s="362"/>
      <c r="H84" s="362"/>
      <c r="I84" s="362"/>
      <c r="J84" s="362"/>
      <c r="K84" s="362">
        <v>7824</v>
      </c>
      <c r="L84" s="362">
        <v>5905</v>
      </c>
      <c r="M84" s="362">
        <v>873</v>
      </c>
      <c r="N84" s="362">
        <v>1246</v>
      </c>
      <c r="O84" s="362">
        <v>12656</v>
      </c>
      <c r="P84" s="362">
        <v>8815</v>
      </c>
      <c r="Q84" s="29"/>
      <c r="R84" s="29"/>
      <c r="S84" s="29"/>
      <c r="T84" s="29"/>
      <c r="U84" s="29"/>
      <c r="V84" s="29"/>
      <c r="W84" s="29"/>
      <c r="X84" s="29"/>
      <c r="Y84" s="29"/>
      <c r="Z84" s="29"/>
      <c r="AA84" s="29"/>
      <c r="AB84" s="29"/>
      <c r="AC84" s="29"/>
      <c r="AD84" s="29"/>
    </row>
    <row r="85" spans="2:31" x14ac:dyDescent="0.25">
      <c r="B85" s="260">
        <v>44348</v>
      </c>
      <c r="C85" s="362">
        <v>2689</v>
      </c>
      <c r="D85" s="362">
        <v>907</v>
      </c>
      <c r="E85" s="362">
        <v>1392</v>
      </c>
      <c r="F85" s="362">
        <v>733</v>
      </c>
      <c r="G85" s="362"/>
      <c r="H85" s="362"/>
      <c r="I85" s="362"/>
      <c r="J85" s="362"/>
      <c r="K85" s="362">
        <v>7728</v>
      </c>
      <c r="L85" s="362">
        <v>5769</v>
      </c>
      <c r="M85" s="362">
        <v>707</v>
      </c>
      <c r="N85" s="362">
        <v>1031</v>
      </c>
      <c r="O85" s="362">
        <v>12516</v>
      </c>
      <c r="P85" s="362">
        <v>8440</v>
      </c>
      <c r="Q85" s="29"/>
      <c r="R85" s="29"/>
      <c r="S85" s="29"/>
      <c r="T85" s="29"/>
      <c r="U85" s="29"/>
      <c r="V85" s="29"/>
      <c r="W85" s="29"/>
      <c r="X85" s="29"/>
      <c r="Y85" s="29"/>
      <c r="Z85" s="29"/>
      <c r="AA85" s="29"/>
      <c r="AB85" s="29"/>
      <c r="AC85" s="29"/>
      <c r="AD85" s="29"/>
    </row>
    <row r="86" spans="2:31" x14ac:dyDescent="0.25">
      <c r="B86" s="260">
        <v>44378</v>
      </c>
      <c r="C86" s="362">
        <v>3028</v>
      </c>
      <c r="D86" s="362">
        <v>1091</v>
      </c>
      <c r="E86" s="362">
        <v>1586</v>
      </c>
      <c r="F86" s="362">
        <v>823</v>
      </c>
      <c r="G86" s="362"/>
      <c r="H86" s="362"/>
      <c r="I86" s="362"/>
      <c r="J86" s="362"/>
      <c r="K86" s="362">
        <v>9139</v>
      </c>
      <c r="L86" s="362">
        <v>6680</v>
      </c>
      <c r="M86" s="362">
        <v>632</v>
      </c>
      <c r="N86" s="362">
        <v>977</v>
      </c>
      <c r="O86" s="362">
        <v>14385</v>
      </c>
      <c r="P86" s="362">
        <v>9571</v>
      </c>
      <c r="Q86" s="29"/>
      <c r="R86" s="29"/>
      <c r="S86" s="29"/>
      <c r="T86" s="29"/>
      <c r="U86" s="29"/>
      <c r="V86" s="29"/>
      <c r="W86" s="29"/>
      <c r="X86" s="29"/>
      <c r="Y86" s="29"/>
      <c r="Z86" s="29"/>
      <c r="AA86" s="29"/>
      <c r="AB86" s="29"/>
      <c r="AC86" s="29"/>
      <c r="AD86" s="29"/>
    </row>
    <row r="87" spans="2:31" x14ac:dyDescent="0.25">
      <c r="B87" s="260">
        <v>44409</v>
      </c>
      <c r="C87" s="362">
        <v>3100</v>
      </c>
      <c r="D87" s="362">
        <v>1197</v>
      </c>
      <c r="E87" s="362">
        <v>1720</v>
      </c>
      <c r="F87" s="362">
        <v>921</v>
      </c>
      <c r="G87" s="362"/>
      <c r="H87" s="362"/>
      <c r="I87" s="362"/>
      <c r="J87" s="362"/>
      <c r="K87" s="362">
        <v>10242</v>
      </c>
      <c r="L87" s="362">
        <v>7981</v>
      </c>
      <c r="M87" s="362">
        <v>646</v>
      </c>
      <c r="N87" s="362">
        <v>907</v>
      </c>
      <c r="O87" s="362">
        <v>15708</v>
      </c>
      <c r="P87" s="362">
        <v>11006</v>
      </c>
      <c r="Q87" s="29"/>
      <c r="R87" s="29"/>
      <c r="S87" s="29"/>
      <c r="T87" s="29"/>
      <c r="U87" s="29"/>
      <c r="V87" s="29"/>
      <c r="W87" s="29"/>
      <c r="X87" s="29"/>
      <c r="Y87" s="29"/>
      <c r="Z87" s="29"/>
      <c r="AA87" s="29"/>
      <c r="AB87" s="29"/>
      <c r="AC87" s="29"/>
      <c r="AD87" s="29"/>
    </row>
    <row r="88" spans="2:31" x14ac:dyDescent="0.25">
      <c r="B88" s="260">
        <v>44440</v>
      </c>
      <c r="C88" s="362">
        <v>3310</v>
      </c>
      <c r="D88" s="362">
        <v>1219</v>
      </c>
      <c r="E88" s="362">
        <v>1584</v>
      </c>
      <c r="F88" s="362">
        <v>746</v>
      </c>
      <c r="G88" s="362"/>
      <c r="H88" s="362"/>
      <c r="I88" s="362"/>
      <c r="J88" s="362"/>
      <c r="K88" s="362">
        <v>11148</v>
      </c>
      <c r="L88" s="362">
        <v>8667</v>
      </c>
      <c r="M88" s="362">
        <v>603</v>
      </c>
      <c r="N88" s="362">
        <v>841</v>
      </c>
      <c r="O88" s="362">
        <v>16645</v>
      </c>
      <c r="P88" s="362">
        <v>11473</v>
      </c>
      <c r="Q88" s="29"/>
      <c r="R88" s="29"/>
      <c r="S88" s="29"/>
      <c r="T88" s="29"/>
      <c r="U88" s="29"/>
      <c r="V88" s="29"/>
      <c r="W88" s="29"/>
      <c r="X88" s="29"/>
      <c r="Y88" s="29"/>
      <c r="Z88" s="29"/>
      <c r="AA88" s="29"/>
      <c r="AB88" s="29"/>
      <c r="AC88" s="29"/>
      <c r="AD88" s="29"/>
    </row>
    <row r="89" spans="2:31" x14ac:dyDescent="0.25">
      <c r="B89" s="260">
        <v>44470</v>
      </c>
      <c r="C89" s="362">
        <v>2513</v>
      </c>
      <c r="D89" s="362">
        <v>964</v>
      </c>
      <c r="E89" s="362">
        <v>1686</v>
      </c>
      <c r="F89" s="362">
        <v>778</v>
      </c>
      <c r="G89" s="362"/>
      <c r="H89" s="362"/>
      <c r="I89" s="362"/>
      <c r="J89" s="362"/>
      <c r="K89" s="362">
        <v>9979</v>
      </c>
      <c r="L89" s="362">
        <v>7722</v>
      </c>
      <c r="M89" s="362">
        <v>562</v>
      </c>
      <c r="N89" s="362">
        <v>870</v>
      </c>
      <c r="O89" s="362">
        <v>14740</v>
      </c>
      <c r="P89" s="362">
        <v>10334</v>
      </c>
      <c r="Q89" s="29"/>
      <c r="R89" s="29"/>
      <c r="S89" s="29"/>
      <c r="T89" s="29"/>
      <c r="U89" s="29"/>
      <c r="V89" s="29"/>
      <c r="W89" s="29"/>
      <c r="X89" s="29"/>
      <c r="Y89" s="29"/>
      <c r="Z89" s="29"/>
      <c r="AA89" s="29"/>
      <c r="AB89" s="29"/>
      <c r="AC89" s="29"/>
      <c r="AD89" s="29"/>
    </row>
    <row r="90" spans="2:31" x14ac:dyDescent="0.25">
      <c r="B90" s="260">
        <v>44501</v>
      </c>
      <c r="C90" s="362">
        <v>2880</v>
      </c>
      <c r="D90" s="362">
        <v>1010</v>
      </c>
      <c r="E90" s="362">
        <v>1848</v>
      </c>
      <c r="F90" s="362">
        <v>810</v>
      </c>
      <c r="G90" s="362"/>
      <c r="H90" s="362"/>
      <c r="I90" s="362"/>
      <c r="J90" s="362"/>
      <c r="K90" s="362">
        <v>11623</v>
      </c>
      <c r="L90" s="362">
        <v>8527</v>
      </c>
      <c r="M90" s="362">
        <v>574</v>
      </c>
      <c r="N90" s="362">
        <v>923</v>
      </c>
      <c r="O90" s="362">
        <v>16925</v>
      </c>
      <c r="P90" s="362">
        <v>11270</v>
      </c>
      <c r="Q90" s="29"/>
      <c r="R90" s="29"/>
      <c r="S90" s="29"/>
      <c r="T90" s="29"/>
      <c r="U90" s="29"/>
      <c r="V90" s="29"/>
      <c r="W90" s="29"/>
      <c r="X90" s="29"/>
      <c r="Y90" s="29"/>
      <c r="Z90" s="29"/>
      <c r="AA90" s="29"/>
      <c r="AB90" s="29"/>
      <c r="AC90" s="29"/>
      <c r="AD90" s="29"/>
    </row>
    <row r="91" spans="2:31" x14ac:dyDescent="0.25">
      <c r="B91" s="260">
        <v>44531</v>
      </c>
      <c r="C91" s="362">
        <v>2760</v>
      </c>
      <c r="D91" s="362">
        <v>1031</v>
      </c>
      <c r="E91" s="362">
        <v>1741</v>
      </c>
      <c r="F91" s="362">
        <v>773</v>
      </c>
      <c r="G91" s="362"/>
      <c r="H91" s="362"/>
      <c r="I91" s="362"/>
      <c r="J91" s="362"/>
      <c r="K91" s="362">
        <v>10343</v>
      </c>
      <c r="L91" s="362">
        <v>8552</v>
      </c>
      <c r="M91" s="362">
        <v>602</v>
      </c>
      <c r="N91" s="362">
        <v>846</v>
      </c>
      <c r="O91" s="362">
        <v>15446</v>
      </c>
      <c r="P91" s="362">
        <v>11202</v>
      </c>
      <c r="Q91" s="29"/>
      <c r="R91" s="29"/>
      <c r="S91" s="29"/>
      <c r="T91" s="29"/>
      <c r="U91" s="29"/>
      <c r="V91" s="29"/>
      <c r="W91" s="29"/>
      <c r="X91" s="29"/>
      <c r="Y91" s="29"/>
      <c r="Z91" s="29"/>
      <c r="AA91" s="29"/>
      <c r="AB91" s="29"/>
      <c r="AC91" s="29"/>
      <c r="AD91" s="29"/>
    </row>
    <row r="92" spans="2:31" x14ac:dyDescent="0.25">
      <c r="B92" s="276" t="s">
        <v>770</v>
      </c>
      <c r="C92" s="367">
        <v>2573.6666666666665</v>
      </c>
      <c r="D92" s="367">
        <v>897.41666666666663</v>
      </c>
      <c r="E92" s="367">
        <v>1494.1666666666667</v>
      </c>
      <c r="F92" s="367">
        <v>753.25</v>
      </c>
      <c r="G92" s="367"/>
      <c r="H92" s="367"/>
      <c r="I92" s="367"/>
      <c r="J92" s="367"/>
      <c r="K92" s="367">
        <v>8996</v>
      </c>
      <c r="L92" s="367">
        <v>6927.166666666667</v>
      </c>
      <c r="M92" s="367">
        <v>715.41666666666663</v>
      </c>
      <c r="N92" s="367">
        <v>993.75</v>
      </c>
      <c r="O92" s="367">
        <v>13779.25</v>
      </c>
      <c r="P92" s="367">
        <v>9571.5833333333339</v>
      </c>
      <c r="Q92" s="29"/>
      <c r="R92" s="29"/>
      <c r="S92" s="29"/>
      <c r="T92" s="29"/>
      <c r="U92" s="29"/>
      <c r="V92" s="29"/>
      <c r="W92" s="29"/>
      <c r="X92" s="29"/>
      <c r="Y92" s="29"/>
    </row>
    <row r="93" spans="2:31" x14ac:dyDescent="0.25">
      <c r="B93" s="260">
        <v>44562</v>
      </c>
      <c r="C93" s="361">
        <v>3608</v>
      </c>
      <c r="D93" s="361">
        <v>1271</v>
      </c>
      <c r="E93" s="361">
        <v>2271</v>
      </c>
      <c r="F93" s="361">
        <v>940</v>
      </c>
      <c r="G93" s="361"/>
      <c r="H93" s="361"/>
      <c r="I93" s="361"/>
      <c r="J93" s="361"/>
      <c r="K93" s="361">
        <v>11692</v>
      </c>
      <c r="L93" s="361">
        <v>10278</v>
      </c>
      <c r="M93" s="361">
        <v>675</v>
      </c>
      <c r="N93" s="361">
        <v>877</v>
      </c>
      <c r="O93" s="361">
        <v>18246</v>
      </c>
      <c r="P93" s="361">
        <v>13366</v>
      </c>
      <c r="W93" s="29"/>
      <c r="X93" s="29"/>
      <c r="Y93" s="29"/>
      <c r="Z93" s="29"/>
      <c r="AA93" s="29"/>
      <c r="AB93" s="29"/>
      <c r="AC93" s="29"/>
      <c r="AD93" s="29"/>
      <c r="AE93" s="29"/>
    </row>
    <row r="94" spans="2:31" x14ac:dyDescent="0.25">
      <c r="B94" s="260">
        <v>44593</v>
      </c>
      <c r="C94" s="362"/>
      <c r="D94" s="362"/>
      <c r="E94" s="362">
        <v>2009</v>
      </c>
      <c r="F94" s="362">
        <v>996</v>
      </c>
      <c r="G94" s="362">
        <v>7541</v>
      </c>
      <c r="H94" s="362">
        <v>2410</v>
      </c>
      <c r="I94" s="362">
        <v>68424</v>
      </c>
      <c r="J94" s="362">
        <v>70811</v>
      </c>
      <c r="K94" s="362"/>
      <c r="L94" s="362"/>
      <c r="M94" s="362">
        <v>1316</v>
      </c>
      <c r="N94" s="362">
        <v>2023</v>
      </c>
      <c r="O94" s="362">
        <v>79290</v>
      </c>
      <c r="P94" s="362">
        <v>76240</v>
      </c>
      <c r="Q94" s="29"/>
      <c r="R94" s="29"/>
      <c r="S94" s="29"/>
      <c r="T94" s="29"/>
      <c r="U94" s="29"/>
      <c r="V94" s="29"/>
      <c r="W94" s="29"/>
      <c r="X94" s="29"/>
      <c r="Y94" s="29"/>
      <c r="Z94" s="29"/>
      <c r="AA94" s="29"/>
      <c r="AB94" s="29"/>
      <c r="AC94" s="29"/>
      <c r="AD94" s="29"/>
      <c r="AE94" s="29"/>
    </row>
    <row r="95" spans="2:31" x14ac:dyDescent="0.25">
      <c r="B95" s="260">
        <v>44621</v>
      </c>
      <c r="C95" s="362"/>
      <c r="D95" s="362"/>
      <c r="E95" s="362">
        <v>2346</v>
      </c>
      <c r="F95" s="362">
        <v>1095</v>
      </c>
      <c r="G95" s="362">
        <v>1781</v>
      </c>
      <c r="H95" s="362">
        <v>1020</v>
      </c>
      <c r="I95" s="362">
        <v>26366</v>
      </c>
      <c r="J95" s="362">
        <v>28700</v>
      </c>
      <c r="K95" s="362"/>
      <c r="L95" s="362"/>
      <c r="M95" s="362">
        <v>754</v>
      </c>
      <c r="N95" s="362">
        <v>1159</v>
      </c>
      <c r="O95" s="362">
        <v>31247</v>
      </c>
      <c r="P95" s="362">
        <v>31974</v>
      </c>
      <c r="Q95" s="29"/>
      <c r="R95" s="29"/>
      <c r="S95" s="29"/>
      <c r="T95" s="29"/>
      <c r="U95" s="29"/>
      <c r="V95" s="29"/>
      <c r="W95" s="29"/>
      <c r="X95" s="29"/>
      <c r="Y95" s="29"/>
      <c r="Z95" s="29"/>
      <c r="AA95" s="29"/>
      <c r="AB95" s="29"/>
      <c r="AC95" s="29"/>
      <c r="AD95" s="29"/>
      <c r="AE95" s="29"/>
    </row>
    <row r="96" spans="2:31" x14ac:dyDescent="0.25">
      <c r="B96" s="260">
        <v>44652</v>
      </c>
      <c r="C96" s="362"/>
      <c r="D96" s="362"/>
      <c r="E96" s="362">
        <v>2160</v>
      </c>
      <c r="F96" s="362">
        <v>966</v>
      </c>
      <c r="G96" s="362">
        <v>2085</v>
      </c>
      <c r="H96" s="362">
        <v>1410</v>
      </c>
      <c r="I96" s="362">
        <v>15430</v>
      </c>
      <c r="J96" s="362">
        <v>17755</v>
      </c>
      <c r="K96" s="362"/>
      <c r="L96" s="362"/>
      <c r="M96" s="362">
        <v>554</v>
      </c>
      <c r="N96" s="362">
        <v>780</v>
      </c>
      <c r="O96" s="362">
        <v>20229</v>
      </c>
      <c r="P96" s="362">
        <v>20911</v>
      </c>
      <c r="Q96" s="29"/>
      <c r="R96" s="29"/>
      <c r="S96" s="29"/>
      <c r="T96" s="29"/>
      <c r="U96" s="29"/>
      <c r="V96" s="29"/>
      <c r="W96" s="29"/>
      <c r="X96" s="29"/>
      <c r="Y96" s="29"/>
      <c r="Z96" s="29"/>
      <c r="AA96" s="29"/>
      <c r="AB96" s="29"/>
      <c r="AC96" s="29"/>
      <c r="AD96" s="29"/>
      <c r="AE96" s="29"/>
    </row>
    <row r="97" spans="2:31" x14ac:dyDescent="0.25">
      <c r="B97" s="260">
        <v>44682</v>
      </c>
      <c r="C97" s="362"/>
      <c r="D97" s="362"/>
      <c r="E97" s="362">
        <v>2170</v>
      </c>
      <c r="F97" s="362">
        <v>913</v>
      </c>
      <c r="G97" s="362">
        <v>3007</v>
      </c>
      <c r="H97" s="362">
        <v>2133</v>
      </c>
      <c r="I97" s="362">
        <v>13646</v>
      </c>
      <c r="J97" s="362">
        <v>16525</v>
      </c>
      <c r="K97" s="362"/>
      <c r="L97" s="362"/>
      <c r="M97" s="362">
        <v>542</v>
      </c>
      <c r="N97" s="362">
        <v>840</v>
      </c>
      <c r="O97" s="362">
        <v>19365</v>
      </c>
      <c r="P97" s="362">
        <v>20411</v>
      </c>
      <c r="Q97" s="29"/>
      <c r="R97" s="29"/>
      <c r="S97" s="29"/>
      <c r="T97" s="29"/>
      <c r="U97" s="29"/>
      <c r="V97" s="29"/>
      <c r="W97" s="29"/>
      <c r="X97" s="29"/>
      <c r="Y97" s="29"/>
      <c r="Z97" s="29"/>
      <c r="AA97" s="29"/>
      <c r="AB97" s="29"/>
      <c r="AC97" s="29"/>
      <c r="AD97" s="29"/>
      <c r="AE97" s="29"/>
    </row>
    <row r="98" spans="2:31" x14ac:dyDescent="0.25">
      <c r="B98" s="260">
        <v>44713</v>
      </c>
      <c r="C98" s="362"/>
      <c r="D98" s="362"/>
      <c r="E98" s="362">
        <v>1880</v>
      </c>
      <c r="F98" s="362">
        <v>833</v>
      </c>
      <c r="G98" s="362">
        <v>2929</v>
      </c>
      <c r="H98" s="362">
        <v>2237</v>
      </c>
      <c r="I98" s="362">
        <v>13855</v>
      </c>
      <c r="J98" s="362">
        <v>16953</v>
      </c>
      <c r="K98" s="362"/>
      <c r="L98" s="362"/>
      <c r="M98" s="362">
        <v>518</v>
      </c>
      <c r="N98" s="362">
        <v>816</v>
      </c>
      <c r="O98" s="362">
        <v>19182</v>
      </c>
      <c r="P98" s="362">
        <v>20839</v>
      </c>
      <c r="Q98" s="29"/>
      <c r="R98" s="29"/>
      <c r="S98" s="29"/>
      <c r="T98" s="29"/>
      <c r="U98" s="29"/>
      <c r="V98" s="29"/>
      <c r="W98" s="29"/>
      <c r="X98" s="29"/>
      <c r="Y98" s="29"/>
      <c r="Z98" s="29"/>
      <c r="AA98" s="29"/>
      <c r="AB98" s="29"/>
      <c r="AC98" s="29"/>
      <c r="AD98" s="29"/>
      <c r="AE98" s="29"/>
    </row>
    <row r="99" spans="2:31" x14ac:dyDescent="0.25">
      <c r="B99" s="260">
        <v>44743</v>
      </c>
      <c r="C99" s="362"/>
      <c r="D99" s="362"/>
      <c r="E99" s="362">
        <v>2193</v>
      </c>
      <c r="F99" s="362">
        <v>942</v>
      </c>
      <c r="G99" s="362">
        <v>3274</v>
      </c>
      <c r="H99" s="362">
        <v>2797</v>
      </c>
      <c r="I99" s="362">
        <v>15514</v>
      </c>
      <c r="J99" s="362">
        <v>17948</v>
      </c>
      <c r="K99" s="362"/>
      <c r="L99" s="362"/>
      <c r="M99" s="362">
        <v>585</v>
      </c>
      <c r="N99" s="362">
        <v>941</v>
      </c>
      <c r="O99" s="362">
        <v>21566</v>
      </c>
      <c r="P99" s="362">
        <v>22628</v>
      </c>
      <c r="Q99" s="29"/>
      <c r="R99" s="29"/>
      <c r="S99" s="29"/>
      <c r="T99" s="29"/>
      <c r="U99" s="29"/>
      <c r="V99" s="29"/>
      <c r="W99" s="29"/>
      <c r="X99" s="29"/>
      <c r="Y99" s="29"/>
      <c r="Z99" s="29"/>
      <c r="AA99" s="29"/>
      <c r="AB99" s="29"/>
      <c r="AC99" s="29"/>
      <c r="AD99" s="29"/>
      <c r="AE99" s="29"/>
    </row>
    <row r="100" spans="2:31" x14ac:dyDescent="0.25">
      <c r="B100" s="260">
        <v>44774</v>
      </c>
      <c r="C100" s="362"/>
      <c r="D100" s="362"/>
      <c r="E100" s="362">
        <v>2637</v>
      </c>
      <c r="F100" s="362">
        <v>1031</v>
      </c>
      <c r="G100" s="362">
        <v>4664</v>
      </c>
      <c r="H100" s="362">
        <v>5135</v>
      </c>
      <c r="I100" s="362">
        <v>22190</v>
      </c>
      <c r="J100" s="362">
        <v>25663</v>
      </c>
      <c r="K100" s="362"/>
      <c r="L100" s="362"/>
      <c r="M100" s="362">
        <v>758</v>
      </c>
      <c r="N100" s="362">
        <v>1192</v>
      </c>
      <c r="O100" s="362">
        <v>30249</v>
      </c>
      <c r="P100" s="362">
        <v>33021</v>
      </c>
      <c r="Q100" s="29"/>
      <c r="R100" s="29"/>
      <c r="S100" s="29"/>
      <c r="T100" s="29"/>
      <c r="U100" s="29"/>
      <c r="V100" s="29"/>
      <c r="W100" s="29"/>
      <c r="X100" s="29"/>
      <c r="Y100" s="29"/>
      <c r="Z100" s="29"/>
      <c r="AA100" s="29"/>
      <c r="AB100" s="29"/>
      <c r="AC100" s="29"/>
      <c r="AD100" s="29"/>
      <c r="AE100" s="29"/>
    </row>
    <row r="101" spans="2:31" x14ac:dyDescent="0.25">
      <c r="B101" s="260">
        <v>44805</v>
      </c>
      <c r="C101" s="362"/>
      <c r="D101" s="362"/>
      <c r="E101" s="362">
        <v>1928</v>
      </c>
      <c r="F101" s="362">
        <v>788</v>
      </c>
      <c r="G101" s="362">
        <v>3942</v>
      </c>
      <c r="H101" s="362">
        <v>4540</v>
      </c>
      <c r="I101" s="362">
        <v>13509</v>
      </c>
      <c r="J101" s="362">
        <v>12322</v>
      </c>
      <c r="K101" s="362"/>
      <c r="L101" s="362"/>
      <c r="M101" s="362">
        <v>482</v>
      </c>
      <c r="N101" s="362">
        <v>795</v>
      </c>
      <c r="O101" s="362">
        <v>19861</v>
      </c>
      <c r="P101" s="362">
        <v>18445</v>
      </c>
      <c r="Q101" s="29"/>
      <c r="R101" s="29"/>
      <c r="S101" s="29"/>
      <c r="T101" s="29"/>
      <c r="U101" s="29"/>
      <c r="V101" s="29"/>
      <c r="W101" s="29"/>
      <c r="X101" s="29"/>
      <c r="Y101" s="29"/>
      <c r="Z101" s="29"/>
      <c r="AA101" s="29"/>
      <c r="AB101" s="29"/>
      <c r="AC101" s="29"/>
      <c r="AD101" s="29"/>
      <c r="AE101" s="29"/>
    </row>
    <row r="102" spans="2:31" x14ac:dyDescent="0.25">
      <c r="B102" s="260">
        <v>44835</v>
      </c>
      <c r="C102" s="362"/>
      <c r="D102" s="362"/>
      <c r="E102" s="362">
        <v>1990</v>
      </c>
      <c r="F102" s="362">
        <v>783</v>
      </c>
      <c r="G102" s="362">
        <v>4736</v>
      </c>
      <c r="H102" s="362">
        <v>5710</v>
      </c>
      <c r="I102" s="362">
        <v>19289</v>
      </c>
      <c r="J102" s="362">
        <v>15867</v>
      </c>
      <c r="K102" s="362"/>
      <c r="L102" s="362"/>
      <c r="M102" s="362">
        <v>482</v>
      </c>
      <c r="N102" s="362">
        <v>735</v>
      </c>
      <c r="O102" s="362">
        <v>26497</v>
      </c>
      <c r="P102" s="362">
        <v>23095</v>
      </c>
      <c r="Q102" s="29"/>
      <c r="R102" s="29"/>
      <c r="S102" s="29"/>
      <c r="T102" s="29"/>
      <c r="U102" s="29"/>
      <c r="V102" s="29"/>
      <c r="W102" s="29"/>
      <c r="X102" s="29"/>
      <c r="Y102" s="29"/>
      <c r="Z102" s="29"/>
      <c r="AA102" s="29"/>
      <c r="AB102" s="29"/>
      <c r="AC102" s="29"/>
      <c r="AD102" s="29"/>
      <c r="AE102" s="29"/>
    </row>
    <row r="103" spans="2:31" x14ac:dyDescent="0.25">
      <c r="B103" s="260">
        <v>44866</v>
      </c>
      <c r="C103" s="362"/>
      <c r="D103" s="362"/>
      <c r="E103" s="362">
        <v>2227</v>
      </c>
      <c r="F103" s="362">
        <v>879</v>
      </c>
      <c r="G103" s="362">
        <v>5551</v>
      </c>
      <c r="H103" s="362">
        <v>7136</v>
      </c>
      <c r="I103" s="362">
        <v>17130</v>
      </c>
      <c r="J103" s="362">
        <v>13735</v>
      </c>
      <c r="K103" s="362"/>
      <c r="L103" s="362"/>
      <c r="M103" s="362">
        <v>502</v>
      </c>
      <c r="N103" s="362">
        <v>851</v>
      </c>
      <c r="O103" s="362">
        <v>25410</v>
      </c>
      <c r="P103" s="362">
        <v>22601</v>
      </c>
      <c r="Q103" s="29"/>
      <c r="R103" s="29"/>
      <c r="S103" s="29"/>
      <c r="T103" s="29"/>
      <c r="U103" s="29"/>
      <c r="V103" s="29"/>
      <c r="W103" s="29"/>
      <c r="X103" s="29"/>
      <c r="Y103" s="29"/>
      <c r="Z103" s="29"/>
      <c r="AA103" s="29"/>
      <c r="AB103" s="29"/>
      <c r="AC103" s="29"/>
      <c r="AD103" s="29"/>
      <c r="AE103" s="29"/>
    </row>
    <row r="104" spans="2:31" x14ac:dyDescent="0.25">
      <c r="B104" s="260">
        <v>44896</v>
      </c>
      <c r="C104" s="362"/>
      <c r="D104" s="362"/>
      <c r="E104" s="362">
        <v>1679</v>
      </c>
      <c r="F104" s="362">
        <v>744</v>
      </c>
      <c r="G104" s="362">
        <v>5002</v>
      </c>
      <c r="H104" s="362">
        <v>6925</v>
      </c>
      <c r="I104" s="362">
        <v>13154</v>
      </c>
      <c r="J104" s="362">
        <v>10144</v>
      </c>
      <c r="K104" s="362"/>
      <c r="L104" s="362"/>
      <c r="M104" s="362">
        <v>502</v>
      </c>
      <c r="N104" s="362">
        <v>764</v>
      </c>
      <c r="O104" s="362">
        <v>20337</v>
      </c>
      <c r="P104" s="362">
        <v>18577</v>
      </c>
      <c r="Q104" s="29"/>
      <c r="R104" s="29"/>
      <c r="S104" s="29"/>
      <c r="T104" s="29"/>
      <c r="U104" s="29"/>
      <c r="V104" s="29"/>
      <c r="W104" s="29"/>
      <c r="X104" s="29"/>
      <c r="Y104" s="29"/>
      <c r="Z104" s="29"/>
      <c r="AA104" s="29"/>
      <c r="AB104" s="29"/>
      <c r="AC104" s="29"/>
      <c r="AD104" s="29"/>
      <c r="AE104" s="29"/>
    </row>
    <row r="105" spans="2:31" x14ac:dyDescent="0.25">
      <c r="B105" s="276" t="s">
        <v>771</v>
      </c>
      <c r="C105" s="367">
        <v>3608</v>
      </c>
      <c r="D105" s="367">
        <v>1271</v>
      </c>
      <c r="E105" s="367">
        <v>2124.1666666666665</v>
      </c>
      <c r="F105" s="367">
        <v>909.16666666666663</v>
      </c>
      <c r="G105" s="367">
        <v>4046.5454545454545</v>
      </c>
      <c r="H105" s="367">
        <v>3768.4545454545455</v>
      </c>
      <c r="I105" s="367">
        <v>21682.454545454544</v>
      </c>
      <c r="J105" s="367">
        <v>22402.090909090908</v>
      </c>
      <c r="K105" s="367">
        <v>11692</v>
      </c>
      <c r="L105" s="367">
        <v>10278</v>
      </c>
      <c r="M105" s="367">
        <v>639.16666666666663</v>
      </c>
      <c r="N105" s="367">
        <v>981.08333333333337</v>
      </c>
      <c r="O105" s="367">
        <v>27623.25</v>
      </c>
      <c r="P105" s="367">
        <v>26842.333333333332</v>
      </c>
      <c r="Q105" s="29"/>
      <c r="R105" s="29"/>
      <c r="S105" s="29"/>
      <c r="T105" s="29"/>
      <c r="U105" s="29"/>
      <c r="V105" s="29"/>
      <c r="W105" s="29"/>
      <c r="X105" s="29"/>
      <c r="Y105" s="29"/>
    </row>
    <row r="106" spans="2:31" x14ac:dyDescent="0.25">
      <c r="B106" s="276" t="s">
        <v>7</v>
      </c>
      <c r="C106" s="367">
        <v>428412</v>
      </c>
      <c r="D106" s="367">
        <v>131082</v>
      </c>
      <c r="E106" s="367">
        <v>243064</v>
      </c>
      <c r="F106" s="367">
        <v>96378</v>
      </c>
      <c r="G106" s="367">
        <v>44512</v>
      </c>
      <c r="H106" s="367">
        <v>41453</v>
      </c>
      <c r="I106" s="367">
        <v>238507</v>
      </c>
      <c r="J106" s="367">
        <v>246423</v>
      </c>
      <c r="K106" s="367">
        <v>1010246</v>
      </c>
      <c r="L106" s="367">
        <v>786404</v>
      </c>
      <c r="M106" s="367">
        <v>66119</v>
      </c>
      <c r="N106" s="367">
        <v>63687</v>
      </c>
      <c r="O106" s="367">
        <v>2030860</v>
      </c>
      <c r="P106" s="367">
        <v>1365427</v>
      </c>
      <c r="Q106" s="29"/>
      <c r="R106" s="29"/>
      <c r="S106" s="29"/>
      <c r="T106" s="29"/>
      <c r="U106" s="29"/>
      <c r="V106" s="29"/>
      <c r="W106" s="29"/>
      <c r="X106" s="29"/>
      <c r="Y106" s="29"/>
    </row>
    <row r="107" spans="2:31" ht="29.25" customHeight="1" x14ac:dyDescent="0.25">
      <c r="B107" s="483" t="s">
        <v>995</v>
      </c>
      <c r="C107" s="483"/>
      <c r="D107" s="483"/>
      <c r="E107" s="483"/>
      <c r="F107" s="483"/>
      <c r="G107" s="483"/>
      <c r="H107" s="483"/>
      <c r="I107" s="483"/>
      <c r="J107" s="483"/>
      <c r="K107" s="483"/>
      <c r="L107" s="483"/>
      <c r="M107" s="483"/>
      <c r="N107" s="483"/>
      <c r="O107" s="483"/>
      <c r="P107" s="483"/>
      <c r="Q107" s="29"/>
      <c r="R107" s="29"/>
      <c r="S107" s="29"/>
      <c r="T107" s="29"/>
      <c r="U107" s="29"/>
      <c r="V107" s="29"/>
      <c r="W107" s="29"/>
      <c r="X107" s="29"/>
      <c r="Y107" s="29"/>
    </row>
    <row r="108" spans="2:31" x14ac:dyDescent="0.25">
      <c r="C108" s="29"/>
      <c r="D108" s="29"/>
      <c r="E108" s="29"/>
      <c r="F108" s="29"/>
      <c r="G108" s="29"/>
      <c r="H108" s="29"/>
      <c r="I108" s="29"/>
      <c r="J108" s="29"/>
      <c r="K108" s="29"/>
      <c r="L108" s="29"/>
      <c r="M108" s="29"/>
      <c r="N108" s="29"/>
      <c r="O108" s="29"/>
      <c r="P108" s="29"/>
      <c r="Q108" s="29"/>
      <c r="R108" s="29"/>
      <c r="S108" s="29"/>
      <c r="T108" s="29"/>
      <c r="U108" s="29"/>
      <c r="V108" s="29"/>
      <c r="W108" s="29"/>
      <c r="X108" s="29"/>
      <c r="Y108" s="29"/>
    </row>
    <row r="109" spans="2:31" x14ac:dyDescent="0.25">
      <c r="C109" s="29"/>
      <c r="D109" s="29"/>
      <c r="E109" s="29"/>
      <c r="F109" s="29"/>
      <c r="G109" s="29"/>
      <c r="H109" s="29"/>
      <c r="I109" s="29"/>
      <c r="J109" s="29"/>
      <c r="K109" s="29"/>
      <c r="L109" s="29"/>
      <c r="M109" s="29"/>
      <c r="N109" s="29"/>
      <c r="O109" s="29"/>
      <c r="P109" s="29"/>
      <c r="Q109" s="29"/>
      <c r="R109" s="29"/>
      <c r="S109" s="29"/>
      <c r="T109" s="29"/>
      <c r="U109" s="29"/>
      <c r="V109" s="29"/>
      <c r="W109" s="29"/>
      <c r="X109" s="29"/>
      <c r="Y109" s="29"/>
    </row>
    <row r="110" spans="2:31" x14ac:dyDescent="0.25">
      <c r="C110" s="29"/>
      <c r="D110" s="29"/>
      <c r="E110" s="29"/>
      <c r="F110" s="29"/>
      <c r="G110" s="29"/>
      <c r="H110" s="29"/>
      <c r="I110" s="29"/>
      <c r="J110" s="29"/>
      <c r="K110" s="29"/>
      <c r="L110" s="29"/>
      <c r="M110" s="29"/>
      <c r="N110" s="29"/>
      <c r="O110" s="29"/>
      <c r="P110" s="29"/>
      <c r="Q110" s="29"/>
      <c r="R110" s="29"/>
      <c r="S110" s="29"/>
      <c r="T110" s="29"/>
      <c r="U110" s="29"/>
      <c r="V110" s="29"/>
      <c r="W110" s="29"/>
      <c r="X110" s="29"/>
      <c r="Y110" s="29"/>
    </row>
    <row r="111" spans="2:31" x14ac:dyDescent="0.25">
      <c r="C111" s="29"/>
      <c r="D111" s="29"/>
      <c r="E111" s="29"/>
      <c r="F111" s="29"/>
      <c r="G111" s="29"/>
      <c r="H111" s="29"/>
      <c r="I111" s="29"/>
      <c r="J111" s="29"/>
      <c r="K111" s="29"/>
      <c r="L111" s="29"/>
      <c r="M111" s="29"/>
      <c r="N111" s="29"/>
      <c r="O111" s="29"/>
      <c r="P111" s="29"/>
      <c r="Q111" s="29"/>
      <c r="R111" s="29"/>
      <c r="S111" s="29"/>
      <c r="T111" s="29"/>
      <c r="U111" s="29"/>
      <c r="V111" s="29"/>
      <c r="W111" s="29"/>
      <c r="X111" s="29"/>
      <c r="Y111" s="29"/>
    </row>
    <row r="112" spans="2:31" x14ac:dyDescent="0.25">
      <c r="C112" s="29"/>
      <c r="D112" s="29"/>
      <c r="E112" s="29"/>
      <c r="F112" s="29"/>
      <c r="G112" s="29"/>
      <c r="H112" s="29"/>
      <c r="I112" s="29"/>
      <c r="J112" s="29"/>
      <c r="K112" s="29"/>
      <c r="L112" s="29"/>
      <c r="M112" s="29"/>
      <c r="N112" s="29"/>
      <c r="O112" s="29"/>
      <c r="P112" s="29"/>
      <c r="Q112" s="29"/>
      <c r="R112" s="29"/>
      <c r="S112" s="29"/>
      <c r="T112" s="29"/>
      <c r="U112" s="29"/>
      <c r="V112" s="29"/>
      <c r="W112" s="29"/>
      <c r="X112" s="29"/>
      <c r="Y112" s="29"/>
    </row>
    <row r="113" spans="3:25" x14ac:dyDescent="0.25">
      <c r="C113" s="29"/>
      <c r="D113" s="29"/>
      <c r="E113" s="29"/>
      <c r="F113" s="29"/>
      <c r="G113" s="29"/>
      <c r="H113" s="29"/>
      <c r="I113" s="29"/>
      <c r="J113" s="29"/>
      <c r="K113" s="29"/>
      <c r="L113" s="29"/>
      <c r="M113" s="29"/>
      <c r="N113" s="29"/>
      <c r="O113" s="29"/>
      <c r="P113" s="29"/>
      <c r="Q113" s="29"/>
      <c r="R113" s="29"/>
      <c r="S113" s="29"/>
      <c r="T113" s="29"/>
      <c r="U113" s="29"/>
      <c r="V113" s="29"/>
      <c r="W113" s="29"/>
      <c r="X113" s="29"/>
      <c r="Y113" s="29"/>
    </row>
    <row r="114" spans="3:25" x14ac:dyDescent="0.25">
      <c r="C114" s="29"/>
      <c r="D114" s="29"/>
      <c r="E114" s="29"/>
      <c r="F114" s="29"/>
      <c r="G114" s="29"/>
      <c r="H114" s="29"/>
      <c r="I114" s="29"/>
      <c r="J114" s="29"/>
      <c r="K114" s="29"/>
      <c r="L114" s="29"/>
      <c r="M114" s="29"/>
      <c r="N114" s="29"/>
      <c r="O114" s="29"/>
      <c r="P114" s="29"/>
      <c r="Q114" s="29"/>
      <c r="R114" s="29"/>
      <c r="S114" s="29"/>
      <c r="T114" s="29"/>
      <c r="U114" s="29"/>
      <c r="V114" s="29"/>
      <c r="W114" s="29"/>
      <c r="X114" s="29"/>
      <c r="Y114" s="29"/>
    </row>
    <row r="115" spans="3:25" x14ac:dyDescent="0.25">
      <c r="C115" s="29"/>
      <c r="D115" s="29"/>
      <c r="E115" s="29"/>
      <c r="F115" s="29"/>
      <c r="G115" s="29"/>
      <c r="H115" s="29"/>
      <c r="I115" s="29"/>
      <c r="J115" s="29"/>
      <c r="K115" s="29"/>
      <c r="L115" s="29"/>
      <c r="M115" s="29"/>
      <c r="N115" s="29"/>
      <c r="O115" s="29"/>
      <c r="P115" s="29"/>
      <c r="Q115" s="29"/>
      <c r="R115" s="29"/>
      <c r="S115" s="29"/>
      <c r="T115" s="29"/>
      <c r="U115" s="29"/>
      <c r="V115" s="29"/>
      <c r="W115" s="29"/>
      <c r="X115" s="29"/>
      <c r="Y115" s="29"/>
    </row>
    <row r="116" spans="3:25" x14ac:dyDescent="0.25">
      <c r="C116" s="29"/>
      <c r="D116" s="29"/>
      <c r="E116" s="29"/>
      <c r="F116" s="29"/>
      <c r="G116" s="29"/>
      <c r="H116" s="29"/>
      <c r="I116" s="29"/>
      <c r="J116" s="29"/>
      <c r="K116" s="29"/>
      <c r="L116" s="29"/>
      <c r="M116" s="29"/>
      <c r="N116" s="29"/>
      <c r="O116" s="29"/>
      <c r="P116" s="29"/>
      <c r="Q116" s="29"/>
      <c r="R116" s="29"/>
      <c r="S116" s="29"/>
      <c r="T116" s="29"/>
      <c r="U116" s="29"/>
      <c r="V116" s="29"/>
      <c r="W116" s="29"/>
      <c r="X116" s="29"/>
      <c r="Y116" s="29"/>
    </row>
    <row r="117" spans="3:25" x14ac:dyDescent="0.25">
      <c r="C117" s="29"/>
      <c r="D117" s="29"/>
      <c r="E117" s="29"/>
      <c r="F117" s="29"/>
      <c r="G117" s="29"/>
      <c r="H117" s="29"/>
      <c r="I117" s="29"/>
      <c r="J117" s="29"/>
      <c r="K117" s="29"/>
      <c r="L117" s="29"/>
      <c r="M117" s="29"/>
      <c r="N117" s="29"/>
      <c r="O117" s="29"/>
      <c r="P117" s="29"/>
      <c r="Q117" s="29"/>
      <c r="R117" s="29"/>
      <c r="S117" s="29"/>
      <c r="T117" s="29"/>
      <c r="U117" s="29"/>
      <c r="V117" s="29"/>
      <c r="W117" s="29"/>
      <c r="X117" s="29"/>
      <c r="Y117" s="29"/>
    </row>
    <row r="118" spans="3:25" x14ac:dyDescent="0.25">
      <c r="C118" s="29"/>
      <c r="D118" s="29"/>
      <c r="E118" s="29"/>
      <c r="F118" s="29"/>
      <c r="G118" s="29"/>
      <c r="H118" s="29"/>
      <c r="I118" s="29"/>
      <c r="J118" s="29"/>
      <c r="K118" s="29"/>
      <c r="L118" s="29"/>
      <c r="M118" s="29"/>
      <c r="N118" s="29"/>
      <c r="O118" s="29"/>
      <c r="P118" s="29"/>
      <c r="Q118" s="29"/>
      <c r="R118" s="29"/>
      <c r="S118" s="29"/>
      <c r="T118" s="29"/>
      <c r="U118" s="29"/>
      <c r="V118" s="29"/>
      <c r="W118" s="29"/>
      <c r="X118" s="29"/>
      <c r="Y118" s="29"/>
    </row>
    <row r="119" spans="3:25" x14ac:dyDescent="0.25">
      <c r="C119" s="29"/>
      <c r="D119" s="29"/>
      <c r="E119" s="29"/>
      <c r="F119" s="29"/>
      <c r="G119" s="29"/>
      <c r="H119" s="29"/>
      <c r="I119" s="29"/>
      <c r="J119" s="29"/>
      <c r="K119" s="29"/>
      <c r="L119" s="29"/>
      <c r="M119" s="29"/>
      <c r="N119" s="29"/>
      <c r="O119" s="29"/>
      <c r="P119" s="29"/>
      <c r="Q119" s="29"/>
      <c r="R119" s="29"/>
      <c r="S119" s="29"/>
      <c r="T119" s="29"/>
      <c r="U119" s="29"/>
      <c r="V119" s="29"/>
      <c r="W119" s="29"/>
      <c r="X119" s="29"/>
      <c r="Y119" s="29"/>
    </row>
    <row r="120" spans="3:25" x14ac:dyDescent="0.25">
      <c r="C120" s="29"/>
      <c r="D120" s="29"/>
      <c r="E120" s="29"/>
      <c r="F120" s="29"/>
      <c r="G120" s="29"/>
      <c r="H120" s="29"/>
      <c r="I120" s="29"/>
      <c r="J120" s="29"/>
      <c r="K120" s="29"/>
      <c r="L120" s="29"/>
      <c r="M120" s="29"/>
      <c r="N120" s="29"/>
      <c r="O120" s="29"/>
      <c r="P120" s="29"/>
      <c r="Q120" s="29"/>
      <c r="R120" s="29"/>
      <c r="S120" s="29"/>
      <c r="T120" s="29"/>
      <c r="U120" s="29"/>
      <c r="V120" s="29"/>
      <c r="W120" s="29"/>
      <c r="X120" s="29"/>
      <c r="Y120" s="29"/>
    </row>
    <row r="121" spans="3:25" x14ac:dyDescent="0.25">
      <c r="C121" s="29"/>
      <c r="D121" s="29"/>
      <c r="E121" s="29"/>
      <c r="F121" s="29"/>
      <c r="G121" s="29"/>
      <c r="H121" s="29"/>
      <c r="I121" s="29"/>
      <c r="J121" s="29"/>
      <c r="K121" s="29"/>
      <c r="L121" s="29"/>
      <c r="M121" s="29"/>
      <c r="N121" s="29"/>
      <c r="O121" s="29"/>
      <c r="P121" s="29"/>
      <c r="Q121" s="29"/>
      <c r="R121" s="29"/>
      <c r="S121" s="29"/>
      <c r="T121" s="29"/>
      <c r="U121" s="29"/>
      <c r="V121" s="29"/>
      <c r="W121" s="29"/>
      <c r="X121" s="29"/>
      <c r="Y121" s="29"/>
    </row>
    <row r="122" spans="3:25" x14ac:dyDescent="0.25">
      <c r="C122" s="29"/>
      <c r="D122" s="29"/>
      <c r="E122" s="29"/>
      <c r="F122" s="29"/>
      <c r="G122" s="29"/>
      <c r="H122" s="29"/>
      <c r="I122" s="29"/>
      <c r="J122" s="29"/>
      <c r="K122" s="29"/>
      <c r="L122" s="29"/>
      <c r="M122" s="29"/>
      <c r="N122" s="29"/>
      <c r="O122" s="29"/>
      <c r="P122" s="29"/>
      <c r="Q122" s="29"/>
      <c r="R122" s="29"/>
      <c r="S122" s="29"/>
      <c r="T122" s="29"/>
      <c r="U122" s="29"/>
      <c r="V122" s="29"/>
      <c r="W122" s="29"/>
      <c r="X122" s="29"/>
      <c r="Y122" s="29"/>
    </row>
    <row r="123" spans="3:25" x14ac:dyDescent="0.25">
      <c r="C123" s="29"/>
      <c r="D123" s="29"/>
      <c r="E123" s="29"/>
      <c r="F123" s="29"/>
      <c r="G123" s="29"/>
      <c r="H123" s="29"/>
      <c r="I123" s="29"/>
      <c r="J123" s="29"/>
      <c r="K123" s="29"/>
      <c r="L123" s="29"/>
      <c r="M123" s="29"/>
      <c r="N123" s="29"/>
      <c r="O123" s="29"/>
      <c r="P123" s="29"/>
      <c r="Q123" s="29"/>
      <c r="R123" s="29"/>
      <c r="S123" s="29"/>
      <c r="T123" s="29"/>
      <c r="U123" s="29"/>
      <c r="V123" s="29"/>
      <c r="W123" s="29"/>
      <c r="X123" s="29"/>
      <c r="Y123" s="29"/>
    </row>
    <row r="124" spans="3:25" x14ac:dyDescent="0.25">
      <c r="C124" s="29"/>
      <c r="D124" s="29"/>
      <c r="E124" s="29"/>
      <c r="F124" s="29"/>
      <c r="G124" s="29"/>
      <c r="H124" s="29"/>
      <c r="I124" s="29"/>
      <c r="J124" s="29"/>
      <c r="K124" s="29"/>
      <c r="L124" s="29"/>
      <c r="M124" s="29"/>
      <c r="N124" s="29"/>
      <c r="O124" s="29"/>
      <c r="P124" s="29"/>
      <c r="Q124" s="29"/>
      <c r="R124" s="29"/>
      <c r="S124" s="29"/>
      <c r="T124" s="29"/>
      <c r="U124" s="29"/>
      <c r="V124" s="29"/>
      <c r="W124" s="29"/>
      <c r="X124" s="29"/>
      <c r="Y124" s="29"/>
    </row>
    <row r="125" spans="3:25" x14ac:dyDescent="0.25">
      <c r="C125" s="29"/>
      <c r="D125" s="29"/>
      <c r="E125" s="29"/>
      <c r="F125" s="29"/>
      <c r="G125" s="29"/>
      <c r="H125" s="29"/>
      <c r="I125" s="29"/>
      <c r="J125" s="29"/>
      <c r="K125" s="29"/>
      <c r="L125" s="29"/>
      <c r="M125" s="29"/>
      <c r="N125" s="29"/>
      <c r="O125" s="29"/>
      <c r="P125" s="29"/>
      <c r="Q125" s="29"/>
      <c r="R125" s="29"/>
      <c r="S125" s="29"/>
      <c r="T125" s="29"/>
      <c r="U125" s="29"/>
      <c r="V125" s="29"/>
      <c r="W125" s="29"/>
      <c r="X125" s="29"/>
      <c r="Y125" s="29"/>
    </row>
    <row r="126" spans="3:25" x14ac:dyDescent="0.25">
      <c r="C126" s="29"/>
      <c r="D126" s="29"/>
      <c r="E126" s="29"/>
      <c r="F126" s="29"/>
      <c r="G126" s="29"/>
      <c r="H126" s="29"/>
      <c r="I126" s="29"/>
      <c r="J126" s="29"/>
      <c r="K126" s="29"/>
      <c r="L126" s="29"/>
      <c r="M126" s="29"/>
      <c r="N126" s="29"/>
      <c r="O126" s="29"/>
      <c r="P126" s="29"/>
      <c r="Q126" s="29"/>
      <c r="R126" s="29"/>
      <c r="S126" s="29"/>
      <c r="T126" s="29"/>
      <c r="U126" s="29"/>
      <c r="V126" s="29"/>
      <c r="W126" s="29"/>
      <c r="X126" s="29"/>
      <c r="Y126" s="29"/>
    </row>
    <row r="127" spans="3:25" x14ac:dyDescent="0.25">
      <c r="C127" s="29"/>
      <c r="D127" s="29"/>
      <c r="E127" s="29"/>
      <c r="F127" s="29"/>
      <c r="G127" s="29"/>
      <c r="H127" s="29"/>
      <c r="I127" s="29"/>
      <c r="J127" s="29"/>
      <c r="K127" s="29"/>
      <c r="L127" s="29"/>
      <c r="M127" s="29"/>
      <c r="N127" s="29"/>
      <c r="O127" s="29"/>
      <c r="P127" s="29"/>
      <c r="Q127" s="29"/>
      <c r="R127" s="29"/>
      <c r="S127" s="29"/>
      <c r="T127" s="29"/>
      <c r="U127" s="29"/>
      <c r="V127" s="29"/>
      <c r="W127" s="29"/>
      <c r="X127" s="29"/>
      <c r="Y127" s="29"/>
    </row>
    <row r="128" spans="3:25" x14ac:dyDescent="0.25">
      <c r="C128" s="29"/>
      <c r="D128" s="29"/>
      <c r="E128" s="29"/>
      <c r="F128" s="29"/>
      <c r="G128" s="29"/>
      <c r="H128" s="29"/>
      <c r="I128" s="29"/>
      <c r="J128" s="29"/>
      <c r="K128" s="29"/>
      <c r="L128" s="29"/>
      <c r="M128" s="29"/>
      <c r="N128" s="29"/>
      <c r="O128" s="29"/>
      <c r="P128" s="29"/>
      <c r="Q128" s="29"/>
      <c r="R128" s="29"/>
      <c r="S128" s="29"/>
      <c r="T128" s="29"/>
      <c r="U128" s="29"/>
      <c r="V128" s="29"/>
      <c r="W128" s="29"/>
      <c r="X128" s="29"/>
      <c r="Y128" s="29"/>
    </row>
    <row r="129" spans="3:25" x14ac:dyDescent="0.25">
      <c r="C129" s="29"/>
      <c r="D129" s="29"/>
      <c r="E129" s="29"/>
      <c r="F129" s="29"/>
      <c r="G129" s="29"/>
      <c r="H129" s="29"/>
      <c r="I129" s="29"/>
      <c r="J129" s="29"/>
      <c r="K129" s="29"/>
      <c r="L129" s="29"/>
      <c r="M129" s="29"/>
      <c r="N129" s="29"/>
      <c r="O129" s="29"/>
      <c r="P129" s="29"/>
      <c r="Q129" s="29"/>
      <c r="R129" s="29"/>
      <c r="S129" s="29"/>
      <c r="T129" s="29"/>
      <c r="U129" s="29"/>
      <c r="V129" s="29"/>
      <c r="W129" s="29"/>
      <c r="X129" s="29"/>
      <c r="Y129" s="29"/>
    </row>
    <row r="130" spans="3:25" x14ac:dyDescent="0.25">
      <c r="C130" s="29"/>
      <c r="D130" s="29"/>
      <c r="E130" s="29"/>
      <c r="F130" s="29"/>
      <c r="G130" s="29"/>
      <c r="H130" s="29"/>
      <c r="I130" s="29"/>
      <c r="J130" s="29"/>
      <c r="K130" s="29"/>
      <c r="L130" s="29"/>
      <c r="M130" s="29"/>
      <c r="N130" s="29"/>
      <c r="O130" s="29"/>
      <c r="P130" s="29"/>
      <c r="Q130" s="29"/>
      <c r="R130" s="29"/>
      <c r="S130" s="29"/>
      <c r="T130" s="29"/>
      <c r="U130" s="29"/>
      <c r="V130" s="29"/>
      <c r="W130" s="29"/>
      <c r="X130" s="29"/>
      <c r="Y130" s="29"/>
    </row>
    <row r="131" spans="3:25" x14ac:dyDescent="0.25">
      <c r="C131" s="29"/>
      <c r="D131" s="29"/>
      <c r="E131" s="29"/>
      <c r="F131" s="29"/>
      <c r="G131" s="29"/>
      <c r="H131" s="29"/>
      <c r="I131" s="29"/>
      <c r="J131" s="29"/>
      <c r="K131" s="29"/>
      <c r="L131" s="29"/>
      <c r="M131" s="29"/>
      <c r="N131" s="29"/>
      <c r="O131" s="29"/>
      <c r="P131" s="29"/>
      <c r="Q131" s="29"/>
      <c r="R131" s="29"/>
      <c r="S131" s="29"/>
      <c r="T131" s="29"/>
      <c r="U131" s="29"/>
      <c r="V131" s="29"/>
      <c r="W131" s="29"/>
      <c r="X131" s="29"/>
      <c r="Y131" s="29"/>
    </row>
    <row r="132" spans="3:25" x14ac:dyDescent="0.25">
      <c r="C132" s="29"/>
      <c r="D132" s="29"/>
      <c r="E132" s="29"/>
      <c r="F132" s="29"/>
      <c r="G132" s="29"/>
      <c r="H132" s="29"/>
      <c r="I132" s="29"/>
      <c r="J132" s="29"/>
      <c r="K132" s="29"/>
      <c r="L132" s="29"/>
      <c r="M132" s="29"/>
      <c r="N132" s="29"/>
      <c r="O132" s="29"/>
      <c r="P132" s="29"/>
      <c r="Q132" s="29"/>
      <c r="R132" s="29"/>
      <c r="S132" s="29"/>
      <c r="T132" s="29"/>
      <c r="U132" s="29"/>
      <c r="V132" s="29"/>
      <c r="W132" s="29"/>
      <c r="X132" s="29"/>
      <c r="Y132" s="29"/>
    </row>
    <row r="133" spans="3:25" x14ac:dyDescent="0.25">
      <c r="C133" s="29"/>
      <c r="D133" s="29"/>
      <c r="E133" s="29"/>
      <c r="F133" s="29"/>
      <c r="G133" s="29"/>
      <c r="H133" s="29"/>
      <c r="I133" s="29"/>
      <c r="J133" s="29"/>
      <c r="K133" s="29"/>
      <c r="L133" s="29"/>
      <c r="M133" s="29"/>
      <c r="N133" s="29"/>
      <c r="O133" s="29"/>
      <c r="P133" s="29"/>
      <c r="Q133" s="29"/>
      <c r="R133" s="29"/>
      <c r="S133" s="29"/>
      <c r="T133" s="29"/>
      <c r="U133" s="29"/>
      <c r="V133" s="29"/>
      <c r="W133" s="29"/>
      <c r="X133" s="29"/>
      <c r="Y133" s="29"/>
    </row>
    <row r="134" spans="3:25" x14ac:dyDescent="0.25">
      <c r="C134" s="29"/>
      <c r="D134" s="29"/>
      <c r="E134" s="29"/>
      <c r="F134" s="29"/>
      <c r="G134" s="29"/>
      <c r="H134" s="29"/>
      <c r="I134" s="29"/>
      <c r="J134" s="29"/>
      <c r="K134" s="29"/>
      <c r="L134" s="29"/>
      <c r="M134" s="29"/>
      <c r="N134" s="29"/>
      <c r="O134" s="29"/>
      <c r="P134" s="29"/>
      <c r="Q134" s="29"/>
      <c r="R134" s="29"/>
      <c r="S134" s="29"/>
      <c r="T134" s="29"/>
      <c r="U134" s="29"/>
      <c r="V134" s="29"/>
      <c r="W134" s="29"/>
      <c r="X134" s="29"/>
      <c r="Y134" s="29"/>
    </row>
    <row r="135" spans="3:25" x14ac:dyDescent="0.25">
      <c r="C135" s="29"/>
      <c r="D135" s="29"/>
      <c r="E135" s="29"/>
      <c r="F135" s="29"/>
      <c r="G135" s="29"/>
      <c r="H135" s="29"/>
      <c r="I135" s="29"/>
      <c r="J135" s="29"/>
      <c r="K135" s="29"/>
      <c r="L135" s="29"/>
      <c r="M135" s="29"/>
      <c r="N135" s="29"/>
      <c r="O135" s="29"/>
      <c r="P135" s="29"/>
      <c r="Q135" s="29"/>
      <c r="R135" s="29"/>
      <c r="S135" s="29"/>
      <c r="T135" s="29"/>
      <c r="U135" s="29"/>
      <c r="V135" s="29"/>
      <c r="W135" s="29"/>
      <c r="X135" s="29"/>
      <c r="Y135" s="29"/>
    </row>
    <row r="136" spans="3:25" x14ac:dyDescent="0.25">
      <c r="C136" s="29"/>
      <c r="D136" s="29"/>
      <c r="E136" s="29"/>
      <c r="F136" s="29"/>
      <c r="G136" s="29"/>
      <c r="H136" s="29"/>
      <c r="I136" s="29"/>
      <c r="J136" s="29"/>
      <c r="K136" s="29"/>
      <c r="L136" s="29"/>
      <c r="M136" s="29"/>
      <c r="N136" s="29"/>
      <c r="O136" s="29"/>
      <c r="P136" s="29"/>
      <c r="Q136" s="29"/>
      <c r="R136" s="29"/>
      <c r="S136" s="29"/>
      <c r="T136" s="29"/>
      <c r="U136" s="29"/>
      <c r="V136" s="29"/>
      <c r="W136" s="29"/>
      <c r="X136" s="29"/>
      <c r="Y136" s="29"/>
    </row>
    <row r="137" spans="3:25" x14ac:dyDescent="0.25">
      <c r="C137" s="29"/>
      <c r="D137" s="29"/>
      <c r="E137" s="29"/>
      <c r="F137" s="29"/>
      <c r="G137" s="29"/>
      <c r="H137" s="29"/>
      <c r="I137" s="29"/>
      <c r="J137" s="29"/>
      <c r="K137" s="29"/>
      <c r="L137" s="29"/>
      <c r="M137" s="29"/>
      <c r="N137" s="29"/>
      <c r="O137" s="29"/>
      <c r="P137" s="29"/>
      <c r="Q137" s="29"/>
      <c r="R137" s="29"/>
      <c r="S137" s="29"/>
      <c r="T137" s="29"/>
      <c r="U137" s="29"/>
      <c r="V137" s="29"/>
      <c r="W137" s="29"/>
      <c r="X137" s="29"/>
      <c r="Y137" s="29"/>
    </row>
    <row r="138" spans="3:25" x14ac:dyDescent="0.25">
      <c r="C138" s="29"/>
      <c r="D138" s="29"/>
      <c r="E138" s="29"/>
      <c r="F138" s="29"/>
      <c r="G138" s="29"/>
      <c r="H138" s="29"/>
      <c r="I138" s="29"/>
      <c r="J138" s="29"/>
      <c r="K138" s="29"/>
      <c r="L138" s="29"/>
      <c r="M138" s="29"/>
      <c r="N138" s="29"/>
      <c r="O138" s="29"/>
      <c r="P138" s="29"/>
      <c r="Q138" s="29"/>
      <c r="R138" s="29"/>
      <c r="S138" s="29"/>
      <c r="T138" s="29"/>
      <c r="U138" s="29"/>
      <c r="V138" s="29"/>
      <c r="W138" s="29"/>
      <c r="X138" s="29"/>
      <c r="Y138" s="29"/>
    </row>
    <row r="139" spans="3:25" x14ac:dyDescent="0.25">
      <c r="C139" s="29"/>
      <c r="D139" s="29"/>
      <c r="E139" s="29"/>
      <c r="F139" s="29"/>
      <c r="G139" s="29"/>
      <c r="H139" s="29"/>
      <c r="I139" s="29"/>
      <c r="J139" s="29"/>
      <c r="K139" s="29"/>
      <c r="L139" s="29"/>
      <c r="M139" s="29"/>
      <c r="N139" s="29"/>
      <c r="O139" s="29"/>
      <c r="P139" s="29"/>
      <c r="Q139" s="29"/>
      <c r="R139" s="29"/>
      <c r="S139" s="29"/>
      <c r="T139" s="29"/>
      <c r="U139" s="29"/>
      <c r="V139" s="29"/>
      <c r="W139" s="29"/>
      <c r="X139" s="29"/>
      <c r="Y139" s="29"/>
    </row>
    <row r="140" spans="3:25" x14ac:dyDescent="0.25">
      <c r="C140" s="29"/>
      <c r="D140" s="29"/>
      <c r="E140" s="29"/>
      <c r="F140" s="29"/>
      <c r="G140" s="29"/>
      <c r="H140" s="29"/>
      <c r="I140" s="29"/>
      <c r="J140" s="29"/>
      <c r="K140" s="29"/>
      <c r="L140" s="29"/>
      <c r="M140" s="29"/>
      <c r="N140" s="29"/>
      <c r="O140" s="29"/>
      <c r="P140" s="29"/>
      <c r="Q140" s="29"/>
      <c r="R140" s="29"/>
      <c r="S140" s="29"/>
      <c r="T140" s="29"/>
      <c r="U140" s="29"/>
      <c r="V140" s="29"/>
      <c r="W140" s="29"/>
      <c r="X140" s="29"/>
      <c r="Y140" s="29"/>
    </row>
    <row r="141" spans="3:25" x14ac:dyDescent="0.25">
      <c r="C141" s="29"/>
      <c r="D141" s="29"/>
      <c r="E141" s="29"/>
      <c r="F141" s="29"/>
      <c r="G141" s="29"/>
      <c r="H141" s="29"/>
      <c r="I141" s="29"/>
      <c r="J141" s="29"/>
      <c r="K141" s="29"/>
      <c r="L141" s="29"/>
      <c r="M141" s="29"/>
      <c r="N141" s="29"/>
      <c r="O141" s="29"/>
      <c r="P141" s="29"/>
      <c r="Q141" s="29"/>
      <c r="R141" s="29"/>
      <c r="S141" s="29"/>
      <c r="T141" s="29"/>
      <c r="U141" s="29"/>
      <c r="V141" s="29"/>
      <c r="W141" s="29"/>
      <c r="X141" s="29"/>
      <c r="Y141" s="29"/>
    </row>
    <row r="142" spans="3:25" x14ac:dyDescent="0.25">
      <c r="C142" s="29"/>
      <c r="D142" s="29"/>
      <c r="E142" s="29"/>
      <c r="F142" s="29"/>
      <c r="G142" s="29"/>
      <c r="H142" s="29"/>
      <c r="I142" s="29"/>
      <c r="J142" s="29"/>
      <c r="K142" s="29"/>
      <c r="L142" s="29"/>
      <c r="M142" s="29"/>
      <c r="N142" s="29"/>
      <c r="O142" s="29"/>
      <c r="P142" s="29"/>
      <c r="Q142" s="29"/>
      <c r="R142" s="29"/>
      <c r="S142" s="29"/>
      <c r="T142" s="29"/>
      <c r="U142" s="29"/>
      <c r="V142" s="29"/>
      <c r="W142" s="29"/>
      <c r="X142" s="29"/>
      <c r="Y142" s="29"/>
    </row>
    <row r="143" spans="3:25" x14ac:dyDescent="0.25">
      <c r="C143" s="29"/>
      <c r="D143" s="29"/>
      <c r="E143" s="29"/>
      <c r="F143" s="29"/>
      <c r="G143" s="29"/>
      <c r="H143" s="29"/>
      <c r="I143" s="29"/>
      <c r="J143" s="29"/>
      <c r="K143" s="29"/>
      <c r="L143" s="29"/>
      <c r="M143" s="29"/>
      <c r="N143" s="29"/>
      <c r="O143" s="29"/>
      <c r="P143" s="29"/>
      <c r="Q143" s="29"/>
      <c r="R143" s="29"/>
      <c r="S143" s="29"/>
      <c r="T143" s="29"/>
      <c r="U143" s="29"/>
      <c r="V143" s="29"/>
      <c r="W143" s="29"/>
      <c r="X143" s="29"/>
      <c r="Y143" s="29"/>
    </row>
    <row r="144" spans="3:25" x14ac:dyDescent="0.25">
      <c r="C144" s="29"/>
      <c r="D144" s="29"/>
      <c r="E144" s="29"/>
      <c r="F144" s="29"/>
      <c r="G144" s="29"/>
      <c r="H144" s="29"/>
      <c r="I144" s="29"/>
      <c r="J144" s="29"/>
      <c r="K144" s="29"/>
      <c r="L144" s="29"/>
      <c r="M144" s="29"/>
      <c r="N144" s="29"/>
      <c r="O144" s="29"/>
      <c r="P144" s="29"/>
      <c r="Q144" s="29"/>
      <c r="R144" s="29"/>
      <c r="S144" s="29"/>
      <c r="T144" s="29"/>
      <c r="U144" s="29"/>
      <c r="V144" s="29"/>
      <c r="W144" s="29"/>
      <c r="X144" s="29"/>
      <c r="Y144" s="29"/>
    </row>
    <row r="145" spans="2:25" x14ac:dyDescent="0.25">
      <c r="C145" s="29"/>
      <c r="D145" s="29"/>
      <c r="E145" s="29"/>
      <c r="F145" s="29"/>
      <c r="G145" s="29"/>
      <c r="H145" s="29"/>
      <c r="I145" s="29"/>
      <c r="J145" s="29"/>
      <c r="K145" s="29"/>
      <c r="L145" s="29"/>
      <c r="M145" s="29"/>
      <c r="N145" s="29"/>
      <c r="O145" s="29"/>
      <c r="P145" s="29"/>
      <c r="Q145" s="29"/>
      <c r="R145" s="29"/>
      <c r="S145" s="29"/>
      <c r="T145" s="29"/>
      <c r="U145" s="29"/>
      <c r="V145" s="29"/>
      <c r="W145" s="29"/>
      <c r="X145" s="29"/>
      <c r="Y145" s="29"/>
    </row>
    <row r="146" spans="2:25" x14ac:dyDescent="0.25">
      <c r="C146" s="29"/>
      <c r="D146" s="29"/>
      <c r="E146" s="29"/>
      <c r="F146" s="29"/>
      <c r="G146" s="29"/>
      <c r="H146" s="29"/>
      <c r="I146" s="29"/>
      <c r="J146" s="29"/>
      <c r="K146" s="29"/>
      <c r="L146" s="29"/>
      <c r="M146" s="29"/>
      <c r="N146" s="29"/>
      <c r="O146" s="29"/>
      <c r="P146" s="29"/>
      <c r="Q146" s="29"/>
      <c r="R146" s="29"/>
      <c r="S146" s="29"/>
      <c r="T146" s="29"/>
      <c r="U146" s="29"/>
      <c r="V146" s="29"/>
      <c r="W146" s="29"/>
      <c r="X146" s="29"/>
      <c r="Y146" s="29"/>
    </row>
    <row r="147" spans="2:25" x14ac:dyDescent="0.25">
      <c r="C147" s="29"/>
      <c r="D147" s="29"/>
      <c r="E147" s="29"/>
      <c r="F147" s="29"/>
      <c r="G147" s="29"/>
      <c r="H147" s="29"/>
      <c r="I147" s="29"/>
      <c r="J147" s="29"/>
      <c r="K147" s="29"/>
      <c r="L147" s="29"/>
      <c r="M147" s="29"/>
      <c r="N147" s="29"/>
      <c r="O147" s="29"/>
      <c r="P147" s="29"/>
      <c r="Q147" s="29"/>
      <c r="R147" s="29"/>
      <c r="S147" s="29"/>
      <c r="T147" s="29"/>
      <c r="U147" s="29"/>
      <c r="V147" s="29"/>
      <c r="W147" s="29"/>
      <c r="X147" s="29"/>
      <c r="Y147" s="29"/>
    </row>
    <row r="148" spans="2:25" x14ac:dyDescent="0.25">
      <c r="C148" s="29"/>
      <c r="D148" s="29"/>
      <c r="E148" s="29"/>
      <c r="F148" s="29"/>
      <c r="G148" s="29"/>
      <c r="H148" s="29"/>
      <c r="I148" s="29"/>
      <c r="J148" s="29"/>
      <c r="K148" s="29"/>
      <c r="L148" s="29"/>
      <c r="M148" s="29"/>
      <c r="N148" s="29"/>
      <c r="O148" s="29"/>
      <c r="P148" s="29"/>
      <c r="Q148" s="29"/>
      <c r="R148" s="29"/>
      <c r="S148" s="29"/>
      <c r="T148" s="29"/>
      <c r="U148" s="29"/>
      <c r="V148" s="29"/>
      <c r="W148" s="29"/>
      <c r="X148" s="29"/>
      <c r="Y148" s="29"/>
    </row>
    <row r="149" spans="2:25" x14ac:dyDescent="0.25">
      <c r="C149" s="29"/>
      <c r="D149" s="29"/>
      <c r="E149" s="29"/>
      <c r="F149" s="29"/>
      <c r="G149" s="29"/>
      <c r="H149" s="29"/>
      <c r="I149" s="29"/>
      <c r="J149" s="29"/>
      <c r="K149" s="29"/>
      <c r="L149" s="29"/>
      <c r="M149" s="29"/>
      <c r="N149" s="29"/>
      <c r="O149" s="29"/>
      <c r="P149" s="29"/>
      <c r="Q149" s="29"/>
      <c r="R149" s="29"/>
      <c r="S149" s="29"/>
      <c r="T149" s="29"/>
      <c r="U149" s="29"/>
      <c r="V149" s="29"/>
      <c r="W149" s="29"/>
      <c r="X149" s="29"/>
      <c r="Y149" s="29"/>
    </row>
    <row r="150" spans="2:25" x14ac:dyDescent="0.25">
      <c r="C150" s="29"/>
      <c r="D150" s="29"/>
      <c r="E150" s="29"/>
      <c r="F150" s="29"/>
      <c r="G150" s="29"/>
      <c r="H150" s="29"/>
      <c r="I150" s="29"/>
      <c r="J150" s="29"/>
      <c r="K150" s="29"/>
      <c r="L150" s="29"/>
      <c r="M150" s="29"/>
      <c r="N150" s="29"/>
      <c r="O150" s="29"/>
      <c r="P150" s="29"/>
      <c r="Q150" s="29"/>
      <c r="R150" s="29"/>
      <c r="S150" s="29"/>
      <c r="T150" s="29"/>
      <c r="U150" s="29"/>
      <c r="V150" s="29"/>
      <c r="W150" s="29"/>
      <c r="X150" s="29"/>
      <c r="Y150" s="29"/>
    </row>
    <row r="151" spans="2:25" x14ac:dyDescent="0.25">
      <c r="C151" s="29"/>
      <c r="D151" s="29"/>
      <c r="E151" s="29"/>
      <c r="F151" s="29"/>
      <c r="G151" s="29"/>
      <c r="H151" s="29"/>
      <c r="I151" s="29"/>
      <c r="J151" s="29"/>
      <c r="K151" s="29"/>
      <c r="L151" s="29"/>
      <c r="M151" s="29"/>
      <c r="N151" s="29"/>
      <c r="O151" s="29"/>
      <c r="P151" s="29"/>
      <c r="Q151" s="29"/>
      <c r="R151" s="29"/>
      <c r="S151" s="29"/>
      <c r="T151" s="29"/>
      <c r="U151" s="29"/>
      <c r="V151" s="29"/>
      <c r="W151" s="29"/>
      <c r="X151" s="29"/>
      <c r="Y151" s="29"/>
    </row>
    <row r="154" spans="2:25" x14ac:dyDescent="0.25">
      <c r="B154" s="176"/>
      <c r="C154" s="208"/>
      <c r="D154" s="208"/>
      <c r="E154" s="208"/>
      <c r="F154" s="208"/>
      <c r="G154" s="208"/>
      <c r="H154" s="208"/>
      <c r="I154" s="29"/>
      <c r="J154" s="29"/>
      <c r="K154" s="29"/>
      <c r="L154" s="29"/>
      <c r="M154" s="29"/>
      <c r="N154" s="29"/>
      <c r="O154" s="29"/>
      <c r="P154" s="29"/>
      <c r="Q154" s="29"/>
      <c r="R154" s="29"/>
      <c r="S154" s="29"/>
      <c r="T154" s="29"/>
      <c r="U154" s="29"/>
      <c r="V154" s="29"/>
      <c r="W154" s="29"/>
      <c r="X154" s="29"/>
      <c r="Y154" s="29"/>
    </row>
  </sheetData>
  <mergeCells count="43">
    <mergeCell ref="I65:J65"/>
    <mergeCell ref="K65:L65"/>
    <mergeCell ref="M65:N65"/>
    <mergeCell ref="F8:G8"/>
    <mergeCell ref="C65:D65"/>
    <mergeCell ref="B31:O31"/>
    <mergeCell ref="B60:O60"/>
    <mergeCell ref="B65:B66"/>
    <mergeCell ref="B57:B59"/>
    <mergeCell ref="E65:F65"/>
    <mergeCell ref="G65:H65"/>
    <mergeCell ref="D7:O7"/>
    <mergeCell ref="B7:B9"/>
    <mergeCell ref="C7:C9"/>
    <mergeCell ref="B36:B38"/>
    <mergeCell ref="C36:C38"/>
    <mergeCell ref="D36:O36"/>
    <mergeCell ref="D37:E37"/>
    <mergeCell ref="F37:G37"/>
    <mergeCell ref="H37:I37"/>
    <mergeCell ref="J37:K37"/>
    <mergeCell ref="L37:M37"/>
    <mergeCell ref="N37:O37"/>
    <mergeCell ref="L8:M8"/>
    <mergeCell ref="H8:I8"/>
    <mergeCell ref="D8:E8"/>
    <mergeCell ref="B16:B18"/>
    <mergeCell ref="B107:P107"/>
    <mergeCell ref="B10:B12"/>
    <mergeCell ref="B13:B15"/>
    <mergeCell ref="N8:O8"/>
    <mergeCell ref="J8:K8"/>
    <mergeCell ref="O65:P65"/>
    <mergeCell ref="B19:B21"/>
    <mergeCell ref="B39:B41"/>
    <mergeCell ref="B42:B44"/>
    <mergeCell ref="B48:B50"/>
    <mergeCell ref="B51:B53"/>
    <mergeCell ref="B45:B47"/>
    <mergeCell ref="B25:B27"/>
    <mergeCell ref="B28:B30"/>
    <mergeCell ref="B22:B24"/>
    <mergeCell ref="B54:B56"/>
  </mergeCells>
  <phoneticPr fontId="28" type="noConversion"/>
  <pageMargins left="0.7" right="0.7" top="0.75" bottom="0.75" header="0.3" footer="0.3"/>
  <pageSetup scale="8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F1EED-E81D-475E-BC1D-BD5F00485FFA}">
  <sheetPr>
    <tabColor rgb="FF00B0F0"/>
  </sheetPr>
  <dimension ref="B2:AI117"/>
  <sheetViews>
    <sheetView workbookViewId="0"/>
  </sheetViews>
  <sheetFormatPr baseColWidth="10" defaultColWidth="11.5703125" defaultRowHeight="15" x14ac:dyDescent="0.25"/>
  <cols>
    <col min="1" max="1" width="7.28515625" style="23" customWidth="1"/>
    <col min="2" max="2" width="12" style="23" customWidth="1"/>
    <col min="3" max="4" width="11.5703125" style="23"/>
    <col min="5" max="5" width="13" style="23" customWidth="1"/>
    <col min="6" max="7" width="11.5703125" style="23"/>
    <col min="8" max="8" width="14.42578125" style="23" customWidth="1"/>
    <col min="9" max="9" width="9.85546875" style="23" customWidth="1"/>
    <col min="10" max="10" width="5.85546875" style="23" customWidth="1"/>
    <col min="11" max="11" width="16.28515625" style="23" customWidth="1"/>
    <col min="12" max="29" width="11.5703125" style="23"/>
    <col min="30" max="30" width="16.7109375" style="23" customWidth="1"/>
    <col min="31" max="33" width="11.5703125" style="23"/>
    <col min="34" max="34" width="20.42578125" style="23" bestFit="1" customWidth="1"/>
    <col min="35" max="16384" width="11.5703125" style="23"/>
  </cols>
  <sheetData>
    <row r="2" spans="2:35" ht="24" customHeight="1" x14ac:dyDescent="0.25">
      <c r="B2" s="1" t="s">
        <v>30</v>
      </c>
      <c r="C2"/>
      <c r="D2"/>
    </row>
    <row r="3" spans="2:35" ht="17.45" customHeight="1" x14ac:dyDescent="0.35">
      <c r="B3" s="222" t="s">
        <v>558</v>
      </c>
    </row>
    <row r="4" spans="2:35" ht="18.75" x14ac:dyDescent="0.3">
      <c r="B4" s="2" t="s">
        <v>31</v>
      </c>
      <c r="C4" s="2"/>
      <c r="D4" s="2"/>
      <c r="E4" s="2"/>
      <c r="F4" s="2"/>
      <c r="G4" s="2"/>
      <c r="H4" s="2"/>
      <c r="I4" s="24"/>
    </row>
    <row r="5" spans="2:35" x14ac:dyDescent="0.25">
      <c r="B5" s="31" t="s">
        <v>1</v>
      </c>
      <c r="C5" s="25"/>
      <c r="D5" s="25"/>
      <c r="E5" s="25"/>
      <c r="F5" s="25"/>
      <c r="G5" s="25"/>
      <c r="H5" s="25"/>
    </row>
    <row r="7" spans="2:35" ht="32.450000000000003" customHeight="1" x14ac:dyDescent="0.25">
      <c r="B7" s="500" t="s">
        <v>11</v>
      </c>
      <c r="C7" s="501" t="s">
        <v>32</v>
      </c>
      <c r="D7" s="502"/>
      <c r="E7" s="502"/>
      <c r="F7" s="502"/>
      <c r="G7" s="502"/>
      <c r="H7" s="502"/>
    </row>
    <row r="8" spans="2:35" ht="37.9" customHeight="1" x14ac:dyDescent="0.25">
      <c r="B8" s="500"/>
      <c r="C8" s="32" t="s">
        <v>33</v>
      </c>
      <c r="D8" s="32" t="s">
        <v>34</v>
      </c>
      <c r="E8" s="33" t="s">
        <v>21</v>
      </c>
      <c r="F8" s="32" t="s">
        <v>35</v>
      </c>
      <c r="G8" s="32" t="s">
        <v>22</v>
      </c>
      <c r="H8" s="34" t="s">
        <v>36</v>
      </c>
      <c r="K8" s="221" t="s">
        <v>557</v>
      </c>
    </row>
    <row r="9" spans="2:35" ht="15.75" customHeight="1" x14ac:dyDescent="0.3">
      <c r="B9" s="35" t="s">
        <v>37</v>
      </c>
      <c r="C9" s="36">
        <v>83903</v>
      </c>
      <c r="D9" s="36">
        <v>36885</v>
      </c>
      <c r="E9" s="36">
        <v>12630</v>
      </c>
      <c r="F9" s="36">
        <v>5944</v>
      </c>
      <c r="G9" s="36"/>
      <c r="H9" s="36">
        <f t="shared" ref="H9:H28" si="0">SUM(C9:F9)</f>
        <v>139362</v>
      </c>
      <c r="K9" s="37" t="s">
        <v>38</v>
      </c>
      <c r="L9" s="24"/>
      <c r="M9" s="24"/>
      <c r="N9" s="24"/>
      <c r="O9" s="24"/>
      <c r="P9" s="24"/>
      <c r="Q9" s="24"/>
      <c r="R9" s="24"/>
      <c r="S9" s="24"/>
      <c r="T9" s="24"/>
      <c r="AD9" s="37" t="s">
        <v>38</v>
      </c>
    </row>
    <row r="10" spans="2:35" ht="15.75" customHeight="1" x14ac:dyDescent="0.25">
      <c r="B10" s="35" t="s">
        <v>39</v>
      </c>
      <c r="C10" s="36">
        <v>59154</v>
      </c>
      <c r="D10" s="36">
        <v>35458</v>
      </c>
      <c r="E10" s="36">
        <v>298121</v>
      </c>
      <c r="F10" s="36">
        <v>11707</v>
      </c>
      <c r="G10" s="36"/>
      <c r="H10" s="36">
        <f t="shared" si="0"/>
        <v>404440</v>
      </c>
      <c r="K10" s="3" t="s">
        <v>1</v>
      </c>
      <c r="AD10" s="3" t="s">
        <v>520</v>
      </c>
    </row>
    <row r="11" spans="2:35" ht="15.75" customHeight="1" thickBot="1" x14ac:dyDescent="0.3">
      <c r="B11" s="35" t="s">
        <v>40</v>
      </c>
      <c r="C11" s="36">
        <v>40733</v>
      </c>
      <c r="D11" s="36">
        <v>24967</v>
      </c>
      <c r="E11" s="36">
        <v>168046</v>
      </c>
      <c r="F11" s="36">
        <v>11929</v>
      </c>
      <c r="G11" s="36"/>
      <c r="H11" s="36">
        <f t="shared" si="0"/>
        <v>245675</v>
      </c>
    </row>
    <row r="12" spans="2:35" ht="15.75" customHeight="1" thickBot="1" x14ac:dyDescent="0.3">
      <c r="B12" s="35" t="s">
        <v>41</v>
      </c>
      <c r="C12" s="36">
        <v>37414</v>
      </c>
      <c r="D12" s="36">
        <v>20938</v>
      </c>
      <c r="E12" s="36">
        <v>126071</v>
      </c>
      <c r="F12" s="36">
        <v>10368</v>
      </c>
      <c r="G12" s="36"/>
      <c r="H12" s="36">
        <f t="shared" si="0"/>
        <v>194791</v>
      </c>
      <c r="K12" s="38" t="s">
        <v>42</v>
      </c>
      <c r="L12" s="39">
        <v>2008</v>
      </c>
      <c r="M12" s="40">
        <v>2009</v>
      </c>
      <c r="N12" s="40">
        <v>2010</v>
      </c>
      <c r="O12" s="40">
        <v>2011</v>
      </c>
      <c r="P12" s="40">
        <v>2012</v>
      </c>
      <c r="Q12" s="40">
        <v>2013</v>
      </c>
      <c r="R12" s="40">
        <v>2014</v>
      </c>
      <c r="S12" s="40">
        <v>2015</v>
      </c>
      <c r="T12" s="40">
        <v>2016</v>
      </c>
      <c r="U12" s="40">
        <v>2017</v>
      </c>
      <c r="V12" s="40">
        <v>2018</v>
      </c>
      <c r="W12" s="40">
        <v>2019</v>
      </c>
      <c r="X12" s="40">
        <v>2020</v>
      </c>
      <c r="Y12" s="40">
        <v>2021</v>
      </c>
      <c r="Z12" s="41">
        <v>2022</v>
      </c>
      <c r="AA12" s="38" t="s">
        <v>36</v>
      </c>
      <c r="AD12" s="214" t="s">
        <v>42</v>
      </c>
      <c r="AE12" s="215">
        <v>44835</v>
      </c>
      <c r="AF12" s="215">
        <v>44866</v>
      </c>
      <c r="AG12" s="215">
        <v>44896</v>
      </c>
      <c r="AH12" s="214" t="s">
        <v>488</v>
      </c>
      <c r="AI12"/>
    </row>
    <row r="13" spans="2:35" ht="15.75" customHeight="1" x14ac:dyDescent="0.25">
      <c r="B13" s="35" t="s">
        <v>43</v>
      </c>
      <c r="C13" s="36">
        <v>34111</v>
      </c>
      <c r="D13" s="36">
        <v>19594</v>
      </c>
      <c r="E13" s="36">
        <v>130339</v>
      </c>
      <c r="F13" s="36">
        <v>8226</v>
      </c>
      <c r="G13" s="36"/>
      <c r="H13" s="36">
        <f t="shared" si="0"/>
        <v>192270</v>
      </c>
      <c r="K13" s="42" t="s">
        <v>44</v>
      </c>
      <c r="L13" s="43">
        <v>95470</v>
      </c>
      <c r="M13" s="44">
        <v>299851</v>
      </c>
      <c r="N13" s="44">
        <v>148063</v>
      </c>
      <c r="O13" s="44">
        <v>114399</v>
      </c>
      <c r="P13" s="44">
        <v>126850</v>
      </c>
      <c r="Q13" s="44">
        <v>83745</v>
      </c>
      <c r="R13" s="44">
        <v>94143</v>
      </c>
      <c r="S13" s="44">
        <v>84139</v>
      </c>
      <c r="T13" s="44">
        <v>84299</v>
      </c>
      <c r="U13" s="44">
        <v>94990</v>
      </c>
      <c r="V13" s="44">
        <v>106236</v>
      </c>
      <c r="W13" s="44">
        <v>95189</v>
      </c>
      <c r="X13" s="44">
        <v>107160</v>
      </c>
      <c r="Y13" s="44">
        <v>117979</v>
      </c>
      <c r="Z13" s="45">
        <v>250187</v>
      </c>
      <c r="AA13" s="46">
        <f>SUM(L13:Z13)</f>
        <v>1902700</v>
      </c>
      <c r="AD13" s="212" t="s">
        <v>44</v>
      </c>
      <c r="AE13" s="213">
        <v>19719</v>
      </c>
      <c r="AF13" s="213">
        <v>22796</v>
      </c>
      <c r="AG13" s="213">
        <v>17770</v>
      </c>
      <c r="AH13" s="213">
        <f>SUM(AE13:AG13)</f>
        <v>60285</v>
      </c>
      <c r="AI13"/>
    </row>
    <row r="14" spans="2:35" ht="15.75" customHeight="1" x14ac:dyDescent="0.25">
      <c r="B14" s="35" t="s">
        <v>45</v>
      </c>
      <c r="C14" s="36">
        <v>32718</v>
      </c>
      <c r="D14" s="36">
        <v>17032</v>
      </c>
      <c r="E14" s="36">
        <v>76989</v>
      </c>
      <c r="F14" s="36">
        <v>7295</v>
      </c>
      <c r="G14" s="36"/>
      <c r="H14" s="36">
        <f t="shared" si="0"/>
        <v>134034</v>
      </c>
      <c r="K14" s="47" t="s">
        <v>46</v>
      </c>
      <c r="L14" s="48">
        <v>1029</v>
      </c>
      <c r="M14" s="49">
        <v>30362</v>
      </c>
      <c r="N14" s="49">
        <v>32918</v>
      </c>
      <c r="O14" s="49">
        <v>25990</v>
      </c>
      <c r="P14" s="49">
        <v>24058</v>
      </c>
      <c r="Q14" s="49">
        <v>22686</v>
      </c>
      <c r="R14" s="49">
        <v>27044</v>
      </c>
      <c r="S14" s="49">
        <v>29604</v>
      </c>
      <c r="T14" s="49">
        <v>29016</v>
      </c>
      <c r="U14" s="49">
        <v>34397</v>
      </c>
      <c r="V14" s="49">
        <v>43517</v>
      </c>
      <c r="W14" s="49">
        <v>43221</v>
      </c>
      <c r="X14" s="49">
        <v>56267</v>
      </c>
      <c r="Y14" s="49">
        <v>73775</v>
      </c>
      <c r="Z14" s="50">
        <v>99369</v>
      </c>
      <c r="AA14" s="51">
        <f t="shared" ref="AA14:AA17" si="1">SUM(L14:Z14)</f>
        <v>573253</v>
      </c>
      <c r="AD14" s="212" t="s">
        <v>46</v>
      </c>
      <c r="AE14" s="213">
        <v>6527</v>
      </c>
      <c r="AF14" s="213">
        <v>6510</v>
      </c>
      <c r="AG14" s="213">
        <v>5625</v>
      </c>
      <c r="AH14" s="213">
        <f t="shared" ref="AH14:AH17" si="2">SUM(AE14:AG14)</f>
        <v>18662</v>
      </c>
      <c r="AI14"/>
    </row>
    <row r="15" spans="2:35" ht="15.75" customHeight="1" x14ac:dyDescent="0.25">
      <c r="B15" s="35" t="s">
        <v>47</v>
      </c>
      <c r="C15" s="36">
        <v>39392</v>
      </c>
      <c r="D15" s="36">
        <v>17573</v>
      </c>
      <c r="E15" s="36">
        <v>88545</v>
      </c>
      <c r="F15" s="36">
        <v>6054</v>
      </c>
      <c r="G15" s="36"/>
      <c r="H15" s="36">
        <f t="shared" si="0"/>
        <v>151564</v>
      </c>
      <c r="I15" s="52"/>
      <c r="K15" s="47" t="s">
        <v>48</v>
      </c>
      <c r="L15" s="48">
        <v>0</v>
      </c>
      <c r="M15" s="49">
        <v>0</v>
      </c>
      <c r="N15" s="49">
        <v>5301</v>
      </c>
      <c r="O15" s="49">
        <v>11377</v>
      </c>
      <c r="P15" s="49">
        <v>9223</v>
      </c>
      <c r="Q15" s="49">
        <v>6357</v>
      </c>
      <c r="R15" s="49">
        <v>6542</v>
      </c>
      <c r="S15" s="49">
        <v>5381</v>
      </c>
      <c r="T15" s="49">
        <v>4531</v>
      </c>
      <c r="U15" s="49">
        <v>4540</v>
      </c>
      <c r="V15" s="49">
        <v>4894</v>
      </c>
      <c r="W15" s="49">
        <v>4177</v>
      </c>
      <c r="X15" s="49">
        <v>8095</v>
      </c>
      <c r="Y15" s="49">
        <v>7164</v>
      </c>
      <c r="Z15" s="50">
        <v>9558</v>
      </c>
      <c r="AA15" s="51">
        <f t="shared" si="1"/>
        <v>87140</v>
      </c>
      <c r="AD15" s="212" t="s">
        <v>48</v>
      </c>
      <c r="AE15" s="213">
        <v>623</v>
      </c>
      <c r="AF15" s="213">
        <v>681</v>
      </c>
      <c r="AG15" s="213">
        <v>385</v>
      </c>
      <c r="AH15" s="213">
        <f t="shared" si="2"/>
        <v>1689</v>
      </c>
      <c r="AI15"/>
    </row>
    <row r="16" spans="2:35" x14ac:dyDescent="0.25">
      <c r="B16" s="35" t="s">
        <v>49</v>
      </c>
      <c r="C16" s="36">
        <v>31042</v>
      </c>
      <c r="D16" s="36">
        <v>18557</v>
      </c>
      <c r="E16" s="36">
        <v>88878</v>
      </c>
      <c r="F16" s="36">
        <v>2501</v>
      </c>
      <c r="G16" s="36"/>
      <c r="H16" s="36">
        <f t="shared" si="0"/>
        <v>140978</v>
      </c>
      <c r="I16" s="52"/>
      <c r="K16" s="47" t="s">
        <v>50</v>
      </c>
      <c r="L16" s="48">
        <v>42858</v>
      </c>
      <c r="M16" s="49">
        <v>74227</v>
      </c>
      <c r="N16" s="49">
        <v>59393</v>
      </c>
      <c r="O16" s="49">
        <v>43025</v>
      </c>
      <c r="P16" s="49">
        <v>32139</v>
      </c>
      <c r="Q16" s="49">
        <v>21246</v>
      </c>
      <c r="R16" s="49">
        <v>23835</v>
      </c>
      <c r="S16" s="49">
        <v>21854</v>
      </c>
      <c r="T16" s="49">
        <v>20904</v>
      </c>
      <c r="U16" s="49">
        <v>22824</v>
      </c>
      <c r="V16" s="49">
        <v>22939</v>
      </c>
      <c r="W16" s="49">
        <v>21341</v>
      </c>
      <c r="X16" s="49">
        <v>19280</v>
      </c>
      <c r="Y16" s="49">
        <v>24333</v>
      </c>
      <c r="Z16" s="50">
        <v>31316</v>
      </c>
      <c r="AA16" s="51">
        <f t="shared" si="1"/>
        <v>481514</v>
      </c>
      <c r="AD16" s="212" t="s">
        <v>50</v>
      </c>
      <c r="AE16" s="213">
        <v>2426</v>
      </c>
      <c r="AF16" s="213">
        <v>2788</v>
      </c>
      <c r="AG16" s="213">
        <v>2390</v>
      </c>
      <c r="AH16" s="213">
        <f t="shared" si="2"/>
        <v>7604</v>
      </c>
      <c r="AI16"/>
    </row>
    <row r="17" spans="2:35" x14ac:dyDescent="0.25">
      <c r="B17" s="53" t="s">
        <v>51</v>
      </c>
      <c r="C17" s="49">
        <v>2173</v>
      </c>
      <c r="D17" s="49">
        <v>1500</v>
      </c>
      <c r="E17" s="49">
        <v>6222</v>
      </c>
      <c r="F17" s="49">
        <v>224</v>
      </c>
      <c r="G17" s="49"/>
      <c r="H17" s="49">
        <f t="shared" si="0"/>
        <v>10119</v>
      </c>
      <c r="K17" s="47" t="s">
        <v>52</v>
      </c>
      <c r="L17" s="48">
        <v>5</v>
      </c>
      <c r="M17" s="49">
        <v>0</v>
      </c>
      <c r="N17" s="49">
        <v>0</v>
      </c>
      <c r="O17" s="49">
        <v>0</v>
      </c>
      <c r="P17" s="49">
        <v>0</v>
      </c>
      <c r="Q17" s="49">
        <v>0</v>
      </c>
      <c r="R17" s="49">
        <v>0</v>
      </c>
      <c r="S17" s="49">
        <v>0</v>
      </c>
      <c r="T17" s="49">
        <v>0</v>
      </c>
      <c r="U17" s="49">
        <v>0</v>
      </c>
      <c r="V17" s="49">
        <v>0</v>
      </c>
      <c r="W17" s="49">
        <v>0</v>
      </c>
      <c r="X17" s="49">
        <v>0</v>
      </c>
      <c r="Y17" s="49">
        <v>0</v>
      </c>
      <c r="Z17" s="50">
        <v>0</v>
      </c>
      <c r="AA17" s="51">
        <f t="shared" si="1"/>
        <v>5</v>
      </c>
      <c r="AD17" s="212" t="s">
        <v>52</v>
      </c>
      <c r="AE17" s="213">
        <v>20297</v>
      </c>
      <c r="AF17" s="213">
        <v>15246</v>
      </c>
      <c r="AG17" s="213">
        <v>12744</v>
      </c>
      <c r="AH17" s="213">
        <f t="shared" si="2"/>
        <v>48287</v>
      </c>
      <c r="AI17"/>
    </row>
    <row r="18" spans="2:35" x14ac:dyDescent="0.25">
      <c r="B18" s="53" t="s">
        <v>53</v>
      </c>
      <c r="C18" s="49">
        <v>2224</v>
      </c>
      <c r="D18" s="49">
        <v>1403</v>
      </c>
      <c r="E18" s="49">
        <v>6802</v>
      </c>
      <c r="F18" s="49">
        <v>216</v>
      </c>
      <c r="G18" s="49"/>
      <c r="H18" s="49">
        <f t="shared" si="0"/>
        <v>10645</v>
      </c>
      <c r="K18" s="47" t="s">
        <v>54</v>
      </c>
      <c r="L18" s="48">
        <v>0</v>
      </c>
      <c r="M18" s="49">
        <v>0</v>
      </c>
      <c r="N18" s="49">
        <v>0</v>
      </c>
      <c r="O18" s="49">
        <v>0</v>
      </c>
      <c r="P18" s="49">
        <v>0</v>
      </c>
      <c r="Q18" s="49">
        <v>0</v>
      </c>
      <c r="R18" s="49">
        <v>0</v>
      </c>
      <c r="S18" s="49">
        <v>0</v>
      </c>
      <c r="T18" s="49">
        <v>38</v>
      </c>
      <c r="U18" s="49">
        <v>315</v>
      </c>
      <c r="V18" s="49">
        <v>815</v>
      </c>
      <c r="W18" s="49">
        <v>1384</v>
      </c>
      <c r="X18" s="49">
        <v>29007</v>
      </c>
      <c r="Y18" s="49">
        <v>56959</v>
      </c>
      <c r="Z18" s="50">
        <v>263157</v>
      </c>
      <c r="AA18" s="51">
        <v>351675</v>
      </c>
      <c r="AD18" s="212" t="s">
        <v>54</v>
      </c>
      <c r="AE18" s="213"/>
      <c r="AF18" s="213"/>
      <c r="AG18" s="213"/>
      <c r="AH18" s="213"/>
      <c r="AI18"/>
    </row>
    <row r="19" spans="2:35" ht="15.75" thickBot="1" x14ac:dyDescent="0.3">
      <c r="B19" s="53" t="s">
        <v>55</v>
      </c>
      <c r="C19" s="49">
        <v>2350</v>
      </c>
      <c r="D19" s="49">
        <v>1601</v>
      </c>
      <c r="E19" s="49">
        <v>6925</v>
      </c>
      <c r="F19" s="49">
        <v>207</v>
      </c>
      <c r="G19" s="49"/>
      <c r="H19" s="49">
        <f t="shared" si="0"/>
        <v>11083</v>
      </c>
      <c r="K19" s="54" t="s">
        <v>36</v>
      </c>
      <c r="L19" s="55">
        <f>SUM(L13:L18)</f>
        <v>139362</v>
      </c>
      <c r="M19" s="56">
        <f t="shared" ref="M19:AA19" si="3">SUM(M13:M18)</f>
        <v>404440</v>
      </c>
      <c r="N19" s="56">
        <f t="shared" si="3"/>
        <v>245675</v>
      </c>
      <c r="O19" s="56">
        <f t="shared" si="3"/>
        <v>194791</v>
      </c>
      <c r="P19" s="56">
        <f t="shared" si="3"/>
        <v>192270</v>
      </c>
      <c r="Q19" s="56">
        <f t="shared" si="3"/>
        <v>134034</v>
      </c>
      <c r="R19" s="56">
        <f t="shared" si="3"/>
        <v>151564</v>
      </c>
      <c r="S19" s="56">
        <f t="shared" si="3"/>
        <v>140978</v>
      </c>
      <c r="T19" s="56">
        <f t="shared" si="3"/>
        <v>138788</v>
      </c>
      <c r="U19" s="56">
        <f t="shared" si="3"/>
        <v>157066</v>
      </c>
      <c r="V19" s="56">
        <f t="shared" si="3"/>
        <v>178401</v>
      </c>
      <c r="W19" s="56">
        <f t="shared" si="3"/>
        <v>165312</v>
      </c>
      <c r="X19" s="56">
        <f t="shared" si="3"/>
        <v>219809</v>
      </c>
      <c r="Y19" s="56">
        <f t="shared" si="3"/>
        <v>280210</v>
      </c>
      <c r="Z19" s="57">
        <f t="shared" si="3"/>
        <v>653587</v>
      </c>
      <c r="AA19" s="58">
        <f t="shared" si="3"/>
        <v>3396287</v>
      </c>
      <c r="AD19" s="216" t="s">
        <v>36</v>
      </c>
      <c r="AE19" s="156">
        <f>SUM(AE13:AE18)</f>
        <v>49592</v>
      </c>
      <c r="AF19" s="156">
        <f t="shared" ref="AF19:AH19" si="4">SUM(AF13:AF18)</f>
        <v>48021</v>
      </c>
      <c r="AG19" s="156">
        <f t="shared" si="4"/>
        <v>38914</v>
      </c>
      <c r="AH19" s="156">
        <f t="shared" si="4"/>
        <v>136527</v>
      </c>
      <c r="AI19"/>
    </row>
    <row r="20" spans="2:35" x14ac:dyDescent="0.25">
      <c r="B20" s="53" t="s">
        <v>56</v>
      </c>
      <c r="C20" s="49">
        <v>3284</v>
      </c>
      <c r="D20" s="49">
        <v>1531</v>
      </c>
      <c r="E20" s="49">
        <v>7503</v>
      </c>
      <c r="F20" s="49">
        <v>205</v>
      </c>
      <c r="G20" s="49"/>
      <c r="H20" s="49">
        <f t="shared" si="0"/>
        <v>12523</v>
      </c>
      <c r="K20" s="8" t="s">
        <v>28</v>
      </c>
    </row>
    <row r="21" spans="2:35" x14ac:dyDescent="0.25">
      <c r="B21" s="53" t="s">
        <v>57</v>
      </c>
      <c r="C21" s="49">
        <v>2764</v>
      </c>
      <c r="D21" s="49">
        <v>1579</v>
      </c>
      <c r="E21" s="49">
        <v>9264</v>
      </c>
      <c r="F21" s="49">
        <v>224</v>
      </c>
      <c r="G21" s="49"/>
      <c r="H21" s="49">
        <f t="shared" si="0"/>
        <v>13831</v>
      </c>
    </row>
    <row r="22" spans="2:35" x14ac:dyDescent="0.25">
      <c r="B22" s="53" t="s">
        <v>58</v>
      </c>
      <c r="C22" s="49">
        <v>2478</v>
      </c>
      <c r="D22" s="49">
        <v>1445</v>
      </c>
      <c r="E22" s="49">
        <v>6920</v>
      </c>
      <c r="F22" s="49">
        <v>174</v>
      </c>
      <c r="G22" s="49"/>
      <c r="H22" s="49">
        <f t="shared" si="0"/>
        <v>11017</v>
      </c>
    </row>
    <row r="23" spans="2:35" ht="18.75" x14ac:dyDescent="0.3">
      <c r="B23" s="53" t="s">
        <v>59</v>
      </c>
      <c r="C23" s="49">
        <v>2663</v>
      </c>
      <c r="D23" s="49">
        <v>1514</v>
      </c>
      <c r="E23" s="49">
        <v>6996</v>
      </c>
      <c r="F23" s="49">
        <v>198</v>
      </c>
      <c r="G23" s="49"/>
      <c r="H23" s="49">
        <f t="shared" si="0"/>
        <v>11371</v>
      </c>
      <c r="K23" s="37" t="s">
        <v>60</v>
      </c>
      <c r="L23" s="24"/>
      <c r="M23" s="24"/>
      <c r="N23" s="24"/>
      <c r="O23" s="24"/>
      <c r="P23" s="24"/>
      <c r="Q23" s="24"/>
      <c r="R23" s="24"/>
      <c r="S23" s="24"/>
      <c r="T23" s="24"/>
    </row>
    <row r="24" spans="2:35" x14ac:dyDescent="0.25">
      <c r="B24" s="53" t="s">
        <v>61</v>
      </c>
      <c r="C24" s="49">
        <v>2949</v>
      </c>
      <c r="D24" s="49">
        <v>1850</v>
      </c>
      <c r="E24" s="49">
        <v>8983</v>
      </c>
      <c r="F24" s="49">
        <v>245</v>
      </c>
      <c r="G24" s="49"/>
      <c r="H24" s="49">
        <f t="shared" si="0"/>
        <v>14027</v>
      </c>
      <c r="K24" s="31" t="s">
        <v>10</v>
      </c>
    </row>
    <row r="25" spans="2:35" ht="15.75" thickBot="1" x14ac:dyDescent="0.3">
      <c r="B25" s="53" t="s">
        <v>62</v>
      </c>
      <c r="C25" s="49">
        <v>2715</v>
      </c>
      <c r="D25" s="49">
        <v>1614</v>
      </c>
      <c r="E25" s="49">
        <v>7860</v>
      </c>
      <c r="F25" s="49">
        <v>213</v>
      </c>
      <c r="G25" s="49"/>
      <c r="H25" s="49">
        <f t="shared" si="0"/>
        <v>12402</v>
      </c>
    </row>
    <row r="26" spans="2:35" ht="15.75" thickBot="1" x14ac:dyDescent="0.3">
      <c r="B26" s="53" t="s">
        <v>63</v>
      </c>
      <c r="C26" s="49">
        <v>2274</v>
      </c>
      <c r="D26" s="49">
        <v>1331</v>
      </c>
      <c r="E26" s="49">
        <v>6676</v>
      </c>
      <c r="F26" s="49">
        <v>215</v>
      </c>
      <c r="G26" s="49"/>
      <c r="H26" s="49">
        <f t="shared" si="0"/>
        <v>10496</v>
      </c>
      <c r="K26" s="38" t="s">
        <v>42</v>
      </c>
      <c r="L26" s="59" t="s">
        <v>53</v>
      </c>
      <c r="M26" s="60" t="s">
        <v>55</v>
      </c>
      <c r="N26" s="60" t="s">
        <v>56</v>
      </c>
      <c r="O26" s="60" t="s">
        <v>57</v>
      </c>
      <c r="P26" s="60" t="s">
        <v>58</v>
      </c>
      <c r="Q26" s="60" t="s">
        <v>59</v>
      </c>
      <c r="R26" s="60" t="s">
        <v>61</v>
      </c>
      <c r="S26" s="60" t="s">
        <v>62</v>
      </c>
      <c r="T26" s="60" t="s">
        <v>63</v>
      </c>
      <c r="U26" s="60" t="s">
        <v>64</v>
      </c>
      <c r="V26" s="61" t="s">
        <v>65</v>
      </c>
      <c r="W26" s="38" t="s">
        <v>36</v>
      </c>
    </row>
    <row r="27" spans="2:35" x14ac:dyDescent="0.25">
      <c r="B27" s="53" t="s">
        <v>64</v>
      </c>
      <c r="C27" s="49">
        <v>2376</v>
      </c>
      <c r="D27" s="49">
        <v>1259</v>
      </c>
      <c r="E27" s="49">
        <v>6679</v>
      </c>
      <c r="F27" s="49">
        <v>208</v>
      </c>
      <c r="G27" s="49"/>
      <c r="H27" s="49">
        <f t="shared" si="0"/>
        <v>10522</v>
      </c>
      <c r="K27" s="42" t="s">
        <v>44</v>
      </c>
      <c r="L27" s="62">
        <v>33391</v>
      </c>
      <c r="M27" s="49">
        <v>24468</v>
      </c>
      <c r="N27" s="49">
        <v>15614</v>
      </c>
      <c r="O27" s="49">
        <v>15183</v>
      </c>
      <c r="P27" s="49">
        <v>15569</v>
      </c>
      <c r="Q27" s="49">
        <v>16839</v>
      </c>
      <c r="R27" s="49">
        <v>22369</v>
      </c>
      <c r="S27" s="49">
        <v>14247</v>
      </c>
      <c r="T27" s="49">
        <v>17724</v>
      </c>
      <c r="U27" s="49">
        <v>20504</v>
      </c>
      <c r="V27" s="63">
        <v>15932</v>
      </c>
      <c r="W27" s="46">
        <f>SUM(L27:V27)</f>
        <v>211840</v>
      </c>
    </row>
    <row r="28" spans="2:35" x14ac:dyDescent="0.25">
      <c r="B28" s="53" t="s">
        <v>65</v>
      </c>
      <c r="C28" s="49">
        <v>2435</v>
      </c>
      <c r="D28" s="49">
        <v>1467</v>
      </c>
      <c r="E28" s="49">
        <v>6602</v>
      </c>
      <c r="F28" s="49">
        <v>248</v>
      </c>
      <c r="G28" s="49"/>
      <c r="H28" s="49">
        <f t="shared" si="0"/>
        <v>10752</v>
      </c>
      <c r="K28" s="47" t="s">
        <v>46</v>
      </c>
      <c r="L28" s="62">
        <v>9704</v>
      </c>
      <c r="M28" s="49">
        <v>9520</v>
      </c>
      <c r="N28" s="49">
        <v>7533</v>
      </c>
      <c r="O28" s="49">
        <v>7931</v>
      </c>
      <c r="P28" s="49">
        <v>7526</v>
      </c>
      <c r="Q28" s="49">
        <v>7879</v>
      </c>
      <c r="R28" s="49">
        <v>9071</v>
      </c>
      <c r="S28" s="49">
        <v>6033</v>
      </c>
      <c r="T28" s="49">
        <v>5791</v>
      </c>
      <c r="U28" s="49">
        <v>5751</v>
      </c>
      <c r="V28" s="63">
        <v>4886</v>
      </c>
      <c r="W28" s="51">
        <f t="shared" ref="W28:W31" si="5">SUM(L28:V28)</f>
        <v>81625</v>
      </c>
    </row>
    <row r="29" spans="2:35" x14ac:dyDescent="0.25">
      <c r="B29" s="35" t="s">
        <v>66</v>
      </c>
      <c r="C29" s="36">
        <f t="shared" ref="C29:H29" si="6">SUM(C17:C28)</f>
        <v>30685</v>
      </c>
      <c r="D29" s="36">
        <f t="shared" si="6"/>
        <v>18094</v>
      </c>
      <c r="E29" s="36">
        <f t="shared" si="6"/>
        <v>87432</v>
      </c>
      <c r="F29" s="36">
        <f t="shared" si="6"/>
        <v>2577</v>
      </c>
      <c r="G29" s="36"/>
      <c r="H29" s="36">
        <f t="shared" si="6"/>
        <v>138788</v>
      </c>
      <c r="I29" s="52"/>
      <c r="K29" s="47" t="s">
        <v>48</v>
      </c>
      <c r="L29" s="62">
        <v>1778</v>
      </c>
      <c r="M29" s="49">
        <v>1136</v>
      </c>
      <c r="N29" s="49">
        <v>679</v>
      </c>
      <c r="O29" s="49">
        <v>581</v>
      </c>
      <c r="P29" s="49">
        <v>704</v>
      </c>
      <c r="Q29" s="49">
        <v>735</v>
      </c>
      <c r="R29" s="49">
        <v>884</v>
      </c>
      <c r="S29" s="49">
        <v>415</v>
      </c>
      <c r="T29" s="49">
        <v>611</v>
      </c>
      <c r="U29" s="49">
        <v>650</v>
      </c>
      <c r="V29" s="63">
        <v>361</v>
      </c>
      <c r="W29" s="51">
        <f t="shared" si="5"/>
        <v>8534</v>
      </c>
    </row>
    <row r="30" spans="2:35" x14ac:dyDescent="0.25">
      <c r="B30" s="53" t="s">
        <v>51</v>
      </c>
      <c r="C30" s="49">
        <v>3122</v>
      </c>
      <c r="D30" s="49">
        <v>1508</v>
      </c>
      <c r="E30" s="49">
        <v>7979</v>
      </c>
      <c r="F30" s="49">
        <v>269</v>
      </c>
      <c r="G30" s="49"/>
      <c r="H30" s="49">
        <f t="shared" ref="H30:H41" si="7">SUM(C30:F30)</f>
        <v>12878</v>
      </c>
      <c r="K30" s="47" t="s">
        <v>50</v>
      </c>
      <c r="L30" s="62">
        <v>2114</v>
      </c>
      <c r="M30" s="49">
        <v>2094</v>
      </c>
      <c r="N30" s="49">
        <v>1761</v>
      </c>
      <c r="O30" s="49">
        <v>1772</v>
      </c>
      <c r="P30" s="49">
        <v>1614</v>
      </c>
      <c r="Q30" s="49">
        <v>1702</v>
      </c>
      <c r="R30" s="49">
        <v>2309</v>
      </c>
      <c r="S30" s="49">
        <v>1677</v>
      </c>
      <c r="T30" s="49">
        <v>1807</v>
      </c>
      <c r="U30" s="49">
        <v>2062</v>
      </c>
      <c r="V30" s="63">
        <v>1847</v>
      </c>
      <c r="W30" s="51">
        <f t="shared" si="5"/>
        <v>20759</v>
      </c>
    </row>
    <row r="31" spans="2:35" x14ac:dyDescent="0.25">
      <c r="B31" s="53" t="s">
        <v>53</v>
      </c>
      <c r="C31" s="49">
        <v>2377</v>
      </c>
      <c r="D31" s="49">
        <v>1375</v>
      </c>
      <c r="E31" s="49">
        <v>7282</v>
      </c>
      <c r="F31" s="49">
        <v>213</v>
      </c>
      <c r="G31" s="49"/>
      <c r="H31" s="49">
        <f t="shared" si="7"/>
        <v>11247</v>
      </c>
      <c r="K31" s="47" t="s">
        <v>54</v>
      </c>
      <c r="L31" s="62">
        <v>102199</v>
      </c>
      <c r="M31" s="49">
        <v>20649</v>
      </c>
      <c r="N31" s="49">
        <v>11093</v>
      </c>
      <c r="O31" s="49">
        <v>9844</v>
      </c>
      <c r="P31" s="49">
        <v>10561</v>
      </c>
      <c r="Q31" s="49">
        <v>12378</v>
      </c>
      <c r="R31" s="49">
        <v>23019</v>
      </c>
      <c r="S31" s="49">
        <v>11941</v>
      </c>
      <c r="T31" s="49">
        <v>19669</v>
      </c>
      <c r="U31" s="49">
        <v>14585</v>
      </c>
      <c r="V31" s="63">
        <v>12199</v>
      </c>
      <c r="W31" s="51">
        <f t="shared" si="5"/>
        <v>248137</v>
      </c>
    </row>
    <row r="32" spans="2:35" ht="15.75" thickBot="1" x14ac:dyDescent="0.3">
      <c r="B32" s="53" t="s">
        <v>55</v>
      </c>
      <c r="C32" s="49">
        <v>2340</v>
      </c>
      <c r="D32" s="49">
        <v>1762</v>
      </c>
      <c r="E32" s="49">
        <v>8966</v>
      </c>
      <c r="F32" s="49">
        <v>224</v>
      </c>
      <c r="G32" s="49"/>
      <c r="H32" s="49">
        <f t="shared" si="7"/>
        <v>13292</v>
      </c>
      <c r="K32" s="64" t="s">
        <v>36</v>
      </c>
      <c r="L32" s="65">
        <f>SUM(L27:L31)</f>
        <v>149186</v>
      </c>
      <c r="M32" s="66">
        <f t="shared" ref="M32:W32" si="8">SUM(M27:M31)</f>
        <v>57867</v>
      </c>
      <c r="N32" s="66">
        <f t="shared" si="8"/>
        <v>36680</v>
      </c>
      <c r="O32" s="66">
        <f t="shared" si="8"/>
        <v>35311</v>
      </c>
      <c r="P32" s="66">
        <f t="shared" si="8"/>
        <v>35974</v>
      </c>
      <c r="Q32" s="66">
        <f t="shared" si="8"/>
        <v>39533</v>
      </c>
      <c r="R32" s="66">
        <f t="shared" si="8"/>
        <v>57652</v>
      </c>
      <c r="S32" s="66">
        <f t="shared" si="8"/>
        <v>34313</v>
      </c>
      <c r="T32" s="66">
        <f t="shared" si="8"/>
        <v>45602</v>
      </c>
      <c r="U32" s="66">
        <f t="shared" si="8"/>
        <v>43552</v>
      </c>
      <c r="V32" s="67">
        <f t="shared" si="8"/>
        <v>35225</v>
      </c>
      <c r="W32" s="58">
        <f t="shared" si="8"/>
        <v>570895</v>
      </c>
    </row>
    <row r="33" spans="2:18" x14ac:dyDescent="0.25">
      <c r="B33" s="53" t="s">
        <v>56</v>
      </c>
      <c r="C33" s="49">
        <v>2319</v>
      </c>
      <c r="D33" s="49">
        <v>1421</v>
      </c>
      <c r="E33" s="49">
        <v>7022</v>
      </c>
      <c r="F33" s="49">
        <v>212</v>
      </c>
      <c r="G33" s="49"/>
      <c r="H33" s="49">
        <f t="shared" si="7"/>
        <v>10974</v>
      </c>
      <c r="K33" s="8" t="s">
        <v>28</v>
      </c>
    </row>
    <row r="34" spans="2:18" x14ac:dyDescent="0.25">
      <c r="B34" s="53" t="s">
        <v>57</v>
      </c>
      <c r="C34" s="49">
        <v>2725</v>
      </c>
      <c r="D34" s="49">
        <v>1582</v>
      </c>
      <c r="E34" s="49">
        <v>9937</v>
      </c>
      <c r="F34" s="49">
        <v>270</v>
      </c>
      <c r="G34" s="49"/>
      <c r="H34" s="49">
        <f t="shared" si="7"/>
        <v>14514</v>
      </c>
    </row>
    <row r="35" spans="2:18" x14ac:dyDescent="0.25">
      <c r="B35" s="53" t="s">
        <v>58</v>
      </c>
      <c r="C35" s="49">
        <v>2467</v>
      </c>
      <c r="D35" s="49">
        <v>1474</v>
      </c>
      <c r="E35" s="49">
        <v>7973</v>
      </c>
      <c r="F35" s="49">
        <v>218</v>
      </c>
      <c r="G35" s="49"/>
      <c r="H35" s="49">
        <f t="shared" si="7"/>
        <v>12132</v>
      </c>
    </row>
    <row r="36" spans="2:18" ht="18.75" x14ac:dyDescent="0.3">
      <c r="B36" s="53" t="s">
        <v>59</v>
      </c>
      <c r="C36" s="49">
        <v>2809</v>
      </c>
      <c r="D36" s="49">
        <v>1626</v>
      </c>
      <c r="E36" s="49">
        <v>9532</v>
      </c>
      <c r="F36" s="49">
        <v>294</v>
      </c>
      <c r="G36" s="49"/>
      <c r="H36" s="49">
        <f t="shared" si="7"/>
        <v>14261</v>
      </c>
      <c r="K36" s="2" t="s">
        <v>67</v>
      </c>
      <c r="L36" s="24"/>
      <c r="M36" s="24"/>
      <c r="N36" s="24"/>
      <c r="O36" s="24"/>
      <c r="P36" s="24"/>
      <c r="Q36" s="24"/>
      <c r="R36" s="24"/>
    </row>
    <row r="37" spans="2:18" x14ac:dyDescent="0.25">
      <c r="B37" s="53" t="s">
        <v>61</v>
      </c>
      <c r="C37" s="49">
        <v>2996</v>
      </c>
      <c r="D37" s="49">
        <v>1673</v>
      </c>
      <c r="E37" s="49">
        <v>9947</v>
      </c>
      <c r="F37" s="49">
        <v>305</v>
      </c>
      <c r="G37" s="49"/>
      <c r="H37" s="49">
        <f t="shared" si="7"/>
        <v>14921</v>
      </c>
      <c r="K37" s="31" t="s">
        <v>10</v>
      </c>
    </row>
    <row r="38" spans="2:18" ht="15.75" thickBot="1" x14ac:dyDescent="0.3">
      <c r="B38" s="53" t="s">
        <v>62</v>
      </c>
      <c r="C38" s="49">
        <v>2682</v>
      </c>
      <c r="D38" s="49">
        <v>1371</v>
      </c>
      <c r="E38" s="49">
        <v>8257</v>
      </c>
      <c r="F38" s="49">
        <v>259</v>
      </c>
      <c r="G38" s="49"/>
      <c r="H38" s="49">
        <f t="shared" si="7"/>
        <v>12569</v>
      </c>
    </row>
    <row r="39" spans="2:18" ht="15.75" thickBot="1" x14ac:dyDescent="0.3">
      <c r="B39" s="53" t="s">
        <v>63</v>
      </c>
      <c r="C39" s="49">
        <v>3034</v>
      </c>
      <c r="D39" s="49">
        <v>1585</v>
      </c>
      <c r="E39" s="49">
        <v>9685</v>
      </c>
      <c r="F39" s="49">
        <v>312</v>
      </c>
      <c r="G39" s="49"/>
      <c r="H39" s="49">
        <f t="shared" si="7"/>
        <v>14616</v>
      </c>
      <c r="K39" s="68" t="s">
        <v>68</v>
      </c>
      <c r="L39" s="69" t="s">
        <v>33</v>
      </c>
      <c r="M39" s="70" t="s">
        <v>34</v>
      </c>
      <c r="N39" s="70" t="s">
        <v>20</v>
      </c>
      <c r="O39" s="70" t="s">
        <v>35</v>
      </c>
      <c r="P39" s="70" t="s">
        <v>22</v>
      </c>
      <c r="Q39" s="71" t="s">
        <v>36</v>
      </c>
    </row>
    <row r="40" spans="2:18" x14ac:dyDescent="0.25">
      <c r="B40" s="53" t="s">
        <v>64</v>
      </c>
      <c r="C40" s="49">
        <v>2756</v>
      </c>
      <c r="D40" s="49">
        <v>1664</v>
      </c>
      <c r="E40" s="49">
        <v>9055</v>
      </c>
      <c r="F40" s="49">
        <v>316</v>
      </c>
      <c r="G40" s="49"/>
      <c r="H40" s="49">
        <f t="shared" si="7"/>
        <v>13791</v>
      </c>
      <c r="K40" s="72">
        <v>2008</v>
      </c>
      <c r="L40" s="73">
        <f>Solicitudes_compl!C9</f>
        <v>83903</v>
      </c>
      <c r="M40" s="74">
        <f>Solicitudes_compl!D9</f>
        <v>36885</v>
      </c>
      <c r="N40" s="74">
        <f>Solicitudes_compl!E9</f>
        <v>12630</v>
      </c>
      <c r="O40" s="74">
        <f>Solicitudes_compl!F9</f>
        <v>5944</v>
      </c>
      <c r="P40" s="74">
        <v>0</v>
      </c>
      <c r="Q40" s="75">
        <f t="shared" ref="Q40:Q54" si="9">SUM(L40:P40)</f>
        <v>139362</v>
      </c>
    </row>
    <row r="41" spans="2:18" x14ac:dyDescent="0.25">
      <c r="B41" s="53" t="s">
        <v>65</v>
      </c>
      <c r="C41" s="49">
        <v>2401</v>
      </c>
      <c r="D41" s="49">
        <v>1294</v>
      </c>
      <c r="E41" s="49">
        <v>7901</v>
      </c>
      <c r="F41" s="49">
        <v>275</v>
      </c>
      <c r="G41" s="49"/>
      <c r="H41" s="49">
        <f t="shared" si="7"/>
        <v>11871</v>
      </c>
      <c r="K41" s="76">
        <v>2009</v>
      </c>
      <c r="L41" s="77">
        <f>Solicitudes_compl!C10</f>
        <v>59154</v>
      </c>
      <c r="M41" s="78">
        <f>Solicitudes_compl!D10</f>
        <v>35458</v>
      </c>
      <c r="N41" s="78">
        <f>Solicitudes_compl!E10</f>
        <v>298121</v>
      </c>
      <c r="O41" s="78">
        <f>Solicitudes_compl!F10</f>
        <v>11707</v>
      </c>
      <c r="P41" s="78">
        <v>0</v>
      </c>
      <c r="Q41" s="79">
        <f t="shared" si="9"/>
        <v>404440</v>
      </c>
    </row>
    <row r="42" spans="2:18" x14ac:dyDescent="0.25">
      <c r="B42" s="35" t="s">
        <v>69</v>
      </c>
      <c r="C42" s="36">
        <f t="shared" ref="C42:H42" si="10">SUM(C30:C41)</f>
        <v>32028</v>
      </c>
      <c r="D42" s="36">
        <f t="shared" si="10"/>
        <v>18335</v>
      </c>
      <c r="E42" s="36">
        <f t="shared" si="10"/>
        <v>103536</v>
      </c>
      <c r="F42" s="36">
        <f t="shared" si="10"/>
        <v>3167</v>
      </c>
      <c r="G42" s="36"/>
      <c r="H42" s="36">
        <f t="shared" si="10"/>
        <v>157066</v>
      </c>
      <c r="I42" s="52"/>
      <c r="J42" s="28"/>
      <c r="K42" s="76">
        <v>2010</v>
      </c>
      <c r="L42" s="77">
        <f>Solicitudes_compl!C11</f>
        <v>40733</v>
      </c>
      <c r="M42" s="78">
        <f>Solicitudes_compl!D11</f>
        <v>24967</v>
      </c>
      <c r="N42" s="78">
        <f>Solicitudes_compl!E11</f>
        <v>168046</v>
      </c>
      <c r="O42" s="78">
        <f>Solicitudes_compl!F11</f>
        <v>11929</v>
      </c>
      <c r="P42" s="78">
        <v>0</v>
      </c>
      <c r="Q42" s="79">
        <f t="shared" si="9"/>
        <v>245675</v>
      </c>
    </row>
    <row r="43" spans="2:18" x14ac:dyDescent="0.25">
      <c r="B43" s="53" t="s">
        <v>51</v>
      </c>
      <c r="C43" s="49">
        <v>2721</v>
      </c>
      <c r="D43" s="49">
        <v>1453</v>
      </c>
      <c r="E43" s="49">
        <v>11159</v>
      </c>
      <c r="F43" s="49">
        <v>401</v>
      </c>
      <c r="G43" s="49"/>
      <c r="H43" s="49">
        <f t="shared" ref="H43:H54" si="11">SUM(C43:F43)</f>
        <v>15734</v>
      </c>
      <c r="K43" s="76">
        <v>2011</v>
      </c>
      <c r="L43" s="77">
        <f>Solicitudes_compl!C12</f>
        <v>37414</v>
      </c>
      <c r="M43" s="78">
        <f>Solicitudes_compl!D12</f>
        <v>20938</v>
      </c>
      <c r="N43" s="78">
        <f>Solicitudes_compl!E12</f>
        <v>126071</v>
      </c>
      <c r="O43" s="78">
        <f>Solicitudes_compl!F12</f>
        <v>10368</v>
      </c>
      <c r="P43" s="78">
        <v>0</v>
      </c>
      <c r="Q43" s="79">
        <f t="shared" si="9"/>
        <v>194791</v>
      </c>
    </row>
    <row r="44" spans="2:18" x14ac:dyDescent="0.25">
      <c r="B44" s="53" t="s">
        <v>53</v>
      </c>
      <c r="C44" s="49">
        <v>2301</v>
      </c>
      <c r="D44" s="49">
        <v>1173</v>
      </c>
      <c r="E44" s="49">
        <v>11051</v>
      </c>
      <c r="F44" s="49">
        <v>732</v>
      </c>
      <c r="G44" s="49"/>
      <c r="H44" s="49">
        <f t="shared" si="11"/>
        <v>15257</v>
      </c>
      <c r="K44" s="76">
        <v>2012</v>
      </c>
      <c r="L44" s="77">
        <f>Solicitudes_compl!C13</f>
        <v>34111</v>
      </c>
      <c r="M44" s="78">
        <f>Solicitudes_compl!D13</f>
        <v>19594</v>
      </c>
      <c r="N44" s="78">
        <f>Solicitudes_compl!E13</f>
        <v>130339</v>
      </c>
      <c r="O44" s="78">
        <f>Solicitudes_compl!F13</f>
        <v>8226</v>
      </c>
      <c r="P44" s="78">
        <v>0</v>
      </c>
      <c r="Q44" s="79">
        <f t="shared" si="9"/>
        <v>192270</v>
      </c>
    </row>
    <row r="45" spans="2:18" x14ac:dyDescent="0.25">
      <c r="B45" s="53" t="s">
        <v>55</v>
      </c>
      <c r="C45" s="49">
        <v>2626</v>
      </c>
      <c r="D45" s="49">
        <v>1458</v>
      </c>
      <c r="E45" s="49">
        <v>10390</v>
      </c>
      <c r="F45" s="49">
        <v>921</v>
      </c>
      <c r="G45" s="49"/>
      <c r="H45" s="49">
        <f t="shared" si="11"/>
        <v>15395</v>
      </c>
      <c r="K45" s="76">
        <v>2013</v>
      </c>
      <c r="L45" s="77">
        <f>Solicitudes_compl!C14</f>
        <v>32718</v>
      </c>
      <c r="M45" s="78">
        <f>Solicitudes_compl!D14</f>
        <v>17032</v>
      </c>
      <c r="N45" s="78">
        <f>Solicitudes_compl!E14</f>
        <v>76989</v>
      </c>
      <c r="O45" s="78">
        <f>Solicitudes_compl!F14</f>
        <v>7295</v>
      </c>
      <c r="P45" s="78">
        <v>0</v>
      </c>
      <c r="Q45" s="79">
        <f t="shared" si="9"/>
        <v>134034</v>
      </c>
    </row>
    <row r="46" spans="2:18" x14ac:dyDescent="0.25">
      <c r="B46" s="53" t="s">
        <v>56</v>
      </c>
      <c r="C46" s="49">
        <v>2566</v>
      </c>
      <c r="D46" s="49">
        <v>1511</v>
      </c>
      <c r="E46" s="49">
        <v>9759</v>
      </c>
      <c r="F46" s="49">
        <v>837</v>
      </c>
      <c r="G46" s="49"/>
      <c r="H46" s="49">
        <f t="shared" si="11"/>
        <v>14673</v>
      </c>
      <c r="K46" s="76">
        <v>2014</v>
      </c>
      <c r="L46" s="77">
        <f>Solicitudes_compl!C15</f>
        <v>39392</v>
      </c>
      <c r="M46" s="78">
        <f>Solicitudes_compl!D15</f>
        <v>17573</v>
      </c>
      <c r="N46" s="78">
        <f>Solicitudes_compl!E15</f>
        <v>88545</v>
      </c>
      <c r="O46" s="78">
        <f>Solicitudes_compl!F15</f>
        <v>6054</v>
      </c>
      <c r="P46" s="78">
        <v>0</v>
      </c>
      <c r="Q46" s="79">
        <f t="shared" si="9"/>
        <v>151564</v>
      </c>
    </row>
    <row r="47" spans="2:18" x14ac:dyDescent="0.25">
      <c r="B47" s="53" t="s">
        <v>57</v>
      </c>
      <c r="C47" s="49">
        <v>2730</v>
      </c>
      <c r="D47" s="49">
        <v>1384</v>
      </c>
      <c r="E47" s="49">
        <v>11338</v>
      </c>
      <c r="F47" s="49">
        <v>557</v>
      </c>
      <c r="G47" s="49"/>
      <c r="H47" s="49">
        <f t="shared" si="11"/>
        <v>16009</v>
      </c>
      <c r="K47" s="76">
        <v>2015</v>
      </c>
      <c r="L47" s="77">
        <f>Solicitudes_compl!C16</f>
        <v>31042</v>
      </c>
      <c r="M47" s="78">
        <f>Solicitudes_compl!D16</f>
        <v>18557</v>
      </c>
      <c r="N47" s="78">
        <f>Solicitudes_compl!E16</f>
        <v>88878</v>
      </c>
      <c r="O47" s="78">
        <f>Solicitudes_compl!F16</f>
        <v>2501</v>
      </c>
      <c r="P47" s="78">
        <v>0</v>
      </c>
      <c r="Q47" s="79">
        <f t="shared" si="9"/>
        <v>140978</v>
      </c>
    </row>
    <row r="48" spans="2:18" x14ac:dyDescent="0.25">
      <c r="B48" s="53" t="s">
        <v>58</v>
      </c>
      <c r="C48" s="49">
        <v>2508</v>
      </c>
      <c r="D48" s="49">
        <v>1416</v>
      </c>
      <c r="E48" s="49">
        <v>9844</v>
      </c>
      <c r="F48" s="49">
        <v>524</v>
      </c>
      <c r="G48" s="49"/>
      <c r="H48" s="49">
        <f t="shared" si="11"/>
        <v>14292</v>
      </c>
      <c r="K48" s="76">
        <v>2016</v>
      </c>
      <c r="L48" s="77">
        <f>Solicitudes_compl!C29</f>
        <v>30685</v>
      </c>
      <c r="M48" s="78">
        <f>Solicitudes_compl!D29</f>
        <v>18094</v>
      </c>
      <c r="N48" s="78">
        <f>Solicitudes_compl!E29</f>
        <v>87432</v>
      </c>
      <c r="O48" s="78">
        <f>Solicitudes_compl!F29</f>
        <v>2577</v>
      </c>
      <c r="P48" s="78">
        <v>0</v>
      </c>
      <c r="Q48" s="79">
        <f t="shared" si="9"/>
        <v>138788</v>
      </c>
    </row>
    <row r="49" spans="2:19" x14ac:dyDescent="0.25">
      <c r="B49" s="53" t="s">
        <v>59</v>
      </c>
      <c r="C49" s="49">
        <v>2765</v>
      </c>
      <c r="D49" s="49">
        <v>1457</v>
      </c>
      <c r="E49" s="49">
        <v>10406</v>
      </c>
      <c r="F49" s="49">
        <v>480</v>
      </c>
      <c r="G49" s="49"/>
      <c r="H49" s="49">
        <f t="shared" si="11"/>
        <v>15108</v>
      </c>
      <c r="K49" s="76">
        <v>2017</v>
      </c>
      <c r="L49" s="77">
        <f>Solicitudes_compl!C42</f>
        <v>32028</v>
      </c>
      <c r="M49" s="78">
        <f>Solicitudes_compl!D42</f>
        <v>18335</v>
      </c>
      <c r="N49" s="78">
        <f>Solicitudes_compl!E42</f>
        <v>103536</v>
      </c>
      <c r="O49" s="78">
        <f>Solicitudes_compl!F42</f>
        <v>3167</v>
      </c>
      <c r="P49" s="78">
        <v>0</v>
      </c>
      <c r="Q49" s="79">
        <f t="shared" si="9"/>
        <v>157066</v>
      </c>
    </row>
    <row r="50" spans="2:19" x14ac:dyDescent="0.25">
      <c r="B50" s="53" t="s">
        <v>61</v>
      </c>
      <c r="C50" s="49">
        <v>3040</v>
      </c>
      <c r="D50" s="49">
        <v>1641</v>
      </c>
      <c r="E50" s="49">
        <v>11023</v>
      </c>
      <c r="F50" s="49">
        <v>427</v>
      </c>
      <c r="G50" s="49"/>
      <c r="H50" s="49">
        <f t="shared" si="11"/>
        <v>16131</v>
      </c>
      <c r="K50" s="76">
        <v>2018</v>
      </c>
      <c r="L50" s="77">
        <f>Solicitudes_compl!C55</f>
        <v>31567</v>
      </c>
      <c r="M50" s="78">
        <f>Solicitudes_compl!D55</f>
        <v>16995</v>
      </c>
      <c r="N50" s="78">
        <f>Solicitudes_compl!E55</f>
        <v>123567</v>
      </c>
      <c r="O50" s="78">
        <f>Solicitudes_compl!F55</f>
        <v>6272</v>
      </c>
      <c r="P50" s="78">
        <v>0</v>
      </c>
      <c r="Q50" s="79">
        <f t="shared" si="9"/>
        <v>178401</v>
      </c>
    </row>
    <row r="51" spans="2:19" x14ac:dyDescent="0.25">
      <c r="B51" s="53" t="s">
        <v>62</v>
      </c>
      <c r="C51" s="49">
        <v>2125</v>
      </c>
      <c r="D51" s="49">
        <v>1251</v>
      </c>
      <c r="E51" s="49">
        <v>8571</v>
      </c>
      <c r="F51" s="49">
        <v>339</v>
      </c>
      <c r="G51" s="49"/>
      <c r="H51" s="49">
        <f t="shared" si="11"/>
        <v>12286</v>
      </c>
      <c r="K51" s="76">
        <v>2019</v>
      </c>
      <c r="L51" s="77">
        <f>Solicitudes_compl!C68</f>
        <v>29733</v>
      </c>
      <c r="M51" s="78">
        <f>Solicitudes_compl!D68</f>
        <v>16637</v>
      </c>
      <c r="N51" s="78">
        <f>Solicitudes_compl!E68</f>
        <v>112867</v>
      </c>
      <c r="O51" s="78">
        <f>Solicitudes_compl!F68</f>
        <v>6075</v>
      </c>
      <c r="P51" s="78">
        <v>0</v>
      </c>
      <c r="Q51" s="79">
        <f t="shared" si="9"/>
        <v>165312</v>
      </c>
    </row>
    <row r="52" spans="2:19" x14ac:dyDescent="0.25">
      <c r="B52" s="53" t="s">
        <v>63</v>
      </c>
      <c r="C52" s="49">
        <v>3181</v>
      </c>
      <c r="D52" s="49">
        <v>1519</v>
      </c>
      <c r="E52" s="49">
        <v>11882</v>
      </c>
      <c r="F52" s="49">
        <v>419</v>
      </c>
      <c r="G52" s="49"/>
      <c r="H52" s="49">
        <f t="shared" si="11"/>
        <v>17001</v>
      </c>
      <c r="K52" s="76">
        <v>2020</v>
      </c>
      <c r="L52" s="77">
        <f>Solicitudes_compl!C81</f>
        <v>30482</v>
      </c>
      <c r="M52" s="78">
        <f>Solicitudes_compl!D81</f>
        <v>15008</v>
      </c>
      <c r="N52" s="78">
        <f>Solicitudes_compl!E81</f>
        <v>166581</v>
      </c>
      <c r="O52" s="78">
        <f>Solicitudes_compl!F81</f>
        <v>7738</v>
      </c>
      <c r="P52" s="78">
        <v>0</v>
      </c>
      <c r="Q52" s="79">
        <f t="shared" si="9"/>
        <v>219809</v>
      </c>
    </row>
    <row r="53" spans="2:19" x14ac:dyDescent="0.25">
      <c r="B53" s="53" t="s">
        <v>64</v>
      </c>
      <c r="C53" s="49">
        <v>2631</v>
      </c>
      <c r="D53" s="49">
        <v>1405</v>
      </c>
      <c r="E53" s="49">
        <v>9497</v>
      </c>
      <c r="F53" s="49">
        <v>308</v>
      </c>
      <c r="G53" s="49"/>
      <c r="H53" s="49">
        <f t="shared" si="11"/>
        <v>13841</v>
      </c>
      <c r="K53" s="76">
        <v>2021</v>
      </c>
      <c r="L53" s="77">
        <f>Solicitudes_compl!C94</f>
        <v>41653</v>
      </c>
      <c r="M53" s="78">
        <f>Solicitudes_compl!D94</f>
        <v>26969</v>
      </c>
      <c r="N53" s="78">
        <f>Solicitudes_compl!E94</f>
        <v>191078</v>
      </c>
      <c r="O53" s="78">
        <f>Solicitudes_compl!F94</f>
        <v>20510</v>
      </c>
      <c r="P53" s="78">
        <v>0</v>
      </c>
      <c r="Q53" s="79">
        <f t="shared" si="9"/>
        <v>280210</v>
      </c>
    </row>
    <row r="54" spans="2:19" ht="15.75" thickBot="1" x14ac:dyDescent="0.3">
      <c r="B54" s="53" t="s">
        <v>65</v>
      </c>
      <c r="C54" s="49">
        <v>2373</v>
      </c>
      <c r="D54" s="49">
        <v>1327</v>
      </c>
      <c r="E54" s="49">
        <v>8647</v>
      </c>
      <c r="F54" s="49">
        <v>327</v>
      </c>
      <c r="G54" s="49"/>
      <c r="H54" s="49">
        <f t="shared" si="11"/>
        <v>12674</v>
      </c>
      <c r="K54" s="80">
        <v>2022</v>
      </c>
      <c r="L54" s="81">
        <f>Solicitudes_compl!C107</f>
        <v>4879</v>
      </c>
      <c r="M54" s="82">
        <f>Solicitudes_compl!D107</f>
        <v>36400</v>
      </c>
      <c r="N54" s="82">
        <f>Solicitudes_compl!E107</f>
        <v>21970</v>
      </c>
      <c r="O54" s="82">
        <f>Solicitudes_compl!F107</f>
        <v>19443</v>
      </c>
      <c r="P54" s="82">
        <f>Solicitudes_compl!G107</f>
        <v>570895</v>
      </c>
      <c r="Q54" s="83">
        <f t="shared" si="9"/>
        <v>653587</v>
      </c>
    </row>
    <row r="55" spans="2:19" ht="15.75" thickBot="1" x14ac:dyDescent="0.3">
      <c r="B55" s="35" t="s">
        <v>70</v>
      </c>
      <c r="C55" s="36">
        <f>SUM(C43:C54)</f>
        <v>31567</v>
      </c>
      <c r="D55" s="36">
        <f t="shared" ref="D55:F55" si="12">SUM(D43:D54)</f>
        <v>16995</v>
      </c>
      <c r="E55" s="36">
        <f t="shared" si="12"/>
        <v>123567</v>
      </c>
      <c r="F55" s="36">
        <f t="shared" si="12"/>
        <v>6272</v>
      </c>
      <c r="G55" s="36"/>
      <c r="H55" s="36">
        <f>SUM(H43:H54)</f>
        <v>178401</v>
      </c>
      <c r="I55" s="52"/>
      <c r="J55" s="84"/>
      <c r="K55" s="85" t="s">
        <v>36</v>
      </c>
      <c r="L55" s="81">
        <f>SUM(L40:L54)</f>
        <v>559494</v>
      </c>
      <c r="M55" s="82">
        <f t="shared" ref="M55:Q55" si="13">SUM(M40:M54)</f>
        <v>339442</v>
      </c>
      <c r="N55" s="82">
        <f t="shared" si="13"/>
        <v>1796650</v>
      </c>
      <c r="O55" s="82">
        <f t="shared" si="13"/>
        <v>129806</v>
      </c>
      <c r="P55" s="82">
        <f t="shared" si="13"/>
        <v>570895</v>
      </c>
      <c r="Q55" s="83">
        <f t="shared" si="13"/>
        <v>3396287</v>
      </c>
    </row>
    <row r="56" spans="2:19" x14ac:dyDescent="0.25">
      <c r="B56" s="53" t="s">
        <v>51</v>
      </c>
      <c r="C56" s="62">
        <v>2750</v>
      </c>
      <c r="D56" s="49">
        <v>1462</v>
      </c>
      <c r="E56" s="49">
        <v>10200</v>
      </c>
      <c r="F56" s="49">
        <v>565</v>
      </c>
      <c r="G56" s="49"/>
      <c r="H56" s="49">
        <f t="shared" ref="H56:H80" si="14">SUM(C56:F56)</f>
        <v>14977</v>
      </c>
      <c r="K56" s="8" t="s">
        <v>28</v>
      </c>
    </row>
    <row r="57" spans="2:19" x14ac:dyDescent="0.25">
      <c r="B57" s="53" t="s">
        <v>53</v>
      </c>
      <c r="C57" s="62">
        <v>2188</v>
      </c>
      <c r="D57" s="49">
        <v>1293</v>
      </c>
      <c r="E57" s="49">
        <v>8591</v>
      </c>
      <c r="F57" s="49">
        <v>685</v>
      </c>
      <c r="G57" s="49"/>
      <c r="H57" s="49">
        <f t="shared" si="14"/>
        <v>12757</v>
      </c>
      <c r="K57" s="503" t="s">
        <v>29</v>
      </c>
      <c r="L57" s="503"/>
      <c r="M57" s="503"/>
      <c r="N57" s="503"/>
      <c r="O57" s="503"/>
      <c r="P57" s="503"/>
      <c r="Q57" s="503"/>
      <c r="R57" s="86"/>
      <c r="S57" s="86"/>
    </row>
    <row r="58" spans="2:19" x14ac:dyDescent="0.25">
      <c r="B58" s="53" t="s">
        <v>55</v>
      </c>
      <c r="C58" s="62">
        <v>2496</v>
      </c>
      <c r="D58" s="49">
        <v>1471</v>
      </c>
      <c r="E58" s="49">
        <v>9418</v>
      </c>
      <c r="F58" s="49">
        <v>638</v>
      </c>
      <c r="G58" s="49"/>
      <c r="H58" s="49">
        <f t="shared" si="14"/>
        <v>14023</v>
      </c>
      <c r="K58" s="503"/>
      <c r="L58" s="503"/>
      <c r="M58" s="503"/>
      <c r="N58" s="503"/>
      <c r="O58" s="503"/>
      <c r="P58" s="503"/>
      <c r="Q58" s="503"/>
      <c r="R58" s="86"/>
      <c r="S58" s="86"/>
    </row>
    <row r="59" spans="2:19" x14ac:dyDescent="0.25">
      <c r="B59" s="53" t="s">
        <v>56</v>
      </c>
      <c r="C59" s="62">
        <v>2388</v>
      </c>
      <c r="D59" s="49">
        <v>1544</v>
      </c>
      <c r="E59" s="49">
        <v>9186</v>
      </c>
      <c r="F59" s="49">
        <v>584</v>
      </c>
      <c r="G59" s="49"/>
      <c r="H59" s="49">
        <f t="shared" si="14"/>
        <v>13702</v>
      </c>
      <c r="K59" s="503"/>
      <c r="L59" s="503"/>
      <c r="M59" s="503"/>
      <c r="N59" s="503"/>
      <c r="O59" s="503"/>
      <c r="P59" s="503"/>
      <c r="Q59" s="503"/>
      <c r="R59" s="86"/>
      <c r="S59" s="86"/>
    </row>
    <row r="60" spans="2:19" x14ac:dyDescent="0.25">
      <c r="B60" s="53" t="s">
        <v>57</v>
      </c>
      <c r="C60" s="62">
        <v>2428</v>
      </c>
      <c r="D60" s="49">
        <v>1373</v>
      </c>
      <c r="E60" s="49">
        <v>9457</v>
      </c>
      <c r="F60" s="49">
        <v>483</v>
      </c>
      <c r="G60" s="49"/>
      <c r="H60" s="49">
        <f t="shared" si="14"/>
        <v>13741</v>
      </c>
      <c r="K60" s="503"/>
      <c r="L60" s="503"/>
      <c r="M60" s="503"/>
      <c r="N60" s="503"/>
      <c r="O60" s="503"/>
      <c r="P60" s="503"/>
      <c r="Q60" s="503"/>
      <c r="R60" s="86"/>
      <c r="S60" s="86"/>
    </row>
    <row r="61" spans="2:19" x14ac:dyDescent="0.25">
      <c r="B61" s="53" t="s">
        <v>58</v>
      </c>
      <c r="C61" s="62">
        <v>2221</v>
      </c>
      <c r="D61" s="49">
        <v>1366</v>
      </c>
      <c r="E61" s="49">
        <v>8050</v>
      </c>
      <c r="F61" s="49">
        <v>401</v>
      </c>
      <c r="G61" s="49"/>
      <c r="H61" s="49">
        <f t="shared" si="14"/>
        <v>12038</v>
      </c>
      <c r="K61" s="503"/>
      <c r="L61" s="503"/>
      <c r="M61" s="503"/>
      <c r="N61" s="503"/>
      <c r="O61" s="503"/>
      <c r="P61" s="503"/>
      <c r="Q61" s="503"/>
      <c r="R61" s="86"/>
      <c r="S61" s="86"/>
    </row>
    <row r="62" spans="2:19" x14ac:dyDescent="0.25">
      <c r="B62" s="53" t="s">
        <v>59</v>
      </c>
      <c r="C62" s="62">
        <v>2612</v>
      </c>
      <c r="D62" s="49">
        <v>1574</v>
      </c>
      <c r="E62" s="49">
        <v>10193</v>
      </c>
      <c r="F62" s="49">
        <v>470</v>
      </c>
      <c r="G62" s="49"/>
      <c r="H62" s="49">
        <f t="shared" si="14"/>
        <v>14849</v>
      </c>
      <c r="K62" s="503"/>
      <c r="L62" s="503"/>
      <c r="M62" s="503"/>
      <c r="N62" s="503"/>
      <c r="O62" s="503"/>
      <c r="P62" s="503"/>
      <c r="Q62" s="503"/>
      <c r="R62" s="86"/>
      <c r="S62" s="86"/>
    </row>
    <row r="63" spans="2:19" x14ac:dyDescent="0.25">
      <c r="B63" s="53" t="s">
        <v>61</v>
      </c>
      <c r="C63" s="62">
        <v>2584</v>
      </c>
      <c r="D63" s="49">
        <v>1488</v>
      </c>
      <c r="E63" s="49">
        <v>9712</v>
      </c>
      <c r="F63" s="49">
        <v>424</v>
      </c>
      <c r="G63" s="49"/>
      <c r="H63" s="49">
        <f t="shared" si="14"/>
        <v>14208</v>
      </c>
      <c r="K63" s="503"/>
      <c r="L63" s="503"/>
      <c r="M63" s="503"/>
      <c r="N63" s="503"/>
      <c r="O63" s="503"/>
      <c r="P63" s="503"/>
      <c r="Q63" s="503"/>
      <c r="R63" s="86"/>
      <c r="S63" s="86"/>
    </row>
    <row r="64" spans="2:19" x14ac:dyDescent="0.25">
      <c r="B64" s="53" t="s">
        <v>62</v>
      </c>
      <c r="C64" s="62">
        <v>2469</v>
      </c>
      <c r="D64" s="49">
        <v>1221</v>
      </c>
      <c r="E64" s="49">
        <v>8795</v>
      </c>
      <c r="F64" s="49">
        <v>457</v>
      </c>
      <c r="G64" s="49"/>
      <c r="H64" s="49">
        <f t="shared" si="14"/>
        <v>12942</v>
      </c>
      <c r="K64" s="503"/>
      <c r="L64" s="503"/>
      <c r="M64" s="503"/>
      <c r="N64" s="503"/>
      <c r="O64" s="503"/>
      <c r="P64" s="503"/>
      <c r="Q64" s="503"/>
    </row>
    <row r="65" spans="2:17" x14ac:dyDescent="0.25">
      <c r="B65" s="53" t="s">
        <v>63</v>
      </c>
      <c r="C65" s="62">
        <v>2384</v>
      </c>
      <c r="D65" s="49">
        <v>1180</v>
      </c>
      <c r="E65" s="49">
        <v>7849</v>
      </c>
      <c r="F65" s="49">
        <v>360</v>
      </c>
      <c r="G65" s="49"/>
      <c r="H65" s="49">
        <f t="shared" si="14"/>
        <v>11773</v>
      </c>
      <c r="K65" s="503"/>
      <c r="L65" s="503"/>
      <c r="M65" s="503"/>
      <c r="N65" s="503"/>
      <c r="O65" s="503"/>
      <c r="P65" s="503"/>
      <c r="Q65" s="503"/>
    </row>
    <row r="66" spans="2:17" x14ac:dyDescent="0.25">
      <c r="B66" s="53" t="s">
        <v>64</v>
      </c>
      <c r="C66" s="62">
        <v>2268</v>
      </c>
      <c r="D66" s="49">
        <v>1004</v>
      </c>
      <c r="E66" s="49">
        <v>7880</v>
      </c>
      <c r="F66" s="49">
        <v>388</v>
      </c>
      <c r="G66" s="49"/>
      <c r="H66" s="49">
        <f t="shared" si="14"/>
        <v>11540</v>
      </c>
      <c r="K66" s="503"/>
      <c r="L66" s="503"/>
      <c r="M66" s="503"/>
      <c r="N66" s="503"/>
      <c r="O66" s="503"/>
      <c r="P66" s="503"/>
      <c r="Q66" s="503"/>
    </row>
    <row r="67" spans="2:17" x14ac:dyDescent="0.25">
      <c r="B67" s="53" t="s">
        <v>65</v>
      </c>
      <c r="C67" s="62">
        <v>2945</v>
      </c>
      <c r="D67" s="49">
        <v>1661</v>
      </c>
      <c r="E67" s="49">
        <v>13536</v>
      </c>
      <c r="F67" s="49">
        <v>620</v>
      </c>
      <c r="G67" s="49"/>
      <c r="H67" s="49">
        <f t="shared" si="14"/>
        <v>18762</v>
      </c>
      <c r="K67" s="29"/>
      <c r="L67" s="29"/>
      <c r="M67" s="29"/>
      <c r="N67" s="29"/>
      <c r="O67" s="29"/>
      <c r="P67" s="29"/>
      <c r="Q67" s="29"/>
    </row>
    <row r="68" spans="2:17" x14ac:dyDescent="0.25">
      <c r="B68" s="35" t="s">
        <v>71</v>
      </c>
      <c r="C68" s="36">
        <f>SUM(C56:C67)</f>
        <v>29733</v>
      </c>
      <c r="D68" s="36">
        <f t="shared" ref="D68:F68" si="15">SUM(D56:D67)</f>
        <v>16637</v>
      </c>
      <c r="E68" s="36">
        <f t="shared" si="15"/>
        <v>112867</v>
      </c>
      <c r="F68" s="36">
        <f t="shared" si="15"/>
        <v>6075</v>
      </c>
      <c r="G68" s="36"/>
      <c r="H68" s="36">
        <f t="shared" si="14"/>
        <v>165312</v>
      </c>
      <c r="I68" s="52"/>
      <c r="J68" s="87"/>
      <c r="K68" s="88"/>
      <c r="L68" s="88"/>
      <c r="M68" s="88"/>
      <c r="N68" s="88"/>
      <c r="O68" s="89"/>
      <c r="P68" s="29"/>
      <c r="Q68" s="29"/>
    </row>
    <row r="69" spans="2:17" ht="14.45" customHeight="1" x14ac:dyDescent="0.25">
      <c r="B69" s="53" t="s">
        <v>51</v>
      </c>
      <c r="C69" s="62">
        <v>3010</v>
      </c>
      <c r="D69" s="49">
        <v>1753</v>
      </c>
      <c r="E69" s="49">
        <v>19891</v>
      </c>
      <c r="F69" s="49">
        <v>741</v>
      </c>
      <c r="G69" s="49"/>
      <c r="H69" s="90">
        <f t="shared" si="14"/>
        <v>25395</v>
      </c>
      <c r="J69" s="91"/>
      <c r="K69" s="29"/>
      <c r="L69" s="29"/>
      <c r="M69" s="29"/>
      <c r="N69" s="29"/>
      <c r="O69" s="92"/>
      <c r="P69" s="29"/>
      <c r="Q69" s="29"/>
    </row>
    <row r="70" spans="2:17" ht="18.75" x14ac:dyDescent="0.3">
      <c r="B70" s="53" t="s">
        <v>53</v>
      </c>
      <c r="C70" s="62">
        <v>2521</v>
      </c>
      <c r="D70" s="49">
        <v>1559</v>
      </c>
      <c r="E70" s="49">
        <v>24159</v>
      </c>
      <c r="F70" s="49">
        <v>845</v>
      </c>
      <c r="G70" s="49"/>
      <c r="H70" s="90">
        <f t="shared" si="14"/>
        <v>29084</v>
      </c>
      <c r="J70" s="91"/>
      <c r="K70" s="37" t="s">
        <v>72</v>
      </c>
      <c r="L70" s="24"/>
      <c r="M70" s="24"/>
      <c r="N70" s="24"/>
      <c r="O70" s="93"/>
    </row>
    <row r="71" spans="2:17" x14ac:dyDescent="0.25">
      <c r="B71" s="53" t="s">
        <v>55</v>
      </c>
      <c r="C71" s="62">
        <v>2000</v>
      </c>
      <c r="D71" s="49">
        <v>1119</v>
      </c>
      <c r="E71" s="49">
        <v>12648</v>
      </c>
      <c r="F71" s="49">
        <v>527</v>
      </c>
      <c r="G71" s="49"/>
      <c r="H71" s="90">
        <f t="shared" si="14"/>
        <v>16294</v>
      </c>
      <c r="J71" s="91"/>
      <c r="K71"/>
      <c r="O71" s="93"/>
    </row>
    <row r="72" spans="2:17" x14ac:dyDescent="0.25">
      <c r="B72" s="53" t="s">
        <v>56</v>
      </c>
      <c r="C72" s="62">
        <v>1368</v>
      </c>
      <c r="D72" s="49">
        <v>462</v>
      </c>
      <c r="E72" s="49">
        <v>6817</v>
      </c>
      <c r="F72" s="49">
        <v>450</v>
      </c>
      <c r="G72" s="49"/>
      <c r="H72" s="90">
        <f t="shared" si="14"/>
        <v>9097</v>
      </c>
      <c r="J72" s="91"/>
      <c r="K72" s="94">
        <v>40000</v>
      </c>
      <c r="O72" s="93"/>
    </row>
    <row r="73" spans="2:17" x14ac:dyDescent="0.25">
      <c r="B73" s="53" t="s">
        <v>57</v>
      </c>
      <c r="C73" s="62">
        <v>2058</v>
      </c>
      <c r="D73" s="49">
        <v>843</v>
      </c>
      <c r="E73" s="49">
        <v>10889</v>
      </c>
      <c r="F73" s="49">
        <v>718</v>
      </c>
      <c r="G73" s="49"/>
      <c r="H73" s="90">
        <f t="shared" si="14"/>
        <v>14508</v>
      </c>
      <c r="J73" s="91"/>
      <c r="K73" s="8" t="s">
        <v>73</v>
      </c>
      <c r="O73" s="93"/>
    </row>
    <row r="74" spans="2:17" x14ac:dyDescent="0.25">
      <c r="B74" s="53" t="s">
        <v>58</v>
      </c>
      <c r="C74" s="62">
        <v>1919</v>
      </c>
      <c r="D74" s="49">
        <v>773</v>
      </c>
      <c r="E74" s="49">
        <v>9601</v>
      </c>
      <c r="F74" s="49">
        <v>637</v>
      </c>
      <c r="G74" s="49"/>
      <c r="H74" s="90">
        <f t="shared" si="14"/>
        <v>12930</v>
      </c>
      <c r="J74" s="91"/>
      <c r="O74" s="93"/>
    </row>
    <row r="75" spans="2:17" x14ac:dyDescent="0.25">
      <c r="B75" s="53" t="s">
        <v>59</v>
      </c>
      <c r="C75" s="62">
        <v>2816</v>
      </c>
      <c r="D75" s="49">
        <v>939</v>
      </c>
      <c r="E75" s="49">
        <v>11414</v>
      </c>
      <c r="F75" s="49">
        <v>530</v>
      </c>
      <c r="G75" s="49"/>
      <c r="H75" s="90">
        <f t="shared" si="14"/>
        <v>15699</v>
      </c>
      <c r="J75" s="91"/>
      <c r="O75" s="93"/>
    </row>
    <row r="76" spans="2:17" ht="18.75" x14ac:dyDescent="0.3">
      <c r="B76" s="53" t="s">
        <v>61</v>
      </c>
      <c r="C76" s="62">
        <v>3066</v>
      </c>
      <c r="D76" s="49">
        <v>1181</v>
      </c>
      <c r="E76" s="49">
        <v>14803</v>
      </c>
      <c r="F76" s="49">
        <v>627</v>
      </c>
      <c r="G76" s="49"/>
      <c r="H76" s="90">
        <f t="shared" si="14"/>
        <v>19677</v>
      </c>
      <c r="J76" s="91"/>
      <c r="K76" s="37" t="s">
        <v>74</v>
      </c>
      <c r="L76" s="24"/>
      <c r="M76" s="24"/>
      <c r="N76" s="24"/>
      <c r="O76" s="93"/>
    </row>
    <row r="77" spans="2:17" x14ac:dyDescent="0.25">
      <c r="B77" s="53" t="s">
        <v>62</v>
      </c>
      <c r="C77" s="62">
        <v>3009</v>
      </c>
      <c r="D77" s="49">
        <v>1422</v>
      </c>
      <c r="E77" s="49">
        <v>14413</v>
      </c>
      <c r="F77" s="49">
        <v>732</v>
      </c>
      <c r="G77" s="49"/>
      <c r="H77" s="90">
        <f t="shared" si="14"/>
        <v>19576</v>
      </c>
      <c r="J77" s="91"/>
      <c r="K77"/>
      <c r="O77" s="93"/>
    </row>
    <row r="78" spans="2:17" x14ac:dyDescent="0.25">
      <c r="B78" s="53" t="s">
        <v>63</v>
      </c>
      <c r="C78" s="62">
        <v>3231</v>
      </c>
      <c r="D78" s="49">
        <v>1811</v>
      </c>
      <c r="E78" s="49">
        <v>15413</v>
      </c>
      <c r="F78" s="49">
        <v>835</v>
      </c>
      <c r="G78" s="49"/>
      <c r="H78" s="90">
        <f t="shared" si="14"/>
        <v>21290</v>
      </c>
      <c r="J78" s="91"/>
      <c r="K78" s="49">
        <v>65000</v>
      </c>
      <c r="O78" s="93"/>
    </row>
    <row r="79" spans="2:17" x14ac:dyDescent="0.25">
      <c r="B79" s="53" t="s">
        <v>64</v>
      </c>
      <c r="C79" s="62">
        <v>2859</v>
      </c>
      <c r="D79" s="49">
        <v>1602</v>
      </c>
      <c r="E79" s="49">
        <v>13983</v>
      </c>
      <c r="F79" s="49">
        <v>605</v>
      </c>
      <c r="G79" s="49"/>
      <c r="H79" s="90">
        <f t="shared" si="14"/>
        <v>19049</v>
      </c>
      <c r="J79" s="91"/>
      <c r="K79" s="8" t="s">
        <v>73</v>
      </c>
      <c r="O79" s="93"/>
    </row>
    <row r="80" spans="2:17" x14ac:dyDescent="0.25">
      <c r="B80" s="53" t="s">
        <v>65</v>
      </c>
      <c r="C80" s="62">
        <v>2625</v>
      </c>
      <c r="D80" s="49">
        <v>1544</v>
      </c>
      <c r="E80" s="49">
        <v>12550</v>
      </c>
      <c r="F80" s="49">
        <v>491</v>
      </c>
      <c r="G80" s="49"/>
      <c r="H80" s="90">
        <f t="shared" si="14"/>
        <v>17210</v>
      </c>
      <c r="I80" s="52"/>
      <c r="J80" s="95"/>
      <c r="K80" s="96"/>
      <c r="L80" s="97"/>
      <c r="M80" s="97"/>
      <c r="N80" s="97"/>
      <c r="O80" s="98"/>
    </row>
    <row r="81" spans="2:12" x14ac:dyDescent="0.25">
      <c r="B81" s="35" t="s">
        <v>75</v>
      </c>
      <c r="C81" s="36">
        <f>SUM(C69:C80)</f>
        <v>30482</v>
      </c>
      <c r="D81" s="36">
        <f>SUM(D69:D80)</f>
        <v>15008</v>
      </c>
      <c r="E81" s="36">
        <f t="shared" ref="E81" si="16">SUM(E69:E80)</f>
        <v>166581</v>
      </c>
      <c r="F81" s="36">
        <f>SUM(F69:F80)</f>
        <v>7738</v>
      </c>
      <c r="G81" s="36"/>
      <c r="H81" s="36">
        <f>SUM(H69:H80)</f>
        <v>219809</v>
      </c>
      <c r="J81" s="28"/>
      <c r="K81" s="27"/>
    </row>
    <row r="82" spans="2:12" x14ac:dyDescent="0.25">
      <c r="B82" s="53" t="s">
        <v>51</v>
      </c>
      <c r="C82" s="62">
        <v>2624</v>
      </c>
      <c r="D82" s="49">
        <v>1886</v>
      </c>
      <c r="E82" s="49">
        <v>12697</v>
      </c>
      <c r="F82" s="49">
        <v>945</v>
      </c>
      <c r="G82" s="49"/>
      <c r="H82" s="90">
        <f t="shared" ref="H82:H93" si="17">SUM(C82:F82)</f>
        <v>18152</v>
      </c>
    </row>
    <row r="83" spans="2:12" x14ac:dyDescent="0.25">
      <c r="B83" s="53" t="s">
        <v>53</v>
      </c>
      <c r="C83" s="62">
        <v>2353</v>
      </c>
      <c r="D83" s="49">
        <v>1607</v>
      </c>
      <c r="E83" s="49">
        <v>12205</v>
      </c>
      <c r="F83" s="49">
        <v>862</v>
      </c>
      <c r="G83" s="49"/>
      <c r="H83" s="90">
        <f t="shared" si="17"/>
        <v>17027</v>
      </c>
    </row>
    <row r="84" spans="2:12" x14ac:dyDescent="0.25">
      <c r="B84" s="53" t="s">
        <v>55</v>
      </c>
      <c r="C84" s="62">
        <v>2678</v>
      </c>
      <c r="D84" s="49">
        <v>1931</v>
      </c>
      <c r="E84" s="49">
        <v>14594</v>
      </c>
      <c r="F84" s="49">
        <v>2800</v>
      </c>
      <c r="G84" s="49"/>
      <c r="H84" s="90">
        <f t="shared" si="17"/>
        <v>22003</v>
      </c>
    </row>
    <row r="85" spans="2:12" x14ac:dyDescent="0.25">
      <c r="B85" s="53" t="s">
        <v>56</v>
      </c>
      <c r="C85" s="62">
        <v>2953</v>
      </c>
      <c r="D85" s="49">
        <v>2127</v>
      </c>
      <c r="E85" s="49">
        <v>13753</v>
      </c>
      <c r="F85" s="49">
        <v>3063</v>
      </c>
      <c r="G85" s="49"/>
      <c r="H85" s="90">
        <f t="shared" si="17"/>
        <v>21896</v>
      </c>
    </row>
    <row r="86" spans="2:12" x14ac:dyDescent="0.25">
      <c r="B86" s="53" t="s">
        <v>57</v>
      </c>
      <c r="C86" s="62">
        <v>3346</v>
      </c>
      <c r="D86" s="49">
        <v>2277</v>
      </c>
      <c r="E86" s="49">
        <v>13729</v>
      </c>
      <c r="F86" s="49">
        <v>2119</v>
      </c>
      <c r="G86" s="49"/>
      <c r="H86" s="90">
        <f t="shared" si="17"/>
        <v>21471</v>
      </c>
    </row>
    <row r="87" spans="2:12" x14ac:dyDescent="0.25">
      <c r="B87" s="53" t="s">
        <v>58</v>
      </c>
      <c r="C87" s="62">
        <v>3596</v>
      </c>
      <c r="D87" s="49">
        <v>2125</v>
      </c>
      <c r="E87" s="49">
        <v>13497</v>
      </c>
      <c r="F87" s="49">
        <v>1738</v>
      </c>
      <c r="G87" s="49"/>
      <c r="H87" s="90">
        <f t="shared" si="17"/>
        <v>20956</v>
      </c>
    </row>
    <row r="88" spans="2:12" x14ac:dyDescent="0.25">
      <c r="B88" s="53" t="s">
        <v>59</v>
      </c>
      <c r="C88" s="62">
        <v>4119</v>
      </c>
      <c r="D88" s="49">
        <v>2409</v>
      </c>
      <c r="E88" s="49">
        <v>15819</v>
      </c>
      <c r="F88" s="49">
        <v>1609</v>
      </c>
      <c r="G88" s="49"/>
      <c r="H88" s="90">
        <f t="shared" si="17"/>
        <v>23956</v>
      </c>
    </row>
    <row r="89" spans="2:12" x14ac:dyDescent="0.25">
      <c r="B89" s="53" t="s">
        <v>61</v>
      </c>
      <c r="C89" s="62">
        <v>4297</v>
      </c>
      <c r="D89" s="49">
        <v>2641</v>
      </c>
      <c r="E89" s="49">
        <v>18223</v>
      </c>
      <c r="F89" s="49">
        <v>1553</v>
      </c>
      <c r="G89" s="49"/>
      <c r="H89" s="90">
        <f t="shared" si="17"/>
        <v>26714</v>
      </c>
    </row>
    <row r="90" spans="2:12" x14ac:dyDescent="0.25">
      <c r="B90" s="53" t="s">
        <v>62</v>
      </c>
      <c r="C90" s="62">
        <v>4529</v>
      </c>
      <c r="D90" s="49">
        <v>2330</v>
      </c>
      <c r="E90" s="49">
        <v>19815</v>
      </c>
      <c r="F90" s="49">
        <v>1444</v>
      </c>
      <c r="G90" s="49"/>
      <c r="H90" s="90">
        <f t="shared" si="17"/>
        <v>28118</v>
      </c>
    </row>
    <row r="91" spans="2:12" x14ac:dyDescent="0.25">
      <c r="B91" s="53" t="s">
        <v>63</v>
      </c>
      <c r="C91" s="62">
        <v>3477</v>
      </c>
      <c r="D91" s="49">
        <v>2464</v>
      </c>
      <c r="E91" s="49">
        <v>17701</v>
      </c>
      <c r="F91" s="49">
        <v>1432</v>
      </c>
      <c r="G91" s="49"/>
      <c r="H91" s="90">
        <f t="shared" si="17"/>
        <v>25074</v>
      </c>
    </row>
    <row r="92" spans="2:12" x14ac:dyDescent="0.25">
      <c r="B92" s="53" t="s">
        <v>64</v>
      </c>
      <c r="C92" s="62">
        <v>3890</v>
      </c>
      <c r="D92" s="49">
        <v>2658</v>
      </c>
      <c r="E92" s="49">
        <v>20150</v>
      </c>
      <c r="F92" s="49">
        <v>1497</v>
      </c>
      <c r="G92" s="49"/>
      <c r="H92" s="90">
        <f t="shared" si="17"/>
        <v>28195</v>
      </c>
      <c r="I92" s="52"/>
      <c r="J92" s="27"/>
    </row>
    <row r="93" spans="2:12" x14ac:dyDescent="0.25">
      <c r="B93" s="53" t="s">
        <v>65</v>
      </c>
      <c r="C93" s="62">
        <v>3791</v>
      </c>
      <c r="D93" s="49">
        <v>2514</v>
      </c>
      <c r="E93" s="49">
        <v>18895</v>
      </c>
      <c r="F93" s="49">
        <v>1448</v>
      </c>
      <c r="G93" s="49"/>
      <c r="H93" s="90">
        <f t="shared" si="17"/>
        <v>26648</v>
      </c>
      <c r="I93" s="52"/>
      <c r="J93" s="27"/>
    </row>
    <row r="94" spans="2:12" x14ac:dyDescent="0.25">
      <c r="B94" s="35" t="s">
        <v>76</v>
      </c>
      <c r="C94" s="36">
        <f>SUM(C82:C93)</f>
        <v>41653</v>
      </c>
      <c r="D94" s="36">
        <f t="shared" ref="D94:H94" si="18">SUM(D82:D93)</f>
        <v>26969</v>
      </c>
      <c r="E94" s="36">
        <f t="shared" si="18"/>
        <v>191078</v>
      </c>
      <c r="F94" s="36">
        <f>SUM(F82:F93)</f>
        <v>20510</v>
      </c>
      <c r="G94" s="36"/>
      <c r="H94" s="36">
        <f t="shared" si="18"/>
        <v>280210</v>
      </c>
      <c r="J94" s="28"/>
      <c r="K94" s="28"/>
      <c r="L94" s="28"/>
    </row>
    <row r="95" spans="2:12" x14ac:dyDescent="0.25">
      <c r="B95" s="53" t="s">
        <v>51</v>
      </c>
      <c r="C95" s="62">
        <v>4879</v>
      </c>
      <c r="D95" s="49">
        <v>3211</v>
      </c>
      <c r="E95" s="49">
        <v>21970</v>
      </c>
      <c r="F95" s="49">
        <v>1552</v>
      </c>
      <c r="G95" s="49">
        <v>0</v>
      </c>
      <c r="H95" s="90">
        <f t="shared" ref="H95:H106" si="19">SUM(C95:G95)</f>
        <v>31612</v>
      </c>
    </row>
    <row r="96" spans="2:12" x14ac:dyDescent="0.25">
      <c r="B96" s="53" t="s">
        <v>53</v>
      </c>
      <c r="C96" s="62">
        <v>0</v>
      </c>
      <c r="D96" s="49">
        <v>3005</v>
      </c>
      <c r="E96" s="49">
        <v>0</v>
      </c>
      <c r="F96" s="49">
        <v>3339</v>
      </c>
      <c r="G96" s="49">
        <v>149186</v>
      </c>
      <c r="H96" s="90">
        <f t="shared" si="19"/>
        <v>155530</v>
      </c>
    </row>
    <row r="97" spans="2:17" x14ac:dyDescent="0.25">
      <c r="B97" s="53" t="s">
        <v>55</v>
      </c>
      <c r="C97" s="62">
        <v>0</v>
      </c>
      <c r="D97" s="49">
        <v>3441</v>
      </c>
      <c r="E97" s="49">
        <v>0</v>
      </c>
      <c r="F97" s="49">
        <v>1913</v>
      </c>
      <c r="G97" s="49">
        <v>57867</v>
      </c>
      <c r="H97" s="90">
        <f t="shared" si="19"/>
        <v>63221</v>
      </c>
    </row>
    <row r="98" spans="2:17" x14ac:dyDescent="0.25">
      <c r="B98" s="53" t="s">
        <v>56</v>
      </c>
      <c r="C98" s="62">
        <v>0</v>
      </c>
      <c r="D98" s="49">
        <v>3126</v>
      </c>
      <c r="E98" s="49">
        <v>0</v>
      </c>
      <c r="F98" s="49">
        <v>1334</v>
      </c>
      <c r="G98" s="49">
        <v>36680</v>
      </c>
      <c r="H98" s="90">
        <f t="shared" si="19"/>
        <v>41140</v>
      </c>
    </row>
    <row r="99" spans="2:17" x14ac:dyDescent="0.25">
      <c r="B99" s="53" t="s">
        <v>57</v>
      </c>
      <c r="C99" s="62">
        <v>0</v>
      </c>
      <c r="D99" s="49">
        <v>3083</v>
      </c>
      <c r="E99" s="49">
        <v>0</v>
      </c>
      <c r="F99" s="49">
        <v>1382</v>
      </c>
      <c r="G99" s="49">
        <v>35311</v>
      </c>
      <c r="H99" s="90">
        <f t="shared" si="19"/>
        <v>39776</v>
      </c>
    </row>
    <row r="100" spans="2:17" x14ac:dyDescent="0.25">
      <c r="B100" s="53" t="s">
        <v>58</v>
      </c>
      <c r="C100" s="62">
        <v>0</v>
      </c>
      <c r="D100" s="49">
        <v>2713</v>
      </c>
      <c r="E100" s="49">
        <v>0</v>
      </c>
      <c r="F100" s="49">
        <v>1334</v>
      </c>
      <c r="G100" s="49">
        <v>35974</v>
      </c>
      <c r="H100" s="90">
        <f t="shared" si="19"/>
        <v>40021</v>
      </c>
    </row>
    <row r="101" spans="2:17" x14ac:dyDescent="0.25">
      <c r="B101" s="53" t="s">
        <v>59</v>
      </c>
      <c r="C101" s="62">
        <v>0</v>
      </c>
      <c r="D101" s="49">
        <v>3135</v>
      </c>
      <c r="E101" s="49">
        <v>0</v>
      </c>
      <c r="F101" s="49">
        <v>1526</v>
      </c>
      <c r="G101" s="49">
        <v>39533</v>
      </c>
      <c r="H101" s="90">
        <f t="shared" si="19"/>
        <v>44194</v>
      </c>
    </row>
    <row r="102" spans="2:17" x14ac:dyDescent="0.25">
      <c r="B102" s="53" t="s">
        <v>61</v>
      </c>
      <c r="C102" s="62">
        <v>0</v>
      </c>
      <c r="D102" s="49">
        <v>3668</v>
      </c>
      <c r="E102" s="49">
        <v>0</v>
      </c>
      <c r="F102" s="49">
        <v>1950</v>
      </c>
      <c r="G102" s="49">
        <v>57652</v>
      </c>
      <c r="H102" s="90">
        <f t="shared" si="19"/>
        <v>63270</v>
      </c>
    </row>
    <row r="103" spans="2:17" x14ac:dyDescent="0.25">
      <c r="B103" s="53" t="s">
        <v>62</v>
      </c>
      <c r="C103" s="62">
        <v>0</v>
      </c>
      <c r="D103" s="49">
        <v>2716</v>
      </c>
      <c r="E103" s="49">
        <v>0</v>
      </c>
      <c r="F103" s="49">
        <v>1277</v>
      </c>
      <c r="G103" s="49">
        <v>34313</v>
      </c>
      <c r="H103" s="90">
        <f t="shared" si="19"/>
        <v>38306</v>
      </c>
    </row>
    <row r="104" spans="2:17" x14ac:dyDescent="0.25">
      <c r="B104" s="53" t="s">
        <v>63</v>
      </c>
      <c r="C104" s="62">
        <v>0</v>
      </c>
      <c r="D104" s="49">
        <v>2773</v>
      </c>
      <c r="E104" s="49">
        <v>0</v>
      </c>
      <c r="F104" s="49">
        <v>1217</v>
      </c>
      <c r="G104" s="49">
        <v>45602</v>
      </c>
      <c r="H104" s="90">
        <f t="shared" si="19"/>
        <v>49592</v>
      </c>
    </row>
    <row r="105" spans="2:17" x14ac:dyDescent="0.25">
      <c r="B105" s="53" t="s">
        <v>64</v>
      </c>
      <c r="C105" s="62">
        <v>0</v>
      </c>
      <c r="D105" s="49">
        <v>3106</v>
      </c>
      <c r="E105" s="49">
        <v>0</v>
      </c>
      <c r="F105" s="49">
        <v>1353</v>
      </c>
      <c r="G105" s="49">
        <v>43552</v>
      </c>
      <c r="H105" s="90">
        <f t="shared" si="19"/>
        <v>48011</v>
      </c>
      <c r="I105" s="52"/>
      <c r="J105" s="27"/>
      <c r="K105" s="27"/>
    </row>
    <row r="106" spans="2:17" x14ac:dyDescent="0.25">
      <c r="B106" s="53" t="s">
        <v>65</v>
      </c>
      <c r="C106" s="62">
        <v>0</v>
      </c>
      <c r="D106" s="49">
        <v>2423</v>
      </c>
      <c r="E106" s="49">
        <v>0</v>
      </c>
      <c r="F106" s="49">
        <v>1266</v>
      </c>
      <c r="G106" s="49">
        <v>35225</v>
      </c>
      <c r="H106" s="90">
        <f t="shared" si="19"/>
        <v>38914</v>
      </c>
      <c r="I106" s="52"/>
      <c r="J106" s="27"/>
      <c r="K106" s="27"/>
    </row>
    <row r="107" spans="2:17" x14ac:dyDescent="0.25">
      <c r="B107" s="35" t="s">
        <v>77</v>
      </c>
      <c r="C107" s="36">
        <f>SUM(C95:C106)</f>
        <v>4879</v>
      </c>
      <c r="D107" s="36">
        <f t="shared" ref="D107:F107" si="20">SUM(D95:D106)</f>
        <v>36400</v>
      </c>
      <c r="E107" s="36">
        <f t="shared" si="20"/>
        <v>21970</v>
      </c>
      <c r="F107" s="36">
        <f t="shared" si="20"/>
        <v>19443</v>
      </c>
      <c r="G107" s="36">
        <f>SUM(G95:G106)</f>
        <v>570895</v>
      </c>
      <c r="H107" s="36">
        <f>SUM(H95:H106)</f>
        <v>653587</v>
      </c>
      <c r="J107" s="28"/>
      <c r="K107" s="28"/>
      <c r="L107" s="28"/>
    </row>
    <row r="108" spans="2:17" x14ac:dyDescent="0.25">
      <c r="B108" s="35" t="s">
        <v>7</v>
      </c>
      <c r="C108" s="99">
        <f>C9+C10+C11+C12+C13+C14+C15+C16+C29+C42+C55+C81+C94+C68+C107</f>
        <v>559494</v>
      </c>
      <c r="D108" s="99">
        <f t="shared" ref="D108:G108" si="21">D9+D10+D11+D12+D13+D14+D15+D16+D29+D42+D55+D81+D94+D68+D107</f>
        <v>339442</v>
      </c>
      <c r="E108" s="99">
        <f t="shared" si="21"/>
        <v>1796650</v>
      </c>
      <c r="F108" s="99">
        <f t="shared" si="21"/>
        <v>129806</v>
      </c>
      <c r="G108" s="99">
        <f t="shared" si="21"/>
        <v>570895</v>
      </c>
      <c r="H108" s="99">
        <f>H9+H10+H11+H12+H13+H14+H15+H16+H29+H42+H55+H81+H94+H68+H107</f>
        <v>3396287</v>
      </c>
    </row>
    <row r="109" spans="2:17" x14ac:dyDescent="0.25">
      <c r="C109" s="100"/>
      <c r="D109" s="100"/>
      <c r="E109" s="100"/>
      <c r="F109" s="100"/>
      <c r="G109" s="100"/>
      <c r="H109" s="100"/>
    </row>
    <row r="110" spans="2:17" ht="15" customHeight="1" x14ac:dyDescent="0.25">
      <c r="B110" s="8" t="s">
        <v>28</v>
      </c>
    </row>
    <row r="111" spans="2:17" ht="31.15" customHeight="1" x14ac:dyDescent="0.25">
      <c r="B111" s="503" t="s">
        <v>29</v>
      </c>
      <c r="C111" s="503"/>
      <c r="D111" s="503"/>
      <c r="E111" s="503"/>
      <c r="F111" s="503"/>
      <c r="G111" s="503"/>
      <c r="H111" s="503"/>
      <c r="I111" s="503"/>
      <c r="J111" s="503"/>
      <c r="K111" s="101"/>
      <c r="L111" s="101"/>
      <c r="M111" s="101"/>
      <c r="N111" s="101"/>
      <c r="O111" s="101"/>
      <c r="P111" s="101"/>
      <c r="Q111" s="101"/>
    </row>
    <row r="112" spans="2:17" x14ac:dyDescent="0.25">
      <c r="B112" s="503"/>
      <c r="C112" s="503"/>
      <c r="D112" s="503"/>
      <c r="E112" s="503"/>
      <c r="F112" s="503"/>
      <c r="G112" s="503"/>
      <c r="H112" s="503"/>
      <c r="I112" s="503"/>
      <c r="J112" s="503"/>
      <c r="K112" s="101"/>
      <c r="L112" s="101"/>
      <c r="M112" s="101"/>
      <c r="N112" s="101"/>
      <c r="O112" s="101"/>
      <c r="P112" s="101"/>
      <c r="Q112" s="101"/>
    </row>
    <row r="113" spans="2:17" x14ac:dyDescent="0.25">
      <c r="B113" s="503"/>
      <c r="C113" s="503"/>
      <c r="D113" s="503"/>
      <c r="E113" s="503"/>
      <c r="F113" s="503"/>
      <c r="G113" s="503"/>
      <c r="H113" s="503"/>
      <c r="I113" s="503"/>
      <c r="J113" s="503"/>
      <c r="K113" s="101"/>
      <c r="L113" s="101"/>
      <c r="M113" s="101"/>
      <c r="N113" s="101"/>
      <c r="O113" s="101"/>
      <c r="P113" s="101"/>
      <c r="Q113" s="101"/>
    </row>
    <row r="114" spans="2:17" x14ac:dyDescent="0.25">
      <c r="B114" s="503"/>
      <c r="C114" s="503"/>
      <c r="D114" s="503"/>
      <c r="E114" s="503"/>
      <c r="F114" s="503"/>
      <c r="G114" s="503"/>
      <c r="H114" s="503"/>
      <c r="I114" s="503"/>
      <c r="J114" s="503"/>
      <c r="K114" s="101"/>
      <c r="L114" s="101"/>
      <c r="M114" s="101"/>
      <c r="N114" s="101"/>
      <c r="O114" s="101"/>
      <c r="P114" s="101"/>
      <c r="Q114" s="101"/>
    </row>
    <row r="115" spans="2:17" x14ac:dyDescent="0.25">
      <c r="B115" s="503"/>
      <c r="C115" s="503"/>
      <c r="D115" s="503"/>
      <c r="E115" s="503"/>
      <c r="F115" s="503"/>
      <c r="G115" s="503"/>
      <c r="H115" s="503"/>
      <c r="I115" s="503"/>
      <c r="J115" s="503"/>
      <c r="K115" s="101"/>
      <c r="L115" s="101"/>
      <c r="M115" s="101"/>
      <c r="N115" s="101"/>
      <c r="O115" s="101"/>
      <c r="P115" s="101"/>
      <c r="Q115" s="101"/>
    </row>
    <row r="116" spans="2:17" x14ac:dyDescent="0.25">
      <c r="B116" s="503"/>
      <c r="C116" s="503"/>
      <c r="D116" s="503"/>
      <c r="E116" s="503"/>
      <c r="F116" s="503"/>
      <c r="G116" s="503"/>
      <c r="H116" s="503"/>
      <c r="I116" s="503"/>
      <c r="J116" s="503"/>
    </row>
    <row r="117" spans="2:17" x14ac:dyDescent="0.25">
      <c r="B117" s="503"/>
      <c r="C117" s="503"/>
      <c r="D117" s="503"/>
      <c r="E117" s="503"/>
      <c r="F117" s="503"/>
      <c r="G117" s="503"/>
      <c r="H117" s="503"/>
      <c r="I117" s="503"/>
      <c r="J117" s="503"/>
    </row>
  </sheetData>
  <mergeCells count="4">
    <mergeCell ref="B7:B8"/>
    <mergeCell ref="C7:H7"/>
    <mergeCell ref="K57:Q66"/>
    <mergeCell ref="B111:J117"/>
  </mergeCell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2BBF4-BF7C-4CE1-9044-C2A8A5A906AF}">
  <sheetPr>
    <tabColor rgb="FF00B0F0"/>
  </sheetPr>
  <dimension ref="A2:Z515"/>
  <sheetViews>
    <sheetView showGridLines="0" workbookViewId="0">
      <selection activeCell="I35" sqref="I35"/>
    </sheetView>
  </sheetViews>
  <sheetFormatPr baseColWidth="10" defaultColWidth="11.42578125" defaultRowHeight="15" x14ac:dyDescent="0.25"/>
  <cols>
    <col min="1" max="1" width="5.5703125" style="23" customWidth="1"/>
    <col min="2" max="2" width="38.85546875" style="23" customWidth="1"/>
    <col min="3" max="3" width="16.42578125" style="23" customWidth="1"/>
    <col min="4" max="4" width="12" style="23" bestFit="1" customWidth="1"/>
    <col min="5" max="5" width="14.5703125" style="23" customWidth="1"/>
    <col min="6" max="6" width="14.42578125" style="23" customWidth="1"/>
    <col min="7" max="7" width="11" style="23" bestFit="1" customWidth="1"/>
    <col min="8" max="8" width="13.42578125" style="23" customWidth="1"/>
    <col min="9" max="9" width="13.5703125" style="23" customWidth="1"/>
    <col min="10" max="10" width="10.5703125" style="23" customWidth="1"/>
    <col min="11" max="11" width="9.28515625" style="23" bestFit="1" customWidth="1"/>
    <col min="12" max="12" width="9" style="23" bestFit="1" customWidth="1"/>
    <col min="13" max="13" width="13" style="23" customWidth="1"/>
    <col min="14" max="14" width="11.42578125" style="23" customWidth="1"/>
    <col min="15" max="15" width="9" style="23" bestFit="1" customWidth="1"/>
    <col min="16" max="16" width="8.5703125" style="23" bestFit="1" customWidth="1"/>
    <col min="17" max="17" width="9.5703125" style="23" bestFit="1" customWidth="1"/>
    <col min="18" max="18" width="8.5703125" style="23" bestFit="1" customWidth="1"/>
    <col min="19" max="19" width="9.5703125" style="23" bestFit="1" customWidth="1"/>
    <col min="20" max="20" width="8.5703125" style="23" bestFit="1" customWidth="1"/>
    <col min="21" max="21" width="9.5703125" style="23" bestFit="1" customWidth="1"/>
    <col min="22" max="22" width="8.5703125" style="23" bestFit="1" customWidth="1"/>
    <col min="23" max="23" width="9.5703125" style="23" bestFit="1" customWidth="1"/>
    <col min="24" max="24" width="8.5703125" style="23" bestFit="1" customWidth="1"/>
    <col min="25" max="25" width="9.5703125" style="23" bestFit="1" customWidth="1"/>
    <col min="26" max="27" width="8.5703125" style="23" bestFit="1" customWidth="1"/>
    <col min="28" max="28" width="7.42578125" style="23" bestFit="1" customWidth="1"/>
    <col min="29" max="29" width="9.5703125" style="23" bestFit="1" customWidth="1"/>
    <col min="30" max="30" width="2.28515625" style="23" customWidth="1"/>
    <col min="31" max="31" width="11.140625" style="23" bestFit="1" customWidth="1"/>
    <col min="32" max="32" width="9.5703125" style="23" bestFit="1" customWidth="1"/>
    <col min="33" max="33" width="5.7109375" style="23" bestFit="1" customWidth="1"/>
    <col min="34" max="34" width="2.5703125" style="23" customWidth="1"/>
    <col min="35" max="36" width="9.5703125" style="23" bestFit="1" customWidth="1"/>
    <col min="37" max="37" width="5.7109375" style="23" bestFit="1" customWidth="1"/>
    <col min="38" max="16384" width="11.42578125" style="23"/>
  </cols>
  <sheetData>
    <row r="2" spans="2:25" ht="23.25" x14ac:dyDescent="0.25">
      <c r="B2" s="1" t="s">
        <v>815</v>
      </c>
    </row>
    <row r="4" spans="2:25" ht="15" customHeight="1" x14ac:dyDescent="0.3">
      <c r="B4" s="2" t="s">
        <v>976</v>
      </c>
      <c r="C4" s="2"/>
      <c r="D4" s="2"/>
      <c r="E4" s="2"/>
      <c r="F4" s="294"/>
      <c r="G4" s="294"/>
      <c r="H4" s="29"/>
      <c r="I4" s="29"/>
      <c r="J4" s="29"/>
      <c r="K4" s="29"/>
      <c r="L4" s="29"/>
      <c r="M4" s="29"/>
      <c r="N4" s="29"/>
      <c r="O4" s="29"/>
      <c r="P4" s="29"/>
      <c r="Q4" s="29"/>
      <c r="R4" s="29"/>
      <c r="S4" s="29"/>
      <c r="T4" s="29"/>
      <c r="U4" s="29"/>
      <c r="V4" s="29"/>
      <c r="W4" s="29"/>
      <c r="X4" s="29"/>
      <c r="Y4" s="29"/>
    </row>
    <row r="5" spans="2:25" x14ac:dyDescent="0.25">
      <c r="B5" s="31" t="s">
        <v>520</v>
      </c>
      <c r="C5" s="29"/>
      <c r="D5" s="29"/>
      <c r="E5" s="29"/>
      <c r="F5" s="29"/>
      <c r="G5" s="29"/>
      <c r="H5" s="29"/>
      <c r="I5" s="29"/>
      <c r="J5" s="29"/>
      <c r="K5" s="29"/>
      <c r="L5" s="29"/>
      <c r="M5" s="29"/>
      <c r="N5" s="29"/>
      <c r="O5" s="29"/>
      <c r="P5" s="29"/>
      <c r="Q5" s="29"/>
      <c r="R5" s="29"/>
      <c r="S5" s="29"/>
      <c r="T5" s="29"/>
      <c r="U5" s="29"/>
      <c r="V5" s="29"/>
      <c r="W5" s="29"/>
      <c r="X5" s="29"/>
      <c r="Y5" s="29"/>
    </row>
    <row r="6" spans="2:25" x14ac:dyDescent="0.25">
      <c r="C6" s="29"/>
      <c r="D6" s="29"/>
      <c r="E6" s="29"/>
      <c r="F6" s="29"/>
      <c r="G6" s="29"/>
      <c r="H6" s="29"/>
      <c r="I6" s="29"/>
      <c r="J6" s="29"/>
      <c r="K6" s="29"/>
      <c r="L6" s="29"/>
      <c r="M6" s="29"/>
      <c r="N6" s="29"/>
      <c r="O6" s="29"/>
      <c r="P6" s="29"/>
      <c r="Q6" s="29"/>
      <c r="R6" s="29"/>
      <c r="S6" s="29"/>
      <c r="T6" s="29"/>
      <c r="U6" s="29"/>
      <c r="V6" s="29"/>
      <c r="W6" s="29"/>
      <c r="X6" s="29"/>
      <c r="Y6" s="29"/>
    </row>
    <row r="7" spans="2:25" ht="15" customHeight="1" x14ac:dyDescent="0.25">
      <c r="B7" s="484" t="s">
        <v>537</v>
      </c>
      <c r="C7" s="506" t="s">
        <v>538</v>
      </c>
      <c r="D7" s="507"/>
      <c r="E7" s="507"/>
      <c r="F7" s="507"/>
      <c r="G7" s="507"/>
      <c r="H7" s="508"/>
      <c r="I7" s="484" t="s">
        <v>539</v>
      </c>
      <c r="J7" s="485"/>
      <c r="K7" s="492" t="s">
        <v>36</v>
      </c>
      <c r="L7" s="29"/>
      <c r="M7" s="29"/>
      <c r="N7" s="29"/>
      <c r="O7" s="29"/>
      <c r="P7" s="29"/>
      <c r="Q7" s="29"/>
      <c r="R7" s="29"/>
      <c r="S7" s="29"/>
      <c r="T7" s="29"/>
      <c r="U7" s="29"/>
      <c r="V7" s="29"/>
      <c r="W7" s="29"/>
      <c r="X7" s="29"/>
      <c r="Y7" s="29"/>
    </row>
    <row r="8" spans="2:25" ht="30" x14ac:dyDescent="0.25">
      <c r="B8" s="484"/>
      <c r="C8" s="251" t="s">
        <v>3</v>
      </c>
      <c r="D8" s="180" t="s">
        <v>4</v>
      </c>
      <c r="E8" s="180" t="s">
        <v>714</v>
      </c>
      <c r="F8" s="180" t="s">
        <v>501</v>
      </c>
      <c r="G8" s="180" t="s">
        <v>5</v>
      </c>
      <c r="H8" s="180" t="s">
        <v>6</v>
      </c>
      <c r="I8" s="180" t="s">
        <v>87</v>
      </c>
      <c r="J8" s="204" t="s">
        <v>88</v>
      </c>
      <c r="K8" s="492"/>
      <c r="L8" s="29"/>
      <c r="M8" s="29"/>
      <c r="N8" s="29"/>
      <c r="O8" s="29"/>
      <c r="P8" s="29"/>
      <c r="Q8" s="29"/>
      <c r="R8" s="29"/>
      <c r="S8" s="29"/>
      <c r="T8" s="29"/>
      <c r="U8" s="29"/>
      <c r="V8" s="29"/>
      <c r="W8" s="29"/>
      <c r="X8" s="29"/>
      <c r="Y8" s="29"/>
    </row>
    <row r="9" spans="2:25" x14ac:dyDescent="0.25">
      <c r="B9" s="407" t="s">
        <v>521</v>
      </c>
      <c r="C9" s="368"/>
      <c r="D9" s="368">
        <v>128</v>
      </c>
      <c r="E9" s="368">
        <v>543</v>
      </c>
      <c r="F9" s="368">
        <v>1497</v>
      </c>
      <c r="G9" s="368"/>
      <c r="H9" s="368">
        <v>67</v>
      </c>
      <c r="I9" s="368">
        <v>1118</v>
      </c>
      <c r="J9" s="368">
        <v>1117</v>
      </c>
      <c r="K9" s="369">
        <v>2235</v>
      </c>
      <c r="L9" s="29"/>
      <c r="M9" s="29"/>
      <c r="N9" s="29"/>
      <c r="O9" s="29"/>
      <c r="P9" s="29"/>
      <c r="Q9" s="29"/>
      <c r="R9" s="29"/>
      <c r="S9" s="29"/>
      <c r="T9" s="29"/>
      <c r="U9" s="29"/>
      <c r="V9" s="29"/>
      <c r="W9" s="29"/>
      <c r="X9" s="29"/>
      <c r="Y9" s="29"/>
    </row>
    <row r="10" spans="2:25" ht="15" customHeight="1" x14ac:dyDescent="0.25">
      <c r="B10" s="408" t="s">
        <v>522</v>
      </c>
      <c r="C10" s="368"/>
      <c r="D10" s="368">
        <v>202</v>
      </c>
      <c r="E10" s="368">
        <v>1086</v>
      </c>
      <c r="F10" s="368">
        <v>3023</v>
      </c>
      <c r="G10" s="368"/>
      <c r="H10" s="368">
        <v>58</v>
      </c>
      <c r="I10" s="368">
        <v>2250</v>
      </c>
      <c r="J10" s="368">
        <v>2119</v>
      </c>
      <c r="K10" s="370">
        <v>4369</v>
      </c>
      <c r="L10" s="29"/>
      <c r="M10" s="29"/>
      <c r="N10" s="29"/>
      <c r="O10" s="29"/>
      <c r="P10" s="29"/>
      <c r="Q10" s="29"/>
      <c r="R10" s="29"/>
      <c r="S10" s="29"/>
      <c r="T10" s="29"/>
      <c r="U10" s="29"/>
      <c r="V10" s="29"/>
      <c r="W10" s="29"/>
      <c r="X10" s="29"/>
      <c r="Y10" s="29"/>
    </row>
    <row r="11" spans="2:25" x14ac:dyDescent="0.25">
      <c r="B11" s="408" t="s">
        <v>523</v>
      </c>
      <c r="C11" s="368"/>
      <c r="D11" s="368">
        <v>131</v>
      </c>
      <c r="E11" s="368">
        <v>689</v>
      </c>
      <c r="F11" s="368">
        <v>1606</v>
      </c>
      <c r="G11" s="368"/>
      <c r="H11" s="368">
        <v>46</v>
      </c>
      <c r="I11" s="368">
        <v>1194</v>
      </c>
      <c r="J11" s="368">
        <v>1278</v>
      </c>
      <c r="K11" s="370">
        <v>2472</v>
      </c>
      <c r="L11" s="29"/>
      <c r="M11" s="29"/>
      <c r="N11" s="29"/>
      <c r="O11" s="29"/>
      <c r="P11" s="29"/>
      <c r="Q11" s="29"/>
      <c r="R11" s="29"/>
      <c r="S11" s="29"/>
      <c r="T11" s="29"/>
      <c r="U11" s="29"/>
      <c r="V11" s="29"/>
      <c r="W11" s="29"/>
      <c r="X11" s="29"/>
      <c r="Y11" s="29"/>
    </row>
    <row r="12" spans="2:25" x14ac:dyDescent="0.25">
      <c r="B12" s="408" t="s">
        <v>524</v>
      </c>
      <c r="C12" s="368"/>
      <c r="D12" s="368">
        <v>382</v>
      </c>
      <c r="E12" s="368">
        <v>1637</v>
      </c>
      <c r="F12" s="368">
        <v>4150</v>
      </c>
      <c r="G12" s="368"/>
      <c r="H12" s="368">
        <v>184</v>
      </c>
      <c r="I12" s="368">
        <v>3226</v>
      </c>
      <c r="J12" s="368">
        <v>3127</v>
      </c>
      <c r="K12" s="370">
        <v>6353</v>
      </c>
      <c r="L12" s="29"/>
      <c r="M12" s="29"/>
      <c r="N12" s="29"/>
      <c r="O12" s="29"/>
      <c r="P12" s="29"/>
      <c r="Q12" s="29"/>
      <c r="R12" s="29"/>
      <c r="S12" s="29"/>
      <c r="T12" s="29"/>
      <c r="U12" s="29"/>
      <c r="V12" s="29"/>
      <c r="W12" s="29"/>
      <c r="X12" s="29"/>
      <c r="Y12" s="29"/>
    </row>
    <row r="13" spans="2:25" ht="15" customHeight="1" x14ac:dyDescent="0.25">
      <c r="B13" s="408" t="s">
        <v>525</v>
      </c>
      <c r="C13" s="368"/>
      <c r="D13" s="368">
        <v>836</v>
      </c>
      <c r="E13" s="368">
        <v>3834</v>
      </c>
      <c r="F13" s="368">
        <v>10880</v>
      </c>
      <c r="G13" s="368"/>
      <c r="H13" s="368">
        <v>493</v>
      </c>
      <c r="I13" s="368">
        <v>8670</v>
      </c>
      <c r="J13" s="368">
        <v>7373</v>
      </c>
      <c r="K13" s="370">
        <v>16043</v>
      </c>
      <c r="L13" s="29"/>
      <c r="M13" s="29"/>
      <c r="N13" s="29"/>
      <c r="O13" s="29"/>
      <c r="P13" s="29"/>
      <c r="Q13" s="29"/>
      <c r="R13" s="29"/>
      <c r="S13" s="29"/>
      <c r="T13" s="29"/>
      <c r="U13" s="29"/>
      <c r="V13" s="29"/>
      <c r="W13" s="29"/>
      <c r="X13" s="29"/>
      <c r="Y13" s="29"/>
    </row>
    <row r="14" spans="2:25" ht="30" x14ac:dyDescent="0.25">
      <c r="B14" s="408" t="s">
        <v>526</v>
      </c>
      <c r="C14" s="368"/>
      <c r="D14" s="368">
        <v>524</v>
      </c>
      <c r="E14" s="368">
        <v>1925</v>
      </c>
      <c r="F14" s="368">
        <v>5245</v>
      </c>
      <c r="G14" s="368"/>
      <c r="H14" s="368">
        <v>268</v>
      </c>
      <c r="I14" s="368">
        <v>4165</v>
      </c>
      <c r="J14" s="368">
        <v>3797</v>
      </c>
      <c r="K14" s="370">
        <v>7962</v>
      </c>
      <c r="L14" s="29"/>
      <c r="M14" s="29"/>
      <c r="N14" s="29"/>
      <c r="O14" s="29"/>
      <c r="P14" s="29"/>
      <c r="Q14" s="29"/>
      <c r="R14" s="29"/>
      <c r="S14" s="29"/>
      <c r="T14" s="29"/>
      <c r="U14" s="29"/>
      <c r="V14" s="29"/>
      <c r="W14" s="29"/>
      <c r="X14" s="29"/>
      <c r="Y14" s="29"/>
    </row>
    <row r="15" spans="2:25" x14ac:dyDescent="0.25">
      <c r="B15" s="408" t="s">
        <v>527</v>
      </c>
      <c r="C15" s="368"/>
      <c r="D15" s="368">
        <v>579</v>
      </c>
      <c r="E15" s="368">
        <v>2252</v>
      </c>
      <c r="F15" s="368">
        <v>4783</v>
      </c>
      <c r="G15" s="368"/>
      <c r="H15" s="368">
        <v>304</v>
      </c>
      <c r="I15" s="368">
        <v>4101</v>
      </c>
      <c r="J15" s="368">
        <v>3817</v>
      </c>
      <c r="K15" s="370">
        <v>7918</v>
      </c>
      <c r="L15" s="29"/>
      <c r="M15" s="29"/>
      <c r="N15" s="29"/>
      <c r="O15" s="29"/>
      <c r="P15" s="29"/>
      <c r="Q15" s="29"/>
      <c r="R15" s="29"/>
      <c r="S15" s="29"/>
      <c r="T15" s="29"/>
      <c r="U15" s="29"/>
      <c r="V15" s="29"/>
      <c r="W15" s="29"/>
      <c r="X15" s="29"/>
      <c r="Y15" s="29"/>
    </row>
    <row r="16" spans="2:25" ht="15" customHeight="1" x14ac:dyDescent="0.25">
      <c r="B16" s="408" t="s">
        <v>528</v>
      </c>
      <c r="C16" s="368"/>
      <c r="D16" s="368">
        <v>988</v>
      </c>
      <c r="E16" s="368">
        <v>2981</v>
      </c>
      <c r="F16" s="368">
        <v>7535</v>
      </c>
      <c r="G16" s="368"/>
      <c r="H16" s="368">
        <v>367</v>
      </c>
      <c r="I16" s="368">
        <v>6388</v>
      </c>
      <c r="J16" s="368">
        <v>5483</v>
      </c>
      <c r="K16" s="370">
        <v>11871</v>
      </c>
      <c r="L16" s="29"/>
      <c r="M16" s="29"/>
      <c r="N16" s="29"/>
      <c r="O16" s="29"/>
      <c r="P16" s="29"/>
      <c r="Q16" s="29"/>
      <c r="R16" s="29"/>
      <c r="S16" s="29"/>
      <c r="T16" s="29"/>
      <c r="U16" s="29"/>
      <c r="V16" s="29"/>
      <c r="W16" s="29"/>
      <c r="X16" s="29"/>
      <c r="Y16" s="29"/>
    </row>
    <row r="17" spans="2:25" x14ac:dyDescent="0.25">
      <c r="B17" s="408" t="s">
        <v>529</v>
      </c>
      <c r="C17" s="368"/>
      <c r="D17" s="368">
        <v>676</v>
      </c>
      <c r="E17" s="368">
        <v>2214</v>
      </c>
      <c r="F17" s="368">
        <v>3838</v>
      </c>
      <c r="G17" s="368"/>
      <c r="H17" s="368">
        <v>252</v>
      </c>
      <c r="I17" s="368">
        <v>3702</v>
      </c>
      <c r="J17" s="368">
        <v>3278</v>
      </c>
      <c r="K17" s="370">
        <v>6980</v>
      </c>
      <c r="L17" s="29"/>
      <c r="M17" s="29"/>
      <c r="N17" s="29"/>
      <c r="O17" s="29"/>
      <c r="P17" s="29"/>
      <c r="Q17" s="29"/>
      <c r="R17" s="29"/>
      <c r="S17" s="29"/>
      <c r="T17" s="29"/>
      <c r="U17" s="29"/>
      <c r="V17" s="29"/>
      <c r="W17" s="29"/>
      <c r="X17" s="29"/>
      <c r="Y17" s="29"/>
    </row>
    <row r="18" spans="2:25" x14ac:dyDescent="0.25">
      <c r="B18" s="408" t="s">
        <v>530</v>
      </c>
      <c r="C18" s="368"/>
      <c r="D18" s="368">
        <v>526</v>
      </c>
      <c r="E18" s="368">
        <v>1727</v>
      </c>
      <c r="F18" s="368">
        <v>3334</v>
      </c>
      <c r="G18" s="368"/>
      <c r="H18" s="368">
        <v>244</v>
      </c>
      <c r="I18" s="368">
        <v>3033</v>
      </c>
      <c r="J18" s="368">
        <v>2798</v>
      </c>
      <c r="K18" s="370">
        <v>5831</v>
      </c>
      <c r="L18" s="29"/>
      <c r="M18" s="29"/>
      <c r="N18" s="29"/>
      <c r="O18" s="29"/>
      <c r="P18" s="29"/>
      <c r="Q18" s="29"/>
      <c r="R18" s="29"/>
      <c r="S18" s="29"/>
      <c r="T18" s="29"/>
      <c r="U18" s="29"/>
      <c r="V18" s="29"/>
      <c r="W18" s="29"/>
      <c r="X18" s="29"/>
      <c r="Y18" s="29"/>
    </row>
    <row r="19" spans="2:25" ht="15" customHeight="1" x14ac:dyDescent="0.25">
      <c r="B19" s="408" t="s">
        <v>531</v>
      </c>
      <c r="C19" s="368"/>
      <c r="D19" s="368">
        <v>47</v>
      </c>
      <c r="E19" s="368">
        <v>322</v>
      </c>
      <c r="F19" s="368">
        <v>528</v>
      </c>
      <c r="G19" s="368"/>
      <c r="H19" s="368">
        <v>23</v>
      </c>
      <c r="I19" s="368">
        <v>433</v>
      </c>
      <c r="J19" s="368">
        <v>487</v>
      </c>
      <c r="K19" s="370">
        <v>920</v>
      </c>
      <c r="L19" s="29"/>
      <c r="M19" s="29"/>
      <c r="N19" s="29"/>
      <c r="O19" s="29"/>
      <c r="P19" s="29"/>
      <c r="Q19" s="29"/>
      <c r="R19" s="29"/>
      <c r="S19" s="29"/>
      <c r="T19" s="29"/>
      <c r="U19" s="29"/>
      <c r="V19" s="29"/>
      <c r="W19" s="29"/>
      <c r="X19" s="29"/>
      <c r="Y19" s="29"/>
    </row>
    <row r="20" spans="2:25" x14ac:dyDescent="0.25">
      <c r="B20" s="408" t="s">
        <v>532</v>
      </c>
      <c r="C20" s="368"/>
      <c r="D20" s="368">
        <v>55</v>
      </c>
      <c r="E20" s="368">
        <v>391</v>
      </c>
      <c r="F20" s="368">
        <v>1068</v>
      </c>
      <c r="G20" s="368"/>
      <c r="H20" s="368">
        <v>38</v>
      </c>
      <c r="I20" s="368">
        <v>842</v>
      </c>
      <c r="J20" s="368">
        <v>710</v>
      </c>
      <c r="K20" s="370">
        <v>1552</v>
      </c>
      <c r="L20" s="29"/>
      <c r="M20" s="29"/>
      <c r="N20" s="29"/>
      <c r="O20" s="29"/>
      <c r="P20" s="29"/>
      <c r="Q20" s="29"/>
      <c r="R20" s="29"/>
      <c r="S20" s="29"/>
      <c r="T20" s="29"/>
      <c r="U20" s="29"/>
      <c r="V20" s="29"/>
      <c r="W20" s="29"/>
      <c r="X20" s="29"/>
      <c r="Y20" s="29"/>
    </row>
    <row r="21" spans="2:25" x14ac:dyDescent="0.25">
      <c r="B21" s="408" t="s">
        <v>533</v>
      </c>
      <c r="C21" s="368"/>
      <c r="D21" s="368">
        <v>2353</v>
      </c>
      <c r="E21" s="368">
        <v>13032</v>
      </c>
      <c r="F21" s="368">
        <v>36784</v>
      </c>
      <c r="G21" s="368"/>
      <c r="H21" s="368">
        <v>1050</v>
      </c>
      <c r="I21" s="368">
        <v>28381</v>
      </c>
      <c r="J21" s="368">
        <v>24838</v>
      </c>
      <c r="K21" s="370">
        <v>53219</v>
      </c>
      <c r="L21" s="29"/>
      <c r="M21" s="29"/>
      <c r="N21" s="29"/>
      <c r="O21" s="29"/>
      <c r="P21" s="29"/>
      <c r="Q21" s="29"/>
      <c r="R21" s="29"/>
      <c r="S21" s="29"/>
      <c r="T21" s="29"/>
      <c r="U21" s="29"/>
      <c r="V21" s="29"/>
      <c r="W21" s="29"/>
      <c r="X21" s="29"/>
      <c r="Y21" s="29"/>
    </row>
    <row r="22" spans="2:25" x14ac:dyDescent="0.25">
      <c r="B22" s="408" t="s">
        <v>534</v>
      </c>
      <c r="C22" s="368"/>
      <c r="D22" s="368">
        <v>248</v>
      </c>
      <c r="E22" s="368">
        <v>888</v>
      </c>
      <c r="F22" s="368">
        <v>1802</v>
      </c>
      <c r="G22" s="368"/>
      <c r="H22" s="368">
        <v>143</v>
      </c>
      <c r="I22" s="368">
        <v>1674</v>
      </c>
      <c r="J22" s="368">
        <v>1407</v>
      </c>
      <c r="K22" s="370">
        <v>3081</v>
      </c>
      <c r="L22" s="29"/>
      <c r="M22" s="29"/>
      <c r="N22" s="29"/>
      <c r="O22" s="29"/>
      <c r="P22" s="29"/>
      <c r="Q22" s="29"/>
      <c r="R22" s="29"/>
      <c r="S22" s="29"/>
      <c r="T22" s="29"/>
      <c r="U22" s="29"/>
      <c r="V22" s="29"/>
      <c r="W22" s="29"/>
      <c r="X22" s="29"/>
      <c r="Y22" s="29"/>
    </row>
    <row r="23" spans="2:25" x14ac:dyDescent="0.25">
      <c r="B23" s="408" t="s">
        <v>535</v>
      </c>
      <c r="C23" s="368"/>
      <c r="D23" s="368">
        <v>98</v>
      </c>
      <c r="E23" s="368">
        <v>450</v>
      </c>
      <c r="F23" s="368">
        <v>1103</v>
      </c>
      <c r="G23" s="368"/>
      <c r="H23" s="368">
        <v>53</v>
      </c>
      <c r="I23" s="368">
        <v>909</v>
      </c>
      <c r="J23" s="368">
        <v>795</v>
      </c>
      <c r="K23" s="370">
        <v>1704</v>
      </c>
      <c r="L23" s="29"/>
      <c r="M23" s="29"/>
      <c r="N23" s="29"/>
      <c r="O23" s="29"/>
      <c r="P23" s="29"/>
      <c r="Q23" s="29"/>
      <c r="R23" s="29"/>
      <c r="S23" s="29"/>
      <c r="T23" s="29"/>
      <c r="U23" s="29"/>
      <c r="V23" s="29"/>
      <c r="W23" s="29"/>
      <c r="X23" s="29"/>
      <c r="Y23" s="29"/>
    </row>
    <row r="24" spans="2:25" x14ac:dyDescent="0.25">
      <c r="B24" s="408" t="s">
        <v>536</v>
      </c>
      <c r="C24" s="368"/>
      <c r="D24" s="368">
        <v>529</v>
      </c>
      <c r="E24" s="368">
        <v>1089</v>
      </c>
      <c r="F24" s="368">
        <v>2143</v>
      </c>
      <c r="G24" s="368"/>
      <c r="H24" s="368">
        <v>246</v>
      </c>
      <c r="I24" s="368">
        <v>2158</v>
      </c>
      <c r="J24" s="368">
        <v>1849</v>
      </c>
      <c r="K24" s="370">
        <v>4007</v>
      </c>
      <c r="L24" s="29"/>
      <c r="M24" s="29"/>
      <c r="N24" s="29"/>
      <c r="O24" s="29"/>
      <c r="P24" s="29"/>
      <c r="Q24" s="29"/>
      <c r="R24" s="29"/>
      <c r="S24" s="29"/>
      <c r="T24" s="29"/>
      <c r="U24" s="29"/>
      <c r="V24" s="29"/>
      <c r="W24" s="29"/>
      <c r="X24" s="29"/>
      <c r="Y24" s="29"/>
    </row>
    <row r="25" spans="2:25" x14ac:dyDescent="0.25">
      <c r="B25" s="293" t="s">
        <v>36</v>
      </c>
      <c r="C25" s="371"/>
      <c r="D25" s="371">
        <f t="shared" ref="D25:K25" si="0">SUM(D9:D24)</f>
        <v>8302</v>
      </c>
      <c r="E25" s="371">
        <f t="shared" si="0"/>
        <v>35060</v>
      </c>
      <c r="F25" s="371">
        <f t="shared" si="0"/>
        <v>89319</v>
      </c>
      <c r="G25" s="371"/>
      <c r="H25" s="371">
        <f t="shared" si="0"/>
        <v>3836</v>
      </c>
      <c r="I25" s="371">
        <f t="shared" si="0"/>
        <v>72244</v>
      </c>
      <c r="J25" s="371">
        <f t="shared" si="0"/>
        <v>64273</v>
      </c>
      <c r="K25" s="371">
        <f t="shared" si="0"/>
        <v>136517</v>
      </c>
      <c r="L25" s="298"/>
      <c r="M25" s="298"/>
      <c r="N25" s="298"/>
      <c r="O25" s="298"/>
      <c r="P25" s="29"/>
      <c r="Q25" s="29"/>
      <c r="R25" s="29"/>
      <c r="S25" s="29"/>
      <c r="T25" s="29"/>
      <c r="U25" s="29"/>
      <c r="V25" s="29"/>
      <c r="W25" s="29"/>
      <c r="X25" s="29"/>
      <c r="Y25" s="29"/>
    </row>
    <row r="26" spans="2:25" ht="29.25" customHeight="1" x14ac:dyDescent="0.25">
      <c r="B26" s="510" t="s">
        <v>995</v>
      </c>
      <c r="C26" s="510"/>
      <c r="D26" s="510"/>
      <c r="E26" s="510"/>
      <c r="F26" s="510"/>
      <c r="G26" s="510"/>
      <c r="H26" s="510"/>
      <c r="I26" s="510"/>
      <c r="J26" s="510"/>
      <c r="K26" s="510"/>
      <c r="L26" s="298"/>
      <c r="M26" s="298"/>
      <c r="N26" s="298"/>
      <c r="O26" s="298"/>
      <c r="P26" s="298"/>
      <c r="Q26" s="29"/>
      <c r="R26" s="29"/>
      <c r="S26" s="29"/>
      <c r="T26" s="29"/>
      <c r="U26" s="29"/>
      <c r="V26" s="29"/>
      <c r="W26" s="29"/>
      <c r="X26" s="29"/>
      <c r="Y26" s="29"/>
    </row>
    <row r="27" spans="2:25" x14ac:dyDescent="0.25">
      <c r="C27" s="29"/>
      <c r="D27" s="29"/>
      <c r="E27" s="29"/>
      <c r="F27" s="29"/>
      <c r="G27" s="29"/>
      <c r="H27" s="29"/>
      <c r="I27" s="29"/>
      <c r="J27" s="29"/>
      <c r="K27" s="29"/>
      <c r="L27" s="29"/>
      <c r="M27" s="29"/>
      <c r="N27" s="29"/>
      <c r="O27" s="29"/>
      <c r="P27" s="29"/>
      <c r="Q27" s="29"/>
      <c r="R27" s="29"/>
      <c r="S27" s="29"/>
      <c r="T27" s="29"/>
      <c r="U27" s="29"/>
      <c r="V27" s="29"/>
      <c r="W27" s="29"/>
      <c r="X27" s="29"/>
      <c r="Y27" s="29"/>
    </row>
    <row r="28" spans="2:25" ht="18.75" x14ac:dyDescent="0.3">
      <c r="B28" s="2" t="s">
        <v>977</v>
      </c>
      <c r="C28" s="2"/>
      <c r="D28" s="2"/>
      <c r="E28" s="294"/>
      <c r="F28" s="294"/>
      <c r="G28" s="294"/>
      <c r="H28" s="29"/>
      <c r="I28" s="29"/>
      <c r="J28" s="29"/>
      <c r="K28" s="29"/>
      <c r="L28" s="29"/>
      <c r="M28" s="29"/>
      <c r="N28" s="29"/>
      <c r="O28" s="29"/>
      <c r="P28" s="29"/>
      <c r="Q28" s="29"/>
      <c r="R28" s="29"/>
      <c r="S28" s="29"/>
      <c r="T28" s="29"/>
      <c r="U28" s="29"/>
      <c r="V28" s="29"/>
      <c r="W28" s="29"/>
      <c r="X28" s="29"/>
      <c r="Y28" s="29"/>
    </row>
    <row r="29" spans="2:25" x14ac:dyDescent="0.25">
      <c r="B29" s="31" t="s">
        <v>560</v>
      </c>
      <c r="C29" s="29"/>
      <c r="D29" s="29"/>
      <c r="E29" s="29"/>
      <c r="F29" s="29"/>
      <c r="G29" s="29"/>
      <c r="H29" s="29"/>
      <c r="I29" s="29"/>
      <c r="J29" s="29"/>
      <c r="K29" s="29"/>
      <c r="L29" s="29"/>
      <c r="M29" s="29"/>
      <c r="N29" s="29"/>
      <c r="O29" s="29"/>
      <c r="P29" s="29"/>
      <c r="Q29" s="29"/>
      <c r="R29" s="29"/>
      <c r="S29" s="29"/>
      <c r="T29" s="29"/>
      <c r="U29" s="29"/>
      <c r="V29" s="29"/>
      <c r="W29" s="29"/>
      <c r="X29" s="29"/>
      <c r="Y29" s="29"/>
    </row>
    <row r="30" spans="2:25" x14ac:dyDescent="0.25">
      <c r="C30" s="29"/>
      <c r="D30" s="29"/>
      <c r="E30" s="29"/>
      <c r="F30" s="29"/>
      <c r="G30" s="29"/>
      <c r="H30" s="29"/>
      <c r="I30" s="29"/>
      <c r="J30" s="29"/>
      <c r="K30" s="29"/>
      <c r="L30" s="29"/>
      <c r="M30" s="29"/>
      <c r="N30" s="29"/>
      <c r="O30" s="29"/>
      <c r="P30" s="29"/>
      <c r="Q30" s="29"/>
      <c r="R30" s="29"/>
      <c r="S30" s="29"/>
      <c r="T30" s="29"/>
      <c r="U30" s="29"/>
      <c r="V30" s="29"/>
      <c r="W30" s="29"/>
      <c r="X30" s="29"/>
      <c r="Y30" s="29"/>
    </row>
    <row r="31" spans="2:25" x14ac:dyDescent="0.25">
      <c r="B31" s="484" t="s">
        <v>537</v>
      </c>
      <c r="C31" s="506" t="s">
        <v>538</v>
      </c>
      <c r="D31" s="507"/>
      <c r="E31" s="507"/>
      <c r="F31" s="507"/>
      <c r="G31" s="507"/>
      <c r="H31" s="508"/>
      <c r="I31" s="484" t="s">
        <v>539</v>
      </c>
      <c r="J31" s="485"/>
      <c r="K31" s="492" t="s">
        <v>36</v>
      </c>
      <c r="L31" s="29"/>
      <c r="M31" s="29"/>
      <c r="N31" s="29"/>
      <c r="O31" s="29"/>
      <c r="P31" s="29"/>
      <c r="Q31" s="29"/>
      <c r="R31" s="29"/>
      <c r="S31" s="29"/>
      <c r="T31" s="29"/>
      <c r="U31" s="29"/>
      <c r="V31" s="29"/>
      <c r="W31" s="29"/>
      <c r="X31" s="29"/>
      <c r="Y31" s="29"/>
    </row>
    <row r="32" spans="2:25" ht="30" x14ac:dyDescent="0.25">
      <c r="B32" s="484"/>
      <c r="C32" s="251" t="s">
        <v>3</v>
      </c>
      <c r="D32" s="180" t="s">
        <v>4</v>
      </c>
      <c r="E32" s="180" t="s">
        <v>714</v>
      </c>
      <c r="F32" s="180" t="s">
        <v>501</v>
      </c>
      <c r="G32" s="180" t="s">
        <v>5</v>
      </c>
      <c r="H32" s="180" t="s">
        <v>6</v>
      </c>
      <c r="I32" s="180" t="s">
        <v>87</v>
      </c>
      <c r="J32" s="204" t="s">
        <v>88</v>
      </c>
      <c r="K32" s="492"/>
      <c r="L32" s="29"/>
      <c r="M32" s="29"/>
      <c r="N32" s="29"/>
      <c r="O32" s="29"/>
      <c r="P32" s="29"/>
      <c r="Q32" s="29"/>
      <c r="R32" s="29"/>
      <c r="S32" s="29"/>
      <c r="T32" s="29"/>
      <c r="U32" s="29"/>
      <c r="V32" s="29"/>
      <c r="W32" s="29"/>
      <c r="X32" s="29"/>
      <c r="Y32" s="29"/>
    </row>
    <row r="33" spans="2:25" x14ac:dyDescent="0.25">
      <c r="B33" s="407" t="s">
        <v>521</v>
      </c>
      <c r="C33" s="372">
        <v>72</v>
      </c>
      <c r="D33" s="372">
        <v>664</v>
      </c>
      <c r="E33" s="372">
        <v>1312</v>
      </c>
      <c r="F33" s="372">
        <v>7698</v>
      </c>
      <c r="G33" s="372">
        <v>315</v>
      </c>
      <c r="H33" s="372">
        <v>367</v>
      </c>
      <c r="I33" s="372">
        <v>4899</v>
      </c>
      <c r="J33" s="372">
        <v>5529</v>
      </c>
      <c r="K33" s="373">
        <v>10428</v>
      </c>
      <c r="L33" s="29"/>
      <c r="M33" s="29"/>
      <c r="N33" s="29"/>
      <c r="O33" s="29"/>
      <c r="P33" s="29"/>
      <c r="Q33" s="29"/>
      <c r="R33" s="29"/>
      <c r="S33" s="29"/>
      <c r="T33" s="29"/>
      <c r="U33" s="29"/>
      <c r="V33" s="29"/>
      <c r="W33" s="29"/>
      <c r="X33" s="29"/>
      <c r="Y33" s="29"/>
    </row>
    <row r="34" spans="2:25" x14ac:dyDescent="0.25">
      <c r="B34" s="408" t="s">
        <v>522</v>
      </c>
      <c r="C34" s="372">
        <v>161</v>
      </c>
      <c r="D34" s="372">
        <v>916</v>
      </c>
      <c r="E34" s="372">
        <v>2585</v>
      </c>
      <c r="F34" s="372">
        <v>15511</v>
      </c>
      <c r="G34" s="372">
        <v>626</v>
      </c>
      <c r="H34" s="372">
        <v>342</v>
      </c>
      <c r="I34" s="372">
        <v>9824</v>
      </c>
      <c r="J34" s="372">
        <v>10317</v>
      </c>
      <c r="K34" s="374">
        <v>20141</v>
      </c>
      <c r="L34" s="29"/>
      <c r="M34" s="29"/>
      <c r="N34" s="29"/>
      <c r="O34" s="29"/>
      <c r="P34" s="29"/>
      <c r="Q34" s="29"/>
      <c r="R34" s="29"/>
      <c r="S34" s="29"/>
      <c r="T34" s="29"/>
      <c r="U34" s="29"/>
      <c r="V34" s="29"/>
      <c r="W34" s="29"/>
      <c r="X34" s="29"/>
      <c r="Y34" s="29"/>
    </row>
    <row r="35" spans="2:25" x14ac:dyDescent="0.25">
      <c r="B35" s="408" t="s">
        <v>523</v>
      </c>
      <c r="C35" s="372">
        <v>75</v>
      </c>
      <c r="D35" s="372">
        <v>576</v>
      </c>
      <c r="E35" s="372">
        <v>1520</v>
      </c>
      <c r="F35" s="372">
        <v>7814</v>
      </c>
      <c r="G35" s="372">
        <v>322</v>
      </c>
      <c r="H35" s="372">
        <v>252</v>
      </c>
      <c r="I35" s="372">
        <v>4744</v>
      </c>
      <c r="J35" s="372">
        <v>5815</v>
      </c>
      <c r="K35" s="374">
        <v>10559</v>
      </c>
      <c r="L35" s="29"/>
      <c r="M35" s="29"/>
      <c r="N35" s="29"/>
      <c r="O35" s="29"/>
      <c r="P35" s="29"/>
      <c r="Q35" s="29"/>
      <c r="R35" s="29"/>
      <c r="S35" s="29"/>
      <c r="T35" s="29"/>
      <c r="U35" s="29"/>
      <c r="V35" s="29"/>
      <c r="W35" s="29"/>
      <c r="X35" s="29"/>
      <c r="Y35" s="29"/>
    </row>
    <row r="36" spans="2:25" x14ac:dyDescent="0.25">
      <c r="B36" s="408" t="s">
        <v>524</v>
      </c>
      <c r="C36" s="372">
        <v>221</v>
      </c>
      <c r="D36" s="372">
        <v>1749</v>
      </c>
      <c r="E36" s="372">
        <v>3883</v>
      </c>
      <c r="F36" s="372">
        <v>22207</v>
      </c>
      <c r="G36" s="372">
        <v>917</v>
      </c>
      <c r="H36" s="372">
        <v>868</v>
      </c>
      <c r="I36" s="372">
        <v>14546</v>
      </c>
      <c r="J36" s="372">
        <v>15299</v>
      </c>
      <c r="K36" s="374">
        <v>29845</v>
      </c>
      <c r="L36" s="29"/>
      <c r="M36" s="29"/>
      <c r="N36" s="29"/>
      <c r="O36" s="29"/>
      <c r="P36" s="29"/>
      <c r="Q36" s="29"/>
      <c r="R36" s="29"/>
      <c r="S36" s="29"/>
      <c r="T36" s="29"/>
      <c r="U36" s="29"/>
      <c r="V36" s="29"/>
      <c r="W36" s="29"/>
      <c r="X36" s="29"/>
      <c r="Y36" s="29"/>
    </row>
    <row r="37" spans="2:25" x14ac:dyDescent="0.25">
      <c r="B37" s="408" t="s">
        <v>525</v>
      </c>
      <c r="C37" s="372">
        <v>537</v>
      </c>
      <c r="D37" s="372">
        <v>3752</v>
      </c>
      <c r="E37" s="372">
        <v>9564</v>
      </c>
      <c r="F37" s="372">
        <v>60965</v>
      </c>
      <c r="G37" s="372">
        <v>2827</v>
      </c>
      <c r="H37" s="372">
        <v>2423</v>
      </c>
      <c r="I37" s="372">
        <v>41228</v>
      </c>
      <c r="J37" s="372">
        <v>38840</v>
      </c>
      <c r="K37" s="374">
        <v>80068</v>
      </c>
      <c r="L37" s="29"/>
      <c r="M37" s="29"/>
      <c r="N37" s="29"/>
      <c r="O37" s="29"/>
      <c r="P37" s="29"/>
      <c r="Q37" s="29"/>
      <c r="R37" s="29"/>
      <c r="S37" s="29"/>
      <c r="T37" s="29"/>
      <c r="U37" s="29"/>
      <c r="V37" s="29"/>
      <c r="W37" s="29"/>
      <c r="X37" s="29"/>
      <c r="Y37" s="29"/>
    </row>
    <row r="38" spans="2:25" ht="30" x14ac:dyDescent="0.25">
      <c r="B38" s="408" t="s">
        <v>526</v>
      </c>
      <c r="C38" s="372">
        <v>243</v>
      </c>
      <c r="D38" s="372">
        <v>2229</v>
      </c>
      <c r="E38" s="372">
        <v>4486</v>
      </c>
      <c r="F38" s="372">
        <v>27337</v>
      </c>
      <c r="G38" s="372">
        <v>1224</v>
      </c>
      <c r="H38" s="372">
        <v>1507</v>
      </c>
      <c r="I38" s="372">
        <v>18229</v>
      </c>
      <c r="J38" s="372">
        <v>18797</v>
      </c>
      <c r="K38" s="374">
        <v>37026</v>
      </c>
      <c r="L38" s="29"/>
      <c r="M38" s="29"/>
      <c r="N38" s="29"/>
      <c r="O38" s="29"/>
      <c r="P38" s="29"/>
      <c r="Q38" s="29"/>
      <c r="R38" s="29"/>
      <c r="S38" s="29"/>
      <c r="T38" s="29"/>
      <c r="U38" s="29"/>
      <c r="V38" s="29"/>
      <c r="W38" s="29"/>
      <c r="X38" s="29"/>
      <c r="Y38" s="29"/>
    </row>
    <row r="39" spans="2:25" x14ac:dyDescent="0.25">
      <c r="B39" s="408" t="s">
        <v>527</v>
      </c>
      <c r="C39" s="372">
        <v>321</v>
      </c>
      <c r="D39" s="372">
        <v>2460</v>
      </c>
      <c r="E39" s="372">
        <v>5448</v>
      </c>
      <c r="F39" s="372">
        <v>26334</v>
      </c>
      <c r="G39" s="372">
        <v>1504</v>
      </c>
      <c r="H39" s="372">
        <v>1464</v>
      </c>
      <c r="I39" s="372">
        <v>18611</v>
      </c>
      <c r="J39" s="372">
        <v>18920</v>
      </c>
      <c r="K39" s="374">
        <v>37531</v>
      </c>
      <c r="L39" s="29"/>
      <c r="M39" s="29"/>
      <c r="N39" s="29"/>
      <c r="O39" s="29"/>
      <c r="P39" s="29"/>
      <c r="Q39" s="29"/>
      <c r="R39" s="29"/>
      <c r="S39" s="29"/>
      <c r="T39" s="29"/>
      <c r="U39" s="29"/>
      <c r="V39" s="29"/>
      <c r="W39" s="29"/>
      <c r="X39" s="29"/>
      <c r="Y39" s="29"/>
    </row>
    <row r="40" spans="2:25" x14ac:dyDescent="0.25">
      <c r="B40" s="408" t="s">
        <v>528</v>
      </c>
      <c r="C40" s="372">
        <v>413</v>
      </c>
      <c r="D40" s="372">
        <v>4094</v>
      </c>
      <c r="E40" s="372">
        <v>7552</v>
      </c>
      <c r="F40" s="372">
        <v>42778</v>
      </c>
      <c r="G40" s="372">
        <v>1847</v>
      </c>
      <c r="H40" s="372">
        <v>2021</v>
      </c>
      <c r="I40" s="372">
        <v>29854</v>
      </c>
      <c r="J40" s="372">
        <v>28851</v>
      </c>
      <c r="K40" s="374">
        <v>58705</v>
      </c>
      <c r="L40" s="29"/>
      <c r="M40" s="29"/>
      <c r="N40" s="29"/>
      <c r="O40" s="29"/>
      <c r="P40" s="29"/>
      <c r="Q40" s="29"/>
      <c r="R40" s="29"/>
      <c r="S40" s="29"/>
      <c r="T40" s="29"/>
      <c r="U40" s="29"/>
      <c r="V40" s="29"/>
      <c r="W40" s="29"/>
      <c r="X40" s="29"/>
      <c r="Y40" s="29"/>
    </row>
    <row r="41" spans="2:25" x14ac:dyDescent="0.25">
      <c r="B41" s="408" t="s">
        <v>529</v>
      </c>
      <c r="C41" s="372">
        <v>333</v>
      </c>
      <c r="D41" s="372">
        <v>2926</v>
      </c>
      <c r="E41" s="372">
        <v>5763</v>
      </c>
      <c r="F41" s="372">
        <v>21104</v>
      </c>
      <c r="G41" s="372">
        <v>1105</v>
      </c>
      <c r="H41" s="372">
        <v>1170</v>
      </c>
      <c r="I41" s="372">
        <v>16662</v>
      </c>
      <c r="J41" s="372">
        <v>15739</v>
      </c>
      <c r="K41" s="374">
        <v>32401</v>
      </c>
      <c r="L41" s="29"/>
      <c r="M41" s="29"/>
      <c r="N41" s="29"/>
      <c r="O41" s="29"/>
      <c r="P41" s="29"/>
      <c r="Q41" s="29"/>
      <c r="R41" s="29"/>
      <c r="S41" s="29"/>
      <c r="T41" s="29"/>
      <c r="U41" s="29"/>
      <c r="V41" s="29"/>
      <c r="W41" s="29"/>
      <c r="X41" s="29"/>
      <c r="Y41" s="29"/>
    </row>
    <row r="42" spans="2:25" x14ac:dyDescent="0.25">
      <c r="B42" s="408" t="s">
        <v>530</v>
      </c>
      <c r="C42" s="372">
        <v>242</v>
      </c>
      <c r="D42" s="372">
        <v>2379</v>
      </c>
      <c r="E42" s="372">
        <v>4229</v>
      </c>
      <c r="F42" s="372">
        <v>17844</v>
      </c>
      <c r="G42" s="372">
        <v>990</v>
      </c>
      <c r="H42" s="372">
        <v>1144</v>
      </c>
      <c r="I42" s="372">
        <v>13662</v>
      </c>
      <c r="J42" s="372">
        <v>13166</v>
      </c>
      <c r="K42" s="374">
        <v>26828</v>
      </c>
      <c r="L42" s="29"/>
      <c r="M42" s="29"/>
      <c r="N42" s="29"/>
      <c r="O42" s="29"/>
      <c r="P42" s="29"/>
      <c r="Q42" s="29"/>
      <c r="R42" s="29"/>
      <c r="S42" s="29"/>
      <c r="T42" s="29"/>
      <c r="U42" s="29"/>
      <c r="V42" s="29"/>
      <c r="W42" s="29"/>
      <c r="X42" s="29"/>
      <c r="Y42" s="29"/>
    </row>
    <row r="43" spans="2:25" ht="30" x14ac:dyDescent="0.25">
      <c r="B43" s="408" t="s">
        <v>531</v>
      </c>
      <c r="C43" s="372">
        <v>23</v>
      </c>
      <c r="D43" s="372">
        <v>221</v>
      </c>
      <c r="E43" s="372">
        <v>615</v>
      </c>
      <c r="F43" s="372">
        <v>2076</v>
      </c>
      <c r="G43" s="372">
        <v>110</v>
      </c>
      <c r="H43" s="372">
        <v>103</v>
      </c>
      <c r="I43" s="372">
        <v>1499</v>
      </c>
      <c r="J43" s="372">
        <v>1649</v>
      </c>
      <c r="K43" s="374">
        <v>3148</v>
      </c>
      <c r="L43" s="29"/>
      <c r="M43" s="29"/>
      <c r="N43" s="29"/>
      <c r="O43" s="29"/>
      <c r="P43" s="29"/>
      <c r="Q43" s="29"/>
      <c r="R43" s="29"/>
      <c r="S43" s="29"/>
      <c r="T43" s="29"/>
      <c r="U43" s="29"/>
      <c r="V43" s="29"/>
      <c r="W43" s="29"/>
      <c r="X43" s="29"/>
      <c r="Y43" s="29"/>
    </row>
    <row r="44" spans="2:25" x14ac:dyDescent="0.25">
      <c r="B44" s="408" t="s">
        <v>532</v>
      </c>
      <c r="C44" s="372">
        <v>49</v>
      </c>
      <c r="D44" s="372">
        <v>245</v>
      </c>
      <c r="E44" s="372">
        <v>959</v>
      </c>
      <c r="F44" s="372">
        <v>5340</v>
      </c>
      <c r="G44" s="372">
        <v>219</v>
      </c>
      <c r="H44" s="372">
        <v>168</v>
      </c>
      <c r="I44" s="372">
        <v>3727</v>
      </c>
      <c r="J44" s="372">
        <v>3253</v>
      </c>
      <c r="K44" s="374">
        <v>6980</v>
      </c>
      <c r="L44" s="29"/>
      <c r="M44" s="29"/>
      <c r="N44" s="29"/>
      <c r="O44" s="29"/>
      <c r="P44" s="29"/>
      <c r="Q44" s="29"/>
      <c r="R44" s="29"/>
      <c r="S44" s="29"/>
      <c r="T44" s="29"/>
      <c r="U44" s="29"/>
      <c r="V44" s="29"/>
      <c r="W44" s="29"/>
      <c r="X44" s="29"/>
      <c r="Y44" s="29"/>
    </row>
    <row r="45" spans="2:25" x14ac:dyDescent="0.25">
      <c r="B45" s="408" t="s">
        <v>533</v>
      </c>
      <c r="C45" s="372">
        <v>1856</v>
      </c>
      <c r="D45" s="372">
        <v>10553</v>
      </c>
      <c r="E45" s="372">
        <v>31778</v>
      </c>
      <c r="F45" s="372">
        <v>200669</v>
      </c>
      <c r="G45" s="372">
        <v>8616</v>
      </c>
      <c r="H45" s="372">
        <v>5637</v>
      </c>
      <c r="I45" s="372">
        <v>133037</v>
      </c>
      <c r="J45" s="372">
        <v>126072</v>
      </c>
      <c r="K45" s="374">
        <v>259109</v>
      </c>
      <c r="L45" s="29"/>
      <c r="M45" s="29"/>
      <c r="N45" s="29"/>
      <c r="O45" s="29"/>
      <c r="P45" s="29"/>
      <c r="Q45" s="29"/>
      <c r="R45" s="29"/>
      <c r="S45" s="29"/>
      <c r="T45" s="29"/>
      <c r="U45" s="29"/>
      <c r="V45" s="29"/>
      <c r="W45" s="29"/>
      <c r="X45" s="29"/>
      <c r="Y45" s="29"/>
    </row>
    <row r="46" spans="2:25" x14ac:dyDescent="0.25">
      <c r="B46" s="408" t="s">
        <v>534</v>
      </c>
      <c r="C46" s="372">
        <v>116</v>
      </c>
      <c r="D46" s="372">
        <v>1049</v>
      </c>
      <c r="E46" s="372">
        <v>2192</v>
      </c>
      <c r="F46" s="372">
        <v>9605</v>
      </c>
      <c r="G46" s="372">
        <v>458</v>
      </c>
      <c r="H46" s="372">
        <v>635</v>
      </c>
      <c r="I46" s="372">
        <v>7106</v>
      </c>
      <c r="J46" s="372">
        <v>6949</v>
      </c>
      <c r="K46" s="374">
        <v>14055</v>
      </c>
      <c r="L46" s="29"/>
      <c r="M46" s="29"/>
      <c r="N46" s="29"/>
      <c r="O46" s="29"/>
      <c r="P46" s="29"/>
      <c r="Q46" s="29"/>
      <c r="R46" s="29"/>
      <c r="S46" s="29"/>
      <c r="T46" s="29"/>
      <c r="U46" s="29"/>
      <c r="V46" s="29"/>
      <c r="W46" s="29"/>
      <c r="X46" s="29"/>
      <c r="Y46" s="29"/>
    </row>
    <row r="47" spans="2:25" x14ac:dyDescent="0.25">
      <c r="B47" s="408" t="s">
        <v>535</v>
      </c>
      <c r="C47" s="372">
        <v>64</v>
      </c>
      <c r="D47" s="372">
        <v>408</v>
      </c>
      <c r="E47" s="372">
        <v>1161</v>
      </c>
      <c r="F47" s="372">
        <v>5850</v>
      </c>
      <c r="G47" s="372">
        <v>279</v>
      </c>
      <c r="H47" s="372">
        <v>230</v>
      </c>
      <c r="I47" s="372">
        <v>3922</v>
      </c>
      <c r="J47" s="372">
        <v>4070</v>
      </c>
      <c r="K47" s="374">
        <v>7992</v>
      </c>
      <c r="L47" s="29"/>
      <c r="M47" s="29"/>
      <c r="N47" s="29"/>
      <c r="O47" s="29"/>
      <c r="P47" s="29"/>
      <c r="Q47" s="29"/>
      <c r="R47" s="29"/>
      <c r="S47" s="29"/>
      <c r="T47" s="29"/>
      <c r="U47" s="29"/>
      <c r="V47" s="29"/>
      <c r="W47" s="29"/>
      <c r="X47" s="29"/>
      <c r="Y47" s="29"/>
    </row>
    <row r="48" spans="2:25" x14ac:dyDescent="0.25">
      <c r="B48" s="408" t="s">
        <v>536</v>
      </c>
      <c r="C48" s="372">
        <v>153</v>
      </c>
      <c r="D48" s="372">
        <v>2179</v>
      </c>
      <c r="E48" s="372">
        <v>2918</v>
      </c>
      <c r="F48" s="372">
        <v>11798</v>
      </c>
      <c r="G48" s="372">
        <v>611</v>
      </c>
      <c r="H48" s="372">
        <v>1112</v>
      </c>
      <c r="I48" s="372">
        <v>9929</v>
      </c>
      <c r="J48" s="372">
        <v>8842</v>
      </c>
      <c r="K48" s="374">
        <v>18771</v>
      </c>
      <c r="L48" s="29"/>
      <c r="M48" s="29"/>
      <c r="N48" s="29"/>
      <c r="O48" s="29"/>
      <c r="P48" s="29"/>
      <c r="Q48" s="29"/>
      <c r="R48" s="29"/>
      <c r="S48" s="29"/>
      <c r="T48" s="29"/>
      <c r="U48" s="29"/>
      <c r="V48" s="29"/>
      <c r="W48" s="29"/>
      <c r="X48" s="29"/>
      <c r="Y48" s="29"/>
    </row>
    <row r="49" spans="2:26" x14ac:dyDescent="0.25">
      <c r="B49" s="293" t="s">
        <v>36</v>
      </c>
      <c r="C49" s="375">
        <v>4879</v>
      </c>
      <c r="D49" s="375">
        <v>36400</v>
      </c>
      <c r="E49" s="375">
        <v>85965</v>
      </c>
      <c r="F49" s="375">
        <v>484930</v>
      </c>
      <c r="G49" s="375">
        <v>21970</v>
      </c>
      <c r="H49" s="375">
        <v>19443</v>
      </c>
      <c r="I49" s="375">
        <v>331479</v>
      </c>
      <c r="J49" s="375">
        <v>322108</v>
      </c>
      <c r="K49" s="375">
        <v>653587</v>
      </c>
      <c r="L49" s="29"/>
      <c r="M49" s="29"/>
      <c r="N49" s="29"/>
      <c r="O49" s="29"/>
      <c r="P49" s="29"/>
      <c r="Q49" s="29"/>
      <c r="R49" s="29"/>
      <c r="S49" s="29"/>
      <c r="T49" s="29"/>
      <c r="U49" s="29"/>
      <c r="V49" s="29"/>
      <c r="W49" s="29"/>
      <c r="X49" s="29"/>
      <c r="Y49" s="29"/>
    </row>
    <row r="50" spans="2:26" ht="28.5" customHeight="1" x14ac:dyDescent="0.25">
      <c r="B50" s="510" t="s">
        <v>995</v>
      </c>
      <c r="C50" s="510"/>
      <c r="D50" s="510"/>
      <c r="E50" s="510"/>
      <c r="F50" s="510"/>
      <c r="G50" s="510"/>
      <c r="H50" s="510"/>
      <c r="I50" s="510"/>
      <c r="J50" s="510"/>
      <c r="K50" s="510"/>
      <c r="L50" s="29"/>
      <c r="M50" s="29"/>
      <c r="N50" s="29"/>
      <c r="O50" s="29"/>
      <c r="P50" s="29"/>
      <c r="Q50" s="29"/>
      <c r="R50" s="29"/>
      <c r="S50" s="29"/>
      <c r="T50" s="29"/>
      <c r="U50" s="29"/>
      <c r="V50" s="29"/>
      <c r="W50" s="29"/>
      <c r="X50" s="29"/>
      <c r="Y50" s="29"/>
    </row>
    <row r="51" spans="2:26" customFormat="1" x14ac:dyDescent="0.25">
      <c r="J51" s="250"/>
      <c r="L51" s="157"/>
      <c r="M51" s="158"/>
      <c r="N51" s="158"/>
      <c r="O51" s="158"/>
      <c r="P51" s="158"/>
      <c r="Q51" s="158"/>
      <c r="R51" s="159"/>
      <c r="S51" s="250"/>
      <c r="T51" s="250"/>
      <c r="U51" s="250"/>
      <c r="V51" s="250"/>
      <c r="W51" s="250"/>
      <c r="X51" s="250"/>
      <c r="Y51" s="250"/>
    </row>
    <row r="52" spans="2:26" customFormat="1" ht="18.75" x14ac:dyDescent="0.3">
      <c r="B52" s="2" t="s">
        <v>978</v>
      </c>
      <c r="C52" s="2"/>
      <c r="D52" s="2"/>
      <c r="E52" s="294"/>
      <c r="F52" s="294"/>
      <c r="J52" s="250"/>
      <c r="K52" s="509"/>
      <c r="L52" s="157"/>
      <c r="M52" s="160"/>
      <c r="N52" s="160"/>
      <c r="O52" s="160"/>
      <c r="P52" s="160"/>
      <c r="Q52" s="160"/>
      <c r="R52" s="160"/>
      <c r="S52" s="250"/>
      <c r="T52" s="250"/>
      <c r="U52" s="250"/>
      <c r="V52" s="250"/>
      <c r="W52" s="250"/>
      <c r="X52" s="250"/>
      <c r="Y52" s="250"/>
    </row>
    <row r="53" spans="2:26" customFormat="1" x14ac:dyDescent="0.25">
      <c r="B53" s="10" t="s">
        <v>752</v>
      </c>
      <c r="J53" s="250"/>
      <c r="K53" s="509"/>
      <c r="L53" s="157"/>
      <c r="M53" s="160"/>
      <c r="N53" s="160"/>
      <c r="O53" s="160"/>
      <c r="P53" s="160"/>
      <c r="Q53" s="160"/>
      <c r="R53" s="160"/>
      <c r="S53" s="250"/>
      <c r="T53" s="250"/>
      <c r="U53" s="250"/>
      <c r="V53" s="250"/>
      <c r="W53" s="250"/>
      <c r="X53" s="250"/>
      <c r="Y53" s="250"/>
    </row>
    <row r="54" spans="2:26" customFormat="1" x14ac:dyDescent="0.25">
      <c r="J54" s="250"/>
      <c r="K54" s="509"/>
      <c r="L54" s="157"/>
      <c r="M54" s="157"/>
      <c r="N54" s="157"/>
      <c r="O54" s="157"/>
      <c r="P54" s="157"/>
      <c r="Q54" s="157"/>
      <c r="R54" s="160"/>
      <c r="S54" s="250"/>
      <c r="T54" s="250"/>
      <c r="U54" s="250"/>
      <c r="V54" s="250"/>
      <c r="W54" s="250"/>
      <c r="X54" s="250"/>
      <c r="Y54" s="250"/>
    </row>
    <row r="55" spans="2:26" customFormat="1" x14ac:dyDescent="0.25">
      <c r="B55" s="205" t="s">
        <v>521</v>
      </c>
      <c r="J55" s="250"/>
      <c r="K55" s="509"/>
      <c r="L55" s="157"/>
      <c r="M55" s="160"/>
      <c r="N55" s="160"/>
      <c r="O55" s="160"/>
      <c r="P55" s="160"/>
      <c r="Q55" s="160"/>
      <c r="R55" s="160"/>
      <c r="S55" s="250"/>
      <c r="T55" s="250"/>
      <c r="U55" s="250"/>
      <c r="V55" s="250"/>
      <c r="W55" s="250"/>
      <c r="X55" s="250"/>
      <c r="Y55" s="250"/>
    </row>
    <row r="56" spans="2:26" customFormat="1" x14ac:dyDescent="0.25">
      <c r="B56" s="205"/>
      <c r="J56" s="250"/>
      <c r="K56" s="264"/>
      <c r="L56" s="157"/>
      <c r="M56" s="160"/>
      <c r="N56" s="160"/>
      <c r="O56" s="160"/>
      <c r="P56" s="160"/>
      <c r="Q56" s="160"/>
      <c r="R56" s="160"/>
      <c r="S56" s="250"/>
      <c r="T56" s="250"/>
      <c r="U56" s="250"/>
      <c r="V56" s="250"/>
      <c r="W56" s="250"/>
      <c r="X56" s="250"/>
      <c r="Y56" s="250"/>
    </row>
    <row r="57" spans="2:26" customFormat="1" ht="15" customHeight="1" x14ac:dyDescent="0.25">
      <c r="B57" s="106"/>
      <c r="C57" s="488" t="s">
        <v>538</v>
      </c>
      <c r="D57" s="488"/>
      <c r="E57" s="488"/>
      <c r="F57" s="488"/>
      <c r="G57" s="488"/>
      <c r="H57" s="488"/>
      <c r="I57" s="484" t="s">
        <v>539</v>
      </c>
      <c r="J57" s="484"/>
      <c r="K57" s="492" t="s">
        <v>36</v>
      </c>
      <c r="L57" s="157"/>
      <c r="M57" s="160"/>
      <c r="N57" s="160"/>
      <c r="O57" s="160"/>
      <c r="P57" s="160"/>
      <c r="Q57" s="160"/>
      <c r="R57" s="160"/>
      <c r="S57" s="250"/>
      <c r="T57" s="250"/>
      <c r="U57" s="250"/>
      <c r="V57" s="250"/>
      <c r="W57" s="250"/>
      <c r="X57" s="250"/>
      <c r="Y57" s="250"/>
    </row>
    <row r="58" spans="2:26" customFormat="1" ht="30" x14ac:dyDescent="0.25">
      <c r="B58" s="267" t="s">
        <v>548</v>
      </c>
      <c r="C58" s="179" t="s">
        <v>3</v>
      </c>
      <c r="D58" s="179" t="s">
        <v>4</v>
      </c>
      <c r="E58" s="179" t="s">
        <v>714</v>
      </c>
      <c r="F58" s="179" t="s">
        <v>501</v>
      </c>
      <c r="G58" s="179" t="s">
        <v>5</v>
      </c>
      <c r="H58" s="179" t="s">
        <v>6</v>
      </c>
      <c r="I58" s="179" t="s">
        <v>87</v>
      </c>
      <c r="J58" s="179" t="s">
        <v>88</v>
      </c>
      <c r="K58" s="492"/>
      <c r="L58" s="264"/>
      <c r="M58" s="157"/>
      <c r="N58" s="160"/>
      <c r="O58" s="160"/>
      <c r="P58" s="160"/>
      <c r="Q58" s="160"/>
      <c r="R58" s="160"/>
      <c r="S58" s="160"/>
      <c r="T58" s="250"/>
      <c r="U58" s="250"/>
      <c r="V58" s="250"/>
      <c r="W58" s="250"/>
      <c r="X58" s="250"/>
      <c r="Y58" s="250"/>
      <c r="Z58" s="250"/>
    </row>
    <row r="59" spans="2:26" customFormat="1" x14ac:dyDescent="0.25">
      <c r="B59" s="268" t="s">
        <v>146</v>
      </c>
      <c r="C59" s="378"/>
      <c r="D59" s="378">
        <v>59</v>
      </c>
      <c r="E59" s="378">
        <v>115</v>
      </c>
      <c r="F59" s="378">
        <v>275</v>
      </c>
      <c r="G59" s="378"/>
      <c r="H59" s="378">
        <v>28</v>
      </c>
      <c r="I59" s="378">
        <v>230</v>
      </c>
      <c r="J59" s="315">
        <v>247</v>
      </c>
      <c r="K59" s="334">
        <v>477</v>
      </c>
      <c r="L59" s="511"/>
      <c r="M59" s="157"/>
      <c r="N59" s="160"/>
      <c r="O59" s="160"/>
      <c r="P59" s="160"/>
      <c r="Q59" s="160"/>
      <c r="R59" s="160"/>
      <c r="S59" s="160"/>
      <c r="T59" s="250"/>
      <c r="U59" s="250"/>
      <c r="V59" s="250"/>
      <c r="W59" s="250"/>
      <c r="X59" s="250"/>
      <c r="Y59" s="250"/>
      <c r="Z59" s="250"/>
    </row>
    <row r="60" spans="2:26" customFormat="1" x14ac:dyDescent="0.25">
      <c r="B60" s="269" t="s">
        <v>152</v>
      </c>
      <c r="C60" s="378"/>
      <c r="D60" s="378">
        <v>0</v>
      </c>
      <c r="E60" s="378">
        <v>6</v>
      </c>
      <c r="F60" s="378">
        <v>5</v>
      </c>
      <c r="G60" s="378"/>
      <c r="H60" s="378">
        <v>0</v>
      </c>
      <c r="I60" s="378">
        <v>3</v>
      </c>
      <c r="J60" s="315">
        <v>8</v>
      </c>
      <c r="K60" s="334">
        <v>11</v>
      </c>
      <c r="L60" s="511"/>
      <c r="M60" s="157"/>
      <c r="N60" s="160"/>
      <c r="O60" s="160"/>
      <c r="P60" s="160"/>
      <c r="Q60" s="160"/>
      <c r="R60" s="160"/>
      <c r="S60" s="160"/>
      <c r="T60" s="250"/>
      <c r="U60" s="250"/>
      <c r="V60" s="250"/>
      <c r="W60" s="250"/>
      <c r="X60" s="250"/>
      <c r="Y60" s="250"/>
      <c r="Z60" s="250"/>
    </row>
    <row r="61" spans="2:26" customFormat="1" x14ac:dyDescent="0.25">
      <c r="B61" s="269" t="s">
        <v>147</v>
      </c>
      <c r="C61" s="378"/>
      <c r="D61" s="378">
        <v>1</v>
      </c>
      <c r="E61" s="378">
        <v>1</v>
      </c>
      <c r="F61" s="378">
        <v>1</v>
      </c>
      <c r="G61" s="378"/>
      <c r="H61" s="378">
        <v>0</v>
      </c>
      <c r="I61" s="378">
        <v>1</v>
      </c>
      <c r="J61" s="315">
        <v>2</v>
      </c>
      <c r="K61" s="334">
        <v>3</v>
      </c>
      <c r="L61" s="511"/>
      <c r="M61" s="160"/>
      <c r="N61" s="160"/>
      <c r="O61" s="160"/>
      <c r="P61" s="160"/>
      <c r="Q61" s="160"/>
      <c r="R61" s="160"/>
      <c r="S61" s="160"/>
      <c r="T61" s="250"/>
      <c r="U61" s="250"/>
      <c r="V61" s="250"/>
      <c r="W61" s="250"/>
      <c r="X61" s="250"/>
      <c r="Y61" s="250"/>
      <c r="Z61" s="250"/>
    </row>
    <row r="62" spans="2:26" customFormat="1" x14ac:dyDescent="0.25">
      <c r="B62" s="269" t="s">
        <v>148</v>
      </c>
      <c r="C62" s="378"/>
      <c r="D62" s="378">
        <v>2</v>
      </c>
      <c r="E62" s="378">
        <v>6</v>
      </c>
      <c r="F62" s="378">
        <v>8</v>
      </c>
      <c r="G62" s="378"/>
      <c r="H62" s="378">
        <v>0</v>
      </c>
      <c r="I62" s="378">
        <v>9</v>
      </c>
      <c r="J62" s="315">
        <v>7</v>
      </c>
      <c r="K62" s="334">
        <v>16</v>
      </c>
      <c r="L62" s="250"/>
      <c r="M62" s="250"/>
      <c r="N62" s="250"/>
      <c r="O62" s="250"/>
      <c r="P62" s="250"/>
      <c r="Q62" s="250"/>
      <c r="R62" s="250"/>
      <c r="S62" s="250"/>
      <c r="T62" s="250"/>
      <c r="U62" s="250"/>
      <c r="V62" s="250"/>
      <c r="W62" s="250"/>
      <c r="X62" s="250"/>
      <c r="Y62" s="250"/>
      <c r="Z62" s="250"/>
    </row>
    <row r="63" spans="2:26" customFormat="1" x14ac:dyDescent="0.25">
      <c r="B63" s="270" t="s">
        <v>149</v>
      </c>
      <c r="C63" s="378"/>
      <c r="D63" s="378">
        <v>57</v>
      </c>
      <c r="E63" s="378">
        <v>377</v>
      </c>
      <c r="F63" s="378">
        <v>1098</v>
      </c>
      <c r="G63" s="378"/>
      <c r="H63" s="378">
        <v>34</v>
      </c>
      <c r="I63" s="378">
        <v>801</v>
      </c>
      <c r="J63" s="315">
        <v>765</v>
      </c>
      <c r="K63" s="334">
        <v>1566</v>
      </c>
      <c r="L63" s="250"/>
      <c r="M63" s="250"/>
      <c r="N63" s="250"/>
      <c r="O63" s="250"/>
      <c r="P63" s="250"/>
      <c r="Q63" s="250"/>
      <c r="R63" s="250"/>
      <c r="S63" s="250"/>
      <c r="T63" s="250"/>
      <c r="U63" s="250"/>
      <c r="V63" s="250"/>
      <c r="W63" s="250"/>
      <c r="X63" s="250"/>
      <c r="Y63" s="250"/>
      <c r="Z63" s="250"/>
    </row>
    <row r="64" spans="2:26" customFormat="1" x14ac:dyDescent="0.25">
      <c r="B64" s="194" t="s">
        <v>150</v>
      </c>
      <c r="C64" s="378"/>
      <c r="D64" s="378">
        <v>2</v>
      </c>
      <c r="E64" s="378">
        <v>16</v>
      </c>
      <c r="F64" s="378">
        <v>35</v>
      </c>
      <c r="G64" s="378"/>
      <c r="H64" s="378">
        <v>1</v>
      </c>
      <c r="I64" s="378">
        <v>28</v>
      </c>
      <c r="J64" s="315">
        <v>26</v>
      </c>
      <c r="K64" s="334">
        <v>54</v>
      </c>
      <c r="L64" s="250"/>
      <c r="M64" s="250"/>
      <c r="N64" s="250"/>
      <c r="O64" s="250"/>
      <c r="P64" s="250"/>
      <c r="Q64" s="250"/>
      <c r="R64" s="250"/>
      <c r="S64" s="250"/>
      <c r="T64" s="250"/>
      <c r="U64" s="250"/>
      <c r="V64" s="250"/>
      <c r="W64" s="250"/>
      <c r="X64" s="250"/>
      <c r="Y64" s="250"/>
      <c r="Z64" s="250"/>
    </row>
    <row r="65" spans="2:26" customFormat="1" x14ac:dyDescent="0.25">
      <c r="B65" s="194" t="s">
        <v>151</v>
      </c>
      <c r="C65" s="378"/>
      <c r="D65" s="378">
        <v>7</v>
      </c>
      <c r="E65" s="378">
        <v>22</v>
      </c>
      <c r="F65" s="378">
        <v>75</v>
      </c>
      <c r="G65" s="378"/>
      <c r="H65" s="378">
        <v>4</v>
      </c>
      <c r="I65" s="378">
        <v>46</v>
      </c>
      <c r="J65" s="315">
        <v>62</v>
      </c>
      <c r="K65" s="334">
        <v>108</v>
      </c>
      <c r="L65" s="250"/>
      <c r="M65" s="250"/>
      <c r="N65" s="250"/>
      <c r="O65" s="250"/>
      <c r="P65" s="250"/>
      <c r="Q65" s="250"/>
      <c r="R65" s="250"/>
      <c r="S65" s="250"/>
      <c r="T65" s="250"/>
      <c r="U65" s="250"/>
      <c r="V65" s="250"/>
      <c r="W65" s="250"/>
      <c r="X65" s="250"/>
      <c r="Y65" s="250"/>
      <c r="Z65" s="250"/>
    </row>
    <row r="66" spans="2:26" customFormat="1" x14ac:dyDescent="0.25">
      <c r="B66" s="289" t="s">
        <v>36</v>
      </c>
      <c r="C66" s="359"/>
      <c r="D66" s="359">
        <v>128</v>
      </c>
      <c r="E66" s="359">
        <v>543</v>
      </c>
      <c r="F66" s="359">
        <v>1497</v>
      </c>
      <c r="G66" s="359"/>
      <c r="H66" s="359">
        <v>67</v>
      </c>
      <c r="I66" s="359">
        <v>1118</v>
      </c>
      <c r="J66" s="334">
        <v>1117</v>
      </c>
      <c r="K66" s="334">
        <v>2235</v>
      </c>
      <c r="L66" s="250"/>
      <c r="M66" s="250"/>
      <c r="N66" s="250"/>
      <c r="O66" s="250"/>
      <c r="P66" s="250"/>
      <c r="Q66" s="250"/>
      <c r="R66" s="250"/>
      <c r="S66" s="250"/>
      <c r="T66" s="250"/>
      <c r="U66" s="250"/>
      <c r="V66" s="250"/>
      <c r="W66" s="250"/>
      <c r="X66" s="250"/>
      <c r="Y66" s="250"/>
      <c r="Z66" s="250"/>
    </row>
    <row r="67" spans="2:26" customFormat="1" ht="34.5" customHeight="1" x14ac:dyDescent="0.25">
      <c r="B67" s="504" t="s">
        <v>995</v>
      </c>
      <c r="C67" s="504"/>
      <c r="D67" s="504"/>
      <c r="E67" s="504"/>
      <c r="F67" s="504"/>
      <c r="G67" s="504"/>
      <c r="H67" s="504"/>
      <c r="I67" s="504"/>
      <c r="J67" s="504"/>
      <c r="K67" s="504"/>
      <c r="L67" s="250"/>
      <c r="M67" s="250"/>
      <c r="N67" s="250"/>
      <c r="O67" s="250"/>
      <c r="P67" s="250"/>
      <c r="Q67" s="250"/>
      <c r="R67" s="250"/>
      <c r="S67" s="250"/>
      <c r="T67" s="250"/>
      <c r="U67" s="250"/>
      <c r="V67" s="250"/>
      <c r="W67" s="250"/>
      <c r="X67" s="250"/>
      <c r="Y67" s="250"/>
    </row>
    <row r="68" spans="2:26" customFormat="1" x14ac:dyDescent="0.25">
      <c r="B68" s="176"/>
      <c r="C68" s="176"/>
      <c r="D68" s="176"/>
      <c r="E68" s="176"/>
      <c r="J68" s="250"/>
      <c r="K68" s="250"/>
      <c r="L68" s="250"/>
      <c r="M68" s="250"/>
      <c r="N68" s="250"/>
      <c r="O68" s="250"/>
      <c r="P68" s="250"/>
      <c r="Q68" s="250"/>
      <c r="R68" s="250"/>
      <c r="S68" s="250"/>
      <c r="T68" s="250"/>
      <c r="U68" s="250"/>
      <c r="V68" s="250"/>
      <c r="W68" s="250"/>
      <c r="X68" s="250"/>
      <c r="Y68" s="250"/>
    </row>
    <row r="69" spans="2:26" customFormat="1" x14ac:dyDescent="0.25">
      <c r="B69" s="205" t="s">
        <v>522</v>
      </c>
      <c r="J69" s="250"/>
      <c r="K69" s="250"/>
      <c r="L69" s="250"/>
      <c r="M69" s="250"/>
      <c r="N69" s="250"/>
      <c r="O69" s="250"/>
      <c r="P69" s="250"/>
      <c r="Q69" s="250"/>
      <c r="R69" s="250"/>
      <c r="S69" s="250"/>
      <c r="T69" s="250"/>
      <c r="U69" s="250"/>
      <c r="V69" s="250"/>
      <c r="W69" s="250"/>
      <c r="X69" s="250"/>
      <c r="Y69" s="250"/>
    </row>
    <row r="70" spans="2:26" customFormat="1" x14ac:dyDescent="0.25">
      <c r="B70" s="205"/>
      <c r="J70" s="250"/>
      <c r="K70" s="250"/>
      <c r="L70" s="250"/>
      <c r="M70" s="250"/>
      <c r="N70" s="250"/>
      <c r="O70" s="250"/>
      <c r="P70" s="250"/>
      <c r="Q70" s="250"/>
      <c r="R70" s="250"/>
      <c r="S70" s="250"/>
      <c r="T70" s="250"/>
      <c r="U70" s="250"/>
      <c r="V70" s="250"/>
      <c r="W70" s="250"/>
      <c r="X70" s="250"/>
      <c r="Y70" s="250"/>
    </row>
    <row r="71" spans="2:26" customFormat="1" ht="15" customHeight="1" x14ac:dyDescent="0.25">
      <c r="B71" s="106"/>
      <c r="C71" s="488" t="s">
        <v>538</v>
      </c>
      <c r="D71" s="488"/>
      <c r="E71" s="488"/>
      <c r="F71" s="488"/>
      <c r="G71" s="488"/>
      <c r="H71" s="488"/>
      <c r="I71" s="484" t="s">
        <v>539</v>
      </c>
      <c r="J71" s="484"/>
      <c r="K71" s="492" t="s">
        <v>36</v>
      </c>
      <c r="L71" s="250"/>
      <c r="M71" s="250"/>
      <c r="N71" s="250"/>
      <c r="O71" s="250"/>
      <c r="P71" s="250"/>
      <c r="Q71" s="250"/>
      <c r="R71" s="250"/>
      <c r="S71" s="250"/>
      <c r="T71" s="250"/>
      <c r="U71" s="250"/>
      <c r="V71" s="250"/>
      <c r="W71" s="250"/>
      <c r="X71" s="250"/>
      <c r="Y71" s="250"/>
    </row>
    <row r="72" spans="2:26" customFormat="1" ht="30" x14ac:dyDescent="0.25">
      <c r="B72" s="178" t="s">
        <v>548</v>
      </c>
      <c r="C72" s="179" t="s">
        <v>3</v>
      </c>
      <c r="D72" s="179" t="s">
        <v>4</v>
      </c>
      <c r="E72" s="179" t="s">
        <v>714</v>
      </c>
      <c r="F72" s="179" t="s">
        <v>501</v>
      </c>
      <c r="G72" s="179" t="s">
        <v>5</v>
      </c>
      <c r="H72" s="179" t="s">
        <v>6</v>
      </c>
      <c r="I72" s="179" t="s">
        <v>87</v>
      </c>
      <c r="J72" s="179" t="s">
        <v>88</v>
      </c>
      <c r="K72" s="492"/>
      <c r="L72" s="250"/>
      <c r="M72" s="250"/>
      <c r="N72" s="250"/>
      <c r="O72" s="250"/>
      <c r="P72" s="250"/>
      <c r="Q72" s="250"/>
      <c r="R72" s="250"/>
      <c r="S72" s="250"/>
      <c r="T72" s="250"/>
      <c r="U72" s="250"/>
      <c r="V72" s="250"/>
      <c r="W72" s="250"/>
      <c r="X72" s="250"/>
      <c r="Y72" s="250"/>
    </row>
    <row r="73" spans="2:26" customFormat="1" x14ac:dyDescent="0.25">
      <c r="B73" s="175" t="s">
        <v>154</v>
      </c>
      <c r="C73" s="379"/>
      <c r="D73" s="379">
        <v>127</v>
      </c>
      <c r="E73" s="379">
        <v>654</v>
      </c>
      <c r="F73" s="379">
        <v>1916</v>
      </c>
      <c r="G73" s="379"/>
      <c r="H73" s="379">
        <v>41</v>
      </c>
      <c r="I73" s="379">
        <v>1442</v>
      </c>
      <c r="J73" s="379">
        <v>1296</v>
      </c>
      <c r="K73" s="369">
        <v>2738</v>
      </c>
      <c r="L73" s="250"/>
      <c r="M73" s="250"/>
      <c r="N73" s="250"/>
      <c r="O73" s="250"/>
      <c r="P73" s="250"/>
      <c r="Q73" s="250"/>
      <c r="R73" s="250"/>
      <c r="S73" s="250"/>
      <c r="T73" s="250"/>
      <c r="U73" s="250"/>
      <c r="V73" s="250"/>
      <c r="W73" s="250"/>
      <c r="X73" s="250"/>
      <c r="Y73" s="250"/>
    </row>
    <row r="74" spans="2:26" customFormat="1" x14ac:dyDescent="0.25">
      <c r="B74" s="152" t="s">
        <v>155</v>
      </c>
      <c r="C74" s="368"/>
      <c r="D74" s="368">
        <v>37</v>
      </c>
      <c r="E74" s="368">
        <v>288</v>
      </c>
      <c r="F74" s="368">
        <v>791</v>
      </c>
      <c r="G74" s="368"/>
      <c r="H74" s="368">
        <v>11</v>
      </c>
      <c r="I74" s="368">
        <v>568</v>
      </c>
      <c r="J74" s="368">
        <v>559</v>
      </c>
      <c r="K74" s="370">
        <v>1127</v>
      </c>
      <c r="L74" s="250"/>
      <c r="M74" s="250"/>
      <c r="N74" s="250"/>
      <c r="O74" s="250"/>
      <c r="P74" s="250"/>
      <c r="Q74" s="250"/>
      <c r="R74" s="250"/>
      <c r="S74" s="250"/>
      <c r="T74" s="250"/>
      <c r="U74" s="250"/>
      <c r="V74" s="250"/>
      <c r="W74" s="250"/>
      <c r="X74" s="250"/>
      <c r="Y74" s="250"/>
    </row>
    <row r="75" spans="2:26" customFormat="1" x14ac:dyDescent="0.25">
      <c r="B75" s="152" t="s">
        <v>156</v>
      </c>
      <c r="C75" s="368"/>
      <c r="D75" s="368">
        <v>0</v>
      </c>
      <c r="E75" s="368">
        <v>11</v>
      </c>
      <c r="F75" s="368">
        <v>24</v>
      </c>
      <c r="G75" s="368"/>
      <c r="H75" s="368">
        <v>0</v>
      </c>
      <c r="I75" s="368">
        <v>10</v>
      </c>
      <c r="J75" s="368">
        <v>25</v>
      </c>
      <c r="K75" s="370">
        <v>35</v>
      </c>
      <c r="L75" s="250"/>
      <c r="M75" s="250"/>
      <c r="N75" s="250"/>
      <c r="O75" s="250"/>
      <c r="P75" s="250"/>
      <c r="Q75" s="250"/>
      <c r="R75" s="250"/>
      <c r="S75" s="250"/>
      <c r="T75" s="250"/>
      <c r="U75" s="250"/>
      <c r="V75" s="250"/>
      <c r="W75" s="250"/>
      <c r="X75" s="250"/>
      <c r="Y75" s="250"/>
    </row>
    <row r="76" spans="2:26" customFormat="1" x14ac:dyDescent="0.25">
      <c r="B76" s="152" t="s">
        <v>157</v>
      </c>
      <c r="C76" s="368"/>
      <c r="D76" s="368">
        <v>7</v>
      </c>
      <c r="E76" s="368">
        <v>25</v>
      </c>
      <c r="F76" s="368">
        <v>59</v>
      </c>
      <c r="G76" s="368"/>
      <c r="H76" s="368">
        <v>0</v>
      </c>
      <c r="I76" s="368">
        <v>38</v>
      </c>
      <c r="J76" s="368">
        <v>53</v>
      </c>
      <c r="K76" s="370">
        <v>91</v>
      </c>
      <c r="L76" s="250"/>
      <c r="M76" s="250"/>
      <c r="N76" s="250"/>
      <c r="O76" s="250"/>
      <c r="P76" s="250"/>
      <c r="Q76" s="250"/>
      <c r="R76" s="250"/>
      <c r="S76" s="250"/>
      <c r="T76" s="250"/>
      <c r="U76" s="250"/>
      <c r="V76" s="250"/>
      <c r="W76" s="250"/>
      <c r="X76" s="250"/>
      <c r="Y76" s="250"/>
    </row>
    <row r="77" spans="2:26" x14ac:dyDescent="0.25">
      <c r="B77" s="152" t="s">
        <v>158</v>
      </c>
      <c r="C77" s="368"/>
      <c r="D77" s="368">
        <v>0</v>
      </c>
      <c r="E77" s="368">
        <v>1</v>
      </c>
      <c r="F77" s="368">
        <v>0</v>
      </c>
      <c r="G77" s="368"/>
      <c r="H77" s="368">
        <v>0</v>
      </c>
      <c r="I77" s="368">
        <v>0</v>
      </c>
      <c r="J77" s="368">
        <v>1</v>
      </c>
      <c r="K77" s="370">
        <v>1</v>
      </c>
      <c r="L77" s="29"/>
      <c r="M77" s="29"/>
      <c r="N77" s="29"/>
      <c r="O77" s="29"/>
      <c r="P77" s="29"/>
      <c r="Q77" s="29"/>
      <c r="R77" s="29"/>
      <c r="S77" s="29"/>
      <c r="T77" s="29"/>
      <c r="U77" s="29"/>
      <c r="V77" s="29"/>
      <c r="W77" s="29"/>
      <c r="X77" s="29"/>
      <c r="Y77" s="29"/>
    </row>
    <row r="78" spans="2:26" x14ac:dyDescent="0.25">
      <c r="B78" s="152" t="s">
        <v>159</v>
      </c>
      <c r="C78" s="368"/>
      <c r="D78" s="368">
        <v>1</v>
      </c>
      <c r="E78" s="368">
        <v>11</v>
      </c>
      <c r="F78" s="368">
        <v>20</v>
      </c>
      <c r="G78" s="368"/>
      <c r="H78" s="368">
        <v>0</v>
      </c>
      <c r="I78" s="368">
        <v>11</v>
      </c>
      <c r="J78" s="368">
        <v>21</v>
      </c>
      <c r="K78" s="370">
        <v>32</v>
      </c>
      <c r="L78" s="29"/>
      <c r="M78" s="29"/>
      <c r="N78" s="29"/>
      <c r="O78" s="29"/>
      <c r="P78" s="29"/>
      <c r="Q78" s="29"/>
      <c r="R78" s="29"/>
      <c r="S78" s="29"/>
      <c r="T78" s="29"/>
      <c r="U78" s="29"/>
      <c r="V78" s="29"/>
      <c r="W78" s="29"/>
      <c r="X78" s="29"/>
      <c r="Y78" s="29"/>
    </row>
    <row r="79" spans="2:26" x14ac:dyDescent="0.25">
      <c r="B79" s="152" t="s">
        <v>160</v>
      </c>
      <c r="C79" s="368"/>
      <c r="D79" s="368">
        <v>0</v>
      </c>
      <c r="E79" s="368">
        <v>3</v>
      </c>
      <c r="F79" s="368">
        <v>11</v>
      </c>
      <c r="G79" s="368"/>
      <c r="H79" s="368">
        <v>0</v>
      </c>
      <c r="I79" s="368">
        <v>9</v>
      </c>
      <c r="J79" s="368">
        <v>5</v>
      </c>
      <c r="K79" s="370">
        <v>14</v>
      </c>
      <c r="L79" s="29"/>
      <c r="M79" s="29"/>
      <c r="N79" s="29"/>
      <c r="O79" s="29"/>
      <c r="P79" s="29"/>
      <c r="Q79" s="29"/>
      <c r="R79" s="29"/>
      <c r="S79" s="29"/>
      <c r="T79" s="29"/>
      <c r="U79" s="29"/>
      <c r="V79" s="29"/>
      <c r="W79" s="29"/>
      <c r="X79" s="29"/>
      <c r="Y79" s="29"/>
    </row>
    <row r="80" spans="2:26" x14ac:dyDescent="0.25">
      <c r="B80" s="152" t="s">
        <v>161</v>
      </c>
      <c r="C80" s="368"/>
      <c r="D80" s="368">
        <v>8</v>
      </c>
      <c r="E80" s="368">
        <v>30</v>
      </c>
      <c r="F80" s="368">
        <v>53</v>
      </c>
      <c r="G80" s="368"/>
      <c r="H80" s="368">
        <v>1</v>
      </c>
      <c r="I80" s="368">
        <v>51</v>
      </c>
      <c r="J80" s="368">
        <v>41</v>
      </c>
      <c r="K80" s="370">
        <v>92</v>
      </c>
      <c r="L80" s="29"/>
      <c r="M80" s="29"/>
      <c r="N80" s="29"/>
      <c r="O80" s="29"/>
      <c r="P80" s="29"/>
      <c r="Q80" s="29"/>
      <c r="R80" s="29"/>
      <c r="S80" s="29"/>
      <c r="T80" s="29"/>
      <c r="U80" s="29"/>
      <c r="V80" s="29"/>
      <c r="W80" s="29"/>
      <c r="X80" s="29"/>
      <c r="Y80" s="29"/>
    </row>
    <row r="81" spans="2:25" x14ac:dyDescent="0.25">
      <c r="B81" s="174" t="s">
        <v>162</v>
      </c>
      <c r="C81" s="380"/>
      <c r="D81" s="380">
        <v>22</v>
      </c>
      <c r="E81" s="380">
        <v>63</v>
      </c>
      <c r="F81" s="380">
        <v>149</v>
      </c>
      <c r="G81" s="380"/>
      <c r="H81" s="380">
        <v>5</v>
      </c>
      <c r="I81" s="380">
        <v>121</v>
      </c>
      <c r="J81" s="380">
        <v>118</v>
      </c>
      <c r="K81" s="381">
        <v>239</v>
      </c>
      <c r="L81" s="29"/>
      <c r="M81" s="29"/>
      <c r="N81" s="29"/>
      <c r="O81" s="29"/>
      <c r="P81" s="29"/>
      <c r="Q81" s="29"/>
      <c r="R81" s="29"/>
      <c r="S81" s="29"/>
      <c r="T81" s="29"/>
      <c r="U81" s="29"/>
      <c r="V81" s="29"/>
      <c r="W81" s="29"/>
      <c r="X81" s="29"/>
      <c r="Y81" s="29"/>
    </row>
    <row r="82" spans="2:25" x14ac:dyDescent="0.25">
      <c r="B82" s="289" t="s">
        <v>36</v>
      </c>
      <c r="C82" s="359"/>
      <c r="D82" s="359">
        <v>202</v>
      </c>
      <c r="E82" s="359">
        <v>1086</v>
      </c>
      <c r="F82" s="359">
        <v>3023</v>
      </c>
      <c r="G82" s="359"/>
      <c r="H82" s="359">
        <v>58</v>
      </c>
      <c r="I82" s="359">
        <v>2250</v>
      </c>
      <c r="J82" s="334">
        <v>2119</v>
      </c>
      <c r="K82" s="334">
        <v>4369</v>
      </c>
      <c r="L82" s="29"/>
      <c r="M82" s="29"/>
      <c r="N82" s="29"/>
      <c r="O82" s="29"/>
      <c r="P82" s="29"/>
      <c r="Q82" s="29"/>
      <c r="R82" s="29"/>
      <c r="S82" s="29"/>
      <c r="T82" s="29"/>
      <c r="U82" s="29"/>
      <c r="V82" s="29"/>
      <c r="W82" s="29"/>
      <c r="X82" s="29"/>
      <c r="Y82" s="29"/>
    </row>
    <row r="83" spans="2:25" ht="30" customHeight="1" x14ac:dyDescent="0.25">
      <c r="B83" s="504" t="s">
        <v>898</v>
      </c>
      <c r="C83" s="504"/>
      <c r="D83" s="504"/>
      <c r="E83" s="504"/>
      <c r="F83" s="504"/>
      <c r="G83" s="504"/>
      <c r="H83" s="504"/>
      <c r="I83" s="504"/>
      <c r="J83" s="504"/>
      <c r="K83" s="504"/>
      <c r="L83" s="29"/>
      <c r="M83" s="29"/>
      <c r="N83" s="29"/>
      <c r="O83" s="29"/>
      <c r="P83" s="29"/>
      <c r="Q83" s="29"/>
      <c r="R83" s="29"/>
      <c r="S83" s="29"/>
      <c r="T83" s="29"/>
      <c r="U83" s="29"/>
      <c r="V83" s="29"/>
      <c r="W83" s="29"/>
      <c r="X83" s="29"/>
      <c r="Y83" s="29"/>
    </row>
    <row r="84" spans="2:25" x14ac:dyDescent="0.25">
      <c r="B84" s="176"/>
      <c r="C84" s="176"/>
      <c r="D84" s="176"/>
      <c r="E84" s="176"/>
      <c r="F84"/>
      <c r="G84"/>
      <c r="H84"/>
      <c r="I84"/>
      <c r="J84" s="29"/>
      <c r="K84" s="29"/>
      <c r="L84" s="29"/>
      <c r="M84" s="29"/>
      <c r="N84" s="29"/>
      <c r="O84" s="29"/>
      <c r="P84" s="29"/>
      <c r="Q84" s="29"/>
      <c r="R84" s="29"/>
      <c r="S84" s="29"/>
      <c r="T84" s="29"/>
      <c r="U84" s="29"/>
      <c r="V84" s="29"/>
      <c r="W84" s="29"/>
      <c r="X84" s="29"/>
      <c r="Y84" s="29"/>
    </row>
    <row r="85" spans="2:25" x14ac:dyDescent="0.25">
      <c r="B85" s="205" t="s">
        <v>523</v>
      </c>
      <c r="C85"/>
      <c r="D85"/>
      <c r="E85"/>
      <c r="F85"/>
      <c r="G85"/>
      <c r="H85"/>
      <c r="I85"/>
      <c r="J85" s="29"/>
      <c r="K85" s="29"/>
      <c r="L85" s="29"/>
      <c r="M85" s="29"/>
      <c r="N85" s="29"/>
      <c r="O85" s="29"/>
      <c r="P85" s="29"/>
      <c r="Q85" s="29"/>
      <c r="R85" s="29"/>
      <c r="S85" s="29"/>
      <c r="T85" s="29"/>
      <c r="U85" s="29"/>
      <c r="V85" s="29"/>
      <c r="W85" s="29"/>
      <c r="X85" s="29"/>
      <c r="Y85" s="29"/>
    </row>
    <row r="86" spans="2:25" x14ac:dyDescent="0.25">
      <c r="B86" s="205"/>
      <c r="C86"/>
      <c r="D86"/>
      <c r="E86"/>
      <c r="F86"/>
      <c r="G86"/>
      <c r="H86"/>
      <c r="I86"/>
      <c r="J86" s="29"/>
      <c r="K86" s="29"/>
      <c r="L86" s="29"/>
      <c r="M86" s="29"/>
      <c r="N86" s="29"/>
      <c r="O86" s="29"/>
      <c r="P86" s="29"/>
      <c r="Q86" s="29"/>
      <c r="R86" s="29"/>
      <c r="S86" s="29"/>
      <c r="T86" s="29"/>
      <c r="U86" s="29"/>
      <c r="V86" s="29"/>
      <c r="W86" s="29"/>
      <c r="X86" s="29"/>
      <c r="Y86" s="29"/>
    </row>
    <row r="87" spans="2:25" ht="15" customHeight="1" x14ac:dyDescent="0.25">
      <c r="B87" s="176"/>
      <c r="C87" s="488" t="s">
        <v>538</v>
      </c>
      <c r="D87" s="488"/>
      <c r="E87" s="488"/>
      <c r="F87" s="488"/>
      <c r="G87" s="488"/>
      <c r="H87" s="488"/>
      <c r="I87" s="484" t="s">
        <v>539</v>
      </c>
      <c r="J87" s="484"/>
      <c r="K87" s="492" t="s">
        <v>36</v>
      </c>
      <c r="L87" s="29"/>
      <c r="M87" s="29"/>
      <c r="N87" s="29"/>
      <c r="O87" s="29"/>
      <c r="P87" s="29"/>
      <c r="Q87" s="29"/>
      <c r="R87" s="29"/>
      <c r="S87" s="29"/>
      <c r="T87" s="29"/>
      <c r="U87" s="29"/>
      <c r="V87" s="29"/>
      <c r="W87" s="29"/>
      <c r="X87" s="29"/>
      <c r="Y87" s="29"/>
    </row>
    <row r="88" spans="2:25" ht="30" x14ac:dyDescent="0.25">
      <c r="B88" s="178" t="s">
        <v>548</v>
      </c>
      <c r="C88" s="179" t="s">
        <v>3</v>
      </c>
      <c r="D88" s="179" t="s">
        <v>4</v>
      </c>
      <c r="E88" s="179" t="s">
        <v>714</v>
      </c>
      <c r="F88" s="179" t="s">
        <v>501</v>
      </c>
      <c r="G88" s="179" t="s">
        <v>5</v>
      </c>
      <c r="H88" s="179" t="s">
        <v>6</v>
      </c>
      <c r="I88" s="179" t="s">
        <v>87</v>
      </c>
      <c r="J88" s="179" t="s">
        <v>88</v>
      </c>
      <c r="K88" s="492"/>
      <c r="L88" s="29"/>
      <c r="M88" s="29"/>
      <c r="N88" s="29"/>
      <c r="O88" s="29"/>
      <c r="P88" s="29"/>
      <c r="Q88" s="29"/>
      <c r="R88" s="29"/>
      <c r="S88" s="29"/>
      <c r="T88" s="29"/>
      <c r="U88" s="29"/>
      <c r="V88" s="29"/>
      <c r="W88" s="29"/>
      <c r="X88" s="29"/>
      <c r="Y88" s="29"/>
    </row>
    <row r="89" spans="2:25" x14ac:dyDescent="0.25">
      <c r="B89" s="152" t="s">
        <v>163</v>
      </c>
      <c r="C89" s="368"/>
      <c r="D89" s="368">
        <v>4</v>
      </c>
      <c r="E89" s="368">
        <v>13</v>
      </c>
      <c r="F89" s="368">
        <v>29</v>
      </c>
      <c r="G89" s="368"/>
      <c r="H89" s="368">
        <v>5</v>
      </c>
      <c r="I89" s="368">
        <v>19</v>
      </c>
      <c r="J89" s="368">
        <v>32</v>
      </c>
      <c r="K89" s="370">
        <v>51</v>
      </c>
      <c r="L89" s="29"/>
      <c r="M89" s="29"/>
      <c r="N89" s="29"/>
      <c r="O89" s="29"/>
      <c r="P89" s="29"/>
      <c r="Q89" s="29"/>
      <c r="R89" s="29"/>
      <c r="S89" s="29"/>
      <c r="T89" s="29"/>
      <c r="U89" s="29"/>
      <c r="V89" s="29"/>
      <c r="W89" s="29"/>
      <c r="X89" s="29"/>
      <c r="Y89" s="29"/>
    </row>
    <row r="90" spans="2:25" x14ac:dyDescent="0.25">
      <c r="B90" s="152" t="s">
        <v>164</v>
      </c>
      <c r="C90" s="368"/>
      <c r="D90" s="368">
        <v>14</v>
      </c>
      <c r="E90" s="368">
        <v>41</v>
      </c>
      <c r="F90" s="368">
        <v>108</v>
      </c>
      <c r="G90" s="368"/>
      <c r="H90" s="368">
        <v>4</v>
      </c>
      <c r="I90" s="368">
        <v>89</v>
      </c>
      <c r="J90" s="368">
        <v>78</v>
      </c>
      <c r="K90" s="370">
        <v>167</v>
      </c>
      <c r="L90" s="29"/>
      <c r="M90" s="29"/>
      <c r="N90" s="29"/>
      <c r="O90" s="29"/>
      <c r="P90" s="29"/>
      <c r="Q90" s="29"/>
      <c r="R90" s="29"/>
      <c r="S90" s="29"/>
      <c r="T90" s="29"/>
      <c r="U90" s="29"/>
      <c r="V90" s="29"/>
      <c r="W90" s="29"/>
      <c r="X90" s="29"/>
      <c r="Y90" s="29"/>
    </row>
    <row r="91" spans="2:25" x14ac:dyDescent="0.25">
      <c r="B91" s="152" t="s">
        <v>506</v>
      </c>
      <c r="C91" s="368"/>
      <c r="D91" s="368">
        <v>6</v>
      </c>
      <c r="E91" s="368">
        <v>38</v>
      </c>
      <c r="F91" s="368">
        <v>83</v>
      </c>
      <c r="G91" s="368"/>
      <c r="H91" s="368">
        <v>1</v>
      </c>
      <c r="I91" s="368">
        <v>55</v>
      </c>
      <c r="J91" s="368">
        <v>73</v>
      </c>
      <c r="K91" s="370">
        <v>128</v>
      </c>
      <c r="L91" s="29"/>
      <c r="M91" s="29"/>
      <c r="N91" s="29"/>
      <c r="O91" s="29"/>
      <c r="P91" s="29"/>
      <c r="Q91" s="29"/>
      <c r="R91" s="29"/>
      <c r="S91" s="29"/>
      <c r="T91" s="29"/>
      <c r="U91" s="29"/>
      <c r="V91" s="29"/>
      <c r="W91" s="29"/>
      <c r="X91" s="29"/>
      <c r="Y91" s="29"/>
    </row>
    <row r="92" spans="2:25" x14ac:dyDescent="0.25">
      <c r="B92" s="152" t="s">
        <v>165</v>
      </c>
      <c r="C92" s="368"/>
      <c r="D92" s="368">
        <v>68</v>
      </c>
      <c r="E92" s="368">
        <v>335</v>
      </c>
      <c r="F92" s="368">
        <v>853</v>
      </c>
      <c r="G92" s="368"/>
      <c r="H92" s="368">
        <v>26</v>
      </c>
      <c r="I92" s="368">
        <v>645</v>
      </c>
      <c r="J92" s="368">
        <v>637</v>
      </c>
      <c r="K92" s="370">
        <v>1282</v>
      </c>
      <c r="L92" s="29"/>
      <c r="M92" s="29"/>
      <c r="N92" s="29"/>
      <c r="O92" s="29"/>
      <c r="P92" s="29"/>
      <c r="Q92" s="29"/>
      <c r="R92" s="29"/>
      <c r="S92" s="29"/>
      <c r="T92" s="29"/>
      <c r="U92" s="29"/>
      <c r="V92" s="29"/>
      <c r="W92" s="29"/>
      <c r="X92" s="29"/>
      <c r="Y92" s="29"/>
    </row>
    <row r="93" spans="2:25" x14ac:dyDescent="0.25">
      <c r="B93" s="152" t="s">
        <v>166</v>
      </c>
      <c r="C93" s="368"/>
      <c r="D93" s="368">
        <v>2</v>
      </c>
      <c r="E93" s="368">
        <v>25</v>
      </c>
      <c r="F93" s="368">
        <v>48</v>
      </c>
      <c r="G93" s="368"/>
      <c r="H93" s="368">
        <v>3</v>
      </c>
      <c r="I93" s="368">
        <v>38</v>
      </c>
      <c r="J93" s="368">
        <v>40</v>
      </c>
      <c r="K93" s="370">
        <v>78</v>
      </c>
      <c r="L93" s="29"/>
      <c r="M93" s="29"/>
      <c r="N93" s="29"/>
      <c r="O93" s="29"/>
      <c r="P93" s="29"/>
      <c r="Q93" s="29"/>
      <c r="R93" s="29"/>
      <c r="S93" s="29"/>
      <c r="T93" s="29"/>
      <c r="U93" s="29"/>
      <c r="V93" s="29"/>
      <c r="W93" s="29"/>
      <c r="X93" s="29"/>
      <c r="Y93" s="29"/>
    </row>
    <row r="94" spans="2:25" x14ac:dyDescent="0.25">
      <c r="B94" s="152" t="s">
        <v>167</v>
      </c>
      <c r="C94" s="368"/>
      <c r="D94" s="368">
        <v>3</v>
      </c>
      <c r="E94" s="368">
        <v>25</v>
      </c>
      <c r="F94" s="368">
        <v>34</v>
      </c>
      <c r="G94" s="368"/>
      <c r="H94" s="368">
        <v>1</v>
      </c>
      <c r="I94" s="368">
        <v>30</v>
      </c>
      <c r="J94" s="368">
        <v>33</v>
      </c>
      <c r="K94" s="370">
        <v>63</v>
      </c>
      <c r="L94" s="29"/>
      <c r="M94" s="29"/>
      <c r="N94" s="29"/>
      <c r="O94" s="29"/>
      <c r="P94" s="29"/>
      <c r="Q94" s="29"/>
      <c r="R94" s="29"/>
      <c r="S94" s="29"/>
      <c r="T94" s="29"/>
      <c r="U94" s="29"/>
      <c r="V94" s="29"/>
      <c r="W94" s="29"/>
      <c r="X94" s="29"/>
      <c r="Y94" s="29"/>
    </row>
    <row r="95" spans="2:25" x14ac:dyDescent="0.25">
      <c r="B95" s="152" t="s">
        <v>168</v>
      </c>
      <c r="C95" s="368"/>
      <c r="D95" s="368">
        <v>3</v>
      </c>
      <c r="E95" s="368">
        <v>36</v>
      </c>
      <c r="F95" s="368">
        <v>76</v>
      </c>
      <c r="G95" s="368"/>
      <c r="H95" s="368">
        <v>0</v>
      </c>
      <c r="I95" s="368">
        <v>50</v>
      </c>
      <c r="J95" s="368">
        <v>65</v>
      </c>
      <c r="K95" s="370">
        <v>115</v>
      </c>
      <c r="L95" s="29"/>
      <c r="M95" s="29"/>
      <c r="N95" s="29"/>
      <c r="O95" s="29"/>
      <c r="P95" s="29"/>
      <c r="Q95" s="29"/>
      <c r="R95" s="29"/>
      <c r="S95" s="29"/>
      <c r="T95" s="29"/>
      <c r="U95" s="29"/>
      <c r="V95" s="29"/>
      <c r="W95" s="29"/>
      <c r="X95" s="29"/>
      <c r="Y95" s="29"/>
    </row>
    <row r="96" spans="2:25" x14ac:dyDescent="0.25">
      <c r="B96" s="152" t="s">
        <v>169</v>
      </c>
      <c r="C96" s="368"/>
      <c r="D96" s="368">
        <v>6</v>
      </c>
      <c r="E96" s="368">
        <v>26</v>
      </c>
      <c r="F96" s="368">
        <v>59</v>
      </c>
      <c r="G96" s="368"/>
      <c r="H96" s="368">
        <v>1</v>
      </c>
      <c r="I96" s="368">
        <v>34</v>
      </c>
      <c r="J96" s="368">
        <v>58</v>
      </c>
      <c r="K96" s="370">
        <v>92</v>
      </c>
      <c r="L96" s="29"/>
      <c r="M96" s="29"/>
      <c r="N96" s="29"/>
      <c r="O96" s="29"/>
      <c r="P96" s="29"/>
      <c r="Q96" s="29"/>
      <c r="R96" s="29"/>
      <c r="S96" s="29"/>
      <c r="T96" s="29"/>
      <c r="U96" s="29"/>
      <c r="V96" s="29"/>
      <c r="W96" s="29"/>
      <c r="X96" s="29"/>
      <c r="Y96" s="29"/>
    </row>
    <row r="97" spans="2:25" x14ac:dyDescent="0.25">
      <c r="B97" s="174" t="s">
        <v>170</v>
      </c>
      <c r="C97" s="380"/>
      <c r="D97" s="380">
        <v>25</v>
      </c>
      <c r="E97" s="380">
        <v>150</v>
      </c>
      <c r="F97" s="380">
        <v>316</v>
      </c>
      <c r="G97" s="380"/>
      <c r="H97" s="380">
        <v>5</v>
      </c>
      <c r="I97" s="380">
        <v>234</v>
      </c>
      <c r="J97" s="380">
        <v>262</v>
      </c>
      <c r="K97" s="381">
        <v>496</v>
      </c>
      <c r="L97" s="29"/>
      <c r="M97" s="29"/>
      <c r="N97" s="29"/>
      <c r="O97" s="29"/>
      <c r="P97" s="29"/>
      <c r="Q97" s="29"/>
      <c r="R97" s="29"/>
      <c r="S97" s="29"/>
      <c r="T97" s="29"/>
      <c r="U97" s="29"/>
      <c r="V97" s="29"/>
      <c r="W97" s="29"/>
      <c r="X97" s="29"/>
      <c r="Y97" s="29"/>
    </row>
    <row r="98" spans="2:25" x14ac:dyDescent="0.25">
      <c r="B98" s="289" t="s">
        <v>36</v>
      </c>
      <c r="C98" s="359"/>
      <c r="D98" s="359">
        <v>131</v>
      </c>
      <c r="E98" s="359">
        <v>689</v>
      </c>
      <c r="F98" s="359">
        <v>1606</v>
      </c>
      <c r="G98" s="359"/>
      <c r="H98" s="359">
        <v>46</v>
      </c>
      <c r="I98" s="359">
        <v>1194</v>
      </c>
      <c r="J98" s="334">
        <v>1278</v>
      </c>
      <c r="K98" s="334">
        <v>2472</v>
      </c>
      <c r="L98" s="29"/>
      <c r="M98" s="29"/>
      <c r="N98" s="29"/>
      <c r="O98" s="29"/>
      <c r="P98" s="29"/>
      <c r="Q98" s="29"/>
      <c r="R98" s="29"/>
      <c r="S98" s="29"/>
      <c r="T98" s="29"/>
      <c r="U98" s="29"/>
      <c r="V98" s="29"/>
      <c r="W98" s="29"/>
      <c r="X98" s="29"/>
      <c r="Y98" s="29"/>
    </row>
    <row r="99" spans="2:25" ht="32.25" customHeight="1" x14ac:dyDescent="0.25">
      <c r="B99" s="504" t="s">
        <v>898</v>
      </c>
      <c r="C99" s="504"/>
      <c r="D99" s="504"/>
      <c r="E99" s="504"/>
      <c r="F99" s="504"/>
      <c r="G99" s="504"/>
      <c r="H99" s="504"/>
      <c r="I99" s="504"/>
      <c r="J99" s="504"/>
      <c r="K99" s="504"/>
      <c r="L99" s="29"/>
      <c r="M99" s="29"/>
      <c r="N99" s="29"/>
      <c r="O99" s="29"/>
      <c r="P99" s="29"/>
      <c r="Q99" s="29"/>
      <c r="R99" s="29"/>
      <c r="S99" s="29"/>
      <c r="T99" s="29"/>
      <c r="U99" s="29"/>
      <c r="V99" s="29"/>
      <c r="W99" s="29"/>
      <c r="X99" s="29"/>
      <c r="Y99" s="29"/>
    </row>
    <row r="100" spans="2:25" x14ac:dyDescent="0.25">
      <c r="B100" s="176"/>
      <c r="C100" s="176"/>
      <c r="D100" s="176"/>
      <c r="E100" s="176"/>
      <c r="F100"/>
      <c r="G100"/>
      <c r="H100"/>
      <c r="I100"/>
      <c r="J100" s="29"/>
      <c r="K100" s="29"/>
      <c r="L100" s="29"/>
      <c r="M100" s="29"/>
      <c r="N100" s="29"/>
      <c r="O100" s="29"/>
      <c r="P100" s="29"/>
      <c r="Q100" s="29"/>
      <c r="R100" s="29"/>
      <c r="S100" s="29"/>
      <c r="T100" s="29"/>
      <c r="U100" s="29"/>
      <c r="V100" s="29"/>
      <c r="W100" s="29"/>
      <c r="X100" s="29"/>
      <c r="Y100" s="29"/>
    </row>
    <row r="101" spans="2:25" x14ac:dyDescent="0.25">
      <c r="B101" s="205" t="s">
        <v>524</v>
      </c>
      <c r="C101"/>
      <c r="D101"/>
      <c r="E101"/>
      <c r="F101"/>
      <c r="G101"/>
      <c r="H101"/>
      <c r="I101"/>
      <c r="J101" s="29"/>
      <c r="K101" s="29"/>
      <c r="L101" s="29"/>
      <c r="M101" s="29"/>
      <c r="N101" s="29"/>
      <c r="O101" s="29"/>
      <c r="P101" s="29"/>
      <c r="Q101" s="29"/>
      <c r="R101" s="29"/>
      <c r="S101" s="29"/>
      <c r="T101" s="29"/>
      <c r="U101" s="29"/>
      <c r="V101" s="29"/>
      <c r="W101" s="29"/>
      <c r="X101" s="29"/>
      <c r="Y101" s="29"/>
    </row>
    <row r="102" spans="2:25" x14ac:dyDescent="0.25">
      <c r="B102" s="205"/>
      <c r="C102"/>
      <c r="D102"/>
      <c r="E102"/>
      <c r="F102"/>
      <c r="G102"/>
      <c r="H102"/>
      <c r="I102"/>
      <c r="J102" s="29"/>
      <c r="K102" s="29"/>
      <c r="L102" s="29"/>
      <c r="M102" s="29"/>
      <c r="N102" s="29"/>
      <c r="O102" s="29"/>
      <c r="P102" s="29"/>
      <c r="Q102" s="29"/>
      <c r="R102" s="29"/>
      <c r="S102" s="29"/>
      <c r="T102" s="29"/>
      <c r="U102" s="29"/>
      <c r="V102" s="29"/>
      <c r="W102" s="29"/>
      <c r="X102" s="29"/>
      <c r="Y102" s="29"/>
    </row>
    <row r="103" spans="2:25" ht="15" customHeight="1" x14ac:dyDescent="0.25">
      <c r="B103" s="176"/>
      <c r="C103" s="488" t="s">
        <v>538</v>
      </c>
      <c r="D103" s="488"/>
      <c r="E103" s="488"/>
      <c r="F103" s="488"/>
      <c r="G103" s="488"/>
      <c r="H103" s="488"/>
      <c r="I103" s="484" t="s">
        <v>539</v>
      </c>
      <c r="J103" s="484"/>
      <c r="K103" s="492" t="s">
        <v>36</v>
      </c>
      <c r="L103" s="29"/>
      <c r="M103" s="29"/>
      <c r="N103" s="29"/>
      <c r="O103" s="29"/>
      <c r="P103" s="29"/>
      <c r="Q103" s="29"/>
      <c r="R103" s="29"/>
      <c r="S103" s="29"/>
      <c r="T103" s="29"/>
      <c r="U103" s="29"/>
      <c r="V103" s="29"/>
      <c r="W103" s="29"/>
      <c r="X103" s="29"/>
      <c r="Y103" s="29"/>
    </row>
    <row r="104" spans="2:25" ht="30" x14ac:dyDescent="0.25">
      <c r="B104" s="178" t="s">
        <v>548</v>
      </c>
      <c r="C104" s="179" t="s">
        <v>3</v>
      </c>
      <c r="D104" s="179" t="s">
        <v>4</v>
      </c>
      <c r="E104" s="179" t="s">
        <v>714</v>
      </c>
      <c r="F104" s="179" t="s">
        <v>501</v>
      </c>
      <c r="G104" s="179" t="s">
        <v>5</v>
      </c>
      <c r="H104" s="179" t="s">
        <v>6</v>
      </c>
      <c r="I104" s="179" t="s">
        <v>87</v>
      </c>
      <c r="J104" s="179" t="s">
        <v>88</v>
      </c>
      <c r="K104" s="492"/>
      <c r="L104" s="29"/>
      <c r="M104" s="29"/>
      <c r="N104" s="29"/>
      <c r="O104" s="29"/>
      <c r="P104" s="29"/>
      <c r="Q104" s="29"/>
      <c r="R104" s="29"/>
      <c r="S104" s="29"/>
      <c r="T104" s="29"/>
      <c r="U104" s="29"/>
      <c r="V104" s="29"/>
      <c r="W104" s="29"/>
      <c r="X104" s="29"/>
      <c r="Y104" s="29"/>
    </row>
    <row r="105" spans="2:25" x14ac:dyDescent="0.25">
      <c r="B105" s="175" t="s">
        <v>171</v>
      </c>
      <c r="C105" s="379"/>
      <c r="D105" s="379">
        <v>15</v>
      </c>
      <c r="E105" s="379">
        <v>24</v>
      </c>
      <c r="F105" s="379">
        <v>36</v>
      </c>
      <c r="G105" s="379"/>
      <c r="H105" s="379">
        <v>3</v>
      </c>
      <c r="I105" s="379">
        <v>44</v>
      </c>
      <c r="J105" s="379">
        <v>34</v>
      </c>
      <c r="K105" s="369">
        <v>78</v>
      </c>
      <c r="L105" s="29"/>
      <c r="M105" s="29"/>
      <c r="N105" s="29"/>
      <c r="O105" s="29"/>
      <c r="P105" s="29"/>
      <c r="Q105" s="29"/>
      <c r="R105" s="29"/>
      <c r="S105" s="29"/>
      <c r="T105" s="29"/>
      <c r="U105" s="29"/>
      <c r="V105" s="29"/>
      <c r="W105" s="29"/>
      <c r="X105" s="29"/>
      <c r="Y105" s="29"/>
    </row>
    <row r="106" spans="2:25" x14ac:dyDescent="0.25">
      <c r="B106" s="152" t="s">
        <v>172</v>
      </c>
      <c r="C106" s="368"/>
      <c r="D106" s="368">
        <v>2</v>
      </c>
      <c r="E106" s="368">
        <v>24</v>
      </c>
      <c r="F106" s="368">
        <v>39</v>
      </c>
      <c r="G106" s="368"/>
      <c r="H106" s="368">
        <v>1</v>
      </c>
      <c r="I106" s="368">
        <v>26</v>
      </c>
      <c r="J106" s="368">
        <v>40</v>
      </c>
      <c r="K106" s="370">
        <v>66</v>
      </c>
      <c r="L106" s="29"/>
      <c r="M106" s="29"/>
      <c r="N106" s="29"/>
      <c r="O106" s="29"/>
      <c r="P106" s="29"/>
      <c r="Q106" s="29"/>
      <c r="R106" s="29"/>
      <c r="S106" s="29"/>
      <c r="T106" s="29"/>
      <c r="U106" s="29"/>
      <c r="V106" s="29"/>
      <c r="W106" s="29"/>
      <c r="X106" s="29"/>
      <c r="Y106" s="29"/>
    </row>
    <row r="107" spans="2:25" x14ac:dyDescent="0.25">
      <c r="B107" s="152" t="s">
        <v>173</v>
      </c>
      <c r="C107" s="368"/>
      <c r="D107" s="368">
        <v>7</v>
      </c>
      <c r="E107" s="368">
        <v>33</v>
      </c>
      <c r="F107" s="368">
        <v>57</v>
      </c>
      <c r="G107" s="368"/>
      <c r="H107" s="368">
        <v>0</v>
      </c>
      <c r="I107" s="368">
        <v>46</v>
      </c>
      <c r="J107" s="368">
        <v>51</v>
      </c>
      <c r="K107" s="370">
        <v>97</v>
      </c>
      <c r="L107" s="29"/>
      <c r="M107" s="29"/>
      <c r="N107" s="29"/>
      <c r="O107" s="29"/>
      <c r="P107" s="29"/>
      <c r="Q107" s="29"/>
      <c r="R107" s="29"/>
      <c r="S107" s="29"/>
      <c r="T107" s="29"/>
      <c r="U107" s="29"/>
      <c r="V107" s="29"/>
      <c r="W107" s="29"/>
      <c r="X107" s="29"/>
      <c r="Y107" s="29"/>
    </row>
    <row r="108" spans="2:25" x14ac:dyDescent="0.25">
      <c r="B108" s="152" t="s">
        <v>174</v>
      </c>
      <c r="C108" s="368"/>
      <c r="D108" s="368">
        <v>125</v>
      </c>
      <c r="E108" s="368">
        <v>445</v>
      </c>
      <c r="F108" s="368">
        <v>1184</v>
      </c>
      <c r="G108" s="368"/>
      <c r="H108" s="368">
        <v>54</v>
      </c>
      <c r="I108" s="368">
        <v>919</v>
      </c>
      <c r="J108" s="368">
        <v>889</v>
      </c>
      <c r="K108" s="370">
        <v>1808</v>
      </c>
      <c r="L108" s="29"/>
      <c r="M108" s="29"/>
      <c r="N108" s="29"/>
      <c r="O108" s="29"/>
      <c r="P108" s="29"/>
      <c r="Q108" s="29"/>
      <c r="R108" s="29"/>
      <c r="S108" s="29"/>
      <c r="T108" s="29"/>
      <c r="U108" s="29"/>
      <c r="V108" s="29"/>
      <c r="W108" s="29"/>
      <c r="X108" s="29"/>
      <c r="Y108" s="29"/>
    </row>
    <row r="109" spans="2:25" x14ac:dyDescent="0.25">
      <c r="B109" s="152" t="s">
        <v>175</v>
      </c>
      <c r="C109" s="368"/>
      <c r="D109" s="368">
        <v>11</v>
      </c>
      <c r="E109" s="368">
        <v>96</v>
      </c>
      <c r="F109" s="368">
        <v>192</v>
      </c>
      <c r="G109" s="368"/>
      <c r="H109" s="368">
        <v>7</v>
      </c>
      <c r="I109" s="368">
        <v>135</v>
      </c>
      <c r="J109" s="368">
        <v>171</v>
      </c>
      <c r="K109" s="370">
        <v>306</v>
      </c>
      <c r="L109" s="29"/>
      <c r="M109" s="29"/>
      <c r="N109" s="29"/>
      <c r="O109" s="29"/>
      <c r="P109" s="29"/>
      <c r="Q109" s="29"/>
      <c r="R109" s="29"/>
      <c r="S109" s="29"/>
      <c r="T109" s="29"/>
      <c r="U109" s="29"/>
      <c r="V109" s="29"/>
      <c r="W109" s="29"/>
      <c r="X109" s="29"/>
      <c r="Y109" s="29"/>
    </row>
    <row r="110" spans="2:25" x14ac:dyDescent="0.25">
      <c r="B110" s="152" t="s">
        <v>176</v>
      </c>
      <c r="C110" s="368"/>
      <c r="D110" s="368">
        <v>2</v>
      </c>
      <c r="E110" s="368">
        <v>10</v>
      </c>
      <c r="F110" s="368">
        <v>19</v>
      </c>
      <c r="G110" s="368"/>
      <c r="H110" s="368">
        <v>1</v>
      </c>
      <c r="I110" s="368">
        <v>13</v>
      </c>
      <c r="J110" s="368">
        <v>19</v>
      </c>
      <c r="K110" s="370">
        <v>32</v>
      </c>
      <c r="L110" s="29"/>
      <c r="M110" s="29"/>
      <c r="N110" s="29"/>
      <c r="O110" s="29"/>
      <c r="P110" s="29"/>
      <c r="Q110" s="29"/>
      <c r="R110" s="29"/>
      <c r="S110" s="29"/>
      <c r="T110" s="29"/>
      <c r="U110" s="29"/>
      <c r="V110" s="29"/>
      <c r="W110" s="29"/>
      <c r="X110" s="29"/>
      <c r="Y110" s="29"/>
    </row>
    <row r="111" spans="2:25" x14ac:dyDescent="0.25">
      <c r="B111" s="152" t="s">
        <v>177</v>
      </c>
      <c r="C111" s="368"/>
      <c r="D111" s="368">
        <v>83</v>
      </c>
      <c r="E111" s="368">
        <v>452</v>
      </c>
      <c r="F111" s="368">
        <v>1491</v>
      </c>
      <c r="G111" s="368"/>
      <c r="H111" s="368">
        <v>63</v>
      </c>
      <c r="I111" s="368">
        <v>1114</v>
      </c>
      <c r="J111" s="368">
        <v>975</v>
      </c>
      <c r="K111" s="370">
        <v>2089</v>
      </c>
      <c r="L111" s="29"/>
      <c r="M111" s="29"/>
      <c r="N111" s="29"/>
      <c r="O111" s="29"/>
      <c r="P111" s="29"/>
      <c r="Q111" s="29"/>
      <c r="R111" s="29"/>
      <c r="S111" s="29"/>
      <c r="T111" s="29"/>
      <c r="U111" s="29"/>
      <c r="V111" s="29"/>
      <c r="W111" s="29"/>
      <c r="X111" s="29"/>
      <c r="Y111" s="29"/>
    </row>
    <row r="112" spans="2:25" x14ac:dyDescent="0.25">
      <c r="B112" s="152" t="s">
        <v>178</v>
      </c>
      <c r="C112" s="368"/>
      <c r="D112" s="368">
        <v>8</v>
      </c>
      <c r="E112" s="368">
        <v>79</v>
      </c>
      <c r="F112" s="368">
        <v>131</v>
      </c>
      <c r="G112" s="368"/>
      <c r="H112" s="368">
        <v>3</v>
      </c>
      <c r="I112" s="368">
        <v>112</v>
      </c>
      <c r="J112" s="368">
        <v>109</v>
      </c>
      <c r="K112" s="370">
        <v>221</v>
      </c>
      <c r="L112" s="29"/>
      <c r="M112" s="29"/>
      <c r="N112" s="29"/>
      <c r="O112" s="29"/>
      <c r="P112" s="29"/>
      <c r="Q112" s="29"/>
      <c r="R112" s="29"/>
      <c r="S112" s="29"/>
      <c r="T112" s="29"/>
      <c r="U112" s="29"/>
      <c r="V112" s="29"/>
      <c r="W112" s="29"/>
      <c r="X112" s="29"/>
      <c r="Y112" s="29"/>
    </row>
    <row r="113" spans="2:26" x14ac:dyDescent="0.25">
      <c r="B113" s="152" t="s">
        <v>179</v>
      </c>
      <c r="C113" s="368"/>
      <c r="D113" s="368">
        <v>24</v>
      </c>
      <c r="E113" s="368">
        <v>44</v>
      </c>
      <c r="F113" s="368">
        <v>125</v>
      </c>
      <c r="G113" s="368"/>
      <c r="H113" s="368">
        <v>7</v>
      </c>
      <c r="I113" s="368">
        <v>93</v>
      </c>
      <c r="J113" s="368">
        <v>107</v>
      </c>
      <c r="K113" s="370">
        <v>200</v>
      </c>
      <c r="L113" s="29"/>
      <c r="M113" s="29"/>
      <c r="N113" s="29"/>
      <c r="O113" s="29"/>
      <c r="P113" s="29"/>
      <c r="Q113" s="29"/>
      <c r="R113" s="29"/>
      <c r="S113" s="29"/>
      <c r="T113" s="29"/>
      <c r="U113" s="29"/>
      <c r="V113" s="29"/>
      <c r="W113" s="29"/>
      <c r="X113" s="29"/>
      <c r="Y113" s="29"/>
    </row>
    <row r="114" spans="2:26" x14ac:dyDescent="0.25">
      <c r="B114" s="152" t="s">
        <v>180</v>
      </c>
      <c r="C114" s="368"/>
      <c r="D114" s="368">
        <v>59</v>
      </c>
      <c r="E114" s="368">
        <v>253</v>
      </c>
      <c r="F114" s="368">
        <v>507</v>
      </c>
      <c r="G114" s="368"/>
      <c r="H114" s="368">
        <v>21</v>
      </c>
      <c r="I114" s="368">
        <v>424</v>
      </c>
      <c r="J114" s="368">
        <v>416</v>
      </c>
      <c r="K114" s="370">
        <v>840</v>
      </c>
      <c r="L114" s="29"/>
      <c r="M114" s="29"/>
      <c r="N114" s="29"/>
      <c r="O114" s="29"/>
      <c r="P114" s="29"/>
      <c r="Q114" s="29"/>
      <c r="R114" s="29"/>
      <c r="S114" s="29"/>
      <c r="T114" s="29"/>
      <c r="U114" s="29"/>
      <c r="V114" s="29"/>
      <c r="W114" s="29"/>
      <c r="X114" s="29"/>
      <c r="Y114" s="29"/>
    </row>
    <row r="115" spans="2:26" x14ac:dyDescent="0.25">
      <c r="B115" s="152" t="s">
        <v>181</v>
      </c>
      <c r="C115" s="368"/>
      <c r="D115" s="368">
        <v>3</v>
      </c>
      <c r="E115" s="368">
        <v>13</v>
      </c>
      <c r="F115" s="368">
        <v>21</v>
      </c>
      <c r="G115" s="368"/>
      <c r="H115" s="368">
        <v>3</v>
      </c>
      <c r="I115" s="368">
        <v>16</v>
      </c>
      <c r="J115" s="368">
        <v>24</v>
      </c>
      <c r="K115" s="370">
        <v>40</v>
      </c>
      <c r="L115" s="29"/>
      <c r="M115" s="29"/>
      <c r="N115" s="29"/>
      <c r="O115" s="29"/>
      <c r="P115" s="29"/>
      <c r="Q115" s="29"/>
      <c r="R115" s="29"/>
      <c r="S115" s="29"/>
      <c r="T115" s="29"/>
      <c r="U115" s="29"/>
      <c r="V115" s="29"/>
      <c r="W115" s="29"/>
      <c r="X115" s="29"/>
      <c r="Y115" s="29"/>
    </row>
    <row r="116" spans="2:26" x14ac:dyDescent="0.25">
      <c r="B116" s="152" t="s">
        <v>182</v>
      </c>
      <c r="C116" s="368"/>
      <c r="D116" s="368">
        <v>10</v>
      </c>
      <c r="E116" s="368">
        <v>22</v>
      </c>
      <c r="F116" s="368">
        <v>34</v>
      </c>
      <c r="G116" s="368"/>
      <c r="H116" s="368">
        <v>4</v>
      </c>
      <c r="I116" s="368">
        <v>38</v>
      </c>
      <c r="J116" s="368">
        <v>32</v>
      </c>
      <c r="K116" s="370">
        <v>70</v>
      </c>
      <c r="L116" s="29"/>
      <c r="M116" s="29"/>
      <c r="N116" s="29"/>
      <c r="O116" s="29"/>
      <c r="P116" s="29"/>
      <c r="Q116" s="29"/>
      <c r="R116" s="29"/>
      <c r="S116" s="29"/>
      <c r="T116" s="29"/>
      <c r="U116" s="29"/>
      <c r="V116" s="29"/>
      <c r="W116" s="29"/>
      <c r="X116" s="29"/>
      <c r="Y116" s="29"/>
    </row>
    <row r="117" spans="2:26" x14ac:dyDescent="0.25">
      <c r="B117" s="152" t="s">
        <v>183</v>
      </c>
      <c r="C117" s="368"/>
      <c r="D117" s="368">
        <v>2</v>
      </c>
      <c r="E117" s="368">
        <v>7</v>
      </c>
      <c r="F117" s="368">
        <v>19</v>
      </c>
      <c r="G117" s="368"/>
      <c r="H117" s="368">
        <v>0</v>
      </c>
      <c r="I117" s="368">
        <v>10</v>
      </c>
      <c r="J117" s="368">
        <v>18</v>
      </c>
      <c r="K117" s="370">
        <v>28</v>
      </c>
      <c r="L117" s="29"/>
      <c r="M117" s="29"/>
      <c r="N117" s="29"/>
      <c r="O117" s="29"/>
      <c r="P117" s="29"/>
      <c r="Q117" s="29"/>
      <c r="R117" s="29"/>
      <c r="S117" s="29"/>
      <c r="T117" s="29"/>
      <c r="U117" s="29"/>
      <c r="V117" s="29"/>
      <c r="W117" s="29"/>
      <c r="X117" s="29"/>
      <c r="Y117" s="29"/>
    </row>
    <row r="118" spans="2:26" x14ac:dyDescent="0.25">
      <c r="B118" s="174" t="s">
        <v>184</v>
      </c>
      <c r="C118" s="380"/>
      <c r="D118" s="380">
        <v>16</v>
      </c>
      <c r="E118" s="380">
        <v>71</v>
      </c>
      <c r="F118" s="380">
        <v>130</v>
      </c>
      <c r="G118" s="380"/>
      <c r="H118" s="380">
        <v>5</v>
      </c>
      <c r="I118" s="380">
        <v>113</v>
      </c>
      <c r="J118" s="380">
        <v>109</v>
      </c>
      <c r="K118" s="381">
        <v>222</v>
      </c>
      <c r="L118" s="29"/>
      <c r="M118" s="29"/>
      <c r="N118" s="29"/>
      <c r="O118" s="29"/>
      <c r="P118" s="29"/>
      <c r="Q118" s="29"/>
      <c r="R118" s="29"/>
      <c r="S118" s="29"/>
      <c r="T118" s="29"/>
      <c r="U118" s="29"/>
      <c r="V118" s="29"/>
      <c r="W118" s="29"/>
      <c r="X118" s="29"/>
      <c r="Y118" s="29"/>
    </row>
    <row r="119" spans="2:26" x14ac:dyDescent="0.25">
      <c r="B119" s="177" t="s">
        <v>507</v>
      </c>
      <c r="C119" s="378"/>
      <c r="D119" s="378">
        <v>15</v>
      </c>
      <c r="E119" s="378">
        <v>64</v>
      </c>
      <c r="F119" s="378">
        <v>165</v>
      </c>
      <c r="G119" s="378"/>
      <c r="H119" s="378">
        <v>12</v>
      </c>
      <c r="I119" s="378">
        <v>123</v>
      </c>
      <c r="J119" s="378">
        <v>133</v>
      </c>
      <c r="K119" s="359">
        <v>256</v>
      </c>
      <c r="L119" s="29"/>
      <c r="M119" s="29"/>
      <c r="N119" s="29"/>
      <c r="O119" s="29"/>
      <c r="P119" s="29"/>
      <c r="Q119" s="29"/>
      <c r="R119" s="29"/>
      <c r="S119" s="29"/>
      <c r="T119" s="29"/>
      <c r="U119" s="29"/>
      <c r="V119" s="29"/>
      <c r="W119" s="29"/>
      <c r="X119" s="29"/>
      <c r="Y119" s="29"/>
    </row>
    <row r="120" spans="2:26" x14ac:dyDescent="0.25">
      <c r="B120" s="289" t="s">
        <v>36</v>
      </c>
      <c r="C120" s="359"/>
      <c r="D120" s="359">
        <v>382</v>
      </c>
      <c r="E120" s="359">
        <v>1637</v>
      </c>
      <c r="F120" s="359">
        <v>4150</v>
      </c>
      <c r="G120" s="359"/>
      <c r="H120" s="359">
        <v>184</v>
      </c>
      <c r="I120" s="359">
        <v>3226</v>
      </c>
      <c r="J120" s="334">
        <v>3127</v>
      </c>
      <c r="K120" s="334">
        <v>6353</v>
      </c>
      <c r="L120" s="29"/>
      <c r="M120" s="29"/>
      <c r="N120" s="29"/>
      <c r="O120" s="29"/>
      <c r="P120" s="29"/>
      <c r="Q120" s="29"/>
      <c r="R120" s="29"/>
      <c r="S120" s="29"/>
      <c r="T120" s="29"/>
      <c r="U120" s="29"/>
      <c r="V120" s="29"/>
      <c r="W120" s="29"/>
      <c r="X120" s="29"/>
      <c r="Y120" s="29"/>
    </row>
    <row r="121" spans="2:26" ht="30" customHeight="1" x14ac:dyDescent="0.25">
      <c r="B121" s="504" t="s">
        <v>898</v>
      </c>
      <c r="C121" s="504"/>
      <c r="D121" s="504"/>
      <c r="E121" s="504"/>
      <c r="F121" s="504"/>
      <c r="G121" s="504"/>
      <c r="H121" s="504"/>
      <c r="I121" s="504"/>
      <c r="J121" s="504"/>
      <c r="K121" s="504"/>
      <c r="L121" s="29"/>
      <c r="M121" s="29"/>
      <c r="N121" s="29"/>
      <c r="O121" s="29"/>
      <c r="P121" s="29"/>
      <c r="Q121" s="29"/>
      <c r="R121" s="29"/>
      <c r="S121" s="29"/>
      <c r="T121" s="29"/>
      <c r="U121" s="29"/>
      <c r="V121" s="29"/>
      <c r="W121" s="29"/>
      <c r="X121" s="29"/>
      <c r="Y121" s="29"/>
    </row>
    <row r="122" spans="2:26" x14ac:dyDescent="0.25">
      <c r="B122" s="176"/>
      <c r="C122" s="208"/>
      <c r="D122" s="208"/>
      <c r="E122" s="208"/>
      <c r="F122" s="208"/>
      <c r="G122" s="208"/>
      <c r="H122" s="208"/>
      <c r="I122"/>
      <c r="J122" s="29"/>
      <c r="K122" s="29"/>
      <c r="L122" s="29"/>
      <c r="M122" s="29"/>
      <c r="N122" s="29"/>
      <c r="O122" s="29"/>
      <c r="P122" s="29"/>
      <c r="Q122" s="29"/>
      <c r="R122" s="29"/>
      <c r="S122" s="29"/>
      <c r="T122" s="29"/>
      <c r="U122" s="29"/>
      <c r="V122" s="29"/>
      <c r="W122" s="29"/>
      <c r="X122" s="29"/>
      <c r="Y122" s="29"/>
    </row>
    <row r="123" spans="2:26" x14ac:dyDescent="0.25">
      <c r="B123" s="205" t="s">
        <v>525</v>
      </c>
      <c r="C123"/>
      <c r="D123"/>
      <c r="E123"/>
      <c r="F123"/>
      <c r="G123"/>
      <c r="H123"/>
      <c r="I123"/>
      <c r="J123" s="29"/>
      <c r="K123" s="29"/>
      <c r="L123" s="29"/>
      <c r="M123" s="29"/>
      <c r="N123" s="29"/>
      <c r="O123" s="29"/>
      <c r="P123" s="29"/>
      <c r="Q123" s="29"/>
      <c r="R123" s="29"/>
      <c r="S123" s="29"/>
      <c r="T123" s="29"/>
      <c r="U123" s="29"/>
      <c r="V123" s="29"/>
      <c r="W123" s="29"/>
      <c r="X123" s="29"/>
      <c r="Y123" s="29"/>
    </row>
    <row r="124" spans="2:26" x14ac:dyDescent="0.25">
      <c r="B124" s="205"/>
      <c r="C124"/>
      <c r="D124"/>
      <c r="E124"/>
      <c r="F124"/>
      <c r="G124"/>
      <c r="H124"/>
      <c r="I124"/>
      <c r="J124" s="29"/>
      <c r="K124" s="29"/>
      <c r="L124" s="29"/>
      <c r="M124" s="29"/>
      <c r="N124" s="29"/>
      <c r="O124" s="29"/>
      <c r="P124" s="29"/>
      <c r="Q124" s="29"/>
      <c r="R124" s="29"/>
      <c r="S124" s="29"/>
      <c r="T124" s="29"/>
      <c r="U124" s="29"/>
      <c r="V124" s="29"/>
      <c r="W124" s="29"/>
      <c r="X124" s="29"/>
      <c r="Y124" s="29"/>
    </row>
    <row r="125" spans="2:26" ht="15" customHeight="1" x14ac:dyDescent="0.25">
      <c r="B125" s="176"/>
      <c r="C125" s="488" t="s">
        <v>538</v>
      </c>
      <c r="D125" s="488"/>
      <c r="E125" s="488"/>
      <c r="F125" s="488"/>
      <c r="G125" s="488"/>
      <c r="H125" s="488"/>
      <c r="I125" s="484" t="s">
        <v>539</v>
      </c>
      <c r="J125" s="484"/>
      <c r="K125" s="492" t="s">
        <v>36</v>
      </c>
      <c r="L125" s="29"/>
      <c r="M125" s="29"/>
      <c r="N125" s="29"/>
      <c r="O125" s="29"/>
      <c r="P125" s="29"/>
      <c r="Q125" s="29"/>
      <c r="R125" s="29"/>
      <c r="S125" s="29"/>
      <c r="T125" s="29"/>
      <c r="U125" s="29"/>
      <c r="V125" s="29"/>
      <c r="W125" s="29"/>
      <c r="X125" s="29"/>
      <c r="Y125" s="29"/>
    </row>
    <row r="126" spans="2:26" ht="30" x14ac:dyDescent="0.25">
      <c r="B126" s="178" t="s">
        <v>548</v>
      </c>
      <c r="C126" s="179" t="s">
        <v>3</v>
      </c>
      <c r="D126" s="179" t="s">
        <v>4</v>
      </c>
      <c r="E126" s="179" t="s">
        <v>714</v>
      </c>
      <c r="F126" s="179" t="s">
        <v>501</v>
      </c>
      <c r="G126" s="179" t="s">
        <v>5</v>
      </c>
      <c r="H126" s="179" t="s">
        <v>6</v>
      </c>
      <c r="I126" s="179" t="s">
        <v>87</v>
      </c>
      <c r="J126" s="179" t="s">
        <v>88</v>
      </c>
      <c r="K126" s="492"/>
      <c r="L126" s="29"/>
      <c r="M126" s="29"/>
      <c r="N126" s="29"/>
      <c r="O126" s="29"/>
      <c r="P126" s="29"/>
      <c r="Q126" s="29"/>
      <c r="R126" s="29"/>
      <c r="S126" s="29"/>
      <c r="T126" s="29"/>
      <c r="U126" s="29"/>
      <c r="V126" s="29"/>
      <c r="W126" s="29"/>
      <c r="X126" s="29"/>
      <c r="Y126" s="29"/>
    </row>
    <row r="127" spans="2:26" x14ac:dyDescent="0.25">
      <c r="B127" s="152" t="s">
        <v>185</v>
      </c>
      <c r="C127" s="368"/>
      <c r="D127" s="368">
        <v>7</v>
      </c>
      <c r="E127" s="368">
        <v>44</v>
      </c>
      <c r="F127" s="368">
        <v>172</v>
      </c>
      <c r="G127" s="368"/>
      <c r="H127" s="368">
        <v>4</v>
      </c>
      <c r="I127" s="368">
        <v>109</v>
      </c>
      <c r="J127" s="368">
        <v>118</v>
      </c>
      <c r="K127" s="370">
        <v>227</v>
      </c>
      <c r="L127" s="29"/>
      <c r="M127" s="29"/>
      <c r="N127" s="29"/>
      <c r="O127" s="29"/>
      <c r="P127" s="29"/>
      <c r="Q127" s="29"/>
      <c r="R127" s="29"/>
      <c r="S127" s="29"/>
      <c r="T127" s="29"/>
      <c r="U127" s="29"/>
      <c r="V127" s="29"/>
      <c r="W127" s="29"/>
      <c r="X127" s="29"/>
      <c r="Y127" s="29"/>
      <c r="Z127" s="29"/>
    </row>
    <row r="128" spans="2:26" x14ac:dyDescent="0.25">
      <c r="B128" s="152" t="s">
        <v>186</v>
      </c>
      <c r="C128" s="368"/>
      <c r="D128" s="368">
        <v>8</v>
      </c>
      <c r="E128" s="368">
        <v>49</v>
      </c>
      <c r="F128" s="368">
        <v>96</v>
      </c>
      <c r="G128" s="368"/>
      <c r="H128" s="368">
        <v>1</v>
      </c>
      <c r="I128" s="368">
        <v>72</v>
      </c>
      <c r="J128" s="368">
        <v>82</v>
      </c>
      <c r="K128" s="370">
        <v>154</v>
      </c>
      <c r="L128" s="29"/>
      <c r="M128" s="29"/>
      <c r="N128" s="29"/>
      <c r="O128" s="29"/>
      <c r="P128" s="29"/>
      <c r="Q128" s="29"/>
      <c r="R128" s="29"/>
      <c r="S128" s="29"/>
      <c r="T128" s="29"/>
      <c r="U128" s="29"/>
      <c r="V128" s="29"/>
      <c r="W128" s="29"/>
      <c r="X128" s="29"/>
      <c r="Y128" s="29"/>
      <c r="Z128" s="29"/>
    </row>
    <row r="129" spans="2:26" x14ac:dyDescent="0.25">
      <c r="B129" s="152" t="s">
        <v>187</v>
      </c>
      <c r="C129" s="368"/>
      <c r="D129" s="368">
        <v>6</v>
      </c>
      <c r="E129" s="368">
        <v>29</v>
      </c>
      <c r="F129" s="368">
        <v>57</v>
      </c>
      <c r="G129" s="368"/>
      <c r="H129" s="368">
        <v>4</v>
      </c>
      <c r="I129" s="368">
        <v>46</v>
      </c>
      <c r="J129" s="368">
        <v>50</v>
      </c>
      <c r="K129" s="370">
        <v>96</v>
      </c>
      <c r="L129" s="29"/>
      <c r="M129" s="29"/>
      <c r="N129" s="29"/>
      <c r="O129" s="29"/>
      <c r="P129" s="29"/>
      <c r="Q129" s="29"/>
      <c r="R129" s="29"/>
      <c r="S129" s="29"/>
      <c r="T129" s="29"/>
      <c r="U129" s="29"/>
      <c r="V129" s="29"/>
      <c r="W129" s="29"/>
      <c r="X129" s="29"/>
      <c r="Y129" s="29"/>
      <c r="Z129" s="29"/>
    </row>
    <row r="130" spans="2:26" x14ac:dyDescent="0.25">
      <c r="B130" s="152" t="s">
        <v>188</v>
      </c>
      <c r="C130" s="368"/>
      <c r="D130" s="368">
        <v>17</v>
      </c>
      <c r="E130" s="368">
        <v>61</v>
      </c>
      <c r="F130" s="368">
        <v>129</v>
      </c>
      <c r="G130" s="368"/>
      <c r="H130" s="368">
        <v>7</v>
      </c>
      <c r="I130" s="368">
        <v>88</v>
      </c>
      <c r="J130" s="368">
        <v>126</v>
      </c>
      <c r="K130" s="370">
        <v>214</v>
      </c>
      <c r="L130" s="29"/>
      <c r="M130" s="29"/>
      <c r="N130" s="29"/>
      <c r="O130" s="29"/>
      <c r="P130" s="29"/>
      <c r="Q130" s="29"/>
      <c r="R130" s="29"/>
      <c r="S130" s="29"/>
      <c r="T130" s="29"/>
      <c r="U130" s="29"/>
      <c r="V130" s="29"/>
      <c r="W130" s="29"/>
      <c r="X130" s="29"/>
      <c r="Y130" s="29"/>
      <c r="Z130" s="29"/>
    </row>
    <row r="131" spans="2:26" x14ac:dyDescent="0.25">
      <c r="B131" s="152" t="s">
        <v>189</v>
      </c>
      <c r="C131" s="368"/>
      <c r="D131" s="368">
        <v>14</v>
      </c>
      <c r="E131" s="368">
        <v>45</v>
      </c>
      <c r="F131" s="368">
        <v>117</v>
      </c>
      <c r="G131" s="368"/>
      <c r="H131" s="368">
        <v>3</v>
      </c>
      <c r="I131" s="368">
        <v>85</v>
      </c>
      <c r="J131" s="368">
        <v>94</v>
      </c>
      <c r="K131" s="370">
        <v>179</v>
      </c>
      <c r="L131" s="29"/>
      <c r="M131" s="29"/>
      <c r="N131" s="29"/>
      <c r="O131" s="29"/>
      <c r="P131" s="29"/>
      <c r="Q131" s="29"/>
      <c r="R131" s="29"/>
      <c r="S131" s="29"/>
      <c r="T131" s="29"/>
      <c r="U131" s="29"/>
      <c r="V131" s="29"/>
      <c r="W131" s="29"/>
      <c r="X131" s="29"/>
      <c r="Y131" s="29"/>
      <c r="Z131" s="29"/>
    </row>
    <row r="132" spans="2:26" x14ac:dyDescent="0.25">
      <c r="B132" s="152" t="s">
        <v>190</v>
      </c>
      <c r="C132" s="368"/>
      <c r="D132" s="368">
        <v>5</v>
      </c>
      <c r="E132" s="368">
        <v>28</v>
      </c>
      <c r="F132" s="368">
        <v>54</v>
      </c>
      <c r="G132" s="368"/>
      <c r="H132" s="368">
        <v>1</v>
      </c>
      <c r="I132" s="368">
        <v>43</v>
      </c>
      <c r="J132" s="368">
        <v>45</v>
      </c>
      <c r="K132" s="370">
        <v>88</v>
      </c>
      <c r="L132" s="29"/>
      <c r="M132" s="29"/>
      <c r="N132" s="29"/>
      <c r="O132" s="29"/>
      <c r="P132" s="29"/>
      <c r="Q132" s="29"/>
      <c r="R132" s="29"/>
      <c r="S132" s="29"/>
      <c r="T132" s="29"/>
      <c r="U132" s="29"/>
      <c r="V132" s="29"/>
      <c r="W132" s="29"/>
      <c r="X132" s="29"/>
      <c r="Y132" s="29"/>
      <c r="Z132" s="29"/>
    </row>
    <row r="133" spans="2:26" x14ac:dyDescent="0.25">
      <c r="B133" s="152" t="s">
        <v>191</v>
      </c>
      <c r="C133" s="368"/>
      <c r="D133" s="368">
        <v>15</v>
      </c>
      <c r="E133" s="368">
        <v>101</v>
      </c>
      <c r="F133" s="368">
        <v>327</v>
      </c>
      <c r="G133" s="368"/>
      <c r="H133" s="368">
        <v>10</v>
      </c>
      <c r="I133" s="368">
        <v>262</v>
      </c>
      <c r="J133" s="368">
        <v>191</v>
      </c>
      <c r="K133" s="370">
        <v>453</v>
      </c>
      <c r="L133" s="29"/>
      <c r="M133" s="29"/>
      <c r="N133" s="29"/>
      <c r="O133" s="29"/>
      <c r="P133" s="29"/>
      <c r="Q133" s="29"/>
      <c r="R133" s="29"/>
      <c r="S133" s="29"/>
      <c r="T133" s="29"/>
      <c r="U133" s="29"/>
      <c r="V133" s="29"/>
      <c r="W133" s="29"/>
      <c r="X133" s="29"/>
      <c r="Y133" s="29"/>
      <c r="Z133" s="29"/>
    </row>
    <row r="134" spans="2:26" x14ac:dyDescent="0.25">
      <c r="B134" s="152" t="s">
        <v>192</v>
      </c>
      <c r="C134" s="368"/>
      <c r="D134" s="368">
        <v>11</v>
      </c>
      <c r="E134" s="368">
        <v>44</v>
      </c>
      <c r="F134" s="368">
        <v>139</v>
      </c>
      <c r="G134" s="368"/>
      <c r="H134" s="368">
        <v>5</v>
      </c>
      <c r="I134" s="368">
        <v>99</v>
      </c>
      <c r="J134" s="368">
        <v>100</v>
      </c>
      <c r="K134" s="370">
        <v>199</v>
      </c>
      <c r="L134" s="29"/>
      <c r="M134" s="29"/>
      <c r="N134" s="29"/>
      <c r="O134" s="29"/>
      <c r="P134" s="29"/>
      <c r="Q134" s="29"/>
      <c r="R134" s="29"/>
      <c r="S134" s="29"/>
      <c r="T134" s="29"/>
      <c r="U134" s="29"/>
      <c r="V134" s="29"/>
      <c r="W134" s="29"/>
      <c r="X134" s="29"/>
      <c r="Y134" s="29"/>
      <c r="Z134" s="29"/>
    </row>
    <row r="135" spans="2:26" x14ac:dyDescent="0.25">
      <c r="B135" s="152" t="s">
        <v>193</v>
      </c>
      <c r="C135" s="368"/>
      <c r="D135" s="368">
        <v>8</v>
      </c>
      <c r="E135" s="368">
        <v>39</v>
      </c>
      <c r="F135" s="368">
        <v>131</v>
      </c>
      <c r="G135" s="368"/>
      <c r="H135" s="368">
        <v>7</v>
      </c>
      <c r="I135" s="368">
        <v>92</v>
      </c>
      <c r="J135" s="368">
        <v>93</v>
      </c>
      <c r="K135" s="370">
        <v>185</v>
      </c>
      <c r="L135" s="29"/>
      <c r="M135" s="29"/>
      <c r="N135" s="29"/>
      <c r="O135" s="29"/>
      <c r="P135" s="29"/>
      <c r="Q135" s="29"/>
      <c r="R135" s="29"/>
      <c r="S135" s="29"/>
      <c r="T135" s="29"/>
      <c r="U135" s="29"/>
      <c r="V135" s="29"/>
      <c r="W135" s="29"/>
      <c r="X135" s="29"/>
      <c r="Y135" s="29"/>
      <c r="Z135" s="29"/>
    </row>
    <row r="136" spans="2:26" x14ac:dyDescent="0.25">
      <c r="B136" s="152" t="s">
        <v>194</v>
      </c>
      <c r="C136" s="368"/>
      <c r="D136" s="368">
        <v>17</v>
      </c>
      <c r="E136" s="368">
        <v>34</v>
      </c>
      <c r="F136" s="368">
        <v>63</v>
      </c>
      <c r="G136" s="368"/>
      <c r="H136" s="368">
        <v>6</v>
      </c>
      <c r="I136" s="368">
        <v>57</v>
      </c>
      <c r="J136" s="368">
        <v>63</v>
      </c>
      <c r="K136" s="370">
        <v>120</v>
      </c>
      <c r="L136" s="29"/>
      <c r="M136" s="29"/>
      <c r="N136" s="29"/>
      <c r="O136" s="29"/>
      <c r="P136" s="29"/>
      <c r="Q136" s="29"/>
      <c r="R136" s="29"/>
      <c r="S136" s="29"/>
      <c r="T136" s="29"/>
      <c r="U136" s="29"/>
      <c r="V136" s="29"/>
      <c r="W136" s="29"/>
      <c r="X136" s="29"/>
      <c r="Y136" s="29"/>
      <c r="Z136" s="29"/>
    </row>
    <row r="137" spans="2:26" x14ac:dyDescent="0.25">
      <c r="B137" s="152" t="s">
        <v>195</v>
      </c>
      <c r="C137" s="368"/>
      <c r="D137" s="368">
        <v>1</v>
      </c>
      <c r="E137" s="368">
        <v>23</v>
      </c>
      <c r="F137" s="368">
        <v>46</v>
      </c>
      <c r="G137" s="368"/>
      <c r="H137" s="368">
        <v>1</v>
      </c>
      <c r="I137" s="368">
        <v>33</v>
      </c>
      <c r="J137" s="368">
        <v>38</v>
      </c>
      <c r="K137" s="370">
        <v>71</v>
      </c>
      <c r="L137" s="29"/>
      <c r="M137" s="29"/>
      <c r="N137" s="29"/>
      <c r="O137" s="29"/>
      <c r="P137" s="29"/>
      <c r="Q137" s="29"/>
      <c r="R137" s="29"/>
      <c r="S137" s="29"/>
      <c r="T137" s="29"/>
      <c r="U137" s="29"/>
      <c r="V137" s="29"/>
      <c r="W137" s="29"/>
      <c r="X137" s="29"/>
      <c r="Y137" s="29"/>
      <c r="Z137" s="29"/>
    </row>
    <row r="138" spans="2:26" x14ac:dyDescent="0.25">
      <c r="B138" s="152" t="s">
        <v>196</v>
      </c>
      <c r="C138" s="368"/>
      <c r="D138" s="368">
        <v>0</v>
      </c>
      <c r="E138" s="368">
        <v>2</v>
      </c>
      <c r="F138" s="368">
        <v>4</v>
      </c>
      <c r="G138" s="368"/>
      <c r="H138" s="368">
        <v>0</v>
      </c>
      <c r="I138" s="368">
        <v>3</v>
      </c>
      <c r="J138" s="368">
        <v>3</v>
      </c>
      <c r="K138" s="370">
        <v>6</v>
      </c>
      <c r="L138" s="29"/>
      <c r="M138" s="29"/>
      <c r="N138" s="29"/>
      <c r="O138" s="29"/>
      <c r="P138" s="29"/>
      <c r="Q138" s="29"/>
      <c r="R138" s="29"/>
      <c r="S138" s="29"/>
      <c r="T138" s="29"/>
      <c r="U138" s="29"/>
      <c r="V138" s="29"/>
      <c r="W138" s="29"/>
      <c r="X138" s="29"/>
      <c r="Y138" s="29"/>
      <c r="Z138" s="29"/>
    </row>
    <row r="139" spans="2:26" x14ac:dyDescent="0.25">
      <c r="B139" s="152" t="s">
        <v>197</v>
      </c>
      <c r="C139" s="368"/>
      <c r="D139" s="368">
        <v>25</v>
      </c>
      <c r="E139" s="368">
        <v>94</v>
      </c>
      <c r="F139" s="368">
        <v>245</v>
      </c>
      <c r="G139" s="368"/>
      <c r="H139" s="368">
        <v>14</v>
      </c>
      <c r="I139" s="368">
        <v>183</v>
      </c>
      <c r="J139" s="368">
        <v>195</v>
      </c>
      <c r="K139" s="370">
        <v>378</v>
      </c>
      <c r="L139" s="29"/>
      <c r="M139" s="29"/>
      <c r="N139" s="29"/>
      <c r="O139" s="29"/>
      <c r="P139" s="29"/>
      <c r="Q139" s="29"/>
      <c r="R139" s="29"/>
      <c r="S139" s="29"/>
      <c r="T139" s="29"/>
      <c r="U139" s="29"/>
      <c r="V139" s="29"/>
      <c r="W139" s="29"/>
      <c r="X139" s="29"/>
      <c r="Y139" s="29"/>
      <c r="Z139" s="29"/>
    </row>
    <row r="140" spans="2:26" x14ac:dyDescent="0.25">
      <c r="B140" s="152" t="s">
        <v>198</v>
      </c>
      <c r="C140" s="368"/>
      <c r="D140" s="368">
        <v>10</v>
      </c>
      <c r="E140" s="368">
        <v>27</v>
      </c>
      <c r="F140" s="368">
        <v>97</v>
      </c>
      <c r="G140" s="368"/>
      <c r="H140" s="368">
        <v>7</v>
      </c>
      <c r="I140" s="368">
        <v>72</v>
      </c>
      <c r="J140" s="368">
        <v>69</v>
      </c>
      <c r="K140" s="370">
        <v>141</v>
      </c>
      <c r="L140" s="29"/>
      <c r="M140" s="29"/>
      <c r="N140" s="29"/>
      <c r="O140" s="29"/>
      <c r="P140" s="29"/>
      <c r="Q140" s="29"/>
      <c r="R140" s="29"/>
      <c r="S140" s="29"/>
      <c r="T140" s="29"/>
      <c r="U140" s="29"/>
      <c r="V140" s="29"/>
      <c r="W140" s="29"/>
      <c r="X140" s="29"/>
      <c r="Y140" s="29"/>
      <c r="Z140" s="29"/>
    </row>
    <row r="141" spans="2:26" x14ac:dyDescent="0.25">
      <c r="B141" s="152" t="s">
        <v>199</v>
      </c>
      <c r="C141" s="368"/>
      <c r="D141" s="368">
        <v>28</v>
      </c>
      <c r="E141" s="368">
        <v>76</v>
      </c>
      <c r="F141" s="368">
        <v>159</v>
      </c>
      <c r="G141" s="368"/>
      <c r="H141" s="368">
        <v>10</v>
      </c>
      <c r="I141" s="368">
        <v>131</v>
      </c>
      <c r="J141" s="368">
        <v>142</v>
      </c>
      <c r="K141" s="370">
        <v>273</v>
      </c>
      <c r="L141" s="29"/>
      <c r="M141" s="29"/>
      <c r="N141" s="29"/>
      <c r="O141" s="29"/>
      <c r="P141" s="29"/>
      <c r="Q141" s="29"/>
      <c r="R141" s="29"/>
      <c r="S141" s="29"/>
      <c r="T141" s="29"/>
      <c r="U141" s="29"/>
      <c r="V141" s="29"/>
      <c r="W141" s="29"/>
      <c r="X141" s="29"/>
      <c r="Y141" s="29"/>
      <c r="Z141" s="29"/>
    </row>
    <row r="142" spans="2:26" x14ac:dyDescent="0.25">
      <c r="B142" s="152" t="s">
        <v>200</v>
      </c>
      <c r="C142" s="368"/>
      <c r="D142" s="368">
        <v>27</v>
      </c>
      <c r="E142" s="368">
        <v>79</v>
      </c>
      <c r="F142" s="368">
        <v>275</v>
      </c>
      <c r="G142" s="368"/>
      <c r="H142" s="368">
        <v>12</v>
      </c>
      <c r="I142" s="368">
        <v>220</v>
      </c>
      <c r="J142" s="368">
        <v>173</v>
      </c>
      <c r="K142" s="370">
        <v>393</v>
      </c>
      <c r="L142" s="29"/>
      <c r="M142" s="29"/>
      <c r="N142" s="29"/>
      <c r="O142" s="29"/>
      <c r="P142" s="29"/>
      <c r="Q142" s="29"/>
      <c r="R142" s="29"/>
      <c r="S142" s="29"/>
      <c r="T142" s="29"/>
      <c r="U142" s="29"/>
      <c r="V142" s="29"/>
      <c r="W142" s="29"/>
      <c r="X142" s="29"/>
      <c r="Y142" s="29"/>
      <c r="Z142" s="29"/>
    </row>
    <row r="143" spans="2:26" x14ac:dyDescent="0.25">
      <c r="B143" s="152" t="s">
        <v>201</v>
      </c>
      <c r="C143" s="368"/>
      <c r="D143" s="368">
        <v>19</v>
      </c>
      <c r="E143" s="368">
        <v>51</v>
      </c>
      <c r="F143" s="368">
        <v>116</v>
      </c>
      <c r="G143" s="368"/>
      <c r="H143" s="368">
        <v>7</v>
      </c>
      <c r="I143" s="368">
        <v>107</v>
      </c>
      <c r="J143" s="368">
        <v>86</v>
      </c>
      <c r="K143" s="370">
        <v>193</v>
      </c>
      <c r="L143" s="29"/>
      <c r="M143" s="29"/>
      <c r="N143" s="29"/>
      <c r="O143" s="29"/>
      <c r="P143" s="29"/>
      <c r="Q143" s="29"/>
      <c r="R143" s="29"/>
      <c r="S143" s="29"/>
      <c r="T143" s="29"/>
      <c r="U143" s="29"/>
      <c r="V143" s="29"/>
      <c r="W143" s="29"/>
      <c r="X143" s="29"/>
      <c r="Y143" s="29"/>
      <c r="Z143" s="29"/>
    </row>
    <row r="144" spans="2:26" x14ac:dyDescent="0.25">
      <c r="B144" s="152" t="s">
        <v>202</v>
      </c>
      <c r="C144" s="368"/>
      <c r="D144" s="368">
        <v>24</v>
      </c>
      <c r="E144" s="368">
        <v>135</v>
      </c>
      <c r="F144" s="368">
        <v>400</v>
      </c>
      <c r="G144" s="368"/>
      <c r="H144" s="368">
        <v>19</v>
      </c>
      <c r="I144" s="368">
        <v>306</v>
      </c>
      <c r="J144" s="368">
        <v>272</v>
      </c>
      <c r="K144" s="370">
        <v>578</v>
      </c>
      <c r="L144" s="29"/>
      <c r="M144" s="29"/>
      <c r="N144" s="29"/>
      <c r="O144" s="29"/>
      <c r="P144" s="29"/>
      <c r="Q144" s="29"/>
      <c r="R144" s="29"/>
      <c r="S144" s="29"/>
      <c r="T144" s="29"/>
      <c r="U144" s="29"/>
      <c r="V144" s="29"/>
      <c r="W144" s="29"/>
      <c r="X144" s="29"/>
      <c r="Y144" s="29"/>
      <c r="Z144" s="29"/>
    </row>
    <row r="145" spans="2:26" x14ac:dyDescent="0.25">
      <c r="B145" s="152" t="s">
        <v>203</v>
      </c>
      <c r="C145" s="368"/>
      <c r="D145" s="368">
        <v>8</v>
      </c>
      <c r="E145" s="368">
        <v>46</v>
      </c>
      <c r="F145" s="368">
        <v>137</v>
      </c>
      <c r="G145" s="368"/>
      <c r="H145" s="368">
        <v>4</v>
      </c>
      <c r="I145" s="368">
        <v>83</v>
      </c>
      <c r="J145" s="368">
        <v>112</v>
      </c>
      <c r="K145" s="370">
        <v>195</v>
      </c>
      <c r="L145" s="29"/>
      <c r="M145" s="29"/>
      <c r="N145" s="29"/>
      <c r="O145" s="29"/>
      <c r="P145" s="29"/>
      <c r="Q145" s="29"/>
      <c r="R145" s="29"/>
      <c r="S145" s="29"/>
      <c r="T145" s="29"/>
      <c r="U145" s="29"/>
      <c r="V145" s="29"/>
      <c r="W145" s="29"/>
      <c r="X145" s="29"/>
      <c r="Y145" s="29"/>
      <c r="Z145" s="29"/>
    </row>
    <row r="146" spans="2:26" x14ac:dyDescent="0.25">
      <c r="B146" s="152" t="s">
        <v>204</v>
      </c>
      <c r="C146" s="368"/>
      <c r="D146" s="368">
        <v>7</v>
      </c>
      <c r="E146" s="368">
        <v>44</v>
      </c>
      <c r="F146" s="368">
        <v>118</v>
      </c>
      <c r="G146" s="368"/>
      <c r="H146" s="368">
        <v>6</v>
      </c>
      <c r="I146" s="368">
        <v>88</v>
      </c>
      <c r="J146" s="368">
        <v>87</v>
      </c>
      <c r="K146" s="370">
        <v>175</v>
      </c>
      <c r="L146" s="29"/>
      <c r="M146" s="29"/>
      <c r="N146" s="29"/>
      <c r="O146" s="29"/>
      <c r="P146" s="29"/>
      <c r="Q146" s="29"/>
      <c r="R146" s="29"/>
      <c r="S146" s="29"/>
      <c r="T146" s="29"/>
      <c r="U146" s="29"/>
      <c r="V146" s="29"/>
      <c r="W146" s="29"/>
      <c r="X146" s="29"/>
      <c r="Y146" s="29"/>
      <c r="Z146" s="29"/>
    </row>
    <row r="147" spans="2:26" x14ac:dyDescent="0.25">
      <c r="B147" s="152" t="s">
        <v>205</v>
      </c>
      <c r="C147" s="368"/>
      <c r="D147" s="368">
        <v>4</v>
      </c>
      <c r="E147" s="368">
        <v>15</v>
      </c>
      <c r="F147" s="368">
        <v>23</v>
      </c>
      <c r="G147" s="368"/>
      <c r="H147" s="368">
        <v>1</v>
      </c>
      <c r="I147" s="368">
        <v>16</v>
      </c>
      <c r="J147" s="368">
        <v>27</v>
      </c>
      <c r="K147" s="370">
        <v>43</v>
      </c>
      <c r="L147" s="29"/>
      <c r="M147" s="29"/>
      <c r="N147" s="29"/>
      <c r="O147" s="29"/>
      <c r="P147" s="29"/>
      <c r="Q147" s="29"/>
      <c r="R147" s="29"/>
      <c r="S147" s="29"/>
      <c r="T147" s="29"/>
      <c r="U147" s="29"/>
      <c r="V147" s="29"/>
      <c r="W147" s="29"/>
      <c r="X147" s="29"/>
      <c r="Y147" s="29"/>
      <c r="Z147" s="29"/>
    </row>
    <row r="148" spans="2:26" x14ac:dyDescent="0.25">
      <c r="B148" s="152" t="s">
        <v>206</v>
      </c>
      <c r="C148" s="368"/>
      <c r="D148" s="368">
        <v>5</v>
      </c>
      <c r="E148" s="368">
        <v>18</v>
      </c>
      <c r="F148" s="368">
        <v>39</v>
      </c>
      <c r="G148" s="368"/>
      <c r="H148" s="368">
        <v>1</v>
      </c>
      <c r="I148" s="368">
        <v>33</v>
      </c>
      <c r="J148" s="368">
        <v>30</v>
      </c>
      <c r="K148" s="370">
        <v>63</v>
      </c>
      <c r="L148" s="29"/>
      <c r="M148" s="29"/>
      <c r="N148" s="29"/>
      <c r="O148" s="29"/>
      <c r="P148" s="29"/>
      <c r="Q148" s="29"/>
      <c r="R148" s="29"/>
      <c r="S148" s="29"/>
      <c r="T148" s="29"/>
      <c r="U148" s="29"/>
      <c r="V148" s="29"/>
      <c r="W148" s="29"/>
      <c r="X148" s="29"/>
      <c r="Y148" s="29"/>
      <c r="Z148" s="29"/>
    </row>
    <row r="149" spans="2:26" x14ac:dyDescent="0.25">
      <c r="B149" s="152" t="s">
        <v>207</v>
      </c>
      <c r="C149" s="368"/>
      <c r="D149" s="368">
        <v>3</v>
      </c>
      <c r="E149" s="368">
        <v>29</v>
      </c>
      <c r="F149" s="368">
        <v>42</v>
      </c>
      <c r="G149" s="368"/>
      <c r="H149" s="368">
        <v>4</v>
      </c>
      <c r="I149" s="368">
        <v>35</v>
      </c>
      <c r="J149" s="368">
        <v>43</v>
      </c>
      <c r="K149" s="370">
        <v>78</v>
      </c>
      <c r="L149" s="29"/>
      <c r="M149" s="29"/>
      <c r="N149" s="29"/>
      <c r="O149" s="29"/>
      <c r="P149" s="29"/>
      <c r="Q149" s="29"/>
      <c r="R149" s="29"/>
      <c r="S149" s="29"/>
      <c r="T149" s="29"/>
      <c r="U149" s="29"/>
      <c r="V149" s="29"/>
      <c r="W149" s="29"/>
      <c r="X149" s="29"/>
      <c r="Y149" s="29"/>
      <c r="Z149" s="29"/>
    </row>
    <row r="150" spans="2:26" x14ac:dyDescent="0.25">
      <c r="B150" s="152" t="s">
        <v>208</v>
      </c>
      <c r="C150" s="368"/>
      <c r="D150" s="368">
        <v>13</v>
      </c>
      <c r="E150" s="368">
        <v>55</v>
      </c>
      <c r="F150" s="368">
        <v>140</v>
      </c>
      <c r="G150" s="368"/>
      <c r="H150" s="368">
        <v>6</v>
      </c>
      <c r="I150" s="368">
        <v>94</v>
      </c>
      <c r="J150" s="368">
        <v>120</v>
      </c>
      <c r="K150" s="370">
        <v>214</v>
      </c>
      <c r="L150" s="29"/>
      <c r="M150" s="29"/>
      <c r="N150" s="29"/>
      <c r="O150" s="29"/>
      <c r="P150" s="29"/>
      <c r="Q150" s="29"/>
      <c r="R150" s="29"/>
      <c r="S150" s="29"/>
      <c r="T150" s="29"/>
      <c r="U150" s="29"/>
      <c r="V150" s="29"/>
      <c r="W150" s="29"/>
      <c r="X150" s="29"/>
      <c r="Y150" s="29"/>
      <c r="Z150" s="29"/>
    </row>
    <row r="151" spans="2:26" x14ac:dyDescent="0.25">
      <c r="B151" s="152" t="s">
        <v>209</v>
      </c>
      <c r="C151" s="368"/>
      <c r="D151" s="368">
        <v>12</v>
      </c>
      <c r="E151" s="368">
        <v>30</v>
      </c>
      <c r="F151" s="368">
        <v>90</v>
      </c>
      <c r="G151" s="368"/>
      <c r="H151" s="368">
        <v>7</v>
      </c>
      <c r="I151" s="368">
        <v>81</v>
      </c>
      <c r="J151" s="368">
        <v>58</v>
      </c>
      <c r="K151" s="370">
        <v>139</v>
      </c>
      <c r="L151" s="29"/>
      <c r="M151" s="29"/>
      <c r="N151" s="29"/>
      <c r="O151" s="29"/>
      <c r="P151" s="29"/>
      <c r="Q151" s="29"/>
      <c r="R151" s="29"/>
      <c r="S151" s="29"/>
      <c r="T151" s="29"/>
      <c r="U151" s="29"/>
      <c r="V151" s="29"/>
      <c r="W151" s="29"/>
      <c r="X151" s="29"/>
      <c r="Y151" s="29"/>
      <c r="Z151" s="29"/>
    </row>
    <row r="152" spans="2:26" x14ac:dyDescent="0.25">
      <c r="B152" s="152" t="s">
        <v>210</v>
      </c>
      <c r="C152" s="368"/>
      <c r="D152" s="368">
        <v>38</v>
      </c>
      <c r="E152" s="368">
        <v>171</v>
      </c>
      <c r="F152" s="368">
        <v>514</v>
      </c>
      <c r="G152" s="368"/>
      <c r="H152" s="368">
        <v>27</v>
      </c>
      <c r="I152" s="368">
        <v>408</v>
      </c>
      <c r="J152" s="368">
        <v>342</v>
      </c>
      <c r="K152" s="370">
        <v>750</v>
      </c>
      <c r="L152" s="29"/>
      <c r="M152" s="29"/>
      <c r="N152" s="29"/>
      <c r="O152" s="29"/>
      <c r="P152" s="29"/>
      <c r="Q152" s="29"/>
      <c r="R152" s="29"/>
      <c r="S152" s="29"/>
      <c r="T152" s="29"/>
      <c r="U152" s="29"/>
      <c r="V152" s="29"/>
      <c r="W152" s="29"/>
      <c r="X152" s="29"/>
      <c r="Y152" s="29"/>
      <c r="Z152" s="29"/>
    </row>
    <row r="153" spans="2:26" x14ac:dyDescent="0.25">
      <c r="B153" s="152" t="s">
        <v>211</v>
      </c>
      <c r="C153" s="368"/>
      <c r="D153" s="368">
        <v>64</v>
      </c>
      <c r="E153" s="368">
        <v>327</v>
      </c>
      <c r="F153" s="368">
        <v>978</v>
      </c>
      <c r="G153" s="368"/>
      <c r="H153" s="368">
        <v>25</v>
      </c>
      <c r="I153" s="368">
        <v>835</v>
      </c>
      <c r="J153" s="368">
        <v>559</v>
      </c>
      <c r="K153" s="370">
        <v>1394</v>
      </c>
      <c r="L153" s="29"/>
      <c r="M153" s="29"/>
      <c r="N153" s="29"/>
      <c r="O153" s="29"/>
      <c r="P153" s="29"/>
      <c r="Q153" s="29"/>
      <c r="R153" s="29"/>
      <c r="S153" s="29"/>
      <c r="T153" s="29"/>
      <c r="U153" s="29"/>
      <c r="V153" s="29"/>
      <c r="W153" s="29"/>
      <c r="X153" s="29"/>
      <c r="Y153" s="29"/>
      <c r="Z153" s="29"/>
    </row>
    <row r="154" spans="2:26" x14ac:dyDescent="0.25">
      <c r="B154" s="152" t="s">
        <v>212</v>
      </c>
      <c r="C154" s="368"/>
      <c r="D154" s="368">
        <v>16</v>
      </c>
      <c r="E154" s="368">
        <v>80</v>
      </c>
      <c r="F154" s="368">
        <v>182</v>
      </c>
      <c r="G154" s="368"/>
      <c r="H154" s="368">
        <v>9</v>
      </c>
      <c r="I154" s="368">
        <v>136</v>
      </c>
      <c r="J154" s="368">
        <v>151</v>
      </c>
      <c r="K154" s="370">
        <v>287</v>
      </c>
      <c r="L154" s="29"/>
      <c r="M154" s="29"/>
      <c r="N154" s="29"/>
      <c r="O154" s="29"/>
      <c r="P154" s="29"/>
      <c r="Q154" s="29"/>
      <c r="R154" s="29"/>
      <c r="S154" s="29"/>
      <c r="T154" s="29"/>
      <c r="U154" s="29"/>
      <c r="V154" s="29"/>
      <c r="W154" s="29"/>
      <c r="X154" s="29"/>
      <c r="Y154" s="29"/>
      <c r="Z154" s="29"/>
    </row>
    <row r="155" spans="2:26" x14ac:dyDescent="0.25">
      <c r="B155" s="152" t="s">
        <v>213</v>
      </c>
      <c r="C155" s="368"/>
      <c r="D155" s="368">
        <v>5</v>
      </c>
      <c r="E155" s="368">
        <v>18</v>
      </c>
      <c r="F155" s="368">
        <v>32</v>
      </c>
      <c r="G155" s="368"/>
      <c r="H155" s="368">
        <v>3</v>
      </c>
      <c r="I155" s="368">
        <v>29</v>
      </c>
      <c r="J155" s="368">
        <v>29</v>
      </c>
      <c r="K155" s="370">
        <v>58</v>
      </c>
      <c r="L155" s="29"/>
      <c r="M155" s="29"/>
      <c r="N155" s="29"/>
      <c r="O155" s="29"/>
      <c r="P155" s="29"/>
      <c r="Q155" s="29"/>
      <c r="R155" s="29"/>
      <c r="S155" s="29"/>
      <c r="T155" s="29"/>
      <c r="U155" s="29"/>
      <c r="V155" s="29"/>
      <c r="W155" s="29"/>
      <c r="X155" s="29"/>
      <c r="Y155" s="29"/>
      <c r="Z155" s="29"/>
    </row>
    <row r="156" spans="2:26" x14ac:dyDescent="0.25">
      <c r="B156" s="152" t="s">
        <v>214</v>
      </c>
      <c r="C156" s="368"/>
      <c r="D156" s="368">
        <v>57</v>
      </c>
      <c r="E156" s="368">
        <v>209</v>
      </c>
      <c r="F156" s="368">
        <v>539</v>
      </c>
      <c r="G156" s="368"/>
      <c r="H156" s="368">
        <v>34</v>
      </c>
      <c r="I156" s="368">
        <v>433</v>
      </c>
      <c r="J156" s="368">
        <v>406</v>
      </c>
      <c r="K156" s="370">
        <v>839</v>
      </c>
      <c r="L156" s="29"/>
      <c r="M156" s="29"/>
      <c r="N156" s="29"/>
      <c r="O156" s="29"/>
      <c r="P156" s="29"/>
      <c r="Q156" s="29"/>
      <c r="R156" s="29"/>
      <c r="S156" s="29"/>
      <c r="T156" s="29"/>
      <c r="U156" s="29"/>
      <c r="V156" s="29"/>
      <c r="W156" s="29"/>
      <c r="X156" s="29"/>
      <c r="Y156" s="29"/>
      <c r="Z156" s="29"/>
    </row>
    <row r="157" spans="2:26" x14ac:dyDescent="0.25">
      <c r="B157" s="152" t="s">
        <v>215</v>
      </c>
      <c r="C157" s="368"/>
      <c r="D157" s="368">
        <v>6</v>
      </c>
      <c r="E157" s="368">
        <v>38</v>
      </c>
      <c r="F157" s="368">
        <v>101</v>
      </c>
      <c r="G157" s="368"/>
      <c r="H157" s="368">
        <v>7</v>
      </c>
      <c r="I157" s="368">
        <v>83</v>
      </c>
      <c r="J157" s="368">
        <v>69</v>
      </c>
      <c r="K157" s="370">
        <v>152</v>
      </c>
      <c r="L157" s="29"/>
      <c r="M157" s="29"/>
      <c r="N157" s="29"/>
      <c r="O157" s="29"/>
      <c r="P157" s="29"/>
      <c r="Q157" s="29"/>
      <c r="R157" s="29"/>
      <c r="S157" s="29"/>
      <c r="T157" s="29"/>
      <c r="U157" s="29"/>
      <c r="V157" s="29"/>
      <c r="W157" s="29"/>
      <c r="X157" s="29"/>
      <c r="Y157" s="29"/>
      <c r="Z157" s="29"/>
    </row>
    <row r="158" spans="2:26" x14ac:dyDescent="0.25">
      <c r="B158" s="152" t="s">
        <v>216</v>
      </c>
      <c r="C158" s="368"/>
      <c r="D158" s="368">
        <v>35</v>
      </c>
      <c r="E158" s="368">
        <v>139</v>
      </c>
      <c r="F158" s="368">
        <v>360</v>
      </c>
      <c r="G158" s="368"/>
      <c r="H158" s="368">
        <v>28</v>
      </c>
      <c r="I158" s="368">
        <v>289</v>
      </c>
      <c r="J158" s="368">
        <v>273</v>
      </c>
      <c r="K158" s="370">
        <v>562</v>
      </c>
      <c r="L158" s="29"/>
      <c r="M158" s="29"/>
      <c r="N158" s="29"/>
      <c r="O158" s="29"/>
      <c r="P158" s="29"/>
      <c r="Q158" s="29"/>
      <c r="R158" s="29"/>
      <c r="S158" s="29"/>
      <c r="T158" s="29"/>
      <c r="U158" s="29"/>
      <c r="V158" s="29"/>
      <c r="W158" s="29"/>
      <c r="X158" s="29"/>
      <c r="Y158" s="29"/>
      <c r="Z158" s="29"/>
    </row>
    <row r="159" spans="2:26" x14ac:dyDescent="0.25">
      <c r="B159" s="152" t="s">
        <v>217</v>
      </c>
      <c r="C159" s="368"/>
      <c r="D159" s="368">
        <v>6</v>
      </c>
      <c r="E159" s="368">
        <v>28</v>
      </c>
      <c r="F159" s="368">
        <v>53</v>
      </c>
      <c r="G159" s="368"/>
      <c r="H159" s="368">
        <v>8</v>
      </c>
      <c r="I159" s="368">
        <v>42</v>
      </c>
      <c r="J159" s="368">
        <v>53</v>
      </c>
      <c r="K159" s="370">
        <v>95</v>
      </c>
      <c r="L159" s="29"/>
      <c r="M159" s="29"/>
      <c r="N159" s="29"/>
      <c r="O159" s="29"/>
      <c r="P159" s="29"/>
      <c r="Q159" s="29"/>
      <c r="R159" s="29"/>
      <c r="S159" s="29"/>
      <c r="T159" s="29"/>
      <c r="U159" s="29"/>
      <c r="V159" s="29"/>
      <c r="W159" s="29"/>
      <c r="X159" s="29"/>
      <c r="Y159" s="29"/>
      <c r="Z159" s="29"/>
    </row>
    <row r="160" spans="2:26" x14ac:dyDescent="0.25">
      <c r="B160" s="152" t="s">
        <v>218</v>
      </c>
      <c r="C160" s="368"/>
      <c r="D160" s="368">
        <v>4</v>
      </c>
      <c r="E160" s="368">
        <v>46</v>
      </c>
      <c r="F160" s="368">
        <v>104</v>
      </c>
      <c r="G160" s="368"/>
      <c r="H160" s="368">
        <v>4</v>
      </c>
      <c r="I160" s="368">
        <v>84</v>
      </c>
      <c r="J160" s="368">
        <v>74</v>
      </c>
      <c r="K160" s="370">
        <v>158</v>
      </c>
      <c r="L160" s="29"/>
      <c r="M160" s="29"/>
      <c r="N160" s="29"/>
      <c r="O160" s="29"/>
      <c r="P160" s="29"/>
      <c r="Q160" s="29"/>
      <c r="R160" s="29"/>
      <c r="S160" s="29"/>
      <c r="T160" s="29"/>
      <c r="U160" s="29"/>
      <c r="V160" s="29"/>
      <c r="W160" s="29"/>
      <c r="X160" s="29"/>
      <c r="Y160" s="29"/>
      <c r="Z160" s="29"/>
    </row>
    <row r="161" spans="2:26" x14ac:dyDescent="0.25">
      <c r="B161" s="152" t="s">
        <v>219</v>
      </c>
      <c r="C161" s="368"/>
      <c r="D161" s="368">
        <v>122</v>
      </c>
      <c r="E161" s="368">
        <v>611</v>
      </c>
      <c r="F161" s="368">
        <v>1619</v>
      </c>
      <c r="G161" s="368"/>
      <c r="H161" s="368">
        <v>97</v>
      </c>
      <c r="I161" s="368">
        <v>1300</v>
      </c>
      <c r="J161" s="368">
        <v>1149</v>
      </c>
      <c r="K161" s="370">
        <v>2449</v>
      </c>
      <c r="L161" s="29"/>
      <c r="M161" s="29"/>
      <c r="N161" s="29"/>
      <c r="O161" s="29"/>
      <c r="P161" s="29"/>
      <c r="Q161" s="29"/>
      <c r="R161" s="29"/>
      <c r="S161" s="29"/>
      <c r="T161" s="29"/>
      <c r="U161" s="29"/>
      <c r="V161" s="29"/>
      <c r="W161" s="29"/>
      <c r="X161" s="29"/>
      <c r="Y161" s="29"/>
      <c r="Z161" s="29"/>
    </row>
    <row r="162" spans="2:26" x14ac:dyDescent="0.25">
      <c r="B162" s="152" t="s">
        <v>220</v>
      </c>
      <c r="C162" s="368"/>
      <c r="D162" s="368">
        <v>67</v>
      </c>
      <c r="E162" s="368">
        <v>279</v>
      </c>
      <c r="F162" s="368">
        <v>760</v>
      </c>
      <c r="G162" s="368"/>
      <c r="H162" s="368">
        <v>32</v>
      </c>
      <c r="I162" s="368">
        <v>651</v>
      </c>
      <c r="J162" s="368">
        <v>487</v>
      </c>
      <c r="K162" s="370">
        <v>1138</v>
      </c>
      <c r="L162" s="29"/>
      <c r="M162" s="29"/>
      <c r="N162" s="29"/>
      <c r="O162" s="29"/>
      <c r="P162" s="29"/>
      <c r="Q162" s="29"/>
      <c r="R162" s="29"/>
      <c r="S162" s="29"/>
      <c r="T162" s="29"/>
      <c r="U162" s="29"/>
      <c r="V162" s="29"/>
      <c r="W162" s="29"/>
      <c r="X162" s="29"/>
      <c r="Y162" s="29"/>
      <c r="Z162" s="29"/>
    </row>
    <row r="163" spans="2:26" x14ac:dyDescent="0.25">
      <c r="B163" s="174" t="s">
        <v>508</v>
      </c>
      <c r="C163" s="380"/>
      <c r="D163" s="380">
        <v>119</v>
      </c>
      <c r="E163" s="380">
        <v>670</v>
      </c>
      <c r="F163" s="380">
        <v>2370</v>
      </c>
      <c r="G163" s="380"/>
      <c r="H163" s="380">
        <v>70</v>
      </c>
      <c r="I163" s="380">
        <v>1910</v>
      </c>
      <c r="J163" s="380">
        <v>1319</v>
      </c>
      <c r="K163" s="381">
        <v>3229</v>
      </c>
      <c r="L163" s="29"/>
      <c r="M163" s="29"/>
      <c r="N163" s="29"/>
      <c r="O163" s="29"/>
      <c r="P163" s="29"/>
      <c r="Q163" s="29"/>
      <c r="R163" s="29"/>
      <c r="S163" s="29"/>
      <c r="T163" s="29"/>
      <c r="U163" s="29"/>
      <c r="V163" s="29"/>
      <c r="W163" s="29"/>
      <c r="X163" s="29"/>
      <c r="Y163" s="29"/>
      <c r="Z163" s="29"/>
    </row>
    <row r="164" spans="2:26" x14ac:dyDescent="0.25">
      <c r="B164" s="177" t="s">
        <v>221</v>
      </c>
      <c r="C164" s="378"/>
      <c r="D164" s="378">
        <v>3</v>
      </c>
      <c r="E164" s="378">
        <v>20</v>
      </c>
      <c r="F164" s="378">
        <v>52</v>
      </c>
      <c r="G164" s="378"/>
      <c r="H164" s="378">
        <v>2</v>
      </c>
      <c r="I164" s="378">
        <v>32</v>
      </c>
      <c r="J164" s="378">
        <v>45</v>
      </c>
      <c r="K164" s="359">
        <v>77</v>
      </c>
      <c r="L164" s="29"/>
      <c r="M164" s="29"/>
      <c r="N164" s="29"/>
      <c r="O164" s="29"/>
      <c r="P164" s="29"/>
      <c r="Q164" s="29"/>
      <c r="R164" s="29"/>
      <c r="S164" s="29"/>
      <c r="T164" s="29"/>
      <c r="U164" s="29"/>
      <c r="V164" s="29"/>
      <c r="W164" s="29"/>
      <c r="X164" s="29"/>
      <c r="Y164" s="29"/>
      <c r="Z164" s="29"/>
    </row>
    <row r="165" spans="2:26" x14ac:dyDescent="0.25">
      <c r="B165" s="289" t="s">
        <v>36</v>
      </c>
      <c r="C165" s="359"/>
      <c r="D165" s="359">
        <v>836</v>
      </c>
      <c r="E165" s="359">
        <v>3834</v>
      </c>
      <c r="F165" s="359">
        <v>10880</v>
      </c>
      <c r="G165" s="359"/>
      <c r="H165" s="359">
        <v>493</v>
      </c>
      <c r="I165" s="359">
        <v>8670</v>
      </c>
      <c r="J165" s="334">
        <v>7373</v>
      </c>
      <c r="K165" s="334">
        <v>16043</v>
      </c>
      <c r="L165" s="29"/>
      <c r="M165" s="29"/>
      <c r="N165" s="29"/>
      <c r="O165" s="29"/>
      <c r="P165" s="29"/>
      <c r="Q165" s="29"/>
      <c r="R165" s="29"/>
      <c r="S165" s="29"/>
      <c r="T165" s="29"/>
      <c r="U165" s="29"/>
      <c r="V165" s="29"/>
      <c r="W165" s="29"/>
      <c r="X165" s="29"/>
      <c r="Y165" s="29"/>
      <c r="Z165" s="29"/>
    </row>
    <row r="166" spans="2:26" ht="31.5" customHeight="1" x14ac:dyDescent="0.25">
      <c r="B166" s="504" t="s">
        <v>898</v>
      </c>
      <c r="C166" s="504"/>
      <c r="D166" s="504"/>
      <c r="E166" s="504"/>
      <c r="F166" s="504"/>
      <c r="G166" s="504"/>
      <c r="H166" s="504"/>
      <c r="I166" s="504"/>
      <c r="J166" s="504"/>
      <c r="K166" s="504"/>
      <c r="L166" s="29"/>
      <c r="M166" s="29"/>
      <c r="N166" s="29"/>
      <c r="O166" s="29"/>
      <c r="P166" s="29"/>
      <c r="Q166" s="29"/>
      <c r="R166" s="29"/>
      <c r="S166" s="29"/>
      <c r="T166" s="29"/>
      <c r="U166" s="29"/>
      <c r="V166" s="29"/>
      <c r="W166" s="29"/>
      <c r="X166" s="29"/>
      <c r="Y166" s="29"/>
    </row>
    <row r="167" spans="2:26" x14ac:dyDescent="0.25">
      <c r="B167" s="176"/>
      <c r="C167" s="176"/>
      <c r="D167" s="176"/>
      <c r="E167" s="176"/>
      <c r="F167" s="176"/>
      <c r="G167" s="176"/>
      <c r="H167" s="176"/>
      <c r="I167"/>
      <c r="J167" s="29"/>
      <c r="K167" s="29"/>
      <c r="L167" s="29"/>
      <c r="M167" s="29"/>
      <c r="N167" s="29"/>
      <c r="O167" s="29"/>
      <c r="P167" s="29"/>
      <c r="Q167" s="29"/>
      <c r="R167" s="29"/>
      <c r="S167" s="29"/>
      <c r="T167" s="29"/>
      <c r="U167" s="29"/>
      <c r="V167" s="29"/>
      <c r="W167" s="29"/>
      <c r="X167" s="29"/>
      <c r="Y167" s="29"/>
    </row>
    <row r="168" spans="2:26" x14ac:dyDescent="0.25">
      <c r="B168" s="205" t="s">
        <v>526</v>
      </c>
      <c r="C168"/>
      <c r="D168"/>
      <c r="E168"/>
      <c r="F168"/>
      <c r="G168"/>
      <c r="H168"/>
      <c r="I168"/>
      <c r="J168" s="29"/>
      <c r="K168" s="29"/>
      <c r="L168" s="29"/>
      <c r="M168" s="29"/>
      <c r="N168" s="29"/>
      <c r="O168" s="29"/>
      <c r="P168" s="29"/>
      <c r="Q168" s="29"/>
      <c r="R168" s="29"/>
      <c r="S168" s="29"/>
      <c r="T168" s="29"/>
      <c r="U168" s="29"/>
      <c r="V168" s="29"/>
      <c r="W168" s="29"/>
      <c r="X168" s="29"/>
      <c r="Y168" s="29"/>
    </row>
    <row r="169" spans="2:26" x14ac:dyDescent="0.25">
      <c r="B169" s="205"/>
      <c r="C169"/>
      <c r="D169"/>
      <c r="E169"/>
      <c r="F169"/>
      <c r="G169"/>
      <c r="H169"/>
      <c r="I169"/>
      <c r="J169" s="29"/>
      <c r="K169" s="29"/>
      <c r="L169" s="29"/>
      <c r="M169" s="29"/>
      <c r="N169" s="29"/>
      <c r="O169" s="29"/>
      <c r="P169" s="29"/>
      <c r="Q169" s="29"/>
      <c r="R169" s="29"/>
      <c r="S169" s="29"/>
      <c r="T169" s="29"/>
      <c r="U169" s="29"/>
      <c r="V169" s="29"/>
      <c r="W169" s="29"/>
      <c r="X169" s="29"/>
      <c r="Y169" s="29"/>
    </row>
    <row r="170" spans="2:26" ht="15" customHeight="1" x14ac:dyDescent="0.25">
      <c r="B170" s="176"/>
      <c r="C170" s="488" t="s">
        <v>538</v>
      </c>
      <c r="D170" s="488"/>
      <c r="E170" s="488"/>
      <c r="F170" s="488"/>
      <c r="G170" s="488"/>
      <c r="H170" s="488"/>
      <c r="I170" s="484" t="s">
        <v>539</v>
      </c>
      <c r="J170" s="484"/>
      <c r="K170" s="492" t="s">
        <v>36</v>
      </c>
      <c r="L170" s="29"/>
      <c r="M170" s="29"/>
      <c r="N170" s="29"/>
      <c r="O170" s="29"/>
      <c r="P170" s="29"/>
      <c r="Q170" s="29"/>
      <c r="R170" s="29"/>
      <c r="S170" s="29"/>
      <c r="T170" s="29"/>
      <c r="U170" s="29"/>
      <c r="V170" s="29"/>
      <c r="W170" s="29"/>
      <c r="X170" s="29"/>
      <c r="Y170" s="29"/>
    </row>
    <row r="171" spans="2:26" ht="30" x14ac:dyDescent="0.25">
      <c r="B171" s="178" t="s">
        <v>548</v>
      </c>
      <c r="C171" s="179" t="s">
        <v>3</v>
      </c>
      <c r="D171" s="179" t="s">
        <v>4</v>
      </c>
      <c r="E171" s="179" t="s">
        <v>714</v>
      </c>
      <c r="F171" s="179" t="s">
        <v>501</v>
      </c>
      <c r="G171" s="179" t="s">
        <v>5</v>
      </c>
      <c r="H171" s="179" t="s">
        <v>6</v>
      </c>
      <c r="I171" s="179" t="s">
        <v>87</v>
      </c>
      <c r="J171" s="179" t="s">
        <v>88</v>
      </c>
      <c r="K171" s="492"/>
      <c r="L171" s="29"/>
      <c r="M171" s="29"/>
      <c r="N171" s="29"/>
      <c r="O171" s="29"/>
      <c r="P171" s="29"/>
      <c r="Q171" s="29"/>
      <c r="R171" s="29"/>
      <c r="S171" s="29"/>
      <c r="T171" s="29"/>
      <c r="U171" s="29"/>
      <c r="V171" s="29"/>
      <c r="W171" s="29"/>
      <c r="X171" s="29"/>
      <c r="Y171" s="29"/>
    </row>
    <row r="172" spans="2:26" x14ac:dyDescent="0.25">
      <c r="B172" s="175" t="s">
        <v>222</v>
      </c>
      <c r="C172" s="379"/>
      <c r="D172" s="379">
        <v>10</v>
      </c>
      <c r="E172" s="379">
        <v>41</v>
      </c>
      <c r="F172" s="379">
        <v>76</v>
      </c>
      <c r="G172" s="379"/>
      <c r="H172" s="379">
        <v>5</v>
      </c>
      <c r="I172" s="379">
        <v>60</v>
      </c>
      <c r="J172" s="379">
        <v>72</v>
      </c>
      <c r="K172" s="369">
        <v>132</v>
      </c>
      <c r="L172" s="29"/>
      <c r="M172" s="29"/>
      <c r="N172" s="29"/>
      <c r="O172" s="29"/>
      <c r="P172" s="29"/>
      <c r="Q172" s="29"/>
      <c r="R172" s="29"/>
      <c r="S172" s="29"/>
      <c r="T172" s="29"/>
      <c r="U172" s="29"/>
      <c r="V172" s="29"/>
      <c r="W172" s="29"/>
      <c r="X172" s="29"/>
      <c r="Y172" s="29"/>
      <c r="Z172" s="29"/>
    </row>
    <row r="173" spans="2:26" x14ac:dyDescent="0.25">
      <c r="B173" s="152" t="s">
        <v>223</v>
      </c>
      <c r="C173" s="368"/>
      <c r="D173" s="368">
        <v>24</v>
      </c>
      <c r="E173" s="368">
        <v>78</v>
      </c>
      <c r="F173" s="368">
        <v>165</v>
      </c>
      <c r="G173" s="368"/>
      <c r="H173" s="368">
        <v>8</v>
      </c>
      <c r="I173" s="368">
        <v>148</v>
      </c>
      <c r="J173" s="368">
        <v>127</v>
      </c>
      <c r="K173" s="370">
        <v>275</v>
      </c>
      <c r="L173" s="29"/>
      <c r="M173" s="29"/>
      <c r="N173" s="29"/>
      <c r="O173" s="29"/>
      <c r="P173" s="29"/>
      <c r="Q173" s="29"/>
      <c r="R173" s="29"/>
      <c r="S173" s="29"/>
      <c r="T173" s="29"/>
      <c r="U173" s="29"/>
      <c r="V173" s="29"/>
      <c r="W173" s="29"/>
      <c r="X173" s="29"/>
      <c r="Y173" s="29"/>
      <c r="Z173" s="29"/>
    </row>
    <row r="174" spans="2:26" x14ac:dyDescent="0.25">
      <c r="B174" s="152" t="s">
        <v>224</v>
      </c>
      <c r="C174" s="368"/>
      <c r="D174" s="368">
        <v>10</v>
      </c>
      <c r="E174" s="368">
        <v>30</v>
      </c>
      <c r="F174" s="368">
        <v>62</v>
      </c>
      <c r="G174" s="368"/>
      <c r="H174" s="368">
        <v>8</v>
      </c>
      <c r="I174" s="368">
        <v>60</v>
      </c>
      <c r="J174" s="368">
        <v>50</v>
      </c>
      <c r="K174" s="370">
        <v>110</v>
      </c>
      <c r="L174" s="29"/>
      <c r="M174" s="29"/>
      <c r="N174" s="29"/>
      <c r="O174" s="29"/>
      <c r="P174" s="29"/>
      <c r="Q174" s="29"/>
      <c r="R174" s="29"/>
      <c r="S174" s="29"/>
      <c r="T174" s="29"/>
      <c r="U174" s="29"/>
      <c r="V174" s="29"/>
      <c r="W174" s="29"/>
      <c r="X174" s="29"/>
      <c r="Y174" s="29"/>
      <c r="Z174" s="29"/>
    </row>
    <row r="175" spans="2:26" x14ac:dyDescent="0.25">
      <c r="B175" s="152" t="s">
        <v>225</v>
      </c>
      <c r="C175" s="368"/>
      <c r="D175" s="368">
        <v>5</v>
      </c>
      <c r="E175" s="368">
        <v>10</v>
      </c>
      <c r="F175" s="368">
        <v>38</v>
      </c>
      <c r="G175" s="368"/>
      <c r="H175" s="368">
        <v>1</v>
      </c>
      <c r="I175" s="368">
        <v>28</v>
      </c>
      <c r="J175" s="368">
        <v>26</v>
      </c>
      <c r="K175" s="370">
        <v>54</v>
      </c>
      <c r="L175" s="29"/>
      <c r="M175" s="29"/>
      <c r="N175" s="29"/>
      <c r="O175" s="29"/>
      <c r="P175" s="29"/>
      <c r="Q175" s="29"/>
      <c r="R175" s="29"/>
      <c r="S175" s="29"/>
      <c r="T175" s="29"/>
      <c r="U175" s="29"/>
      <c r="V175" s="29"/>
      <c r="W175" s="29"/>
      <c r="X175" s="29"/>
      <c r="Y175" s="29"/>
      <c r="Z175" s="29"/>
    </row>
    <row r="176" spans="2:26" x14ac:dyDescent="0.25">
      <c r="B176" s="152" t="s">
        <v>226</v>
      </c>
      <c r="C176" s="368"/>
      <c r="D176" s="368">
        <v>8</v>
      </c>
      <c r="E176" s="368">
        <v>40</v>
      </c>
      <c r="F176" s="368">
        <v>98</v>
      </c>
      <c r="G176" s="368"/>
      <c r="H176" s="368">
        <v>8</v>
      </c>
      <c r="I176" s="368">
        <v>64</v>
      </c>
      <c r="J176" s="368">
        <v>90</v>
      </c>
      <c r="K176" s="370">
        <v>154</v>
      </c>
      <c r="L176" s="29"/>
      <c r="M176" s="29"/>
      <c r="N176" s="29"/>
      <c r="O176" s="29"/>
      <c r="P176" s="29"/>
      <c r="Q176" s="29"/>
      <c r="R176" s="29"/>
      <c r="S176" s="29"/>
      <c r="T176" s="29"/>
      <c r="U176" s="29"/>
      <c r="V176" s="29"/>
      <c r="W176" s="29"/>
      <c r="X176" s="29"/>
      <c r="Y176" s="29"/>
      <c r="Z176" s="29"/>
    </row>
    <row r="177" spans="2:26" x14ac:dyDescent="0.25">
      <c r="B177" s="152" t="s">
        <v>509</v>
      </c>
      <c r="C177" s="368"/>
      <c r="D177" s="368">
        <v>12</v>
      </c>
      <c r="E177" s="368">
        <v>27</v>
      </c>
      <c r="F177" s="368">
        <v>104</v>
      </c>
      <c r="G177" s="368"/>
      <c r="H177" s="368">
        <v>9</v>
      </c>
      <c r="I177" s="368">
        <v>82</v>
      </c>
      <c r="J177" s="368">
        <v>70</v>
      </c>
      <c r="K177" s="370">
        <v>152</v>
      </c>
      <c r="L177" s="29"/>
      <c r="M177" s="29"/>
      <c r="N177" s="29"/>
      <c r="O177" s="29"/>
      <c r="P177" s="29"/>
      <c r="Q177" s="29"/>
      <c r="R177" s="29"/>
      <c r="S177" s="29"/>
      <c r="T177" s="29"/>
      <c r="U177" s="29"/>
      <c r="V177" s="29"/>
      <c r="W177" s="29"/>
      <c r="X177" s="29"/>
      <c r="Y177" s="29"/>
      <c r="Z177" s="29"/>
    </row>
    <row r="178" spans="2:26" x14ac:dyDescent="0.25">
      <c r="B178" s="152" t="s">
        <v>227</v>
      </c>
      <c r="C178" s="368"/>
      <c r="D178" s="368">
        <v>8</v>
      </c>
      <c r="E178" s="368">
        <v>59</v>
      </c>
      <c r="F178" s="368">
        <v>134</v>
      </c>
      <c r="G178" s="368"/>
      <c r="H178" s="368">
        <v>10</v>
      </c>
      <c r="I178" s="368">
        <v>86</v>
      </c>
      <c r="J178" s="368">
        <v>125</v>
      </c>
      <c r="K178" s="370">
        <v>211</v>
      </c>
      <c r="L178" s="29"/>
      <c r="M178" s="29"/>
      <c r="N178" s="29"/>
      <c r="O178" s="29"/>
      <c r="P178" s="29"/>
      <c r="Q178" s="29"/>
      <c r="R178" s="29"/>
      <c r="S178" s="29"/>
      <c r="T178" s="29"/>
      <c r="U178" s="29"/>
      <c r="V178" s="29"/>
      <c r="W178" s="29"/>
      <c r="X178" s="29"/>
      <c r="Y178" s="29"/>
      <c r="Z178" s="29"/>
    </row>
    <row r="179" spans="2:26" x14ac:dyDescent="0.25">
      <c r="B179" s="152" t="s">
        <v>228</v>
      </c>
      <c r="C179" s="368"/>
      <c r="D179" s="368">
        <v>2</v>
      </c>
      <c r="E179" s="368">
        <v>10</v>
      </c>
      <c r="F179" s="368">
        <v>32</v>
      </c>
      <c r="G179" s="368"/>
      <c r="H179" s="368">
        <v>2</v>
      </c>
      <c r="I179" s="368">
        <v>17</v>
      </c>
      <c r="J179" s="368">
        <v>29</v>
      </c>
      <c r="K179" s="370">
        <v>46</v>
      </c>
      <c r="L179" s="29"/>
      <c r="M179" s="29"/>
      <c r="N179" s="29"/>
      <c r="O179" s="29"/>
      <c r="P179" s="29"/>
      <c r="Q179" s="29"/>
      <c r="R179" s="29"/>
      <c r="S179" s="29"/>
      <c r="T179" s="29"/>
      <c r="U179" s="29"/>
      <c r="V179" s="29"/>
      <c r="W179" s="29"/>
      <c r="X179" s="29"/>
      <c r="Y179" s="29"/>
      <c r="Z179" s="29"/>
    </row>
    <row r="180" spans="2:26" x14ac:dyDescent="0.25">
      <c r="B180" s="152" t="s">
        <v>229</v>
      </c>
      <c r="C180" s="368"/>
      <c r="D180" s="368">
        <v>34</v>
      </c>
      <c r="E180" s="368">
        <v>45</v>
      </c>
      <c r="F180" s="368">
        <v>104</v>
      </c>
      <c r="G180" s="368"/>
      <c r="H180" s="368">
        <v>13</v>
      </c>
      <c r="I180" s="368">
        <v>91</v>
      </c>
      <c r="J180" s="368">
        <v>105</v>
      </c>
      <c r="K180" s="370">
        <v>196</v>
      </c>
      <c r="L180" s="29"/>
      <c r="M180" s="29"/>
      <c r="N180" s="29"/>
      <c r="O180" s="29"/>
      <c r="P180" s="29"/>
      <c r="Q180" s="29"/>
      <c r="R180" s="29"/>
      <c r="S180" s="29"/>
      <c r="T180" s="29"/>
      <c r="U180" s="29"/>
      <c r="V180" s="29"/>
      <c r="W180" s="29"/>
      <c r="X180" s="29"/>
      <c r="Y180" s="29"/>
      <c r="Z180" s="29"/>
    </row>
    <row r="181" spans="2:26" x14ac:dyDescent="0.25">
      <c r="B181" s="152" t="s">
        <v>230</v>
      </c>
      <c r="C181" s="368"/>
      <c r="D181" s="368">
        <v>1</v>
      </c>
      <c r="E181" s="368">
        <v>18</v>
      </c>
      <c r="F181" s="368">
        <v>54</v>
      </c>
      <c r="G181" s="368"/>
      <c r="H181" s="368">
        <v>0</v>
      </c>
      <c r="I181" s="368">
        <v>35</v>
      </c>
      <c r="J181" s="368">
        <v>38</v>
      </c>
      <c r="K181" s="370">
        <v>73</v>
      </c>
      <c r="L181" s="29"/>
      <c r="M181" s="29"/>
      <c r="N181" s="29"/>
      <c r="O181" s="29"/>
      <c r="P181" s="29"/>
      <c r="Q181" s="29"/>
      <c r="R181" s="29"/>
      <c r="S181" s="29"/>
      <c r="T181" s="29"/>
      <c r="U181" s="29"/>
      <c r="V181" s="29"/>
      <c r="W181" s="29"/>
      <c r="X181" s="29"/>
      <c r="Y181" s="29"/>
      <c r="Z181" s="29"/>
    </row>
    <row r="182" spans="2:26" x14ac:dyDescent="0.25">
      <c r="B182" s="152" t="s">
        <v>231</v>
      </c>
      <c r="C182" s="368"/>
      <c r="D182" s="368">
        <v>6</v>
      </c>
      <c r="E182" s="368">
        <v>17</v>
      </c>
      <c r="F182" s="368">
        <v>33</v>
      </c>
      <c r="G182" s="368"/>
      <c r="H182" s="368">
        <v>1</v>
      </c>
      <c r="I182" s="368">
        <v>30</v>
      </c>
      <c r="J182" s="368">
        <v>27</v>
      </c>
      <c r="K182" s="370">
        <v>57</v>
      </c>
      <c r="L182" s="29"/>
      <c r="M182" s="29"/>
      <c r="N182" s="29"/>
      <c r="O182" s="29"/>
      <c r="P182" s="29"/>
      <c r="Q182" s="29"/>
      <c r="R182" s="29"/>
      <c r="S182" s="29"/>
      <c r="T182" s="29"/>
      <c r="U182" s="29"/>
      <c r="V182" s="29"/>
      <c r="W182" s="29"/>
      <c r="X182" s="29"/>
      <c r="Y182" s="29"/>
      <c r="Z182" s="29"/>
    </row>
    <row r="183" spans="2:26" x14ac:dyDescent="0.25">
      <c r="B183" s="152" t="s">
        <v>232</v>
      </c>
      <c r="C183" s="368"/>
      <c r="D183" s="368">
        <v>16</v>
      </c>
      <c r="E183" s="368">
        <v>105</v>
      </c>
      <c r="F183" s="368">
        <v>280</v>
      </c>
      <c r="G183" s="368"/>
      <c r="H183" s="368">
        <v>4</v>
      </c>
      <c r="I183" s="368">
        <v>215</v>
      </c>
      <c r="J183" s="368">
        <v>190</v>
      </c>
      <c r="K183" s="370">
        <v>405</v>
      </c>
      <c r="L183" s="29"/>
      <c r="M183" s="29"/>
      <c r="N183" s="29"/>
      <c r="O183" s="29"/>
      <c r="P183" s="29"/>
      <c r="Q183" s="29"/>
      <c r="R183" s="29"/>
      <c r="S183" s="29"/>
      <c r="T183" s="29"/>
      <c r="U183" s="29"/>
      <c r="V183" s="29"/>
      <c r="W183" s="29"/>
      <c r="X183" s="29"/>
      <c r="Y183" s="29"/>
      <c r="Z183" s="29"/>
    </row>
    <row r="184" spans="2:26" x14ac:dyDescent="0.25">
      <c r="B184" s="152" t="s">
        <v>233</v>
      </c>
      <c r="C184" s="368"/>
      <c r="D184" s="368">
        <v>7</v>
      </c>
      <c r="E184" s="368">
        <v>23</v>
      </c>
      <c r="F184" s="368">
        <v>54</v>
      </c>
      <c r="G184" s="368"/>
      <c r="H184" s="368">
        <v>4</v>
      </c>
      <c r="I184" s="368">
        <v>35</v>
      </c>
      <c r="J184" s="368">
        <v>53</v>
      </c>
      <c r="K184" s="370">
        <v>88</v>
      </c>
      <c r="L184" s="29"/>
      <c r="M184" s="29"/>
      <c r="N184" s="29"/>
      <c r="O184" s="29"/>
      <c r="P184" s="29"/>
      <c r="Q184" s="29"/>
      <c r="R184" s="29"/>
      <c r="S184" s="29"/>
      <c r="T184" s="29"/>
      <c r="U184" s="29"/>
      <c r="V184" s="29"/>
      <c r="W184" s="29"/>
      <c r="X184" s="29"/>
      <c r="Y184" s="29"/>
      <c r="Z184" s="29"/>
    </row>
    <row r="185" spans="2:26" x14ac:dyDescent="0.25">
      <c r="B185" s="152" t="s">
        <v>234</v>
      </c>
      <c r="C185" s="368"/>
      <c r="D185" s="368">
        <v>2</v>
      </c>
      <c r="E185" s="368">
        <v>15</v>
      </c>
      <c r="F185" s="368">
        <v>38</v>
      </c>
      <c r="G185" s="368"/>
      <c r="H185" s="368">
        <v>4</v>
      </c>
      <c r="I185" s="368">
        <v>26</v>
      </c>
      <c r="J185" s="368">
        <v>33</v>
      </c>
      <c r="K185" s="370">
        <v>59</v>
      </c>
      <c r="L185" s="29"/>
      <c r="M185" s="29"/>
      <c r="N185" s="29"/>
      <c r="O185" s="29"/>
      <c r="P185" s="29"/>
      <c r="Q185" s="29"/>
      <c r="R185" s="29"/>
      <c r="S185" s="29"/>
      <c r="T185" s="29"/>
      <c r="U185" s="29"/>
      <c r="V185" s="29"/>
      <c r="W185" s="29"/>
      <c r="X185" s="29"/>
      <c r="Y185" s="29"/>
      <c r="Z185" s="29"/>
    </row>
    <row r="186" spans="2:26" x14ac:dyDescent="0.25">
      <c r="B186" s="152" t="s">
        <v>235</v>
      </c>
      <c r="C186" s="368"/>
      <c r="D186" s="368">
        <v>14</v>
      </c>
      <c r="E186" s="368">
        <v>33</v>
      </c>
      <c r="F186" s="368">
        <v>125</v>
      </c>
      <c r="G186" s="368"/>
      <c r="H186" s="368">
        <v>11</v>
      </c>
      <c r="I186" s="368">
        <v>95</v>
      </c>
      <c r="J186" s="368">
        <v>88</v>
      </c>
      <c r="K186" s="370">
        <v>183</v>
      </c>
      <c r="L186" s="29"/>
      <c r="M186" s="29"/>
      <c r="N186" s="29"/>
      <c r="O186" s="29"/>
      <c r="P186" s="29"/>
      <c r="Q186" s="29"/>
      <c r="R186" s="29"/>
      <c r="S186" s="29"/>
      <c r="T186" s="29"/>
      <c r="U186" s="29"/>
      <c r="V186" s="29"/>
      <c r="W186" s="29"/>
      <c r="X186" s="29"/>
      <c r="Y186" s="29"/>
      <c r="Z186" s="29"/>
    </row>
    <row r="187" spans="2:26" x14ac:dyDescent="0.25">
      <c r="B187" s="152" t="s">
        <v>236</v>
      </c>
      <c r="C187" s="368"/>
      <c r="D187" s="368">
        <v>13</v>
      </c>
      <c r="E187" s="368">
        <v>30</v>
      </c>
      <c r="F187" s="368">
        <v>83</v>
      </c>
      <c r="G187" s="368"/>
      <c r="H187" s="368">
        <v>6</v>
      </c>
      <c r="I187" s="368">
        <v>54</v>
      </c>
      <c r="J187" s="368">
        <v>78</v>
      </c>
      <c r="K187" s="370">
        <v>132</v>
      </c>
      <c r="L187" s="29"/>
      <c r="M187" s="29"/>
      <c r="N187" s="29"/>
      <c r="O187" s="29"/>
      <c r="P187" s="29"/>
      <c r="Q187" s="29"/>
      <c r="R187" s="29"/>
      <c r="S187" s="29"/>
      <c r="T187" s="29"/>
      <c r="U187" s="29"/>
      <c r="V187" s="29"/>
      <c r="W187" s="29"/>
      <c r="X187" s="29"/>
      <c r="Y187" s="29"/>
      <c r="Z187" s="29"/>
    </row>
    <row r="188" spans="2:26" x14ac:dyDescent="0.25">
      <c r="B188" s="152" t="s">
        <v>237</v>
      </c>
      <c r="C188" s="368"/>
      <c r="D188" s="368">
        <v>7</v>
      </c>
      <c r="E188" s="368">
        <v>12</v>
      </c>
      <c r="F188" s="368">
        <v>44</v>
      </c>
      <c r="G188" s="368"/>
      <c r="H188" s="368">
        <v>1</v>
      </c>
      <c r="I188" s="368">
        <v>31</v>
      </c>
      <c r="J188" s="368">
        <v>33</v>
      </c>
      <c r="K188" s="370">
        <v>64</v>
      </c>
      <c r="L188" s="29"/>
      <c r="M188" s="29"/>
      <c r="N188" s="29"/>
      <c r="O188" s="29"/>
      <c r="P188" s="29"/>
      <c r="Q188" s="29"/>
      <c r="R188" s="29"/>
      <c r="S188" s="29"/>
      <c r="T188" s="29"/>
      <c r="U188" s="29"/>
      <c r="V188" s="29"/>
      <c r="W188" s="29"/>
      <c r="X188" s="29"/>
      <c r="Y188" s="29"/>
      <c r="Z188" s="29"/>
    </row>
    <row r="189" spans="2:26" x14ac:dyDescent="0.25">
      <c r="B189" s="152" t="s">
        <v>238</v>
      </c>
      <c r="C189" s="368"/>
      <c r="D189" s="368">
        <v>7</v>
      </c>
      <c r="E189" s="368">
        <v>11</v>
      </c>
      <c r="F189" s="368">
        <v>60</v>
      </c>
      <c r="G189" s="368"/>
      <c r="H189" s="368">
        <v>5</v>
      </c>
      <c r="I189" s="368">
        <v>38</v>
      </c>
      <c r="J189" s="368">
        <v>45</v>
      </c>
      <c r="K189" s="370">
        <v>83</v>
      </c>
      <c r="L189" s="29"/>
      <c r="M189" s="29"/>
      <c r="N189" s="29"/>
      <c r="O189" s="29"/>
      <c r="P189" s="29"/>
      <c r="Q189" s="29"/>
      <c r="R189" s="29"/>
      <c r="S189" s="29"/>
      <c r="T189" s="29"/>
      <c r="U189" s="29"/>
      <c r="V189" s="29"/>
      <c r="W189" s="29"/>
      <c r="X189" s="29"/>
      <c r="Y189" s="29"/>
      <c r="Z189" s="29"/>
    </row>
    <row r="190" spans="2:26" x14ac:dyDescent="0.25">
      <c r="B190" s="152" t="s">
        <v>239</v>
      </c>
      <c r="C190" s="368"/>
      <c r="D190" s="368">
        <v>6</v>
      </c>
      <c r="E190" s="368">
        <v>34</v>
      </c>
      <c r="F190" s="368">
        <v>54</v>
      </c>
      <c r="G190" s="368"/>
      <c r="H190" s="368">
        <v>3</v>
      </c>
      <c r="I190" s="368">
        <v>50</v>
      </c>
      <c r="J190" s="368">
        <v>47</v>
      </c>
      <c r="K190" s="370">
        <v>97</v>
      </c>
      <c r="L190" s="29"/>
      <c r="M190" s="29"/>
      <c r="N190" s="29"/>
      <c r="O190" s="29"/>
      <c r="P190" s="29"/>
      <c r="Q190" s="29"/>
      <c r="R190" s="29"/>
      <c r="S190" s="29"/>
      <c r="T190" s="29"/>
      <c r="U190" s="29"/>
      <c r="V190" s="29"/>
      <c r="W190" s="29"/>
      <c r="X190" s="29"/>
      <c r="Y190" s="29"/>
      <c r="Z190" s="29"/>
    </row>
    <row r="191" spans="2:26" x14ac:dyDescent="0.25">
      <c r="B191" s="152" t="s">
        <v>240</v>
      </c>
      <c r="C191" s="368"/>
      <c r="D191" s="368">
        <v>4</v>
      </c>
      <c r="E191" s="368">
        <v>22</v>
      </c>
      <c r="F191" s="368">
        <v>35</v>
      </c>
      <c r="G191" s="368"/>
      <c r="H191" s="368">
        <v>1</v>
      </c>
      <c r="I191" s="368">
        <v>30</v>
      </c>
      <c r="J191" s="368">
        <v>32</v>
      </c>
      <c r="K191" s="370">
        <v>62</v>
      </c>
      <c r="L191" s="29"/>
      <c r="M191" s="29"/>
      <c r="N191" s="29"/>
      <c r="O191" s="29"/>
      <c r="P191" s="29"/>
      <c r="Q191" s="29"/>
      <c r="R191" s="29"/>
      <c r="S191" s="29"/>
      <c r="T191" s="29"/>
      <c r="U191" s="29"/>
      <c r="V191" s="29"/>
      <c r="W191" s="29"/>
      <c r="X191" s="29"/>
      <c r="Y191" s="29"/>
      <c r="Z191" s="29"/>
    </row>
    <row r="192" spans="2:26" x14ac:dyDescent="0.25">
      <c r="B192" s="152" t="s">
        <v>241</v>
      </c>
      <c r="C192" s="368"/>
      <c r="D192" s="368">
        <v>3</v>
      </c>
      <c r="E192" s="368">
        <v>29</v>
      </c>
      <c r="F192" s="368">
        <v>61</v>
      </c>
      <c r="G192" s="368"/>
      <c r="H192" s="368">
        <v>5</v>
      </c>
      <c r="I192" s="368">
        <v>35</v>
      </c>
      <c r="J192" s="368">
        <v>63</v>
      </c>
      <c r="K192" s="370">
        <v>98</v>
      </c>
      <c r="L192" s="29"/>
      <c r="M192" s="29"/>
      <c r="N192" s="29"/>
      <c r="O192" s="29"/>
      <c r="P192" s="29"/>
      <c r="Q192" s="29"/>
      <c r="R192" s="29"/>
      <c r="S192" s="29"/>
      <c r="T192" s="29"/>
      <c r="U192" s="29"/>
      <c r="V192" s="29"/>
      <c r="W192" s="29"/>
      <c r="X192" s="29"/>
      <c r="Y192" s="29"/>
      <c r="Z192" s="29"/>
    </row>
    <row r="193" spans="1:26" x14ac:dyDescent="0.25">
      <c r="B193" s="152" t="s">
        <v>242</v>
      </c>
      <c r="C193" s="368"/>
      <c r="D193" s="368">
        <v>11</v>
      </c>
      <c r="E193" s="368">
        <v>26</v>
      </c>
      <c r="F193" s="368">
        <v>63</v>
      </c>
      <c r="G193" s="368"/>
      <c r="H193" s="368">
        <v>4</v>
      </c>
      <c r="I193" s="368">
        <v>48</v>
      </c>
      <c r="J193" s="368">
        <v>56</v>
      </c>
      <c r="K193" s="370">
        <v>104</v>
      </c>
      <c r="L193" s="29"/>
      <c r="M193" s="29"/>
      <c r="N193" s="29"/>
      <c r="O193" s="29"/>
      <c r="P193" s="29"/>
      <c r="Q193" s="29"/>
      <c r="R193" s="29"/>
      <c r="S193" s="29"/>
      <c r="T193" s="29"/>
      <c r="U193" s="29"/>
      <c r="V193" s="29"/>
      <c r="W193" s="29"/>
      <c r="X193" s="29"/>
      <c r="Y193" s="29"/>
      <c r="Z193" s="29"/>
    </row>
    <row r="194" spans="1:26" x14ac:dyDescent="0.25">
      <c r="B194" s="152" t="s">
        <v>243</v>
      </c>
      <c r="C194" s="368"/>
      <c r="D194" s="368">
        <v>15</v>
      </c>
      <c r="E194" s="368">
        <v>38</v>
      </c>
      <c r="F194" s="368">
        <v>91</v>
      </c>
      <c r="G194" s="368"/>
      <c r="H194" s="368">
        <v>2</v>
      </c>
      <c r="I194" s="368">
        <v>64</v>
      </c>
      <c r="J194" s="368">
        <v>82</v>
      </c>
      <c r="K194" s="370">
        <v>146</v>
      </c>
      <c r="L194" s="29"/>
      <c r="M194" s="29"/>
      <c r="N194" s="29"/>
      <c r="O194" s="29"/>
      <c r="P194" s="29"/>
      <c r="Q194" s="29"/>
      <c r="R194" s="29"/>
      <c r="S194" s="29"/>
      <c r="T194" s="29"/>
      <c r="U194" s="29"/>
      <c r="V194" s="29"/>
      <c r="W194" s="29"/>
      <c r="X194" s="29"/>
      <c r="Y194" s="29"/>
      <c r="Z194" s="29"/>
    </row>
    <row r="195" spans="1:26" x14ac:dyDescent="0.25">
      <c r="B195" s="152" t="s">
        <v>244</v>
      </c>
      <c r="C195" s="368"/>
      <c r="D195" s="368">
        <v>15</v>
      </c>
      <c r="E195" s="368">
        <v>42</v>
      </c>
      <c r="F195" s="368">
        <v>129</v>
      </c>
      <c r="G195" s="368"/>
      <c r="H195" s="368">
        <v>5</v>
      </c>
      <c r="I195" s="368">
        <v>104</v>
      </c>
      <c r="J195" s="368">
        <v>87</v>
      </c>
      <c r="K195" s="370">
        <v>191</v>
      </c>
      <c r="L195" s="29"/>
      <c r="M195" s="29"/>
      <c r="N195" s="29"/>
      <c r="O195" s="29"/>
      <c r="P195" s="29"/>
      <c r="Q195" s="29"/>
      <c r="R195" s="29"/>
      <c r="S195" s="29"/>
      <c r="T195" s="29"/>
      <c r="U195" s="29"/>
      <c r="V195" s="29"/>
      <c r="W195" s="29"/>
      <c r="X195" s="29"/>
      <c r="Y195" s="29"/>
      <c r="Z195" s="29"/>
    </row>
    <row r="196" spans="1:26" x14ac:dyDescent="0.25">
      <c r="B196" s="152" t="s">
        <v>245</v>
      </c>
      <c r="C196" s="368"/>
      <c r="D196" s="368">
        <v>8</v>
      </c>
      <c r="E196" s="368">
        <v>15</v>
      </c>
      <c r="F196" s="368">
        <v>41</v>
      </c>
      <c r="G196" s="368"/>
      <c r="H196" s="368">
        <v>3</v>
      </c>
      <c r="I196" s="368">
        <v>34</v>
      </c>
      <c r="J196" s="368">
        <v>33</v>
      </c>
      <c r="K196" s="370">
        <v>67</v>
      </c>
      <c r="L196" s="29"/>
      <c r="M196" s="29"/>
      <c r="N196" s="29"/>
      <c r="O196" s="29"/>
      <c r="P196" s="29"/>
      <c r="Q196" s="29"/>
      <c r="R196" s="29"/>
      <c r="S196" s="29"/>
      <c r="T196" s="29"/>
      <c r="U196" s="29"/>
      <c r="V196" s="29"/>
      <c r="W196" s="29"/>
      <c r="X196" s="29"/>
      <c r="Y196" s="29"/>
      <c r="Z196" s="29"/>
    </row>
    <row r="197" spans="1:26" x14ac:dyDescent="0.25">
      <c r="B197" s="152" t="s">
        <v>246</v>
      </c>
      <c r="C197" s="368"/>
      <c r="D197" s="368">
        <v>3</v>
      </c>
      <c r="E197" s="368">
        <v>12</v>
      </c>
      <c r="F197" s="368">
        <v>23</v>
      </c>
      <c r="G197" s="368"/>
      <c r="H197" s="368">
        <v>2</v>
      </c>
      <c r="I197" s="368">
        <v>13</v>
      </c>
      <c r="J197" s="368">
        <v>27</v>
      </c>
      <c r="K197" s="370">
        <v>40</v>
      </c>
      <c r="L197" s="29"/>
      <c r="M197" s="29"/>
      <c r="N197" s="29"/>
      <c r="O197" s="29"/>
      <c r="P197" s="29"/>
      <c r="Q197" s="29"/>
      <c r="R197" s="29"/>
      <c r="S197" s="29"/>
      <c r="T197" s="29"/>
      <c r="U197" s="29"/>
      <c r="V197" s="29"/>
      <c r="W197" s="29"/>
      <c r="X197" s="29"/>
      <c r="Y197" s="29"/>
      <c r="Z197" s="29"/>
    </row>
    <row r="198" spans="1:26" x14ac:dyDescent="0.25">
      <c r="B198" s="152" t="s">
        <v>247</v>
      </c>
      <c r="C198" s="368"/>
      <c r="D198" s="368">
        <v>11</v>
      </c>
      <c r="E198" s="368">
        <v>41</v>
      </c>
      <c r="F198" s="368">
        <v>64</v>
      </c>
      <c r="G198" s="368"/>
      <c r="H198" s="368">
        <v>4</v>
      </c>
      <c r="I198" s="368">
        <v>52</v>
      </c>
      <c r="J198" s="368">
        <v>68</v>
      </c>
      <c r="K198" s="370">
        <v>120</v>
      </c>
      <c r="L198" s="29"/>
      <c r="M198" s="29"/>
      <c r="N198" s="29"/>
      <c r="O198" s="29"/>
      <c r="P198" s="29"/>
      <c r="Q198" s="29"/>
      <c r="R198" s="29"/>
      <c r="S198" s="29"/>
      <c r="T198" s="29"/>
      <c r="U198" s="29"/>
      <c r="V198" s="29"/>
      <c r="W198" s="29"/>
      <c r="X198" s="29"/>
      <c r="Y198" s="29"/>
      <c r="Z198" s="29"/>
    </row>
    <row r="199" spans="1:26" x14ac:dyDescent="0.25">
      <c r="B199" s="152" t="s">
        <v>248</v>
      </c>
      <c r="C199" s="368"/>
      <c r="D199" s="368">
        <v>126</v>
      </c>
      <c r="E199" s="368">
        <v>565</v>
      </c>
      <c r="F199" s="368">
        <v>1824</v>
      </c>
      <c r="G199" s="368"/>
      <c r="H199" s="368">
        <v>56</v>
      </c>
      <c r="I199" s="368">
        <v>1536</v>
      </c>
      <c r="J199" s="368">
        <v>1035</v>
      </c>
      <c r="K199" s="370">
        <v>2571</v>
      </c>
      <c r="L199" s="29"/>
      <c r="M199" s="29"/>
      <c r="N199" s="29"/>
      <c r="O199" s="29"/>
      <c r="P199" s="29"/>
      <c r="Q199" s="29"/>
      <c r="R199" s="29"/>
      <c r="S199" s="29"/>
      <c r="T199" s="29"/>
      <c r="U199" s="29"/>
      <c r="V199" s="29"/>
      <c r="W199" s="29"/>
      <c r="X199" s="29"/>
      <c r="Y199" s="29"/>
      <c r="Z199" s="29"/>
    </row>
    <row r="200" spans="1:26" x14ac:dyDescent="0.25">
      <c r="B200" s="152" t="s">
        <v>249</v>
      </c>
      <c r="C200" s="368"/>
      <c r="D200" s="368">
        <v>29</v>
      </c>
      <c r="E200" s="368">
        <v>95</v>
      </c>
      <c r="F200" s="368">
        <v>279</v>
      </c>
      <c r="G200" s="368"/>
      <c r="H200" s="368">
        <v>17</v>
      </c>
      <c r="I200" s="368">
        <v>215</v>
      </c>
      <c r="J200" s="368">
        <v>205</v>
      </c>
      <c r="K200" s="370">
        <v>420</v>
      </c>
      <c r="L200" s="29"/>
      <c r="M200" s="29"/>
      <c r="N200" s="29"/>
      <c r="O200" s="29"/>
      <c r="P200" s="29"/>
      <c r="Q200" s="29"/>
      <c r="R200" s="29"/>
      <c r="S200" s="29"/>
      <c r="T200" s="29"/>
      <c r="U200" s="29"/>
      <c r="V200" s="29"/>
      <c r="W200" s="29"/>
      <c r="X200" s="29"/>
      <c r="Y200" s="29"/>
      <c r="Z200" s="29"/>
    </row>
    <row r="201" spans="1:26" x14ac:dyDescent="0.25">
      <c r="B201" s="152" t="s">
        <v>250</v>
      </c>
      <c r="C201" s="368"/>
      <c r="D201" s="368">
        <v>7</v>
      </c>
      <c r="E201" s="368">
        <v>42</v>
      </c>
      <c r="F201" s="368">
        <v>119</v>
      </c>
      <c r="G201" s="368"/>
      <c r="H201" s="368">
        <v>7</v>
      </c>
      <c r="I201" s="368">
        <v>85</v>
      </c>
      <c r="J201" s="368">
        <v>90</v>
      </c>
      <c r="K201" s="370">
        <v>175</v>
      </c>
      <c r="L201" s="29"/>
      <c r="M201" s="29"/>
      <c r="N201" s="29"/>
      <c r="O201" s="29"/>
      <c r="P201" s="29"/>
      <c r="Q201" s="29"/>
      <c r="R201" s="29"/>
      <c r="S201" s="29"/>
      <c r="T201" s="29"/>
      <c r="U201" s="29"/>
      <c r="V201" s="29"/>
      <c r="W201" s="29"/>
      <c r="X201" s="29"/>
      <c r="Y201" s="29"/>
      <c r="Z201" s="29"/>
    </row>
    <row r="202" spans="1:26" x14ac:dyDescent="0.25">
      <c r="B202" s="152" t="s">
        <v>251</v>
      </c>
      <c r="C202" s="368"/>
      <c r="D202" s="368">
        <v>35</v>
      </c>
      <c r="E202" s="368">
        <v>169</v>
      </c>
      <c r="F202" s="368">
        <v>412</v>
      </c>
      <c r="G202" s="368"/>
      <c r="H202" s="368">
        <v>30</v>
      </c>
      <c r="I202" s="368">
        <v>321</v>
      </c>
      <c r="J202" s="368">
        <v>325</v>
      </c>
      <c r="K202" s="370">
        <v>646</v>
      </c>
      <c r="L202" s="29"/>
      <c r="M202" s="29"/>
      <c r="N202" s="29"/>
      <c r="O202" s="29"/>
      <c r="P202" s="29"/>
      <c r="Q202" s="29"/>
      <c r="R202" s="29"/>
      <c r="S202" s="29"/>
      <c r="T202" s="29"/>
      <c r="U202" s="29"/>
      <c r="V202" s="29"/>
      <c r="W202" s="29"/>
      <c r="X202" s="29"/>
      <c r="Y202" s="29"/>
      <c r="Z202" s="29"/>
    </row>
    <row r="203" spans="1:26" x14ac:dyDescent="0.25">
      <c r="B203" s="152" t="s">
        <v>252</v>
      </c>
      <c r="C203" s="368"/>
      <c r="D203" s="368">
        <v>41</v>
      </c>
      <c r="E203" s="368">
        <v>99</v>
      </c>
      <c r="F203" s="368">
        <v>270</v>
      </c>
      <c r="G203" s="368"/>
      <c r="H203" s="368">
        <v>15</v>
      </c>
      <c r="I203" s="368">
        <v>217</v>
      </c>
      <c r="J203" s="368">
        <v>208</v>
      </c>
      <c r="K203" s="370">
        <v>425</v>
      </c>
      <c r="L203" s="29"/>
      <c r="M203" s="29"/>
      <c r="N203" s="29"/>
      <c r="O203" s="29"/>
      <c r="P203" s="29"/>
      <c r="Q203" s="29"/>
      <c r="R203" s="29"/>
      <c r="S203" s="29"/>
      <c r="T203" s="29"/>
      <c r="U203" s="29"/>
      <c r="V203" s="29"/>
      <c r="W203" s="29"/>
      <c r="X203" s="29"/>
      <c r="Y203" s="29"/>
      <c r="Z203" s="29"/>
    </row>
    <row r="204" spans="1:26" x14ac:dyDescent="0.25">
      <c r="B204" s="174" t="s">
        <v>253</v>
      </c>
      <c r="C204" s="380"/>
      <c r="D204" s="380">
        <v>24</v>
      </c>
      <c r="E204" s="380">
        <v>92</v>
      </c>
      <c r="F204" s="380">
        <v>196</v>
      </c>
      <c r="G204" s="380"/>
      <c r="H204" s="380">
        <v>14</v>
      </c>
      <c r="I204" s="380">
        <v>166</v>
      </c>
      <c r="J204" s="380">
        <v>160</v>
      </c>
      <c r="K204" s="381">
        <v>326</v>
      </c>
      <c r="L204" s="29"/>
      <c r="M204" s="29"/>
      <c r="N204" s="29"/>
      <c r="O204" s="29"/>
      <c r="P204" s="29"/>
      <c r="Q204" s="29"/>
      <c r="R204" s="29"/>
      <c r="S204" s="29"/>
      <c r="T204" s="29"/>
      <c r="U204" s="29"/>
      <c r="V204" s="29"/>
      <c r="W204" s="29"/>
      <c r="X204" s="29"/>
      <c r="Y204" s="29"/>
      <c r="Z204" s="29"/>
    </row>
    <row r="205" spans="1:26" x14ac:dyDescent="0.25">
      <c r="B205" s="289" t="s">
        <v>36</v>
      </c>
      <c r="C205" s="359"/>
      <c r="D205" s="359">
        <v>524</v>
      </c>
      <c r="E205" s="359">
        <v>1925</v>
      </c>
      <c r="F205" s="359">
        <v>5245</v>
      </c>
      <c r="G205" s="359"/>
      <c r="H205" s="359">
        <v>268</v>
      </c>
      <c r="I205" s="359">
        <v>4165</v>
      </c>
      <c r="J205" s="334">
        <v>3797</v>
      </c>
      <c r="K205" s="334">
        <v>7962</v>
      </c>
      <c r="L205" s="29"/>
      <c r="M205" s="29"/>
      <c r="N205" s="29"/>
      <c r="O205" s="29"/>
      <c r="P205" s="29"/>
      <c r="Q205" s="29"/>
      <c r="R205" s="29"/>
      <c r="S205" s="29"/>
      <c r="T205" s="29"/>
      <c r="U205" s="29"/>
      <c r="V205" s="29"/>
      <c r="W205" s="29"/>
      <c r="X205" s="29"/>
      <c r="Y205" s="29"/>
      <c r="Z205" s="29"/>
    </row>
    <row r="206" spans="1:26" ht="30" customHeight="1" x14ac:dyDescent="0.25">
      <c r="B206" s="504" t="s">
        <v>898</v>
      </c>
      <c r="C206" s="504"/>
      <c r="D206" s="504"/>
      <c r="E206" s="504"/>
      <c r="F206" s="504"/>
      <c r="G206" s="504"/>
      <c r="H206" s="504"/>
      <c r="I206" s="504"/>
      <c r="J206" s="504"/>
      <c r="K206" s="504"/>
      <c r="L206" s="29"/>
      <c r="M206" s="29"/>
      <c r="N206" s="29"/>
      <c r="O206" s="29"/>
      <c r="P206" s="29"/>
      <c r="Q206" s="29"/>
      <c r="R206" s="29"/>
      <c r="S206" s="29"/>
      <c r="T206" s="29"/>
      <c r="U206" s="29"/>
      <c r="V206" s="29"/>
      <c r="W206" s="29"/>
      <c r="X206" s="29"/>
      <c r="Y206" s="29"/>
    </row>
    <row r="207" spans="1:26" x14ac:dyDescent="0.25">
      <c r="B207" s="176"/>
      <c r="C207" s="176"/>
      <c r="D207" s="176"/>
      <c r="E207" s="176"/>
      <c r="F207"/>
      <c r="G207"/>
      <c r="H207"/>
      <c r="I207"/>
      <c r="J207" s="29"/>
      <c r="K207" s="29"/>
      <c r="L207" s="29"/>
      <c r="M207" s="29"/>
      <c r="N207" s="29"/>
      <c r="O207" s="29"/>
      <c r="P207" s="29"/>
      <c r="Q207" s="29"/>
      <c r="R207" s="29"/>
      <c r="S207" s="29"/>
      <c r="T207" s="29"/>
      <c r="U207" s="29"/>
      <c r="V207" s="29"/>
      <c r="W207" s="29"/>
      <c r="X207" s="29"/>
      <c r="Y207" s="29"/>
    </row>
    <row r="208" spans="1:26" x14ac:dyDescent="0.25">
      <c r="A208"/>
      <c r="B208" s="205" t="s">
        <v>527</v>
      </c>
      <c r="C208"/>
      <c r="D208"/>
      <c r="E208"/>
      <c r="F208"/>
      <c r="G208"/>
      <c r="H208"/>
      <c r="I208"/>
      <c r="J208" s="29"/>
      <c r="K208" s="29"/>
      <c r="L208" s="29"/>
      <c r="M208" s="29"/>
      <c r="N208" s="29"/>
      <c r="O208" s="29"/>
      <c r="P208" s="29"/>
      <c r="Q208" s="29"/>
      <c r="R208" s="29"/>
      <c r="S208" s="29"/>
      <c r="T208" s="29"/>
      <c r="U208" s="29"/>
      <c r="V208" s="29"/>
      <c r="W208" s="29"/>
      <c r="X208" s="29"/>
      <c r="Y208" s="29"/>
    </row>
    <row r="209" spans="1:26" x14ac:dyDescent="0.25">
      <c r="A209"/>
      <c r="B209" s="205"/>
      <c r="C209"/>
      <c r="D209"/>
      <c r="E209"/>
      <c r="F209"/>
      <c r="G209"/>
      <c r="H209"/>
      <c r="I209"/>
      <c r="J209" s="29"/>
      <c r="K209" s="29"/>
      <c r="L209" s="29"/>
      <c r="M209" s="29"/>
      <c r="N209" s="29"/>
      <c r="O209" s="29"/>
      <c r="P209" s="29"/>
      <c r="Q209" s="29"/>
      <c r="R209" s="29"/>
      <c r="S209" s="29"/>
      <c r="T209" s="29"/>
      <c r="U209" s="29"/>
      <c r="V209" s="29"/>
      <c r="W209" s="29"/>
      <c r="X209" s="29"/>
      <c r="Y209" s="29"/>
    </row>
    <row r="210" spans="1:26" ht="15" customHeight="1" x14ac:dyDescent="0.25">
      <c r="B210" s="176"/>
      <c r="C210" s="488" t="s">
        <v>538</v>
      </c>
      <c r="D210" s="488"/>
      <c r="E210" s="488"/>
      <c r="F210" s="488"/>
      <c r="G210" s="488"/>
      <c r="H210" s="488"/>
      <c r="I210" s="484" t="s">
        <v>539</v>
      </c>
      <c r="J210" s="484"/>
      <c r="K210" s="492" t="s">
        <v>36</v>
      </c>
      <c r="L210" s="29"/>
      <c r="M210" s="29"/>
      <c r="N210" s="29"/>
      <c r="O210" s="29"/>
      <c r="P210" s="29"/>
      <c r="Q210" s="29"/>
      <c r="R210" s="29"/>
      <c r="S210" s="29"/>
      <c r="T210" s="29"/>
      <c r="U210" s="29"/>
      <c r="V210" s="29"/>
      <c r="W210" s="29"/>
      <c r="X210" s="29"/>
      <c r="Y210" s="29"/>
    </row>
    <row r="211" spans="1:26" ht="30" x14ac:dyDescent="0.25">
      <c r="B211" s="178" t="s">
        <v>548</v>
      </c>
      <c r="C211" s="179" t="s">
        <v>3</v>
      </c>
      <c r="D211" s="179" t="s">
        <v>4</v>
      </c>
      <c r="E211" s="179" t="s">
        <v>714</v>
      </c>
      <c r="F211" s="179" t="s">
        <v>501</v>
      </c>
      <c r="G211" s="179" t="s">
        <v>5</v>
      </c>
      <c r="H211" s="179" t="s">
        <v>6</v>
      </c>
      <c r="I211" s="179" t="s">
        <v>87</v>
      </c>
      <c r="J211" s="179" t="s">
        <v>88</v>
      </c>
      <c r="K211" s="492"/>
      <c r="L211" s="29"/>
      <c r="M211" s="29"/>
      <c r="N211" s="29"/>
      <c r="O211" s="29"/>
      <c r="P211" s="29"/>
      <c r="Q211" s="29"/>
      <c r="R211" s="29"/>
      <c r="S211" s="29"/>
      <c r="T211" s="29"/>
      <c r="U211" s="29"/>
      <c r="V211" s="29"/>
      <c r="W211" s="29"/>
      <c r="X211" s="29"/>
      <c r="Y211" s="29"/>
    </row>
    <row r="212" spans="1:26" x14ac:dyDescent="0.25">
      <c r="B212" s="175" t="s">
        <v>254</v>
      </c>
      <c r="C212" s="368"/>
      <c r="D212" s="368">
        <v>24</v>
      </c>
      <c r="E212" s="368">
        <v>122</v>
      </c>
      <c r="F212" s="368">
        <v>223</v>
      </c>
      <c r="G212" s="368"/>
      <c r="H212" s="368">
        <v>7</v>
      </c>
      <c r="I212" s="368">
        <v>214</v>
      </c>
      <c r="J212" s="368">
        <v>162</v>
      </c>
      <c r="K212" s="370">
        <v>376</v>
      </c>
      <c r="L212" s="29"/>
      <c r="M212" s="29"/>
      <c r="N212" s="29"/>
      <c r="O212" s="29"/>
      <c r="P212" s="29"/>
      <c r="Q212" s="29"/>
      <c r="R212" s="29"/>
      <c r="S212" s="29"/>
      <c r="T212" s="29"/>
      <c r="U212" s="29"/>
      <c r="V212" s="29"/>
      <c r="W212" s="29"/>
      <c r="X212" s="29"/>
      <c r="Y212" s="29"/>
      <c r="Z212" s="29"/>
    </row>
    <row r="213" spans="1:26" x14ac:dyDescent="0.25">
      <c r="B213" s="152" t="s">
        <v>255</v>
      </c>
      <c r="C213" s="368"/>
      <c r="D213" s="368">
        <v>12</v>
      </c>
      <c r="E213" s="368">
        <v>27</v>
      </c>
      <c r="F213" s="368">
        <v>36</v>
      </c>
      <c r="G213" s="368"/>
      <c r="H213" s="368">
        <v>3</v>
      </c>
      <c r="I213" s="368">
        <v>39</v>
      </c>
      <c r="J213" s="368">
        <v>39</v>
      </c>
      <c r="K213" s="370">
        <v>78</v>
      </c>
      <c r="L213" s="29"/>
      <c r="M213" s="29"/>
      <c r="N213" s="29"/>
      <c r="O213" s="29"/>
      <c r="P213" s="29"/>
      <c r="Q213" s="29"/>
      <c r="R213" s="29"/>
      <c r="S213" s="29"/>
      <c r="T213" s="29"/>
      <c r="U213" s="29"/>
      <c r="V213" s="29"/>
      <c r="W213" s="29"/>
      <c r="X213" s="29"/>
      <c r="Y213" s="29"/>
      <c r="Z213" s="29"/>
    </row>
    <row r="214" spans="1:26" x14ac:dyDescent="0.25">
      <c r="B214" s="152" t="s">
        <v>256</v>
      </c>
      <c r="C214" s="368"/>
      <c r="D214" s="368">
        <v>22</v>
      </c>
      <c r="E214" s="368">
        <v>40</v>
      </c>
      <c r="F214" s="368">
        <v>75</v>
      </c>
      <c r="G214" s="368"/>
      <c r="H214" s="368">
        <v>8</v>
      </c>
      <c r="I214" s="368">
        <v>73</v>
      </c>
      <c r="J214" s="368">
        <v>72</v>
      </c>
      <c r="K214" s="370">
        <v>145</v>
      </c>
      <c r="L214" s="29"/>
      <c r="M214" s="29"/>
      <c r="N214" s="29"/>
      <c r="O214" s="29"/>
      <c r="P214" s="29"/>
      <c r="Q214" s="29"/>
      <c r="R214" s="29"/>
      <c r="S214" s="29"/>
      <c r="T214" s="29"/>
      <c r="U214" s="29"/>
      <c r="V214" s="29"/>
      <c r="W214" s="29"/>
      <c r="X214" s="29"/>
      <c r="Y214" s="29"/>
      <c r="Z214" s="29"/>
    </row>
    <row r="215" spans="1:26" x14ac:dyDescent="0.25">
      <c r="B215" s="152" t="s">
        <v>257</v>
      </c>
      <c r="C215" s="368"/>
      <c r="D215" s="368">
        <v>30</v>
      </c>
      <c r="E215" s="368">
        <v>110</v>
      </c>
      <c r="F215" s="368">
        <v>179</v>
      </c>
      <c r="G215" s="368"/>
      <c r="H215" s="368">
        <v>18</v>
      </c>
      <c r="I215" s="368">
        <v>160</v>
      </c>
      <c r="J215" s="368">
        <v>177</v>
      </c>
      <c r="K215" s="370">
        <v>337</v>
      </c>
      <c r="L215" s="29"/>
      <c r="M215" s="29"/>
      <c r="N215" s="29"/>
      <c r="O215" s="29"/>
      <c r="P215" s="29"/>
      <c r="Q215" s="29"/>
      <c r="R215" s="29"/>
      <c r="S215" s="29"/>
      <c r="T215" s="29"/>
      <c r="U215" s="29"/>
      <c r="V215" s="29"/>
      <c r="W215" s="29"/>
      <c r="X215" s="29"/>
      <c r="Y215" s="29"/>
      <c r="Z215" s="29"/>
    </row>
    <row r="216" spans="1:26" x14ac:dyDescent="0.25">
      <c r="B216" s="152" t="s">
        <v>258</v>
      </c>
      <c r="C216" s="368"/>
      <c r="D216" s="368">
        <v>3</v>
      </c>
      <c r="E216" s="368">
        <v>37</v>
      </c>
      <c r="F216" s="368">
        <v>30</v>
      </c>
      <c r="G216" s="368"/>
      <c r="H216" s="368">
        <v>3</v>
      </c>
      <c r="I216" s="368">
        <v>35</v>
      </c>
      <c r="J216" s="368">
        <v>38</v>
      </c>
      <c r="K216" s="370">
        <v>73</v>
      </c>
      <c r="L216" s="29"/>
      <c r="M216" s="29"/>
      <c r="N216" s="29"/>
      <c r="O216" s="29"/>
      <c r="P216" s="29"/>
      <c r="Q216" s="29"/>
      <c r="R216" s="29"/>
      <c r="S216" s="29"/>
      <c r="T216" s="29"/>
      <c r="U216" s="29"/>
      <c r="V216" s="29"/>
      <c r="W216" s="29"/>
      <c r="X216" s="29"/>
      <c r="Y216" s="29"/>
      <c r="Z216" s="29"/>
    </row>
    <row r="217" spans="1:26" x14ac:dyDescent="0.25">
      <c r="B217" s="152" t="s">
        <v>259</v>
      </c>
      <c r="C217" s="368"/>
      <c r="D217" s="368">
        <v>63</v>
      </c>
      <c r="E217" s="368">
        <v>282</v>
      </c>
      <c r="F217" s="368">
        <v>764</v>
      </c>
      <c r="G217" s="368"/>
      <c r="H217" s="368">
        <v>49</v>
      </c>
      <c r="I217" s="368">
        <v>608</v>
      </c>
      <c r="J217" s="368">
        <v>550</v>
      </c>
      <c r="K217" s="370">
        <v>1158</v>
      </c>
      <c r="L217" s="29"/>
      <c r="M217" s="29"/>
      <c r="N217" s="29"/>
      <c r="O217" s="29"/>
      <c r="P217" s="29"/>
      <c r="Q217" s="29"/>
      <c r="R217" s="29"/>
      <c r="S217" s="29"/>
      <c r="T217" s="29"/>
      <c r="U217" s="29"/>
      <c r="V217" s="29"/>
      <c r="W217" s="29"/>
      <c r="X217" s="29"/>
      <c r="Y217" s="29"/>
      <c r="Z217" s="29"/>
    </row>
    <row r="218" spans="1:26" x14ac:dyDescent="0.25">
      <c r="B218" s="152" t="s">
        <v>260</v>
      </c>
      <c r="C218" s="368"/>
      <c r="D218" s="368">
        <v>3</v>
      </c>
      <c r="E218" s="368">
        <v>9</v>
      </c>
      <c r="F218" s="368">
        <v>9</v>
      </c>
      <c r="G218" s="368"/>
      <c r="H218" s="368">
        <v>1</v>
      </c>
      <c r="I218" s="368">
        <v>13</v>
      </c>
      <c r="J218" s="368">
        <v>9</v>
      </c>
      <c r="K218" s="370">
        <v>22</v>
      </c>
      <c r="L218" s="29"/>
      <c r="M218" s="29"/>
      <c r="N218" s="29"/>
      <c r="O218" s="29"/>
      <c r="P218" s="29"/>
      <c r="Q218" s="29"/>
      <c r="R218" s="29"/>
      <c r="S218" s="29"/>
      <c r="T218" s="29"/>
      <c r="U218" s="29"/>
      <c r="V218" s="29"/>
      <c r="W218" s="29"/>
      <c r="X218" s="29"/>
      <c r="Y218" s="29"/>
      <c r="Z218" s="29"/>
    </row>
    <row r="219" spans="1:26" x14ac:dyDescent="0.25">
      <c r="B219" s="152" t="s">
        <v>510</v>
      </c>
      <c r="C219" s="368"/>
      <c r="D219" s="368">
        <v>3</v>
      </c>
      <c r="E219" s="368">
        <v>27</v>
      </c>
      <c r="F219" s="368">
        <v>39</v>
      </c>
      <c r="G219" s="368"/>
      <c r="H219" s="368">
        <v>1</v>
      </c>
      <c r="I219" s="368">
        <v>23</v>
      </c>
      <c r="J219" s="368">
        <v>47</v>
      </c>
      <c r="K219" s="370">
        <v>70</v>
      </c>
      <c r="L219" s="29"/>
      <c r="M219" s="29"/>
      <c r="N219" s="29"/>
      <c r="O219" s="29"/>
      <c r="P219" s="29"/>
      <c r="Q219" s="29"/>
      <c r="R219" s="29"/>
      <c r="S219" s="29"/>
      <c r="T219" s="29"/>
      <c r="U219" s="29"/>
      <c r="V219" s="29"/>
      <c r="W219" s="29"/>
      <c r="X219" s="29"/>
      <c r="Y219" s="29"/>
      <c r="Z219" s="29"/>
    </row>
    <row r="220" spans="1:26" x14ac:dyDescent="0.25">
      <c r="B220" s="152" t="s">
        <v>261</v>
      </c>
      <c r="C220" s="368"/>
      <c r="D220" s="368">
        <v>5</v>
      </c>
      <c r="E220" s="368">
        <v>19</v>
      </c>
      <c r="F220" s="368">
        <v>44</v>
      </c>
      <c r="G220" s="368"/>
      <c r="H220" s="368">
        <v>5</v>
      </c>
      <c r="I220" s="368">
        <v>37</v>
      </c>
      <c r="J220" s="368">
        <v>36</v>
      </c>
      <c r="K220" s="370">
        <v>73</v>
      </c>
      <c r="L220" s="29"/>
      <c r="M220" s="29"/>
      <c r="N220" s="29"/>
      <c r="O220" s="29"/>
      <c r="P220" s="29"/>
      <c r="Q220" s="29"/>
      <c r="R220" s="29"/>
      <c r="S220" s="29"/>
      <c r="T220" s="29"/>
      <c r="U220" s="29"/>
      <c r="V220" s="29"/>
      <c r="W220" s="29"/>
      <c r="X220" s="29"/>
      <c r="Y220" s="29"/>
      <c r="Z220" s="29"/>
    </row>
    <row r="221" spans="1:26" x14ac:dyDescent="0.25">
      <c r="B221" s="152" t="s">
        <v>262</v>
      </c>
      <c r="C221" s="368"/>
      <c r="D221" s="368">
        <v>35</v>
      </c>
      <c r="E221" s="368">
        <v>220</v>
      </c>
      <c r="F221" s="368">
        <v>510</v>
      </c>
      <c r="G221" s="368"/>
      <c r="H221" s="368">
        <v>20</v>
      </c>
      <c r="I221" s="368">
        <v>410</v>
      </c>
      <c r="J221" s="368">
        <v>375</v>
      </c>
      <c r="K221" s="370">
        <v>785</v>
      </c>
      <c r="L221" s="29"/>
      <c r="M221" s="29"/>
      <c r="N221" s="29"/>
      <c r="O221" s="29"/>
      <c r="P221" s="29"/>
      <c r="Q221" s="29"/>
      <c r="R221" s="29"/>
      <c r="S221" s="29"/>
      <c r="T221" s="29"/>
      <c r="U221" s="29"/>
      <c r="V221" s="29"/>
      <c r="W221" s="29"/>
      <c r="X221" s="29"/>
      <c r="Y221" s="29"/>
      <c r="Z221" s="29"/>
    </row>
    <row r="222" spans="1:26" x14ac:dyDescent="0.25">
      <c r="B222" s="152" t="s">
        <v>263</v>
      </c>
      <c r="C222" s="368"/>
      <c r="D222" s="368">
        <v>26</v>
      </c>
      <c r="E222" s="368">
        <v>73</v>
      </c>
      <c r="F222" s="368">
        <v>113</v>
      </c>
      <c r="G222" s="368"/>
      <c r="H222" s="368">
        <v>7</v>
      </c>
      <c r="I222" s="368">
        <v>104</v>
      </c>
      <c r="J222" s="368">
        <v>115</v>
      </c>
      <c r="K222" s="370">
        <v>219</v>
      </c>
      <c r="L222" s="29"/>
      <c r="M222" s="29"/>
      <c r="N222" s="29"/>
      <c r="O222" s="29"/>
      <c r="P222" s="29"/>
      <c r="Q222" s="29"/>
      <c r="R222" s="29"/>
      <c r="S222" s="29"/>
      <c r="T222" s="29"/>
      <c r="U222" s="29"/>
      <c r="V222" s="29"/>
      <c r="W222" s="29"/>
      <c r="X222" s="29"/>
      <c r="Y222" s="29"/>
      <c r="Z222" s="29"/>
    </row>
    <row r="223" spans="1:26" x14ac:dyDescent="0.25">
      <c r="B223" s="152" t="s">
        <v>264</v>
      </c>
      <c r="C223" s="368"/>
      <c r="D223" s="368">
        <v>34</v>
      </c>
      <c r="E223" s="368">
        <v>77</v>
      </c>
      <c r="F223" s="368">
        <v>124</v>
      </c>
      <c r="G223" s="368"/>
      <c r="H223" s="368">
        <v>21</v>
      </c>
      <c r="I223" s="368">
        <v>140</v>
      </c>
      <c r="J223" s="368">
        <v>116</v>
      </c>
      <c r="K223" s="370">
        <v>256</v>
      </c>
      <c r="L223" s="29"/>
      <c r="M223" s="29"/>
      <c r="N223" s="29"/>
      <c r="O223" s="29"/>
      <c r="P223" s="29"/>
      <c r="Q223" s="29"/>
      <c r="R223" s="29"/>
      <c r="S223" s="29"/>
      <c r="T223" s="29"/>
      <c r="U223" s="29"/>
      <c r="V223" s="29"/>
      <c r="W223" s="29"/>
      <c r="X223" s="29"/>
      <c r="Y223" s="29"/>
      <c r="Z223" s="29"/>
    </row>
    <row r="224" spans="1:26" x14ac:dyDescent="0.25">
      <c r="B224" s="152" t="s">
        <v>265</v>
      </c>
      <c r="C224" s="368"/>
      <c r="D224" s="368">
        <v>13</v>
      </c>
      <c r="E224" s="368">
        <v>92</v>
      </c>
      <c r="F224" s="368">
        <v>186</v>
      </c>
      <c r="G224" s="368"/>
      <c r="H224" s="368">
        <v>10</v>
      </c>
      <c r="I224" s="368">
        <v>153</v>
      </c>
      <c r="J224" s="368">
        <v>148</v>
      </c>
      <c r="K224" s="370">
        <v>301</v>
      </c>
      <c r="L224" s="29"/>
      <c r="M224" s="29"/>
      <c r="N224" s="29"/>
      <c r="O224" s="29"/>
      <c r="P224" s="29"/>
      <c r="Q224" s="29"/>
      <c r="R224" s="29"/>
      <c r="S224" s="29"/>
      <c r="T224" s="29"/>
      <c r="U224" s="29"/>
      <c r="V224" s="29"/>
      <c r="W224" s="29"/>
      <c r="X224" s="29"/>
      <c r="Y224" s="29"/>
      <c r="Z224" s="29"/>
    </row>
    <row r="225" spans="2:26" x14ac:dyDescent="0.25">
      <c r="B225" s="152" t="s">
        <v>266</v>
      </c>
      <c r="C225" s="368"/>
      <c r="D225" s="368">
        <v>28</v>
      </c>
      <c r="E225" s="368">
        <v>106</v>
      </c>
      <c r="F225" s="368">
        <v>183</v>
      </c>
      <c r="G225" s="368"/>
      <c r="H225" s="368">
        <v>12</v>
      </c>
      <c r="I225" s="368">
        <v>173</v>
      </c>
      <c r="J225" s="368">
        <v>156</v>
      </c>
      <c r="K225" s="370">
        <v>329</v>
      </c>
      <c r="L225" s="29"/>
      <c r="M225" s="29"/>
      <c r="N225" s="29"/>
      <c r="O225" s="29"/>
      <c r="P225" s="29"/>
      <c r="Q225" s="29"/>
      <c r="R225" s="29"/>
      <c r="S225" s="29"/>
      <c r="T225" s="29"/>
      <c r="U225" s="29"/>
      <c r="V225" s="29"/>
      <c r="W225" s="29"/>
      <c r="X225" s="29"/>
      <c r="Y225" s="29"/>
      <c r="Z225" s="29"/>
    </row>
    <row r="226" spans="2:26" x14ac:dyDescent="0.25">
      <c r="B226" s="152" t="s">
        <v>267</v>
      </c>
      <c r="C226" s="368"/>
      <c r="D226" s="368">
        <v>4</v>
      </c>
      <c r="E226" s="368">
        <v>22</v>
      </c>
      <c r="F226" s="368">
        <v>38</v>
      </c>
      <c r="G226" s="368"/>
      <c r="H226" s="368">
        <v>1</v>
      </c>
      <c r="I226" s="368">
        <v>32</v>
      </c>
      <c r="J226" s="368">
        <v>33</v>
      </c>
      <c r="K226" s="370">
        <v>65</v>
      </c>
      <c r="L226" s="29"/>
      <c r="M226" s="29"/>
      <c r="N226" s="29"/>
      <c r="O226" s="29"/>
      <c r="P226" s="29"/>
      <c r="Q226" s="29"/>
      <c r="R226" s="29"/>
      <c r="S226" s="29"/>
      <c r="T226" s="29"/>
      <c r="U226" s="29"/>
      <c r="V226" s="29"/>
      <c r="W226" s="29"/>
      <c r="X226" s="29"/>
      <c r="Y226" s="29"/>
      <c r="Z226" s="29"/>
    </row>
    <row r="227" spans="2:26" x14ac:dyDescent="0.25">
      <c r="B227" s="152" t="s">
        <v>268</v>
      </c>
      <c r="C227" s="368"/>
      <c r="D227" s="368">
        <v>7</v>
      </c>
      <c r="E227" s="368">
        <v>28</v>
      </c>
      <c r="F227" s="368">
        <v>41</v>
      </c>
      <c r="G227" s="368"/>
      <c r="H227" s="368">
        <v>0</v>
      </c>
      <c r="I227" s="368">
        <v>42</v>
      </c>
      <c r="J227" s="368">
        <v>34</v>
      </c>
      <c r="K227" s="370">
        <v>76</v>
      </c>
      <c r="L227" s="29"/>
      <c r="M227" s="29"/>
      <c r="N227" s="29"/>
      <c r="O227" s="29"/>
      <c r="P227" s="29"/>
      <c r="Q227" s="29"/>
      <c r="R227" s="29"/>
      <c r="S227" s="29"/>
      <c r="T227" s="29"/>
      <c r="U227" s="29"/>
      <c r="V227" s="29"/>
      <c r="W227" s="29"/>
      <c r="X227" s="29"/>
      <c r="Y227" s="29"/>
      <c r="Z227" s="29"/>
    </row>
    <row r="228" spans="2:26" x14ac:dyDescent="0.25">
      <c r="B228" s="152" t="s">
        <v>269</v>
      </c>
      <c r="C228" s="368"/>
      <c r="D228" s="368">
        <v>6</v>
      </c>
      <c r="E228" s="368">
        <v>17</v>
      </c>
      <c r="F228" s="368">
        <v>28</v>
      </c>
      <c r="G228" s="368"/>
      <c r="H228" s="368">
        <v>4</v>
      </c>
      <c r="I228" s="368">
        <v>27</v>
      </c>
      <c r="J228" s="368">
        <v>28</v>
      </c>
      <c r="K228" s="370">
        <v>55</v>
      </c>
      <c r="L228" s="29"/>
      <c r="M228" s="29"/>
      <c r="N228" s="29"/>
      <c r="O228" s="29"/>
      <c r="P228" s="29"/>
      <c r="Q228" s="29"/>
      <c r="R228" s="29"/>
      <c r="S228" s="29"/>
      <c r="T228" s="29"/>
      <c r="U228" s="29"/>
      <c r="V228" s="29"/>
      <c r="W228" s="29"/>
      <c r="X228" s="29"/>
      <c r="Y228" s="29"/>
      <c r="Z228" s="29"/>
    </row>
    <row r="229" spans="2:26" x14ac:dyDescent="0.25">
      <c r="B229" s="152" t="s">
        <v>270</v>
      </c>
      <c r="C229" s="368"/>
      <c r="D229" s="368">
        <v>2</v>
      </c>
      <c r="E229" s="368">
        <v>16</v>
      </c>
      <c r="F229" s="368">
        <v>41</v>
      </c>
      <c r="G229" s="368"/>
      <c r="H229" s="368">
        <v>2</v>
      </c>
      <c r="I229" s="368">
        <v>28</v>
      </c>
      <c r="J229" s="368">
        <v>33</v>
      </c>
      <c r="K229" s="370">
        <v>61</v>
      </c>
      <c r="L229" s="29"/>
      <c r="M229" s="29"/>
      <c r="N229" s="29"/>
      <c r="O229" s="29"/>
      <c r="P229" s="29"/>
      <c r="Q229" s="29"/>
      <c r="R229" s="29"/>
      <c r="S229" s="29"/>
      <c r="T229" s="29"/>
      <c r="U229" s="29"/>
      <c r="V229" s="29"/>
      <c r="W229" s="29"/>
      <c r="X229" s="29"/>
      <c r="Y229" s="29"/>
      <c r="Z229" s="29"/>
    </row>
    <row r="230" spans="2:26" x14ac:dyDescent="0.25">
      <c r="B230" s="152" t="s">
        <v>271</v>
      </c>
      <c r="C230" s="368"/>
      <c r="D230" s="368">
        <v>11</v>
      </c>
      <c r="E230" s="368">
        <v>47</v>
      </c>
      <c r="F230" s="368">
        <v>74</v>
      </c>
      <c r="G230" s="368"/>
      <c r="H230" s="368">
        <v>3</v>
      </c>
      <c r="I230" s="368">
        <v>59</v>
      </c>
      <c r="J230" s="368">
        <v>76</v>
      </c>
      <c r="K230" s="370">
        <v>135</v>
      </c>
      <c r="L230" s="29"/>
      <c r="M230" s="29"/>
      <c r="N230" s="29"/>
      <c r="O230" s="29"/>
      <c r="P230" s="29"/>
      <c r="Q230" s="29"/>
      <c r="R230" s="29"/>
      <c r="S230" s="29"/>
      <c r="T230" s="29"/>
      <c r="U230" s="29"/>
      <c r="V230" s="29"/>
      <c r="W230" s="29"/>
      <c r="X230" s="29"/>
      <c r="Y230" s="29"/>
      <c r="Z230" s="29"/>
    </row>
    <row r="231" spans="2:26" x14ac:dyDescent="0.25">
      <c r="B231" s="152" t="s">
        <v>272</v>
      </c>
      <c r="C231" s="368"/>
      <c r="D231" s="368">
        <v>11</v>
      </c>
      <c r="E231" s="368">
        <v>20</v>
      </c>
      <c r="F231" s="368">
        <v>58</v>
      </c>
      <c r="G231" s="368"/>
      <c r="H231" s="368">
        <v>4</v>
      </c>
      <c r="I231" s="368">
        <v>45</v>
      </c>
      <c r="J231" s="368">
        <v>48</v>
      </c>
      <c r="K231" s="370">
        <v>93</v>
      </c>
      <c r="L231" s="29"/>
      <c r="M231" s="29"/>
      <c r="N231" s="29"/>
      <c r="O231" s="29"/>
      <c r="P231" s="29"/>
      <c r="Q231" s="29"/>
      <c r="R231" s="29"/>
      <c r="S231" s="29"/>
      <c r="T231" s="29"/>
      <c r="U231" s="29"/>
      <c r="V231" s="29"/>
      <c r="W231" s="29"/>
      <c r="X231" s="29"/>
      <c r="Y231" s="29"/>
      <c r="Z231" s="29"/>
    </row>
    <row r="232" spans="2:26" x14ac:dyDescent="0.25">
      <c r="B232" s="152" t="s">
        <v>273</v>
      </c>
      <c r="C232" s="368"/>
      <c r="D232" s="368">
        <v>12</v>
      </c>
      <c r="E232" s="368">
        <v>34</v>
      </c>
      <c r="F232" s="368">
        <v>56</v>
      </c>
      <c r="G232" s="368"/>
      <c r="H232" s="368">
        <v>3</v>
      </c>
      <c r="I232" s="368">
        <v>50</v>
      </c>
      <c r="J232" s="368">
        <v>55</v>
      </c>
      <c r="K232" s="370">
        <v>105</v>
      </c>
      <c r="L232" s="29"/>
      <c r="M232" s="29"/>
      <c r="N232" s="29"/>
      <c r="O232" s="29"/>
      <c r="P232" s="29"/>
      <c r="Q232" s="29"/>
      <c r="R232" s="29"/>
      <c r="S232" s="29"/>
      <c r="T232" s="29"/>
      <c r="U232" s="29"/>
      <c r="V232" s="29"/>
      <c r="W232" s="29"/>
      <c r="X232" s="29"/>
      <c r="Y232" s="29"/>
      <c r="Z232" s="29"/>
    </row>
    <row r="233" spans="2:26" x14ac:dyDescent="0.25">
      <c r="B233" s="152" t="s">
        <v>274</v>
      </c>
      <c r="C233" s="368"/>
      <c r="D233" s="368">
        <v>6</v>
      </c>
      <c r="E233" s="368">
        <v>32</v>
      </c>
      <c r="F233" s="368">
        <v>78</v>
      </c>
      <c r="G233" s="368"/>
      <c r="H233" s="368">
        <v>6</v>
      </c>
      <c r="I233" s="368">
        <v>54</v>
      </c>
      <c r="J233" s="368">
        <v>68</v>
      </c>
      <c r="K233" s="370">
        <v>122</v>
      </c>
      <c r="L233" s="29"/>
      <c r="M233" s="29"/>
      <c r="N233" s="29"/>
      <c r="O233" s="29"/>
      <c r="P233" s="29"/>
      <c r="Q233" s="29"/>
      <c r="R233" s="29"/>
      <c r="S233" s="29"/>
      <c r="T233" s="29"/>
      <c r="U233" s="29"/>
      <c r="V233" s="29"/>
      <c r="W233" s="29"/>
      <c r="X233" s="29"/>
      <c r="Y233" s="29"/>
      <c r="Z233" s="29"/>
    </row>
    <row r="234" spans="2:26" x14ac:dyDescent="0.25">
      <c r="B234" s="152" t="s">
        <v>275</v>
      </c>
      <c r="C234" s="368"/>
      <c r="D234" s="368">
        <v>22</v>
      </c>
      <c r="E234" s="368">
        <v>86</v>
      </c>
      <c r="F234" s="368">
        <v>169</v>
      </c>
      <c r="G234" s="368"/>
      <c r="H234" s="368">
        <v>13</v>
      </c>
      <c r="I234" s="368">
        <v>136</v>
      </c>
      <c r="J234" s="368">
        <v>154</v>
      </c>
      <c r="K234" s="370">
        <v>290</v>
      </c>
      <c r="L234" s="29"/>
      <c r="M234" s="29"/>
      <c r="N234" s="29"/>
      <c r="O234" s="29"/>
      <c r="P234" s="29"/>
      <c r="Q234" s="29"/>
      <c r="R234" s="29"/>
      <c r="S234" s="29"/>
      <c r="T234" s="29"/>
      <c r="U234" s="29"/>
      <c r="V234" s="29"/>
      <c r="W234" s="29"/>
      <c r="X234" s="29"/>
      <c r="Y234" s="29"/>
      <c r="Z234" s="29"/>
    </row>
    <row r="235" spans="2:26" x14ac:dyDescent="0.25">
      <c r="B235" s="152" t="s">
        <v>276</v>
      </c>
      <c r="C235" s="368"/>
      <c r="D235" s="368">
        <v>18</v>
      </c>
      <c r="E235" s="368">
        <v>98</v>
      </c>
      <c r="F235" s="368">
        <v>212</v>
      </c>
      <c r="G235" s="368"/>
      <c r="H235" s="368">
        <v>18</v>
      </c>
      <c r="I235" s="368">
        <v>180</v>
      </c>
      <c r="J235" s="368">
        <v>166</v>
      </c>
      <c r="K235" s="370">
        <v>346</v>
      </c>
      <c r="L235" s="29"/>
      <c r="M235" s="29"/>
      <c r="N235" s="29"/>
      <c r="O235" s="29"/>
      <c r="P235" s="29"/>
      <c r="Q235" s="29"/>
      <c r="R235" s="29"/>
      <c r="S235" s="29"/>
      <c r="T235" s="29"/>
      <c r="U235" s="29"/>
      <c r="V235" s="29"/>
      <c r="W235" s="29"/>
      <c r="X235" s="29"/>
      <c r="Y235" s="29"/>
      <c r="Z235" s="29"/>
    </row>
    <row r="236" spans="2:26" x14ac:dyDescent="0.25">
      <c r="B236" s="152" t="s">
        <v>277</v>
      </c>
      <c r="C236" s="368"/>
      <c r="D236" s="368">
        <v>2</v>
      </c>
      <c r="E236" s="368">
        <v>16</v>
      </c>
      <c r="F236" s="368">
        <v>41</v>
      </c>
      <c r="G236" s="368"/>
      <c r="H236" s="368">
        <v>3</v>
      </c>
      <c r="I236" s="368">
        <v>35</v>
      </c>
      <c r="J236" s="368">
        <v>27</v>
      </c>
      <c r="K236" s="370">
        <v>62</v>
      </c>
      <c r="L236" s="29"/>
      <c r="M236" s="29"/>
      <c r="N236" s="29"/>
      <c r="O236" s="29"/>
      <c r="P236" s="29"/>
      <c r="Q236" s="29"/>
      <c r="R236" s="29"/>
      <c r="S236" s="29"/>
      <c r="T236" s="29"/>
      <c r="U236" s="29"/>
      <c r="V236" s="29"/>
      <c r="W236" s="29"/>
      <c r="X236" s="29"/>
      <c r="Y236" s="29"/>
      <c r="Z236" s="29"/>
    </row>
    <row r="237" spans="2:26" x14ac:dyDescent="0.25">
      <c r="B237" s="152" t="s">
        <v>278</v>
      </c>
      <c r="C237" s="368"/>
      <c r="D237" s="368">
        <v>124</v>
      </c>
      <c r="E237" s="368">
        <v>462</v>
      </c>
      <c r="F237" s="368">
        <v>1150</v>
      </c>
      <c r="G237" s="368"/>
      <c r="H237" s="368">
        <v>68</v>
      </c>
      <c r="I237" s="368">
        <v>990</v>
      </c>
      <c r="J237" s="368">
        <v>814</v>
      </c>
      <c r="K237" s="370">
        <v>1804</v>
      </c>
      <c r="L237" s="29"/>
      <c r="M237" s="29"/>
      <c r="N237" s="29"/>
      <c r="O237" s="29"/>
      <c r="P237" s="29"/>
      <c r="Q237" s="29"/>
      <c r="R237" s="29"/>
      <c r="S237" s="29"/>
      <c r="T237" s="29"/>
      <c r="U237" s="29"/>
      <c r="V237" s="29"/>
      <c r="W237" s="29"/>
      <c r="X237" s="29"/>
      <c r="Y237" s="29"/>
      <c r="Z237" s="29"/>
    </row>
    <row r="238" spans="2:26" x14ac:dyDescent="0.25">
      <c r="B238" s="152" t="s">
        <v>279</v>
      </c>
      <c r="C238" s="368"/>
      <c r="D238" s="368">
        <v>23</v>
      </c>
      <c r="E238" s="368">
        <v>48</v>
      </c>
      <c r="F238" s="368">
        <v>134</v>
      </c>
      <c r="G238" s="368"/>
      <c r="H238" s="368">
        <v>5</v>
      </c>
      <c r="I238" s="368">
        <v>103</v>
      </c>
      <c r="J238" s="368">
        <v>107</v>
      </c>
      <c r="K238" s="370">
        <v>210</v>
      </c>
      <c r="L238" s="29"/>
      <c r="M238" s="29"/>
      <c r="N238" s="29"/>
      <c r="O238" s="29"/>
      <c r="P238" s="29"/>
      <c r="Q238" s="29"/>
      <c r="R238" s="29"/>
      <c r="S238" s="29"/>
      <c r="T238" s="29"/>
      <c r="U238" s="29"/>
      <c r="V238" s="29"/>
      <c r="W238" s="29"/>
      <c r="X238" s="29"/>
      <c r="Y238" s="29"/>
      <c r="Z238" s="29"/>
    </row>
    <row r="239" spans="2:26" x14ac:dyDescent="0.25">
      <c r="B239" s="152" t="s">
        <v>280</v>
      </c>
      <c r="C239" s="368"/>
      <c r="D239" s="368">
        <v>3</v>
      </c>
      <c r="E239" s="368">
        <v>22</v>
      </c>
      <c r="F239" s="368">
        <v>14</v>
      </c>
      <c r="G239" s="368"/>
      <c r="H239" s="368">
        <v>1</v>
      </c>
      <c r="I239" s="368">
        <v>16</v>
      </c>
      <c r="J239" s="368">
        <v>24</v>
      </c>
      <c r="K239" s="370">
        <v>40</v>
      </c>
      <c r="L239" s="29"/>
      <c r="M239" s="29"/>
      <c r="N239" s="29"/>
      <c r="O239" s="29"/>
      <c r="P239" s="29"/>
      <c r="Q239" s="29"/>
      <c r="R239" s="29"/>
      <c r="S239" s="29"/>
      <c r="T239" s="29"/>
      <c r="U239" s="29"/>
      <c r="V239" s="29"/>
      <c r="W239" s="29"/>
      <c r="X239" s="29"/>
      <c r="Y239" s="29"/>
      <c r="Z239" s="29"/>
    </row>
    <row r="240" spans="2:26" x14ac:dyDescent="0.25">
      <c r="B240" s="152" t="s">
        <v>281</v>
      </c>
      <c r="C240" s="368"/>
      <c r="D240" s="368">
        <v>10</v>
      </c>
      <c r="E240" s="368">
        <v>25</v>
      </c>
      <c r="F240" s="368">
        <v>82</v>
      </c>
      <c r="G240" s="368"/>
      <c r="H240" s="368">
        <v>2</v>
      </c>
      <c r="I240" s="368">
        <v>67</v>
      </c>
      <c r="J240" s="368">
        <v>52</v>
      </c>
      <c r="K240" s="370">
        <v>119</v>
      </c>
      <c r="L240" s="29"/>
      <c r="M240" s="29"/>
      <c r="N240" s="29"/>
      <c r="O240" s="29"/>
      <c r="P240" s="29"/>
      <c r="Q240" s="29"/>
      <c r="R240" s="29"/>
      <c r="S240" s="29"/>
      <c r="T240" s="29"/>
      <c r="U240" s="29"/>
      <c r="V240" s="29"/>
      <c r="W240" s="29"/>
      <c r="X240" s="29"/>
      <c r="Y240" s="29"/>
      <c r="Z240" s="29"/>
    </row>
    <row r="241" spans="2:26" x14ac:dyDescent="0.25">
      <c r="B241" s="174" t="s">
        <v>282</v>
      </c>
      <c r="C241" s="380"/>
      <c r="D241" s="380">
        <v>17</v>
      </c>
      <c r="E241" s="380">
        <v>38</v>
      </c>
      <c r="F241" s="368">
        <v>52</v>
      </c>
      <c r="G241" s="368"/>
      <c r="H241" s="368">
        <v>6</v>
      </c>
      <c r="I241" s="368">
        <v>55</v>
      </c>
      <c r="J241" s="368">
        <v>58</v>
      </c>
      <c r="K241" s="370">
        <v>113</v>
      </c>
      <c r="L241" s="29"/>
      <c r="M241" s="29"/>
      <c r="N241" s="29"/>
      <c r="O241" s="29"/>
      <c r="P241" s="29"/>
      <c r="Q241" s="29"/>
      <c r="R241" s="29"/>
      <c r="S241" s="29"/>
      <c r="T241" s="29"/>
      <c r="U241" s="29"/>
      <c r="V241" s="29"/>
      <c r="W241" s="29"/>
      <c r="X241" s="29"/>
      <c r="Y241" s="29"/>
      <c r="Z241" s="29"/>
    </row>
    <row r="242" spans="2:26" x14ac:dyDescent="0.25">
      <c r="B242" s="289" t="s">
        <v>36</v>
      </c>
      <c r="C242" s="359"/>
      <c r="D242" s="359">
        <v>579</v>
      </c>
      <c r="E242" s="359">
        <v>2252</v>
      </c>
      <c r="F242" s="359">
        <v>4783</v>
      </c>
      <c r="G242" s="359"/>
      <c r="H242" s="359">
        <v>304</v>
      </c>
      <c r="I242" s="359">
        <v>4101</v>
      </c>
      <c r="J242" s="334">
        <v>3817</v>
      </c>
      <c r="K242" s="334">
        <v>7918</v>
      </c>
      <c r="L242" s="29"/>
      <c r="M242" s="29"/>
      <c r="N242" s="29"/>
      <c r="O242" s="29"/>
      <c r="P242" s="29"/>
      <c r="Q242" s="29"/>
      <c r="R242" s="29"/>
      <c r="S242" s="29"/>
      <c r="T242" s="29"/>
      <c r="U242" s="29"/>
      <c r="V242" s="29"/>
      <c r="W242" s="29"/>
      <c r="X242" s="29"/>
      <c r="Y242" s="29"/>
      <c r="Z242" s="29"/>
    </row>
    <row r="243" spans="2:26" ht="30" customHeight="1" x14ac:dyDescent="0.25">
      <c r="B243" s="504" t="s">
        <v>898</v>
      </c>
      <c r="C243" s="504"/>
      <c r="D243" s="504"/>
      <c r="E243" s="504"/>
      <c r="F243" s="504"/>
      <c r="G243" s="504"/>
      <c r="H243" s="504"/>
      <c r="I243" s="504"/>
      <c r="J243" s="504"/>
      <c r="K243" s="504"/>
      <c r="L243" s="29"/>
      <c r="M243" s="29"/>
      <c r="N243" s="29"/>
      <c r="O243" s="29"/>
      <c r="P243" s="29"/>
      <c r="Q243" s="29"/>
      <c r="R243" s="29"/>
      <c r="S243" s="29"/>
      <c r="T243" s="29"/>
      <c r="U243" s="29"/>
      <c r="V243" s="29"/>
      <c r="W243" s="29"/>
      <c r="X243" s="29"/>
      <c r="Y243" s="29"/>
    </row>
    <row r="244" spans="2:26" x14ac:dyDescent="0.25">
      <c r="B244" s="176"/>
      <c r="C244" s="176"/>
      <c r="D244" s="176"/>
      <c r="E244" s="176"/>
      <c r="F244"/>
      <c r="G244"/>
      <c r="H244"/>
      <c r="I244"/>
      <c r="J244" s="29"/>
      <c r="K244" s="29"/>
      <c r="L244" s="29"/>
      <c r="M244" s="29"/>
      <c r="N244" s="29"/>
      <c r="O244" s="29"/>
      <c r="P244" s="29"/>
      <c r="Q244" s="29"/>
      <c r="R244" s="29"/>
      <c r="S244" s="29"/>
      <c r="T244" s="29"/>
      <c r="U244" s="29"/>
      <c r="V244" s="29"/>
      <c r="W244" s="29"/>
      <c r="X244" s="29"/>
      <c r="Y244" s="29"/>
    </row>
    <row r="245" spans="2:26" x14ac:dyDescent="0.25">
      <c r="B245" s="205" t="s">
        <v>528</v>
      </c>
      <c r="C245"/>
      <c r="D245"/>
      <c r="E245"/>
      <c r="F245"/>
      <c r="G245"/>
      <c r="H245"/>
      <c r="I245"/>
      <c r="J245" s="29"/>
      <c r="K245" s="29"/>
      <c r="L245" s="29"/>
      <c r="M245" s="29"/>
      <c r="N245" s="29"/>
      <c r="O245" s="29"/>
      <c r="P245" s="29"/>
      <c r="Q245" s="29"/>
      <c r="R245" s="29"/>
      <c r="S245" s="29"/>
      <c r="T245" s="29"/>
      <c r="U245" s="29"/>
      <c r="V245" s="29"/>
      <c r="W245" s="29"/>
      <c r="X245" s="29"/>
      <c r="Y245" s="29"/>
    </row>
    <row r="246" spans="2:26" x14ac:dyDescent="0.25">
      <c r="B246" s="205"/>
      <c r="C246"/>
      <c r="D246"/>
      <c r="E246"/>
      <c r="F246"/>
      <c r="G246"/>
      <c r="H246"/>
      <c r="I246"/>
      <c r="J246" s="29"/>
      <c r="K246" s="29"/>
      <c r="L246" s="29"/>
      <c r="M246" s="29"/>
      <c r="N246" s="29"/>
      <c r="O246" s="29"/>
      <c r="P246" s="29"/>
      <c r="Q246" s="29"/>
      <c r="R246" s="29"/>
      <c r="S246" s="29"/>
      <c r="T246" s="29"/>
      <c r="U246" s="29"/>
      <c r="V246" s="29"/>
      <c r="W246" s="29"/>
      <c r="X246" s="29"/>
      <c r="Y246" s="29"/>
    </row>
    <row r="247" spans="2:26" ht="15" customHeight="1" x14ac:dyDescent="0.25">
      <c r="B247" s="176"/>
      <c r="C247" s="488" t="s">
        <v>538</v>
      </c>
      <c r="D247" s="488"/>
      <c r="E247" s="488"/>
      <c r="F247" s="488"/>
      <c r="G247" s="488"/>
      <c r="H247" s="488"/>
      <c r="I247" s="484" t="s">
        <v>539</v>
      </c>
      <c r="J247" s="484"/>
      <c r="K247" s="492" t="s">
        <v>36</v>
      </c>
      <c r="L247" s="29"/>
      <c r="M247" s="29"/>
      <c r="N247" s="29"/>
      <c r="O247" s="29"/>
      <c r="P247" s="29"/>
      <c r="Q247" s="29"/>
      <c r="R247" s="29"/>
      <c r="S247" s="29"/>
      <c r="T247" s="29"/>
      <c r="U247" s="29"/>
      <c r="V247" s="29"/>
      <c r="W247" s="29"/>
      <c r="X247" s="29"/>
      <c r="Y247" s="29"/>
    </row>
    <row r="248" spans="2:26" ht="30" x14ac:dyDescent="0.25">
      <c r="B248" s="178" t="s">
        <v>548</v>
      </c>
      <c r="C248" s="179" t="s">
        <v>3</v>
      </c>
      <c r="D248" s="179" t="s">
        <v>4</v>
      </c>
      <c r="E248" s="179" t="s">
        <v>714</v>
      </c>
      <c r="F248" s="179" t="s">
        <v>501</v>
      </c>
      <c r="G248" s="179" t="s">
        <v>5</v>
      </c>
      <c r="H248" s="179" t="s">
        <v>6</v>
      </c>
      <c r="I248" s="179" t="s">
        <v>87</v>
      </c>
      <c r="J248" s="179" t="s">
        <v>88</v>
      </c>
      <c r="K248" s="492"/>
      <c r="L248" s="29"/>
      <c r="M248" s="29"/>
      <c r="N248" s="29"/>
      <c r="O248" s="29"/>
      <c r="P248" s="29"/>
      <c r="Q248" s="29"/>
      <c r="R248" s="29"/>
      <c r="S248" s="29"/>
      <c r="T248" s="29"/>
      <c r="U248" s="29"/>
      <c r="V248" s="29"/>
      <c r="W248" s="29"/>
      <c r="X248" s="29"/>
      <c r="Y248" s="29"/>
    </row>
    <row r="249" spans="2:26" x14ac:dyDescent="0.25">
      <c r="B249" s="175" t="s">
        <v>284</v>
      </c>
      <c r="C249" s="368"/>
      <c r="D249" s="368">
        <v>13</v>
      </c>
      <c r="E249" s="368">
        <v>6</v>
      </c>
      <c r="F249" s="368">
        <v>7</v>
      </c>
      <c r="G249" s="368"/>
      <c r="H249" s="368">
        <v>3</v>
      </c>
      <c r="I249" s="368">
        <v>18</v>
      </c>
      <c r="J249" s="368">
        <v>11</v>
      </c>
      <c r="K249" s="370">
        <v>29</v>
      </c>
      <c r="L249" s="29"/>
      <c r="M249" s="29"/>
      <c r="N249" s="29"/>
      <c r="O249" s="29"/>
      <c r="P249" s="29"/>
      <c r="Q249" s="29"/>
      <c r="R249" s="29"/>
      <c r="S249" s="29"/>
      <c r="T249" s="29"/>
      <c r="U249" s="29"/>
      <c r="V249" s="29"/>
      <c r="W249" s="29"/>
      <c r="X249" s="29"/>
      <c r="Y249" s="29"/>
      <c r="Z249" s="29"/>
    </row>
    <row r="250" spans="2:26" x14ac:dyDescent="0.25">
      <c r="B250" s="152" t="s">
        <v>285</v>
      </c>
      <c r="C250" s="368"/>
      <c r="D250" s="368">
        <v>3</v>
      </c>
      <c r="E250" s="368">
        <v>9</v>
      </c>
      <c r="F250" s="368">
        <v>14</v>
      </c>
      <c r="G250" s="368"/>
      <c r="H250" s="368">
        <v>0</v>
      </c>
      <c r="I250" s="368">
        <v>19</v>
      </c>
      <c r="J250" s="368">
        <v>7</v>
      </c>
      <c r="K250" s="370">
        <v>26</v>
      </c>
      <c r="L250" s="29"/>
      <c r="M250" s="29"/>
      <c r="N250" s="29"/>
      <c r="O250" s="29"/>
      <c r="P250" s="29"/>
      <c r="Q250" s="29"/>
      <c r="R250" s="29"/>
      <c r="S250" s="29"/>
      <c r="T250" s="29"/>
      <c r="U250" s="29"/>
      <c r="V250" s="29"/>
      <c r="W250" s="29"/>
      <c r="X250" s="29"/>
      <c r="Y250" s="29"/>
      <c r="Z250" s="29"/>
    </row>
    <row r="251" spans="2:26" x14ac:dyDescent="0.25">
      <c r="B251" s="152" t="s">
        <v>286</v>
      </c>
      <c r="C251" s="368"/>
      <c r="D251" s="368">
        <v>30</v>
      </c>
      <c r="E251" s="368">
        <v>76</v>
      </c>
      <c r="F251" s="368">
        <v>121</v>
      </c>
      <c r="G251" s="368"/>
      <c r="H251" s="368">
        <v>6</v>
      </c>
      <c r="I251" s="368">
        <v>106</v>
      </c>
      <c r="J251" s="368">
        <v>127</v>
      </c>
      <c r="K251" s="370">
        <v>233</v>
      </c>
      <c r="L251" s="29"/>
      <c r="M251" s="29"/>
      <c r="N251" s="29"/>
      <c r="O251" s="29"/>
      <c r="P251" s="29"/>
      <c r="Q251" s="29"/>
      <c r="R251" s="29"/>
      <c r="S251" s="29"/>
      <c r="T251" s="29"/>
      <c r="U251" s="29"/>
      <c r="V251" s="29"/>
      <c r="W251" s="29"/>
      <c r="X251" s="29"/>
      <c r="Y251" s="29"/>
      <c r="Z251" s="29"/>
    </row>
    <row r="252" spans="2:26" x14ac:dyDescent="0.25">
      <c r="B252" s="152" t="s">
        <v>287</v>
      </c>
      <c r="C252" s="368"/>
      <c r="D252" s="368">
        <v>28</v>
      </c>
      <c r="E252" s="368">
        <v>50</v>
      </c>
      <c r="F252" s="368">
        <v>93</v>
      </c>
      <c r="G252" s="368"/>
      <c r="H252" s="368">
        <v>12</v>
      </c>
      <c r="I252" s="368">
        <v>97</v>
      </c>
      <c r="J252" s="368">
        <v>86</v>
      </c>
      <c r="K252" s="370">
        <v>183</v>
      </c>
      <c r="L252" s="29"/>
      <c r="M252" s="29"/>
      <c r="N252" s="29"/>
      <c r="O252" s="29"/>
      <c r="P252" s="29"/>
      <c r="Q252" s="29"/>
      <c r="R252" s="29"/>
      <c r="S252" s="29"/>
      <c r="T252" s="29"/>
      <c r="U252" s="29"/>
      <c r="V252" s="29"/>
      <c r="W252" s="29"/>
      <c r="X252" s="29"/>
      <c r="Y252" s="29"/>
      <c r="Z252" s="29"/>
    </row>
    <row r="253" spans="2:26" x14ac:dyDescent="0.25">
      <c r="B253" s="152" t="s">
        <v>511</v>
      </c>
      <c r="C253" s="368"/>
      <c r="D253" s="368">
        <v>19</v>
      </c>
      <c r="E253" s="368">
        <v>64</v>
      </c>
      <c r="F253" s="368">
        <v>119</v>
      </c>
      <c r="G253" s="368"/>
      <c r="H253" s="368">
        <v>2</v>
      </c>
      <c r="I253" s="368">
        <v>102</v>
      </c>
      <c r="J253" s="368">
        <v>102</v>
      </c>
      <c r="K253" s="370">
        <v>204</v>
      </c>
      <c r="L253" s="29"/>
      <c r="M253" s="29"/>
      <c r="N253" s="29"/>
      <c r="O253" s="29"/>
      <c r="P253" s="29"/>
      <c r="Q253" s="29"/>
      <c r="R253" s="29"/>
      <c r="S253" s="29"/>
      <c r="T253" s="29"/>
      <c r="U253" s="29"/>
      <c r="V253" s="29"/>
      <c r="W253" s="29"/>
      <c r="X253" s="29"/>
      <c r="Y253" s="29"/>
      <c r="Z253" s="29"/>
    </row>
    <row r="254" spans="2:26" x14ac:dyDescent="0.25">
      <c r="B254" s="152" t="s">
        <v>288</v>
      </c>
      <c r="C254" s="368"/>
      <c r="D254" s="368">
        <v>28</v>
      </c>
      <c r="E254" s="368">
        <v>161</v>
      </c>
      <c r="F254" s="368">
        <v>425</v>
      </c>
      <c r="G254" s="368"/>
      <c r="H254" s="368">
        <v>22</v>
      </c>
      <c r="I254" s="368">
        <v>338</v>
      </c>
      <c r="J254" s="368">
        <v>298</v>
      </c>
      <c r="K254" s="370">
        <v>636</v>
      </c>
      <c r="L254" s="29"/>
      <c r="M254" s="29"/>
      <c r="N254" s="29"/>
      <c r="O254" s="29"/>
      <c r="P254" s="29"/>
      <c r="Q254" s="29"/>
      <c r="R254" s="29"/>
      <c r="S254" s="29"/>
      <c r="T254" s="29"/>
      <c r="U254" s="29"/>
      <c r="V254" s="29"/>
      <c r="W254" s="29"/>
      <c r="X254" s="29"/>
      <c r="Y254" s="29"/>
      <c r="Z254" s="29"/>
    </row>
    <row r="255" spans="2:26" x14ac:dyDescent="0.25">
      <c r="B255" s="152" t="s">
        <v>289</v>
      </c>
      <c r="C255" s="368"/>
      <c r="D255" s="368">
        <v>75</v>
      </c>
      <c r="E255" s="368">
        <v>440</v>
      </c>
      <c r="F255" s="368">
        <v>1421</v>
      </c>
      <c r="G255" s="368"/>
      <c r="H255" s="368">
        <v>47</v>
      </c>
      <c r="I255" s="368">
        <v>1105</v>
      </c>
      <c r="J255" s="368">
        <v>878</v>
      </c>
      <c r="K255" s="370">
        <v>1983</v>
      </c>
      <c r="L255" s="29"/>
      <c r="M255" s="29"/>
      <c r="N255" s="29"/>
      <c r="O255" s="29"/>
      <c r="P255" s="29"/>
      <c r="Q255" s="29"/>
      <c r="R255" s="29"/>
      <c r="S255" s="29"/>
      <c r="T255" s="29"/>
      <c r="U255" s="29"/>
      <c r="V255" s="29"/>
      <c r="W255" s="29"/>
      <c r="X255" s="29"/>
      <c r="Y255" s="29"/>
      <c r="Z255" s="29"/>
    </row>
    <row r="256" spans="2:26" x14ac:dyDescent="0.25">
      <c r="B256" s="152" t="s">
        <v>290</v>
      </c>
      <c r="C256" s="368"/>
      <c r="D256" s="368">
        <v>9</v>
      </c>
      <c r="E256" s="368">
        <v>23</v>
      </c>
      <c r="F256" s="368">
        <v>29</v>
      </c>
      <c r="G256" s="368"/>
      <c r="H256" s="368">
        <v>1</v>
      </c>
      <c r="I256" s="368">
        <v>30</v>
      </c>
      <c r="J256" s="368">
        <v>32</v>
      </c>
      <c r="K256" s="370">
        <v>62</v>
      </c>
      <c r="L256" s="29"/>
      <c r="M256" s="29"/>
      <c r="N256" s="29"/>
      <c r="O256" s="29"/>
      <c r="P256" s="29"/>
      <c r="Q256" s="29"/>
      <c r="R256" s="29"/>
      <c r="S256" s="29"/>
      <c r="T256" s="29"/>
      <c r="U256" s="29"/>
      <c r="V256" s="29"/>
      <c r="W256" s="29"/>
      <c r="X256" s="29"/>
      <c r="Y256" s="29"/>
      <c r="Z256" s="29"/>
    </row>
    <row r="257" spans="2:26" x14ac:dyDescent="0.25">
      <c r="B257" s="152" t="s">
        <v>291</v>
      </c>
      <c r="C257" s="368"/>
      <c r="D257" s="368">
        <v>65</v>
      </c>
      <c r="E257" s="368">
        <v>191</v>
      </c>
      <c r="F257" s="368">
        <v>458</v>
      </c>
      <c r="G257" s="368"/>
      <c r="H257" s="368">
        <v>26</v>
      </c>
      <c r="I257" s="368">
        <v>385</v>
      </c>
      <c r="J257" s="368">
        <v>355</v>
      </c>
      <c r="K257" s="370">
        <v>740</v>
      </c>
      <c r="L257" s="29"/>
      <c r="M257" s="29"/>
      <c r="N257" s="29"/>
      <c r="O257" s="29"/>
      <c r="P257" s="29"/>
      <c r="Q257" s="29"/>
      <c r="R257" s="29"/>
      <c r="S257" s="29"/>
      <c r="T257" s="29"/>
      <c r="U257" s="29"/>
      <c r="V257" s="29"/>
      <c r="W257" s="29"/>
      <c r="X257" s="29"/>
      <c r="Y257" s="29"/>
      <c r="Z257" s="29"/>
    </row>
    <row r="258" spans="2:26" x14ac:dyDescent="0.25">
      <c r="B258" s="152" t="s">
        <v>292</v>
      </c>
      <c r="C258" s="368"/>
      <c r="D258" s="368">
        <v>16</v>
      </c>
      <c r="E258" s="368">
        <v>67</v>
      </c>
      <c r="F258" s="368">
        <v>115</v>
      </c>
      <c r="G258" s="368"/>
      <c r="H258" s="368">
        <v>7</v>
      </c>
      <c r="I258" s="368">
        <v>98</v>
      </c>
      <c r="J258" s="368">
        <v>107</v>
      </c>
      <c r="K258" s="370">
        <v>205</v>
      </c>
      <c r="L258" s="29"/>
      <c r="M258" s="29"/>
      <c r="N258" s="29"/>
      <c r="O258" s="29"/>
      <c r="P258" s="29"/>
      <c r="Q258" s="29"/>
      <c r="R258" s="29"/>
      <c r="S258" s="29"/>
      <c r="T258" s="29"/>
      <c r="U258" s="29"/>
      <c r="V258" s="29"/>
      <c r="W258" s="29"/>
      <c r="X258" s="29"/>
      <c r="Y258" s="29"/>
      <c r="Z258" s="29"/>
    </row>
    <row r="259" spans="2:26" x14ac:dyDescent="0.25">
      <c r="B259" s="152" t="s">
        <v>293</v>
      </c>
      <c r="C259" s="368"/>
      <c r="D259" s="368">
        <v>13</v>
      </c>
      <c r="E259" s="368">
        <v>21</v>
      </c>
      <c r="F259" s="368">
        <v>32</v>
      </c>
      <c r="G259" s="368"/>
      <c r="H259" s="368">
        <v>4</v>
      </c>
      <c r="I259" s="368">
        <v>37</v>
      </c>
      <c r="J259" s="368">
        <v>33</v>
      </c>
      <c r="K259" s="370">
        <v>70</v>
      </c>
      <c r="L259" s="29"/>
      <c r="M259" s="29"/>
      <c r="N259" s="29"/>
      <c r="O259" s="29"/>
      <c r="P259" s="29"/>
      <c r="Q259" s="29"/>
      <c r="R259" s="29"/>
      <c r="S259" s="29"/>
      <c r="T259" s="29"/>
      <c r="U259" s="29"/>
      <c r="V259" s="29"/>
      <c r="W259" s="29"/>
      <c r="X259" s="29"/>
      <c r="Y259" s="29"/>
      <c r="Z259" s="29"/>
    </row>
    <row r="260" spans="2:26" x14ac:dyDescent="0.25">
      <c r="B260" s="152" t="s">
        <v>294</v>
      </c>
      <c r="C260" s="368"/>
      <c r="D260" s="368">
        <v>38</v>
      </c>
      <c r="E260" s="368">
        <v>174</v>
      </c>
      <c r="F260" s="368">
        <v>437</v>
      </c>
      <c r="G260" s="368"/>
      <c r="H260" s="368">
        <v>17</v>
      </c>
      <c r="I260" s="368">
        <v>352</v>
      </c>
      <c r="J260" s="368">
        <v>314</v>
      </c>
      <c r="K260" s="370">
        <v>666</v>
      </c>
      <c r="L260" s="29"/>
      <c r="M260" s="29"/>
      <c r="N260" s="29"/>
      <c r="O260" s="29"/>
      <c r="P260" s="29"/>
      <c r="Q260" s="29"/>
      <c r="R260" s="29"/>
      <c r="S260" s="29"/>
      <c r="T260" s="29"/>
      <c r="U260" s="29"/>
      <c r="V260" s="29"/>
      <c r="W260" s="29"/>
      <c r="X260" s="29"/>
      <c r="Y260" s="29"/>
      <c r="Z260" s="29"/>
    </row>
    <row r="261" spans="2:26" x14ac:dyDescent="0.25">
      <c r="B261" s="152" t="s">
        <v>295</v>
      </c>
      <c r="C261" s="368"/>
      <c r="D261" s="368">
        <v>16</v>
      </c>
      <c r="E261" s="368">
        <v>47</v>
      </c>
      <c r="F261" s="368">
        <v>64</v>
      </c>
      <c r="G261" s="368"/>
      <c r="H261" s="368">
        <v>4</v>
      </c>
      <c r="I261" s="368">
        <v>67</v>
      </c>
      <c r="J261" s="368">
        <v>64</v>
      </c>
      <c r="K261" s="370">
        <v>131</v>
      </c>
      <c r="L261" s="29"/>
      <c r="M261" s="29"/>
      <c r="N261" s="29"/>
      <c r="O261" s="29"/>
      <c r="P261" s="29"/>
      <c r="Q261" s="29"/>
      <c r="R261" s="29"/>
      <c r="S261" s="29"/>
      <c r="T261" s="29"/>
      <c r="U261" s="29"/>
      <c r="V261" s="29"/>
      <c r="W261" s="29"/>
      <c r="X261" s="29"/>
      <c r="Y261" s="29"/>
      <c r="Z261" s="29"/>
    </row>
    <row r="262" spans="2:26" x14ac:dyDescent="0.25">
      <c r="B262" s="152" t="s">
        <v>296</v>
      </c>
      <c r="C262" s="368"/>
      <c r="D262" s="368">
        <v>36</v>
      </c>
      <c r="E262" s="368">
        <v>40</v>
      </c>
      <c r="F262" s="368">
        <v>99</v>
      </c>
      <c r="G262" s="368"/>
      <c r="H262" s="368">
        <v>9</v>
      </c>
      <c r="I262" s="368">
        <v>97</v>
      </c>
      <c r="J262" s="368">
        <v>87</v>
      </c>
      <c r="K262" s="370">
        <v>184</v>
      </c>
      <c r="L262" s="29"/>
      <c r="M262" s="29"/>
      <c r="N262" s="29"/>
      <c r="O262" s="29"/>
      <c r="P262" s="29"/>
      <c r="Q262" s="29"/>
      <c r="R262" s="29"/>
      <c r="S262" s="29"/>
      <c r="T262" s="29"/>
      <c r="U262" s="29"/>
      <c r="V262" s="29"/>
      <c r="W262" s="29"/>
      <c r="X262" s="29"/>
      <c r="Y262" s="29"/>
      <c r="Z262" s="29"/>
    </row>
    <row r="263" spans="2:26" x14ac:dyDescent="0.25">
      <c r="B263" s="152" t="s">
        <v>297</v>
      </c>
      <c r="C263" s="368"/>
      <c r="D263" s="368">
        <v>22</v>
      </c>
      <c r="E263" s="368">
        <v>60</v>
      </c>
      <c r="F263" s="368">
        <v>108</v>
      </c>
      <c r="G263" s="368"/>
      <c r="H263" s="368">
        <v>3</v>
      </c>
      <c r="I263" s="368">
        <v>94</v>
      </c>
      <c r="J263" s="368">
        <v>99</v>
      </c>
      <c r="K263" s="370">
        <v>193</v>
      </c>
      <c r="L263" s="29"/>
      <c r="M263" s="29"/>
      <c r="N263" s="29"/>
      <c r="O263" s="29"/>
      <c r="P263" s="29"/>
      <c r="Q263" s="29"/>
      <c r="R263" s="29"/>
      <c r="S263" s="29"/>
      <c r="T263" s="29"/>
      <c r="U263" s="29"/>
      <c r="V263" s="29"/>
      <c r="W263" s="29"/>
      <c r="X263" s="29"/>
      <c r="Y263" s="29"/>
      <c r="Z263" s="29"/>
    </row>
    <row r="264" spans="2:26" x14ac:dyDescent="0.25">
      <c r="B264" s="152" t="s">
        <v>298</v>
      </c>
      <c r="C264" s="368"/>
      <c r="D264" s="368">
        <v>12</v>
      </c>
      <c r="E264" s="368">
        <v>43</v>
      </c>
      <c r="F264" s="368">
        <v>59</v>
      </c>
      <c r="G264" s="368"/>
      <c r="H264" s="368">
        <v>7</v>
      </c>
      <c r="I264" s="368">
        <v>67</v>
      </c>
      <c r="J264" s="368">
        <v>54</v>
      </c>
      <c r="K264" s="370">
        <v>121</v>
      </c>
      <c r="L264" s="29"/>
      <c r="M264" s="29"/>
      <c r="N264" s="29"/>
      <c r="O264" s="29"/>
      <c r="P264" s="29"/>
      <c r="Q264" s="29"/>
      <c r="R264" s="29"/>
      <c r="S264" s="29"/>
      <c r="T264" s="29"/>
      <c r="U264" s="29"/>
      <c r="V264" s="29"/>
      <c r="W264" s="29"/>
      <c r="X264" s="29"/>
      <c r="Y264" s="29"/>
      <c r="Z264" s="29"/>
    </row>
    <row r="265" spans="2:26" x14ac:dyDescent="0.25">
      <c r="B265" s="152" t="s">
        <v>299</v>
      </c>
      <c r="C265" s="368"/>
      <c r="D265" s="368">
        <v>148</v>
      </c>
      <c r="E265" s="368">
        <v>366</v>
      </c>
      <c r="F265" s="368">
        <v>955</v>
      </c>
      <c r="G265" s="368"/>
      <c r="H265" s="368">
        <v>58</v>
      </c>
      <c r="I265" s="368">
        <v>807</v>
      </c>
      <c r="J265" s="368">
        <v>720</v>
      </c>
      <c r="K265" s="370">
        <v>1527</v>
      </c>
      <c r="L265" s="29"/>
      <c r="M265" s="29"/>
      <c r="N265" s="29"/>
      <c r="O265" s="29"/>
      <c r="P265" s="29"/>
      <c r="Q265" s="29"/>
      <c r="R265" s="29"/>
      <c r="S265" s="29"/>
      <c r="T265" s="29"/>
      <c r="U265" s="29"/>
      <c r="V265" s="29"/>
      <c r="W265" s="29"/>
      <c r="X265" s="29"/>
      <c r="Y265" s="29"/>
      <c r="Z265" s="29"/>
    </row>
    <row r="266" spans="2:26" x14ac:dyDescent="0.25">
      <c r="B266" s="152" t="s">
        <v>300</v>
      </c>
      <c r="C266" s="368"/>
      <c r="D266" s="368">
        <v>28</v>
      </c>
      <c r="E266" s="368">
        <v>85</v>
      </c>
      <c r="F266" s="368">
        <v>228</v>
      </c>
      <c r="G266" s="368"/>
      <c r="H266" s="368">
        <v>5</v>
      </c>
      <c r="I266" s="368">
        <v>177</v>
      </c>
      <c r="J266" s="368">
        <v>169</v>
      </c>
      <c r="K266" s="370">
        <v>346</v>
      </c>
      <c r="L266" s="29"/>
      <c r="M266" s="29"/>
      <c r="N266" s="29"/>
      <c r="O266" s="29"/>
      <c r="P266" s="29"/>
      <c r="Q266" s="29"/>
      <c r="R266" s="29"/>
      <c r="S266" s="29"/>
      <c r="T266" s="29"/>
      <c r="U266" s="29"/>
      <c r="V266" s="29"/>
      <c r="W266" s="29"/>
      <c r="X266" s="29"/>
      <c r="Y266" s="29"/>
      <c r="Z266" s="29"/>
    </row>
    <row r="267" spans="2:26" x14ac:dyDescent="0.25">
      <c r="B267" s="152" t="s">
        <v>301</v>
      </c>
      <c r="C267" s="368"/>
      <c r="D267" s="368">
        <v>34</v>
      </c>
      <c r="E267" s="368">
        <v>49</v>
      </c>
      <c r="F267" s="368">
        <v>127</v>
      </c>
      <c r="G267" s="368"/>
      <c r="H267" s="368">
        <v>17</v>
      </c>
      <c r="I267" s="368">
        <v>120</v>
      </c>
      <c r="J267" s="368">
        <v>107</v>
      </c>
      <c r="K267" s="370">
        <v>227</v>
      </c>
      <c r="L267" s="29"/>
      <c r="M267" s="29"/>
      <c r="N267" s="29"/>
      <c r="O267" s="29"/>
      <c r="P267" s="29"/>
      <c r="Q267" s="29"/>
      <c r="R267" s="29"/>
      <c r="S267" s="29"/>
      <c r="T267" s="29"/>
      <c r="U267" s="29"/>
      <c r="V267" s="29"/>
      <c r="W267" s="29"/>
      <c r="X267" s="29"/>
      <c r="Y267" s="29"/>
      <c r="Z267" s="29"/>
    </row>
    <row r="268" spans="2:26" x14ac:dyDescent="0.25">
      <c r="B268" s="152" t="s">
        <v>302</v>
      </c>
      <c r="C268" s="368"/>
      <c r="D268" s="368">
        <v>16</v>
      </c>
      <c r="E268" s="368">
        <v>62</v>
      </c>
      <c r="F268" s="368">
        <v>116</v>
      </c>
      <c r="G268" s="368"/>
      <c r="H268" s="368">
        <v>13</v>
      </c>
      <c r="I268" s="368">
        <v>104</v>
      </c>
      <c r="J268" s="368">
        <v>103</v>
      </c>
      <c r="K268" s="370">
        <v>207</v>
      </c>
      <c r="L268" s="29"/>
      <c r="M268" s="29"/>
      <c r="N268" s="29"/>
      <c r="O268" s="29"/>
      <c r="P268" s="29"/>
      <c r="Q268" s="29"/>
      <c r="R268" s="29"/>
      <c r="S268" s="29"/>
      <c r="T268" s="29"/>
      <c r="U268" s="29"/>
      <c r="V268" s="29"/>
      <c r="W268" s="29"/>
      <c r="X268" s="29"/>
      <c r="Y268" s="29"/>
      <c r="Z268" s="29"/>
    </row>
    <row r="269" spans="2:26" x14ac:dyDescent="0.25">
      <c r="B269" s="152" t="s">
        <v>303</v>
      </c>
      <c r="C269" s="368"/>
      <c r="D269" s="368">
        <v>18</v>
      </c>
      <c r="E269" s="368">
        <v>22</v>
      </c>
      <c r="F269" s="368">
        <v>40</v>
      </c>
      <c r="G269" s="368"/>
      <c r="H269" s="368">
        <v>8</v>
      </c>
      <c r="I269" s="368">
        <v>44</v>
      </c>
      <c r="J269" s="368">
        <v>44</v>
      </c>
      <c r="K269" s="370">
        <v>88</v>
      </c>
      <c r="L269" s="29"/>
      <c r="M269" s="29"/>
      <c r="N269" s="29"/>
      <c r="O269" s="29"/>
      <c r="P269" s="29"/>
      <c r="Q269" s="29"/>
      <c r="R269" s="29"/>
      <c r="S269" s="29"/>
      <c r="T269" s="29"/>
      <c r="U269" s="29"/>
      <c r="V269" s="29"/>
      <c r="W269" s="29"/>
      <c r="X269" s="29"/>
      <c r="Y269" s="29"/>
      <c r="Z269" s="29"/>
    </row>
    <row r="270" spans="2:26" x14ac:dyDescent="0.25">
      <c r="B270" s="152" t="s">
        <v>304</v>
      </c>
      <c r="C270" s="368"/>
      <c r="D270" s="368">
        <v>26</v>
      </c>
      <c r="E270" s="368">
        <v>101</v>
      </c>
      <c r="F270" s="368">
        <v>193</v>
      </c>
      <c r="G270" s="368"/>
      <c r="H270" s="368">
        <v>6</v>
      </c>
      <c r="I270" s="368">
        <v>160</v>
      </c>
      <c r="J270" s="368">
        <v>166</v>
      </c>
      <c r="K270" s="370">
        <v>326</v>
      </c>
      <c r="L270" s="29"/>
      <c r="M270" s="29"/>
      <c r="N270" s="29"/>
      <c r="O270" s="29"/>
      <c r="P270" s="29"/>
      <c r="Q270" s="29"/>
      <c r="R270" s="29"/>
      <c r="S270" s="29"/>
      <c r="T270" s="29"/>
      <c r="U270" s="29"/>
      <c r="V270" s="29"/>
      <c r="W270" s="29"/>
      <c r="X270" s="29"/>
      <c r="Y270" s="29"/>
      <c r="Z270" s="29"/>
    </row>
    <row r="271" spans="2:26" x14ac:dyDescent="0.25">
      <c r="B271" s="152" t="s">
        <v>305</v>
      </c>
      <c r="C271" s="368"/>
      <c r="D271" s="368">
        <v>9</v>
      </c>
      <c r="E271" s="368">
        <v>11</v>
      </c>
      <c r="F271" s="368">
        <v>13</v>
      </c>
      <c r="G271" s="368"/>
      <c r="H271" s="368">
        <v>0</v>
      </c>
      <c r="I271" s="368">
        <v>21</v>
      </c>
      <c r="J271" s="368">
        <v>12</v>
      </c>
      <c r="K271" s="370">
        <v>33</v>
      </c>
      <c r="L271" s="29"/>
      <c r="M271" s="29"/>
      <c r="N271" s="29"/>
      <c r="O271" s="29"/>
      <c r="P271" s="29"/>
      <c r="Q271" s="29"/>
      <c r="R271" s="29"/>
      <c r="S271" s="29"/>
      <c r="T271" s="29"/>
      <c r="U271" s="29"/>
      <c r="V271" s="29"/>
      <c r="W271" s="29"/>
      <c r="X271" s="29"/>
      <c r="Y271" s="29"/>
      <c r="Z271" s="29"/>
    </row>
    <row r="272" spans="2:26" x14ac:dyDescent="0.25">
      <c r="B272" s="152" t="s">
        <v>306</v>
      </c>
      <c r="C272" s="368"/>
      <c r="D272" s="368">
        <v>10</v>
      </c>
      <c r="E272" s="368">
        <v>21</v>
      </c>
      <c r="F272" s="368">
        <v>35</v>
      </c>
      <c r="G272" s="368"/>
      <c r="H272" s="368">
        <v>3</v>
      </c>
      <c r="I272" s="368">
        <v>35</v>
      </c>
      <c r="J272" s="368">
        <v>34</v>
      </c>
      <c r="K272" s="370">
        <v>69</v>
      </c>
      <c r="L272" s="29"/>
      <c r="M272" s="29"/>
      <c r="N272" s="29"/>
      <c r="O272" s="29"/>
      <c r="P272" s="29"/>
      <c r="Q272" s="29"/>
      <c r="R272" s="29"/>
      <c r="S272" s="29"/>
      <c r="T272" s="29"/>
      <c r="U272" s="29"/>
      <c r="V272" s="29"/>
      <c r="W272" s="29"/>
      <c r="X272" s="29"/>
      <c r="Y272" s="29"/>
      <c r="Z272" s="29"/>
    </row>
    <row r="273" spans="2:26" x14ac:dyDescent="0.25">
      <c r="B273" s="152" t="s">
        <v>307</v>
      </c>
      <c r="C273" s="368"/>
      <c r="D273" s="368">
        <v>68</v>
      </c>
      <c r="E273" s="368">
        <v>168</v>
      </c>
      <c r="F273" s="368">
        <v>634</v>
      </c>
      <c r="G273" s="368"/>
      <c r="H273" s="368">
        <v>25</v>
      </c>
      <c r="I273" s="368">
        <v>526</v>
      </c>
      <c r="J273" s="368">
        <v>369</v>
      </c>
      <c r="K273" s="370">
        <v>895</v>
      </c>
      <c r="L273" s="29"/>
      <c r="M273" s="29"/>
      <c r="N273" s="29"/>
      <c r="O273" s="29"/>
      <c r="P273" s="29"/>
      <c r="Q273" s="29"/>
      <c r="R273" s="29"/>
      <c r="S273" s="29"/>
      <c r="T273" s="29"/>
      <c r="U273" s="29"/>
      <c r="V273" s="29"/>
      <c r="W273" s="29"/>
      <c r="X273" s="29"/>
      <c r="Y273" s="29"/>
      <c r="Z273" s="29"/>
    </row>
    <row r="274" spans="2:26" x14ac:dyDescent="0.25">
      <c r="B274" s="152" t="s">
        <v>308</v>
      </c>
      <c r="C274" s="368"/>
      <c r="D274" s="368">
        <v>5</v>
      </c>
      <c r="E274" s="368">
        <v>11</v>
      </c>
      <c r="F274" s="368">
        <v>11</v>
      </c>
      <c r="G274" s="368"/>
      <c r="H274" s="368">
        <v>1</v>
      </c>
      <c r="I274" s="368">
        <v>17</v>
      </c>
      <c r="J274" s="368">
        <v>11</v>
      </c>
      <c r="K274" s="370">
        <v>28</v>
      </c>
      <c r="L274" s="29"/>
      <c r="M274" s="29"/>
      <c r="N274" s="29"/>
      <c r="O274" s="29"/>
      <c r="P274" s="29"/>
      <c r="Q274" s="29"/>
      <c r="R274" s="29"/>
      <c r="S274" s="29"/>
      <c r="T274" s="29"/>
      <c r="U274" s="29"/>
      <c r="V274" s="29"/>
      <c r="W274" s="29"/>
      <c r="X274" s="29"/>
      <c r="Y274" s="29"/>
      <c r="Z274" s="29"/>
    </row>
    <row r="275" spans="2:26" x14ac:dyDescent="0.25">
      <c r="B275" s="152" t="s">
        <v>309</v>
      </c>
      <c r="C275" s="368"/>
      <c r="D275" s="368">
        <v>11</v>
      </c>
      <c r="E275" s="368">
        <v>22</v>
      </c>
      <c r="F275" s="368">
        <v>41</v>
      </c>
      <c r="G275" s="368"/>
      <c r="H275" s="368">
        <v>2</v>
      </c>
      <c r="I275" s="368">
        <v>36</v>
      </c>
      <c r="J275" s="368">
        <v>40</v>
      </c>
      <c r="K275" s="370">
        <v>76</v>
      </c>
      <c r="L275" s="29"/>
      <c r="M275" s="29"/>
      <c r="N275" s="29"/>
      <c r="O275" s="29"/>
      <c r="P275" s="29"/>
      <c r="Q275" s="29"/>
      <c r="R275" s="29"/>
      <c r="S275" s="29"/>
      <c r="T275" s="29"/>
      <c r="U275" s="29"/>
      <c r="V275" s="29"/>
      <c r="W275" s="29"/>
      <c r="X275" s="29"/>
      <c r="Y275" s="29"/>
      <c r="Z275" s="29"/>
    </row>
    <row r="276" spans="2:26" x14ac:dyDescent="0.25">
      <c r="B276" s="152" t="s">
        <v>310</v>
      </c>
      <c r="C276" s="368"/>
      <c r="D276" s="368">
        <v>15</v>
      </c>
      <c r="E276" s="368">
        <v>36</v>
      </c>
      <c r="F276" s="368">
        <v>47</v>
      </c>
      <c r="G276" s="368"/>
      <c r="H276" s="368">
        <v>0</v>
      </c>
      <c r="I276" s="368">
        <v>56</v>
      </c>
      <c r="J276" s="368">
        <v>42</v>
      </c>
      <c r="K276" s="370">
        <v>98</v>
      </c>
      <c r="L276" s="29"/>
      <c r="M276" s="29"/>
      <c r="N276" s="29"/>
      <c r="O276" s="29"/>
      <c r="P276" s="29"/>
      <c r="Q276" s="29"/>
      <c r="R276" s="29"/>
      <c r="S276" s="29"/>
      <c r="T276" s="29"/>
      <c r="U276" s="29"/>
      <c r="V276" s="29"/>
      <c r="W276" s="29"/>
      <c r="X276" s="29"/>
      <c r="Y276" s="29"/>
      <c r="Z276" s="29"/>
    </row>
    <row r="277" spans="2:26" x14ac:dyDescent="0.25">
      <c r="B277" s="152" t="s">
        <v>311</v>
      </c>
      <c r="C277" s="368"/>
      <c r="D277" s="368">
        <v>88</v>
      </c>
      <c r="E277" s="368">
        <v>355</v>
      </c>
      <c r="F277" s="368">
        <v>1035</v>
      </c>
      <c r="G277" s="368"/>
      <c r="H277" s="368">
        <v>30</v>
      </c>
      <c r="I277" s="368">
        <v>840</v>
      </c>
      <c r="J277" s="368">
        <v>668</v>
      </c>
      <c r="K277" s="370">
        <v>1508</v>
      </c>
      <c r="L277" s="29"/>
      <c r="M277" s="29"/>
      <c r="N277" s="29"/>
      <c r="O277" s="29"/>
      <c r="P277" s="29"/>
      <c r="Q277" s="29"/>
      <c r="R277" s="29"/>
      <c r="S277" s="29"/>
      <c r="T277" s="29"/>
      <c r="U277" s="29"/>
      <c r="V277" s="29"/>
      <c r="W277" s="29"/>
      <c r="X277" s="29"/>
      <c r="Y277" s="29"/>
      <c r="Z277" s="29"/>
    </row>
    <row r="278" spans="2:26" x14ac:dyDescent="0.25">
      <c r="B278" s="152" t="s">
        <v>312</v>
      </c>
      <c r="C278" s="368"/>
      <c r="D278" s="368">
        <v>9</v>
      </c>
      <c r="E278" s="368">
        <v>17</v>
      </c>
      <c r="F278" s="368">
        <v>19</v>
      </c>
      <c r="G278" s="368"/>
      <c r="H278" s="368">
        <v>3</v>
      </c>
      <c r="I278" s="368">
        <v>23</v>
      </c>
      <c r="J278" s="368">
        <v>25</v>
      </c>
      <c r="K278" s="370">
        <v>48</v>
      </c>
      <c r="L278" s="29"/>
      <c r="M278" s="29"/>
      <c r="N278" s="29"/>
      <c r="O278" s="29"/>
      <c r="P278" s="29"/>
      <c r="Q278" s="29"/>
      <c r="R278" s="29"/>
      <c r="S278" s="29"/>
      <c r="T278" s="29"/>
      <c r="U278" s="29"/>
      <c r="V278" s="29"/>
      <c r="W278" s="29"/>
      <c r="X278" s="29"/>
      <c r="Y278" s="29"/>
      <c r="Z278" s="29"/>
    </row>
    <row r="279" spans="2:26" x14ac:dyDescent="0.25">
      <c r="B279" s="152" t="s">
        <v>313</v>
      </c>
      <c r="C279" s="368"/>
      <c r="D279" s="368">
        <v>32</v>
      </c>
      <c r="E279" s="368">
        <v>116</v>
      </c>
      <c r="F279" s="368">
        <v>283</v>
      </c>
      <c r="G279" s="368"/>
      <c r="H279" s="368">
        <v>11</v>
      </c>
      <c r="I279" s="368">
        <v>257</v>
      </c>
      <c r="J279" s="368">
        <v>185</v>
      </c>
      <c r="K279" s="370">
        <v>442</v>
      </c>
      <c r="L279" s="29"/>
      <c r="M279" s="29"/>
      <c r="N279" s="29"/>
      <c r="O279" s="29"/>
      <c r="P279" s="29"/>
      <c r="Q279" s="29"/>
      <c r="R279" s="29"/>
      <c r="S279" s="29"/>
      <c r="T279" s="29"/>
      <c r="U279" s="29"/>
      <c r="V279" s="29"/>
      <c r="W279" s="29"/>
      <c r="X279" s="29"/>
      <c r="Y279" s="29"/>
      <c r="Z279" s="29"/>
    </row>
    <row r="280" spans="2:26" x14ac:dyDescent="0.25">
      <c r="B280" s="174" t="s">
        <v>314</v>
      </c>
      <c r="C280" s="380"/>
      <c r="D280" s="380">
        <v>17</v>
      </c>
      <c r="E280" s="380">
        <v>25</v>
      </c>
      <c r="F280" s="380">
        <v>63</v>
      </c>
      <c r="G280" s="380"/>
      <c r="H280" s="380">
        <v>4</v>
      </c>
      <c r="I280" s="380">
        <v>57</v>
      </c>
      <c r="J280" s="380">
        <v>52</v>
      </c>
      <c r="K280" s="381">
        <v>109</v>
      </c>
      <c r="L280" s="29"/>
      <c r="M280" s="29"/>
      <c r="N280" s="29"/>
      <c r="O280" s="29"/>
      <c r="P280" s="29"/>
      <c r="Q280" s="29"/>
      <c r="R280" s="29"/>
      <c r="S280" s="29"/>
      <c r="T280" s="29"/>
      <c r="U280" s="29"/>
      <c r="V280" s="29"/>
      <c r="W280" s="29"/>
      <c r="X280" s="29"/>
      <c r="Y280" s="29"/>
      <c r="Z280" s="29"/>
    </row>
    <row r="281" spans="2:26" x14ac:dyDescent="0.25">
      <c r="B281" s="177" t="s">
        <v>315</v>
      </c>
      <c r="C281" s="378"/>
      <c r="D281" s="378">
        <v>31</v>
      </c>
      <c r="E281" s="378">
        <v>42</v>
      </c>
      <c r="F281" s="378">
        <v>94</v>
      </c>
      <c r="G281" s="378"/>
      <c r="H281" s="378">
        <v>11</v>
      </c>
      <c r="I281" s="378">
        <v>96</v>
      </c>
      <c r="J281" s="378">
        <v>82</v>
      </c>
      <c r="K281" s="359">
        <v>178</v>
      </c>
      <c r="L281" s="29"/>
      <c r="M281" s="29"/>
      <c r="N281" s="29"/>
      <c r="O281" s="29"/>
      <c r="P281" s="29"/>
      <c r="Q281" s="29"/>
      <c r="R281" s="29"/>
      <c r="S281" s="29"/>
      <c r="T281" s="29"/>
      <c r="U281" s="29"/>
      <c r="V281" s="29"/>
      <c r="W281" s="29"/>
      <c r="X281" s="29"/>
      <c r="Y281" s="29"/>
      <c r="Z281" s="29"/>
    </row>
    <row r="282" spans="2:26" x14ac:dyDescent="0.25">
      <c r="B282" s="289" t="s">
        <v>36</v>
      </c>
      <c r="C282" s="359"/>
      <c r="D282" s="359">
        <v>988</v>
      </c>
      <c r="E282" s="359">
        <v>2981</v>
      </c>
      <c r="F282" s="359">
        <v>7535</v>
      </c>
      <c r="G282" s="359"/>
      <c r="H282" s="359">
        <v>367</v>
      </c>
      <c r="I282" s="359">
        <v>6388</v>
      </c>
      <c r="J282" s="334">
        <v>5483</v>
      </c>
      <c r="K282" s="334">
        <v>11871</v>
      </c>
      <c r="L282" s="29"/>
      <c r="M282" s="29"/>
      <c r="N282" s="29"/>
      <c r="O282" s="29"/>
      <c r="P282" s="29"/>
      <c r="Q282" s="29"/>
      <c r="R282" s="29"/>
      <c r="S282" s="29"/>
      <c r="T282" s="29"/>
      <c r="U282" s="29"/>
      <c r="V282" s="29"/>
      <c r="W282" s="29"/>
      <c r="X282" s="29"/>
      <c r="Y282" s="29"/>
      <c r="Z282" s="29"/>
    </row>
    <row r="283" spans="2:26" ht="27" customHeight="1" x14ac:dyDescent="0.25">
      <c r="B283" s="504" t="s">
        <v>898</v>
      </c>
      <c r="C283" s="504"/>
      <c r="D283" s="504"/>
      <c r="E283" s="504"/>
      <c r="F283" s="504"/>
      <c r="G283" s="504"/>
      <c r="H283" s="504"/>
      <c r="I283" s="504"/>
      <c r="J283" s="504"/>
      <c r="K283" s="504"/>
      <c r="L283" s="29"/>
      <c r="M283" s="29"/>
      <c r="N283" s="29"/>
      <c r="O283" s="29"/>
      <c r="P283" s="29"/>
      <c r="Q283" s="29"/>
      <c r="R283" s="29"/>
      <c r="S283" s="29"/>
      <c r="T283" s="29"/>
      <c r="U283" s="29"/>
      <c r="V283" s="29"/>
      <c r="W283" s="29"/>
      <c r="X283" s="29"/>
      <c r="Y283" s="29"/>
    </row>
    <row r="284" spans="2:26" x14ac:dyDescent="0.25">
      <c r="B284" s="176"/>
      <c r="C284" s="176"/>
      <c r="D284" s="176"/>
      <c r="E284" s="176"/>
      <c r="F284"/>
      <c r="G284"/>
      <c r="H284"/>
      <c r="I284"/>
      <c r="J284" s="29"/>
      <c r="K284" s="29"/>
      <c r="L284" s="29"/>
      <c r="M284" s="29"/>
      <c r="N284" s="29"/>
      <c r="O284" s="29"/>
      <c r="P284" s="29"/>
      <c r="Q284" s="29"/>
      <c r="R284" s="29"/>
      <c r="S284" s="29"/>
      <c r="T284" s="29"/>
      <c r="U284" s="29"/>
      <c r="V284" s="29"/>
      <c r="W284" s="29"/>
      <c r="X284" s="29"/>
      <c r="Y284" s="29"/>
    </row>
    <row r="285" spans="2:26" x14ac:dyDescent="0.25">
      <c r="B285" s="205" t="s">
        <v>529</v>
      </c>
      <c r="C285"/>
      <c r="D285"/>
      <c r="E285"/>
      <c r="F285"/>
      <c r="G285"/>
      <c r="H285"/>
      <c r="I285"/>
      <c r="J285" s="29"/>
      <c r="K285" s="29"/>
      <c r="L285" s="29"/>
      <c r="M285" s="29"/>
      <c r="N285" s="29"/>
      <c r="O285" s="29"/>
      <c r="P285" s="29"/>
      <c r="Q285" s="29"/>
      <c r="R285" s="29"/>
      <c r="S285" s="29"/>
      <c r="T285" s="29"/>
      <c r="U285" s="29"/>
      <c r="V285" s="29"/>
      <c r="W285" s="29"/>
      <c r="X285" s="29"/>
      <c r="Y285" s="29"/>
    </row>
    <row r="286" spans="2:26" x14ac:dyDescent="0.25">
      <c r="B286" s="205"/>
      <c r="C286"/>
      <c r="D286"/>
      <c r="E286"/>
      <c r="F286"/>
      <c r="G286"/>
      <c r="H286"/>
      <c r="I286"/>
      <c r="J286" s="29"/>
      <c r="K286" s="29"/>
      <c r="L286" s="29"/>
      <c r="M286" s="29"/>
      <c r="N286" s="29"/>
      <c r="O286" s="29"/>
      <c r="P286" s="29"/>
      <c r="Q286" s="29"/>
      <c r="R286" s="29"/>
      <c r="S286" s="29"/>
      <c r="T286" s="29"/>
      <c r="U286" s="29"/>
      <c r="V286" s="29"/>
      <c r="W286" s="29"/>
      <c r="X286" s="29"/>
      <c r="Y286" s="29"/>
    </row>
    <row r="287" spans="2:26" ht="15" customHeight="1" x14ac:dyDescent="0.25">
      <c r="B287" s="176"/>
      <c r="C287" s="488" t="s">
        <v>538</v>
      </c>
      <c r="D287" s="488"/>
      <c r="E287" s="488"/>
      <c r="F287" s="488"/>
      <c r="G287" s="488"/>
      <c r="H287" s="488"/>
      <c r="I287" s="484" t="s">
        <v>539</v>
      </c>
      <c r="J287" s="484"/>
      <c r="K287" s="492" t="s">
        <v>36</v>
      </c>
      <c r="L287" s="29"/>
      <c r="M287" s="29"/>
      <c r="N287" s="29"/>
      <c r="O287" s="29"/>
      <c r="P287" s="29"/>
      <c r="Q287" s="29"/>
      <c r="R287" s="29"/>
      <c r="S287" s="29"/>
      <c r="T287" s="29"/>
      <c r="U287" s="29"/>
      <c r="V287" s="29"/>
      <c r="W287" s="29"/>
      <c r="X287" s="29"/>
      <c r="Y287" s="29"/>
    </row>
    <row r="288" spans="2:26" ht="30" x14ac:dyDescent="0.25">
      <c r="B288" s="178" t="s">
        <v>548</v>
      </c>
      <c r="C288" s="179" t="s">
        <v>3</v>
      </c>
      <c r="D288" s="179" t="s">
        <v>4</v>
      </c>
      <c r="E288" s="179" t="s">
        <v>714</v>
      </c>
      <c r="F288" s="179" t="s">
        <v>501</v>
      </c>
      <c r="G288" s="179" t="s">
        <v>5</v>
      </c>
      <c r="H288" s="179" t="s">
        <v>6</v>
      </c>
      <c r="I288" s="179" t="s">
        <v>87</v>
      </c>
      <c r="J288" s="179" t="s">
        <v>88</v>
      </c>
      <c r="K288" s="492"/>
      <c r="L288" s="29"/>
      <c r="M288" s="29"/>
      <c r="N288" s="29"/>
      <c r="O288" s="29"/>
      <c r="P288" s="29"/>
      <c r="Q288" s="29"/>
      <c r="R288" s="29"/>
      <c r="S288" s="29"/>
      <c r="T288" s="29"/>
      <c r="U288" s="29"/>
      <c r="V288" s="29"/>
      <c r="W288" s="29"/>
      <c r="X288" s="29"/>
      <c r="Y288" s="29"/>
    </row>
    <row r="289" spans="2:26" x14ac:dyDescent="0.25">
      <c r="B289" s="175" t="s">
        <v>316</v>
      </c>
      <c r="C289" s="379"/>
      <c r="D289" s="379">
        <v>23</v>
      </c>
      <c r="E289" s="379">
        <v>112</v>
      </c>
      <c r="F289" s="379">
        <v>241</v>
      </c>
      <c r="G289" s="379"/>
      <c r="H289" s="379">
        <v>16</v>
      </c>
      <c r="I289" s="379">
        <v>216</v>
      </c>
      <c r="J289" s="379">
        <v>176</v>
      </c>
      <c r="K289" s="369">
        <v>392</v>
      </c>
      <c r="L289" s="29"/>
      <c r="M289" s="29"/>
      <c r="N289" s="29"/>
      <c r="O289" s="29"/>
      <c r="P289" s="29"/>
      <c r="Q289" s="29"/>
      <c r="R289" s="29"/>
      <c r="S289" s="29"/>
      <c r="T289" s="29"/>
      <c r="U289" s="29"/>
      <c r="V289" s="29"/>
      <c r="W289" s="29"/>
      <c r="X289" s="29"/>
      <c r="Y289" s="29"/>
      <c r="Z289" s="29"/>
    </row>
    <row r="290" spans="2:26" x14ac:dyDescent="0.25">
      <c r="B290" s="152" t="s">
        <v>317</v>
      </c>
      <c r="C290" s="368"/>
      <c r="D290" s="368">
        <v>20</v>
      </c>
      <c r="E290" s="368">
        <v>70</v>
      </c>
      <c r="F290" s="368">
        <v>52</v>
      </c>
      <c r="G290" s="368"/>
      <c r="H290" s="368">
        <v>4</v>
      </c>
      <c r="I290" s="368">
        <v>72</v>
      </c>
      <c r="J290" s="368">
        <v>74</v>
      </c>
      <c r="K290" s="370">
        <v>146</v>
      </c>
      <c r="L290" s="29"/>
      <c r="M290" s="29"/>
      <c r="N290" s="29"/>
      <c r="O290" s="29"/>
      <c r="P290" s="29"/>
      <c r="Q290" s="29"/>
      <c r="R290" s="29"/>
      <c r="S290" s="29"/>
      <c r="T290" s="29"/>
      <c r="U290" s="29"/>
      <c r="V290" s="29"/>
      <c r="W290" s="29"/>
      <c r="X290" s="29"/>
      <c r="Y290" s="29"/>
      <c r="Z290" s="29"/>
    </row>
    <row r="291" spans="2:26" x14ac:dyDescent="0.25">
      <c r="B291" s="152" t="s">
        <v>318</v>
      </c>
      <c r="C291" s="368"/>
      <c r="D291" s="368">
        <v>14</v>
      </c>
      <c r="E291" s="368">
        <v>31</v>
      </c>
      <c r="F291" s="368">
        <v>25</v>
      </c>
      <c r="G291" s="368"/>
      <c r="H291" s="368">
        <v>3</v>
      </c>
      <c r="I291" s="368">
        <v>40</v>
      </c>
      <c r="J291" s="368">
        <v>33</v>
      </c>
      <c r="K291" s="370">
        <v>73</v>
      </c>
      <c r="L291" s="29"/>
      <c r="M291" s="29"/>
      <c r="N291" s="29"/>
      <c r="O291" s="29"/>
      <c r="P291" s="29"/>
      <c r="Q291" s="29"/>
      <c r="R291" s="29"/>
      <c r="S291" s="29"/>
      <c r="T291" s="29"/>
      <c r="U291" s="29"/>
      <c r="V291" s="29"/>
      <c r="W291" s="29"/>
      <c r="X291" s="29"/>
      <c r="Y291" s="29"/>
      <c r="Z291" s="29"/>
    </row>
    <row r="292" spans="2:26" x14ac:dyDescent="0.25">
      <c r="B292" s="152" t="s">
        <v>319</v>
      </c>
      <c r="C292" s="368"/>
      <c r="D292" s="368">
        <v>18</v>
      </c>
      <c r="E292" s="368">
        <v>45</v>
      </c>
      <c r="F292" s="368">
        <v>69</v>
      </c>
      <c r="G292" s="368"/>
      <c r="H292" s="368">
        <v>4</v>
      </c>
      <c r="I292" s="368">
        <v>70</v>
      </c>
      <c r="J292" s="368">
        <v>66</v>
      </c>
      <c r="K292" s="370">
        <v>136</v>
      </c>
      <c r="L292" s="29"/>
      <c r="M292" s="29"/>
      <c r="N292" s="29"/>
      <c r="O292" s="29"/>
      <c r="P292" s="29"/>
      <c r="Q292" s="29"/>
      <c r="R292" s="29"/>
      <c r="S292" s="29"/>
      <c r="T292" s="29"/>
      <c r="U292" s="29"/>
      <c r="V292" s="29"/>
      <c r="W292" s="29"/>
      <c r="X292" s="29"/>
      <c r="Y292" s="29"/>
      <c r="Z292" s="29"/>
    </row>
    <row r="293" spans="2:26" x14ac:dyDescent="0.25">
      <c r="B293" s="152" t="s">
        <v>320</v>
      </c>
      <c r="C293" s="368"/>
      <c r="D293" s="368">
        <v>13</v>
      </c>
      <c r="E293" s="368">
        <v>60</v>
      </c>
      <c r="F293" s="368">
        <v>82</v>
      </c>
      <c r="G293" s="368"/>
      <c r="H293" s="368">
        <v>6</v>
      </c>
      <c r="I293" s="368">
        <v>81</v>
      </c>
      <c r="J293" s="368">
        <v>80</v>
      </c>
      <c r="K293" s="370">
        <v>161</v>
      </c>
      <c r="L293" s="29"/>
      <c r="M293" s="29"/>
      <c r="N293" s="29"/>
      <c r="O293" s="29"/>
      <c r="P293" s="29"/>
      <c r="Q293" s="29"/>
      <c r="R293" s="29"/>
      <c r="S293" s="29"/>
      <c r="T293" s="29"/>
      <c r="U293" s="29"/>
      <c r="V293" s="29"/>
      <c r="W293" s="29"/>
      <c r="X293" s="29"/>
      <c r="Y293" s="29"/>
      <c r="Z293" s="29"/>
    </row>
    <row r="294" spans="2:26" x14ac:dyDescent="0.25">
      <c r="B294" s="152" t="s">
        <v>321</v>
      </c>
      <c r="C294" s="368"/>
      <c r="D294" s="368">
        <v>16</v>
      </c>
      <c r="E294" s="368">
        <v>60</v>
      </c>
      <c r="F294" s="368">
        <v>93</v>
      </c>
      <c r="G294" s="368"/>
      <c r="H294" s="368">
        <v>5</v>
      </c>
      <c r="I294" s="368">
        <v>96</v>
      </c>
      <c r="J294" s="368">
        <v>78</v>
      </c>
      <c r="K294" s="370">
        <v>174</v>
      </c>
      <c r="L294" s="29"/>
      <c r="M294" s="29"/>
      <c r="N294" s="29"/>
      <c r="O294" s="29"/>
      <c r="P294" s="29"/>
      <c r="Q294" s="29"/>
      <c r="R294" s="29"/>
      <c r="S294" s="29"/>
      <c r="T294" s="29"/>
      <c r="U294" s="29"/>
      <c r="V294" s="29"/>
      <c r="W294" s="29"/>
      <c r="X294" s="29"/>
      <c r="Y294" s="29"/>
      <c r="Z294" s="29"/>
    </row>
    <row r="295" spans="2:26" x14ac:dyDescent="0.25">
      <c r="B295" s="152" t="s">
        <v>322</v>
      </c>
      <c r="C295" s="368"/>
      <c r="D295" s="368">
        <v>4</v>
      </c>
      <c r="E295" s="368">
        <v>30</v>
      </c>
      <c r="F295" s="368">
        <v>17</v>
      </c>
      <c r="G295" s="368"/>
      <c r="H295" s="368">
        <v>1</v>
      </c>
      <c r="I295" s="368">
        <v>27</v>
      </c>
      <c r="J295" s="368">
        <v>25</v>
      </c>
      <c r="K295" s="370">
        <v>52</v>
      </c>
      <c r="L295" s="29"/>
      <c r="M295" s="29"/>
      <c r="N295" s="29"/>
      <c r="O295" s="29"/>
      <c r="P295" s="29"/>
      <c r="Q295" s="29"/>
      <c r="R295" s="29"/>
      <c r="S295" s="29"/>
      <c r="T295" s="29"/>
      <c r="U295" s="29"/>
      <c r="V295" s="29"/>
      <c r="W295" s="29"/>
      <c r="X295" s="29"/>
      <c r="Y295" s="29"/>
      <c r="Z295" s="29"/>
    </row>
    <row r="296" spans="2:26" x14ac:dyDescent="0.25">
      <c r="B296" s="152" t="s">
        <v>323</v>
      </c>
      <c r="C296" s="368"/>
      <c r="D296" s="368">
        <v>8</v>
      </c>
      <c r="E296" s="368">
        <v>16</v>
      </c>
      <c r="F296" s="368">
        <v>17</v>
      </c>
      <c r="G296" s="368"/>
      <c r="H296" s="368">
        <v>6</v>
      </c>
      <c r="I296" s="368">
        <v>21</v>
      </c>
      <c r="J296" s="368">
        <v>26</v>
      </c>
      <c r="K296" s="370">
        <v>47</v>
      </c>
      <c r="L296" s="29"/>
      <c r="M296" s="29"/>
      <c r="N296" s="29"/>
      <c r="O296" s="29"/>
      <c r="P296" s="29"/>
      <c r="Q296" s="29"/>
      <c r="R296" s="29"/>
      <c r="S296" s="29"/>
      <c r="T296" s="29"/>
      <c r="U296" s="29"/>
      <c r="V296" s="29"/>
      <c r="W296" s="29"/>
      <c r="X296" s="29"/>
      <c r="Y296" s="29"/>
      <c r="Z296" s="29"/>
    </row>
    <row r="297" spans="2:26" x14ac:dyDescent="0.25">
      <c r="B297" s="152" t="s">
        <v>324</v>
      </c>
      <c r="C297" s="368"/>
      <c r="D297" s="368">
        <v>16</v>
      </c>
      <c r="E297" s="368">
        <v>50</v>
      </c>
      <c r="F297" s="368">
        <v>92</v>
      </c>
      <c r="G297" s="368"/>
      <c r="H297" s="368">
        <v>9</v>
      </c>
      <c r="I297" s="368">
        <v>73</v>
      </c>
      <c r="J297" s="368">
        <v>94</v>
      </c>
      <c r="K297" s="370">
        <v>167</v>
      </c>
      <c r="L297" s="29"/>
      <c r="M297" s="29"/>
      <c r="N297" s="29"/>
      <c r="O297" s="29"/>
      <c r="P297" s="29"/>
      <c r="Q297" s="29"/>
      <c r="R297" s="29"/>
      <c r="S297" s="29"/>
      <c r="T297" s="29"/>
      <c r="U297" s="29"/>
      <c r="V297" s="29"/>
      <c r="W297" s="29"/>
      <c r="X297" s="29"/>
      <c r="Y297" s="29"/>
      <c r="Z297" s="29"/>
    </row>
    <row r="298" spans="2:26" x14ac:dyDescent="0.25">
      <c r="B298" s="152" t="s">
        <v>325</v>
      </c>
      <c r="C298" s="368"/>
      <c r="D298" s="368">
        <v>11</v>
      </c>
      <c r="E298" s="368">
        <v>29</v>
      </c>
      <c r="F298" s="368">
        <v>29</v>
      </c>
      <c r="G298" s="368"/>
      <c r="H298" s="368">
        <v>3</v>
      </c>
      <c r="I298" s="368">
        <v>33</v>
      </c>
      <c r="J298" s="368">
        <v>39</v>
      </c>
      <c r="K298" s="370">
        <v>72</v>
      </c>
      <c r="L298" s="29"/>
      <c r="M298" s="29"/>
      <c r="N298" s="29"/>
      <c r="O298" s="29"/>
      <c r="P298" s="29"/>
      <c r="Q298" s="29"/>
      <c r="R298" s="29"/>
      <c r="S298" s="29"/>
      <c r="T298" s="29"/>
      <c r="U298" s="29"/>
      <c r="V298" s="29"/>
      <c r="W298" s="29"/>
      <c r="X298" s="29"/>
      <c r="Y298" s="29"/>
      <c r="Z298" s="29"/>
    </row>
    <row r="299" spans="2:26" x14ac:dyDescent="0.25">
      <c r="B299" s="152" t="s">
        <v>326</v>
      </c>
      <c r="C299" s="368"/>
      <c r="D299" s="368">
        <v>13</v>
      </c>
      <c r="E299" s="368">
        <v>37</v>
      </c>
      <c r="F299" s="368">
        <v>41</v>
      </c>
      <c r="G299" s="368"/>
      <c r="H299" s="368">
        <v>8</v>
      </c>
      <c r="I299" s="368">
        <v>50</v>
      </c>
      <c r="J299" s="368">
        <v>49</v>
      </c>
      <c r="K299" s="370">
        <v>99</v>
      </c>
      <c r="L299" s="29"/>
      <c r="M299" s="29"/>
      <c r="N299" s="29"/>
      <c r="O299" s="29"/>
      <c r="P299" s="29"/>
      <c r="Q299" s="29"/>
      <c r="R299" s="29"/>
      <c r="S299" s="29"/>
      <c r="T299" s="29"/>
      <c r="U299" s="29"/>
      <c r="V299" s="29"/>
      <c r="W299" s="29"/>
      <c r="X299" s="29"/>
      <c r="Y299" s="29"/>
      <c r="Z299" s="29"/>
    </row>
    <row r="300" spans="2:26" x14ac:dyDescent="0.25">
      <c r="B300" s="152" t="s">
        <v>327</v>
      </c>
      <c r="C300" s="368"/>
      <c r="D300" s="368">
        <v>35</v>
      </c>
      <c r="E300" s="368">
        <v>104</v>
      </c>
      <c r="F300" s="368">
        <v>119</v>
      </c>
      <c r="G300" s="368"/>
      <c r="H300" s="368">
        <v>10</v>
      </c>
      <c r="I300" s="368">
        <v>139</v>
      </c>
      <c r="J300" s="368">
        <v>129</v>
      </c>
      <c r="K300" s="370">
        <v>268</v>
      </c>
      <c r="L300" s="29"/>
      <c r="M300" s="29"/>
      <c r="N300" s="29"/>
      <c r="O300" s="29"/>
      <c r="P300" s="29"/>
      <c r="Q300" s="29"/>
      <c r="R300" s="29"/>
      <c r="S300" s="29"/>
      <c r="T300" s="29"/>
      <c r="U300" s="29"/>
      <c r="V300" s="29"/>
      <c r="W300" s="29"/>
      <c r="X300" s="29"/>
      <c r="Y300" s="29"/>
      <c r="Z300" s="29"/>
    </row>
    <row r="301" spans="2:26" x14ac:dyDescent="0.25">
      <c r="B301" s="152" t="s">
        <v>328</v>
      </c>
      <c r="C301" s="368"/>
      <c r="D301" s="368">
        <v>28</v>
      </c>
      <c r="E301" s="368">
        <v>47</v>
      </c>
      <c r="F301" s="368">
        <v>105</v>
      </c>
      <c r="G301" s="368"/>
      <c r="H301" s="368">
        <v>8</v>
      </c>
      <c r="I301" s="368">
        <v>103</v>
      </c>
      <c r="J301" s="368">
        <v>85</v>
      </c>
      <c r="K301" s="370">
        <v>188</v>
      </c>
      <c r="L301" s="29"/>
      <c r="M301" s="29"/>
      <c r="N301" s="29"/>
      <c r="O301" s="29"/>
      <c r="P301" s="29"/>
      <c r="Q301" s="29"/>
      <c r="R301" s="29"/>
      <c r="S301" s="29"/>
      <c r="T301" s="29"/>
      <c r="U301" s="29"/>
      <c r="V301" s="29"/>
      <c r="W301" s="29"/>
      <c r="X301" s="29"/>
      <c r="Y301" s="29"/>
      <c r="Z301" s="29"/>
    </row>
    <row r="302" spans="2:26" x14ac:dyDescent="0.25">
      <c r="B302" s="152" t="s">
        <v>329</v>
      </c>
      <c r="C302" s="368"/>
      <c r="D302" s="368">
        <v>9</v>
      </c>
      <c r="E302" s="368">
        <v>36</v>
      </c>
      <c r="F302" s="368">
        <v>25</v>
      </c>
      <c r="G302" s="368"/>
      <c r="H302" s="368">
        <v>0</v>
      </c>
      <c r="I302" s="368">
        <v>31</v>
      </c>
      <c r="J302" s="368">
        <v>39</v>
      </c>
      <c r="K302" s="370">
        <v>70</v>
      </c>
      <c r="L302" s="29"/>
      <c r="M302" s="29"/>
      <c r="N302" s="29"/>
      <c r="O302" s="29"/>
      <c r="P302" s="29"/>
      <c r="Q302" s="29"/>
      <c r="R302" s="29"/>
      <c r="S302" s="29"/>
      <c r="T302" s="29"/>
      <c r="U302" s="29"/>
      <c r="V302" s="29"/>
      <c r="W302" s="29"/>
      <c r="X302" s="29"/>
      <c r="Y302" s="29"/>
      <c r="Z302" s="29"/>
    </row>
    <row r="303" spans="2:26" x14ac:dyDescent="0.25">
      <c r="B303" s="152" t="s">
        <v>330</v>
      </c>
      <c r="C303" s="368"/>
      <c r="D303" s="368">
        <v>5</v>
      </c>
      <c r="E303" s="368">
        <v>19</v>
      </c>
      <c r="F303" s="368">
        <v>25</v>
      </c>
      <c r="G303" s="368"/>
      <c r="H303" s="368">
        <v>2</v>
      </c>
      <c r="I303" s="368">
        <v>26</v>
      </c>
      <c r="J303" s="368">
        <v>25</v>
      </c>
      <c r="K303" s="370">
        <v>51</v>
      </c>
      <c r="L303" s="29"/>
      <c r="M303" s="29"/>
      <c r="N303" s="29"/>
      <c r="O303" s="29"/>
      <c r="P303" s="29"/>
      <c r="Q303" s="29"/>
      <c r="R303" s="29"/>
      <c r="S303" s="29"/>
      <c r="T303" s="29"/>
      <c r="U303" s="29"/>
      <c r="V303" s="29"/>
      <c r="W303" s="29"/>
      <c r="X303" s="29"/>
      <c r="Y303" s="29"/>
      <c r="Z303" s="29"/>
    </row>
    <row r="304" spans="2:26" x14ac:dyDescent="0.25">
      <c r="B304" s="152" t="s">
        <v>331</v>
      </c>
      <c r="C304" s="368"/>
      <c r="D304" s="368">
        <v>8</v>
      </c>
      <c r="E304" s="368">
        <v>29</v>
      </c>
      <c r="F304" s="368">
        <v>24</v>
      </c>
      <c r="G304" s="368"/>
      <c r="H304" s="368">
        <v>2</v>
      </c>
      <c r="I304" s="368">
        <v>31</v>
      </c>
      <c r="J304" s="368">
        <v>32</v>
      </c>
      <c r="K304" s="370">
        <v>63</v>
      </c>
      <c r="L304" s="29"/>
      <c r="M304" s="29"/>
      <c r="N304" s="29"/>
      <c r="O304" s="29"/>
      <c r="P304" s="29"/>
      <c r="Q304" s="29"/>
      <c r="R304" s="29"/>
      <c r="S304" s="29"/>
      <c r="T304" s="29"/>
      <c r="U304" s="29"/>
      <c r="V304" s="29"/>
      <c r="W304" s="29"/>
      <c r="X304" s="29"/>
      <c r="Y304" s="29"/>
      <c r="Z304" s="29"/>
    </row>
    <row r="305" spans="2:26" x14ac:dyDescent="0.25">
      <c r="B305" s="152" t="s">
        <v>332</v>
      </c>
      <c r="C305" s="368"/>
      <c r="D305" s="368">
        <v>8</v>
      </c>
      <c r="E305" s="368">
        <v>28</v>
      </c>
      <c r="F305" s="368">
        <v>12</v>
      </c>
      <c r="G305" s="368"/>
      <c r="H305" s="368">
        <v>1</v>
      </c>
      <c r="I305" s="368">
        <v>22</v>
      </c>
      <c r="J305" s="368">
        <v>27</v>
      </c>
      <c r="K305" s="370">
        <v>49</v>
      </c>
      <c r="L305" s="29"/>
      <c r="M305" s="29"/>
      <c r="N305" s="29"/>
      <c r="O305" s="29"/>
      <c r="P305" s="29"/>
      <c r="Q305" s="29"/>
      <c r="R305" s="29"/>
      <c r="S305" s="29"/>
      <c r="T305" s="29"/>
      <c r="U305" s="29"/>
      <c r="V305" s="29"/>
      <c r="W305" s="29"/>
      <c r="X305" s="29"/>
      <c r="Y305" s="29"/>
      <c r="Z305" s="29"/>
    </row>
    <row r="306" spans="2:26" x14ac:dyDescent="0.25">
      <c r="B306" s="152" t="s">
        <v>333</v>
      </c>
      <c r="C306" s="368"/>
      <c r="D306" s="368">
        <v>29</v>
      </c>
      <c r="E306" s="368">
        <v>78</v>
      </c>
      <c r="F306" s="368">
        <v>115</v>
      </c>
      <c r="G306" s="368"/>
      <c r="H306" s="368">
        <v>5</v>
      </c>
      <c r="I306" s="368">
        <v>114</v>
      </c>
      <c r="J306" s="368">
        <v>113</v>
      </c>
      <c r="K306" s="370">
        <v>227</v>
      </c>
      <c r="L306" s="29"/>
      <c r="M306" s="29"/>
      <c r="N306" s="29"/>
      <c r="O306" s="29"/>
      <c r="P306" s="29"/>
      <c r="Q306" s="29"/>
      <c r="R306" s="29"/>
      <c r="S306" s="29"/>
      <c r="T306" s="29"/>
      <c r="U306" s="29"/>
      <c r="V306" s="29"/>
      <c r="W306" s="29"/>
      <c r="X306" s="29"/>
      <c r="Y306" s="29"/>
      <c r="Z306" s="29"/>
    </row>
    <row r="307" spans="2:26" x14ac:dyDescent="0.25">
      <c r="B307" s="152" t="s">
        <v>334</v>
      </c>
      <c r="C307" s="368"/>
      <c r="D307" s="368">
        <v>59</v>
      </c>
      <c r="E307" s="368">
        <v>109</v>
      </c>
      <c r="F307" s="368">
        <v>200</v>
      </c>
      <c r="G307" s="368"/>
      <c r="H307" s="368">
        <v>20</v>
      </c>
      <c r="I307" s="368">
        <v>199</v>
      </c>
      <c r="J307" s="368">
        <v>189</v>
      </c>
      <c r="K307" s="370">
        <v>388</v>
      </c>
      <c r="L307" s="29"/>
      <c r="M307" s="29"/>
      <c r="N307" s="29"/>
      <c r="O307" s="29"/>
      <c r="P307" s="29"/>
      <c r="Q307" s="29"/>
      <c r="R307" s="29"/>
      <c r="S307" s="29"/>
      <c r="T307" s="29"/>
      <c r="U307" s="29"/>
      <c r="V307" s="29"/>
      <c r="W307" s="29"/>
      <c r="X307" s="29"/>
      <c r="Y307" s="29"/>
      <c r="Z307" s="29"/>
    </row>
    <row r="308" spans="2:26" x14ac:dyDescent="0.25">
      <c r="B308" s="152" t="s">
        <v>335</v>
      </c>
      <c r="C308" s="368"/>
      <c r="D308" s="368">
        <v>7</v>
      </c>
      <c r="E308" s="368">
        <v>16</v>
      </c>
      <c r="F308" s="368">
        <v>19</v>
      </c>
      <c r="G308" s="368"/>
      <c r="H308" s="368">
        <v>4</v>
      </c>
      <c r="I308" s="368">
        <v>18</v>
      </c>
      <c r="J308" s="368">
        <v>28</v>
      </c>
      <c r="K308" s="370">
        <v>46</v>
      </c>
      <c r="L308" s="29"/>
      <c r="M308" s="29"/>
      <c r="N308" s="29"/>
      <c r="O308" s="29"/>
      <c r="P308" s="29"/>
      <c r="Q308" s="29"/>
      <c r="R308" s="29"/>
      <c r="S308" s="29"/>
      <c r="T308" s="29"/>
      <c r="U308" s="29"/>
      <c r="V308" s="29"/>
      <c r="W308" s="29"/>
      <c r="X308" s="29"/>
      <c r="Y308" s="29"/>
      <c r="Z308" s="29"/>
    </row>
    <row r="309" spans="2:26" x14ac:dyDescent="0.25">
      <c r="B309" s="152" t="s">
        <v>336</v>
      </c>
      <c r="C309" s="368"/>
      <c r="D309" s="368">
        <v>24</v>
      </c>
      <c r="E309" s="368">
        <v>63</v>
      </c>
      <c r="F309" s="368">
        <v>83</v>
      </c>
      <c r="G309" s="368"/>
      <c r="H309" s="368">
        <v>9</v>
      </c>
      <c r="I309" s="368">
        <v>95</v>
      </c>
      <c r="J309" s="368">
        <v>84</v>
      </c>
      <c r="K309" s="370">
        <v>179</v>
      </c>
      <c r="L309" s="29"/>
      <c r="M309" s="29"/>
      <c r="N309" s="29"/>
      <c r="O309" s="29"/>
      <c r="P309" s="29"/>
      <c r="Q309" s="29"/>
      <c r="R309" s="29"/>
      <c r="S309" s="29"/>
      <c r="T309" s="29"/>
      <c r="U309" s="29"/>
      <c r="V309" s="29"/>
      <c r="W309" s="29"/>
      <c r="X309" s="29"/>
      <c r="Y309" s="29"/>
      <c r="Z309" s="29"/>
    </row>
    <row r="310" spans="2:26" x14ac:dyDescent="0.25">
      <c r="B310" s="152" t="s">
        <v>337</v>
      </c>
      <c r="C310" s="368"/>
      <c r="D310" s="368">
        <v>12</v>
      </c>
      <c r="E310" s="368">
        <v>78</v>
      </c>
      <c r="F310" s="368">
        <v>148</v>
      </c>
      <c r="G310" s="368"/>
      <c r="H310" s="368">
        <v>8</v>
      </c>
      <c r="I310" s="368">
        <v>124</v>
      </c>
      <c r="J310" s="368">
        <v>122</v>
      </c>
      <c r="K310" s="370">
        <v>246</v>
      </c>
      <c r="L310" s="29"/>
      <c r="M310" s="29"/>
      <c r="N310" s="29"/>
      <c r="O310" s="29"/>
      <c r="P310" s="29"/>
      <c r="Q310" s="29"/>
      <c r="R310" s="29"/>
      <c r="S310" s="29"/>
      <c r="T310" s="29"/>
      <c r="U310" s="29"/>
      <c r="V310" s="29"/>
      <c r="W310" s="29"/>
      <c r="X310" s="29"/>
      <c r="Y310" s="29"/>
      <c r="Z310" s="29"/>
    </row>
    <row r="311" spans="2:26" x14ac:dyDescent="0.25">
      <c r="B311" s="152" t="s">
        <v>338</v>
      </c>
      <c r="C311" s="368"/>
      <c r="D311" s="368">
        <v>12</v>
      </c>
      <c r="E311" s="368">
        <v>38</v>
      </c>
      <c r="F311" s="368">
        <v>41</v>
      </c>
      <c r="G311" s="368"/>
      <c r="H311" s="368">
        <v>3</v>
      </c>
      <c r="I311" s="368">
        <v>44</v>
      </c>
      <c r="J311" s="368">
        <v>50</v>
      </c>
      <c r="K311" s="370">
        <v>94</v>
      </c>
      <c r="L311" s="29"/>
      <c r="M311" s="29"/>
      <c r="N311" s="29"/>
      <c r="O311" s="29"/>
      <c r="P311" s="29"/>
      <c r="Q311" s="29"/>
      <c r="R311" s="29"/>
      <c r="S311" s="29"/>
      <c r="T311" s="29"/>
      <c r="U311" s="29"/>
      <c r="V311" s="29"/>
      <c r="W311" s="29"/>
      <c r="X311" s="29"/>
      <c r="Y311" s="29"/>
      <c r="Z311" s="29"/>
    </row>
    <row r="312" spans="2:26" x14ac:dyDescent="0.25">
      <c r="B312" s="152" t="s">
        <v>339</v>
      </c>
      <c r="C312" s="368"/>
      <c r="D312" s="368">
        <v>12</v>
      </c>
      <c r="E312" s="368">
        <v>23</v>
      </c>
      <c r="F312" s="368">
        <v>47</v>
      </c>
      <c r="G312" s="368"/>
      <c r="H312" s="368">
        <v>2</v>
      </c>
      <c r="I312" s="368">
        <v>44</v>
      </c>
      <c r="J312" s="368">
        <v>40</v>
      </c>
      <c r="K312" s="370">
        <v>84</v>
      </c>
      <c r="L312" s="29"/>
      <c r="M312" s="29"/>
      <c r="N312" s="29"/>
      <c r="O312" s="29"/>
      <c r="P312" s="29"/>
      <c r="Q312" s="29"/>
      <c r="R312" s="29"/>
      <c r="S312" s="29"/>
      <c r="T312" s="29"/>
      <c r="U312" s="29"/>
      <c r="V312" s="29"/>
      <c r="W312" s="29"/>
      <c r="X312" s="29"/>
      <c r="Y312" s="29"/>
      <c r="Z312" s="29"/>
    </row>
    <row r="313" spans="2:26" x14ac:dyDescent="0.25">
      <c r="B313" s="152" t="s">
        <v>340</v>
      </c>
      <c r="C313" s="368"/>
      <c r="D313" s="368">
        <v>12</v>
      </c>
      <c r="E313" s="368">
        <v>23</v>
      </c>
      <c r="F313" s="368">
        <v>27</v>
      </c>
      <c r="G313" s="368"/>
      <c r="H313" s="368">
        <v>0</v>
      </c>
      <c r="I313" s="368">
        <v>35</v>
      </c>
      <c r="J313" s="368">
        <v>27</v>
      </c>
      <c r="K313" s="370">
        <v>62</v>
      </c>
      <c r="L313" s="29"/>
      <c r="M313" s="29"/>
      <c r="N313" s="29"/>
      <c r="O313" s="29"/>
      <c r="P313" s="29"/>
      <c r="Q313" s="29"/>
      <c r="R313" s="29"/>
      <c r="S313" s="29"/>
      <c r="T313" s="29"/>
      <c r="U313" s="29"/>
      <c r="V313" s="29"/>
      <c r="W313" s="29"/>
      <c r="X313" s="29"/>
      <c r="Y313" s="29"/>
      <c r="Z313" s="29"/>
    </row>
    <row r="314" spans="2:26" x14ac:dyDescent="0.25">
      <c r="B314" s="152" t="s">
        <v>341</v>
      </c>
      <c r="C314" s="368"/>
      <c r="D314" s="368">
        <v>127</v>
      </c>
      <c r="E314" s="368">
        <v>560</v>
      </c>
      <c r="F314" s="368">
        <v>1366</v>
      </c>
      <c r="G314" s="368"/>
      <c r="H314" s="368">
        <v>60</v>
      </c>
      <c r="I314" s="368">
        <v>1240</v>
      </c>
      <c r="J314" s="368">
        <v>873</v>
      </c>
      <c r="K314" s="370">
        <v>2113</v>
      </c>
      <c r="L314" s="29"/>
      <c r="M314" s="29"/>
      <c r="N314" s="29"/>
      <c r="O314" s="29"/>
      <c r="P314" s="29"/>
      <c r="Q314" s="29"/>
      <c r="R314" s="29"/>
      <c r="S314" s="29"/>
      <c r="T314" s="29"/>
      <c r="U314" s="29"/>
      <c r="V314" s="29"/>
      <c r="W314" s="29"/>
      <c r="X314" s="29"/>
      <c r="Y314" s="29"/>
      <c r="Z314" s="29"/>
    </row>
    <row r="315" spans="2:26" x14ac:dyDescent="0.25">
      <c r="B315" s="152" t="s">
        <v>342</v>
      </c>
      <c r="C315" s="368"/>
      <c r="D315" s="368">
        <v>11</v>
      </c>
      <c r="E315" s="368">
        <v>41</v>
      </c>
      <c r="F315" s="368">
        <v>31</v>
      </c>
      <c r="G315" s="368"/>
      <c r="H315" s="368">
        <v>5</v>
      </c>
      <c r="I315" s="368">
        <v>41</v>
      </c>
      <c r="J315" s="368">
        <v>47</v>
      </c>
      <c r="K315" s="370">
        <v>88</v>
      </c>
      <c r="L315" s="29"/>
      <c r="M315" s="29"/>
      <c r="N315" s="29"/>
      <c r="O315" s="29"/>
      <c r="P315" s="29"/>
      <c r="Q315" s="29"/>
      <c r="R315" s="29"/>
      <c r="S315" s="29"/>
      <c r="T315" s="29"/>
      <c r="U315" s="29"/>
      <c r="V315" s="29"/>
      <c r="W315" s="29"/>
      <c r="X315" s="29"/>
      <c r="Y315" s="29"/>
      <c r="Z315" s="29"/>
    </row>
    <row r="316" spans="2:26" x14ac:dyDescent="0.25">
      <c r="B316" s="152" t="s">
        <v>343</v>
      </c>
      <c r="C316" s="368"/>
      <c r="D316" s="368">
        <v>6</v>
      </c>
      <c r="E316" s="368">
        <v>21</v>
      </c>
      <c r="F316" s="368">
        <v>34</v>
      </c>
      <c r="G316" s="368"/>
      <c r="H316" s="368">
        <v>2</v>
      </c>
      <c r="I316" s="368">
        <v>28</v>
      </c>
      <c r="J316" s="368">
        <v>35</v>
      </c>
      <c r="K316" s="370">
        <v>63</v>
      </c>
      <c r="L316" s="29"/>
      <c r="M316" s="29"/>
      <c r="N316" s="29"/>
      <c r="O316" s="29"/>
      <c r="P316" s="29"/>
      <c r="Q316" s="29"/>
      <c r="R316" s="29"/>
      <c r="S316" s="29"/>
      <c r="T316" s="29"/>
      <c r="U316" s="29"/>
      <c r="V316" s="29"/>
      <c r="W316" s="29"/>
      <c r="X316" s="29"/>
      <c r="Y316" s="29"/>
      <c r="Z316" s="29"/>
    </row>
    <row r="317" spans="2:26" x14ac:dyDescent="0.25">
      <c r="B317" s="152" t="s">
        <v>344</v>
      </c>
      <c r="C317" s="368"/>
      <c r="D317" s="368">
        <v>25</v>
      </c>
      <c r="E317" s="368">
        <v>38</v>
      </c>
      <c r="F317" s="368">
        <v>89</v>
      </c>
      <c r="G317" s="368"/>
      <c r="H317" s="368">
        <v>7</v>
      </c>
      <c r="I317" s="368">
        <v>78</v>
      </c>
      <c r="J317" s="368">
        <v>81</v>
      </c>
      <c r="K317" s="370">
        <v>159</v>
      </c>
      <c r="L317" s="29"/>
      <c r="M317" s="29"/>
      <c r="N317" s="29"/>
      <c r="O317" s="29"/>
      <c r="P317" s="29"/>
      <c r="Q317" s="29"/>
      <c r="R317" s="29"/>
      <c r="S317" s="29"/>
      <c r="T317" s="29"/>
      <c r="U317" s="29"/>
      <c r="V317" s="29"/>
      <c r="W317" s="29"/>
      <c r="X317" s="29"/>
      <c r="Y317" s="29"/>
      <c r="Z317" s="29"/>
    </row>
    <row r="318" spans="2:26" x14ac:dyDescent="0.25">
      <c r="B318" s="152" t="s">
        <v>345</v>
      </c>
      <c r="C318" s="368"/>
      <c r="D318" s="368">
        <v>31</v>
      </c>
      <c r="E318" s="368">
        <v>89</v>
      </c>
      <c r="F318" s="368">
        <v>186</v>
      </c>
      <c r="G318" s="368"/>
      <c r="H318" s="368">
        <v>16</v>
      </c>
      <c r="I318" s="368">
        <v>161</v>
      </c>
      <c r="J318" s="368">
        <v>161</v>
      </c>
      <c r="K318" s="370">
        <v>322</v>
      </c>
      <c r="L318" s="29"/>
      <c r="M318" s="29"/>
      <c r="N318" s="29"/>
      <c r="O318" s="29"/>
      <c r="P318" s="29"/>
      <c r="Q318" s="29"/>
      <c r="R318" s="29"/>
      <c r="S318" s="29"/>
      <c r="T318" s="29"/>
      <c r="U318" s="29"/>
      <c r="V318" s="29"/>
      <c r="W318" s="29"/>
      <c r="X318" s="29"/>
      <c r="Y318" s="29"/>
      <c r="Z318" s="29"/>
    </row>
    <row r="319" spans="2:26" x14ac:dyDescent="0.25">
      <c r="B319" s="152" t="s">
        <v>346</v>
      </c>
      <c r="C319" s="368"/>
      <c r="D319" s="368">
        <v>22</v>
      </c>
      <c r="E319" s="368">
        <v>80</v>
      </c>
      <c r="F319" s="368">
        <v>77</v>
      </c>
      <c r="G319" s="368"/>
      <c r="H319" s="368">
        <v>9</v>
      </c>
      <c r="I319" s="368">
        <v>92</v>
      </c>
      <c r="J319" s="368">
        <v>96</v>
      </c>
      <c r="K319" s="370">
        <v>188</v>
      </c>
      <c r="L319" s="29"/>
      <c r="M319" s="29"/>
      <c r="N319" s="29"/>
      <c r="O319" s="29"/>
      <c r="P319" s="29"/>
      <c r="Q319" s="29"/>
      <c r="R319" s="29"/>
      <c r="S319" s="29"/>
      <c r="T319" s="29"/>
      <c r="U319" s="29"/>
      <c r="V319" s="29"/>
      <c r="W319" s="29"/>
      <c r="X319" s="29"/>
      <c r="Y319" s="29"/>
      <c r="Z319" s="29"/>
    </row>
    <row r="320" spans="2:26" x14ac:dyDescent="0.25">
      <c r="B320" s="152" t="s">
        <v>347</v>
      </c>
      <c r="C320" s="368"/>
      <c r="D320" s="368">
        <v>38</v>
      </c>
      <c r="E320" s="368">
        <v>154</v>
      </c>
      <c r="F320" s="368">
        <v>307</v>
      </c>
      <c r="G320" s="368"/>
      <c r="H320" s="368">
        <v>14</v>
      </c>
      <c r="I320" s="368">
        <v>258</v>
      </c>
      <c r="J320" s="368">
        <v>255</v>
      </c>
      <c r="K320" s="370">
        <v>513</v>
      </c>
      <c r="L320" s="29"/>
      <c r="M320" s="29"/>
      <c r="N320" s="29"/>
      <c r="O320" s="29"/>
      <c r="P320" s="29"/>
      <c r="Q320" s="29"/>
      <c r="R320" s="29"/>
      <c r="S320" s="29"/>
      <c r="T320" s="29"/>
      <c r="U320" s="29"/>
      <c r="V320" s="29"/>
      <c r="W320" s="29"/>
      <c r="X320" s="29"/>
      <c r="Y320" s="29"/>
      <c r="Z320" s="29"/>
    </row>
    <row r="321" spans="2:26" x14ac:dyDescent="0.25">
      <c r="B321" s="289" t="s">
        <v>36</v>
      </c>
      <c r="C321" s="359"/>
      <c r="D321" s="359">
        <v>676</v>
      </c>
      <c r="E321" s="359">
        <v>2214</v>
      </c>
      <c r="F321" s="359">
        <v>3838</v>
      </c>
      <c r="G321" s="359"/>
      <c r="H321" s="359">
        <v>252</v>
      </c>
      <c r="I321" s="359">
        <v>3702</v>
      </c>
      <c r="J321" s="334">
        <v>3278</v>
      </c>
      <c r="K321" s="334">
        <v>6980</v>
      </c>
      <c r="L321" s="29"/>
      <c r="M321" s="29"/>
      <c r="N321" s="29"/>
      <c r="O321" s="29"/>
      <c r="P321" s="29"/>
      <c r="Q321" s="29"/>
      <c r="R321" s="29"/>
      <c r="S321" s="29"/>
      <c r="T321" s="29"/>
      <c r="U321" s="29"/>
      <c r="V321" s="29"/>
      <c r="W321" s="29"/>
      <c r="X321" s="29"/>
      <c r="Y321" s="29"/>
      <c r="Z321" s="29"/>
    </row>
    <row r="322" spans="2:26" ht="32.25" customHeight="1" x14ac:dyDescent="0.25">
      <c r="B322" s="504" t="s">
        <v>898</v>
      </c>
      <c r="C322" s="504"/>
      <c r="D322" s="504"/>
      <c r="E322" s="504"/>
      <c r="F322" s="504"/>
      <c r="G322" s="504"/>
      <c r="H322" s="504"/>
      <c r="I322" s="504"/>
      <c r="J322" s="504"/>
      <c r="K322" s="504"/>
      <c r="L322" s="29"/>
      <c r="M322" s="29"/>
      <c r="N322" s="29"/>
      <c r="O322" s="29"/>
      <c r="P322" s="29"/>
      <c r="Q322" s="29"/>
      <c r="R322" s="29"/>
      <c r="S322" s="29"/>
      <c r="T322" s="29"/>
      <c r="U322" s="29"/>
      <c r="V322" s="29"/>
      <c r="W322" s="29"/>
      <c r="X322" s="29"/>
      <c r="Y322" s="29"/>
    </row>
    <row r="323" spans="2:26" x14ac:dyDescent="0.25">
      <c r="B323" s="176"/>
      <c r="C323" s="176"/>
      <c r="D323" s="176"/>
      <c r="E323" s="176"/>
      <c r="F323"/>
      <c r="G323"/>
      <c r="H323"/>
      <c r="I323"/>
      <c r="J323" s="29"/>
      <c r="K323" s="29"/>
      <c r="L323" s="29"/>
      <c r="M323" s="29"/>
      <c r="N323" s="29"/>
      <c r="O323" s="29"/>
      <c r="P323" s="29"/>
      <c r="Q323" s="29"/>
      <c r="R323" s="29"/>
      <c r="S323" s="29"/>
      <c r="T323" s="29"/>
      <c r="U323" s="29"/>
      <c r="V323" s="29"/>
      <c r="W323" s="29"/>
      <c r="X323" s="29"/>
      <c r="Y323" s="29"/>
    </row>
    <row r="324" spans="2:26" x14ac:dyDescent="0.25">
      <c r="B324" s="205" t="s">
        <v>530</v>
      </c>
      <c r="C324"/>
      <c r="D324"/>
      <c r="E324"/>
      <c r="F324"/>
      <c r="G324"/>
      <c r="H324"/>
      <c r="I324"/>
      <c r="J324" s="29"/>
      <c r="K324" s="29"/>
      <c r="L324" s="29"/>
      <c r="M324" s="29"/>
      <c r="N324" s="29"/>
      <c r="O324" s="29"/>
      <c r="P324" s="29"/>
      <c r="Q324" s="29"/>
      <c r="R324" s="29"/>
      <c r="S324" s="29"/>
      <c r="T324" s="29"/>
      <c r="U324" s="29"/>
      <c r="V324" s="29"/>
      <c r="W324" s="29"/>
      <c r="X324" s="29"/>
      <c r="Y324" s="29"/>
    </row>
    <row r="325" spans="2:26" x14ac:dyDescent="0.25">
      <c r="B325" s="205"/>
      <c r="C325"/>
      <c r="D325"/>
      <c r="E325"/>
      <c r="F325"/>
      <c r="G325"/>
      <c r="H325"/>
      <c r="I325"/>
      <c r="J325" s="29"/>
      <c r="K325" s="29"/>
      <c r="L325" s="29"/>
      <c r="M325" s="29"/>
      <c r="N325" s="29"/>
      <c r="O325" s="29"/>
      <c r="P325" s="29"/>
      <c r="Q325" s="29"/>
      <c r="R325" s="29"/>
      <c r="S325" s="29"/>
      <c r="T325" s="29"/>
      <c r="U325" s="29"/>
      <c r="V325" s="29"/>
      <c r="W325" s="29"/>
      <c r="X325" s="29"/>
      <c r="Y325" s="29"/>
    </row>
    <row r="326" spans="2:26" ht="15" customHeight="1" x14ac:dyDescent="0.25">
      <c r="B326" s="176"/>
      <c r="C326" s="488" t="s">
        <v>538</v>
      </c>
      <c r="D326" s="488"/>
      <c r="E326" s="488"/>
      <c r="F326" s="488"/>
      <c r="G326" s="488"/>
      <c r="H326" s="488"/>
      <c r="I326" s="484" t="s">
        <v>539</v>
      </c>
      <c r="J326" s="484"/>
      <c r="K326" s="492" t="s">
        <v>36</v>
      </c>
      <c r="L326" s="29"/>
      <c r="M326" s="29"/>
      <c r="N326" s="29"/>
      <c r="O326" s="29"/>
      <c r="P326" s="29"/>
      <c r="Q326" s="29"/>
      <c r="R326" s="29"/>
      <c r="S326" s="29"/>
      <c r="T326" s="29"/>
      <c r="U326" s="29"/>
      <c r="V326" s="29"/>
      <c r="W326" s="29"/>
      <c r="X326" s="29"/>
      <c r="Y326" s="29"/>
    </row>
    <row r="327" spans="2:26" ht="30" x14ac:dyDescent="0.25">
      <c r="B327" s="178" t="s">
        <v>548</v>
      </c>
      <c r="C327" s="179" t="s">
        <v>3</v>
      </c>
      <c r="D327" s="179" t="s">
        <v>4</v>
      </c>
      <c r="E327" s="179" t="s">
        <v>714</v>
      </c>
      <c r="F327" s="179" t="s">
        <v>501</v>
      </c>
      <c r="G327" s="179" t="s">
        <v>5</v>
      </c>
      <c r="H327" s="179" t="s">
        <v>6</v>
      </c>
      <c r="I327" s="179" t="s">
        <v>87</v>
      </c>
      <c r="J327" s="179" t="s">
        <v>88</v>
      </c>
      <c r="K327" s="492"/>
      <c r="L327" s="29"/>
      <c r="M327" s="29"/>
      <c r="N327" s="29"/>
      <c r="O327" s="29"/>
      <c r="P327" s="29"/>
      <c r="Q327" s="29"/>
      <c r="R327" s="29"/>
      <c r="S327" s="29"/>
      <c r="T327" s="29"/>
      <c r="U327" s="29"/>
      <c r="V327" s="29"/>
      <c r="W327" s="29"/>
      <c r="X327" s="29"/>
      <c r="Y327" s="29"/>
    </row>
    <row r="328" spans="2:26" x14ac:dyDescent="0.25">
      <c r="B328" s="175" t="s">
        <v>349</v>
      </c>
      <c r="C328" s="379"/>
      <c r="D328" s="379">
        <v>24</v>
      </c>
      <c r="E328" s="379">
        <v>79</v>
      </c>
      <c r="F328" s="379">
        <v>166</v>
      </c>
      <c r="G328" s="379"/>
      <c r="H328" s="379">
        <v>15</v>
      </c>
      <c r="I328" s="379">
        <v>154</v>
      </c>
      <c r="J328" s="379">
        <v>130</v>
      </c>
      <c r="K328" s="369">
        <v>284</v>
      </c>
      <c r="L328" s="29"/>
      <c r="M328" s="29"/>
      <c r="N328" s="29"/>
      <c r="O328" s="29"/>
      <c r="P328" s="29"/>
      <c r="Q328" s="29"/>
      <c r="R328" s="29"/>
      <c r="S328" s="29"/>
      <c r="T328" s="29"/>
      <c r="U328" s="29"/>
      <c r="V328" s="29"/>
      <c r="W328" s="29"/>
      <c r="X328" s="29"/>
      <c r="Y328" s="29"/>
      <c r="Z328" s="29"/>
    </row>
    <row r="329" spans="2:26" x14ac:dyDescent="0.25">
      <c r="B329" s="152" t="s">
        <v>350</v>
      </c>
      <c r="C329" s="368"/>
      <c r="D329" s="368">
        <v>19</v>
      </c>
      <c r="E329" s="368">
        <v>89</v>
      </c>
      <c r="F329" s="368">
        <v>99</v>
      </c>
      <c r="G329" s="368"/>
      <c r="H329" s="368">
        <v>6</v>
      </c>
      <c r="I329" s="368">
        <v>111</v>
      </c>
      <c r="J329" s="368">
        <v>102</v>
      </c>
      <c r="K329" s="370">
        <v>213</v>
      </c>
      <c r="L329" s="29"/>
      <c r="M329" s="29"/>
      <c r="N329" s="29"/>
      <c r="O329" s="29"/>
      <c r="P329" s="29"/>
      <c r="Q329" s="29"/>
      <c r="R329" s="29"/>
      <c r="S329" s="29"/>
      <c r="T329" s="29"/>
      <c r="U329" s="29"/>
      <c r="V329" s="29"/>
      <c r="W329" s="29"/>
      <c r="X329" s="29"/>
      <c r="Y329" s="29"/>
      <c r="Z329" s="29"/>
    </row>
    <row r="330" spans="2:26" x14ac:dyDescent="0.25">
      <c r="B330" s="152" t="s">
        <v>351</v>
      </c>
      <c r="C330" s="368"/>
      <c r="D330" s="368">
        <v>30</v>
      </c>
      <c r="E330" s="368">
        <v>62</v>
      </c>
      <c r="F330" s="368">
        <v>158</v>
      </c>
      <c r="G330" s="368"/>
      <c r="H330" s="368">
        <v>30</v>
      </c>
      <c r="I330" s="368">
        <v>147</v>
      </c>
      <c r="J330" s="368">
        <v>133</v>
      </c>
      <c r="K330" s="370">
        <v>280</v>
      </c>
      <c r="L330" s="29"/>
      <c r="M330" s="29"/>
      <c r="N330" s="29"/>
      <c r="O330" s="29"/>
      <c r="P330" s="29"/>
      <c r="Q330" s="29"/>
      <c r="R330" s="29"/>
      <c r="S330" s="29"/>
      <c r="T330" s="29"/>
      <c r="U330" s="29"/>
      <c r="V330" s="29"/>
      <c r="W330" s="29"/>
      <c r="X330" s="29"/>
      <c r="Y330" s="29"/>
      <c r="Z330" s="29"/>
    </row>
    <row r="331" spans="2:26" x14ac:dyDescent="0.25">
      <c r="B331" s="152" t="s">
        <v>352</v>
      </c>
      <c r="C331" s="368"/>
      <c r="D331" s="368">
        <v>2</v>
      </c>
      <c r="E331" s="368">
        <v>13</v>
      </c>
      <c r="F331" s="368">
        <v>27</v>
      </c>
      <c r="G331" s="368"/>
      <c r="H331" s="368">
        <v>0</v>
      </c>
      <c r="I331" s="368">
        <v>20</v>
      </c>
      <c r="J331" s="368">
        <v>22</v>
      </c>
      <c r="K331" s="370">
        <v>42</v>
      </c>
      <c r="L331" s="29"/>
      <c r="M331" s="29"/>
      <c r="N331" s="29"/>
      <c r="O331" s="29"/>
      <c r="P331" s="29"/>
      <c r="Q331" s="29"/>
      <c r="R331" s="29"/>
      <c r="S331" s="29"/>
      <c r="T331" s="29"/>
      <c r="U331" s="29"/>
      <c r="V331" s="29"/>
      <c r="W331" s="29"/>
      <c r="X331" s="29"/>
      <c r="Y331" s="29"/>
      <c r="Z331" s="29"/>
    </row>
    <row r="332" spans="2:26" x14ac:dyDescent="0.25">
      <c r="B332" s="152" t="s">
        <v>353</v>
      </c>
      <c r="C332" s="368"/>
      <c r="D332" s="368">
        <v>12</v>
      </c>
      <c r="E332" s="368">
        <v>15</v>
      </c>
      <c r="F332" s="368">
        <v>46</v>
      </c>
      <c r="G332" s="368"/>
      <c r="H332" s="368">
        <v>10</v>
      </c>
      <c r="I332" s="368">
        <v>48</v>
      </c>
      <c r="J332" s="368">
        <v>35</v>
      </c>
      <c r="K332" s="370">
        <v>83</v>
      </c>
      <c r="L332" s="29"/>
      <c r="M332" s="29"/>
      <c r="N332" s="29"/>
      <c r="O332" s="29"/>
      <c r="P332" s="29"/>
      <c r="Q332" s="29"/>
      <c r="R332" s="29"/>
      <c r="S332" s="29"/>
      <c r="T332" s="29"/>
      <c r="U332" s="29"/>
      <c r="V332" s="29"/>
      <c r="W332" s="29"/>
      <c r="X332" s="29"/>
      <c r="Y332" s="29"/>
      <c r="Z332" s="29"/>
    </row>
    <row r="333" spans="2:26" x14ac:dyDescent="0.25">
      <c r="B333" s="152" t="s">
        <v>354</v>
      </c>
      <c r="C333" s="368"/>
      <c r="D333" s="368">
        <v>1</v>
      </c>
      <c r="E333" s="368">
        <v>11</v>
      </c>
      <c r="F333" s="368">
        <v>18</v>
      </c>
      <c r="G333" s="368"/>
      <c r="H333" s="368">
        <v>0</v>
      </c>
      <c r="I333" s="368">
        <v>12</v>
      </c>
      <c r="J333" s="368">
        <v>18</v>
      </c>
      <c r="K333" s="370">
        <v>30</v>
      </c>
      <c r="L333" s="29"/>
      <c r="M333" s="29"/>
      <c r="N333" s="29"/>
      <c r="O333" s="29"/>
      <c r="P333" s="29"/>
      <c r="Q333" s="29"/>
      <c r="R333" s="29"/>
      <c r="S333" s="29"/>
      <c r="T333" s="29"/>
      <c r="U333" s="29"/>
      <c r="V333" s="29"/>
      <c r="W333" s="29"/>
      <c r="X333" s="29"/>
      <c r="Y333" s="29"/>
      <c r="Z333" s="29"/>
    </row>
    <row r="334" spans="2:26" x14ac:dyDescent="0.25">
      <c r="B334" s="152" t="s">
        <v>355</v>
      </c>
      <c r="C334" s="368"/>
      <c r="D334" s="368">
        <v>3</v>
      </c>
      <c r="E334" s="368">
        <v>12</v>
      </c>
      <c r="F334" s="368">
        <v>17</v>
      </c>
      <c r="G334" s="368"/>
      <c r="H334" s="368">
        <v>1</v>
      </c>
      <c r="I334" s="368">
        <v>15</v>
      </c>
      <c r="J334" s="368">
        <v>18</v>
      </c>
      <c r="K334" s="370">
        <v>33</v>
      </c>
      <c r="L334" s="29"/>
      <c r="M334" s="29"/>
      <c r="N334" s="29"/>
      <c r="O334" s="29"/>
      <c r="P334" s="29"/>
      <c r="Q334" s="29"/>
      <c r="R334" s="29"/>
      <c r="S334" s="29"/>
      <c r="T334" s="29"/>
      <c r="U334" s="29"/>
      <c r="V334" s="29"/>
      <c r="W334" s="29"/>
      <c r="X334" s="29"/>
      <c r="Y334" s="29"/>
      <c r="Z334" s="29"/>
    </row>
    <row r="335" spans="2:26" x14ac:dyDescent="0.25">
      <c r="B335" s="152" t="s">
        <v>356</v>
      </c>
      <c r="C335" s="368"/>
      <c r="D335" s="368">
        <v>5</v>
      </c>
      <c r="E335" s="368">
        <v>30</v>
      </c>
      <c r="F335" s="368">
        <v>55</v>
      </c>
      <c r="G335" s="368"/>
      <c r="H335" s="368">
        <v>4</v>
      </c>
      <c r="I335" s="368">
        <v>37</v>
      </c>
      <c r="J335" s="368">
        <v>57</v>
      </c>
      <c r="K335" s="370">
        <v>94</v>
      </c>
      <c r="L335" s="29"/>
      <c r="M335" s="29"/>
      <c r="N335" s="29"/>
      <c r="O335" s="29"/>
      <c r="P335" s="29"/>
      <c r="Q335" s="29"/>
      <c r="R335" s="29"/>
      <c r="S335" s="29"/>
      <c r="T335" s="29"/>
      <c r="U335" s="29"/>
      <c r="V335" s="29"/>
      <c r="W335" s="29"/>
      <c r="X335" s="29"/>
      <c r="Y335" s="29"/>
      <c r="Z335" s="29"/>
    </row>
    <row r="336" spans="2:26" x14ac:dyDescent="0.25">
      <c r="B336" s="152" t="s">
        <v>357</v>
      </c>
      <c r="C336" s="368"/>
      <c r="D336" s="368">
        <v>7</v>
      </c>
      <c r="E336" s="368">
        <v>27</v>
      </c>
      <c r="F336" s="368">
        <v>39</v>
      </c>
      <c r="G336" s="368"/>
      <c r="H336" s="368">
        <v>2</v>
      </c>
      <c r="I336" s="368">
        <v>43</v>
      </c>
      <c r="J336" s="368">
        <v>32</v>
      </c>
      <c r="K336" s="370">
        <v>75</v>
      </c>
      <c r="L336" s="29"/>
      <c r="M336" s="29"/>
      <c r="N336" s="29"/>
      <c r="O336" s="29"/>
      <c r="P336" s="29"/>
      <c r="Q336" s="29"/>
      <c r="R336" s="29"/>
      <c r="S336" s="29"/>
      <c r="T336" s="29"/>
      <c r="U336" s="29"/>
      <c r="V336" s="29"/>
      <c r="W336" s="29"/>
      <c r="X336" s="29"/>
      <c r="Y336" s="29"/>
      <c r="Z336" s="29"/>
    </row>
    <row r="337" spans="2:26" x14ac:dyDescent="0.25">
      <c r="B337" s="152" t="s">
        <v>358</v>
      </c>
      <c r="C337" s="368"/>
      <c r="D337" s="368">
        <v>12</v>
      </c>
      <c r="E337" s="368">
        <v>36</v>
      </c>
      <c r="F337" s="368">
        <v>68</v>
      </c>
      <c r="G337" s="368"/>
      <c r="H337" s="368">
        <v>5</v>
      </c>
      <c r="I337" s="368">
        <v>60</v>
      </c>
      <c r="J337" s="368">
        <v>61</v>
      </c>
      <c r="K337" s="370">
        <v>121</v>
      </c>
      <c r="L337" s="29"/>
      <c r="M337" s="29"/>
      <c r="N337" s="29"/>
      <c r="O337" s="29"/>
      <c r="P337" s="29"/>
      <c r="Q337" s="29"/>
      <c r="R337" s="29"/>
      <c r="S337" s="29"/>
      <c r="T337" s="29"/>
      <c r="U337" s="29"/>
      <c r="V337" s="29"/>
      <c r="W337" s="29"/>
      <c r="X337" s="29"/>
      <c r="Y337" s="29"/>
      <c r="Z337" s="29"/>
    </row>
    <row r="338" spans="2:26" x14ac:dyDescent="0.25">
      <c r="B338" s="152" t="s">
        <v>359</v>
      </c>
      <c r="C338" s="368"/>
      <c r="D338" s="368">
        <v>0</v>
      </c>
      <c r="E338" s="368">
        <v>20</v>
      </c>
      <c r="F338" s="368">
        <v>13</v>
      </c>
      <c r="G338" s="368"/>
      <c r="H338" s="368">
        <v>0</v>
      </c>
      <c r="I338" s="368">
        <v>18</v>
      </c>
      <c r="J338" s="368">
        <v>15</v>
      </c>
      <c r="K338" s="370">
        <v>33</v>
      </c>
      <c r="L338" s="29"/>
      <c r="M338" s="29"/>
      <c r="N338" s="29"/>
      <c r="O338" s="29"/>
      <c r="P338" s="29"/>
      <c r="Q338" s="29"/>
      <c r="R338" s="29"/>
      <c r="S338" s="29"/>
      <c r="T338" s="29"/>
      <c r="U338" s="29"/>
      <c r="V338" s="29"/>
      <c r="W338" s="29"/>
      <c r="X338" s="29"/>
      <c r="Y338" s="29"/>
      <c r="Z338" s="29"/>
    </row>
    <row r="339" spans="2:26" x14ac:dyDescent="0.25">
      <c r="B339" s="152" t="s">
        <v>360</v>
      </c>
      <c r="C339" s="368"/>
      <c r="D339" s="368">
        <v>10</v>
      </c>
      <c r="E339" s="368">
        <v>20</v>
      </c>
      <c r="F339" s="368">
        <v>27</v>
      </c>
      <c r="G339" s="368"/>
      <c r="H339" s="368">
        <v>0</v>
      </c>
      <c r="I339" s="368">
        <v>28</v>
      </c>
      <c r="J339" s="368">
        <v>29</v>
      </c>
      <c r="K339" s="370">
        <v>57</v>
      </c>
      <c r="L339" s="29"/>
      <c r="M339" s="29"/>
      <c r="N339" s="29"/>
      <c r="O339" s="29"/>
      <c r="P339" s="29"/>
      <c r="Q339" s="29"/>
      <c r="R339" s="29"/>
      <c r="S339" s="29"/>
      <c r="T339" s="29"/>
      <c r="U339" s="29"/>
      <c r="V339" s="29"/>
      <c r="W339" s="29"/>
      <c r="X339" s="29"/>
      <c r="Y339" s="29"/>
      <c r="Z339" s="29"/>
    </row>
    <row r="340" spans="2:26" x14ac:dyDescent="0.25">
      <c r="B340" s="152" t="s">
        <v>361</v>
      </c>
      <c r="C340" s="368"/>
      <c r="D340" s="368">
        <v>9</v>
      </c>
      <c r="E340" s="368">
        <v>44</v>
      </c>
      <c r="F340" s="368">
        <v>92</v>
      </c>
      <c r="G340" s="368"/>
      <c r="H340" s="368">
        <v>5</v>
      </c>
      <c r="I340" s="368">
        <v>74</v>
      </c>
      <c r="J340" s="368">
        <v>76</v>
      </c>
      <c r="K340" s="370">
        <v>150</v>
      </c>
      <c r="L340" s="29"/>
      <c r="M340" s="29"/>
      <c r="N340" s="29"/>
      <c r="O340" s="29"/>
      <c r="P340" s="29"/>
      <c r="Q340" s="29"/>
      <c r="R340" s="29"/>
      <c r="S340" s="29"/>
      <c r="T340" s="29"/>
      <c r="U340" s="29"/>
      <c r="V340" s="29"/>
      <c r="W340" s="29"/>
      <c r="X340" s="29"/>
      <c r="Y340" s="29"/>
      <c r="Z340" s="29"/>
    </row>
    <row r="341" spans="2:26" x14ac:dyDescent="0.25">
      <c r="B341" s="152" t="s">
        <v>362</v>
      </c>
      <c r="C341" s="368"/>
      <c r="D341" s="368">
        <v>10</v>
      </c>
      <c r="E341" s="368">
        <v>61</v>
      </c>
      <c r="F341" s="368">
        <v>57</v>
      </c>
      <c r="G341" s="368"/>
      <c r="H341" s="368">
        <v>3</v>
      </c>
      <c r="I341" s="368">
        <v>76</v>
      </c>
      <c r="J341" s="368">
        <v>55</v>
      </c>
      <c r="K341" s="370">
        <v>131</v>
      </c>
      <c r="L341" s="29"/>
      <c r="M341" s="29"/>
      <c r="N341" s="29"/>
      <c r="O341" s="29"/>
      <c r="P341" s="29"/>
      <c r="Q341" s="29"/>
      <c r="R341" s="29"/>
      <c r="S341" s="29"/>
      <c r="T341" s="29"/>
      <c r="U341" s="29"/>
      <c r="V341" s="29"/>
      <c r="W341" s="29"/>
      <c r="X341" s="29"/>
      <c r="Y341" s="29"/>
      <c r="Z341" s="29"/>
    </row>
    <row r="342" spans="2:26" x14ac:dyDescent="0.25">
      <c r="B342" s="152" t="s">
        <v>363</v>
      </c>
      <c r="C342" s="368"/>
      <c r="D342" s="368">
        <v>16</v>
      </c>
      <c r="E342" s="368">
        <v>43</v>
      </c>
      <c r="F342" s="368">
        <v>47</v>
      </c>
      <c r="G342" s="368"/>
      <c r="H342" s="368">
        <v>4</v>
      </c>
      <c r="I342" s="368">
        <v>56</v>
      </c>
      <c r="J342" s="368">
        <v>54</v>
      </c>
      <c r="K342" s="370">
        <v>110</v>
      </c>
      <c r="L342" s="29"/>
      <c r="M342" s="29"/>
      <c r="N342" s="29"/>
      <c r="O342" s="29"/>
      <c r="P342" s="29"/>
      <c r="Q342" s="29"/>
      <c r="R342" s="29"/>
      <c r="S342" s="29"/>
      <c r="T342" s="29"/>
      <c r="U342" s="29"/>
      <c r="V342" s="29"/>
      <c r="W342" s="29"/>
      <c r="X342" s="29"/>
      <c r="Y342" s="29"/>
      <c r="Z342" s="29"/>
    </row>
    <row r="343" spans="2:26" x14ac:dyDescent="0.25">
      <c r="B343" s="152" t="s">
        <v>364</v>
      </c>
      <c r="C343" s="368"/>
      <c r="D343" s="368">
        <v>113</v>
      </c>
      <c r="E343" s="368">
        <v>339</v>
      </c>
      <c r="F343" s="368">
        <v>822</v>
      </c>
      <c r="G343" s="368"/>
      <c r="H343" s="368">
        <v>58</v>
      </c>
      <c r="I343" s="368">
        <v>728</v>
      </c>
      <c r="J343" s="368">
        <v>604</v>
      </c>
      <c r="K343" s="370">
        <v>1332</v>
      </c>
      <c r="L343" s="29"/>
      <c r="M343" s="29"/>
      <c r="N343" s="29"/>
      <c r="O343" s="29"/>
      <c r="P343" s="29"/>
      <c r="Q343" s="29"/>
      <c r="R343" s="29"/>
      <c r="S343" s="29"/>
      <c r="T343" s="29"/>
      <c r="U343" s="29"/>
      <c r="V343" s="29"/>
      <c r="W343" s="29"/>
      <c r="X343" s="29"/>
      <c r="Y343" s="29"/>
      <c r="Z343" s="29"/>
    </row>
    <row r="344" spans="2:26" x14ac:dyDescent="0.25">
      <c r="B344" s="152" t="s">
        <v>365</v>
      </c>
      <c r="C344" s="368"/>
      <c r="D344" s="368">
        <v>2</v>
      </c>
      <c r="E344" s="368">
        <v>11</v>
      </c>
      <c r="F344" s="368">
        <v>16</v>
      </c>
      <c r="G344" s="368"/>
      <c r="H344" s="368">
        <v>0</v>
      </c>
      <c r="I344" s="368">
        <v>11</v>
      </c>
      <c r="J344" s="368">
        <v>18</v>
      </c>
      <c r="K344" s="370">
        <v>29</v>
      </c>
      <c r="L344" s="29"/>
      <c r="M344" s="29"/>
      <c r="N344" s="29"/>
      <c r="O344" s="29"/>
      <c r="P344" s="29"/>
      <c r="Q344" s="29"/>
      <c r="R344" s="29"/>
      <c r="S344" s="29"/>
      <c r="T344" s="29"/>
      <c r="U344" s="29"/>
      <c r="V344" s="29"/>
      <c r="W344" s="29"/>
      <c r="X344" s="29"/>
      <c r="Y344" s="29"/>
      <c r="Z344" s="29"/>
    </row>
    <row r="345" spans="2:26" x14ac:dyDescent="0.25">
      <c r="B345" s="152" t="s">
        <v>366</v>
      </c>
      <c r="C345" s="368"/>
      <c r="D345" s="368">
        <v>92</v>
      </c>
      <c r="E345" s="368">
        <v>454</v>
      </c>
      <c r="F345" s="368">
        <v>914</v>
      </c>
      <c r="G345" s="368"/>
      <c r="H345" s="368">
        <v>53</v>
      </c>
      <c r="I345" s="368">
        <v>771</v>
      </c>
      <c r="J345" s="368">
        <v>742</v>
      </c>
      <c r="K345" s="370">
        <v>1513</v>
      </c>
      <c r="L345" s="29"/>
      <c r="M345" s="29"/>
      <c r="N345" s="29"/>
      <c r="O345" s="29"/>
      <c r="P345" s="29"/>
      <c r="Q345" s="29"/>
      <c r="R345" s="29"/>
      <c r="S345" s="29"/>
      <c r="T345" s="29"/>
      <c r="U345" s="29"/>
      <c r="V345" s="29"/>
      <c r="W345" s="29"/>
      <c r="X345" s="29"/>
      <c r="Y345" s="29"/>
      <c r="Z345" s="29"/>
    </row>
    <row r="346" spans="2:26" x14ac:dyDescent="0.25">
      <c r="B346" s="152" t="s">
        <v>367</v>
      </c>
      <c r="C346" s="368"/>
      <c r="D346" s="368">
        <v>3</v>
      </c>
      <c r="E346" s="368">
        <v>22</v>
      </c>
      <c r="F346" s="368">
        <v>38</v>
      </c>
      <c r="G346" s="368"/>
      <c r="H346" s="368">
        <v>3</v>
      </c>
      <c r="I346" s="368">
        <v>32</v>
      </c>
      <c r="J346" s="368">
        <v>34</v>
      </c>
      <c r="K346" s="370">
        <v>66</v>
      </c>
      <c r="L346" s="29"/>
      <c r="M346" s="29"/>
      <c r="N346" s="29"/>
      <c r="O346" s="29"/>
      <c r="P346" s="29"/>
      <c r="Q346" s="29"/>
      <c r="R346" s="29"/>
      <c r="S346" s="29"/>
      <c r="T346" s="29"/>
      <c r="U346" s="29"/>
      <c r="V346" s="29"/>
      <c r="W346" s="29"/>
      <c r="X346" s="29"/>
      <c r="Y346" s="29"/>
      <c r="Z346" s="29"/>
    </row>
    <row r="347" spans="2:26" x14ac:dyDescent="0.25">
      <c r="B347" s="152" t="s">
        <v>368</v>
      </c>
      <c r="C347" s="368"/>
      <c r="D347" s="368">
        <v>20</v>
      </c>
      <c r="E347" s="368">
        <v>95</v>
      </c>
      <c r="F347" s="368">
        <v>230</v>
      </c>
      <c r="G347" s="368"/>
      <c r="H347" s="368">
        <v>5</v>
      </c>
      <c r="I347" s="368">
        <v>194</v>
      </c>
      <c r="J347" s="368">
        <v>156</v>
      </c>
      <c r="K347" s="370">
        <v>350</v>
      </c>
      <c r="L347" s="29"/>
      <c r="M347" s="29"/>
      <c r="N347" s="29"/>
      <c r="O347" s="29"/>
      <c r="P347" s="29"/>
      <c r="Q347" s="29"/>
      <c r="R347" s="29"/>
      <c r="S347" s="29"/>
      <c r="T347" s="29"/>
      <c r="U347" s="29"/>
      <c r="V347" s="29"/>
      <c r="W347" s="29"/>
      <c r="X347" s="29"/>
      <c r="Y347" s="29"/>
      <c r="Z347" s="29"/>
    </row>
    <row r="348" spans="2:26" x14ac:dyDescent="0.25">
      <c r="B348" s="152" t="s">
        <v>369</v>
      </c>
      <c r="C348" s="368"/>
      <c r="D348" s="368">
        <v>1</v>
      </c>
      <c r="E348" s="368">
        <v>10</v>
      </c>
      <c r="F348" s="368">
        <v>6</v>
      </c>
      <c r="G348" s="368"/>
      <c r="H348" s="368">
        <v>1</v>
      </c>
      <c r="I348" s="368">
        <v>9</v>
      </c>
      <c r="J348" s="368">
        <v>9</v>
      </c>
      <c r="K348" s="370">
        <v>18</v>
      </c>
      <c r="L348" s="29"/>
      <c r="M348" s="29"/>
      <c r="N348" s="29"/>
      <c r="O348" s="29"/>
      <c r="P348" s="29"/>
      <c r="Q348" s="29"/>
      <c r="R348" s="29"/>
      <c r="S348" s="29"/>
      <c r="T348" s="29"/>
      <c r="U348" s="29"/>
      <c r="V348" s="29"/>
      <c r="W348" s="29"/>
      <c r="X348" s="29"/>
      <c r="Y348" s="29"/>
      <c r="Z348" s="29"/>
    </row>
    <row r="349" spans="2:26" x14ac:dyDescent="0.25">
      <c r="B349" s="152" t="s">
        <v>370</v>
      </c>
      <c r="C349" s="368"/>
      <c r="D349" s="368">
        <v>23</v>
      </c>
      <c r="E349" s="368">
        <v>57</v>
      </c>
      <c r="F349" s="368">
        <v>88</v>
      </c>
      <c r="G349" s="368"/>
      <c r="H349" s="368">
        <v>14</v>
      </c>
      <c r="I349" s="368">
        <v>95</v>
      </c>
      <c r="J349" s="368">
        <v>87</v>
      </c>
      <c r="K349" s="370">
        <v>182</v>
      </c>
      <c r="L349" s="29"/>
      <c r="M349" s="29"/>
      <c r="N349" s="29"/>
      <c r="O349" s="29"/>
      <c r="P349" s="29"/>
      <c r="Q349" s="29"/>
      <c r="R349" s="29"/>
      <c r="S349" s="29"/>
      <c r="T349" s="29"/>
      <c r="U349" s="29"/>
      <c r="V349" s="29"/>
      <c r="W349" s="29"/>
      <c r="X349" s="29"/>
      <c r="Y349" s="29"/>
      <c r="Z349" s="29"/>
    </row>
    <row r="350" spans="2:26" x14ac:dyDescent="0.25">
      <c r="B350" s="152" t="s">
        <v>371</v>
      </c>
      <c r="C350" s="368"/>
      <c r="D350" s="368">
        <v>14</v>
      </c>
      <c r="E350" s="368">
        <v>24</v>
      </c>
      <c r="F350" s="368">
        <v>46</v>
      </c>
      <c r="G350" s="368"/>
      <c r="H350" s="368">
        <v>2</v>
      </c>
      <c r="I350" s="368">
        <v>43</v>
      </c>
      <c r="J350" s="368">
        <v>43</v>
      </c>
      <c r="K350" s="370">
        <v>86</v>
      </c>
      <c r="L350" s="29"/>
      <c r="M350" s="29"/>
      <c r="N350" s="29"/>
      <c r="O350" s="29"/>
      <c r="P350" s="29"/>
      <c r="Q350" s="29"/>
      <c r="R350" s="29"/>
      <c r="S350" s="29"/>
      <c r="T350" s="29"/>
      <c r="U350" s="29"/>
      <c r="V350" s="29"/>
      <c r="W350" s="29"/>
      <c r="X350" s="29"/>
      <c r="Y350" s="29"/>
      <c r="Z350" s="29"/>
    </row>
    <row r="351" spans="2:26" x14ac:dyDescent="0.25">
      <c r="B351" s="152" t="s">
        <v>372</v>
      </c>
      <c r="C351" s="368"/>
      <c r="D351" s="368">
        <v>5</v>
      </c>
      <c r="E351" s="368">
        <v>6</v>
      </c>
      <c r="F351" s="368">
        <v>25</v>
      </c>
      <c r="G351" s="368"/>
      <c r="H351" s="368">
        <v>1</v>
      </c>
      <c r="I351" s="368">
        <v>19</v>
      </c>
      <c r="J351" s="368">
        <v>18</v>
      </c>
      <c r="K351" s="370">
        <v>37</v>
      </c>
      <c r="L351" s="29"/>
      <c r="M351" s="29"/>
      <c r="N351" s="29"/>
      <c r="O351" s="29"/>
      <c r="P351" s="29"/>
      <c r="Q351" s="29"/>
      <c r="R351" s="29"/>
      <c r="S351" s="29"/>
      <c r="T351" s="29"/>
      <c r="U351" s="29"/>
      <c r="V351" s="29"/>
      <c r="W351" s="29"/>
      <c r="X351" s="29"/>
      <c r="Y351" s="29"/>
      <c r="Z351" s="29"/>
    </row>
    <row r="352" spans="2:26" x14ac:dyDescent="0.25">
      <c r="B352" s="152" t="s">
        <v>373</v>
      </c>
      <c r="C352" s="368"/>
      <c r="D352" s="368">
        <v>31</v>
      </c>
      <c r="E352" s="368">
        <v>33</v>
      </c>
      <c r="F352" s="368">
        <v>63</v>
      </c>
      <c r="G352" s="368"/>
      <c r="H352" s="368">
        <v>10</v>
      </c>
      <c r="I352" s="368">
        <v>63</v>
      </c>
      <c r="J352" s="368">
        <v>74</v>
      </c>
      <c r="K352" s="370">
        <v>137</v>
      </c>
      <c r="L352" s="29"/>
      <c r="M352" s="29"/>
      <c r="N352" s="29"/>
      <c r="O352" s="29"/>
      <c r="P352" s="29"/>
      <c r="Q352" s="29"/>
      <c r="R352" s="29"/>
      <c r="S352" s="29"/>
      <c r="T352" s="29"/>
      <c r="U352" s="29"/>
      <c r="V352" s="29"/>
      <c r="W352" s="29"/>
      <c r="X352" s="29"/>
      <c r="Y352" s="29"/>
      <c r="Z352" s="29"/>
    </row>
    <row r="353" spans="2:26" x14ac:dyDescent="0.25">
      <c r="B353" s="152" t="s">
        <v>374</v>
      </c>
      <c r="C353" s="368"/>
      <c r="D353" s="368">
        <v>6</v>
      </c>
      <c r="E353" s="368">
        <v>14</v>
      </c>
      <c r="F353" s="368">
        <v>20</v>
      </c>
      <c r="G353" s="368"/>
      <c r="H353" s="368">
        <v>3</v>
      </c>
      <c r="I353" s="368">
        <v>23</v>
      </c>
      <c r="J353" s="368">
        <v>20</v>
      </c>
      <c r="K353" s="370">
        <v>43</v>
      </c>
      <c r="L353" s="29"/>
      <c r="M353" s="29"/>
      <c r="N353" s="29"/>
      <c r="O353" s="29"/>
      <c r="P353" s="29"/>
      <c r="Q353" s="29"/>
      <c r="R353" s="29"/>
      <c r="S353" s="29"/>
      <c r="T353" s="29"/>
      <c r="U353" s="29"/>
      <c r="V353" s="29"/>
      <c r="W353" s="29"/>
      <c r="X353" s="29"/>
      <c r="Y353" s="29"/>
      <c r="Z353" s="29"/>
    </row>
    <row r="354" spans="2:26" x14ac:dyDescent="0.25">
      <c r="B354" s="152" t="s">
        <v>375</v>
      </c>
      <c r="C354" s="368"/>
      <c r="D354" s="368">
        <v>12</v>
      </c>
      <c r="E354" s="368">
        <v>15</v>
      </c>
      <c r="F354" s="368">
        <v>11</v>
      </c>
      <c r="G354" s="368"/>
      <c r="H354" s="368">
        <v>3</v>
      </c>
      <c r="I354" s="368">
        <v>25</v>
      </c>
      <c r="J354" s="368">
        <v>16</v>
      </c>
      <c r="K354" s="370">
        <v>41</v>
      </c>
      <c r="L354" s="29"/>
      <c r="M354" s="29"/>
      <c r="N354" s="29"/>
      <c r="O354" s="29"/>
      <c r="P354" s="29"/>
      <c r="Q354" s="29"/>
      <c r="R354" s="29"/>
      <c r="S354" s="29"/>
      <c r="T354" s="29"/>
      <c r="U354" s="29"/>
      <c r="V354" s="29"/>
      <c r="W354" s="29"/>
      <c r="X354" s="29"/>
      <c r="Y354" s="29"/>
      <c r="Z354" s="29"/>
    </row>
    <row r="355" spans="2:26" x14ac:dyDescent="0.25">
      <c r="B355" s="152" t="s">
        <v>376</v>
      </c>
      <c r="C355" s="368"/>
      <c r="D355" s="368">
        <v>13</v>
      </c>
      <c r="E355" s="368">
        <v>40</v>
      </c>
      <c r="F355" s="368">
        <v>60</v>
      </c>
      <c r="G355" s="368"/>
      <c r="H355" s="368">
        <v>3</v>
      </c>
      <c r="I355" s="368">
        <v>56</v>
      </c>
      <c r="J355" s="368">
        <v>60</v>
      </c>
      <c r="K355" s="370">
        <v>116</v>
      </c>
      <c r="L355" s="29"/>
      <c r="M355" s="29"/>
      <c r="N355" s="29"/>
      <c r="O355" s="29"/>
      <c r="P355" s="29"/>
      <c r="Q355" s="29"/>
      <c r="R355" s="29"/>
      <c r="S355" s="29"/>
      <c r="T355" s="29"/>
      <c r="U355" s="29"/>
      <c r="V355" s="29"/>
      <c r="W355" s="29"/>
      <c r="X355" s="29"/>
      <c r="Y355" s="29"/>
      <c r="Z355" s="29"/>
    </row>
    <row r="356" spans="2:26" x14ac:dyDescent="0.25">
      <c r="B356" s="152" t="s">
        <v>377</v>
      </c>
      <c r="C356" s="368"/>
      <c r="D356" s="368">
        <v>16</v>
      </c>
      <c r="E356" s="368">
        <v>22</v>
      </c>
      <c r="F356" s="368">
        <v>27</v>
      </c>
      <c r="G356" s="368"/>
      <c r="H356" s="368">
        <v>1</v>
      </c>
      <c r="I356" s="368">
        <v>28</v>
      </c>
      <c r="J356" s="368">
        <v>38</v>
      </c>
      <c r="K356" s="370">
        <v>66</v>
      </c>
      <c r="L356" s="29"/>
      <c r="M356" s="29"/>
      <c r="N356" s="29"/>
      <c r="O356" s="29"/>
      <c r="P356" s="29"/>
      <c r="Q356" s="29"/>
      <c r="R356" s="29"/>
      <c r="S356" s="29"/>
      <c r="T356" s="29"/>
      <c r="U356" s="29"/>
      <c r="V356" s="29"/>
      <c r="W356" s="29"/>
      <c r="X356" s="29"/>
      <c r="Y356" s="29"/>
      <c r="Z356" s="29"/>
    </row>
    <row r="357" spans="2:26" x14ac:dyDescent="0.25">
      <c r="B357" s="152" t="s">
        <v>378</v>
      </c>
      <c r="C357" s="368"/>
      <c r="D357" s="368">
        <v>15</v>
      </c>
      <c r="E357" s="368">
        <v>23</v>
      </c>
      <c r="F357" s="368">
        <v>39</v>
      </c>
      <c r="G357" s="368"/>
      <c r="H357" s="368">
        <v>2</v>
      </c>
      <c r="I357" s="368">
        <v>37</v>
      </c>
      <c r="J357" s="368">
        <v>42</v>
      </c>
      <c r="K357" s="370">
        <v>79</v>
      </c>
      <c r="L357" s="29"/>
      <c r="M357" s="29"/>
      <c r="N357" s="29"/>
      <c r="O357" s="29"/>
      <c r="P357" s="29"/>
      <c r="Q357" s="29"/>
      <c r="R357" s="29"/>
      <c r="S357" s="29"/>
      <c r="T357" s="29"/>
      <c r="U357" s="29"/>
      <c r="V357" s="29"/>
      <c r="W357" s="29"/>
      <c r="X357" s="29"/>
      <c r="Y357" s="29"/>
      <c r="Z357" s="29"/>
    </row>
    <row r="358" spans="2:26" x14ac:dyDescent="0.25">
      <c r="B358" s="289" t="s">
        <v>36</v>
      </c>
      <c r="C358" s="359"/>
      <c r="D358" s="359">
        <v>526</v>
      </c>
      <c r="E358" s="359">
        <v>1727</v>
      </c>
      <c r="F358" s="359">
        <v>3334</v>
      </c>
      <c r="G358" s="359"/>
      <c r="H358" s="359">
        <v>244</v>
      </c>
      <c r="I358" s="359">
        <v>3033</v>
      </c>
      <c r="J358" s="334">
        <v>2798</v>
      </c>
      <c r="K358" s="334">
        <v>5831</v>
      </c>
      <c r="L358" s="29"/>
      <c r="M358" s="29"/>
      <c r="N358" s="29"/>
      <c r="O358" s="29"/>
      <c r="P358" s="29"/>
      <c r="Q358" s="29"/>
      <c r="R358" s="29"/>
      <c r="S358" s="29"/>
      <c r="T358" s="29"/>
      <c r="U358" s="29"/>
      <c r="V358" s="29"/>
      <c r="W358" s="29"/>
      <c r="X358" s="29"/>
      <c r="Y358" s="29"/>
      <c r="Z358" s="29"/>
    </row>
    <row r="359" spans="2:26" ht="27.75" customHeight="1" x14ac:dyDescent="0.25">
      <c r="B359" s="504" t="s">
        <v>898</v>
      </c>
      <c r="C359" s="504"/>
      <c r="D359" s="504"/>
      <c r="E359" s="504"/>
      <c r="F359" s="504"/>
      <c r="G359" s="504"/>
      <c r="H359" s="504"/>
      <c r="I359" s="504"/>
      <c r="J359" s="504"/>
      <c r="K359" s="504"/>
      <c r="L359" s="29"/>
      <c r="M359" s="29"/>
      <c r="N359" s="29"/>
      <c r="O359" s="29"/>
      <c r="P359" s="29"/>
      <c r="Q359" s="29"/>
      <c r="R359" s="29"/>
      <c r="S359" s="29"/>
      <c r="T359" s="29"/>
      <c r="U359" s="29"/>
      <c r="V359" s="29"/>
      <c r="W359" s="29"/>
      <c r="X359" s="29"/>
      <c r="Y359" s="29"/>
    </row>
    <row r="360" spans="2:26" x14ac:dyDescent="0.25">
      <c r="B360" s="176"/>
      <c r="C360" s="176"/>
      <c r="D360" s="176"/>
      <c r="E360" s="176"/>
      <c r="F360" s="176"/>
      <c r="G360" s="176"/>
      <c r="H360" s="176"/>
      <c r="I360"/>
      <c r="J360" s="29"/>
      <c r="K360" s="29"/>
      <c r="L360" s="29"/>
      <c r="M360" s="29"/>
      <c r="N360" s="29"/>
      <c r="O360" s="29"/>
      <c r="P360" s="29"/>
      <c r="Q360" s="29"/>
      <c r="R360" s="29"/>
      <c r="S360" s="29"/>
      <c r="T360" s="29"/>
      <c r="U360" s="29"/>
      <c r="V360" s="29"/>
      <c r="W360" s="29"/>
      <c r="X360" s="29"/>
      <c r="Y360" s="29"/>
    </row>
    <row r="361" spans="2:26" x14ac:dyDescent="0.25">
      <c r="B361" s="205" t="s">
        <v>531</v>
      </c>
      <c r="C361"/>
      <c r="D361"/>
      <c r="E361"/>
      <c r="F361"/>
      <c r="G361"/>
      <c r="H361"/>
      <c r="I361"/>
      <c r="J361" s="29"/>
      <c r="K361" s="29"/>
      <c r="L361" s="29"/>
      <c r="M361" s="29"/>
      <c r="N361" s="29"/>
      <c r="O361" s="29"/>
      <c r="P361" s="29"/>
      <c r="Q361" s="29"/>
      <c r="R361" s="29"/>
      <c r="S361" s="29"/>
      <c r="T361" s="29"/>
      <c r="U361" s="29"/>
      <c r="V361" s="29"/>
      <c r="W361" s="29"/>
      <c r="X361" s="29"/>
      <c r="Y361" s="29"/>
    </row>
    <row r="362" spans="2:26" x14ac:dyDescent="0.25">
      <c r="B362" s="205"/>
      <c r="C362"/>
      <c r="D362"/>
      <c r="E362"/>
      <c r="F362"/>
      <c r="G362"/>
      <c r="H362"/>
      <c r="I362"/>
      <c r="J362" s="29"/>
      <c r="K362" s="29"/>
      <c r="L362" s="29"/>
      <c r="M362" s="29"/>
      <c r="N362" s="29"/>
      <c r="O362" s="29"/>
      <c r="P362" s="29"/>
      <c r="Q362" s="29"/>
      <c r="R362" s="29"/>
      <c r="S362" s="29"/>
      <c r="T362" s="29"/>
      <c r="U362" s="29"/>
      <c r="V362" s="29"/>
      <c r="W362" s="29"/>
      <c r="X362" s="29"/>
      <c r="Y362" s="29"/>
    </row>
    <row r="363" spans="2:26" ht="15" customHeight="1" x14ac:dyDescent="0.25">
      <c r="B363" s="176"/>
      <c r="C363" s="488" t="s">
        <v>538</v>
      </c>
      <c r="D363" s="488"/>
      <c r="E363" s="488"/>
      <c r="F363" s="488"/>
      <c r="G363" s="488"/>
      <c r="H363" s="488"/>
      <c r="I363" s="484" t="s">
        <v>539</v>
      </c>
      <c r="J363" s="484"/>
      <c r="K363" s="492" t="s">
        <v>36</v>
      </c>
      <c r="L363" s="29"/>
      <c r="M363" s="29"/>
      <c r="N363" s="29"/>
      <c r="O363" s="29"/>
      <c r="P363" s="29"/>
      <c r="Q363" s="29"/>
      <c r="R363" s="29"/>
      <c r="S363" s="29"/>
      <c r="T363" s="29"/>
      <c r="U363" s="29"/>
      <c r="V363" s="29"/>
      <c r="W363" s="29"/>
      <c r="X363" s="29"/>
      <c r="Y363" s="29"/>
    </row>
    <row r="364" spans="2:26" ht="30" x14ac:dyDescent="0.25">
      <c r="B364" s="178" t="s">
        <v>548</v>
      </c>
      <c r="C364" s="179" t="s">
        <v>3</v>
      </c>
      <c r="D364" s="179" t="s">
        <v>4</v>
      </c>
      <c r="E364" s="179" t="s">
        <v>714</v>
      </c>
      <c r="F364" s="179" t="s">
        <v>501</v>
      </c>
      <c r="G364" s="179" t="s">
        <v>5</v>
      </c>
      <c r="H364" s="179" t="s">
        <v>6</v>
      </c>
      <c r="I364" s="179" t="s">
        <v>87</v>
      </c>
      <c r="J364" s="179" t="s">
        <v>88</v>
      </c>
      <c r="K364" s="492"/>
      <c r="L364" s="29"/>
      <c r="M364" s="29"/>
      <c r="N364" s="29"/>
      <c r="O364" s="29"/>
      <c r="P364" s="29"/>
      <c r="Q364" s="29"/>
      <c r="R364" s="29"/>
      <c r="S364" s="29"/>
      <c r="T364" s="29"/>
      <c r="U364" s="29"/>
      <c r="V364" s="29"/>
      <c r="W364" s="29"/>
      <c r="X364" s="29"/>
      <c r="Y364" s="29"/>
    </row>
    <row r="365" spans="2:26" x14ac:dyDescent="0.25">
      <c r="B365" s="175" t="s">
        <v>379</v>
      </c>
      <c r="C365" s="379"/>
      <c r="D365" s="379">
        <v>1</v>
      </c>
      <c r="E365" s="379">
        <v>36</v>
      </c>
      <c r="F365" s="379">
        <v>23</v>
      </c>
      <c r="G365" s="379"/>
      <c r="H365" s="379">
        <v>0</v>
      </c>
      <c r="I365" s="379">
        <v>32</v>
      </c>
      <c r="J365" s="379">
        <v>28</v>
      </c>
      <c r="K365" s="369">
        <v>60</v>
      </c>
      <c r="L365" s="29"/>
      <c r="M365" s="29"/>
      <c r="N365" s="29"/>
      <c r="O365" s="29"/>
      <c r="P365" s="29"/>
      <c r="Q365" s="29"/>
      <c r="R365" s="29"/>
      <c r="S365" s="29"/>
      <c r="T365" s="29"/>
      <c r="U365" s="29"/>
      <c r="V365" s="29"/>
      <c r="W365" s="29"/>
      <c r="X365" s="29"/>
      <c r="Y365" s="29"/>
      <c r="Z365" s="29"/>
    </row>
    <row r="366" spans="2:26" x14ac:dyDescent="0.25">
      <c r="B366" s="152" t="s">
        <v>380</v>
      </c>
      <c r="C366" s="368"/>
      <c r="D366" s="368">
        <v>1</v>
      </c>
      <c r="E366" s="368">
        <v>26</v>
      </c>
      <c r="F366" s="368">
        <v>55</v>
      </c>
      <c r="G366" s="368"/>
      <c r="H366" s="368">
        <v>0</v>
      </c>
      <c r="I366" s="368">
        <v>36</v>
      </c>
      <c r="J366" s="368">
        <v>46</v>
      </c>
      <c r="K366" s="370">
        <v>82</v>
      </c>
      <c r="L366" s="29"/>
      <c r="M366" s="29"/>
      <c r="N366" s="29"/>
      <c r="O366" s="29"/>
      <c r="P366" s="29"/>
      <c r="Q366" s="29"/>
      <c r="R366" s="29"/>
      <c r="S366" s="29"/>
      <c r="T366" s="29"/>
      <c r="U366" s="29"/>
      <c r="V366" s="29"/>
      <c r="W366" s="29"/>
      <c r="X366" s="29"/>
      <c r="Y366" s="29"/>
      <c r="Z366" s="29"/>
    </row>
    <row r="367" spans="2:26" x14ac:dyDescent="0.25">
      <c r="B367" s="152" t="s">
        <v>381</v>
      </c>
      <c r="C367" s="368"/>
      <c r="D367" s="368">
        <v>2</v>
      </c>
      <c r="E367" s="368">
        <v>19</v>
      </c>
      <c r="F367" s="368">
        <v>15</v>
      </c>
      <c r="G367" s="368"/>
      <c r="H367" s="368">
        <v>0</v>
      </c>
      <c r="I367" s="368">
        <v>17</v>
      </c>
      <c r="J367" s="368">
        <v>19</v>
      </c>
      <c r="K367" s="370">
        <v>36</v>
      </c>
      <c r="L367" s="29"/>
      <c r="M367" s="29"/>
      <c r="N367" s="29"/>
      <c r="O367" s="29"/>
      <c r="P367" s="29"/>
      <c r="Q367" s="29"/>
      <c r="R367" s="29"/>
      <c r="S367" s="29"/>
      <c r="T367" s="29"/>
      <c r="U367" s="29"/>
      <c r="V367" s="29"/>
      <c r="W367" s="29"/>
      <c r="X367" s="29"/>
      <c r="Y367" s="29"/>
      <c r="Z367" s="29"/>
    </row>
    <row r="368" spans="2:26" x14ac:dyDescent="0.25">
      <c r="B368" s="152" t="s">
        <v>382</v>
      </c>
      <c r="C368" s="368"/>
      <c r="D368" s="368">
        <v>32</v>
      </c>
      <c r="E368" s="368">
        <v>154</v>
      </c>
      <c r="F368" s="368">
        <v>302</v>
      </c>
      <c r="G368" s="368"/>
      <c r="H368" s="368">
        <v>17</v>
      </c>
      <c r="I368" s="368">
        <v>255</v>
      </c>
      <c r="J368" s="368">
        <v>250</v>
      </c>
      <c r="K368" s="370">
        <v>505</v>
      </c>
      <c r="L368" s="29"/>
      <c r="M368" s="29"/>
      <c r="N368" s="29"/>
      <c r="O368" s="29"/>
      <c r="P368" s="29"/>
      <c r="Q368" s="29"/>
      <c r="R368" s="29"/>
      <c r="S368" s="29"/>
      <c r="T368" s="29"/>
      <c r="U368" s="29"/>
      <c r="V368" s="29"/>
      <c r="W368" s="29"/>
      <c r="X368" s="29"/>
      <c r="Y368" s="29"/>
      <c r="Z368" s="29"/>
    </row>
    <row r="369" spans="2:26" x14ac:dyDescent="0.25">
      <c r="B369" s="152" t="s">
        <v>383</v>
      </c>
      <c r="C369" s="368"/>
      <c r="D369" s="368">
        <v>0</v>
      </c>
      <c r="E369" s="368">
        <v>3</v>
      </c>
      <c r="F369" s="368">
        <v>5</v>
      </c>
      <c r="G369" s="368"/>
      <c r="H369" s="368">
        <v>0</v>
      </c>
      <c r="I369" s="368">
        <v>3</v>
      </c>
      <c r="J369" s="368">
        <v>5</v>
      </c>
      <c r="K369" s="370">
        <v>8</v>
      </c>
      <c r="L369" s="29"/>
      <c r="M369" s="29"/>
      <c r="N369" s="29"/>
      <c r="O369" s="29"/>
      <c r="P369" s="29"/>
      <c r="Q369" s="29"/>
      <c r="R369" s="29"/>
      <c r="S369" s="29"/>
      <c r="T369" s="29"/>
      <c r="U369" s="29"/>
      <c r="V369" s="29"/>
      <c r="W369" s="29"/>
      <c r="X369" s="29"/>
      <c r="Y369" s="29"/>
      <c r="Z369" s="29"/>
    </row>
    <row r="370" spans="2:26" x14ac:dyDescent="0.25">
      <c r="B370" s="152" t="s">
        <v>384</v>
      </c>
      <c r="C370" s="368"/>
      <c r="D370" s="368">
        <v>0</v>
      </c>
      <c r="E370" s="368">
        <v>5</v>
      </c>
      <c r="F370" s="368">
        <v>4</v>
      </c>
      <c r="G370" s="368"/>
      <c r="H370" s="368">
        <v>0</v>
      </c>
      <c r="I370" s="368">
        <v>1</v>
      </c>
      <c r="J370" s="368">
        <v>8</v>
      </c>
      <c r="K370" s="370">
        <v>9</v>
      </c>
      <c r="L370" s="29"/>
      <c r="M370" s="29"/>
      <c r="N370" s="29"/>
      <c r="O370" s="29"/>
      <c r="P370" s="29"/>
      <c r="Q370" s="29"/>
      <c r="R370" s="29"/>
      <c r="S370" s="29"/>
      <c r="T370" s="29"/>
      <c r="U370" s="29"/>
      <c r="V370" s="29"/>
      <c r="W370" s="29"/>
      <c r="X370" s="29"/>
      <c r="Y370" s="29"/>
      <c r="Z370" s="29"/>
    </row>
    <row r="371" spans="2:26" x14ac:dyDescent="0.25">
      <c r="B371" s="152" t="s">
        <v>385</v>
      </c>
      <c r="C371" s="368"/>
      <c r="D371" s="368">
        <v>0</v>
      </c>
      <c r="E371" s="368">
        <v>4</v>
      </c>
      <c r="F371" s="368">
        <v>2</v>
      </c>
      <c r="G371" s="368"/>
      <c r="H371" s="368">
        <v>0</v>
      </c>
      <c r="I371" s="368">
        <v>2</v>
      </c>
      <c r="J371" s="368">
        <v>4</v>
      </c>
      <c r="K371" s="370">
        <v>6</v>
      </c>
      <c r="L371" s="29"/>
      <c r="M371" s="29"/>
      <c r="N371" s="29"/>
      <c r="O371" s="29"/>
      <c r="P371" s="29"/>
      <c r="Q371" s="29"/>
      <c r="R371" s="29"/>
      <c r="S371" s="29"/>
      <c r="T371" s="29"/>
      <c r="U371" s="29"/>
      <c r="V371" s="29"/>
      <c r="W371" s="29"/>
      <c r="X371" s="29"/>
      <c r="Y371" s="29"/>
      <c r="Z371" s="29"/>
    </row>
    <row r="372" spans="2:26" x14ac:dyDescent="0.25">
      <c r="B372" s="152" t="s">
        <v>386</v>
      </c>
      <c r="C372" s="368"/>
      <c r="D372" s="368">
        <v>9</v>
      </c>
      <c r="E372" s="368">
        <v>65</v>
      </c>
      <c r="F372" s="368">
        <v>102</v>
      </c>
      <c r="G372" s="368"/>
      <c r="H372" s="368">
        <v>5</v>
      </c>
      <c r="I372" s="368">
        <v>76</v>
      </c>
      <c r="J372" s="368">
        <v>105</v>
      </c>
      <c r="K372" s="370">
        <v>181</v>
      </c>
      <c r="L372" s="29"/>
      <c r="M372" s="29"/>
      <c r="N372" s="29"/>
      <c r="O372" s="29"/>
      <c r="P372" s="29"/>
      <c r="Q372" s="29"/>
      <c r="R372" s="29"/>
      <c r="S372" s="29"/>
      <c r="T372" s="29"/>
      <c r="U372" s="29"/>
      <c r="V372" s="29"/>
      <c r="W372" s="29"/>
      <c r="X372" s="29"/>
      <c r="Y372" s="29"/>
      <c r="Z372" s="29"/>
    </row>
    <row r="373" spans="2:26" x14ac:dyDescent="0.25">
      <c r="B373" s="152" t="s">
        <v>512</v>
      </c>
      <c r="C373" s="368"/>
      <c r="D373" s="368">
        <v>2</v>
      </c>
      <c r="E373" s="368">
        <v>9</v>
      </c>
      <c r="F373" s="368">
        <v>17</v>
      </c>
      <c r="G373" s="368"/>
      <c r="H373" s="368">
        <v>1</v>
      </c>
      <c r="I373" s="368">
        <v>10</v>
      </c>
      <c r="J373" s="368">
        <v>19</v>
      </c>
      <c r="K373" s="370">
        <v>29</v>
      </c>
      <c r="L373" s="29"/>
      <c r="M373" s="29"/>
      <c r="N373" s="29"/>
      <c r="O373" s="29"/>
      <c r="P373" s="29"/>
      <c r="Q373" s="29"/>
      <c r="R373" s="29"/>
      <c r="S373" s="29"/>
      <c r="T373" s="29"/>
      <c r="U373" s="29"/>
      <c r="V373" s="29"/>
      <c r="W373" s="29"/>
      <c r="X373" s="29"/>
      <c r="Y373" s="29"/>
      <c r="Z373" s="29"/>
    </row>
    <row r="374" spans="2:26" x14ac:dyDescent="0.25">
      <c r="B374" s="152" t="s">
        <v>387</v>
      </c>
      <c r="C374" s="368"/>
      <c r="D374" s="368">
        <v>0</v>
      </c>
      <c r="E374" s="368">
        <v>1</v>
      </c>
      <c r="F374" s="368">
        <v>3</v>
      </c>
      <c r="G374" s="368"/>
      <c r="H374" s="368">
        <v>0</v>
      </c>
      <c r="I374" s="368">
        <v>1</v>
      </c>
      <c r="J374" s="368">
        <v>3</v>
      </c>
      <c r="K374" s="370">
        <v>4</v>
      </c>
      <c r="L374" s="29"/>
      <c r="M374" s="29"/>
      <c r="N374" s="29"/>
      <c r="O374" s="29"/>
      <c r="P374" s="29"/>
      <c r="Q374" s="29"/>
      <c r="R374" s="29"/>
      <c r="S374" s="29"/>
      <c r="T374" s="29"/>
      <c r="U374" s="29"/>
      <c r="V374" s="29"/>
      <c r="W374" s="29"/>
      <c r="X374" s="29"/>
      <c r="Y374" s="29"/>
      <c r="Z374" s="29"/>
    </row>
    <row r="375" spans="2:26" x14ac:dyDescent="0.25">
      <c r="B375" s="289" t="s">
        <v>36</v>
      </c>
      <c r="C375" s="359"/>
      <c r="D375" s="359">
        <v>47</v>
      </c>
      <c r="E375" s="359">
        <v>322</v>
      </c>
      <c r="F375" s="359">
        <v>528</v>
      </c>
      <c r="G375" s="359"/>
      <c r="H375" s="359">
        <v>23</v>
      </c>
      <c r="I375" s="359">
        <v>433</v>
      </c>
      <c r="J375" s="334">
        <v>487</v>
      </c>
      <c r="K375" s="334">
        <v>920</v>
      </c>
      <c r="L375" s="29"/>
      <c r="M375" s="29"/>
      <c r="N375" s="29"/>
      <c r="O375" s="29"/>
      <c r="P375" s="29"/>
      <c r="Q375" s="29"/>
      <c r="R375" s="29"/>
      <c r="S375" s="29"/>
      <c r="T375" s="29"/>
      <c r="U375" s="29"/>
      <c r="V375" s="29"/>
      <c r="W375" s="29"/>
      <c r="X375" s="29"/>
      <c r="Y375" s="29"/>
      <c r="Z375" s="29"/>
    </row>
    <row r="376" spans="2:26" ht="32.25" customHeight="1" x14ac:dyDescent="0.25">
      <c r="B376" s="504" t="s">
        <v>898</v>
      </c>
      <c r="C376" s="504"/>
      <c r="D376" s="504"/>
      <c r="E376" s="504"/>
      <c r="F376" s="504"/>
      <c r="G376" s="504"/>
      <c r="H376" s="504"/>
      <c r="I376" s="504"/>
      <c r="J376" s="504"/>
      <c r="K376" s="504"/>
      <c r="L376" s="29"/>
      <c r="M376" s="29"/>
      <c r="N376" s="29"/>
      <c r="O376" s="29"/>
      <c r="P376" s="29"/>
      <c r="Q376" s="29"/>
      <c r="R376" s="29"/>
      <c r="S376" s="29"/>
      <c r="T376" s="29"/>
      <c r="U376" s="29"/>
      <c r="V376" s="29"/>
      <c r="W376" s="29"/>
      <c r="X376" s="29"/>
      <c r="Y376" s="29"/>
    </row>
    <row r="377" spans="2:26" x14ac:dyDescent="0.25">
      <c r="B377" s="176"/>
      <c r="C377" s="176"/>
      <c r="D377" s="176"/>
      <c r="E377" s="176"/>
      <c r="F377"/>
      <c r="G377"/>
      <c r="H377"/>
      <c r="I377"/>
      <c r="J377" s="29"/>
      <c r="K377" s="29"/>
      <c r="L377" s="29"/>
      <c r="M377" s="29"/>
      <c r="N377" s="29"/>
      <c r="O377" s="29"/>
      <c r="P377" s="29"/>
      <c r="Q377" s="29"/>
      <c r="R377" s="29"/>
      <c r="S377" s="29"/>
      <c r="T377" s="29"/>
      <c r="U377" s="29"/>
      <c r="V377" s="29"/>
      <c r="W377" s="29"/>
      <c r="X377" s="29"/>
      <c r="Y377" s="29"/>
    </row>
    <row r="378" spans="2:26" x14ac:dyDescent="0.25">
      <c r="B378" s="205" t="s">
        <v>532</v>
      </c>
      <c r="C378"/>
      <c r="D378"/>
      <c r="E378"/>
      <c r="F378"/>
      <c r="G378"/>
      <c r="H378"/>
      <c r="I378"/>
      <c r="J378" s="29"/>
      <c r="K378" s="29"/>
      <c r="L378" s="29"/>
      <c r="M378" s="29"/>
      <c r="N378" s="29"/>
      <c r="O378" s="29"/>
      <c r="P378" s="29"/>
      <c r="Q378" s="29"/>
      <c r="R378" s="29"/>
      <c r="S378" s="29"/>
      <c r="T378" s="29"/>
      <c r="U378" s="29"/>
      <c r="V378" s="29"/>
      <c r="W378" s="29"/>
      <c r="X378" s="29"/>
      <c r="Y378" s="29"/>
    </row>
    <row r="379" spans="2:26" x14ac:dyDescent="0.25">
      <c r="B379" s="205"/>
      <c r="C379"/>
      <c r="D379"/>
      <c r="E379"/>
      <c r="F379"/>
      <c r="G379"/>
      <c r="H379"/>
      <c r="I379"/>
      <c r="J379" s="29"/>
      <c r="K379" s="29"/>
      <c r="L379" s="29"/>
      <c r="M379" s="29"/>
      <c r="N379" s="29"/>
      <c r="O379" s="29"/>
      <c r="P379" s="29"/>
      <c r="Q379" s="29"/>
      <c r="R379" s="29"/>
      <c r="S379" s="29"/>
      <c r="T379" s="29"/>
      <c r="U379" s="29"/>
      <c r="V379" s="29"/>
      <c r="W379" s="29"/>
      <c r="X379" s="29"/>
      <c r="Y379" s="29"/>
    </row>
    <row r="380" spans="2:26" ht="15" customHeight="1" x14ac:dyDescent="0.25">
      <c r="B380" s="176"/>
      <c r="C380" s="488" t="s">
        <v>538</v>
      </c>
      <c r="D380" s="488"/>
      <c r="E380" s="488"/>
      <c r="F380" s="488"/>
      <c r="G380" s="488"/>
      <c r="H380" s="488"/>
      <c r="I380" s="484" t="s">
        <v>539</v>
      </c>
      <c r="J380" s="484"/>
      <c r="K380" s="492" t="s">
        <v>36</v>
      </c>
      <c r="L380" s="29"/>
      <c r="M380" s="29"/>
      <c r="N380" s="29"/>
      <c r="O380" s="29"/>
      <c r="P380" s="29"/>
      <c r="Q380" s="29"/>
      <c r="R380" s="29"/>
      <c r="S380" s="29"/>
      <c r="T380" s="29"/>
      <c r="U380" s="29"/>
      <c r="V380" s="29"/>
      <c r="W380" s="29"/>
      <c r="X380" s="29"/>
      <c r="Y380" s="29"/>
    </row>
    <row r="381" spans="2:26" ht="30" x14ac:dyDescent="0.25">
      <c r="B381" s="178" t="s">
        <v>548</v>
      </c>
      <c r="C381" s="179" t="s">
        <v>3</v>
      </c>
      <c r="D381" s="179" t="s">
        <v>4</v>
      </c>
      <c r="E381" s="179" t="s">
        <v>714</v>
      </c>
      <c r="F381" s="179" t="s">
        <v>501</v>
      </c>
      <c r="G381" s="179" t="s">
        <v>5</v>
      </c>
      <c r="H381" s="179" t="s">
        <v>6</v>
      </c>
      <c r="I381" s="179" t="s">
        <v>87</v>
      </c>
      <c r="J381" s="179" t="s">
        <v>88</v>
      </c>
      <c r="K381" s="492"/>
      <c r="L381" s="29"/>
      <c r="M381" s="29"/>
      <c r="N381" s="29"/>
      <c r="O381" s="29"/>
      <c r="P381" s="29"/>
      <c r="Q381" s="29"/>
      <c r="R381" s="29"/>
      <c r="S381" s="29"/>
      <c r="T381" s="29"/>
      <c r="U381" s="29"/>
      <c r="V381" s="29"/>
      <c r="W381" s="29"/>
      <c r="X381" s="29"/>
      <c r="Y381" s="29"/>
    </row>
    <row r="382" spans="2:26" x14ac:dyDescent="0.25">
      <c r="B382" s="268" t="s">
        <v>388</v>
      </c>
      <c r="C382" s="378"/>
      <c r="D382" s="378">
        <v>0</v>
      </c>
      <c r="E382" s="378">
        <v>2</v>
      </c>
      <c r="F382" s="378">
        <v>2</v>
      </c>
      <c r="G382" s="378"/>
      <c r="H382" s="378">
        <v>1</v>
      </c>
      <c r="I382" s="378">
        <v>1</v>
      </c>
      <c r="J382" s="378">
        <v>4</v>
      </c>
      <c r="K382" s="359">
        <v>5</v>
      </c>
      <c r="L382" s="29"/>
      <c r="M382" s="29"/>
      <c r="N382" s="29"/>
      <c r="O382" s="29"/>
      <c r="P382" s="29"/>
      <c r="Q382" s="29"/>
      <c r="R382" s="29"/>
      <c r="S382" s="29"/>
      <c r="T382" s="29"/>
      <c r="U382" s="29"/>
      <c r="V382" s="29"/>
      <c r="W382" s="29"/>
      <c r="X382" s="29"/>
      <c r="Y382" s="29"/>
      <c r="Z382" s="29"/>
    </row>
    <row r="383" spans="2:26" x14ac:dyDescent="0.25">
      <c r="B383" s="269" t="s">
        <v>390</v>
      </c>
      <c r="C383" s="378"/>
      <c r="D383" s="382">
        <v>0</v>
      </c>
      <c r="E383" s="382">
        <v>2</v>
      </c>
      <c r="F383" s="382">
        <v>3</v>
      </c>
      <c r="G383" s="382"/>
      <c r="H383" s="382">
        <v>0</v>
      </c>
      <c r="I383" s="382">
        <v>1</v>
      </c>
      <c r="J383" s="382">
        <v>4</v>
      </c>
      <c r="K383" s="334">
        <v>5</v>
      </c>
      <c r="L383" s="29"/>
      <c r="M383" s="29"/>
      <c r="N383" s="29"/>
      <c r="O383" s="29"/>
      <c r="P383" s="29"/>
      <c r="Q383" s="29"/>
      <c r="R383" s="29"/>
      <c r="S383" s="29"/>
      <c r="T383" s="29"/>
      <c r="U383" s="29"/>
      <c r="V383" s="29"/>
      <c r="W383" s="29"/>
      <c r="X383" s="29"/>
      <c r="Y383" s="29"/>
      <c r="Z383" s="29"/>
    </row>
    <row r="384" spans="2:26" x14ac:dyDescent="0.25">
      <c r="B384" s="269" t="s">
        <v>391</v>
      </c>
      <c r="C384" s="378"/>
      <c r="D384" s="378">
        <v>11</v>
      </c>
      <c r="E384" s="378">
        <v>101</v>
      </c>
      <c r="F384" s="378">
        <v>139</v>
      </c>
      <c r="G384" s="378"/>
      <c r="H384" s="378">
        <v>2</v>
      </c>
      <c r="I384" s="378">
        <v>125</v>
      </c>
      <c r="J384" s="378">
        <v>128</v>
      </c>
      <c r="K384" s="359">
        <v>253</v>
      </c>
      <c r="L384" s="29"/>
      <c r="M384" s="29"/>
      <c r="N384" s="29"/>
      <c r="O384" s="29"/>
      <c r="P384" s="29"/>
      <c r="Q384" s="29"/>
      <c r="R384" s="29"/>
      <c r="S384" s="29"/>
      <c r="T384" s="29"/>
      <c r="U384" s="29"/>
      <c r="V384" s="29"/>
      <c r="W384" s="29"/>
      <c r="X384" s="29"/>
      <c r="Y384" s="29"/>
      <c r="Z384" s="29"/>
    </row>
    <row r="385" spans="2:26" x14ac:dyDescent="0.25">
      <c r="B385" s="269" t="s">
        <v>392</v>
      </c>
      <c r="C385" s="378"/>
      <c r="D385" s="378">
        <v>0</v>
      </c>
      <c r="E385" s="378">
        <v>23</v>
      </c>
      <c r="F385" s="378">
        <v>50</v>
      </c>
      <c r="G385" s="378"/>
      <c r="H385" s="378">
        <v>0</v>
      </c>
      <c r="I385" s="378">
        <v>32</v>
      </c>
      <c r="J385" s="378">
        <v>41</v>
      </c>
      <c r="K385" s="359">
        <v>73</v>
      </c>
      <c r="L385" s="29"/>
      <c r="M385" s="29"/>
      <c r="N385" s="29"/>
      <c r="O385" s="29"/>
      <c r="P385" s="29"/>
      <c r="Q385" s="29"/>
      <c r="R385" s="29"/>
      <c r="S385" s="29"/>
      <c r="T385" s="29"/>
      <c r="U385" s="29"/>
      <c r="V385" s="29"/>
      <c r="W385" s="29"/>
      <c r="X385" s="29"/>
      <c r="Y385" s="29"/>
      <c r="Z385" s="29"/>
    </row>
    <row r="386" spans="2:26" x14ac:dyDescent="0.25">
      <c r="B386" s="269" t="s">
        <v>393</v>
      </c>
      <c r="C386" s="378"/>
      <c r="D386" s="378">
        <v>0</v>
      </c>
      <c r="E386" s="378">
        <v>0</v>
      </c>
      <c r="F386" s="378">
        <v>6</v>
      </c>
      <c r="G386" s="378"/>
      <c r="H386" s="378">
        <v>1</v>
      </c>
      <c r="I386" s="378">
        <v>2</v>
      </c>
      <c r="J386" s="378">
        <v>5</v>
      </c>
      <c r="K386" s="359">
        <v>7</v>
      </c>
      <c r="L386" s="29"/>
      <c r="M386" s="29"/>
      <c r="N386" s="29"/>
      <c r="O386" s="29"/>
      <c r="P386" s="29"/>
      <c r="Q386" s="29"/>
      <c r="R386" s="29"/>
      <c r="S386" s="29"/>
      <c r="T386" s="29"/>
      <c r="U386" s="29"/>
      <c r="V386" s="29"/>
      <c r="W386" s="29"/>
      <c r="X386" s="29"/>
      <c r="Y386" s="29"/>
      <c r="Z386" s="29"/>
    </row>
    <row r="387" spans="2:26" x14ac:dyDescent="0.25">
      <c r="B387" s="269" t="s">
        <v>394</v>
      </c>
      <c r="C387" s="378"/>
      <c r="D387" s="378">
        <v>44</v>
      </c>
      <c r="E387" s="378">
        <v>262</v>
      </c>
      <c r="F387" s="378">
        <v>864</v>
      </c>
      <c r="G387" s="378"/>
      <c r="H387" s="378">
        <v>34</v>
      </c>
      <c r="I387" s="378">
        <v>680</v>
      </c>
      <c r="J387" s="378">
        <v>524</v>
      </c>
      <c r="K387" s="359">
        <v>1204</v>
      </c>
      <c r="L387" s="29"/>
      <c r="M387" s="29"/>
      <c r="N387" s="29"/>
      <c r="O387" s="29"/>
      <c r="P387" s="29"/>
      <c r="Q387" s="29"/>
      <c r="R387" s="29"/>
      <c r="S387" s="29"/>
      <c r="T387" s="29"/>
      <c r="U387" s="29"/>
      <c r="V387" s="29"/>
      <c r="W387" s="29"/>
      <c r="X387" s="29"/>
      <c r="Y387" s="29"/>
      <c r="Z387" s="29"/>
    </row>
    <row r="388" spans="2:26" x14ac:dyDescent="0.25">
      <c r="B388" s="269" t="s">
        <v>395</v>
      </c>
      <c r="C388" s="378"/>
      <c r="D388" s="378">
        <v>0</v>
      </c>
      <c r="E388" s="378">
        <v>0</v>
      </c>
      <c r="F388" s="378">
        <v>1</v>
      </c>
      <c r="G388" s="378"/>
      <c r="H388" s="378">
        <v>0</v>
      </c>
      <c r="I388" s="378">
        <v>0</v>
      </c>
      <c r="J388" s="378">
        <v>1</v>
      </c>
      <c r="K388" s="359">
        <v>1</v>
      </c>
      <c r="L388" s="29"/>
      <c r="M388" s="29"/>
      <c r="N388" s="29"/>
      <c r="O388" s="29"/>
      <c r="P388" s="29"/>
      <c r="Q388" s="29"/>
      <c r="R388" s="29"/>
      <c r="S388" s="29"/>
      <c r="T388" s="29"/>
      <c r="U388" s="29"/>
      <c r="V388" s="29"/>
      <c r="W388" s="29"/>
      <c r="X388" s="29"/>
      <c r="Y388" s="29"/>
      <c r="Z388" s="29"/>
    </row>
    <row r="389" spans="2:26" x14ac:dyDescent="0.25">
      <c r="B389" s="269" t="s">
        <v>396</v>
      </c>
      <c r="C389" s="378"/>
      <c r="D389" s="378">
        <v>0</v>
      </c>
      <c r="E389" s="378">
        <v>0</v>
      </c>
      <c r="F389" s="378">
        <v>1</v>
      </c>
      <c r="G389" s="378"/>
      <c r="H389" s="378">
        <v>0</v>
      </c>
      <c r="I389" s="378">
        <v>1</v>
      </c>
      <c r="J389" s="378">
        <v>0</v>
      </c>
      <c r="K389" s="359">
        <v>1</v>
      </c>
      <c r="L389" s="29"/>
      <c r="M389" s="29"/>
      <c r="N389" s="29"/>
      <c r="O389" s="29"/>
      <c r="P389" s="29"/>
      <c r="Q389" s="29"/>
      <c r="R389" s="29"/>
      <c r="S389" s="29"/>
      <c r="T389" s="29"/>
      <c r="U389" s="29"/>
      <c r="V389" s="29"/>
      <c r="W389" s="29"/>
      <c r="X389" s="29"/>
      <c r="Y389" s="29"/>
      <c r="Z389" s="29"/>
    </row>
    <row r="390" spans="2:26" x14ac:dyDescent="0.25">
      <c r="B390" s="269" t="s">
        <v>397</v>
      </c>
      <c r="C390" s="378"/>
      <c r="D390" s="378">
        <v>0</v>
      </c>
      <c r="E390" s="378">
        <v>1</v>
      </c>
      <c r="F390" s="378">
        <v>2</v>
      </c>
      <c r="G390" s="378"/>
      <c r="H390" s="378">
        <v>0</v>
      </c>
      <c r="I390" s="378">
        <v>0</v>
      </c>
      <c r="J390" s="378">
        <v>3</v>
      </c>
      <c r="K390" s="359">
        <v>3</v>
      </c>
      <c r="L390" s="29"/>
      <c r="M390" s="29"/>
      <c r="N390" s="29"/>
      <c r="O390" s="29"/>
      <c r="P390" s="29"/>
      <c r="Q390" s="29"/>
      <c r="R390" s="29"/>
      <c r="S390" s="29"/>
      <c r="T390" s="29"/>
      <c r="U390" s="29"/>
      <c r="V390" s="29"/>
      <c r="W390" s="29"/>
      <c r="X390" s="29"/>
      <c r="Y390" s="29"/>
      <c r="Z390" s="29"/>
    </row>
    <row r="391" spans="2:26" x14ac:dyDescent="0.25">
      <c r="B391" s="289" t="s">
        <v>36</v>
      </c>
      <c r="C391" s="359"/>
      <c r="D391" s="359">
        <v>55</v>
      </c>
      <c r="E391" s="359">
        <v>391</v>
      </c>
      <c r="F391" s="359">
        <v>1068</v>
      </c>
      <c r="G391" s="359"/>
      <c r="H391" s="359">
        <v>38</v>
      </c>
      <c r="I391" s="359">
        <v>842</v>
      </c>
      <c r="J391" s="334">
        <v>710</v>
      </c>
      <c r="K391" s="334">
        <v>1552</v>
      </c>
      <c r="L391" s="29"/>
      <c r="M391" s="29"/>
      <c r="N391" s="29"/>
      <c r="O391" s="29"/>
      <c r="P391" s="29"/>
      <c r="Q391" s="29"/>
      <c r="R391" s="29"/>
      <c r="S391" s="29"/>
      <c r="T391" s="29"/>
      <c r="U391" s="29"/>
      <c r="V391" s="29"/>
      <c r="W391" s="29"/>
      <c r="X391" s="29"/>
      <c r="Y391" s="29"/>
      <c r="Z391" s="29"/>
    </row>
    <row r="392" spans="2:26" ht="28.5" customHeight="1" x14ac:dyDescent="0.25">
      <c r="B392" s="504" t="s">
        <v>898</v>
      </c>
      <c r="C392" s="504"/>
      <c r="D392" s="504"/>
      <c r="E392" s="504"/>
      <c r="F392" s="504"/>
      <c r="G392" s="504"/>
      <c r="H392" s="504"/>
      <c r="I392" s="504"/>
      <c r="J392" s="504"/>
      <c r="K392" s="504"/>
      <c r="L392" s="29"/>
      <c r="M392" s="29"/>
      <c r="N392" s="29"/>
      <c r="O392" s="29"/>
      <c r="P392" s="29"/>
      <c r="Q392" s="29"/>
      <c r="R392" s="29"/>
      <c r="S392" s="29"/>
      <c r="T392" s="29"/>
      <c r="U392" s="29"/>
      <c r="V392" s="29"/>
      <c r="W392" s="29"/>
      <c r="X392" s="29"/>
      <c r="Y392" s="29"/>
    </row>
    <row r="393" spans="2:26" x14ac:dyDescent="0.25">
      <c r="B393" s="176"/>
      <c r="C393" s="176"/>
      <c r="D393" s="176"/>
      <c r="E393" s="176"/>
      <c r="F393"/>
      <c r="G393"/>
      <c r="H393"/>
      <c r="I393"/>
      <c r="J393" s="29"/>
      <c r="K393" s="29"/>
      <c r="L393" s="29"/>
      <c r="M393" s="29"/>
      <c r="N393" s="29"/>
      <c r="O393" s="29"/>
      <c r="P393" s="29"/>
      <c r="Q393" s="29"/>
      <c r="R393" s="29"/>
      <c r="S393" s="29"/>
      <c r="T393" s="29"/>
      <c r="U393" s="29"/>
      <c r="V393" s="29"/>
      <c r="W393" s="29"/>
      <c r="X393" s="29"/>
      <c r="Y393" s="29"/>
    </row>
    <row r="394" spans="2:26" x14ac:dyDescent="0.25">
      <c r="B394" s="205" t="s">
        <v>533</v>
      </c>
      <c r="C394"/>
      <c r="D394"/>
      <c r="E394"/>
      <c r="F394"/>
      <c r="G394"/>
      <c r="H394"/>
      <c r="I394"/>
      <c r="J394" s="29"/>
      <c r="K394" s="29"/>
      <c r="L394" s="29"/>
      <c r="M394" s="29"/>
      <c r="N394" s="29"/>
      <c r="O394" s="29"/>
      <c r="P394" s="29"/>
      <c r="Q394" s="29"/>
      <c r="R394" s="29"/>
      <c r="S394" s="29"/>
      <c r="T394" s="29"/>
      <c r="U394" s="29"/>
      <c r="V394" s="29"/>
      <c r="W394" s="29"/>
      <c r="X394" s="29"/>
      <c r="Y394" s="29"/>
    </row>
    <row r="395" spans="2:26" x14ac:dyDescent="0.25">
      <c r="B395" s="205"/>
      <c r="C395"/>
      <c r="D395"/>
      <c r="E395"/>
      <c r="F395"/>
      <c r="G395"/>
      <c r="H395"/>
      <c r="I395"/>
      <c r="J395" s="29"/>
      <c r="K395" s="29"/>
      <c r="L395" s="29"/>
      <c r="M395" s="29"/>
      <c r="N395" s="29"/>
      <c r="O395" s="29"/>
      <c r="P395" s="29"/>
      <c r="Q395" s="29"/>
      <c r="R395" s="29"/>
      <c r="S395" s="29"/>
      <c r="T395" s="29"/>
      <c r="U395" s="29"/>
      <c r="V395" s="29"/>
      <c r="W395" s="29"/>
      <c r="X395" s="29"/>
      <c r="Y395" s="29"/>
    </row>
    <row r="396" spans="2:26" ht="15" customHeight="1" x14ac:dyDescent="0.25">
      <c r="B396" s="176"/>
      <c r="C396" s="488" t="s">
        <v>538</v>
      </c>
      <c r="D396" s="488"/>
      <c r="E396" s="488"/>
      <c r="F396" s="488"/>
      <c r="G396" s="488"/>
      <c r="H396" s="488"/>
      <c r="I396" s="484" t="s">
        <v>539</v>
      </c>
      <c r="J396" s="484"/>
      <c r="K396" s="492" t="s">
        <v>36</v>
      </c>
      <c r="L396" s="29"/>
      <c r="M396" s="29"/>
      <c r="N396" s="29"/>
      <c r="O396" s="29"/>
      <c r="P396" s="29"/>
      <c r="Q396" s="29"/>
      <c r="R396" s="29"/>
      <c r="S396" s="29"/>
      <c r="T396" s="29"/>
      <c r="U396" s="29"/>
      <c r="V396" s="29"/>
      <c r="W396" s="29"/>
      <c r="X396" s="29"/>
      <c r="Y396" s="29"/>
    </row>
    <row r="397" spans="2:26" ht="30" x14ac:dyDescent="0.25">
      <c r="B397" s="178" t="s">
        <v>548</v>
      </c>
      <c r="C397" s="179" t="s">
        <v>3</v>
      </c>
      <c r="D397" s="179" t="s">
        <v>4</v>
      </c>
      <c r="E397" s="179" t="s">
        <v>714</v>
      </c>
      <c r="F397" s="179" t="s">
        <v>501</v>
      </c>
      <c r="G397" s="179" t="s">
        <v>5</v>
      </c>
      <c r="H397" s="179" t="s">
        <v>6</v>
      </c>
      <c r="I397" s="179" t="s">
        <v>87</v>
      </c>
      <c r="J397" s="179" t="s">
        <v>88</v>
      </c>
      <c r="K397" s="492"/>
      <c r="L397" s="29"/>
      <c r="M397" s="29"/>
      <c r="N397" s="29"/>
      <c r="O397" s="29"/>
      <c r="P397" s="29"/>
      <c r="Q397" s="29"/>
      <c r="R397" s="29"/>
      <c r="S397" s="29"/>
      <c r="T397" s="29"/>
      <c r="U397" s="29"/>
      <c r="V397" s="29"/>
      <c r="W397" s="29"/>
      <c r="X397" s="29"/>
      <c r="Y397" s="29"/>
    </row>
    <row r="398" spans="2:26" x14ac:dyDescent="0.25">
      <c r="B398" s="175" t="s">
        <v>400</v>
      </c>
      <c r="C398" s="379"/>
      <c r="D398" s="379">
        <v>2</v>
      </c>
      <c r="E398" s="379">
        <v>14</v>
      </c>
      <c r="F398" s="379">
        <v>27</v>
      </c>
      <c r="G398" s="379"/>
      <c r="H398" s="379">
        <v>0</v>
      </c>
      <c r="I398" s="379">
        <v>21</v>
      </c>
      <c r="J398" s="379">
        <v>22</v>
      </c>
      <c r="K398" s="369">
        <v>43</v>
      </c>
      <c r="L398" s="29"/>
      <c r="M398" s="29"/>
      <c r="N398" s="29"/>
      <c r="O398" s="29"/>
      <c r="P398" s="29"/>
      <c r="Q398" s="29"/>
      <c r="R398" s="29"/>
      <c r="S398" s="29"/>
      <c r="T398" s="29"/>
      <c r="U398" s="29"/>
      <c r="V398" s="29"/>
      <c r="W398" s="29"/>
      <c r="X398" s="29"/>
      <c r="Y398" s="29"/>
      <c r="Z398" s="29"/>
    </row>
    <row r="399" spans="2:26" x14ac:dyDescent="0.25">
      <c r="B399" s="152" t="s">
        <v>401</v>
      </c>
      <c r="C399" s="368"/>
      <c r="D399" s="368">
        <v>28</v>
      </c>
      <c r="E399" s="368">
        <v>156</v>
      </c>
      <c r="F399" s="368">
        <v>421</v>
      </c>
      <c r="G399" s="368"/>
      <c r="H399" s="368">
        <v>16</v>
      </c>
      <c r="I399" s="368">
        <v>293</v>
      </c>
      <c r="J399" s="368">
        <v>328</v>
      </c>
      <c r="K399" s="370">
        <v>621</v>
      </c>
      <c r="L399" s="29"/>
      <c r="M399" s="29"/>
      <c r="N399" s="29"/>
      <c r="O399" s="29"/>
      <c r="P399" s="29"/>
      <c r="Q399" s="29"/>
      <c r="R399" s="29"/>
      <c r="S399" s="29"/>
      <c r="T399" s="29"/>
      <c r="U399" s="29"/>
      <c r="V399" s="29"/>
      <c r="W399" s="29"/>
      <c r="X399" s="29"/>
      <c r="Y399" s="29"/>
      <c r="Z399" s="29"/>
    </row>
    <row r="400" spans="2:26" x14ac:dyDescent="0.25">
      <c r="B400" s="152" t="s">
        <v>402</v>
      </c>
      <c r="C400" s="368"/>
      <c r="D400" s="368">
        <v>10</v>
      </c>
      <c r="E400" s="368">
        <v>38</v>
      </c>
      <c r="F400" s="368">
        <v>125</v>
      </c>
      <c r="G400" s="368"/>
      <c r="H400" s="368">
        <v>2</v>
      </c>
      <c r="I400" s="368">
        <v>87</v>
      </c>
      <c r="J400" s="368">
        <v>88</v>
      </c>
      <c r="K400" s="370">
        <v>175</v>
      </c>
      <c r="L400" s="29"/>
      <c r="M400" s="29"/>
      <c r="N400" s="29"/>
      <c r="O400" s="29"/>
      <c r="P400" s="29"/>
      <c r="Q400" s="29"/>
      <c r="R400" s="29"/>
      <c r="S400" s="29"/>
      <c r="T400" s="29"/>
      <c r="U400" s="29"/>
      <c r="V400" s="29"/>
      <c r="W400" s="29"/>
      <c r="X400" s="29"/>
      <c r="Y400" s="29"/>
      <c r="Z400" s="29"/>
    </row>
    <row r="401" spans="2:26" x14ac:dyDescent="0.25">
      <c r="B401" s="152" t="s">
        <v>403</v>
      </c>
      <c r="C401" s="368"/>
      <c r="D401" s="368">
        <v>26</v>
      </c>
      <c r="E401" s="368">
        <v>140</v>
      </c>
      <c r="F401" s="368">
        <v>451</v>
      </c>
      <c r="G401" s="368"/>
      <c r="H401" s="368">
        <v>13</v>
      </c>
      <c r="I401" s="368">
        <v>317</v>
      </c>
      <c r="J401" s="368">
        <v>313</v>
      </c>
      <c r="K401" s="370">
        <v>630</v>
      </c>
      <c r="L401" s="29"/>
      <c r="M401" s="29"/>
      <c r="N401" s="29"/>
      <c r="O401" s="29"/>
      <c r="P401" s="29"/>
      <c r="Q401" s="29"/>
      <c r="R401" s="29"/>
      <c r="S401" s="29"/>
      <c r="T401" s="29"/>
      <c r="U401" s="29"/>
      <c r="V401" s="29"/>
      <c r="W401" s="29"/>
      <c r="X401" s="29"/>
      <c r="Y401" s="29"/>
      <c r="Z401" s="29"/>
    </row>
    <row r="402" spans="2:26" x14ac:dyDescent="0.25">
      <c r="B402" s="152" t="s">
        <v>404</v>
      </c>
      <c r="C402" s="368"/>
      <c r="D402" s="368">
        <v>68</v>
      </c>
      <c r="E402" s="368">
        <v>247</v>
      </c>
      <c r="F402" s="368">
        <v>489</v>
      </c>
      <c r="G402" s="368"/>
      <c r="H402" s="368">
        <v>20</v>
      </c>
      <c r="I402" s="368">
        <v>404</v>
      </c>
      <c r="J402" s="368">
        <v>420</v>
      </c>
      <c r="K402" s="370">
        <v>824</v>
      </c>
      <c r="L402" s="29"/>
      <c r="M402" s="29"/>
      <c r="N402" s="29"/>
      <c r="O402" s="29"/>
      <c r="P402" s="29"/>
      <c r="Q402" s="29"/>
      <c r="R402" s="29"/>
      <c r="S402" s="29"/>
      <c r="T402" s="29"/>
      <c r="U402" s="29"/>
      <c r="V402" s="29"/>
      <c r="W402" s="29"/>
      <c r="X402" s="29"/>
      <c r="Y402" s="29"/>
      <c r="Z402" s="29"/>
    </row>
    <row r="403" spans="2:26" x14ac:dyDescent="0.25">
      <c r="B403" s="152" t="s">
        <v>405</v>
      </c>
      <c r="C403" s="368"/>
      <c r="D403" s="368">
        <v>49</v>
      </c>
      <c r="E403" s="368">
        <v>165</v>
      </c>
      <c r="F403" s="368">
        <v>395</v>
      </c>
      <c r="G403" s="368"/>
      <c r="H403" s="368">
        <v>21</v>
      </c>
      <c r="I403" s="368">
        <v>305</v>
      </c>
      <c r="J403" s="368">
        <v>325</v>
      </c>
      <c r="K403" s="370">
        <v>630</v>
      </c>
      <c r="L403" s="29"/>
      <c r="M403" s="29"/>
      <c r="N403" s="29"/>
      <c r="O403" s="29"/>
      <c r="P403" s="29"/>
      <c r="Q403" s="29"/>
      <c r="R403" s="29"/>
      <c r="S403" s="29"/>
      <c r="T403" s="29"/>
      <c r="U403" s="29"/>
      <c r="V403" s="29"/>
      <c r="W403" s="29"/>
      <c r="X403" s="29"/>
      <c r="Y403" s="29"/>
      <c r="Z403" s="29"/>
    </row>
    <row r="404" spans="2:26" x14ac:dyDescent="0.25">
      <c r="B404" s="152" t="s">
        <v>406</v>
      </c>
      <c r="C404" s="368"/>
      <c r="D404" s="368">
        <v>52</v>
      </c>
      <c r="E404" s="368">
        <v>270</v>
      </c>
      <c r="F404" s="368">
        <v>611</v>
      </c>
      <c r="G404" s="368"/>
      <c r="H404" s="368">
        <v>19</v>
      </c>
      <c r="I404" s="368">
        <v>478</v>
      </c>
      <c r="J404" s="368">
        <v>474</v>
      </c>
      <c r="K404" s="370">
        <v>952</v>
      </c>
      <c r="L404" s="29"/>
      <c r="M404" s="29"/>
      <c r="N404" s="29"/>
      <c r="O404" s="29"/>
      <c r="P404" s="29"/>
      <c r="Q404" s="29"/>
      <c r="R404" s="29"/>
      <c r="S404" s="29"/>
      <c r="T404" s="29"/>
      <c r="U404" s="29"/>
      <c r="V404" s="29"/>
      <c r="W404" s="29"/>
      <c r="X404" s="29"/>
      <c r="Y404" s="29"/>
      <c r="Z404" s="29"/>
    </row>
    <row r="405" spans="2:26" x14ac:dyDescent="0.25">
      <c r="B405" s="152" t="s">
        <v>407</v>
      </c>
      <c r="C405" s="368"/>
      <c r="D405" s="368">
        <v>15</v>
      </c>
      <c r="E405" s="368">
        <v>82</v>
      </c>
      <c r="F405" s="368">
        <v>166</v>
      </c>
      <c r="G405" s="368"/>
      <c r="H405" s="368">
        <v>10</v>
      </c>
      <c r="I405" s="368">
        <v>144</v>
      </c>
      <c r="J405" s="368">
        <v>129</v>
      </c>
      <c r="K405" s="370">
        <v>273</v>
      </c>
      <c r="L405" s="29"/>
      <c r="M405" s="29"/>
      <c r="N405" s="29"/>
      <c r="O405" s="29"/>
      <c r="P405" s="29"/>
      <c r="Q405" s="29"/>
      <c r="R405" s="29"/>
      <c r="S405" s="29"/>
      <c r="T405" s="29"/>
      <c r="U405" s="29"/>
      <c r="V405" s="29"/>
      <c r="W405" s="29"/>
      <c r="X405" s="29"/>
      <c r="Y405" s="29"/>
      <c r="Z405" s="29"/>
    </row>
    <row r="406" spans="2:26" x14ac:dyDescent="0.25">
      <c r="B406" s="152" t="s">
        <v>408</v>
      </c>
      <c r="C406" s="368"/>
      <c r="D406" s="368">
        <v>76</v>
      </c>
      <c r="E406" s="368">
        <v>339</v>
      </c>
      <c r="F406" s="368">
        <v>717</v>
      </c>
      <c r="G406" s="368"/>
      <c r="H406" s="368">
        <v>30</v>
      </c>
      <c r="I406" s="368">
        <v>595</v>
      </c>
      <c r="J406" s="368">
        <v>567</v>
      </c>
      <c r="K406" s="370">
        <v>1162</v>
      </c>
      <c r="L406" s="29"/>
      <c r="M406" s="29"/>
      <c r="N406" s="29"/>
      <c r="O406" s="29"/>
      <c r="P406" s="29"/>
      <c r="Q406" s="29"/>
      <c r="R406" s="29"/>
      <c r="S406" s="29"/>
      <c r="T406" s="29"/>
      <c r="U406" s="29"/>
      <c r="V406" s="29"/>
      <c r="W406" s="29"/>
      <c r="X406" s="29"/>
      <c r="Y406" s="29"/>
      <c r="Z406" s="29"/>
    </row>
    <row r="407" spans="2:26" x14ac:dyDescent="0.25">
      <c r="B407" s="152" t="s">
        <v>409</v>
      </c>
      <c r="C407" s="368"/>
      <c r="D407" s="368">
        <v>21</v>
      </c>
      <c r="E407" s="368">
        <v>64</v>
      </c>
      <c r="F407" s="368">
        <v>136</v>
      </c>
      <c r="G407" s="368"/>
      <c r="H407" s="368">
        <v>7</v>
      </c>
      <c r="I407" s="368">
        <v>100</v>
      </c>
      <c r="J407" s="368">
        <v>128</v>
      </c>
      <c r="K407" s="370">
        <v>228</v>
      </c>
      <c r="L407" s="29"/>
      <c r="M407" s="29"/>
      <c r="N407" s="29"/>
      <c r="O407" s="29"/>
      <c r="P407" s="29"/>
      <c r="Q407" s="29"/>
      <c r="R407" s="29"/>
      <c r="S407" s="29"/>
      <c r="T407" s="29"/>
      <c r="U407" s="29"/>
      <c r="V407" s="29"/>
      <c r="W407" s="29"/>
      <c r="X407" s="29"/>
      <c r="Y407" s="29"/>
      <c r="Z407" s="29"/>
    </row>
    <row r="408" spans="2:26" x14ac:dyDescent="0.25">
      <c r="B408" s="152" t="s">
        <v>410</v>
      </c>
      <c r="C408" s="368"/>
      <c r="D408" s="368">
        <v>45</v>
      </c>
      <c r="E408" s="368">
        <v>278</v>
      </c>
      <c r="F408" s="368">
        <v>736</v>
      </c>
      <c r="G408" s="368"/>
      <c r="H408" s="368">
        <v>18</v>
      </c>
      <c r="I408" s="368">
        <v>558</v>
      </c>
      <c r="J408" s="368">
        <v>519</v>
      </c>
      <c r="K408" s="370">
        <v>1077</v>
      </c>
      <c r="L408" s="29"/>
      <c r="M408" s="29"/>
      <c r="N408" s="29"/>
      <c r="O408" s="29"/>
      <c r="P408" s="29"/>
      <c r="Q408" s="29"/>
      <c r="R408" s="29"/>
      <c r="S408" s="29"/>
      <c r="T408" s="29"/>
      <c r="U408" s="29"/>
      <c r="V408" s="29"/>
      <c r="W408" s="29"/>
      <c r="X408" s="29"/>
      <c r="Y408" s="29"/>
      <c r="Z408" s="29"/>
    </row>
    <row r="409" spans="2:26" x14ac:dyDescent="0.25">
      <c r="B409" s="152" t="s">
        <v>411</v>
      </c>
      <c r="C409" s="368"/>
      <c r="D409" s="368">
        <v>39</v>
      </c>
      <c r="E409" s="368">
        <v>129</v>
      </c>
      <c r="F409" s="368">
        <v>373</v>
      </c>
      <c r="G409" s="368"/>
      <c r="H409" s="368">
        <v>16</v>
      </c>
      <c r="I409" s="368">
        <v>297</v>
      </c>
      <c r="J409" s="368">
        <v>260</v>
      </c>
      <c r="K409" s="370">
        <v>557</v>
      </c>
      <c r="L409" s="29"/>
      <c r="M409" s="29"/>
      <c r="N409" s="29"/>
      <c r="O409" s="29"/>
      <c r="P409" s="29"/>
      <c r="Q409" s="29"/>
      <c r="R409" s="29"/>
      <c r="S409" s="29"/>
      <c r="T409" s="29"/>
      <c r="U409" s="29"/>
      <c r="V409" s="29"/>
      <c r="W409" s="29"/>
      <c r="X409" s="29"/>
      <c r="Y409" s="29"/>
      <c r="Z409" s="29"/>
    </row>
    <row r="410" spans="2:26" x14ac:dyDescent="0.25">
      <c r="B410" s="152" t="s">
        <v>412</v>
      </c>
      <c r="C410" s="368"/>
      <c r="D410" s="368">
        <v>22</v>
      </c>
      <c r="E410" s="368">
        <v>194</v>
      </c>
      <c r="F410" s="368">
        <v>469</v>
      </c>
      <c r="G410" s="368"/>
      <c r="H410" s="368">
        <v>9</v>
      </c>
      <c r="I410" s="368">
        <v>375</v>
      </c>
      <c r="J410" s="368">
        <v>319</v>
      </c>
      <c r="K410" s="370">
        <v>694</v>
      </c>
      <c r="L410" s="29"/>
      <c r="M410" s="29"/>
      <c r="N410" s="29"/>
      <c r="O410" s="29"/>
      <c r="P410" s="29"/>
      <c r="Q410" s="29"/>
      <c r="R410" s="29"/>
      <c r="S410" s="29"/>
      <c r="T410" s="29"/>
      <c r="U410" s="29"/>
      <c r="V410" s="29"/>
      <c r="W410" s="29"/>
      <c r="X410" s="29"/>
      <c r="Y410" s="29"/>
      <c r="Z410" s="29"/>
    </row>
    <row r="411" spans="2:26" x14ac:dyDescent="0.25">
      <c r="B411" s="152" t="s">
        <v>413</v>
      </c>
      <c r="C411" s="368"/>
      <c r="D411" s="368">
        <v>11</v>
      </c>
      <c r="E411" s="368">
        <v>47</v>
      </c>
      <c r="F411" s="368">
        <v>151</v>
      </c>
      <c r="G411" s="368"/>
      <c r="H411" s="368">
        <v>6</v>
      </c>
      <c r="I411" s="368">
        <v>100</v>
      </c>
      <c r="J411" s="368">
        <v>115</v>
      </c>
      <c r="K411" s="370">
        <v>215</v>
      </c>
      <c r="L411" s="29"/>
      <c r="M411" s="29"/>
      <c r="N411" s="29"/>
      <c r="O411" s="29"/>
      <c r="P411" s="29"/>
      <c r="Q411" s="29"/>
      <c r="R411" s="29"/>
      <c r="S411" s="29"/>
      <c r="T411" s="29"/>
      <c r="U411" s="29"/>
      <c r="V411" s="29"/>
      <c r="W411" s="29"/>
      <c r="X411" s="29"/>
      <c r="Y411" s="29"/>
      <c r="Z411" s="29"/>
    </row>
    <row r="412" spans="2:26" x14ac:dyDescent="0.25">
      <c r="B412" s="152" t="s">
        <v>414</v>
      </c>
      <c r="C412" s="368"/>
      <c r="D412" s="368">
        <v>27</v>
      </c>
      <c r="E412" s="368">
        <v>202</v>
      </c>
      <c r="F412" s="368">
        <v>579</v>
      </c>
      <c r="G412" s="368"/>
      <c r="H412" s="368">
        <v>12</v>
      </c>
      <c r="I412" s="368">
        <v>433</v>
      </c>
      <c r="J412" s="368">
        <v>387</v>
      </c>
      <c r="K412" s="370">
        <v>820</v>
      </c>
      <c r="L412" s="29"/>
      <c r="M412" s="29"/>
      <c r="N412" s="29"/>
      <c r="O412" s="29"/>
      <c r="P412" s="29"/>
      <c r="Q412" s="29"/>
      <c r="R412" s="29"/>
      <c r="S412" s="29"/>
      <c r="T412" s="29"/>
      <c r="U412" s="29"/>
      <c r="V412" s="29"/>
      <c r="W412" s="29"/>
      <c r="X412" s="29"/>
      <c r="Y412" s="29"/>
      <c r="Z412" s="29"/>
    </row>
    <row r="413" spans="2:26" x14ac:dyDescent="0.25">
      <c r="B413" s="152" t="s">
        <v>415</v>
      </c>
      <c r="C413" s="368"/>
      <c r="D413" s="368">
        <v>102</v>
      </c>
      <c r="E413" s="368">
        <v>788</v>
      </c>
      <c r="F413" s="368">
        <v>2569</v>
      </c>
      <c r="G413" s="368"/>
      <c r="H413" s="368">
        <v>55</v>
      </c>
      <c r="I413" s="368">
        <v>1925</v>
      </c>
      <c r="J413" s="368">
        <v>1589</v>
      </c>
      <c r="K413" s="370">
        <v>3514</v>
      </c>
      <c r="L413" s="29"/>
      <c r="M413" s="29"/>
      <c r="N413" s="29"/>
      <c r="O413" s="29"/>
      <c r="P413" s="29"/>
      <c r="Q413" s="29"/>
      <c r="R413" s="29"/>
      <c r="S413" s="29"/>
      <c r="T413" s="29"/>
      <c r="U413" s="29"/>
      <c r="V413" s="29"/>
      <c r="W413" s="29"/>
      <c r="X413" s="29"/>
      <c r="Y413" s="29"/>
      <c r="Z413" s="29"/>
    </row>
    <row r="414" spans="2:26" x14ac:dyDescent="0.25">
      <c r="B414" s="152" t="s">
        <v>416</v>
      </c>
      <c r="C414" s="368"/>
      <c r="D414" s="368">
        <v>45</v>
      </c>
      <c r="E414" s="368">
        <v>313</v>
      </c>
      <c r="F414" s="368">
        <v>485</v>
      </c>
      <c r="G414" s="368"/>
      <c r="H414" s="368">
        <v>28</v>
      </c>
      <c r="I414" s="368">
        <v>414</v>
      </c>
      <c r="J414" s="368">
        <v>457</v>
      </c>
      <c r="K414" s="370">
        <v>871</v>
      </c>
      <c r="L414" s="29"/>
      <c r="M414" s="29"/>
      <c r="N414" s="29"/>
      <c r="O414" s="29"/>
      <c r="P414" s="29"/>
      <c r="Q414" s="29"/>
      <c r="R414" s="29"/>
      <c r="S414" s="29"/>
      <c r="T414" s="29"/>
      <c r="U414" s="29"/>
      <c r="V414" s="29"/>
      <c r="W414" s="29"/>
      <c r="X414" s="29"/>
      <c r="Y414" s="29"/>
      <c r="Z414" s="29"/>
    </row>
    <row r="415" spans="2:26" x14ac:dyDescent="0.25">
      <c r="B415" s="152" t="s">
        <v>417</v>
      </c>
      <c r="C415" s="368"/>
      <c r="D415" s="368">
        <v>94</v>
      </c>
      <c r="E415" s="368">
        <v>312</v>
      </c>
      <c r="F415" s="368">
        <v>566</v>
      </c>
      <c r="G415" s="368"/>
      <c r="H415" s="368">
        <v>45</v>
      </c>
      <c r="I415" s="368">
        <v>508</v>
      </c>
      <c r="J415" s="368">
        <v>509</v>
      </c>
      <c r="K415" s="370">
        <v>1017</v>
      </c>
      <c r="L415" s="29"/>
      <c r="M415" s="29"/>
      <c r="N415" s="29"/>
      <c r="O415" s="29"/>
      <c r="P415" s="29"/>
      <c r="Q415" s="29"/>
      <c r="R415" s="29"/>
      <c r="S415" s="29"/>
      <c r="T415" s="29"/>
      <c r="U415" s="29"/>
      <c r="V415" s="29"/>
      <c r="W415" s="29"/>
      <c r="X415" s="29"/>
      <c r="Y415" s="29"/>
      <c r="Z415" s="29"/>
    </row>
    <row r="416" spans="2:26" x14ac:dyDescent="0.25">
      <c r="B416" s="152" t="s">
        <v>418</v>
      </c>
      <c r="C416" s="368"/>
      <c r="D416" s="368">
        <v>16</v>
      </c>
      <c r="E416" s="368">
        <v>144</v>
      </c>
      <c r="F416" s="368">
        <v>767</v>
      </c>
      <c r="G416" s="368"/>
      <c r="H416" s="368">
        <v>7</v>
      </c>
      <c r="I416" s="368">
        <v>578</v>
      </c>
      <c r="J416" s="368">
        <v>356</v>
      </c>
      <c r="K416" s="370">
        <v>934</v>
      </c>
      <c r="L416" s="29"/>
      <c r="M416" s="29"/>
      <c r="N416" s="29"/>
      <c r="O416" s="29"/>
      <c r="P416" s="29"/>
      <c r="Q416" s="29"/>
      <c r="R416" s="29"/>
      <c r="S416" s="29"/>
      <c r="T416" s="29"/>
      <c r="U416" s="29"/>
      <c r="V416" s="29"/>
      <c r="W416" s="29"/>
      <c r="X416" s="29"/>
      <c r="Y416" s="29"/>
      <c r="Z416" s="29"/>
    </row>
    <row r="417" spans="2:26" x14ac:dyDescent="0.25">
      <c r="B417" s="152" t="s">
        <v>419</v>
      </c>
      <c r="C417" s="368"/>
      <c r="D417" s="368">
        <v>63</v>
      </c>
      <c r="E417" s="368">
        <v>140</v>
      </c>
      <c r="F417" s="368">
        <v>348</v>
      </c>
      <c r="G417" s="368"/>
      <c r="H417" s="368">
        <v>11</v>
      </c>
      <c r="I417" s="368">
        <v>285</v>
      </c>
      <c r="J417" s="368">
        <v>277</v>
      </c>
      <c r="K417" s="370">
        <v>562</v>
      </c>
      <c r="L417" s="29"/>
      <c r="M417" s="29"/>
      <c r="N417" s="29"/>
      <c r="O417" s="29"/>
      <c r="P417" s="29"/>
      <c r="Q417" s="29"/>
      <c r="R417" s="29"/>
      <c r="S417" s="29"/>
      <c r="T417" s="29"/>
      <c r="U417" s="29"/>
      <c r="V417" s="29"/>
      <c r="W417" s="29"/>
      <c r="X417" s="29"/>
      <c r="Y417" s="29"/>
      <c r="Z417" s="29"/>
    </row>
    <row r="418" spans="2:26" x14ac:dyDescent="0.25">
      <c r="B418" s="152" t="s">
        <v>420</v>
      </c>
      <c r="C418" s="368"/>
      <c r="D418" s="368">
        <v>26</v>
      </c>
      <c r="E418" s="368">
        <v>444</v>
      </c>
      <c r="F418" s="368">
        <v>2730</v>
      </c>
      <c r="G418" s="368"/>
      <c r="H418" s="368">
        <v>12</v>
      </c>
      <c r="I418" s="368">
        <v>2180</v>
      </c>
      <c r="J418" s="368">
        <v>1032</v>
      </c>
      <c r="K418" s="370">
        <v>3212</v>
      </c>
      <c r="L418" s="29"/>
      <c r="M418" s="29"/>
      <c r="N418" s="29"/>
      <c r="O418" s="29"/>
      <c r="P418" s="29"/>
      <c r="Q418" s="29"/>
      <c r="R418" s="29"/>
      <c r="S418" s="29"/>
      <c r="T418" s="29"/>
      <c r="U418" s="29"/>
      <c r="V418" s="29"/>
      <c r="W418" s="29"/>
      <c r="X418" s="29"/>
      <c r="Y418" s="29"/>
      <c r="Z418" s="29"/>
    </row>
    <row r="419" spans="2:26" x14ac:dyDescent="0.25">
      <c r="B419" s="152" t="s">
        <v>421</v>
      </c>
      <c r="C419" s="368"/>
      <c r="D419" s="368">
        <v>16</v>
      </c>
      <c r="E419" s="368">
        <v>119</v>
      </c>
      <c r="F419" s="368">
        <v>404</v>
      </c>
      <c r="G419" s="368"/>
      <c r="H419" s="368">
        <v>8</v>
      </c>
      <c r="I419" s="368">
        <v>311</v>
      </c>
      <c r="J419" s="368">
        <v>236</v>
      </c>
      <c r="K419" s="370">
        <v>547</v>
      </c>
      <c r="L419" s="29"/>
      <c r="M419" s="29"/>
      <c r="N419" s="29"/>
      <c r="O419" s="29"/>
      <c r="P419" s="29"/>
      <c r="Q419" s="29"/>
      <c r="R419" s="29"/>
      <c r="S419" s="29"/>
      <c r="T419" s="29"/>
      <c r="U419" s="29"/>
      <c r="V419" s="29"/>
      <c r="W419" s="29"/>
      <c r="X419" s="29"/>
      <c r="Y419" s="29"/>
      <c r="Z419" s="29"/>
    </row>
    <row r="420" spans="2:26" x14ac:dyDescent="0.25">
      <c r="B420" s="152" t="s">
        <v>422</v>
      </c>
      <c r="C420" s="368"/>
      <c r="D420" s="368">
        <v>58</v>
      </c>
      <c r="E420" s="368">
        <v>217</v>
      </c>
      <c r="F420" s="368">
        <v>389</v>
      </c>
      <c r="G420" s="368"/>
      <c r="H420" s="368">
        <v>25</v>
      </c>
      <c r="I420" s="368">
        <v>338</v>
      </c>
      <c r="J420" s="368">
        <v>351</v>
      </c>
      <c r="K420" s="370">
        <v>689</v>
      </c>
      <c r="L420" s="29"/>
      <c r="M420" s="29"/>
      <c r="N420" s="29"/>
      <c r="O420" s="29"/>
      <c r="P420" s="29"/>
      <c r="Q420" s="29"/>
      <c r="R420" s="29"/>
      <c r="S420" s="29"/>
      <c r="T420" s="29"/>
      <c r="U420" s="29"/>
      <c r="V420" s="29"/>
      <c r="W420" s="29"/>
      <c r="X420" s="29"/>
      <c r="Y420" s="29"/>
      <c r="Z420" s="29"/>
    </row>
    <row r="421" spans="2:26" x14ac:dyDescent="0.25">
      <c r="B421" s="152" t="s">
        <v>423</v>
      </c>
      <c r="C421" s="368"/>
      <c r="D421" s="368">
        <v>39</v>
      </c>
      <c r="E421" s="368">
        <v>171</v>
      </c>
      <c r="F421" s="368">
        <v>506</v>
      </c>
      <c r="G421" s="368"/>
      <c r="H421" s="368">
        <v>26</v>
      </c>
      <c r="I421" s="368">
        <v>376</v>
      </c>
      <c r="J421" s="368">
        <v>366</v>
      </c>
      <c r="K421" s="370">
        <v>742</v>
      </c>
      <c r="L421" s="29"/>
      <c r="M421" s="29"/>
      <c r="N421" s="29"/>
      <c r="O421" s="29"/>
      <c r="P421" s="29"/>
      <c r="Q421" s="29"/>
      <c r="R421" s="29"/>
      <c r="S421" s="29"/>
      <c r="T421" s="29"/>
      <c r="U421" s="29"/>
      <c r="V421" s="29"/>
      <c r="W421" s="29"/>
      <c r="X421" s="29"/>
      <c r="Y421" s="29"/>
      <c r="Z421" s="29"/>
    </row>
    <row r="422" spans="2:26" x14ac:dyDescent="0.25">
      <c r="B422" s="152" t="s">
        <v>424</v>
      </c>
      <c r="C422" s="368"/>
      <c r="D422" s="368">
        <v>32</v>
      </c>
      <c r="E422" s="368">
        <v>249</v>
      </c>
      <c r="F422" s="368">
        <v>883</v>
      </c>
      <c r="G422" s="368"/>
      <c r="H422" s="368">
        <v>18</v>
      </c>
      <c r="I422" s="368">
        <v>607</v>
      </c>
      <c r="J422" s="368">
        <v>575</v>
      </c>
      <c r="K422" s="370">
        <v>1182</v>
      </c>
      <c r="L422" s="29"/>
      <c r="M422" s="29"/>
      <c r="N422" s="29"/>
      <c r="O422" s="29"/>
      <c r="P422" s="29"/>
      <c r="Q422" s="29"/>
      <c r="R422" s="29"/>
      <c r="S422" s="29"/>
      <c r="T422" s="29"/>
      <c r="U422" s="29"/>
      <c r="V422" s="29"/>
      <c r="W422" s="29"/>
      <c r="X422" s="29"/>
      <c r="Y422" s="29"/>
      <c r="Z422" s="29"/>
    </row>
    <row r="423" spans="2:26" x14ac:dyDescent="0.25">
      <c r="B423" s="152" t="s">
        <v>425</v>
      </c>
      <c r="C423" s="368"/>
      <c r="D423" s="368">
        <v>153</v>
      </c>
      <c r="E423" s="368">
        <v>1061</v>
      </c>
      <c r="F423" s="368">
        <v>2954</v>
      </c>
      <c r="G423" s="368"/>
      <c r="H423" s="368">
        <v>71</v>
      </c>
      <c r="I423" s="368">
        <v>2156</v>
      </c>
      <c r="J423" s="368">
        <v>2083</v>
      </c>
      <c r="K423" s="370">
        <v>4239</v>
      </c>
      <c r="L423" s="29"/>
      <c r="M423" s="29"/>
      <c r="N423" s="29"/>
      <c r="O423" s="29"/>
      <c r="P423" s="29"/>
      <c r="Q423" s="29"/>
      <c r="R423" s="29"/>
      <c r="S423" s="29"/>
      <c r="T423" s="29"/>
      <c r="U423" s="29"/>
      <c r="V423" s="29"/>
      <c r="W423" s="29"/>
      <c r="X423" s="29"/>
      <c r="Y423" s="29"/>
      <c r="Z423" s="29"/>
    </row>
    <row r="424" spans="2:26" x14ac:dyDescent="0.25">
      <c r="B424" s="152" t="s">
        <v>426</v>
      </c>
      <c r="C424" s="368"/>
      <c r="D424" s="368">
        <v>9</v>
      </c>
      <c r="E424" s="368">
        <v>30</v>
      </c>
      <c r="F424" s="368">
        <v>67</v>
      </c>
      <c r="G424" s="368"/>
      <c r="H424" s="368">
        <v>1</v>
      </c>
      <c r="I424" s="368">
        <v>47</v>
      </c>
      <c r="J424" s="368">
        <v>60</v>
      </c>
      <c r="K424" s="370">
        <v>107</v>
      </c>
      <c r="L424" s="29"/>
      <c r="M424" s="29"/>
      <c r="N424" s="29"/>
      <c r="O424" s="29"/>
      <c r="P424" s="29"/>
      <c r="Q424" s="29"/>
      <c r="R424" s="29"/>
      <c r="S424" s="29"/>
      <c r="T424" s="29"/>
      <c r="U424" s="29"/>
      <c r="V424" s="29"/>
      <c r="W424" s="29"/>
      <c r="X424" s="29"/>
      <c r="Y424" s="29"/>
      <c r="Z424" s="29"/>
    </row>
    <row r="425" spans="2:26" x14ac:dyDescent="0.25">
      <c r="B425" s="152" t="s">
        <v>427</v>
      </c>
      <c r="C425" s="368"/>
      <c r="D425" s="368">
        <v>45</v>
      </c>
      <c r="E425" s="368">
        <v>237</v>
      </c>
      <c r="F425" s="368">
        <v>646</v>
      </c>
      <c r="G425" s="368"/>
      <c r="H425" s="368">
        <v>35</v>
      </c>
      <c r="I425" s="368">
        <v>441</v>
      </c>
      <c r="J425" s="368">
        <v>522</v>
      </c>
      <c r="K425" s="370">
        <v>963</v>
      </c>
      <c r="L425" s="29"/>
      <c r="M425" s="29"/>
      <c r="N425" s="29"/>
      <c r="O425" s="29"/>
      <c r="P425" s="29"/>
      <c r="Q425" s="29"/>
      <c r="R425" s="29"/>
      <c r="S425" s="29"/>
      <c r="T425" s="29"/>
      <c r="U425" s="29"/>
      <c r="V425" s="29"/>
      <c r="W425" s="29"/>
      <c r="X425" s="29"/>
      <c r="Y425" s="29"/>
      <c r="Z425" s="29"/>
    </row>
    <row r="426" spans="2:26" x14ac:dyDescent="0.25">
      <c r="B426" s="152" t="s">
        <v>428</v>
      </c>
      <c r="C426" s="368"/>
      <c r="D426" s="368">
        <v>31</v>
      </c>
      <c r="E426" s="368">
        <v>104</v>
      </c>
      <c r="F426" s="368">
        <v>237</v>
      </c>
      <c r="G426" s="368"/>
      <c r="H426" s="368">
        <v>5</v>
      </c>
      <c r="I426" s="368">
        <v>156</v>
      </c>
      <c r="J426" s="368">
        <v>221</v>
      </c>
      <c r="K426" s="370">
        <v>377</v>
      </c>
      <c r="L426" s="29"/>
      <c r="M426" s="29"/>
      <c r="N426" s="29"/>
      <c r="O426" s="29"/>
      <c r="P426" s="29"/>
      <c r="Q426" s="29"/>
      <c r="R426" s="29"/>
      <c r="S426" s="29"/>
      <c r="T426" s="29"/>
      <c r="U426" s="29"/>
      <c r="V426" s="29"/>
      <c r="W426" s="29"/>
      <c r="X426" s="29"/>
      <c r="Y426" s="29"/>
      <c r="Z426" s="29"/>
    </row>
    <row r="427" spans="2:26" x14ac:dyDescent="0.25">
      <c r="B427" s="152" t="s">
        <v>429</v>
      </c>
      <c r="C427" s="368"/>
      <c r="D427" s="368">
        <v>27</v>
      </c>
      <c r="E427" s="368">
        <v>125</v>
      </c>
      <c r="F427" s="368">
        <v>282</v>
      </c>
      <c r="G427" s="368"/>
      <c r="H427" s="368">
        <v>9</v>
      </c>
      <c r="I427" s="368">
        <v>206</v>
      </c>
      <c r="J427" s="368">
        <v>237</v>
      </c>
      <c r="K427" s="370">
        <v>443</v>
      </c>
      <c r="L427" s="29"/>
      <c r="M427" s="29"/>
      <c r="N427" s="29"/>
      <c r="O427" s="29"/>
      <c r="P427" s="29"/>
      <c r="Q427" s="29"/>
      <c r="R427" s="29"/>
      <c r="S427" s="29"/>
      <c r="T427" s="29"/>
      <c r="U427" s="29"/>
      <c r="V427" s="29"/>
      <c r="W427" s="29"/>
      <c r="X427" s="29"/>
      <c r="Y427" s="29"/>
      <c r="Z427" s="29"/>
    </row>
    <row r="428" spans="2:26" x14ac:dyDescent="0.25">
      <c r="B428" s="152" t="s">
        <v>430</v>
      </c>
      <c r="C428" s="368"/>
      <c r="D428" s="368">
        <v>67</v>
      </c>
      <c r="E428" s="368">
        <v>260</v>
      </c>
      <c r="F428" s="368">
        <v>546</v>
      </c>
      <c r="G428" s="368"/>
      <c r="H428" s="368">
        <v>27</v>
      </c>
      <c r="I428" s="368">
        <v>455</v>
      </c>
      <c r="J428" s="368">
        <v>445</v>
      </c>
      <c r="K428" s="370">
        <v>900</v>
      </c>
      <c r="L428" s="29"/>
      <c r="M428" s="29"/>
      <c r="N428" s="29"/>
      <c r="O428" s="29"/>
      <c r="P428" s="29"/>
      <c r="Q428" s="29"/>
      <c r="R428" s="29"/>
      <c r="S428" s="29"/>
      <c r="T428" s="29"/>
      <c r="U428" s="29"/>
      <c r="V428" s="29"/>
      <c r="W428" s="29"/>
      <c r="X428" s="29"/>
      <c r="Y428" s="29"/>
      <c r="Z428" s="29"/>
    </row>
    <row r="429" spans="2:26" x14ac:dyDescent="0.25">
      <c r="B429" s="152" t="s">
        <v>513</v>
      </c>
      <c r="C429" s="368"/>
      <c r="D429" s="368">
        <v>25</v>
      </c>
      <c r="E429" s="368">
        <v>157</v>
      </c>
      <c r="F429" s="368">
        <v>388</v>
      </c>
      <c r="G429" s="368"/>
      <c r="H429" s="368">
        <v>16</v>
      </c>
      <c r="I429" s="368">
        <v>285</v>
      </c>
      <c r="J429" s="368">
        <v>301</v>
      </c>
      <c r="K429" s="370">
        <v>586</v>
      </c>
      <c r="L429" s="29"/>
      <c r="M429" s="29"/>
      <c r="N429" s="29"/>
      <c r="O429" s="29"/>
      <c r="P429" s="29"/>
      <c r="Q429" s="29"/>
      <c r="R429" s="29"/>
      <c r="S429" s="29"/>
      <c r="T429" s="29"/>
      <c r="U429" s="29"/>
      <c r="V429" s="29"/>
      <c r="W429" s="29"/>
      <c r="X429" s="29"/>
      <c r="Y429" s="29"/>
      <c r="Z429" s="29"/>
    </row>
    <row r="430" spans="2:26" x14ac:dyDescent="0.25">
      <c r="B430" s="152" t="s">
        <v>514</v>
      </c>
      <c r="C430" s="368"/>
      <c r="D430" s="368">
        <v>81</v>
      </c>
      <c r="E430" s="368">
        <v>386</v>
      </c>
      <c r="F430" s="368">
        <v>1032</v>
      </c>
      <c r="G430" s="368"/>
      <c r="H430" s="368">
        <v>36</v>
      </c>
      <c r="I430" s="368">
        <v>828</v>
      </c>
      <c r="J430" s="368">
        <v>707</v>
      </c>
      <c r="K430" s="370">
        <v>1535</v>
      </c>
      <c r="L430" s="29"/>
      <c r="M430" s="29"/>
      <c r="N430" s="29"/>
      <c r="O430" s="29"/>
      <c r="P430" s="29"/>
      <c r="Q430" s="29"/>
      <c r="R430" s="29"/>
      <c r="S430" s="29"/>
      <c r="T430" s="29"/>
      <c r="U430" s="29"/>
      <c r="V430" s="29"/>
      <c r="W430" s="29"/>
      <c r="X430" s="29"/>
      <c r="Y430" s="29"/>
      <c r="Z430" s="29"/>
    </row>
    <row r="431" spans="2:26" x14ac:dyDescent="0.25">
      <c r="B431" s="152" t="s">
        <v>431</v>
      </c>
      <c r="C431" s="368"/>
      <c r="D431" s="368">
        <v>6</v>
      </c>
      <c r="E431" s="368">
        <v>58</v>
      </c>
      <c r="F431" s="368">
        <v>130</v>
      </c>
      <c r="G431" s="368"/>
      <c r="H431" s="368">
        <v>3</v>
      </c>
      <c r="I431" s="368">
        <v>87</v>
      </c>
      <c r="J431" s="368">
        <v>110</v>
      </c>
      <c r="K431" s="370">
        <v>197</v>
      </c>
      <c r="L431" s="29"/>
      <c r="M431" s="29"/>
      <c r="N431" s="29"/>
      <c r="O431" s="29"/>
      <c r="P431" s="29"/>
      <c r="Q431" s="29"/>
      <c r="R431" s="29"/>
      <c r="S431" s="29"/>
      <c r="T431" s="29"/>
      <c r="U431" s="29"/>
      <c r="V431" s="29"/>
      <c r="W431" s="29"/>
      <c r="X431" s="29"/>
      <c r="Y431" s="29"/>
      <c r="Z431" s="29"/>
    </row>
    <row r="432" spans="2:26" x14ac:dyDescent="0.25">
      <c r="B432" s="152" t="s">
        <v>432</v>
      </c>
      <c r="C432" s="368"/>
      <c r="D432" s="368">
        <v>13</v>
      </c>
      <c r="E432" s="368">
        <v>203</v>
      </c>
      <c r="F432" s="368">
        <v>1182</v>
      </c>
      <c r="G432" s="368"/>
      <c r="H432" s="368">
        <v>4</v>
      </c>
      <c r="I432" s="368">
        <v>953</v>
      </c>
      <c r="J432" s="368">
        <v>449</v>
      </c>
      <c r="K432" s="370">
        <v>1402</v>
      </c>
      <c r="L432" s="29"/>
      <c r="M432" s="29"/>
      <c r="N432" s="29"/>
      <c r="O432" s="29"/>
      <c r="P432" s="29"/>
      <c r="Q432" s="29"/>
      <c r="R432" s="29"/>
      <c r="S432" s="29"/>
      <c r="T432" s="29"/>
      <c r="U432" s="29"/>
      <c r="V432" s="29"/>
      <c r="W432" s="29"/>
      <c r="X432" s="29"/>
      <c r="Y432" s="29"/>
      <c r="Z432" s="29"/>
    </row>
    <row r="433" spans="2:26" x14ac:dyDescent="0.25">
      <c r="B433" s="152" t="s">
        <v>433</v>
      </c>
      <c r="C433" s="368"/>
      <c r="D433" s="368">
        <v>128</v>
      </c>
      <c r="E433" s="368">
        <v>384</v>
      </c>
      <c r="F433" s="368">
        <v>833</v>
      </c>
      <c r="G433" s="368"/>
      <c r="H433" s="368">
        <v>41</v>
      </c>
      <c r="I433" s="368">
        <v>679</v>
      </c>
      <c r="J433" s="368">
        <v>707</v>
      </c>
      <c r="K433" s="370">
        <v>1386</v>
      </c>
      <c r="L433" s="29"/>
      <c r="M433" s="29"/>
      <c r="N433" s="29"/>
      <c r="O433" s="29"/>
      <c r="P433" s="29"/>
      <c r="Q433" s="29"/>
      <c r="R433" s="29"/>
      <c r="S433" s="29"/>
      <c r="T433" s="29"/>
      <c r="U433" s="29"/>
      <c r="V433" s="29"/>
      <c r="W433" s="29"/>
      <c r="X433" s="29"/>
      <c r="Y433" s="29"/>
      <c r="Z433" s="29"/>
    </row>
    <row r="434" spans="2:26" x14ac:dyDescent="0.25">
      <c r="B434" s="152" t="s">
        <v>434</v>
      </c>
      <c r="C434" s="368"/>
      <c r="D434" s="368">
        <v>206</v>
      </c>
      <c r="E434" s="368">
        <v>1019</v>
      </c>
      <c r="F434" s="368">
        <v>2418</v>
      </c>
      <c r="G434" s="368"/>
      <c r="H434" s="368">
        <v>73</v>
      </c>
      <c r="I434" s="368">
        <v>1848</v>
      </c>
      <c r="J434" s="368">
        <v>1868</v>
      </c>
      <c r="K434" s="370">
        <v>3716</v>
      </c>
      <c r="L434" s="29"/>
      <c r="M434" s="29"/>
      <c r="N434" s="29"/>
      <c r="O434" s="29"/>
      <c r="P434" s="29"/>
      <c r="Q434" s="29"/>
      <c r="R434" s="29"/>
      <c r="S434" s="29"/>
      <c r="T434" s="29"/>
      <c r="U434" s="29"/>
      <c r="V434" s="29"/>
      <c r="W434" s="29"/>
      <c r="X434" s="29"/>
      <c r="Y434" s="29"/>
      <c r="Z434" s="29"/>
    </row>
    <row r="435" spans="2:26" x14ac:dyDescent="0.25">
      <c r="B435" s="152" t="s">
        <v>435</v>
      </c>
      <c r="C435" s="368"/>
      <c r="D435" s="368">
        <v>56</v>
      </c>
      <c r="E435" s="368">
        <v>268</v>
      </c>
      <c r="F435" s="368">
        <v>751</v>
      </c>
      <c r="G435" s="368"/>
      <c r="H435" s="368">
        <v>19</v>
      </c>
      <c r="I435" s="368">
        <v>527</v>
      </c>
      <c r="J435" s="368">
        <v>567</v>
      </c>
      <c r="K435" s="370">
        <v>1094</v>
      </c>
      <c r="L435" s="29"/>
      <c r="M435" s="29"/>
      <c r="N435" s="29"/>
      <c r="O435" s="29"/>
      <c r="P435" s="29"/>
      <c r="Q435" s="29"/>
      <c r="R435" s="29"/>
      <c r="S435" s="29"/>
      <c r="T435" s="29"/>
      <c r="U435" s="29"/>
      <c r="V435" s="29"/>
      <c r="W435" s="29"/>
      <c r="X435" s="29"/>
      <c r="Y435" s="29"/>
      <c r="Z435" s="29"/>
    </row>
    <row r="436" spans="2:26" x14ac:dyDescent="0.25">
      <c r="B436" s="152" t="s">
        <v>436</v>
      </c>
      <c r="C436" s="368"/>
      <c r="D436" s="368">
        <v>36</v>
      </c>
      <c r="E436" s="368">
        <v>244</v>
      </c>
      <c r="F436" s="368">
        <v>594</v>
      </c>
      <c r="G436" s="368"/>
      <c r="H436" s="368">
        <v>19</v>
      </c>
      <c r="I436" s="368">
        <v>472</v>
      </c>
      <c r="J436" s="368">
        <v>421</v>
      </c>
      <c r="K436" s="370">
        <v>893</v>
      </c>
      <c r="L436" s="29"/>
      <c r="M436" s="29"/>
      <c r="N436" s="29"/>
      <c r="O436" s="29"/>
      <c r="P436" s="29"/>
      <c r="Q436" s="29"/>
      <c r="R436" s="29"/>
      <c r="S436" s="29"/>
      <c r="T436" s="29"/>
      <c r="U436" s="29"/>
      <c r="V436" s="29"/>
      <c r="W436" s="29"/>
      <c r="X436" s="29"/>
      <c r="Y436" s="29"/>
      <c r="Z436" s="29"/>
    </row>
    <row r="437" spans="2:26" x14ac:dyDescent="0.25">
      <c r="B437" s="152" t="s">
        <v>437</v>
      </c>
      <c r="C437" s="368"/>
      <c r="D437" s="368">
        <v>58</v>
      </c>
      <c r="E437" s="368">
        <v>303</v>
      </c>
      <c r="F437" s="368">
        <v>779</v>
      </c>
      <c r="G437" s="368"/>
      <c r="H437" s="368">
        <v>25</v>
      </c>
      <c r="I437" s="368">
        <v>578</v>
      </c>
      <c r="J437" s="368">
        <v>587</v>
      </c>
      <c r="K437" s="370">
        <v>1165</v>
      </c>
      <c r="L437" s="29"/>
      <c r="M437" s="29"/>
      <c r="N437" s="29"/>
      <c r="O437" s="29"/>
      <c r="P437" s="29"/>
      <c r="Q437" s="29"/>
      <c r="R437" s="29"/>
      <c r="S437" s="29"/>
      <c r="T437" s="29"/>
      <c r="U437" s="29"/>
      <c r="V437" s="29"/>
      <c r="W437" s="29"/>
      <c r="X437" s="29"/>
      <c r="Y437" s="29"/>
      <c r="Z437" s="29"/>
    </row>
    <row r="438" spans="2:26" x14ac:dyDescent="0.25">
      <c r="B438" s="152" t="s">
        <v>438</v>
      </c>
      <c r="C438" s="368"/>
      <c r="D438" s="368">
        <v>70</v>
      </c>
      <c r="E438" s="368">
        <v>229</v>
      </c>
      <c r="F438" s="368">
        <v>568</v>
      </c>
      <c r="G438" s="368"/>
      <c r="H438" s="368">
        <v>35</v>
      </c>
      <c r="I438" s="368">
        <v>448</v>
      </c>
      <c r="J438" s="368">
        <v>454</v>
      </c>
      <c r="K438" s="370">
        <v>902</v>
      </c>
      <c r="L438" s="29"/>
      <c r="M438" s="29"/>
      <c r="N438" s="29"/>
      <c r="O438" s="29"/>
      <c r="P438" s="29"/>
      <c r="Q438" s="29"/>
      <c r="R438" s="29"/>
      <c r="S438" s="29"/>
      <c r="T438" s="29"/>
      <c r="U438" s="29"/>
      <c r="V438" s="29"/>
      <c r="W438" s="29"/>
      <c r="X438" s="29"/>
      <c r="Y438" s="29"/>
      <c r="Z438" s="29"/>
    </row>
    <row r="439" spans="2:26" x14ac:dyDescent="0.25">
      <c r="B439" s="152" t="s">
        <v>439</v>
      </c>
      <c r="C439" s="368"/>
      <c r="D439" s="368">
        <v>127</v>
      </c>
      <c r="E439" s="368">
        <v>523</v>
      </c>
      <c r="F439" s="368">
        <v>1192</v>
      </c>
      <c r="G439" s="368"/>
      <c r="H439" s="368">
        <v>56</v>
      </c>
      <c r="I439" s="368">
        <v>985</v>
      </c>
      <c r="J439" s="368">
        <v>913</v>
      </c>
      <c r="K439" s="370">
        <v>1898</v>
      </c>
      <c r="L439" s="29"/>
      <c r="M439" s="29"/>
      <c r="N439" s="29"/>
      <c r="O439" s="29"/>
      <c r="P439" s="29"/>
      <c r="Q439" s="29"/>
      <c r="R439" s="29"/>
      <c r="S439" s="29"/>
      <c r="T439" s="29"/>
      <c r="U439" s="29"/>
      <c r="V439" s="29"/>
      <c r="W439" s="29"/>
      <c r="X439" s="29"/>
      <c r="Y439" s="29"/>
      <c r="Z439" s="29"/>
    </row>
    <row r="440" spans="2:26" x14ac:dyDescent="0.25">
      <c r="B440" s="152" t="s">
        <v>440</v>
      </c>
      <c r="C440" s="368"/>
      <c r="D440" s="368">
        <v>46</v>
      </c>
      <c r="E440" s="368">
        <v>227</v>
      </c>
      <c r="F440" s="368">
        <v>555</v>
      </c>
      <c r="G440" s="368"/>
      <c r="H440" s="368">
        <v>19</v>
      </c>
      <c r="I440" s="368">
        <v>422</v>
      </c>
      <c r="J440" s="368">
        <v>425</v>
      </c>
      <c r="K440" s="370">
        <v>847</v>
      </c>
      <c r="L440" s="29"/>
      <c r="M440" s="29"/>
      <c r="N440" s="29"/>
      <c r="O440" s="29"/>
      <c r="P440" s="29"/>
      <c r="Q440" s="29"/>
      <c r="R440" s="29"/>
      <c r="S440" s="29"/>
      <c r="T440" s="29"/>
      <c r="U440" s="29"/>
      <c r="V440" s="29"/>
      <c r="W440" s="29"/>
      <c r="X440" s="29"/>
      <c r="Y440" s="29"/>
      <c r="Z440" s="29"/>
    </row>
    <row r="441" spans="2:26" x14ac:dyDescent="0.25">
      <c r="B441" s="152" t="s">
        <v>441</v>
      </c>
      <c r="C441" s="368"/>
      <c r="D441" s="368">
        <v>4</v>
      </c>
      <c r="E441" s="368">
        <v>33</v>
      </c>
      <c r="F441" s="368">
        <v>77</v>
      </c>
      <c r="G441" s="368"/>
      <c r="H441" s="368">
        <v>3</v>
      </c>
      <c r="I441" s="368">
        <v>56</v>
      </c>
      <c r="J441" s="368">
        <v>61</v>
      </c>
      <c r="K441" s="370">
        <v>117</v>
      </c>
      <c r="L441" s="29"/>
      <c r="M441" s="29"/>
      <c r="N441" s="29"/>
      <c r="O441" s="29"/>
      <c r="P441" s="29"/>
      <c r="Q441" s="29"/>
      <c r="R441" s="29"/>
      <c r="S441" s="29"/>
      <c r="T441" s="29"/>
      <c r="U441" s="29"/>
      <c r="V441" s="29"/>
      <c r="W441" s="29"/>
      <c r="X441" s="29"/>
      <c r="Y441" s="29"/>
      <c r="Z441" s="29"/>
    </row>
    <row r="442" spans="2:26" x14ac:dyDescent="0.25">
      <c r="B442" s="152" t="s">
        <v>442</v>
      </c>
      <c r="C442" s="368"/>
      <c r="D442" s="368">
        <v>20</v>
      </c>
      <c r="E442" s="368">
        <v>220</v>
      </c>
      <c r="F442" s="368">
        <v>806</v>
      </c>
      <c r="G442" s="368"/>
      <c r="H442" s="368">
        <v>18</v>
      </c>
      <c r="I442" s="368">
        <v>584</v>
      </c>
      <c r="J442" s="368">
        <v>480</v>
      </c>
      <c r="K442" s="370">
        <v>1064</v>
      </c>
      <c r="L442" s="29"/>
      <c r="M442" s="29"/>
      <c r="N442" s="29"/>
      <c r="O442" s="29"/>
      <c r="P442" s="29"/>
      <c r="Q442" s="29"/>
      <c r="R442" s="29"/>
      <c r="S442" s="29"/>
      <c r="T442" s="29"/>
      <c r="U442" s="29"/>
      <c r="V442" s="29"/>
      <c r="W442" s="29"/>
      <c r="X442" s="29"/>
      <c r="Y442" s="29"/>
      <c r="Z442" s="29"/>
    </row>
    <row r="443" spans="2:26" x14ac:dyDescent="0.25">
      <c r="B443" s="152" t="s">
        <v>443</v>
      </c>
      <c r="C443" s="368"/>
      <c r="D443" s="368">
        <v>9</v>
      </c>
      <c r="E443" s="368">
        <v>30</v>
      </c>
      <c r="F443" s="368">
        <v>34</v>
      </c>
      <c r="G443" s="368"/>
      <c r="H443" s="368">
        <v>0</v>
      </c>
      <c r="I443" s="368">
        <v>26</v>
      </c>
      <c r="J443" s="368">
        <v>47</v>
      </c>
      <c r="K443" s="370">
        <v>73</v>
      </c>
      <c r="L443" s="29"/>
      <c r="M443" s="29"/>
      <c r="N443" s="29"/>
      <c r="O443" s="29"/>
      <c r="P443" s="29"/>
      <c r="Q443" s="29"/>
      <c r="R443" s="29"/>
      <c r="S443" s="29"/>
      <c r="T443" s="29"/>
      <c r="U443" s="29"/>
      <c r="V443" s="29"/>
      <c r="W443" s="29"/>
      <c r="X443" s="29"/>
      <c r="Y443" s="29"/>
      <c r="Z443" s="29"/>
    </row>
    <row r="444" spans="2:26" x14ac:dyDescent="0.25">
      <c r="B444" s="152" t="s">
        <v>444</v>
      </c>
      <c r="C444" s="368"/>
      <c r="D444" s="368">
        <v>38</v>
      </c>
      <c r="E444" s="368">
        <v>167</v>
      </c>
      <c r="F444" s="368">
        <v>288</v>
      </c>
      <c r="G444" s="368"/>
      <c r="H444" s="368">
        <v>16</v>
      </c>
      <c r="I444" s="368">
        <v>241</v>
      </c>
      <c r="J444" s="368">
        <v>268</v>
      </c>
      <c r="K444" s="370">
        <v>509</v>
      </c>
      <c r="L444" s="29"/>
      <c r="M444" s="29"/>
      <c r="N444" s="29"/>
      <c r="O444" s="29"/>
      <c r="P444" s="29"/>
      <c r="Q444" s="29"/>
      <c r="R444" s="29"/>
      <c r="S444" s="29"/>
      <c r="T444" s="29"/>
      <c r="U444" s="29"/>
      <c r="V444" s="29"/>
      <c r="W444" s="29"/>
      <c r="X444" s="29"/>
      <c r="Y444" s="29"/>
      <c r="Z444" s="29"/>
    </row>
    <row r="445" spans="2:26" x14ac:dyDescent="0.25">
      <c r="B445" s="152" t="s">
        <v>445</v>
      </c>
      <c r="C445" s="368"/>
      <c r="D445" s="368">
        <v>50</v>
      </c>
      <c r="E445" s="368">
        <v>833</v>
      </c>
      <c r="F445" s="368">
        <v>1991</v>
      </c>
      <c r="G445" s="368"/>
      <c r="H445" s="368">
        <v>39</v>
      </c>
      <c r="I445" s="368">
        <v>1580</v>
      </c>
      <c r="J445" s="368">
        <v>1333</v>
      </c>
      <c r="K445" s="370">
        <v>2913</v>
      </c>
      <c r="L445" s="29"/>
      <c r="M445" s="29"/>
      <c r="N445" s="29"/>
      <c r="O445" s="29"/>
      <c r="P445" s="29"/>
      <c r="Q445" s="29"/>
      <c r="R445" s="29"/>
      <c r="S445" s="29"/>
      <c r="T445" s="29"/>
      <c r="U445" s="29"/>
      <c r="V445" s="29"/>
      <c r="W445" s="29"/>
      <c r="X445" s="29"/>
      <c r="Y445" s="29"/>
      <c r="Z445" s="29"/>
    </row>
    <row r="446" spans="2:26" x14ac:dyDescent="0.25">
      <c r="B446" s="152" t="s">
        <v>446</v>
      </c>
      <c r="C446" s="368"/>
      <c r="D446" s="368">
        <v>25</v>
      </c>
      <c r="E446" s="368">
        <v>141</v>
      </c>
      <c r="F446" s="368">
        <v>345</v>
      </c>
      <c r="G446" s="368"/>
      <c r="H446" s="368">
        <v>16</v>
      </c>
      <c r="I446" s="368">
        <v>251</v>
      </c>
      <c r="J446" s="368">
        <v>276</v>
      </c>
      <c r="K446" s="370">
        <v>527</v>
      </c>
      <c r="L446" s="29"/>
      <c r="M446" s="29"/>
      <c r="N446" s="29"/>
      <c r="O446" s="29"/>
      <c r="P446" s="29"/>
      <c r="Q446" s="29"/>
      <c r="R446" s="29"/>
      <c r="S446" s="29"/>
      <c r="T446" s="29"/>
      <c r="U446" s="29"/>
      <c r="V446" s="29"/>
      <c r="W446" s="29"/>
      <c r="X446" s="29"/>
      <c r="Y446" s="29"/>
      <c r="Z446" s="29"/>
    </row>
    <row r="447" spans="2:26" x14ac:dyDescent="0.25">
      <c r="B447" s="152" t="s">
        <v>447</v>
      </c>
      <c r="C447" s="368"/>
      <c r="D447" s="368">
        <v>3</v>
      </c>
      <c r="E447" s="368">
        <v>33</v>
      </c>
      <c r="F447" s="368">
        <v>77</v>
      </c>
      <c r="G447" s="368"/>
      <c r="H447" s="368">
        <v>2</v>
      </c>
      <c r="I447" s="368">
        <v>49</v>
      </c>
      <c r="J447" s="368">
        <v>66</v>
      </c>
      <c r="K447" s="370">
        <v>115</v>
      </c>
      <c r="L447" s="29"/>
      <c r="M447" s="29"/>
      <c r="N447" s="29"/>
      <c r="O447" s="29"/>
      <c r="P447" s="29"/>
      <c r="Q447" s="29"/>
      <c r="R447" s="29"/>
      <c r="S447" s="29"/>
      <c r="T447" s="29"/>
      <c r="U447" s="29"/>
      <c r="V447" s="29"/>
      <c r="W447" s="29"/>
      <c r="X447" s="29"/>
      <c r="Y447" s="29"/>
      <c r="Z447" s="29"/>
    </row>
    <row r="448" spans="2:26" x14ac:dyDescent="0.25">
      <c r="B448" s="152" t="s">
        <v>448</v>
      </c>
      <c r="C448" s="368"/>
      <c r="D448" s="368">
        <v>6</v>
      </c>
      <c r="E448" s="368">
        <v>108</v>
      </c>
      <c r="F448" s="368">
        <v>672</v>
      </c>
      <c r="G448" s="368"/>
      <c r="H448" s="368">
        <v>6</v>
      </c>
      <c r="I448" s="368">
        <v>547</v>
      </c>
      <c r="J448" s="368">
        <v>245</v>
      </c>
      <c r="K448" s="370">
        <v>792</v>
      </c>
      <c r="L448" s="29"/>
      <c r="M448" s="29"/>
      <c r="N448" s="29"/>
      <c r="O448" s="29"/>
      <c r="P448" s="29"/>
      <c r="Q448" s="29"/>
      <c r="R448" s="29"/>
      <c r="S448" s="29"/>
      <c r="T448" s="29"/>
      <c r="U448" s="29"/>
      <c r="V448" s="29"/>
      <c r="W448" s="29"/>
      <c r="X448" s="29"/>
      <c r="Y448" s="29"/>
      <c r="Z448" s="29"/>
    </row>
    <row r="449" spans="2:26" x14ac:dyDescent="0.25">
      <c r="B449" s="152" t="s">
        <v>515</v>
      </c>
      <c r="C449" s="368"/>
      <c r="D449" s="368">
        <v>32</v>
      </c>
      <c r="E449" s="368">
        <v>387</v>
      </c>
      <c r="F449" s="368">
        <v>1847</v>
      </c>
      <c r="G449" s="368"/>
      <c r="H449" s="368">
        <v>22</v>
      </c>
      <c r="I449" s="368">
        <v>1445</v>
      </c>
      <c r="J449" s="368">
        <v>843</v>
      </c>
      <c r="K449" s="370">
        <v>2288</v>
      </c>
      <c r="L449" s="29"/>
      <c r="M449" s="29"/>
      <c r="N449" s="29"/>
      <c r="O449" s="29"/>
      <c r="P449" s="29"/>
      <c r="Q449" s="29"/>
      <c r="R449" s="29"/>
      <c r="S449" s="29"/>
      <c r="T449" s="29"/>
      <c r="U449" s="29"/>
      <c r="V449" s="29"/>
      <c r="W449" s="29"/>
      <c r="X449" s="29"/>
      <c r="Y449" s="29"/>
      <c r="Z449" s="29"/>
    </row>
    <row r="450" spans="2:26" x14ac:dyDescent="0.25">
      <c r="B450" s="289" t="s">
        <v>36</v>
      </c>
      <c r="C450" s="359"/>
      <c r="D450" s="359">
        <v>2353</v>
      </c>
      <c r="E450" s="359">
        <v>13032</v>
      </c>
      <c r="F450" s="359">
        <v>36784</v>
      </c>
      <c r="G450" s="359"/>
      <c r="H450" s="359">
        <v>1050</v>
      </c>
      <c r="I450" s="359">
        <v>28381</v>
      </c>
      <c r="J450" s="334">
        <v>24838</v>
      </c>
      <c r="K450" s="334">
        <v>53219</v>
      </c>
      <c r="L450" s="29"/>
      <c r="M450" s="29"/>
      <c r="N450" s="29"/>
      <c r="O450" s="29"/>
      <c r="P450" s="29"/>
      <c r="Q450" s="29"/>
      <c r="R450" s="29"/>
      <c r="S450" s="29"/>
      <c r="T450" s="29"/>
      <c r="U450" s="29"/>
      <c r="V450" s="29"/>
      <c r="W450" s="29"/>
      <c r="X450" s="29"/>
      <c r="Y450" s="29"/>
      <c r="Z450" s="29"/>
    </row>
    <row r="451" spans="2:26" ht="27.75" customHeight="1" x14ac:dyDescent="0.25">
      <c r="B451" s="504" t="s">
        <v>898</v>
      </c>
      <c r="C451" s="504"/>
      <c r="D451" s="504"/>
      <c r="E451" s="504"/>
      <c r="F451" s="504"/>
      <c r="G451" s="504"/>
      <c r="H451" s="504"/>
      <c r="I451" s="504"/>
      <c r="J451" s="504"/>
      <c r="K451" s="504"/>
      <c r="L451" s="29"/>
      <c r="M451" s="29"/>
      <c r="N451" s="29"/>
      <c r="O451" s="29"/>
      <c r="P451" s="29"/>
      <c r="Q451" s="29"/>
      <c r="R451" s="29"/>
      <c r="S451" s="29"/>
      <c r="T451" s="29"/>
      <c r="U451" s="29"/>
      <c r="V451" s="29"/>
      <c r="W451" s="29"/>
      <c r="X451" s="29"/>
      <c r="Y451" s="29"/>
    </row>
    <row r="452" spans="2:26" x14ac:dyDescent="0.25">
      <c r="B452" s="176"/>
      <c r="C452" s="176"/>
      <c r="D452" s="176"/>
      <c r="E452" s="176"/>
      <c r="F452" s="176"/>
      <c r="G452" s="176"/>
      <c r="H452" s="176"/>
      <c r="I452"/>
      <c r="J452" s="29"/>
      <c r="K452" s="29"/>
      <c r="L452" s="29"/>
      <c r="M452" s="29"/>
      <c r="N452" s="29"/>
      <c r="O452" s="29"/>
      <c r="P452" s="29"/>
      <c r="Q452" s="29"/>
      <c r="R452" s="29"/>
      <c r="S452" s="29"/>
      <c r="T452" s="29"/>
      <c r="U452" s="29"/>
      <c r="V452" s="29"/>
      <c r="W452" s="29"/>
      <c r="X452" s="29"/>
      <c r="Y452" s="29"/>
    </row>
    <row r="453" spans="2:26" x14ac:dyDescent="0.25">
      <c r="B453" s="205" t="s">
        <v>534</v>
      </c>
      <c r="C453"/>
      <c r="D453"/>
      <c r="E453"/>
      <c r="F453"/>
      <c r="G453"/>
      <c r="H453"/>
      <c r="I453"/>
      <c r="J453" s="29"/>
      <c r="K453" s="29"/>
      <c r="L453" s="29"/>
      <c r="M453" s="29"/>
      <c r="N453" s="29"/>
      <c r="O453" s="29"/>
      <c r="P453" s="29"/>
      <c r="Q453" s="29"/>
      <c r="R453" s="29"/>
      <c r="S453" s="29"/>
      <c r="T453" s="29"/>
      <c r="U453" s="29"/>
      <c r="V453" s="29"/>
      <c r="W453" s="29"/>
      <c r="X453" s="29"/>
      <c r="Y453" s="29"/>
    </row>
    <row r="454" spans="2:26" x14ac:dyDescent="0.25">
      <c r="B454" s="205"/>
      <c r="C454"/>
      <c r="D454"/>
      <c r="E454"/>
      <c r="F454"/>
      <c r="G454"/>
      <c r="H454"/>
      <c r="I454"/>
      <c r="J454" s="29"/>
      <c r="K454" s="29"/>
      <c r="L454" s="29"/>
      <c r="M454" s="29"/>
      <c r="N454" s="29"/>
      <c r="O454" s="29"/>
      <c r="P454" s="29"/>
      <c r="Q454" s="29"/>
      <c r="R454" s="29"/>
      <c r="S454" s="29"/>
      <c r="T454" s="29"/>
      <c r="U454" s="29"/>
      <c r="V454" s="29"/>
      <c r="W454" s="29"/>
      <c r="X454" s="29"/>
      <c r="Y454" s="29"/>
    </row>
    <row r="455" spans="2:26" ht="15" customHeight="1" x14ac:dyDescent="0.25">
      <c r="B455" s="176"/>
      <c r="C455" s="488" t="s">
        <v>538</v>
      </c>
      <c r="D455" s="488"/>
      <c r="E455" s="488"/>
      <c r="F455" s="488"/>
      <c r="G455" s="488"/>
      <c r="H455" s="488"/>
      <c r="I455" s="484" t="s">
        <v>539</v>
      </c>
      <c r="J455" s="484"/>
      <c r="K455" s="492" t="s">
        <v>36</v>
      </c>
      <c r="L455" s="29"/>
      <c r="M455" s="29"/>
      <c r="N455" s="29"/>
      <c r="O455" s="29"/>
      <c r="P455" s="29"/>
      <c r="Q455" s="29"/>
      <c r="R455" s="29"/>
      <c r="S455" s="29"/>
      <c r="T455" s="29"/>
      <c r="U455" s="29"/>
      <c r="V455" s="29"/>
      <c r="W455" s="29"/>
      <c r="X455" s="29"/>
      <c r="Y455" s="29"/>
    </row>
    <row r="456" spans="2:26" ht="30" x14ac:dyDescent="0.25">
      <c r="B456" s="178" t="s">
        <v>548</v>
      </c>
      <c r="C456" s="179" t="s">
        <v>3</v>
      </c>
      <c r="D456" s="179" t="s">
        <v>4</v>
      </c>
      <c r="E456" s="179" t="s">
        <v>714</v>
      </c>
      <c r="F456" s="179" t="s">
        <v>501</v>
      </c>
      <c r="G456" s="179" t="s">
        <v>5</v>
      </c>
      <c r="H456" s="179" t="s">
        <v>6</v>
      </c>
      <c r="I456" s="179" t="s">
        <v>87</v>
      </c>
      <c r="J456" s="179" t="s">
        <v>88</v>
      </c>
      <c r="K456" s="492"/>
      <c r="L456" s="29"/>
      <c r="M456" s="29"/>
      <c r="N456" s="29"/>
      <c r="O456" s="29"/>
      <c r="P456" s="29"/>
      <c r="Q456" s="29"/>
      <c r="R456" s="29"/>
      <c r="S456" s="29"/>
      <c r="T456" s="29"/>
      <c r="U456" s="29"/>
      <c r="V456" s="29"/>
      <c r="W456" s="29"/>
      <c r="X456" s="29"/>
      <c r="Y456" s="29"/>
    </row>
    <row r="457" spans="2:26" x14ac:dyDescent="0.25">
      <c r="B457" s="175" t="s">
        <v>450</v>
      </c>
      <c r="C457" s="379"/>
      <c r="D457" s="379">
        <v>4</v>
      </c>
      <c r="E457" s="379">
        <v>11</v>
      </c>
      <c r="F457" s="379">
        <v>18</v>
      </c>
      <c r="G457" s="379"/>
      <c r="H457" s="379">
        <v>3</v>
      </c>
      <c r="I457" s="379">
        <v>18</v>
      </c>
      <c r="J457" s="379">
        <v>18</v>
      </c>
      <c r="K457" s="369">
        <v>36</v>
      </c>
      <c r="L457" s="29"/>
      <c r="M457" s="29"/>
      <c r="N457" s="29"/>
      <c r="O457" s="29"/>
      <c r="P457" s="29"/>
      <c r="Q457" s="29"/>
      <c r="R457" s="29"/>
      <c r="S457" s="29"/>
      <c r="T457" s="29"/>
      <c r="U457" s="29"/>
      <c r="V457" s="29"/>
      <c r="W457" s="29"/>
      <c r="X457" s="29"/>
      <c r="Y457" s="29"/>
      <c r="Z457" s="29"/>
    </row>
    <row r="458" spans="2:26" x14ac:dyDescent="0.25">
      <c r="B458" s="152" t="s">
        <v>451</v>
      </c>
      <c r="C458" s="368"/>
      <c r="D458" s="368">
        <v>12</v>
      </c>
      <c r="E458" s="368">
        <v>46</v>
      </c>
      <c r="F458" s="368">
        <v>68</v>
      </c>
      <c r="G458" s="368"/>
      <c r="H458" s="368">
        <v>11</v>
      </c>
      <c r="I458" s="368">
        <v>77</v>
      </c>
      <c r="J458" s="368">
        <v>60</v>
      </c>
      <c r="K458" s="370">
        <v>137</v>
      </c>
      <c r="L458" s="29"/>
      <c r="M458" s="29"/>
      <c r="N458" s="29"/>
      <c r="O458" s="29"/>
      <c r="P458" s="29"/>
      <c r="Q458" s="29"/>
      <c r="R458" s="29"/>
      <c r="S458" s="29"/>
      <c r="T458" s="29"/>
      <c r="U458" s="29"/>
      <c r="V458" s="29"/>
      <c r="W458" s="29"/>
      <c r="X458" s="29"/>
      <c r="Y458" s="29"/>
      <c r="Z458" s="29"/>
    </row>
    <row r="459" spans="2:26" x14ac:dyDescent="0.25">
      <c r="B459" s="152" t="s">
        <v>452</v>
      </c>
      <c r="C459" s="368"/>
      <c r="D459" s="368">
        <v>24</v>
      </c>
      <c r="E459" s="368">
        <v>112</v>
      </c>
      <c r="F459" s="368">
        <v>178</v>
      </c>
      <c r="G459" s="368"/>
      <c r="H459" s="368">
        <v>15</v>
      </c>
      <c r="I459" s="368">
        <v>161</v>
      </c>
      <c r="J459" s="368">
        <v>168</v>
      </c>
      <c r="K459" s="370">
        <v>329</v>
      </c>
      <c r="L459" s="29"/>
      <c r="M459" s="29"/>
      <c r="N459" s="29"/>
      <c r="O459" s="29"/>
      <c r="P459" s="29"/>
      <c r="Q459" s="29"/>
      <c r="R459" s="29"/>
      <c r="S459" s="29"/>
      <c r="T459" s="29"/>
      <c r="U459" s="29"/>
      <c r="V459" s="29"/>
      <c r="W459" s="29"/>
      <c r="X459" s="29"/>
      <c r="Y459" s="29"/>
      <c r="Z459" s="29"/>
    </row>
    <row r="460" spans="2:26" x14ac:dyDescent="0.25">
      <c r="B460" s="152" t="s">
        <v>453</v>
      </c>
      <c r="C460" s="368"/>
      <c r="D460" s="368">
        <v>16</v>
      </c>
      <c r="E460" s="368">
        <v>29</v>
      </c>
      <c r="F460" s="368">
        <v>45</v>
      </c>
      <c r="G460" s="368"/>
      <c r="H460" s="368">
        <v>2</v>
      </c>
      <c r="I460" s="368">
        <v>42</v>
      </c>
      <c r="J460" s="368">
        <v>50</v>
      </c>
      <c r="K460" s="370">
        <v>92</v>
      </c>
      <c r="L460" s="29"/>
      <c r="M460" s="29"/>
      <c r="N460" s="29"/>
      <c r="O460" s="29"/>
      <c r="P460" s="29"/>
      <c r="Q460" s="29"/>
      <c r="R460" s="29"/>
      <c r="S460" s="29"/>
      <c r="T460" s="29"/>
      <c r="U460" s="29"/>
      <c r="V460" s="29"/>
      <c r="W460" s="29"/>
      <c r="X460" s="29"/>
      <c r="Y460" s="29"/>
      <c r="Z460" s="29"/>
    </row>
    <row r="461" spans="2:26" x14ac:dyDescent="0.25">
      <c r="B461" s="152" t="s">
        <v>454</v>
      </c>
      <c r="C461" s="368"/>
      <c r="D461" s="368">
        <v>12</v>
      </c>
      <c r="E461" s="368">
        <v>51</v>
      </c>
      <c r="F461" s="368">
        <v>65</v>
      </c>
      <c r="G461" s="368"/>
      <c r="H461" s="368">
        <v>4</v>
      </c>
      <c r="I461" s="368">
        <v>67</v>
      </c>
      <c r="J461" s="368">
        <v>65</v>
      </c>
      <c r="K461" s="370">
        <v>132</v>
      </c>
      <c r="L461" s="29"/>
      <c r="M461" s="29"/>
      <c r="N461" s="29"/>
      <c r="O461" s="29"/>
      <c r="P461" s="29"/>
      <c r="Q461" s="29"/>
      <c r="R461" s="29"/>
      <c r="S461" s="29"/>
      <c r="T461" s="29"/>
      <c r="U461" s="29"/>
      <c r="V461" s="29"/>
      <c r="W461" s="29"/>
      <c r="X461" s="29"/>
      <c r="Y461" s="29"/>
      <c r="Z461" s="29"/>
    </row>
    <row r="462" spans="2:26" x14ac:dyDescent="0.25">
      <c r="B462" s="152" t="s">
        <v>455</v>
      </c>
      <c r="C462" s="368"/>
      <c r="D462" s="368">
        <v>20</v>
      </c>
      <c r="E462" s="368">
        <v>53</v>
      </c>
      <c r="F462" s="368">
        <v>85</v>
      </c>
      <c r="G462" s="368"/>
      <c r="H462" s="368">
        <v>3</v>
      </c>
      <c r="I462" s="368">
        <v>79</v>
      </c>
      <c r="J462" s="368">
        <v>82</v>
      </c>
      <c r="K462" s="370">
        <v>161</v>
      </c>
      <c r="L462" s="29"/>
      <c r="M462" s="29"/>
      <c r="N462" s="29"/>
      <c r="O462" s="29"/>
      <c r="P462" s="29"/>
      <c r="Q462" s="29"/>
      <c r="R462" s="29"/>
      <c r="S462" s="29"/>
      <c r="T462" s="29"/>
      <c r="U462" s="29"/>
      <c r="V462" s="29"/>
      <c r="W462" s="29"/>
      <c r="X462" s="29"/>
      <c r="Y462" s="29"/>
      <c r="Z462" s="29"/>
    </row>
    <row r="463" spans="2:26" x14ac:dyDescent="0.25">
      <c r="B463" s="152" t="s">
        <v>456</v>
      </c>
      <c r="C463" s="368"/>
      <c r="D463" s="368">
        <v>4</v>
      </c>
      <c r="E463" s="368">
        <v>12</v>
      </c>
      <c r="F463" s="368">
        <v>29</v>
      </c>
      <c r="G463" s="368"/>
      <c r="H463" s="368">
        <v>1</v>
      </c>
      <c r="I463" s="368">
        <v>24</v>
      </c>
      <c r="J463" s="368">
        <v>22</v>
      </c>
      <c r="K463" s="370">
        <v>46</v>
      </c>
      <c r="L463" s="29"/>
      <c r="M463" s="29"/>
      <c r="N463" s="29"/>
      <c r="O463" s="29"/>
      <c r="P463" s="29"/>
      <c r="Q463" s="29"/>
      <c r="R463" s="29"/>
      <c r="S463" s="29"/>
      <c r="T463" s="29"/>
      <c r="U463" s="29"/>
      <c r="V463" s="29"/>
      <c r="W463" s="29"/>
      <c r="X463" s="29"/>
      <c r="Y463" s="29"/>
      <c r="Z463" s="29"/>
    </row>
    <row r="464" spans="2:26" x14ac:dyDescent="0.25">
      <c r="B464" s="152" t="s">
        <v>457</v>
      </c>
      <c r="C464" s="368"/>
      <c r="D464" s="368">
        <v>19</v>
      </c>
      <c r="E464" s="368">
        <v>35</v>
      </c>
      <c r="F464" s="368">
        <v>77</v>
      </c>
      <c r="G464" s="368"/>
      <c r="H464" s="368">
        <v>9</v>
      </c>
      <c r="I464" s="368">
        <v>77</v>
      </c>
      <c r="J464" s="368">
        <v>63</v>
      </c>
      <c r="K464" s="370">
        <v>140</v>
      </c>
      <c r="L464" s="29"/>
      <c r="M464" s="29"/>
      <c r="N464" s="29"/>
      <c r="O464" s="29"/>
      <c r="P464" s="29"/>
      <c r="Q464" s="29"/>
      <c r="R464" s="29"/>
      <c r="S464" s="29"/>
      <c r="T464" s="29"/>
      <c r="U464" s="29"/>
      <c r="V464" s="29"/>
      <c r="W464" s="29"/>
      <c r="X464" s="29"/>
      <c r="Y464" s="29"/>
      <c r="Z464" s="29"/>
    </row>
    <row r="465" spans="2:26" x14ac:dyDescent="0.25">
      <c r="B465" s="152" t="s">
        <v>458</v>
      </c>
      <c r="C465" s="368"/>
      <c r="D465" s="368">
        <v>26</v>
      </c>
      <c r="E465" s="368">
        <v>93</v>
      </c>
      <c r="F465" s="368">
        <v>137</v>
      </c>
      <c r="G465" s="368"/>
      <c r="H465" s="368">
        <v>12</v>
      </c>
      <c r="I465" s="368">
        <v>154</v>
      </c>
      <c r="J465" s="368">
        <v>114</v>
      </c>
      <c r="K465" s="370">
        <v>268</v>
      </c>
      <c r="L465" s="29"/>
      <c r="M465" s="29"/>
      <c r="N465" s="29"/>
      <c r="O465" s="29"/>
      <c r="P465" s="29"/>
      <c r="Q465" s="29"/>
      <c r="R465" s="29"/>
      <c r="S465" s="29"/>
      <c r="T465" s="29"/>
      <c r="U465" s="29"/>
      <c r="V465" s="29"/>
      <c r="W465" s="29"/>
      <c r="X465" s="29"/>
      <c r="Y465" s="29"/>
      <c r="Z465" s="29"/>
    </row>
    <row r="466" spans="2:26" x14ac:dyDescent="0.25">
      <c r="B466" s="152" t="s">
        <v>459</v>
      </c>
      <c r="C466" s="368"/>
      <c r="D466" s="368">
        <v>26</v>
      </c>
      <c r="E466" s="368">
        <v>81</v>
      </c>
      <c r="F466" s="368">
        <v>139</v>
      </c>
      <c r="G466" s="368"/>
      <c r="H466" s="368">
        <v>13</v>
      </c>
      <c r="I466" s="368">
        <v>129</v>
      </c>
      <c r="J466" s="368">
        <v>130</v>
      </c>
      <c r="K466" s="370">
        <v>259</v>
      </c>
      <c r="L466" s="29"/>
      <c r="M466" s="29"/>
      <c r="N466" s="29"/>
      <c r="O466" s="29"/>
      <c r="P466" s="29"/>
      <c r="Q466" s="29"/>
      <c r="R466" s="29"/>
      <c r="S466" s="29"/>
      <c r="T466" s="29"/>
      <c r="U466" s="29"/>
      <c r="V466" s="29"/>
      <c r="W466" s="29"/>
      <c r="X466" s="29"/>
      <c r="Y466" s="29"/>
      <c r="Z466" s="29"/>
    </row>
    <row r="467" spans="2:26" x14ac:dyDescent="0.25">
      <c r="B467" s="152" t="s">
        <v>519</v>
      </c>
      <c r="C467" s="368"/>
      <c r="D467" s="368">
        <v>9</v>
      </c>
      <c r="E467" s="368">
        <v>51</v>
      </c>
      <c r="F467" s="368">
        <v>96</v>
      </c>
      <c r="G467" s="368"/>
      <c r="H467" s="368">
        <v>7</v>
      </c>
      <c r="I467" s="368">
        <v>84</v>
      </c>
      <c r="J467" s="368">
        <v>79</v>
      </c>
      <c r="K467" s="370">
        <v>163</v>
      </c>
      <c r="L467" s="29"/>
      <c r="M467" s="29"/>
      <c r="N467" s="29"/>
      <c r="O467" s="29"/>
      <c r="P467" s="29"/>
      <c r="Q467" s="29"/>
      <c r="R467" s="29"/>
      <c r="S467" s="29"/>
      <c r="T467" s="29"/>
      <c r="U467" s="29"/>
      <c r="V467" s="29"/>
      <c r="W467" s="29"/>
      <c r="X467" s="29"/>
      <c r="Y467" s="29"/>
      <c r="Z467" s="29"/>
    </row>
    <row r="468" spans="2:26" x14ac:dyDescent="0.25">
      <c r="B468" s="152" t="s">
        <v>461</v>
      </c>
      <c r="C468" s="368"/>
      <c r="D468" s="368">
        <v>76</v>
      </c>
      <c r="E468" s="368">
        <v>314</v>
      </c>
      <c r="F468" s="368">
        <v>865</v>
      </c>
      <c r="G468" s="368"/>
      <c r="H468" s="368">
        <v>63</v>
      </c>
      <c r="I468" s="368">
        <v>762</v>
      </c>
      <c r="J468" s="368">
        <v>556</v>
      </c>
      <c r="K468" s="370">
        <v>1318</v>
      </c>
      <c r="L468" s="29"/>
      <c r="M468" s="29"/>
      <c r="N468" s="29"/>
      <c r="O468" s="29"/>
      <c r="P468" s="29"/>
      <c r="Q468" s="29"/>
      <c r="R468" s="29"/>
      <c r="S468" s="29"/>
      <c r="T468" s="29"/>
      <c r="U468" s="29"/>
      <c r="V468" s="29"/>
      <c r="W468" s="29"/>
      <c r="X468" s="29"/>
      <c r="Y468" s="29"/>
      <c r="Z468" s="29"/>
    </row>
    <row r="469" spans="2:26" x14ac:dyDescent="0.25">
      <c r="B469" s="289" t="s">
        <v>36</v>
      </c>
      <c r="C469" s="359"/>
      <c r="D469" s="359">
        <v>248</v>
      </c>
      <c r="E469" s="359">
        <v>888</v>
      </c>
      <c r="F469" s="359">
        <v>1802</v>
      </c>
      <c r="G469" s="359"/>
      <c r="H469" s="359">
        <v>143</v>
      </c>
      <c r="I469" s="359">
        <v>1674</v>
      </c>
      <c r="J469" s="334">
        <v>1407</v>
      </c>
      <c r="K469" s="334">
        <v>3081</v>
      </c>
      <c r="L469" s="29"/>
      <c r="M469" s="29"/>
      <c r="N469" s="29"/>
      <c r="O469" s="29"/>
      <c r="P469" s="29"/>
      <c r="Q469" s="29"/>
      <c r="R469" s="29"/>
      <c r="S469" s="29"/>
      <c r="T469" s="29"/>
      <c r="U469" s="29"/>
      <c r="V469" s="29"/>
      <c r="W469" s="29"/>
      <c r="X469" s="29"/>
      <c r="Y469" s="29"/>
      <c r="Z469" s="29"/>
    </row>
    <row r="470" spans="2:26" ht="28.5" customHeight="1" x14ac:dyDescent="0.25">
      <c r="B470" s="504" t="s">
        <v>898</v>
      </c>
      <c r="C470" s="504"/>
      <c r="D470" s="504"/>
      <c r="E470" s="504"/>
      <c r="F470" s="504"/>
      <c r="G470" s="504"/>
      <c r="H470" s="504"/>
      <c r="I470" s="504"/>
      <c r="J470" s="504"/>
      <c r="K470" s="504"/>
      <c r="L470" s="29"/>
      <c r="M470" s="29"/>
      <c r="N470" s="29"/>
      <c r="O470" s="29"/>
      <c r="P470" s="29"/>
      <c r="Q470" s="29"/>
      <c r="R470" s="29"/>
      <c r="S470" s="29"/>
      <c r="T470" s="29"/>
      <c r="U470" s="29"/>
      <c r="V470" s="29"/>
      <c r="W470" s="29"/>
      <c r="X470" s="29"/>
      <c r="Y470" s="29"/>
    </row>
    <row r="471" spans="2:26" x14ac:dyDescent="0.25">
      <c r="B471" s="176"/>
      <c r="C471" s="176"/>
      <c r="D471" s="176"/>
      <c r="E471" s="176"/>
      <c r="F471" s="176"/>
      <c r="G471" s="176"/>
      <c r="H471" s="176"/>
      <c r="I471"/>
      <c r="J471" s="29"/>
      <c r="K471" s="29"/>
      <c r="L471" s="29"/>
      <c r="M471" s="29"/>
      <c r="N471" s="29"/>
      <c r="O471" s="29"/>
      <c r="P471" s="29"/>
      <c r="Q471" s="29"/>
      <c r="R471" s="29"/>
      <c r="S471" s="29"/>
      <c r="T471" s="29"/>
      <c r="U471" s="29"/>
      <c r="V471" s="29"/>
      <c r="W471" s="29"/>
      <c r="X471" s="29"/>
      <c r="Y471" s="29"/>
    </row>
    <row r="472" spans="2:26" x14ac:dyDescent="0.25">
      <c r="B472" s="205" t="s">
        <v>535</v>
      </c>
      <c r="C472"/>
      <c r="D472"/>
      <c r="E472"/>
      <c r="F472"/>
      <c r="G472"/>
      <c r="H472"/>
      <c r="I472"/>
      <c r="J472" s="29"/>
      <c r="K472" s="29"/>
      <c r="L472" s="29"/>
      <c r="M472" s="29"/>
      <c r="N472" s="29"/>
      <c r="O472" s="29"/>
      <c r="P472" s="29"/>
      <c r="Q472" s="29"/>
      <c r="R472" s="29"/>
      <c r="S472" s="29"/>
      <c r="T472" s="29"/>
      <c r="U472" s="29"/>
      <c r="V472" s="29"/>
      <c r="W472" s="29"/>
      <c r="X472" s="29"/>
      <c r="Y472" s="29"/>
    </row>
    <row r="473" spans="2:26" x14ac:dyDescent="0.25">
      <c r="B473" s="205"/>
      <c r="C473"/>
      <c r="D473"/>
      <c r="E473"/>
      <c r="F473"/>
      <c r="G473"/>
      <c r="H473"/>
      <c r="I473"/>
      <c r="J473" s="29"/>
      <c r="K473" s="29"/>
      <c r="L473" s="29"/>
      <c r="M473" s="29"/>
      <c r="N473" s="29"/>
      <c r="O473" s="29"/>
      <c r="P473" s="29"/>
      <c r="Q473" s="29"/>
      <c r="R473" s="29"/>
      <c r="S473" s="29"/>
      <c r="T473" s="29"/>
      <c r="U473" s="29"/>
      <c r="V473" s="29"/>
      <c r="W473" s="29"/>
      <c r="X473" s="29"/>
      <c r="Y473" s="29"/>
    </row>
    <row r="474" spans="2:26" ht="15" customHeight="1" x14ac:dyDescent="0.25">
      <c r="B474" s="176"/>
      <c r="C474" s="488" t="s">
        <v>538</v>
      </c>
      <c r="D474" s="488"/>
      <c r="E474" s="488"/>
      <c r="F474" s="488"/>
      <c r="G474" s="488"/>
      <c r="H474" s="488"/>
      <c r="I474" s="484" t="s">
        <v>539</v>
      </c>
      <c r="J474" s="484"/>
      <c r="K474" s="505" t="s">
        <v>36</v>
      </c>
      <c r="L474" s="29"/>
      <c r="M474" s="29"/>
      <c r="N474" s="29"/>
      <c r="O474" s="29"/>
      <c r="P474" s="29"/>
      <c r="Q474" s="29"/>
      <c r="R474" s="29"/>
      <c r="S474" s="29"/>
      <c r="T474" s="29"/>
      <c r="U474" s="29"/>
      <c r="V474" s="29"/>
      <c r="W474" s="29"/>
      <c r="X474" s="29"/>
      <c r="Y474" s="29"/>
    </row>
    <row r="475" spans="2:26" ht="30" x14ac:dyDescent="0.25">
      <c r="B475" s="178" t="s">
        <v>548</v>
      </c>
      <c r="C475" s="179" t="s">
        <v>3</v>
      </c>
      <c r="D475" s="179" t="s">
        <v>4</v>
      </c>
      <c r="E475" s="179" t="s">
        <v>714</v>
      </c>
      <c r="F475" s="179" t="s">
        <v>501</v>
      </c>
      <c r="G475" s="179" t="s">
        <v>5</v>
      </c>
      <c r="H475" s="179" t="s">
        <v>6</v>
      </c>
      <c r="I475" s="179" t="s">
        <v>87</v>
      </c>
      <c r="J475" s="179" t="s">
        <v>88</v>
      </c>
      <c r="K475" s="505"/>
      <c r="L475" s="29"/>
      <c r="M475" s="29"/>
      <c r="N475" s="29"/>
      <c r="O475" s="29"/>
      <c r="P475" s="29"/>
      <c r="Q475" s="29"/>
      <c r="R475" s="29"/>
      <c r="S475" s="29"/>
      <c r="T475" s="29"/>
      <c r="U475" s="29"/>
      <c r="V475" s="29"/>
      <c r="W475" s="29"/>
      <c r="X475" s="29"/>
      <c r="Y475" s="29"/>
    </row>
    <row r="476" spans="2:26" x14ac:dyDescent="0.25">
      <c r="B476" s="175" t="s">
        <v>462</v>
      </c>
      <c r="C476" s="379"/>
      <c r="D476" s="379">
        <v>98</v>
      </c>
      <c r="E476" s="379">
        <v>445</v>
      </c>
      <c r="F476" s="379">
        <v>1094</v>
      </c>
      <c r="G476" s="379"/>
      <c r="H476" s="379">
        <v>53</v>
      </c>
      <c r="I476" s="379">
        <v>901</v>
      </c>
      <c r="J476" s="379">
        <v>789</v>
      </c>
      <c r="K476" s="369">
        <v>1690</v>
      </c>
      <c r="L476" s="29"/>
      <c r="M476" s="29"/>
      <c r="N476" s="29"/>
      <c r="O476" s="29"/>
      <c r="P476" s="29"/>
      <c r="Q476" s="29"/>
      <c r="R476" s="29"/>
      <c r="S476" s="29"/>
      <c r="T476" s="29"/>
      <c r="U476" s="29"/>
      <c r="V476" s="29"/>
      <c r="W476" s="29"/>
      <c r="X476" s="29"/>
      <c r="Y476" s="29"/>
      <c r="Z476" s="29"/>
    </row>
    <row r="477" spans="2:26" x14ac:dyDescent="0.25">
      <c r="B477" s="152" t="s">
        <v>463</v>
      </c>
      <c r="C477" s="368"/>
      <c r="D477" s="380">
        <v>0</v>
      </c>
      <c r="E477" s="380">
        <v>0</v>
      </c>
      <c r="F477" s="380">
        <v>1</v>
      </c>
      <c r="G477" s="380"/>
      <c r="H477" s="380">
        <v>0</v>
      </c>
      <c r="I477" s="380">
        <v>0</v>
      </c>
      <c r="J477" s="380">
        <v>1</v>
      </c>
      <c r="K477" s="381">
        <v>1</v>
      </c>
      <c r="L477" s="29"/>
      <c r="M477" s="29"/>
      <c r="N477" s="29"/>
      <c r="O477" s="29"/>
      <c r="P477" s="29"/>
      <c r="Q477" s="29"/>
      <c r="R477" s="29"/>
      <c r="S477" s="29"/>
      <c r="T477" s="29"/>
      <c r="U477" s="29"/>
      <c r="V477" s="29"/>
      <c r="W477" s="29"/>
      <c r="X477" s="29"/>
      <c r="Y477" s="29"/>
      <c r="Z477" s="29"/>
    </row>
    <row r="478" spans="2:26" x14ac:dyDescent="0.25">
      <c r="B478" s="152" t="s">
        <v>465</v>
      </c>
      <c r="C478" s="383"/>
      <c r="D478" s="384">
        <v>0</v>
      </c>
      <c r="E478" s="384">
        <v>5</v>
      </c>
      <c r="F478" s="384">
        <v>8</v>
      </c>
      <c r="G478" s="384"/>
      <c r="H478" s="384">
        <v>0</v>
      </c>
      <c r="I478" s="384">
        <v>8</v>
      </c>
      <c r="J478" s="384">
        <v>5</v>
      </c>
      <c r="K478" s="334">
        <v>13</v>
      </c>
      <c r="L478" s="29"/>
      <c r="M478" s="29"/>
      <c r="N478" s="29"/>
      <c r="O478" s="29"/>
      <c r="P478" s="29"/>
      <c r="Q478" s="29"/>
      <c r="R478" s="29"/>
      <c r="S478" s="29"/>
      <c r="T478" s="29"/>
      <c r="U478" s="29"/>
      <c r="V478" s="29"/>
      <c r="W478" s="29"/>
      <c r="X478" s="29"/>
      <c r="Y478" s="29"/>
      <c r="Z478" s="29"/>
    </row>
    <row r="479" spans="2:26" x14ac:dyDescent="0.25">
      <c r="B479" s="289" t="s">
        <v>36</v>
      </c>
      <c r="C479" s="359"/>
      <c r="D479" s="359">
        <v>98</v>
      </c>
      <c r="E479" s="359">
        <v>450</v>
      </c>
      <c r="F479" s="359">
        <v>1103</v>
      </c>
      <c r="G479" s="359"/>
      <c r="H479" s="359">
        <v>53</v>
      </c>
      <c r="I479" s="359">
        <v>909</v>
      </c>
      <c r="J479" s="334">
        <v>795</v>
      </c>
      <c r="K479" s="334">
        <v>1704</v>
      </c>
      <c r="L479" s="29"/>
      <c r="M479" s="29"/>
      <c r="N479" s="29"/>
      <c r="O479" s="29"/>
      <c r="P479" s="29"/>
      <c r="Q479" s="29"/>
      <c r="R479" s="29"/>
      <c r="S479" s="29"/>
      <c r="T479" s="29"/>
      <c r="U479" s="29"/>
      <c r="V479" s="29"/>
      <c r="W479" s="29"/>
      <c r="X479" s="29"/>
      <c r="Y479" s="29"/>
      <c r="Z479" s="29"/>
    </row>
    <row r="480" spans="2:26" ht="29.25" customHeight="1" x14ac:dyDescent="0.25">
      <c r="B480" s="504" t="s">
        <v>898</v>
      </c>
      <c r="C480" s="504"/>
      <c r="D480" s="504"/>
      <c r="E480" s="504"/>
      <c r="F480" s="504"/>
      <c r="G480" s="504"/>
      <c r="H480" s="504"/>
      <c r="I480" s="504"/>
      <c r="J480" s="504"/>
      <c r="K480" s="504"/>
      <c r="L480" s="29"/>
      <c r="M480" s="29"/>
      <c r="N480" s="29"/>
      <c r="O480" s="29"/>
      <c r="P480" s="29"/>
      <c r="Q480" s="29"/>
      <c r="R480" s="29"/>
      <c r="S480" s="29"/>
      <c r="T480" s="29"/>
      <c r="U480" s="29"/>
      <c r="V480" s="29"/>
      <c r="W480" s="29"/>
      <c r="X480" s="29"/>
      <c r="Y480" s="29"/>
    </row>
    <row r="481" spans="2:26" x14ac:dyDescent="0.25">
      <c r="B481" s="176"/>
      <c r="C481" s="176"/>
      <c r="D481" s="176"/>
      <c r="E481" s="176"/>
      <c r="F481" s="176"/>
      <c r="G481" s="176"/>
      <c r="H481" s="176"/>
      <c r="I481"/>
      <c r="J481" s="29"/>
      <c r="K481" s="29"/>
      <c r="L481" s="29"/>
      <c r="M481" s="29"/>
      <c r="N481" s="29"/>
      <c r="O481" s="29"/>
      <c r="P481" s="29"/>
      <c r="Q481" s="29"/>
      <c r="R481" s="29"/>
      <c r="S481" s="29"/>
      <c r="T481" s="29"/>
      <c r="U481" s="29"/>
      <c r="V481" s="29"/>
      <c r="W481" s="29"/>
      <c r="X481" s="29"/>
      <c r="Y481" s="29"/>
    </row>
    <row r="482" spans="2:26" x14ac:dyDescent="0.25">
      <c r="B482" s="205" t="s">
        <v>536</v>
      </c>
      <c r="C482"/>
      <c r="D482"/>
      <c r="E482"/>
      <c r="F482"/>
      <c r="G482"/>
      <c r="H482"/>
      <c r="I482"/>
      <c r="J482" s="29"/>
      <c r="K482" s="29"/>
      <c r="L482" s="29"/>
      <c r="M482" s="29"/>
      <c r="N482" s="29"/>
      <c r="O482" s="29"/>
      <c r="P482" s="29"/>
      <c r="Q482" s="29"/>
      <c r="R482" s="29"/>
      <c r="S482" s="29"/>
      <c r="T482" s="29"/>
      <c r="U482" s="29"/>
      <c r="V482" s="29"/>
      <c r="W482" s="29"/>
      <c r="X482" s="29"/>
      <c r="Y482" s="29"/>
    </row>
    <row r="483" spans="2:26" x14ac:dyDescent="0.25">
      <c r="B483" s="205"/>
      <c r="C483"/>
      <c r="D483"/>
      <c r="E483"/>
      <c r="F483"/>
      <c r="G483"/>
      <c r="H483"/>
      <c r="I483"/>
      <c r="J483" s="29"/>
      <c r="K483" s="29"/>
      <c r="L483" s="29"/>
      <c r="M483" s="29"/>
      <c r="N483" s="29"/>
      <c r="O483" s="29"/>
      <c r="P483" s="29"/>
      <c r="Q483" s="29"/>
      <c r="R483" s="29"/>
      <c r="S483" s="29"/>
      <c r="T483" s="29"/>
      <c r="U483" s="29"/>
      <c r="V483" s="29"/>
      <c r="W483" s="29"/>
      <c r="X483" s="29"/>
      <c r="Y483" s="29"/>
    </row>
    <row r="484" spans="2:26" ht="15" customHeight="1" x14ac:dyDescent="0.25">
      <c r="B484" s="176"/>
      <c r="C484" s="488" t="s">
        <v>538</v>
      </c>
      <c r="D484" s="488"/>
      <c r="E484" s="488"/>
      <c r="F484" s="488"/>
      <c r="G484" s="488"/>
      <c r="H484" s="488"/>
      <c r="I484" s="484" t="s">
        <v>539</v>
      </c>
      <c r="J484" s="484"/>
      <c r="K484" s="492" t="s">
        <v>36</v>
      </c>
      <c r="L484" s="29"/>
      <c r="M484" s="29"/>
      <c r="N484" s="29"/>
      <c r="O484" s="29"/>
      <c r="P484" s="29"/>
      <c r="Q484" s="29"/>
      <c r="R484" s="29"/>
      <c r="S484" s="29"/>
      <c r="T484" s="29"/>
      <c r="U484" s="29"/>
      <c r="V484" s="29"/>
      <c r="W484" s="29"/>
      <c r="X484" s="29"/>
      <c r="Y484" s="29"/>
    </row>
    <row r="485" spans="2:26" ht="30" x14ac:dyDescent="0.25">
      <c r="B485" s="178" t="s">
        <v>548</v>
      </c>
      <c r="C485" s="179" t="s">
        <v>3</v>
      </c>
      <c r="D485" s="179" t="s">
        <v>4</v>
      </c>
      <c r="E485" s="179" t="s">
        <v>714</v>
      </c>
      <c r="F485" s="179" t="s">
        <v>501</v>
      </c>
      <c r="G485" s="179" t="s">
        <v>5</v>
      </c>
      <c r="H485" s="179" t="s">
        <v>6</v>
      </c>
      <c r="I485" s="179" t="s">
        <v>87</v>
      </c>
      <c r="J485" s="179" t="s">
        <v>88</v>
      </c>
      <c r="K485" s="492"/>
      <c r="L485" s="29"/>
      <c r="M485" s="29"/>
      <c r="N485" s="29"/>
      <c r="O485" s="29"/>
      <c r="P485" s="29"/>
      <c r="Q485" s="29"/>
      <c r="R485" s="29"/>
      <c r="S485" s="29"/>
      <c r="T485" s="29"/>
      <c r="U485" s="29"/>
      <c r="V485" s="29"/>
      <c r="W485" s="29"/>
      <c r="X485" s="29"/>
      <c r="Y485" s="29"/>
    </row>
    <row r="486" spans="2:26" x14ac:dyDescent="0.25">
      <c r="B486" s="175" t="s">
        <v>466</v>
      </c>
      <c r="C486" s="379"/>
      <c r="D486" s="379">
        <v>25</v>
      </c>
      <c r="E486" s="379">
        <v>68</v>
      </c>
      <c r="F486" s="379">
        <v>116</v>
      </c>
      <c r="G486" s="379"/>
      <c r="H486" s="379">
        <v>19</v>
      </c>
      <c r="I486" s="379">
        <v>123</v>
      </c>
      <c r="J486" s="379">
        <v>105</v>
      </c>
      <c r="K486" s="369">
        <v>228</v>
      </c>
      <c r="L486" s="29"/>
      <c r="M486" s="29"/>
      <c r="N486" s="29"/>
      <c r="O486" s="29"/>
      <c r="P486" s="29"/>
      <c r="Q486" s="29"/>
      <c r="R486" s="29"/>
      <c r="S486" s="29"/>
      <c r="T486" s="29"/>
      <c r="U486" s="29"/>
      <c r="V486" s="29"/>
      <c r="W486" s="29"/>
      <c r="X486" s="29"/>
      <c r="Y486" s="29"/>
      <c r="Z486" s="29"/>
    </row>
    <row r="487" spans="2:26" x14ac:dyDescent="0.25">
      <c r="B487" s="152" t="s">
        <v>467</v>
      </c>
      <c r="C487" s="368"/>
      <c r="D487" s="368">
        <v>169</v>
      </c>
      <c r="E487" s="368">
        <v>395</v>
      </c>
      <c r="F487" s="368">
        <v>977</v>
      </c>
      <c r="G487" s="368"/>
      <c r="H487" s="368">
        <v>91</v>
      </c>
      <c r="I487" s="368">
        <v>907</v>
      </c>
      <c r="J487" s="368">
        <v>725</v>
      </c>
      <c r="K487" s="370">
        <v>1632</v>
      </c>
      <c r="L487" s="29"/>
      <c r="M487" s="29"/>
      <c r="N487" s="29"/>
      <c r="O487" s="29"/>
      <c r="P487" s="29"/>
      <c r="Q487" s="29"/>
      <c r="R487" s="29"/>
      <c r="S487" s="29"/>
      <c r="T487" s="29"/>
      <c r="U487" s="29"/>
      <c r="V487" s="29"/>
      <c r="W487" s="29"/>
      <c r="X487" s="29"/>
      <c r="Y487" s="29"/>
      <c r="Z487" s="29"/>
    </row>
    <row r="488" spans="2:26" x14ac:dyDescent="0.25">
      <c r="B488" s="152" t="s">
        <v>468</v>
      </c>
      <c r="C488" s="368"/>
      <c r="D488" s="368">
        <v>24</v>
      </c>
      <c r="E488" s="368">
        <v>46</v>
      </c>
      <c r="F488" s="368">
        <v>94</v>
      </c>
      <c r="G488" s="368"/>
      <c r="H488" s="368">
        <v>13</v>
      </c>
      <c r="I488" s="368">
        <v>93</v>
      </c>
      <c r="J488" s="368">
        <v>84</v>
      </c>
      <c r="K488" s="370">
        <v>177</v>
      </c>
      <c r="L488" s="29"/>
      <c r="M488" s="29"/>
      <c r="N488" s="29"/>
      <c r="O488" s="29"/>
      <c r="P488" s="29"/>
      <c r="Q488" s="29"/>
      <c r="R488" s="29"/>
      <c r="S488" s="29"/>
      <c r="T488" s="29"/>
      <c r="U488" s="29"/>
      <c r="V488" s="29"/>
      <c r="W488" s="29"/>
      <c r="X488" s="29"/>
      <c r="Y488" s="29"/>
      <c r="Z488" s="29"/>
    </row>
    <row r="489" spans="2:26" x14ac:dyDescent="0.25">
      <c r="B489" s="152" t="s">
        <v>469</v>
      </c>
      <c r="C489" s="368"/>
      <c r="D489" s="368">
        <v>4</v>
      </c>
      <c r="E489" s="368">
        <v>20</v>
      </c>
      <c r="F489" s="368">
        <v>19</v>
      </c>
      <c r="G489" s="368"/>
      <c r="H489" s="368">
        <v>3</v>
      </c>
      <c r="I489" s="368">
        <v>28</v>
      </c>
      <c r="J489" s="368">
        <v>18</v>
      </c>
      <c r="K489" s="370">
        <v>46</v>
      </c>
      <c r="L489" s="29"/>
      <c r="M489" s="29"/>
      <c r="N489" s="29"/>
      <c r="O489" s="29"/>
      <c r="P489" s="29"/>
      <c r="Q489" s="29"/>
      <c r="R489" s="29"/>
      <c r="S489" s="29"/>
      <c r="T489" s="29"/>
      <c r="U489" s="29"/>
      <c r="V489" s="29"/>
      <c r="W489" s="29"/>
      <c r="X489" s="29"/>
      <c r="Y489" s="29"/>
      <c r="Z489" s="29"/>
    </row>
    <row r="490" spans="2:26" x14ac:dyDescent="0.25">
      <c r="B490" s="152" t="s">
        <v>470</v>
      </c>
      <c r="C490" s="368"/>
      <c r="D490" s="368">
        <v>12</v>
      </c>
      <c r="E490" s="368">
        <v>33</v>
      </c>
      <c r="F490" s="368">
        <v>64</v>
      </c>
      <c r="G490" s="368"/>
      <c r="H490" s="368">
        <v>4</v>
      </c>
      <c r="I490" s="368">
        <v>58</v>
      </c>
      <c r="J490" s="368">
        <v>55</v>
      </c>
      <c r="K490" s="370">
        <v>113</v>
      </c>
      <c r="L490" s="29"/>
      <c r="M490" s="29"/>
      <c r="N490" s="29"/>
      <c r="O490" s="29"/>
      <c r="P490" s="29"/>
      <c r="Q490" s="29"/>
      <c r="R490" s="29"/>
      <c r="S490" s="29"/>
      <c r="T490" s="29"/>
      <c r="U490" s="29"/>
      <c r="V490" s="29"/>
      <c r="W490" s="29"/>
      <c r="X490" s="29"/>
      <c r="Y490" s="29"/>
      <c r="Z490" s="29"/>
    </row>
    <row r="491" spans="2:26" x14ac:dyDescent="0.25">
      <c r="B491" s="152" t="s">
        <v>471</v>
      </c>
      <c r="C491" s="368"/>
      <c r="D491" s="368">
        <v>38</v>
      </c>
      <c r="E491" s="368">
        <v>46</v>
      </c>
      <c r="F491" s="368">
        <v>63</v>
      </c>
      <c r="G491" s="368"/>
      <c r="H491" s="368">
        <v>15</v>
      </c>
      <c r="I491" s="368">
        <v>88</v>
      </c>
      <c r="J491" s="368">
        <v>74</v>
      </c>
      <c r="K491" s="370">
        <v>162</v>
      </c>
      <c r="L491" s="29"/>
      <c r="M491" s="29"/>
      <c r="N491" s="29"/>
      <c r="O491" s="29"/>
      <c r="P491" s="29"/>
      <c r="Q491" s="29"/>
      <c r="R491" s="29"/>
      <c r="S491" s="29"/>
      <c r="T491" s="29"/>
      <c r="U491" s="29"/>
      <c r="V491" s="29"/>
      <c r="W491" s="29"/>
      <c r="X491" s="29"/>
      <c r="Y491" s="29"/>
      <c r="Z491" s="29"/>
    </row>
    <row r="492" spans="2:26" x14ac:dyDescent="0.25">
      <c r="B492" s="152" t="s">
        <v>472</v>
      </c>
      <c r="C492" s="368"/>
      <c r="D492" s="368">
        <v>26</v>
      </c>
      <c r="E492" s="368">
        <v>28</v>
      </c>
      <c r="F492" s="368">
        <v>23</v>
      </c>
      <c r="G492" s="368"/>
      <c r="H492" s="368">
        <v>6</v>
      </c>
      <c r="I492" s="368">
        <v>47</v>
      </c>
      <c r="J492" s="368">
        <v>36</v>
      </c>
      <c r="K492" s="370">
        <v>83</v>
      </c>
      <c r="L492" s="29"/>
      <c r="M492" s="29"/>
      <c r="N492" s="29"/>
      <c r="O492" s="29"/>
      <c r="P492" s="29"/>
      <c r="Q492" s="29"/>
      <c r="R492" s="29"/>
      <c r="S492" s="29"/>
      <c r="T492" s="29"/>
      <c r="U492" s="29"/>
      <c r="V492" s="29"/>
      <c r="W492" s="29"/>
      <c r="X492" s="29"/>
      <c r="Y492" s="29"/>
      <c r="Z492" s="29"/>
    </row>
    <row r="493" spans="2:26" x14ac:dyDescent="0.25">
      <c r="B493" s="152" t="s">
        <v>473</v>
      </c>
      <c r="C493" s="368"/>
      <c r="D493" s="368">
        <v>6</v>
      </c>
      <c r="E493" s="368">
        <v>11</v>
      </c>
      <c r="F493" s="368">
        <v>19</v>
      </c>
      <c r="G493" s="368"/>
      <c r="H493" s="368">
        <v>1</v>
      </c>
      <c r="I493" s="368">
        <v>20</v>
      </c>
      <c r="J493" s="368">
        <v>17</v>
      </c>
      <c r="K493" s="370">
        <v>37</v>
      </c>
      <c r="L493" s="29"/>
      <c r="M493" s="29"/>
      <c r="N493" s="29"/>
      <c r="O493" s="29"/>
      <c r="P493" s="29"/>
      <c r="Q493" s="29"/>
      <c r="R493" s="29"/>
      <c r="S493" s="29"/>
      <c r="T493" s="29"/>
      <c r="U493" s="29"/>
      <c r="V493" s="29"/>
      <c r="W493" s="29"/>
      <c r="X493" s="29"/>
      <c r="Y493" s="29"/>
      <c r="Z493" s="29"/>
    </row>
    <row r="494" spans="2:26" x14ac:dyDescent="0.25">
      <c r="B494" s="152" t="s">
        <v>474</v>
      </c>
      <c r="C494" s="368"/>
      <c r="D494" s="368">
        <v>9</v>
      </c>
      <c r="E494" s="368">
        <v>18</v>
      </c>
      <c r="F494" s="368">
        <v>32</v>
      </c>
      <c r="G494" s="368"/>
      <c r="H494" s="368">
        <v>6</v>
      </c>
      <c r="I494" s="368">
        <v>30</v>
      </c>
      <c r="J494" s="368">
        <v>35</v>
      </c>
      <c r="K494" s="370">
        <v>65</v>
      </c>
      <c r="L494" s="29"/>
      <c r="M494" s="29"/>
      <c r="N494" s="29"/>
      <c r="O494" s="29"/>
      <c r="P494" s="29"/>
      <c r="Q494" s="29"/>
      <c r="R494" s="29"/>
      <c r="S494" s="29"/>
      <c r="T494" s="29"/>
      <c r="U494" s="29"/>
      <c r="V494" s="29"/>
      <c r="W494" s="29"/>
      <c r="X494" s="29"/>
      <c r="Y494" s="29"/>
      <c r="Z494" s="29"/>
    </row>
    <row r="495" spans="2:26" x14ac:dyDescent="0.25">
      <c r="B495" s="152" t="s">
        <v>475</v>
      </c>
      <c r="C495" s="368"/>
      <c r="D495" s="368">
        <v>21</v>
      </c>
      <c r="E495" s="368">
        <v>25</v>
      </c>
      <c r="F495" s="368">
        <v>49</v>
      </c>
      <c r="G495" s="368"/>
      <c r="H495" s="368">
        <v>5</v>
      </c>
      <c r="I495" s="368">
        <v>48</v>
      </c>
      <c r="J495" s="368">
        <v>52</v>
      </c>
      <c r="K495" s="370">
        <v>100</v>
      </c>
      <c r="L495" s="29"/>
      <c r="M495" s="29"/>
      <c r="N495" s="29"/>
      <c r="O495" s="29"/>
      <c r="P495" s="29"/>
      <c r="Q495" s="29"/>
      <c r="R495" s="29"/>
      <c r="S495" s="29"/>
      <c r="T495" s="29"/>
      <c r="U495" s="29"/>
      <c r="V495" s="29"/>
      <c r="W495" s="29"/>
      <c r="X495" s="29"/>
      <c r="Y495" s="29"/>
      <c r="Z495" s="29"/>
    </row>
    <row r="496" spans="2:26" x14ac:dyDescent="0.25">
      <c r="B496" s="152" t="s">
        <v>476</v>
      </c>
      <c r="C496" s="368"/>
      <c r="D496" s="368">
        <v>4</v>
      </c>
      <c r="E496" s="368">
        <v>8</v>
      </c>
      <c r="F496" s="368">
        <v>18</v>
      </c>
      <c r="G496" s="368"/>
      <c r="H496" s="368">
        <v>3</v>
      </c>
      <c r="I496" s="368">
        <v>18</v>
      </c>
      <c r="J496" s="368">
        <v>15</v>
      </c>
      <c r="K496" s="370">
        <v>33</v>
      </c>
      <c r="L496" s="29"/>
      <c r="M496" s="29"/>
      <c r="N496" s="29"/>
      <c r="O496" s="29"/>
      <c r="P496" s="29"/>
      <c r="Q496" s="29"/>
      <c r="R496" s="29"/>
      <c r="S496" s="29"/>
      <c r="T496" s="29"/>
      <c r="U496" s="29"/>
      <c r="V496" s="29"/>
      <c r="W496" s="29"/>
      <c r="X496" s="29"/>
      <c r="Y496" s="29"/>
      <c r="Z496" s="29"/>
    </row>
    <row r="497" spans="2:26" x14ac:dyDescent="0.25">
      <c r="B497" s="152" t="s">
        <v>477</v>
      </c>
      <c r="C497" s="368"/>
      <c r="D497" s="368">
        <v>27</v>
      </c>
      <c r="E497" s="368">
        <v>52</v>
      </c>
      <c r="F497" s="368">
        <v>95</v>
      </c>
      <c r="G497" s="368"/>
      <c r="H497" s="368">
        <v>6</v>
      </c>
      <c r="I497" s="368">
        <v>95</v>
      </c>
      <c r="J497" s="368">
        <v>85</v>
      </c>
      <c r="K497" s="370">
        <v>180</v>
      </c>
      <c r="L497" s="29"/>
      <c r="M497" s="29"/>
      <c r="N497" s="29"/>
      <c r="O497" s="29"/>
      <c r="P497" s="29"/>
      <c r="Q497" s="29"/>
      <c r="R497" s="29"/>
      <c r="S497" s="29"/>
      <c r="T497" s="29"/>
      <c r="U497" s="29"/>
      <c r="V497" s="29"/>
      <c r="W497" s="29"/>
      <c r="X497" s="29"/>
      <c r="Y497" s="29"/>
      <c r="Z497" s="29"/>
    </row>
    <row r="498" spans="2:26" x14ac:dyDescent="0.25">
      <c r="B498" s="152" t="s">
        <v>478</v>
      </c>
      <c r="C498" s="368"/>
      <c r="D498" s="368">
        <v>13</v>
      </c>
      <c r="E498" s="368">
        <v>27</v>
      </c>
      <c r="F498" s="368">
        <v>42</v>
      </c>
      <c r="G498" s="368"/>
      <c r="H498" s="368">
        <v>7</v>
      </c>
      <c r="I498" s="368">
        <v>52</v>
      </c>
      <c r="J498" s="368">
        <v>37</v>
      </c>
      <c r="K498" s="370">
        <v>89</v>
      </c>
      <c r="L498" s="29"/>
      <c r="M498" s="29"/>
      <c r="N498" s="29"/>
      <c r="O498" s="29"/>
      <c r="P498" s="29"/>
      <c r="Q498" s="29"/>
      <c r="R498" s="29"/>
      <c r="S498" s="29"/>
      <c r="T498" s="29"/>
      <c r="U498" s="29"/>
      <c r="V498" s="29"/>
      <c r="W498" s="29"/>
      <c r="X498" s="29"/>
      <c r="Y498" s="29"/>
      <c r="Z498" s="29"/>
    </row>
    <row r="499" spans="2:26" x14ac:dyDescent="0.25">
      <c r="B499" s="152" t="s">
        <v>479</v>
      </c>
      <c r="C499" s="368"/>
      <c r="D499" s="368">
        <v>6</v>
      </c>
      <c r="E499" s="368">
        <v>12</v>
      </c>
      <c r="F499" s="368">
        <v>19</v>
      </c>
      <c r="G499" s="368"/>
      <c r="H499" s="368">
        <v>6</v>
      </c>
      <c r="I499" s="368">
        <v>20</v>
      </c>
      <c r="J499" s="368">
        <v>23</v>
      </c>
      <c r="K499" s="370">
        <v>43</v>
      </c>
      <c r="L499" s="29"/>
      <c r="M499" s="29"/>
      <c r="N499" s="29"/>
      <c r="O499" s="29"/>
      <c r="P499" s="29"/>
      <c r="Q499" s="29"/>
      <c r="R499" s="29"/>
      <c r="S499" s="29"/>
      <c r="T499" s="29"/>
      <c r="U499" s="29"/>
      <c r="V499" s="29"/>
      <c r="W499" s="29"/>
      <c r="X499" s="29"/>
      <c r="Y499" s="29"/>
      <c r="Z499" s="29"/>
    </row>
    <row r="500" spans="2:26" x14ac:dyDescent="0.25">
      <c r="B500" s="152" t="s">
        <v>480</v>
      </c>
      <c r="C500" s="368"/>
      <c r="D500" s="368">
        <v>40</v>
      </c>
      <c r="E500" s="368">
        <v>145</v>
      </c>
      <c r="F500" s="368">
        <v>252</v>
      </c>
      <c r="G500" s="368"/>
      <c r="H500" s="368">
        <v>29</v>
      </c>
      <c r="I500" s="368">
        <v>235</v>
      </c>
      <c r="J500" s="368">
        <v>231</v>
      </c>
      <c r="K500" s="370">
        <v>466</v>
      </c>
      <c r="L500" s="29"/>
      <c r="M500" s="29"/>
      <c r="N500" s="29"/>
      <c r="O500" s="29"/>
      <c r="P500" s="29"/>
      <c r="Q500" s="29"/>
      <c r="R500" s="29"/>
      <c r="S500" s="29"/>
      <c r="T500" s="29"/>
      <c r="U500" s="29"/>
      <c r="V500" s="29"/>
      <c r="W500" s="29"/>
      <c r="X500" s="29"/>
      <c r="Y500" s="29"/>
      <c r="Z500" s="29"/>
    </row>
    <row r="501" spans="2:26" x14ac:dyDescent="0.25">
      <c r="B501" s="152" t="s">
        <v>481</v>
      </c>
      <c r="C501" s="368"/>
      <c r="D501" s="368">
        <v>7</v>
      </c>
      <c r="E501" s="368">
        <v>9</v>
      </c>
      <c r="F501" s="368">
        <v>22</v>
      </c>
      <c r="G501" s="368"/>
      <c r="H501" s="368">
        <v>2</v>
      </c>
      <c r="I501" s="368">
        <v>24</v>
      </c>
      <c r="J501" s="368">
        <v>16</v>
      </c>
      <c r="K501" s="370">
        <v>40</v>
      </c>
      <c r="L501" s="29"/>
      <c r="M501" s="29"/>
      <c r="N501" s="29"/>
      <c r="O501" s="29"/>
      <c r="P501" s="29"/>
      <c r="Q501" s="29"/>
      <c r="R501" s="29"/>
      <c r="S501" s="29"/>
      <c r="T501" s="29"/>
      <c r="U501" s="29"/>
      <c r="V501" s="29"/>
      <c r="W501" s="29"/>
      <c r="X501" s="29"/>
      <c r="Y501" s="29"/>
      <c r="Z501" s="29"/>
    </row>
    <row r="502" spans="2:26" x14ac:dyDescent="0.25">
      <c r="B502" s="152" t="s">
        <v>482</v>
      </c>
      <c r="C502" s="368"/>
      <c r="D502" s="368">
        <v>51</v>
      </c>
      <c r="E502" s="368">
        <v>37</v>
      </c>
      <c r="F502" s="368">
        <v>47</v>
      </c>
      <c r="G502" s="368"/>
      <c r="H502" s="368">
        <v>5</v>
      </c>
      <c r="I502" s="368">
        <v>82</v>
      </c>
      <c r="J502" s="368">
        <v>58</v>
      </c>
      <c r="K502" s="370">
        <v>140</v>
      </c>
      <c r="L502" s="29"/>
      <c r="M502" s="29"/>
      <c r="N502" s="29"/>
      <c r="O502" s="29"/>
      <c r="P502" s="29"/>
      <c r="Q502" s="29"/>
      <c r="R502" s="29"/>
      <c r="S502" s="29"/>
      <c r="T502" s="29"/>
      <c r="U502" s="29"/>
      <c r="V502" s="29"/>
      <c r="W502" s="29"/>
      <c r="X502" s="29"/>
      <c r="Y502" s="29"/>
      <c r="Z502" s="29"/>
    </row>
    <row r="503" spans="2:26" x14ac:dyDescent="0.25">
      <c r="B503" s="152" t="s">
        <v>483</v>
      </c>
      <c r="C503" s="368"/>
      <c r="D503" s="368">
        <v>10</v>
      </c>
      <c r="E503" s="368">
        <v>13</v>
      </c>
      <c r="F503" s="368">
        <v>38</v>
      </c>
      <c r="G503" s="368"/>
      <c r="H503" s="368">
        <v>12</v>
      </c>
      <c r="I503" s="368">
        <v>35</v>
      </c>
      <c r="J503" s="368">
        <v>38</v>
      </c>
      <c r="K503" s="370">
        <v>73</v>
      </c>
      <c r="L503" s="29"/>
      <c r="M503" s="29"/>
      <c r="N503" s="29"/>
      <c r="O503" s="29"/>
      <c r="P503" s="29"/>
      <c r="Q503" s="29"/>
      <c r="R503" s="29"/>
      <c r="S503" s="29"/>
      <c r="T503" s="29"/>
      <c r="U503" s="29"/>
      <c r="V503" s="29"/>
      <c r="W503" s="29"/>
      <c r="X503" s="29"/>
      <c r="Y503" s="29"/>
      <c r="Z503" s="29"/>
    </row>
    <row r="504" spans="2:26" x14ac:dyDescent="0.25">
      <c r="B504" s="152" t="s">
        <v>484</v>
      </c>
      <c r="C504" s="368"/>
      <c r="D504" s="368">
        <v>5</v>
      </c>
      <c r="E504" s="368">
        <v>19</v>
      </c>
      <c r="F504" s="368">
        <v>23</v>
      </c>
      <c r="G504" s="368"/>
      <c r="H504" s="368">
        <v>1</v>
      </c>
      <c r="I504" s="368">
        <v>23</v>
      </c>
      <c r="J504" s="368">
        <v>25</v>
      </c>
      <c r="K504" s="370">
        <v>48</v>
      </c>
      <c r="L504" s="29"/>
      <c r="M504" s="29"/>
      <c r="N504" s="29"/>
      <c r="O504" s="29"/>
      <c r="P504" s="29"/>
      <c r="Q504" s="29"/>
      <c r="R504" s="29"/>
      <c r="S504" s="29"/>
      <c r="T504" s="29"/>
      <c r="U504" s="29"/>
      <c r="V504" s="29"/>
      <c r="W504" s="29"/>
      <c r="X504" s="29"/>
      <c r="Y504" s="29"/>
      <c r="Z504" s="29"/>
    </row>
    <row r="505" spans="2:26" x14ac:dyDescent="0.25">
      <c r="B505" s="152" t="s">
        <v>485</v>
      </c>
      <c r="C505" s="368"/>
      <c r="D505" s="368">
        <v>18</v>
      </c>
      <c r="E505" s="368">
        <v>40</v>
      </c>
      <c r="F505" s="368">
        <v>91</v>
      </c>
      <c r="G505" s="368"/>
      <c r="H505" s="368">
        <v>9</v>
      </c>
      <c r="I505" s="368">
        <v>86</v>
      </c>
      <c r="J505" s="368">
        <v>72</v>
      </c>
      <c r="K505" s="370">
        <v>158</v>
      </c>
      <c r="L505" s="29"/>
      <c r="M505" s="29"/>
      <c r="N505" s="29"/>
      <c r="O505" s="29"/>
      <c r="P505" s="29"/>
      <c r="Q505" s="29"/>
      <c r="R505" s="29"/>
      <c r="S505" s="29"/>
      <c r="T505" s="29"/>
      <c r="U505" s="29"/>
      <c r="V505" s="29"/>
      <c r="W505" s="29"/>
      <c r="X505" s="29"/>
      <c r="Y505" s="29"/>
      <c r="Z505" s="29"/>
    </row>
    <row r="506" spans="2:26" x14ac:dyDescent="0.25">
      <c r="B506" s="152" t="s">
        <v>486</v>
      </c>
      <c r="C506" s="368"/>
      <c r="D506" s="368">
        <v>14</v>
      </c>
      <c r="E506" s="368">
        <v>37</v>
      </c>
      <c r="F506" s="368">
        <v>40</v>
      </c>
      <c r="G506" s="368"/>
      <c r="H506" s="368">
        <v>3</v>
      </c>
      <c r="I506" s="368">
        <v>46</v>
      </c>
      <c r="J506" s="368">
        <v>48</v>
      </c>
      <c r="K506" s="370">
        <v>94</v>
      </c>
      <c r="L506" s="29"/>
      <c r="M506" s="29"/>
      <c r="N506" s="29"/>
      <c r="O506" s="29"/>
      <c r="P506" s="29"/>
      <c r="Q506" s="29"/>
      <c r="R506" s="29"/>
      <c r="S506" s="29"/>
      <c r="T506" s="29"/>
      <c r="U506" s="29"/>
      <c r="V506" s="29"/>
      <c r="W506" s="29"/>
      <c r="X506" s="29"/>
      <c r="Y506" s="29"/>
      <c r="Z506" s="29"/>
    </row>
    <row r="507" spans="2:26" x14ac:dyDescent="0.25">
      <c r="B507" s="289" t="s">
        <v>36</v>
      </c>
      <c r="C507" s="359"/>
      <c r="D507" s="359">
        <v>529</v>
      </c>
      <c r="E507" s="359">
        <v>1089</v>
      </c>
      <c r="F507" s="359">
        <v>2143</v>
      </c>
      <c r="G507" s="359"/>
      <c r="H507" s="359">
        <v>246</v>
      </c>
      <c r="I507" s="359">
        <v>2158</v>
      </c>
      <c r="J507" s="334">
        <v>1849</v>
      </c>
      <c r="K507" s="334">
        <v>4007</v>
      </c>
      <c r="L507" s="29"/>
      <c r="M507" s="29"/>
      <c r="N507" s="29"/>
      <c r="O507" s="29"/>
      <c r="P507" s="29"/>
      <c r="Q507" s="29"/>
      <c r="R507" s="29"/>
      <c r="S507" s="29"/>
      <c r="T507" s="29"/>
      <c r="U507" s="29"/>
      <c r="V507" s="29"/>
      <c r="W507" s="29"/>
      <c r="X507" s="29"/>
      <c r="Y507" s="29"/>
      <c r="Z507" s="29"/>
    </row>
    <row r="508" spans="2:26" ht="30" customHeight="1" x14ac:dyDescent="0.25">
      <c r="B508" s="504" t="s">
        <v>898</v>
      </c>
      <c r="C508" s="504"/>
      <c r="D508" s="504"/>
      <c r="E508" s="504"/>
      <c r="F508" s="504"/>
      <c r="G508" s="504"/>
      <c r="H508" s="504"/>
      <c r="I508" s="504"/>
      <c r="J508" s="504"/>
      <c r="K508" s="504"/>
      <c r="L508" s="29"/>
      <c r="M508" s="29"/>
      <c r="N508" s="29"/>
      <c r="O508" s="29"/>
      <c r="P508" s="29"/>
      <c r="Q508" s="29"/>
      <c r="R508" s="29"/>
      <c r="S508" s="29"/>
      <c r="T508" s="29"/>
      <c r="U508" s="29"/>
      <c r="V508" s="29"/>
      <c r="W508" s="29"/>
      <c r="X508" s="29"/>
      <c r="Y508" s="29"/>
    </row>
    <row r="509" spans="2:26" x14ac:dyDescent="0.25">
      <c r="B509" s="176"/>
      <c r="C509" s="208"/>
      <c r="D509" s="208"/>
      <c r="E509" s="208"/>
      <c r="F509" s="208"/>
      <c r="G509" s="208"/>
      <c r="H509" s="208"/>
      <c r="I509"/>
      <c r="J509" s="29"/>
      <c r="K509" s="29"/>
      <c r="L509" s="29"/>
      <c r="M509" s="29"/>
      <c r="N509" s="29"/>
      <c r="O509" s="29"/>
      <c r="P509" s="29"/>
      <c r="Q509" s="29"/>
      <c r="R509" s="29"/>
      <c r="S509" s="29"/>
      <c r="T509" s="29"/>
      <c r="U509" s="29"/>
      <c r="V509" s="29"/>
      <c r="W509" s="29"/>
      <c r="X509" s="29"/>
      <c r="Y509" s="29"/>
    </row>
    <row r="510" spans="2:26" x14ac:dyDescent="0.25">
      <c r="I510"/>
      <c r="J510" s="29"/>
      <c r="K510" s="29"/>
      <c r="L510" s="29"/>
      <c r="M510" s="29"/>
      <c r="N510" s="29"/>
      <c r="O510" s="29"/>
      <c r="P510" s="29"/>
      <c r="Q510" s="29"/>
      <c r="R510" s="29"/>
      <c r="S510" s="29"/>
      <c r="T510" s="29"/>
      <c r="U510" s="29"/>
      <c r="V510" s="29"/>
      <c r="W510" s="29"/>
      <c r="X510" s="29"/>
      <c r="Y510" s="29"/>
    </row>
    <row r="511" spans="2:26" x14ac:dyDescent="0.25">
      <c r="I511"/>
      <c r="J511" s="29"/>
      <c r="K511" s="29"/>
      <c r="L511" s="29"/>
      <c r="M511" s="29"/>
      <c r="N511" s="29"/>
      <c r="O511" s="29"/>
      <c r="P511" s="29"/>
      <c r="Q511" s="29"/>
      <c r="R511" s="29"/>
      <c r="S511" s="29"/>
      <c r="T511" s="29"/>
      <c r="U511" s="29"/>
      <c r="V511" s="29"/>
      <c r="W511" s="29"/>
      <c r="X511" s="29"/>
      <c r="Y511" s="29"/>
    </row>
    <row r="512" spans="2:26" x14ac:dyDescent="0.25">
      <c r="I512"/>
      <c r="J512" s="29"/>
      <c r="K512" s="29"/>
      <c r="L512" s="29"/>
      <c r="M512" s="29"/>
      <c r="N512" s="29"/>
      <c r="O512" s="29"/>
      <c r="P512" s="29"/>
      <c r="Q512" s="29"/>
      <c r="R512" s="29"/>
      <c r="S512" s="29"/>
      <c r="T512" s="29"/>
      <c r="U512" s="29"/>
      <c r="V512" s="29"/>
      <c r="W512" s="29"/>
      <c r="X512" s="29"/>
      <c r="Y512" s="29"/>
    </row>
    <row r="513" spans="9:25" x14ac:dyDescent="0.25">
      <c r="I513"/>
      <c r="J513" s="29"/>
      <c r="K513" s="29"/>
      <c r="L513" s="29"/>
      <c r="M513" s="29"/>
      <c r="N513" s="29"/>
      <c r="O513" s="29"/>
      <c r="P513" s="29"/>
      <c r="Q513" s="29"/>
      <c r="R513" s="29"/>
      <c r="S513" s="29"/>
      <c r="T513" s="29"/>
      <c r="U513" s="29"/>
      <c r="V513" s="29"/>
      <c r="W513" s="29"/>
      <c r="X513" s="29"/>
      <c r="Y513" s="29"/>
    </row>
    <row r="514" spans="9:25" x14ac:dyDescent="0.25">
      <c r="I514" s="29"/>
      <c r="J514" s="29"/>
      <c r="K514" s="29"/>
      <c r="L514" s="29"/>
      <c r="M514" s="29"/>
      <c r="N514" s="29"/>
      <c r="O514" s="29"/>
      <c r="P514" s="29"/>
      <c r="Q514" s="29"/>
      <c r="R514" s="29"/>
      <c r="S514" s="29"/>
      <c r="T514" s="29"/>
      <c r="U514" s="29"/>
      <c r="V514" s="29"/>
      <c r="W514" s="29"/>
      <c r="X514" s="29"/>
      <c r="Y514" s="29"/>
    </row>
    <row r="515" spans="9:25" ht="34.5" customHeight="1" x14ac:dyDescent="0.25">
      <c r="I515" s="29"/>
      <c r="J515" s="29"/>
      <c r="K515" s="29"/>
      <c r="L515" s="29"/>
      <c r="M515" s="29"/>
      <c r="N515" s="29"/>
      <c r="O515" s="29"/>
      <c r="P515" s="29"/>
      <c r="Q515" s="29"/>
      <c r="R515" s="29"/>
      <c r="S515" s="29"/>
      <c r="T515" s="29"/>
    </row>
  </sheetData>
  <mergeCells count="77">
    <mergeCell ref="L59:L61"/>
    <mergeCell ref="C71:H71"/>
    <mergeCell ref="I71:J71"/>
    <mergeCell ref="K71:K72"/>
    <mergeCell ref="C87:H87"/>
    <mergeCell ref="I87:J87"/>
    <mergeCell ref="K87:K88"/>
    <mergeCell ref="B67:K67"/>
    <mergeCell ref="B83:K83"/>
    <mergeCell ref="K54:K55"/>
    <mergeCell ref="B26:K26"/>
    <mergeCell ref="B50:K50"/>
    <mergeCell ref="B31:B32"/>
    <mergeCell ref="C31:H31"/>
    <mergeCell ref="I31:J31"/>
    <mergeCell ref="K31:K32"/>
    <mergeCell ref="K57:K58"/>
    <mergeCell ref="K125:K126"/>
    <mergeCell ref="C7:H7"/>
    <mergeCell ref="K7:K8"/>
    <mergeCell ref="C57:H57"/>
    <mergeCell ref="I57:J57"/>
    <mergeCell ref="B99:K99"/>
    <mergeCell ref="B121:K121"/>
    <mergeCell ref="C103:H103"/>
    <mergeCell ref="I103:J103"/>
    <mergeCell ref="K103:K104"/>
    <mergeCell ref="C125:H125"/>
    <mergeCell ref="I125:J125"/>
    <mergeCell ref="B7:B8"/>
    <mergeCell ref="I7:J7"/>
    <mergeCell ref="K52:K53"/>
    <mergeCell ref="C247:H247"/>
    <mergeCell ref="I247:J247"/>
    <mergeCell ref="K247:K248"/>
    <mergeCell ref="C287:H287"/>
    <mergeCell ref="I287:J287"/>
    <mergeCell ref="K287:K288"/>
    <mergeCell ref="B283:K283"/>
    <mergeCell ref="C326:H326"/>
    <mergeCell ref="I326:J326"/>
    <mergeCell ref="K326:K327"/>
    <mergeCell ref="C363:H363"/>
    <mergeCell ref="I363:J363"/>
    <mergeCell ref="K363:K364"/>
    <mergeCell ref="I474:J474"/>
    <mergeCell ref="K474:K475"/>
    <mergeCell ref="C380:H380"/>
    <mergeCell ref="I380:J380"/>
    <mergeCell ref="K380:K381"/>
    <mergeCell ref="I396:J396"/>
    <mergeCell ref="K396:K397"/>
    <mergeCell ref="B166:K166"/>
    <mergeCell ref="B206:K206"/>
    <mergeCell ref="B243:K243"/>
    <mergeCell ref="C170:H170"/>
    <mergeCell ref="I170:J170"/>
    <mergeCell ref="K170:K171"/>
    <mergeCell ref="C210:H210"/>
    <mergeCell ref="I210:J210"/>
    <mergeCell ref="K210:K211"/>
    <mergeCell ref="B508:K508"/>
    <mergeCell ref="B322:K322"/>
    <mergeCell ref="B359:K359"/>
    <mergeCell ref="B376:K376"/>
    <mergeCell ref="B392:K392"/>
    <mergeCell ref="B451:K451"/>
    <mergeCell ref="C484:H484"/>
    <mergeCell ref="I484:J484"/>
    <mergeCell ref="K484:K485"/>
    <mergeCell ref="C474:H474"/>
    <mergeCell ref="C455:H455"/>
    <mergeCell ref="I455:J455"/>
    <mergeCell ref="K455:K456"/>
    <mergeCell ref="B470:K470"/>
    <mergeCell ref="B480:K480"/>
    <mergeCell ref="C396:H396"/>
  </mergeCells>
  <pageMargins left="0.7" right="0.7" top="0.75" bottom="0.75" header="0.3" footer="0.3"/>
  <pageSetup scale="80"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7F774-B3B9-4EA0-92B3-7648CBFCA02B}">
  <sheetPr>
    <tabColor rgb="FF00B0F0"/>
  </sheetPr>
  <dimension ref="B2:P85"/>
  <sheetViews>
    <sheetView showGridLines="0" workbookViewId="0">
      <selection activeCell="H24" sqref="H24"/>
    </sheetView>
  </sheetViews>
  <sheetFormatPr baseColWidth="10" defaultColWidth="11.5703125" defaultRowHeight="15" x14ac:dyDescent="0.25"/>
  <cols>
    <col min="1" max="1" width="6.7109375" style="23" customWidth="1"/>
    <col min="2" max="2" width="28.85546875" style="23" customWidth="1"/>
    <col min="3" max="3" width="22.28515625" style="23" customWidth="1"/>
    <col min="4" max="4" width="11.5703125" style="23"/>
    <col min="5" max="5" width="13.5703125" style="23" bestFit="1" customWidth="1"/>
    <col min="6" max="6" width="13.140625" style="23" customWidth="1"/>
    <col min="7" max="7" width="11.5703125" style="23"/>
    <col min="8" max="8" width="14.7109375" style="23" customWidth="1"/>
    <col min="9" max="9" width="10" style="23" customWidth="1"/>
    <col min="10" max="10" width="12.28515625" style="23" customWidth="1"/>
    <col min="11" max="18" width="11.5703125" style="23" customWidth="1"/>
    <col min="19" max="19" width="7.7109375" style="23" customWidth="1"/>
    <col min="20" max="16384" width="11.5703125" style="23"/>
  </cols>
  <sheetData>
    <row r="2" spans="2:9" ht="23.25" x14ac:dyDescent="0.25">
      <c r="B2" s="1" t="s">
        <v>859</v>
      </c>
    </row>
    <row r="4" spans="2:9" ht="18.75" x14ac:dyDescent="0.3">
      <c r="B4" s="2" t="s">
        <v>979</v>
      </c>
      <c r="C4" s="24"/>
      <c r="D4" s="24"/>
      <c r="E4" s="24"/>
      <c r="F4" s="24"/>
      <c r="G4" s="24"/>
      <c r="H4" s="24"/>
      <c r="I4"/>
    </row>
    <row r="5" spans="2:9" x14ac:dyDescent="0.25">
      <c r="B5" s="512" t="s">
        <v>520</v>
      </c>
      <c r="C5" s="512"/>
      <c r="D5" s="512"/>
      <c r="E5" s="512"/>
      <c r="F5" s="512"/>
      <c r="G5" s="512"/>
      <c r="H5" s="512"/>
    </row>
    <row r="6" spans="2:9" x14ac:dyDescent="0.25">
      <c r="B6" s="3"/>
      <c r="C6" s="3"/>
      <c r="D6" s="3"/>
      <c r="E6" s="3"/>
      <c r="F6" s="3"/>
      <c r="G6" s="3"/>
      <c r="H6" s="3"/>
    </row>
    <row r="7" spans="2:9" x14ac:dyDescent="0.25">
      <c r="B7" s="517" t="s">
        <v>494</v>
      </c>
      <c r="C7" s="516" t="s">
        <v>493</v>
      </c>
      <c r="D7" s="516"/>
      <c r="E7" s="516"/>
      <c r="F7" s="3"/>
      <c r="G7" s="3"/>
      <c r="H7" s="3"/>
    </row>
    <row r="8" spans="2:9" x14ac:dyDescent="0.25">
      <c r="B8" s="517"/>
      <c r="C8" s="254" t="s">
        <v>87</v>
      </c>
      <c r="D8" s="254" t="s">
        <v>88</v>
      </c>
      <c r="E8" s="254" t="s">
        <v>609</v>
      </c>
      <c r="F8" s="3"/>
      <c r="G8" s="3"/>
      <c r="H8" s="3"/>
    </row>
    <row r="9" spans="2:9" x14ac:dyDescent="0.25">
      <c r="B9" s="212" t="s">
        <v>3</v>
      </c>
      <c r="C9" s="361">
        <v>0</v>
      </c>
      <c r="D9" s="361">
        <v>0</v>
      </c>
      <c r="E9" s="361">
        <v>0</v>
      </c>
      <c r="F9" s="3"/>
      <c r="G9" s="3"/>
      <c r="H9" s="3"/>
    </row>
    <row r="10" spans="2:9" x14ac:dyDescent="0.25">
      <c r="B10" s="212" t="s">
        <v>4</v>
      </c>
      <c r="C10" s="361">
        <v>166</v>
      </c>
      <c r="D10" s="361">
        <v>145</v>
      </c>
      <c r="E10" s="361">
        <v>311</v>
      </c>
      <c r="F10" s="3"/>
      <c r="G10" s="3"/>
      <c r="H10" s="3"/>
    </row>
    <row r="11" spans="2:9" x14ac:dyDescent="0.25">
      <c r="B11" s="212" t="s">
        <v>714</v>
      </c>
      <c r="C11" s="361">
        <v>8354</v>
      </c>
      <c r="D11" s="361">
        <v>9397</v>
      </c>
      <c r="E11" s="361">
        <v>17751</v>
      </c>
      <c r="F11" s="3"/>
      <c r="G11" s="3"/>
      <c r="H11" s="3"/>
    </row>
    <row r="12" spans="2:9" x14ac:dyDescent="0.25">
      <c r="B12" s="212" t="s">
        <v>501</v>
      </c>
      <c r="C12" s="361">
        <v>28964</v>
      </c>
      <c r="D12" s="361">
        <v>22003</v>
      </c>
      <c r="E12" s="361">
        <v>50967</v>
      </c>
      <c r="F12" s="3"/>
      <c r="G12" s="3"/>
      <c r="H12" s="3"/>
    </row>
    <row r="13" spans="2:9" x14ac:dyDescent="0.25">
      <c r="B13" s="212" t="s">
        <v>5</v>
      </c>
      <c r="C13" s="361">
        <v>0</v>
      </c>
      <c r="D13" s="361">
        <v>0</v>
      </c>
      <c r="E13" s="361">
        <v>0</v>
      </c>
      <c r="F13" s="3"/>
      <c r="G13" s="3"/>
      <c r="H13" s="3"/>
    </row>
    <row r="14" spans="2:9" x14ac:dyDescent="0.25">
      <c r="B14" s="212" t="s">
        <v>6</v>
      </c>
      <c r="C14" s="361">
        <v>664</v>
      </c>
      <c r="D14" s="361">
        <v>1164</v>
      </c>
      <c r="E14" s="361">
        <v>1828</v>
      </c>
      <c r="F14" s="3"/>
      <c r="G14" s="3"/>
      <c r="H14" s="3"/>
    </row>
    <row r="15" spans="2:9" x14ac:dyDescent="0.25">
      <c r="B15" s="385" t="s">
        <v>491</v>
      </c>
      <c r="C15" s="340">
        <f>SUM(C9:C14)</f>
        <v>38148</v>
      </c>
      <c r="D15" s="340">
        <f>SUM(D9:D14)</f>
        <v>32709</v>
      </c>
      <c r="E15" s="340">
        <f>SUM(E9:E14)</f>
        <v>70857</v>
      </c>
    </row>
    <row r="16" spans="2:9" ht="66.75" customHeight="1" x14ac:dyDescent="0.25">
      <c r="B16" s="483" t="s">
        <v>997</v>
      </c>
      <c r="C16" s="483"/>
      <c r="D16" s="483"/>
      <c r="E16" s="483"/>
    </row>
    <row r="18" spans="2:9" ht="18.75" x14ac:dyDescent="0.3">
      <c r="B18" s="2" t="s">
        <v>980</v>
      </c>
      <c r="C18" s="24"/>
      <c r="D18" s="24"/>
      <c r="E18" s="24"/>
      <c r="F18" s="24"/>
      <c r="G18" s="24"/>
      <c r="H18" s="24"/>
    </row>
    <row r="19" spans="2:9" x14ac:dyDescent="0.25">
      <c r="B19" s="512" t="s">
        <v>560</v>
      </c>
      <c r="C19" s="512"/>
      <c r="D19" s="512"/>
      <c r="E19" s="512"/>
      <c r="F19" s="512"/>
      <c r="G19" s="512"/>
      <c r="H19" s="512"/>
    </row>
    <row r="20" spans="2:9" x14ac:dyDescent="0.25">
      <c r="B20" s="3"/>
      <c r="C20" s="3"/>
      <c r="D20" s="3"/>
      <c r="E20" s="3"/>
      <c r="F20" s="3"/>
      <c r="G20" s="3"/>
      <c r="H20" s="3"/>
    </row>
    <row r="21" spans="2:9" x14ac:dyDescent="0.25">
      <c r="B21" s="515" t="s">
        <v>494</v>
      </c>
      <c r="C21" s="516" t="s">
        <v>493</v>
      </c>
      <c r="D21" s="516"/>
      <c r="E21" s="516"/>
      <c r="F21" s="3"/>
      <c r="G21" s="3"/>
      <c r="H21" s="3"/>
    </row>
    <row r="22" spans="2:9" x14ac:dyDescent="0.25">
      <c r="B22" s="515"/>
      <c r="C22" s="254" t="s">
        <v>87</v>
      </c>
      <c r="D22" s="254" t="s">
        <v>88</v>
      </c>
      <c r="E22" s="254" t="s">
        <v>609</v>
      </c>
    </row>
    <row r="23" spans="2:9" x14ac:dyDescent="0.25">
      <c r="B23" s="409" t="s">
        <v>3</v>
      </c>
      <c r="C23" s="361">
        <v>3279</v>
      </c>
      <c r="D23" s="361">
        <v>1195</v>
      </c>
      <c r="E23" s="361">
        <v>4474</v>
      </c>
    </row>
    <row r="24" spans="2:9" x14ac:dyDescent="0.25">
      <c r="B24" s="409" t="s">
        <v>4</v>
      </c>
      <c r="C24" s="361">
        <v>5364</v>
      </c>
      <c r="D24" s="361">
        <v>3919</v>
      </c>
      <c r="E24" s="361">
        <v>9283</v>
      </c>
    </row>
    <row r="25" spans="2:9" x14ac:dyDescent="0.25">
      <c r="B25" s="409" t="s">
        <v>714</v>
      </c>
      <c r="C25" s="361">
        <v>32733</v>
      </c>
      <c r="D25" s="361">
        <v>28559</v>
      </c>
      <c r="E25" s="361">
        <v>61292</v>
      </c>
    </row>
    <row r="26" spans="2:9" x14ac:dyDescent="0.25">
      <c r="B26" s="409" t="s">
        <v>501</v>
      </c>
      <c r="C26" s="361">
        <v>184362</v>
      </c>
      <c r="D26" s="361">
        <v>188320</v>
      </c>
      <c r="E26" s="361">
        <v>372682</v>
      </c>
    </row>
    <row r="27" spans="2:9" x14ac:dyDescent="0.25">
      <c r="B27" s="409" t="s">
        <v>5</v>
      </c>
      <c r="C27" s="361">
        <v>10811</v>
      </c>
      <c r="D27" s="361">
        <v>9700</v>
      </c>
      <c r="E27" s="361">
        <v>20511</v>
      </c>
    </row>
    <row r="28" spans="2:9" x14ac:dyDescent="0.25">
      <c r="B28" s="409" t="s">
        <v>6</v>
      </c>
      <c r="C28" s="361">
        <v>5519</v>
      </c>
      <c r="D28" s="361">
        <v>9278</v>
      </c>
      <c r="E28" s="361">
        <v>14797</v>
      </c>
      <c r="G28"/>
    </row>
    <row r="29" spans="2:9" x14ac:dyDescent="0.25">
      <c r="B29" s="285" t="s">
        <v>491</v>
      </c>
      <c r="C29" s="340">
        <f>SUM(C23:C28)</f>
        <v>242068</v>
      </c>
      <c r="D29" s="340">
        <f>SUM(D23:D28)</f>
        <v>240971</v>
      </c>
      <c r="E29" s="340">
        <f>SUM(E23:E28)</f>
        <v>483039</v>
      </c>
    </row>
    <row r="30" spans="2:9" ht="71.25" customHeight="1" x14ac:dyDescent="0.25">
      <c r="B30" s="483" t="s">
        <v>997</v>
      </c>
      <c r="C30" s="483"/>
      <c r="D30" s="483"/>
      <c r="E30" s="483"/>
    </row>
    <row r="32" spans="2:9" ht="18.75" x14ac:dyDescent="0.3">
      <c r="B32" s="2" t="s">
        <v>864</v>
      </c>
      <c r="C32" s="2"/>
      <c r="D32" s="2"/>
      <c r="E32" s="2"/>
      <c r="F32" s="2"/>
      <c r="G32" s="294"/>
      <c r="H32" s="294"/>
      <c r="I32"/>
    </row>
    <row r="33" spans="2:16" x14ac:dyDescent="0.25">
      <c r="B33" s="512" t="s">
        <v>1</v>
      </c>
      <c r="C33" s="512"/>
      <c r="D33" s="512"/>
      <c r="E33" s="512"/>
      <c r="F33" s="512"/>
      <c r="G33" s="512"/>
      <c r="H33" s="512"/>
    </row>
    <row r="34" spans="2:16" x14ac:dyDescent="0.25">
      <c r="B34" s="3"/>
      <c r="C34" s="3"/>
      <c r="D34" s="3"/>
      <c r="E34" s="3"/>
      <c r="F34" s="3"/>
      <c r="G34" s="3"/>
      <c r="H34" s="3"/>
    </row>
    <row r="35" spans="2:16" x14ac:dyDescent="0.25">
      <c r="B35" s="513" t="s">
        <v>11</v>
      </c>
      <c r="C35" s="465" t="s">
        <v>3</v>
      </c>
      <c r="D35" s="467"/>
      <c r="E35" s="465" t="s">
        <v>4</v>
      </c>
      <c r="F35" s="467"/>
      <c r="G35" s="465" t="s">
        <v>714</v>
      </c>
      <c r="H35" s="467"/>
      <c r="I35" s="465" t="s">
        <v>501</v>
      </c>
      <c r="J35" s="467"/>
      <c r="K35" s="465" t="s">
        <v>5</v>
      </c>
      <c r="L35" s="467"/>
      <c r="M35" s="465" t="s">
        <v>6</v>
      </c>
      <c r="N35" s="467"/>
      <c r="O35" s="465" t="s">
        <v>491</v>
      </c>
      <c r="P35" s="467"/>
    </row>
    <row r="36" spans="2:16" x14ac:dyDescent="0.25">
      <c r="B36" s="514"/>
      <c r="C36" s="4" t="s">
        <v>87</v>
      </c>
      <c r="D36" s="4" t="s">
        <v>88</v>
      </c>
      <c r="E36" s="4" t="s">
        <v>87</v>
      </c>
      <c r="F36" s="4" t="s">
        <v>88</v>
      </c>
      <c r="G36" s="4" t="s">
        <v>87</v>
      </c>
      <c r="H36" s="4" t="s">
        <v>88</v>
      </c>
      <c r="I36" s="4" t="s">
        <v>87</v>
      </c>
      <c r="J36" s="4" t="s">
        <v>88</v>
      </c>
      <c r="K36" s="4" t="s">
        <v>87</v>
      </c>
      <c r="L36" s="4" t="s">
        <v>88</v>
      </c>
      <c r="M36" s="4" t="s">
        <v>87</v>
      </c>
      <c r="N36" s="4" t="s">
        <v>88</v>
      </c>
      <c r="O36" s="4" t="s">
        <v>87</v>
      </c>
      <c r="P36" s="4" t="s">
        <v>88</v>
      </c>
    </row>
    <row r="37" spans="2:16" x14ac:dyDescent="0.25">
      <c r="B37" s="280" t="s">
        <v>757</v>
      </c>
      <c r="C37" s="386">
        <v>11039.333333333334</v>
      </c>
      <c r="D37" s="386">
        <v>2804.6666666666665</v>
      </c>
      <c r="E37" s="386">
        <v>2542.3333333333335</v>
      </c>
      <c r="F37" s="386">
        <v>981.33333333333337</v>
      </c>
      <c r="G37" s="386"/>
      <c r="H37" s="386"/>
      <c r="I37" s="386"/>
      <c r="J37" s="386"/>
      <c r="K37" s="386">
        <v>1054.8333333333333</v>
      </c>
      <c r="L37" s="386">
        <v>502.83333333333331</v>
      </c>
      <c r="M37" s="386">
        <v>135</v>
      </c>
      <c r="N37" s="386">
        <v>119.83333333333333</v>
      </c>
      <c r="O37" s="386">
        <v>14771.5</v>
      </c>
      <c r="P37" s="386">
        <v>4408.666666666667</v>
      </c>
    </row>
    <row r="38" spans="2:16" x14ac:dyDescent="0.25">
      <c r="B38" s="280" t="s">
        <v>758</v>
      </c>
      <c r="C38" s="386">
        <v>3723.5</v>
      </c>
      <c r="D38" s="386">
        <v>1094</v>
      </c>
      <c r="E38" s="386">
        <v>1233</v>
      </c>
      <c r="F38" s="386">
        <v>534.16666666666663</v>
      </c>
      <c r="G38" s="386"/>
      <c r="H38" s="386"/>
      <c r="I38" s="386"/>
      <c r="J38" s="386"/>
      <c r="K38" s="386">
        <v>13344.25</v>
      </c>
      <c r="L38" s="386">
        <v>9746.25</v>
      </c>
      <c r="M38" s="386">
        <v>461.5</v>
      </c>
      <c r="N38" s="386">
        <v>359.83333333333331</v>
      </c>
      <c r="O38" s="386">
        <v>18762.25</v>
      </c>
      <c r="P38" s="386">
        <v>11734.25</v>
      </c>
    </row>
    <row r="39" spans="2:16" x14ac:dyDescent="0.25">
      <c r="B39" s="280" t="s">
        <v>759</v>
      </c>
      <c r="C39" s="386">
        <v>2218.4166666666665</v>
      </c>
      <c r="D39" s="386">
        <v>792</v>
      </c>
      <c r="E39" s="386">
        <v>746.08333333333337</v>
      </c>
      <c r="F39" s="386">
        <v>357.66666666666669</v>
      </c>
      <c r="G39" s="386"/>
      <c r="H39" s="386"/>
      <c r="I39" s="386"/>
      <c r="J39" s="386"/>
      <c r="K39" s="386">
        <v>6532.833333333333</v>
      </c>
      <c r="L39" s="386">
        <v>4957.666666666667</v>
      </c>
      <c r="M39" s="386">
        <v>475.25</v>
      </c>
      <c r="N39" s="386">
        <v>350.91666666666669</v>
      </c>
      <c r="O39" s="386">
        <v>9972.5833333333339</v>
      </c>
      <c r="P39" s="386">
        <v>6458.25</v>
      </c>
    </row>
    <row r="40" spans="2:16" x14ac:dyDescent="0.25">
      <c r="B40" s="280" t="s">
        <v>760</v>
      </c>
      <c r="C40" s="386">
        <v>1815.6666666666667</v>
      </c>
      <c r="D40" s="386">
        <v>682.33333333333337</v>
      </c>
      <c r="E40" s="386">
        <v>555.08333333333337</v>
      </c>
      <c r="F40" s="386">
        <v>308.58333333333331</v>
      </c>
      <c r="G40" s="386"/>
      <c r="H40" s="386"/>
      <c r="I40" s="386"/>
      <c r="J40" s="386"/>
      <c r="K40" s="386">
        <v>4295</v>
      </c>
      <c r="L40" s="386">
        <v>3227.25</v>
      </c>
      <c r="M40" s="386">
        <v>404.08333333333331</v>
      </c>
      <c r="N40" s="386">
        <v>320.66666666666669</v>
      </c>
      <c r="O40" s="386">
        <v>7069.833333333333</v>
      </c>
      <c r="P40" s="386">
        <v>4538.833333333333</v>
      </c>
    </row>
    <row r="41" spans="2:16" x14ac:dyDescent="0.25">
      <c r="B41" s="280" t="s">
        <v>761</v>
      </c>
      <c r="C41" s="386">
        <v>1809</v>
      </c>
      <c r="D41" s="386">
        <v>638.41666666666663</v>
      </c>
      <c r="E41" s="386">
        <v>549.25</v>
      </c>
      <c r="F41" s="386">
        <v>315.75</v>
      </c>
      <c r="G41" s="386"/>
      <c r="H41" s="386"/>
      <c r="I41" s="386"/>
      <c r="J41" s="386"/>
      <c r="K41" s="386">
        <v>5297.166666666667</v>
      </c>
      <c r="L41" s="386">
        <v>4149.833333333333</v>
      </c>
      <c r="M41" s="386">
        <v>323.83333333333331</v>
      </c>
      <c r="N41" s="386">
        <v>260.66666666666669</v>
      </c>
      <c r="O41" s="386">
        <v>7979.25</v>
      </c>
      <c r="P41" s="386">
        <v>5364.666666666667</v>
      </c>
    </row>
    <row r="42" spans="2:16" x14ac:dyDescent="0.25">
      <c r="B42" s="280" t="s">
        <v>762</v>
      </c>
      <c r="C42" s="386">
        <v>1869.75</v>
      </c>
      <c r="D42" s="386">
        <v>586.83333333333337</v>
      </c>
      <c r="E42" s="386">
        <v>483.33333333333331</v>
      </c>
      <c r="F42" s="386">
        <v>267.83333333333331</v>
      </c>
      <c r="G42" s="386"/>
      <c r="H42" s="386"/>
      <c r="I42" s="386"/>
      <c r="J42" s="386"/>
      <c r="K42" s="386">
        <v>2852.0833333333335</v>
      </c>
      <c r="L42" s="386">
        <v>2611.8333333333335</v>
      </c>
      <c r="M42" s="386">
        <v>273.83333333333331</v>
      </c>
      <c r="N42" s="386">
        <v>230.16666666666666</v>
      </c>
      <c r="O42" s="386">
        <v>5479</v>
      </c>
      <c r="P42" s="386">
        <v>3696.6666666666665</v>
      </c>
    </row>
    <row r="43" spans="2:16" x14ac:dyDescent="0.25">
      <c r="B43" s="280" t="s">
        <v>763</v>
      </c>
      <c r="C43" s="386">
        <v>2063.75</v>
      </c>
      <c r="D43" s="386">
        <v>650.16666666666663</v>
      </c>
      <c r="E43" s="386">
        <v>523.91666666666663</v>
      </c>
      <c r="F43" s="386">
        <v>308.41666666666669</v>
      </c>
      <c r="G43" s="386"/>
      <c r="H43" s="386"/>
      <c r="I43" s="386"/>
      <c r="J43" s="386"/>
      <c r="K43" s="386">
        <v>3008.1666666666665</v>
      </c>
      <c r="L43" s="386">
        <v>2830.1666666666665</v>
      </c>
      <c r="M43" s="386">
        <v>237.83333333333334</v>
      </c>
      <c r="N43" s="386">
        <v>201.33333333333334</v>
      </c>
      <c r="O43" s="386">
        <v>5833.666666666667</v>
      </c>
      <c r="P43" s="386">
        <v>3990.0833333333335</v>
      </c>
    </row>
    <row r="44" spans="2:16" x14ac:dyDescent="0.25">
      <c r="B44" s="280" t="s">
        <v>764</v>
      </c>
      <c r="C44" s="386">
        <v>1641.5833333333333</v>
      </c>
      <c r="D44" s="386">
        <v>555.33333333333337</v>
      </c>
      <c r="E44" s="386">
        <v>598.33333333333337</v>
      </c>
      <c r="F44" s="386">
        <v>377.58333333333331</v>
      </c>
      <c r="G44" s="386"/>
      <c r="H44" s="386"/>
      <c r="I44" s="386"/>
      <c r="J44" s="386"/>
      <c r="K44" s="386">
        <v>3173</v>
      </c>
      <c r="L44" s="386">
        <v>2759.5</v>
      </c>
      <c r="M44" s="386">
        <v>86.25</v>
      </c>
      <c r="N44" s="386">
        <v>87.166666666666671</v>
      </c>
      <c r="O44" s="386">
        <v>5499.166666666667</v>
      </c>
      <c r="P44" s="386">
        <v>3779.5833333333335</v>
      </c>
    </row>
    <row r="45" spans="2:16" x14ac:dyDescent="0.25">
      <c r="B45" s="280" t="s">
        <v>765</v>
      </c>
      <c r="C45" s="386">
        <v>1543.5833333333333</v>
      </c>
      <c r="D45" s="386">
        <v>532.5</v>
      </c>
      <c r="E45" s="386">
        <v>597.91666666666663</v>
      </c>
      <c r="F45" s="386">
        <v>386.25</v>
      </c>
      <c r="G45" s="386"/>
      <c r="H45" s="386"/>
      <c r="I45" s="386"/>
      <c r="J45" s="386"/>
      <c r="K45" s="386">
        <v>3140.75</v>
      </c>
      <c r="L45" s="386">
        <v>2505.75</v>
      </c>
      <c r="M45" s="386">
        <v>93.25</v>
      </c>
      <c r="N45" s="386">
        <v>91.583333333333329</v>
      </c>
      <c r="O45" s="386">
        <v>5375.5</v>
      </c>
      <c r="P45" s="386">
        <v>3516.0833333333335</v>
      </c>
    </row>
    <row r="46" spans="2:16" x14ac:dyDescent="0.25">
      <c r="B46" s="280" t="s">
        <v>766</v>
      </c>
      <c r="C46" s="386">
        <v>1620.5</v>
      </c>
      <c r="D46" s="386">
        <v>559.58333333333337</v>
      </c>
      <c r="E46" s="386">
        <v>604.08333333333337</v>
      </c>
      <c r="F46" s="386">
        <v>388.41666666666669</v>
      </c>
      <c r="G46" s="386"/>
      <c r="H46" s="386"/>
      <c r="I46" s="386"/>
      <c r="J46" s="386"/>
      <c r="K46" s="386">
        <v>3693.0833333333335</v>
      </c>
      <c r="L46" s="386">
        <v>3160</v>
      </c>
      <c r="M46" s="386">
        <v>113.5</v>
      </c>
      <c r="N46" s="386">
        <v>120</v>
      </c>
      <c r="O46" s="386">
        <v>6031.166666666667</v>
      </c>
      <c r="P46" s="386">
        <v>4228</v>
      </c>
    </row>
    <row r="47" spans="2:16" x14ac:dyDescent="0.25">
      <c r="B47" s="280" t="s">
        <v>767</v>
      </c>
      <c r="C47" s="386">
        <v>1790</v>
      </c>
      <c r="D47" s="386">
        <v>572.58333333333337</v>
      </c>
      <c r="E47" s="386">
        <v>557.08333333333337</v>
      </c>
      <c r="F47" s="386">
        <v>358.75</v>
      </c>
      <c r="G47" s="386"/>
      <c r="H47" s="386"/>
      <c r="I47" s="386"/>
      <c r="J47" s="386"/>
      <c r="K47" s="386">
        <v>5063.75</v>
      </c>
      <c r="L47" s="386">
        <v>4264.916666666667</v>
      </c>
      <c r="M47" s="386">
        <v>236.66666666666666</v>
      </c>
      <c r="N47" s="386">
        <v>252</v>
      </c>
      <c r="O47" s="386">
        <v>7647.5</v>
      </c>
      <c r="P47" s="386">
        <v>5448.25</v>
      </c>
    </row>
    <row r="48" spans="2:16" x14ac:dyDescent="0.25">
      <c r="B48" s="280" t="s">
        <v>768</v>
      </c>
      <c r="C48" s="386">
        <v>1688.75</v>
      </c>
      <c r="D48" s="386">
        <v>540.91666666666663</v>
      </c>
      <c r="E48" s="386">
        <v>552.41666666666663</v>
      </c>
      <c r="F48" s="386">
        <v>347.75</v>
      </c>
      <c r="G48" s="386"/>
      <c r="H48" s="386"/>
      <c r="I48" s="386"/>
      <c r="J48" s="386"/>
      <c r="K48" s="386">
        <v>4504.833333333333</v>
      </c>
      <c r="L48" s="386">
        <v>3997</v>
      </c>
      <c r="M48" s="386">
        <v>229.75</v>
      </c>
      <c r="N48" s="386">
        <v>239.33333333333334</v>
      </c>
      <c r="O48" s="386">
        <v>6975.75</v>
      </c>
      <c r="P48" s="386">
        <v>5125</v>
      </c>
    </row>
    <row r="49" spans="2:16" x14ac:dyDescent="0.25">
      <c r="B49" s="280" t="s">
        <v>769</v>
      </c>
      <c r="C49" s="386">
        <v>1710.25</v>
      </c>
      <c r="D49" s="386">
        <v>550.41666666666663</v>
      </c>
      <c r="E49" s="386">
        <v>479.75</v>
      </c>
      <c r="F49" s="386">
        <v>336.25</v>
      </c>
      <c r="G49" s="386"/>
      <c r="H49" s="386"/>
      <c r="I49" s="386"/>
      <c r="J49" s="386"/>
      <c r="K49" s="386">
        <v>6515.75</v>
      </c>
      <c r="L49" s="386">
        <v>5952.333333333333</v>
      </c>
      <c r="M49" s="386">
        <v>281.41666666666669</v>
      </c>
      <c r="N49" s="386">
        <v>314.83333333333331</v>
      </c>
      <c r="O49" s="386">
        <v>8987.1666666666661</v>
      </c>
      <c r="P49" s="386">
        <v>7153.833333333333</v>
      </c>
    </row>
    <row r="50" spans="2:16" x14ac:dyDescent="0.25">
      <c r="B50" s="277">
        <v>44197</v>
      </c>
      <c r="C50" s="387">
        <v>1713</v>
      </c>
      <c r="D50" s="387">
        <v>562</v>
      </c>
      <c r="E50" s="387">
        <v>673</v>
      </c>
      <c r="F50" s="387">
        <v>605</v>
      </c>
      <c r="G50" s="387"/>
      <c r="H50" s="387"/>
      <c r="I50" s="387"/>
      <c r="J50" s="387"/>
      <c r="K50" s="387">
        <v>6427</v>
      </c>
      <c r="L50" s="387">
        <v>4940</v>
      </c>
      <c r="M50" s="387">
        <v>372</v>
      </c>
      <c r="N50" s="387">
        <v>493</v>
      </c>
      <c r="O50" s="387">
        <v>9185</v>
      </c>
      <c r="P50" s="387">
        <v>6600</v>
      </c>
    </row>
    <row r="51" spans="2:16" x14ac:dyDescent="0.25">
      <c r="B51" s="277">
        <v>44228</v>
      </c>
      <c r="C51" s="387">
        <v>1538</v>
      </c>
      <c r="D51" s="387">
        <v>476</v>
      </c>
      <c r="E51" s="387">
        <v>577</v>
      </c>
      <c r="F51" s="387">
        <v>483</v>
      </c>
      <c r="G51" s="387"/>
      <c r="H51" s="387"/>
      <c r="I51" s="387"/>
      <c r="J51" s="387"/>
      <c r="K51" s="387">
        <v>5955</v>
      </c>
      <c r="L51" s="387">
        <v>4908</v>
      </c>
      <c r="M51" s="387">
        <v>353</v>
      </c>
      <c r="N51" s="387">
        <v>440</v>
      </c>
      <c r="O51" s="387">
        <v>8423</v>
      </c>
      <c r="P51" s="387">
        <v>6307</v>
      </c>
    </row>
    <row r="52" spans="2:16" x14ac:dyDescent="0.25">
      <c r="B52" s="277">
        <v>44256</v>
      </c>
      <c r="C52" s="387">
        <v>1712</v>
      </c>
      <c r="D52" s="387">
        <v>621</v>
      </c>
      <c r="E52" s="387">
        <v>667</v>
      </c>
      <c r="F52" s="387">
        <v>516</v>
      </c>
      <c r="G52" s="387"/>
      <c r="H52" s="387"/>
      <c r="I52" s="387"/>
      <c r="J52" s="387"/>
      <c r="K52" s="387">
        <v>6882</v>
      </c>
      <c r="L52" s="387">
        <v>6035</v>
      </c>
      <c r="M52" s="387">
        <v>1165</v>
      </c>
      <c r="N52" s="387">
        <v>1562</v>
      </c>
      <c r="O52" s="387">
        <v>10426</v>
      </c>
      <c r="P52" s="387">
        <v>8734</v>
      </c>
    </row>
    <row r="53" spans="2:16" x14ac:dyDescent="0.25">
      <c r="B53" s="277">
        <v>44287</v>
      </c>
      <c r="C53" s="387">
        <v>1873</v>
      </c>
      <c r="D53" s="387">
        <v>639</v>
      </c>
      <c r="E53" s="387">
        <v>714</v>
      </c>
      <c r="F53" s="387">
        <v>510</v>
      </c>
      <c r="G53" s="387"/>
      <c r="H53" s="387"/>
      <c r="I53" s="387"/>
      <c r="J53" s="387"/>
      <c r="K53" s="387">
        <v>6529</v>
      </c>
      <c r="L53" s="387">
        <v>5358</v>
      </c>
      <c r="M53" s="387">
        <v>1299</v>
      </c>
      <c r="N53" s="387">
        <v>1663</v>
      </c>
      <c r="O53" s="387">
        <v>10415</v>
      </c>
      <c r="P53" s="387">
        <v>8170</v>
      </c>
    </row>
    <row r="54" spans="2:16" x14ac:dyDescent="0.25">
      <c r="B54" s="277">
        <v>44317</v>
      </c>
      <c r="C54" s="387">
        <v>2051</v>
      </c>
      <c r="D54" s="387">
        <v>780</v>
      </c>
      <c r="E54" s="387">
        <v>778</v>
      </c>
      <c r="F54" s="387">
        <v>628</v>
      </c>
      <c r="G54" s="387"/>
      <c r="H54" s="387"/>
      <c r="I54" s="387"/>
      <c r="J54" s="387"/>
      <c r="K54" s="387">
        <v>6451</v>
      </c>
      <c r="L54" s="387">
        <v>5206</v>
      </c>
      <c r="M54" s="387">
        <v>820</v>
      </c>
      <c r="N54" s="387">
        <v>1188</v>
      </c>
      <c r="O54" s="387">
        <v>10100</v>
      </c>
      <c r="P54" s="387">
        <v>7802</v>
      </c>
    </row>
    <row r="55" spans="2:16" x14ac:dyDescent="0.25">
      <c r="B55" s="277">
        <v>44348</v>
      </c>
      <c r="C55" s="387">
        <v>2152</v>
      </c>
      <c r="D55" s="387">
        <v>840</v>
      </c>
      <c r="E55" s="387">
        <v>741</v>
      </c>
      <c r="F55" s="387">
        <v>539</v>
      </c>
      <c r="G55" s="387"/>
      <c r="H55" s="387"/>
      <c r="I55" s="387"/>
      <c r="J55" s="387"/>
      <c r="K55" s="387">
        <v>6406</v>
      </c>
      <c r="L55" s="387">
        <v>5162</v>
      </c>
      <c r="M55" s="387">
        <v>622</v>
      </c>
      <c r="N55" s="387">
        <v>959</v>
      </c>
      <c r="O55" s="387">
        <v>9921</v>
      </c>
      <c r="P55" s="387">
        <v>7500</v>
      </c>
    </row>
    <row r="56" spans="2:16" x14ac:dyDescent="0.25">
      <c r="B56" s="277">
        <v>44378</v>
      </c>
      <c r="C56" s="387">
        <v>2506</v>
      </c>
      <c r="D56" s="387">
        <v>1010</v>
      </c>
      <c r="E56" s="387">
        <v>826</v>
      </c>
      <c r="F56" s="387">
        <v>608</v>
      </c>
      <c r="G56" s="387"/>
      <c r="H56" s="387"/>
      <c r="I56" s="387"/>
      <c r="J56" s="387"/>
      <c r="K56" s="387">
        <v>7751</v>
      </c>
      <c r="L56" s="387">
        <v>6034</v>
      </c>
      <c r="M56" s="387">
        <v>560</v>
      </c>
      <c r="N56" s="387">
        <v>911</v>
      </c>
      <c r="O56" s="387">
        <v>11643</v>
      </c>
      <c r="P56" s="387">
        <v>8563</v>
      </c>
    </row>
    <row r="57" spans="2:16" x14ac:dyDescent="0.25">
      <c r="B57" s="277">
        <v>44409</v>
      </c>
      <c r="C57" s="387">
        <v>2542</v>
      </c>
      <c r="D57" s="387">
        <v>1114</v>
      </c>
      <c r="E57" s="387">
        <v>908</v>
      </c>
      <c r="F57" s="387">
        <v>661</v>
      </c>
      <c r="G57" s="387"/>
      <c r="H57" s="387"/>
      <c r="I57" s="387"/>
      <c r="J57" s="387"/>
      <c r="K57" s="387">
        <v>8569</v>
      </c>
      <c r="L57" s="387">
        <v>7205</v>
      </c>
      <c r="M57" s="387">
        <v>565</v>
      </c>
      <c r="N57" s="387">
        <v>842</v>
      </c>
      <c r="O57" s="387">
        <v>12584</v>
      </c>
      <c r="P57" s="387">
        <v>9822</v>
      </c>
    </row>
    <row r="58" spans="2:16" x14ac:dyDescent="0.25">
      <c r="B58" s="277">
        <v>44440</v>
      </c>
      <c r="C58" s="387">
        <v>2769</v>
      </c>
      <c r="D58" s="387">
        <v>1138</v>
      </c>
      <c r="E58" s="387">
        <v>821</v>
      </c>
      <c r="F58" s="387">
        <v>561</v>
      </c>
      <c r="G58" s="387"/>
      <c r="H58" s="387"/>
      <c r="I58" s="387"/>
      <c r="J58" s="387"/>
      <c r="K58" s="387">
        <v>9499</v>
      </c>
      <c r="L58" s="387">
        <v>7883</v>
      </c>
      <c r="M58" s="387">
        <v>497</v>
      </c>
      <c r="N58" s="387">
        <v>768</v>
      </c>
      <c r="O58" s="387">
        <v>13586</v>
      </c>
      <c r="P58" s="387">
        <v>10350</v>
      </c>
    </row>
    <row r="59" spans="2:16" x14ac:dyDescent="0.25">
      <c r="B59" s="277">
        <v>44470</v>
      </c>
      <c r="C59" s="387">
        <v>2029</v>
      </c>
      <c r="D59" s="387">
        <v>882</v>
      </c>
      <c r="E59" s="387">
        <v>829</v>
      </c>
      <c r="F59" s="387">
        <v>550</v>
      </c>
      <c r="G59" s="387"/>
      <c r="H59" s="387"/>
      <c r="I59" s="387"/>
      <c r="J59" s="387"/>
      <c r="K59" s="387">
        <v>8512</v>
      </c>
      <c r="L59" s="387">
        <v>7020</v>
      </c>
      <c r="M59" s="387">
        <v>483</v>
      </c>
      <c r="N59" s="387">
        <v>823</v>
      </c>
      <c r="O59" s="387">
        <v>11853</v>
      </c>
      <c r="P59" s="387">
        <v>9275</v>
      </c>
    </row>
    <row r="60" spans="2:16" x14ac:dyDescent="0.25">
      <c r="B60" s="277">
        <v>44501</v>
      </c>
      <c r="C60" s="387">
        <v>2424</v>
      </c>
      <c r="D60" s="387">
        <v>956</v>
      </c>
      <c r="E60" s="387">
        <v>903</v>
      </c>
      <c r="F60" s="387">
        <v>595</v>
      </c>
      <c r="G60" s="387"/>
      <c r="H60" s="387"/>
      <c r="I60" s="387"/>
      <c r="J60" s="387"/>
      <c r="K60" s="387">
        <v>9786</v>
      </c>
      <c r="L60" s="387">
        <v>7689</v>
      </c>
      <c r="M60" s="387">
        <v>500</v>
      </c>
      <c r="N60" s="387">
        <v>854</v>
      </c>
      <c r="O60" s="387">
        <v>13613</v>
      </c>
      <c r="P60" s="387">
        <v>10094</v>
      </c>
    </row>
    <row r="61" spans="2:16" x14ac:dyDescent="0.25">
      <c r="B61" s="277">
        <v>44531</v>
      </c>
      <c r="C61" s="387">
        <v>2224</v>
      </c>
      <c r="D61" s="387">
        <v>957</v>
      </c>
      <c r="E61" s="387">
        <v>807</v>
      </c>
      <c r="F61" s="387">
        <v>518</v>
      </c>
      <c r="G61" s="387"/>
      <c r="H61" s="387"/>
      <c r="I61" s="387"/>
      <c r="J61" s="387"/>
      <c r="K61" s="387">
        <v>8590</v>
      </c>
      <c r="L61" s="387">
        <v>7657</v>
      </c>
      <c r="M61" s="387">
        <v>534</v>
      </c>
      <c r="N61" s="387">
        <v>791</v>
      </c>
      <c r="O61" s="387">
        <v>12155</v>
      </c>
      <c r="P61" s="387">
        <v>9923</v>
      </c>
    </row>
    <row r="62" spans="2:16" x14ac:dyDescent="0.25">
      <c r="B62" s="280" t="s">
        <v>770</v>
      </c>
      <c r="C62" s="386">
        <v>2127.75</v>
      </c>
      <c r="D62" s="386">
        <v>831.25</v>
      </c>
      <c r="E62" s="386">
        <v>770.33333333333337</v>
      </c>
      <c r="F62" s="386">
        <v>564.5</v>
      </c>
      <c r="G62" s="386"/>
      <c r="H62" s="386"/>
      <c r="I62" s="386"/>
      <c r="J62" s="386"/>
      <c r="K62" s="386">
        <v>7613.083333333333</v>
      </c>
      <c r="L62" s="386">
        <v>6258.083333333333</v>
      </c>
      <c r="M62" s="386">
        <v>647.5</v>
      </c>
      <c r="N62" s="386">
        <v>941.16666666666663</v>
      </c>
      <c r="O62" s="386">
        <v>11158.666666666666</v>
      </c>
      <c r="P62" s="386">
        <v>8595</v>
      </c>
    </row>
    <row r="63" spans="2:16" x14ac:dyDescent="0.25">
      <c r="B63" s="277">
        <v>44562</v>
      </c>
      <c r="C63" s="387">
        <v>3279</v>
      </c>
      <c r="D63" s="387">
        <v>1195</v>
      </c>
      <c r="E63" s="387">
        <v>976</v>
      </c>
      <c r="F63" s="387">
        <v>624</v>
      </c>
      <c r="G63" s="387"/>
      <c r="H63" s="387"/>
      <c r="I63" s="387"/>
      <c r="J63" s="387"/>
      <c r="K63" s="387">
        <v>10811</v>
      </c>
      <c r="L63" s="387">
        <v>9700</v>
      </c>
      <c r="M63" s="387">
        <v>578</v>
      </c>
      <c r="N63" s="387">
        <v>805</v>
      </c>
      <c r="O63" s="387">
        <v>15644</v>
      </c>
      <c r="P63" s="387">
        <v>12324</v>
      </c>
    </row>
    <row r="64" spans="2:16" x14ac:dyDescent="0.25">
      <c r="B64" s="277">
        <v>44593</v>
      </c>
      <c r="C64" s="387"/>
      <c r="D64" s="387"/>
      <c r="E64" s="387">
        <v>947</v>
      </c>
      <c r="F64" s="387">
        <v>697</v>
      </c>
      <c r="G64" s="387">
        <v>5937</v>
      </c>
      <c r="H64" s="387">
        <v>1939</v>
      </c>
      <c r="I64" s="387">
        <v>56512</v>
      </c>
      <c r="J64" s="387">
        <v>58878</v>
      </c>
      <c r="K64" s="387"/>
      <c r="L64" s="387"/>
      <c r="M64" s="387">
        <v>1024</v>
      </c>
      <c r="N64" s="387">
        <v>1607</v>
      </c>
      <c r="O64" s="387">
        <v>64420</v>
      </c>
      <c r="P64" s="387">
        <v>63121</v>
      </c>
    </row>
    <row r="65" spans="2:16" x14ac:dyDescent="0.25">
      <c r="B65" s="277">
        <v>44621</v>
      </c>
      <c r="C65" s="387"/>
      <c r="D65" s="387"/>
      <c r="E65" s="387">
        <v>908</v>
      </c>
      <c r="F65" s="387">
        <v>673</v>
      </c>
      <c r="G65" s="387">
        <v>1412</v>
      </c>
      <c r="H65" s="387">
        <v>931</v>
      </c>
      <c r="I65" s="387">
        <v>22802</v>
      </c>
      <c r="J65" s="387">
        <v>24663</v>
      </c>
      <c r="K65" s="387"/>
      <c r="L65" s="387"/>
      <c r="M65" s="387">
        <v>622</v>
      </c>
      <c r="N65" s="387">
        <v>1042</v>
      </c>
      <c r="O65" s="387">
        <v>25744</v>
      </c>
      <c r="P65" s="387">
        <v>27309</v>
      </c>
    </row>
    <row r="66" spans="2:16" x14ac:dyDescent="0.25">
      <c r="B66" s="277">
        <v>44652</v>
      </c>
      <c r="C66" s="387"/>
      <c r="D66" s="387"/>
      <c r="E66" s="387">
        <v>729</v>
      </c>
      <c r="F66" s="387">
        <v>513</v>
      </c>
      <c r="G66" s="387">
        <v>1831</v>
      </c>
      <c r="H66" s="387">
        <v>1321</v>
      </c>
      <c r="I66" s="387">
        <v>13301</v>
      </c>
      <c r="J66" s="387">
        <v>15190</v>
      </c>
      <c r="K66" s="387"/>
      <c r="L66" s="387"/>
      <c r="M66" s="387">
        <v>447</v>
      </c>
      <c r="N66" s="387">
        <v>704</v>
      </c>
      <c r="O66" s="387">
        <v>16308</v>
      </c>
      <c r="P66" s="387">
        <v>17728</v>
      </c>
    </row>
    <row r="67" spans="2:16" x14ac:dyDescent="0.25">
      <c r="B67" s="277">
        <v>44682</v>
      </c>
      <c r="C67" s="387"/>
      <c r="D67" s="387"/>
      <c r="E67" s="387">
        <v>599</v>
      </c>
      <c r="F67" s="387">
        <v>402</v>
      </c>
      <c r="G67" s="387">
        <v>2683</v>
      </c>
      <c r="H67" s="387">
        <v>1970</v>
      </c>
      <c r="I67" s="387">
        <v>11782</v>
      </c>
      <c r="J67" s="387">
        <v>14026</v>
      </c>
      <c r="K67" s="387"/>
      <c r="L67" s="387"/>
      <c r="M67" s="387">
        <v>410</v>
      </c>
      <c r="N67" s="387">
        <v>708</v>
      </c>
      <c r="O67" s="387">
        <v>15474</v>
      </c>
      <c r="P67" s="387">
        <v>17106</v>
      </c>
    </row>
    <row r="68" spans="2:16" x14ac:dyDescent="0.25">
      <c r="B68" s="277">
        <v>44713</v>
      </c>
      <c r="C68" s="387"/>
      <c r="D68" s="387"/>
      <c r="E68" s="387">
        <v>365</v>
      </c>
      <c r="F68" s="387">
        <v>315</v>
      </c>
      <c r="G68" s="387">
        <v>2664</v>
      </c>
      <c r="H68" s="387">
        <v>2065</v>
      </c>
      <c r="I68" s="387">
        <v>11778</v>
      </c>
      <c r="J68" s="387">
        <v>13795</v>
      </c>
      <c r="K68" s="387"/>
      <c r="L68" s="387"/>
      <c r="M68" s="387">
        <v>396</v>
      </c>
      <c r="N68" s="387">
        <v>715</v>
      </c>
      <c r="O68" s="387">
        <v>15203</v>
      </c>
      <c r="P68" s="387">
        <v>16890</v>
      </c>
    </row>
    <row r="69" spans="2:16" x14ac:dyDescent="0.25">
      <c r="B69" s="277">
        <v>44743</v>
      </c>
      <c r="C69" s="387"/>
      <c r="D69" s="387"/>
      <c r="E69" s="387">
        <v>326</v>
      </c>
      <c r="F69" s="387">
        <v>260</v>
      </c>
      <c r="G69" s="387">
        <v>2831</v>
      </c>
      <c r="H69" s="387">
        <v>2562</v>
      </c>
      <c r="I69" s="387">
        <v>12835</v>
      </c>
      <c r="J69" s="387">
        <v>13558</v>
      </c>
      <c r="K69" s="387"/>
      <c r="L69" s="387"/>
      <c r="M69" s="387">
        <v>437</v>
      </c>
      <c r="N69" s="387">
        <v>841</v>
      </c>
      <c r="O69" s="387">
        <v>16429</v>
      </c>
      <c r="P69" s="387">
        <v>17221</v>
      </c>
    </row>
    <row r="70" spans="2:16" x14ac:dyDescent="0.25">
      <c r="B70" s="277">
        <v>44774</v>
      </c>
      <c r="C70" s="387"/>
      <c r="D70" s="387"/>
      <c r="E70" s="387">
        <v>210</v>
      </c>
      <c r="F70" s="387">
        <v>179</v>
      </c>
      <c r="G70" s="387">
        <v>3875</v>
      </c>
      <c r="H70" s="387">
        <v>4767</v>
      </c>
      <c r="I70" s="387">
        <v>16143</v>
      </c>
      <c r="J70" s="387">
        <v>17564</v>
      </c>
      <c r="K70" s="387"/>
      <c r="L70" s="387"/>
      <c r="M70" s="387">
        <v>585</v>
      </c>
      <c r="N70" s="387">
        <v>1025</v>
      </c>
      <c r="O70" s="387">
        <v>20813</v>
      </c>
      <c r="P70" s="387">
        <v>23535</v>
      </c>
    </row>
    <row r="71" spans="2:16" x14ac:dyDescent="0.25">
      <c r="B71" s="277">
        <v>44805</v>
      </c>
      <c r="C71" s="387"/>
      <c r="D71" s="387"/>
      <c r="E71" s="387">
        <v>138</v>
      </c>
      <c r="F71" s="387">
        <v>111</v>
      </c>
      <c r="G71" s="387">
        <v>3146</v>
      </c>
      <c r="H71" s="387">
        <v>3607</v>
      </c>
      <c r="I71" s="387">
        <v>10245</v>
      </c>
      <c r="J71" s="387">
        <v>8643</v>
      </c>
      <c r="K71" s="387"/>
      <c r="L71" s="387"/>
      <c r="M71" s="387">
        <v>356</v>
      </c>
      <c r="N71" s="387">
        <v>667</v>
      </c>
      <c r="O71" s="387">
        <v>13885</v>
      </c>
      <c r="P71" s="387">
        <v>13028</v>
      </c>
    </row>
    <row r="72" spans="2:16" x14ac:dyDescent="0.25">
      <c r="B72" s="277">
        <v>44835</v>
      </c>
      <c r="C72" s="387"/>
      <c r="D72" s="387"/>
      <c r="E72" s="387">
        <v>138</v>
      </c>
      <c r="F72" s="387">
        <v>110</v>
      </c>
      <c r="G72" s="387">
        <v>3723</v>
      </c>
      <c r="H72" s="387">
        <v>4015</v>
      </c>
      <c r="I72" s="387">
        <v>14607</v>
      </c>
      <c r="J72" s="387">
        <v>10625</v>
      </c>
      <c r="K72" s="387"/>
      <c r="L72" s="387"/>
      <c r="M72" s="387">
        <v>356</v>
      </c>
      <c r="N72" s="387">
        <v>587</v>
      </c>
      <c r="O72" s="387">
        <v>18824</v>
      </c>
      <c r="P72" s="387">
        <v>15337</v>
      </c>
    </row>
    <row r="73" spans="2:16" x14ac:dyDescent="0.25">
      <c r="B73" s="277">
        <v>44866</v>
      </c>
      <c r="C73" s="387"/>
      <c r="D73" s="387"/>
      <c r="E73" s="387">
        <v>24</v>
      </c>
      <c r="F73" s="387">
        <v>32</v>
      </c>
      <c r="G73" s="387">
        <v>2694</v>
      </c>
      <c r="H73" s="387">
        <v>3483</v>
      </c>
      <c r="I73" s="387">
        <v>9802</v>
      </c>
      <c r="J73" s="387">
        <v>7915</v>
      </c>
      <c r="K73" s="387"/>
      <c r="L73" s="387"/>
      <c r="M73" s="387">
        <v>195</v>
      </c>
      <c r="N73" s="387">
        <v>395</v>
      </c>
      <c r="O73" s="387">
        <v>12715</v>
      </c>
      <c r="P73" s="387">
        <v>11825</v>
      </c>
    </row>
    <row r="74" spans="2:16" x14ac:dyDescent="0.25">
      <c r="B74" s="277">
        <v>44896</v>
      </c>
      <c r="C74" s="387"/>
      <c r="D74" s="387"/>
      <c r="E74" s="387">
        <v>4</v>
      </c>
      <c r="F74" s="387">
        <v>3</v>
      </c>
      <c r="G74" s="387">
        <v>1937</v>
      </c>
      <c r="H74" s="387">
        <v>1899</v>
      </c>
      <c r="I74" s="387">
        <v>4555</v>
      </c>
      <c r="J74" s="387">
        <v>3463</v>
      </c>
      <c r="K74" s="387"/>
      <c r="L74" s="387"/>
      <c r="M74" s="387">
        <v>113</v>
      </c>
      <c r="N74" s="387">
        <v>182</v>
      </c>
      <c r="O74" s="387">
        <v>6609</v>
      </c>
      <c r="P74" s="387">
        <v>5547</v>
      </c>
    </row>
    <row r="75" spans="2:16" x14ac:dyDescent="0.25">
      <c r="B75" s="280" t="s">
        <v>771</v>
      </c>
      <c r="C75" s="386">
        <v>3279</v>
      </c>
      <c r="D75" s="386">
        <v>1195</v>
      </c>
      <c r="E75" s="386">
        <v>447</v>
      </c>
      <c r="F75" s="386">
        <v>326.58333333333331</v>
      </c>
      <c r="G75" s="386">
        <v>2975.7272727272725</v>
      </c>
      <c r="H75" s="386">
        <v>2596.2727272727275</v>
      </c>
      <c r="I75" s="386">
        <v>16760.18181818182</v>
      </c>
      <c r="J75" s="386">
        <v>17120</v>
      </c>
      <c r="K75" s="386">
        <v>10811</v>
      </c>
      <c r="L75" s="386">
        <v>9700</v>
      </c>
      <c r="M75" s="386">
        <v>459.91666666666669</v>
      </c>
      <c r="N75" s="386">
        <v>773.16666666666663</v>
      </c>
      <c r="O75" s="386">
        <v>20172.333333333332</v>
      </c>
      <c r="P75" s="386">
        <v>20080.916666666668</v>
      </c>
    </row>
    <row r="76" spans="2:16" x14ac:dyDescent="0.25">
      <c r="B76" s="280" t="s">
        <v>7</v>
      </c>
      <c r="C76" s="386">
        <v>376985</v>
      </c>
      <c r="D76" s="386">
        <v>121059</v>
      </c>
      <c r="E76" s="386">
        <v>119625</v>
      </c>
      <c r="F76" s="386">
        <v>68030</v>
      </c>
      <c r="G76" s="386">
        <v>32733</v>
      </c>
      <c r="H76" s="386">
        <v>28559</v>
      </c>
      <c r="I76" s="386">
        <v>184362</v>
      </c>
      <c r="J76" s="386">
        <v>188320</v>
      </c>
      <c r="K76" s="386">
        <v>845545</v>
      </c>
      <c r="L76" s="386">
        <v>689764</v>
      </c>
      <c r="M76" s="386">
        <v>52705</v>
      </c>
      <c r="N76" s="386">
        <v>55233</v>
      </c>
      <c r="O76" s="386">
        <v>1611955</v>
      </c>
      <c r="P76" s="386">
        <v>1150965</v>
      </c>
    </row>
    <row r="77" spans="2:16" ht="30" customHeight="1" x14ac:dyDescent="0.25">
      <c r="B77" s="483" t="s">
        <v>995</v>
      </c>
      <c r="C77" s="483"/>
      <c r="D77" s="483"/>
      <c r="E77" s="483"/>
      <c r="F77" s="483"/>
      <c r="G77" s="483"/>
      <c r="H77" s="483"/>
      <c r="I77" s="483"/>
      <c r="J77" s="483"/>
      <c r="K77" s="483"/>
      <c r="L77" s="483"/>
      <c r="M77" s="483"/>
      <c r="N77" s="483"/>
      <c r="O77" s="483"/>
      <c r="P77" s="483"/>
    </row>
    <row r="78" spans="2:16" x14ac:dyDescent="0.25">
      <c r="B78" s="3"/>
      <c r="C78" s="3"/>
      <c r="D78" s="3"/>
      <c r="E78" s="3"/>
      <c r="F78" s="3"/>
      <c r="G78" s="3"/>
      <c r="H78" s="3"/>
    </row>
    <row r="79" spans="2:16" x14ac:dyDescent="0.25">
      <c r="B79" s="3"/>
      <c r="C79" s="3"/>
      <c r="D79" s="3"/>
      <c r="E79" s="3"/>
      <c r="F79" s="3"/>
      <c r="G79" s="3"/>
      <c r="H79" s="3"/>
    </row>
    <row r="80" spans="2:16" x14ac:dyDescent="0.25">
      <c r="B80" s="3"/>
      <c r="C80" s="3"/>
      <c r="D80" s="3"/>
      <c r="E80" s="3"/>
      <c r="F80" s="3"/>
      <c r="G80" s="3"/>
      <c r="H80" s="3"/>
    </row>
    <row r="81" spans="2:8" x14ac:dyDescent="0.25">
      <c r="B81" s="3"/>
      <c r="C81" s="3"/>
      <c r="D81" s="3"/>
      <c r="E81" s="3"/>
      <c r="F81" s="3"/>
      <c r="G81" s="3"/>
      <c r="H81" s="3"/>
    </row>
    <row r="82" spans="2:8" x14ac:dyDescent="0.25">
      <c r="B82" s="3"/>
      <c r="C82" s="3"/>
      <c r="D82" s="3"/>
      <c r="E82" s="3"/>
      <c r="F82" s="3"/>
      <c r="G82" s="3"/>
      <c r="H82" s="3"/>
    </row>
    <row r="83" spans="2:8" x14ac:dyDescent="0.25">
      <c r="B83" s="3"/>
      <c r="C83" s="3"/>
      <c r="D83" s="3"/>
      <c r="E83" s="3"/>
      <c r="F83" s="3"/>
      <c r="G83" s="3"/>
      <c r="H83" s="3"/>
    </row>
    <row r="84" spans="2:8" x14ac:dyDescent="0.25">
      <c r="B84" s="3"/>
      <c r="C84" s="3"/>
      <c r="D84" s="3"/>
      <c r="E84" s="3"/>
      <c r="F84" s="3"/>
      <c r="G84" s="3"/>
      <c r="H84" s="3"/>
    </row>
    <row r="85" spans="2:8" x14ac:dyDescent="0.25">
      <c r="B85" s="102"/>
      <c r="C85" s="3"/>
      <c r="D85" s="3"/>
      <c r="E85" s="3"/>
      <c r="F85" s="3"/>
      <c r="G85" s="3"/>
      <c r="H85" s="3"/>
    </row>
  </sheetData>
  <mergeCells count="18">
    <mergeCell ref="B5:H5"/>
    <mergeCell ref="B19:H19"/>
    <mergeCell ref="B21:B22"/>
    <mergeCell ref="C21:E21"/>
    <mergeCell ref="C7:E7"/>
    <mergeCell ref="B7:B8"/>
    <mergeCell ref="B16:E16"/>
    <mergeCell ref="B30:E30"/>
    <mergeCell ref="B77:P77"/>
    <mergeCell ref="K35:L35"/>
    <mergeCell ref="M35:N35"/>
    <mergeCell ref="O35:P35"/>
    <mergeCell ref="B33:H33"/>
    <mergeCell ref="B35:B36"/>
    <mergeCell ref="C35:D35"/>
    <mergeCell ref="E35:F35"/>
    <mergeCell ref="G35:H35"/>
    <mergeCell ref="I35:J35"/>
  </mergeCell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3DA61-EDFA-4100-AF6C-008EEA2BB70F}">
  <sheetPr>
    <tabColor rgb="FF00B0F0"/>
  </sheetPr>
  <dimension ref="B2:K505"/>
  <sheetViews>
    <sheetView showGridLines="0" topLeftCell="A144" workbookViewId="0">
      <selection activeCell="I35" sqref="I35"/>
    </sheetView>
  </sheetViews>
  <sheetFormatPr baseColWidth="10" defaultColWidth="11.5703125" defaultRowHeight="15" x14ac:dyDescent="0.25"/>
  <cols>
    <col min="1" max="1" width="6.7109375" style="23" customWidth="1"/>
    <col min="2" max="2" width="39.5703125" style="23" customWidth="1"/>
    <col min="3" max="3" width="22.28515625" style="23" customWidth="1"/>
    <col min="4" max="4" width="11.5703125" style="23"/>
    <col min="5" max="5" width="13.5703125" style="23" bestFit="1" customWidth="1"/>
    <col min="6" max="6" width="13.85546875" style="23" customWidth="1"/>
    <col min="7" max="7" width="11.5703125" style="23"/>
    <col min="8" max="8" width="14.7109375" style="23" customWidth="1"/>
    <col min="9" max="9" width="10" style="23" customWidth="1"/>
    <col min="10" max="10" width="12.28515625" style="23" customWidth="1"/>
    <col min="11" max="18" width="11.5703125" style="23" customWidth="1"/>
    <col min="19" max="19" width="7.7109375" style="23" customWidth="1"/>
    <col min="20" max="16384" width="11.5703125" style="23"/>
  </cols>
  <sheetData>
    <row r="2" spans="2:11" ht="23.25" x14ac:dyDescent="0.25">
      <c r="B2" s="1" t="s">
        <v>816</v>
      </c>
    </row>
    <row r="4" spans="2:11" ht="18.75" x14ac:dyDescent="0.3">
      <c r="B4" s="2" t="s">
        <v>981</v>
      </c>
      <c r="C4" s="2"/>
      <c r="D4" s="2"/>
      <c r="E4" s="2"/>
    </row>
    <row r="5" spans="2:11" x14ac:dyDescent="0.25">
      <c r="B5" s="31" t="s">
        <v>520</v>
      </c>
    </row>
    <row r="7" spans="2:11" ht="15" customHeight="1" x14ac:dyDescent="0.25">
      <c r="B7" s="484" t="s">
        <v>537</v>
      </c>
      <c r="C7" s="488" t="s">
        <v>538</v>
      </c>
      <c r="D7" s="488"/>
      <c r="E7" s="488"/>
      <c r="F7" s="488"/>
      <c r="G7" s="488"/>
      <c r="H7" s="488"/>
      <c r="I7" s="485" t="s">
        <v>610</v>
      </c>
      <c r="J7" s="487"/>
      <c r="K7" s="492" t="s">
        <v>36</v>
      </c>
    </row>
    <row r="8" spans="2:11" ht="30" x14ac:dyDescent="0.25">
      <c r="B8" s="484"/>
      <c r="C8" s="179" t="s">
        <v>3</v>
      </c>
      <c r="D8" s="179" t="s">
        <v>4</v>
      </c>
      <c r="E8" s="179" t="s">
        <v>714</v>
      </c>
      <c r="F8" s="179" t="s">
        <v>501</v>
      </c>
      <c r="G8" s="179" t="s">
        <v>5</v>
      </c>
      <c r="H8" s="179" t="s">
        <v>6</v>
      </c>
      <c r="I8" s="179" t="s">
        <v>87</v>
      </c>
      <c r="J8" s="179" t="s">
        <v>88</v>
      </c>
      <c r="K8" s="492"/>
    </row>
    <row r="9" spans="2:11" x14ac:dyDescent="0.25">
      <c r="B9" s="271" t="s">
        <v>521</v>
      </c>
      <c r="C9" s="378"/>
      <c r="D9" s="378">
        <v>3</v>
      </c>
      <c r="E9" s="378">
        <v>289</v>
      </c>
      <c r="F9" s="378">
        <v>854</v>
      </c>
      <c r="G9" s="378"/>
      <c r="H9" s="378">
        <v>33</v>
      </c>
      <c r="I9" s="378">
        <v>615</v>
      </c>
      <c r="J9" s="378">
        <v>564</v>
      </c>
      <c r="K9" s="359">
        <v>1179</v>
      </c>
    </row>
    <row r="10" spans="2:11" x14ac:dyDescent="0.25">
      <c r="B10" s="272" t="s">
        <v>522</v>
      </c>
      <c r="C10" s="378"/>
      <c r="D10" s="378">
        <v>9</v>
      </c>
      <c r="E10" s="378">
        <v>602</v>
      </c>
      <c r="F10" s="378">
        <v>1849</v>
      </c>
      <c r="G10" s="378"/>
      <c r="H10" s="378">
        <v>24</v>
      </c>
      <c r="I10" s="378">
        <v>1313</v>
      </c>
      <c r="J10" s="378">
        <v>1171</v>
      </c>
      <c r="K10" s="359">
        <v>2484</v>
      </c>
    </row>
    <row r="11" spans="2:11" x14ac:dyDescent="0.25">
      <c r="B11" s="272" t="s">
        <v>523</v>
      </c>
      <c r="C11" s="378"/>
      <c r="D11" s="378">
        <v>3</v>
      </c>
      <c r="E11" s="378">
        <v>385</v>
      </c>
      <c r="F11" s="378">
        <v>963</v>
      </c>
      <c r="G11" s="378"/>
      <c r="H11" s="378">
        <v>26</v>
      </c>
      <c r="I11" s="378">
        <v>657</v>
      </c>
      <c r="J11" s="378">
        <v>720</v>
      </c>
      <c r="K11" s="359">
        <v>1377</v>
      </c>
    </row>
    <row r="12" spans="2:11" x14ac:dyDescent="0.25">
      <c r="B12" s="272" t="s">
        <v>524</v>
      </c>
      <c r="C12" s="378"/>
      <c r="D12" s="378">
        <v>10</v>
      </c>
      <c r="E12" s="378">
        <v>894</v>
      </c>
      <c r="F12" s="378">
        <v>2431</v>
      </c>
      <c r="G12" s="378"/>
      <c r="H12" s="378">
        <v>88</v>
      </c>
      <c r="I12" s="378">
        <v>1765</v>
      </c>
      <c r="J12" s="378">
        <v>1658</v>
      </c>
      <c r="K12" s="359">
        <v>3423</v>
      </c>
    </row>
    <row r="13" spans="2:11" x14ac:dyDescent="0.25">
      <c r="B13" s="272" t="s">
        <v>525</v>
      </c>
      <c r="C13" s="378"/>
      <c r="D13" s="378">
        <v>34</v>
      </c>
      <c r="E13" s="378">
        <v>2025</v>
      </c>
      <c r="F13" s="378">
        <v>6225</v>
      </c>
      <c r="G13" s="378"/>
      <c r="H13" s="378">
        <v>224</v>
      </c>
      <c r="I13" s="378">
        <v>4761</v>
      </c>
      <c r="J13" s="378">
        <v>3747</v>
      </c>
      <c r="K13" s="359">
        <v>8508</v>
      </c>
    </row>
    <row r="14" spans="2:11" ht="30" x14ac:dyDescent="0.25">
      <c r="B14" s="296" t="s">
        <v>526</v>
      </c>
      <c r="C14" s="378"/>
      <c r="D14" s="378">
        <v>24</v>
      </c>
      <c r="E14" s="378">
        <v>986</v>
      </c>
      <c r="F14" s="378">
        <v>3197</v>
      </c>
      <c r="G14" s="378"/>
      <c r="H14" s="378">
        <v>126</v>
      </c>
      <c r="I14" s="378">
        <v>2319</v>
      </c>
      <c r="J14" s="378">
        <v>2014</v>
      </c>
      <c r="K14" s="359">
        <v>4333</v>
      </c>
    </row>
    <row r="15" spans="2:11" x14ac:dyDescent="0.25">
      <c r="B15" s="272" t="s">
        <v>527</v>
      </c>
      <c r="C15" s="378"/>
      <c r="D15" s="378">
        <v>26</v>
      </c>
      <c r="E15" s="378">
        <v>1077</v>
      </c>
      <c r="F15" s="378">
        <v>2631</v>
      </c>
      <c r="G15" s="378"/>
      <c r="H15" s="378">
        <v>149</v>
      </c>
      <c r="I15" s="378">
        <v>2077</v>
      </c>
      <c r="J15" s="378">
        <v>1806</v>
      </c>
      <c r="K15" s="359">
        <v>3883</v>
      </c>
    </row>
    <row r="16" spans="2:11" x14ac:dyDescent="0.25">
      <c r="B16" s="272" t="s">
        <v>528</v>
      </c>
      <c r="C16" s="378"/>
      <c r="D16" s="378">
        <v>31</v>
      </c>
      <c r="E16" s="378">
        <v>1495</v>
      </c>
      <c r="F16" s="378">
        <v>4436</v>
      </c>
      <c r="G16" s="378"/>
      <c r="H16" s="378">
        <v>193</v>
      </c>
      <c r="I16" s="378">
        <v>3314</v>
      </c>
      <c r="J16" s="378">
        <v>2841</v>
      </c>
      <c r="K16" s="359">
        <v>6155</v>
      </c>
    </row>
    <row r="17" spans="2:11" x14ac:dyDescent="0.25">
      <c r="B17" s="272" t="s">
        <v>529</v>
      </c>
      <c r="C17" s="378"/>
      <c r="D17" s="378">
        <v>29</v>
      </c>
      <c r="E17" s="378">
        <v>1073</v>
      </c>
      <c r="F17" s="378">
        <v>2135</v>
      </c>
      <c r="G17" s="378"/>
      <c r="H17" s="378">
        <v>120</v>
      </c>
      <c r="I17" s="378">
        <v>1804</v>
      </c>
      <c r="J17" s="378">
        <v>1553</v>
      </c>
      <c r="K17" s="359">
        <v>3357</v>
      </c>
    </row>
    <row r="18" spans="2:11" x14ac:dyDescent="0.25">
      <c r="B18" s="272" t="s">
        <v>530</v>
      </c>
      <c r="C18" s="378"/>
      <c r="D18" s="378">
        <v>24</v>
      </c>
      <c r="E18" s="378">
        <v>815</v>
      </c>
      <c r="F18" s="378">
        <v>1872</v>
      </c>
      <c r="G18" s="378"/>
      <c r="H18" s="378">
        <v>111</v>
      </c>
      <c r="I18" s="378">
        <v>1476</v>
      </c>
      <c r="J18" s="378">
        <v>1346</v>
      </c>
      <c r="K18" s="359">
        <v>2822</v>
      </c>
    </row>
    <row r="19" spans="2:11" ht="30" x14ac:dyDescent="0.25">
      <c r="B19" s="296" t="s">
        <v>531</v>
      </c>
      <c r="C19" s="378"/>
      <c r="D19" s="378">
        <v>2</v>
      </c>
      <c r="E19" s="378">
        <v>193</v>
      </c>
      <c r="F19" s="378">
        <v>333</v>
      </c>
      <c r="G19" s="378"/>
      <c r="H19" s="378">
        <v>11</v>
      </c>
      <c r="I19" s="378">
        <v>251</v>
      </c>
      <c r="J19" s="378">
        <v>288</v>
      </c>
      <c r="K19" s="359">
        <v>539</v>
      </c>
    </row>
    <row r="20" spans="2:11" x14ac:dyDescent="0.25">
      <c r="B20" s="272" t="s">
        <v>532</v>
      </c>
      <c r="C20" s="378"/>
      <c r="D20" s="378">
        <v>2</v>
      </c>
      <c r="E20" s="378">
        <v>205</v>
      </c>
      <c r="F20" s="378">
        <v>629</v>
      </c>
      <c r="G20" s="378"/>
      <c r="H20" s="378">
        <v>18</v>
      </c>
      <c r="I20" s="378">
        <v>494</v>
      </c>
      <c r="J20" s="378">
        <v>360</v>
      </c>
      <c r="K20" s="359">
        <v>854</v>
      </c>
    </row>
    <row r="21" spans="2:11" x14ac:dyDescent="0.25">
      <c r="B21" s="272" t="s">
        <v>533</v>
      </c>
      <c r="C21" s="378"/>
      <c r="D21" s="378">
        <v>91</v>
      </c>
      <c r="E21" s="378">
        <v>6516</v>
      </c>
      <c r="F21" s="378">
        <v>20481</v>
      </c>
      <c r="G21" s="378"/>
      <c r="H21" s="378">
        <v>530</v>
      </c>
      <c r="I21" s="378">
        <v>14911</v>
      </c>
      <c r="J21" s="378">
        <v>12707</v>
      </c>
      <c r="K21" s="359">
        <v>27618</v>
      </c>
    </row>
    <row r="22" spans="2:11" x14ac:dyDescent="0.25">
      <c r="B22" s="272" t="s">
        <v>534</v>
      </c>
      <c r="C22" s="378"/>
      <c r="D22" s="378">
        <v>6</v>
      </c>
      <c r="E22" s="378">
        <v>436</v>
      </c>
      <c r="F22" s="378">
        <v>1049</v>
      </c>
      <c r="G22" s="378"/>
      <c r="H22" s="378">
        <v>66</v>
      </c>
      <c r="I22" s="378">
        <v>853</v>
      </c>
      <c r="J22" s="378">
        <v>704</v>
      </c>
      <c r="K22" s="359">
        <v>1557</v>
      </c>
    </row>
    <row r="23" spans="2:11" x14ac:dyDescent="0.25">
      <c r="B23" s="272" t="s">
        <v>535</v>
      </c>
      <c r="C23" s="378"/>
      <c r="D23" s="378">
        <v>7</v>
      </c>
      <c r="E23" s="378">
        <v>248</v>
      </c>
      <c r="F23" s="378">
        <v>647</v>
      </c>
      <c r="G23" s="378"/>
      <c r="H23" s="378">
        <v>20</v>
      </c>
      <c r="I23" s="378">
        <v>515</v>
      </c>
      <c r="J23" s="378">
        <v>407</v>
      </c>
      <c r="K23" s="359">
        <v>922</v>
      </c>
    </row>
    <row r="24" spans="2:11" x14ac:dyDescent="0.25">
      <c r="B24" s="272" t="s">
        <v>536</v>
      </c>
      <c r="C24" s="378"/>
      <c r="D24" s="378">
        <v>10</v>
      </c>
      <c r="E24" s="378">
        <v>512</v>
      </c>
      <c r="F24" s="378">
        <v>1235</v>
      </c>
      <c r="G24" s="378"/>
      <c r="H24" s="378">
        <v>89</v>
      </c>
      <c r="I24" s="378">
        <v>1023</v>
      </c>
      <c r="J24" s="378">
        <v>823</v>
      </c>
      <c r="K24" s="359">
        <v>1846</v>
      </c>
    </row>
    <row r="25" spans="2:11" x14ac:dyDescent="0.25">
      <c r="B25" s="290" t="s">
        <v>36</v>
      </c>
      <c r="C25" s="346"/>
      <c r="D25" s="346">
        <v>311</v>
      </c>
      <c r="E25" s="346">
        <v>17751</v>
      </c>
      <c r="F25" s="346">
        <v>50967</v>
      </c>
      <c r="G25" s="346"/>
      <c r="H25" s="346">
        <v>1828</v>
      </c>
      <c r="I25" s="346">
        <v>38148</v>
      </c>
      <c r="J25" s="346">
        <v>32709</v>
      </c>
      <c r="K25" s="346">
        <v>70857</v>
      </c>
    </row>
    <row r="26" spans="2:11" ht="28.5" customHeight="1" x14ac:dyDescent="0.25">
      <c r="B26" s="510" t="s">
        <v>995</v>
      </c>
      <c r="C26" s="510"/>
      <c r="D26" s="510"/>
      <c r="E26" s="510"/>
      <c r="F26" s="510"/>
      <c r="G26" s="510"/>
      <c r="H26" s="510"/>
      <c r="I26" s="510"/>
      <c r="J26" s="510"/>
      <c r="K26" s="510"/>
    </row>
    <row r="28" spans="2:11" ht="18.75" x14ac:dyDescent="0.3">
      <c r="B28" s="2" t="s">
        <v>982</v>
      </c>
      <c r="C28" s="2"/>
      <c r="D28" s="2"/>
      <c r="E28" s="2"/>
      <c r="F28" s="24"/>
    </row>
    <row r="29" spans="2:11" x14ac:dyDescent="0.25">
      <c r="B29" s="31" t="s">
        <v>560</v>
      </c>
    </row>
    <row r="31" spans="2:11" x14ac:dyDescent="0.25">
      <c r="B31" s="484" t="s">
        <v>537</v>
      </c>
      <c r="C31" s="488" t="s">
        <v>538</v>
      </c>
      <c r="D31" s="488"/>
      <c r="E31" s="488"/>
      <c r="F31" s="488"/>
      <c r="G31" s="488"/>
      <c r="H31" s="488"/>
      <c r="I31" s="485" t="s">
        <v>610</v>
      </c>
      <c r="J31" s="487"/>
      <c r="K31" s="492" t="s">
        <v>36</v>
      </c>
    </row>
    <row r="32" spans="2:11" ht="30" x14ac:dyDescent="0.25">
      <c r="B32" s="484"/>
      <c r="C32" s="179" t="s">
        <v>3</v>
      </c>
      <c r="D32" s="179" t="s">
        <v>4</v>
      </c>
      <c r="E32" s="179" t="s">
        <v>714</v>
      </c>
      <c r="F32" s="179" t="s">
        <v>501</v>
      </c>
      <c r="G32" s="179" t="s">
        <v>5</v>
      </c>
      <c r="H32" s="179" t="s">
        <v>6</v>
      </c>
      <c r="I32" s="179" t="s">
        <v>87</v>
      </c>
      <c r="J32" s="179" t="s">
        <v>88</v>
      </c>
      <c r="K32" s="492"/>
    </row>
    <row r="33" spans="2:11" x14ac:dyDescent="0.25">
      <c r="B33" s="271" t="s">
        <v>521</v>
      </c>
      <c r="C33" s="378">
        <v>64</v>
      </c>
      <c r="D33" s="378">
        <v>205</v>
      </c>
      <c r="E33" s="378">
        <v>881</v>
      </c>
      <c r="F33" s="378">
        <v>5909</v>
      </c>
      <c r="G33" s="378">
        <v>286</v>
      </c>
      <c r="H33" s="378">
        <v>284</v>
      </c>
      <c r="I33" s="378">
        <v>3530</v>
      </c>
      <c r="J33" s="378">
        <v>4099</v>
      </c>
      <c r="K33" s="359">
        <v>7629</v>
      </c>
    </row>
    <row r="34" spans="2:11" x14ac:dyDescent="0.25">
      <c r="B34" s="272" t="s">
        <v>522</v>
      </c>
      <c r="C34" s="378">
        <v>136</v>
      </c>
      <c r="D34" s="378">
        <v>140</v>
      </c>
      <c r="E34" s="378">
        <v>1773</v>
      </c>
      <c r="F34" s="378">
        <v>11323</v>
      </c>
      <c r="G34" s="378">
        <v>568</v>
      </c>
      <c r="H34" s="378">
        <v>240</v>
      </c>
      <c r="I34" s="378">
        <v>6929</v>
      </c>
      <c r="J34" s="378">
        <v>7251</v>
      </c>
      <c r="K34" s="359">
        <v>14180</v>
      </c>
    </row>
    <row r="35" spans="2:11" x14ac:dyDescent="0.25">
      <c r="B35" s="272" t="s">
        <v>523</v>
      </c>
      <c r="C35" s="378">
        <v>68</v>
      </c>
      <c r="D35" s="378">
        <v>158</v>
      </c>
      <c r="E35" s="378">
        <v>1115</v>
      </c>
      <c r="F35" s="378">
        <v>6024</v>
      </c>
      <c r="G35" s="378">
        <v>296</v>
      </c>
      <c r="H35" s="378">
        <v>198</v>
      </c>
      <c r="I35" s="378">
        <v>3493</v>
      </c>
      <c r="J35" s="378">
        <v>4366</v>
      </c>
      <c r="K35" s="359">
        <v>7859</v>
      </c>
    </row>
    <row r="36" spans="2:11" x14ac:dyDescent="0.25">
      <c r="B36" s="272" t="s">
        <v>524</v>
      </c>
      <c r="C36" s="378">
        <v>206</v>
      </c>
      <c r="D36" s="378">
        <v>452</v>
      </c>
      <c r="E36" s="378">
        <v>2891</v>
      </c>
      <c r="F36" s="378">
        <v>17416</v>
      </c>
      <c r="G36" s="378">
        <v>860</v>
      </c>
      <c r="H36" s="378">
        <v>665</v>
      </c>
      <c r="I36" s="378">
        <v>10831</v>
      </c>
      <c r="J36" s="378">
        <v>11659</v>
      </c>
      <c r="K36" s="359">
        <v>22490</v>
      </c>
    </row>
    <row r="37" spans="2:11" x14ac:dyDescent="0.25">
      <c r="B37" s="272" t="s">
        <v>525</v>
      </c>
      <c r="C37" s="378">
        <v>490</v>
      </c>
      <c r="D37" s="378">
        <v>986</v>
      </c>
      <c r="E37" s="378">
        <v>7043</v>
      </c>
      <c r="F37" s="378">
        <v>47143</v>
      </c>
      <c r="G37" s="378">
        <v>2658</v>
      </c>
      <c r="H37" s="378">
        <v>1846</v>
      </c>
      <c r="I37" s="378">
        <v>30896</v>
      </c>
      <c r="J37" s="378">
        <v>29270</v>
      </c>
      <c r="K37" s="359">
        <v>60166</v>
      </c>
    </row>
    <row r="38" spans="2:11" ht="30" x14ac:dyDescent="0.25">
      <c r="B38" s="296" t="s">
        <v>526</v>
      </c>
      <c r="C38" s="378">
        <v>222</v>
      </c>
      <c r="D38" s="378">
        <v>596</v>
      </c>
      <c r="E38" s="378">
        <v>3204</v>
      </c>
      <c r="F38" s="378">
        <v>21472</v>
      </c>
      <c r="G38" s="378">
        <v>1178</v>
      </c>
      <c r="H38" s="378">
        <v>1195</v>
      </c>
      <c r="I38" s="378">
        <v>13585</v>
      </c>
      <c r="J38" s="378">
        <v>14282</v>
      </c>
      <c r="K38" s="359">
        <v>27867</v>
      </c>
    </row>
    <row r="39" spans="2:11" x14ac:dyDescent="0.25">
      <c r="B39" s="272" t="s">
        <v>527</v>
      </c>
      <c r="C39" s="378">
        <v>299</v>
      </c>
      <c r="D39" s="378">
        <v>715</v>
      </c>
      <c r="E39" s="378">
        <v>3927</v>
      </c>
      <c r="F39" s="378">
        <v>20793</v>
      </c>
      <c r="G39" s="378">
        <v>1419</v>
      </c>
      <c r="H39" s="378">
        <v>1149</v>
      </c>
      <c r="I39" s="378">
        <v>13878</v>
      </c>
      <c r="J39" s="378">
        <v>14424</v>
      </c>
      <c r="K39" s="359">
        <v>28302</v>
      </c>
    </row>
    <row r="40" spans="2:11" x14ac:dyDescent="0.25">
      <c r="B40" s="272" t="s">
        <v>528</v>
      </c>
      <c r="C40" s="378">
        <v>383</v>
      </c>
      <c r="D40" s="378">
        <v>1222</v>
      </c>
      <c r="E40" s="378">
        <v>5567</v>
      </c>
      <c r="F40" s="378">
        <v>33475</v>
      </c>
      <c r="G40" s="378">
        <v>1724</v>
      </c>
      <c r="H40" s="378">
        <v>1575</v>
      </c>
      <c r="I40" s="378">
        <v>21927</v>
      </c>
      <c r="J40" s="378">
        <v>22019</v>
      </c>
      <c r="K40" s="359">
        <v>43946</v>
      </c>
    </row>
    <row r="41" spans="2:11" x14ac:dyDescent="0.25">
      <c r="B41" s="272" t="s">
        <v>529</v>
      </c>
      <c r="C41" s="378">
        <v>322</v>
      </c>
      <c r="D41" s="378">
        <v>697</v>
      </c>
      <c r="E41" s="378">
        <v>4153</v>
      </c>
      <c r="F41" s="378">
        <v>16620</v>
      </c>
      <c r="G41" s="378">
        <v>1053</v>
      </c>
      <c r="H41" s="378">
        <v>888</v>
      </c>
      <c r="I41" s="378">
        <v>11904</v>
      </c>
      <c r="J41" s="378">
        <v>11829</v>
      </c>
      <c r="K41" s="359">
        <v>23733</v>
      </c>
    </row>
    <row r="42" spans="2:11" x14ac:dyDescent="0.25">
      <c r="B42" s="272" t="s">
        <v>530</v>
      </c>
      <c r="C42" s="378">
        <v>232</v>
      </c>
      <c r="D42" s="378">
        <v>705</v>
      </c>
      <c r="E42" s="378">
        <v>2978</v>
      </c>
      <c r="F42" s="378">
        <v>13940</v>
      </c>
      <c r="G42" s="378">
        <v>933</v>
      </c>
      <c r="H42" s="378">
        <v>860</v>
      </c>
      <c r="I42" s="378">
        <v>9874</v>
      </c>
      <c r="J42" s="378">
        <v>9774</v>
      </c>
      <c r="K42" s="359">
        <v>19648</v>
      </c>
    </row>
    <row r="43" spans="2:11" ht="30" x14ac:dyDescent="0.25">
      <c r="B43" s="296" t="s">
        <v>531</v>
      </c>
      <c r="C43" s="378">
        <v>20</v>
      </c>
      <c r="D43" s="378">
        <v>68</v>
      </c>
      <c r="E43" s="378">
        <v>435</v>
      </c>
      <c r="F43" s="378">
        <v>1564</v>
      </c>
      <c r="G43" s="378">
        <v>105</v>
      </c>
      <c r="H43" s="378">
        <v>80</v>
      </c>
      <c r="I43" s="378">
        <v>1056</v>
      </c>
      <c r="J43" s="378">
        <v>1216</v>
      </c>
      <c r="K43" s="359">
        <v>2272</v>
      </c>
    </row>
    <row r="44" spans="2:11" x14ac:dyDescent="0.25">
      <c r="B44" s="272" t="s">
        <v>532</v>
      </c>
      <c r="C44" s="378">
        <v>40</v>
      </c>
      <c r="D44" s="378">
        <v>90</v>
      </c>
      <c r="E44" s="378">
        <v>649</v>
      </c>
      <c r="F44" s="378">
        <v>3908</v>
      </c>
      <c r="G44" s="378">
        <v>196</v>
      </c>
      <c r="H44" s="378">
        <v>135</v>
      </c>
      <c r="I44" s="378">
        <v>2702</v>
      </c>
      <c r="J44" s="378">
        <v>2316</v>
      </c>
      <c r="K44" s="359">
        <v>5018</v>
      </c>
    </row>
    <row r="45" spans="2:11" x14ac:dyDescent="0.25">
      <c r="B45" s="272" t="s">
        <v>533</v>
      </c>
      <c r="C45" s="378">
        <v>1680</v>
      </c>
      <c r="D45" s="378">
        <v>2282</v>
      </c>
      <c r="E45" s="378">
        <v>22147</v>
      </c>
      <c r="F45" s="378">
        <v>151730</v>
      </c>
      <c r="G45" s="378">
        <v>7995</v>
      </c>
      <c r="H45" s="378">
        <v>4275</v>
      </c>
      <c r="I45" s="378">
        <v>96450</v>
      </c>
      <c r="J45" s="378">
        <v>93659</v>
      </c>
      <c r="K45" s="359">
        <v>190109</v>
      </c>
    </row>
    <row r="46" spans="2:11" x14ac:dyDescent="0.25">
      <c r="B46" s="272" t="s">
        <v>534</v>
      </c>
      <c r="C46" s="378">
        <v>111</v>
      </c>
      <c r="D46" s="378">
        <v>307</v>
      </c>
      <c r="E46" s="378">
        <v>1584</v>
      </c>
      <c r="F46" s="378">
        <v>7512</v>
      </c>
      <c r="G46" s="378">
        <v>427</v>
      </c>
      <c r="H46" s="378">
        <v>483</v>
      </c>
      <c r="I46" s="378">
        <v>5140</v>
      </c>
      <c r="J46" s="378">
        <v>5284</v>
      </c>
      <c r="K46" s="359">
        <v>10424</v>
      </c>
    </row>
    <row r="47" spans="2:11" x14ac:dyDescent="0.25">
      <c r="B47" s="272" t="s">
        <v>535</v>
      </c>
      <c r="C47" s="378">
        <v>50</v>
      </c>
      <c r="D47" s="378">
        <v>161</v>
      </c>
      <c r="E47" s="378">
        <v>776</v>
      </c>
      <c r="F47" s="378">
        <v>4530</v>
      </c>
      <c r="G47" s="378">
        <v>252</v>
      </c>
      <c r="H47" s="378">
        <v>155</v>
      </c>
      <c r="I47" s="378">
        <v>2915</v>
      </c>
      <c r="J47" s="378">
        <v>3009</v>
      </c>
      <c r="K47" s="359">
        <v>5924</v>
      </c>
    </row>
    <row r="48" spans="2:11" x14ac:dyDescent="0.25">
      <c r="B48" s="272" t="s">
        <v>536</v>
      </c>
      <c r="C48" s="378">
        <v>151</v>
      </c>
      <c r="D48" s="378">
        <v>499</v>
      </c>
      <c r="E48" s="378">
        <v>2169</v>
      </c>
      <c r="F48" s="378">
        <v>9323</v>
      </c>
      <c r="G48" s="378">
        <v>561</v>
      </c>
      <c r="H48" s="378">
        <v>769</v>
      </c>
      <c r="I48" s="378">
        <v>6958</v>
      </c>
      <c r="J48" s="378">
        <v>6514</v>
      </c>
      <c r="K48" s="359">
        <v>13472</v>
      </c>
    </row>
    <row r="49" spans="2:11" x14ac:dyDescent="0.25">
      <c r="B49" s="290" t="s">
        <v>36</v>
      </c>
      <c r="C49" s="346">
        <v>4474</v>
      </c>
      <c r="D49" s="346">
        <v>9283</v>
      </c>
      <c r="E49" s="346">
        <v>61292</v>
      </c>
      <c r="F49" s="346">
        <v>372682</v>
      </c>
      <c r="G49" s="346">
        <v>20511</v>
      </c>
      <c r="H49" s="346">
        <v>14797</v>
      </c>
      <c r="I49" s="346">
        <v>242068</v>
      </c>
      <c r="J49" s="346">
        <v>240971</v>
      </c>
      <c r="K49" s="346">
        <v>483039</v>
      </c>
    </row>
    <row r="50" spans="2:11" ht="27" customHeight="1" x14ac:dyDescent="0.25">
      <c r="B50" s="510" t="s">
        <v>898</v>
      </c>
      <c r="C50" s="510"/>
      <c r="D50" s="510"/>
      <c r="E50" s="510"/>
      <c r="F50" s="510"/>
      <c r="G50" s="510"/>
      <c r="H50" s="510"/>
      <c r="I50" s="510"/>
      <c r="J50" s="510"/>
      <c r="K50" s="510"/>
    </row>
    <row r="52" spans="2:11" ht="18.75" x14ac:dyDescent="0.3">
      <c r="B52" s="2" t="s">
        <v>983</v>
      </c>
      <c r="C52" s="2"/>
      <c r="D52" s="2"/>
      <c r="E52" s="2"/>
      <c r="F52"/>
      <c r="G52"/>
      <c r="H52"/>
      <c r="I52"/>
    </row>
    <row r="53" spans="2:11" x14ac:dyDescent="0.25">
      <c r="B53" s="10" t="s">
        <v>752</v>
      </c>
      <c r="C53"/>
      <c r="D53"/>
      <c r="E53"/>
      <c r="F53"/>
      <c r="G53"/>
      <c r="H53"/>
      <c r="I53"/>
    </row>
    <row r="54" spans="2:11" x14ac:dyDescent="0.25">
      <c r="B54" s="10"/>
      <c r="C54"/>
      <c r="D54"/>
      <c r="E54"/>
      <c r="F54"/>
      <c r="G54"/>
      <c r="H54"/>
      <c r="I54"/>
    </row>
    <row r="55" spans="2:11" x14ac:dyDescent="0.25">
      <c r="B55" s="205" t="s">
        <v>521</v>
      </c>
      <c r="C55"/>
      <c r="D55"/>
      <c r="E55"/>
      <c r="F55"/>
      <c r="G55"/>
      <c r="H55"/>
      <c r="I55"/>
    </row>
    <row r="56" spans="2:11" x14ac:dyDescent="0.25">
      <c r="B56"/>
      <c r="C56"/>
      <c r="D56"/>
      <c r="E56"/>
      <c r="F56"/>
      <c r="G56"/>
      <c r="H56"/>
      <c r="I56"/>
    </row>
    <row r="57" spans="2:11" x14ac:dyDescent="0.25">
      <c r="B57" s="106"/>
      <c r="C57" s="488" t="s">
        <v>538</v>
      </c>
      <c r="D57" s="488"/>
      <c r="E57" s="488"/>
      <c r="F57" s="488"/>
      <c r="G57" s="488"/>
      <c r="H57" s="488"/>
      <c r="I57" s="484" t="s">
        <v>610</v>
      </c>
      <c r="J57" s="484"/>
      <c r="K57" s="492" t="s">
        <v>36</v>
      </c>
    </row>
    <row r="58" spans="2:11" ht="30" x14ac:dyDescent="0.25">
      <c r="B58" s="267" t="s">
        <v>548</v>
      </c>
      <c r="C58" s="179" t="s">
        <v>3</v>
      </c>
      <c r="D58" s="179" t="s">
        <v>4</v>
      </c>
      <c r="E58" s="179" t="s">
        <v>714</v>
      </c>
      <c r="F58" s="179" t="s">
        <v>501</v>
      </c>
      <c r="G58" s="179" t="s">
        <v>5</v>
      </c>
      <c r="H58" s="179" t="s">
        <v>6</v>
      </c>
      <c r="I58" s="179" t="s">
        <v>87</v>
      </c>
      <c r="J58" s="179" t="s">
        <v>88</v>
      </c>
      <c r="K58" s="492"/>
    </row>
    <row r="59" spans="2:11" x14ac:dyDescent="0.25">
      <c r="B59" s="268" t="s">
        <v>146</v>
      </c>
      <c r="C59" s="378"/>
      <c r="D59" s="378">
        <v>0</v>
      </c>
      <c r="E59" s="378">
        <v>56</v>
      </c>
      <c r="F59" s="378">
        <v>126</v>
      </c>
      <c r="G59" s="378"/>
      <c r="H59" s="378">
        <v>15</v>
      </c>
      <c r="I59" s="378">
        <v>87</v>
      </c>
      <c r="J59" s="315">
        <v>110</v>
      </c>
      <c r="K59" s="334">
        <v>197</v>
      </c>
    </row>
    <row r="60" spans="2:11" x14ac:dyDescent="0.25">
      <c r="B60" s="269" t="s">
        <v>152</v>
      </c>
      <c r="C60" s="378"/>
      <c r="D60" s="378">
        <v>0</v>
      </c>
      <c r="E60" s="378">
        <v>3</v>
      </c>
      <c r="F60" s="378">
        <v>4</v>
      </c>
      <c r="G60" s="378"/>
      <c r="H60" s="378">
        <v>0</v>
      </c>
      <c r="I60" s="378">
        <v>3</v>
      </c>
      <c r="J60" s="315">
        <v>4</v>
      </c>
      <c r="K60" s="334">
        <v>7</v>
      </c>
    </row>
    <row r="61" spans="2:11" x14ac:dyDescent="0.25">
      <c r="B61" s="269" t="s">
        <v>147</v>
      </c>
      <c r="C61" s="378"/>
      <c r="D61" s="378">
        <v>0</v>
      </c>
      <c r="E61" s="378">
        <v>0</v>
      </c>
      <c r="F61" s="378">
        <v>1</v>
      </c>
      <c r="G61" s="378"/>
      <c r="H61" s="378">
        <v>0</v>
      </c>
      <c r="I61" s="378">
        <v>0</v>
      </c>
      <c r="J61" s="315">
        <v>1</v>
      </c>
      <c r="K61" s="334">
        <v>1</v>
      </c>
    </row>
    <row r="62" spans="2:11" x14ac:dyDescent="0.25">
      <c r="B62" s="269" t="s">
        <v>148</v>
      </c>
      <c r="C62" s="378"/>
      <c r="D62" s="378">
        <v>0</v>
      </c>
      <c r="E62" s="378">
        <v>2</v>
      </c>
      <c r="F62" s="378">
        <v>5</v>
      </c>
      <c r="G62" s="378"/>
      <c r="H62" s="378">
        <v>0</v>
      </c>
      <c r="I62" s="378">
        <v>4</v>
      </c>
      <c r="J62" s="315">
        <v>3</v>
      </c>
      <c r="K62" s="334">
        <v>7</v>
      </c>
    </row>
    <row r="63" spans="2:11" x14ac:dyDescent="0.25">
      <c r="B63" s="270" t="s">
        <v>149</v>
      </c>
      <c r="C63" s="378"/>
      <c r="D63" s="378">
        <v>3</v>
      </c>
      <c r="E63" s="378">
        <v>209</v>
      </c>
      <c r="F63" s="378">
        <v>650</v>
      </c>
      <c r="G63" s="378"/>
      <c r="H63" s="378">
        <v>14</v>
      </c>
      <c r="I63" s="378">
        <v>474</v>
      </c>
      <c r="J63" s="315">
        <v>402</v>
      </c>
      <c r="K63" s="334">
        <v>876</v>
      </c>
    </row>
    <row r="64" spans="2:11" x14ac:dyDescent="0.25">
      <c r="B64" s="194" t="s">
        <v>150</v>
      </c>
      <c r="C64" s="378"/>
      <c r="D64" s="378">
        <v>0</v>
      </c>
      <c r="E64" s="378">
        <v>10</v>
      </c>
      <c r="F64" s="378">
        <v>22</v>
      </c>
      <c r="G64" s="378"/>
      <c r="H64" s="378">
        <v>1</v>
      </c>
      <c r="I64" s="378">
        <v>18</v>
      </c>
      <c r="J64" s="315">
        <v>15</v>
      </c>
      <c r="K64" s="334">
        <v>33</v>
      </c>
    </row>
    <row r="65" spans="2:11" x14ac:dyDescent="0.25">
      <c r="B65" s="194" t="s">
        <v>151</v>
      </c>
      <c r="C65" s="378"/>
      <c r="D65" s="378">
        <v>0</v>
      </c>
      <c r="E65" s="378">
        <v>9</v>
      </c>
      <c r="F65" s="378">
        <v>46</v>
      </c>
      <c r="G65" s="378"/>
      <c r="H65" s="378">
        <v>3</v>
      </c>
      <c r="I65" s="378">
        <v>29</v>
      </c>
      <c r="J65" s="315">
        <v>29</v>
      </c>
      <c r="K65" s="334">
        <v>58</v>
      </c>
    </row>
    <row r="66" spans="2:11" x14ac:dyDescent="0.25">
      <c r="B66" s="289" t="s">
        <v>36</v>
      </c>
      <c r="C66" s="359"/>
      <c r="D66" s="359">
        <v>3</v>
      </c>
      <c r="E66" s="359">
        <v>289</v>
      </c>
      <c r="F66" s="359">
        <v>854</v>
      </c>
      <c r="G66" s="359"/>
      <c r="H66" s="359">
        <v>33</v>
      </c>
      <c r="I66" s="359">
        <v>615</v>
      </c>
      <c r="J66" s="334">
        <v>564</v>
      </c>
      <c r="K66" s="334">
        <v>1179</v>
      </c>
    </row>
    <row r="67" spans="2:11" ht="27.75" customHeight="1" x14ac:dyDescent="0.25">
      <c r="B67" s="510" t="s">
        <v>898</v>
      </c>
      <c r="C67" s="510"/>
      <c r="D67" s="510"/>
      <c r="E67" s="510"/>
      <c r="F67" s="510"/>
      <c r="G67" s="510"/>
      <c r="H67" s="510"/>
      <c r="I67" s="510"/>
      <c r="J67" s="510"/>
      <c r="K67" s="510"/>
    </row>
    <row r="68" spans="2:11" x14ac:dyDescent="0.25">
      <c r="B68" s="176"/>
      <c r="C68" s="176"/>
      <c r="D68" s="176"/>
      <c r="E68" s="176"/>
      <c r="F68" s="176"/>
      <c r="G68" s="176"/>
      <c r="H68" s="176"/>
      <c r="I68"/>
    </row>
    <row r="69" spans="2:11" x14ac:dyDescent="0.25">
      <c r="B69" s="205" t="s">
        <v>522</v>
      </c>
      <c r="C69"/>
      <c r="D69"/>
      <c r="E69"/>
      <c r="F69"/>
      <c r="G69"/>
      <c r="H69"/>
      <c r="I69"/>
    </row>
    <row r="70" spans="2:11" x14ac:dyDescent="0.25">
      <c r="B70" s="205"/>
      <c r="C70"/>
      <c r="D70"/>
      <c r="E70"/>
      <c r="F70"/>
      <c r="G70"/>
      <c r="H70"/>
      <c r="I70"/>
    </row>
    <row r="71" spans="2:11" x14ac:dyDescent="0.25">
      <c r="B71" s="106"/>
      <c r="C71" s="488" t="s">
        <v>538</v>
      </c>
      <c r="D71" s="488"/>
      <c r="E71" s="488"/>
      <c r="F71" s="488"/>
      <c r="G71" s="488"/>
      <c r="H71" s="488"/>
      <c r="I71" s="484" t="s">
        <v>610</v>
      </c>
      <c r="J71" s="484"/>
      <c r="K71" s="505" t="s">
        <v>36</v>
      </c>
    </row>
    <row r="72" spans="2:11" ht="30" x14ac:dyDescent="0.25">
      <c r="B72" s="178" t="s">
        <v>548</v>
      </c>
      <c r="C72" s="179" t="s">
        <v>3</v>
      </c>
      <c r="D72" s="179" t="s">
        <v>4</v>
      </c>
      <c r="E72" s="179" t="s">
        <v>714</v>
      </c>
      <c r="F72" s="179" t="s">
        <v>501</v>
      </c>
      <c r="G72" s="179" t="s">
        <v>5</v>
      </c>
      <c r="H72" s="179" t="s">
        <v>6</v>
      </c>
      <c r="I72" s="179" t="s">
        <v>87</v>
      </c>
      <c r="J72" s="179" t="s">
        <v>88</v>
      </c>
      <c r="K72" s="505"/>
    </row>
    <row r="73" spans="2:11" x14ac:dyDescent="0.25">
      <c r="B73" s="268" t="s">
        <v>154</v>
      </c>
      <c r="C73" s="378"/>
      <c r="D73" s="378">
        <v>5</v>
      </c>
      <c r="E73" s="378">
        <v>364</v>
      </c>
      <c r="F73" s="378">
        <v>1167</v>
      </c>
      <c r="G73" s="378"/>
      <c r="H73" s="378">
        <v>17</v>
      </c>
      <c r="I73" s="378">
        <v>834</v>
      </c>
      <c r="J73" s="315">
        <v>719</v>
      </c>
      <c r="K73" s="334">
        <v>1553</v>
      </c>
    </row>
    <row r="74" spans="2:11" x14ac:dyDescent="0.25">
      <c r="B74" s="269" t="s">
        <v>155</v>
      </c>
      <c r="C74" s="378"/>
      <c r="D74" s="378">
        <v>3</v>
      </c>
      <c r="E74" s="378">
        <v>168</v>
      </c>
      <c r="F74" s="378">
        <v>492</v>
      </c>
      <c r="G74" s="378"/>
      <c r="H74" s="378">
        <v>5</v>
      </c>
      <c r="I74" s="378">
        <v>354</v>
      </c>
      <c r="J74" s="315">
        <v>314</v>
      </c>
      <c r="K74" s="334">
        <v>668</v>
      </c>
    </row>
    <row r="75" spans="2:11" x14ac:dyDescent="0.25">
      <c r="B75" s="269" t="s">
        <v>156</v>
      </c>
      <c r="C75" s="378"/>
      <c r="D75" s="378">
        <v>0</v>
      </c>
      <c r="E75" s="378">
        <v>6</v>
      </c>
      <c r="F75" s="378">
        <v>13</v>
      </c>
      <c r="G75" s="378"/>
      <c r="H75" s="378">
        <v>0</v>
      </c>
      <c r="I75" s="378">
        <v>7</v>
      </c>
      <c r="J75" s="315">
        <v>12</v>
      </c>
      <c r="K75" s="334">
        <v>19</v>
      </c>
    </row>
    <row r="76" spans="2:11" x14ac:dyDescent="0.25">
      <c r="B76" s="269" t="s">
        <v>157</v>
      </c>
      <c r="C76" s="378"/>
      <c r="D76" s="378">
        <v>0</v>
      </c>
      <c r="E76" s="378">
        <v>12</v>
      </c>
      <c r="F76" s="378">
        <v>32</v>
      </c>
      <c r="G76" s="378"/>
      <c r="H76" s="378">
        <v>0</v>
      </c>
      <c r="I76" s="378">
        <v>18</v>
      </c>
      <c r="J76" s="315">
        <v>26</v>
      </c>
      <c r="K76" s="334">
        <v>44</v>
      </c>
    </row>
    <row r="77" spans="2:11" x14ac:dyDescent="0.25">
      <c r="B77" s="269" t="s">
        <v>159</v>
      </c>
      <c r="C77" s="378"/>
      <c r="D77" s="378">
        <v>0</v>
      </c>
      <c r="E77" s="378">
        <v>5</v>
      </c>
      <c r="F77" s="378">
        <v>10</v>
      </c>
      <c r="G77" s="378"/>
      <c r="H77" s="378">
        <v>0</v>
      </c>
      <c r="I77" s="378">
        <v>5</v>
      </c>
      <c r="J77" s="315">
        <v>10</v>
      </c>
      <c r="K77" s="334">
        <v>15</v>
      </c>
    </row>
    <row r="78" spans="2:11" x14ac:dyDescent="0.25">
      <c r="B78" s="269" t="s">
        <v>160</v>
      </c>
      <c r="C78" s="378"/>
      <c r="D78" s="378">
        <v>0</v>
      </c>
      <c r="E78" s="378">
        <v>2</v>
      </c>
      <c r="F78" s="378">
        <v>7</v>
      </c>
      <c r="G78" s="378"/>
      <c r="H78" s="378">
        <v>0</v>
      </c>
      <c r="I78" s="378">
        <v>5</v>
      </c>
      <c r="J78" s="315">
        <v>4</v>
      </c>
      <c r="K78" s="334">
        <v>9</v>
      </c>
    </row>
    <row r="79" spans="2:11" x14ac:dyDescent="0.25">
      <c r="B79" s="269" t="s">
        <v>161</v>
      </c>
      <c r="C79" s="378"/>
      <c r="D79" s="378">
        <v>0</v>
      </c>
      <c r="E79" s="378">
        <v>10</v>
      </c>
      <c r="F79" s="378">
        <v>31</v>
      </c>
      <c r="G79" s="378"/>
      <c r="H79" s="378">
        <v>1</v>
      </c>
      <c r="I79" s="378">
        <v>23</v>
      </c>
      <c r="J79" s="315">
        <v>19</v>
      </c>
      <c r="K79" s="334">
        <v>42</v>
      </c>
    </row>
    <row r="80" spans="2:11" x14ac:dyDescent="0.25">
      <c r="B80" s="269" t="s">
        <v>162</v>
      </c>
      <c r="C80" s="378"/>
      <c r="D80" s="378">
        <v>1</v>
      </c>
      <c r="E80" s="378">
        <v>35</v>
      </c>
      <c r="F80" s="378">
        <v>97</v>
      </c>
      <c r="G80" s="378"/>
      <c r="H80" s="378">
        <v>1</v>
      </c>
      <c r="I80" s="378">
        <v>67</v>
      </c>
      <c r="J80" s="315">
        <v>67</v>
      </c>
      <c r="K80" s="334">
        <v>134</v>
      </c>
    </row>
    <row r="81" spans="2:11" x14ac:dyDescent="0.25">
      <c r="B81" s="289" t="s">
        <v>36</v>
      </c>
      <c r="C81" s="359"/>
      <c r="D81" s="359">
        <v>9</v>
      </c>
      <c r="E81" s="359">
        <v>602</v>
      </c>
      <c r="F81" s="359">
        <v>1849</v>
      </c>
      <c r="G81" s="359"/>
      <c r="H81" s="359">
        <v>24</v>
      </c>
      <c r="I81" s="359">
        <v>1313</v>
      </c>
      <c r="J81" s="334">
        <v>1171</v>
      </c>
      <c r="K81" s="334">
        <v>2484</v>
      </c>
    </row>
    <row r="82" spans="2:11" ht="29.25" customHeight="1" x14ac:dyDescent="0.25">
      <c r="B82" s="510" t="s">
        <v>898</v>
      </c>
      <c r="C82" s="510"/>
      <c r="D82" s="510"/>
      <c r="E82" s="510"/>
      <c r="F82" s="510"/>
      <c r="G82" s="510"/>
      <c r="H82" s="510"/>
      <c r="I82" s="510"/>
      <c r="J82" s="510"/>
      <c r="K82" s="510"/>
    </row>
    <row r="83" spans="2:11" x14ac:dyDescent="0.25">
      <c r="B83" s="176"/>
      <c r="C83" s="176"/>
      <c r="D83" s="176"/>
      <c r="E83" s="176"/>
      <c r="F83"/>
      <c r="G83"/>
      <c r="H83"/>
      <c r="I83"/>
    </row>
    <row r="84" spans="2:11" x14ac:dyDescent="0.25">
      <c r="B84" s="205" t="s">
        <v>523</v>
      </c>
      <c r="C84"/>
      <c r="D84"/>
      <c r="E84"/>
      <c r="F84"/>
      <c r="G84"/>
      <c r="H84"/>
      <c r="I84"/>
    </row>
    <row r="85" spans="2:11" x14ac:dyDescent="0.25">
      <c r="B85" s="205"/>
      <c r="C85"/>
      <c r="D85"/>
      <c r="E85"/>
      <c r="F85"/>
      <c r="G85"/>
      <c r="H85"/>
      <c r="I85"/>
    </row>
    <row r="86" spans="2:11" x14ac:dyDescent="0.25">
      <c r="B86" s="176"/>
      <c r="C86" s="488" t="s">
        <v>538</v>
      </c>
      <c r="D86" s="488"/>
      <c r="E86" s="488"/>
      <c r="F86" s="488"/>
      <c r="G86" s="488"/>
      <c r="H86" s="488"/>
      <c r="I86" s="484" t="s">
        <v>610</v>
      </c>
      <c r="J86" s="484"/>
      <c r="K86" s="505" t="s">
        <v>36</v>
      </c>
    </row>
    <row r="87" spans="2:11" ht="30" x14ac:dyDescent="0.25">
      <c r="B87" s="178" t="s">
        <v>548</v>
      </c>
      <c r="C87" s="179" t="s">
        <v>3</v>
      </c>
      <c r="D87" s="179" t="s">
        <v>4</v>
      </c>
      <c r="E87" s="179" t="s">
        <v>714</v>
      </c>
      <c r="F87" s="179" t="s">
        <v>501</v>
      </c>
      <c r="G87" s="179" t="s">
        <v>5</v>
      </c>
      <c r="H87" s="179" t="s">
        <v>6</v>
      </c>
      <c r="I87" s="179" t="s">
        <v>87</v>
      </c>
      <c r="J87" s="179" t="s">
        <v>88</v>
      </c>
      <c r="K87" s="505"/>
    </row>
    <row r="88" spans="2:11" x14ac:dyDescent="0.25">
      <c r="B88" s="269" t="s">
        <v>163</v>
      </c>
      <c r="C88" s="376"/>
      <c r="D88" s="376">
        <v>0</v>
      </c>
      <c r="E88" s="376">
        <v>7</v>
      </c>
      <c r="F88" s="376">
        <v>16</v>
      </c>
      <c r="G88" s="376"/>
      <c r="H88" s="376">
        <v>0</v>
      </c>
      <c r="I88" s="376">
        <v>7</v>
      </c>
      <c r="J88" s="332">
        <v>16</v>
      </c>
      <c r="K88" s="333">
        <v>23</v>
      </c>
    </row>
    <row r="89" spans="2:11" x14ac:dyDescent="0.25">
      <c r="B89" s="269" t="s">
        <v>164</v>
      </c>
      <c r="C89" s="376"/>
      <c r="D89" s="376">
        <v>0</v>
      </c>
      <c r="E89" s="376">
        <v>23</v>
      </c>
      <c r="F89" s="376">
        <v>52</v>
      </c>
      <c r="G89" s="376"/>
      <c r="H89" s="376">
        <v>2</v>
      </c>
      <c r="I89" s="376">
        <v>45</v>
      </c>
      <c r="J89" s="332">
        <v>32</v>
      </c>
      <c r="K89" s="333">
        <v>77</v>
      </c>
    </row>
    <row r="90" spans="2:11" x14ac:dyDescent="0.25">
      <c r="B90" s="269" t="s">
        <v>506</v>
      </c>
      <c r="C90" s="376"/>
      <c r="D90" s="376">
        <v>0</v>
      </c>
      <c r="E90" s="376">
        <v>26</v>
      </c>
      <c r="F90" s="376">
        <v>59</v>
      </c>
      <c r="G90" s="376"/>
      <c r="H90" s="376">
        <v>1</v>
      </c>
      <c r="I90" s="376">
        <v>36</v>
      </c>
      <c r="J90" s="332">
        <v>50</v>
      </c>
      <c r="K90" s="333">
        <v>86</v>
      </c>
    </row>
    <row r="91" spans="2:11" x14ac:dyDescent="0.25">
      <c r="B91" s="269" t="s">
        <v>165</v>
      </c>
      <c r="C91" s="376"/>
      <c r="D91" s="376">
        <v>2</v>
      </c>
      <c r="E91" s="376">
        <v>184</v>
      </c>
      <c r="F91" s="376">
        <v>516</v>
      </c>
      <c r="G91" s="376"/>
      <c r="H91" s="376">
        <v>15</v>
      </c>
      <c r="I91" s="376">
        <v>362</v>
      </c>
      <c r="J91" s="332">
        <v>355</v>
      </c>
      <c r="K91" s="333">
        <v>717</v>
      </c>
    </row>
    <row r="92" spans="2:11" x14ac:dyDescent="0.25">
      <c r="B92" s="269" t="s">
        <v>166</v>
      </c>
      <c r="C92" s="376"/>
      <c r="D92" s="376">
        <v>0</v>
      </c>
      <c r="E92" s="376">
        <v>13</v>
      </c>
      <c r="F92" s="376">
        <v>30</v>
      </c>
      <c r="G92" s="376"/>
      <c r="H92" s="376">
        <v>3</v>
      </c>
      <c r="I92" s="376">
        <v>17</v>
      </c>
      <c r="J92" s="332">
        <v>29</v>
      </c>
      <c r="K92" s="333">
        <v>46</v>
      </c>
    </row>
    <row r="93" spans="2:11" x14ac:dyDescent="0.25">
      <c r="B93" s="269" t="s">
        <v>167</v>
      </c>
      <c r="C93" s="376"/>
      <c r="D93" s="376">
        <v>0</v>
      </c>
      <c r="E93" s="376">
        <v>19</v>
      </c>
      <c r="F93" s="376">
        <v>27</v>
      </c>
      <c r="G93" s="376"/>
      <c r="H93" s="376">
        <v>1</v>
      </c>
      <c r="I93" s="376">
        <v>18</v>
      </c>
      <c r="J93" s="332">
        <v>29</v>
      </c>
      <c r="K93" s="333">
        <v>47</v>
      </c>
    </row>
    <row r="94" spans="2:11" x14ac:dyDescent="0.25">
      <c r="B94" s="269" t="s">
        <v>168</v>
      </c>
      <c r="C94" s="376"/>
      <c r="D94" s="376">
        <v>0</v>
      </c>
      <c r="E94" s="376">
        <v>19</v>
      </c>
      <c r="F94" s="376">
        <v>39</v>
      </c>
      <c r="G94" s="376"/>
      <c r="H94" s="376">
        <v>0</v>
      </c>
      <c r="I94" s="376">
        <v>23</v>
      </c>
      <c r="J94" s="332">
        <v>35</v>
      </c>
      <c r="K94" s="333">
        <v>58</v>
      </c>
    </row>
    <row r="95" spans="2:11" x14ac:dyDescent="0.25">
      <c r="B95" s="269" t="s">
        <v>169</v>
      </c>
      <c r="C95" s="376"/>
      <c r="D95" s="376">
        <v>1</v>
      </c>
      <c r="E95" s="376">
        <v>12</v>
      </c>
      <c r="F95" s="376">
        <v>32</v>
      </c>
      <c r="G95" s="376"/>
      <c r="H95" s="376">
        <v>1</v>
      </c>
      <c r="I95" s="376">
        <v>17</v>
      </c>
      <c r="J95" s="332">
        <v>29</v>
      </c>
      <c r="K95" s="333">
        <v>46</v>
      </c>
    </row>
    <row r="96" spans="2:11" x14ac:dyDescent="0.25">
      <c r="B96" s="270" t="s">
        <v>170</v>
      </c>
      <c r="C96" s="376"/>
      <c r="D96" s="376">
        <v>0</v>
      </c>
      <c r="E96" s="376">
        <v>82</v>
      </c>
      <c r="F96" s="376">
        <v>192</v>
      </c>
      <c r="G96" s="376"/>
      <c r="H96" s="376">
        <v>3</v>
      </c>
      <c r="I96" s="376">
        <v>132</v>
      </c>
      <c r="J96" s="332">
        <v>145</v>
      </c>
      <c r="K96" s="333">
        <v>277</v>
      </c>
    </row>
    <row r="97" spans="2:11" x14ac:dyDescent="0.25">
      <c r="B97" s="289" t="s">
        <v>36</v>
      </c>
      <c r="C97" s="377"/>
      <c r="D97" s="377">
        <v>3</v>
      </c>
      <c r="E97" s="377">
        <v>385</v>
      </c>
      <c r="F97" s="377">
        <v>963</v>
      </c>
      <c r="G97" s="377"/>
      <c r="H97" s="377">
        <v>26</v>
      </c>
      <c r="I97" s="377">
        <v>657</v>
      </c>
      <c r="J97" s="333">
        <v>720</v>
      </c>
      <c r="K97" s="333">
        <v>1377</v>
      </c>
    </row>
    <row r="98" spans="2:11" ht="29.25" customHeight="1" x14ac:dyDescent="0.25">
      <c r="B98" s="510" t="s">
        <v>898</v>
      </c>
      <c r="C98" s="510"/>
      <c r="D98" s="510"/>
      <c r="E98" s="510"/>
      <c r="F98" s="510"/>
      <c r="G98" s="510"/>
      <c r="H98" s="510"/>
      <c r="I98" s="510"/>
      <c r="J98" s="510"/>
      <c r="K98" s="510"/>
    </row>
    <row r="99" spans="2:11" x14ac:dyDescent="0.25">
      <c r="B99" s="176"/>
      <c r="C99" s="176"/>
      <c r="D99" s="176"/>
      <c r="E99" s="176"/>
      <c r="F99"/>
      <c r="G99"/>
      <c r="H99"/>
      <c r="I99"/>
    </row>
    <row r="100" spans="2:11" x14ac:dyDescent="0.25">
      <c r="B100" s="205" t="s">
        <v>524</v>
      </c>
      <c r="C100"/>
      <c r="D100"/>
      <c r="E100"/>
      <c r="F100"/>
      <c r="G100"/>
      <c r="H100"/>
      <c r="I100"/>
    </row>
    <row r="101" spans="2:11" x14ac:dyDescent="0.25">
      <c r="B101" s="205"/>
      <c r="C101"/>
      <c r="D101"/>
      <c r="E101"/>
      <c r="F101"/>
      <c r="G101"/>
      <c r="H101"/>
      <c r="I101"/>
    </row>
    <row r="102" spans="2:11" x14ac:dyDescent="0.25">
      <c r="B102" s="176"/>
      <c r="C102" s="488" t="s">
        <v>538</v>
      </c>
      <c r="D102" s="488"/>
      <c r="E102" s="488"/>
      <c r="F102" s="488"/>
      <c r="G102" s="488"/>
      <c r="H102" s="488"/>
      <c r="I102" s="484" t="s">
        <v>610</v>
      </c>
      <c r="J102" s="484"/>
      <c r="K102" s="492" t="s">
        <v>36</v>
      </c>
    </row>
    <row r="103" spans="2:11" ht="30" x14ac:dyDescent="0.25">
      <c r="B103" s="178" t="s">
        <v>548</v>
      </c>
      <c r="C103" s="179" t="s">
        <v>3</v>
      </c>
      <c r="D103" s="179" t="s">
        <v>4</v>
      </c>
      <c r="E103" s="179" t="s">
        <v>714</v>
      </c>
      <c r="F103" s="179" t="s">
        <v>501</v>
      </c>
      <c r="G103" s="179" t="s">
        <v>5</v>
      </c>
      <c r="H103" s="179" t="s">
        <v>6</v>
      </c>
      <c r="I103" s="179" t="s">
        <v>87</v>
      </c>
      <c r="J103" s="179" t="s">
        <v>88</v>
      </c>
      <c r="K103" s="492"/>
    </row>
    <row r="104" spans="2:11" x14ac:dyDescent="0.25">
      <c r="B104" s="268" t="s">
        <v>171</v>
      </c>
      <c r="C104" s="378"/>
      <c r="D104" s="378">
        <v>0</v>
      </c>
      <c r="E104" s="378">
        <v>8</v>
      </c>
      <c r="F104" s="378">
        <v>24</v>
      </c>
      <c r="G104" s="378"/>
      <c r="H104" s="378">
        <v>0</v>
      </c>
      <c r="I104" s="378">
        <v>15</v>
      </c>
      <c r="J104" s="315">
        <v>17</v>
      </c>
      <c r="K104" s="334">
        <v>32</v>
      </c>
    </row>
    <row r="105" spans="2:11" x14ac:dyDescent="0.25">
      <c r="B105" s="269" t="s">
        <v>172</v>
      </c>
      <c r="C105" s="378"/>
      <c r="D105" s="378">
        <v>0</v>
      </c>
      <c r="E105" s="378">
        <v>13</v>
      </c>
      <c r="F105" s="378">
        <v>28</v>
      </c>
      <c r="G105" s="378"/>
      <c r="H105" s="378">
        <v>0</v>
      </c>
      <c r="I105" s="378">
        <v>16</v>
      </c>
      <c r="J105" s="315">
        <v>25</v>
      </c>
      <c r="K105" s="334">
        <v>41</v>
      </c>
    </row>
    <row r="106" spans="2:11" x14ac:dyDescent="0.25">
      <c r="B106" s="269" t="s">
        <v>173</v>
      </c>
      <c r="C106" s="378"/>
      <c r="D106" s="378">
        <v>0</v>
      </c>
      <c r="E106" s="378">
        <v>20</v>
      </c>
      <c r="F106" s="378">
        <v>38</v>
      </c>
      <c r="G106" s="378"/>
      <c r="H106" s="378">
        <v>0</v>
      </c>
      <c r="I106" s="378">
        <v>31</v>
      </c>
      <c r="J106" s="315">
        <v>27</v>
      </c>
      <c r="K106" s="334">
        <v>58</v>
      </c>
    </row>
    <row r="107" spans="2:11" x14ac:dyDescent="0.25">
      <c r="B107" s="269" t="s">
        <v>174</v>
      </c>
      <c r="C107" s="378"/>
      <c r="D107" s="378">
        <v>4</v>
      </c>
      <c r="E107" s="378">
        <v>251</v>
      </c>
      <c r="F107" s="378">
        <v>677</v>
      </c>
      <c r="G107" s="378"/>
      <c r="H107" s="378">
        <v>24</v>
      </c>
      <c r="I107" s="378">
        <v>497</v>
      </c>
      <c r="J107" s="315">
        <v>459</v>
      </c>
      <c r="K107" s="334">
        <v>956</v>
      </c>
    </row>
    <row r="108" spans="2:11" x14ac:dyDescent="0.25">
      <c r="B108" s="269" t="s">
        <v>175</v>
      </c>
      <c r="C108" s="378"/>
      <c r="D108" s="378">
        <v>1</v>
      </c>
      <c r="E108" s="378">
        <v>45</v>
      </c>
      <c r="F108" s="378">
        <v>112</v>
      </c>
      <c r="G108" s="378"/>
      <c r="H108" s="378">
        <v>4</v>
      </c>
      <c r="I108" s="378">
        <v>69</v>
      </c>
      <c r="J108" s="315">
        <v>93</v>
      </c>
      <c r="K108" s="334">
        <v>162</v>
      </c>
    </row>
    <row r="109" spans="2:11" x14ac:dyDescent="0.25">
      <c r="B109" s="269" t="s">
        <v>176</v>
      </c>
      <c r="C109" s="378"/>
      <c r="D109" s="378">
        <v>0</v>
      </c>
      <c r="E109" s="378">
        <v>4</v>
      </c>
      <c r="F109" s="378">
        <v>12</v>
      </c>
      <c r="G109" s="378"/>
      <c r="H109" s="378">
        <v>1</v>
      </c>
      <c r="I109" s="378">
        <v>6</v>
      </c>
      <c r="J109" s="315">
        <v>11</v>
      </c>
      <c r="K109" s="334">
        <v>17</v>
      </c>
    </row>
    <row r="110" spans="2:11" x14ac:dyDescent="0.25">
      <c r="B110" s="269" t="s">
        <v>177</v>
      </c>
      <c r="C110" s="378"/>
      <c r="D110" s="378">
        <v>3</v>
      </c>
      <c r="E110" s="378">
        <v>249</v>
      </c>
      <c r="F110" s="378">
        <v>852</v>
      </c>
      <c r="G110" s="378"/>
      <c r="H110" s="378">
        <v>34</v>
      </c>
      <c r="I110" s="378">
        <v>618</v>
      </c>
      <c r="J110" s="315">
        <v>520</v>
      </c>
      <c r="K110" s="334">
        <v>1138</v>
      </c>
    </row>
    <row r="111" spans="2:11" x14ac:dyDescent="0.25">
      <c r="B111" s="269" t="s">
        <v>178</v>
      </c>
      <c r="C111" s="378"/>
      <c r="D111" s="378">
        <v>0</v>
      </c>
      <c r="E111" s="378">
        <v>43</v>
      </c>
      <c r="F111" s="378">
        <v>85</v>
      </c>
      <c r="G111" s="378"/>
      <c r="H111" s="378">
        <v>1</v>
      </c>
      <c r="I111" s="378">
        <v>64</v>
      </c>
      <c r="J111" s="315">
        <v>65</v>
      </c>
      <c r="K111" s="334">
        <v>129</v>
      </c>
    </row>
    <row r="112" spans="2:11" x14ac:dyDescent="0.25">
      <c r="B112" s="269" t="s">
        <v>179</v>
      </c>
      <c r="C112" s="378"/>
      <c r="D112" s="378">
        <v>0</v>
      </c>
      <c r="E112" s="378">
        <v>25</v>
      </c>
      <c r="F112" s="378">
        <v>79</v>
      </c>
      <c r="G112" s="378"/>
      <c r="H112" s="378">
        <v>4</v>
      </c>
      <c r="I112" s="378">
        <v>51</v>
      </c>
      <c r="J112" s="315">
        <v>57</v>
      </c>
      <c r="K112" s="334">
        <v>108</v>
      </c>
    </row>
    <row r="113" spans="2:11" x14ac:dyDescent="0.25">
      <c r="B113" s="269" t="s">
        <v>180</v>
      </c>
      <c r="C113" s="378"/>
      <c r="D113" s="378">
        <v>2</v>
      </c>
      <c r="E113" s="378">
        <v>144</v>
      </c>
      <c r="F113" s="378">
        <v>293</v>
      </c>
      <c r="G113" s="378"/>
      <c r="H113" s="378">
        <v>9</v>
      </c>
      <c r="I113" s="378">
        <v>230</v>
      </c>
      <c r="J113" s="315">
        <v>218</v>
      </c>
      <c r="K113" s="334">
        <v>448</v>
      </c>
    </row>
    <row r="114" spans="2:11" x14ac:dyDescent="0.25">
      <c r="B114" s="269" t="s">
        <v>181</v>
      </c>
      <c r="C114" s="378"/>
      <c r="D114" s="378">
        <v>0</v>
      </c>
      <c r="E114" s="378">
        <v>6</v>
      </c>
      <c r="F114" s="378">
        <v>13</v>
      </c>
      <c r="G114" s="378"/>
      <c r="H114" s="378">
        <v>0</v>
      </c>
      <c r="I114" s="378">
        <v>9</v>
      </c>
      <c r="J114" s="315">
        <v>10</v>
      </c>
      <c r="K114" s="334">
        <v>19</v>
      </c>
    </row>
    <row r="115" spans="2:11" x14ac:dyDescent="0.25">
      <c r="B115" s="269" t="s">
        <v>182</v>
      </c>
      <c r="C115" s="378"/>
      <c r="D115" s="378">
        <v>0</v>
      </c>
      <c r="E115" s="378">
        <v>14</v>
      </c>
      <c r="F115" s="378">
        <v>22</v>
      </c>
      <c r="G115" s="378"/>
      <c r="H115" s="378">
        <v>1</v>
      </c>
      <c r="I115" s="378">
        <v>18</v>
      </c>
      <c r="J115" s="315">
        <v>19</v>
      </c>
      <c r="K115" s="334">
        <v>37</v>
      </c>
    </row>
    <row r="116" spans="2:11" x14ac:dyDescent="0.25">
      <c r="B116" s="269" t="s">
        <v>183</v>
      </c>
      <c r="C116" s="378"/>
      <c r="D116" s="378">
        <v>0</v>
      </c>
      <c r="E116" s="378">
        <v>3</v>
      </c>
      <c r="F116" s="378">
        <v>10</v>
      </c>
      <c r="G116" s="378"/>
      <c r="H116" s="378">
        <v>0</v>
      </c>
      <c r="I116" s="378">
        <v>4</v>
      </c>
      <c r="J116" s="315">
        <v>9</v>
      </c>
      <c r="K116" s="334">
        <v>13</v>
      </c>
    </row>
    <row r="117" spans="2:11" x14ac:dyDescent="0.25">
      <c r="B117" s="270" t="s">
        <v>184</v>
      </c>
      <c r="C117" s="378"/>
      <c r="D117" s="378">
        <v>0</v>
      </c>
      <c r="E117" s="378">
        <v>38</v>
      </c>
      <c r="F117" s="378">
        <v>80</v>
      </c>
      <c r="G117" s="378"/>
      <c r="H117" s="378">
        <v>2</v>
      </c>
      <c r="I117" s="378">
        <v>62</v>
      </c>
      <c r="J117" s="315">
        <v>58</v>
      </c>
      <c r="K117" s="334">
        <v>120</v>
      </c>
    </row>
    <row r="118" spans="2:11" x14ac:dyDescent="0.25">
      <c r="B118" s="194" t="s">
        <v>507</v>
      </c>
      <c r="C118" s="378"/>
      <c r="D118" s="378">
        <v>0</v>
      </c>
      <c r="E118" s="378">
        <v>31</v>
      </c>
      <c r="F118" s="378">
        <v>106</v>
      </c>
      <c r="G118" s="378"/>
      <c r="H118" s="378">
        <v>8</v>
      </c>
      <c r="I118" s="378">
        <v>75</v>
      </c>
      <c r="J118" s="315">
        <v>70</v>
      </c>
      <c r="K118" s="334">
        <v>145</v>
      </c>
    </row>
    <row r="119" spans="2:11" x14ac:dyDescent="0.25">
      <c r="B119" s="289" t="s">
        <v>36</v>
      </c>
      <c r="C119" s="359"/>
      <c r="D119" s="359">
        <v>10</v>
      </c>
      <c r="E119" s="359">
        <v>894</v>
      </c>
      <c r="F119" s="359">
        <v>2431</v>
      </c>
      <c r="G119" s="359"/>
      <c r="H119" s="359">
        <v>88</v>
      </c>
      <c r="I119" s="359">
        <v>1765</v>
      </c>
      <c r="J119" s="334">
        <v>1658</v>
      </c>
      <c r="K119" s="334">
        <v>3423</v>
      </c>
    </row>
    <row r="120" spans="2:11" ht="34.5" customHeight="1" x14ac:dyDescent="0.25">
      <c r="B120" s="510" t="s">
        <v>898</v>
      </c>
      <c r="C120" s="510"/>
      <c r="D120" s="510"/>
      <c r="E120" s="510"/>
      <c r="F120" s="510"/>
      <c r="G120" s="510"/>
      <c r="H120" s="510"/>
      <c r="I120" s="510"/>
      <c r="J120" s="510"/>
      <c r="K120" s="510"/>
    </row>
    <row r="121" spans="2:11" x14ac:dyDescent="0.25">
      <c r="B121" s="176"/>
      <c r="C121" s="208"/>
      <c r="D121" s="208"/>
      <c r="E121" s="208"/>
      <c r="F121" s="208"/>
      <c r="G121" s="208"/>
      <c r="H121" s="208"/>
      <c r="I121"/>
    </row>
    <row r="122" spans="2:11" x14ac:dyDescent="0.25">
      <c r="B122" s="205" t="s">
        <v>525</v>
      </c>
      <c r="C122"/>
      <c r="D122"/>
      <c r="E122"/>
      <c r="F122"/>
      <c r="G122"/>
      <c r="H122"/>
      <c r="I122"/>
    </row>
    <row r="123" spans="2:11" x14ac:dyDescent="0.25">
      <c r="B123" s="205"/>
      <c r="C123"/>
      <c r="D123"/>
      <c r="E123"/>
      <c r="F123"/>
      <c r="G123"/>
      <c r="H123"/>
      <c r="I123"/>
    </row>
    <row r="124" spans="2:11" x14ac:dyDescent="0.25">
      <c r="B124" s="176"/>
      <c r="C124" s="488" t="s">
        <v>538</v>
      </c>
      <c r="D124" s="488"/>
      <c r="E124" s="488"/>
      <c r="F124" s="488"/>
      <c r="G124" s="488"/>
      <c r="H124" s="488"/>
      <c r="I124" s="484" t="s">
        <v>610</v>
      </c>
      <c r="J124" s="484"/>
      <c r="K124" s="492" t="s">
        <v>36</v>
      </c>
    </row>
    <row r="125" spans="2:11" ht="30" x14ac:dyDescent="0.25">
      <c r="B125" s="178" t="s">
        <v>548</v>
      </c>
      <c r="C125" s="179" t="s">
        <v>3</v>
      </c>
      <c r="D125" s="179" t="s">
        <v>4</v>
      </c>
      <c r="E125" s="179" t="s">
        <v>714</v>
      </c>
      <c r="F125" s="179" t="s">
        <v>501</v>
      </c>
      <c r="G125" s="179" t="s">
        <v>5</v>
      </c>
      <c r="H125" s="179" t="s">
        <v>6</v>
      </c>
      <c r="I125" s="179" t="s">
        <v>87</v>
      </c>
      <c r="J125" s="179" t="s">
        <v>88</v>
      </c>
      <c r="K125" s="492"/>
    </row>
    <row r="126" spans="2:11" x14ac:dyDescent="0.25">
      <c r="B126" s="269" t="s">
        <v>185</v>
      </c>
      <c r="C126" s="378"/>
      <c r="D126" s="378">
        <v>0</v>
      </c>
      <c r="E126" s="378">
        <v>24</v>
      </c>
      <c r="F126" s="378">
        <v>80</v>
      </c>
      <c r="G126" s="378"/>
      <c r="H126" s="378">
        <v>3</v>
      </c>
      <c r="I126" s="378">
        <v>54</v>
      </c>
      <c r="J126" s="315">
        <v>53</v>
      </c>
      <c r="K126" s="334">
        <v>107</v>
      </c>
    </row>
    <row r="127" spans="2:11" x14ac:dyDescent="0.25">
      <c r="B127" s="269" t="s">
        <v>186</v>
      </c>
      <c r="C127" s="378"/>
      <c r="D127" s="378">
        <v>0</v>
      </c>
      <c r="E127" s="378">
        <v>28</v>
      </c>
      <c r="F127" s="378">
        <v>52</v>
      </c>
      <c r="G127" s="378"/>
      <c r="H127" s="378">
        <v>1</v>
      </c>
      <c r="I127" s="378">
        <v>38</v>
      </c>
      <c r="J127" s="315">
        <v>43</v>
      </c>
      <c r="K127" s="334">
        <v>81</v>
      </c>
    </row>
    <row r="128" spans="2:11" x14ac:dyDescent="0.25">
      <c r="B128" s="269" t="s">
        <v>187</v>
      </c>
      <c r="C128" s="378"/>
      <c r="D128" s="378">
        <v>0</v>
      </c>
      <c r="E128" s="378">
        <v>13</v>
      </c>
      <c r="F128" s="378">
        <v>39</v>
      </c>
      <c r="G128" s="378"/>
      <c r="H128" s="378">
        <v>3</v>
      </c>
      <c r="I128" s="378">
        <v>27</v>
      </c>
      <c r="J128" s="315">
        <v>28</v>
      </c>
      <c r="K128" s="334">
        <v>55</v>
      </c>
    </row>
    <row r="129" spans="2:11" x14ac:dyDescent="0.25">
      <c r="B129" s="269" t="s">
        <v>188</v>
      </c>
      <c r="C129" s="378"/>
      <c r="D129" s="378">
        <v>0</v>
      </c>
      <c r="E129" s="378">
        <v>29</v>
      </c>
      <c r="F129" s="378">
        <v>78</v>
      </c>
      <c r="G129" s="378"/>
      <c r="H129" s="378">
        <v>1</v>
      </c>
      <c r="I129" s="378">
        <v>49</v>
      </c>
      <c r="J129" s="315">
        <v>59</v>
      </c>
      <c r="K129" s="334">
        <v>108</v>
      </c>
    </row>
    <row r="130" spans="2:11" x14ac:dyDescent="0.25">
      <c r="B130" s="269" t="s">
        <v>189</v>
      </c>
      <c r="C130" s="378"/>
      <c r="D130" s="378">
        <v>0</v>
      </c>
      <c r="E130" s="378">
        <v>28</v>
      </c>
      <c r="F130" s="378">
        <v>59</v>
      </c>
      <c r="G130" s="378"/>
      <c r="H130" s="378">
        <v>2</v>
      </c>
      <c r="I130" s="378">
        <v>46</v>
      </c>
      <c r="J130" s="315">
        <v>43</v>
      </c>
      <c r="K130" s="334">
        <v>89</v>
      </c>
    </row>
    <row r="131" spans="2:11" x14ac:dyDescent="0.25">
      <c r="B131" s="269" t="s">
        <v>190</v>
      </c>
      <c r="C131" s="378"/>
      <c r="D131" s="378">
        <v>0</v>
      </c>
      <c r="E131" s="378">
        <v>10</v>
      </c>
      <c r="F131" s="378">
        <v>31</v>
      </c>
      <c r="G131" s="378"/>
      <c r="H131" s="378">
        <v>1</v>
      </c>
      <c r="I131" s="378">
        <v>21</v>
      </c>
      <c r="J131" s="315">
        <v>21</v>
      </c>
      <c r="K131" s="334">
        <v>42</v>
      </c>
    </row>
    <row r="132" spans="2:11" x14ac:dyDescent="0.25">
      <c r="B132" s="269" t="s">
        <v>191</v>
      </c>
      <c r="C132" s="378"/>
      <c r="D132" s="378">
        <v>0</v>
      </c>
      <c r="E132" s="378">
        <v>60</v>
      </c>
      <c r="F132" s="378">
        <v>171</v>
      </c>
      <c r="G132" s="378"/>
      <c r="H132" s="378">
        <v>7</v>
      </c>
      <c r="I132" s="378">
        <v>130</v>
      </c>
      <c r="J132" s="315">
        <v>108</v>
      </c>
      <c r="K132" s="334">
        <v>238</v>
      </c>
    </row>
    <row r="133" spans="2:11" x14ac:dyDescent="0.25">
      <c r="B133" s="269" t="s">
        <v>192</v>
      </c>
      <c r="C133" s="378"/>
      <c r="D133" s="378">
        <v>1</v>
      </c>
      <c r="E133" s="378">
        <v>22</v>
      </c>
      <c r="F133" s="378">
        <v>73</v>
      </c>
      <c r="G133" s="378"/>
      <c r="H133" s="378">
        <v>3</v>
      </c>
      <c r="I133" s="378">
        <v>50</v>
      </c>
      <c r="J133" s="315">
        <v>49</v>
      </c>
      <c r="K133" s="334">
        <v>99</v>
      </c>
    </row>
    <row r="134" spans="2:11" x14ac:dyDescent="0.25">
      <c r="B134" s="269" t="s">
        <v>193</v>
      </c>
      <c r="C134" s="378"/>
      <c r="D134" s="378">
        <v>0</v>
      </c>
      <c r="E134" s="378">
        <v>18</v>
      </c>
      <c r="F134" s="378">
        <v>75</v>
      </c>
      <c r="G134" s="378"/>
      <c r="H134" s="378">
        <v>4</v>
      </c>
      <c r="I134" s="378">
        <v>42</v>
      </c>
      <c r="J134" s="315">
        <v>55</v>
      </c>
      <c r="K134" s="334">
        <v>97</v>
      </c>
    </row>
    <row r="135" spans="2:11" x14ac:dyDescent="0.25">
      <c r="B135" s="269" t="s">
        <v>194</v>
      </c>
      <c r="C135" s="378"/>
      <c r="D135" s="378">
        <v>0</v>
      </c>
      <c r="E135" s="378">
        <v>15</v>
      </c>
      <c r="F135" s="378">
        <v>35</v>
      </c>
      <c r="G135" s="378"/>
      <c r="H135" s="378">
        <v>3</v>
      </c>
      <c r="I135" s="378">
        <v>29</v>
      </c>
      <c r="J135" s="315">
        <v>24</v>
      </c>
      <c r="K135" s="334">
        <v>53</v>
      </c>
    </row>
    <row r="136" spans="2:11" x14ac:dyDescent="0.25">
      <c r="B136" s="269" t="s">
        <v>195</v>
      </c>
      <c r="C136" s="378"/>
      <c r="D136" s="378">
        <v>0</v>
      </c>
      <c r="E136" s="378">
        <v>16</v>
      </c>
      <c r="F136" s="378">
        <v>31</v>
      </c>
      <c r="G136" s="378"/>
      <c r="H136" s="378">
        <v>1</v>
      </c>
      <c r="I136" s="378">
        <v>21</v>
      </c>
      <c r="J136" s="315">
        <v>27</v>
      </c>
      <c r="K136" s="334">
        <v>48</v>
      </c>
    </row>
    <row r="137" spans="2:11" x14ac:dyDescent="0.25">
      <c r="B137" s="269" t="s">
        <v>196</v>
      </c>
      <c r="C137" s="378"/>
      <c r="D137" s="378">
        <v>0</v>
      </c>
      <c r="E137" s="378">
        <v>2</v>
      </c>
      <c r="F137" s="378">
        <v>3</v>
      </c>
      <c r="G137" s="378"/>
      <c r="H137" s="378">
        <v>0</v>
      </c>
      <c r="I137" s="378">
        <v>2</v>
      </c>
      <c r="J137" s="315">
        <v>3</v>
      </c>
      <c r="K137" s="334">
        <v>5</v>
      </c>
    </row>
    <row r="138" spans="2:11" x14ac:dyDescent="0.25">
      <c r="B138" s="269" t="s">
        <v>197</v>
      </c>
      <c r="C138" s="378"/>
      <c r="D138" s="378">
        <v>1</v>
      </c>
      <c r="E138" s="378">
        <v>38</v>
      </c>
      <c r="F138" s="378">
        <v>147</v>
      </c>
      <c r="G138" s="378"/>
      <c r="H138" s="378">
        <v>6</v>
      </c>
      <c r="I138" s="378">
        <v>90</v>
      </c>
      <c r="J138" s="315">
        <v>102</v>
      </c>
      <c r="K138" s="334">
        <v>192</v>
      </c>
    </row>
    <row r="139" spans="2:11" x14ac:dyDescent="0.25">
      <c r="B139" s="269" t="s">
        <v>198</v>
      </c>
      <c r="C139" s="378"/>
      <c r="D139" s="378">
        <v>1</v>
      </c>
      <c r="E139" s="378">
        <v>17</v>
      </c>
      <c r="F139" s="378">
        <v>57</v>
      </c>
      <c r="G139" s="378"/>
      <c r="H139" s="378">
        <v>3</v>
      </c>
      <c r="I139" s="378">
        <v>38</v>
      </c>
      <c r="J139" s="315">
        <v>40</v>
      </c>
      <c r="K139" s="334">
        <v>78</v>
      </c>
    </row>
    <row r="140" spans="2:11" x14ac:dyDescent="0.25">
      <c r="B140" s="269" t="s">
        <v>199</v>
      </c>
      <c r="C140" s="378"/>
      <c r="D140" s="378">
        <v>2</v>
      </c>
      <c r="E140" s="378">
        <v>42</v>
      </c>
      <c r="F140" s="378">
        <v>100</v>
      </c>
      <c r="G140" s="378"/>
      <c r="H140" s="378">
        <v>8</v>
      </c>
      <c r="I140" s="378">
        <v>69</v>
      </c>
      <c r="J140" s="315">
        <v>83</v>
      </c>
      <c r="K140" s="334">
        <v>152</v>
      </c>
    </row>
    <row r="141" spans="2:11" x14ac:dyDescent="0.25">
      <c r="B141" s="269" t="s">
        <v>200</v>
      </c>
      <c r="C141" s="378"/>
      <c r="D141" s="378">
        <v>2</v>
      </c>
      <c r="E141" s="378">
        <v>38</v>
      </c>
      <c r="F141" s="378">
        <v>169</v>
      </c>
      <c r="G141" s="378"/>
      <c r="H141" s="378">
        <v>3</v>
      </c>
      <c r="I141" s="378">
        <v>128</v>
      </c>
      <c r="J141" s="315">
        <v>84</v>
      </c>
      <c r="K141" s="334">
        <v>212</v>
      </c>
    </row>
    <row r="142" spans="2:11" x14ac:dyDescent="0.25">
      <c r="B142" s="269" t="s">
        <v>201</v>
      </c>
      <c r="C142" s="378"/>
      <c r="D142" s="378">
        <v>0</v>
      </c>
      <c r="E142" s="378">
        <v>24</v>
      </c>
      <c r="F142" s="378">
        <v>76</v>
      </c>
      <c r="G142" s="378"/>
      <c r="H142" s="378">
        <v>3</v>
      </c>
      <c r="I142" s="378">
        <v>56</v>
      </c>
      <c r="J142" s="315">
        <v>47</v>
      </c>
      <c r="K142" s="334">
        <v>103</v>
      </c>
    </row>
    <row r="143" spans="2:11" x14ac:dyDescent="0.25">
      <c r="B143" s="269" t="s">
        <v>202</v>
      </c>
      <c r="C143" s="378"/>
      <c r="D143" s="378">
        <v>1</v>
      </c>
      <c r="E143" s="378">
        <v>76</v>
      </c>
      <c r="F143" s="378">
        <v>238</v>
      </c>
      <c r="G143" s="378"/>
      <c r="H143" s="378">
        <v>7</v>
      </c>
      <c r="I143" s="378">
        <v>181</v>
      </c>
      <c r="J143" s="315">
        <v>141</v>
      </c>
      <c r="K143" s="334">
        <v>322</v>
      </c>
    </row>
    <row r="144" spans="2:11" x14ac:dyDescent="0.25">
      <c r="B144" s="269" t="s">
        <v>203</v>
      </c>
      <c r="C144" s="378"/>
      <c r="D144" s="378">
        <v>0</v>
      </c>
      <c r="E144" s="378">
        <v>23</v>
      </c>
      <c r="F144" s="378">
        <v>77</v>
      </c>
      <c r="G144" s="378"/>
      <c r="H144" s="378">
        <v>3</v>
      </c>
      <c r="I144" s="378">
        <v>49</v>
      </c>
      <c r="J144" s="315">
        <v>54</v>
      </c>
      <c r="K144" s="334">
        <v>103</v>
      </c>
    </row>
    <row r="145" spans="2:11" x14ac:dyDescent="0.25">
      <c r="B145" s="269" t="s">
        <v>204</v>
      </c>
      <c r="C145" s="378"/>
      <c r="D145" s="378">
        <v>0</v>
      </c>
      <c r="E145" s="378">
        <v>22</v>
      </c>
      <c r="F145" s="378">
        <v>53</v>
      </c>
      <c r="G145" s="378"/>
      <c r="H145" s="378">
        <v>1</v>
      </c>
      <c r="I145" s="378">
        <v>34</v>
      </c>
      <c r="J145" s="315">
        <v>42</v>
      </c>
      <c r="K145" s="334">
        <v>76</v>
      </c>
    </row>
    <row r="146" spans="2:11" x14ac:dyDescent="0.25">
      <c r="B146" s="269" t="s">
        <v>205</v>
      </c>
      <c r="C146" s="378"/>
      <c r="D146" s="378">
        <v>0</v>
      </c>
      <c r="E146" s="378">
        <v>6</v>
      </c>
      <c r="F146" s="378">
        <v>14</v>
      </c>
      <c r="G146" s="378"/>
      <c r="H146" s="378">
        <v>1</v>
      </c>
      <c r="I146" s="378">
        <v>8</v>
      </c>
      <c r="J146" s="315">
        <v>13</v>
      </c>
      <c r="K146" s="334">
        <v>21</v>
      </c>
    </row>
    <row r="147" spans="2:11" x14ac:dyDescent="0.25">
      <c r="B147" s="269" t="s">
        <v>206</v>
      </c>
      <c r="C147" s="378"/>
      <c r="D147" s="378">
        <v>0</v>
      </c>
      <c r="E147" s="378">
        <v>10</v>
      </c>
      <c r="F147" s="378">
        <v>19</v>
      </c>
      <c r="G147" s="378"/>
      <c r="H147" s="378">
        <v>0</v>
      </c>
      <c r="I147" s="378">
        <v>13</v>
      </c>
      <c r="J147" s="315">
        <v>16</v>
      </c>
      <c r="K147" s="334">
        <v>29</v>
      </c>
    </row>
    <row r="148" spans="2:11" x14ac:dyDescent="0.25">
      <c r="B148" s="269" t="s">
        <v>207</v>
      </c>
      <c r="C148" s="378"/>
      <c r="D148" s="378">
        <v>0</v>
      </c>
      <c r="E148" s="378">
        <v>20</v>
      </c>
      <c r="F148" s="378">
        <v>26</v>
      </c>
      <c r="G148" s="378"/>
      <c r="H148" s="378">
        <v>1</v>
      </c>
      <c r="I148" s="378">
        <v>21</v>
      </c>
      <c r="J148" s="315">
        <v>26</v>
      </c>
      <c r="K148" s="334">
        <v>47</v>
      </c>
    </row>
    <row r="149" spans="2:11" x14ac:dyDescent="0.25">
      <c r="B149" s="269" t="s">
        <v>208</v>
      </c>
      <c r="C149" s="378"/>
      <c r="D149" s="378">
        <v>0</v>
      </c>
      <c r="E149" s="378">
        <v>29</v>
      </c>
      <c r="F149" s="378">
        <v>80</v>
      </c>
      <c r="G149" s="378"/>
      <c r="H149" s="378">
        <v>2</v>
      </c>
      <c r="I149" s="378">
        <v>46</v>
      </c>
      <c r="J149" s="315">
        <v>65</v>
      </c>
      <c r="K149" s="334">
        <v>111</v>
      </c>
    </row>
    <row r="150" spans="2:11" x14ac:dyDescent="0.25">
      <c r="B150" s="269" t="s">
        <v>209</v>
      </c>
      <c r="C150" s="378"/>
      <c r="D150" s="378">
        <v>0</v>
      </c>
      <c r="E150" s="378">
        <v>9</v>
      </c>
      <c r="F150" s="378">
        <v>50</v>
      </c>
      <c r="G150" s="378"/>
      <c r="H150" s="378">
        <v>4</v>
      </c>
      <c r="I150" s="378">
        <v>40</v>
      </c>
      <c r="J150" s="315">
        <v>23</v>
      </c>
      <c r="K150" s="334">
        <v>63</v>
      </c>
    </row>
    <row r="151" spans="2:11" x14ac:dyDescent="0.25">
      <c r="B151" s="269" t="s">
        <v>210</v>
      </c>
      <c r="C151" s="378"/>
      <c r="D151" s="378">
        <v>2</v>
      </c>
      <c r="E151" s="378">
        <v>84</v>
      </c>
      <c r="F151" s="378">
        <v>309</v>
      </c>
      <c r="G151" s="378"/>
      <c r="H151" s="378">
        <v>10</v>
      </c>
      <c r="I151" s="378">
        <v>217</v>
      </c>
      <c r="J151" s="315">
        <v>188</v>
      </c>
      <c r="K151" s="334">
        <v>405</v>
      </c>
    </row>
    <row r="152" spans="2:11" x14ac:dyDescent="0.25">
      <c r="B152" s="269" t="s">
        <v>211</v>
      </c>
      <c r="C152" s="378"/>
      <c r="D152" s="378">
        <v>4</v>
      </c>
      <c r="E152" s="378">
        <v>203</v>
      </c>
      <c r="F152" s="378">
        <v>586</v>
      </c>
      <c r="G152" s="378"/>
      <c r="H152" s="378">
        <v>12</v>
      </c>
      <c r="I152" s="378">
        <v>491</v>
      </c>
      <c r="J152" s="315">
        <v>314</v>
      </c>
      <c r="K152" s="334">
        <v>805</v>
      </c>
    </row>
    <row r="153" spans="2:11" x14ac:dyDescent="0.25">
      <c r="B153" s="269" t="s">
        <v>212</v>
      </c>
      <c r="C153" s="378"/>
      <c r="D153" s="378">
        <v>0</v>
      </c>
      <c r="E153" s="378">
        <v>41</v>
      </c>
      <c r="F153" s="378">
        <v>102</v>
      </c>
      <c r="G153" s="378"/>
      <c r="H153" s="378">
        <v>4</v>
      </c>
      <c r="I153" s="378">
        <v>71</v>
      </c>
      <c r="J153" s="315">
        <v>76</v>
      </c>
      <c r="K153" s="334">
        <v>147</v>
      </c>
    </row>
    <row r="154" spans="2:11" x14ac:dyDescent="0.25">
      <c r="B154" s="269" t="s">
        <v>213</v>
      </c>
      <c r="C154" s="378"/>
      <c r="D154" s="378">
        <v>0</v>
      </c>
      <c r="E154" s="378">
        <v>12</v>
      </c>
      <c r="F154" s="378">
        <v>19</v>
      </c>
      <c r="G154" s="378"/>
      <c r="H154" s="378">
        <v>2</v>
      </c>
      <c r="I154" s="378">
        <v>18</v>
      </c>
      <c r="J154" s="315">
        <v>15</v>
      </c>
      <c r="K154" s="334">
        <v>33</v>
      </c>
    </row>
    <row r="155" spans="2:11" x14ac:dyDescent="0.25">
      <c r="B155" s="269" t="s">
        <v>214</v>
      </c>
      <c r="C155" s="378"/>
      <c r="D155" s="378">
        <v>1</v>
      </c>
      <c r="E155" s="378">
        <v>114</v>
      </c>
      <c r="F155" s="378">
        <v>287</v>
      </c>
      <c r="G155" s="378"/>
      <c r="H155" s="378">
        <v>18</v>
      </c>
      <c r="I155" s="378">
        <v>228</v>
      </c>
      <c r="J155" s="315">
        <v>192</v>
      </c>
      <c r="K155" s="334">
        <v>420</v>
      </c>
    </row>
    <row r="156" spans="2:11" x14ac:dyDescent="0.25">
      <c r="B156" s="269" t="s">
        <v>215</v>
      </c>
      <c r="C156" s="378"/>
      <c r="D156" s="378">
        <v>0</v>
      </c>
      <c r="E156" s="378">
        <v>17</v>
      </c>
      <c r="F156" s="378">
        <v>53</v>
      </c>
      <c r="G156" s="378"/>
      <c r="H156" s="378">
        <v>3</v>
      </c>
      <c r="I156" s="378">
        <v>41</v>
      </c>
      <c r="J156" s="315">
        <v>32</v>
      </c>
      <c r="K156" s="334">
        <v>73</v>
      </c>
    </row>
    <row r="157" spans="2:11" x14ac:dyDescent="0.25">
      <c r="B157" s="269" t="s">
        <v>216</v>
      </c>
      <c r="C157" s="378"/>
      <c r="D157" s="378">
        <v>0</v>
      </c>
      <c r="E157" s="378">
        <v>66</v>
      </c>
      <c r="F157" s="378">
        <v>207</v>
      </c>
      <c r="G157" s="378"/>
      <c r="H157" s="378">
        <v>12</v>
      </c>
      <c r="I157" s="378">
        <v>153</v>
      </c>
      <c r="J157" s="315">
        <v>132</v>
      </c>
      <c r="K157" s="334">
        <v>285</v>
      </c>
    </row>
    <row r="158" spans="2:11" x14ac:dyDescent="0.25">
      <c r="B158" s="269" t="s">
        <v>217</v>
      </c>
      <c r="C158" s="378"/>
      <c r="D158" s="378">
        <v>0</v>
      </c>
      <c r="E158" s="378">
        <v>15</v>
      </c>
      <c r="F158" s="378">
        <v>28</v>
      </c>
      <c r="G158" s="378"/>
      <c r="H158" s="378">
        <v>4</v>
      </c>
      <c r="I158" s="378">
        <v>18</v>
      </c>
      <c r="J158" s="315">
        <v>29</v>
      </c>
      <c r="K158" s="334">
        <v>47</v>
      </c>
    </row>
    <row r="159" spans="2:11" x14ac:dyDescent="0.25">
      <c r="B159" s="269" t="s">
        <v>218</v>
      </c>
      <c r="C159" s="378"/>
      <c r="D159" s="378">
        <v>0</v>
      </c>
      <c r="E159" s="378">
        <v>30</v>
      </c>
      <c r="F159" s="378">
        <v>57</v>
      </c>
      <c r="G159" s="378"/>
      <c r="H159" s="378">
        <v>3</v>
      </c>
      <c r="I159" s="378">
        <v>53</v>
      </c>
      <c r="J159" s="315">
        <v>37</v>
      </c>
      <c r="K159" s="334">
        <v>90</v>
      </c>
    </row>
    <row r="160" spans="2:11" x14ac:dyDescent="0.25">
      <c r="B160" s="269" t="s">
        <v>219</v>
      </c>
      <c r="C160" s="378"/>
      <c r="D160" s="378">
        <v>10</v>
      </c>
      <c r="E160" s="378">
        <v>310</v>
      </c>
      <c r="F160" s="378">
        <v>915</v>
      </c>
      <c r="G160" s="378"/>
      <c r="H160" s="378">
        <v>47</v>
      </c>
      <c r="I160" s="378">
        <v>714</v>
      </c>
      <c r="J160" s="315">
        <v>568</v>
      </c>
      <c r="K160" s="334">
        <v>1282</v>
      </c>
    </row>
    <row r="161" spans="2:11" x14ac:dyDescent="0.25">
      <c r="B161" s="269" t="s">
        <v>220</v>
      </c>
      <c r="C161" s="378"/>
      <c r="D161" s="378">
        <v>3</v>
      </c>
      <c r="E161" s="378">
        <v>145</v>
      </c>
      <c r="F161" s="378">
        <v>440</v>
      </c>
      <c r="G161" s="378"/>
      <c r="H161" s="378">
        <v>9</v>
      </c>
      <c r="I161" s="378">
        <v>372</v>
      </c>
      <c r="J161" s="315">
        <v>225</v>
      </c>
      <c r="K161" s="334">
        <v>597</v>
      </c>
    </row>
    <row r="162" spans="2:11" x14ac:dyDescent="0.25">
      <c r="B162" s="270" t="s">
        <v>508</v>
      </c>
      <c r="C162" s="378"/>
      <c r="D162" s="378">
        <v>6</v>
      </c>
      <c r="E162" s="378">
        <v>359</v>
      </c>
      <c r="F162" s="378">
        <v>1361</v>
      </c>
      <c r="G162" s="378"/>
      <c r="H162" s="378">
        <v>27</v>
      </c>
      <c r="I162" s="378">
        <v>1086</v>
      </c>
      <c r="J162" s="315">
        <v>667</v>
      </c>
      <c r="K162" s="334">
        <v>1753</v>
      </c>
    </row>
    <row r="163" spans="2:11" x14ac:dyDescent="0.25">
      <c r="B163" s="194" t="s">
        <v>221</v>
      </c>
      <c r="C163" s="378"/>
      <c r="D163" s="378">
        <v>0</v>
      </c>
      <c r="E163" s="378">
        <v>10</v>
      </c>
      <c r="F163" s="378">
        <v>28</v>
      </c>
      <c r="G163" s="378"/>
      <c r="H163" s="378">
        <v>2</v>
      </c>
      <c r="I163" s="378">
        <v>17</v>
      </c>
      <c r="J163" s="315">
        <v>23</v>
      </c>
      <c r="K163" s="334">
        <v>40</v>
      </c>
    </row>
    <row r="164" spans="2:11" x14ac:dyDescent="0.25">
      <c r="B164" s="289" t="s">
        <v>36</v>
      </c>
      <c r="C164" s="359"/>
      <c r="D164" s="359">
        <v>34</v>
      </c>
      <c r="E164" s="359">
        <v>2025</v>
      </c>
      <c r="F164" s="359">
        <v>6225</v>
      </c>
      <c r="G164" s="359"/>
      <c r="H164" s="359">
        <v>224</v>
      </c>
      <c r="I164" s="359">
        <v>4761</v>
      </c>
      <c r="J164" s="334">
        <v>3747</v>
      </c>
      <c r="K164" s="334">
        <v>8508</v>
      </c>
    </row>
    <row r="165" spans="2:11" ht="30.75" customHeight="1" x14ac:dyDescent="0.25">
      <c r="B165" s="510" t="s">
        <v>898</v>
      </c>
      <c r="C165" s="510"/>
      <c r="D165" s="510"/>
      <c r="E165" s="510"/>
      <c r="F165" s="510"/>
      <c r="G165" s="510"/>
      <c r="H165" s="510"/>
      <c r="I165" s="510"/>
      <c r="J165" s="510"/>
      <c r="K165" s="510"/>
    </row>
    <row r="166" spans="2:11" x14ac:dyDescent="0.25">
      <c r="B166" s="176"/>
      <c r="C166" s="176"/>
      <c r="D166" s="176"/>
      <c r="E166" s="176"/>
      <c r="F166" s="176"/>
      <c r="G166" s="176"/>
      <c r="H166" s="176"/>
      <c r="I166"/>
    </row>
    <row r="167" spans="2:11" x14ac:dyDescent="0.25">
      <c r="B167" s="205" t="s">
        <v>526</v>
      </c>
      <c r="C167"/>
      <c r="D167"/>
      <c r="E167"/>
      <c r="F167"/>
      <c r="G167"/>
      <c r="H167"/>
      <c r="I167"/>
    </row>
    <row r="168" spans="2:11" x14ac:dyDescent="0.25">
      <c r="B168" s="205"/>
      <c r="C168"/>
      <c r="D168"/>
      <c r="E168"/>
      <c r="F168"/>
      <c r="G168"/>
      <c r="H168"/>
      <c r="I168"/>
    </row>
    <row r="169" spans="2:11" x14ac:dyDescent="0.25">
      <c r="B169" s="176"/>
      <c r="C169" s="488" t="s">
        <v>538</v>
      </c>
      <c r="D169" s="488"/>
      <c r="E169" s="488"/>
      <c r="F169" s="488"/>
      <c r="G169" s="488"/>
      <c r="H169" s="488"/>
      <c r="I169" s="484" t="s">
        <v>610</v>
      </c>
      <c r="J169" s="484"/>
      <c r="K169" s="492" t="s">
        <v>36</v>
      </c>
    </row>
    <row r="170" spans="2:11" ht="30" x14ac:dyDescent="0.25">
      <c r="B170" s="178" t="s">
        <v>548</v>
      </c>
      <c r="C170" s="179" t="s">
        <v>3</v>
      </c>
      <c r="D170" s="179" t="s">
        <v>4</v>
      </c>
      <c r="E170" s="179" t="s">
        <v>714</v>
      </c>
      <c r="F170" s="179" t="s">
        <v>501</v>
      </c>
      <c r="G170" s="179" t="s">
        <v>5</v>
      </c>
      <c r="H170" s="179" t="s">
        <v>6</v>
      </c>
      <c r="I170" s="179" t="s">
        <v>87</v>
      </c>
      <c r="J170" s="179" t="s">
        <v>88</v>
      </c>
      <c r="K170" s="492"/>
    </row>
    <row r="171" spans="2:11" x14ac:dyDescent="0.25">
      <c r="B171" s="268" t="s">
        <v>222</v>
      </c>
      <c r="C171" s="378"/>
      <c r="D171" s="378">
        <v>0</v>
      </c>
      <c r="E171" s="378">
        <v>15</v>
      </c>
      <c r="F171" s="378">
        <v>38</v>
      </c>
      <c r="G171" s="378"/>
      <c r="H171" s="378">
        <v>2</v>
      </c>
      <c r="I171" s="378">
        <v>29</v>
      </c>
      <c r="J171" s="315">
        <v>26</v>
      </c>
      <c r="K171" s="334">
        <v>55</v>
      </c>
    </row>
    <row r="172" spans="2:11" x14ac:dyDescent="0.25">
      <c r="B172" s="269" t="s">
        <v>223</v>
      </c>
      <c r="C172" s="378"/>
      <c r="D172" s="378">
        <v>0</v>
      </c>
      <c r="E172" s="378">
        <v>41</v>
      </c>
      <c r="F172" s="378">
        <v>103</v>
      </c>
      <c r="G172" s="378"/>
      <c r="H172" s="378">
        <v>3</v>
      </c>
      <c r="I172" s="378">
        <v>80</v>
      </c>
      <c r="J172" s="315">
        <v>67</v>
      </c>
      <c r="K172" s="334">
        <v>147</v>
      </c>
    </row>
    <row r="173" spans="2:11" x14ac:dyDescent="0.25">
      <c r="B173" s="269" t="s">
        <v>224</v>
      </c>
      <c r="C173" s="378"/>
      <c r="D173" s="378">
        <v>1</v>
      </c>
      <c r="E173" s="378">
        <v>16</v>
      </c>
      <c r="F173" s="378">
        <v>37</v>
      </c>
      <c r="G173" s="378"/>
      <c r="H173" s="378">
        <v>5</v>
      </c>
      <c r="I173" s="378">
        <v>28</v>
      </c>
      <c r="J173" s="315">
        <v>31</v>
      </c>
      <c r="K173" s="334">
        <v>59</v>
      </c>
    </row>
    <row r="174" spans="2:11" x14ac:dyDescent="0.25">
      <c r="B174" s="269" t="s">
        <v>225</v>
      </c>
      <c r="C174" s="378"/>
      <c r="D174" s="378">
        <v>1</v>
      </c>
      <c r="E174" s="378">
        <v>7</v>
      </c>
      <c r="F174" s="378">
        <v>18</v>
      </c>
      <c r="G174" s="378"/>
      <c r="H174" s="378">
        <v>0</v>
      </c>
      <c r="I174" s="378">
        <v>13</v>
      </c>
      <c r="J174" s="315">
        <v>13</v>
      </c>
      <c r="K174" s="334">
        <v>26</v>
      </c>
    </row>
    <row r="175" spans="2:11" x14ac:dyDescent="0.25">
      <c r="B175" s="269" t="s">
        <v>226</v>
      </c>
      <c r="C175" s="378"/>
      <c r="D175" s="378">
        <v>2</v>
      </c>
      <c r="E175" s="378">
        <v>20</v>
      </c>
      <c r="F175" s="378">
        <v>50</v>
      </c>
      <c r="G175" s="378"/>
      <c r="H175" s="378">
        <v>5</v>
      </c>
      <c r="I175" s="378">
        <v>36</v>
      </c>
      <c r="J175" s="315">
        <v>41</v>
      </c>
      <c r="K175" s="334">
        <v>77</v>
      </c>
    </row>
    <row r="176" spans="2:11" x14ac:dyDescent="0.25">
      <c r="B176" s="269" t="s">
        <v>509</v>
      </c>
      <c r="C176" s="378"/>
      <c r="D176" s="378">
        <v>1</v>
      </c>
      <c r="E176" s="378">
        <v>16</v>
      </c>
      <c r="F176" s="378">
        <v>58</v>
      </c>
      <c r="G176" s="378"/>
      <c r="H176" s="378">
        <v>3</v>
      </c>
      <c r="I176" s="378">
        <v>41</v>
      </c>
      <c r="J176" s="315">
        <v>37</v>
      </c>
      <c r="K176" s="334">
        <v>78</v>
      </c>
    </row>
    <row r="177" spans="2:11" x14ac:dyDescent="0.25">
      <c r="B177" s="269" t="s">
        <v>227</v>
      </c>
      <c r="C177" s="378"/>
      <c r="D177" s="378">
        <v>2</v>
      </c>
      <c r="E177" s="378">
        <v>29</v>
      </c>
      <c r="F177" s="378">
        <v>81</v>
      </c>
      <c r="G177" s="378"/>
      <c r="H177" s="378">
        <v>4</v>
      </c>
      <c r="I177" s="378">
        <v>48</v>
      </c>
      <c r="J177" s="315">
        <v>68</v>
      </c>
      <c r="K177" s="334">
        <v>116</v>
      </c>
    </row>
    <row r="178" spans="2:11" x14ac:dyDescent="0.25">
      <c r="B178" s="269" t="s">
        <v>228</v>
      </c>
      <c r="C178" s="378"/>
      <c r="D178" s="378">
        <v>0</v>
      </c>
      <c r="E178" s="378">
        <v>4</v>
      </c>
      <c r="F178" s="378">
        <v>23</v>
      </c>
      <c r="G178" s="378"/>
      <c r="H178" s="378">
        <v>2</v>
      </c>
      <c r="I178" s="378">
        <v>10</v>
      </c>
      <c r="J178" s="315">
        <v>19</v>
      </c>
      <c r="K178" s="334">
        <v>29</v>
      </c>
    </row>
    <row r="179" spans="2:11" x14ac:dyDescent="0.25">
      <c r="B179" s="269" t="s">
        <v>229</v>
      </c>
      <c r="C179" s="378"/>
      <c r="D179" s="378">
        <v>1</v>
      </c>
      <c r="E179" s="378">
        <v>23</v>
      </c>
      <c r="F179" s="378">
        <v>59</v>
      </c>
      <c r="G179" s="378"/>
      <c r="H179" s="378">
        <v>5</v>
      </c>
      <c r="I179" s="378">
        <v>37</v>
      </c>
      <c r="J179" s="315">
        <v>51</v>
      </c>
      <c r="K179" s="334">
        <v>88</v>
      </c>
    </row>
    <row r="180" spans="2:11" x14ac:dyDescent="0.25">
      <c r="B180" s="269" t="s">
        <v>230</v>
      </c>
      <c r="C180" s="378"/>
      <c r="D180" s="378">
        <v>0</v>
      </c>
      <c r="E180" s="378">
        <v>10</v>
      </c>
      <c r="F180" s="378">
        <v>37</v>
      </c>
      <c r="G180" s="378"/>
      <c r="H180" s="378">
        <v>0</v>
      </c>
      <c r="I180" s="378">
        <v>21</v>
      </c>
      <c r="J180" s="315">
        <v>26</v>
      </c>
      <c r="K180" s="334">
        <v>47</v>
      </c>
    </row>
    <row r="181" spans="2:11" x14ac:dyDescent="0.25">
      <c r="B181" s="269" t="s">
        <v>231</v>
      </c>
      <c r="C181" s="378"/>
      <c r="D181" s="378">
        <v>0</v>
      </c>
      <c r="E181" s="378">
        <v>9</v>
      </c>
      <c r="F181" s="378">
        <v>14</v>
      </c>
      <c r="G181" s="378"/>
      <c r="H181" s="378">
        <v>1</v>
      </c>
      <c r="I181" s="378">
        <v>14</v>
      </c>
      <c r="J181" s="315">
        <v>10</v>
      </c>
      <c r="K181" s="334">
        <v>24</v>
      </c>
    </row>
    <row r="182" spans="2:11" x14ac:dyDescent="0.25">
      <c r="B182" s="269" t="s">
        <v>232</v>
      </c>
      <c r="C182" s="378"/>
      <c r="D182" s="378">
        <v>1</v>
      </c>
      <c r="E182" s="378">
        <v>59</v>
      </c>
      <c r="F182" s="378">
        <v>165</v>
      </c>
      <c r="G182" s="378"/>
      <c r="H182" s="378">
        <v>4</v>
      </c>
      <c r="I182" s="378">
        <v>118</v>
      </c>
      <c r="J182" s="315">
        <v>111</v>
      </c>
      <c r="K182" s="334">
        <v>229</v>
      </c>
    </row>
    <row r="183" spans="2:11" x14ac:dyDescent="0.25">
      <c r="B183" s="269" t="s">
        <v>233</v>
      </c>
      <c r="C183" s="378"/>
      <c r="D183" s="378">
        <v>0</v>
      </c>
      <c r="E183" s="378">
        <v>9</v>
      </c>
      <c r="F183" s="378">
        <v>36</v>
      </c>
      <c r="G183" s="378"/>
      <c r="H183" s="378">
        <v>4</v>
      </c>
      <c r="I183" s="378">
        <v>19</v>
      </c>
      <c r="J183" s="315">
        <v>30</v>
      </c>
      <c r="K183" s="334">
        <v>49</v>
      </c>
    </row>
    <row r="184" spans="2:11" x14ac:dyDescent="0.25">
      <c r="B184" s="269" t="s">
        <v>234</v>
      </c>
      <c r="C184" s="378"/>
      <c r="D184" s="378">
        <v>0</v>
      </c>
      <c r="E184" s="378">
        <v>5</v>
      </c>
      <c r="F184" s="378">
        <v>17</v>
      </c>
      <c r="G184" s="378"/>
      <c r="H184" s="378">
        <v>2</v>
      </c>
      <c r="I184" s="378">
        <v>13</v>
      </c>
      <c r="J184" s="315">
        <v>11</v>
      </c>
      <c r="K184" s="334">
        <v>24</v>
      </c>
    </row>
    <row r="185" spans="2:11" x14ac:dyDescent="0.25">
      <c r="B185" s="269" t="s">
        <v>235</v>
      </c>
      <c r="C185" s="378"/>
      <c r="D185" s="378">
        <v>0</v>
      </c>
      <c r="E185" s="378">
        <v>13</v>
      </c>
      <c r="F185" s="378">
        <v>74</v>
      </c>
      <c r="G185" s="378"/>
      <c r="H185" s="378">
        <v>0</v>
      </c>
      <c r="I185" s="378">
        <v>51</v>
      </c>
      <c r="J185" s="315">
        <v>36</v>
      </c>
      <c r="K185" s="334">
        <v>87</v>
      </c>
    </row>
    <row r="186" spans="2:11" x14ac:dyDescent="0.25">
      <c r="B186" s="269" t="s">
        <v>236</v>
      </c>
      <c r="C186" s="378"/>
      <c r="D186" s="378">
        <v>1</v>
      </c>
      <c r="E186" s="378">
        <v>18</v>
      </c>
      <c r="F186" s="378">
        <v>50</v>
      </c>
      <c r="G186" s="378"/>
      <c r="H186" s="378">
        <v>2</v>
      </c>
      <c r="I186" s="378">
        <v>26</v>
      </c>
      <c r="J186" s="315">
        <v>45</v>
      </c>
      <c r="K186" s="334">
        <v>71</v>
      </c>
    </row>
    <row r="187" spans="2:11" x14ac:dyDescent="0.25">
      <c r="B187" s="269" t="s">
        <v>237</v>
      </c>
      <c r="C187" s="378"/>
      <c r="D187" s="378">
        <v>1</v>
      </c>
      <c r="E187" s="378">
        <v>4</v>
      </c>
      <c r="F187" s="378">
        <v>23</v>
      </c>
      <c r="G187" s="378"/>
      <c r="H187" s="378">
        <v>0</v>
      </c>
      <c r="I187" s="378">
        <v>14</v>
      </c>
      <c r="J187" s="315">
        <v>14</v>
      </c>
      <c r="K187" s="334">
        <v>28</v>
      </c>
    </row>
    <row r="188" spans="2:11" x14ac:dyDescent="0.25">
      <c r="B188" s="269" t="s">
        <v>238</v>
      </c>
      <c r="C188" s="378"/>
      <c r="D188" s="378">
        <v>0</v>
      </c>
      <c r="E188" s="378">
        <v>4</v>
      </c>
      <c r="F188" s="378">
        <v>30</v>
      </c>
      <c r="G188" s="378"/>
      <c r="H188" s="378">
        <v>1</v>
      </c>
      <c r="I188" s="378">
        <v>14</v>
      </c>
      <c r="J188" s="315">
        <v>21</v>
      </c>
      <c r="K188" s="334">
        <v>35</v>
      </c>
    </row>
    <row r="189" spans="2:11" x14ac:dyDescent="0.25">
      <c r="B189" s="269" t="s">
        <v>239</v>
      </c>
      <c r="C189" s="378"/>
      <c r="D189" s="378">
        <v>0</v>
      </c>
      <c r="E189" s="378">
        <v>22</v>
      </c>
      <c r="F189" s="378">
        <v>34</v>
      </c>
      <c r="G189" s="378"/>
      <c r="H189" s="378">
        <v>2</v>
      </c>
      <c r="I189" s="378">
        <v>33</v>
      </c>
      <c r="J189" s="315">
        <v>25</v>
      </c>
      <c r="K189" s="334">
        <v>58</v>
      </c>
    </row>
    <row r="190" spans="2:11" x14ac:dyDescent="0.25">
      <c r="B190" s="269" t="s">
        <v>240</v>
      </c>
      <c r="C190" s="378"/>
      <c r="D190" s="378">
        <v>0</v>
      </c>
      <c r="E190" s="378">
        <v>10</v>
      </c>
      <c r="F190" s="378">
        <v>19</v>
      </c>
      <c r="G190" s="378"/>
      <c r="H190" s="378">
        <v>0</v>
      </c>
      <c r="I190" s="378">
        <v>14</v>
      </c>
      <c r="J190" s="315">
        <v>15</v>
      </c>
      <c r="K190" s="334">
        <v>29</v>
      </c>
    </row>
    <row r="191" spans="2:11" x14ac:dyDescent="0.25">
      <c r="B191" s="269" t="s">
        <v>241</v>
      </c>
      <c r="C191" s="378"/>
      <c r="D191" s="378">
        <v>0</v>
      </c>
      <c r="E191" s="378">
        <v>14</v>
      </c>
      <c r="F191" s="378">
        <v>42</v>
      </c>
      <c r="G191" s="378"/>
      <c r="H191" s="378">
        <v>3</v>
      </c>
      <c r="I191" s="378">
        <v>23</v>
      </c>
      <c r="J191" s="315">
        <v>36</v>
      </c>
      <c r="K191" s="334">
        <v>59</v>
      </c>
    </row>
    <row r="192" spans="2:11" x14ac:dyDescent="0.25">
      <c r="B192" s="269" t="s">
        <v>242</v>
      </c>
      <c r="C192" s="378"/>
      <c r="D192" s="378">
        <v>1</v>
      </c>
      <c r="E192" s="378">
        <v>14</v>
      </c>
      <c r="F192" s="378">
        <v>46</v>
      </c>
      <c r="G192" s="378"/>
      <c r="H192" s="378">
        <v>2</v>
      </c>
      <c r="I192" s="378">
        <v>31</v>
      </c>
      <c r="J192" s="315">
        <v>32</v>
      </c>
      <c r="K192" s="334">
        <v>63</v>
      </c>
    </row>
    <row r="193" spans="2:11" x14ac:dyDescent="0.25">
      <c r="B193" s="269" t="s">
        <v>243</v>
      </c>
      <c r="C193" s="378"/>
      <c r="D193" s="378">
        <v>0</v>
      </c>
      <c r="E193" s="378">
        <v>19</v>
      </c>
      <c r="F193" s="378">
        <v>52</v>
      </c>
      <c r="G193" s="378"/>
      <c r="H193" s="378">
        <v>2</v>
      </c>
      <c r="I193" s="378">
        <v>33</v>
      </c>
      <c r="J193" s="315">
        <v>40</v>
      </c>
      <c r="K193" s="334">
        <v>73</v>
      </c>
    </row>
    <row r="194" spans="2:11" x14ac:dyDescent="0.25">
      <c r="B194" s="269" t="s">
        <v>244</v>
      </c>
      <c r="C194" s="378"/>
      <c r="D194" s="378">
        <v>0</v>
      </c>
      <c r="E194" s="378">
        <v>22</v>
      </c>
      <c r="F194" s="378">
        <v>73</v>
      </c>
      <c r="G194" s="378"/>
      <c r="H194" s="378">
        <v>3</v>
      </c>
      <c r="I194" s="378">
        <v>54</v>
      </c>
      <c r="J194" s="315">
        <v>44</v>
      </c>
      <c r="K194" s="334">
        <v>98</v>
      </c>
    </row>
    <row r="195" spans="2:11" x14ac:dyDescent="0.25">
      <c r="B195" s="269" t="s">
        <v>245</v>
      </c>
      <c r="C195" s="378"/>
      <c r="D195" s="378">
        <v>0</v>
      </c>
      <c r="E195" s="378">
        <v>8</v>
      </c>
      <c r="F195" s="378">
        <v>25</v>
      </c>
      <c r="G195" s="378"/>
      <c r="H195" s="378">
        <v>1</v>
      </c>
      <c r="I195" s="378">
        <v>20</v>
      </c>
      <c r="J195" s="315">
        <v>14</v>
      </c>
      <c r="K195" s="334">
        <v>34</v>
      </c>
    </row>
    <row r="196" spans="2:11" x14ac:dyDescent="0.25">
      <c r="B196" s="269" t="s">
        <v>246</v>
      </c>
      <c r="C196" s="378"/>
      <c r="D196" s="378">
        <v>0</v>
      </c>
      <c r="E196" s="378">
        <v>5</v>
      </c>
      <c r="F196" s="378">
        <v>15</v>
      </c>
      <c r="G196" s="378"/>
      <c r="H196" s="378">
        <v>1</v>
      </c>
      <c r="I196" s="378">
        <v>5</v>
      </c>
      <c r="J196" s="315">
        <v>16</v>
      </c>
      <c r="K196" s="334">
        <v>21</v>
      </c>
    </row>
    <row r="197" spans="2:11" x14ac:dyDescent="0.25">
      <c r="B197" s="269" t="s">
        <v>247</v>
      </c>
      <c r="C197" s="378"/>
      <c r="D197" s="378">
        <v>1</v>
      </c>
      <c r="E197" s="378">
        <v>23</v>
      </c>
      <c r="F197" s="378">
        <v>42</v>
      </c>
      <c r="G197" s="378"/>
      <c r="H197" s="378">
        <v>1</v>
      </c>
      <c r="I197" s="378">
        <v>31</v>
      </c>
      <c r="J197" s="315">
        <v>36</v>
      </c>
      <c r="K197" s="334">
        <v>67</v>
      </c>
    </row>
    <row r="198" spans="2:11" x14ac:dyDescent="0.25">
      <c r="B198" s="269" t="s">
        <v>248</v>
      </c>
      <c r="C198" s="378"/>
      <c r="D198" s="378">
        <v>5</v>
      </c>
      <c r="E198" s="378">
        <v>300</v>
      </c>
      <c r="F198" s="378">
        <v>1191</v>
      </c>
      <c r="G198" s="378"/>
      <c r="H198" s="378">
        <v>27</v>
      </c>
      <c r="I198" s="378">
        <v>944</v>
      </c>
      <c r="J198" s="315">
        <v>579</v>
      </c>
      <c r="K198" s="334">
        <v>1523</v>
      </c>
    </row>
    <row r="199" spans="2:11" x14ac:dyDescent="0.25">
      <c r="B199" s="269" t="s">
        <v>249</v>
      </c>
      <c r="C199" s="378"/>
      <c r="D199" s="378">
        <v>0</v>
      </c>
      <c r="E199" s="378">
        <v>43</v>
      </c>
      <c r="F199" s="378">
        <v>153</v>
      </c>
      <c r="G199" s="378"/>
      <c r="H199" s="378">
        <v>10</v>
      </c>
      <c r="I199" s="378">
        <v>102</v>
      </c>
      <c r="J199" s="315">
        <v>104</v>
      </c>
      <c r="K199" s="334">
        <v>206</v>
      </c>
    </row>
    <row r="200" spans="2:11" x14ac:dyDescent="0.25">
      <c r="B200" s="269" t="s">
        <v>250</v>
      </c>
      <c r="C200" s="378"/>
      <c r="D200" s="378">
        <v>1</v>
      </c>
      <c r="E200" s="378">
        <v>21</v>
      </c>
      <c r="F200" s="378">
        <v>72</v>
      </c>
      <c r="G200" s="378"/>
      <c r="H200" s="378">
        <v>3</v>
      </c>
      <c r="I200" s="378">
        <v>55</v>
      </c>
      <c r="J200" s="315">
        <v>42</v>
      </c>
      <c r="K200" s="334">
        <v>97</v>
      </c>
    </row>
    <row r="201" spans="2:11" x14ac:dyDescent="0.25">
      <c r="B201" s="269" t="s">
        <v>251</v>
      </c>
      <c r="C201" s="378"/>
      <c r="D201" s="378">
        <v>2</v>
      </c>
      <c r="E201" s="378">
        <v>101</v>
      </c>
      <c r="F201" s="378">
        <v>242</v>
      </c>
      <c r="G201" s="378"/>
      <c r="H201" s="378">
        <v>14</v>
      </c>
      <c r="I201" s="378">
        <v>174</v>
      </c>
      <c r="J201" s="315">
        <v>185</v>
      </c>
      <c r="K201" s="334">
        <v>359</v>
      </c>
    </row>
    <row r="202" spans="2:11" x14ac:dyDescent="0.25">
      <c r="B202" s="269" t="s">
        <v>252</v>
      </c>
      <c r="C202" s="378"/>
      <c r="D202" s="378">
        <v>2</v>
      </c>
      <c r="E202" s="378">
        <v>37</v>
      </c>
      <c r="F202" s="378">
        <v>150</v>
      </c>
      <c r="G202" s="378"/>
      <c r="H202" s="378">
        <v>6</v>
      </c>
      <c r="I202" s="378">
        <v>97</v>
      </c>
      <c r="J202" s="315">
        <v>98</v>
      </c>
      <c r="K202" s="334">
        <v>195</v>
      </c>
    </row>
    <row r="203" spans="2:11" x14ac:dyDescent="0.25">
      <c r="B203" s="270" t="s">
        <v>253</v>
      </c>
      <c r="C203" s="378"/>
      <c r="D203" s="378">
        <v>1</v>
      </c>
      <c r="E203" s="378">
        <v>45</v>
      </c>
      <c r="F203" s="378">
        <v>128</v>
      </c>
      <c r="G203" s="378"/>
      <c r="H203" s="378">
        <v>8</v>
      </c>
      <c r="I203" s="378">
        <v>91</v>
      </c>
      <c r="J203" s="315">
        <v>91</v>
      </c>
      <c r="K203" s="334">
        <v>182</v>
      </c>
    </row>
    <row r="204" spans="2:11" x14ac:dyDescent="0.25">
      <c r="B204" s="289" t="s">
        <v>36</v>
      </c>
      <c r="C204" s="359"/>
      <c r="D204" s="359">
        <v>24</v>
      </c>
      <c r="E204" s="359">
        <v>986</v>
      </c>
      <c r="F204" s="359">
        <v>3197</v>
      </c>
      <c r="G204" s="359"/>
      <c r="H204" s="359">
        <v>126</v>
      </c>
      <c r="I204" s="359">
        <v>2319</v>
      </c>
      <c r="J204" s="334">
        <v>2014</v>
      </c>
      <c r="K204" s="334">
        <v>4333</v>
      </c>
    </row>
    <row r="205" spans="2:11" ht="29.25" customHeight="1" x14ac:dyDescent="0.25">
      <c r="B205" s="510" t="s">
        <v>898</v>
      </c>
      <c r="C205" s="510"/>
      <c r="D205" s="510"/>
      <c r="E205" s="510"/>
      <c r="F205" s="510"/>
      <c r="G205" s="510"/>
      <c r="H205" s="510"/>
      <c r="I205" s="510"/>
      <c r="J205" s="510"/>
      <c r="K205" s="510"/>
    </row>
    <row r="206" spans="2:11" x14ac:dyDescent="0.25">
      <c r="B206" s="176"/>
      <c r="C206" s="176"/>
      <c r="D206" s="176"/>
      <c r="E206" s="176"/>
      <c r="F206"/>
      <c r="G206"/>
      <c r="H206"/>
      <c r="I206"/>
    </row>
    <row r="207" spans="2:11" x14ac:dyDescent="0.25">
      <c r="B207" s="205" t="s">
        <v>527</v>
      </c>
      <c r="C207"/>
      <c r="D207"/>
      <c r="E207"/>
      <c r="F207"/>
      <c r="G207"/>
      <c r="H207"/>
      <c r="I207"/>
    </row>
    <row r="208" spans="2:11" x14ac:dyDescent="0.25">
      <c r="B208" s="205"/>
      <c r="C208"/>
      <c r="D208"/>
      <c r="E208"/>
      <c r="F208"/>
      <c r="G208"/>
      <c r="H208"/>
      <c r="I208"/>
    </row>
    <row r="209" spans="2:11" x14ac:dyDescent="0.25">
      <c r="B209" s="176"/>
      <c r="C209" s="488" t="s">
        <v>538</v>
      </c>
      <c r="D209" s="488"/>
      <c r="E209" s="488"/>
      <c r="F209" s="488"/>
      <c r="G209" s="488"/>
      <c r="H209" s="488"/>
      <c r="I209" s="484" t="s">
        <v>610</v>
      </c>
      <c r="J209" s="484"/>
      <c r="K209" s="492" t="s">
        <v>36</v>
      </c>
    </row>
    <row r="210" spans="2:11" ht="30" x14ac:dyDescent="0.25">
      <c r="B210" s="178" t="s">
        <v>548</v>
      </c>
      <c r="C210" s="179" t="s">
        <v>3</v>
      </c>
      <c r="D210" s="179" t="s">
        <v>4</v>
      </c>
      <c r="E210" s="179" t="s">
        <v>714</v>
      </c>
      <c r="F210" s="179" t="s">
        <v>501</v>
      </c>
      <c r="G210" s="179" t="s">
        <v>5</v>
      </c>
      <c r="H210" s="179" t="s">
        <v>6</v>
      </c>
      <c r="I210" s="179" t="s">
        <v>87</v>
      </c>
      <c r="J210" s="179" t="s">
        <v>88</v>
      </c>
      <c r="K210" s="492"/>
    </row>
    <row r="211" spans="2:11" x14ac:dyDescent="0.25">
      <c r="B211" s="268" t="s">
        <v>254</v>
      </c>
      <c r="C211" s="378"/>
      <c r="D211" s="378">
        <v>0</v>
      </c>
      <c r="E211" s="378">
        <v>64</v>
      </c>
      <c r="F211" s="378">
        <v>135</v>
      </c>
      <c r="G211" s="378"/>
      <c r="H211" s="378">
        <v>6</v>
      </c>
      <c r="I211" s="378">
        <v>124</v>
      </c>
      <c r="J211" s="315">
        <v>81</v>
      </c>
      <c r="K211" s="334">
        <v>205</v>
      </c>
    </row>
    <row r="212" spans="2:11" x14ac:dyDescent="0.25">
      <c r="B212" s="269" t="s">
        <v>255</v>
      </c>
      <c r="C212" s="378"/>
      <c r="D212" s="378">
        <v>0</v>
      </c>
      <c r="E212" s="378">
        <v>10</v>
      </c>
      <c r="F212" s="378">
        <v>20</v>
      </c>
      <c r="G212" s="378"/>
      <c r="H212" s="378">
        <v>2</v>
      </c>
      <c r="I212" s="378">
        <v>17</v>
      </c>
      <c r="J212" s="315">
        <v>15</v>
      </c>
      <c r="K212" s="334">
        <v>32</v>
      </c>
    </row>
    <row r="213" spans="2:11" x14ac:dyDescent="0.25">
      <c r="B213" s="269" t="s">
        <v>256</v>
      </c>
      <c r="C213" s="378"/>
      <c r="D213" s="378">
        <v>1</v>
      </c>
      <c r="E213" s="378">
        <v>17</v>
      </c>
      <c r="F213" s="378">
        <v>45</v>
      </c>
      <c r="G213" s="378"/>
      <c r="H213" s="378">
        <v>6</v>
      </c>
      <c r="I213" s="378">
        <v>37</v>
      </c>
      <c r="J213" s="315">
        <v>32</v>
      </c>
      <c r="K213" s="334">
        <v>69</v>
      </c>
    </row>
    <row r="214" spans="2:11" x14ac:dyDescent="0.25">
      <c r="B214" s="269" t="s">
        <v>257</v>
      </c>
      <c r="C214" s="378"/>
      <c r="D214" s="378">
        <v>1</v>
      </c>
      <c r="E214" s="378">
        <v>42</v>
      </c>
      <c r="F214" s="378">
        <v>89</v>
      </c>
      <c r="G214" s="378"/>
      <c r="H214" s="378">
        <v>13</v>
      </c>
      <c r="I214" s="378">
        <v>70</v>
      </c>
      <c r="J214" s="315">
        <v>75</v>
      </c>
      <c r="K214" s="334">
        <v>145</v>
      </c>
    </row>
    <row r="215" spans="2:11" x14ac:dyDescent="0.25">
      <c r="B215" s="269" t="s">
        <v>258</v>
      </c>
      <c r="C215" s="378"/>
      <c r="D215" s="378">
        <v>1</v>
      </c>
      <c r="E215" s="378">
        <v>19</v>
      </c>
      <c r="F215" s="378">
        <v>15</v>
      </c>
      <c r="G215" s="378"/>
      <c r="H215" s="378">
        <v>3</v>
      </c>
      <c r="I215" s="378">
        <v>24</v>
      </c>
      <c r="J215" s="315">
        <v>14</v>
      </c>
      <c r="K215" s="334">
        <v>38</v>
      </c>
    </row>
    <row r="216" spans="2:11" x14ac:dyDescent="0.25">
      <c r="B216" s="269" t="s">
        <v>259</v>
      </c>
      <c r="C216" s="378"/>
      <c r="D216" s="378">
        <v>6</v>
      </c>
      <c r="E216" s="378">
        <v>126</v>
      </c>
      <c r="F216" s="378">
        <v>427</v>
      </c>
      <c r="G216" s="378"/>
      <c r="H216" s="378">
        <v>24</v>
      </c>
      <c r="I216" s="378">
        <v>317</v>
      </c>
      <c r="J216" s="315">
        <v>266</v>
      </c>
      <c r="K216" s="334">
        <v>583</v>
      </c>
    </row>
    <row r="217" spans="2:11" x14ac:dyDescent="0.25">
      <c r="B217" s="269" t="s">
        <v>260</v>
      </c>
      <c r="C217" s="378"/>
      <c r="D217" s="378">
        <v>1</v>
      </c>
      <c r="E217" s="378">
        <v>5</v>
      </c>
      <c r="F217" s="378">
        <v>4</v>
      </c>
      <c r="G217" s="378"/>
      <c r="H217" s="378">
        <v>1</v>
      </c>
      <c r="I217" s="378">
        <v>7</v>
      </c>
      <c r="J217" s="315">
        <v>4</v>
      </c>
      <c r="K217" s="334">
        <v>11</v>
      </c>
    </row>
    <row r="218" spans="2:11" x14ac:dyDescent="0.25">
      <c r="B218" s="269" t="s">
        <v>510</v>
      </c>
      <c r="C218" s="378"/>
      <c r="D218" s="378">
        <v>0</v>
      </c>
      <c r="E218" s="378">
        <v>20</v>
      </c>
      <c r="F218" s="378">
        <v>27</v>
      </c>
      <c r="G218" s="378"/>
      <c r="H218" s="378">
        <v>1</v>
      </c>
      <c r="I218" s="378">
        <v>17</v>
      </c>
      <c r="J218" s="315">
        <v>31</v>
      </c>
      <c r="K218" s="334">
        <v>48</v>
      </c>
    </row>
    <row r="219" spans="2:11" x14ac:dyDescent="0.25">
      <c r="B219" s="269" t="s">
        <v>261</v>
      </c>
      <c r="C219" s="378"/>
      <c r="D219" s="378">
        <v>0</v>
      </c>
      <c r="E219" s="378">
        <v>8</v>
      </c>
      <c r="F219" s="378">
        <v>34</v>
      </c>
      <c r="G219" s="378"/>
      <c r="H219" s="378">
        <v>2</v>
      </c>
      <c r="I219" s="378">
        <v>22</v>
      </c>
      <c r="J219" s="315">
        <v>22</v>
      </c>
      <c r="K219" s="334">
        <v>44</v>
      </c>
    </row>
    <row r="220" spans="2:11" x14ac:dyDescent="0.25">
      <c r="B220" s="269" t="s">
        <v>262</v>
      </c>
      <c r="C220" s="378"/>
      <c r="D220" s="378">
        <v>2</v>
      </c>
      <c r="E220" s="378">
        <v>113</v>
      </c>
      <c r="F220" s="378">
        <v>290</v>
      </c>
      <c r="G220" s="378"/>
      <c r="H220" s="378">
        <v>12</v>
      </c>
      <c r="I220" s="378">
        <v>225</v>
      </c>
      <c r="J220" s="315">
        <v>192</v>
      </c>
      <c r="K220" s="334">
        <v>417</v>
      </c>
    </row>
    <row r="221" spans="2:11" x14ac:dyDescent="0.25">
      <c r="B221" s="269" t="s">
        <v>263</v>
      </c>
      <c r="C221" s="378"/>
      <c r="D221" s="378">
        <v>0</v>
      </c>
      <c r="E221" s="378">
        <v>23</v>
      </c>
      <c r="F221" s="378">
        <v>61</v>
      </c>
      <c r="G221" s="378"/>
      <c r="H221" s="378">
        <v>2</v>
      </c>
      <c r="I221" s="378">
        <v>46</v>
      </c>
      <c r="J221" s="315">
        <v>40</v>
      </c>
      <c r="K221" s="334">
        <v>86</v>
      </c>
    </row>
    <row r="222" spans="2:11" x14ac:dyDescent="0.25">
      <c r="B222" s="269" t="s">
        <v>264</v>
      </c>
      <c r="C222" s="378"/>
      <c r="D222" s="378">
        <v>3</v>
      </c>
      <c r="E222" s="378">
        <v>38</v>
      </c>
      <c r="F222" s="378">
        <v>69</v>
      </c>
      <c r="G222" s="378"/>
      <c r="H222" s="378">
        <v>11</v>
      </c>
      <c r="I222" s="378">
        <v>61</v>
      </c>
      <c r="J222" s="315">
        <v>60</v>
      </c>
      <c r="K222" s="334">
        <v>121</v>
      </c>
    </row>
    <row r="223" spans="2:11" x14ac:dyDescent="0.25">
      <c r="B223" s="269" t="s">
        <v>265</v>
      </c>
      <c r="C223" s="378"/>
      <c r="D223" s="378">
        <v>0</v>
      </c>
      <c r="E223" s="378">
        <v>35</v>
      </c>
      <c r="F223" s="378">
        <v>92</v>
      </c>
      <c r="G223" s="378"/>
      <c r="H223" s="378">
        <v>4</v>
      </c>
      <c r="I223" s="378">
        <v>67</v>
      </c>
      <c r="J223" s="315">
        <v>64</v>
      </c>
      <c r="K223" s="334">
        <v>131</v>
      </c>
    </row>
    <row r="224" spans="2:11" x14ac:dyDescent="0.25">
      <c r="B224" s="269" t="s">
        <v>266</v>
      </c>
      <c r="C224" s="378"/>
      <c r="D224" s="378">
        <v>1</v>
      </c>
      <c r="E224" s="378">
        <v>51</v>
      </c>
      <c r="F224" s="378">
        <v>97</v>
      </c>
      <c r="G224" s="378"/>
      <c r="H224" s="378">
        <v>7</v>
      </c>
      <c r="I224" s="378">
        <v>84</v>
      </c>
      <c r="J224" s="315">
        <v>72</v>
      </c>
      <c r="K224" s="334">
        <v>156</v>
      </c>
    </row>
    <row r="225" spans="2:11" x14ac:dyDescent="0.25">
      <c r="B225" s="269" t="s">
        <v>267</v>
      </c>
      <c r="C225" s="378"/>
      <c r="D225" s="378">
        <v>0</v>
      </c>
      <c r="E225" s="378">
        <v>13</v>
      </c>
      <c r="F225" s="378">
        <v>20</v>
      </c>
      <c r="G225" s="378"/>
      <c r="H225" s="378">
        <v>0</v>
      </c>
      <c r="I225" s="378">
        <v>15</v>
      </c>
      <c r="J225" s="315">
        <v>18</v>
      </c>
      <c r="K225" s="334">
        <v>33</v>
      </c>
    </row>
    <row r="226" spans="2:11" x14ac:dyDescent="0.25">
      <c r="B226" s="269" t="s">
        <v>268</v>
      </c>
      <c r="C226" s="378"/>
      <c r="D226" s="378">
        <v>0</v>
      </c>
      <c r="E226" s="378">
        <v>18</v>
      </c>
      <c r="F226" s="378">
        <v>21</v>
      </c>
      <c r="G226" s="378"/>
      <c r="H226" s="378">
        <v>0</v>
      </c>
      <c r="I226" s="378">
        <v>26</v>
      </c>
      <c r="J226" s="315">
        <v>13</v>
      </c>
      <c r="K226" s="334">
        <v>39</v>
      </c>
    </row>
    <row r="227" spans="2:11" x14ac:dyDescent="0.25">
      <c r="B227" s="269" t="s">
        <v>269</v>
      </c>
      <c r="C227" s="378"/>
      <c r="D227" s="378">
        <v>0</v>
      </c>
      <c r="E227" s="378">
        <v>8</v>
      </c>
      <c r="F227" s="378">
        <v>16</v>
      </c>
      <c r="G227" s="378"/>
      <c r="H227" s="378">
        <v>2</v>
      </c>
      <c r="I227" s="378">
        <v>13</v>
      </c>
      <c r="J227" s="315">
        <v>13</v>
      </c>
      <c r="K227" s="334">
        <v>26</v>
      </c>
    </row>
    <row r="228" spans="2:11" x14ac:dyDescent="0.25">
      <c r="B228" s="269" t="s">
        <v>270</v>
      </c>
      <c r="C228" s="378"/>
      <c r="D228" s="378">
        <v>0</v>
      </c>
      <c r="E228" s="378">
        <v>6</v>
      </c>
      <c r="F228" s="378">
        <v>18</v>
      </c>
      <c r="G228" s="378"/>
      <c r="H228" s="378">
        <v>0</v>
      </c>
      <c r="I228" s="378">
        <v>12</v>
      </c>
      <c r="J228" s="315">
        <v>12</v>
      </c>
      <c r="K228" s="334">
        <v>24</v>
      </c>
    </row>
    <row r="229" spans="2:11" x14ac:dyDescent="0.25">
      <c r="B229" s="269" t="s">
        <v>271</v>
      </c>
      <c r="C229" s="378"/>
      <c r="D229" s="378">
        <v>1</v>
      </c>
      <c r="E229" s="378">
        <v>22</v>
      </c>
      <c r="F229" s="378">
        <v>42</v>
      </c>
      <c r="G229" s="378"/>
      <c r="H229" s="378">
        <v>1</v>
      </c>
      <c r="I229" s="378">
        <v>31</v>
      </c>
      <c r="J229" s="315">
        <v>35</v>
      </c>
      <c r="K229" s="334">
        <v>66</v>
      </c>
    </row>
    <row r="230" spans="2:11" x14ac:dyDescent="0.25">
      <c r="B230" s="269" t="s">
        <v>272</v>
      </c>
      <c r="C230" s="378"/>
      <c r="D230" s="378">
        <v>1</v>
      </c>
      <c r="E230" s="378">
        <v>9</v>
      </c>
      <c r="F230" s="378">
        <v>28</v>
      </c>
      <c r="G230" s="378"/>
      <c r="H230" s="378">
        <v>2</v>
      </c>
      <c r="I230" s="378">
        <v>21</v>
      </c>
      <c r="J230" s="315">
        <v>19</v>
      </c>
      <c r="K230" s="334">
        <v>40</v>
      </c>
    </row>
    <row r="231" spans="2:11" x14ac:dyDescent="0.25">
      <c r="B231" s="269" t="s">
        <v>273</v>
      </c>
      <c r="C231" s="378"/>
      <c r="D231" s="378">
        <v>0</v>
      </c>
      <c r="E231" s="378">
        <v>16</v>
      </c>
      <c r="F231" s="378">
        <v>36</v>
      </c>
      <c r="G231" s="378"/>
      <c r="H231" s="378">
        <v>0</v>
      </c>
      <c r="I231" s="378">
        <v>29</v>
      </c>
      <c r="J231" s="315">
        <v>23</v>
      </c>
      <c r="K231" s="334">
        <v>52</v>
      </c>
    </row>
    <row r="232" spans="2:11" x14ac:dyDescent="0.25">
      <c r="B232" s="269" t="s">
        <v>274</v>
      </c>
      <c r="C232" s="378"/>
      <c r="D232" s="378">
        <v>0</v>
      </c>
      <c r="E232" s="378">
        <v>15</v>
      </c>
      <c r="F232" s="378">
        <v>42</v>
      </c>
      <c r="G232" s="378"/>
      <c r="H232" s="378">
        <v>2</v>
      </c>
      <c r="I232" s="378">
        <v>30</v>
      </c>
      <c r="J232" s="315">
        <v>29</v>
      </c>
      <c r="K232" s="334">
        <v>59</v>
      </c>
    </row>
    <row r="233" spans="2:11" x14ac:dyDescent="0.25">
      <c r="B233" s="269" t="s">
        <v>275</v>
      </c>
      <c r="C233" s="378"/>
      <c r="D233" s="378">
        <v>1</v>
      </c>
      <c r="E233" s="378">
        <v>44</v>
      </c>
      <c r="F233" s="378">
        <v>99</v>
      </c>
      <c r="G233" s="378"/>
      <c r="H233" s="378">
        <v>6</v>
      </c>
      <c r="I233" s="378">
        <v>69</v>
      </c>
      <c r="J233" s="315">
        <v>81</v>
      </c>
      <c r="K233" s="334">
        <v>150</v>
      </c>
    </row>
    <row r="234" spans="2:11" x14ac:dyDescent="0.25">
      <c r="B234" s="269" t="s">
        <v>276</v>
      </c>
      <c r="C234" s="378"/>
      <c r="D234" s="378">
        <v>1</v>
      </c>
      <c r="E234" s="378">
        <v>50</v>
      </c>
      <c r="F234" s="378">
        <v>135</v>
      </c>
      <c r="G234" s="378"/>
      <c r="H234" s="378">
        <v>7</v>
      </c>
      <c r="I234" s="378">
        <v>106</v>
      </c>
      <c r="J234" s="315">
        <v>87</v>
      </c>
      <c r="K234" s="334">
        <v>193</v>
      </c>
    </row>
    <row r="235" spans="2:11" x14ac:dyDescent="0.25">
      <c r="B235" s="269" t="s">
        <v>277</v>
      </c>
      <c r="C235" s="378"/>
      <c r="D235" s="378">
        <v>0</v>
      </c>
      <c r="E235" s="378">
        <v>10</v>
      </c>
      <c r="F235" s="378">
        <v>20</v>
      </c>
      <c r="G235" s="378"/>
      <c r="H235" s="378">
        <v>2</v>
      </c>
      <c r="I235" s="378">
        <v>17</v>
      </c>
      <c r="J235" s="315">
        <v>15</v>
      </c>
      <c r="K235" s="334">
        <v>32</v>
      </c>
    </row>
    <row r="236" spans="2:11" x14ac:dyDescent="0.25">
      <c r="B236" s="269" t="s">
        <v>278</v>
      </c>
      <c r="C236" s="378"/>
      <c r="D236" s="378">
        <v>4</v>
      </c>
      <c r="E236" s="378">
        <v>238</v>
      </c>
      <c r="F236" s="378">
        <v>605</v>
      </c>
      <c r="G236" s="378"/>
      <c r="H236" s="378">
        <v>26</v>
      </c>
      <c r="I236" s="378">
        <v>485</v>
      </c>
      <c r="J236" s="315">
        <v>388</v>
      </c>
      <c r="K236" s="334">
        <v>873</v>
      </c>
    </row>
    <row r="237" spans="2:11" x14ac:dyDescent="0.25">
      <c r="B237" s="269" t="s">
        <v>279</v>
      </c>
      <c r="C237" s="378"/>
      <c r="D237" s="378">
        <v>2</v>
      </c>
      <c r="E237" s="378">
        <v>22</v>
      </c>
      <c r="F237" s="378">
        <v>52</v>
      </c>
      <c r="G237" s="378"/>
      <c r="H237" s="378">
        <v>2</v>
      </c>
      <c r="I237" s="378">
        <v>38</v>
      </c>
      <c r="J237" s="315">
        <v>40</v>
      </c>
      <c r="K237" s="334">
        <v>78</v>
      </c>
    </row>
    <row r="238" spans="2:11" x14ac:dyDescent="0.25">
      <c r="B238" s="269" t="s">
        <v>280</v>
      </c>
      <c r="C238" s="378"/>
      <c r="D238" s="378">
        <v>0</v>
      </c>
      <c r="E238" s="378">
        <v>7</v>
      </c>
      <c r="F238" s="378">
        <v>12</v>
      </c>
      <c r="G238" s="378"/>
      <c r="H238" s="378">
        <v>1</v>
      </c>
      <c r="I238" s="378">
        <v>9</v>
      </c>
      <c r="J238" s="315">
        <v>11</v>
      </c>
      <c r="K238" s="334">
        <v>20</v>
      </c>
    </row>
    <row r="239" spans="2:11" x14ac:dyDescent="0.25">
      <c r="B239" s="269" t="s">
        <v>281</v>
      </c>
      <c r="C239" s="378"/>
      <c r="D239" s="378">
        <v>0</v>
      </c>
      <c r="E239" s="378">
        <v>14</v>
      </c>
      <c r="F239" s="378">
        <v>50</v>
      </c>
      <c r="G239" s="378"/>
      <c r="H239" s="378">
        <v>1</v>
      </c>
      <c r="I239" s="378">
        <v>36</v>
      </c>
      <c r="J239" s="315">
        <v>29</v>
      </c>
      <c r="K239" s="334">
        <v>65</v>
      </c>
    </row>
    <row r="240" spans="2:11" x14ac:dyDescent="0.25">
      <c r="B240" s="270" t="s">
        <v>282</v>
      </c>
      <c r="C240" s="378"/>
      <c r="D240" s="378">
        <v>0</v>
      </c>
      <c r="E240" s="378">
        <v>14</v>
      </c>
      <c r="F240" s="378">
        <v>30</v>
      </c>
      <c r="G240" s="378"/>
      <c r="H240" s="378">
        <v>3</v>
      </c>
      <c r="I240" s="378">
        <v>22</v>
      </c>
      <c r="J240" s="315">
        <v>25</v>
      </c>
      <c r="K240" s="334">
        <v>47</v>
      </c>
    </row>
    <row r="241" spans="2:11" x14ac:dyDescent="0.25">
      <c r="B241" s="289" t="s">
        <v>36</v>
      </c>
      <c r="C241" s="359"/>
      <c r="D241" s="359">
        <v>26</v>
      </c>
      <c r="E241" s="359">
        <v>1077</v>
      </c>
      <c r="F241" s="359">
        <v>2631</v>
      </c>
      <c r="G241" s="359"/>
      <c r="H241" s="359">
        <v>149</v>
      </c>
      <c r="I241" s="359">
        <v>2077</v>
      </c>
      <c r="J241" s="334">
        <v>1806</v>
      </c>
      <c r="K241" s="334">
        <v>3883</v>
      </c>
    </row>
    <row r="242" spans="2:11" ht="31.5" customHeight="1" x14ac:dyDescent="0.25">
      <c r="B242" s="510" t="s">
        <v>898</v>
      </c>
      <c r="C242" s="510"/>
      <c r="D242" s="510"/>
      <c r="E242" s="510"/>
      <c r="F242" s="510"/>
      <c r="G242" s="510"/>
      <c r="H242" s="510"/>
      <c r="I242" s="510"/>
      <c r="J242" s="510"/>
      <c r="K242" s="510"/>
    </row>
    <row r="243" spans="2:11" x14ac:dyDescent="0.25">
      <c r="B243" s="176"/>
      <c r="C243" s="176"/>
      <c r="D243" s="176"/>
      <c r="E243" s="176"/>
      <c r="F243"/>
      <c r="G243"/>
      <c r="H243"/>
      <c r="I243"/>
    </row>
    <row r="244" spans="2:11" x14ac:dyDescent="0.25">
      <c r="B244" s="205" t="s">
        <v>528</v>
      </c>
      <c r="C244"/>
      <c r="D244"/>
      <c r="E244"/>
      <c r="F244"/>
      <c r="G244"/>
      <c r="H244"/>
      <c r="I244"/>
    </row>
    <row r="245" spans="2:11" x14ac:dyDescent="0.25">
      <c r="B245" s="205"/>
      <c r="C245"/>
      <c r="D245"/>
      <c r="E245"/>
      <c r="F245"/>
      <c r="G245"/>
      <c r="H245"/>
      <c r="I245"/>
    </row>
    <row r="246" spans="2:11" x14ac:dyDescent="0.25">
      <c r="B246" s="176"/>
      <c r="C246" s="488" t="s">
        <v>538</v>
      </c>
      <c r="D246" s="488"/>
      <c r="E246" s="488"/>
      <c r="F246" s="488"/>
      <c r="G246" s="488"/>
      <c r="H246" s="488"/>
      <c r="I246" s="484" t="s">
        <v>610</v>
      </c>
      <c r="J246" s="484"/>
      <c r="K246" s="492" t="s">
        <v>36</v>
      </c>
    </row>
    <row r="247" spans="2:11" ht="30" x14ac:dyDescent="0.25">
      <c r="B247" s="178" t="s">
        <v>548</v>
      </c>
      <c r="C247" s="179" t="s">
        <v>3</v>
      </c>
      <c r="D247" s="179" t="s">
        <v>4</v>
      </c>
      <c r="E247" s="179" t="s">
        <v>714</v>
      </c>
      <c r="F247" s="179" t="s">
        <v>501</v>
      </c>
      <c r="G247" s="179" t="s">
        <v>5</v>
      </c>
      <c r="H247" s="179" t="s">
        <v>6</v>
      </c>
      <c r="I247" s="179" t="s">
        <v>87</v>
      </c>
      <c r="J247" s="179" t="s">
        <v>88</v>
      </c>
      <c r="K247" s="492"/>
    </row>
    <row r="248" spans="2:11" x14ac:dyDescent="0.25">
      <c r="B248" s="175" t="s">
        <v>284</v>
      </c>
      <c r="C248" s="368"/>
      <c r="D248" s="368">
        <v>0</v>
      </c>
      <c r="E248" s="368">
        <v>5</v>
      </c>
      <c r="F248" s="368">
        <v>7</v>
      </c>
      <c r="G248" s="368"/>
      <c r="H248" s="383">
        <v>1</v>
      </c>
      <c r="I248" s="378">
        <v>7</v>
      </c>
      <c r="J248" s="315">
        <v>6</v>
      </c>
      <c r="K248" s="334">
        <v>13</v>
      </c>
    </row>
    <row r="249" spans="2:11" x14ac:dyDescent="0.25">
      <c r="B249" s="152" t="s">
        <v>285</v>
      </c>
      <c r="C249" s="368"/>
      <c r="D249" s="368">
        <v>0</v>
      </c>
      <c r="E249" s="368">
        <v>7</v>
      </c>
      <c r="F249" s="368">
        <v>9</v>
      </c>
      <c r="G249" s="368"/>
      <c r="H249" s="383">
        <v>0</v>
      </c>
      <c r="I249" s="378">
        <v>10</v>
      </c>
      <c r="J249" s="315">
        <v>6</v>
      </c>
      <c r="K249" s="334">
        <v>16</v>
      </c>
    </row>
    <row r="250" spans="2:11" x14ac:dyDescent="0.25">
      <c r="B250" s="152" t="s">
        <v>286</v>
      </c>
      <c r="C250" s="368"/>
      <c r="D250" s="368">
        <v>0</v>
      </c>
      <c r="E250" s="368">
        <v>41</v>
      </c>
      <c r="F250" s="368">
        <v>67</v>
      </c>
      <c r="G250" s="368"/>
      <c r="H250" s="383">
        <v>4</v>
      </c>
      <c r="I250" s="378">
        <v>44</v>
      </c>
      <c r="J250" s="315">
        <v>68</v>
      </c>
      <c r="K250" s="334">
        <v>112</v>
      </c>
    </row>
    <row r="251" spans="2:11" x14ac:dyDescent="0.25">
      <c r="B251" s="152" t="s">
        <v>287</v>
      </c>
      <c r="C251" s="368"/>
      <c r="D251" s="368">
        <v>0</v>
      </c>
      <c r="E251" s="368">
        <v>26</v>
      </c>
      <c r="F251" s="368">
        <v>57</v>
      </c>
      <c r="G251" s="368"/>
      <c r="H251" s="383">
        <v>6</v>
      </c>
      <c r="I251" s="378">
        <v>45</v>
      </c>
      <c r="J251" s="315">
        <v>44</v>
      </c>
      <c r="K251" s="334">
        <v>89</v>
      </c>
    </row>
    <row r="252" spans="2:11" x14ac:dyDescent="0.25">
      <c r="B252" s="152" t="s">
        <v>511</v>
      </c>
      <c r="C252" s="368"/>
      <c r="D252" s="368">
        <v>1</v>
      </c>
      <c r="E252" s="368">
        <v>33</v>
      </c>
      <c r="F252" s="368">
        <v>59</v>
      </c>
      <c r="G252" s="368"/>
      <c r="H252" s="383">
        <v>2</v>
      </c>
      <c r="I252" s="378">
        <v>42</v>
      </c>
      <c r="J252" s="315">
        <v>53</v>
      </c>
      <c r="K252" s="334">
        <v>95</v>
      </c>
    </row>
    <row r="253" spans="2:11" x14ac:dyDescent="0.25">
      <c r="B253" s="152" t="s">
        <v>288</v>
      </c>
      <c r="C253" s="368"/>
      <c r="D253" s="368">
        <v>1</v>
      </c>
      <c r="E253" s="368">
        <v>74</v>
      </c>
      <c r="F253" s="368">
        <v>241</v>
      </c>
      <c r="G253" s="368"/>
      <c r="H253" s="383">
        <v>12</v>
      </c>
      <c r="I253" s="378">
        <v>184</v>
      </c>
      <c r="J253" s="315">
        <v>144</v>
      </c>
      <c r="K253" s="334">
        <v>328</v>
      </c>
    </row>
    <row r="254" spans="2:11" x14ac:dyDescent="0.25">
      <c r="B254" s="152" t="s">
        <v>289</v>
      </c>
      <c r="C254" s="368"/>
      <c r="D254" s="368">
        <v>5</v>
      </c>
      <c r="E254" s="368">
        <v>223</v>
      </c>
      <c r="F254" s="368">
        <v>819</v>
      </c>
      <c r="G254" s="368"/>
      <c r="H254" s="383">
        <v>18</v>
      </c>
      <c r="I254" s="378">
        <v>613</v>
      </c>
      <c r="J254" s="315">
        <v>452</v>
      </c>
      <c r="K254" s="334">
        <v>1065</v>
      </c>
    </row>
    <row r="255" spans="2:11" x14ac:dyDescent="0.25">
      <c r="B255" s="152" t="s">
        <v>290</v>
      </c>
      <c r="C255" s="368"/>
      <c r="D255" s="368">
        <v>0</v>
      </c>
      <c r="E255" s="368">
        <v>8</v>
      </c>
      <c r="F255" s="368">
        <v>15</v>
      </c>
      <c r="G255" s="368"/>
      <c r="H255" s="383">
        <v>1</v>
      </c>
      <c r="I255" s="378">
        <v>16</v>
      </c>
      <c r="J255" s="315">
        <v>8</v>
      </c>
      <c r="K255" s="334">
        <v>24</v>
      </c>
    </row>
    <row r="256" spans="2:11" x14ac:dyDescent="0.25">
      <c r="B256" s="152" t="s">
        <v>291</v>
      </c>
      <c r="C256" s="368"/>
      <c r="D256" s="368">
        <v>0</v>
      </c>
      <c r="E256" s="368">
        <v>106</v>
      </c>
      <c r="F256" s="368">
        <v>271</v>
      </c>
      <c r="G256" s="368"/>
      <c r="H256" s="383">
        <v>18</v>
      </c>
      <c r="I256" s="378">
        <v>205</v>
      </c>
      <c r="J256" s="315">
        <v>190</v>
      </c>
      <c r="K256" s="334">
        <v>395</v>
      </c>
    </row>
    <row r="257" spans="2:11" x14ac:dyDescent="0.25">
      <c r="B257" s="152" t="s">
        <v>292</v>
      </c>
      <c r="C257" s="368"/>
      <c r="D257" s="368">
        <v>1</v>
      </c>
      <c r="E257" s="368">
        <v>36</v>
      </c>
      <c r="F257" s="368">
        <v>69</v>
      </c>
      <c r="G257" s="368"/>
      <c r="H257" s="383">
        <v>4</v>
      </c>
      <c r="I257" s="378">
        <v>49</v>
      </c>
      <c r="J257" s="315">
        <v>61</v>
      </c>
      <c r="K257" s="334">
        <v>110</v>
      </c>
    </row>
    <row r="258" spans="2:11" x14ac:dyDescent="0.25">
      <c r="B258" s="152" t="s">
        <v>293</v>
      </c>
      <c r="C258" s="368"/>
      <c r="D258" s="368">
        <v>0</v>
      </c>
      <c r="E258" s="368">
        <v>10</v>
      </c>
      <c r="F258" s="368">
        <v>15</v>
      </c>
      <c r="G258" s="368"/>
      <c r="H258" s="383">
        <v>1</v>
      </c>
      <c r="I258" s="378">
        <v>15</v>
      </c>
      <c r="J258" s="315">
        <v>11</v>
      </c>
      <c r="K258" s="334">
        <v>26</v>
      </c>
    </row>
    <row r="259" spans="2:11" x14ac:dyDescent="0.25">
      <c r="B259" s="152" t="s">
        <v>294</v>
      </c>
      <c r="C259" s="368"/>
      <c r="D259" s="368">
        <v>1</v>
      </c>
      <c r="E259" s="368">
        <v>79</v>
      </c>
      <c r="F259" s="368">
        <v>262</v>
      </c>
      <c r="G259" s="368"/>
      <c r="H259" s="383">
        <v>8</v>
      </c>
      <c r="I259" s="378">
        <v>190</v>
      </c>
      <c r="J259" s="315">
        <v>160</v>
      </c>
      <c r="K259" s="334">
        <v>350</v>
      </c>
    </row>
    <row r="260" spans="2:11" x14ac:dyDescent="0.25">
      <c r="B260" s="152" t="s">
        <v>295</v>
      </c>
      <c r="C260" s="368"/>
      <c r="D260" s="368">
        <v>1</v>
      </c>
      <c r="E260" s="368">
        <v>26</v>
      </c>
      <c r="F260" s="368">
        <v>33</v>
      </c>
      <c r="G260" s="368"/>
      <c r="H260" s="383">
        <v>2</v>
      </c>
      <c r="I260" s="378">
        <v>31</v>
      </c>
      <c r="J260" s="315">
        <v>31</v>
      </c>
      <c r="K260" s="334">
        <v>62</v>
      </c>
    </row>
    <row r="261" spans="2:11" x14ac:dyDescent="0.25">
      <c r="B261" s="152" t="s">
        <v>296</v>
      </c>
      <c r="C261" s="368"/>
      <c r="D261" s="368">
        <v>1</v>
      </c>
      <c r="E261" s="368">
        <v>22</v>
      </c>
      <c r="F261" s="368">
        <v>57</v>
      </c>
      <c r="G261" s="368"/>
      <c r="H261" s="383">
        <v>6</v>
      </c>
      <c r="I261" s="378">
        <v>39</v>
      </c>
      <c r="J261" s="315">
        <v>47</v>
      </c>
      <c r="K261" s="334">
        <v>86</v>
      </c>
    </row>
    <row r="262" spans="2:11" x14ac:dyDescent="0.25">
      <c r="B262" s="152" t="s">
        <v>297</v>
      </c>
      <c r="C262" s="368"/>
      <c r="D262" s="368">
        <v>0</v>
      </c>
      <c r="E262" s="368">
        <v>33</v>
      </c>
      <c r="F262" s="368">
        <v>60</v>
      </c>
      <c r="G262" s="368"/>
      <c r="H262" s="383">
        <v>1</v>
      </c>
      <c r="I262" s="378">
        <v>41</v>
      </c>
      <c r="J262" s="315">
        <v>53</v>
      </c>
      <c r="K262" s="334">
        <v>94</v>
      </c>
    </row>
    <row r="263" spans="2:11" x14ac:dyDescent="0.25">
      <c r="B263" s="152" t="s">
        <v>298</v>
      </c>
      <c r="C263" s="368"/>
      <c r="D263" s="368">
        <v>1</v>
      </c>
      <c r="E263" s="368">
        <v>19</v>
      </c>
      <c r="F263" s="368">
        <v>41</v>
      </c>
      <c r="G263" s="368"/>
      <c r="H263" s="383">
        <v>4</v>
      </c>
      <c r="I263" s="378">
        <v>39</v>
      </c>
      <c r="J263" s="315">
        <v>26</v>
      </c>
      <c r="K263" s="334">
        <v>65</v>
      </c>
    </row>
    <row r="264" spans="2:11" x14ac:dyDescent="0.25">
      <c r="B264" s="152" t="s">
        <v>299</v>
      </c>
      <c r="C264" s="368"/>
      <c r="D264" s="368">
        <v>7</v>
      </c>
      <c r="E264" s="368">
        <v>184</v>
      </c>
      <c r="F264" s="368">
        <v>541</v>
      </c>
      <c r="G264" s="368"/>
      <c r="H264" s="383">
        <v>33</v>
      </c>
      <c r="I264" s="378">
        <v>393</v>
      </c>
      <c r="J264" s="315">
        <v>372</v>
      </c>
      <c r="K264" s="334">
        <v>765</v>
      </c>
    </row>
    <row r="265" spans="2:11" x14ac:dyDescent="0.25">
      <c r="B265" s="152" t="s">
        <v>300</v>
      </c>
      <c r="C265" s="368"/>
      <c r="D265" s="368">
        <v>1</v>
      </c>
      <c r="E265" s="368">
        <v>49</v>
      </c>
      <c r="F265" s="368">
        <v>138</v>
      </c>
      <c r="G265" s="368"/>
      <c r="H265" s="383">
        <v>2</v>
      </c>
      <c r="I265" s="378">
        <v>94</v>
      </c>
      <c r="J265" s="315">
        <v>96</v>
      </c>
      <c r="K265" s="334">
        <v>190</v>
      </c>
    </row>
    <row r="266" spans="2:11" x14ac:dyDescent="0.25">
      <c r="B266" s="152" t="s">
        <v>301</v>
      </c>
      <c r="C266" s="368"/>
      <c r="D266" s="368">
        <v>2</v>
      </c>
      <c r="E266" s="368">
        <v>29</v>
      </c>
      <c r="F266" s="368">
        <v>82</v>
      </c>
      <c r="G266" s="368"/>
      <c r="H266" s="383">
        <v>10</v>
      </c>
      <c r="I266" s="378">
        <v>61</v>
      </c>
      <c r="J266" s="315">
        <v>62</v>
      </c>
      <c r="K266" s="334">
        <v>123</v>
      </c>
    </row>
    <row r="267" spans="2:11" x14ac:dyDescent="0.25">
      <c r="B267" s="152" t="s">
        <v>302</v>
      </c>
      <c r="C267" s="368"/>
      <c r="D267" s="368">
        <v>0</v>
      </c>
      <c r="E267" s="368">
        <v>23</v>
      </c>
      <c r="F267" s="368">
        <v>70</v>
      </c>
      <c r="G267" s="368"/>
      <c r="H267" s="383">
        <v>8</v>
      </c>
      <c r="I267" s="378">
        <v>49</v>
      </c>
      <c r="J267" s="315">
        <v>52</v>
      </c>
      <c r="K267" s="334">
        <v>101</v>
      </c>
    </row>
    <row r="268" spans="2:11" x14ac:dyDescent="0.25">
      <c r="B268" s="152" t="s">
        <v>303</v>
      </c>
      <c r="C268" s="368"/>
      <c r="D268" s="368">
        <v>1</v>
      </c>
      <c r="E268" s="368">
        <v>9</v>
      </c>
      <c r="F268" s="368">
        <v>26</v>
      </c>
      <c r="G268" s="368"/>
      <c r="H268" s="383">
        <v>6</v>
      </c>
      <c r="I268" s="378">
        <v>20</v>
      </c>
      <c r="J268" s="315">
        <v>22</v>
      </c>
      <c r="K268" s="334">
        <v>42</v>
      </c>
    </row>
    <row r="269" spans="2:11" x14ac:dyDescent="0.25">
      <c r="B269" s="152" t="s">
        <v>304</v>
      </c>
      <c r="C269" s="368"/>
      <c r="D269" s="368">
        <v>1</v>
      </c>
      <c r="E269" s="368">
        <v>53</v>
      </c>
      <c r="F269" s="368">
        <v>124</v>
      </c>
      <c r="G269" s="368"/>
      <c r="H269" s="383">
        <v>3</v>
      </c>
      <c r="I269" s="378">
        <v>85</v>
      </c>
      <c r="J269" s="315">
        <v>96</v>
      </c>
      <c r="K269" s="334">
        <v>181</v>
      </c>
    </row>
    <row r="270" spans="2:11" x14ac:dyDescent="0.25">
      <c r="B270" s="152" t="s">
        <v>305</v>
      </c>
      <c r="C270" s="368"/>
      <c r="D270" s="368">
        <v>0</v>
      </c>
      <c r="E270" s="368">
        <v>6</v>
      </c>
      <c r="F270" s="368">
        <v>6</v>
      </c>
      <c r="G270" s="368"/>
      <c r="H270" s="383">
        <v>0</v>
      </c>
      <c r="I270" s="378">
        <v>7</v>
      </c>
      <c r="J270" s="315">
        <v>5</v>
      </c>
      <c r="K270" s="334">
        <v>12</v>
      </c>
    </row>
    <row r="271" spans="2:11" x14ac:dyDescent="0.25">
      <c r="B271" s="152" t="s">
        <v>306</v>
      </c>
      <c r="C271" s="368"/>
      <c r="D271" s="368">
        <v>1</v>
      </c>
      <c r="E271" s="368">
        <v>9</v>
      </c>
      <c r="F271" s="368">
        <v>18</v>
      </c>
      <c r="G271" s="368"/>
      <c r="H271" s="383">
        <v>1</v>
      </c>
      <c r="I271" s="378">
        <v>14</v>
      </c>
      <c r="J271" s="315">
        <v>15</v>
      </c>
      <c r="K271" s="334">
        <v>29</v>
      </c>
    </row>
    <row r="272" spans="2:11" x14ac:dyDescent="0.25">
      <c r="B272" s="152" t="s">
        <v>307</v>
      </c>
      <c r="C272" s="368"/>
      <c r="D272" s="368">
        <v>1</v>
      </c>
      <c r="E272" s="368">
        <v>81</v>
      </c>
      <c r="F272" s="368">
        <v>360</v>
      </c>
      <c r="G272" s="368"/>
      <c r="H272" s="383">
        <v>15</v>
      </c>
      <c r="I272" s="378">
        <v>267</v>
      </c>
      <c r="J272" s="315">
        <v>190</v>
      </c>
      <c r="K272" s="334">
        <v>457</v>
      </c>
    </row>
    <row r="273" spans="2:11" x14ac:dyDescent="0.25">
      <c r="B273" s="152" t="s">
        <v>308</v>
      </c>
      <c r="C273" s="368"/>
      <c r="D273" s="368">
        <v>0</v>
      </c>
      <c r="E273" s="368">
        <v>4</v>
      </c>
      <c r="F273" s="368">
        <v>8</v>
      </c>
      <c r="G273" s="368"/>
      <c r="H273" s="383">
        <v>0</v>
      </c>
      <c r="I273" s="378">
        <v>7</v>
      </c>
      <c r="J273" s="315">
        <v>5</v>
      </c>
      <c r="K273" s="334">
        <v>12</v>
      </c>
    </row>
    <row r="274" spans="2:11" x14ac:dyDescent="0.25">
      <c r="B274" s="152" t="s">
        <v>309</v>
      </c>
      <c r="C274" s="368"/>
      <c r="D274" s="368">
        <v>1</v>
      </c>
      <c r="E274" s="368">
        <v>11</v>
      </c>
      <c r="F274" s="368">
        <v>20</v>
      </c>
      <c r="G274" s="368"/>
      <c r="H274" s="383">
        <v>1</v>
      </c>
      <c r="I274" s="378">
        <v>14</v>
      </c>
      <c r="J274" s="315">
        <v>19</v>
      </c>
      <c r="K274" s="334">
        <v>33</v>
      </c>
    </row>
    <row r="275" spans="2:11" x14ac:dyDescent="0.25">
      <c r="B275" s="152" t="s">
        <v>310</v>
      </c>
      <c r="C275" s="368"/>
      <c r="D275" s="368">
        <v>0</v>
      </c>
      <c r="E275" s="368">
        <v>16</v>
      </c>
      <c r="F275" s="368">
        <v>29</v>
      </c>
      <c r="G275" s="368"/>
      <c r="H275" s="383">
        <v>0</v>
      </c>
      <c r="I275" s="378">
        <v>29</v>
      </c>
      <c r="J275" s="315">
        <v>16</v>
      </c>
      <c r="K275" s="334">
        <v>45</v>
      </c>
    </row>
    <row r="276" spans="2:11" x14ac:dyDescent="0.25">
      <c r="B276" s="152" t="s">
        <v>311</v>
      </c>
      <c r="C276" s="368"/>
      <c r="D276" s="368">
        <v>2</v>
      </c>
      <c r="E276" s="368">
        <v>179</v>
      </c>
      <c r="F276" s="368">
        <v>645</v>
      </c>
      <c r="G276" s="368"/>
      <c r="H276" s="383">
        <v>14</v>
      </c>
      <c r="I276" s="378">
        <v>483</v>
      </c>
      <c r="J276" s="315">
        <v>357</v>
      </c>
      <c r="K276" s="334">
        <v>840</v>
      </c>
    </row>
    <row r="277" spans="2:11" x14ac:dyDescent="0.25">
      <c r="B277" s="152" t="s">
        <v>312</v>
      </c>
      <c r="C277" s="368"/>
      <c r="D277" s="368">
        <v>0</v>
      </c>
      <c r="E277" s="368">
        <v>9</v>
      </c>
      <c r="F277" s="368">
        <v>11</v>
      </c>
      <c r="G277" s="368"/>
      <c r="H277" s="383">
        <v>2</v>
      </c>
      <c r="I277" s="378">
        <v>12</v>
      </c>
      <c r="J277" s="315">
        <v>10</v>
      </c>
      <c r="K277" s="334">
        <v>22</v>
      </c>
    </row>
    <row r="278" spans="2:11" x14ac:dyDescent="0.25">
      <c r="B278" s="152" t="s">
        <v>313</v>
      </c>
      <c r="C278" s="368"/>
      <c r="D278" s="368">
        <v>0</v>
      </c>
      <c r="E278" s="368">
        <v>60</v>
      </c>
      <c r="F278" s="368">
        <v>183</v>
      </c>
      <c r="G278" s="368"/>
      <c r="H278" s="383">
        <v>5</v>
      </c>
      <c r="I278" s="378">
        <v>142</v>
      </c>
      <c r="J278" s="315">
        <v>106</v>
      </c>
      <c r="K278" s="334">
        <v>248</v>
      </c>
    </row>
    <row r="279" spans="2:11" x14ac:dyDescent="0.25">
      <c r="B279" s="174" t="s">
        <v>314</v>
      </c>
      <c r="C279" s="380"/>
      <c r="D279" s="380">
        <v>0</v>
      </c>
      <c r="E279" s="380">
        <v>9</v>
      </c>
      <c r="F279" s="380">
        <v>32</v>
      </c>
      <c r="G279" s="380"/>
      <c r="H279" s="388">
        <v>2</v>
      </c>
      <c r="I279" s="378">
        <v>23</v>
      </c>
      <c r="J279" s="315">
        <v>20</v>
      </c>
      <c r="K279" s="334">
        <v>43</v>
      </c>
    </row>
    <row r="280" spans="2:11" x14ac:dyDescent="0.25">
      <c r="B280" s="177" t="s">
        <v>315</v>
      </c>
      <c r="C280" s="378"/>
      <c r="D280" s="378">
        <v>2</v>
      </c>
      <c r="E280" s="378">
        <v>16</v>
      </c>
      <c r="F280" s="378">
        <v>61</v>
      </c>
      <c r="G280" s="378"/>
      <c r="H280" s="389">
        <v>3</v>
      </c>
      <c r="I280" s="378">
        <v>44</v>
      </c>
      <c r="J280" s="315">
        <v>38</v>
      </c>
      <c r="K280" s="334">
        <v>82</v>
      </c>
    </row>
    <row r="281" spans="2:11" x14ac:dyDescent="0.25">
      <c r="B281" s="289" t="s">
        <v>36</v>
      </c>
      <c r="C281" s="359"/>
      <c r="D281" s="359">
        <v>31</v>
      </c>
      <c r="E281" s="359">
        <v>1495</v>
      </c>
      <c r="F281" s="359">
        <v>4436</v>
      </c>
      <c r="G281" s="359"/>
      <c r="H281" s="359">
        <v>193</v>
      </c>
      <c r="I281" s="359">
        <v>3314</v>
      </c>
      <c r="J281" s="334">
        <v>2841</v>
      </c>
      <c r="K281" s="334">
        <v>6155</v>
      </c>
    </row>
    <row r="282" spans="2:11" ht="32.25" customHeight="1" x14ac:dyDescent="0.25">
      <c r="B282" s="510" t="s">
        <v>898</v>
      </c>
      <c r="C282" s="510"/>
      <c r="D282" s="510"/>
      <c r="E282" s="510"/>
      <c r="F282" s="510"/>
      <c r="G282" s="510"/>
      <c r="H282" s="510"/>
      <c r="I282" s="510"/>
      <c r="J282" s="510"/>
      <c r="K282" s="510"/>
    </row>
    <row r="283" spans="2:11" x14ac:dyDescent="0.25">
      <c r="B283" s="176"/>
      <c r="C283" s="176"/>
      <c r="D283" s="176"/>
      <c r="E283" s="176"/>
      <c r="F283"/>
      <c r="G283"/>
      <c r="H283"/>
      <c r="I283"/>
    </row>
    <row r="284" spans="2:11" x14ac:dyDescent="0.25">
      <c r="B284" s="205" t="s">
        <v>529</v>
      </c>
      <c r="C284"/>
      <c r="D284"/>
      <c r="E284"/>
      <c r="F284"/>
      <c r="G284"/>
      <c r="H284"/>
      <c r="I284"/>
    </row>
    <row r="285" spans="2:11" x14ac:dyDescent="0.25">
      <c r="B285" s="205"/>
      <c r="C285"/>
      <c r="D285"/>
      <c r="E285"/>
      <c r="F285"/>
      <c r="G285"/>
      <c r="H285"/>
      <c r="I285"/>
    </row>
    <row r="286" spans="2:11" x14ac:dyDescent="0.25">
      <c r="B286" s="176"/>
      <c r="C286" s="488" t="s">
        <v>538</v>
      </c>
      <c r="D286" s="488"/>
      <c r="E286" s="488"/>
      <c r="F286" s="488"/>
      <c r="G286" s="488"/>
      <c r="H286" s="488"/>
      <c r="I286" s="484" t="s">
        <v>610</v>
      </c>
      <c r="J286" s="484"/>
      <c r="K286" s="492" t="s">
        <v>36</v>
      </c>
    </row>
    <row r="287" spans="2:11" ht="30" x14ac:dyDescent="0.25">
      <c r="B287" s="178" t="s">
        <v>548</v>
      </c>
      <c r="C287" s="179" t="s">
        <v>3</v>
      </c>
      <c r="D287" s="179" t="s">
        <v>4</v>
      </c>
      <c r="E287" s="179" t="s">
        <v>714</v>
      </c>
      <c r="F287" s="179" t="s">
        <v>501</v>
      </c>
      <c r="G287" s="179" t="s">
        <v>5</v>
      </c>
      <c r="H287" s="179" t="s">
        <v>6</v>
      </c>
      <c r="I287" s="179" t="s">
        <v>87</v>
      </c>
      <c r="J287" s="179" t="s">
        <v>88</v>
      </c>
      <c r="K287" s="492"/>
    </row>
    <row r="288" spans="2:11" x14ac:dyDescent="0.25">
      <c r="B288" s="268" t="s">
        <v>316</v>
      </c>
      <c r="C288" s="378"/>
      <c r="D288" s="378">
        <v>0</v>
      </c>
      <c r="E288" s="378">
        <v>52</v>
      </c>
      <c r="F288" s="378">
        <v>146</v>
      </c>
      <c r="G288" s="378"/>
      <c r="H288" s="378">
        <v>6</v>
      </c>
      <c r="I288" s="378">
        <v>121</v>
      </c>
      <c r="J288" s="315">
        <v>83</v>
      </c>
      <c r="K288" s="334">
        <v>204</v>
      </c>
    </row>
    <row r="289" spans="2:11" x14ac:dyDescent="0.25">
      <c r="B289" s="269" t="s">
        <v>317</v>
      </c>
      <c r="C289" s="378"/>
      <c r="D289" s="378">
        <v>0</v>
      </c>
      <c r="E289" s="378">
        <v>34</v>
      </c>
      <c r="F289" s="378">
        <v>34</v>
      </c>
      <c r="G289" s="378"/>
      <c r="H289" s="378">
        <v>3</v>
      </c>
      <c r="I289" s="378">
        <v>35</v>
      </c>
      <c r="J289" s="315">
        <v>36</v>
      </c>
      <c r="K289" s="334">
        <v>71</v>
      </c>
    </row>
    <row r="290" spans="2:11" x14ac:dyDescent="0.25">
      <c r="B290" s="269" t="s">
        <v>318</v>
      </c>
      <c r="C290" s="378"/>
      <c r="D290" s="378">
        <v>0</v>
      </c>
      <c r="E290" s="378">
        <v>21</v>
      </c>
      <c r="F290" s="378">
        <v>18</v>
      </c>
      <c r="G290" s="378"/>
      <c r="H290" s="378">
        <v>1</v>
      </c>
      <c r="I290" s="378">
        <v>20</v>
      </c>
      <c r="J290" s="315">
        <v>20</v>
      </c>
      <c r="K290" s="334">
        <v>40</v>
      </c>
    </row>
    <row r="291" spans="2:11" x14ac:dyDescent="0.25">
      <c r="B291" s="269" t="s">
        <v>319</v>
      </c>
      <c r="C291" s="378"/>
      <c r="D291" s="378">
        <v>2</v>
      </c>
      <c r="E291" s="378">
        <v>20</v>
      </c>
      <c r="F291" s="378">
        <v>36</v>
      </c>
      <c r="G291" s="378"/>
      <c r="H291" s="378">
        <v>1</v>
      </c>
      <c r="I291" s="378">
        <v>32</v>
      </c>
      <c r="J291" s="315">
        <v>27</v>
      </c>
      <c r="K291" s="334">
        <v>59</v>
      </c>
    </row>
    <row r="292" spans="2:11" x14ac:dyDescent="0.25">
      <c r="B292" s="269" t="s">
        <v>320</v>
      </c>
      <c r="C292" s="378"/>
      <c r="D292" s="378">
        <v>0</v>
      </c>
      <c r="E292" s="378">
        <v>27</v>
      </c>
      <c r="F292" s="378">
        <v>42</v>
      </c>
      <c r="G292" s="378"/>
      <c r="H292" s="378">
        <v>2</v>
      </c>
      <c r="I292" s="378">
        <v>34</v>
      </c>
      <c r="J292" s="315">
        <v>37</v>
      </c>
      <c r="K292" s="334">
        <v>71</v>
      </c>
    </row>
    <row r="293" spans="2:11" x14ac:dyDescent="0.25">
      <c r="B293" s="269" t="s">
        <v>321</v>
      </c>
      <c r="C293" s="378"/>
      <c r="D293" s="378">
        <v>1</v>
      </c>
      <c r="E293" s="378">
        <v>29</v>
      </c>
      <c r="F293" s="378">
        <v>53</v>
      </c>
      <c r="G293" s="378"/>
      <c r="H293" s="378">
        <v>4</v>
      </c>
      <c r="I293" s="378">
        <v>47</v>
      </c>
      <c r="J293" s="315">
        <v>40</v>
      </c>
      <c r="K293" s="334">
        <v>87</v>
      </c>
    </row>
    <row r="294" spans="2:11" x14ac:dyDescent="0.25">
      <c r="B294" s="269" t="s">
        <v>322</v>
      </c>
      <c r="C294" s="378"/>
      <c r="D294" s="378">
        <v>0</v>
      </c>
      <c r="E294" s="378">
        <v>15</v>
      </c>
      <c r="F294" s="378">
        <v>11</v>
      </c>
      <c r="G294" s="378"/>
      <c r="H294" s="378">
        <v>1</v>
      </c>
      <c r="I294" s="378">
        <v>13</v>
      </c>
      <c r="J294" s="315">
        <v>14</v>
      </c>
      <c r="K294" s="334">
        <v>27</v>
      </c>
    </row>
    <row r="295" spans="2:11" x14ac:dyDescent="0.25">
      <c r="B295" s="269" t="s">
        <v>323</v>
      </c>
      <c r="C295" s="378"/>
      <c r="D295" s="378">
        <v>0</v>
      </c>
      <c r="E295" s="378">
        <v>10</v>
      </c>
      <c r="F295" s="378">
        <v>9</v>
      </c>
      <c r="G295" s="378"/>
      <c r="H295" s="378">
        <v>5</v>
      </c>
      <c r="I295" s="378">
        <v>7</v>
      </c>
      <c r="J295" s="315">
        <v>17</v>
      </c>
      <c r="K295" s="334">
        <v>24</v>
      </c>
    </row>
    <row r="296" spans="2:11" x14ac:dyDescent="0.25">
      <c r="B296" s="269" t="s">
        <v>324</v>
      </c>
      <c r="C296" s="378"/>
      <c r="D296" s="378">
        <v>0</v>
      </c>
      <c r="E296" s="378">
        <v>17</v>
      </c>
      <c r="F296" s="378">
        <v>60</v>
      </c>
      <c r="G296" s="378"/>
      <c r="H296" s="378">
        <v>5</v>
      </c>
      <c r="I296" s="378">
        <v>32</v>
      </c>
      <c r="J296" s="315">
        <v>50</v>
      </c>
      <c r="K296" s="334">
        <v>82</v>
      </c>
    </row>
    <row r="297" spans="2:11" x14ac:dyDescent="0.25">
      <c r="B297" s="269" t="s">
        <v>325</v>
      </c>
      <c r="C297" s="378"/>
      <c r="D297" s="378">
        <v>0</v>
      </c>
      <c r="E297" s="378">
        <v>20</v>
      </c>
      <c r="F297" s="378">
        <v>13</v>
      </c>
      <c r="G297" s="378"/>
      <c r="H297" s="378">
        <v>0</v>
      </c>
      <c r="I297" s="378">
        <v>10</v>
      </c>
      <c r="J297" s="315">
        <v>23</v>
      </c>
      <c r="K297" s="334">
        <v>33</v>
      </c>
    </row>
    <row r="298" spans="2:11" x14ac:dyDescent="0.25">
      <c r="B298" s="269" t="s">
        <v>326</v>
      </c>
      <c r="C298" s="378"/>
      <c r="D298" s="378">
        <v>0</v>
      </c>
      <c r="E298" s="378">
        <v>13</v>
      </c>
      <c r="F298" s="378">
        <v>25</v>
      </c>
      <c r="G298" s="378"/>
      <c r="H298" s="378">
        <v>4</v>
      </c>
      <c r="I298" s="378">
        <v>23</v>
      </c>
      <c r="J298" s="315">
        <v>19</v>
      </c>
      <c r="K298" s="334">
        <v>42</v>
      </c>
    </row>
    <row r="299" spans="2:11" x14ac:dyDescent="0.25">
      <c r="B299" s="269" t="s">
        <v>327</v>
      </c>
      <c r="C299" s="378"/>
      <c r="D299" s="378">
        <v>3</v>
      </c>
      <c r="E299" s="378">
        <v>59</v>
      </c>
      <c r="F299" s="378">
        <v>63</v>
      </c>
      <c r="G299" s="378"/>
      <c r="H299" s="378">
        <v>7</v>
      </c>
      <c r="I299" s="378">
        <v>66</v>
      </c>
      <c r="J299" s="315">
        <v>66</v>
      </c>
      <c r="K299" s="334">
        <v>132</v>
      </c>
    </row>
    <row r="300" spans="2:11" x14ac:dyDescent="0.25">
      <c r="B300" s="269" t="s">
        <v>328</v>
      </c>
      <c r="C300" s="378"/>
      <c r="D300" s="378">
        <v>1</v>
      </c>
      <c r="E300" s="378">
        <v>20</v>
      </c>
      <c r="F300" s="378">
        <v>55</v>
      </c>
      <c r="G300" s="378"/>
      <c r="H300" s="378">
        <v>2</v>
      </c>
      <c r="I300" s="378">
        <v>39</v>
      </c>
      <c r="J300" s="315">
        <v>39</v>
      </c>
      <c r="K300" s="334">
        <v>78</v>
      </c>
    </row>
    <row r="301" spans="2:11" x14ac:dyDescent="0.25">
      <c r="B301" s="269" t="s">
        <v>329</v>
      </c>
      <c r="C301" s="378"/>
      <c r="D301" s="378">
        <v>0</v>
      </c>
      <c r="E301" s="378">
        <v>17</v>
      </c>
      <c r="F301" s="378">
        <v>15</v>
      </c>
      <c r="G301" s="378"/>
      <c r="H301" s="378">
        <v>0</v>
      </c>
      <c r="I301" s="378">
        <v>12</v>
      </c>
      <c r="J301" s="315">
        <v>20</v>
      </c>
      <c r="K301" s="334">
        <v>32</v>
      </c>
    </row>
    <row r="302" spans="2:11" x14ac:dyDescent="0.25">
      <c r="B302" s="269" t="s">
        <v>330</v>
      </c>
      <c r="C302" s="378"/>
      <c r="D302" s="378">
        <v>0</v>
      </c>
      <c r="E302" s="378">
        <v>7</v>
      </c>
      <c r="F302" s="378">
        <v>10</v>
      </c>
      <c r="G302" s="378"/>
      <c r="H302" s="378">
        <v>2</v>
      </c>
      <c r="I302" s="378">
        <v>9</v>
      </c>
      <c r="J302" s="315">
        <v>10</v>
      </c>
      <c r="K302" s="334">
        <v>19</v>
      </c>
    </row>
    <row r="303" spans="2:11" x14ac:dyDescent="0.25">
      <c r="B303" s="269" t="s">
        <v>331</v>
      </c>
      <c r="C303" s="378"/>
      <c r="D303" s="378">
        <v>0</v>
      </c>
      <c r="E303" s="378">
        <v>16</v>
      </c>
      <c r="F303" s="378">
        <v>10</v>
      </c>
      <c r="G303" s="378"/>
      <c r="H303" s="378">
        <v>1</v>
      </c>
      <c r="I303" s="378">
        <v>12</v>
      </c>
      <c r="J303" s="315">
        <v>15</v>
      </c>
      <c r="K303" s="334">
        <v>27</v>
      </c>
    </row>
    <row r="304" spans="2:11" x14ac:dyDescent="0.25">
      <c r="B304" s="269" t="s">
        <v>332</v>
      </c>
      <c r="C304" s="378"/>
      <c r="D304" s="378">
        <v>0</v>
      </c>
      <c r="E304" s="378">
        <v>13</v>
      </c>
      <c r="F304" s="378">
        <v>6</v>
      </c>
      <c r="G304" s="378"/>
      <c r="H304" s="378">
        <v>1</v>
      </c>
      <c r="I304" s="378">
        <v>6</v>
      </c>
      <c r="J304" s="315">
        <v>14</v>
      </c>
      <c r="K304" s="334">
        <v>20</v>
      </c>
    </row>
    <row r="305" spans="2:11" x14ac:dyDescent="0.25">
      <c r="B305" s="269" t="s">
        <v>333</v>
      </c>
      <c r="C305" s="378"/>
      <c r="D305" s="378">
        <v>1</v>
      </c>
      <c r="E305" s="378">
        <v>35</v>
      </c>
      <c r="F305" s="378">
        <v>65</v>
      </c>
      <c r="G305" s="378"/>
      <c r="H305" s="378">
        <v>3</v>
      </c>
      <c r="I305" s="378">
        <v>53</v>
      </c>
      <c r="J305" s="315">
        <v>51</v>
      </c>
      <c r="K305" s="334">
        <v>104</v>
      </c>
    </row>
    <row r="306" spans="2:11" x14ac:dyDescent="0.25">
      <c r="B306" s="269" t="s">
        <v>334</v>
      </c>
      <c r="C306" s="378"/>
      <c r="D306" s="378">
        <v>5</v>
      </c>
      <c r="E306" s="378">
        <v>48</v>
      </c>
      <c r="F306" s="378">
        <v>108</v>
      </c>
      <c r="G306" s="378"/>
      <c r="H306" s="378">
        <v>9</v>
      </c>
      <c r="I306" s="378">
        <v>92</v>
      </c>
      <c r="J306" s="315">
        <v>78</v>
      </c>
      <c r="K306" s="334">
        <v>170</v>
      </c>
    </row>
    <row r="307" spans="2:11" x14ac:dyDescent="0.25">
      <c r="B307" s="269" t="s">
        <v>335</v>
      </c>
      <c r="C307" s="378"/>
      <c r="D307" s="378">
        <v>0</v>
      </c>
      <c r="E307" s="378">
        <v>9</v>
      </c>
      <c r="F307" s="378">
        <v>12</v>
      </c>
      <c r="G307" s="378"/>
      <c r="H307" s="378">
        <v>3</v>
      </c>
      <c r="I307" s="378">
        <v>11</v>
      </c>
      <c r="J307" s="315">
        <v>13</v>
      </c>
      <c r="K307" s="334">
        <v>24</v>
      </c>
    </row>
    <row r="308" spans="2:11" x14ac:dyDescent="0.25">
      <c r="B308" s="269" t="s">
        <v>336</v>
      </c>
      <c r="C308" s="378"/>
      <c r="D308" s="378">
        <v>0</v>
      </c>
      <c r="E308" s="378">
        <v>26</v>
      </c>
      <c r="F308" s="378">
        <v>41</v>
      </c>
      <c r="G308" s="378"/>
      <c r="H308" s="378">
        <v>4</v>
      </c>
      <c r="I308" s="378">
        <v>40</v>
      </c>
      <c r="J308" s="315">
        <v>31</v>
      </c>
      <c r="K308" s="334">
        <v>71</v>
      </c>
    </row>
    <row r="309" spans="2:11" x14ac:dyDescent="0.25">
      <c r="B309" s="269" t="s">
        <v>337</v>
      </c>
      <c r="C309" s="378"/>
      <c r="D309" s="378">
        <v>0</v>
      </c>
      <c r="E309" s="378">
        <v>42</v>
      </c>
      <c r="F309" s="378">
        <v>82</v>
      </c>
      <c r="G309" s="378"/>
      <c r="H309" s="378">
        <v>2</v>
      </c>
      <c r="I309" s="378">
        <v>57</v>
      </c>
      <c r="J309" s="315">
        <v>69</v>
      </c>
      <c r="K309" s="334">
        <v>126</v>
      </c>
    </row>
    <row r="310" spans="2:11" x14ac:dyDescent="0.25">
      <c r="B310" s="269" t="s">
        <v>338</v>
      </c>
      <c r="C310" s="378"/>
      <c r="D310" s="378">
        <v>0</v>
      </c>
      <c r="E310" s="378">
        <v>22</v>
      </c>
      <c r="F310" s="378">
        <v>25</v>
      </c>
      <c r="G310" s="378"/>
      <c r="H310" s="378">
        <v>2</v>
      </c>
      <c r="I310" s="378">
        <v>21</v>
      </c>
      <c r="J310" s="315">
        <v>28</v>
      </c>
      <c r="K310" s="334">
        <v>49</v>
      </c>
    </row>
    <row r="311" spans="2:11" x14ac:dyDescent="0.25">
      <c r="B311" s="269" t="s">
        <v>339</v>
      </c>
      <c r="C311" s="378"/>
      <c r="D311" s="378">
        <v>0</v>
      </c>
      <c r="E311" s="378">
        <v>9</v>
      </c>
      <c r="F311" s="378">
        <v>31</v>
      </c>
      <c r="G311" s="378"/>
      <c r="H311" s="378">
        <v>1</v>
      </c>
      <c r="I311" s="378">
        <v>22</v>
      </c>
      <c r="J311" s="315">
        <v>19</v>
      </c>
      <c r="K311" s="334">
        <v>41</v>
      </c>
    </row>
    <row r="312" spans="2:11" x14ac:dyDescent="0.25">
      <c r="B312" s="269" t="s">
        <v>340</v>
      </c>
      <c r="C312" s="378"/>
      <c r="D312" s="378">
        <v>0</v>
      </c>
      <c r="E312" s="378">
        <v>7</v>
      </c>
      <c r="F312" s="378">
        <v>13</v>
      </c>
      <c r="G312" s="378"/>
      <c r="H312" s="378">
        <v>0</v>
      </c>
      <c r="I312" s="378">
        <v>10</v>
      </c>
      <c r="J312" s="315">
        <v>10</v>
      </c>
      <c r="K312" s="334">
        <v>20</v>
      </c>
    </row>
    <row r="313" spans="2:11" x14ac:dyDescent="0.25">
      <c r="B313" s="269" t="s">
        <v>341</v>
      </c>
      <c r="C313" s="378"/>
      <c r="D313" s="378">
        <v>11</v>
      </c>
      <c r="E313" s="378">
        <v>279</v>
      </c>
      <c r="F313" s="378">
        <v>763</v>
      </c>
      <c r="G313" s="378"/>
      <c r="H313" s="378">
        <v>24</v>
      </c>
      <c r="I313" s="378">
        <v>665</v>
      </c>
      <c r="J313" s="315">
        <v>412</v>
      </c>
      <c r="K313" s="334">
        <v>1077</v>
      </c>
    </row>
    <row r="314" spans="2:11" x14ac:dyDescent="0.25">
      <c r="B314" s="269" t="s">
        <v>342</v>
      </c>
      <c r="C314" s="378"/>
      <c r="D314" s="378">
        <v>0</v>
      </c>
      <c r="E314" s="378">
        <v>14</v>
      </c>
      <c r="F314" s="378">
        <v>17</v>
      </c>
      <c r="G314" s="378"/>
      <c r="H314" s="378">
        <v>2</v>
      </c>
      <c r="I314" s="378">
        <v>16</v>
      </c>
      <c r="J314" s="315">
        <v>17</v>
      </c>
      <c r="K314" s="334">
        <v>33</v>
      </c>
    </row>
    <row r="315" spans="2:11" x14ac:dyDescent="0.25">
      <c r="B315" s="269" t="s">
        <v>343</v>
      </c>
      <c r="C315" s="378"/>
      <c r="D315" s="378">
        <v>0</v>
      </c>
      <c r="E315" s="378">
        <v>9</v>
      </c>
      <c r="F315" s="378">
        <v>16</v>
      </c>
      <c r="G315" s="378"/>
      <c r="H315" s="378">
        <v>1</v>
      </c>
      <c r="I315" s="378">
        <v>13</v>
      </c>
      <c r="J315" s="315">
        <v>13</v>
      </c>
      <c r="K315" s="334">
        <v>26</v>
      </c>
    </row>
    <row r="316" spans="2:11" x14ac:dyDescent="0.25">
      <c r="B316" s="269" t="s">
        <v>344</v>
      </c>
      <c r="C316" s="378"/>
      <c r="D316" s="378">
        <v>4</v>
      </c>
      <c r="E316" s="378">
        <v>26</v>
      </c>
      <c r="F316" s="378">
        <v>55</v>
      </c>
      <c r="G316" s="378"/>
      <c r="H316" s="378">
        <v>4</v>
      </c>
      <c r="I316" s="378">
        <v>40</v>
      </c>
      <c r="J316" s="315">
        <v>49</v>
      </c>
      <c r="K316" s="334">
        <v>89</v>
      </c>
    </row>
    <row r="317" spans="2:11" x14ac:dyDescent="0.25">
      <c r="B317" s="269" t="s">
        <v>345</v>
      </c>
      <c r="C317" s="378"/>
      <c r="D317" s="378">
        <v>0</v>
      </c>
      <c r="E317" s="378">
        <v>54</v>
      </c>
      <c r="F317" s="378">
        <v>102</v>
      </c>
      <c r="G317" s="378"/>
      <c r="H317" s="378">
        <v>10</v>
      </c>
      <c r="I317" s="378">
        <v>78</v>
      </c>
      <c r="J317" s="315">
        <v>88</v>
      </c>
      <c r="K317" s="334">
        <v>166</v>
      </c>
    </row>
    <row r="318" spans="2:11" x14ac:dyDescent="0.25">
      <c r="B318" s="269" t="s">
        <v>346</v>
      </c>
      <c r="C318" s="378"/>
      <c r="D318" s="378">
        <v>1</v>
      </c>
      <c r="E318" s="378">
        <v>40</v>
      </c>
      <c r="F318" s="378">
        <v>38</v>
      </c>
      <c r="G318" s="378"/>
      <c r="H318" s="378">
        <v>2</v>
      </c>
      <c r="I318" s="378">
        <v>49</v>
      </c>
      <c r="J318" s="315">
        <v>32</v>
      </c>
      <c r="K318" s="334">
        <v>81</v>
      </c>
    </row>
    <row r="319" spans="2:11" x14ac:dyDescent="0.25">
      <c r="B319" s="269" t="s">
        <v>347</v>
      </c>
      <c r="C319" s="378"/>
      <c r="D319" s="378">
        <v>0</v>
      </c>
      <c r="E319" s="378">
        <v>63</v>
      </c>
      <c r="F319" s="378">
        <v>161</v>
      </c>
      <c r="G319" s="378"/>
      <c r="H319" s="378">
        <v>8</v>
      </c>
      <c r="I319" s="378">
        <v>119</v>
      </c>
      <c r="J319" s="315">
        <v>113</v>
      </c>
      <c r="K319" s="334">
        <v>232</v>
      </c>
    </row>
    <row r="320" spans="2:11" x14ac:dyDescent="0.25">
      <c r="B320" s="289" t="s">
        <v>36</v>
      </c>
      <c r="C320" s="359"/>
      <c r="D320" s="359">
        <v>29</v>
      </c>
      <c r="E320" s="359">
        <v>1073</v>
      </c>
      <c r="F320" s="359">
        <v>2135</v>
      </c>
      <c r="G320" s="359"/>
      <c r="H320" s="359">
        <v>120</v>
      </c>
      <c r="I320" s="359">
        <v>1804</v>
      </c>
      <c r="J320" s="334">
        <v>1553</v>
      </c>
      <c r="K320" s="334">
        <v>3357</v>
      </c>
    </row>
    <row r="321" spans="2:11" ht="32.25" customHeight="1" x14ac:dyDescent="0.25">
      <c r="B321" s="510" t="s">
        <v>898</v>
      </c>
      <c r="C321" s="510"/>
      <c r="D321" s="510"/>
      <c r="E321" s="510"/>
      <c r="F321" s="510"/>
      <c r="G321" s="510"/>
      <c r="H321" s="510"/>
      <c r="I321" s="510"/>
      <c r="J321" s="510"/>
      <c r="K321" s="510"/>
    </row>
    <row r="322" spans="2:11" x14ac:dyDescent="0.25">
      <c r="B322" s="176"/>
      <c r="C322" s="176"/>
      <c r="D322" s="176"/>
      <c r="E322" s="176"/>
      <c r="F322"/>
      <c r="G322"/>
      <c r="H322"/>
      <c r="I322"/>
    </row>
    <row r="323" spans="2:11" x14ac:dyDescent="0.25">
      <c r="B323" s="205" t="s">
        <v>530</v>
      </c>
      <c r="C323"/>
      <c r="D323"/>
      <c r="E323"/>
      <c r="F323"/>
      <c r="G323"/>
      <c r="H323"/>
      <c r="I323"/>
    </row>
    <row r="324" spans="2:11" x14ac:dyDescent="0.25">
      <c r="B324" s="205"/>
      <c r="C324"/>
      <c r="D324"/>
      <c r="E324"/>
      <c r="F324"/>
      <c r="G324"/>
      <c r="H324"/>
      <c r="I324"/>
    </row>
    <row r="325" spans="2:11" x14ac:dyDescent="0.25">
      <c r="B325" s="176"/>
      <c r="C325" s="488" t="s">
        <v>538</v>
      </c>
      <c r="D325" s="488"/>
      <c r="E325" s="488"/>
      <c r="F325" s="488"/>
      <c r="G325" s="488"/>
      <c r="H325" s="488"/>
      <c r="I325" s="484" t="s">
        <v>610</v>
      </c>
      <c r="J325" s="484"/>
      <c r="K325" s="492" t="s">
        <v>36</v>
      </c>
    </row>
    <row r="326" spans="2:11" ht="30" x14ac:dyDescent="0.25">
      <c r="B326" s="178" t="s">
        <v>548</v>
      </c>
      <c r="C326" s="179" t="s">
        <v>3</v>
      </c>
      <c r="D326" s="179" t="s">
        <v>4</v>
      </c>
      <c r="E326" s="179" t="s">
        <v>714</v>
      </c>
      <c r="F326" s="179" t="s">
        <v>501</v>
      </c>
      <c r="G326" s="179" t="s">
        <v>5</v>
      </c>
      <c r="H326" s="179" t="s">
        <v>6</v>
      </c>
      <c r="I326" s="179" t="s">
        <v>87</v>
      </c>
      <c r="J326" s="179" t="s">
        <v>88</v>
      </c>
      <c r="K326" s="492"/>
    </row>
    <row r="327" spans="2:11" x14ac:dyDescent="0.25">
      <c r="B327" s="268" t="s">
        <v>349</v>
      </c>
      <c r="C327" s="378"/>
      <c r="D327" s="378">
        <v>0</v>
      </c>
      <c r="E327" s="378">
        <v>31</v>
      </c>
      <c r="F327" s="378">
        <v>90</v>
      </c>
      <c r="G327" s="378"/>
      <c r="H327" s="378">
        <v>5</v>
      </c>
      <c r="I327" s="378">
        <v>72</v>
      </c>
      <c r="J327" s="315">
        <v>54</v>
      </c>
      <c r="K327" s="334">
        <v>126</v>
      </c>
    </row>
    <row r="328" spans="2:11" x14ac:dyDescent="0.25">
      <c r="B328" s="269" t="s">
        <v>350</v>
      </c>
      <c r="C328" s="378"/>
      <c r="D328" s="378">
        <v>0</v>
      </c>
      <c r="E328" s="378">
        <v>36</v>
      </c>
      <c r="F328" s="378">
        <v>61</v>
      </c>
      <c r="G328" s="378"/>
      <c r="H328" s="378">
        <v>2</v>
      </c>
      <c r="I328" s="378">
        <v>53</v>
      </c>
      <c r="J328" s="315">
        <v>46</v>
      </c>
      <c r="K328" s="334">
        <v>99</v>
      </c>
    </row>
    <row r="329" spans="2:11" x14ac:dyDescent="0.25">
      <c r="B329" s="269" t="s">
        <v>351</v>
      </c>
      <c r="C329" s="378"/>
      <c r="D329" s="378">
        <v>3</v>
      </c>
      <c r="E329" s="378">
        <v>31</v>
      </c>
      <c r="F329" s="378">
        <v>76</v>
      </c>
      <c r="G329" s="378"/>
      <c r="H329" s="378">
        <v>9</v>
      </c>
      <c r="I329" s="378">
        <v>70</v>
      </c>
      <c r="J329" s="315">
        <v>49</v>
      </c>
      <c r="K329" s="334">
        <v>119</v>
      </c>
    </row>
    <row r="330" spans="2:11" x14ac:dyDescent="0.25">
      <c r="B330" s="269" t="s">
        <v>352</v>
      </c>
      <c r="C330" s="378"/>
      <c r="D330" s="378">
        <v>0</v>
      </c>
      <c r="E330" s="378">
        <v>9</v>
      </c>
      <c r="F330" s="378">
        <v>19</v>
      </c>
      <c r="G330" s="378"/>
      <c r="H330" s="378">
        <v>0</v>
      </c>
      <c r="I330" s="378">
        <v>10</v>
      </c>
      <c r="J330" s="315">
        <v>18</v>
      </c>
      <c r="K330" s="334">
        <v>28</v>
      </c>
    </row>
    <row r="331" spans="2:11" x14ac:dyDescent="0.25">
      <c r="B331" s="269" t="s">
        <v>353</v>
      </c>
      <c r="C331" s="378"/>
      <c r="D331" s="378">
        <v>3</v>
      </c>
      <c r="E331" s="378">
        <v>6</v>
      </c>
      <c r="F331" s="378">
        <v>26</v>
      </c>
      <c r="G331" s="378"/>
      <c r="H331" s="378">
        <v>7</v>
      </c>
      <c r="I331" s="378">
        <v>22</v>
      </c>
      <c r="J331" s="315">
        <v>20</v>
      </c>
      <c r="K331" s="334">
        <v>42</v>
      </c>
    </row>
    <row r="332" spans="2:11" x14ac:dyDescent="0.25">
      <c r="B332" s="269" t="s">
        <v>354</v>
      </c>
      <c r="C332" s="378"/>
      <c r="D332" s="378">
        <v>0</v>
      </c>
      <c r="E332" s="378">
        <v>5</v>
      </c>
      <c r="F332" s="378">
        <v>12</v>
      </c>
      <c r="G332" s="378"/>
      <c r="H332" s="378">
        <v>0</v>
      </c>
      <c r="I332" s="378">
        <v>7</v>
      </c>
      <c r="J332" s="315">
        <v>10</v>
      </c>
      <c r="K332" s="334">
        <v>17</v>
      </c>
    </row>
    <row r="333" spans="2:11" x14ac:dyDescent="0.25">
      <c r="B333" s="269" t="s">
        <v>355</v>
      </c>
      <c r="C333" s="378"/>
      <c r="D333" s="378">
        <v>0</v>
      </c>
      <c r="E333" s="378">
        <v>7</v>
      </c>
      <c r="F333" s="378">
        <v>9</v>
      </c>
      <c r="G333" s="378"/>
      <c r="H333" s="378">
        <v>1</v>
      </c>
      <c r="I333" s="378">
        <v>8</v>
      </c>
      <c r="J333" s="315">
        <v>9</v>
      </c>
      <c r="K333" s="334">
        <v>17</v>
      </c>
    </row>
    <row r="334" spans="2:11" x14ac:dyDescent="0.25">
      <c r="B334" s="269" t="s">
        <v>356</v>
      </c>
      <c r="C334" s="378"/>
      <c r="D334" s="378">
        <v>0</v>
      </c>
      <c r="E334" s="378">
        <v>11</v>
      </c>
      <c r="F334" s="378">
        <v>30</v>
      </c>
      <c r="G334" s="378"/>
      <c r="H334" s="378">
        <v>1</v>
      </c>
      <c r="I334" s="378">
        <v>18</v>
      </c>
      <c r="J334" s="315">
        <v>24</v>
      </c>
      <c r="K334" s="334">
        <v>42</v>
      </c>
    </row>
    <row r="335" spans="2:11" x14ac:dyDescent="0.25">
      <c r="B335" s="269" t="s">
        <v>357</v>
      </c>
      <c r="C335" s="378"/>
      <c r="D335" s="378">
        <v>0</v>
      </c>
      <c r="E335" s="378">
        <v>15</v>
      </c>
      <c r="F335" s="378">
        <v>21</v>
      </c>
      <c r="G335" s="378"/>
      <c r="H335" s="378">
        <v>2</v>
      </c>
      <c r="I335" s="378">
        <v>22</v>
      </c>
      <c r="J335" s="315">
        <v>16</v>
      </c>
      <c r="K335" s="334">
        <v>38</v>
      </c>
    </row>
    <row r="336" spans="2:11" x14ac:dyDescent="0.25">
      <c r="B336" s="269" t="s">
        <v>358</v>
      </c>
      <c r="C336" s="378"/>
      <c r="D336" s="378">
        <v>1</v>
      </c>
      <c r="E336" s="378">
        <v>18</v>
      </c>
      <c r="F336" s="378">
        <v>41</v>
      </c>
      <c r="G336" s="378"/>
      <c r="H336" s="378">
        <v>1</v>
      </c>
      <c r="I336" s="378">
        <v>29</v>
      </c>
      <c r="J336" s="315">
        <v>32</v>
      </c>
      <c r="K336" s="334">
        <v>61</v>
      </c>
    </row>
    <row r="337" spans="2:11" x14ac:dyDescent="0.25">
      <c r="B337" s="269" t="s">
        <v>359</v>
      </c>
      <c r="C337" s="378"/>
      <c r="D337" s="378">
        <v>0</v>
      </c>
      <c r="E337" s="378">
        <v>12</v>
      </c>
      <c r="F337" s="378">
        <v>9</v>
      </c>
      <c r="G337" s="378"/>
      <c r="H337" s="378">
        <v>0</v>
      </c>
      <c r="I337" s="378">
        <v>10</v>
      </c>
      <c r="J337" s="315">
        <v>11</v>
      </c>
      <c r="K337" s="334">
        <v>21</v>
      </c>
    </row>
    <row r="338" spans="2:11" x14ac:dyDescent="0.25">
      <c r="B338" s="269" t="s">
        <v>360</v>
      </c>
      <c r="C338" s="378"/>
      <c r="D338" s="378">
        <v>0</v>
      </c>
      <c r="E338" s="378">
        <v>10</v>
      </c>
      <c r="F338" s="378">
        <v>14</v>
      </c>
      <c r="G338" s="378"/>
      <c r="H338" s="378">
        <v>0</v>
      </c>
      <c r="I338" s="378">
        <v>11</v>
      </c>
      <c r="J338" s="315">
        <v>13</v>
      </c>
      <c r="K338" s="334">
        <v>24</v>
      </c>
    </row>
    <row r="339" spans="2:11" x14ac:dyDescent="0.25">
      <c r="B339" s="269" t="s">
        <v>361</v>
      </c>
      <c r="C339" s="378"/>
      <c r="D339" s="378">
        <v>0</v>
      </c>
      <c r="E339" s="378">
        <v>24</v>
      </c>
      <c r="F339" s="378">
        <v>55</v>
      </c>
      <c r="G339" s="378"/>
      <c r="H339" s="378">
        <v>3</v>
      </c>
      <c r="I339" s="378">
        <v>41</v>
      </c>
      <c r="J339" s="315">
        <v>41</v>
      </c>
      <c r="K339" s="334">
        <v>82</v>
      </c>
    </row>
    <row r="340" spans="2:11" x14ac:dyDescent="0.25">
      <c r="B340" s="269" t="s">
        <v>362</v>
      </c>
      <c r="C340" s="378"/>
      <c r="D340" s="378">
        <v>0</v>
      </c>
      <c r="E340" s="378">
        <v>33</v>
      </c>
      <c r="F340" s="378">
        <v>37</v>
      </c>
      <c r="G340" s="378"/>
      <c r="H340" s="378">
        <v>0</v>
      </c>
      <c r="I340" s="378">
        <v>43</v>
      </c>
      <c r="J340" s="315">
        <v>27</v>
      </c>
      <c r="K340" s="334">
        <v>70</v>
      </c>
    </row>
    <row r="341" spans="2:11" x14ac:dyDescent="0.25">
      <c r="B341" s="269" t="s">
        <v>363</v>
      </c>
      <c r="C341" s="378"/>
      <c r="D341" s="378">
        <v>1</v>
      </c>
      <c r="E341" s="378">
        <v>24</v>
      </c>
      <c r="F341" s="378">
        <v>31</v>
      </c>
      <c r="G341" s="378"/>
      <c r="H341" s="378">
        <v>2</v>
      </c>
      <c r="I341" s="378">
        <v>26</v>
      </c>
      <c r="J341" s="315">
        <v>32</v>
      </c>
      <c r="K341" s="334">
        <v>58</v>
      </c>
    </row>
    <row r="342" spans="2:11" x14ac:dyDescent="0.25">
      <c r="B342" s="269" t="s">
        <v>364</v>
      </c>
      <c r="C342" s="378"/>
      <c r="D342" s="378">
        <v>9</v>
      </c>
      <c r="E342" s="378">
        <v>155</v>
      </c>
      <c r="F342" s="378">
        <v>463</v>
      </c>
      <c r="G342" s="378"/>
      <c r="H342" s="378">
        <v>28</v>
      </c>
      <c r="I342" s="378">
        <v>348</v>
      </c>
      <c r="J342" s="315">
        <v>307</v>
      </c>
      <c r="K342" s="334">
        <v>655</v>
      </c>
    </row>
    <row r="343" spans="2:11" x14ac:dyDescent="0.25">
      <c r="B343" s="269" t="s">
        <v>365</v>
      </c>
      <c r="C343" s="378"/>
      <c r="D343" s="378">
        <v>0</v>
      </c>
      <c r="E343" s="378">
        <v>7</v>
      </c>
      <c r="F343" s="378">
        <v>9</v>
      </c>
      <c r="G343" s="378"/>
      <c r="H343" s="378">
        <v>0</v>
      </c>
      <c r="I343" s="378">
        <v>5</v>
      </c>
      <c r="J343" s="315">
        <v>11</v>
      </c>
      <c r="K343" s="334">
        <v>16</v>
      </c>
    </row>
    <row r="344" spans="2:11" x14ac:dyDescent="0.25">
      <c r="B344" s="269" t="s">
        <v>366</v>
      </c>
      <c r="C344" s="378"/>
      <c r="D344" s="378">
        <v>6</v>
      </c>
      <c r="E344" s="378">
        <v>219</v>
      </c>
      <c r="F344" s="378">
        <v>489</v>
      </c>
      <c r="G344" s="378"/>
      <c r="H344" s="378">
        <v>26</v>
      </c>
      <c r="I344" s="378">
        <v>384</v>
      </c>
      <c r="J344" s="315">
        <v>356</v>
      </c>
      <c r="K344" s="334">
        <v>740</v>
      </c>
    </row>
    <row r="345" spans="2:11" x14ac:dyDescent="0.25">
      <c r="B345" s="269" t="s">
        <v>367</v>
      </c>
      <c r="C345" s="378"/>
      <c r="D345" s="378">
        <v>0</v>
      </c>
      <c r="E345" s="378">
        <v>9</v>
      </c>
      <c r="F345" s="378">
        <v>23</v>
      </c>
      <c r="G345" s="378"/>
      <c r="H345" s="378">
        <v>3</v>
      </c>
      <c r="I345" s="378">
        <v>17</v>
      </c>
      <c r="J345" s="315">
        <v>18</v>
      </c>
      <c r="K345" s="334">
        <v>35</v>
      </c>
    </row>
    <row r="346" spans="2:11" x14ac:dyDescent="0.25">
      <c r="B346" s="269" t="s">
        <v>368</v>
      </c>
      <c r="C346" s="378"/>
      <c r="D346" s="378">
        <v>0</v>
      </c>
      <c r="E346" s="378">
        <v>42</v>
      </c>
      <c r="F346" s="378">
        <v>124</v>
      </c>
      <c r="G346" s="378"/>
      <c r="H346" s="378">
        <v>1</v>
      </c>
      <c r="I346" s="378">
        <v>103</v>
      </c>
      <c r="J346" s="315">
        <v>64</v>
      </c>
      <c r="K346" s="334">
        <v>167</v>
      </c>
    </row>
    <row r="347" spans="2:11" x14ac:dyDescent="0.25">
      <c r="B347" s="269" t="s">
        <v>369</v>
      </c>
      <c r="C347" s="378"/>
      <c r="D347" s="378">
        <v>0</v>
      </c>
      <c r="E347" s="378">
        <v>5</v>
      </c>
      <c r="F347" s="378">
        <v>4</v>
      </c>
      <c r="G347" s="378"/>
      <c r="H347" s="378">
        <v>0</v>
      </c>
      <c r="I347" s="378">
        <v>7</v>
      </c>
      <c r="J347" s="315">
        <v>2</v>
      </c>
      <c r="K347" s="334">
        <v>9</v>
      </c>
    </row>
    <row r="348" spans="2:11" x14ac:dyDescent="0.25">
      <c r="B348" s="269" t="s">
        <v>370</v>
      </c>
      <c r="C348" s="378"/>
      <c r="D348" s="378">
        <v>0</v>
      </c>
      <c r="E348" s="378">
        <v>29</v>
      </c>
      <c r="F348" s="378">
        <v>52</v>
      </c>
      <c r="G348" s="378"/>
      <c r="H348" s="378">
        <v>7</v>
      </c>
      <c r="I348" s="378">
        <v>47</v>
      </c>
      <c r="J348" s="315">
        <v>41</v>
      </c>
      <c r="K348" s="334">
        <v>88</v>
      </c>
    </row>
    <row r="349" spans="2:11" x14ac:dyDescent="0.25">
      <c r="B349" s="269" t="s">
        <v>371</v>
      </c>
      <c r="C349" s="378"/>
      <c r="D349" s="378">
        <v>0</v>
      </c>
      <c r="E349" s="378">
        <v>9</v>
      </c>
      <c r="F349" s="378">
        <v>31</v>
      </c>
      <c r="G349" s="378"/>
      <c r="H349" s="378">
        <v>2</v>
      </c>
      <c r="I349" s="378">
        <v>21</v>
      </c>
      <c r="J349" s="315">
        <v>21</v>
      </c>
      <c r="K349" s="334">
        <v>42</v>
      </c>
    </row>
    <row r="350" spans="2:11" x14ac:dyDescent="0.25">
      <c r="B350" s="269" t="s">
        <v>372</v>
      </c>
      <c r="C350" s="378"/>
      <c r="D350" s="378">
        <v>0</v>
      </c>
      <c r="E350" s="378">
        <v>4</v>
      </c>
      <c r="F350" s="378">
        <v>16</v>
      </c>
      <c r="G350" s="378"/>
      <c r="H350" s="378">
        <v>0</v>
      </c>
      <c r="I350" s="378">
        <v>8</v>
      </c>
      <c r="J350" s="315">
        <v>12</v>
      </c>
      <c r="K350" s="334">
        <v>20</v>
      </c>
    </row>
    <row r="351" spans="2:11" x14ac:dyDescent="0.25">
      <c r="B351" s="269" t="s">
        <v>373</v>
      </c>
      <c r="C351" s="378"/>
      <c r="D351" s="378">
        <v>1</v>
      </c>
      <c r="E351" s="378">
        <v>13</v>
      </c>
      <c r="F351" s="378">
        <v>34</v>
      </c>
      <c r="G351" s="378"/>
      <c r="H351" s="378">
        <v>6</v>
      </c>
      <c r="I351" s="378">
        <v>21</v>
      </c>
      <c r="J351" s="315">
        <v>33</v>
      </c>
      <c r="K351" s="334">
        <v>54</v>
      </c>
    </row>
    <row r="352" spans="2:11" x14ac:dyDescent="0.25">
      <c r="B352" s="269" t="s">
        <v>374</v>
      </c>
      <c r="C352" s="378"/>
      <c r="D352" s="378">
        <v>0</v>
      </c>
      <c r="E352" s="378">
        <v>8</v>
      </c>
      <c r="F352" s="378">
        <v>12</v>
      </c>
      <c r="G352" s="378"/>
      <c r="H352" s="378">
        <v>2</v>
      </c>
      <c r="I352" s="378">
        <v>12</v>
      </c>
      <c r="J352" s="315">
        <v>10</v>
      </c>
      <c r="K352" s="334">
        <v>22</v>
      </c>
    </row>
    <row r="353" spans="2:11" x14ac:dyDescent="0.25">
      <c r="B353" s="269" t="s">
        <v>375</v>
      </c>
      <c r="C353" s="378"/>
      <c r="D353" s="378">
        <v>0</v>
      </c>
      <c r="E353" s="378">
        <v>6</v>
      </c>
      <c r="F353" s="378">
        <v>5</v>
      </c>
      <c r="G353" s="378"/>
      <c r="H353" s="378">
        <v>0</v>
      </c>
      <c r="I353" s="378">
        <v>6</v>
      </c>
      <c r="J353" s="315">
        <v>5</v>
      </c>
      <c r="K353" s="334">
        <v>11</v>
      </c>
    </row>
    <row r="354" spans="2:11" x14ac:dyDescent="0.25">
      <c r="B354" s="269" t="s">
        <v>376</v>
      </c>
      <c r="C354" s="378"/>
      <c r="D354" s="378">
        <v>0</v>
      </c>
      <c r="E354" s="378">
        <v>23</v>
      </c>
      <c r="F354" s="378">
        <v>36</v>
      </c>
      <c r="G354" s="378"/>
      <c r="H354" s="378">
        <v>1</v>
      </c>
      <c r="I354" s="378">
        <v>29</v>
      </c>
      <c r="J354" s="315">
        <v>31</v>
      </c>
      <c r="K354" s="334">
        <v>60</v>
      </c>
    </row>
    <row r="355" spans="2:11" x14ac:dyDescent="0.25">
      <c r="B355" s="269" t="s">
        <v>377</v>
      </c>
      <c r="C355" s="378"/>
      <c r="D355" s="378">
        <v>0</v>
      </c>
      <c r="E355" s="378">
        <v>5</v>
      </c>
      <c r="F355" s="378">
        <v>20</v>
      </c>
      <c r="G355" s="378"/>
      <c r="H355" s="378">
        <v>1</v>
      </c>
      <c r="I355" s="378">
        <v>13</v>
      </c>
      <c r="J355" s="315">
        <v>13</v>
      </c>
      <c r="K355" s="334">
        <v>26</v>
      </c>
    </row>
    <row r="356" spans="2:11" x14ac:dyDescent="0.25">
      <c r="B356" s="269" t="s">
        <v>378</v>
      </c>
      <c r="C356" s="378"/>
      <c r="D356" s="378">
        <v>0</v>
      </c>
      <c r="E356" s="378">
        <v>9</v>
      </c>
      <c r="F356" s="378">
        <v>23</v>
      </c>
      <c r="G356" s="378"/>
      <c r="H356" s="378">
        <v>1</v>
      </c>
      <c r="I356" s="378">
        <v>13</v>
      </c>
      <c r="J356" s="315">
        <v>20</v>
      </c>
      <c r="K356" s="334">
        <v>33</v>
      </c>
    </row>
    <row r="357" spans="2:11" x14ac:dyDescent="0.25">
      <c r="B357" s="289" t="s">
        <v>36</v>
      </c>
      <c r="C357" s="359"/>
      <c r="D357" s="359">
        <v>24</v>
      </c>
      <c r="E357" s="359">
        <v>815</v>
      </c>
      <c r="F357" s="359">
        <v>1872</v>
      </c>
      <c r="G357" s="359"/>
      <c r="H357" s="359">
        <v>111</v>
      </c>
      <c r="I357" s="359">
        <v>1476</v>
      </c>
      <c r="J357" s="334">
        <v>1346</v>
      </c>
      <c r="K357" s="334">
        <v>2822</v>
      </c>
    </row>
    <row r="358" spans="2:11" ht="29.25" customHeight="1" x14ac:dyDescent="0.25">
      <c r="B358" s="510" t="s">
        <v>898</v>
      </c>
      <c r="C358" s="510"/>
      <c r="D358" s="510"/>
      <c r="E358" s="510"/>
      <c r="F358" s="510"/>
      <c r="G358" s="510"/>
      <c r="H358" s="510"/>
      <c r="I358" s="510"/>
      <c r="J358" s="510"/>
      <c r="K358" s="510"/>
    </row>
    <row r="359" spans="2:11" x14ac:dyDescent="0.25">
      <c r="B359" s="176"/>
      <c r="C359" s="176"/>
      <c r="D359" s="176"/>
      <c r="E359" s="176"/>
      <c r="F359" s="176"/>
      <c r="G359" s="176"/>
      <c r="H359" s="176"/>
      <c r="I359"/>
    </row>
    <row r="360" spans="2:11" x14ac:dyDescent="0.25">
      <c r="B360" s="205" t="s">
        <v>531</v>
      </c>
      <c r="C360"/>
      <c r="D360"/>
      <c r="E360"/>
      <c r="F360"/>
      <c r="G360"/>
      <c r="H360"/>
      <c r="I360"/>
    </row>
    <row r="361" spans="2:11" x14ac:dyDescent="0.25">
      <c r="B361" s="205"/>
      <c r="C361"/>
      <c r="D361"/>
      <c r="E361"/>
      <c r="F361"/>
      <c r="G361"/>
      <c r="H361"/>
      <c r="I361"/>
    </row>
    <row r="362" spans="2:11" x14ac:dyDescent="0.25">
      <c r="B362" s="176"/>
      <c r="C362" s="488" t="s">
        <v>538</v>
      </c>
      <c r="D362" s="488"/>
      <c r="E362" s="488"/>
      <c r="F362" s="488"/>
      <c r="G362" s="488"/>
      <c r="H362" s="488"/>
      <c r="I362" s="484" t="s">
        <v>610</v>
      </c>
      <c r="J362" s="484"/>
      <c r="K362" s="492" t="s">
        <v>36</v>
      </c>
    </row>
    <row r="363" spans="2:11" ht="30" x14ac:dyDescent="0.25">
      <c r="B363" s="178" t="s">
        <v>548</v>
      </c>
      <c r="C363" s="179" t="s">
        <v>3</v>
      </c>
      <c r="D363" s="179" t="s">
        <v>4</v>
      </c>
      <c r="E363" s="179" t="s">
        <v>714</v>
      </c>
      <c r="F363" s="179" t="s">
        <v>501</v>
      </c>
      <c r="G363" s="179" t="s">
        <v>5</v>
      </c>
      <c r="H363" s="179" t="s">
        <v>6</v>
      </c>
      <c r="I363" s="179" t="s">
        <v>87</v>
      </c>
      <c r="J363" s="179" t="s">
        <v>88</v>
      </c>
      <c r="K363" s="492"/>
    </row>
    <row r="364" spans="2:11" x14ac:dyDescent="0.25">
      <c r="B364" s="268" t="s">
        <v>379</v>
      </c>
      <c r="C364" s="378"/>
      <c r="D364" s="378">
        <v>0</v>
      </c>
      <c r="E364" s="378">
        <v>19</v>
      </c>
      <c r="F364" s="378">
        <v>11</v>
      </c>
      <c r="G364" s="378"/>
      <c r="H364" s="378">
        <v>0</v>
      </c>
      <c r="I364" s="378">
        <v>14</v>
      </c>
      <c r="J364" s="315">
        <v>16</v>
      </c>
      <c r="K364" s="334">
        <v>30</v>
      </c>
    </row>
    <row r="365" spans="2:11" x14ac:dyDescent="0.25">
      <c r="B365" s="269" t="s">
        <v>380</v>
      </c>
      <c r="C365" s="378"/>
      <c r="D365" s="378">
        <v>1</v>
      </c>
      <c r="E365" s="378">
        <v>19</v>
      </c>
      <c r="F365" s="378">
        <v>41</v>
      </c>
      <c r="G365" s="378"/>
      <c r="H365" s="378">
        <v>0</v>
      </c>
      <c r="I365" s="378">
        <v>26</v>
      </c>
      <c r="J365" s="315">
        <v>35</v>
      </c>
      <c r="K365" s="334">
        <v>61</v>
      </c>
    </row>
    <row r="366" spans="2:11" x14ac:dyDescent="0.25">
      <c r="B366" s="269" t="s">
        <v>381</v>
      </c>
      <c r="C366" s="378"/>
      <c r="D366" s="378">
        <v>0</v>
      </c>
      <c r="E366" s="378">
        <v>12</v>
      </c>
      <c r="F366" s="378">
        <v>8</v>
      </c>
      <c r="G366" s="378"/>
      <c r="H366" s="378">
        <v>0</v>
      </c>
      <c r="I366" s="378">
        <v>13</v>
      </c>
      <c r="J366" s="315">
        <v>7</v>
      </c>
      <c r="K366" s="334">
        <v>20</v>
      </c>
    </row>
    <row r="367" spans="2:11" x14ac:dyDescent="0.25">
      <c r="B367" s="269" t="s">
        <v>382</v>
      </c>
      <c r="C367" s="378"/>
      <c r="D367" s="378">
        <v>1</v>
      </c>
      <c r="E367" s="378">
        <v>82</v>
      </c>
      <c r="F367" s="378">
        <v>182</v>
      </c>
      <c r="G367" s="378"/>
      <c r="H367" s="378">
        <v>7</v>
      </c>
      <c r="I367" s="378">
        <v>142</v>
      </c>
      <c r="J367" s="315">
        <v>130</v>
      </c>
      <c r="K367" s="334">
        <v>272</v>
      </c>
    </row>
    <row r="368" spans="2:11" x14ac:dyDescent="0.25">
      <c r="B368" s="269" t="s">
        <v>383</v>
      </c>
      <c r="C368" s="378"/>
      <c r="D368" s="378">
        <v>0</v>
      </c>
      <c r="E368" s="378">
        <v>1</v>
      </c>
      <c r="F368" s="378">
        <v>4</v>
      </c>
      <c r="G368" s="378"/>
      <c r="H368" s="378">
        <v>0</v>
      </c>
      <c r="I368" s="378">
        <v>3</v>
      </c>
      <c r="J368" s="315">
        <v>2</v>
      </c>
      <c r="K368" s="334">
        <v>5</v>
      </c>
    </row>
    <row r="369" spans="2:11" x14ac:dyDescent="0.25">
      <c r="B369" s="269" t="s">
        <v>384</v>
      </c>
      <c r="C369" s="378"/>
      <c r="D369" s="378">
        <v>0</v>
      </c>
      <c r="E369" s="378">
        <v>4</v>
      </c>
      <c r="F369" s="378">
        <v>2</v>
      </c>
      <c r="G369" s="378"/>
      <c r="H369" s="378">
        <v>0</v>
      </c>
      <c r="I369" s="378">
        <v>0</v>
      </c>
      <c r="J369" s="315">
        <v>6</v>
      </c>
      <c r="K369" s="334">
        <v>6</v>
      </c>
    </row>
    <row r="370" spans="2:11" x14ac:dyDescent="0.25">
      <c r="B370" s="269" t="s">
        <v>385</v>
      </c>
      <c r="C370" s="378"/>
      <c r="D370" s="378">
        <v>0</v>
      </c>
      <c r="E370" s="378">
        <v>4</v>
      </c>
      <c r="F370" s="378">
        <v>2</v>
      </c>
      <c r="G370" s="378"/>
      <c r="H370" s="378">
        <v>0</v>
      </c>
      <c r="I370" s="378">
        <v>2</v>
      </c>
      <c r="J370" s="315">
        <v>4</v>
      </c>
      <c r="K370" s="334">
        <v>6</v>
      </c>
    </row>
    <row r="371" spans="2:11" x14ac:dyDescent="0.25">
      <c r="B371" s="269" t="s">
        <v>386</v>
      </c>
      <c r="C371" s="378"/>
      <c r="D371" s="378">
        <v>0</v>
      </c>
      <c r="E371" s="378">
        <v>45</v>
      </c>
      <c r="F371" s="378">
        <v>68</v>
      </c>
      <c r="G371" s="378"/>
      <c r="H371" s="378">
        <v>4</v>
      </c>
      <c r="I371" s="378">
        <v>46</v>
      </c>
      <c r="J371" s="315">
        <v>71</v>
      </c>
      <c r="K371" s="334">
        <v>117</v>
      </c>
    </row>
    <row r="372" spans="2:11" x14ac:dyDescent="0.25">
      <c r="B372" s="269" t="s">
        <v>512</v>
      </c>
      <c r="C372" s="378"/>
      <c r="D372" s="378">
        <v>0</v>
      </c>
      <c r="E372" s="378">
        <v>6</v>
      </c>
      <c r="F372" s="378">
        <v>13</v>
      </c>
      <c r="G372" s="378"/>
      <c r="H372" s="378">
        <v>0</v>
      </c>
      <c r="I372" s="378">
        <v>5</v>
      </c>
      <c r="J372" s="315">
        <v>14</v>
      </c>
      <c r="K372" s="334">
        <v>19</v>
      </c>
    </row>
    <row r="373" spans="2:11" x14ac:dyDescent="0.25">
      <c r="B373" s="269" t="s">
        <v>387</v>
      </c>
      <c r="C373" s="378"/>
      <c r="D373" s="378">
        <v>0</v>
      </c>
      <c r="E373" s="378">
        <v>1</v>
      </c>
      <c r="F373" s="378">
        <v>2</v>
      </c>
      <c r="G373" s="378"/>
      <c r="H373" s="378">
        <v>0</v>
      </c>
      <c r="I373" s="378">
        <v>0</v>
      </c>
      <c r="J373" s="315">
        <v>3</v>
      </c>
      <c r="K373" s="334">
        <v>3</v>
      </c>
    </row>
    <row r="374" spans="2:11" x14ac:dyDescent="0.25">
      <c r="B374" s="289" t="s">
        <v>36</v>
      </c>
      <c r="C374" s="359"/>
      <c r="D374" s="359">
        <v>2</v>
      </c>
      <c r="E374" s="359">
        <v>193</v>
      </c>
      <c r="F374" s="359">
        <v>333</v>
      </c>
      <c r="G374" s="359"/>
      <c r="H374" s="359">
        <v>11</v>
      </c>
      <c r="I374" s="359">
        <v>251</v>
      </c>
      <c r="J374" s="334">
        <v>288</v>
      </c>
      <c r="K374" s="334">
        <v>539</v>
      </c>
    </row>
    <row r="375" spans="2:11" ht="27.75" customHeight="1" x14ac:dyDescent="0.25">
      <c r="B375" s="510" t="s">
        <v>898</v>
      </c>
      <c r="C375" s="510"/>
      <c r="D375" s="510"/>
      <c r="E375" s="510"/>
      <c r="F375" s="510"/>
      <c r="G375" s="510"/>
      <c r="H375" s="510"/>
      <c r="I375" s="510"/>
      <c r="J375" s="510"/>
      <c r="K375" s="510"/>
    </row>
    <row r="376" spans="2:11" x14ac:dyDescent="0.25">
      <c r="B376" s="176"/>
      <c r="C376" s="176"/>
      <c r="D376" s="176"/>
      <c r="E376" s="176"/>
      <c r="F376"/>
      <c r="G376"/>
      <c r="H376"/>
      <c r="I376"/>
    </row>
    <row r="377" spans="2:11" x14ac:dyDescent="0.25">
      <c r="B377" s="205" t="s">
        <v>532</v>
      </c>
      <c r="C377"/>
      <c r="D377"/>
      <c r="E377"/>
      <c r="F377"/>
      <c r="G377"/>
      <c r="H377"/>
      <c r="I377"/>
    </row>
    <row r="378" spans="2:11" x14ac:dyDescent="0.25">
      <c r="B378" s="205"/>
      <c r="C378"/>
      <c r="D378"/>
      <c r="E378"/>
      <c r="F378"/>
      <c r="G378"/>
      <c r="H378"/>
      <c r="I378"/>
    </row>
    <row r="379" spans="2:11" x14ac:dyDescent="0.25">
      <c r="B379" s="176"/>
      <c r="C379" s="488" t="s">
        <v>538</v>
      </c>
      <c r="D379" s="488"/>
      <c r="E379" s="488"/>
      <c r="F379" s="488"/>
      <c r="G379" s="488"/>
      <c r="H379" s="488"/>
      <c r="I379" s="484" t="s">
        <v>610</v>
      </c>
      <c r="J379" s="484"/>
      <c r="K379" s="492" t="s">
        <v>36</v>
      </c>
    </row>
    <row r="380" spans="2:11" ht="30" x14ac:dyDescent="0.25">
      <c r="B380" s="178" t="s">
        <v>548</v>
      </c>
      <c r="C380" s="179" t="s">
        <v>3</v>
      </c>
      <c r="D380" s="179" t="s">
        <v>4</v>
      </c>
      <c r="E380" s="179" t="s">
        <v>714</v>
      </c>
      <c r="F380" s="179" t="s">
        <v>501</v>
      </c>
      <c r="G380" s="179" t="s">
        <v>5</v>
      </c>
      <c r="H380" s="179" t="s">
        <v>6</v>
      </c>
      <c r="I380" s="179" t="s">
        <v>87</v>
      </c>
      <c r="J380" s="179" t="s">
        <v>88</v>
      </c>
      <c r="K380" s="492"/>
    </row>
    <row r="381" spans="2:11" x14ac:dyDescent="0.25">
      <c r="B381" s="268" t="s">
        <v>388</v>
      </c>
      <c r="C381" s="378"/>
      <c r="D381" s="378">
        <v>0</v>
      </c>
      <c r="E381" s="378">
        <v>0</v>
      </c>
      <c r="F381" s="378">
        <v>1</v>
      </c>
      <c r="G381" s="378"/>
      <c r="H381" s="378">
        <v>0</v>
      </c>
      <c r="I381" s="378">
        <v>0</v>
      </c>
      <c r="J381" s="315">
        <v>1</v>
      </c>
      <c r="K381" s="334">
        <v>1</v>
      </c>
    </row>
    <row r="382" spans="2:11" x14ac:dyDescent="0.25">
      <c r="B382" s="269" t="s">
        <v>390</v>
      </c>
      <c r="C382" s="378"/>
      <c r="D382" s="378">
        <v>0</v>
      </c>
      <c r="E382" s="378">
        <v>1</v>
      </c>
      <c r="F382" s="378">
        <v>1</v>
      </c>
      <c r="G382" s="378"/>
      <c r="H382" s="378">
        <v>0</v>
      </c>
      <c r="I382" s="378">
        <v>0</v>
      </c>
      <c r="J382" s="315">
        <v>2</v>
      </c>
      <c r="K382" s="334">
        <v>2</v>
      </c>
    </row>
    <row r="383" spans="2:11" x14ac:dyDescent="0.25">
      <c r="B383" s="269" t="s">
        <v>391</v>
      </c>
      <c r="C383" s="378"/>
      <c r="D383" s="378">
        <v>1</v>
      </c>
      <c r="E383" s="378">
        <v>48</v>
      </c>
      <c r="F383" s="378">
        <v>75</v>
      </c>
      <c r="G383" s="378"/>
      <c r="H383" s="378">
        <v>0</v>
      </c>
      <c r="I383" s="378">
        <v>59</v>
      </c>
      <c r="J383" s="315">
        <v>65</v>
      </c>
      <c r="K383" s="334">
        <v>124</v>
      </c>
    </row>
    <row r="384" spans="2:11" x14ac:dyDescent="0.25">
      <c r="B384" s="269" t="s">
        <v>392</v>
      </c>
      <c r="C384" s="378"/>
      <c r="D384" s="378">
        <v>0</v>
      </c>
      <c r="E384" s="378">
        <v>19</v>
      </c>
      <c r="F384" s="378">
        <v>31</v>
      </c>
      <c r="G384" s="378"/>
      <c r="H384" s="378">
        <v>0</v>
      </c>
      <c r="I384" s="378">
        <v>21</v>
      </c>
      <c r="J384" s="315">
        <v>29</v>
      </c>
      <c r="K384" s="334">
        <v>50</v>
      </c>
    </row>
    <row r="385" spans="2:11" x14ac:dyDescent="0.25">
      <c r="B385" s="269" t="s">
        <v>393</v>
      </c>
      <c r="C385" s="378"/>
      <c r="D385" s="378">
        <v>0</v>
      </c>
      <c r="E385" s="378">
        <v>0</v>
      </c>
      <c r="F385" s="378">
        <v>5</v>
      </c>
      <c r="G385" s="378"/>
      <c r="H385" s="378">
        <v>0</v>
      </c>
      <c r="I385" s="378">
        <v>1</v>
      </c>
      <c r="J385" s="315">
        <v>4</v>
      </c>
      <c r="K385" s="334">
        <v>5</v>
      </c>
    </row>
    <row r="386" spans="2:11" x14ac:dyDescent="0.25">
      <c r="B386" s="269" t="s">
        <v>394</v>
      </c>
      <c r="C386" s="378"/>
      <c r="D386" s="378">
        <v>1</v>
      </c>
      <c r="E386" s="378">
        <v>136</v>
      </c>
      <c r="F386" s="378">
        <v>514</v>
      </c>
      <c r="G386" s="378"/>
      <c r="H386" s="378">
        <v>18</v>
      </c>
      <c r="I386" s="378">
        <v>412</v>
      </c>
      <c r="J386" s="315">
        <v>257</v>
      </c>
      <c r="K386" s="334">
        <v>669</v>
      </c>
    </row>
    <row r="387" spans="2:11" x14ac:dyDescent="0.25">
      <c r="B387" s="269" t="s">
        <v>396</v>
      </c>
      <c r="C387" s="378"/>
      <c r="D387" s="378">
        <v>0</v>
      </c>
      <c r="E387" s="378">
        <v>0</v>
      </c>
      <c r="F387" s="378">
        <v>1</v>
      </c>
      <c r="G387" s="378"/>
      <c r="H387" s="378">
        <v>0</v>
      </c>
      <c r="I387" s="378">
        <v>1</v>
      </c>
      <c r="J387" s="315">
        <v>0</v>
      </c>
      <c r="K387" s="334">
        <v>1</v>
      </c>
    </row>
    <row r="388" spans="2:11" x14ac:dyDescent="0.25">
      <c r="B388" s="269" t="s">
        <v>397</v>
      </c>
      <c r="C388" s="378"/>
      <c r="D388" s="378">
        <v>0</v>
      </c>
      <c r="E388" s="378">
        <v>1</v>
      </c>
      <c r="F388" s="378">
        <v>1</v>
      </c>
      <c r="G388" s="378"/>
      <c r="H388" s="378">
        <v>0</v>
      </c>
      <c r="I388" s="378">
        <v>0</v>
      </c>
      <c r="J388" s="315">
        <v>2</v>
      </c>
      <c r="K388" s="334">
        <v>2</v>
      </c>
    </row>
    <row r="389" spans="2:11" x14ac:dyDescent="0.25">
      <c r="B389" s="289" t="s">
        <v>36</v>
      </c>
      <c r="C389" s="359"/>
      <c r="D389" s="359">
        <v>2</v>
      </c>
      <c r="E389" s="359">
        <v>205</v>
      </c>
      <c r="F389" s="359">
        <v>629</v>
      </c>
      <c r="G389" s="359"/>
      <c r="H389" s="359">
        <v>18</v>
      </c>
      <c r="I389" s="359">
        <v>494</v>
      </c>
      <c r="J389" s="334">
        <v>360</v>
      </c>
      <c r="K389" s="334">
        <v>854</v>
      </c>
    </row>
    <row r="390" spans="2:11" ht="30" customHeight="1" x14ac:dyDescent="0.25">
      <c r="B390" s="510" t="s">
        <v>898</v>
      </c>
      <c r="C390" s="510"/>
      <c r="D390" s="510"/>
      <c r="E390" s="510"/>
      <c r="F390" s="510"/>
      <c r="G390" s="510"/>
      <c r="H390" s="510"/>
      <c r="I390" s="510"/>
      <c r="J390" s="510"/>
      <c r="K390" s="510"/>
    </row>
    <row r="391" spans="2:11" x14ac:dyDescent="0.25">
      <c r="B391" s="176"/>
      <c r="C391" s="176"/>
      <c r="D391" s="176"/>
      <c r="E391" s="176"/>
      <c r="F391"/>
      <c r="G391"/>
      <c r="H391"/>
      <c r="I391"/>
    </row>
    <row r="392" spans="2:11" x14ac:dyDescent="0.25">
      <c r="B392" s="205" t="s">
        <v>533</v>
      </c>
      <c r="C392"/>
      <c r="D392"/>
      <c r="E392"/>
      <c r="F392"/>
      <c r="G392"/>
      <c r="H392"/>
      <c r="I392"/>
    </row>
    <row r="393" spans="2:11" x14ac:dyDescent="0.25">
      <c r="B393" s="205"/>
      <c r="C393"/>
      <c r="D393"/>
      <c r="E393"/>
      <c r="F393"/>
      <c r="G393"/>
      <c r="H393"/>
      <c r="I393"/>
    </row>
    <row r="394" spans="2:11" x14ac:dyDescent="0.25">
      <c r="B394" s="176"/>
      <c r="C394" s="488" t="s">
        <v>538</v>
      </c>
      <c r="D394" s="488"/>
      <c r="E394" s="488"/>
      <c r="F394" s="488"/>
      <c r="G394" s="488"/>
      <c r="H394" s="488"/>
      <c r="I394" s="484" t="s">
        <v>610</v>
      </c>
      <c r="J394" s="484"/>
      <c r="K394" s="492" t="s">
        <v>36</v>
      </c>
    </row>
    <row r="395" spans="2:11" ht="30" x14ac:dyDescent="0.25">
      <c r="B395" s="178" t="s">
        <v>548</v>
      </c>
      <c r="C395" s="179" t="s">
        <v>3</v>
      </c>
      <c r="D395" s="179" t="s">
        <v>4</v>
      </c>
      <c r="E395" s="179" t="s">
        <v>714</v>
      </c>
      <c r="F395" s="179" t="s">
        <v>501</v>
      </c>
      <c r="G395" s="179" t="s">
        <v>5</v>
      </c>
      <c r="H395" s="179" t="s">
        <v>6</v>
      </c>
      <c r="I395" s="179" t="s">
        <v>87</v>
      </c>
      <c r="J395" s="179" t="s">
        <v>88</v>
      </c>
      <c r="K395" s="492"/>
    </row>
    <row r="396" spans="2:11" x14ac:dyDescent="0.25">
      <c r="B396" s="268" t="s">
        <v>400</v>
      </c>
      <c r="C396" s="378"/>
      <c r="D396" s="378">
        <v>0</v>
      </c>
      <c r="E396" s="378">
        <v>6</v>
      </c>
      <c r="F396" s="378">
        <v>19</v>
      </c>
      <c r="G396" s="378"/>
      <c r="H396" s="378">
        <v>0</v>
      </c>
      <c r="I396" s="378">
        <v>11</v>
      </c>
      <c r="J396" s="315">
        <v>14</v>
      </c>
      <c r="K396" s="334">
        <v>25</v>
      </c>
    </row>
    <row r="397" spans="2:11" x14ac:dyDescent="0.25">
      <c r="B397" s="269" t="s">
        <v>401</v>
      </c>
      <c r="C397" s="378"/>
      <c r="D397" s="378">
        <v>3</v>
      </c>
      <c r="E397" s="378">
        <v>66</v>
      </c>
      <c r="F397" s="378">
        <v>246</v>
      </c>
      <c r="G397" s="378"/>
      <c r="H397" s="378">
        <v>10</v>
      </c>
      <c r="I397" s="378">
        <v>155</v>
      </c>
      <c r="J397" s="315">
        <v>170</v>
      </c>
      <c r="K397" s="334">
        <v>325</v>
      </c>
    </row>
    <row r="398" spans="2:11" x14ac:dyDescent="0.25">
      <c r="B398" s="269" t="s">
        <v>402</v>
      </c>
      <c r="C398" s="378"/>
      <c r="D398" s="378">
        <v>0</v>
      </c>
      <c r="E398" s="378">
        <v>22</v>
      </c>
      <c r="F398" s="378">
        <v>73</v>
      </c>
      <c r="G398" s="378"/>
      <c r="H398" s="378">
        <v>1</v>
      </c>
      <c r="I398" s="378">
        <v>41</v>
      </c>
      <c r="J398" s="315">
        <v>55</v>
      </c>
      <c r="K398" s="334">
        <v>96</v>
      </c>
    </row>
    <row r="399" spans="2:11" x14ac:dyDescent="0.25">
      <c r="B399" s="269" t="s">
        <v>403</v>
      </c>
      <c r="C399" s="378"/>
      <c r="D399" s="378">
        <v>1</v>
      </c>
      <c r="E399" s="378">
        <v>72</v>
      </c>
      <c r="F399" s="378">
        <v>267</v>
      </c>
      <c r="G399" s="378"/>
      <c r="H399" s="378">
        <v>8</v>
      </c>
      <c r="I399" s="378">
        <v>180</v>
      </c>
      <c r="J399" s="315">
        <v>168</v>
      </c>
      <c r="K399" s="334">
        <v>348</v>
      </c>
    </row>
    <row r="400" spans="2:11" x14ac:dyDescent="0.25">
      <c r="B400" s="269" t="s">
        <v>404</v>
      </c>
      <c r="C400" s="378"/>
      <c r="D400" s="378">
        <v>3</v>
      </c>
      <c r="E400" s="378">
        <v>120</v>
      </c>
      <c r="F400" s="378">
        <v>299</v>
      </c>
      <c r="G400" s="378"/>
      <c r="H400" s="378">
        <v>11</v>
      </c>
      <c r="I400" s="378">
        <v>208</v>
      </c>
      <c r="J400" s="315">
        <v>225</v>
      </c>
      <c r="K400" s="334">
        <v>433</v>
      </c>
    </row>
    <row r="401" spans="2:11" x14ac:dyDescent="0.25">
      <c r="B401" s="269" t="s">
        <v>405</v>
      </c>
      <c r="C401" s="378"/>
      <c r="D401" s="378">
        <v>2</v>
      </c>
      <c r="E401" s="378">
        <v>83</v>
      </c>
      <c r="F401" s="378">
        <v>224</v>
      </c>
      <c r="G401" s="378"/>
      <c r="H401" s="378">
        <v>12</v>
      </c>
      <c r="I401" s="378">
        <v>149</v>
      </c>
      <c r="J401" s="315">
        <v>172</v>
      </c>
      <c r="K401" s="334">
        <v>321</v>
      </c>
    </row>
    <row r="402" spans="2:11" x14ac:dyDescent="0.25">
      <c r="B402" s="269" t="s">
        <v>406</v>
      </c>
      <c r="C402" s="378"/>
      <c r="D402" s="378">
        <v>3</v>
      </c>
      <c r="E402" s="378">
        <v>145</v>
      </c>
      <c r="F402" s="378">
        <v>374</v>
      </c>
      <c r="G402" s="378"/>
      <c r="H402" s="378">
        <v>9</v>
      </c>
      <c r="I402" s="378">
        <v>279</v>
      </c>
      <c r="J402" s="315">
        <v>252</v>
      </c>
      <c r="K402" s="334">
        <v>531</v>
      </c>
    </row>
    <row r="403" spans="2:11" x14ac:dyDescent="0.25">
      <c r="B403" s="269" t="s">
        <v>407</v>
      </c>
      <c r="C403" s="378"/>
      <c r="D403" s="378">
        <v>0</v>
      </c>
      <c r="E403" s="378">
        <v>41</v>
      </c>
      <c r="F403" s="378">
        <v>89</v>
      </c>
      <c r="G403" s="378"/>
      <c r="H403" s="378">
        <v>7</v>
      </c>
      <c r="I403" s="378">
        <v>66</v>
      </c>
      <c r="J403" s="315">
        <v>71</v>
      </c>
      <c r="K403" s="334">
        <v>137</v>
      </c>
    </row>
    <row r="404" spans="2:11" x14ac:dyDescent="0.25">
      <c r="B404" s="269" t="s">
        <v>408</v>
      </c>
      <c r="C404" s="378"/>
      <c r="D404" s="378">
        <v>4</v>
      </c>
      <c r="E404" s="378">
        <v>188</v>
      </c>
      <c r="F404" s="378">
        <v>447</v>
      </c>
      <c r="G404" s="378"/>
      <c r="H404" s="378">
        <v>14</v>
      </c>
      <c r="I404" s="378">
        <v>327</v>
      </c>
      <c r="J404" s="315">
        <v>326</v>
      </c>
      <c r="K404" s="334">
        <v>653</v>
      </c>
    </row>
    <row r="405" spans="2:11" x14ac:dyDescent="0.25">
      <c r="B405" s="269" t="s">
        <v>409</v>
      </c>
      <c r="C405" s="378"/>
      <c r="D405" s="378">
        <v>1</v>
      </c>
      <c r="E405" s="378">
        <v>26</v>
      </c>
      <c r="F405" s="378">
        <v>76</v>
      </c>
      <c r="G405" s="378"/>
      <c r="H405" s="378">
        <v>4</v>
      </c>
      <c r="I405" s="378">
        <v>49</v>
      </c>
      <c r="J405" s="315">
        <v>58</v>
      </c>
      <c r="K405" s="334">
        <v>107</v>
      </c>
    </row>
    <row r="406" spans="2:11" x14ac:dyDescent="0.25">
      <c r="B406" s="269" t="s">
        <v>410</v>
      </c>
      <c r="C406" s="378"/>
      <c r="D406" s="378">
        <v>0</v>
      </c>
      <c r="E406" s="378">
        <v>148</v>
      </c>
      <c r="F406" s="378">
        <v>405</v>
      </c>
      <c r="G406" s="378"/>
      <c r="H406" s="378">
        <v>10</v>
      </c>
      <c r="I406" s="378">
        <v>300</v>
      </c>
      <c r="J406" s="315">
        <v>263</v>
      </c>
      <c r="K406" s="334">
        <v>563</v>
      </c>
    </row>
    <row r="407" spans="2:11" x14ac:dyDescent="0.25">
      <c r="B407" s="269" t="s">
        <v>411</v>
      </c>
      <c r="C407" s="378"/>
      <c r="D407" s="378">
        <v>2</v>
      </c>
      <c r="E407" s="378">
        <v>71</v>
      </c>
      <c r="F407" s="378">
        <v>185</v>
      </c>
      <c r="G407" s="378"/>
      <c r="H407" s="378">
        <v>8</v>
      </c>
      <c r="I407" s="378">
        <v>141</v>
      </c>
      <c r="J407" s="315">
        <v>125</v>
      </c>
      <c r="K407" s="334">
        <v>266</v>
      </c>
    </row>
    <row r="408" spans="2:11" x14ac:dyDescent="0.25">
      <c r="B408" s="269" t="s">
        <v>412</v>
      </c>
      <c r="C408" s="378"/>
      <c r="D408" s="378">
        <v>0</v>
      </c>
      <c r="E408" s="378">
        <v>83</v>
      </c>
      <c r="F408" s="378">
        <v>248</v>
      </c>
      <c r="G408" s="378"/>
      <c r="H408" s="378">
        <v>6</v>
      </c>
      <c r="I408" s="378">
        <v>195</v>
      </c>
      <c r="J408" s="315">
        <v>142</v>
      </c>
      <c r="K408" s="334">
        <v>337</v>
      </c>
    </row>
    <row r="409" spans="2:11" x14ac:dyDescent="0.25">
      <c r="B409" s="269" t="s">
        <v>413</v>
      </c>
      <c r="C409" s="378"/>
      <c r="D409" s="378">
        <v>2</v>
      </c>
      <c r="E409" s="378">
        <v>25</v>
      </c>
      <c r="F409" s="378">
        <v>85</v>
      </c>
      <c r="G409" s="378"/>
      <c r="H409" s="378">
        <v>3</v>
      </c>
      <c r="I409" s="378">
        <v>48</v>
      </c>
      <c r="J409" s="315">
        <v>67</v>
      </c>
      <c r="K409" s="334">
        <v>115</v>
      </c>
    </row>
    <row r="410" spans="2:11" x14ac:dyDescent="0.25">
      <c r="B410" s="269" t="s">
        <v>414</v>
      </c>
      <c r="C410" s="378"/>
      <c r="D410" s="378">
        <v>1</v>
      </c>
      <c r="E410" s="378">
        <v>121</v>
      </c>
      <c r="F410" s="378">
        <v>356</v>
      </c>
      <c r="G410" s="378"/>
      <c r="H410" s="378">
        <v>7</v>
      </c>
      <c r="I410" s="378">
        <v>275</v>
      </c>
      <c r="J410" s="315">
        <v>210</v>
      </c>
      <c r="K410" s="334">
        <v>485</v>
      </c>
    </row>
    <row r="411" spans="2:11" x14ac:dyDescent="0.25">
      <c r="B411" s="269" t="s">
        <v>415</v>
      </c>
      <c r="C411" s="378"/>
      <c r="D411" s="378">
        <v>6</v>
      </c>
      <c r="E411" s="378">
        <v>415</v>
      </c>
      <c r="F411" s="378">
        <v>1382</v>
      </c>
      <c r="G411" s="378"/>
      <c r="H411" s="378">
        <v>29</v>
      </c>
      <c r="I411" s="378">
        <v>1050</v>
      </c>
      <c r="J411" s="315">
        <v>782</v>
      </c>
      <c r="K411" s="334">
        <v>1832</v>
      </c>
    </row>
    <row r="412" spans="2:11" x14ac:dyDescent="0.25">
      <c r="B412" s="269" t="s">
        <v>416</v>
      </c>
      <c r="C412" s="378"/>
      <c r="D412" s="378">
        <v>2</v>
      </c>
      <c r="E412" s="378">
        <v>159</v>
      </c>
      <c r="F412" s="378">
        <v>267</v>
      </c>
      <c r="G412" s="378"/>
      <c r="H412" s="378">
        <v>12</v>
      </c>
      <c r="I412" s="378">
        <v>221</v>
      </c>
      <c r="J412" s="315">
        <v>219</v>
      </c>
      <c r="K412" s="334">
        <v>440</v>
      </c>
    </row>
    <row r="413" spans="2:11" x14ac:dyDescent="0.25">
      <c r="B413" s="269" t="s">
        <v>417</v>
      </c>
      <c r="C413" s="378"/>
      <c r="D413" s="378">
        <v>1</v>
      </c>
      <c r="E413" s="378">
        <v>149</v>
      </c>
      <c r="F413" s="378">
        <v>343</v>
      </c>
      <c r="G413" s="378"/>
      <c r="H413" s="378">
        <v>24</v>
      </c>
      <c r="I413" s="378">
        <v>252</v>
      </c>
      <c r="J413" s="315">
        <v>265</v>
      </c>
      <c r="K413" s="334">
        <v>517</v>
      </c>
    </row>
    <row r="414" spans="2:11" x14ac:dyDescent="0.25">
      <c r="B414" s="269" t="s">
        <v>418</v>
      </c>
      <c r="C414" s="378"/>
      <c r="D414" s="378">
        <v>0</v>
      </c>
      <c r="E414" s="378">
        <v>88</v>
      </c>
      <c r="F414" s="378">
        <v>381</v>
      </c>
      <c r="G414" s="378"/>
      <c r="H414" s="378">
        <v>1</v>
      </c>
      <c r="I414" s="378">
        <v>286</v>
      </c>
      <c r="J414" s="315">
        <v>184</v>
      </c>
      <c r="K414" s="334">
        <v>470</v>
      </c>
    </row>
    <row r="415" spans="2:11" x14ac:dyDescent="0.25">
      <c r="B415" s="269" t="s">
        <v>419</v>
      </c>
      <c r="C415" s="378"/>
      <c r="D415" s="378">
        <v>0</v>
      </c>
      <c r="E415" s="378">
        <v>71</v>
      </c>
      <c r="F415" s="378">
        <v>205</v>
      </c>
      <c r="G415" s="378"/>
      <c r="H415" s="378">
        <v>6</v>
      </c>
      <c r="I415" s="378">
        <v>139</v>
      </c>
      <c r="J415" s="315">
        <v>143</v>
      </c>
      <c r="K415" s="334">
        <v>282</v>
      </c>
    </row>
    <row r="416" spans="2:11" x14ac:dyDescent="0.25">
      <c r="B416" s="269" t="s">
        <v>420</v>
      </c>
      <c r="C416" s="378"/>
      <c r="D416" s="378">
        <v>2</v>
      </c>
      <c r="E416" s="378">
        <v>250</v>
      </c>
      <c r="F416" s="378">
        <v>1381</v>
      </c>
      <c r="G416" s="378"/>
      <c r="H416" s="378">
        <v>6</v>
      </c>
      <c r="I416" s="378">
        <v>1111</v>
      </c>
      <c r="J416" s="315">
        <v>528</v>
      </c>
      <c r="K416" s="334">
        <v>1639</v>
      </c>
    </row>
    <row r="417" spans="2:11" x14ac:dyDescent="0.25">
      <c r="B417" s="269" t="s">
        <v>421</v>
      </c>
      <c r="C417" s="378"/>
      <c r="D417" s="378">
        <v>1</v>
      </c>
      <c r="E417" s="378">
        <v>59</v>
      </c>
      <c r="F417" s="378">
        <v>222</v>
      </c>
      <c r="G417" s="378"/>
      <c r="H417" s="378">
        <v>6</v>
      </c>
      <c r="I417" s="378">
        <v>154</v>
      </c>
      <c r="J417" s="315">
        <v>134</v>
      </c>
      <c r="K417" s="334">
        <v>288</v>
      </c>
    </row>
    <row r="418" spans="2:11" x14ac:dyDescent="0.25">
      <c r="B418" s="269" t="s">
        <v>422</v>
      </c>
      <c r="C418" s="378"/>
      <c r="D418" s="378">
        <v>2</v>
      </c>
      <c r="E418" s="378">
        <v>97</v>
      </c>
      <c r="F418" s="378">
        <v>232</v>
      </c>
      <c r="G418" s="378"/>
      <c r="H418" s="378">
        <v>16</v>
      </c>
      <c r="I418" s="378">
        <v>161</v>
      </c>
      <c r="J418" s="315">
        <v>186</v>
      </c>
      <c r="K418" s="334">
        <v>347</v>
      </c>
    </row>
    <row r="419" spans="2:11" x14ac:dyDescent="0.25">
      <c r="B419" s="269" t="s">
        <v>423</v>
      </c>
      <c r="C419" s="378"/>
      <c r="D419" s="378">
        <v>1</v>
      </c>
      <c r="E419" s="378">
        <v>95</v>
      </c>
      <c r="F419" s="378">
        <v>320</v>
      </c>
      <c r="G419" s="378"/>
      <c r="H419" s="378">
        <v>14</v>
      </c>
      <c r="I419" s="378">
        <v>225</v>
      </c>
      <c r="J419" s="315">
        <v>205</v>
      </c>
      <c r="K419" s="334">
        <v>430</v>
      </c>
    </row>
    <row r="420" spans="2:11" x14ac:dyDescent="0.25">
      <c r="B420" s="269" t="s">
        <v>424</v>
      </c>
      <c r="C420" s="378"/>
      <c r="D420" s="378">
        <v>3</v>
      </c>
      <c r="E420" s="378">
        <v>131</v>
      </c>
      <c r="F420" s="378">
        <v>509</v>
      </c>
      <c r="G420" s="378"/>
      <c r="H420" s="378">
        <v>9</v>
      </c>
      <c r="I420" s="378">
        <v>349</v>
      </c>
      <c r="J420" s="315">
        <v>303</v>
      </c>
      <c r="K420" s="334">
        <v>652</v>
      </c>
    </row>
    <row r="421" spans="2:11" x14ac:dyDescent="0.25">
      <c r="B421" s="269" t="s">
        <v>425</v>
      </c>
      <c r="C421" s="378"/>
      <c r="D421" s="378">
        <v>7</v>
      </c>
      <c r="E421" s="378">
        <v>537</v>
      </c>
      <c r="F421" s="378">
        <v>1662</v>
      </c>
      <c r="G421" s="378"/>
      <c r="H421" s="378">
        <v>29</v>
      </c>
      <c r="I421" s="378">
        <v>1224</v>
      </c>
      <c r="J421" s="315">
        <v>1011</v>
      </c>
      <c r="K421" s="334">
        <v>2235</v>
      </c>
    </row>
    <row r="422" spans="2:11" x14ac:dyDescent="0.25">
      <c r="B422" s="269" t="s">
        <v>426</v>
      </c>
      <c r="C422" s="378"/>
      <c r="D422" s="378">
        <v>0</v>
      </c>
      <c r="E422" s="378">
        <v>19</v>
      </c>
      <c r="F422" s="378">
        <v>41</v>
      </c>
      <c r="G422" s="378"/>
      <c r="H422" s="378">
        <v>1</v>
      </c>
      <c r="I422" s="378">
        <v>28</v>
      </c>
      <c r="J422" s="315">
        <v>33</v>
      </c>
      <c r="K422" s="334">
        <v>61</v>
      </c>
    </row>
    <row r="423" spans="2:11" x14ac:dyDescent="0.25">
      <c r="B423" s="269" t="s">
        <v>427</v>
      </c>
      <c r="C423" s="378"/>
      <c r="D423" s="378">
        <v>0</v>
      </c>
      <c r="E423" s="378">
        <v>118</v>
      </c>
      <c r="F423" s="378">
        <v>403</v>
      </c>
      <c r="G423" s="378"/>
      <c r="H423" s="378">
        <v>15</v>
      </c>
      <c r="I423" s="378">
        <v>245</v>
      </c>
      <c r="J423" s="315">
        <v>291</v>
      </c>
      <c r="K423" s="334">
        <v>536</v>
      </c>
    </row>
    <row r="424" spans="2:11" x14ac:dyDescent="0.25">
      <c r="B424" s="269" t="s">
        <v>428</v>
      </c>
      <c r="C424" s="378"/>
      <c r="D424" s="378">
        <v>3</v>
      </c>
      <c r="E424" s="378">
        <v>46</v>
      </c>
      <c r="F424" s="378">
        <v>140</v>
      </c>
      <c r="G424" s="378"/>
      <c r="H424" s="378">
        <v>5</v>
      </c>
      <c r="I424" s="378">
        <v>80</v>
      </c>
      <c r="J424" s="315">
        <v>114</v>
      </c>
      <c r="K424" s="334">
        <v>194</v>
      </c>
    </row>
    <row r="425" spans="2:11" x14ac:dyDescent="0.25">
      <c r="B425" s="269" t="s">
        <v>429</v>
      </c>
      <c r="C425" s="378"/>
      <c r="D425" s="378">
        <v>0</v>
      </c>
      <c r="E425" s="378">
        <v>57</v>
      </c>
      <c r="F425" s="378">
        <v>161</v>
      </c>
      <c r="G425" s="378"/>
      <c r="H425" s="378">
        <v>3</v>
      </c>
      <c r="I425" s="378">
        <v>112</v>
      </c>
      <c r="J425" s="315">
        <v>109</v>
      </c>
      <c r="K425" s="334">
        <v>221</v>
      </c>
    </row>
    <row r="426" spans="2:11" x14ac:dyDescent="0.25">
      <c r="B426" s="269" t="s">
        <v>430</v>
      </c>
      <c r="C426" s="378"/>
      <c r="D426" s="378">
        <v>3</v>
      </c>
      <c r="E426" s="378">
        <v>142</v>
      </c>
      <c r="F426" s="378">
        <v>333</v>
      </c>
      <c r="G426" s="378"/>
      <c r="H426" s="378">
        <v>13</v>
      </c>
      <c r="I426" s="378">
        <v>252</v>
      </c>
      <c r="J426" s="315">
        <v>239</v>
      </c>
      <c r="K426" s="334">
        <v>491</v>
      </c>
    </row>
    <row r="427" spans="2:11" x14ac:dyDescent="0.25">
      <c r="B427" s="269" t="s">
        <v>513</v>
      </c>
      <c r="C427" s="378"/>
      <c r="D427" s="378">
        <v>1</v>
      </c>
      <c r="E427" s="378">
        <v>72</v>
      </c>
      <c r="F427" s="378">
        <v>218</v>
      </c>
      <c r="G427" s="378"/>
      <c r="H427" s="378">
        <v>8</v>
      </c>
      <c r="I427" s="378">
        <v>143</v>
      </c>
      <c r="J427" s="315">
        <v>156</v>
      </c>
      <c r="K427" s="334">
        <v>299</v>
      </c>
    </row>
    <row r="428" spans="2:11" x14ac:dyDescent="0.25">
      <c r="B428" s="269" t="s">
        <v>514</v>
      </c>
      <c r="C428" s="378"/>
      <c r="D428" s="378">
        <v>4</v>
      </c>
      <c r="E428" s="378">
        <v>193</v>
      </c>
      <c r="F428" s="378">
        <v>590</v>
      </c>
      <c r="G428" s="378"/>
      <c r="H428" s="378">
        <v>26</v>
      </c>
      <c r="I428" s="378">
        <v>425</v>
      </c>
      <c r="J428" s="315">
        <v>388</v>
      </c>
      <c r="K428" s="334">
        <v>813</v>
      </c>
    </row>
    <row r="429" spans="2:11" x14ac:dyDescent="0.25">
      <c r="B429" s="269" t="s">
        <v>431</v>
      </c>
      <c r="C429" s="378"/>
      <c r="D429" s="378">
        <v>0</v>
      </c>
      <c r="E429" s="378">
        <v>32</v>
      </c>
      <c r="F429" s="378">
        <v>58</v>
      </c>
      <c r="G429" s="378"/>
      <c r="H429" s="378">
        <v>1</v>
      </c>
      <c r="I429" s="378">
        <v>37</v>
      </c>
      <c r="J429" s="315">
        <v>54</v>
      </c>
      <c r="K429" s="334">
        <v>91</v>
      </c>
    </row>
    <row r="430" spans="2:11" x14ac:dyDescent="0.25">
      <c r="B430" s="269" t="s">
        <v>432</v>
      </c>
      <c r="C430" s="378"/>
      <c r="D430" s="378">
        <v>3</v>
      </c>
      <c r="E430" s="378">
        <v>110</v>
      </c>
      <c r="F430" s="378">
        <v>608</v>
      </c>
      <c r="G430" s="378"/>
      <c r="H430" s="378">
        <v>3</v>
      </c>
      <c r="I430" s="378">
        <v>501</v>
      </c>
      <c r="J430" s="315">
        <v>223</v>
      </c>
      <c r="K430" s="334">
        <v>724</v>
      </c>
    </row>
    <row r="431" spans="2:11" x14ac:dyDescent="0.25">
      <c r="B431" s="269" t="s">
        <v>433</v>
      </c>
      <c r="C431" s="378"/>
      <c r="D431" s="378">
        <v>2</v>
      </c>
      <c r="E431" s="378">
        <v>198</v>
      </c>
      <c r="F431" s="378">
        <v>491</v>
      </c>
      <c r="G431" s="378"/>
      <c r="H431" s="378">
        <v>13</v>
      </c>
      <c r="I431" s="378">
        <v>327</v>
      </c>
      <c r="J431" s="315">
        <v>377</v>
      </c>
      <c r="K431" s="334">
        <v>704</v>
      </c>
    </row>
    <row r="432" spans="2:11" x14ac:dyDescent="0.25">
      <c r="B432" s="269" t="s">
        <v>434</v>
      </c>
      <c r="C432" s="378"/>
      <c r="D432" s="378">
        <v>7</v>
      </c>
      <c r="E432" s="378">
        <v>530</v>
      </c>
      <c r="F432" s="378">
        <v>1373</v>
      </c>
      <c r="G432" s="378"/>
      <c r="H432" s="378">
        <v>39</v>
      </c>
      <c r="I432" s="378">
        <v>1002</v>
      </c>
      <c r="J432" s="315">
        <v>947</v>
      </c>
      <c r="K432" s="334">
        <v>1949</v>
      </c>
    </row>
    <row r="433" spans="2:11" x14ac:dyDescent="0.25">
      <c r="B433" s="269" t="s">
        <v>435</v>
      </c>
      <c r="C433" s="378"/>
      <c r="D433" s="378">
        <v>3</v>
      </c>
      <c r="E433" s="378">
        <v>115</v>
      </c>
      <c r="F433" s="378">
        <v>400</v>
      </c>
      <c r="G433" s="378"/>
      <c r="H433" s="378">
        <v>11</v>
      </c>
      <c r="I433" s="378">
        <v>250</v>
      </c>
      <c r="J433" s="315">
        <v>279</v>
      </c>
      <c r="K433" s="334">
        <v>529</v>
      </c>
    </row>
    <row r="434" spans="2:11" x14ac:dyDescent="0.25">
      <c r="B434" s="269" t="s">
        <v>436</v>
      </c>
      <c r="C434" s="378"/>
      <c r="D434" s="378">
        <v>0</v>
      </c>
      <c r="E434" s="378">
        <v>124</v>
      </c>
      <c r="F434" s="378">
        <v>348</v>
      </c>
      <c r="G434" s="378"/>
      <c r="H434" s="378">
        <v>11</v>
      </c>
      <c r="I434" s="378">
        <v>257</v>
      </c>
      <c r="J434" s="315">
        <v>226</v>
      </c>
      <c r="K434" s="334">
        <v>483</v>
      </c>
    </row>
    <row r="435" spans="2:11" x14ac:dyDescent="0.25">
      <c r="B435" s="269" t="s">
        <v>437</v>
      </c>
      <c r="C435" s="378"/>
      <c r="D435" s="378">
        <v>2</v>
      </c>
      <c r="E435" s="378">
        <v>156</v>
      </c>
      <c r="F435" s="378">
        <v>436</v>
      </c>
      <c r="G435" s="378"/>
      <c r="H435" s="378">
        <v>8</v>
      </c>
      <c r="I435" s="378">
        <v>310</v>
      </c>
      <c r="J435" s="315">
        <v>292</v>
      </c>
      <c r="K435" s="334">
        <v>602</v>
      </c>
    </row>
    <row r="436" spans="2:11" x14ac:dyDescent="0.25">
      <c r="B436" s="269" t="s">
        <v>438</v>
      </c>
      <c r="C436" s="378"/>
      <c r="D436" s="378">
        <v>1</v>
      </c>
      <c r="E436" s="378">
        <v>115</v>
      </c>
      <c r="F436" s="378">
        <v>316</v>
      </c>
      <c r="G436" s="378"/>
      <c r="H436" s="378">
        <v>17</v>
      </c>
      <c r="I436" s="378">
        <v>211</v>
      </c>
      <c r="J436" s="315">
        <v>238</v>
      </c>
      <c r="K436" s="334">
        <v>449</v>
      </c>
    </row>
    <row r="437" spans="2:11" x14ac:dyDescent="0.25">
      <c r="B437" s="269" t="s">
        <v>439</v>
      </c>
      <c r="C437" s="378"/>
      <c r="D437" s="378">
        <v>2</v>
      </c>
      <c r="E437" s="378">
        <v>273</v>
      </c>
      <c r="F437" s="378">
        <v>708</v>
      </c>
      <c r="G437" s="378"/>
      <c r="H437" s="378">
        <v>28</v>
      </c>
      <c r="I437" s="378">
        <v>522</v>
      </c>
      <c r="J437" s="315">
        <v>489</v>
      </c>
      <c r="K437" s="334">
        <v>1011</v>
      </c>
    </row>
    <row r="438" spans="2:11" x14ac:dyDescent="0.25">
      <c r="B438" s="269" t="s">
        <v>440</v>
      </c>
      <c r="C438" s="378"/>
      <c r="D438" s="378">
        <v>5</v>
      </c>
      <c r="E438" s="378">
        <v>110</v>
      </c>
      <c r="F438" s="378">
        <v>342</v>
      </c>
      <c r="G438" s="378"/>
      <c r="H438" s="378">
        <v>10</v>
      </c>
      <c r="I438" s="378">
        <v>248</v>
      </c>
      <c r="J438" s="315">
        <v>219</v>
      </c>
      <c r="K438" s="334">
        <v>467</v>
      </c>
    </row>
    <row r="439" spans="2:11" x14ac:dyDescent="0.25">
      <c r="B439" s="269" t="s">
        <v>441</v>
      </c>
      <c r="C439" s="378"/>
      <c r="D439" s="378">
        <v>0</v>
      </c>
      <c r="E439" s="378">
        <v>19</v>
      </c>
      <c r="F439" s="378">
        <v>45</v>
      </c>
      <c r="G439" s="378"/>
      <c r="H439" s="378">
        <v>1</v>
      </c>
      <c r="I439" s="378">
        <v>23</v>
      </c>
      <c r="J439" s="315">
        <v>42</v>
      </c>
      <c r="K439" s="334">
        <v>65</v>
      </c>
    </row>
    <row r="440" spans="2:11" x14ac:dyDescent="0.25">
      <c r="B440" s="269" t="s">
        <v>442</v>
      </c>
      <c r="C440" s="378"/>
      <c r="D440" s="378">
        <v>1</v>
      </c>
      <c r="E440" s="378">
        <v>108</v>
      </c>
      <c r="F440" s="378">
        <v>430</v>
      </c>
      <c r="G440" s="378"/>
      <c r="H440" s="378">
        <v>8</v>
      </c>
      <c r="I440" s="378">
        <v>312</v>
      </c>
      <c r="J440" s="315">
        <v>235</v>
      </c>
      <c r="K440" s="334">
        <v>547</v>
      </c>
    </row>
    <row r="441" spans="2:11" x14ac:dyDescent="0.25">
      <c r="B441" s="269" t="s">
        <v>443</v>
      </c>
      <c r="C441" s="378"/>
      <c r="D441" s="378">
        <v>0</v>
      </c>
      <c r="E441" s="378">
        <v>18</v>
      </c>
      <c r="F441" s="378">
        <v>22</v>
      </c>
      <c r="G441" s="378"/>
      <c r="H441" s="378">
        <v>0</v>
      </c>
      <c r="I441" s="378">
        <v>8</v>
      </c>
      <c r="J441" s="315">
        <v>32</v>
      </c>
      <c r="K441" s="334">
        <v>40</v>
      </c>
    </row>
    <row r="442" spans="2:11" x14ac:dyDescent="0.25">
      <c r="B442" s="269" t="s">
        <v>444</v>
      </c>
      <c r="C442" s="378"/>
      <c r="D442" s="378">
        <v>0</v>
      </c>
      <c r="E442" s="378">
        <v>87</v>
      </c>
      <c r="F442" s="378">
        <v>185</v>
      </c>
      <c r="G442" s="378"/>
      <c r="H442" s="378">
        <v>6</v>
      </c>
      <c r="I442" s="378">
        <v>127</v>
      </c>
      <c r="J442" s="315">
        <v>151</v>
      </c>
      <c r="K442" s="334">
        <v>278</v>
      </c>
    </row>
    <row r="443" spans="2:11" x14ac:dyDescent="0.25">
      <c r="B443" s="269" t="s">
        <v>445</v>
      </c>
      <c r="C443" s="378"/>
      <c r="D443" s="378">
        <v>3</v>
      </c>
      <c r="E443" s="378">
        <v>243</v>
      </c>
      <c r="F443" s="378">
        <v>968</v>
      </c>
      <c r="G443" s="378"/>
      <c r="H443" s="378">
        <v>15</v>
      </c>
      <c r="I443" s="378">
        <v>673</v>
      </c>
      <c r="J443" s="315">
        <v>556</v>
      </c>
      <c r="K443" s="334">
        <v>1229</v>
      </c>
    </row>
    <row r="444" spans="2:11" x14ac:dyDescent="0.25">
      <c r="B444" s="269" t="s">
        <v>446</v>
      </c>
      <c r="C444" s="378"/>
      <c r="D444" s="378">
        <v>0</v>
      </c>
      <c r="E444" s="378">
        <v>84</v>
      </c>
      <c r="F444" s="378">
        <v>186</v>
      </c>
      <c r="G444" s="378"/>
      <c r="H444" s="378">
        <v>10</v>
      </c>
      <c r="I444" s="378">
        <v>139</v>
      </c>
      <c r="J444" s="315">
        <v>141</v>
      </c>
      <c r="K444" s="334">
        <v>280</v>
      </c>
    </row>
    <row r="445" spans="2:11" x14ac:dyDescent="0.25">
      <c r="B445" s="269" t="s">
        <v>447</v>
      </c>
      <c r="C445" s="378"/>
      <c r="D445" s="378">
        <v>0</v>
      </c>
      <c r="E445" s="378">
        <v>15</v>
      </c>
      <c r="F445" s="378">
        <v>48</v>
      </c>
      <c r="G445" s="378"/>
      <c r="H445" s="378">
        <v>2</v>
      </c>
      <c r="I445" s="378">
        <v>28</v>
      </c>
      <c r="J445" s="315">
        <v>37</v>
      </c>
      <c r="K445" s="334">
        <v>65</v>
      </c>
    </row>
    <row r="446" spans="2:11" x14ac:dyDescent="0.25">
      <c r="B446" s="269" t="s">
        <v>448</v>
      </c>
      <c r="C446" s="378"/>
      <c r="D446" s="378">
        <v>2</v>
      </c>
      <c r="E446" s="378">
        <v>63</v>
      </c>
      <c r="F446" s="378">
        <v>360</v>
      </c>
      <c r="G446" s="378"/>
      <c r="H446" s="378">
        <v>4</v>
      </c>
      <c r="I446" s="378">
        <v>290</v>
      </c>
      <c r="J446" s="315">
        <v>139</v>
      </c>
      <c r="K446" s="334">
        <v>429</v>
      </c>
    </row>
    <row r="447" spans="2:11" x14ac:dyDescent="0.25">
      <c r="B447" s="269" t="s">
        <v>515</v>
      </c>
      <c r="C447" s="378"/>
      <c r="D447" s="378">
        <v>2</v>
      </c>
      <c r="E447" s="378">
        <v>201</v>
      </c>
      <c r="F447" s="378">
        <v>974</v>
      </c>
      <c r="G447" s="378"/>
      <c r="H447" s="378">
        <v>10</v>
      </c>
      <c r="I447" s="378">
        <v>765</v>
      </c>
      <c r="J447" s="315">
        <v>422</v>
      </c>
      <c r="K447" s="334">
        <v>1187</v>
      </c>
    </row>
    <row r="448" spans="2:11" x14ac:dyDescent="0.25">
      <c r="B448" s="289" t="s">
        <v>36</v>
      </c>
      <c r="C448" s="359"/>
      <c r="D448" s="359">
        <v>91</v>
      </c>
      <c r="E448" s="359">
        <v>6516</v>
      </c>
      <c r="F448" s="359">
        <v>20481</v>
      </c>
      <c r="G448" s="359"/>
      <c r="H448" s="359">
        <v>530</v>
      </c>
      <c r="I448" s="359">
        <v>14911</v>
      </c>
      <c r="J448" s="334">
        <v>12707</v>
      </c>
      <c r="K448" s="334">
        <v>27618</v>
      </c>
    </row>
    <row r="449" spans="2:11" ht="30" customHeight="1" x14ac:dyDescent="0.25">
      <c r="B449" s="510" t="s">
        <v>898</v>
      </c>
      <c r="C449" s="510"/>
      <c r="D449" s="510"/>
      <c r="E449" s="510"/>
      <c r="F449" s="510"/>
      <c r="G449" s="510"/>
      <c r="H449" s="510"/>
      <c r="I449" s="510"/>
      <c r="J449" s="510"/>
      <c r="K449" s="510"/>
    </row>
    <row r="450" spans="2:11" x14ac:dyDescent="0.25">
      <c r="B450" s="176"/>
      <c r="C450" s="176"/>
      <c r="D450" s="176"/>
      <c r="E450" s="176"/>
      <c r="F450"/>
      <c r="G450"/>
      <c r="H450"/>
      <c r="I450"/>
    </row>
    <row r="451" spans="2:11" x14ac:dyDescent="0.25">
      <c r="B451" s="205" t="s">
        <v>534</v>
      </c>
      <c r="C451"/>
      <c r="D451"/>
      <c r="E451"/>
      <c r="F451"/>
      <c r="G451"/>
      <c r="H451"/>
      <c r="I451"/>
    </row>
    <row r="452" spans="2:11" x14ac:dyDescent="0.25">
      <c r="B452" s="205"/>
      <c r="C452"/>
      <c r="D452"/>
      <c r="E452"/>
      <c r="F452"/>
      <c r="G452"/>
      <c r="H452"/>
      <c r="I452"/>
    </row>
    <row r="453" spans="2:11" x14ac:dyDescent="0.25">
      <c r="B453" s="176"/>
      <c r="C453" s="488" t="s">
        <v>538</v>
      </c>
      <c r="D453" s="488"/>
      <c r="E453" s="488"/>
      <c r="F453" s="488"/>
      <c r="G453" s="488"/>
      <c r="H453" s="488"/>
      <c r="I453" s="484" t="s">
        <v>610</v>
      </c>
      <c r="J453" s="484"/>
      <c r="K453" s="492" t="s">
        <v>36</v>
      </c>
    </row>
    <row r="454" spans="2:11" ht="30" x14ac:dyDescent="0.25">
      <c r="B454" s="178" t="s">
        <v>548</v>
      </c>
      <c r="C454" s="179" t="s">
        <v>3</v>
      </c>
      <c r="D454" s="179" t="s">
        <v>4</v>
      </c>
      <c r="E454" s="179" t="s">
        <v>714</v>
      </c>
      <c r="F454" s="179" t="s">
        <v>501</v>
      </c>
      <c r="G454" s="179" t="s">
        <v>5</v>
      </c>
      <c r="H454" s="179" t="s">
        <v>6</v>
      </c>
      <c r="I454" s="179" t="s">
        <v>87</v>
      </c>
      <c r="J454" s="179" t="s">
        <v>88</v>
      </c>
      <c r="K454" s="492"/>
    </row>
    <row r="455" spans="2:11" x14ac:dyDescent="0.25">
      <c r="B455" s="268" t="s">
        <v>450</v>
      </c>
      <c r="C455" s="378"/>
      <c r="D455" s="378">
        <v>0</v>
      </c>
      <c r="E455" s="378">
        <v>6</v>
      </c>
      <c r="F455" s="378">
        <v>17</v>
      </c>
      <c r="G455" s="378"/>
      <c r="H455" s="378">
        <v>2</v>
      </c>
      <c r="I455" s="378">
        <v>10</v>
      </c>
      <c r="J455" s="315">
        <v>15</v>
      </c>
      <c r="K455" s="334">
        <v>25</v>
      </c>
    </row>
    <row r="456" spans="2:11" x14ac:dyDescent="0.25">
      <c r="B456" s="269" t="s">
        <v>451</v>
      </c>
      <c r="C456" s="378"/>
      <c r="D456" s="378">
        <v>0</v>
      </c>
      <c r="E456" s="378">
        <v>22</v>
      </c>
      <c r="F456" s="378">
        <v>47</v>
      </c>
      <c r="G456" s="378"/>
      <c r="H456" s="378">
        <v>6</v>
      </c>
      <c r="I456" s="378">
        <v>40</v>
      </c>
      <c r="J456" s="315">
        <v>35</v>
      </c>
      <c r="K456" s="334">
        <v>75</v>
      </c>
    </row>
    <row r="457" spans="2:11" x14ac:dyDescent="0.25">
      <c r="B457" s="269" t="s">
        <v>452</v>
      </c>
      <c r="C457" s="378"/>
      <c r="D457" s="378">
        <v>0</v>
      </c>
      <c r="E457" s="378">
        <v>42</v>
      </c>
      <c r="F457" s="378">
        <v>99</v>
      </c>
      <c r="G457" s="378"/>
      <c r="H457" s="378">
        <v>5</v>
      </c>
      <c r="I457" s="378">
        <v>75</v>
      </c>
      <c r="J457" s="315">
        <v>71</v>
      </c>
      <c r="K457" s="334">
        <v>146</v>
      </c>
    </row>
    <row r="458" spans="2:11" x14ac:dyDescent="0.25">
      <c r="B458" s="269" t="s">
        <v>453</v>
      </c>
      <c r="C458" s="378"/>
      <c r="D458" s="378">
        <v>0</v>
      </c>
      <c r="E458" s="378">
        <v>20</v>
      </c>
      <c r="F458" s="378">
        <v>31</v>
      </c>
      <c r="G458" s="378"/>
      <c r="H458" s="378">
        <v>0</v>
      </c>
      <c r="I458" s="378">
        <v>22</v>
      </c>
      <c r="J458" s="315">
        <v>29</v>
      </c>
      <c r="K458" s="334">
        <v>51</v>
      </c>
    </row>
    <row r="459" spans="2:11" x14ac:dyDescent="0.25">
      <c r="B459" s="269" t="s">
        <v>454</v>
      </c>
      <c r="C459" s="378"/>
      <c r="D459" s="378">
        <v>1</v>
      </c>
      <c r="E459" s="378">
        <v>27</v>
      </c>
      <c r="F459" s="378">
        <v>45</v>
      </c>
      <c r="G459" s="378"/>
      <c r="H459" s="378">
        <v>3</v>
      </c>
      <c r="I459" s="378">
        <v>37</v>
      </c>
      <c r="J459" s="315">
        <v>39</v>
      </c>
      <c r="K459" s="334">
        <v>76</v>
      </c>
    </row>
    <row r="460" spans="2:11" x14ac:dyDescent="0.25">
      <c r="B460" s="269" t="s">
        <v>455</v>
      </c>
      <c r="C460" s="378"/>
      <c r="D460" s="378">
        <v>0</v>
      </c>
      <c r="E460" s="378">
        <v>19</v>
      </c>
      <c r="F460" s="378">
        <v>47</v>
      </c>
      <c r="G460" s="378"/>
      <c r="H460" s="378">
        <v>1</v>
      </c>
      <c r="I460" s="378">
        <v>32</v>
      </c>
      <c r="J460" s="315">
        <v>35</v>
      </c>
      <c r="K460" s="334">
        <v>67</v>
      </c>
    </row>
    <row r="461" spans="2:11" x14ac:dyDescent="0.25">
      <c r="B461" s="269" t="s">
        <v>456</v>
      </c>
      <c r="C461" s="378"/>
      <c r="D461" s="378">
        <v>0</v>
      </c>
      <c r="E461" s="378">
        <v>9</v>
      </c>
      <c r="F461" s="378">
        <v>15</v>
      </c>
      <c r="G461" s="378"/>
      <c r="H461" s="378">
        <v>0</v>
      </c>
      <c r="I461" s="378">
        <v>13</v>
      </c>
      <c r="J461" s="315">
        <v>11</v>
      </c>
      <c r="K461" s="334">
        <v>24</v>
      </c>
    </row>
    <row r="462" spans="2:11" x14ac:dyDescent="0.25">
      <c r="B462" s="269" t="s">
        <v>457</v>
      </c>
      <c r="C462" s="378"/>
      <c r="D462" s="378">
        <v>0</v>
      </c>
      <c r="E462" s="378">
        <v>13</v>
      </c>
      <c r="F462" s="378">
        <v>40</v>
      </c>
      <c r="G462" s="378"/>
      <c r="H462" s="378">
        <v>4</v>
      </c>
      <c r="I462" s="378">
        <v>31</v>
      </c>
      <c r="J462" s="315">
        <v>26</v>
      </c>
      <c r="K462" s="334">
        <v>57</v>
      </c>
    </row>
    <row r="463" spans="2:11" x14ac:dyDescent="0.25">
      <c r="B463" s="269" t="s">
        <v>458</v>
      </c>
      <c r="C463" s="378"/>
      <c r="D463" s="378">
        <v>1</v>
      </c>
      <c r="E463" s="378">
        <v>49</v>
      </c>
      <c r="F463" s="378">
        <v>82</v>
      </c>
      <c r="G463" s="378"/>
      <c r="H463" s="378">
        <v>3</v>
      </c>
      <c r="I463" s="378">
        <v>73</v>
      </c>
      <c r="J463" s="315">
        <v>62</v>
      </c>
      <c r="K463" s="334">
        <v>135</v>
      </c>
    </row>
    <row r="464" spans="2:11" x14ac:dyDescent="0.25">
      <c r="B464" s="269" t="s">
        <v>459</v>
      </c>
      <c r="C464" s="378"/>
      <c r="D464" s="378">
        <v>1</v>
      </c>
      <c r="E464" s="378">
        <v>51</v>
      </c>
      <c r="F464" s="378">
        <v>81</v>
      </c>
      <c r="G464" s="378"/>
      <c r="H464" s="378">
        <v>4</v>
      </c>
      <c r="I464" s="378">
        <v>65</v>
      </c>
      <c r="J464" s="315">
        <v>72</v>
      </c>
      <c r="K464" s="334">
        <v>137</v>
      </c>
    </row>
    <row r="465" spans="2:11" x14ac:dyDescent="0.25">
      <c r="B465" s="269" t="s">
        <v>519</v>
      </c>
      <c r="C465" s="378"/>
      <c r="D465" s="378">
        <v>0</v>
      </c>
      <c r="E465" s="378">
        <v>28</v>
      </c>
      <c r="F465" s="378">
        <v>61</v>
      </c>
      <c r="G465" s="378"/>
      <c r="H465" s="378">
        <v>4</v>
      </c>
      <c r="I465" s="378">
        <v>51</v>
      </c>
      <c r="J465" s="315">
        <v>42</v>
      </c>
      <c r="K465" s="334">
        <v>93</v>
      </c>
    </row>
    <row r="466" spans="2:11" x14ac:dyDescent="0.25">
      <c r="B466" s="269" t="s">
        <v>461</v>
      </c>
      <c r="C466" s="378"/>
      <c r="D466" s="378">
        <v>3</v>
      </c>
      <c r="E466" s="378">
        <v>150</v>
      </c>
      <c r="F466" s="378">
        <v>484</v>
      </c>
      <c r="G466" s="378"/>
      <c r="H466" s="378">
        <v>34</v>
      </c>
      <c r="I466" s="378">
        <v>404</v>
      </c>
      <c r="J466" s="315">
        <v>267</v>
      </c>
      <c r="K466" s="334">
        <v>671</v>
      </c>
    </row>
    <row r="467" spans="2:11" x14ac:dyDescent="0.25">
      <c r="B467" s="289" t="s">
        <v>36</v>
      </c>
      <c r="C467" s="359"/>
      <c r="D467" s="359">
        <v>6</v>
      </c>
      <c r="E467" s="359">
        <v>436</v>
      </c>
      <c r="F467" s="359">
        <v>1049</v>
      </c>
      <c r="G467" s="359"/>
      <c r="H467" s="359">
        <v>66</v>
      </c>
      <c r="I467" s="359">
        <v>853</v>
      </c>
      <c r="J467" s="334">
        <v>704</v>
      </c>
      <c r="K467" s="334">
        <v>1557</v>
      </c>
    </row>
    <row r="468" spans="2:11" ht="33" customHeight="1" x14ac:dyDescent="0.25">
      <c r="B468" s="510" t="s">
        <v>898</v>
      </c>
      <c r="C468" s="510"/>
      <c r="D468" s="510"/>
      <c r="E468" s="510"/>
      <c r="F468" s="510"/>
      <c r="G468" s="510"/>
      <c r="H468" s="510"/>
      <c r="I468" s="510"/>
      <c r="J468" s="510"/>
      <c r="K468" s="510"/>
    </row>
    <row r="469" spans="2:11" x14ac:dyDescent="0.25">
      <c r="B469" s="176"/>
      <c r="C469" s="176"/>
      <c r="D469" s="176"/>
      <c r="E469" s="176"/>
      <c r="F469"/>
      <c r="G469"/>
      <c r="H469"/>
      <c r="I469"/>
    </row>
    <row r="470" spans="2:11" x14ac:dyDescent="0.25">
      <c r="B470" s="205" t="s">
        <v>535</v>
      </c>
      <c r="C470"/>
      <c r="D470"/>
      <c r="E470"/>
      <c r="F470"/>
      <c r="G470"/>
      <c r="H470"/>
      <c r="I470"/>
    </row>
    <row r="471" spans="2:11" x14ac:dyDescent="0.25">
      <c r="B471" s="205"/>
      <c r="C471"/>
      <c r="D471"/>
      <c r="E471"/>
      <c r="F471"/>
      <c r="G471"/>
      <c r="H471"/>
      <c r="I471"/>
    </row>
    <row r="472" spans="2:11" x14ac:dyDescent="0.25">
      <c r="B472" s="176"/>
      <c r="C472" s="488" t="s">
        <v>538</v>
      </c>
      <c r="D472" s="488"/>
      <c r="E472" s="488"/>
      <c r="F472" s="488"/>
      <c r="G472" s="488"/>
      <c r="H472" s="488"/>
      <c r="I472" s="484" t="s">
        <v>610</v>
      </c>
      <c r="J472" s="484"/>
      <c r="K472" s="492" t="s">
        <v>36</v>
      </c>
    </row>
    <row r="473" spans="2:11" ht="30" x14ac:dyDescent="0.25">
      <c r="B473" s="178" t="s">
        <v>548</v>
      </c>
      <c r="C473" s="179" t="s">
        <v>3</v>
      </c>
      <c r="D473" s="179" t="s">
        <v>4</v>
      </c>
      <c r="E473" s="179" t="s">
        <v>714</v>
      </c>
      <c r="F473" s="179" t="s">
        <v>501</v>
      </c>
      <c r="G473" s="179" t="s">
        <v>5</v>
      </c>
      <c r="H473" s="179" t="s">
        <v>6</v>
      </c>
      <c r="I473" s="179" t="s">
        <v>87</v>
      </c>
      <c r="J473" s="179" t="s">
        <v>88</v>
      </c>
      <c r="K473" s="492"/>
    </row>
    <row r="474" spans="2:11" x14ac:dyDescent="0.25">
      <c r="B474" s="268" t="s">
        <v>462</v>
      </c>
      <c r="C474" s="378"/>
      <c r="D474" s="378">
        <v>7</v>
      </c>
      <c r="E474" s="378">
        <v>247</v>
      </c>
      <c r="F474" s="378">
        <v>641</v>
      </c>
      <c r="G474" s="378"/>
      <c r="H474" s="378">
        <v>20</v>
      </c>
      <c r="I474" s="378">
        <v>511</v>
      </c>
      <c r="J474" s="315">
        <v>404</v>
      </c>
      <c r="K474" s="334">
        <v>915</v>
      </c>
    </row>
    <row r="475" spans="2:11" x14ac:dyDescent="0.25">
      <c r="B475" s="269" t="s">
        <v>465</v>
      </c>
      <c r="C475" s="378"/>
      <c r="D475" s="378">
        <v>0</v>
      </c>
      <c r="E475" s="378">
        <v>1</v>
      </c>
      <c r="F475" s="378">
        <v>6</v>
      </c>
      <c r="G475" s="378"/>
      <c r="H475" s="378">
        <v>0</v>
      </c>
      <c r="I475" s="378">
        <v>4</v>
      </c>
      <c r="J475" s="315">
        <v>3</v>
      </c>
      <c r="K475" s="334">
        <v>7</v>
      </c>
    </row>
    <row r="476" spans="2:11" x14ac:dyDescent="0.25">
      <c r="B476" s="289" t="s">
        <v>36</v>
      </c>
      <c r="C476" s="359"/>
      <c r="D476" s="359">
        <v>7</v>
      </c>
      <c r="E476" s="359">
        <v>248</v>
      </c>
      <c r="F476" s="359">
        <v>647</v>
      </c>
      <c r="G476" s="359"/>
      <c r="H476" s="359">
        <v>20</v>
      </c>
      <c r="I476" s="359">
        <v>515</v>
      </c>
      <c r="J476" s="334">
        <v>407</v>
      </c>
      <c r="K476" s="334">
        <v>922</v>
      </c>
    </row>
    <row r="477" spans="2:11" ht="27" customHeight="1" x14ac:dyDescent="0.25">
      <c r="B477" s="510" t="s">
        <v>898</v>
      </c>
      <c r="C477" s="510"/>
      <c r="D477" s="510"/>
      <c r="E477" s="510"/>
      <c r="F477" s="510"/>
      <c r="G477" s="510"/>
      <c r="H477" s="510"/>
      <c r="I477" s="510"/>
      <c r="J477" s="510"/>
      <c r="K477" s="510"/>
    </row>
    <row r="478" spans="2:11" x14ac:dyDescent="0.25">
      <c r="B478" s="176"/>
      <c r="C478" s="176"/>
      <c r="D478" s="176"/>
      <c r="E478" s="176"/>
      <c r="F478"/>
      <c r="G478"/>
      <c r="H478"/>
      <c r="I478"/>
    </row>
    <row r="479" spans="2:11" x14ac:dyDescent="0.25">
      <c r="B479" s="205" t="s">
        <v>536</v>
      </c>
      <c r="C479"/>
      <c r="D479"/>
      <c r="E479"/>
      <c r="F479"/>
      <c r="G479"/>
      <c r="H479"/>
      <c r="I479"/>
    </row>
    <row r="480" spans="2:11" x14ac:dyDescent="0.25">
      <c r="B480" s="205"/>
      <c r="C480"/>
      <c r="D480"/>
      <c r="E480"/>
      <c r="F480"/>
      <c r="G480"/>
      <c r="H480"/>
      <c r="I480"/>
    </row>
    <row r="481" spans="2:11" x14ac:dyDescent="0.25">
      <c r="B481" s="176"/>
      <c r="C481" s="488" t="s">
        <v>538</v>
      </c>
      <c r="D481" s="488"/>
      <c r="E481" s="488"/>
      <c r="F481" s="488"/>
      <c r="G481" s="488"/>
      <c r="H481" s="488"/>
      <c r="I481" s="484" t="s">
        <v>610</v>
      </c>
      <c r="J481" s="484"/>
      <c r="K481" s="492" t="s">
        <v>36</v>
      </c>
    </row>
    <row r="482" spans="2:11" ht="30" x14ac:dyDescent="0.25">
      <c r="B482" s="178" t="s">
        <v>548</v>
      </c>
      <c r="C482" s="179" t="s">
        <v>3</v>
      </c>
      <c r="D482" s="179" t="s">
        <v>4</v>
      </c>
      <c r="E482" s="179" t="s">
        <v>714</v>
      </c>
      <c r="F482" s="179" t="s">
        <v>501</v>
      </c>
      <c r="G482" s="179" t="s">
        <v>5</v>
      </c>
      <c r="H482" s="179" t="s">
        <v>6</v>
      </c>
      <c r="I482" s="179" t="s">
        <v>87</v>
      </c>
      <c r="J482" s="179" t="s">
        <v>88</v>
      </c>
      <c r="K482" s="492"/>
    </row>
    <row r="483" spans="2:11" x14ac:dyDescent="0.25">
      <c r="B483" s="268" t="s">
        <v>466</v>
      </c>
      <c r="C483" s="378"/>
      <c r="D483" s="378">
        <v>0</v>
      </c>
      <c r="E483" s="378">
        <v>35</v>
      </c>
      <c r="F483" s="378">
        <v>61</v>
      </c>
      <c r="G483" s="378"/>
      <c r="H483" s="378">
        <v>7</v>
      </c>
      <c r="I483" s="378">
        <v>56</v>
      </c>
      <c r="J483" s="315">
        <v>47</v>
      </c>
      <c r="K483" s="334">
        <v>103</v>
      </c>
    </row>
    <row r="484" spans="2:11" x14ac:dyDescent="0.25">
      <c r="B484" s="269" t="s">
        <v>467</v>
      </c>
      <c r="C484" s="378"/>
      <c r="D484" s="378">
        <v>4</v>
      </c>
      <c r="E484" s="378">
        <v>188</v>
      </c>
      <c r="F484" s="378">
        <v>577</v>
      </c>
      <c r="G484" s="378"/>
      <c r="H484" s="378">
        <v>38</v>
      </c>
      <c r="I484" s="378">
        <v>472</v>
      </c>
      <c r="J484" s="315">
        <v>335</v>
      </c>
      <c r="K484" s="334">
        <v>807</v>
      </c>
    </row>
    <row r="485" spans="2:11" x14ac:dyDescent="0.25">
      <c r="B485" s="269" t="s">
        <v>468</v>
      </c>
      <c r="C485" s="378"/>
      <c r="D485" s="378">
        <v>3</v>
      </c>
      <c r="E485" s="378">
        <v>27</v>
      </c>
      <c r="F485" s="378">
        <v>55</v>
      </c>
      <c r="G485" s="378"/>
      <c r="H485" s="378">
        <v>4</v>
      </c>
      <c r="I485" s="378">
        <v>43</v>
      </c>
      <c r="J485" s="315">
        <v>46</v>
      </c>
      <c r="K485" s="334">
        <v>89</v>
      </c>
    </row>
    <row r="486" spans="2:11" x14ac:dyDescent="0.25">
      <c r="B486" s="269" t="s">
        <v>469</v>
      </c>
      <c r="C486" s="378"/>
      <c r="D486" s="378">
        <v>0</v>
      </c>
      <c r="E486" s="378">
        <v>8</v>
      </c>
      <c r="F486" s="378">
        <v>12</v>
      </c>
      <c r="G486" s="378"/>
      <c r="H486" s="378">
        <v>1</v>
      </c>
      <c r="I486" s="378">
        <v>14</v>
      </c>
      <c r="J486" s="315">
        <v>7</v>
      </c>
      <c r="K486" s="334">
        <v>21</v>
      </c>
    </row>
    <row r="487" spans="2:11" x14ac:dyDescent="0.25">
      <c r="B487" s="269" t="s">
        <v>470</v>
      </c>
      <c r="C487" s="378"/>
      <c r="D487" s="378">
        <v>0</v>
      </c>
      <c r="E487" s="378">
        <v>12</v>
      </c>
      <c r="F487" s="378">
        <v>39</v>
      </c>
      <c r="G487" s="378"/>
      <c r="H487" s="378">
        <v>0</v>
      </c>
      <c r="I487" s="378">
        <v>32</v>
      </c>
      <c r="J487" s="315">
        <v>19</v>
      </c>
      <c r="K487" s="334">
        <v>51</v>
      </c>
    </row>
    <row r="488" spans="2:11" x14ac:dyDescent="0.25">
      <c r="B488" s="269" t="s">
        <v>471</v>
      </c>
      <c r="C488" s="378"/>
      <c r="D488" s="378">
        <v>1</v>
      </c>
      <c r="E488" s="378">
        <v>22</v>
      </c>
      <c r="F488" s="378">
        <v>36</v>
      </c>
      <c r="G488" s="378"/>
      <c r="H488" s="378">
        <v>3</v>
      </c>
      <c r="I488" s="378">
        <v>31</v>
      </c>
      <c r="J488" s="315">
        <v>31</v>
      </c>
      <c r="K488" s="334">
        <v>62</v>
      </c>
    </row>
    <row r="489" spans="2:11" x14ac:dyDescent="0.25">
      <c r="B489" s="269" t="s">
        <v>472</v>
      </c>
      <c r="C489" s="378"/>
      <c r="D489" s="378">
        <v>1</v>
      </c>
      <c r="E489" s="378">
        <v>15</v>
      </c>
      <c r="F489" s="378">
        <v>15</v>
      </c>
      <c r="G489" s="378"/>
      <c r="H489" s="378">
        <v>2</v>
      </c>
      <c r="I489" s="378">
        <v>18</v>
      </c>
      <c r="J489" s="315">
        <v>15</v>
      </c>
      <c r="K489" s="334">
        <v>33</v>
      </c>
    </row>
    <row r="490" spans="2:11" x14ac:dyDescent="0.25">
      <c r="B490" s="269" t="s">
        <v>473</v>
      </c>
      <c r="C490" s="378"/>
      <c r="D490" s="378">
        <v>0</v>
      </c>
      <c r="E490" s="378">
        <v>3</v>
      </c>
      <c r="F490" s="378">
        <v>12</v>
      </c>
      <c r="G490" s="378"/>
      <c r="H490" s="378">
        <v>0</v>
      </c>
      <c r="I490" s="378">
        <v>5</v>
      </c>
      <c r="J490" s="315">
        <v>10</v>
      </c>
      <c r="K490" s="334">
        <v>15</v>
      </c>
    </row>
    <row r="491" spans="2:11" x14ac:dyDescent="0.25">
      <c r="B491" s="269" t="s">
        <v>474</v>
      </c>
      <c r="C491" s="378"/>
      <c r="D491" s="378">
        <v>0</v>
      </c>
      <c r="E491" s="378">
        <v>9</v>
      </c>
      <c r="F491" s="378">
        <v>16</v>
      </c>
      <c r="G491" s="378"/>
      <c r="H491" s="378">
        <v>1</v>
      </c>
      <c r="I491" s="378">
        <v>13</v>
      </c>
      <c r="J491" s="315">
        <v>13</v>
      </c>
      <c r="K491" s="334">
        <v>26</v>
      </c>
    </row>
    <row r="492" spans="2:11" x14ac:dyDescent="0.25">
      <c r="B492" s="269" t="s">
        <v>475</v>
      </c>
      <c r="C492" s="378"/>
      <c r="D492" s="378">
        <v>0</v>
      </c>
      <c r="E492" s="378">
        <v>11</v>
      </c>
      <c r="F492" s="378">
        <v>30</v>
      </c>
      <c r="G492" s="378"/>
      <c r="H492" s="378">
        <v>1</v>
      </c>
      <c r="I492" s="378">
        <v>18</v>
      </c>
      <c r="J492" s="315">
        <v>24</v>
      </c>
      <c r="K492" s="334">
        <v>42</v>
      </c>
    </row>
    <row r="493" spans="2:11" x14ac:dyDescent="0.25">
      <c r="B493" s="269" t="s">
        <v>476</v>
      </c>
      <c r="C493" s="378"/>
      <c r="D493" s="378">
        <v>0</v>
      </c>
      <c r="E493" s="378">
        <v>3</v>
      </c>
      <c r="F493" s="378">
        <v>13</v>
      </c>
      <c r="G493" s="378"/>
      <c r="H493" s="378">
        <v>1</v>
      </c>
      <c r="I493" s="378">
        <v>13</v>
      </c>
      <c r="J493" s="315">
        <v>4</v>
      </c>
      <c r="K493" s="334">
        <v>17</v>
      </c>
    </row>
    <row r="494" spans="2:11" x14ac:dyDescent="0.25">
      <c r="B494" s="269" t="s">
        <v>477</v>
      </c>
      <c r="C494" s="378"/>
      <c r="D494" s="378">
        <v>0</v>
      </c>
      <c r="E494" s="378">
        <v>26</v>
      </c>
      <c r="F494" s="378">
        <v>49</v>
      </c>
      <c r="G494" s="378"/>
      <c r="H494" s="378">
        <v>0</v>
      </c>
      <c r="I494" s="378">
        <v>39</v>
      </c>
      <c r="J494" s="315">
        <v>36</v>
      </c>
      <c r="K494" s="334">
        <v>75</v>
      </c>
    </row>
    <row r="495" spans="2:11" x14ac:dyDescent="0.25">
      <c r="B495" s="269" t="s">
        <v>478</v>
      </c>
      <c r="C495" s="378"/>
      <c r="D495" s="378">
        <v>1</v>
      </c>
      <c r="E495" s="378">
        <v>16</v>
      </c>
      <c r="F495" s="378">
        <v>23</v>
      </c>
      <c r="G495" s="378"/>
      <c r="H495" s="378">
        <v>1</v>
      </c>
      <c r="I495" s="378">
        <v>26</v>
      </c>
      <c r="J495" s="315">
        <v>15</v>
      </c>
      <c r="K495" s="334">
        <v>41</v>
      </c>
    </row>
    <row r="496" spans="2:11" x14ac:dyDescent="0.25">
      <c r="B496" s="269" t="s">
        <v>479</v>
      </c>
      <c r="C496" s="378"/>
      <c r="D496" s="378">
        <v>0</v>
      </c>
      <c r="E496" s="378">
        <v>6</v>
      </c>
      <c r="F496" s="378">
        <v>7</v>
      </c>
      <c r="G496" s="378"/>
      <c r="H496" s="378">
        <v>1</v>
      </c>
      <c r="I496" s="378">
        <v>8</v>
      </c>
      <c r="J496" s="315">
        <v>6</v>
      </c>
      <c r="K496" s="334">
        <v>14</v>
      </c>
    </row>
    <row r="497" spans="2:11" x14ac:dyDescent="0.25">
      <c r="B497" s="269" t="s">
        <v>480</v>
      </c>
      <c r="C497" s="378"/>
      <c r="D497" s="378">
        <v>0</v>
      </c>
      <c r="E497" s="378">
        <v>69</v>
      </c>
      <c r="F497" s="378">
        <v>136</v>
      </c>
      <c r="G497" s="378"/>
      <c r="H497" s="378">
        <v>17</v>
      </c>
      <c r="I497" s="378">
        <v>111</v>
      </c>
      <c r="J497" s="315">
        <v>111</v>
      </c>
      <c r="K497" s="334">
        <v>222</v>
      </c>
    </row>
    <row r="498" spans="2:11" x14ac:dyDescent="0.25">
      <c r="B498" s="269" t="s">
        <v>481</v>
      </c>
      <c r="C498" s="378"/>
      <c r="D498" s="378">
        <v>0</v>
      </c>
      <c r="E498" s="378">
        <v>3</v>
      </c>
      <c r="F498" s="378">
        <v>11</v>
      </c>
      <c r="G498" s="378"/>
      <c r="H498" s="378">
        <v>0</v>
      </c>
      <c r="I498" s="378">
        <v>8</v>
      </c>
      <c r="J498" s="315">
        <v>6</v>
      </c>
      <c r="K498" s="334">
        <v>14</v>
      </c>
    </row>
    <row r="499" spans="2:11" x14ac:dyDescent="0.25">
      <c r="B499" s="269" t="s">
        <v>482</v>
      </c>
      <c r="C499" s="378"/>
      <c r="D499" s="378">
        <v>0</v>
      </c>
      <c r="E499" s="378">
        <v>15</v>
      </c>
      <c r="F499" s="378">
        <v>25</v>
      </c>
      <c r="G499" s="378"/>
      <c r="H499" s="378">
        <v>1</v>
      </c>
      <c r="I499" s="378">
        <v>23</v>
      </c>
      <c r="J499" s="315">
        <v>18</v>
      </c>
      <c r="K499" s="334">
        <v>41</v>
      </c>
    </row>
    <row r="500" spans="2:11" x14ac:dyDescent="0.25">
      <c r="B500" s="269" t="s">
        <v>483</v>
      </c>
      <c r="C500" s="378"/>
      <c r="D500" s="378">
        <v>0</v>
      </c>
      <c r="E500" s="378">
        <v>6</v>
      </c>
      <c r="F500" s="378">
        <v>22</v>
      </c>
      <c r="G500" s="378"/>
      <c r="H500" s="378">
        <v>4</v>
      </c>
      <c r="I500" s="378">
        <v>17</v>
      </c>
      <c r="J500" s="315">
        <v>15</v>
      </c>
      <c r="K500" s="334">
        <v>32</v>
      </c>
    </row>
    <row r="501" spans="2:11" x14ac:dyDescent="0.25">
      <c r="B501" s="269" t="s">
        <v>484</v>
      </c>
      <c r="C501" s="378"/>
      <c r="D501" s="378">
        <v>0</v>
      </c>
      <c r="E501" s="378">
        <v>6</v>
      </c>
      <c r="F501" s="378">
        <v>15</v>
      </c>
      <c r="G501" s="378"/>
      <c r="H501" s="378">
        <v>1</v>
      </c>
      <c r="I501" s="378">
        <v>11</v>
      </c>
      <c r="J501" s="315">
        <v>11</v>
      </c>
      <c r="K501" s="334">
        <v>22</v>
      </c>
    </row>
    <row r="502" spans="2:11" x14ac:dyDescent="0.25">
      <c r="B502" s="269" t="s">
        <v>485</v>
      </c>
      <c r="C502" s="378"/>
      <c r="D502" s="378">
        <v>0</v>
      </c>
      <c r="E502" s="378">
        <v>20</v>
      </c>
      <c r="F502" s="378">
        <v>61</v>
      </c>
      <c r="G502" s="378"/>
      <c r="H502" s="378">
        <v>6</v>
      </c>
      <c r="I502" s="378">
        <v>46</v>
      </c>
      <c r="J502" s="315">
        <v>41</v>
      </c>
      <c r="K502" s="334">
        <v>87</v>
      </c>
    </row>
    <row r="503" spans="2:11" x14ac:dyDescent="0.25">
      <c r="B503" s="269" t="s">
        <v>486</v>
      </c>
      <c r="C503" s="378"/>
      <c r="D503" s="378">
        <v>0</v>
      </c>
      <c r="E503" s="378">
        <v>12</v>
      </c>
      <c r="F503" s="378">
        <v>20</v>
      </c>
      <c r="G503" s="378"/>
      <c r="H503" s="378">
        <v>0</v>
      </c>
      <c r="I503" s="378">
        <v>19</v>
      </c>
      <c r="J503" s="315">
        <v>13</v>
      </c>
      <c r="K503" s="334">
        <v>32</v>
      </c>
    </row>
    <row r="504" spans="2:11" x14ac:dyDescent="0.25">
      <c r="B504" s="289" t="s">
        <v>36</v>
      </c>
      <c r="C504" s="359"/>
      <c r="D504" s="359">
        <v>10</v>
      </c>
      <c r="E504" s="359">
        <v>512</v>
      </c>
      <c r="F504" s="359">
        <v>1235</v>
      </c>
      <c r="G504" s="359"/>
      <c r="H504" s="359">
        <v>89</v>
      </c>
      <c r="I504" s="359">
        <v>1023</v>
      </c>
      <c r="J504" s="334">
        <v>823</v>
      </c>
      <c r="K504" s="334">
        <v>1846</v>
      </c>
    </row>
    <row r="505" spans="2:11" ht="33" customHeight="1" x14ac:dyDescent="0.25">
      <c r="B505" s="510" t="s">
        <v>898</v>
      </c>
      <c r="C505" s="510"/>
      <c r="D505" s="510"/>
      <c r="E505" s="510"/>
      <c r="F505" s="510"/>
      <c r="G505" s="510"/>
      <c r="H505" s="510"/>
      <c r="I505" s="510"/>
      <c r="J505" s="510"/>
      <c r="K505" s="510"/>
    </row>
  </sheetData>
  <mergeCells count="74">
    <mergeCell ref="C379:H379"/>
    <mergeCell ref="I379:J379"/>
    <mergeCell ref="K379:K380"/>
    <mergeCell ref="K472:K473"/>
    <mergeCell ref="B358:K358"/>
    <mergeCell ref="B375:K375"/>
    <mergeCell ref="B390:K390"/>
    <mergeCell ref="C453:H453"/>
    <mergeCell ref="I453:J453"/>
    <mergeCell ref="K453:K454"/>
    <mergeCell ref="C394:H394"/>
    <mergeCell ref="I394:J394"/>
    <mergeCell ref="K394:K395"/>
    <mergeCell ref="B449:K449"/>
    <mergeCell ref="B468:K468"/>
    <mergeCell ref="C325:H325"/>
    <mergeCell ref="I325:J325"/>
    <mergeCell ref="K325:K326"/>
    <mergeCell ref="C362:H362"/>
    <mergeCell ref="I362:J362"/>
    <mergeCell ref="K362:K363"/>
    <mergeCell ref="K7:K8"/>
    <mergeCell ref="C57:H57"/>
    <mergeCell ref="I57:J57"/>
    <mergeCell ref="K57:K58"/>
    <mergeCell ref="C71:H71"/>
    <mergeCell ref="I71:J71"/>
    <mergeCell ref="K71:K72"/>
    <mergeCell ref="B26:K26"/>
    <mergeCell ref="B50:K50"/>
    <mergeCell ref="B67:K67"/>
    <mergeCell ref="B7:B8"/>
    <mergeCell ref="C7:H7"/>
    <mergeCell ref="I7:J7"/>
    <mergeCell ref="B31:B32"/>
    <mergeCell ref="C31:H31"/>
    <mergeCell ref="I31:J31"/>
    <mergeCell ref="B165:K165"/>
    <mergeCell ref="B205:K205"/>
    <mergeCell ref="B242:K242"/>
    <mergeCell ref="B282:K282"/>
    <mergeCell ref="K31:K32"/>
    <mergeCell ref="I102:J102"/>
    <mergeCell ref="K102:K103"/>
    <mergeCell ref="K86:K87"/>
    <mergeCell ref="C102:H102"/>
    <mergeCell ref="B82:K82"/>
    <mergeCell ref="B98:K98"/>
    <mergeCell ref="B120:K120"/>
    <mergeCell ref="C86:H86"/>
    <mergeCell ref="I86:J86"/>
    <mergeCell ref="C124:H124"/>
    <mergeCell ref="I124:J124"/>
    <mergeCell ref="K124:K125"/>
    <mergeCell ref="B505:K505"/>
    <mergeCell ref="C481:H481"/>
    <mergeCell ref="I481:J481"/>
    <mergeCell ref="K481:K482"/>
    <mergeCell ref="C472:H472"/>
    <mergeCell ref="I472:J472"/>
    <mergeCell ref="B477:K477"/>
    <mergeCell ref="B321:K321"/>
    <mergeCell ref="C209:H209"/>
    <mergeCell ref="I209:J209"/>
    <mergeCell ref="K209:K210"/>
    <mergeCell ref="C169:H169"/>
    <mergeCell ref="I169:J169"/>
    <mergeCell ref="K169:K170"/>
    <mergeCell ref="C246:H246"/>
    <mergeCell ref="I246:J246"/>
    <mergeCell ref="K246:K247"/>
    <mergeCell ref="C286:H286"/>
    <mergeCell ref="I286:J286"/>
    <mergeCell ref="K286:K287"/>
  </mergeCell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DDEAE-DF14-41AE-B3F1-3EEEB719E7DF}">
  <sheetPr>
    <tabColor rgb="FF00B0F0"/>
  </sheetPr>
  <dimension ref="B2:S103"/>
  <sheetViews>
    <sheetView showGridLines="0" workbookViewId="0">
      <selection activeCell="I35" sqref="I35"/>
    </sheetView>
  </sheetViews>
  <sheetFormatPr baseColWidth="10" defaultColWidth="11.5703125" defaultRowHeight="15" x14ac:dyDescent="0.25"/>
  <cols>
    <col min="1" max="1" width="8.140625" style="23" customWidth="1"/>
    <col min="2" max="2" width="25.140625" style="23" customWidth="1"/>
    <col min="3" max="4" width="11.5703125" style="23"/>
    <col min="5" max="5" width="13.5703125" style="23" bestFit="1" customWidth="1"/>
    <col min="6" max="6" width="13" style="23" customWidth="1"/>
    <col min="7" max="7" width="11.5703125" style="23"/>
    <col min="8" max="8" width="13.5703125" style="23" bestFit="1" customWidth="1"/>
    <col min="9" max="9" width="13.140625" style="23" customWidth="1"/>
    <col min="10" max="10" width="11.7109375" style="23" customWidth="1"/>
    <col min="11" max="11" width="12.42578125" style="23" customWidth="1"/>
    <col min="12" max="12" width="12" style="23" customWidth="1"/>
    <col min="13" max="16384" width="11.5703125" style="23"/>
  </cols>
  <sheetData>
    <row r="2" spans="2:19" ht="23.25" x14ac:dyDescent="0.25">
      <c r="B2" s="1" t="s">
        <v>872</v>
      </c>
    </row>
    <row r="3" spans="2:19" ht="23.25" x14ac:dyDescent="0.25">
      <c r="B3" s="1"/>
    </row>
    <row r="4" spans="2:19" ht="18.75" x14ac:dyDescent="0.3">
      <c r="B4" s="519" t="s">
        <v>984</v>
      </c>
      <c r="C4" s="519"/>
      <c r="D4" s="519"/>
      <c r="E4" s="519"/>
      <c r="F4" s="519"/>
      <c r="G4" s="519"/>
      <c r="H4" s="519"/>
    </row>
    <row r="5" spans="2:19" x14ac:dyDescent="0.25">
      <c r="B5" s="512" t="s">
        <v>520</v>
      </c>
      <c r="C5" s="512"/>
      <c r="D5" s="512"/>
      <c r="E5" s="512"/>
      <c r="F5" s="512"/>
      <c r="G5" s="512"/>
      <c r="H5" s="512"/>
    </row>
    <row r="6" spans="2:19" x14ac:dyDescent="0.25">
      <c r="B6" s="3"/>
      <c r="C6" s="3"/>
      <c r="D6" s="3"/>
      <c r="E6" s="3"/>
      <c r="F6" s="3"/>
      <c r="G6" s="3"/>
      <c r="H6" s="3"/>
      <c r="I6" s="3"/>
    </row>
    <row r="7" spans="2:19" x14ac:dyDescent="0.25">
      <c r="B7" s="496" t="s">
        <v>78</v>
      </c>
      <c r="C7" s="529"/>
      <c r="D7" s="529"/>
      <c r="E7" s="530"/>
      <c r="F7" s="525" t="s">
        <v>3</v>
      </c>
      <c r="G7" s="526"/>
      <c r="H7" s="525" t="s">
        <v>4</v>
      </c>
      <c r="I7" s="526"/>
      <c r="J7" s="533" t="s">
        <v>714</v>
      </c>
      <c r="K7" s="533"/>
      <c r="L7" s="534" t="s">
        <v>501</v>
      </c>
      <c r="M7" s="526"/>
      <c r="N7" s="527" t="s">
        <v>5</v>
      </c>
      <c r="O7" s="528"/>
      <c r="P7" s="525" t="s">
        <v>6</v>
      </c>
      <c r="Q7" s="526"/>
      <c r="R7" s="518" t="s">
        <v>36</v>
      </c>
      <c r="S7" s="518"/>
    </row>
    <row r="8" spans="2:19" x14ac:dyDescent="0.25">
      <c r="B8" s="498"/>
      <c r="C8" s="531"/>
      <c r="D8" s="531"/>
      <c r="E8" s="532"/>
      <c r="F8" s="275" t="s">
        <v>87</v>
      </c>
      <c r="G8" s="275" t="s">
        <v>88</v>
      </c>
      <c r="H8" s="275" t="s">
        <v>87</v>
      </c>
      <c r="I8" s="275" t="s">
        <v>88</v>
      </c>
      <c r="J8" s="275" t="s">
        <v>87</v>
      </c>
      <c r="K8" s="275" t="s">
        <v>88</v>
      </c>
      <c r="L8" s="275" t="s">
        <v>87</v>
      </c>
      <c r="M8" s="275" t="s">
        <v>88</v>
      </c>
      <c r="N8" s="275" t="s">
        <v>87</v>
      </c>
      <c r="O8" s="275" t="s">
        <v>88</v>
      </c>
      <c r="P8" s="275" t="s">
        <v>87</v>
      </c>
      <c r="Q8" s="275" t="s">
        <v>88</v>
      </c>
      <c r="R8" s="291" t="s">
        <v>87</v>
      </c>
      <c r="S8" s="291" t="s">
        <v>88</v>
      </c>
    </row>
    <row r="9" spans="2:19" x14ac:dyDescent="0.25">
      <c r="B9" s="522" t="s">
        <v>79</v>
      </c>
      <c r="C9" s="523"/>
      <c r="D9" s="523"/>
      <c r="E9" s="524"/>
      <c r="F9" s="382"/>
      <c r="G9" s="382"/>
      <c r="H9" s="382">
        <v>0</v>
      </c>
      <c r="I9" s="382">
        <v>0</v>
      </c>
      <c r="J9" s="382">
        <v>0</v>
      </c>
      <c r="K9" s="382">
        <v>0</v>
      </c>
      <c r="L9" s="382">
        <v>0</v>
      </c>
      <c r="M9" s="382">
        <v>0</v>
      </c>
      <c r="N9" s="382"/>
      <c r="O9" s="382"/>
      <c r="P9" s="382">
        <v>10</v>
      </c>
      <c r="Q9" s="382">
        <v>2</v>
      </c>
      <c r="R9" s="334">
        <v>10</v>
      </c>
      <c r="S9" s="334">
        <v>2</v>
      </c>
    </row>
    <row r="10" spans="2:19" x14ac:dyDescent="0.25">
      <c r="B10" s="522" t="s">
        <v>784</v>
      </c>
      <c r="C10" s="523"/>
      <c r="D10" s="523"/>
      <c r="E10" s="524"/>
      <c r="F10" s="382"/>
      <c r="G10" s="382"/>
      <c r="H10" s="382">
        <v>0</v>
      </c>
      <c r="I10" s="382">
        <v>0</v>
      </c>
      <c r="J10" s="382">
        <v>1</v>
      </c>
      <c r="K10" s="382">
        <v>2</v>
      </c>
      <c r="L10" s="382">
        <v>1</v>
      </c>
      <c r="M10" s="382">
        <v>5</v>
      </c>
      <c r="N10" s="382"/>
      <c r="O10" s="382"/>
      <c r="P10" s="382">
        <v>0</v>
      </c>
      <c r="Q10" s="382">
        <v>0</v>
      </c>
      <c r="R10" s="334">
        <v>2</v>
      </c>
      <c r="S10" s="334">
        <v>7</v>
      </c>
    </row>
    <row r="11" spans="2:19" ht="15" customHeight="1" x14ac:dyDescent="0.25">
      <c r="B11" s="522" t="s">
        <v>785</v>
      </c>
      <c r="C11" s="523"/>
      <c r="D11" s="523"/>
      <c r="E11" s="524"/>
      <c r="F11" s="382"/>
      <c r="G11" s="382"/>
      <c r="H11" s="382">
        <v>8</v>
      </c>
      <c r="I11" s="382">
        <v>2</v>
      </c>
      <c r="J11" s="382">
        <v>1036</v>
      </c>
      <c r="K11" s="382">
        <v>1579</v>
      </c>
      <c r="L11" s="382">
        <v>5824</v>
      </c>
      <c r="M11" s="382">
        <v>6569</v>
      </c>
      <c r="N11" s="382"/>
      <c r="O11" s="382"/>
      <c r="P11" s="382">
        <v>6</v>
      </c>
      <c r="Q11" s="382">
        <v>19</v>
      </c>
      <c r="R11" s="334">
        <v>6874</v>
      </c>
      <c r="S11" s="334">
        <v>8169</v>
      </c>
    </row>
    <row r="12" spans="2:19" x14ac:dyDescent="0.25">
      <c r="B12" s="522" t="s">
        <v>80</v>
      </c>
      <c r="C12" s="523"/>
      <c r="D12" s="523"/>
      <c r="E12" s="524"/>
      <c r="F12" s="382"/>
      <c r="G12" s="382"/>
      <c r="H12" s="382">
        <v>0</v>
      </c>
      <c r="I12" s="391"/>
      <c r="J12" s="382">
        <v>2</v>
      </c>
      <c r="K12" s="391"/>
      <c r="L12" s="382">
        <v>0</v>
      </c>
      <c r="M12" s="391"/>
      <c r="N12" s="382"/>
      <c r="O12" s="382"/>
      <c r="P12" s="382">
        <v>0</v>
      </c>
      <c r="Q12" s="391"/>
      <c r="R12" s="334">
        <v>2</v>
      </c>
      <c r="S12" s="334"/>
    </row>
    <row r="13" spans="2:19" x14ac:dyDescent="0.25">
      <c r="B13" s="522" t="s">
        <v>786</v>
      </c>
      <c r="C13" s="523"/>
      <c r="D13" s="523"/>
      <c r="E13" s="524"/>
      <c r="F13" s="382"/>
      <c r="G13" s="382"/>
      <c r="H13" s="382">
        <v>0</v>
      </c>
      <c r="I13" s="382">
        <v>0</v>
      </c>
      <c r="J13" s="382">
        <v>0</v>
      </c>
      <c r="K13" s="382">
        <v>0</v>
      </c>
      <c r="L13" s="382">
        <v>0</v>
      </c>
      <c r="M13" s="382">
        <v>0</v>
      </c>
      <c r="N13" s="382"/>
      <c r="O13" s="382"/>
      <c r="P13" s="382">
        <v>9</v>
      </c>
      <c r="Q13" s="382">
        <v>37</v>
      </c>
      <c r="R13" s="334">
        <v>9</v>
      </c>
      <c r="S13" s="334">
        <v>37</v>
      </c>
    </row>
    <row r="14" spans="2:19" x14ac:dyDescent="0.25">
      <c r="B14" s="522" t="s">
        <v>787</v>
      </c>
      <c r="C14" s="523"/>
      <c r="D14" s="523"/>
      <c r="E14" s="524"/>
      <c r="F14" s="382"/>
      <c r="G14" s="382"/>
      <c r="H14" s="382">
        <v>2</v>
      </c>
      <c r="I14" s="382">
        <v>2</v>
      </c>
      <c r="J14" s="382">
        <v>0</v>
      </c>
      <c r="K14" s="382">
        <v>0</v>
      </c>
      <c r="L14" s="382">
        <v>0</v>
      </c>
      <c r="M14" s="382">
        <v>0</v>
      </c>
      <c r="N14" s="382"/>
      <c r="O14" s="382"/>
      <c r="P14" s="382">
        <v>1</v>
      </c>
      <c r="Q14" s="382">
        <v>0</v>
      </c>
      <c r="R14" s="334">
        <v>3</v>
      </c>
      <c r="S14" s="334">
        <v>2</v>
      </c>
    </row>
    <row r="15" spans="2:19" ht="32.25" customHeight="1" x14ac:dyDescent="0.25">
      <c r="B15" s="522" t="s">
        <v>788</v>
      </c>
      <c r="C15" s="523"/>
      <c r="D15" s="523"/>
      <c r="E15" s="524"/>
      <c r="F15" s="382"/>
      <c r="G15" s="382"/>
      <c r="H15" s="382">
        <v>0</v>
      </c>
      <c r="I15" s="382">
        <v>0</v>
      </c>
      <c r="J15" s="382">
        <v>0</v>
      </c>
      <c r="K15" s="382">
        <v>61</v>
      </c>
      <c r="L15" s="382">
        <v>110</v>
      </c>
      <c r="M15" s="382">
        <v>114</v>
      </c>
      <c r="N15" s="382"/>
      <c r="O15" s="382"/>
      <c r="P15" s="382">
        <v>5</v>
      </c>
      <c r="Q15" s="382">
        <v>21</v>
      </c>
      <c r="R15" s="334">
        <v>115</v>
      </c>
      <c r="S15" s="334">
        <v>196</v>
      </c>
    </row>
    <row r="16" spans="2:19" ht="32.25" customHeight="1" x14ac:dyDescent="0.25">
      <c r="B16" s="522" t="s">
        <v>789</v>
      </c>
      <c r="C16" s="523"/>
      <c r="D16" s="523"/>
      <c r="E16" s="524"/>
      <c r="F16" s="382"/>
      <c r="G16" s="382"/>
      <c r="H16" s="382">
        <v>0</v>
      </c>
      <c r="I16" s="382">
        <v>0</v>
      </c>
      <c r="J16" s="382">
        <v>0</v>
      </c>
      <c r="K16" s="382">
        <v>0</v>
      </c>
      <c r="L16" s="382">
        <v>0</v>
      </c>
      <c r="M16" s="382">
        <v>0</v>
      </c>
      <c r="N16" s="382"/>
      <c r="O16" s="382"/>
      <c r="P16" s="382">
        <v>18</v>
      </c>
      <c r="Q16" s="382">
        <v>52</v>
      </c>
      <c r="R16" s="334">
        <v>18</v>
      </c>
      <c r="S16" s="334">
        <v>52</v>
      </c>
    </row>
    <row r="17" spans="2:19" ht="30" customHeight="1" x14ac:dyDescent="0.25">
      <c r="B17" s="522" t="s">
        <v>790</v>
      </c>
      <c r="C17" s="523"/>
      <c r="D17" s="523"/>
      <c r="E17" s="524"/>
      <c r="F17" s="382"/>
      <c r="G17" s="382"/>
      <c r="H17" s="382">
        <v>0</v>
      </c>
      <c r="I17" s="391"/>
      <c r="J17" s="382">
        <v>0</v>
      </c>
      <c r="K17" s="391"/>
      <c r="L17" s="382">
        <v>8</v>
      </c>
      <c r="M17" s="391"/>
      <c r="N17" s="382"/>
      <c r="O17" s="382"/>
      <c r="P17" s="382">
        <v>0</v>
      </c>
      <c r="Q17" s="391"/>
      <c r="R17" s="334">
        <v>8</v>
      </c>
      <c r="S17" s="334"/>
    </row>
    <row r="18" spans="2:19" x14ac:dyDescent="0.25">
      <c r="B18" s="522" t="s">
        <v>791</v>
      </c>
      <c r="C18" s="523"/>
      <c r="D18" s="523"/>
      <c r="E18" s="524"/>
      <c r="F18" s="382"/>
      <c r="G18" s="382"/>
      <c r="H18" s="382">
        <v>0</v>
      </c>
      <c r="I18" s="382">
        <v>0</v>
      </c>
      <c r="J18" s="382">
        <v>0</v>
      </c>
      <c r="K18" s="382">
        <v>0</v>
      </c>
      <c r="L18" s="382">
        <v>561</v>
      </c>
      <c r="M18" s="382">
        <v>257</v>
      </c>
      <c r="N18" s="382"/>
      <c r="O18" s="382"/>
      <c r="P18" s="382">
        <v>1</v>
      </c>
      <c r="Q18" s="382">
        <v>0</v>
      </c>
      <c r="R18" s="334">
        <v>562</v>
      </c>
      <c r="S18" s="334">
        <v>257</v>
      </c>
    </row>
    <row r="19" spans="2:19" x14ac:dyDescent="0.25">
      <c r="B19" s="522" t="s">
        <v>792</v>
      </c>
      <c r="C19" s="523"/>
      <c r="D19" s="523"/>
      <c r="E19" s="524"/>
      <c r="F19" s="382"/>
      <c r="G19" s="382"/>
      <c r="H19" s="382">
        <v>0</v>
      </c>
      <c r="I19" s="382">
        <v>0</v>
      </c>
      <c r="J19" s="382">
        <v>2</v>
      </c>
      <c r="K19" s="382">
        <v>0</v>
      </c>
      <c r="L19" s="382">
        <v>226</v>
      </c>
      <c r="M19" s="382">
        <v>3</v>
      </c>
      <c r="N19" s="382"/>
      <c r="O19" s="382"/>
      <c r="P19" s="382">
        <v>0</v>
      </c>
      <c r="Q19" s="382">
        <v>0</v>
      </c>
      <c r="R19" s="334">
        <v>228</v>
      </c>
      <c r="S19" s="334">
        <v>3</v>
      </c>
    </row>
    <row r="20" spans="2:19" x14ac:dyDescent="0.25">
      <c r="B20" s="522" t="s">
        <v>793</v>
      </c>
      <c r="C20" s="523"/>
      <c r="D20" s="523"/>
      <c r="E20" s="524"/>
      <c r="F20" s="382"/>
      <c r="G20" s="382"/>
      <c r="H20" s="382">
        <v>0</v>
      </c>
      <c r="I20" s="382">
        <v>0</v>
      </c>
      <c r="J20" s="382">
        <v>64</v>
      </c>
      <c r="K20" s="382">
        <v>4</v>
      </c>
      <c r="L20" s="382">
        <v>0</v>
      </c>
      <c r="M20" s="382">
        <v>0</v>
      </c>
      <c r="N20" s="382"/>
      <c r="O20" s="382"/>
      <c r="P20" s="382">
        <v>0</v>
      </c>
      <c r="Q20" s="382">
        <v>0</v>
      </c>
      <c r="R20" s="334">
        <v>64</v>
      </c>
      <c r="S20" s="334">
        <v>4</v>
      </c>
    </row>
    <row r="21" spans="2:19" x14ac:dyDescent="0.25">
      <c r="B21" s="522" t="s">
        <v>795</v>
      </c>
      <c r="C21" s="523"/>
      <c r="D21" s="523"/>
      <c r="E21" s="524"/>
      <c r="F21" s="382"/>
      <c r="G21" s="382"/>
      <c r="H21" s="382"/>
      <c r="I21" s="382">
        <v>0</v>
      </c>
      <c r="J21" s="382"/>
      <c r="K21" s="382">
        <v>0</v>
      </c>
      <c r="L21" s="382"/>
      <c r="M21" s="382">
        <v>0</v>
      </c>
      <c r="N21" s="382"/>
      <c r="O21" s="382"/>
      <c r="P21" s="382"/>
      <c r="Q21" s="382">
        <v>3</v>
      </c>
      <c r="R21" s="334"/>
      <c r="S21" s="334">
        <v>3</v>
      </c>
    </row>
    <row r="22" spans="2:19" x14ac:dyDescent="0.25">
      <c r="B22" s="522" t="s">
        <v>794</v>
      </c>
      <c r="C22" s="523"/>
      <c r="D22" s="523"/>
      <c r="E22" s="524"/>
      <c r="F22" s="382"/>
      <c r="G22" s="382"/>
      <c r="H22" s="382">
        <v>0</v>
      </c>
      <c r="I22" s="382">
        <v>0</v>
      </c>
      <c r="J22" s="382">
        <v>1</v>
      </c>
      <c r="K22" s="382">
        <v>18</v>
      </c>
      <c r="L22" s="382">
        <v>0</v>
      </c>
      <c r="M22" s="382">
        <v>0</v>
      </c>
      <c r="N22" s="382"/>
      <c r="O22" s="382"/>
      <c r="P22" s="382">
        <v>0</v>
      </c>
      <c r="Q22" s="382">
        <v>0</v>
      </c>
      <c r="R22" s="334">
        <v>1</v>
      </c>
      <c r="S22" s="334">
        <v>18</v>
      </c>
    </row>
    <row r="23" spans="2:19" ht="30" customHeight="1" x14ac:dyDescent="0.25">
      <c r="B23" s="522" t="s">
        <v>796</v>
      </c>
      <c r="C23" s="523"/>
      <c r="D23" s="523"/>
      <c r="E23" s="524"/>
      <c r="F23" s="382"/>
      <c r="G23" s="382"/>
      <c r="H23" s="382">
        <v>0</v>
      </c>
      <c r="I23" s="382">
        <v>0</v>
      </c>
      <c r="J23" s="382">
        <v>1</v>
      </c>
      <c r="K23" s="382">
        <v>0</v>
      </c>
      <c r="L23" s="382">
        <v>1</v>
      </c>
      <c r="M23" s="382">
        <v>0</v>
      </c>
      <c r="N23" s="382"/>
      <c r="O23" s="382"/>
      <c r="P23" s="382">
        <v>3</v>
      </c>
      <c r="Q23" s="382">
        <v>5</v>
      </c>
      <c r="R23" s="334">
        <v>5</v>
      </c>
      <c r="S23" s="334">
        <v>5</v>
      </c>
    </row>
    <row r="24" spans="2:19" x14ac:dyDescent="0.25">
      <c r="B24" s="535" t="s">
        <v>36</v>
      </c>
      <c r="C24" s="536"/>
      <c r="D24" s="536"/>
      <c r="E24" s="537"/>
      <c r="F24" s="340"/>
      <c r="G24" s="340"/>
      <c r="H24" s="340">
        <v>10</v>
      </c>
      <c r="I24" s="340">
        <v>4</v>
      </c>
      <c r="J24" s="340">
        <v>1107</v>
      </c>
      <c r="K24" s="340">
        <v>1664</v>
      </c>
      <c r="L24" s="340">
        <v>6731</v>
      </c>
      <c r="M24" s="340">
        <v>6948</v>
      </c>
      <c r="N24" s="340"/>
      <c r="O24" s="340"/>
      <c r="P24" s="340">
        <v>53</v>
      </c>
      <c r="Q24" s="340">
        <v>139</v>
      </c>
      <c r="R24" s="340">
        <v>7901</v>
      </c>
      <c r="S24" s="340">
        <v>8755</v>
      </c>
    </row>
    <row r="25" spans="2:19" ht="30.75" customHeight="1" x14ac:dyDescent="0.25">
      <c r="B25" s="483" t="s">
        <v>995</v>
      </c>
      <c r="C25" s="483"/>
      <c r="D25" s="483"/>
      <c r="E25" s="483"/>
      <c r="F25" s="483"/>
      <c r="G25" s="483"/>
      <c r="H25" s="483"/>
      <c r="I25" s="483"/>
      <c r="J25" s="483"/>
      <c r="K25" s="483"/>
      <c r="L25" s="483"/>
      <c r="M25" s="483"/>
      <c r="N25" s="483"/>
      <c r="O25" s="483"/>
      <c r="P25" s="483"/>
      <c r="Q25" s="483"/>
      <c r="R25" s="483"/>
      <c r="S25" s="483"/>
    </row>
    <row r="27" spans="2:19" ht="18.75" x14ac:dyDescent="0.3">
      <c r="B27" s="519" t="s">
        <v>985</v>
      </c>
      <c r="C27" s="519"/>
      <c r="D27" s="519"/>
      <c r="E27" s="519"/>
      <c r="F27" s="519"/>
      <c r="G27" s="519"/>
      <c r="H27" s="519"/>
      <c r="I27" s="294"/>
      <c r="J27" s="294"/>
    </row>
    <row r="28" spans="2:19" x14ac:dyDescent="0.25">
      <c r="B28" s="31" t="s">
        <v>560</v>
      </c>
      <c r="C28" s="31"/>
      <c r="D28" s="31"/>
      <c r="E28" s="31"/>
      <c r="F28" s="31"/>
      <c r="G28" s="31"/>
      <c r="H28" s="31"/>
      <c r="I28" s="31"/>
      <c r="J28" s="31"/>
    </row>
    <row r="29" spans="2:19" x14ac:dyDescent="0.25">
      <c r="B29" s="3"/>
      <c r="C29" s="3"/>
      <c r="D29" s="3"/>
      <c r="E29" s="3"/>
      <c r="F29" s="3"/>
      <c r="G29" s="3"/>
      <c r="H29" s="3"/>
      <c r="I29" s="3"/>
      <c r="J29" s="3"/>
    </row>
    <row r="30" spans="2:19" x14ac:dyDescent="0.25">
      <c r="B30" s="496" t="s">
        <v>78</v>
      </c>
      <c r="C30" s="529"/>
      <c r="D30" s="529"/>
      <c r="E30" s="530"/>
      <c r="F30" s="520" t="s">
        <v>3</v>
      </c>
      <c r="G30" s="540"/>
      <c r="H30" s="520" t="s">
        <v>4</v>
      </c>
      <c r="I30" s="540"/>
      <c r="J30" s="520" t="s">
        <v>714</v>
      </c>
      <c r="K30" s="521"/>
      <c r="L30" s="520" t="s">
        <v>501</v>
      </c>
      <c r="M30" s="521"/>
      <c r="N30" s="538" t="s">
        <v>5</v>
      </c>
      <c r="O30" s="539"/>
      <c r="P30" s="520" t="s">
        <v>6</v>
      </c>
      <c r="Q30" s="540"/>
      <c r="R30" s="518" t="s">
        <v>36</v>
      </c>
      <c r="S30" s="518"/>
    </row>
    <row r="31" spans="2:19" x14ac:dyDescent="0.25">
      <c r="B31" s="498"/>
      <c r="C31" s="531"/>
      <c r="D31" s="531"/>
      <c r="E31" s="532"/>
      <c r="F31" s="259" t="s">
        <v>87</v>
      </c>
      <c r="G31" s="259" t="s">
        <v>88</v>
      </c>
      <c r="H31" s="259" t="s">
        <v>87</v>
      </c>
      <c r="I31" s="259" t="s">
        <v>88</v>
      </c>
      <c r="J31" s="259" t="s">
        <v>87</v>
      </c>
      <c r="K31" s="259" t="s">
        <v>88</v>
      </c>
      <c r="L31" s="259" t="s">
        <v>87</v>
      </c>
      <c r="M31" s="259" t="s">
        <v>88</v>
      </c>
      <c r="N31" s="259" t="s">
        <v>87</v>
      </c>
      <c r="O31" s="259" t="s">
        <v>88</v>
      </c>
      <c r="P31" s="259" t="s">
        <v>87</v>
      </c>
      <c r="Q31" s="259" t="s">
        <v>88</v>
      </c>
      <c r="R31" s="291" t="s">
        <v>87</v>
      </c>
      <c r="S31" s="291" t="s">
        <v>88</v>
      </c>
    </row>
    <row r="32" spans="2:19" x14ac:dyDescent="0.25">
      <c r="B32" s="522" t="s">
        <v>79</v>
      </c>
      <c r="C32" s="523"/>
      <c r="D32" s="523"/>
      <c r="E32" s="524"/>
      <c r="F32" s="392">
        <v>0</v>
      </c>
      <c r="G32" s="392">
        <v>0</v>
      </c>
      <c r="H32" s="392">
        <v>0</v>
      </c>
      <c r="I32" s="392">
        <v>0</v>
      </c>
      <c r="J32" s="392">
        <v>0</v>
      </c>
      <c r="K32" s="392">
        <v>0</v>
      </c>
      <c r="L32" s="392">
        <v>0</v>
      </c>
      <c r="M32" s="392">
        <v>0</v>
      </c>
      <c r="N32" s="392">
        <v>0</v>
      </c>
      <c r="O32" s="392">
        <v>0</v>
      </c>
      <c r="P32" s="392">
        <v>97</v>
      </c>
      <c r="Q32" s="392">
        <v>30</v>
      </c>
      <c r="R32" s="393">
        <v>97</v>
      </c>
      <c r="S32" s="393">
        <v>30</v>
      </c>
    </row>
    <row r="33" spans="2:19" x14ac:dyDescent="0.25">
      <c r="B33" s="522" t="s">
        <v>784</v>
      </c>
      <c r="C33" s="523"/>
      <c r="D33" s="523"/>
      <c r="E33" s="524"/>
      <c r="F33" s="392">
        <v>99</v>
      </c>
      <c r="G33" s="392">
        <v>46</v>
      </c>
      <c r="H33" s="392">
        <v>0</v>
      </c>
      <c r="I33" s="392">
        <v>0</v>
      </c>
      <c r="J33" s="392">
        <v>850</v>
      </c>
      <c r="K33" s="392">
        <v>410</v>
      </c>
      <c r="L33" s="392">
        <v>825</v>
      </c>
      <c r="M33" s="392">
        <v>715</v>
      </c>
      <c r="N33" s="392">
        <v>142</v>
      </c>
      <c r="O33" s="392">
        <v>103</v>
      </c>
      <c r="P33" s="392">
        <v>0</v>
      </c>
      <c r="Q33" s="392">
        <v>0</v>
      </c>
      <c r="R33" s="393">
        <v>1916</v>
      </c>
      <c r="S33" s="393">
        <v>1274</v>
      </c>
    </row>
    <row r="34" spans="2:19" ht="31.5" customHeight="1" x14ac:dyDescent="0.25">
      <c r="B34" s="522" t="s">
        <v>797</v>
      </c>
      <c r="C34" s="523"/>
      <c r="D34" s="523"/>
      <c r="E34" s="524"/>
      <c r="F34" s="392">
        <v>22</v>
      </c>
      <c r="G34" s="392">
        <v>3</v>
      </c>
      <c r="H34" s="392">
        <v>0</v>
      </c>
      <c r="I34" s="392">
        <v>0</v>
      </c>
      <c r="J34" s="392">
        <v>134</v>
      </c>
      <c r="K34" s="392">
        <v>73</v>
      </c>
      <c r="L34" s="392">
        <v>229</v>
      </c>
      <c r="M34" s="392">
        <v>153</v>
      </c>
      <c r="N34" s="392">
        <v>37</v>
      </c>
      <c r="O34" s="392">
        <v>15</v>
      </c>
      <c r="P34" s="392">
        <v>0</v>
      </c>
      <c r="Q34" s="392">
        <v>0</v>
      </c>
      <c r="R34" s="393">
        <v>422</v>
      </c>
      <c r="S34" s="393">
        <v>244</v>
      </c>
    </row>
    <row r="35" spans="2:19" ht="33" customHeight="1" x14ac:dyDescent="0.25">
      <c r="B35" s="522" t="s">
        <v>798</v>
      </c>
      <c r="C35" s="523"/>
      <c r="D35" s="523"/>
      <c r="E35" s="524"/>
      <c r="F35" s="392">
        <v>0</v>
      </c>
      <c r="G35" s="392">
        <v>0</v>
      </c>
      <c r="H35" s="392">
        <v>112</v>
      </c>
      <c r="I35" s="392">
        <v>61</v>
      </c>
      <c r="J35" s="392">
        <v>1</v>
      </c>
      <c r="K35" s="392">
        <v>0</v>
      </c>
      <c r="L35" s="392">
        <v>0</v>
      </c>
      <c r="M35" s="392">
        <v>0</v>
      </c>
      <c r="N35" s="392">
        <v>0</v>
      </c>
      <c r="O35" s="392">
        <v>0</v>
      </c>
      <c r="P35" s="392">
        <v>30</v>
      </c>
      <c r="Q35" s="392">
        <v>28</v>
      </c>
      <c r="R35" s="393">
        <v>143</v>
      </c>
      <c r="S35" s="393">
        <v>89</v>
      </c>
    </row>
    <row r="36" spans="2:19" x14ac:dyDescent="0.25">
      <c r="B36" s="522" t="s">
        <v>785</v>
      </c>
      <c r="C36" s="523"/>
      <c r="D36" s="523"/>
      <c r="E36" s="524"/>
      <c r="F36" s="392">
        <v>191</v>
      </c>
      <c r="G36" s="392">
        <v>17</v>
      </c>
      <c r="H36" s="392">
        <v>54</v>
      </c>
      <c r="I36" s="392">
        <v>6</v>
      </c>
      <c r="J36" s="392">
        <v>3805</v>
      </c>
      <c r="K36" s="392">
        <v>2732</v>
      </c>
      <c r="L36" s="392">
        <v>32928</v>
      </c>
      <c r="M36" s="392">
        <v>36906</v>
      </c>
      <c r="N36" s="392">
        <v>534</v>
      </c>
      <c r="O36" s="392">
        <v>310</v>
      </c>
      <c r="P36" s="392">
        <v>42</v>
      </c>
      <c r="Q36" s="392">
        <v>104</v>
      </c>
      <c r="R36" s="393">
        <v>37554</v>
      </c>
      <c r="S36" s="393">
        <v>40075</v>
      </c>
    </row>
    <row r="37" spans="2:19" x14ac:dyDescent="0.25">
      <c r="B37" s="522" t="s">
        <v>80</v>
      </c>
      <c r="C37" s="523"/>
      <c r="D37" s="523"/>
      <c r="E37" s="524"/>
      <c r="F37" s="392">
        <v>0</v>
      </c>
      <c r="G37" s="392">
        <v>1</v>
      </c>
      <c r="H37" s="392">
        <v>4</v>
      </c>
      <c r="I37" s="392">
        <v>3</v>
      </c>
      <c r="J37" s="392">
        <v>53</v>
      </c>
      <c r="K37" s="392">
        <v>26</v>
      </c>
      <c r="L37" s="392">
        <v>958</v>
      </c>
      <c r="M37" s="392">
        <v>1078</v>
      </c>
      <c r="N37" s="392">
        <v>6</v>
      </c>
      <c r="O37" s="392">
        <v>1</v>
      </c>
      <c r="P37" s="392">
        <v>2</v>
      </c>
      <c r="Q37" s="392">
        <v>7</v>
      </c>
      <c r="R37" s="393">
        <v>1023</v>
      </c>
      <c r="S37" s="393">
        <v>1116</v>
      </c>
    </row>
    <row r="38" spans="2:19" x14ac:dyDescent="0.25">
      <c r="B38" s="522" t="s">
        <v>786</v>
      </c>
      <c r="C38" s="523"/>
      <c r="D38" s="523"/>
      <c r="E38" s="524"/>
      <c r="F38" s="392">
        <v>0</v>
      </c>
      <c r="G38" s="392">
        <v>0</v>
      </c>
      <c r="H38" s="392">
        <v>1</v>
      </c>
      <c r="I38" s="392">
        <v>0</v>
      </c>
      <c r="J38" s="392">
        <v>0</v>
      </c>
      <c r="K38" s="392">
        <v>1</v>
      </c>
      <c r="L38" s="392">
        <v>34</v>
      </c>
      <c r="M38" s="392">
        <v>89</v>
      </c>
      <c r="N38" s="392">
        <v>14</v>
      </c>
      <c r="O38" s="392">
        <v>9</v>
      </c>
      <c r="P38" s="392">
        <v>337</v>
      </c>
      <c r="Q38" s="392">
        <v>319</v>
      </c>
      <c r="R38" s="393">
        <v>386</v>
      </c>
      <c r="S38" s="393">
        <v>418</v>
      </c>
    </row>
    <row r="39" spans="2:19" x14ac:dyDescent="0.25">
      <c r="B39" s="522" t="s">
        <v>787</v>
      </c>
      <c r="C39" s="523"/>
      <c r="D39" s="523"/>
      <c r="E39" s="524"/>
      <c r="F39" s="392">
        <v>0</v>
      </c>
      <c r="G39" s="392">
        <v>0</v>
      </c>
      <c r="H39" s="392">
        <v>4730</v>
      </c>
      <c r="I39" s="392">
        <v>1228</v>
      </c>
      <c r="J39" s="392">
        <v>0</v>
      </c>
      <c r="K39" s="392">
        <v>0</v>
      </c>
      <c r="L39" s="392">
        <v>0</v>
      </c>
      <c r="M39" s="392">
        <v>0</v>
      </c>
      <c r="N39" s="392">
        <v>0</v>
      </c>
      <c r="O39" s="392">
        <v>0</v>
      </c>
      <c r="P39" s="392">
        <v>143</v>
      </c>
      <c r="Q39" s="392">
        <v>7</v>
      </c>
      <c r="R39" s="393">
        <v>4873</v>
      </c>
      <c r="S39" s="393">
        <v>1235</v>
      </c>
    </row>
    <row r="40" spans="2:19" ht="30" customHeight="1" x14ac:dyDescent="0.25">
      <c r="B40" s="522" t="s">
        <v>788</v>
      </c>
      <c r="C40" s="523"/>
      <c r="D40" s="523"/>
      <c r="E40" s="524"/>
      <c r="F40" s="392">
        <v>0</v>
      </c>
      <c r="G40" s="392">
        <v>0</v>
      </c>
      <c r="H40" s="392">
        <v>0</v>
      </c>
      <c r="I40" s="392">
        <v>0</v>
      </c>
      <c r="J40" s="392">
        <v>1</v>
      </c>
      <c r="K40" s="392">
        <v>158</v>
      </c>
      <c r="L40" s="392">
        <v>2396</v>
      </c>
      <c r="M40" s="392">
        <v>4789</v>
      </c>
      <c r="N40" s="392">
        <v>11</v>
      </c>
      <c r="O40" s="392">
        <v>8</v>
      </c>
      <c r="P40" s="392">
        <v>26</v>
      </c>
      <c r="Q40" s="392">
        <v>94</v>
      </c>
      <c r="R40" s="393">
        <v>2434</v>
      </c>
      <c r="S40" s="393">
        <v>5049</v>
      </c>
    </row>
    <row r="41" spans="2:19" ht="32.25" customHeight="1" x14ac:dyDescent="0.25">
      <c r="B41" s="522" t="s">
        <v>789</v>
      </c>
      <c r="C41" s="523"/>
      <c r="D41" s="523"/>
      <c r="E41" s="524"/>
      <c r="F41" s="392">
        <v>0</v>
      </c>
      <c r="G41" s="392">
        <v>0</v>
      </c>
      <c r="H41" s="392">
        <v>0</v>
      </c>
      <c r="I41" s="392">
        <v>0</v>
      </c>
      <c r="J41" s="392">
        <v>0</v>
      </c>
      <c r="K41" s="392">
        <v>0</v>
      </c>
      <c r="L41" s="392">
        <v>0</v>
      </c>
      <c r="M41" s="392">
        <v>0</v>
      </c>
      <c r="N41" s="392">
        <v>0</v>
      </c>
      <c r="O41" s="392">
        <v>0</v>
      </c>
      <c r="P41" s="392">
        <v>240</v>
      </c>
      <c r="Q41" s="392">
        <v>589</v>
      </c>
      <c r="R41" s="393">
        <v>240</v>
      </c>
      <c r="S41" s="393">
        <v>589</v>
      </c>
    </row>
    <row r="42" spans="2:19" ht="31.5" customHeight="1" x14ac:dyDescent="0.25">
      <c r="B42" s="522" t="s">
        <v>790</v>
      </c>
      <c r="C42" s="523"/>
      <c r="D42" s="523"/>
      <c r="E42" s="524"/>
      <c r="F42" s="392">
        <v>0</v>
      </c>
      <c r="G42" s="392">
        <v>0</v>
      </c>
      <c r="H42" s="392">
        <v>0</v>
      </c>
      <c r="I42" s="392">
        <v>0</v>
      </c>
      <c r="J42" s="392">
        <v>1</v>
      </c>
      <c r="K42" s="392">
        <v>0</v>
      </c>
      <c r="L42" s="392">
        <v>27</v>
      </c>
      <c r="M42" s="392">
        <v>1</v>
      </c>
      <c r="N42" s="392">
        <v>1</v>
      </c>
      <c r="O42" s="392">
        <v>0</v>
      </c>
      <c r="P42" s="392">
        <v>1</v>
      </c>
      <c r="Q42" s="392">
        <v>0</v>
      </c>
      <c r="R42" s="393">
        <v>30</v>
      </c>
      <c r="S42" s="393">
        <v>1</v>
      </c>
    </row>
    <row r="43" spans="2:19" x14ac:dyDescent="0.25">
      <c r="B43" s="522" t="s">
        <v>791</v>
      </c>
      <c r="C43" s="523"/>
      <c r="D43" s="523"/>
      <c r="E43" s="524"/>
      <c r="F43" s="392">
        <v>0</v>
      </c>
      <c r="G43" s="392">
        <v>0</v>
      </c>
      <c r="H43" s="392">
        <v>0</v>
      </c>
      <c r="I43" s="392">
        <v>0</v>
      </c>
      <c r="J43" s="392">
        <v>0</v>
      </c>
      <c r="K43" s="392">
        <v>0</v>
      </c>
      <c r="L43" s="392">
        <v>637</v>
      </c>
      <c r="M43" s="392">
        <v>272</v>
      </c>
      <c r="N43" s="392">
        <v>60</v>
      </c>
      <c r="O43" s="392">
        <v>7</v>
      </c>
      <c r="P43" s="392">
        <v>3</v>
      </c>
      <c r="Q43" s="392">
        <v>1</v>
      </c>
      <c r="R43" s="393">
        <v>700</v>
      </c>
      <c r="S43" s="393">
        <v>280</v>
      </c>
    </row>
    <row r="44" spans="2:19" x14ac:dyDescent="0.25">
      <c r="B44" s="522" t="s">
        <v>799</v>
      </c>
      <c r="C44" s="523"/>
      <c r="D44" s="523"/>
      <c r="E44" s="524"/>
      <c r="F44" s="392">
        <v>4</v>
      </c>
      <c r="G44" s="392">
        <v>4</v>
      </c>
      <c r="H44" s="392">
        <v>1</v>
      </c>
      <c r="I44" s="392">
        <v>1</v>
      </c>
      <c r="J44" s="392">
        <v>0</v>
      </c>
      <c r="K44" s="392">
        <v>0</v>
      </c>
      <c r="L44" s="392">
        <v>0</v>
      </c>
      <c r="M44" s="392">
        <v>1</v>
      </c>
      <c r="N44" s="392">
        <v>0</v>
      </c>
      <c r="O44" s="392">
        <v>0</v>
      </c>
      <c r="P44" s="392">
        <v>0</v>
      </c>
      <c r="Q44" s="392">
        <v>0</v>
      </c>
      <c r="R44" s="393">
        <v>5</v>
      </c>
      <c r="S44" s="393">
        <v>6</v>
      </c>
    </row>
    <row r="45" spans="2:19" x14ac:dyDescent="0.25">
      <c r="B45" s="522" t="s">
        <v>792</v>
      </c>
      <c r="C45" s="523"/>
      <c r="D45" s="523"/>
      <c r="E45" s="524"/>
      <c r="F45" s="392">
        <v>0</v>
      </c>
      <c r="G45" s="392">
        <v>0</v>
      </c>
      <c r="H45" s="392">
        <v>0</v>
      </c>
      <c r="I45" s="392">
        <v>0</v>
      </c>
      <c r="J45" s="392">
        <v>3</v>
      </c>
      <c r="K45" s="392">
        <v>0</v>
      </c>
      <c r="L45" s="392">
        <v>773</v>
      </c>
      <c r="M45" s="392">
        <v>1778</v>
      </c>
      <c r="N45" s="392">
        <v>3</v>
      </c>
      <c r="O45" s="392">
        <v>18</v>
      </c>
      <c r="P45" s="392">
        <v>0</v>
      </c>
      <c r="Q45" s="392">
        <v>0</v>
      </c>
      <c r="R45" s="393">
        <v>779</v>
      </c>
      <c r="S45" s="393">
        <v>1796</v>
      </c>
    </row>
    <row r="46" spans="2:19" x14ac:dyDescent="0.25">
      <c r="B46" s="522" t="s">
        <v>793</v>
      </c>
      <c r="C46" s="523"/>
      <c r="D46" s="523"/>
      <c r="E46" s="524"/>
      <c r="F46" s="392">
        <v>0</v>
      </c>
      <c r="G46" s="392">
        <v>0</v>
      </c>
      <c r="H46" s="392">
        <v>2</v>
      </c>
      <c r="I46" s="392">
        <v>1</v>
      </c>
      <c r="J46" s="392">
        <v>122</v>
      </c>
      <c r="K46" s="392">
        <v>126</v>
      </c>
      <c r="L46" s="392">
        <v>19</v>
      </c>
      <c r="M46" s="392">
        <v>14</v>
      </c>
      <c r="N46" s="392">
        <v>0</v>
      </c>
      <c r="O46" s="392">
        <v>0</v>
      </c>
      <c r="P46" s="392">
        <v>0</v>
      </c>
      <c r="Q46" s="392">
        <v>0</v>
      </c>
      <c r="R46" s="393">
        <v>143</v>
      </c>
      <c r="S46" s="393">
        <v>141</v>
      </c>
    </row>
    <row r="47" spans="2:19" ht="29.25" customHeight="1" x14ac:dyDescent="0.25">
      <c r="B47" s="522" t="s">
        <v>800</v>
      </c>
      <c r="C47" s="523"/>
      <c r="D47" s="523"/>
      <c r="E47" s="524"/>
      <c r="F47" s="392">
        <v>0</v>
      </c>
      <c r="G47" s="392">
        <v>0</v>
      </c>
      <c r="H47" s="392">
        <v>0</v>
      </c>
      <c r="I47" s="392">
        <v>0</v>
      </c>
      <c r="J47" s="392">
        <v>0</v>
      </c>
      <c r="K47" s="392">
        <v>0</v>
      </c>
      <c r="L47" s="392">
        <v>1</v>
      </c>
      <c r="M47" s="392">
        <v>3</v>
      </c>
      <c r="N47" s="392">
        <v>0</v>
      </c>
      <c r="O47" s="392">
        <v>0</v>
      </c>
      <c r="P47" s="392">
        <v>3</v>
      </c>
      <c r="Q47" s="392">
        <v>4</v>
      </c>
      <c r="R47" s="393">
        <v>4</v>
      </c>
      <c r="S47" s="393">
        <v>7</v>
      </c>
    </row>
    <row r="48" spans="2:19" ht="30" customHeight="1" x14ac:dyDescent="0.25">
      <c r="B48" s="522" t="s">
        <v>801</v>
      </c>
      <c r="C48" s="523"/>
      <c r="D48" s="523"/>
      <c r="E48" s="524"/>
      <c r="F48" s="392">
        <v>0</v>
      </c>
      <c r="G48" s="392">
        <v>0</v>
      </c>
      <c r="H48" s="392">
        <v>0</v>
      </c>
      <c r="I48" s="392">
        <v>0</v>
      </c>
      <c r="J48" s="392">
        <v>0</v>
      </c>
      <c r="K48" s="392">
        <v>0</v>
      </c>
      <c r="L48" s="392">
        <v>0</v>
      </c>
      <c r="M48" s="392">
        <v>0</v>
      </c>
      <c r="N48" s="392">
        <v>0</v>
      </c>
      <c r="O48" s="392">
        <v>0</v>
      </c>
      <c r="P48" s="392">
        <v>4</v>
      </c>
      <c r="Q48" s="392">
        <v>1</v>
      </c>
      <c r="R48" s="393">
        <v>4</v>
      </c>
      <c r="S48" s="393">
        <v>1</v>
      </c>
    </row>
    <row r="49" spans="2:19" x14ac:dyDescent="0.25">
      <c r="B49" s="522" t="s">
        <v>795</v>
      </c>
      <c r="C49" s="523"/>
      <c r="D49" s="523"/>
      <c r="E49" s="524"/>
      <c r="F49" s="392">
        <v>0</v>
      </c>
      <c r="G49" s="392">
        <v>0</v>
      </c>
      <c r="H49" s="392">
        <v>0</v>
      </c>
      <c r="I49" s="392">
        <v>0</v>
      </c>
      <c r="J49" s="392">
        <v>0</v>
      </c>
      <c r="K49" s="392">
        <v>0</v>
      </c>
      <c r="L49" s="392">
        <v>2</v>
      </c>
      <c r="M49" s="392">
        <v>7</v>
      </c>
      <c r="N49" s="392">
        <v>30</v>
      </c>
      <c r="O49" s="392">
        <v>59</v>
      </c>
      <c r="P49" s="392">
        <v>1</v>
      </c>
      <c r="Q49" s="392">
        <v>8</v>
      </c>
      <c r="R49" s="393">
        <v>33</v>
      </c>
      <c r="S49" s="393">
        <v>74</v>
      </c>
    </row>
    <row r="50" spans="2:19" x14ac:dyDescent="0.25">
      <c r="B50" s="522" t="s">
        <v>802</v>
      </c>
      <c r="C50" s="523"/>
      <c r="D50" s="523"/>
      <c r="E50" s="524"/>
      <c r="F50" s="390"/>
      <c r="G50" s="390">
        <v>0</v>
      </c>
      <c r="H50" s="390"/>
      <c r="I50" s="390">
        <v>0</v>
      </c>
      <c r="J50" s="390"/>
      <c r="K50" s="390">
        <v>0</v>
      </c>
      <c r="L50" s="390"/>
      <c r="M50" s="390">
        <v>2</v>
      </c>
      <c r="N50" s="390"/>
      <c r="O50" s="390">
        <v>0</v>
      </c>
      <c r="P50" s="390"/>
      <c r="Q50" s="392">
        <v>0</v>
      </c>
      <c r="R50" s="333"/>
      <c r="S50" s="393">
        <v>2</v>
      </c>
    </row>
    <row r="51" spans="2:19" x14ac:dyDescent="0.25">
      <c r="B51" s="522" t="s">
        <v>794</v>
      </c>
      <c r="C51" s="523"/>
      <c r="D51" s="523"/>
      <c r="E51" s="524"/>
      <c r="F51" s="392">
        <v>0</v>
      </c>
      <c r="G51" s="392">
        <v>0</v>
      </c>
      <c r="H51" s="392">
        <v>2</v>
      </c>
      <c r="I51" s="392">
        <v>0</v>
      </c>
      <c r="J51" s="392">
        <v>5</v>
      </c>
      <c r="K51" s="392">
        <v>28</v>
      </c>
      <c r="L51" s="392">
        <v>0</v>
      </c>
      <c r="M51" s="392">
        <v>0</v>
      </c>
      <c r="N51" s="392">
        <v>0</v>
      </c>
      <c r="O51" s="392">
        <v>0</v>
      </c>
      <c r="P51" s="392">
        <v>0</v>
      </c>
      <c r="Q51" s="392">
        <v>0</v>
      </c>
      <c r="R51" s="393">
        <v>7</v>
      </c>
      <c r="S51" s="393">
        <v>28</v>
      </c>
    </row>
    <row r="52" spans="2:19" ht="28.5" customHeight="1" x14ac:dyDescent="0.25">
      <c r="B52" s="522" t="s">
        <v>796</v>
      </c>
      <c r="C52" s="523"/>
      <c r="D52" s="523"/>
      <c r="E52" s="524"/>
      <c r="F52" s="392">
        <v>0</v>
      </c>
      <c r="G52" s="392">
        <v>0</v>
      </c>
      <c r="H52" s="392">
        <v>0</v>
      </c>
      <c r="I52" s="392">
        <v>0</v>
      </c>
      <c r="J52" s="392">
        <v>4</v>
      </c>
      <c r="K52" s="392">
        <v>0</v>
      </c>
      <c r="L52" s="392">
        <v>15</v>
      </c>
      <c r="M52" s="392">
        <v>6</v>
      </c>
      <c r="N52" s="392">
        <v>13</v>
      </c>
      <c r="O52" s="392">
        <v>30</v>
      </c>
      <c r="P52" s="392">
        <v>7</v>
      </c>
      <c r="Q52" s="392">
        <v>16</v>
      </c>
      <c r="R52" s="393">
        <v>39</v>
      </c>
      <c r="S52" s="393">
        <v>52</v>
      </c>
    </row>
    <row r="53" spans="2:19" x14ac:dyDescent="0.25">
      <c r="B53" s="522" t="s">
        <v>803</v>
      </c>
      <c r="C53" s="523"/>
      <c r="D53" s="523"/>
      <c r="E53" s="524"/>
      <c r="F53" s="392">
        <v>0</v>
      </c>
      <c r="G53" s="392">
        <v>0</v>
      </c>
      <c r="H53" s="392">
        <v>0</v>
      </c>
      <c r="I53" s="392">
        <v>0</v>
      </c>
      <c r="J53" s="392">
        <v>0</v>
      </c>
      <c r="K53" s="392">
        <v>0</v>
      </c>
      <c r="L53" s="392">
        <v>8</v>
      </c>
      <c r="M53" s="392">
        <v>44</v>
      </c>
      <c r="N53" s="392">
        <v>0</v>
      </c>
      <c r="O53" s="392">
        <v>0</v>
      </c>
      <c r="P53" s="392">
        <v>0</v>
      </c>
      <c r="Q53" s="392">
        <v>0</v>
      </c>
      <c r="R53" s="393">
        <v>8</v>
      </c>
      <c r="S53" s="393">
        <v>44</v>
      </c>
    </row>
    <row r="54" spans="2:19" x14ac:dyDescent="0.25">
      <c r="B54" s="541" t="s">
        <v>36</v>
      </c>
      <c r="C54" s="541"/>
      <c r="D54" s="541"/>
      <c r="E54" s="541"/>
      <c r="F54" s="394">
        <v>316</v>
      </c>
      <c r="G54" s="394">
        <v>71</v>
      </c>
      <c r="H54" s="394">
        <v>4906</v>
      </c>
      <c r="I54" s="394">
        <v>1300</v>
      </c>
      <c r="J54" s="394">
        <v>4979</v>
      </c>
      <c r="K54" s="394">
        <v>3554</v>
      </c>
      <c r="L54" s="394">
        <v>38852</v>
      </c>
      <c r="M54" s="394">
        <v>45858</v>
      </c>
      <c r="N54" s="394">
        <v>851</v>
      </c>
      <c r="O54" s="394">
        <v>560</v>
      </c>
      <c r="P54" s="394">
        <v>936</v>
      </c>
      <c r="Q54" s="394">
        <v>1208</v>
      </c>
      <c r="R54" s="394">
        <v>50840</v>
      </c>
      <c r="S54" s="394">
        <v>52551</v>
      </c>
    </row>
    <row r="55" spans="2:19" ht="31.5" customHeight="1" x14ac:dyDescent="0.25">
      <c r="B55" s="483" t="s">
        <v>995</v>
      </c>
      <c r="C55" s="483"/>
      <c r="D55" s="483"/>
      <c r="E55" s="483"/>
      <c r="F55" s="483"/>
      <c r="G55" s="483"/>
      <c r="H55" s="483"/>
      <c r="I55" s="483"/>
      <c r="J55" s="483"/>
      <c r="K55" s="483"/>
      <c r="L55" s="483"/>
      <c r="M55" s="483"/>
      <c r="N55" s="483"/>
      <c r="O55" s="483"/>
      <c r="P55" s="483"/>
      <c r="Q55" s="483"/>
      <c r="R55" s="483"/>
      <c r="S55" s="483"/>
    </row>
    <row r="57" spans="2:19" ht="18.75" x14ac:dyDescent="0.3">
      <c r="B57" s="519" t="s">
        <v>874</v>
      </c>
      <c r="C57" s="519"/>
      <c r="D57" s="519"/>
      <c r="E57" s="519"/>
      <c r="F57" s="519"/>
      <c r="G57" s="519"/>
      <c r="H57" s="519"/>
    </row>
    <row r="58" spans="2:19" x14ac:dyDescent="0.25">
      <c r="B58" s="512" t="s">
        <v>1</v>
      </c>
      <c r="C58" s="512"/>
      <c r="D58" s="512"/>
      <c r="E58" s="512"/>
      <c r="F58" s="512"/>
      <c r="G58" s="512"/>
      <c r="H58" s="512"/>
    </row>
    <row r="59" spans="2:19" x14ac:dyDescent="0.25">
      <c r="B59" s="3"/>
      <c r="C59" s="3"/>
      <c r="D59" s="3"/>
      <c r="E59" s="3"/>
      <c r="F59" s="3"/>
      <c r="G59" s="3"/>
      <c r="H59" s="3"/>
    </row>
    <row r="60" spans="2:19" x14ac:dyDescent="0.25">
      <c r="B60" s="513" t="s">
        <v>11</v>
      </c>
      <c r="C60" s="465" t="s">
        <v>3</v>
      </c>
      <c r="D60" s="467"/>
      <c r="E60" s="465" t="s">
        <v>4</v>
      </c>
      <c r="F60" s="467"/>
      <c r="G60" s="465" t="s">
        <v>714</v>
      </c>
      <c r="H60" s="467"/>
      <c r="I60" s="465" t="s">
        <v>501</v>
      </c>
      <c r="J60" s="467"/>
      <c r="K60" s="465" t="s">
        <v>5</v>
      </c>
      <c r="L60" s="467"/>
      <c r="M60" s="465" t="s">
        <v>6</v>
      </c>
      <c r="N60" s="467"/>
      <c r="O60" s="465" t="s">
        <v>491</v>
      </c>
      <c r="P60" s="467"/>
    </row>
    <row r="61" spans="2:19" x14ac:dyDescent="0.25">
      <c r="B61" s="514"/>
      <c r="C61" s="4" t="s">
        <v>87</v>
      </c>
      <c r="D61" s="4" t="s">
        <v>88</v>
      </c>
      <c r="E61" s="4" t="s">
        <v>87</v>
      </c>
      <c r="F61" s="4" t="s">
        <v>88</v>
      </c>
      <c r="G61" s="4" t="s">
        <v>87</v>
      </c>
      <c r="H61" s="4" t="s">
        <v>88</v>
      </c>
      <c r="I61" s="4" t="s">
        <v>87</v>
      </c>
      <c r="J61" s="4" t="s">
        <v>88</v>
      </c>
      <c r="K61" s="4" t="s">
        <v>87</v>
      </c>
      <c r="L61" s="4" t="s">
        <v>88</v>
      </c>
      <c r="M61" s="4" t="s">
        <v>87</v>
      </c>
      <c r="N61" s="4" t="s">
        <v>88</v>
      </c>
      <c r="O61" s="4" t="s">
        <v>87</v>
      </c>
      <c r="P61" s="4" t="s">
        <v>88</v>
      </c>
    </row>
    <row r="62" spans="2:19" x14ac:dyDescent="0.25">
      <c r="B62" s="280" t="s">
        <v>757</v>
      </c>
      <c r="C62" s="340">
        <v>93.333333333333329</v>
      </c>
      <c r="D62" s="340">
        <v>33</v>
      </c>
      <c r="E62" s="340">
        <v>2243.1666666666665</v>
      </c>
      <c r="F62" s="340">
        <v>361.5</v>
      </c>
      <c r="G62" s="340"/>
      <c r="H62" s="340"/>
      <c r="I62" s="340"/>
      <c r="J62" s="340"/>
      <c r="K62" s="340">
        <v>300.33333333333331</v>
      </c>
      <c r="L62" s="340">
        <v>235.66666666666666</v>
      </c>
      <c r="M62" s="340">
        <v>497.16666666666669</v>
      </c>
      <c r="N62" s="340">
        <v>234.16666666666666</v>
      </c>
      <c r="O62" s="340">
        <v>3134</v>
      </c>
      <c r="P62" s="340">
        <v>864.33333333333337</v>
      </c>
    </row>
    <row r="63" spans="2:19" x14ac:dyDescent="0.25">
      <c r="B63" s="280" t="s">
        <v>758</v>
      </c>
      <c r="C63" s="340">
        <v>71.416666666666671</v>
      </c>
      <c r="D63" s="340">
        <v>32.5</v>
      </c>
      <c r="E63" s="340">
        <v>997.58333333333337</v>
      </c>
      <c r="F63" s="340">
        <v>178.33333333333334</v>
      </c>
      <c r="G63" s="340"/>
      <c r="H63" s="340"/>
      <c r="I63" s="340"/>
      <c r="J63" s="340"/>
      <c r="K63" s="340">
        <v>1376.4166666666667</v>
      </c>
      <c r="L63" s="340">
        <v>357.66666666666669</v>
      </c>
      <c r="M63" s="340">
        <v>99.75</v>
      </c>
      <c r="N63" s="340">
        <v>49.416666666666664</v>
      </c>
      <c r="O63" s="340">
        <v>2545.1666666666665</v>
      </c>
      <c r="P63" s="340">
        <v>617.91666666666663</v>
      </c>
    </row>
    <row r="64" spans="2:19" x14ac:dyDescent="0.25">
      <c r="B64" s="280" t="s">
        <v>759</v>
      </c>
      <c r="C64" s="340">
        <v>319.83333333333331</v>
      </c>
      <c r="D64" s="340">
        <v>54.75</v>
      </c>
      <c r="E64" s="340">
        <v>795.66666666666663</v>
      </c>
      <c r="F64" s="340">
        <v>167.66666666666666</v>
      </c>
      <c r="G64" s="340"/>
      <c r="H64" s="340"/>
      <c r="I64" s="340"/>
      <c r="J64" s="340"/>
      <c r="K64" s="340">
        <v>1486.5833333333333</v>
      </c>
      <c r="L64" s="340">
        <v>960.41666666666663</v>
      </c>
      <c r="M64" s="340">
        <v>94.666666666666671</v>
      </c>
      <c r="N64" s="340">
        <v>60.166666666666664</v>
      </c>
      <c r="O64" s="340">
        <v>2696.75</v>
      </c>
      <c r="P64" s="340">
        <v>1243</v>
      </c>
    </row>
    <row r="65" spans="2:16" x14ac:dyDescent="0.25">
      <c r="B65" s="280" t="s">
        <v>760</v>
      </c>
      <c r="C65" s="340">
        <v>532.5</v>
      </c>
      <c r="D65" s="340">
        <v>74.333333333333329</v>
      </c>
      <c r="E65" s="340">
        <v>724.08333333333337</v>
      </c>
      <c r="F65" s="340">
        <v>140.25</v>
      </c>
      <c r="G65" s="340"/>
      <c r="H65" s="340"/>
      <c r="I65" s="340"/>
      <c r="J65" s="340"/>
      <c r="K65" s="340">
        <v>1790.4166666666667</v>
      </c>
      <c r="L65" s="340">
        <v>1120.5833333333333</v>
      </c>
      <c r="M65" s="340">
        <v>94.583333333333329</v>
      </c>
      <c r="N65" s="340">
        <v>39.583333333333336</v>
      </c>
      <c r="O65" s="340">
        <v>3141.5833333333335</v>
      </c>
      <c r="P65" s="340">
        <v>1374.75</v>
      </c>
    </row>
    <row r="66" spans="2:16" x14ac:dyDescent="0.25">
      <c r="B66" s="280" t="s">
        <v>761</v>
      </c>
      <c r="C66" s="340">
        <v>334.25</v>
      </c>
      <c r="D66" s="340">
        <v>44.833333333333336</v>
      </c>
      <c r="E66" s="340">
        <v>618</v>
      </c>
      <c r="F66" s="340">
        <v>127.33333333333333</v>
      </c>
      <c r="G66" s="340"/>
      <c r="H66" s="340"/>
      <c r="I66" s="340"/>
      <c r="J66" s="340"/>
      <c r="K66" s="340">
        <v>838.33333333333337</v>
      </c>
      <c r="L66" s="340">
        <v>534.25</v>
      </c>
      <c r="M66" s="340">
        <v>66.75</v>
      </c>
      <c r="N66" s="340">
        <v>27.916666666666668</v>
      </c>
      <c r="O66" s="340">
        <v>1857.3333333333333</v>
      </c>
      <c r="P66" s="340">
        <v>734.33333333333337</v>
      </c>
    </row>
    <row r="67" spans="2:16" x14ac:dyDescent="0.25">
      <c r="B67" s="280" t="s">
        <v>762</v>
      </c>
      <c r="C67" s="340">
        <v>204.91666666666666</v>
      </c>
      <c r="D67" s="340">
        <v>54.333333333333336</v>
      </c>
      <c r="E67" s="340">
        <v>530.41666666666663</v>
      </c>
      <c r="F67" s="340">
        <v>107.66666666666667</v>
      </c>
      <c r="G67" s="340"/>
      <c r="H67" s="340"/>
      <c r="I67" s="340"/>
      <c r="J67" s="340"/>
      <c r="K67" s="340">
        <v>513.33333333333337</v>
      </c>
      <c r="L67" s="340">
        <v>421.41666666666669</v>
      </c>
      <c r="M67" s="340">
        <v>67.333333333333329</v>
      </c>
      <c r="N67" s="340">
        <v>31.083333333333332</v>
      </c>
      <c r="O67" s="340">
        <v>1316</v>
      </c>
      <c r="P67" s="340">
        <v>614.5</v>
      </c>
    </row>
    <row r="68" spans="2:16" x14ac:dyDescent="0.25">
      <c r="B68" s="280" t="s">
        <v>763</v>
      </c>
      <c r="C68" s="340">
        <v>468.16666666666669</v>
      </c>
      <c r="D68" s="340">
        <v>96.333333333333329</v>
      </c>
      <c r="E68" s="340">
        <v>520.91666666666663</v>
      </c>
      <c r="F68" s="340">
        <v>106.25</v>
      </c>
      <c r="G68" s="340"/>
      <c r="H68" s="340"/>
      <c r="I68" s="340"/>
      <c r="J68" s="340"/>
      <c r="K68" s="340">
        <v>857.41666666666663</v>
      </c>
      <c r="L68" s="340">
        <v>672.75</v>
      </c>
      <c r="M68" s="340">
        <v>45</v>
      </c>
      <c r="N68" s="340">
        <v>17.166666666666668</v>
      </c>
      <c r="O68" s="340">
        <v>1891.5</v>
      </c>
      <c r="P68" s="340">
        <v>892.5</v>
      </c>
    </row>
    <row r="69" spans="2:16" x14ac:dyDescent="0.25">
      <c r="B69" s="280" t="s">
        <v>764</v>
      </c>
      <c r="C69" s="340">
        <v>308.08333333333331</v>
      </c>
      <c r="D69" s="340">
        <v>76.916666666666671</v>
      </c>
      <c r="E69" s="340">
        <v>468.08333333333331</v>
      </c>
      <c r="F69" s="340">
        <v>98.083333333333329</v>
      </c>
      <c r="G69" s="340"/>
      <c r="H69" s="340"/>
      <c r="I69" s="340"/>
      <c r="J69" s="340"/>
      <c r="K69" s="340">
        <v>878.16666666666663</v>
      </c>
      <c r="L69" s="340">
        <v>587.25</v>
      </c>
      <c r="M69" s="340">
        <v>20.833333333333332</v>
      </c>
      <c r="N69" s="340">
        <v>13.333333333333334</v>
      </c>
      <c r="O69" s="340">
        <v>1675.1666666666667</v>
      </c>
      <c r="P69" s="340">
        <v>775.58333333333337</v>
      </c>
    </row>
    <row r="70" spans="2:16" x14ac:dyDescent="0.25">
      <c r="B70" s="280" t="s">
        <v>765</v>
      </c>
      <c r="C70" s="340">
        <v>388.25</v>
      </c>
      <c r="D70" s="340">
        <v>82.083333333333329</v>
      </c>
      <c r="E70" s="340">
        <v>427.5</v>
      </c>
      <c r="F70" s="340">
        <v>92.416666666666671</v>
      </c>
      <c r="G70" s="340"/>
      <c r="H70" s="340"/>
      <c r="I70" s="340"/>
      <c r="J70" s="340"/>
      <c r="K70" s="340">
        <v>977.08333333333337</v>
      </c>
      <c r="L70" s="340">
        <v>656.41666666666663</v>
      </c>
      <c r="M70" s="340">
        <v>17.083333333333332</v>
      </c>
      <c r="N70" s="340">
        <v>12.25</v>
      </c>
      <c r="O70" s="340">
        <v>1809.9166666666667</v>
      </c>
      <c r="P70" s="340">
        <v>843.16666666666663</v>
      </c>
    </row>
    <row r="71" spans="2:16" x14ac:dyDescent="0.25">
      <c r="B71" s="280" t="s">
        <v>766</v>
      </c>
      <c r="C71" s="340">
        <v>389.25</v>
      </c>
      <c r="D71" s="340">
        <v>89.25</v>
      </c>
      <c r="E71" s="340">
        <v>441.91666666666669</v>
      </c>
      <c r="F71" s="340">
        <v>89.5</v>
      </c>
      <c r="G71" s="340"/>
      <c r="H71" s="340"/>
      <c r="I71" s="340"/>
      <c r="J71" s="340"/>
      <c r="K71" s="340">
        <v>1050</v>
      </c>
      <c r="L71" s="340">
        <v>714.91666666666663</v>
      </c>
      <c r="M71" s="340">
        <v>19.166666666666668</v>
      </c>
      <c r="N71" s="340">
        <v>10.916666666666666</v>
      </c>
      <c r="O71" s="340">
        <v>1900.3333333333333</v>
      </c>
      <c r="P71" s="340">
        <v>904.58333333333337</v>
      </c>
    </row>
    <row r="72" spans="2:16" x14ac:dyDescent="0.25">
      <c r="B72" s="280" t="s">
        <v>767</v>
      </c>
      <c r="C72" s="340">
        <v>222.5</v>
      </c>
      <c r="D72" s="340">
        <v>35.833333333333336</v>
      </c>
      <c r="E72" s="340">
        <v>405.5</v>
      </c>
      <c r="F72" s="340">
        <v>89.166666666666671</v>
      </c>
      <c r="G72" s="340"/>
      <c r="H72" s="340"/>
      <c r="I72" s="340"/>
      <c r="J72" s="340"/>
      <c r="K72" s="340">
        <v>633</v>
      </c>
      <c r="L72" s="340">
        <v>324</v>
      </c>
      <c r="M72" s="340">
        <v>20.833333333333332</v>
      </c>
      <c r="N72" s="340">
        <v>12.666666666666666</v>
      </c>
      <c r="O72" s="340">
        <v>1281.8333333333333</v>
      </c>
      <c r="P72" s="340">
        <v>461.66666666666669</v>
      </c>
    </row>
    <row r="73" spans="2:16" x14ac:dyDescent="0.25">
      <c r="B73" s="280" t="s">
        <v>768</v>
      </c>
      <c r="C73" s="340">
        <v>208.08333333333334</v>
      </c>
      <c r="D73" s="340">
        <v>28.5</v>
      </c>
      <c r="E73" s="340">
        <v>389.5</v>
      </c>
      <c r="F73" s="340">
        <v>88.666666666666671</v>
      </c>
      <c r="G73" s="340"/>
      <c r="H73" s="340"/>
      <c r="I73" s="340"/>
      <c r="J73" s="340"/>
      <c r="K73" s="340">
        <v>609.41666666666663</v>
      </c>
      <c r="L73" s="340">
        <v>282.75</v>
      </c>
      <c r="M73" s="340">
        <v>22</v>
      </c>
      <c r="N73" s="340">
        <v>14.75</v>
      </c>
      <c r="O73" s="340">
        <v>1229</v>
      </c>
      <c r="P73" s="340">
        <v>414.66666666666669</v>
      </c>
    </row>
    <row r="74" spans="2:16" x14ac:dyDescent="0.25">
      <c r="B74" s="280" t="s">
        <v>769</v>
      </c>
      <c r="C74" s="340">
        <v>221.83333333333334</v>
      </c>
      <c r="D74" s="340">
        <v>40.166666666666664</v>
      </c>
      <c r="E74" s="340">
        <v>348.91666666666669</v>
      </c>
      <c r="F74" s="340">
        <v>79.083333333333329</v>
      </c>
      <c r="G74" s="340"/>
      <c r="H74" s="340"/>
      <c r="I74" s="340"/>
      <c r="J74" s="340"/>
      <c r="K74" s="340">
        <v>920</v>
      </c>
      <c r="L74" s="340">
        <v>475.83333333333331</v>
      </c>
      <c r="M74" s="340">
        <v>27.583333333333332</v>
      </c>
      <c r="N74" s="340">
        <v>20.25</v>
      </c>
      <c r="O74" s="340">
        <v>1518.3333333333333</v>
      </c>
      <c r="P74" s="340">
        <v>615.33333333333337</v>
      </c>
    </row>
    <row r="75" spans="2:16" x14ac:dyDescent="0.25">
      <c r="B75" s="277">
        <v>44197</v>
      </c>
      <c r="C75" s="382">
        <v>301</v>
      </c>
      <c r="D75" s="382">
        <v>40</v>
      </c>
      <c r="E75" s="382">
        <v>482</v>
      </c>
      <c r="F75" s="382">
        <v>113</v>
      </c>
      <c r="G75" s="382"/>
      <c r="H75" s="382"/>
      <c r="I75" s="382"/>
      <c r="J75" s="382"/>
      <c r="K75" s="382">
        <v>913</v>
      </c>
      <c r="L75" s="382">
        <v>410</v>
      </c>
      <c r="M75" s="382">
        <v>54</v>
      </c>
      <c r="N75" s="382">
        <v>24</v>
      </c>
      <c r="O75" s="382">
        <v>1750</v>
      </c>
      <c r="P75" s="382">
        <v>587</v>
      </c>
    </row>
    <row r="76" spans="2:16" x14ac:dyDescent="0.25">
      <c r="B76" s="277">
        <v>44228</v>
      </c>
      <c r="C76" s="382">
        <v>288</v>
      </c>
      <c r="D76" s="382">
        <v>40</v>
      </c>
      <c r="E76" s="382">
        <v>442</v>
      </c>
      <c r="F76" s="382">
        <v>90</v>
      </c>
      <c r="G76" s="382"/>
      <c r="H76" s="382"/>
      <c r="I76" s="382"/>
      <c r="J76" s="382"/>
      <c r="K76" s="382">
        <v>897</v>
      </c>
      <c r="L76" s="382">
        <v>434</v>
      </c>
      <c r="M76" s="382">
        <v>46</v>
      </c>
      <c r="N76" s="382">
        <v>20</v>
      </c>
      <c r="O76" s="382">
        <v>1673</v>
      </c>
      <c r="P76" s="382">
        <v>584</v>
      </c>
    </row>
    <row r="77" spans="2:16" x14ac:dyDescent="0.25">
      <c r="B77" s="277">
        <v>44256</v>
      </c>
      <c r="C77" s="382">
        <v>271</v>
      </c>
      <c r="D77" s="382">
        <v>62</v>
      </c>
      <c r="E77" s="382">
        <v>595</v>
      </c>
      <c r="F77" s="382">
        <v>135</v>
      </c>
      <c r="G77" s="382"/>
      <c r="H77" s="382"/>
      <c r="I77" s="382"/>
      <c r="J77" s="382"/>
      <c r="K77" s="382">
        <v>1098</v>
      </c>
      <c r="L77" s="382">
        <v>566</v>
      </c>
      <c r="M77" s="382">
        <v>40</v>
      </c>
      <c r="N77" s="382">
        <v>32</v>
      </c>
      <c r="O77" s="382">
        <v>2004</v>
      </c>
      <c r="P77" s="382">
        <v>795</v>
      </c>
    </row>
    <row r="78" spans="2:16" x14ac:dyDescent="0.25">
      <c r="B78" s="277">
        <v>44287</v>
      </c>
      <c r="C78" s="382">
        <v>379</v>
      </c>
      <c r="D78" s="382">
        <v>51</v>
      </c>
      <c r="E78" s="382">
        <v>706</v>
      </c>
      <c r="F78" s="382">
        <v>175</v>
      </c>
      <c r="G78" s="382"/>
      <c r="H78" s="382"/>
      <c r="I78" s="382"/>
      <c r="J78" s="382"/>
      <c r="K78" s="382">
        <v>1191</v>
      </c>
      <c r="L78" s="382">
        <v>661</v>
      </c>
      <c r="M78" s="382">
        <v>52</v>
      </c>
      <c r="N78" s="382">
        <v>49</v>
      </c>
      <c r="O78" s="382">
        <v>2328</v>
      </c>
      <c r="P78" s="382">
        <v>936</v>
      </c>
    </row>
    <row r="79" spans="2:16" x14ac:dyDescent="0.25">
      <c r="B79" s="277">
        <v>44317</v>
      </c>
      <c r="C79" s="382">
        <v>445</v>
      </c>
      <c r="D79" s="382">
        <v>63</v>
      </c>
      <c r="E79" s="382">
        <v>667</v>
      </c>
      <c r="F79" s="382">
        <v>183</v>
      </c>
      <c r="G79" s="382"/>
      <c r="H79" s="382"/>
      <c r="I79" s="382"/>
      <c r="J79" s="382"/>
      <c r="K79" s="382">
        <v>1364</v>
      </c>
      <c r="L79" s="382">
        <v>695</v>
      </c>
      <c r="M79" s="382">
        <v>52</v>
      </c>
      <c r="N79" s="382">
        <v>55</v>
      </c>
      <c r="O79" s="382">
        <v>2528</v>
      </c>
      <c r="P79" s="382">
        <v>996</v>
      </c>
    </row>
    <row r="80" spans="2:16" x14ac:dyDescent="0.25">
      <c r="B80" s="277">
        <v>44348</v>
      </c>
      <c r="C80" s="382">
        <v>514</v>
      </c>
      <c r="D80" s="382">
        <v>59</v>
      </c>
      <c r="E80" s="382">
        <v>638</v>
      </c>
      <c r="F80" s="382">
        <v>188</v>
      </c>
      <c r="G80" s="382"/>
      <c r="H80" s="382"/>
      <c r="I80" s="382"/>
      <c r="J80" s="382"/>
      <c r="K80" s="382">
        <v>1309</v>
      </c>
      <c r="L80" s="382">
        <v>595</v>
      </c>
      <c r="M80" s="382">
        <v>80</v>
      </c>
      <c r="N80" s="382">
        <v>71</v>
      </c>
      <c r="O80" s="382">
        <v>2541</v>
      </c>
      <c r="P80" s="382">
        <v>913</v>
      </c>
    </row>
    <row r="81" spans="2:16" x14ac:dyDescent="0.25">
      <c r="B81" s="277">
        <v>44378</v>
      </c>
      <c r="C81" s="382">
        <v>487</v>
      </c>
      <c r="D81" s="382">
        <v>67</v>
      </c>
      <c r="E81" s="382">
        <v>749</v>
      </c>
      <c r="F81" s="382">
        <v>210</v>
      </c>
      <c r="G81" s="382"/>
      <c r="H81" s="382"/>
      <c r="I81" s="382"/>
      <c r="J81" s="382"/>
      <c r="K81" s="382">
        <v>1382</v>
      </c>
      <c r="L81" s="382">
        <v>640</v>
      </c>
      <c r="M81" s="382">
        <v>72</v>
      </c>
      <c r="N81" s="382">
        <v>63</v>
      </c>
      <c r="O81" s="382">
        <v>2690</v>
      </c>
      <c r="P81" s="382">
        <v>980</v>
      </c>
    </row>
    <row r="82" spans="2:16" x14ac:dyDescent="0.25">
      <c r="B82" s="277">
        <v>44409</v>
      </c>
      <c r="C82" s="382">
        <v>548</v>
      </c>
      <c r="D82" s="382">
        <v>77</v>
      </c>
      <c r="E82" s="382">
        <v>800</v>
      </c>
      <c r="F82" s="382">
        <v>253</v>
      </c>
      <c r="G82" s="382"/>
      <c r="H82" s="382"/>
      <c r="I82" s="382"/>
      <c r="J82" s="382"/>
      <c r="K82" s="382">
        <v>1662</v>
      </c>
      <c r="L82" s="382">
        <v>770</v>
      </c>
      <c r="M82" s="382">
        <v>80</v>
      </c>
      <c r="N82" s="382">
        <v>64</v>
      </c>
      <c r="O82" s="382">
        <v>3090</v>
      </c>
      <c r="P82" s="382">
        <v>1164</v>
      </c>
    </row>
    <row r="83" spans="2:16" x14ac:dyDescent="0.25">
      <c r="B83" s="277">
        <v>44440</v>
      </c>
      <c r="C83" s="382">
        <v>523</v>
      </c>
      <c r="D83" s="382">
        <v>76</v>
      </c>
      <c r="E83" s="382">
        <v>756</v>
      </c>
      <c r="F83" s="382">
        <v>178</v>
      </c>
      <c r="G83" s="382"/>
      <c r="H83" s="382"/>
      <c r="I83" s="382"/>
      <c r="J83" s="382"/>
      <c r="K83" s="382">
        <v>1640</v>
      </c>
      <c r="L83" s="382">
        <v>770</v>
      </c>
      <c r="M83" s="382">
        <v>106</v>
      </c>
      <c r="N83" s="382">
        <v>72</v>
      </c>
      <c r="O83" s="382">
        <v>3025</v>
      </c>
      <c r="P83" s="382">
        <v>1096</v>
      </c>
    </row>
    <row r="84" spans="2:16" x14ac:dyDescent="0.25">
      <c r="B84" s="277">
        <v>44470</v>
      </c>
      <c r="C84" s="382">
        <v>480</v>
      </c>
      <c r="D84" s="382">
        <v>81</v>
      </c>
      <c r="E84" s="382">
        <v>826</v>
      </c>
      <c r="F84" s="382">
        <v>215</v>
      </c>
      <c r="G84" s="382"/>
      <c r="H84" s="382"/>
      <c r="I84" s="382"/>
      <c r="J84" s="382"/>
      <c r="K84" s="382">
        <v>1463</v>
      </c>
      <c r="L84" s="382">
        <v>700</v>
      </c>
      <c r="M84" s="382">
        <v>78</v>
      </c>
      <c r="N84" s="382">
        <v>46</v>
      </c>
      <c r="O84" s="382">
        <v>2847</v>
      </c>
      <c r="P84" s="382">
        <v>1042</v>
      </c>
    </row>
    <row r="85" spans="2:16" x14ac:dyDescent="0.25">
      <c r="B85" s="277">
        <v>44501</v>
      </c>
      <c r="C85" s="382">
        <v>443</v>
      </c>
      <c r="D85" s="382">
        <v>45</v>
      </c>
      <c r="E85" s="382">
        <v>896</v>
      </c>
      <c r="F85" s="382">
        <v>194</v>
      </c>
      <c r="G85" s="382"/>
      <c r="H85" s="382"/>
      <c r="I85" s="382"/>
      <c r="J85" s="382"/>
      <c r="K85" s="382">
        <v>1827</v>
      </c>
      <c r="L85" s="382">
        <v>823</v>
      </c>
      <c r="M85" s="382">
        <v>74</v>
      </c>
      <c r="N85" s="382">
        <v>66</v>
      </c>
      <c r="O85" s="382">
        <v>3240</v>
      </c>
      <c r="P85" s="382">
        <v>1128</v>
      </c>
    </row>
    <row r="86" spans="2:16" x14ac:dyDescent="0.25">
      <c r="B86" s="277">
        <v>44531</v>
      </c>
      <c r="C86" s="382">
        <v>521</v>
      </c>
      <c r="D86" s="382">
        <v>72</v>
      </c>
      <c r="E86" s="382">
        <v>857</v>
      </c>
      <c r="F86" s="382">
        <v>230</v>
      </c>
      <c r="G86" s="382"/>
      <c r="H86" s="382"/>
      <c r="I86" s="382"/>
      <c r="J86" s="382"/>
      <c r="K86" s="382">
        <v>1748</v>
      </c>
      <c r="L86" s="382">
        <v>890</v>
      </c>
      <c r="M86" s="382">
        <v>66</v>
      </c>
      <c r="N86" s="382">
        <v>54</v>
      </c>
      <c r="O86" s="382">
        <v>3192</v>
      </c>
      <c r="P86" s="382">
        <v>1246</v>
      </c>
    </row>
    <row r="87" spans="2:16" x14ac:dyDescent="0.25">
      <c r="B87" s="280" t="s">
        <v>770</v>
      </c>
      <c r="C87" s="340">
        <v>433.33333333333331</v>
      </c>
      <c r="D87" s="340">
        <v>61.083333333333336</v>
      </c>
      <c r="E87" s="340">
        <v>701.16666666666663</v>
      </c>
      <c r="F87" s="340">
        <v>180.33333333333334</v>
      </c>
      <c r="G87" s="340"/>
      <c r="H87" s="340"/>
      <c r="I87" s="340"/>
      <c r="J87" s="340"/>
      <c r="K87" s="340">
        <v>1374.5</v>
      </c>
      <c r="L87" s="340">
        <v>662.83333333333337</v>
      </c>
      <c r="M87" s="340">
        <v>66.666666666666671</v>
      </c>
      <c r="N87" s="340">
        <v>51.333333333333336</v>
      </c>
      <c r="O87" s="340">
        <v>2575.6666666666665</v>
      </c>
      <c r="P87" s="340">
        <v>955.58333333333337</v>
      </c>
    </row>
    <row r="88" spans="2:16" x14ac:dyDescent="0.25">
      <c r="B88" s="277">
        <v>44562</v>
      </c>
      <c r="C88" s="347">
        <v>316</v>
      </c>
      <c r="D88" s="347">
        <v>71</v>
      </c>
      <c r="E88" s="347">
        <v>1084</v>
      </c>
      <c r="F88" s="347">
        <v>260</v>
      </c>
      <c r="G88" s="347"/>
      <c r="H88" s="347"/>
      <c r="I88" s="347"/>
      <c r="J88" s="347"/>
      <c r="K88" s="347">
        <v>851</v>
      </c>
      <c r="L88" s="347">
        <v>560</v>
      </c>
      <c r="M88" s="347">
        <v>91</v>
      </c>
      <c r="N88" s="347">
        <v>72</v>
      </c>
      <c r="O88" s="347">
        <v>2342</v>
      </c>
      <c r="P88" s="347">
        <v>963</v>
      </c>
    </row>
    <row r="89" spans="2:16" x14ac:dyDescent="0.25">
      <c r="B89" s="277">
        <v>44593</v>
      </c>
      <c r="C89" s="382"/>
      <c r="D89" s="382"/>
      <c r="E89" s="382">
        <v>840</v>
      </c>
      <c r="F89" s="382">
        <v>232</v>
      </c>
      <c r="G89" s="382">
        <v>1571</v>
      </c>
      <c r="H89" s="382">
        <v>458</v>
      </c>
      <c r="I89" s="382">
        <v>11832</v>
      </c>
      <c r="J89" s="382">
        <v>11862</v>
      </c>
      <c r="K89" s="382"/>
      <c r="L89" s="382"/>
      <c r="M89" s="382">
        <v>286</v>
      </c>
      <c r="N89" s="382">
        <v>409</v>
      </c>
      <c r="O89" s="382">
        <v>14529</v>
      </c>
      <c r="P89" s="382">
        <v>12961</v>
      </c>
    </row>
    <row r="90" spans="2:16" x14ac:dyDescent="0.25">
      <c r="B90" s="277">
        <v>44621</v>
      </c>
      <c r="C90" s="382"/>
      <c r="D90" s="382"/>
      <c r="E90" s="382">
        <v>934</v>
      </c>
      <c r="F90" s="382">
        <v>247</v>
      </c>
      <c r="G90" s="382">
        <v>336</v>
      </c>
      <c r="H90" s="382">
        <v>77</v>
      </c>
      <c r="I90" s="382">
        <v>3500</v>
      </c>
      <c r="J90" s="382">
        <v>3983</v>
      </c>
      <c r="K90" s="382"/>
      <c r="L90" s="382"/>
      <c r="M90" s="382">
        <v>110</v>
      </c>
      <c r="N90" s="382">
        <v>105</v>
      </c>
      <c r="O90" s="382">
        <v>4880</v>
      </c>
      <c r="P90" s="382">
        <v>4412</v>
      </c>
    </row>
    <row r="91" spans="2:16" x14ac:dyDescent="0.25">
      <c r="B91" s="277">
        <v>44652</v>
      </c>
      <c r="C91" s="382"/>
      <c r="D91" s="382"/>
      <c r="E91" s="382">
        <v>729</v>
      </c>
      <c r="F91" s="382">
        <v>187</v>
      </c>
      <c r="G91" s="382">
        <v>237</v>
      </c>
      <c r="H91" s="382">
        <v>78</v>
      </c>
      <c r="I91" s="382">
        <v>2083</v>
      </c>
      <c r="J91" s="382">
        <v>2506</v>
      </c>
      <c r="K91" s="382"/>
      <c r="L91" s="382"/>
      <c r="M91" s="382">
        <v>82</v>
      </c>
      <c r="N91" s="382">
        <v>63</v>
      </c>
      <c r="O91" s="382">
        <v>3131</v>
      </c>
      <c r="P91" s="382">
        <v>2834</v>
      </c>
    </row>
    <row r="92" spans="2:16" x14ac:dyDescent="0.25">
      <c r="B92" s="277">
        <v>44682</v>
      </c>
      <c r="C92" s="382"/>
      <c r="D92" s="382"/>
      <c r="E92" s="382">
        <v>552</v>
      </c>
      <c r="F92" s="382">
        <v>145</v>
      </c>
      <c r="G92" s="382">
        <v>286</v>
      </c>
      <c r="H92" s="382">
        <v>142</v>
      </c>
      <c r="I92" s="382">
        <v>1789</v>
      </c>
      <c r="J92" s="382">
        <v>2414</v>
      </c>
      <c r="K92" s="382"/>
      <c r="L92" s="382"/>
      <c r="M92" s="382">
        <v>99</v>
      </c>
      <c r="N92" s="382">
        <v>110</v>
      </c>
      <c r="O92" s="382">
        <v>2726</v>
      </c>
      <c r="P92" s="382">
        <v>2811</v>
      </c>
    </row>
    <row r="93" spans="2:16" x14ac:dyDescent="0.25">
      <c r="B93" s="277">
        <v>44713</v>
      </c>
      <c r="C93" s="382"/>
      <c r="D93" s="382"/>
      <c r="E93" s="382">
        <v>383</v>
      </c>
      <c r="F93" s="382">
        <v>116</v>
      </c>
      <c r="G93" s="382">
        <v>236</v>
      </c>
      <c r="H93" s="382">
        <v>147</v>
      </c>
      <c r="I93" s="382">
        <v>1963</v>
      </c>
      <c r="J93" s="382">
        <v>2922</v>
      </c>
      <c r="K93" s="382"/>
      <c r="L93" s="382"/>
      <c r="M93" s="382">
        <v>77</v>
      </c>
      <c r="N93" s="382">
        <v>76</v>
      </c>
      <c r="O93" s="382">
        <v>2659</v>
      </c>
      <c r="P93" s="382">
        <v>3261</v>
      </c>
    </row>
    <row r="94" spans="2:16" x14ac:dyDescent="0.25">
      <c r="B94" s="277">
        <v>44743</v>
      </c>
      <c r="C94" s="382"/>
      <c r="D94" s="382"/>
      <c r="E94" s="382">
        <v>241</v>
      </c>
      <c r="F94" s="382">
        <v>68</v>
      </c>
      <c r="G94" s="382">
        <v>258</v>
      </c>
      <c r="H94" s="382">
        <v>124</v>
      </c>
      <c r="I94" s="382">
        <v>2475</v>
      </c>
      <c r="J94" s="382">
        <v>4131</v>
      </c>
      <c r="K94" s="382"/>
      <c r="L94" s="382"/>
      <c r="M94" s="382">
        <v>60</v>
      </c>
      <c r="N94" s="382">
        <v>71</v>
      </c>
      <c r="O94" s="382">
        <v>3034</v>
      </c>
      <c r="P94" s="382">
        <v>4394</v>
      </c>
    </row>
    <row r="95" spans="2:16" x14ac:dyDescent="0.25">
      <c r="B95" s="277">
        <v>44774</v>
      </c>
      <c r="C95" s="382"/>
      <c r="D95" s="382"/>
      <c r="E95" s="382">
        <v>110</v>
      </c>
      <c r="F95" s="382">
        <v>31</v>
      </c>
      <c r="G95" s="382">
        <v>450</v>
      </c>
      <c r="H95" s="382">
        <v>156</v>
      </c>
      <c r="I95" s="382">
        <v>5588</v>
      </c>
      <c r="J95" s="382">
        <v>7708</v>
      </c>
      <c r="K95" s="382"/>
      <c r="L95" s="382"/>
      <c r="M95" s="382">
        <v>45</v>
      </c>
      <c r="N95" s="382">
        <v>98</v>
      </c>
      <c r="O95" s="382">
        <v>6193</v>
      </c>
      <c r="P95" s="382">
        <v>7993</v>
      </c>
    </row>
    <row r="96" spans="2:16" x14ac:dyDescent="0.25">
      <c r="B96" s="277">
        <v>44805</v>
      </c>
      <c r="C96" s="382"/>
      <c r="D96" s="382"/>
      <c r="E96" s="382">
        <v>23</v>
      </c>
      <c r="F96" s="382">
        <v>10</v>
      </c>
      <c r="G96" s="382">
        <v>498</v>
      </c>
      <c r="H96" s="382">
        <v>708</v>
      </c>
      <c r="I96" s="382">
        <v>2891</v>
      </c>
      <c r="J96" s="382">
        <v>3384</v>
      </c>
      <c r="K96" s="382"/>
      <c r="L96" s="382"/>
      <c r="M96" s="382">
        <v>33</v>
      </c>
      <c r="N96" s="382">
        <v>65</v>
      </c>
      <c r="O96" s="382">
        <v>3445</v>
      </c>
      <c r="P96" s="382">
        <v>4167</v>
      </c>
    </row>
    <row r="97" spans="2:16" x14ac:dyDescent="0.25">
      <c r="B97" s="277">
        <v>44835</v>
      </c>
      <c r="C97" s="382"/>
      <c r="D97" s="382"/>
      <c r="E97" s="382">
        <v>5</v>
      </c>
      <c r="F97" s="382">
        <v>4</v>
      </c>
      <c r="G97" s="382">
        <v>560</v>
      </c>
      <c r="H97" s="382">
        <v>758</v>
      </c>
      <c r="I97" s="382">
        <v>3828</v>
      </c>
      <c r="J97" s="382">
        <v>3876</v>
      </c>
      <c r="K97" s="382"/>
      <c r="L97" s="382"/>
      <c r="M97" s="382">
        <v>27</v>
      </c>
      <c r="N97" s="382">
        <v>73</v>
      </c>
      <c r="O97" s="382">
        <v>4420</v>
      </c>
      <c r="P97" s="382">
        <v>4711</v>
      </c>
    </row>
    <row r="98" spans="2:16" x14ac:dyDescent="0.25">
      <c r="B98" s="277">
        <v>44866</v>
      </c>
      <c r="C98" s="382"/>
      <c r="D98" s="382"/>
      <c r="E98" s="382">
        <v>5</v>
      </c>
      <c r="F98" s="382">
        <v>0</v>
      </c>
      <c r="G98" s="382">
        <v>547</v>
      </c>
      <c r="H98" s="382">
        <v>896</v>
      </c>
      <c r="I98" s="382">
        <v>2888</v>
      </c>
      <c r="J98" s="382">
        <v>3062</v>
      </c>
      <c r="K98" s="382"/>
      <c r="L98" s="382"/>
      <c r="M98" s="382">
        <v>22</v>
      </c>
      <c r="N98" s="382">
        <v>57</v>
      </c>
      <c r="O98" s="382">
        <v>3462</v>
      </c>
      <c r="P98" s="382">
        <v>4015</v>
      </c>
    </row>
    <row r="99" spans="2:16" x14ac:dyDescent="0.25">
      <c r="B99" s="277">
        <v>44896</v>
      </c>
      <c r="C99" s="382"/>
      <c r="D99" s="382"/>
      <c r="E99" s="382">
        <v>0</v>
      </c>
      <c r="F99" s="382">
        <v>0</v>
      </c>
      <c r="G99" s="382">
        <v>0</v>
      </c>
      <c r="H99" s="382">
        <v>10</v>
      </c>
      <c r="I99" s="382">
        <v>15</v>
      </c>
      <c r="J99" s="382">
        <v>10</v>
      </c>
      <c r="K99" s="382"/>
      <c r="L99" s="382"/>
      <c r="M99" s="382">
        <v>4</v>
      </c>
      <c r="N99" s="382">
        <v>9</v>
      </c>
      <c r="O99" s="382">
        <v>19</v>
      </c>
      <c r="P99" s="382">
        <v>29</v>
      </c>
    </row>
    <row r="100" spans="2:16" x14ac:dyDescent="0.25">
      <c r="B100" s="280" t="s">
        <v>771</v>
      </c>
      <c r="C100" s="340">
        <v>316</v>
      </c>
      <c r="D100" s="340">
        <v>71</v>
      </c>
      <c r="E100" s="340">
        <v>408.83333333333331</v>
      </c>
      <c r="F100" s="340">
        <v>108.33333333333333</v>
      </c>
      <c r="G100" s="340">
        <v>452.63636363636363</v>
      </c>
      <c r="H100" s="340">
        <v>323.09090909090907</v>
      </c>
      <c r="I100" s="340">
        <v>3532</v>
      </c>
      <c r="J100" s="340">
        <v>4168.909090909091</v>
      </c>
      <c r="K100" s="340">
        <v>851</v>
      </c>
      <c r="L100" s="340">
        <v>560</v>
      </c>
      <c r="M100" s="340">
        <v>78</v>
      </c>
      <c r="N100" s="340">
        <v>100.66666666666667</v>
      </c>
      <c r="O100" s="340">
        <v>4236.666666666667</v>
      </c>
      <c r="P100" s="340">
        <v>4379.25</v>
      </c>
    </row>
    <row r="101" spans="2:16" x14ac:dyDescent="0.25">
      <c r="B101" s="280" t="s">
        <v>7</v>
      </c>
      <c r="C101" s="340">
        <v>50105</v>
      </c>
      <c r="D101" s="340">
        <v>9520</v>
      </c>
      <c r="E101" s="340">
        <v>106796</v>
      </c>
      <c r="F101" s="340">
        <v>22006</v>
      </c>
      <c r="G101" s="340">
        <v>4979</v>
      </c>
      <c r="H101" s="340">
        <v>3554</v>
      </c>
      <c r="I101" s="340">
        <v>38852</v>
      </c>
      <c r="J101" s="340">
        <v>45858</v>
      </c>
      <c r="K101" s="340">
        <v>162309</v>
      </c>
      <c r="L101" s="340">
        <v>95227</v>
      </c>
      <c r="M101" s="340">
        <v>11866</v>
      </c>
      <c r="N101" s="340">
        <v>6943</v>
      </c>
      <c r="O101" s="340">
        <v>374907</v>
      </c>
      <c r="P101" s="340">
        <v>183108</v>
      </c>
    </row>
    <row r="102" spans="2:16" ht="31.5" customHeight="1" x14ac:dyDescent="0.25">
      <c r="B102" s="483" t="s">
        <v>995</v>
      </c>
      <c r="C102" s="483"/>
      <c r="D102" s="483"/>
      <c r="E102" s="483"/>
      <c r="F102" s="483"/>
      <c r="G102" s="483"/>
      <c r="H102" s="483"/>
      <c r="I102" s="483"/>
      <c r="J102" s="483"/>
      <c r="K102" s="483"/>
      <c r="L102" s="483"/>
      <c r="M102" s="483"/>
      <c r="N102" s="483"/>
      <c r="O102" s="483"/>
      <c r="P102" s="483"/>
    </row>
    <row r="103" spans="2:16" ht="30" customHeight="1" x14ac:dyDescent="0.25">
      <c r="B103" s="3"/>
      <c r="C103" s="3"/>
      <c r="D103" s="3"/>
      <c r="E103" s="3"/>
      <c r="F103" s="3"/>
      <c r="G103" s="3"/>
      <c r="H103" s="3"/>
    </row>
  </sheetData>
  <mergeCells count="71">
    <mergeCell ref="B42:E42"/>
    <mergeCell ref="B43:E43"/>
    <mergeCell ref="B44:E44"/>
    <mergeCell ref="B35:E35"/>
    <mergeCell ref="B36:E36"/>
    <mergeCell ref="B37:E37"/>
    <mergeCell ref="B38:E38"/>
    <mergeCell ref="B39:E39"/>
    <mergeCell ref="B32:E32"/>
    <mergeCell ref="B33:E33"/>
    <mergeCell ref="B34:E34"/>
    <mergeCell ref="B30:E31"/>
    <mergeCell ref="B54:E54"/>
    <mergeCell ref="B45:E45"/>
    <mergeCell ref="B46:E46"/>
    <mergeCell ref="B47:E47"/>
    <mergeCell ref="B48:E48"/>
    <mergeCell ref="B49:E49"/>
    <mergeCell ref="B50:E50"/>
    <mergeCell ref="B51:E51"/>
    <mergeCell ref="B52:E52"/>
    <mergeCell ref="B53:E53"/>
    <mergeCell ref="B40:E40"/>
    <mergeCell ref="B41:E41"/>
    <mergeCell ref="B15:E15"/>
    <mergeCell ref="B16:E16"/>
    <mergeCell ref="B23:E23"/>
    <mergeCell ref="B24:E24"/>
    <mergeCell ref="N30:O30"/>
    <mergeCell ref="B27:H27"/>
    <mergeCell ref="J30:K30"/>
    <mergeCell ref="B19:E19"/>
    <mergeCell ref="B20:E20"/>
    <mergeCell ref="B21:E21"/>
    <mergeCell ref="B22:E22"/>
    <mergeCell ref="F30:G30"/>
    <mergeCell ref="B25:S25"/>
    <mergeCell ref="R30:S30"/>
    <mergeCell ref="H30:I30"/>
    <mergeCell ref="P30:Q30"/>
    <mergeCell ref="B9:E9"/>
    <mergeCell ref="B11:E11"/>
    <mergeCell ref="B14:E14"/>
    <mergeCell ref="B13:E13"/>
    <mergeCell ref="B12:E12"/>
    <mergeCell ref="B10:E10"/>
    <mergeCell ref="B4:H4"/>
    <mergeCell ref="B5:H5"/>
    <mergeCell ref="H7:I7"/>
    <mergeCell ref="N7:O7"/>
    <mergeCell ref="P7:Q7"/>
    <mergeCell ref="F7:G7"/>
    <mergeCell ref="B7:E8"/>
    <mergeCell ref="J7:K7"/>
    <mergeCell ref="L7:M7"/>
    <mergeCell ref="R7:S7"/>
    <mergeCell ref="B55:S55"/>
    <mergeCell ref="B102:P102"/>
    <mergeCell ref="K60:L60"/>
    <mergeCell ref="M60:N60"/>
    <mergeCell ref="O60:P60"/>
    <mergeCell ref="B60:B61"/>
    <mergeCell ref="C60:D60"/>
    <mergeCell ref="E60:F60"/>
    <mergeCell ref="G60:H60"/>
    <mergeCell ref="I60:J60"/>
    <mergeCell ref="B57:H57"/>
    <mergeCell ref="B58:H58"/>
    <mergeCell ref="L30:M30"/>
    <mergeCell ref="B17:E17"/>
    <mergeCell ref="B18:E18"/>
  </mergeCells>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20DFF-3F8D-4E25-8708-BCCEE2219D71}">
  <sheetPr>
    <tabColor rgb="FF00B0F0"/>
  </sheetPr>
  <dimension ref="B2:R30"/>
  <sheetViews>
    <sheetView showGridLines="0" workbookViewId="0">
      <selection activeCell="I35" sqref="I35"/>
    </sheetView>
  </sheetViews>
  <sheetFormatPr baseColWidth="10" defaultRowHeight="15" x14ac:dyDescent="0.25"/>
  <cols>
    <col min="2" max="2" width="19.28515625" bestFit="1" customWidth="1"/>
    <col min="18" max="18" width="18.42578125" customWidth="1"/>
  </cols>
  <sheetData>
    <row r="2" spans="2:18" ht="23.25" x14ac:dyDescent="0.25">
      <c r="B2" s="1" t="s">
        <v>880</v>
      </c>
    </row>
    <row r="4" spans="2:18" ht="18.75" x14ac:dyDescent="0.3">
      <c r="B4" s="2" t="s">
        <v>810</v>
      </c>
      <c r="C4" s="2"/>
      <c r="D4" s="2"/>
      <c r="E4" s="2"/>
      <c r="F4" s="2"/>
    </row>
    <row r="5" spans="2:18" x14ac:dyDescent="0.25">
      <c r="B5" s="273" t="s">
        <v>817</v>
      </c>
    </row>
    <row r="7" spans="2:18" x14ac:dyDescent="0.25">
      <c r="B7" s="513" t="s">
        <v>538</v>
      </c>
      <c r="C7" s="465" t="s">
        <v>487</v>
      </c>
      <c r="D7" s="466"/>
      <c r="E7" s="466"/>
      <c r="F7" s="466"/>
      <c r="G7" s="466"/>
      <c r="H7" s="466"/>
      <c r="I7" s="466"/>
      <c r="J7" s="466"/>
      <c r="K7" s="466"/>
      <c r="L7" s="466"/>
      <c r="M7" s="466"/>
      <c r="N7" s="466"/>
      <c r="O7" s="466"/>
      <c r="P7" s="466"/>
      <c r="Q7" s="467"/>
      <c r="R7" s="542" t="s">
        <v>809</v>
      </c>
    </row>
    <row r="8" spans="2:18" x14ac:dyDescent="0.25">
      <c r="B8" s="514"/>
      <c r="C8" s="4">
        <v>2008</v>
      </c>
      <c r="D8" s="4">
        <v>2009</v>
      </c>
      <c r="E8" s="4">
        <v>2010</v>
      </c>
      <c r="F8" s="4">
        <v>2011</v>
      </c>
      <c r="G8" s="4">
        <v>2012</v>
      </c>
      <c r="H8" s="4">
        <v>2013</v>
      </c>
      <c r="I8" s="4">
        <v>2014</v>
      </c>
      <c r="J8" s="4">
        <v>2015</v>
      </c>
      <c r="K8" s="4">
        <v>2016</v>
      </c>
      <c r="L8" s="4">
        <v>2017</v>
      </c>
      <c r="M8" s="4">
        <v>2018</v>
      </c>
      <c r="N8" s="4">
        <v>2019</v>
      </c>
      <c r="O8" s="4">
        <v>2020</v>
      </c>
      <c r="P8" s="4">
        <v>2021</v>
      </c>
      <c r="Q8" s="4">
        <v>2022</v>
      </c>
      <c r="R8" s="543"/>
    </row>
    <row r="9" spans="2:18" x14ac:dyDescent="0.25">
      <c r="B9" s="170" t="s">
        <v>3</v>
      </c>
      <c r="C9" s="315">
        <v>0</v>
      </c>
      <c r="D9" s="315">
        <v>1481</v>
      </c>
      <c r="E9" s="315">
        <v>635</v>
      </c>
      <c r="F9" s="315">
        <v>746</v>
      </c>
      <c r="G9" s="315">
        <v>719</v>
      </c>
      <c r="H9" s="315">
        <v>407</v>
      </c>
      <c r="I9" s="315">
        <v>3429</v>
      </c>
      <c r="J9" s="315">
        <v>892</v>
      </c>
      <c r="K9" s="315">
        <v>736</v>
      </c>
      <c r="L9" s="315">
        <v>854</v>
      </c>
      <c r="M9" s="315">
        <v>587</v>
      </c>
      <c r="N9" s="315">
        <v>781</v>
      </c>
      <c r="O9" s="315">
        <v>2529</v>
      </c>
      <c r="P9" s="315">
        <v>863</v>
      </c>
      <c r="Q9" s="315">
        <v>53</v>
      </c>
      <c r="R9" s="340">
        <v>14712</v>
      </c>
    </row>
    <row r="10" spans="2:18" x14ac:dyDescent="0.25">
      <c r="B10" s="170" t="s">
        <v>4</v>
      </c>
      <c r="C10" s="315">
        <v>0</v>
      </c>
      <c r="D10" s="315">
        <v>818</v>
      </c>
      <c r="E10" s="315">
        <v>247</v>
      </c>
      <c r="F10" s="315">
        <v>349</v>
      </c>
      <c r="G10" s="315">
        <v>487</v>
      </c>
      <c r="H10" s="315">
        <v>315</v>
      </c>
      <c r="I10" s="315">
        <v>557</v>
      </c>
      <c r="J10" s="315">
        <v>780</v>
      </c>
      <c r="K10" s="315">
        <v>804</v>
      </c>
      <c r="L10" s="315">
        <v>726</v>
      </c>
      <c r="M10" s="315">
        <v>513</v>
      </c>
      <c r="N10" s="315">
        <v>569</v>
      </c>
      <c r="O10" s="315">
        <v>1122</v>
      </c>
      <c r="P10" s="315">
        <v>2205</v>
      </c>
      <c r="Q10" s="315">
        <v>1260</v>
      </c>
      <c r="R10" s="340">
        <v>10752</v>
      </c>
    </row>
    <row r="11" spans="2:18" x14ac:dyDescent="0.25">
      <c r="B11" s="170" t="s">
        <v>714</v>
      </c>
      <c r="C11" s="315"/>
      <c r="D11" s="315"/>
      <c r="E11" s="315"/>
      <c r="F11" s="315"/>
      <c r="G11" s="315"/>
      <c r="H11" s="315"/>
      <c r="I11" s="315"/>
      <c r="J11" s="315"/>
      <c r="K11" s="315"/>
      <c r="L11" s="315"/>
      <c r="M11" s="315"/>
      <c r="N11" s="315"/>
      <c r="O11" s="315"/>
      <c r="P11" s="315"/>
      <c r="Q11" s="315">
        <v>1251</v>
      </c>
      <c r="R11" s="340">
        <v>1251</v>
      </c>
    </row>
    <row r="12" spans="2:18" x14ac:dyDescent="0.25">
      <c r="B12" s="170" t="s">
        <v>501</v>
      </c>
      <c r="C12" s="315"/>
      <c r="D12" s="315"/>
      <c r="E12" s="315"/>
      <c r="F12" s="315"/>
      <c r="G12" s="315"/>
      <c r="H12" s="315"/>
      <c r="I12" s="315"/>
      <c r="J12" s="315"/>
      <c r="K12" s="315"/>
      <c r="L12" s="315"/>
      <c r="M12" s="315"/>
      <c r="N12" s="315"/>
      <c r="O12" s="315"/>
      <c r="P12" s="315"/>
      <c r="Q12" s="315">
        <v>619</v>
      </c>
      <c r="R12" s="340">
        <v>619</v>
      </c>
    </row>
    <row r="13" spans="2:18" x14ac:dyDescent="0.25">
      <c r="B13" s="170" t="s">
        <v>5</v>
      </c>
      <c r="C13" s="315">
        <v>0</v>
      </c>
      <c r="D13" s="315">
        <v>264</v>
      </c>
      <c r="E13" s="315">
        <v>12</v>
      </c>
      <c r="F13" s="315">
        <v>0</v>
      </c>
      <c r="G13" s="315">
        <v>518</v>
      </c>
      <c r="H13" s="315">
        <v>171</v>
      </c>
      <c r="I13" s="315">
        <v>780</v>
      </c>
      <c r="J13" s="315">
        <v>761</v>
      </c>
      <c r="K13" s="315">
        <v>9696</v>
      </c>
      <c r="L13" s="315">
        <v>12811</v>
      </c>
      <c r="M13" s="315">
        <v>15457</v>
      </c>
      <c r="N13" s="315">
        <v>16560</v>
      </c>
      <c r="O13" s="315">
        <v>18510</v>
      </c>
      <c r="P13" s="315">
        <v>1687</v>
      </c>
      <c r="Q13" s="315">
        <v>580</v>
      </c>
      <c r="R13" s="340">
        <v>77807</v>
      </c>
    </row>
    <row r="14" spans="2:18" x14ac:dyDescent="0.25">
      <c r="B14" s="170" t="s">
        <v>6</v>
      </c>
      <c r="C14" s="315">
        <v>0</v>
      </c>
      <c r="D14" s="315">
        <v>68</v>
      </c>
      <c r="E14" s="315">
        <v>5</v>
      </c>
      <c r="F14" s="315">
        <v>0</v>
      </c>
      <c r="G14" s="315">
        <v>56</v>
      </c>
      <c r="H14" s="315">
        <v>13</v>
      </c>
      <c r="I14" s="315">
        <v>81</v>
      </c>
      <c r="J14" s="315">
        <v>140</v>
      </c>
      <c r="K14" s="315">
        <v>735</v>
      </c>
      <c r="L14" s="315">
        <v>831</v>
      </c>
      <c r="M14" s="315">
        <v>1252</v>
      </c>
      <c r="N14" s="315">
        <v>1641</v>
      </c>
      <c r="O14" s="315">
        <v>1261</v>
      </c>
      <c r="P14" s="315">
        <v>276</v>
      </c>
      <c r="Q14" s="315">
        <v>431</v>
      </c>
      <c r="R14" s="340">
        <v>6790</v>
      </c>
    </row>
    <row r="15" spans="2:18" x14ac:dyDescent="0.25">
      <c r="B15" s="285" t="s">
        <v>36</v>
      </c>
      <c r="C15" s="340">
        <v>0</v>
      </c>
      <c r="D15" s="340">
        <v>2631</v>
      </c>
      <c r="E15" s="340">
        <v>899</v>
      </c>
      <c r="F15" s="340">
        <v>1095</v>
      </c>
      <c r="G15" s="340">
        <v>1780</v>
      </c>
      <c r="H15" s="340">
        <v>906</v>
      </c>
      <c r="I15" s="340">
        <v>4847</v>
      </c>
      <c r="J15" s="340">
        <v>2573</v>
      </c>
      <c r="K15" s="340">
        <v>11971</v>
      </c>
      <c r="L15" s="340">
        <v>15222</v>
      </c>
      <c r="M15" s="340">
        <v>17809</v>
      </c>
      <c r="N15" s="340">
        <v>19551</v>
      </c>
      <c r="O15" s="340">
        <v>23422</v>
      </c>
      <c r="P15" s="340">
        <v>5031</v>
      </c>
      <c r="Q15" s="340">
        <v>4194</v>
      </c>
      <c r="R15" s="340">
        <v>111931</v>
      </c>
    </row>
    <row r="16" spans="2:18" ht="33.75" customHeight="1" x14ac:dyDescent="0.25">
      <c r="B16" s="483" t="s">
        <v>995</v>
      </c>
      <c r="C16" s="483"/>
      <c r="D16" s="483"/>
      <c r="E16" s="483"/>
      <c r="F16" s="483"/>
      <c r="G16" s="483"/>
      <c r="H16" s="483"/>
      <c r="I16" s="483"/>
      <c r="J16" s="483"/>
      <c r="K16" s="483"/>
      <c r="L16" s="483"/>
      <c r="M16" s="483"/>
      <c r="N16" s="483"/>
      <c r="O16" s="483"/>
      <c r="P16" s="483"/>
      <c r="Q16" s="483"/>
      <c r="R16" s="483"/>
    </row>
    <row r="18" spans="2:18" ht="18.75" x14ac:dyDescent="0.3">
      <c r="B18" s="2" t="s">
        <v>812</v>
      </c>
      <c r="C18" s="2"/>
      <c r="D18" s="2"/>
      <c r="E18" s="2"/>
      <c r="F18" s="2"/>
    </row>
    <row r="19" spans="2:18" x14ac:dyDescent="0.25">
      <c r="B19" s="273" t="s">
        <v>811</v>
      </c>
    </row>
    <row r="21" spans="2:18" x14ac:dyDescent="0.25">
      <c r="B21" s="484" t="s">
        <v>538</v>
      </c>
      <c r="C21" s="464" t="s">
        <v>487</v>
      </c>
      <c r="D21" s="464"/>
      <c r="E21" s="464"/>
      <c r="F21" s="464"/>
      <c r="G21" s="464"/>
      <c r="H21" s="464"/>
      <c r="I21" s="464"/>
      <c r="J21" s="464"/>
      <c r="K21" s="464"/>
      <c r="L21" s="464"/>
      <c r="M21" s="464"/>
      <c r="N21" s="464"/>
      <c r="O21" s="464"/>
      <c r="P21" s="464"/>
      <c r="Q21" s="464"/>
      <c r="R21" s="542" t="s">
        <v>809</v>
      </c>
    </row>
    <row r="22" spans="2:18" x14ac:dyDescent="0.25">
      <c r="B22" s="484"/>
      <c r="C22" s="4">
        <v>2008</v>
      </c>
      <c r="D22" s="4">
        <v>2009</v>
      </c>
      <c r="E22" s="4">
        <v>2010</v>
      </c>
      <c r="F22" s="4">
        <v>2011</v>
      </c>
      <c r="G22" s="4">
        <v>2012</v>
      </c>
      <c r="H22" s="4">
        <v>2013</v>
      </c>
      <c r="I22" s="4">
        <v>2014</v>
      </c>
      <c r="J22" s="4">
        <v>2015</v>
      </c>
      <c r="K22" s="4">
        <v>2016</v>
      </c>
      <c r="L22" s="4">
        <v>2017</v>
      </c>
      <c r="M22" s="4">
        <v>2018</v>
      </c>
      <c r="N22" s="4">
        <v>2019</v>
      </c>
      <c r="O22" s="4">
        <v>2020</v>
      </c>
      <c r="P22" s="4">
        <v>2021</v>
      </c>
      <c r="Q22" s="4">
        <v>2022</v>
      </c>
      <c r="R22" s="543"/>
    </row>
    <row r="23" spans="2:18" x14ac:dyDescent="0.25">
      <c r="B23" s="170" t="s">
        <v>3</v>
      </c>
      <c r="C23" s="315">
        <v>6127</v>
      </c>
      <c r="D23" s="315">
        <v>17524</v>
      </c>
      <c r="E23" s="315">
        <v>34791</v>
      </c>
      <c r="F23" s="315">
        <v>26236</v>
      </c>
      <c r="G23" s="315">
        <v>23012</v>
      </c>
      <c r="H23" s="315">
        <v>22314</v>
      </c>
      <c r="I23" s="315">
        <v>20472</v>
      </c>
      <c r="J23" s="315">
        <v>17589</v>
      </c>
      <c r="K23" s="315">
        <v>18952</v>
      </c>
      <c r="L23" s="315">
        <v>18945</v>
      </c>
      <c r="M23" s="315">
        <v>19764</v>
      </c>
      <c r="N23" s="315">
        <v>17332</v>
      </c>
      <c r="O23" s="315">
        <v>16993</v>
      </c>
      <c r="P23" s="315">
        <v>20883</v>
      </c>
      <c r="Q23" s="315">
        <v>3828</v>
      </c>
      <c r="R23" s="340">
        <v>284762</v>
      </c>
    </row>
    <row r="24" spans="2:18" x14ac:dyDescent="0.25">
      <c r="B24" s="170" t="s">
        <v>4</v>
      </c>
      <c r="C24" s="315">
        <v>3730</v>
      </c>
      <c r="D24" s="315">
        <v>11361</v>
      </c>
      <c r="E24" s="315">
        <v>11302</v>
      </c>
      <c r="F24" s="315">
        <v>10418</v>
      </c>
      <c r="G24" s="315">
        <v>11740</v>
      </c>
      <c r="H24" s="315">
        <v>12280</v>
      </c>
      <c r="I24" s="315">
        <v>10259</v>
      </c>
      <c r="J24" s="315">
        <v>9664</v>
      </c>
      <c r="K24" s="315">
        <v>9782</v>
      </c>
      <c r="L24" s="315">
        <v>11498</v>
      </c>
      <c r="M24" s="315">
        <v>10439</v>
      </c>
      <c r="N24" s="315">
        <v>10546</v>
      </c>
      <c r="O24" s="315">
        <v>11291</v>
      </c>
      <c r="P24" s="315">
        <v>13221</v>
      </c>
      <c r="Q24" s="315">
        <v>10252</v>
      </c>
      <c r="R24" s="340">
        <v>157783</v>
      </c>
    </row>
    <row r="25" spans="2:18" x14ac:dyDescent="0.25">
      <c r="B25" s="170" t="s">
        <v>714</v>
      </c>
      <c r="C25" s="315"/>
      <c r="D25" s="315"/>
      <c r="E25" s="315"/>
      <c r="F25" s="315"/>
      <c r="G25" s="315"/>
      <c r="H25" s="315"/>
      <c r="I25" s="315"/>
      <c r="J25" s="315"/>
      <c r="K25" s="315"/>
      <c r="L25" s="315"/>
      <c r="M25" s="315"/>
      <c r="N25" s="315"/>
      <c r="O25" s="315"/>
      <c r="P25" s="315"/>
      <c r="Q25" s="315">
        <v>29767</v>
      </c>
      <c r="R25" s="340">
        <v>29767</v>
      </c>
    </row>
    <row r="26" spans="2:18" x14ac:dyDescent="0.25">
      <c r="B26" s="170" t="s">
        <v>501</v>
      </c>
      <c r="C26" s="315"/>
      <c r="D26" s="315"/>
      <c r="E26" s="315"/>
      <c r="F26" s="315"/>
      <c r="G26" s="315"/>
      <c r="H26" s="315"/>
      <c r="I26" s="315"/>
      <c r="J26" s="315"/>
      <c r="K26" s="315"/>
      <c r="L26" s="315"/>
      <c r="M26" s="315"/>
      <c r="N26" s="315"/>
      <c r="O26" s="315"/>
      <c r="P26" s="315"/>
      <c r="Q26" s="315">
        <v>41180</v>
      </c>
      <c r="R26" s="340">
        <v>41180</v>
      </c>
    </row>
    <row r="27" spans="2:18" x14ac:dyDescent="0.25">
      <c r="B27" s="170" t="s">
        <v>5</v>
      </c>
      <c r="C27" s="315">
        <v>3949</v>
      </c>
      <c r="D27" s="315">
        <v>17566</v>
      </c>
      <c r="E27" s="315">
        <v>26970</v>
      </c>
      <c r="F27" s="315">
        <v>29676</v>
      </c>
      <c r="G27" s="315">
        <v>25599</v>
      </c>
      <c r="H27" s="315">
        <v>36028</v>
      </c>
      <c r="I27" s="315">
        <v>34628</v>
      </c>
      <c r="J27" s="315">
        <v>30387</v>
      </c>
      <c r="K27" s="315">
        <v>29535</v>
      </c>
      <c r="L27" s="315">
        <v>35201</v>
      </c>
      <c r="M27" s="315">
        <v>41694</v>
      </c>
      <c r="N27" s="315">
        <v>37187</v>
      </c>
      <c r="O27" s="315">
        <v>45606</v>
      </c>
      <c r="P27" s="315">
        <v>52794</v>
      </c>
      <c r="Q27" s="315">
        <v>22477</v>
      </c>
      <c r="R27" s="340">
        <v>469297</v>
      </c>
    </row>
    <row r="28" spans="2:18" x14ac:dyDescent="0.25">
      <c r="B28" s="170" t="s">
        <v>6</v>
      </c>
      <c r="C28" s="315">
        <v>11</v>
      </c>
      <c r="D28" s="315">
        <v>332</v>
      </c>
      <c r="E28" s="315">
        <v>1240</v>
      </c>
      <c r="F28" s="315">
        <v>942</v>
      </c>
      <c r="G28" s="315">
        <v>1529</v>
      </c>
      <c r="H28" s="315">
        <v>2494</v>
      </c>
      <c r="I28" s="315">
        <v>3205</v>
      </c>
      <c r="J28" s="315">
        <v>3262</v>
      </c>
      <c r="K28" s="315">
        <v>3397</v>
      </c>
      <c r="L28" s="315">
        <v>4160</v>
      </c>
      <c r="M28" s="315">
        <v>4987</v>
      </c>
      <c r="N28" s="315">
        <v>4101</v>
      </c>
      <c r="O28" s="315">
        <v>5697</v>
      </c>
      <c r="P28" s="315">
        <v>4803</v>
      </c>
      <c r="Q28" s="315">
        <v>6508</v>
      </c>
      <c r="R28" s="340">
        <v>46668</v>
      </c>
    </row>
    <row r="29" spans="2:18" x14ac:dyDescent="0.25">
      <c r="B29" s="285" t="s">
        <v>36</v>
      </c>
      <c r="C29" s="340">
        <v>13817</v>
      </c>
      <c r="D29" s="340">
        <v>46783</v>
      </c>
      <c r="E29" s="340">
        <v>74303</v>
      </c>
      <c r="F29" s="340">
        <v>67272</v>
      </c>
      <c r="G29" s="340">
        <v>61880</v>
      </c>
      <c r="H29" s="340">
        <v>73116</v>
      </c>
      <c r="I29" s="340">
        <v>68564</v>
      </c>
      <c r="J29" s="340">
        <v>60902</v>
      </c>
      <c r="K29" s="340">
        <v>61666</v>
      </c>
      <c r="L29" s="340">
        <v>69804</v>
      </c>
      <c r="M29" s="340">
        <v>76884</v>
      </c>
      <c r="N29" s="340">
        <v>69166</v>
      </c>
      <c r="O29" s="340">
        <v>79587</v>
      </c>
      <c r="P29" s="340">
        <v>91701</v>
      </c>
      <c r="Q29" s="340">
        <v>114012</v>
      </c>
      <c r="R29" s="340">
        <v>1029457</v>
      </c>
    </row>
    <row r="30" spans="2:18" ht="33" customHeight="1" x14ac:dyDescent="0.25">
      <c r="B30" s="483" t="s">
        <v>995</v>
      </c>
      <c r="C30" s="483"/>
      <c r="D30" s="483"/>
      <c r="E30" s="483"/>
      <c r="F30" s="483"/>
      <c r="G30" s="483"/>
      <c r="H30" s="483"/>
      <c r="I30" s="483"/>
      <c r="J30" s="483"/>
      <c r="K30" s="483"/>
      <c r="L30" s="483"/>
      <c r="M30" s="483"/>
      <c r="N30" s="483"/>
      <c r="O30" s="483"/>
      <c r="P30" s="483"/>
      <c r="Q30" s="483"/>
      <c r="R30" s="483"/>
    </row>
  </sheetData>
  <mergeCells count="8">
    <mergeCell ref="B30:R30"/>
    <mergeCell ref="B7:B8"/>
    <mergeCell ref="C7:Q7"/>
    <mergeCell ref="R7:R8"/>
    <mergeCell ref="B21:B22"/>
    <mergeCell ref="C21:Q21"/>
    <mergeCell ref="R21:R22"/>
    <mergeCell ref="B16:R1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70F42-AE11-47C1-B453-B8AC1B6B7F8F}">
  <sheetPr>
    <tabColor rgb="FF00B0F0"/>
  </sheetPr>
  <dimension ref="B2:P106"/>
  <sheetViews>
    <sheetView showGridLines="0" workbookViewId="0">
      <selection activeCell="I35" sqref="I35"/>
    </sheetView>
  </sheetViews>
  <sheetFormatPr baseColWidth="10" defaultColWidth="11.42578125" defaultRowHeight="15" x14ac:dyDescent="0.25"/>
  <cols>
    <col min="1" max="1" width="7.5703125" style="23" customWidth="1"/>
    <col min="2" max="2" width="31.5703125" style="23" customWidth="1"/>
    <col min="3" max="3" width="19.85546875" style="23" customWidth="1"/>
    <col min="4" max="4" width="11.42578125" style="23"/>
    <col min="5" max="5" width="14.5703125" style="23" customWidth="1"/>
    <col min="6" max="6" width="14.140625" style="23" customWidth="1"/>
    <col min="7" max="8" width="11.42578125" style="23"/>
    <col min="9" max="9" width="13.5703125" style="23" customWidth="1"/>
    <col min="10" max="11" width="11.42578125" style="23"/>
    <col min="12" max="12" width="11.140625" style="23" customWidth="1"/>
    <col min="13" max="16384" width="11.42578125" style="23"/>
  </cols>
  <sheetData>
    <row r="2" spans="2:11" ht="23.25" x14ac:dyDescent="0.25">
      <c r="B2" s="1" t="s">
        <v>91</v>
      </c>
    </row>
    <row r="4" spans="2:11" ht="18.75" x14ac:dyDescent="0.3">
      <c r="B4" s="2" t="s">
        <v>986</v>
      </c>
      <c r="C4" s="2"/>
      <c r="D4" s="2"/>
      <c r="E4" s="2"/>
      <c r="F4" s="2"/>
      <c r="G4" s="2"/>
      <c r="H4" s="2"/>
      <c r="I4" s="24"/>
    </row>
    <row r="5" spans="2:11" x14ac:dyDescent="0.25">
      <c r="B5" s="10" t="s">
        <v>520</v>
      </c>
      <c r="C5" s="181"/>
      <c r="D5" s="181"/>
      <c r="E5" s="181"/>
      <c r="F5" s="181"/>
      <c r="G5" s="181"/>
      <c r="H5" s="181"/>
    </row>
    <row r="6" spans="2:11" x14ac:dyDescent="0.25">
      <c r="B6" s="233"/>
      <c r="C6" s="181"/>
      <c r="D6" s="181"/>
      <c r="E6" s="182"/>
      <c r="F6" s="182"/>
      <c r="G6" s="182"/>
      <c r="H6" s="182"/>
    </row>
    <row r="7" spans="2:11" x14ac:dyDescent="0.25">
      <c r="B7" s="484" t="s">
        <v>537</v>
      </c>
      <c r="C7" s="544" t="s">
        <v>538</v>
      </c>
      <c r="D7" s="545"/>
      <c r="E7" s="545"/>
      <c r="F7" s="545"/>
      <c r="G7" s="545"/>
      <c r="H7" s="546"/>
      <c r="I7" s="547" t="s">
        <v>610</v>
      </c>
      <c r="J7" s="548"/>
      <c r="K7" s="492" t="s">
        <v>36</v>
      </c>
    </row>
    <row r="8" spans="2:11" ht="30" x14ac:dyDescent="0.25">
      <c r="B8" s="484"/>
      <c r="C8" s="256" t="s">
        <v>3</v>
      </c>
      <c r="D8" s="257" t="s">
        <v>4</v>
      </c>
      <c r="E8" s="257" t="s">
        <v>714</v>
      </c>
      <c r="F8" s="257" t="s">
        <v>501</v>
      </c>
      <c r="G8" s="257" t="s">
        <v>5</v>
      </c>
      <c r="H8" s="258" t="s">
        <v>6</v>
      </c>
      <c r="I8" s="255" t="s">
        <v>87</v>
      </c>
      <c r="J8" s="255" t="s">
        <v>88</v>
      </c>
      <c r="K8" s="492"/>
    </row>
    <row r="9" spans="2:11" x14ac:dyDescent="0.25">
      <c r="B9" s="175" t="s">
        <v>521</v>
      </c>
      <c r="C9" s="395" t="str">
        <f>IFERROR('2.5'!C9/'2.3'!C9,"")</f>
        <v/>
      </c>
      <c r="D9" s="395">
        <f>IFERROR('2.5'!D9/'2.3'!D9,"")</f>
        <v>2.34375E-2</v>
      </c>
      <c r="E9" s="395">
        <f>IFERROR('2.5'!E9/'2.3'!E9,"")</f>
        <v>0.5322283609576427</v>
      </c>
      <c r="F9" s="395">
        <f>IFERROR('2.5'!F9/'2.3'!F9,"")</f>
        <v>0.57047428189712757</v>
      </c>
      <c r="G9" s="395" t="str">
        <f>IFERROR('2.5'!G9/'2.3'!G9,"")</f>
        <v/>
      </c>
      <c r="H9" s="395">
        <f>IFERROR('2.5'!H9/'2.3'!H9,"")</f>
        <v>0.4925373134328358</v>
      </c>
      <c r="I9" s="395">
        <f>IFERROR('2.5'!I9/'2.3'!I9,"")</f>
        <v>0.55008944543828264</v>
      </c>
      <c r="J9" s="395">
        <f>IFERROR('2.5'!J9/'2.3'!J9,"")</f>
        <v>0.50492390331244408</v>
      </c>
      <c r="K9" s="396">
        <f>IFERROR('2.5'!K9/'2.3'!K9,"")</f>
        <v>0.52751677852348988</v>
      </c>
    </row>
    <row r="10" spans="2:11" x14ac:dyDescent="0.25">
      <c r="B10" s="152" t="s">
        <v>522</v>
      </c>
      <c r="C10" s="395" t="str">
        <f>IFERROR('2.5'!C10/'2.3'!C10,"")</f>
        <v/>
      </c>
      <c r="D10" s="395">
        <f>IFERROR('2.5'!D10/'2.3'!D10,"")</f>
        <v>4.4554455445544552E-2</v>
      </c>
      <c r="E10" s="395">
        <f>IFERROR('2.5'!E10/'2.3'!E10,"")</f>
        <v>0.55432780847145491</v>
      </c>
      <c r="F10" s="395">
        <f>IFERROR('2.5'!F10/'2.3'!F10,"")</f>
        <v>0.61164406218987766</v>
      </c>
      <c r="G10" s="395" t="str">
        <f>IFERROR('2.5'!G10/'2.3'!G10,"")</f>
        <v/>
      </c>
      <c r="H10" s="395">
        <f>IFERROR('2.5'!H10/'2.3'!H10,"")</f>
        <v>0.41379310344827586</v>
      </c>
      <c r="I10" s="395">
        <f>IFERROR('2.5'!I10/'2.3'!I10,"")</f>
        <v>0.58355555555555561</v>
      </c>
      <c r="J10" s="395">
        <f>IFERROR('2.5'!J10/'2.3'!J10,"")</f>
        <v>0.55261915998112321</v>
      </c>
      <c r="K10" s="396">
        <f>IFERROR('2.5'!K10/'2.3'!K10,"")</f>
        <v>0.56855115587090865</v>
      </c>
    </row>
    <row r="11" spans="2:11" x14ac:dyDescent="0.25">
      <c r="B11" s="152" t="s">
        <v>523</v>
      </c>
      <c r="C11" s="395" t="str">
        <f>IFERROR('2.5'!C11/'2.3'!C11,"")</f>
        <v/>
      </c>
      <c r="D11" s="395">
        <f>IFERROR('2.5'!D11/'2.3'!D11,"")</f>
        <v>2.2900763358778626E-2</v>
      </c>
      <c r="E11" s="395">
        <f>IFERROR('2.5'!E11/'2.3'!E11,"")</f>
        <v>0.55878084179970977</v>
      </c>
      <c r="F11" s="395">
        <f>IFERROR('2.5'!F11/'2.3'!F11,"")</f>
        <v>0.59962640099626396</v>
      </c>
      <c r="G11" s="395" t="str">
        <f>IFERROR('2.5'!G11/'2.3'!G11,"")</f>
        <v/>
      </c>
      <c r="H11" s="395">
        <f>IFERROR('2.5'!H11/'2.3'!H11,"")</f>
        <v>0.56521739130434778</v>
      </c>
      <c r="I11" s="395">
        <f>IFERROR('2.5'!I11/'2.3'!I11,"")</f>
        <v>0.55025125628140703</v>
      </c>
      <c r="J11" s="395">
        <f>IFERROR('2.5'!J11/'2.3'!J11,"")</f>
        <v>0.56338028169014087</v>
      </c>
      <c r="K11" s="396">
        <f>IFERROR('2.5'!K11/'2.3'!K11,"")</f>
        <v>0.55703883495145634</v>
      </c>
    </row>
    <row r="12" spans="2:11" x14ac:dyDescent="0.25">
      <c r="B12" s="152" t="s">
        <v>524</v>
      </c>
      <c r="C12" s="395" t="str">
        <f>IFERROR('2.5'!C12/'2.3'!C12,"")</f>
        <v/>
      </c>
      <c r="D12" s="395">
        <f>IFERROR('2.5'!D12/'2.3'!D12,"")</f>
        <v>2.6178010471204188E-2</v>
      </c>
      <c r="E12" s="395">
        <f>IFERROR('2.5'!E12/'2.3'!E12,"")</f>
        <v>0.54612095296273666</v>
      </c>
      <c r="F12" s="395">
        <f>IFERROR('2.5'!F12/'2.3'!F12,"")</f>
        <v>0.58578313253012049</v>
      </c>
      <c r="G12" s="395" t="str">
        <f>IFERROR('2.5'!G12/'2.3'!G12,"")</f>
        <v/>
      </c>
      <c r="H12" s="395">
        <f>IFERROR('2.5'!H12/'2.3'!H12,"")</f>
        <v>0.47826086956521741</v>
      </c>
      <c r="I12" s="395">
        <f>IFERROR('2.5'!I12/'2.3'!I12,"")</f>
        <v>0.54711717296962181</v>
      </c>
      <c r="J12" s="395">
        <f>IFERROR('2.5'!J12/'2.3'!J12,"")</f>
        <v>0.53022065877838187</v>
      </c>
      <c r="K12" s="396">
        <f>IFERROR('2.5'!K12/'2.3'!K12,"")</f>
        <v>0.53880056666141984</v>
      </c>
    </row>
    <row r="13" spans="2:11" x14ac:dyDescent="0.25">
      <c r="B13" s="152" t="s">
        <v>525</v>
      </c>
      <c r="C13" s="395" t="str">
        <f>IFERROR('2.5'!C13/'2.3'!C13,"")</f>
        <v/>
      </c>
      <c r="D13" s="395">
        <f>IFERROR('2.5'!D13/'2.3'!D13,"")</f>
        <v>4.0669856459330141E-2</v>
      </c>
      <c r="E13" s="395">
        <f>IFERROR('2.5'!E13/'2.3'!E13,"")</f>
        <v>0.528169014084507</v>
      </c>
      <c r="F13" s="395">
        <f>IFERROR('2.5'!F13/'2.3'!F13,"")</f>
        <v>0.57215073529411764</v>
      </c>
      <c r="G13" s="395" t="str">
        <f>IFERROR('2.5'!G13/'2.3'!G13,"")</f>
        <v/>
      </c>
      <c r="H13" s="395">
        <f>IFERROR('2.5'!H13/'2.3'!H13,"")</f>
        <v>0.45436105476673427</v>
      </c>
      <c r="I13" s="395">
        <f>IFERROR('2.5'!I13/'2.3'!I13,"")</f>
        <v>0.54913494809688579</v>
      </c>
      <c r="J13" s="395">
        <f>IFERROR('2.5'!J13/'2.3'!J13,"")</f>
        <v>0.50820561508205619</v>
      </c>
      <c r="K13" s="396">
        <f>IFERROR('2.5'!K13/'2.3'!K13,"")</f>
        <v>0.53032475222838626</v>
      </c>
    </row>
    <row r="14" spans="2:11" ht="30" x14ac:dyDescent="0.25">
      <c r="B14" s="152" t="s">
        <v>526</v>
      </c>
      <c r="C14" s="395" t="str">
        <f>IFERROR('2.5'!C14/'2.3'!C14,"")</f>
        <v/>
      </c>
      <c r="D14" s="395">
        <f>IFERROR('2.5'!D14/'2.3'!D14,"")</f>
        <v>4.5801526717557252E-2</v>
      </c>
      <c r="E14" s="395">
        <f>IFERROR('2.5'!E14/'2.3'!E14,"")</f>
        <v>0.51220779220779222</v>
      </c>
      <c r="F14" s="395">
        <f>IFERROR('2.5'!F14/'2.3'!F14,"")</f>
        <v>0.60953288846520493</v>
      </c>
      <c r="G14" s="395" t="str">
        <f>IFERROR('2.5'!G14/'2.3'!G14,"")</f>
        <v/>
      </c>
      <c r="H14" s="395">
        <f>IFERROR('2.5'!H14/'2.3'!H14,"")</f>
        <v>0.47014925373134331</v>
      </c>
      <c r="I14" s="395">
        <f>IFERROR('2.5'!I14/'2.3'!I14,"")</f>
        <v>0.55678271308523408</v>
      </c>
      <c r="J14" s="395">
        <f>IFERROR('2.5'!J14/'2.3'!J14,"")</f>
        <v>0.53041875164603636</v>
      </c>
      <c r="K14" s="396">
        <f>IFERROR('2.5'!K14/'2.3'!K14,"")</f>
        <v>0.54420999748806831</v>
      </c>
    </row>
    <row r="15" spans="2:11" x14ac:dyDescent="0.25">
      <c r="B15" s="152" t="s">
        <v>527</v>
      </c>
      <c r="C15" s="395" t="str">
        <f>IFERROR('2.5'!C15/'2.3'!C15,"")</f>
        <v/>
      </c>
      <c r="D15" s="395">
        <f>IFERROR('2.5'!D15/'2.3'!D15,"")</f>
        <v>4.4905008635578586E-2</v>
      </c>
      <c r="E15" s="395">
        <f>IFERROR('2.5'!E15/'2.3'!E15,"")</f>
        <v>0.47824156305506216</v>
      </c>
      <c r="F15" s="395">
        <f>IFERROR('2.5'!F15/'2.3'!F15,"")</f>
        <v>0.55007317583106841</v>
      </c>
      <c r="G15" s="395" t="str">
        <f>IFERROR('2.5'!G15/'2.3'!G15,"")</f>
        <v/>
      </c>
      <c r="H15" s="395">
        <f>IFERROR('2.5'!H15/'2.3'!H15,"")</f>
        <v>0.49013157894736842</v>
      </c>
      <c r="I15" s="395">
        <f>IFERROR('2.5'!I15/'2.3'!I15,"")</f>
        <v>0.50646183857595706</v>
      </c>
      <c r="J15" s="395">
        <f>IFERROR('2.5'!J15/'2.3'!J15,"")</f>
        <v>0.47314645009169504</v>
      </c>
      <c r="K15" s="396">
        <f>IFERROR('2.5'!K15/'2.3'!K15,"")</f>
        <v>0.49040161656984088</v>
      </c>
    </row>
    <row r="16" spans="2:11" x14ac:dyDescent="0.25">
      <c r="B16" s="152" t="s">
        <v>528</v>
      </c>
      <c r="C16" s="395" t="str">
        <f>IFERROR('2.5'!C16/'2.3'!C16,"")</f>
        <v/>
      </c>
      <c r="D16" s="395">
        <f>IFERROR('2.5'!D16/'2.3'!D16,"")</f>
        <v>3.137651821862348E-2</v>
      </c>
      <c r="E16" s="395">
        <f>IFERROR('2.5'!E16/'2.3'!E16,"")</f>
        <v>0.50150956055015095</v>
      </c>
      <c r="F16" s="395">
        <f>IFERROR('2.5'!F16/'2.3'!F16,"")</f>
        <v>0.58871930988719312</v>
      </c>
      <c r="G16" s="395" t="str">
        <f>IFERROR('2.5'!G16/'2.3'!G16,"")</f>
        <v/>
      </c>
      <c r="H16" s="395">
        <f>IFERROR('2.5'!H16/'2.3'!H16,"")</f>
        <v>0.52588555858310626</v>
      </c>
      <c r="I16" s="395">
        <f>IFERROR('2.5'!I16/'2.3'!I16,"")</f>
        <v>0.51878522229179713</v>
      </c>
      <c r="J16" s="395">
        <f>IFERROR('2.5'!J16/'2.3'!J16,"")</f>
        <v>0.51814699981761814</v>
      </c>
      <c r="K16" s="396">
        <f>IFERROR('2.5'!K16/'2.3'!K16,"")</f>
        <v>0.51849043888467694</v>
      </c>
    </row>
    <row r="17" spans="2:11" x14ac:dyDescent="0.25">
      <c r="B17" s="152" t="s">
        <v>529</v>
      </c>
      <c r="C17" s="395" t="str">
        <f>IFERROR('2.5'!C17/'2.3'!C17,"")</f>
        <v/>
      </c>
      <c r="D17" s="395">
        <f>IFERROR('2.5'!D17/'2.3'!D17,"")</f>
        <v>4.2899408284023666E-2</v>
      </c>
      <c r="E17" s="395">
        <f>IFERROR('2.5'!E17/'2.3'!E17,"")</f>
        <v>0.48464317976513099</v>
      </c>
      <c r="F17" s="395">
        <f>IFERROR('2.5'!F17/'2.3'!F17,"")</f>
        <v>0.55627931214174053</v>
      </c>
      <c r="G17" s="395" t="str">
        <f>IFERROR('2.5'!G17/'2.3'!G17,"")</f>
        <v/>
      </c>
      <c r="H17" s="395">
        <f>IFERROR('2.5'!H17/'2.3'!H17,"")</f>
        <v>0.47619047619047616</v>
      </c>
      <c r="I17" s="395">
        <f>IFERROR('2.5'!I17/'2.3'!I17,"")</f>
        <v>0.48730415991356024</v>
      </c>
      <c r="J17" s="395">
        <f>IFERROR('2.5'!J17/'2.3'!J17,"")</f>
        <v>0.47376449054301401</v>
      </c>
      <c r="K17" s="396">
        <f>IFERROR('2.5'!K17/'2.3'!K17,"")</f>
        <v>0.48094555873925504</v>
      </c>
    </row>
    <row r="18" spans="2:11" x14ac:dyDescent="0.25">
      <c r="B18" s="152" t="s">
        <v>530</v>
      </c>
      <c r="C18" s="395" t="str">
        <f>IFERROR('2.5'!C18/'2.3'!C18,"")</f>
        <v/>
      </c>
      <c r="D18" s="395">
        <f>IFERROR('2.5'!D18/'2.3'!D18,"")</f>
        <v>4.5627376425855515E-2</v>
      </c>
      <c r="E18" s="395">
        <f>IFERROR('2.5'!E18/'2.3'!E18,"")</f>
        <v>0.47191661841343369</v>
      </c>
      <c r="F18" s="395">
        <f>IFERROR('2.5'!F18/'2.3'!F18,"")</f>
        <v>0.56148770245950808</v>
      </c>
      <c r="G18" s="395" t="str">
        <f>IFERROR('2.5'!G18/'2.3'!G18,"")</f>
        <v/>
      </c>
      <c r="H18" s="395">
        <f>IFERROR('2.5'!H18/'2.3'!H18,"")</f>
        <v>0.45491803278688525</v>
      </c>
      <c r="I18" s="395">
        <f>IFERROR('2.5'!I18/'2.3'!I18,"")</f>
        <v>0.48664688427299702</v>
      </c>
      <c r="J18" s="395">
        <f>IFERROR('2.5'!J18/'2.3'!J18,"")</f>
        <v>0.48105789849892783</v>
      </c>
      <c r="K18" s="396">
        <f>IFERROR('2.5'!K18/'2.3'!K18,"")</f>
        <v>0.48396501457725949</v>
      </c>
    </row>
    <row r="19" spans="2:11" ht="30" x14ac:dyDescent="0.25">
      <c r="B19" s="152" t="s">
        <v>531</v>
      </c>
      <c r="C19" s="395" t="str">
        <f>IFERROR('2.5'!C19/'2.3'!C19,"")</f>
        <v/>
      </c>
      <c r="D19" s="395">
        <f>IFERROR('2.5'!D19/'2.3'!D19,"")</f>
        <v>4.2553191489361701E-2</v>
      </c>
      <c r="E19" s="395">
        <f>IFERROR('2.5'!E19/'2.3'!E19,"")</f>
        <v>0.59937888198757761</v>
      </c>
      <c r="F19" s="395">
        <f>IFERROR('2.5'!F19/'2.3'!F19,"")</f>
        <v>0.63068181818181823</v>
      </c>
      <c r="G19" s="395" t="str">
        <f>IFERROR('2.5'!G19/'2.3'!G19,"")</f>
        <v/>
      </c>
      <c r="H19" s="395">
        <f>IFERROR('2.5'!H19/'2.3'!H19,"")</f>
        <v>0.47826086956521741</v>
      </c>
      <c r="I19" s="395">
        <f>IFERROR('2.5'!I19/'2.3'!I19,"")</f>
        <v>0.57967667436489612</v>
      </c>
      <c r="J19" s="395">
        <f>IFERROR('2.5'!J19/'2.3'!J19,"")</f>
        <v>0.59137577002053388</v>
      </c>
      <c r="K19" s="396">
        <f>IFERROR('2.5'!K19/'2.3'!K19,"")</f>
        <v>0.58586956521739131</v>
      </c>
    </row>
    <row r="20" spans="2:11" ht="30" x14ac:dyDescent="0.25">
      <c r="B20" s="152" t="s">
        <v>532</v>
      </c>
      <c r="C20" s="395" t="str">
        <f>IFERROR('2.5'!C20/'2.3'!C20,"")</f>
        <v/>
      </c>
      <c r="D20" s="395">
        <f>IFERROR('2.5'!D20/'2.3'!D20,"")</f>
        <v>3.6363636363636362E-2</v>
      </c>
      <c r="E20" s="395">
        <f>IFERROR('2.5'!E20/'2.3'!E20,"")</f>
        <v>0.52429667519181589</v>
      </c>
      <c r="F20" s="395">
        <f>IFERROR('2.5'!F20/'2.3'!F20,"")</f>
        <v>0.58895131086142327</v>
      </c>
      <c r="G20" s="395" t="str">
        <f>IFERROR('2.5'!G20/'2.3'!G20,"")</f>
        <v/>
      </c>
      <c r="H20" s="395">
        <f>IFERROR('2.5'!H20/'2.3'!H20,"")</f>
        <v>0.47368421052631576</v>
      </c>
      <c r="I20" s="395">
        <f>IFERROR('2.5'!I20/'2.3'!I20,"")</f>
        <v>0.58669833729216148</v>
      </c>
      <c r="J20" s="395">
        <f>IFERROR('2.5'!J20/'2.3'!J20,"")</f>
        <v>0.50704225352112675</v>
      </c>
      <c r="K20" s="396">
        <f>IFERROR('2.5'!K20/'2.3'!K20,"")</f>
        <v>0.55025773195876293</v>
      </c>
    </row>
    <row r="21" spans="2:11" x14ac:dyDescent="0.25">
      <c r="B21" s="152" t="s">
        <v>533</v>
      </c>
      <c r="C21" s="395" t="str">
        <f>IFERROR('2.5'!C21/'2.3'!C21,"")</f>
        <v/>
      </c>
      <c r="D21" s="395">
        <f>IFERROR('2.5'!D21/'2.3'!D21,"")</f>
        <v>3.8674033149171269E-2</v>
      </c>
      <c r="E21" s="395">
        <f>IFERROR('2.5'!E21/'2.3'!E21,"")</f>
        <v>0.5</v>
      </c>
      <c r="F21" s="395">
        <f>IFERROR('2.5'!F21/'2.3'!F21,"")</f>
        <v>0.55679099608525451</v>
      </c>
      <c r="G21" s="395" t="str">
        <f>IFERROR('2.5'!G21/'2.3'!G21,"")</f>
        <v/>
      </c>
      <c r="H21" s="395">
        <f>IFERROR('2.5'!H21/'2.3'!H21,"")</f>
        <v>0.50476190476190474</v>
      </c>
      <c r="I21" s="395">
        <f>IFERROR('2.5'!I21/'2.3'!I21,"")</f>
        <v>0.52538670237130469</v>
      </c>
      <c r="J21" s="395">
        <f>IFERROR('2.5'!J21/'2.3'!J21,"")</f>
        <v>0.51159513648441901</v>
      </c>
      <c r="K21" s="396">
        <f>IFERROR('2.5'!K21/'2.3'!K21,"")</f>
        <v>0.51894999906048589</v>
      </c>
    </row>
    <row r="22" spans="2:11" x14ac:dyDescent="0.25">
      <c r="B22" s="152" t="s">
        <v>534</v>
      </c>
      <c r="C22" s="395" t="str">
        <f>IFERROR('2.5'!C22/'2.3'!C22,"")</f>
        <v/>
      </c>
      <c r="D22" s="395">
        <f>IFERROR('2.5'!D22/'2.3'!D22,"")</f>
        <v>2.4193548387096774E-2</v>
      </c>
      <c r="E22" s="395">
        <f>IFERROR('2.5'!E22/'2.3'!E22,"")</f>
        <v>0.49099099099099097</v>
      </c>
      <c r="F22" s="395">
        <f>IFERROR('2.5'!F22/'2.3'!F22,"")</f>
        <v>0.58213096559378463</v>
      </c>
      <c r="G22" s="395" t="str">
        <f>IFERROR('2.5'!G22/'2.3'!G22,"")</f>
        <v/>
      </c>
      <c r="H22" s="395">
        <f>IFERROR('2.5'!H22/'2.3'!H22,"")</f>
        <v>0.46153846153846156</v>
      </c>
      <c r="I22" s="395">
        <f>IFERROR('2.5'!I22/'2.3'!I22,"")</f>
        <v>0.50955794504181606</v>
      </c>
      <c r="J22" s="395">
        <f>IFERROR('2.5'!J22/'2.3'!J22,"")</f>
        <v>0.50035536602700781</v>
      </c>
      <c r="K22" s="396">
        <f>IFERROR('2.5'!K22/'2.3'!K22,"")</f>
        <v>0.50535540408958135</v>
      </c>
    </row>
    <row r="23" spans="2:11" x14ac:dyDescent="0.25">
      <c r="B23" s="152" t="s">
        <v>535</v>
      </c>
      <c r="C23" s="395" t="str">
        <f>IFERROR('2.5'!C23/'2.3'!C23,"")</f>
        <v/>
      </c>
      <c r="D23" s="395">
        <f>IFERROR('2.5'!D23/'2.3'!D23,"")</f>
        <v>7.1428571428571425E-2</v>
      </c>
      <c r="E23" s="395">
        <f>IFERROR('2.5'!E23/'2.3'!E23,"")</f>
        <v>0.55111111111111111</v>
      </c>
      <c r="F23" s="395">
        <f>IFERROR('2.5'!F23/'2.3'!F23,"")</f>
        <v>0.58658204895738897</v>
      </c>
      <c r="G23" s="395" t="str">
        <f>IFERROR('2.5'!G23/'2.3'!G23,"")</f>
        <v/>
      </c>
      <c r="H23" s="395">
        <f>IFERROR('2.5'!H23/'2.3'!H23,"")</f>
        <v>0.37735849056603776</v>
      </c>
      <c r="I23" s="395">
        <f>IFERROR('2.5'!I23/'2.3'!I23,"")</f>
        <v>0.56655665566556657</v>
      </c>
      <c r="J23" s="395">
        <f>IFERROR('2.5'!J23/'2.3'!J23,"")</f>
        <v>0.51194968553459119</v>
      </c>
      <c r="K23" s="396">
        <f>IFERROR('2.5'!K23/'2.3'!K23,"")</f>
        <v>0.54107981220657275</v>
      </c>
    </row>
    <row r="24" spans="2:11" x14ac:dyDescent="0.25">
      <c r="B24" s="152" t="s">
        <v>536</v>
      </c>
      <c r="C24" s="395" t="str">
        <f>IFERROR('2.5'!C24/'2.3'!C24,"")</f>
        <v/>
      </c>
      <c r="D24" s="395">
        <f>IFERROR('2.5'!D24/'2.3'!D24,"")</f>
        <v>1.890359168241966E-2</v>
      </c>
      <c r="E24" s="395">
        <f>IFERROR('2.5'!E24/'2.3'!E24,"")</f>
        <v>0.47015610651974288</v>
      </c>
      <c r="F24" s="395">
        <f>IFERROR('2.5'!F24/'2.3'!F24,"")</f>
        <v>0.5762949136724218</v>
      </c>
      <c r="G24" s="395" t="str">
        <f>IFERROR('2.5'!G24/'2.3'!G24,"")</f>
        <v/>
      </c>
      <c r="H24" s="395">
        <f>IFERROR('2.5'!H24/'2.3'!H24,"")</f>
        <v>0.36178861788617889</v>
      </c>
      <c r="I24" s="395">
        <f>IFERROR('2.5'!I24/'2.3'!I24,"")</f>
        <v>0.47405004633920295</v>
      </c>
      <c r="J24" s="395">
        <f>IFERROR('2.5'!J24/'2.3'!J24,"")</f>
        <v>0.44510546241211468</v>
      </c>
      <c r="K24" s="396">
        <f>IFERROR('2.5'!K24/'2.3'!K24,"")</f>
        <v>0.46069378587471926</v>
      </c>
    </row>
    <row r="25" spans="2:11" x14ac:dyDescent="0.25">
      <c r="B25" s="293" t="s">
        <v>36</v>
      </c>
      <c r="C25" s="397" t="str">
        <f>IFERROR('2.5'!C25/'2.3'!C25,"")</f>
        <v/>
      </c>
      <c r="D25" s="397">
        <f>IFERROR('2.5'!D25/'2.3'!D25,"")</f>
        <v>3.746085280655264E-2</v>
      </c>
      <c r="E25" s="397">
        <f>IFERROR('2.5'!E25/'2.3'!E25,"")</f>
        <v>0.50630347974900169</v>
      </c>
      <c r="F25" s="397">
        <f>IFERROR('2.5'!F25/'2.3'!F25,"")</f>
        <v>0.57061767373123295</v>
      </c>
      <c r="G25" s="397" t="str">
        <f>IFERROR('2.5'!G25/'2.3'!G25,"")</f>
        <v/>
      </c>
      <c r="H25" s="397">
        <f>IFERROR('2.5'!H25/'2.3'!H25,"")</f>
        <v>0.47653806047966629</v>
      </c>
      <c r="I25" s="397">
        <f>IFERROR('2.5'!I25/'2.3'!I25,"")</f>
        <v>0.52804385139250321</v>
      </c>
      <c r="J25" s="397">
        <f>IFERROR('2.5'!J25/'2.3'!J25,"")</f>
        <v>0.5089073172249623</v>
      </c>
      <c r="K25" s="397">
        <f>IFERROR('2.5'!K25/'2.3'!K25,"")</f>
        <v>0.51903425946951665</v>
      </c>
    </row>
    <row r="26" spans="2:11" ht="30" customHeight="1" x14ac:dyDescent="0.25">
      <c r="B26" s="510" t="s">
        <v>995</v>
      </c>
      <c r="C26" s="510"/>
      <c r="D26" s="510"/>
      <c r="E26" s="510"/>
      <c r="F26" s="510"/>
      <c r="G26" s="510"/>
      <c r="H26" s="510"/>
      <c r="I26" s="510"/>
      <c r="J26" s="510"/>
      <c r="K26" s="510"/>
    </row>
    <row r="28" spans="2:11" ht="18.75" x14ac:dyDescent="0.3">
      <c r="B28" s="2" t="s">
        <v>987</v>
      </c>
      <c r="C28" s="2"/>
      <c r="D28" s="2"/>
      <c r="E28" s="2"/>
      <c r="F28" s="2"/>
      <c r="G28" s="2"/>
      <c r="H28" s="2"/>
    </row>
    <row r="29" spans="2:11" x14ac:dyDescent="0.25">
      <c r="B29" s="10" t="s">
        <v>560</v>
      </c>
      <c r="C29" s="181"/>
      <c r="D29" s="181"/>
      <c r="E29" s="181"/>
      <c r="F29" s="181"/>
      <c r="G29" s="181"/>
      <c r="H29" s="181"/>
    </row>
    <row r="30" spans="2:11" x14ac:dyDescent="0.25">
      <c r="B30" s="233"/>
      <c r="C30" s="181"/>
      <c r="D30" s="181"/>
      <c r="E30" s="182"/>
      <c r="F30" s="182"/>
      <c r="G30" s="182"/>
      <c r="H30" s="182"/>
    </row>
    <row r="31" spans="2:11" x14ac:dyDescent="0.25">
      <c r="B31" s="484" t="s">
        <v>537</v>
      </c>
      <c r="C31" s="544" t="s">
        <v>538</v>
      </c>
      <c r="D31" s="545"/>
      <c r="E31" s="545"/>
      <c r="F31" s="545"/>
      <c r="G31" s="545"/>
      <c r="H31" s="546"/>
      <c r="I31" s="547" t="s">
        <v>610</v>
      </c>
      <c r="J31" s="548"/>
      <c r="K31" s="492" t="s">
        <v>36</v>
      </c>
    </row>
    <row r="32" spans="2:11" ht="30" x14ac:dyDescent="0.25">
      <c r="B32" s="484"/>
      <c r="C32" s="256" t="s">
        <v>3</v>
      </c>
      <c r="D32" s="257" t="s">
        <v>4</v>
      </c>
      <c r="E32" s="257" t="s">
        <v>714</v>
      </c>
      <c r="F32" s="257" t="s">
        <v>501</v>
      </c>
      <c r="G32" s="257" t="s">
        <v>5</v>
      </c>
      <c r="H32" s="258" t="s">
        <v>6</v>
      </c>
      <c r="I32" s="255" t="s">
        <v>87</v>
      </c>
      <c r="J32" s="255" t="s">
        <v>88</v>
      </c>
      <c r="K32" s="492"/>
    </row>
    <row r="33" spans="2:11" x14ac:dyDescent="0.25">
      <c r="B33" s="175" t="s">
        <v>521</v>
      </c>
      <c r="C33" s="395">
        <f>IFERROR('2.5'!C33/'2.3'!C33,"")</f>
        <v>0.88888888888888884</v>
      </c>
      <c r="D33" s="395">
        <f>IFERROR('2.5'!D33/'2.3'!D33,"")</f>
        <v>0.30873493975903615</v>
      </c>
      <c r="E33" s="395">
        <f>IFERROR('2.5'!E33/'2.3'!E33,"")</f>
        <v>0.6714939024390244</v>
      </c>
      <c r="F33" s="395">
        <f>IFERROR('2.5'!F33/'2.3'!F33,"")</f>
        <v>0.76760197453884127</v>
      </c>
      <c r="G33" s="395">
        <f>IFERROR('2.5'!G33/'2.3'!G33,"")</f>
        <v>0.90793650793650793</v>
      </c>
      <c r="H33" s="395">
        <f>IFERROR('2.5'!H33/'2.3'!H33,"")</f>
        <v>0.77384196185286103</v>
      </c>
      <c r="I33" s="395">
        <f>IFERROR('2.5'!I33/'2.3'!I33,"")</f>
        <v>0.7205552153500715</v>
      </c>
      <c r="J33" s="395">
        <f>IFERROR('2.5'!J33/'2.3'!J33,"")</f>
        <v>0.74136371857478744</v>
      </c>
      <c r="K33" s="396">
        <f>IFERROR('2.5'!K33/'2.3'!K33,"")</f>
        <v>0.7315880322209436</v>
      </c>
    </row>
    <row r="34" spans="2:11" x14ac:dyDescent="0.25">
      <c r="B34" s="152" t="s">
        <v>522</v>
      </c>
      <c r="C34" s="395">
        <f>IFERROR('2.5'!C34/'2.3'!C34,"")</f>
        <v>0.84472049689440998</v>
      </c>
      <c r="D34" s="395">
        <f>IFERROR('2.5'!D34/'2.3'!D34,"")</f>
        <v>0.15283842794759825</v>
      </c>
      <c r="E34" s="395">
        <f>IFERROR('2.5'!E34/'2.3'!E34,"")</f>
        <v>0.68588007736943912</v>
      </c>
      <c r="F34" s="395">
        <f>IFERROR('2.5'!F34/'2.3'!F34,"")</f>
        <v>0.72999806588872418</v>
      </c>
      <c r="G34" s="395">
        <f>IFERROR('2.5'!G34/'2.3'!G34,"")</f>
        <v>0.90734824281150162</v>
      </c>
      <c r="H34" s="395">
        <f>IFERROR('2.5'!H34/'2.3'!H34,"")</f>
        <v>0.70175438596491224</v>
      </c>
      <c r="I34" s="395">
        <f>IFERROR('2.5'!I34/'2.3'!I34,"")</f>
        <v>0.7053135179153095</v>
      </c>
      <c r="J34" s="395">
        <f>IFERROR('2.5'!J34/'2.3'!J34,"")</f>
        <v>0.70282058738005238</v>
      </c>
      <c r="K34" s="396">
        <f>IFERROR('2.5'!K34/'2.3'!K34,"")</f>
        <v>0.70403654237624747</v>
      </c>
    </row>
    <row r="35" spans="2:11" x14ac:dyDescent="0.25">
      <c r="B35" s="152" t="s">
        <v>523</v>
      </c>
      <c r="C35" s="395">
        <f>IFERROR('2.5'!C35/'2.3'!C35,"")</f>
        <v>0.90666666666666662</v>
      </c>
      <c r="D35" s="395">
        <f>IFERROR('2.5'!D35/'2.3'!D35,"")</f>
        <v>0.27430555555555558</v>
      </c>
      <c r="E35" s="395">
        <f>IFERROR('2.5'!E35/'2.3'!E35,"")</f>
        <v>0.73355263157894735</v>
      </c>
      <c r="F35" s="395">
        <f>IFERROR('2.5'!F35/'2.3'!F35,"")</f>
        <v>0.77092398259534167</v>
      </c>
      <c r="G35" s="395">
        <f>IFERROR('2.5'!G35/'2.3'!G35,"")</f>
        <v>0.91925465838509313</v>
      </c>
      <c r="H35" s="395">
        <f>IFERROR('2.5'!H35/'2.3'!H35,"")</f>
        <v>0.7857142857142857</v>
      </c>
      <c r="I35" s="395">
        <f>IFERROR('2.5'!I35/'2.3'!I35,"")</f>
        <v>0.73629848229342332</v>
      </c>
      <c r="J35" s="395">
        <f>IFERROR('2.5'!J35/'2.3'!J35,"")</f>
        <v>0.75081685296646605</v>
      </c>
      <c r="K35" s="396">
        <f>IFERROR('2.5'!K35/'2.3'!K35,"")</f>
        <v>0.74429396723174546</v>
      </c>
    </row>
    <row r="36" spans="2:11" x14ac:dyDescent="0.25">
      <c r="B36" s="152" t="s">
        <v>524</v>
      </c>
      <c r="C36" s="395">
        <f>IFERROR('2.5'!C36/'2.3'!C36,"")</f>
        <v>0.9321266968325792</v>
      </c>
      <c r="D36" s="395">
        <f>IFERROR('2.5'!D36/'2.3'!D36,"")</f>
        <v>0.25843339050886222</v>
      </c>
      <c r="E36" s="395">
        <f>IFERROR('2.5'!E36/'2.3'!E36,"")</f>
        <v>0.74452742724697396</v>
      </c>
      <c r="F36" s="395">
        <f>IFERROR('2.5'!F36/'2.3'!F36,"")</f>
        <v>0.7842572161930923</v>
      </c>
      <c r="G36" s="395">
        <f>IFERROR('2.5'!G36/'2.3'!G36,"")</f>
        <v>0.93784078516902947</v>
      </c>
      <c r="H36" s="395">
        <f>IFERROR('2.5'!H36/'2.3'!H36,"")</f>
        <v>0.7661290322580645</v>
      </c>
      <c r="I36" s="395">
        <f>IFERROR('2.5'!I36/'2.3'!I36,"")</f>
        <v>0.74460332737522339</v>
      </c>
      <c r="J36" s="395">
        <f>IFERROR('2.5'!J36/'2.3'!J36,"")</f>
        <v>0.76207595267664552</v>
      </c>
      <c r="K36" s="396">
        <f>IFERROR('2.5'!K36/'2.3'!K36,"")</f>
        <v>0.75356006031160994</v>
      </c>
    </row>
    <row r="37" spans="2:11" x14ac:dyDescent="0.25">
      <c r="B37" s="152" t="s">
        <v>525</v>
      </c>
      <c r="C37" s="395">
        <f>IFERROR('2.5'!C37/'2.3'!C37,"")</f>
        <v>0.91247672253258849</v>
      </c>
      <c r="D37" s="395">
        <f>IFERROR('2.5'!D37/'2.3'!D37,"")</f>
        <v>0.26279317697228144</v>
      </c>
      <c r="E37" s="395">
        <f>IFERROR('2.5'!E37/'2.3'!E37,"")</f>
        <v>0.73640736093684656</v>
      </c>
      <c r="F37" s="395">
        <f>IFERROR('2.5'!F37/'2.3'!F37,"")</f>
        <v>0.77327975067661769</v>
      </c>
      <c r="G37" s="395">
        <f>IFERROR('2.5'!G37/'2.3'!G37,"")</f>
        <v>0.94021931376016976</v>
      </c>
      <c r="H37" s="395">
        <f>IFERROR('2.5'!H37/'2.3'!H37,"")</f>
        <v>0.76186545604622369</v>
      </c>
      <c r="I37" s="395">
        <f>IFERROR('2.5'!I37/'2.3'!I37,"")</f>
        <v>0.74939361598913357</v>
      </c>
      <c r="J37" s="395">
        <f>IFERROR('2.5'!J37/'2.3'!J37,"")</f>
        <v>0.75360453141091654</v>
      </c>
      <c r="K37" s="396">
        <f>IFERROR('2.5'!K37/'2.3'!K37,"")</f>
        <v>0.75143627916271172</v>
      </c>
    </row>
    <row r="38" spans="2:11" ht="30" x14ac:dyDescent="0.25">
      <c r="B38" s="152" t="s">
        <v>526</v>
      </c>
      <c r="C38" s="395">
        <f>IFERROR('2.5'!C38/'2.3'!C38,"")</f>
        <v>0.9135802469135802</v>
      </c>
      <c r="D38" s="395">
        <f>IFERROR('2.5'!D38/'2.3'!D38,"")</f>
        <v>0.26738447734410048</v>
      </c>
      <c r="E38" s="395">
        <f>IFERROR('2.5'!E38/'2.3'!E38,"")</f>
        <v>0.71422202407489965</v>
      </c>
      <c r="F38" s="395">
        <f>IFERROR('2.5'!F38/'2.3'!F38,"")</f>
        <v>0.7854556096133446</v>
      </c>
      <c r="G38" s="395">
        <f>IFERROR('2.5'!G38/'2.3'!G38,"")</f>
        <v>0.96241830065359479</v>
      </c>
      <c r="H38" s="395">
        <f>IFERROR('2.5'!H38/'2.3'!H38,"")</f>
        <v>0.79296615792966163</v>
      </c>
      <c r="I38" s="395">
        <f>IFERROR('2.5'!I38/'2.3'!I38,"")</f>
        <v>0.74524109934719407</v>
      </c>
      <c r="J38" s="395">
        <f>IFERROR('2.5'!J38/'2.3'!J38,"")</f>
        <v>0.7598020960791616</v>
      </c>
      <c r="K38" s="396">
        <f>IFERROR('2.5'!K38/'2.3'!K38,"")</f>
        <v>0.75263328471884616</v>
      </c>
    </row>
    <row r="39" spans="2:11" x14ac:dyDescent="0.25">
      <c r="B39" s="152" t="s">
        <v>527</v>
      </c>
      <c r="C39" s="395">
        <f>IFERROR('2.5'!C39/'2.3'!C39,"")</f>
        <v>0.93146417445482865</v>
      </c>
      <c r="D39" s="395">
        <f>IFERROR('2.5'!D39/'2.3'!D39,"")</f>
        <v>0.29065040650406504</v>
      </c>
      <c r="E39" s="395">
        <f>IFERROR('2.5'!E39/'2.3'!E39,"")</f>
        <v>0.7208149779735683</v>
      </c>
      <c r="F39" s="395">
        <f>IFERROR('2.5'!F39/'2.3'!F39,"")</f>
        <v>0.78958760537707906</v>
      </c>
      <c r="G39" s="395">
        <f>IFERROR('2.5'!G39/'2.3'!G39,"")</f>
        <v>0.94348404255319152</v>
      </c>
      <c r="H39" s="395">
        <f>IFERROR('2.5'!H39/'2.3'!H39,"")</f>
        <v>0.7848360655737705</v>
      </c>
      <c r="I39" s="395">
        <f>IFERROR('2.5'!I39/'2.3'!I39,"")</f>
        <v>0.74568803395841166</v>
      </c>
      <c r="J39" s="395">
        <f>IFERROR('2.5'!J39/'2.3'!J39,"")</f>
        <v>0.76236786469344608</v>
      </c>
      <c r="K39" s="396">
        <f>IFERROR('2.5'!K39/'2.3'!K39,"")</f>
        <v>0.75409661346620127</v>
      </c>
    </row>
    <row r="40" spans="2:11" x14ac:dyDescent="0.25">
      <c r="B40" s="152" t="s">
        <v>528</v>
      </c>
      <c r="C40" s="395">
        <f>IFERROR('2.5'!C40/'2.3'!C40,"")</f>
        <v>0.92736077481840196</v>
      </c>
      <c r="D40" s="395">
        <f>IFERROR('2.5'!D40/'2.3'!D40,"")</f>
        <v>0.29848558866634101</v>
      </c>
      <c r="E40" s="395">
        <f>IFERROR('2.5'!E40/'2.3'!E40,"")</f>
        <v>0.73715572033898302</v>
      </c>
      <c r="F40" s="395">
        <f>IFERROR('2.5'!F40/'2.3'!F40,"")</f>
        <v>0.78252840244985744</v>
      </c>
      <c r="G40" s="395">
        <f>IFERROR('2.5'!G40/'2.3'!G40,"")</f>
        <v>0.93340552246886843</v>
      </c>
      <c r="H40" s="395">
        <f>IFERROR('2.5'!H40/'2.3'!H40,"")</f>
        <v>0.77931716971796139</v>
      </c>
      <c r="I40" s="395">
        <f>IFERROR('2.5'!I40/'2.3'!I40,"")</f>
        <v>0.73447444228579084</v>
      </c>
      <c r="J40" s="395">
        <f>IFERROR('2.5'!J40/'2.3'!J40,"")</f>
        <v>0.76319711621780872</v>
      </c>
      <c r="K40" s="396">
        <f>IFERROR('2.5'!K40/'2.3'!K40,"")</f>
        <v>0.74859040967549617</v>
      </c>
    </row>
    <row r="41" spans="2:11" x14ac:dyDescent="0.25">
      <c r="B41" s="152" t="s">
        <v>529</v>
      </c>
      <c r="C41" s="395">
        <f>IFERROR('2.5'!C41/'2.3'!C41,"")</f>
        <v>0.96696696696696693</v>
      </c>
      <c r="D41" s="395">
        <f>IFERROR('2.5'!D41/'2.3'!D41,"")</f>
        <v>0.23820915926179084</v>
      </c>
      <c r="E41" s="395">
        <f>IFERROR('2.5'!E41/'2.3'!E41,"")</f>
        <v>0.72063161547804966</v>
      </c>
      <c r="F41" s="395">
        <f>IFERROR('2.5'!F41/'2.3'!F41,"")</f>
        <v>0.78752843062926459</v>
      </c>
      <c r="G41" s="395">
        <f>IFERROR('2.5'!G41/'2.3'!G41,"")</f>
        <v>0.95294117647058818</v>
      </c>
      <c r="H41" s="395">
        <f>IFERROR('2.5'!H41/'2.3'!H41,"")</f>
        <v>0.75897435897435894</v>
      </c>
      <c r="I41" s="395">
        <f>IFERROR('2.5'!I41/'2.3'!I41,"")</f>
        <v>0.71444004321209942</v>
      </c>
      <c r="J41" s="395">
        <f>IFERROR('2.5'!J41/'2.3'!J41,"")</f>
        <v>0.75157252684414511</v>
      </c>
      <c r="K41" s="396">
        <f>IFERROR('2.5'!K41/'2.3'!K41,"")</f>
        <v>0.73247739267306566</v>
      </c>
    </row>
    <row r="42" spans="2:11" x14ac:dyDescent="0.25">
      <c r="B42" s="152" t="s">
        <v>530</v>
      </c>
      <c r="C42" s="395">
        <f>IFERROR('2.5'!C42/'2.3'!C42,"")</f>
        <v>0.95867768595041325</v>
      </c>
      <c r="D42" s="395">
        <f>IFERROR('2.5'!D42/'2.3'!D42,"")</f>
        <v>0.29634300126103402</v>
      </c>
      <c r="E42" s="395">
        <f>IFERROR('2.5'!E42/'2.3'!E42,"")</f>
        <v>0.70418538661622132</v>
      </c>
      <c r="F42" s="395">
        <f>IFERROR('2.5'!F42/'2.3'!F42,"")</f>
        <v>0.7812149742210267</v>
      </c>
      <c r="G42" s="395">
        <f>IFERROR('2.5'!G42/'2.3'!G42,"")</f>
        <v>0.94242424242424239</v>
      </c>
      <c r="H42" s="395">
        <f>IFERROR('2.5'!H42/'2.3'!H42,"")</f>
        <v>0.75174825174825177</v>
      </c>
      <c r="I42" s="395">
        <f>IFERROR('2.5'!I42/'2.3'!I42,"")</f>
        <v>0.72273459229980974</v>
      </c>
      <c r="J42" s="395">
        <f>IFERROR('2.5'!J42/'2.3'!J42,"")</f>
        <v>0.74236670211149935</v>
      </c>
      <c r="K42" s="396">
        <f>IFERROR('2.5'!K42/'2.3'!K42,"")</f>
        <v>0.73236916654241835</v>
      </c>
    </row>
    <row r="43" spans="2:11" ht="30" x14ac:dyDescent="0.25">
      <c r="B43" s="152" t="s">
        <v>531</v>
      </c>
      <c r="C43" s="395">
        <f>IFERROR('2.5'!C43/'2.3'!C43,"")</f>
        <v>0.86956521739130432</v>
      </c>
      <c r="D43" s="395">
        <f>IFERROR('2.5'!D43/'2.3'!D43,"")</f>
        <v>0.30769230769230771</v>
      </c>
      <c r="E43" s="395">
        <f>IFERROR('2.5'!E43/'2.3'!E43,"")</f>
        <v>0.70731707317073167</v>
      </c>
      <c r="F43" s="395">
        <f>IFERROR('2.5'!F43/'2.3'!F43,"")</f>
        <v>0.75337186897880537</v>
      </c>
      <c r="G43" s="395">
        <f>IFERROR('2.5'!G43/'2.3'!G43,"")</f>
        <v>0.95454545454545459</v>
      </c>
      <c r="H43" s="395">
        <f>IFERROR('2.5'!H43/'2.3'!H43,"")</f>
        <v>0.77669902912621358</v>
      </c>
      <c r="I43" s="395">
        <f>IFERROR('2.5'!I43/'2.3'!I43,"")</f>
        <v>0.704469646430954</v>
      </c>
      <c r="J43" s="395">
        <f>IFERROR('2.5'!J43/'2.3'!J43,"")</f>
        <v>0.73741661613098852</v>
      </c>
      <c r="K43" s="396">
        <f>IFERROR('2.5'!K43/'2.3'!K43,"")</f>
        <v>0.72172808132147392</v>
      </c>
    </row>
    <row r="44" spans="2:11" ht="30" x14ac:dyDescent="0.25">
      <c r="B44" s="152" t="s">
        <v>532</v>
      </c>
      <c r="C44" s="395">
        <f>IFERROR('2.5'!C44/'2.3'!C44,"")</f>
        <v>0.81632653061224492</v>
      </c>
      <c r="D44" s="395">
        <f>IFERROR('2.5'!D44/'2.3'!D44,"")</f>
        <v>0.36734693877551022</v>
      </c>
      <c r="E44" s="395">
        <f>IFERROR('2.5'!E44/'2.3'!E44,"")</f>
        <v>0.67674661105318035</v>
      </c>
      <c r="F44" s="395">
        <f>IFERROR('2.5'!F44/'2.3'!F44,"")</f>
        <v>0.7318352059925094</v>
      </c>
      <c r="G44" s="395">
        <f>IFERROR('2.5'!G44/'2.3'!G44,"")</f>
        <v>0.89497716894977164</v>
      </c>
      <c r="H44" s="395">
        <f>IFERROR('2.5'!H44/'2.3'!H44,"")</f>
        <v>0.8035714285714286</v>
      </c>
      <c r="I44" s="395">
        <f>IFERROR('2.5'!I44/'2.3'!I44,"")</f>
        <v>0.72497987657633489</v>
      </c>
      <c r="J44" s="395">
        <f>IFERROR('2.5'!J44/'2.3'!J44,"")</f>
        <v>0.71195819243774972</v>
      </c>
      <c r="K44" s="396">
        <f>IFERROR('2.5'!K44/'2.3'!K44,"")</f>
        <v>0.71891117478510025</v>
      </c>
    </row>
    <row r="45" spans="2:11" x14ac:dyDescent="0.25">
      <c r="B45" s="152" t="s">
        <v>533</v>
      </c>
      <c r="C45" s="395">
        <f>IFERROR('2.5'!C45/'2.3'!C45,"")</f>
        <v>0.90517241379310343</v>
      </c>
      <c r="D45" s="395">
        <f>IFERROR('2.5'!D45/'2.3'!D45,"")</f>
        <v>0.2162418269686345</v>
      </c>
      <c r="E45" s="395">
        <f>IFERROR('2.5'!E45/'2.3'!E45,"")</f>
        <v>0.69692869280634406</v>
      </c>
      <c r="F45" s="395">
        <f>IFERROR('2.5'!F45/'2.3'!F45,"")</f>
        <v>0.75612077600426575</v>
      </c>
      <c r="G45" s="395">
        <f>IFERROR('2.5'!G45/'2.3'!G45,"")</f>
        <v>0.92792479108635095</v>
      </c>
      <c r="H45" s="395">
        <f>IFERROR('2.5'!H45/'2.3'!H45,"")</f>
        <v>0.75838211814795109</v>
      </c>
      <c r="I45" s="395">
        <f>IFERROR('2.5'!I45/'2.3'!I45,"")</f>
        <v>0.72498628201177118</v>
      </c>
      <c r="J45" s="395">
        <f>IFERROR('2.5'!J45/'2.3'!J45,"")</f>
        <v>0.74290088203566218</v>
      </c>
      <c r="K45" s="396">
        <f>IFERROR('2.5'!K45/'2.3'!K45,"")</f>
        <v>0.73370280461118675</v>
      </c>
    </row>
    <row r="46" spans="2:11" x14ac:dyDescent="0.25">
      <c r="B46" s="152" t="s">
        <v>534</v>
      </c>
      <c r="C46" s="395">
        <f>IFERROR('2.5'!C46/'2.3'!C46,"")</f>
        <v>0.9568965517241379</v>
      </c>
      <c r="D46" s="395">
        <f>IFERROR('2.5'!D46/'2.3'!D46,"")</f>
        <v>0.2926596758817922</v>
      </c>
      <c r="E46" s="395">
        <f>IFERROR('2.5'!E46/'2.3'!E46,"")</f>
        <v>0.72262773722627738</v>
      </c>
      <c r="F46" s="395">
        <f>IFERROR('2.5'!F46/'2.3'!F46,"")</f>
        <v>0.7820926600728787</v>
      </c>
      <c r="G46" s="395">
        <f>IFERROR('2.5'!G46/'2.3'!G46,"")</f>
        <v>0.93231441048034935</v>
      </c>
      <c r="H46" s="395">
        <f>IFERROR('2.5'!H46/'2.3'!H46,"")</f>
        <v>0.76062992125984252</v>
      </c>
      <c r="I46" s="395">
        <f>IFERROR('2.5'!I46/'2.3'!I46,"")</f>
        <v>0.72333239515902059</v>
      </c>
      <c r="J46" s="395">
        <f>IFERROR('2.5'!J46/'2.3'!J46,"")</f>
        <v>0.76039717945028062</v>
      </c>
      <c r="K46" s="396">
        <f>IFERROR('2.5'!K46/'2.3'!K46,"")</f>
        <v>0.74165777303450731</v>
      </c>
    </row>
    <row r="47" spans="2:11" x14ac:dyDescent="0.25">
      <c r="B47" s="152" t="s">
        <v>535</v>
      </c>
      <c r="C47" s="395">
        <f>IFERROR('2.5'!C47/'2.3'!C47,"")</f>
        <v>0.78125</v>
      </c>
      <c r="D47" s="395">
        <f>IFERROR('2.5'!D47/'2.3'!D47,"")</f>
        <v>0.39460784313725489</v>
      </c>
      <c r="E47" s="395">
        <f>IFERROR('2.5'!E47/'2.3'!E47,"")</f>
        <v>0.66838931955211023</v>
      </c>
      <c r="F47" s="395">
        <f>IFERROR('2.5'!F47/'2.3'!F47,"")</f>
        <v>0.77435897435897438</v>
      </c>
      <c r="G47" s="395">
        <f>IFERROR('2.5'!G47/'2.3'!G47,"")</f>
        <v>0.90322580645161288</v>
      </c>
      <c r="H47" s="395">
        <f>IFERROR('2.5'!H47/'2.3'!H47,"")</f>
        <v>0.67391304347826086</v>
      </c>
      <c r="I47" s="395">
        <f>IFERROR('2.5'!I47/'2.3'!I47,"")</f>
        <v>0.7432432432432432</v>
      </c>
      <c r="J47" s="395">
        <f>IFERROR('2.5'!J47/'2.3'!J47,"")</f>
        <v>0.73931203931203926</v>
      </c>
      <c r="K47" s="396">
        <f>IFERROR('2.5'!K47/'2.3'!K47,"")</f>
        <v>0.74124124124124124</v>
      </c>
    </row>
    <row r="48" spans="2:11" x14ac:dyDescent="0.25">
      <c r="B48" s="152" t="s">
        <v>536</v>
      </c>
      <c r="C48" s="395">
        <f>IFERROR('2.5'!C48/'2.3'!C48,"")</f>
        <v>0.98692810457516345</v>
      </c>
      <c r="D48" s="395">
        <f>IFERROR('2.5'!D48/'2.3'!D48,"")</f>
        <v>0.22900413033501607</v>
      </c>
      <c r="E48" s="395">
        <f>IFERROR('2.5'!E48/'2.3'!E48,"")</f>
        <v>0.7433173406442769</v>
      </c>
      <c r="F48" s="395">
        <f>IFERROR('2.5'!F48/'2.3'!F48,"")</f>
        <v>0.79021868113239535</v>
      </c>
      <c r="G48" s="395">
        <f>IFERROR('2.5'!G48/'2.3'!G48,"")</f>
        <v>0.91816693944353522</v>
      </c>
      <c r="H48" s="395">
        <f>IFERROR('2.5'!H48/'2.3'!H48,"")</f>
        <v>0.69154676258992809</v>
      </c>
      <c r="I48" s="395">
        <f>IFERROR('2.5'!I48/'2.3'!I48,"")</f>
        <v>0.70077550609326211</v>
      </c>
      <c r="J48" s="395">
        <f>IFERROR('2.5'!J48/'2.3'!J48,"")</f>
        <v>0.73671115132323006</v>
      </c>
      <c r="K48" s="396">
        <f>IFERROR('2.5'!K48/'2.3'!K48,"")</f>
        <v>0.71770283948644187</v>
      </c>
    </row>
    <row r="49" spans="2:16" x14ac:dyDescent="0.25">
      <c r="B49" s="293" t="s">
        <v>36</v>
      </c>
      <c r="C49" s="397">
        <f>IFERROR('2.5'!C49/'2.3'!C49,"")</f>
        <v>0.91699118671858992</v>
      </c>
      <c r="D49" s="397">
        <f>IFERROR('2.5'!D49/'2.3'!D49,"")</f>
        <v>0.25502747252747254</v>
      </c>
      <c r="E49" s="397">
        <f>IFERROR('2.5'!E49/'2.3'!E49,"")</f>
        <v>0.71298784388995518</v>
      </c>
      <c r="F49" s="397">
        <f>IFERROR('2.5'!F49/'2.3'!F49,"")</f>
        <v>0.76852741632812982</v>
      </c>
      <c r="G49" s="397">
        <f>IFERROR('2.5'!G49/'2.3'!G49,"")</f>
        <v>0.93359126081019572</v>
      </c>
      <c r="H49" s="397">
        <f>IFERROR('2.5'!H49/'2.3'!H49,"")</f>
        <v>0.76104510620788968</v>
      </c>
      <c r="I49" s="397">
        <f>IFERROR('2.5'!I49/'2.3'!I49,"")</f>
        <v>0.73026647238588271</v>
      </c>
      <c r="J49" s="397">
        <f>IFERROR('2.5'!J49/'2.3'!J49,"")</f>
        <v>0.74810622524122339</v>
      </c>
      <c r="K49" s="397">
        <f>IFERROR('2.5'!K49/'2.3'!K49,"")</f>
        <v>0.7390584574050586</v>
      </c>
    </row>
    <row r="50" spans="2:16" ht="29.25" customHeight="1" x14ac:dyDescent="0.25">
      <c r="B50" s="510" t="s">
        <v>995</v>
      </c>
      <c r="C50" s="510"/>
      <c r="D50" s="510"/>
      <c r="E50" s="510"/>
      <c r="F50" s="510"/>
      <c r="G50" s="510"/>
      <c r="H50" s="510"/>
      <c r="I50" s="510"/>
      <c r="J50" s="510"/>
      <c r="K50" s="510"/>
    </row>
    <row r="52" spans="2:16" ht="18.75" x14ac:dyDescent="0.3">
      <c r="B52" s="2" t="s">
        <v>818</v>
      </c>
      <c r="C52" s="2"/>
      <c r="D52" s="2"/>
      <c r="E52" s="2"/>
      <c r="F52" s="2"/>
    </row>
    <row r="53" spans="2:16" x14ac:dyDescent="0.25">
      <c r="B53" s="31" t="s">
        <v>85</v>
      </c>
    </row>
    <row r="54" spans="2:16" x14ac:dyDescent="0.25">
      <c r="B54" s="31"/>
    </row>
    <row r="55" spans="2:16" x14ac:dyDescent="0.25">
      <c r="B55" s="513" t="s">
        <v>11</v>
      </c>
      <c r="C55" s="465" t="s">
        <v>3</v>
      </c>
      <c r="D55" s="467"/>
      <c r="E55" s="465" t="s">
        <v>4</v>
      </c>
      <c r="F55" s="467"/>
      <c r="G55" s="465" t="s">
        <v>714</v>
      </c>
      <c r="H55" s="467"/>
      <c r="I55" s="465" t="s">
        <v>501</v>
      </c>
      <c r="J55" s="467"/>
      <c r="K55" s="465" t="s">
        <v>5</v>
      </c>
      <c r="L55" s="467"/>
      <c r="M55" s="465" t="s">
        <v>6</v>
      </c>
      <c r="N55" s="467"/>
      <c r="O55" s="465" t="s">
        <v>491</v>
      </c>
      <c r="P55" s="467"/>
    </row>
    <row r="56" spans="2:16" x14ac:dyDescent="0.25">
      <c r="B56" s="514"/>
      <c r="C56" s="4" t="s">
        <v>87</v>
      </c>
      <c r="D56" s="4" t="s">
        <v>88</v>
      </c>
      <c r="E56" s="4" t="s">
        <v>87</v>
      </c>
      <c r="F56" s="4" t="s">
        <v>88</v>
      </c>
      <c r="G56" s="4" t="s">
        <v>87</v>
      </c>
      <c r="H56" s="4" t="s">
        <v>88</v>
      </c>
      <c r="I56" s="4" t="s">
        <v>87</v>
      </c>
      <c r="J56" s="4" t="s">
        <v>88</v>
      </c>
      <c r="K56" s="4" t="s">
        <v>87</v>
      </c>
      <c r="L56" s="4" t="s">
        <v>88</v>
      </c>
      <c r="M56" s="4" t="s">
        <v>87</v>
      </c>
      <c r="N56" s="4" t="s">
        <v>88</v>
      </c>
      <c r="O56" s="4" t="s">
        <v>87</v>
      </c>
      <c r="P56" s="4" t="s">
        <v>88</v>
      </c>
    </row>
    <row r="57" spans="2:16" x14ac:dyDescent="0.25">
      <c r="B57" s="280" t="s">
        <v>757</v>
      </c>
      <c r="C57" s="292">
        <f>IFERROR('2.4'!C37/'2.2'!C67,"")</f>
        <v>0.99060780090930856</v>
      </c>
      <c r="D57" s="292">
        <f>IFERROR('2.4'!D37/'2.2'!D67,"")</f>
        <v>0.98761664416925865</v>
      </c>
      <c r="E57" s="292">
        <f>IFERROR('2.4'!E37/'2.2'!E67,"")</f>
        <v>0.52994719288493619</v>
      </c>
      <c r="F57" s="292">
        <f>IFERROR('2.4'!F37/'2.2'!F67,"")</f>
        <v>0.72682384890754226</v>
      </c>
      <c r="G57" s="292" t="str">
        <f>IFERROR('2.4'!G37/'2.2'!G67,"")</f>
        <v/>
      </c>
      <c r="H57" s="292" t="str">
        <f>IFERROR('2.4'!H37/'2.2'!H67,"")</f>
        <v/>
      </c>
      <c r="I57" s="292" t="str">
        <f>IFERROR('2.4'!I37/'2.2'!I67,"")</f>
        <v/>
      </c>
      <c r="J57" s="292" t="str">
        <f>IFERROR('2.4'!J37/'2.2'!J67,"")</f>
        <v/>
      </c>
      <c r="K57" s="292">
        <f>IFERROR('2.4'!K37/'2.2'!K67,"")</f>
        <v>0.77371638141809285</v>
      </c>
      <c r="L57" s="292">
        <f>IFERROR('2.4'!L37/'2.2'!L67,"")</f>
        <v>0.67797752808988765</v>
      </c>
      <c r="M57" s="292">
        <f>IFERROR('2.4'!M37/'2.2'!M67,"")</f>
        <v>0.21248688352570827</v>
      </c>
      <c r="N57" s="292">
        <f>IFERROR('2.4'!N37/'2.2'!N67,"")</f>
        <v>0.33724202626641653</v>
      </c>
      <c r="O57" s="292">
        <f>IFERROR('2.4'!O37/'2.2'!O67,"")</f>
        <v>0.82338350055741361</v>
      </c>
      <c r="P57" s="292">
        <f>IFERROR('2.4'!P37/'2.2'!P67,"")</f>
        <v>0.83386923901393362</v>
      </c>
    </row>
    <row r="58" spans="2:16" x14ac:dyDescent="0.25">
      <c r="B58" s="280" t="s">
        <v>758</v>
      </c>
      <c r="C58" s="292">
        <f>IFERROR('2.4'!C38/'2.2'!C68,"")</f>
        <v>0.97924565517543671</v>
      </c>
      <c r="D58" s="292">
        <f>IFERROR('2.4'!D38/'2.2'!D68,"")</f>
        <v>0.97064695009242152</v>
      </c>
      <c r="E58" s="292">
        <f>IFERROR('2.4'!E38/'2.2'!E68,"")</f>
        <v>0.55085629188384211</v>
      </c>
      <c r="F58" s="292">
        <f>IFERROR('2.4'!F38/'2.2'!F68,"")</f>
        <v>0.74552221446848099</v>
      </c>
      <c r="G58" s="292" t="str">
        <f>IFERROR('2.4'!G38/'2.2'!G68,"")</f>
        <v/>
      </c>
      <c r="H58" s="292" t="str">
        <f>IFERROR('2.4'!H38/'2.2'!H68,"")</f>
        <v/>
      </c>
      <c r="I58" s="292" t="str">
        <f>IFERROR('2.4'!I38/'2.2'!I68,"")</f>
        <v/>
      </c>
      <c r="J58" s="292" t="str">
        <f>IFERROR('2.4'!J38/'2.2'!J68,"")</f>
        <v/>
      </c>
      <c r="K58" s="292">
        <f>IFERROR('2.4'!K38/'2.2'!K68,"")</f>
        <v>0.90559027286865545</v>
      </c>
      <c r="L58" s="292">
        <f>IFERROR('2.4'!L38/'2.2'!L68,"")</f>
        <v>0.96421151563118324</v>
      </c>
      <c r="M58" s="292">
        <f>IFERROR('2.4'!M38/'2.2'!M68,"")</f>
        <v>0.81862527716186251</v>
      </c>
      <c r="N58" s="292">
        <f>IFERROR('2.4'!N38/'2.2'!N68,"")</f>
        <v>0.87373532982598134</v>
      </c>
      <c r="O58" s="292">
        <f>IFERROR('2.4'!O38/'2.2'!O68,"")</f>
        <v>0.87920915030127411</v>
      </c>
      <c r="P58" s="292">
        <f>IFERROR('2.4'!P38/'2.2'!P68,"")</f>
        <v>0.9491106153234341</v>
      </c>
    </row>
    <row r="59" spans="2:16" x14ac:dyDescent="0.25">
      <c r="B59" s="280" t="s">
        <v>759</v>
      </c>
      <c r="C59" s="292">
        <f>IFERROR('2.4'!C39/'2.2'!C69,"")</f>
        <v>0.87170503290873969</v>
      </c>
      <c r="D59" s="292">
        <f>IFERROR('2.4'!D39/'2.2'!D69,"")</f>
        <v>0.93231312536786348</v>
      </c>
      <c r="E59" s="292">
        <f>IFERROR('2.4'!E39/'2.2'!E69,"")</f>
        <v>0.48095621810367983</v>
      </c>
      <c r="F59" s="292">
        <f>IFERROR('2.4'!F39/'2.2'!F69,"")</f>
        <v>0.6756926952141058</v>
      </c>
      <c r="G59" s="292" t="str">
        <f>IFERROR('2.4'!G39/'2.2'!G69,"")</f>
        <v/>
      </c>
      <c r="H59" s="292" t="str">
        <f>IFERROR('2.4'!H39/'2.2'!H69,"")</f>
        <v/>
      </c>
      <c r="I59" s="292" t="str">
        <f>IFERROR('2.4'!I39/'2.2'!I69,"")</f>
        <v/>
      </c>
      <c r="J59" s="292" t="str">
        <f>IFERROR('2.4'!J39/'2.2'!J69,"")</f>
        <v/>
      </c>
      <c r="K59" s="292">
        <f>IFERROR('2.4'!K39/'2.2'!K69,"")</f>
        <v>0.81056713022798943</v>
      </c>
      <c r="L59" s="292">
        <f>IFERROR('2.4'!L39/'2.2'!L69,"")</f>
        <v>0.83402728126620973</v>
      </c>
      <c r="M59" s="292">
        <f>IFERROR('2.4'!M39/'2.2'!M69,"")</f>
        <v>0.82306249097993944</v>
      </c>
      <c r="N59" s="292">
        <f>IFERROR('2.4'!N39/'2.2'!N69,"")</f>
        <v>0.84220000000000006</v>
      </c>
      <c r="O59" s="292">
        <f>IFERROR('2.4'!O39/'2.2'!O69,"")</f>
        <v>0.7831974240500531</v>
      </c>
      <c r="P59" s="292">
        <f>IFERROR('2.4'!P39/'2.2'!P69,"")</f>
        <v>0.8344261765560903</v>
      </c>
    </row>
    <row r="60" spans="2:16" x14ac:dyDescent="0.25">
      <c r="B60" s="280" t="s">
        <v>760</v>
      </c>
      <c r="C60" s="292">
        <f>IFERROR('2.4'!C40/'2.2'!C70,"")</f>
        <v>0.77035675140543802</v>
      </c>
      <c r="D60" s="292">
        <f>IFERROR('2.4'!D40/'2.2'!D70,"")</f>
        <v>0.89672544080604544</v>
      </c>
      <c r="E60" s="292">
        <f>IFERROR('2.4'!E40/'2.2'!E70,"")</f>
        <v>0.43021378285861916</v>
      </c>
      <c r="F60" s="292">
        <f>IFERROR('2.4'!F40/'2.2'!F70,"")</f>
        <v>0.67882676443629697</v>
      </c>
      <c r="G60" s="292" t="str">
        <f>IFERROR('2.4'!G40/'2.2'!G70,"")</f>
        <v/>
      </c>
      <c r="H60" s="292" t="str">
        <f>IFERROR('2.4'!H40/'2.2'!H70,"")</f>
        <v/>
      </c>
      <c r="I60" s="292" t="str">
        <f>IFERROR('2.4'!I40/'2.2'!I70,"")</f>
        <v/>
      </c>
      <c r="J60" s="292" t="str">
        <f>IFERROR('2.4'!J40/'2.2'!J70,"")</f>
        <v/>
      </c>
      <c r="K60" s="292">
        <f>IFERROR('2.4'!K40/'2.2'!K70,"")</f>
        <v>0.70039545028333805</v>
      </c>
      <c r="L60" s="292">
        <f>IFERROR('2.4'!L40/'2.2'!L70,"")</f>
        <v>0.73788202118740942</v>
      </c>
      <c r="M60" s="292">
        <f>IFERROR('2.4'!M40/'2.2'!M70,"")</f>
        <v>0.80508052465548718</v>
      </c>
      <c r="N60" s="292">
        <f>IFERROR('2.4'!N40/'2.2'!N70,"")</f>
        <v>0.88561565017261235</v>
      </c>
      <c r="O60" s="292">
        <f>IFERROR('2.4'!O40/'2.2'!O70,"")</f>
        <v>0.68763779016988713</v>
      </c>
      <c r="P60" s="292">
        <f>IFERROR('2.4'!P40/'2.2'!P70,"")</f>
        <v>0.76266890709234747</v>
      </c>
    </row>
    <row r="61" spans="2:16" x14ac:dyDescent="0.25">
      <c r="B61" s="280" t="s">
        <v>761</v>
      </c>
      <c r="C61" s="292">
        <f>IFERROR('2.4'!C41/'2.2'!C71,"")</f>
        <v>0.8394431554524362</v>
      </c>
      <c r="D61" s="292">
        <f>IFERROR('2.4'!D41/'2.2'!D71,"")</f>
        <v>0.92849351593746199</v>
      </c>
      <c r="E61" s="292">
        <f>IFERROR('2.4'!E41/'2.2'!E71,"")</f>
        <v>0.46458024952421229</v>
      </c>
      <c r="F61" s="292">
        <f>IFERROR('2.4'!F41/'2.2'!F71,"")</f>
        <v>0.70075827630848897</v>
      </c>
      <c r="G61" s="292" t="str">
        <f>IFERROR('2.4'!G41/'2.2'!G71,"")</f>
        <v/>
      </c>
      <c r="H61" s="292" t="str">
        <f>IFERROR('2.4'!H41/'2.2'!H71,"")</f>
        <v/>
      </c>
      <c r="I61" s="292" t="str">
        <f>IFERROR('2.4'!I41/'2.2'!I71,"")</f>
        <v/>
      </c>
      <c r="J61" s="292" t="str">
        <f>IFERROR('2.4'!J41/'2.2'!J71,"")</f>
        <v/>
      </c>
      <c r="K61" s="292">
        <f>IFERROR('2.4'!K41/'2.2'!K71,"")</f>
        <v>0.85916254426513128</v>
      </c>
      <c r="L61" s="292">
        <f>IFERROR('2.4'!L41/'2.2'!L71,"")</f>
        <v>0.88367966212978899</v>
      </c>
      <c r="M61" s="292">
        <f>IFERROR('2.4'!M41/'2.2'!M71,"")</f>
        <v>0.82017728999577877</v>
      </c>
      <c r="N61" s="292">
        <f>IFERROR('2.4'!N41/'2.2'!N71,"")</f>
        <v>0.89678899082568808</v>
      </c>
      <c r="O61" s="292">
        <f>IFERROR('2.4'!O41/'2.2'!O71,"")</f>
        <v>0.80618164366722511</v>
      </c>
      <c r="P61" s="292">
        <f>IFERROR('2.4'!P41/'2.2'!P71,"")</f>
        <v>0.87587586225662939</v>
      </c>
    </row>
    <row r="62" spans="2:16" x14ac:dyDescent="0.25">
      <c r="B62" s="280" t="s">
        <v>762</v>
      </c>
      <c r="C62" s="292">
        <f>IFERROR('2.4'!C42/'2.2'!C72,"")</f>
        <v>0.89783913565426166</v>
      </c>
      <c r="D62" s="292">
        <f>IFERROR('2.4'!D42/'2.2'!D72,"")</f>
        <v>0.91123188405797106</v>
      </c>
      <c r="E62" s="292">
        <f>IFERROR('2.4'!E42/'2.2'!E72,"")</f>
        <v>0.46672567795928221</v>
      </c>
      <c r="F62" s="292">
        <f>IFERROR('2.4'!F42/'2.2'!F72,"")</f>
        <v>0.69793702497285559</v>
      </c>
      <c r="G62" s="292" t="str">
        <f>IFERROR('2.4'!G42/'2.2'!G72,"")</f>
        <v/>
      </c>
      <c r="H62" s="292" t="str">
        <f>IFERROR('2.4'!H42/'2.2'!H72,"")</f>
        <v/>
      </c>
      <c r="I62" s="292" t="str">
        <f>IFERROR('2.4'!I42/'2.2'!I72,"")</f>
        <v/>
      </c>
      <c r="J62" s="292" t="str">
        <f>IFERROR('2.4'!J42/'2.2'!J72,"")</f>
        <v/>
      </c>
      <c r="K62" s="292">
        <f>IFERROR('2.4'!K42/'2.2'!K72,"")</f>
        <v>0.8452913136901381</v>
      </c>
      <c r="L62" s="292">
        <f>IFERROR('2.4'!L42/'2.2'!L72,"")</f>
        <v>0.85868493150684944</v>
      </c>
      <c r="M62" s="292">
        <f>IFERROR('2.4'!M42/'2.2'!M72,"")</f>
        <v>0.79371980676328502</v>
      </c>
      <c r="N62" s="292">
        <f>IFERROR('2.4'!N42/'2.2'!N72,"")</f>
        <v>0.87543581616481769</v>
      </c>
      <c r="O62" s="292">
        <f>IFERROR('2.4'!O42/'2.2'!O72,"")</f>
        <v>0.80135533724983543</v>
      </c>
      <c r="P62" s="292">
        <f>IFERROR('2.4'!P42/'2.2'!P72,"")</f>
        <v>0.85327383242286681</v>
      </c>
    </row>
    <row r="63" spans="2:16" x14ac:dyDescent="0.25">
      <c r="B63" s="280" t="s">
        <v>763</v>
      </c>
      <c r="C63" s="292">
        <f>IFERROR('2.4'!C43/'2.2'!C73,"")</f>
        <v>0.81423639651487745</v>
      </c>
      <c r="D63" s="292">
        <f>IFERROR('2.4'!D43/'2.2'!D73,"")</f>
        <v>0.86910994764397898</v>
      </c>
      <c r="E63" s="292">
        <f>IFERROR('2.4'!E43/'2.2'!E73,"")</f>
        <v>0.4999602385685884</v>
      </c>
      <c r="F63" s="292">
        <f>IFERROR('2.4'!F43/'2.2'!F73,"")</f>
        <v>0.74049619847939185</v>
      </c>
      <c r="G63" s="292" t="str">
        <f>IFERROR('2.4'!G43/'2.2'!G73,"")</f>
        <v/>
      </c>
      <c r="H63" s="292" t="str">
        <f>IFERROR('2.4'!H43/'2.2'!H73,"")</f>
        <v/>
      </c>
      <c r="I63" s="292" t="str">
        <f>IFERROR('2.4'!I43/'2.2'!I73,"")</f>
        <v/>
      </c>
      <c r="J63" s="292" t="str">
        <f>IFERROR('2.4'!J43/'2.2'!J73,"")</f>
        <v/>
      </c>
      <c r="K63" s="292">
        <f>IFERROR('2.4'!K43/'2.2'!K73,"")</f>
        <v>0.77710324636183581</v>
      </c>
      <c r="L63" s="292">
        <f>IFERROR('2.4'!L43/'2.2'!L73,"")</f>
        <v>0.80683248996270163</v>
      </c>
      <c r="M63" s="292">
        <f>IFERROR('2.4'!M43/'2.2'!M73,"")</f>
        <v>0.83548009367681497</v>
      </c>
      <c r="N63" s="292">
        <f>IFERROR('2.4'!N43/'2.2'!N73,"")</f>
        <v>0.91584533737680063</v>
      </c>
      <c r="O63" s="292">
        <f>IFERROR('2.4'!O43/'2.2'!O73,"")</f>
        <v>0.75388227185595214</v>
      </c>
      <c r="P63" s="292">
        <f>IFERROR('2.4'!P43/'2.2'!P73,"")</f>
        <v>0.81560658195073754</v>
      </c>
    </row>
    <row r="64" spans="2:16" x14ac:dyDescent="0.25">
      <c r="B64" s="280" t="s">
        <v>764</v>
      </c>
      <c r="C64" s="292">
        <f>IFERROR('2.4'!C44/'2.2'!C74,"")</f>
        <v>0.84032932343656686</v>
      </c>
      <c r="D64" s="292">
        <f>IFERROR('2.4'!D44/'2.2'!D74,"")</f>
        <v>0.87684210526315787</v>
      </c>
      <c r="E64" s="292">
        <f>IFERROR('2.4'!E44/'2.2'!E74,"")</f>
        <v>0.55975676307788258</v>
      </c>
      <c r="F64" s="292">
        <f>IFERROR('2.4'!F44/'2.2'!F74,"")</f>
        <v>0.7907504363001745</v>
      </c>
      <c r="G64" s="292" t="str">
        <f>IFERROR('2.4'!G44/'2.2'!G74,"")</f>
        <v/>
      </c>
      <c r="H64" s="292" t="str">
        <f>IFERROR('2.4'!H44/'2.2'!H74,"")</f>
        <v/>
      </c>
      <c r="I64" s="292" t="str">
        <f>IFERROR('2.4'!I44/'2.2'!I74,"")</f>
        <v/>
      </c>
      <c r="J64" s="292" t="str">
        <f>IFERROR('2.4'!J44/'2.2'!J74,"")</f>
        <v/>
      </c>
      <c r="K64" s="292">
        <f>IFERROR('2.4'!K44/'2.2'!K74,"")</f>
        <v>0.78213713487531322</v>
      </c>
      <c r="L64" s="292">
        <f>IFERROR('2.4'!L44/'2.2'!L74,"")</f>
        <v>0.82381331475768738</v>
      </c>
      <c r="M64" s="292">
        <f>IFERROR('2.4'!M44/'2.2'!M74,"")</f>
        <v>0.80419580419580416</v>
      </c>
      <c r="N64" s="292">
        <f>IFERROR('2.4'!N44/'2.2'!N74,"")</f>
        <v>0.86161449752883035</v>
      </c>
      <c r="O64" s="292">
        <f>IFERROR('2.4'!O44/'2.2'!O74,"")</f>
        <v>0.76520791298499502</v>
      </c>
      <c r="P64" s="292">
        <f>IFERROR('2.4'!P44/'2.2'!P74,"")</f>
        <v>0.82855316039459259</v>
      </c>
    </row>
    <row r="65" spans="2:16" x14ac:dyDescent="0.25">
      <c r="B65" s="280" t="s">
        <v>765</v>
      </c>
      <c r="C65" s="292">
        <f>IFERROR('2.4'!C45/'2.2'!C75,"")</f>
        <v>0.79586663229354637</v>
      </c>
      <c r="D65" s="292">
        <f>IFERROR('2.4'!D45/'2.2'!D75,"")</f>
        <v>0.86223181756847922</v>
      </c>
      <c r="E65" s="292">
        <f>IFERROR('2.4'!E45/'2.2'!E75,"")</f>
        <v>0.58186683967237041</v>
      </c>
      <c r="F65" s="292">
        <f>IFERROR('2.4'!F45/'2.2'!F75,"")</f>
        <v>0.80426861009890682</v>
      </c>
      <c r="G65" s="292" t="str">
        <f>IFERROR('2.4'!G45/'2.2'!G75,"")</f>
        <v/>
      </c>
      <c r="H65" s="292" t="str">
        <f>IFERROR('2.4'!H45/'2.2'!H75,"")</f>
        <v/>
      </c>
      <c r="I65" s="292" t="str">
        <f>IFERROR('2.4'!I45/'2.2'!I75,"")</f>
        <v/>
      </c>
      <c r="J65" s="292" t="str">
        <f>IFERROR('2.4'!J45/'2.2'!J75,"")</f>
        <v/>
      </c>
      <c r="K65" s="292">
        <f>IFERROR('2.4'!K45/'2.2'!K75,"")</f>
        <v>0.7621638018200203</v>
      </c>
      <c r="L65" s="292">
        <f>IFERROR('2.4'!L45/'2.2'!L75,"")</f>
        <v>0.79166447264493711</v>
      </c>
      <c r="M65" s="292">
        <f>IFERROR('2.4'!M45/'2.2'!M75,"")</f>
        <v>0.84262048192771077</v>
      </c>
      <c r="N65" s="292">
        <f>IFERROR('2.4'!N45/'2.2'!N75,"")</f>
        <v>0.87990392313851085</v>
      </c>
      <c r="O65" s="292">
        <f>IFERROR('2.4'!O45/'2.2'!O75,"")</f>
        <v>0.74674415104823866</v>
      </c>
      <c r="P65" s="292">
        <f>IFERROR('2.4'!P45/'2.2'!P75,"")</f>
        <v>0.80513309798683341</v>
      </c>
    </row>
    <row r="66" spans="2:16" x14ac:dyDescent="0.25">
      <c r="B66" s="280" t="s">
        <v>766</v>
      </c>
      <c r="C66" s="292">
        <f>IFERROR('2.4'!C46/'2.2'!C76,"")</f>
        <v>0.80355371900826444</v>
      </c>
      <c r="D66" s="292">
        <f>IFERROR('2.4'!D46/'2.2'!D76,"")</f>
        <v>0.85781808891159939</v>
      </c>
      <c r="E66" s="292">
        <f>IFERROR('2.4'!E46/'2.2'!E76,"")</f>
        <v>0.57623211446740863</v>
      </c>
      <c r="F66" s="292">
        <f>IFERROR('2.4'!F46/'2.2'!F76,"")</f>
        <v>0.8099044309296265</v>
      </c>
      <c r="G66" s="292" t="str">
        <f>IFERROR('2.4'!G46/'2.2'!G76,"")</f>
        <v/>
      </c>
      <c r="H66" s="292" t="str">
        <f>IFERROR('2.4'!H46/'2.2'!H76,"")</f>
        <v/>
      </c>
      <c r="I66" s="292" t="str">
        <f>IFERROR('2.4'!I46/'2.2'!I76,"")</f>
        <v/>
      </c>
      <c r="J66" s="292" t="str">
        <f>IFERROR('2.4'!J46/'2.2'!J76,"")</f>
        <v/>
      </c>
      <c r="K66" s="292">
        <f>IFERROR('2.4'!K46/'2.2'!K76,"")</f>
        <v>0.77765494490068088</v>
      </c>
      <c r="L66" s="292">
        <f>IFERROR('2.4'!L46/'2.2'!L76,"")</f>
        <v>0.81464294921371483</v>
      </c>
      <c r="M66" s="292">
        <f>IFERROR('2.4'!M46/'2.2'!M76,"")</f>
        <v>0.85445420326223331</v>
      </c>
      <c r="N66" s="292">
        <f>IFERROR('2.4'!N46/'2.2'!N76,"")</f>
        <v>0.91544818817546081</v>
      </c>
      <c r="O66" s="292">
        <f>IFERROR('2.4'!O46/'2.2'!O76,"")</f>
        <v>0.75893961955495903</v>
      </c>
      <c r="P66" s="292">
        <f>IFERROR('2.4'!P46/'2.2'!P76,"")</f>
        <v>0.82224815246985605</v>
      </c>
    </row>
    <row r="67" spans="2:16" x14ac:dyDescent="0.25">
      <c r="B67" s="280" t="s">
        <v>767</v>
      </c>
      <c r="C67" s="292">
        <f>IFERROR('2.4'!C47/'2.2'!C77,"")</f>
        <v>0.88650433347090385</v>
      </c>
      <c r="D67" s="292">
        <f>IFERROR('2.4'!D47/'2.2'!D77,"")</f>
        <v>0.93648630230339391</v>
      </c>
      <c r="E67" s="292">
        <f>IFERROR('2.4'!E47/'2.2'!E77,"")</f>
        <v>0.57619375969660402</v>
      </c>
      <c r="F67" s="292">
        <f>IFERROR('2.4'!F47/'2.2'!F77,"")</f>
        <v>0.79825699981457443</v>
      </c>
      <c r="G67" s="292" t="str">
        <f>IFERROR('2.4'!G47/'2.2'!G77,"")</f>
        <v/>
      </c>
      <c r="H67" s="292" t="str">
        <f>IFERROR('2.4'!H47/'2.2'!H77,"")</f>
        <v/>
      </c>
      <c r="I67" s="292" t="str">
        <f>IFERROR('2.4'!I47/'2.2'!I77,"")</f>
        <v/>
      </c>
      <c r="J67" s="292" t="str">
        <f>IFERROR('2.4'!J47/'2.2'!J77,"")</f>
        <v/>
      </c>
      <c r="K67" s="292">
        <f>IFERROR('2.4'!K47/'2.2'!K77,"")</f>
        <v>0.8877412380020161</v>
      </c>
      <c r="L67" s="292">
        <f>IFERROR('2.4'!L47/'2.2'!L77,"")</f>
        <v>0.92853514278457128</v>
      </c>
      <c r="M67" s="292">
        <f>IFERROR('2.4'!M47/'2.2'!M77,"")</f>
        <v>0.9179056237879768</v>
      </c>
      <c r="N67" s="292">
        <f>IFERROR('2.4'!N47/'2.2'!N77,"")</f>
        <v>0.95154185022026438</v>
      </c>
      <c r="O67" s="292">
        <f>IFERROR('2.4'!O47/'2.2'!O77,"")</f>
        <v>0.85466821885913857</v>
      </c>
      <c r="P67" s="292">
        <f>IFERROR('2.4'!P47/'2.2'!P77,"")</f>
        <v>0.92049390364092032</v>
      </c>
    </row>
    <row r="68" spans="2:16" x14ac:dyDescent="0.25">
      <c r="B68" s="280" t="s">
        <v>768</v>
      </c>
      <c r="C68" s="292">
        <f>IFERROR('2.4'!C48/'2.2'!C78,"")</f>
        <v>0.88636661855399557</v>
      </c>
      <c r="D68" s="292">
        <f>IFERROR('2.4'!D48/'2.2'!D78,"")</f>
        <v>0.94483260553129544</v>
      </c>
      <c r="E68" s="292">
        <f>IFERROR('2.4'!E48/'2.2'!E78,"")</f>
        <v>0.58297423269721216</v>
      </c>
      <c r="F68" s="292">
        <f>IFERROR('2.4'!F48/'2.2'!F78,"")</f>
        <v>0.79244208127611093</v>
      </c>
      <c r="G68" s="292" t="str">
        <f>IFERROR('2.4'!G48/'2.2'!G78,"")</f>
        <v/>
      </c>
      <c r="H68" s="292" t="str">
        <f>IFERROR('2.4'!H48/'2.2'!H78,"")</f>
        <v/>
      </c>
      <c r="I68" s="292" t="str">
        <f>IFERROR('2.4'!I48/'2.2'!I78,"")</f>
        <v/>
      </c>
      <c r="J68" s="292" t="str">
        <f>IFERROR('2.4'!J48/'2.2'!J78,"")</f>
        <v/>
      </c>
      <c r="K68" s="292">
        <f>IFERROR('2.4'!K48/'2.2'!K78,"")</f>
        <v>0.87950670311076395</v>
      </c>
      <c r="L68" s="292">
        <f>IFERROR('2.4'!L48/'2.2'!L78,"")</f>
        <v>0.93309729004143738</v>
      </c>
      <c r="M68" s="292">
        <f>IFERROR('2.4'!M48/'2.2'!M78,"")</f>
        <v>0.91170634920634919</v>
      </c>
      <c r="N68" s="292">
        <f>IFERROR('2.4'!N48/'2.2'!N78,"")</f>
        <v>0.94133071124221568</v>
      </c>
      <c r="O68" s="292">
        <f>IFERROR('2.4'!O48/'2.2'!O78,"")</f>
        <v>0.84792650067867337</v>
      </c>
      <c r="P68" s="292">
        <f>IFERROR('2.4'!P48/'2.2'!P78,"")</f>
        <v>0.9235620964108725</v>
      </c>
    </row>
    <row r="69" spans="2:16" x14ac:dyDescent="0.25">
      <c r="B69" s="280" t="s">
        <v>769</v>
      </c>
      <c r="C69" s="292">
        <f>IFERROR('2.4'!C49/'2.2'!C79,"")</f>
        <v>0.8796451073678796</v>
      </c>
      <c r="D69" s="292">
        <f>IFERROR('2.4'!D49/'2.2'!D79,"")</f>
        <v>0.92364704237169626</v>
      </c>
      <c r="E69" s="292">
        <f>IFERROR('2.4'!E49/'2.2'!E79,"")</f>
        <v>0.57558488302339528</v>
      </c>
      <c r="F69" s="292">
        <f>IFERROR('2.4'!F49/'2.2'!F79,"")</f>
        <v>0.80603276068717533</v>
      </c>
      <c r="G69" s="292" t="str">
        <f>IFERROR('2.4'!G49/'2.2'!G79,"")</f>
        <v/>
      </c>
      <c r="H69" s="292" t="str">
        <f>IFERROR('2.4'!H49/'2.2'!H79,"")</f>
        <v/>
      </c>
      <c r="I69" s="292" t="str">
        <f>IFERROR('2.4'!I49/'2.2'!I79,"")</f>
        <v/>
      </c>
      <c r="J69" s="292" t="str">
        <f>IFERROR('2.4'!J49/'2.2'!J79,"")</f>
        <v/>
      </c>
      <c r="K69" s="292">
        <f>IFERROR('2.4'!K49/'2.2'!K79,"")</f>
        <v>0.8752336710136005</v>
      </c>
      <c r="L69" s="292">
        <f>IFERROR('2.4'!L49/'2.2'!L79,"")</f>
        <v>0.92468218419076709</v>
      </c>
      <c r="M69" s="292">
        <f>IFERROR('2.4'!M49/'2.2'!M79,"")</f>
        <v>0.90926225094238022</v>
      </c>
      <c r="N69" s="292">
        <f>IFERROR('2.4'!N49/'2.2'!N79,"")</f>
        <v>0.93886679920477134</v>
      </c>
      <c r="O69" s="292">
        <f>IFERROR('2.4'!O49/'2.2'!O79,"")</f>
        <v>0.8533335443338449</v>
      </c>
      <c r="P69" s="292">
        <f>IFERROR('2.4'!P49/'2.2'!P79,"")</f>
        <v>0.91885643336508716</v>
      </c>
    </row>
    <row r="70" spans="2:16" x14ac:dyDescent="0.25">
      <c r="B70" s="277">
        <v>44197</v>
      </c>
      <c r="C70" s="278">
        <f>IFERROR('2.4'!C50/'2.2'!C80,"")</f>
        <v>0.848019801980198</v>
      </c>
      <c r="D70" s="278">
        <f>IFERROR('2.4'!D50/'2.2'!D80,"")</f>
        <v>0.93046357615894038</v>
      </c>
      <c r="E70" s="278">
        <f>IFERROR('2.4'!E50/'2.2'!E80,"")</f>
        <v>0.57718696397941682</v>
      </c>
      <c r="F70" s="278">
        <f>IFERROR('2.4'!F50/'2.2'!F80,"")</f>
        <v>0.84027777777777779</v>
      </c>
      <c r="G70" s="278" t="str">
        <f>IFERROR('2.4'!G50/'2.2'!G80,"")</f>
        <v/>
      </c>
      <c r="H70" s="278" t="str">
        <f>IFERROR('2.4'!H50/'2.2'!H80,"")</f>
        <v/>
      </c>
      <c r="I70" s="278" t="str">
        <f>IFERROR('2.4'!I50/'2.2'!I80,"")</f>
        <v/>
      </c>
      <c r="J70" s="278" t="str">
        <f>IFERROR('2.4'!J50/'2.2'!J80,"")</f>
        <v/>
      </c>
      <c r="K70" s="278">
        <f>IFERROR('2.4'!K50/'2.2'!K80,"")</f>
        <v>0.87501701837985024</v>
      </c>
      <c r="L70" s="278">
        <f>IFERROR('2.4'!L50/'2.2'!L80,"")</f>
        <v>0.92301943198804182</v>
      </c>
      <c r="M70" s="278">
        <f>IFERROR('2.4'!M50/'2.2'!M80,"")</f>
        <v>0.86915887850467288</v>
      </c>
      <c r="N70" s="278">
        <f>IFERROR('2.4'!N50/'2.2'!N80,"")</f>
        <v>0.95357833655705992</v>
      </c>
      <c r="O70" s="278">
        <f>IFERROR('2.4'!O50/'2.2'!O80,"")</f>
        <v>0.83812391641573136</v>
      </c>
      <c r="P70" s="278">
        <f>IFERROR('2.4'!P50/'2.2'!P80,"")</f>
        <v>0.91755873766161544</v>
      </c>
    </row>
    <row r="71" spans="2:16" x14ac:dyDescent="0.25">
      <c r="B71" s="277">
        <v>44228</v>
      </c>
      <c r="C71" s="278">
        <f>IFERROR('2.4'!C51/'2.2'!C81,"")</f>
        <v>0.83860414394765537</v>
      </c>
      <c r="D71" s="278">
        <f>IFERROR('2.4'!D51/'2.2'!D81,"")</f>
        <v>0.91714836223506746</v>
      </c>
      <c r="E71" s="278">
        <f>IFERROR('2.4'!E51/'2.2'!E81,"")</f>
        <v>0.55856727976766696</v>
      </c>
      <c r="F71" s="278">
        <f>IFERROR('2.4'!F51/'2.2'!F81,"")</f>
        <v>0.84146341463414631</v>
      </c>
      <c r="G71" s="278" t="str">
        <f>IFERROR('2.4'!G51/'2.2'!G81,"")</f>
        <v/>
      </c>
      <c r="H71" s="278" t="str">
        <f>IFERROR('2.4'!H51/'2.2'!H81,"")</f>
        <v/>
      </c>
      <c r="I71" s="278" t="str">
        <f>IFERROR('2.4'!I51/'2.2'!I81,"")</f>
        <v/>
      </c>
      <c r="J71" s="278" t="str">
        <f>IFERROR('2.4'!J51/'2.2'!J81,"")</f>
        <v/>
      </c>
      <c r="K71" s="278">
        <f>IFERROR('2.4'!K51/'2.2'!K81,"")</f>
        <v>0.86807580174927113</v>
      </c>
      <c r="L71" s="278">
        <f>IFERROR('2.4'!L51/'2.2'!L81,"")</f>
        <v>0.91824134705332083</v>
      </c>
      <c r="M71" s="278">
        <f>IFERROR('2.4'!M51/'2.2'!M81,"")</f>
        <v>0.87810945273631846</v>
      </c>
      <c r="N71" s="278">
        <f>IFERROR('2.4'!N51/'2.2'!N81,"")</f>
        <v>0.95652173913043481</v>
      </c>
      <c r="O71" s="278">
        <f>IFERROR('2.4'!O51/'2.2'!O81,"")</f>
        <v>0.83157271201500638</v>
      </c>
      <c r="P71" s="278">
        <f>IFERROR('2.4'!P51/'2.2'!P81,"")</f>
        <v>0.91432299217164392</v>
      </c>
    </row>
    <row r="72" spans="2:16" x14ac:dyDescent="0.25">
      <c r="B72" s="277">
        <v>44256</v>
      </c>
      <c r="C72" s="278">
        <f>IFERROR('2.4'!C52/'2.2'!C82,"")</f>
        <v>0.85943775100401609</v>
      </c>
      <c r="D72" s="278">
        <f>IFERROR('2.4'!D52/'2.2'!D82,"")</f>
        <v>0.90524781341107874</v>
      </c>
      <c r="E72" s="278">
        <f>IFERROR('2.4'!E52/'2.2'!E82,"")</f>
        <v>0.52231793265465931</v>
      </c>
      <c r="F72" s="278">
        <f>IFERROR('2.4'!F52/'2.2'!F82,"")</f>
        <v>0.78899082568807344</v>
      </c>
      <c r="G72" s="278" t="str">
        <f>IFERROR('2.4'!G52/'2.2'!G82,"")</f>
        <v/>
      </c>
      <c r="H72" s="278" t="str">
        <f>IFERROR('2.4'!H52/'2.2'!H82,"")</f>
        <v/>
      </c>
      <c r="I72" s="278" t="str">
        <f>IFERROR('2.4'!I52/'2.2'!I82,"")</f>
        <v/>
      </c>
      <c r="J72" s="278" t="str">
        <f>IFERROR('2.4'!J52/'2.2'!J82,"")</f>
        <v/>
      </c>
      <c r="K72" s="278">
        <f>IFERROR('2.4'!K52/'2.2'!K82,"")</f>
        <v>0.86121887123013385</v>
      </c>
      <c r="L72" s="278">
        <f>IFERROR('2.4'!L52/'2.2'!L82,"")</f>
        <v>0.91397849462365588</v>
      </c>
      <c r="M72" s="278">
        <f>IFERROR('2.4'!M52/'2.2'!M82,"")</f>
        <v>0.96680497925311204</v>
      </c>
      <c r="N72" s="278">
        <f>IFERROR('2.4'!N52/'2.2'!N82,"")</f>
        <v>0.97931034482758617</v>
      </c>
      <c r="O72" s="278">
        <f>IFERROR('2.4'!O52/'2.2'!O82,"")</f>
        <v>0.83642198154833536</v>
      </c>
      <c r="P72" s="278">
        <f>IFERROR('2.4'!P52/'2.2'!P82,"")</f>
        <v>0.91570559865799961</v>
      </c>
    </row>
    <row r="73" spans="2:16" x14ac:dyDescent="0.25">
      <c r="B73" s="277">
        <v>44287</v>
      </c>
      <c r="C73" s="278">
        <f>IFERROR('2.4'!C53/'2.2'!C83,"")</f>
        <v>0.82912793271359009</v>
      </c>
      <c r="D73" s="278">
        <f>IFERROR('2.4'!D53/'2.2'!D83,"")</f>
        <v>0.92074927953890495</v>
      </c>
      <c r="E73" s="278">
        <f>IFERROR('2.4'!E53/'2.2'!E83,"")</f>
        <v>0.49686847599164929</v>
      </c>
      <c r="F73" s="278">
        <f>IFERROR('2.4'!F53/'2.2'!F83,"")</f>
        <v>0.73913043478260865</v>
      </c>
      <c r="G73" s="278" t="str">
        <f>IFERROR('2.4'!G53/'2.2'!G83,"")</f>
        <v/>
      </c>
      <c r="H73" s="278" t="str">
        <f>IFERROR('2.4'!H53/'2.2'!H83,"")</f>
        <v/>
      </c>
      <c r="I73" s="278" t="str">
        <f>IFERROR('2.4'!I53/'2.2'!I83,"")</f>
        <v/>
      </c>
      <c r="J73" s="278" t="str">
        <f>IFERROR('2.4'!J53/'2.2'!J83,"")</f>
        <v/>
      </c>
      <c r="K73" s="278">
        <f>IFERROR('2.4'!K53/'2.2'!K83,"")</f>
        <v>0.84463130659767138</v>
      </c>
      <c r="L73" s="278">
        <f>IFERROR('2.4'!L53/'2.2'!L83,"")</f>
        <v>0.88958990536277605</v>
      </c>
      <c r="M73" s="278">
        <f>IFERROR('2.4'!M53/'2.2'!M83,"")</f>
        <v>0.96150999259807546</v>
      </c>
      <c r="N73" s="278">
        <f>IFERROR('2.4'!N53/'2.2'!N83,"")</f>
        <v>0.97137850467289721</v>
      </c>
      <c r="O73" s="278">
        <f>IFERROR('2.4'!O53/'2.2'!O83,"")</f>
        <v>0.81513657353056268</v>
      </c>
      <c r="P73" s="278">
        <f>IFERROR('2.4'!P53/'2.2'!P83,"")</f>
        <v>0.8959315714442373</v>
      </c>
    </row>
    <row r="74" spans="2:16" x14ac:dyDescent="0.25">
      <c r="B74" s="277">
        <v>44317</v>
      </c>
      <c r="C74" s="278">
        <f>IFERROR('2.4'!C54/'2.2'!C84,"")</f>
        <v>0.82072829131652658</v>
      </c>
      <c r="D74" s="278">
        <f>IFERROR('2.4'!D54/'2.2'!D84,"")</f>
        <v>0.92089728453364816</v>
      </c>
      <c r="E74" s="278">
        <f>IFERROR('2.4'!E54/'2.2'!E84,"")</f>
        <v>0.5328767123287671</v>
      </c>
      <c r="F74" s="278">
        <f>IFERROR('2.4'!F54/'2.2'!F84,"")</f>
        <v>0.7686658506731946</v>
      </c>
      <c r="G74" s="278" t="str">
        <f>IFERROR('2.4'!G54/'2.2'!G84,"")</f>
        <v/>
      </c>
      <c r="H74" s="278" t="str">
        <f>IFERROR('2.4'!H54/'2.2'!H84,"")</f>
        <v/>
      </c>
      <c r="I74" s="278" t="str">
        <f>IFERROR('2.4'!I54/'2.2'!I84,"")</f>
        <v/>
      </c>
      <c r="J74" s="278" t="str">
        <f>IFERROR('2.4'!J54/'2.2'!J84,"")</f>
        <v/>
      </c>
      <c r="K74" s="278">
        <f>IFERROR('2.4'!K54/'2.2'!K84,"")</f>
        <v>0.82451431492842531</v>
      </c>
      <c r="L74" s="278">
        <f>IFERROR('2.4'!L54/'2.2'!L84,"")</f>
        <v>0.88162574089754442</v>
      </c>
      <c r="M74" s="278">
        <f>IFERROR('2.4'!M54/'2.2'!M84,"")</f>
        <v>0.93928980526918671</v>
      </c>
      <c r="N74" s="278">
        <f>IFERROR('2.4'!N54/'2.2'!N84,"")</f>
        <v>0.9534510433386838</v>
      </c>
      <c r="O74" s="278">
        <f>IFERROR('2.4'!O54/'2.2'!O84,"")</f>
        <v>0.79804045512010113</v>
      </c>
      <c r="P74" s="278">
        <f>IFERROR('2.4'!P54/'2.2'!P84,"")</f>
        <v>0.88508224617129894</v>
      </c>
    </row>
    <row r="75" spans="2:16" x14ac:dyDescent="0.25">
      <c r="B75" s="277">
        <v>44348</v>
      </c>
      <c r="C75" s="278">
        <f>IFERROR('2.4'!C55/'2.2'!C85,"")</f>
        <v>0.80029750836742286</v>
      </c>
      <c r="D75" s="278">
        <f>IFERROR('2.4'!D55/'2.2'!D85,"")</f>
        <v>0.92613009922822487</v>
      </c>
      <c r="E75" s="278">
        <f>IFERROR('2.4'!E55/'2.2'!E85,"")</f>
        <v>0.53232758620689657</v>
      </c>
      <c r="F75" s="278">
        <f>IFERROR('2.4'!F55/'2.2'!F85,"")</f>
        <v>0.73533424283765347</v>
      </c>
      <c r="G75" s="278" t="str">
        <f>IFERROR('2.4'!G55/'2.2'!G85,"")</f>
        <v/>
      </c>
      <c r="H75" s="278" t="str">
        <f>IFERROR('2.4'!H55/'2.2'!H85,"")</f>
        <v/>
      </c>
      <c r="I75" s="278" t="str">
        <f>IFERROR('2.4'!I55/'2.2'!I85,"")</f>
        <v/>
      </c>
      <c r="J75" s="278" t="str">
        <f>IFERROR('2.4'!J55/'2.2'!J85,"")</f>
        <v/>
      </c>
      <c r="K75" s="278">
        <f>IFERROR('2.4'!K55/'2.2'!K85,"")</f>
        <v>0.82893374741200831</v>
      </c>
      <c r="L75" s="278">
        <f>IFERROR('2.4'!L55/'2.2'!L85,"")</f>
        <v>0.89478245796498523</v>
      </c>
      <c r="M75" s="278">
        <f>IFERROR('2.4'!M55/'2.2'!M85,"")</f>
        <v>0.87977369165487973</v>
      </c>
      <c r="N75" s="278">
        <f>IFERROR('2.4'!N55/'2.2'!N85,"")</f>
        <v>0.93016488845780798</v>
      </c>
      <c r="O75" s="278">
        <f>IFERROR('2.4'!O55/'2.2'!O85,"")</f>
        <v>0.79266538830297217</v>
      </c>
      <c r="P75" s="278">
        <f>IFERROR('2.4'!P55/'2.2'!P85,"")</f>
        <v>0.88862559241706163</v>
      </c>
    </row>
    <row r="76" spans="2:16" x14ac:dyDescent="0.25">
      <c r="B76" s="277">
        <v>44378</v>
      </c>
      <c r="C76" s="278">
        <f>IFERROR('2.4'!C56/'2.2'!C86,"")</f>
        <v>0.8276089828269485</v>
      </c>
      <c r="D76" s="278">
        <f>IFERROR('2.4'!D56/'2.2'!D86,"")</f>
        <v>0.92575618698441797</v>
      </c>
      <c r="E76" s="278">
        <f>IFERROR('2.4'!E56/'2.2'!E86,"")</f>
        <v>0.52080706179066838</v>
      </c>
      <c r="F76" s="278">
        <f>IFERROR('2.4'!F56/'2.2'!F86,"")</f>
        <v>0.73876063183475094</v>
      </c>
      <c r="G76" s="278" t="str">
        <f>IFERROR('2.4'!G56/'2.2'!G86,"")</f>
        <v/>
      </c>
      <c r="H76" s="278" t="str">
        <f>IFERROR('2.4'!H56/'2.2'!H86,"")</f>
        <v/>
      </c>
      <c r="I76" s="278" t="str">
        <f>IFERROR('2.4'!I56/'2.2'!I86,"")</f>
        <v/>
      </c>
      <c r="J76" s="278" t="str">
        <f>IFERROR('2.4'!J56/'2.2'!J86,"")</f>
        <v/>
      </c>
      <c r="K76" s="278">
        <f>IFERROR('2.4'!K56/'2.2'!K86,"")</f>
        <v>0.84812342707079547</v>
      </c>
      <c r="L76" s="278">
        <f>IFERROR('2.4'!L56/'2.2'!L86,"")</f>
        <v>0.90329341317365275</v>
      </c>
      <c r="M76" s="278">
        <f>IFERROR('2.4'!M56/'2.2'!M86,"")</f>
        <v>0.88607594936708856</v>
      </c>
      <c r="N76" s="278">
        <f>IFERROR('2.4'!N56/'2.2'!N86,"")</f>
        <v>0.93244626407369502</v>
      </c>
      <c r="O76" s="278">
        <f>IFERROR('2.4'!O56/'2.2'!O86,"")</f>
        <v>0.80938477580813351</v>
      </c>
      <c r="P76" s="278">
        <f>IFERROR('2.4'!P56/'2.2'!P86,"")</f>
        <v>0.89468185142618328</v>
      </c>
    </row>
    <row r="77" spans="2:16" x14ac:dyDescent="0.25">
      <c r="B77" s="277">
        <v>44409</v>
      </c>
      <c r="C77" s="278">
        <f>IFERROR('2.4'!C57/'2.2'!C87,"")</f>
        <v>0.82</v>
      </c>
      <c r="D77" s="278">
        <f>IFERROR('2.4'!D57/'2.2'!D87,"")</f>
        <v>0.93065998329156219</v>
      </c>
      <c r="E77" s="278">
        <f>IFERROR('2.4'!E57/'2.2'!E87,"")</f>
        <v>0.52790697674418607</v>
      </c>
      <c r="F77" s="278">
        <f>IFERROR('2.4'!F57/'2.2'!F87,"")</f>
        <v>0.71769815418023886</v>
      </c>
      <c r="G77" s="278" t="str">
        <f>IFERROR('2.4'!G57/'2.2'!G87,"")</f>
        <v/>
      </c>
      <c r="H77" s="278" t="str">
        <f>IFERROR('2.4'!H57/'2.2'!H87,"")</f>
        <v/>
      </c>
      <c r="I77" s="278" t="str">
        <f>IFERROR('2.4'!I57/'2.2'!I87,"")</f>
        <v/>
      </c>
      <c r="J77" s="278" t="str">
        <f>IFERROR('2.4'!J57/'2.2'!J87,"")</f>
        <v/>
      </c>
      <c r="K77" s="278">
        <f>IFERROR('2.4'!K57/'2.2'!K87,"")</f>
        <v>0.83665299746143329</v>
      </c>
      <c r="L77" s="278">
        <f>IFERROR('2.4'!L57/'2.2'!L87,"")</f>
        <v>0.90276907655682248</v>
      </c>
      <c r="M77" s="278">
        <f>IFERROR('2.4'!M57/'2.2'!M87,"")</f>
        <v>0.87461300309597523</v>
      </c>
      <c r="N77" s="278">
        <f>IFERROR('2.4'!N57/'2.2'!N87,"")</f>
        <v>0.92833517089305406</v>
      </c>
      <c r="O77" s="278">
        <f>IFERROR('2.4'!O57/'2.2'!O87,"")</f>
        <v>0.80112044817927175</v>
      </c>
      <c r="P77" s="278">
        <f>IFERROR('2.4'!P57/'2.2'!P87,"")</f>
        <v>0.89242231510085412</v>
      </c>
    </row>
    <row r="78" spans="2:16" x14ac:dyDescent="0.25">
      <c r="B78" s="277">
        <v>44440</v>
      </c>
      <c r="C78" s="278">
        <f>IFERROR('2.4'!C58/'2.2'!C88,"")</f>
        <v>0.83655589123867069</v>
      </c>
      <c r="D78" s="278">
        <f>IFERROR('2.4'!D58/'2.2'!D88,"")</f>
        <v>0.93355209187858901</v>
      </c>
      <c r="E78" s="278">
        <f>IFERROR('2.4'!E58/'2.2'!E88,"")</f>
        <v>0.51830808080808077</v>
      </c>
      <c r="F78" s="278">
        <f>IFERROR('2.4'!F58/'2.2'!F88,"")</f>
        <v>0.75201072386058976</v>
      </c>
      <c r="G78" s="278" t="str">
        <f>IFERROR('2.4'!G58/'2.2'!G88,"")</f>
        <v/>
      </c>
      <c r="H78" s="278" t="str">
        <f>IFERROR('2.4'!H58/'2.2'!H88,"")</f>
        <v/>
      </c>
      <c r="I78" s="278" t="str">
        <f>IFERROR('2.4'!I58/'2.2'!I88,"")</f>
        <v/>
      </c>
      <c r="J78" s="278" t="str">
        <f>IFERROR('2.4'!J58/'2.2'!J88,"")</f>
        <v/>
      </c>
      <c r="K78" s="278">
        <f>IFERROR('2.4'!K58/'2.2'!K88,"")</f>
        <v>0.85208109077861505</v>
      </c>
      <c r="L78" s="278">
        <f>IFERROR('2.4'!L58/'2.2'!L88,"")</f>
        <v>0.90954194069458871</v>
      </c>
      <c r="M78" s="278">
        <f>IFERROR('2.4'!M58/'2.2'!M88,"")</f>
        <v>0.82421227197346603</v>
      </c>
      <c r="N78" s="278">
        <f>IFERROR('2.4'!N58/'2.2'!N88,"")</f>
        <v>0.91319857312722952</v>
      </c>
      <c r="O78" s="278">
        <f>IFERROR('2.4'!O58/'2.2'!O88,"")</f>
        <v>0.81622108741363775</v>
      </c>
      <c r="P78" s="278">
        <f>IFERROR('2.4'!P58/'2.2'!P88,"")</f>
        <v>0.90211801621197596</v>
      </c>
    </row>
    <row r="79" spans="2:16" x14ac:dyDescent="0.25">
      <c r="B79" s="277">
        <v>44470</v>
      </c>
      <c r="C79" s="278">
        <f>IFERROR('2.4'!C59/'2.2'!C89,"")</f>
        <v>0.80740151213688816</v>
      </c>
      <c r="D79" s="278">
        <f>IFERROR('2.4'!D59/'2.2'!D89,"")</f>
        <v>0.91493775933609955</v>
      </c>
      <c r="E79" s="278">
        <f>IFERROR('2.4'!E59/'2.2'!E89,"")</f>
        <v>0.49169632265717678</v>
      </c>
      <c r="F79" s="278">
        <f>IFERROR('2.4'!F59/'2.2'!F89,"")</f>
        <v>0.70694087403598971</v>
      </c>
      <c r="G79" s="278" t="str">
        <f>IFERROR('2.4'!G59/'2.2'!G89,"")</f>
        <v/>
      </c>
      <c r="H79" s="278" t="str">
        <f>IFERROR('2.4'!H59/'2.2'!H89,"")</f>
        <v/>
      </c>
      <c r="I79" s="278" t="str">
        <f>IFERROR('2.4'!I59/'2.2'!I89,"")</f>
        <v/>
      </c>
      <c r="J79" s="278" t="str">
        <f>IFERROR('2.4'!J59/'2.2'!J89,"")</f>
        <v/>
      </c>
      <c r="K79" s="278">
        <f>IFERROR('2.4'!K59/'2.2'!K89,"")</f>
        <v>0.85299128169155225</v>
      </c>
      <c r="L79" s="278">
        <f>IFERROR('2.4'!L59/'2.2'!L89,"")</f>
        <v>0.90909090909090906</v>
      </c>
      <c r="M79" s="278">
        <f>IFERROR('2.4'!M59/'2.2'!M89,"")</f>
        <v>0.85943060498220636</v>
      </c>
      <c r="N79" s="278">
        <f>IFERROR('2.4'!N59/'2.2'!N89,"")</f>
        <v>0.94597701149425284</v>
      </c>
      <c r="O79" s="278">
        <f>IFERROR('2.4'!O59/'2.2'!O89,"")</f>
        <v>0.80413839891451833</v>
      </c>
      <c r="P79" s="278">
        <f>IFERROR('2.4'!P59/'2.2'!P89,"")</f>
        <v>0.89752274046835689</v>
      </c>
    </row>
    <row r="80" spans="2:16" x14ac:dyDescent="0.25">
      <c r="B80" s="277">
        <v>44501</v>
      </c>
      <c r="C80" s="278">
        <f>IFERROR('2.4'!C60/'2.2'!C90,"")</f>
        <v>0.84166666666666667</v>
      </c>
      <c r="D80" s="278">
        <f>IFERROR('2.4'!D60/'2.2'!D90,"")</f>
        <v>0.94653465346534649</v>
      </c>
      <c r="E80" s="278">
        <f>IFERROR('2.4'!E60/'2.2'!E90,"")</f>
        <v>0.48863636363636365</v>
      </c>
      <c r="F80" s="278">
        <f>IFERROR('2.4'!F60/'2.2'!F90,"")</f>
        <v>0.73456790123456794</v>
      </c>
      <c r="G80" s="278" t="str">
        <f>IFERROR('2.4'!G60/'2.2'!G90,"")</f>
        <v/>
      </c>
      <c r="H80" s="278" t="str">
        <f>IFERROR('2.4'!H60/'2.2'!H90,"")</f>
        <v/>
      </c>
      <c r="I80" s="278" t="str">
        <f>IFERROR('2.4'!I60/'2.2'!I90,"")</f>
        <v/>
      </c>
      <c r="J80" s="278" t="str">
        <f>IFERROR('2.4'!J60/'2.2'!J90,"")</f>
        <v/>
      </c>
      <c r="K80" s="278">
        <f>IFERROR('2.4'!K60/'2.2'!K90,"")</f>
        <v>0.84195130345005598</v>
      </c>
      <c r="L80" s="278">
        <f>IFERROR('2.4'!L60/'2.2'!L90,"")</f>
        <v>0.90172393573355225</v>
      </c>
      <c r="M80" s="278">
        <f>IFERROR('2.4'!M60/'2.2'!M90,"")</f>
        <v>0.87108013937282225</v>
      </c>
      <c r="N80" s="278">
        <f>IFERROR('2.4'!N60/'2.2'!N90,"")</f>
        <v>0.9252437703141928</v>
      </c>
      <c r="O80" s="278">
        <f>IFERROR('2.4'!O60/'2.2'!O90,"")</f>
        <v>0.80431314623338257</v>
      </c>
      <c r="P80" s="278">
        <f>IFERROR('2.4'!P60/'2.2'!P90,"")</f>
        <v>0.89565217391304353</v>
      </c>
    </row>
    <row r="81" spans="2:16" x14ac:dyDescent="0.25">
      <c r="B81" s="277">
        <v>44531</v>
      </c>
      <c r="C81" s="278">
        <f>IFERROR('2.4'!C61/'2.2'!C91,"")</f>
        <v>0.80579710144927541</v>
      </c>
      <c r="D81" s="278">
        <f>IFERROR('2.4'!D61/'2.2'!D91,"")</f>
        <v>0.92822502424830267</v>
      </c>
      <c r="E81" s="278">
        <f>IFERROR('2.4'!E61/'2.2'!E91,"")</f>
        <v>0.46352670878805285</v>
      </c>
      <c r="F81" s="278">
        <f>IFERROR('2.4'!F61/'2.2'!F91,"")</f>
        <v>0.67011642949547223</v>
      </c>
      <c r="G81" s="278" t="str">
        <f>IFERROR('2.4'!G61/'2.2'!G91,"")</f>
        <v/>
      </c>
      <c r="H81" s="278" t="str">
        <f>IFERROR('2.4'!H61/'2.2'!H91,"")</f>
        <v/>
      </c>
      <c r="I81" s="278" t="str">
        <f>IFERROR('2.4'!I61/'2.2'!I91,"")</f>
        <v/>
      </c>
      <c r="J81" s="278" t="str">
        <f>IFERROR('2.4'!J61/'2.2'!J91,"")</f>
        <v/>
      </c>
      <c r="K81" s="278">
        <f>IFERROR('2.4'!K61/'2.2'!K91,"")</f>
        <v>0.83051339069902352</v>
      </c>
      <c r="L81" s="278">
        <f>IFERROR('2.4'!L61/'2.2'!L91,"")</f>
        <v>0.89534611786716556</v>
      </c>
      <c r="M81" s="278">
        <f>IFERROR('2.4'!M61/'2.2'!M91,"")</f>
        <v>0.8870431893687708</v>
      </c>
      <c r="N81" s="278">
        <f>IFERROR('2.4'!N61/'2.2'!N91,"")</f>
        <v>0.93498817966903069</v>
      </c>
      <c r="O81" s="278">
        <f>IFERROR('2.4'!O61/'2.2'!O91,"")</f>
        <v>0.78693512883594463</v>
      </c>
      <c r="P81" s="278">
        <f>IFERROR('2.4'!P61/'2.2'!P91,"")</f>
        <v>0.88582396000714159</v>
      </c>
    </row>
    <row r="82" spans="2:16" x14ac:dyDescent="0.25">
      <c r="B82" s="280" t="s">
        <v>770</v>
      </c>
      <c r="C82" s="292">
        <f>IFERROR('2.4'!C62/'2.2'!C92,"")</f>
        <v>0.82673876440875538</v>
      </c>
      <c r="D82" s="292">
        <f>IFERROR('2.4'!D62/'2.2'!D92,"")</f>
        <v>0.9262698486396137</v>
      </c>
      <c r="E82" s="292">
        <f>IFERROR('2.4'!E62/'2.2'!E92,"")</f>
        <v>0.5155605131065254</v>
      </c>
      <c r="F82" s="292">
        <f>IFERROR('2.4'!F62/'2.2'!F92,"")</f>
        <v>0.74941918353800197</v>
      </c>
      <c r="G82" s="292" t="str">
        <f>IFERROR('2.4'!G62/'2.2'!G92,"")</f>
        <v/>
      </c>
      <c r="H82" s="292" t="str">
        <f>IFERROR('2.4'!H62/'2.2'!H92,"")</f>
        <v/>
      </c>
      <c r="I82" s="292" t="str">
        <f>IFERROR('2.4'!I62/'2.2'!I92,"")</f>
        <v/>
      </c>
      <c r="J82" s="292" t="str">
        <f>IFERROR('2.4'!J62/'2.2'!J92,"")</f>
        <v/>
      </c>
      <c r="K82" s="292">
        <f>IFERROR('2.4'!K62/'2.2'!K92,"")</f>
        <v>0.84627427004594635</v>
      </c>
      <c r="L82" s="292">
        <f>IFERROR('2.4'!L62/'2.2'!L92,"")</f>
        <v>0.9034116882804416</v>
      </c>
      <c r="M82" s="292">
        <f>IFERROR('2.4'!M62/'2.2'!M92,"")</f>
        <v>0.90506697728596397</v>
      </c>
      <c r="N82" s="292">
        <f>IFERROR('2.4'!N62/'2.2'!N92,"")</f>
        <v>0.94708595387840666</v>
      </c>
      <c r="O82" s="292">
        <f>IFERROR('2.4'!O62/'2.2'!O92,"")</f>
        <v>0.80981669297433934</v>
      </c>
      <c r="P82" s="292">
        <f>IFERROR('2.4'!P62/'2.2'!P92,"")</f>
        <v>0.8979705552024656</v>
      </c>
    </row>
    <row r="83" spans="2:16" x14ac:dyDescent="0.25">
      <c r="B83" s="277">
        <v>44562</v>
      </c>
      <c r="C83" s="278">
        <f>IFERROR('2.4'!C63/'2.2'!C93,"")</f>
        <v>0.90881374722838137</v>
      </c>
      <c r="D83" s="278">
        <f>IFERROR('2.4'!D63/'2.2'!D93,"")</f>
        <v>0.94020456333595592</v>
      </c>
      <c r="E83" s="278">
        <f>IFERROR('2.4'!E63/'2.2'!E93,"")</f>
        <v>0.42976662263320126</v>
      </c>
      <c r="F83" s="278">
        <f>IFERROR('2.4'!F63/'2.2'!F93,"")</f>
        <v>0.66382978723404251</v>
      </c>
      <c r="G83" s="278" t="str">
        <f>IFERROR('2.4'!G63/'2.2'!G93,"")</f>
        <v/>
      </c>
      <c r="H83" s="278" t="str">
        <f>IFERROR('2.4'!H63/'2.2'!H93,"")</f>
        <v/>
      </c>
      <c r="I83" s="278" t="str">
        <f>IFERROR('2.4'!I63/'2.2'!I93,"")</f>
        <v/>
      </c>
      <c r="J83" s="278" t="str">
        <f>IFERROR('2.4'!J63/'2.2'!J93,"")</f>
        <v/>
      </c>
      <c r="K83" s="278">
        <f>IFERROR('2.4'!K63/'2.2'!K93,"")</f>
        <v>0.92464933287718098</v>
      </c>
      <c r="L83" s="278">
        <f>IFERROR('2.4'!L63/'2.2'!L93,"")</f>
        <v>0.94376337808912236</v>
      </c>
      <c r="M83" s="278">
        <f>IFERROR('2.4'!M63/'2.2'!M93,"")</f>
        <v>0.85629629629629633</v>
      </c>
      <c r="N83" s="278">
        <f>IFERROR('2.4'!N63/'2.2'!N93,"")</f>
        <v>0.91790193842645385</v>
      </c>
      <c r="O83" s="278">
        <f>IFERROR('2.4'!O63/'2.2'!O93,"")</f>
        <v>0.85739340129343422</v>
      </c>
      <c r="P83" s="278">
        <f>IFERROR('2.4'!P63/'2.2'!P93,"")</f>
        <v>0.92204099955109986</v>
      </c>
    </row>
    <row r="84" spans="2:16" x14ac:dyDescent="0.25">
      <c r="B84" s="277">
        <v>44593</v>
      </c>
      <c r="C84" s="278" t="str">
        <f>IFERROR('2.4'!C64/'2.2'!C94,"")</f>
        <v/>
      </c>
      <c r="D84" s="278" t="str">
        <f>IFERROR('2.4'!D64/'2.2'!D94,"")</f>
        <v/>
      </c>
      <c r="E84" s="278">
        <f>IFERROR('2.4'!E64/'2.2'!E94,"")</f>
        <v>0.47137879542060729</v>
      </c>
      <c r="F84" s="278">
        <f>IFERROR('2.4'!F64/'2.2'!F94,"")</f>
        <v>0.69979919678714864</v>
      </c>
      <c r="G84" s="278">
        <f>IFERROR('2.4'!G64/'2.2'!G94,"")</f>
        <v>0.787296114573664</v>
      </c>
      <c r="H84" s="278">
        <f>IFERROR('2.4'!H64/'2.2'!H94,"")</f>
        <v>0.80456431535269712</v>
      </c>
      <c r="I84" s="278">
        <f>IFERROR('2.4'!I64/'2.2'!I94,"")</f>
        <v>0.82590903776452707</v>
      </c>
      <c r="J84" s="278">
        <f>IFERROR('2.4'!J64/'2.2'!J94,"")</f>
        <v>0.8314809845927893</v>
      </c>
      <c r="K84" s="278" t="str">
        <f>IFERROR('2.4'!K64/'2.2'!K94,"")</f>
        <v/>
      </c>
      <c r="L84" s="278" t="str">
        <f>IFERROR('2.4'!L64/'2.2'!L94,"")</f>
        <v/>
      </c>
      <c r="M84" s="278">
        <f>IFERROR('2.4'!M64/'2.2'!M94,"")</f>
        <v>0.77811550151975684</v>
      </c>
      <c r="N84" s="278">
        <f>IFERROR('2.4'!N64/'2.2'!N94,"")</f>
        <v>0.79436480474542759</v>
      </c>
      <c r="O84" s="278">
        <f>IFERROR('2.4'!O64/'2.2'!O94,"")</f>
        <v>0.81246058771597929</v>
      </c>
      <c r="P84" s="278">
        <f>IFERROR('2.4'!P64/'2.2'!P94,"")</f>
        <v>0.82792497376705143</v>
      </c>
    </row>
    <row r="85" spans="2:16" x14ac:dyDescent="0.25">
      <c r="B85" s="277">
        <v>44621</v>
      </c>
      <c r="C85" s="278" t="str">
        <f>IFERROR('2.4'!C65/'2.2'!C95,"")</f>
        <v/>
      </c>
      <c r="D85" s="278" t="str">
        <f>IFERROR('2.4'!D65/'2.2'!D95,"")</f>
        <v/>
      </c>
      <c r="E85" s="278">
        <f>IFERROR('2.4'!E65/'2.2'!E95,"")</f>
        <v>0.38704177323103156</v>
      </c>
      <c r="F85" s="278">
        <f>IFERROR('2.4'!F65/'2.2'!F95,"")</f>
        <v>0.61461187214611868</v>
      </c>
      <c r="G85" s="278">
        <f>IFERROR('2.4'!G65/'2.2'!G95,"")</f>
        <v>0.79281302638966877</v>
      </c>
      <c r="H85" s="278">
        <f>IFERROR('2.4'!H65/'2.2'!H95,"")</f>
        <v>0.91274509803921566</v>
      </c>
      <c r="I85" s="278">
        <f>IFERROR('2.4'!I65/'2.2'!I95,"")</f>
        <v>0.86482591215959947</v>
      </c>
      <c r="J85" s="278">
        <f>IFERROR('2.4'!J65/'2.2'!J95,"")</f>
        <v>0.85933797909407661</v>
      </c>
      <c r="K85" s="278" t="str">
        <f>IFERROR('2.4'!K65/'2.2'!K95,"")</f>
        <v/>
      </c>
      <c r="L85" s="278" t="str">
        <f>IFERROR('2.4'!L65/'2.2'!L95,"")</f>
        <v/>
      </c>
      <c r="M85" s="278">
        <f>IFERROR('2.4'!M65/'2.2'!M95,"")</f>
        <v>0.82493368700265257</v>
      </c>
      <c r="N85" s="278">
        <f>IFERROR('2.4'!N65/'2.2'!N95,"")</f>
        <v>0.89905090595340809</v>
      </c>
      <c r="O85" s="278">
        <f>IFERROR('2.4'!O65/'2.2'!O95,"")</f>
        <v>0.82388709316094344</v>
      </c>
      <c r="P85" s="278">
        <f>IFERROR('2.4'!P65/'2.2'!P95,"")</f>
        <v>0.85410020641771445</v>
      </c>
    </row>
    <row r="86" spans="2:16" x14ac:dyDescent="0.25">
      <c r="B86" s="277">
        <v>44652</v>
      </c>
      <c r="C86" s="278" t="str">
        <f>IFERROR('2.4'!C66/'2.2'!C96,"")</f>
        <v/>
      </c>
      <c r="D86" s="278" t="str">
        <f>IFERROR('2.4'!D66/'2.2'!D96,"")</f>
        <v/>
      </c>
      <c r="E86" s="278">
        <f>IFERROR('2.4'!E66/'2.2'!E96,"")</f>
        <v>0.33750000000000002</v>
      </c>
      <c r="F86" s="278">
        <f>IFERROR('2.4'!F66/'2.2'!F96,"")</f>
        <v>0.53105590062111796</v>
      </c>
      <c r="G86" s="278">
        <f>IFERROR('2.4'!G66/'2.2'!G96,"")</f>
        <v>0.87817745803357317</v>
      </c>
      <c r="H86" s="278">
        <f>IFERROR('2.4'!H66/'2.2'!H96,"")</f>
        <v>0.93687943262411344</v>
      </c>
      <c r="I86" s="278">
        <f>IFERROR('2.4'!I66/'2.2'!I96,"")</f>
        <v>0.86202203499675956</v>
      </c>
      <c r="J86" s="278">
        <f>IFERROR('2.4'!J66/'2.2'!J96,"")</f>
        <v>0.85553365249225566</v>
      </c>
      <c r="K86" s="278" t="str">
        <f>IFERROR('2.4'!K66/'2.2'!K96,"")</f>
        <v/>
      </c>
      <c r="L86" s="278" t="str">
        <f>IFERROR('2.4'!L66/'2.2'!L96,"")</f>
        <v/>
      </c>
      <c r="M86" s="278">
        <f>IFERROR('2.4'!M66/'2.2'!M96,"")</f>
        <v>0.80685920577617332</v>
      </c>
      <c r="N86" s="278">
        <f>IFERROR('2.4'!N66/'2.2'!N96,"")</f>
        <v>0.90256410256410258</v>
      </c>
      <c r="O86" s="278">
        <f>IFERROR('2.4'!O66/'2.2'!O96,"")</f>
        <v>0.80616936081862678</v>
      </c>
      <c r="P86" s="278">
        <f>IFERROR('2.4'!P66/'2.2'!P96,"")</f>
        <v>0.84778346324900766</v>
      </c>
    </row>
    <row r="87" spans="2:16" x14ac:dyDescent="0.25">
      <c r="B87" s="277">
        <v>44682</v>
      </c>
      <c r="C87" s="278" t="str">
        <f>IFERROR('2.4'!C67/'2.2'!C97,"")</f>
        <v/>
      </c>
      <c r="D87" s="278" t="str">
        <f>IFERROR('2.4'!D67/'2.2'!D97,"")</f>
        <v/>
      </c>
      <c r="E87" s="278">
        <f>IFERROR('2.4'!E67/'2.2'!E97,"")</f>
        <v>0.27603686635944702</v>
      </c>
      <c r="F87" s="278">
        <f>IFERROR('2.4'!F67/'2.2'!F97,"")</f>
        <v>0.44030668127053668</v>
      </c>
      <c r="G87" s="278">
        <f>IFERROR('2.4'!G67/'2.2'!G97,"")</f>
        <v>0.89225141336880609</v>
      </c>
      <c r="H87" s="278">
        <f>IFERROR('2.4'!H67/'2.2'!H97,"")</f>
        <v>0.92358180965775905</v>
      </c>
      <c r="I87" s="278">
        <f>IFERROR('2.4'!I67/'2.2'!I97,"")</f>
        <v>0.86340319507548002</v>
      </c>
      <c r="J87" s="278">
        <f>IFERROR('2.4'!J67/'2.2'!J97,"")</f>
        <v>0.84877458396369143</v>
      </c>
      <c r="K87" s="278" t="str">
        <f>IFERROR('2.4'!K67/'2.2'!K97,"")</f>
        <v/>
      </c>
      <c r="L87" s="278" t="str">
        <f>IFERROR('2.4'!L67/'2.2'!L97,"")</f>
        <v/>
      </c>
      <c r="M87" s="278">
        <f>IFERROR('2.4'!M67/'2.2'!M97,"")</f>
        <v>0.75645756457564572</v>
      </c>
      <c r="N87" s="278">
        <f>IFERROR('2.4'!N67/'2.2'!N97,"")</f>
        <v>0.84285714285714286</v>
      </c>
      <c r="O87" s="278">
        <f>IFERROR('2.4'!O67/'2.2'!O97,"")</f>
        <v>0.7990704879938032</v>
      </c>
      <c r="P87" s="278">
        <f>IFERROR('2.4'!P67/'2.2'!P97,"")</f>
        <v>0.83807750722649554</v>
      </c>
    </row>
    <row r="88" spans="2:16" x14ac:dyDescent="0.25">
      <c r="B88" s="277">
        <v>44713</v>
      </c>
      <c r="C88" s="278" t="str">
        <f>IFERROR('2.4'!C68/'2.2'!C98,"")</f>
        <v/>
      </c>
      <c r="D88" s="278" t="str">
        <f>IFERROR('2.4'!D68/'2.2'!D98,"")</f>
        <v/>
      </c>
      <c r="E88" s="278">
        <f>IFERROR('2.4'!E68/'2.2'!E98,"")</f>
        <v>0.19414893617021275</v>
      </c>
      <c r="F88" s="278">
        <f>IFERROR('2.4'!F68/'2.2'!F98,"")</f>
        <v>0.37815126050420167</v>
      </c>
      <c r="G88" s="278">
        <f>IFERROR('2.4'!G68/'2.2'!G98,"")</f>
        <v>0.90952543530215091</v>
      </c>
      <c r="H88" s="278">
        <f>IFERROR('2.4'!H68/'2.2'!H98,"")</f>
        <v>0.92311130978989719</v>
      </c>
      <c r="I88" s="278">
        <f>IFERROR('2.4'!I68/'2.2'!I98,"")</f>
        <v>0.85009022013713464</v>
      </c>
      <c r="J88" s="278">
        <f>IFERROR('2.4'!J68/'2.2'!J98,"")</f>
        <v>0.8137202854951926</v>
      </c>
      <c r="K88" s="278" t="str">
        <f>IFERROR('2.4'!K68/'2.2'!K98,"")</f>
        <v/>
      </c>
      <c r="L88" s="278" t="str">
        <f>IFERROR('2.4'!L68/'2.2'!L98,"")</f>
        <v/>
      </c>
      <c r="M88" s="278">
        <f>IFERROR('2.4'!M68/'2.2'!M98,"")</f>
        <v>0.76447876447876451</v>
      </c>
      <c r="N88" s="278">
        <f>IFERROR('2.4'!N68/'2.2'!N98,"")</f>
        <v>0.87622549019607843</v>
      </c>
      <c r="O88" s="278">
        <f>IFERROR('2.4'!O68/'2.2'!O98,"")</f>
        <v>0.79256594724220619</v>
      </c>
      <c r="P88" s="278">
        <f>IFERROR('2.4'!P68/'2.2'!P98,"")</f>
        <v>0.81049954412399827</v>
      </c>
    </row>
    <row r="89" spans="2:16" x14ac:dyDescent="0.25">
      <c r="B89" s="277">
        <v>44743</v>
      </c>
      <c r="C89" s="278" t="str">
        <f>IFERROR('2.4'!C69/'2.2'!C99,"")</f>
        <v/>
      </c>
      <c r="D89" s="278" t="str">
        <f>IFERROR('2.4'!D69/'2.2'!D99,"")</f>
        <v/>
      </c>
      <c r="E89" s="278">
        <f>IFERROR('2.4'!E69/'2.2'!E99,"")</f>
        <v>0.14865481076151391</v>
      </c>
      <c r="F89" s="278">
        <f>IFERROR('2.4'!F69/'2.2'!F99,"")</f>
        <v>0.27600849256900212</v>
      </c>
      <c r="G89" s="278">
        <f>IFERROR('2.4'!G69/'2.2'!G99,"")</f>
        <v>0.86469150885766644</v>
      </c>
      <c r="H89" s="278">
        <f>IFERROR('2.4'!H69/'2.2'!H99,"")</f>
        <v>0.91598140865212729</v>
      </c>
      <c r="I89" s="278">
        <f>IFERROR('2.4'!I69/'2.2'!I99,"")</f>
        <v>0.82731726182802634</v>
      </c>
      <c r="J89" s="278">
        <f>IFERROR('2.4'!J69/'2.2'!J99,"")</f>
        <v>0.75540450189436148</v>
      </c>
      <c r="K89" s="278" t="str">
        <f>IFERROR('2.4'!K69/'2.2'!K99,"")</f>
        <v/>
      </c>
      <c r="L89" s="278" t="str">
        <f>IFERROR('2.4'!L69/'2.2'!L99,"")</f>
        <v/>
      </c>
      <c r="M89" s="278">
        <f>IFERROR('2.4'!M69/'2.2'!M99,"")</f>
        <v>0.74700854700854702</v>
      </c>
      <c r="N89" s="278">
        <f>IFERROR('2.4'!N69/'2.2'!N99,"")</f>
        <v>0.89373007438894791</v>
      </c>
      <c r="O89" s="278">
        <f>IFERROR('2.4'!O69/'2.2'!O99,"")</f>
        <v>0.76180098302884169</v>
      </c>
      <c r="P89" s="278">
        <f>IFERROR('2.4'!P69/'2.2'!P99,"")</f>
        <v>0.76104825879441396</v>
      </c>
    </row>
    <row r="90" spans="2:16" x14ac:dyDescent="0.25">
      <c r="B90" s="277">
        <v>44774</v>
      </c>
      <c r="C90" s="278" t="str">
        <f>IFERROR('2.4'!C70/'2.2'!C100,"")</f>
        <v/>
      </c>
      <c r="D90" s="278" t="str">
        <f>IFERROR('2.4'!D70/'2.2'!D100,"")</f>
        <v/>
      </c>
      <c r="E90" s="278">
        <f>IFERROR('2.4'!E70/'2.2'!E100,"")</f>
        <v>7.9635949943117179E-2</v>
      </c>
      <c r="F90" s="278">
        <f>IFERROR('2.4'!F70/'2.2'!F100,"")</f>
        <v>0.17361784675072744</v>
      </c>
      <c r="G90" s="278">
        <f>IFERROR('2.4'!G70/'2.2'!G100,"")</f>
        <v>0.83083190394511153</v>
      </c>
      <c r="H90" s="278">
        <f>IFERROR('2.4'!H70/'2.2'!H100,"")</f>
        <v>0.9283349561830575</v>
      </c>
      <c r="I90" s="278">
        <f>IFERROR('2.4'!I70/'2.2'!I100,"")</f>
        <v>0.72748986029743123</v>
      </c>
      <c r="J90" s="278">
        <f>IFERROR('2.4'!J70/'2.2'!J100,"")</f>
        <v>0.68440946109184431</v>
      </c>
      <c r="K90" s="278" t="str">
        <f>IFERROR('2.4'!K70/'2.2'!K100,"")</f>
        <v/>
      </c>
      <c r="L90" s="278" t="str">
        <f>IFERROR('2.4'!L70/'2.2'!L100,"")</f>
        <v/>
      </c>
      <c r="M90" s="278">
        <f>IFERROR('2.4'!M70/'2.2'!M100,"")</f>
        <v>0.77176781002638517</v>
      </c>
      <c r="N90" s="278">
        <f>IFERROR('2.4'!N70/'2.2'!N100,"")</f>
        <v>0.8598993288590604</v>
      </c>
      <c r="O90" s="278">
        <f>IFERROR('2.4'!O70/'2.2'!O100,"")</f>
        <v>0.68805580349763629</v>
      </c>
      <c r="P90" s="278">
        <f>IFERROR('2.4'!P70/'2.2'!P100,"")</f>
        <v>0.71272826383210686</v>
      </c>
    </row>
    <row r="91" spans="2:16" x14ac:dyDescent="0.25">
      <c r="B91" s="277">
        <v>44805</v>
      </c>
      <c r="C91" s="278" t="str">
        <f>IFERROR('2.4'!C71/'2.2'!C101,"")</f>
        <v/>
      </c>
      <c r="D91" s="278" t="str">
        <f>IFERROR('2.4'!D71/'2.2'!D101,"")</f>
        <v/>
      </c>
      <c r="E91" s="278">
        <f>IFERROR('2.4'!E71/'2.2'!E101,"")</f>
        <v>7.1576763485477174E-2</v>
      </c>
      <c r="F91" s="278">
        <f>IFERROR('2.4'!F71/'2.2'!F101,"")</f>
        <v>0.14086294416243655</v>
      </c>
      <c r="G91" s="278">
        <f>IFERROR('2.4'!G71/'2.2'!G101,"")</f>
        <v>0.79807204464738712</v>
      </c>
      <c r="H91" s="278">
        <f>IFERROR('2.4'!H71/'2.2'!H101,"")</f>
        <v>0.79449339207048453</v>
      </c>
      <c r="I91" s="278">
        <f>IFERROR('2.4'!I71/'2.2'!I101,"")</f>
        <v>0.75838330002220744</v>
      </c>
      <c r="J91" s="278">
        <f>IFERROR('2.4'!J71/'2.2'!J101,"")</f>
        <v>0.70142833955526696</v>
      </c>
      <c r="K91" s="278" t="str">
        <f>IFERROR('2.4'!K71/'2.2'!K101,"")</f>
        <v/>
      </c>
      <c r="L91" s="278" t="str">
        <f>IFERROR('2.4'!L71/'2.2'!L101,"")</f>
        <v/>
      </c>
      <c r="M91" s="278">
        <f>IFERROR('2.4'!M71/'2.2'!M101,"")</f>
        <v>0.7385892116182573</v>
      </c>
      <c r="N91" s="278">
        <f>IFERROR('2.4'!N71/'2.2'!N101,"")</f>
        <v>0.83899371069182394</v>
      </c>
      <c r="O91" s="278">
        <f>IFERROR('2.4'!O71/'2.2'!O101,"")</f>
        <v>0.69910880620311167</v>
      </c>
      <c r="P91" s="278">
        <f>IFERROR('2.4'!P71/'2.2'!P101,"")</f>
        <v>0.70631607481702363</v>
      </c>
    </row>
    <row r="92" spans="2:16" x14ac:dyDescent="0.25">
      <c r="B92" s="277">
        <v>44835</v>
      </c>
      <c r="C92" s="278" t="str">
        <f>IFERROR('2.4'!C72/'2.2'!C102,"")</f>
        <v/>
      </c>
      <c r="D92" s="278" t="str">
        <f>IFERROR('2.4'!D72/'2.2'!D102,"")</f>
        <v/>
      </c>
      <c r="E92" s="278">
        <f>IFERROR('2.4'!E72/'2.2'!E102,"")</f>
        <v>6.9346733668341709E-2</v>
      </c>
      <c r="F92" s="278">
        <f>IFERROR('2.4'!F72/'2.2'!F102,"")</f>
        <v>0.14048531289910601</v>
      </c>
      <c r="G92" s="278">
        <f>IFERROR('2.4'!G72/'2.2'!G102,"")</f>
        <v>0.78610641891891897</v>
      </c>
      <c r="H92" s="278">
        <f>IFERROR('2.4'!H72/'2.2'!H102,"")</f>
        <v>0.70315236427320493</v>
      </c>
      <c r="I92" s="278">
        <f>IFERROR('2.4'!I72/'2.2'!I102,"")</f>
        <v>0.75727098346207689</v>
      </c>
      <c r="J92" s="278">
        <f>IFERROR('2.4'!J72/'2.2'!J102,"")</f>
        <v>0.66962878931114889</v>
      </c>
      <c r="K92" s="278" t="str">
        <f>IFERROR('2.4'!K72/'2.2'!K102,"")</f>
        <v/>
      </c>
      <c r="L92" s="278" t="str">
        <f>IFERROR('2.4'!L72/'2.2'!L102,"")</f>
        <v/>
      </c>
      <c r="M92" s="278">
        <f>IFERROR('2.4'!M72/'2.2'!M102,"")</f>
        <v>0.7385892116182573</v>
      </c>
      <c r="N92" s="278">
        <f>IFERROR('2.4'!N72/'2.2'!N102,"")</f>
        <v>0.79863945578231288</v>
      </c>
      <c r="O92" s="278">
        <f>IFERROR('2.4'!O72/'2.2'!O102,"")</f>
        <v>0.71042004755255317</v>
      </c>
      <c r="P92" s="278">
        <f>IFERROR('2.4'!P72/'2.2'!P102,"")</f>
        <v>0.66408313487767912</v>
      </c>
    </row>
    <row r="93" spans="2:16" x14ac:dyDescent="0.25">
      <c r="B93" s="277">
        <v>44866</v>
      </c>
      <c r="C93" s="278" t="str">
        <f>IFERROR('2.4'!C73/'2.2'!C103,"")</f>
        <v/>
      </c>
      <c r="D93" s="278" t="str">
        <f>IFERROR('2.4'!D73/'2.2'!D103,"")</f>
        <v/>
      </c>
      <c r="E93" s="278">
        <f>IFERROR('2.4'!E73/'2.2'!E103,"")</f>
        <v>1.0776829815895825E-2</v>
      </c>
      <c r="F93" s="278">
        <f>IFERROR('2.4'!F73/'2.2'!F103,"")</f>
        <v>3.6405005688282137E-2</v>
      </c>
      <c r="G93" s="278">
        <f>IFERROR('2.4'!G73/'2.2'!G103,"")</f>
        <v>0.48531796072779682</v>
      </c>
      <c r="H93" s="278">
        <f>IFERROR('2.4'!H73/'2.2'!H103,"")</f>
        <v>0.48808856502242154</v>
      </c>
      <c r="I93" s="278">
        <f>IFERROR('2.4'!I73/'2.2'!I103,"")</f>
        <v>0.57221249270286045</v>
      </c>
      <c r="J93" s="278">
        <f>IFERROR('2.4'!J73/'2.2'!J103,"")</f>
        <v>0.57626501638150707</v>
      </c>
      <c r="K93" s="278" t="str">
        <f>IFERROR('2.4'!K73/'2.2'!K103,"")</f>
        <v/>
      </c>
      <c r="L93" s="278" t="str">
        <f>IFERROR('2.4'!L73/'2.2'!L103,"")</f>
        <v/>
      </c>
      <c r="M93" s="278">
        <f>IFERROR('2.4'!M73/'2.2'!M103,"")</f>
        <v>0.38844621513944222</v>
      </c>
      <c r="N93" s="278">
        <f>IFERROR('2.4'!N73/'2.2'!N103,"")</f>
        <v>0.46415981198589895</v>
      </c>
      <c r="O93" s="278">
        <f>IFERROR('2.4'!O73/'2.2'!O103,"")</f>
        <v>0.50039354584809126</v>
      </c>
      <c r="P93" s="278">
        <f>IFERROR('2.4'!P73/'2.2'!P103,"")</f>
        <v>0.52320693774611737</v>
      </c>
    </row>
    <row r="94" spans="2:16" x14ac:dyDescent="0.25">
      <c r="B94" s="277">
        <v>44896</v>
      </c>
      <c r="C94" s="278" t="str">
        <f>IFERROR('2.4'!C74/'2.2'!C104,"")</f>
        <v/>
      </c>
      <c r="D94" s="278" t="str">
        <f>IFERROR('2.4'!D74/'2.2'!D104,"")</f>
        <v/>
      </c>
      <c r="E94" s="278">
        <f>IFERROR('2.4'!E74/'2.2'!E104,"")</f>
        <v>2.3823704586063135E-3</v>
      </c>
      <c r="F94" s="278">
        <f>IFERROR('2.4'!F74/'2.2'!F104,"")</f>
        <v>4.0322580645161289E-3</v>
      </c>
      <c r="G94" s="278">
        <f>IFERROR('2.4'!G74/'2.2'!G104,"")</f>
        <v>0.3872451019592163</v>
      </c>
      <c r="H94" s="278">
        <f>IFERROR('2.4'!H74/'2.2'!H104,"")</f>
        <v>0.27422382671480144</v>
      </c>
      <c r="I94" s="278">
        <f>IFERROR('2.4'!I74/'2.2'!I104,"")</f>
        <v>0.3462824996198875</v>
      </c>
      <c r="J94" s="278">
        <f>IFERROR('2.4'!J74/'2.2'!J104,"")</f>
        <v>0.34138406940063093</v>
      </c>
      <c r="K94" s="278" t="str">
        <f>IFERROR('2.4'!K74/'2.2'!K104,"")</f>
        <v/>
      </c>
      <c r="L94" s="278" t="str">
        <f>IFERROR('2.4'!L74/'2.2'!L104,"")</f>
        <v/>
      </c>
      <c r="M94" s="278">
        <f>IFERROR('2.4'!M74/'2.2'!M104,"")</f>
        <v>0.22509960159362549</v>
      </c>
      <c r="N94" s="278">
        <f>IFERROR('2.4'!N74/'2.2'!N104,"")</f>
        <v>0.23821989528795812</v>
      </c>
      <c r="O94" s="278">
        <f>IFERROR('2.4'!O74/'2.2'!O104,"")</f>
        <v>0.32497418498303582</v>
      </c>
      <c r="P94" s="278">
        <f>IFERROR('2.4'!P74/'2.2'!P104,"")</f>
        <v>0.29859503687355332</v>
      </c>
    </row>
    <row r="95" spans="2:16" x14ac:dyDescent="0.25">
      <c r="B95" s="280" t="s">
        <v>771</v>
      </c>
      <c r="C95" s="292">
        <f>IFERROR('2.4'!C75/'2.2'!C105,"")</f>
        <v>0.90881374722838137</v>
      </c>
      <c r="D95" s="292">
        <f>IFERROR('2.4'!D75/'2.2'!D105,"")</f>
        <v>0.94020456333595592</v>
      </c>
      <c r="E95" s="292">
        <f>IFERROR('2.4'!E75/'2.2'!E105,"")</f>
        <v>0.21043546488819145</v>
      </c>
      <c r="F95" s="292">
        <f>IFERROR('2.4'!F75/'2.2'!F105,"")</f>
        <v>0.35921173235563703</v>
      </c>
      <c r="G95" s="292">
        <f>IFERROR('2.4'!G75/'2.2'!G105,"")</f>
        <v>0.73537473040977708</v>
      </c>
      <c r="H95" s="292">
        <f>IFERROR('2.4'!H75/'2.2'!H105,"")</f>
        <v>0.68894893011362268</v>
      </c>
      <c r="I95" s="292">
        <f>IFERROR('2.4'!I75/'2.2'!I105,"")</f>
        <v>0.77298360215842732</v>
      </c>
      <c r="J95" s="292">
        <f>IFERROR('2.4'!J75/'2.2'!J105,"")</f>
        <v>0.76421437933959091</v>
      </c>
      <c r="K95" s="292">
        <f>IFERROR('2.4'!K75/'2.2'!K105,"")</f>
        <v>0.92464933287718098</v>
      </c>
      <c r="L95" s="292">
        <f>IFERROR('2.4'!L75/'2.2'!L105,"")</f>
        <v>0.94376337808912236</v>
      </c>
      <c r="M95" s="292">
        <f>IFERROR('2.4'!M75/'2.2'!M105,"")</f>
        <v>0.71955671447196878</v>
      </c>
      <c r="N95" s="292">
        <f>IFERROR('2.4'!N75/'2.2'!N105,"")</f>
        <v>0.78807440754268232</v>
      </c>
      <c r="O95" s="292">
        <f>IFERROR('2.4'!O75/'2.2'!O105,"")</f>
        <v>0.7302664723858826</v>
      </c>
      <c r="P95" s="292">
        <f>IFERROR('2.4'!P75/'2.2'!P105,"")</f>
        <v>0.7481062252412235</v>
      </c>
    </row>
    <row r="96" spans="2:16" x14ac:dyDescent="0.25">
      <c r="B96" s="280" t="s">
        <v>7</v>
      </c>
      <c r="C96" s="292">
        <f>IFERROR('2.4'!C76/'2.2'!C106,"")</f>
        <v>0.87995901141891453</v>
      </c>
      <c r="D96" s="292">
        <f>IFERROR('2.4'!D76/'2.2'!D106,"")</f>
        <v>0.92353641232205796</v>
      </c>
      <c r="E96" s="292">
        <f>IFERROR('2.4'!E76/'2.2'!E106,"")</f>
        <v>0.49215432972385875</v>
      </c>
      <c r="F96" s="292">
        <f>IFERROR('2.4'!F76/'2.2'!F106,"")</f>
        <v>0.70586648405237706</v>
      </c>
      <c r="G96" s="292">
        <f>IFERROR('2.4'!G76/'2.2'!G106,"")</f>
        <v>0.73537473040977719</v>
      </c>
      <c r="H96" s="292">
        <f>IFERROR('2.4'!H76/'2.2'!H106,"")</f>
        <v>0.68894893011362268</v>
      </c>
      <c r="I96" s="292">
        <f>IFERROR('2.4'!I76/'2.2'!I106,"")</f>
        <v>0.77298360215842721</v>
      </c>
      <c r="J96" s="292">
        <f>IFERROR('2.4'!J76/'2.2'!J106,"")</f>
        <v>0.76421437933959091</v>
      </c>
      <c r="K96" s="292">
        <f>IFERROR('2.4'!K76/'2.2'!K106,"")</f>
        <v>0.83696941141068615</v>
      </c>
      <c r="L96" s="292">
        <f>IFERROR('2.4'!L76/'2.2'!L106,"")</f>
        <v>0.87711151011439414</v>
      </c>
      <c r="M96" s="292">
        <f>IFERROR('2.4'!M76/'2.2'!M106,"")</f>
        <v>0.7971233684719975</v>
      </c>
      <c r="N96" s="292">
        <f>IFERROR('2.4'!N76/'2.2'!N106,"")</f>
        <v>0.86725705402986486</v>
      </c>
      <c r="O96" s="292">
        <f>IFERROR('2.4'!O76/'2.2'!O106,"")</f>
        <v>0.79373024236037937</v>
      </c>
      <c r="P96" s="292">
        <f>IFERROR('2.4'!P76/'2.2'!P106,"")</f>
        <v>0.84293411511563787</v>
      </c>
    </row>
    <row r="97" spans="2:11" ht="30.75" customHeight="1" x14ac:dyDescent="0.25">
      <c r="B97" s="510" t="s">
        <v>995</v>
      </c>
      <c r="C97" s="510"/>
      <c r="D97" s="510"/>
      <c r="E97" s="510"/>
      <c r="F97" s="510"/>
      <c r="G97" s="510"/>
      <c r="H97" s="510"/>
      <c r="I97" s="510"/>
      <c r="J97" s="510"/>
      <c r="K97" s="510"/>
    </row>
    <row r="106" spans="2:11" ht="18" customHeight="1" x14ac:dyDescent="0.25">
      <c r="J106" s="141"/>
      <c r="K106" s="141"/>
    </row>
  </sheetData>
  <mergeCells count="19">
    <mergeCell ref="B97:K97"/>
    <mergeCell ref="B55:B56"/>
    <mergeCell ref="B7:B8"/>
    <mergeCell ref="B31:B32"/>
    <mergeCell ref="C7:H7"/>
    <mergeCell ref="I7:J7"/>
    <mergeCell ref="B26:K26"/>
    <mergeCell ref="B50:K50"/>
    <mergeCell ref="M55:N55"/>
    <mergeCell ref="O55:P55"/>
    <mergeCell ref="K7:K8"/>
    <mergeCell ref="C31:H31"/>
    <mergeCell ref="I31:J31"/>
    <mergeCell ref="K31:K32"/>
    <mergeCell ref="C55:D55"/>
    <mergeCell ref="E55:F55"/>
    <mergeCell ref="G55:H55"/>
    <mergeCell ref="I55:J55"/>
    <mergeCell ref="K55:L55"/>
  </mergeCells>
  <phoneticPr fontId="28" type="noConversion"/>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187A7-37AD-461A-ABAD-DC27A35DFF58}">
  <sheetPr>
    <tabColor theme="7" tint="0.79998168889431442"/>
  </sheetPr>
  <dimension ref="B1:M15"/>
  <sheetViews>
    <sheetView showGridLines="0" workbookViewId="0">
      <selection activeCell="I35" sqref="I35"/>
    </sheetView>
  </sheetViews>
  <sheetFormatPr baseColWidth="10" defaultRowHeight="15" x14ac:dyDescent="0.25"/>
  <cols>
    <col min="1" max="1" width="14.42578125" customWidth="1"/>
  </cols>
  <sheetData>
    <row r="1" spans="2:13" x14ac:dyDescent="0.25">
      <c r="B1" s="450" t="s">
        <v>781</v>
      </c>
      <c r="C1" s="451"/>
      <c r="D1" s="451"/>
      <c r="E1" s="451"/>
      <c r="F1" s="451"/>
      <c r="G1" s="451"/>
      <c r="H1" s="451"/>
      <c r="I1" s="451"/>
      <c r="J1" s="451"/>
      <c r="K1" s="451"/>
      <c r="L1" s="451"/>
      <c r="M1" s="451"/>
    </row>
    <row r="2" spans="2:13" x14ac:dyDescent="0.25">
      <c r="B2" s="451"/>
      <c r="C2" s="451"/>
      <c r="D2" s="451"/>
      <c r="E2" s="451"/>
      <c r="F2" s="451"/>
      <c r="G2" s="451"/>
      <c r="H2" s="451"/>
      <c r="I2" s="451"/>
      <c r="J2" s="451"/>
      <c r="K2" s="451"/>
      <c r="L2" s="451"/>
      <c r="M2" s="451"/>
    </row>
    <row r="3" spans="2:13" x14ac:dyDescent="0.25">
      <c r="B3" s="451"/>
      <c r="C3" s="451"/>
      <c r="D3" s="451"/>
      <c r="E3" s="451"/>
      <c r="F3" s="451"/>
      <c r="G3" s="451"/>
      <c r="H3" s="451"/>
      <c r="I3" s="451"/>
      <c r="J3" s="451"/>
      <c r="K3" s="451"/>
      <c r="L3" s="451"/>
      <c r="M3" s="451"/>
    </row>
    <row r="4" spans="2:13" x14ac:dyDescent="0.25">
      <c r="B4" s="451"/>
      <c r="C4" s="451"/>
      <c r="D4" s="451"/>
      <c r="E4" s="451"/>
      <c r="F4" s="451"/>
      <c r="G4" s="451"/>
      <c r="H4" s="451"/>
      <c r="I4" s="451"/>
      <c r="J4" s="451"/>
      <c r="K4" s="451"/>
      <c r="L4" s="451"/>
      <c r="M4" s="451"/>
    </row>
    <row r="5" spans="2:13" x14ac:dyDescent="0.25">
      <c r="B5" s="451"/>
      <c r="C5" s="451"/>
      <c r="D5" s="451"/>
      <c r="E5" s="451"/>
      <c r="F5" s="451"/>
      <c r="G5" s="451"/>
      <c r="H5" s="451"/>
      <c r="I5" s="451"/>
      <c r="J5" s="451"/>
      <c r="K5" s="451"/>
      <c r="L5" s="451"/>
      <c r="M5" s="451"/>
    </row>
    <row r="6" spans="2:13" ht="15.75" x14ac:dyDescent="0.25">
      <c r="B6" s="262"/>
      <c r="C6" s="262"/>
      <c r="D6" s="262"/>
      <c r="E6" s="262"/>
      <c r="F6" s="262"/>
      <c r="G6" s="262"/>
      <c r="H6" s="262"/>
      <c r="I6" s="262"/>
      <c r="J6" s="262"/>
      <c r="K6" s="262"/>
      <c r="L6" s="262"/>
      <c r="M6" s="262"/>
    </row>
    <row r="8" spans="2:13" ht="15.75" thickBot="1" x14ac:dyDescent="0.3"/>
    <row r="9" spans="2:13" ht="21.75" thickBot="1" x14ac:dyDescent="0.4">
      <c r="B9" s="549" t="s">
        <v>934</v>
      </c>
      <c r="C9" s="550"/>
      <c r="D9" s="550"/>
      <c r="E9" s="550"/>
      <c r="F9" s="550"/>
      <c r="G9" s="550"/>
      <c r="H9" s="550"/>
      <c r="I9" s="550"/>
      <c r="J9" s="550"/>
      <c r="K9" s="550"/>
      <c r="L9" s="550"/>
      <c r="M9" s="551"/>
    </row>
    <row r="10" spans="2:13" ht="15.75" x14ac:dyDescent="0.25">
      <c r="B10" s="456" t="s">
        <v>894</v>
      </c>
      <c r="C10" s="456"/>
      <c r="D10" s="456"/>
      <c r="E10" s="456"/>
      <c r="F10" s="456"/>
      <c r="G10" s="456"/>
      <c r="H10" s="456"/>
      <c r="I10" s="456"/>
      <c r="J10" s="456"/>
      <c r="K10" s="456"/>
      <c r="L10" s="456"/>
      <c r="M10" s="456"/>
    </row>
    <row r="11" spans="2:13" x14ac:dyDescent="0.25">
      <c r="B11" s="452"/>
      <c r="C11" s="452"/>
      <c r="D11" s="452"/>
      <c r="E11" s="452"/>
      <c r="F11" s="452"/>
      <c r="G11" s="452"/>
      <c r="H11" s="452"/>
      <c r="I11" s="452"/>
      <c r="J11" s="452"/>
      <c r="K11" s="452"/>
      <c r="L11" s="452"/>
      <c r="M11" s="452"/>
    </row>
    <row r="12" spans="2:13" ht="18.75" x14ac:dyDescent="0.3">
      <c r="B12" s="552" t="s">
        <v>935</v>
      </c>
      <c r="C12" s="552"/>
      <c r="D12" s="552"/>
      <c r="E12" s="552"/>
      <c r="F12" s="552"/>
      <c r="G12" s="552"/>
      <c r="H12" s="552"/>
      <c r="I12" s="552"/>
      <c r="J12" s="552"/>
      <c r="K12" s="552"/>
      <c r="L12" s="552"/>
      <c r="M12" s="552"/>
    </row>
    <row r="13" spans="2:13" x14ac:dyDescent="0.25">
      <c r="B13" s="449" t="s">
        <v>936</v>
      </c>
      <c r="C13" s="449"/>
      <c r="D13" s="449"/>
      <c r="E13" s="449"/>
      <c r="F13" s="449"/>
      <c r="G13" s="449"/>
      <c r="H13" s="449"/>
      <c r="I13" s="449"/>
      <c r="J13" s="449"/>
      <c r="K13" s="449"/>
      <c r="L13" s="449"/>
      <c r="M13" s="449"/>
    </row>
    <row r="14" spans="2:13" x14ac:dyDescent="0.25">
      <c r="B14" s="449" t="s">
        <v>937</v>
      </c>
      <c r="C14" s="449"/>
      <c r="D14" s="449"/>
      <c r="E14" s="449"/>
      <c r="F14" s="449"/>
      <c r="G14" s="449"/>
      <c r="H14" s="449"/>
      <c r="I14" s="449"/>
      <c r="J14" s="449"/>
      <c r="K14" s="449"/>
      <c r="L14" s="449"/>
      <c r="M14" s="449"/>
    </row>
    <row r="15" spans="2:13" x14ac:dyDescent="0.25">
      <c r="B15" s="449" t="s">
        <v>938</v>
      </c>
      <c r="C15" s="449"/>
      <c r="D15" s="449"/>
      <c r="E15" s="449"/>
      <c r="F15" s="449"/>
      <c r="G15" s="449"/>
      <c r="H15" s="449"/>
      <c r="I15" s="449"/>
      <c r="J15" s="449"/>
      <c r="K15" s="449"/>
      <c r="L15" s="449"/>
      <c r="M15" s="449"/>
    </row>
  </sheetData>
  <mergeCells count="8">
    <mergeCell ref="B13:M13"/>
    <mergeCell ref="B14:M14"/>
    <mergeCell ref="B15:M15"/>
    <mergeCell ref="B1:M5"/>
    <mergeCell ref="B9:M9"/>
    <mergeCell ref="B10:M10"/>
    <mergeCell ref="B11:M11"/>
    <mergeCell ref="B12:M12"/>
  </mergeCells>
  <hyperlinks>
    <hyperlink ref="B12:M12" location="'3.1'!A1" display="1. Bono por Hijo" xr:uid="{8441B973-5DB1-4981-8D5E-44EC52FCCF3C}"/>
    <hyperlink ref="B13:M13" location="'3.1'!B4" display="i. Concesiones de Bono por Hijo por región, según institución y tipo de beneficio" xr:uid="{05DCD3B7-0398-4247-9FF9-49B375F8E8E6}"/>
    <hyperlink ref="B14:M14" location="'3.1'!B45" display="ii. Serie Resumen de Estado de solicitudes de Bono por Hijo" xr:uid="{ADC9F50E-4542-442F-8428-659E99EFA867}"/>
    <hyperlink ref="B15:M15" location="'3.1'!B90" display="iii. Serie resumen de concesiones de Bono por Hijo por tipo de beneficio" xr:uid="{2FC57C24-059B-4993-B2BE-86B427582261}"/>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ABDE9-11E1-41AC-8FA3-C1F60740B620}">
  <sheetPr>
    <tabColor rgb="FFFFFF00"/>
  </sheetPr>
  <dimension ref="B2:J134"/>
  <sheetViews>
    <sheetView showGridLines="0" workbookViewId="0">
      <selection activeCell="I35" sqref="I35"/>
    </sheetView>
  </sheetViews>
  <sheetFormatPr baseColWidth="10" defaultRowHeight="15" x14ac:dyDescent="0.25"/>
  <cols>
    <col min="2" max="2" width="17.140625" customWidth="1"/>
    <col min="3" max="3" width="23" customWidth="1"/>
    <col min="4" max="4" width="23.140625" customWidth="1"/>
    <col min="5" max="5" width="18.28515625" customWidth="1"/>
    <col min="6" max="6" width="22.42578125" customWidth="1"/>
    <col min="7" max="7" width="18.5703125" customWidth="1"/>
    <col min="8" max="8" width="24.28515625" customWidth="1"/>
    <col min="9" max="9" width="15.5703125" customWidth="1"/>
    <col min="10" max="10" width="22.85546875" customWidth="1"/>
  </cols>
  <sheetData>
    <row r="2" spans="2:9" ht="23.25" x14ac:dyDescent="0.25">
      <c r="B2" s="1" t="s">
        <v>918</v>
      </c>
    </row>
    <row r="4" spans="2:9" ht="18.75" x14ac:dyDescent="0.3">
      <c r="B4" s="2" t="s">
        <v>920</v>
      </c>
      <c r="C4" s="24"/>
      <c r="D4" s="24"/>
      <c r="E4" s="24"/>
      <c r="F4" s="24"/>
    </row>
    <row r="5" spans="2:9" x14ac:dyDescent="0.25">
      <c r="B5" s="31" t="s">
        <v>988</v>
      </c>
    </row>
    <row r="7" spans="2:9" x14ac:dyDescent="0.25">
      <c r="B7" s="558" t="s">
        <v>537</v>
      </c>
      <c r="C7" s="558"/>
      <c r="D7" s="553" t="s">
        <v>921</v>
      </c>
      <c r="E7" s="553" t="s">
        <v>44</v>
      </c>
      <c r="F7" s="553"/>
      <c r="G7" s="553" t="s">
        <v>899</v>
      </c>
      <c r="H7" s="553"/>
      <c r="I7" s="553" t="s">
        <v>36</v>
      </c>
    </row>
    <row r="8" spans="2:9" ht="30" x14ac:dyDescent="0.25">
      <c r="B8" s="558"/>
      <c r="C8" s="558"/>
      <c r="D8" s="553"/>
      <c r="E8" s="302" t="s">
        <v>714</v>
      </c>
      <c r="F8" s="302" t="s">
        <v>501</v>
      </c>
      <c r="G8" s="302" t="s">
        <v>501</v>
      </c>
      <c r="H8" s="302" t="s">
        <v>900</v>
      </c>
      <c r="I8" s="553"/>
    </row>
    <row r="9" spans="2:9" x14ac:dyDescent="0.25">
      <c r="B9" s="554" t="s">
        <v>535</v>
      </c>
      <c r="C9" s="555"/>
      <c r="D9" s="300" t="s">
        <v>919</v>
      </c>
      <c r="E9" s="398">
        <v>42</v>
      </c>
      <c r="F9" s="398">
        <v>2</v>
      </c>
      <c r="G9" s="398">
        <v>0</v>
      </c>
      <c r="H9" s="398">
        <v>99</v>
      </c>
      <c r="I9" s="398">
        <v>143</v>
      </c>
    </row>
    <row r="10" spans="2:9" x14ac:dyDescent="0.25">
      <c r="B10" s="556"/>
      <c r="C10" s="557"/>
      <c r="D10" s="301" t="s">
        <v>901</v>
      </c>
      <c r="E10" s="398">
        <v>117</v>
      </c>
      <c r="F10" s="398">
        <v>12</v>
      </c>
      <c r="G10" s="398">
        <v>0</v>
      </c>
      <c r="H10" s="398">
        <v>252</v>
      </c>
      <c r="I10" s="398">
        <v>381</v>
      </c>
    </row>
    <row r="11" spans="2:9" x14ac:dyDescent="0.25">
      <c r="B11" s="554" t="s">
        <v>521</v>
      </c>
      <c r="C11" s="555" t="s">
        <v>902</v>
      </c>
      <c r="D11" s="300" t="s">
        <v>919</v>
      </c>
      <c r="E11" s="398">
        <v>53</v>
      </c>
      <c r="F11" s="398">
        <v>9</v>
      </c>
      <c r="G11" s="398">
        <v>3</v>
      </c>
      <c r="H11" s="398">
        <v>99</v>
      </c>
      <c r="I11" s="398">
        <v>164</v>
      </c>
    </row>
    <row r="12" spans="2:9" x14ac:dyDescent="0.25">
      <c r="B12" s="556"/>
      <c r="C12" s="557"/>
      <c r="D12" s="301" t="s">
        <v>901</v>
      </c>
      <c r="E12" s="398">
        <v>167</v>
      </c>
      <c r="F12" s="398">
        <v>32</v>
      </c>
      <c r="G12" s="398">
        <v>6</v>
      </c>
      <c r="H12" s="398">
        <v>280</v>
      </c>
      <c r="I12" s="398">
        <v>485</v>
      </c>
    </row>
    <row r="13" spans="2:9" x14ac:dyDescent="0.25">
      <c r="B13" s="554" t="s">
        <v>522</v>
      </c>
      <c r="C13" s="555" t="s">
        <v>903</v>
      </c>
      <c r="D13" s="300" t="s">
        <v>919</v>
      </c>
      <c r="E13" s="398">
        <v>115</v>
      </c>
      <c r="F13" s="398">
        <v>8</v>
      </c>
      <c r="G13" s="398">
        <v>16</v>
      </c>
      <c r="H13" s="398">
        <v>188</v>
      </c>
      <c r="I13" s="398">
        <v>327</v>
      </c>
    </row>
    <row r="14" spans="2:9" x14ac:dyDescent="0.25">
      <c r="B14" s="556"/>
      <c r="C14" s="557"/>
      <c r="D14" s="301" t="s">
        <v>901</v>
      </c>
      <c r="E14" s="398">
        <v>352</v>
      </c>
      <c r="F14" s="398">
        <v>23</v>
      </c>
      <c r="G14" s="398">
        <v>46</v>
      </c>
      <c r="H14" s="398">
        <v>516</v>
      </c>
      <c r="I14" s="398">
        <v>937</v>
      </c>
    </row>
    <row r="15" spans="2:9" x14ac:dyDescent="0.25">
      <c r="B15" s="554" t="s">
        <v>523</v>
      </c>
      <c r="C15" s="555" t="s">
        <v>904</v>
      </c>
      <c r="D15" s="300" t="s">
        <v>919</v>
      </c>
      <c r="E15" s="398">
        <v>63</v>
      </c>
      <c r="F15" s="398">
        <v>3</v>
      </c>
      <c r="G15" s="398">
        <v>10</v>
      </c>
      <c r="H15" s="398">
        <v>147</v>
      </c>
      <c r="I15" s="398">
        <v>223</v>
      </c>
    </row>
    <row r="16" spans="2:9" x14ac:dyDescent="0.25">
      <c r="B16" s="556"/>
      <c r="C16" s="557"/>
      <c r="D16" s="301" t="s">
        <v>901</v>
      </c>
      <c r="E16" s="398">
        <v>195</v>
      </c>
      <c r="F16" s="398">
        <v>10</v>
      </c>
      <c r="G16" s="398">
        <v>30</v>
      </c>
      <c r="H16" s="398">
        <v>423</v>
      </c>
      <c r="I16" s="398">
        <v>658</v>
      </c>
    </row>
    <row r="17" spans="2:9" x14ac:dyDescent="0.25">
      <c r="B17" s="554" t="s">
        <v>524</v>
      </c>
      <c r="C17" s="555" t="s">
        <v>905</v>
      </c>
      <c r="D17" s="300" t="s">
        <v>919</v>
      </c>
      <c r="E17" s="398">
        <v>152</v>
      </c>
      <c r="F17" s="398">
        <v>12</v>
      </c>
      <c r="G17" s="398">
        <v>16</v>
      </c>
      <c r="H17" s="398">
        <v>312</v>
      </c>
      <c r="I17" s="398">
        <v>492</v>
      </c>
    </row>
    <row r="18" spans="2:9" x14ac:dyDescent="0.25">
      <c r="B18" s="556"/>
      <c r="C18" s="557"/>
      <c r="D18" s="301" t="s">
        <v>901</v>
      </c>
      <c r="E18" s="398">
        <v>504</v>
      </c>
      <c r="F18" s="398">
        <v>54</v>
      </c>
      <c r="G18" s="398">
        <v>57</v>
      </c>
      <c r="H18" s="398">
        <v>806</v>
      </c>
      <c r="I18" s="398">
        <v>1421</v>
      </c>
    </row>
    <row r="19" spans="2:9" x14ac:dyDescent="0.25">
      <c r="B19" s="554" t="s">
        <v>525</v>
      </c>
      <c r="C19" s="555" t="s">
        <v>906</v>
      </c>
      <c r="D19" s="300" t="s">
        <v>919</v>
      </c>
      <c r="E19" s="398">
        <v>309</v>
      </c>
      <c r="F19" s="398">
        <v>19</v>
      </c>
      <c r="G19" s="398">
        <v>28</v>
      </c>
      <c r="H19" s="398">
        <v>882</v>
      </c>
      <c r="I19" s="398">
        <v>1238</v>
      </c>
    </row>
    <row r="20" spans="2:9" x14ac:dyDescent="0.25">
      <c r="B20" s="556"/>
      <c r="C20" s="557"/>
      <c r="D20" s="301" t="s">
        <v>901</v>
      </c>
      <c r="E20" s="398">
        <v>888</v>
      </c>
      <c r="F20" s="398">
        <v>55</v>
      </c>
      <c r="G20" s="398">
        <v>82</v>
      </c>
      <c r="H20" s="398">
        <v>2258</v>
      </c>
      <c r="I20" s="398">
        <v>3283</v>
      </c>
    </row>
    <row r="21" spans="2:9" x14ac:dyDescent="0.25">
      <c r="B21" s="562" t="s">
        <v>526</v>
      </c>
      <c r="C21" s="563" t="s">
        <v>907</v>
      </c>
      <c r="D21" s="300" t="s">
        <v>919</v>
      </c>
      <c r="E21" s="398">
        <v>157</v>
      </c>
      <c r="F21" s="398">
        <v>19</v>
      </c>
      <c r="G21" s="398">
        <v>10</v>
      </c>
      <c r="H21" s="398">
        <v>450</v>
      </c>
      <c r="I21" s="398">
        <v>636</v>
      </c>
    </row>
    <row r="22" spans="2:9" x14ac:dyDescent="0.25">
      <c r="B22" s="564"/>
      <c r="C22" s="565"/>
      <c r="D22" s="301" t="s">
        <v>901</v>
      </c>
      <c r="E22" s="398">
        <v>468</v>
      </c>
      <c r="F22" s="398">
        <v>75</v>
      </c>
      <c r="G22" s="398">
        <v>42</v>
      </c>
      <c r="H22" s="398">
        <v>1239</v>
      </c>
      <c r="I22" s="398">
        <v>1824</v>
      </c>
    </row>
    <row r="23" spans="2:9" x14ac:dyDescent="0.25">
      <c r="B23" s="554" t="s">
        <v>527</v>
      </c>
      <c r="C23" s="555" t="s">
        <v>908</v>
      </c>
      <c r="D23" s="300" t="s">
        <v>919</v>
      </c>
      <c r="E23" s="398">
        <v>162</v>
      </c>
      <c r="F23" s="398">
        <v>9</v>
      </c>
      <c r="G23" s="398">
        <v>14</v>
      </c>
      <c r="H23" s="398">
        <v>478</v>
      </c>
      <c r="I23" s="398">
        <v>663</v>
      </c>
    </row>
    <row r="24" spans="2:9" x14ac:dyDescent="0.25">
      <c r="B24" s="556"/>
      <c r="C24" s="557"/>
      <c r="D24" s="301" t="s">
        <v>901</v>
      </c>
      <c r="E24" s="398">
        <v>530</v>
      </c>
      <c r="F24" s="398">
        <v>45</v>
      </c>
      <c r="G24" s="398">
        <v>47</v>
      </c>
      <c r="H24" s="398">
        <v>1280</v>
      </c>
      <c r="I24" s="398">
        <v>1902</v>
      </c>
    </row>
    <row r="25" spans="2:9" x14ac:dyDescent="0.25">
      <c r="B25" s="554" t="s">
        <v>528</v>
      </c>
      <c r="C25" s="555" t="s">
        <v>909</v>
      </c>
      <c r="D25" s="300" t="s">
        <v>919</v>
      </c>
      <c r="E25" s="398">
        <v>309</v>
      </c>
      <c r="F25" s="398">
        <v>18</v>
      </c>
      <c r="G25" s="398">
        <v>34</v>
      </c>
      <c r="H25" s="398">
        <v>532</v>
      </c>
      <c r="I25" s="398">
        <v>893</v>
      </c>
    </row>
    <row r="26" spans="2:9" x14ac:dyDescent="0.25">
      <c r="B26" s="556"/>
      <c r="C26" s="557"/>
      <c r="D26" s="301" t="s">
        <v>901</v>
      </c>
      <c r="E26" s="398">
        <v>926</v>
      </c>
      <c r="F26" s="398">
        <v>67</v>
      </c>
      <c r="G26" s="398">
        <v>107</v>
      </c>
      <c r="H26" s="398">
        <v>1415</v>
      </c>
      <c r="I26" s="398">
        <v>2515</v>
      </c>
    </row>
    <row r="27" spans="2:9" x14ac:dyDescent="0.25">
      <c r="B27" s="554" t="s">
        <v>536</v>
      </c>
      <c r="C27" s="555" t="s">
        <v>910</v>
      </c>
      <c r="D27" s="300" t="s">
        <v>919</v>
      </c>
      <c r="E27" s="398">
        <v>112</v>
      </c>
      <c r="F27" s="398">
        <v>12</v>
      </c>
      <c r="G27" s="398">
        <v>13</v>
      </c>
      <c r="H27" s="398">
        <v>200</v>
      </c>
      <c r="I27" s="398">
        <v>337</v>
      </c>
    </row>
    <row r="28" spans="2:9" x14ac:dyDescent="0.25">
      <c r="B28" s="556"/>
      <c r="C28" s="557"/>
      <c r="D28" s="301" t="s">
        <v>901</v>
      </c>
      <c r="E28" s="398">
        <v>352</v>
      </c>
      <c r="F28" s="398">
        <v>38</v>
      </c>
      <c r="G28" s="398">
        <v>36</v>
      </c>
      <c r="H28" s="398">
        <v>526</v>
      </c>
      <c r="I28" s="398">
        <v>952</v>
      </c>
    </row>
    <row r="29" spans="2:9" x14ac:dyDescent="0.25">
      <c r="B29" s="554" t="s">
        <v>529</v>
      </c>
      <c r="C29" s="555" t="s">
        <v>911</v>
      </c>
      <c r="D29" s="300" t="s">
        <v>919</v>
      </c>
      <c r="E29" s="398">
        <v>202</v>
      </c>
      <c r="F29" s="398">
        <v>9</v>
      </c>
      <c r="G29" s="398">
        <v>18</v>
      </c>
      <c r="H29" s="398">
        <v>386</v>
      </c>
      <c r="I29" s="398">
        <v>615</v>
      </c>
    </row>
    <row r="30" spans="2:9" x14ac:dyDescent="0.25">
      <c r="B30" s="556"/>
      <c r="C30" s="557"/>
      <c r="D30" s="301" t="s">
        <v>901</v>
      </c>
      <c r="E30" s="398">
        <v>614</v>
      </c>
      <c r="F30" s="398">
        <v>23</v>
      </c>
      <c r="G30" s="398">
        <v>67</v>
      </c>
      <c r="H30" s="398">
        <v>1101</v>
      </c>
      <c r="I30" s="398">
        <v>1805</v>
      </c>
    </row>
    <row r="31" spans="2:9" x14ac:dyDescent="0.25">
      <c r="B31" s="554" t="s">
        <v>534</v>
      </c>
      <c r="C31" s="555" t="s">
        <v>912</v>
      </c>
      <c r="D31" s="300" t="s">
        <v>919</v>
      </c>
      <c r="E31" s="398">
        <v>83</v>
      </c>
      <c r="F31" s="398">
        <v>4</v>
      </c>
      <c r="G31" s="398">
        <v>9</v>
      </c>
      <c r="H31" s="398">
        <v>154</v>
      </c>
      <c r="I31" s="398">
        <v>250</v>
      </c>
    </row>
    <row r="32" spans="2:9" x14ac:dyDescent="0.25">
      <c r="B32" s="556"/>
      <c r="C32" s="557"/>
      <c r="D32" s="301" t="s">
        <v>901</v>
      </c>
      <c r="E32" s="398">
        <v>247</v>
      </c>
      <c r="F32" s="398">
        <v>14</v>
      </c>
      <c r="G32" s="398">
        <v>25</v>
      </c>
      <c r="H32" s="398">
        <v>394</v>
      </c>
      <c r="I32" s="398">
        <v>680</v>
      </c>
    </row>
    <row r="33" spans="2:9" x14ac:dyDescent="0.25">
      <c r="B33" s="554" t="s">
        <v>530</v>
      </c>
      <c r="C33" s="555" t="s">
        <v>913</v>
      </c>
      <c r="D33" s="300" t="s">
        <v>919</v>
      </c>
      <c r="E33" s="398">
        <v>137</v>
      </c>
      <c r="F33" s="398">
        <v>4</v>
      </c>
      <c r="G33" s="398">
        <v>18</v>
      </c>
      <c r="H33" s="398">
        <v>340</v>
      </c>
      <c r="I33" s="398">
        <v>499</v>
      </c>
    </row>
    <row r="34" spans="2:9" x14ac:dyDescent="0.25">
      <c r="B34" s="556"/>
      <c r="C34" s="557"/>
      <c r="D34" s="301" t="s">
        <v>901</v>
      </c>
      <c r="E34" s="398">
        <v>389</v>
      </c>
      <c r="F34" s="398">
        <v>14</v>
      </c>
      <c r="G34" s="398">
        <v>50</v>
      </c>
      <c r="H34" s="398">
        <v>896</v>
      </c>
      <c r="I34" s="398">
        <v>1349</v>
      </c>
    </row>
    <row r="35" spans="2:9" x14ac:dyDescent="0.25">
      <c r="B35" s="562" t="s">
        <v>531</v>
      </c>
      <c r="C35" s="563" t="s">
        <v>914</v>
      </c>
      <c r="D35" s="300" t="s">
        <v>919</v>
      </c>
      <c r="E35" s="398">
        <v>23</v>
      </c>
      <c r="F35" s="398">
        <v>0</v>
      </c>
      <c r="G35" s="398">
        <v>2</v>
      </c>
      <c r="H35" s="398">
        <v>42</v>
      </c>
      <c r="I35" s="398">
        <v>67</v>
      </c>
    </row>
    <row r="36" spans="2:9" x14ac:dyDescent="0.25">
      <c r="B36" s="564"/>
      <c r="C36" s="565"/>
      <c r="D36" s="301" t="s">
        <v>901</v>
      </c>
      <c r="E36" s="398">
        <v>54</v>
      </c>
      <c r="F36" s="398">
        <v>0</v>
      </c>
      <c r="G36" s="398">
        <v>6</v>
      </c>
      <c r="H36" s="398">
        <v>114</v>
      </c>
      <c r="I36" s="398">
        <v>174</v>
      </c>
    </row>
    <row r="37" spans="2:9" x14ac:dyDescent="0.25">
      <c r="B37" s="562" t="s">
        <v>532</v>
      </c>
      <c r="C37" s="563" t="s">
        <v>915</v>
      </c>
      <c r="D37" s="300" t="s">
        <v>919</v>
      </c>
      <c r="E37" s="398">
        <v>28</v>
      </c>
      <c r="F37" s="398">
        <v>1</v>
      </c>
      <c r="G37" s="398">
        <v>3</v>
      </c>
      <c r="H37" s="398">
        <v>82</v>
      </c>
      <c r="I37" s="398">
        <v>114</v>
      </c>
    </row>
    <row r="38" spans="2:9" x14ac:dyDescent="0.25">
      <c r="B38" s="564"/>
      <c r="C38" s="565"/>
      <c r="D38" s="301" t="s">
        <v>901</v>
      </c>
      <c r="E38" s="398">
        <v>80</v>
      </c>
      <c r="F38" s="398">
        <v>2</v>
      </c>
      <c r="G38" s="398">
        <v>7</v>
      </c>
      <c r="H38" s="398">
        <v>205</v>
      </c>
      <c r="I38" s="398">
        <v>294</v>
      </c>
    </row>
    <row r="39" spans="2:9" x14ac:dyDescent="0.25">
      <c r="B39" s="554" t="s">
        <v>533</v>
      </c>
      <c r="C39" s="555" t="s">
        <v>916</v>
      </c>
      <c r="D39" s="300" t="s">
        <v>919</v>
      </c>
      <c r="E39" s="398">
        <v>843</v>
      </c>
      <c r="F39" s="398">
        <v>35</v>
      </c>
      <c r="G39" s="398">
        <v>81</v>
      </c>
      <c r="H39" s="398">
        <v>2678</v>
      </c>
      <c r="I39" s="398">
        <v>3637</v>
      </c>
    </row>
    <row r="40" spans="2:9" x14ac:dyDescent="0.25">
      <c r="B40" s="556"/>
      <c r="C40" s="557"/>
      <c r="D40" s="301" t="s">
        <v>901</v>
      </c>
      <c r="E40" s="398">
        <v>2448</v>
      </c>
      <c r="F40" s="398">
        <v>107</v>
      </c>
      <c r="G40" s="398">
        <v>275</v>
      </c>
      <c r="H40" s="398">
        <v>6858</v>
      </c>
      <c r="I40" s="398">
        <v>9688</v>
      </c>
    </row>
    <row r="41" spans="2:9" x14ac:dyDescent="0.25">
      <c r="B41" s="561" t="s">
        <v>917</v>
      </c>
      <c r="C41" s="561"/>
      <c r="D41" s="418" t="s">
        <v>919</v>
      </c>
      <c r="E41" s="419">
        <f>E9+E11+E13+E15+E17+E19+E21+E23+E25+E27+E29+E31+E33+E35+E37+E39</f>
        <v>2790</v>
      </c>
      <c r="F41" s="419">
        <f t="shared" ref="F41:H42" si="0">F9+F11+F13+F15+F17+F19+F21+F23+F25+F27+F29+F31+F33+F35+F37+F39</f>
        <v>164</v>
      </c>
      <c r="G41" s="419">
        <f t="shared" si="0"/>
        <v>275</v>
      </c>
      <c r="H41" s="419">
        <f t="shared" si="0"/>
        <v>7069</v>
      </c>
      <c r="I41" s="419">
        <f t="shared" ref="I41:I42" si="1">SUM(E41:H41)</f>
        <v>10298</v>
      </c>
    </row>
    <row r="42" spans="2:9" x14ac:dyDescent="0.25">
      <c r="B42" s="561"/>
      <c r="C42" s="561"/>
      <c r="D42" s="418" t="s">
        <v>901</v>
      </c>
      <c r="E42" s="419">
        <f>E10+E12+E14+E16+E18+E20+E22+E24+E26+E28+E30+E32+E34+E36+E38+E40</f>
        <v>8331</v>
      </c>
      <c r="F42" s="419">
        <f t="shared" si="0"/>
        <v>571</v>
      </c>
      <c r="G42" s="419">
        <f t="shared" si="0"/>
        <v>883</v>
      </c>
      <c r="H42" s="419">
        <f t="shared" si="0"/>
        <v>18563</v>
      </c>
      <c r="I42" s="419">
        <f t="shared" si="1"/>
        <v>28348</v>
      </c>
    </row>
    <row r="43" spans="2:9" x14ac:dyDescent="0.25">
      <c r="B43" s="324" t="s">
        <v>922</v>
      </c>
    </row>
    <row r="45" spans="2:9" ht="18.75" x14ac:dyDescent="0.3">
      <c r="B45" s="2" t="s">
        <v>923</v>
      </c>
      <c r="C45" s="2"/>
      <c r="D45" s="2"/>
      <c r="E45" s="2"/>
    </row>
    <row r="46" spans="2:9" x14ac:dyDescent="0.25">
      <c r="B46" s="3" t="s">
        <v>929</v>
      </c>
    </row>
    <row r="48" spans="2:9" ht="30" x14ac:dyDescent="0.25">
      <c r="B48" s="303" t="s">
        <v>487</v>
      </c>
      <c r="C48" s="304" t="s">
        <v>925</v>
      </c>
      <c r="D48" s="304" t="s">
        <v>926</v>
      </c>
      <c r="E48" s="304" t="s">
        <v>502</v>
      </c>
    </row>
    <row r="49" spans="2:5" x14ac:dyDescent="0.25">
      <c r="B49" s="420" t="s">
        <v>927</v>
      </c>
      <c r="C49" s="421">
        <v>23671</v>
      </c>
      <c r="D49" s="421"/>
      <c r="E49" s="421">
        <v>23671</v>
      </c>
    </row>
    <row r="50" spans="2:5" x14ac:dyDescent="0.25">
      <c r="B50" s="422" t="s">
        <v>40</v>
      </c>
      <c r="C50" s="421">
        <v>90591</v>
      </c>
      <c r="D50" s="421"/>
      <c r="E50" s="421">
        <v>90591</v>
      </c>
    </row>
    <row r="51" spans="2:5" x14ac:dyDescent="0.25">
      <c r="B51" s="422" t="s">
        <v>41</v>
      </c>
      <c r="C51" s="421">
        <v>105822</v>
      </c>
      <c r="D51" s="421"/>
      <c r="E51" s="421">
        <v>105822</v>
      </c>
    </row>
    <row r="52" spans="2:5" x14ac:dyDescent="0.25">
      <c r="B52" s="422" t="s">
        <v>928</v>
      </c>
      <c r="C52" s="421">
        <v>54727</v>
      </c>
      <c r="D52" s="421"/>
      <c r="E52" s="421">
        <v>54727</v>
      </c>
    </row>
    <row r="53" spans="2:5" x14ac:dyDescent="0.25">
      <c r="B53" s="422" t="s">
        <v>45</v>
      </c>
      <c r="C53" s="421">
        <v>38385</v>
      </c>
      <c r="D53" s="421"/>
      <c r="E53" s="421">
        <v>38385</v>
      </c>
    </row>
    <row r="54" spans="2:5" x14ac:dyDescent="0.25">
      <c r="B54" s="422" t="s">
        <v>47</v>
      </c>
      <c r="C54" s="421">
        <v>44254</v>
      </c>
      <c r="D54" s="421">
        <v>5771</v>
      </c>
      <c r="E54" s="421">
        <v>50025</v>
      </c>
    </row>
    <row r="55" spans="2:5" x14ac:dyDescent="0.25">
      <c r="B55" s="422" t="s">
        <v>49</v>
      </c>
      <c r="C55" s="421">
        <v>51650</v>
      </c>
      <c r="D55" s="421">
        <v>5964</v>
      </c>
      <c r="E55" s="421">
        <v>57614</v>
      </c>
    </row>
    <row r="56" spans="2:5" x14ac:dyDescent="0.25">
      <c r="B56" s="423" t="s">
        <v>66</v>
      </c>
      <c r="C56" s="421">
        <v>53052</v>
      </c>
      <c r="D56" s="421">
        <v>8742</v>
      </c>
      <c r="E56" s="421">
        <v>61794</v>
      </c>
    </row>
    <row r="57" spans="2:5" x14ac:dyDescent="0.25">
      <c r="B57" s="423" t="s">
        <v>69</v>
      </c>
      <c r="C57" s="421">
        <v>84754</v>
      </c>
      <c r="D57" s="421">
        <v>9683</v>
      </c>
      <c r="E57" s="421">
        <v>94437</v>
      </c>
    </row>
    <row r="58" spans="2:5" x14ac:dyDescent="0.25">
      <c r="B58" s="423" t="s">
        <v>70</v>
      </c>
      <c r="C58" s="421">
        <v>67798</v>
      </c>
      <c r="D58" s="421">
        <v>8043</v>
      </c>
      <c r="E58" s="421">
        <v>75841</v>
      </c>
    </row>
    <row r="59" spans="2:5" x14ac:dyDescent="0.25">
      <c r="B59" s="423" t="s">
        <v>71</v>
      </c>
      <c r="C59" s="421">
        <v>65890</v>
      </c>
      <c r="D59" s="421">
        <v>4038</v>
      </c>
      <c r="E59" s="421">
        <v>69928</v>
      </c>
    </row>
    <row r="60" spans="2:5" x14ac:dyDescent="0.25">
      <c r="B60" s="423" t="s">
        <v>75</v>
      </c>
      <c r="C60" s="421">
        <v>67649</v>
      </c>
      <c r="D60" s="421">
        <v>5224</v>
      </c>
      <c r="E60" s="421">
        <v>72873</v>
      </c>
    </row>
    <row r="61" spans="2:5" x14ac:dyDescent="0.25">
      <c r="B61" s="410">
        <v>44197</v>
      </c>
      <c r="C61" s="399">
        <v>5872</v>
      </c>
      <c r="D61" s="399">
        <v>407</v>
      </c>
      <c r="E61" s="399">
        <v>6279</v>
      </c>
    </row>
    <row r="62" spans="2:5" x14ac:dyDescent="0.25">
      <c r="B62" s="410">
        <v>44228</v>
      </c>
      <c r="C62" s="399">
        <v>6398</v>
      </c>
      <c r="D62" s="399">
        <v>336</v>
      </c>
      <c r="E62" s="399">
        <v>6734</v>
      </c>
    </row>
    <row r="63" spans="2:5" x14ac:dyDescent="0.25">
      <c r="B63" s="410">
        <v>44256</v>
      </c>
      <c r="C63" s="399">
        <v>6284</v>
      </c>
      <c r="D63" s="399">
        <v>400</v>
      </c>
      <c r="E63" s="399">
        <v>6684</v>
      </c>
    </row>
    <row r="64" spans="2:5" x14ac:dyDescent="0.25">
      <c r="B64" s="410">
        <v>44287</v>
      </c>
      <c r="C64" s="399">
        <v>5645</v>
      </c>
      <c r="D64" s="399">
        <v>429</v>
      </c>
      <c r="E64" s="399">
        <v>6074</v>
      </c>
    </row>
    <row r="65" spans="2:5" x14ac:dyDescent="0.25">
      <c r="B65" s="410">
        <v>44317</v>
      </c>
      <c r="C65" s="399">
        <v>6254</v>
      </c>
      <c r="D65" s="399">
        <v>475</v>
      </c>
      <c r="E65" s="399">
        <v>6729</v>
      </c>
    </row>
    <row r="66" spans="2:5" x14ac:dyDescent="0.25">
      <c r="B66" s="410">
        <v>44348</v>
      </c>
      <c r="C66" s="399">
        <v>6456</v>
      </c>
      <c r="D66" s="399">
        <v>551</v>
      </c>
      <c r="E66" s="399">
        <v>7007</v>
      </c>
    </row>
    <row r="67" spans="2:5" x14ac:dyDescent="0.25">
      <c r="B67" s="410">
        <v>44378</v>
      </c>
      <c r="C67" s="399">
        <v>6122</v>
      </c>
      <c r="D67" s="399">
        <v>574</v>
      </c>
      <c r="E67" s="399">
        <v>6696</v>
      </c>
    </row>
    <row r="68" spans="2:5" x14ac:dyDescent="0.25">
      <c r="B68" s="410">
        <v>44409</v>
      </c>
      <c r="C68" s="399">
        <v>7688</v>
      </c>
      <c r="D68" s="399">
        <v>653</v>
      </c>
      <c r="E68" s="399">
        <v>8341</v>
      </c>
    </row>
    <row r="69" spans="2:5" x14ac:dyDescent="0.25">
      <c r="B69" s="410">
        <v>44440</v>
      </c>
      <c r="C69" s="399">
        <v>7542</v>
      </c>
      <c r="D69" s="399">
        <v>649</v>
      </c>
      <c r="E69" s="399">
        <v>8191</v>
      </c>
    </row>
    <row r="70" spans="2:5" x14ac:dyDescent="0.25">
      <c r="B70" s="410">
        <v>44470</v>
      </c>
      <c r="C70" s="399">
        <v>7921</v>
      </c>
      <c r="D70" s="399">
        <v>672</v>
      </c>
      <c r="E70" s="399">
        <v>8593</v>
      </c>
    </row>
    <row r="71" spans="2:5" x14ac:dyDescent="0.25">
      <c r="B71" s="410">
        <v>44501</v>
      </c>
      <c r="C71" s="399">
        <v>7649</v>
      </c>
      <c r="D71" s="399">
        <v>641</v>
      </c>
      <c r="E71" s="399">
        <v>8290</v>
      </c>
    </row>
    <row r="72" spans="2:5" x14ac:dyDescent="0.25">
      <c r="B72" s="410">
        <v>44531</v>
      </c>
      <c r="C72" s="399">
        <v>7848</v>
      </c>
      <c r="D72" s="399">
        <v>528</v>
      </c>
      <c r="E72" s="399">
        <v>8376</v>
      </c>
    </row>
    <row r="73" spans="2:5" x14ac:dyDescent="0.25">
      <c r="B73" s="423" t="s">
        <v>76</v>
      </c>
      <c r="C73" s="421">
        <v>81679</v>
      </c>
      <c r="D73" s="421">
        <v>6315</v>
      </c>
      <c r="E73" s="421">
        <v>87994</v>
      </c>
    </row>
    <row r="74" spans="2:5" x14ac:dyDescent="0.25">
      <c r="B74" s="410">
        <v>44562</v>
      </c>
      <c r="C74" s="399">
        <v>7668</v>
      </c>
      <c r="D74" s="399">
        <v>503</v>
      </c>
      <c r="E74" s="399">
        <v>8171</v>
      </c>
    </row>
    <row r="75" spans="2:5" x14ac:dyDescent="0.25">
      <c r="B75" s="410">
        <v>44593</v>
      </c>
      <c r="C75" s="399">
        <v>10374</v>
      </c>
      <c r="D75" s="399">
        <v>972</v>
      </c>
      <c r="E75" s="399">
        <v>11346</v>
      </c>
    </row>
    <row r="76" spans="2:5" x14ac:dyDescent="0.25">
      <c r="B76" s="410">
        <v>44621</v>
      </c>
      <c r="C76" s="399">
        <v>9515</v>
      </c>
      <c r="D76" s="399">
        <v>881</v>
      </c>
      <c r="E76" s="399">
        <v>10396</v>
      </c>
    </row>
    <row r="77" spans="2:5" x14ac:dyDescent="0.25">
      <c r="B77" s="410">
        <v>44652</v>
      </c>
      <c r="C77" s="399">
        <v>11485</v>
      </c>
      <c r="D77" s="399">
        <v>221</v>
      </c>
      <c r="E77" s="399">
        <v>11706</v>
      </c>
    </row>
    <row r="78" spans="2:5" x14ac:dyDescent="0.25">
      <c r="B78" s="410">
        <v>44682</v>
      </c>
      <c r="C78" s="399">
        <v>8749</v>
      </c>
      <c r="D78" s="399">
        <v>469</v>
      </c>
      <c r="E78" s="399">
        <v>9218</v>
      </c>
    </row>
    <row r="79" spans="2:5" x14ac:dyDescent="0.25">
      <c r="B79" s="410">
        <v>44713</v>
      </c>
      <c r="C79" s="399">
        <v>8701</v>
      </c>
      <c r="D79" s="399">
        <v>364</v>
      </c>
      <c r="E79" s="399">
        <v>9065</v>
      </c>
    </row>
    <row r="80" spans="2:5" x14ac:dyDescent="0.25">
      <c r="B80" s="410">
        <v>44743</v>
      </c>
      <c r="C80" s="399">
        <v>7724</v>
      </c>
      <c r="D80" s="399">
        <v>364</v>
      </c>
      <c r="E80" s="399">
        <v>8088</v>
      </c>
    </row>
    <row r="81" spans="2:10" x14ac:dyDescent="0.25">
      <c r="B81" s="410">
        <v>44774</v>
      </c>
      <c r="C81" s="399">
        <v>12287</v>
      </c>
      <c r="D81" s="399">
        <v>1895</v>
      </c>
      <c r="E81" s="399">
        <v>14182</v>
      </c>
    </row>
    <row r="82" spans="2:10" x14ac:dyDescent="0.25">
      <c r="B82" s="410">
        <v>44805</v>
      </c>
      <c r="C82" s="399">
        <v>6504</v>
      </c>
      <c r="D82" s="399">
        <v>681</v>
      </c>
      <c r="E82" s="399">
        <v>7185</v>
      </c>
    </row>
    <row r="83" spans="2:10" x14ac:dyDescent="0.25">
      <c r="B83" s="410">
        <v>44835</v>
      </c>
      <c r="C83" s="399">
        <v>10957</v>
      </c>
      <c r="D83" s="399">
        <v>584</v>
      </c>
      <c r="E83" s="399">
        <v>11541</v>
      </c>
    </row>
    <row r="84" spans="2:10" x14ac:dyDescent="0.25">
      <c r="B84" s="410">
        <v>44866</v>
      </c>
      <c r="C84" s="399">
        <v>11167</v>
      </c>
      <c r="D84" s="399">
        <v>843</v>
      </c>
      <c r="E84" s="399">
        <v>12010</v>
      </c>
    </row>
    <row r="85" spans="2:10" x14ac:dyDescent="0.25">
      <c r="B85" s="410">
        <v>44896</v>
      </c>
      <c r="C85" s="399">
        <v>10298</v>
      </c>
      <c r="D85" s="399">
        <v>642</v>
      </c>
      <c r="E85" s="399">
        <v>10940</v>
      </c>
    </row>
    <row r="86" spans="2:10" x14ac:dyDescent="0.25">
      <c r="B86" s="424" t="s">
        <v>77</v>
      </c>
      <c r="C86" s="421">
        <v>115429</v>
      </c>
      <c r="D86" s="421">
        <v>8419</v>
      </c>
      <c r="E86" s="421">
        <v>123848</v>
      </c>
    </row>
    <row r="87" spans="2:10" x14ac:dyDescent="0.25">
      <c r="B87" s="424" t="s">
        <v>7</v>
      </c>
      <c r="C87" s="421">
        <v>945351</v>
      </c>
      <c r="D87" s="421">
        <v>62199</v>
      </c>
      <c r="E87" s="421">
        <v>1007550</v>
      </c>
    </row>
    <row r="88" spans="2:10" x14ac:dyDescent="0.25">
      <c r="B88" s="324" t="s">
        <v>922</v>
      </c>
    </row>
    <row r="90" spans="2:10" ht="18.75" x14ac:dyDescent="0.3">
      <c r="B90" s="2" t="s">
        <v>931</v>
      </c>
      <c r="C90" s="2"/>
      <c r="D90" s="2"/>
      <c r="E90" s="2"/>
    </row>
    <row r="91" spans="2:10" x14ac:dyDescent="0.25">
      <c r="B91" s="3" t="s">
        <v>929</v>
      </c>
    </row>
    <row r="93" spans="2:10" ht="31.5" customHeight="1" x14ac:dyDescent="0.25">
      <c r="B93" s="569" t="s">
        <v>924</v>
      </c>
      <c r="C93" s="571" t="s">
        <v>932</v>
      </c>
      <c r="D93" s="560"/>
      <c r="E93" s="571" t="s">
        <v>933</v>
      </c>
      <c r="F93" s="560"/>
      <c r="G93" s="559" t="s">
        <v>930</v>
      </c>
      <c r="H93" s="560"/>
      <c r="I93" s="559" t="s">
        <v>36</v>
      </c>
      <c r="J93" s="560"/>
    </row>
    <row r="94" spans="2:10" x14ac:dyDescent="0.25">
      <c r="B94" s="570"/>
      <c r="C94" s="302" t="s">
        <v>919</v>
      </c>
      <c r="D94" s="302" t="s">
        <v>901</v>
      </c>
      <c r="E94" s="302" t="s">
        <v>919</v>
      </c>
      <c r="F94" s="302" t="s">
        <v>901</v>
      </c>
      <c r="G94" s="302" t="s">
        <v>919</v>
      </c>
      <c r="H94" s="302" t="s">
        <v>901</v>
      </c>
      <c r="I94" s="302" t="s">
        <v>919</v>
      </c>
      <c r="J94" s="302" t="s">
        <v>901</v>
      </c>
    </row>
    <row r="95" spans="2:10" x14ac:dyDescent="0.25">
      <c r="B95" s="425" t="s">
        <v>927</v>
      </c>
      <c r="C95" s="426"/>
      <c r="D95" s="426"/>
      <c r="E95" s="426"/>
      <c r="F95" s="426"/>
      <c r="G95" s="426"/>
      <c r="H95" s="426"/>
      <c r="I95" s="427">
        <v>23671</v>
      </c>
      <c r="J95" s="427">
        <v>102602</v>
      </c>
    </row>
    <row r="96" spans="2:10" x14ac:dyDescent="0.25">
      <c r="B96" s="422" t="s">
        <v>40</v>
      </c>
      <c r="C96" s="426"/>
      <c r="D96" s="426"/>
      <c r="E96" s="426"/>
      <c r="F96" s="426"/>
      <c r="G96" s="426"/>
      <c r="H96" s="426"/>
      <c r="I96" s="427">
        <v>90591</v>
      </c>
      <c r="J96" s="427">
        <v>283345</v>
      </c>
    </row>
    <row r="97" spans="2:10" x14ac:dyDescent="0.25">
      <c r="B97" s="422" t="s">
        <v>41</v>
      </c>
      <c r="C97" s="426"/>
      <c r="D97" s="426"/>
      <c r="E97" s="426"/>
      <c r="F97" s="426"/>
      <c r="G97" s="426"/>
      <c r="H97" s="426"/>
      <c r="I97" s="427">
        <v>105822</v>
      </c>
      <c r="J97" s="427">
        <v>430659</v>
      </c>
    </row>
    <row r="98" spans="2:10" x14ac:dyDescent="0.25">
      <c r="B98" s="422" t="s">
        <v>928</v>
      </c>
      <c r="C98" s="426"/>
      <c r="D98" s="426"/>
      <c r="E98" s="426"/>
      <c r="F98" s="426"/>
      <c r="G98" s="426"/>
      <c r="H98" s="426"/>
      <c r="I98" s="427">
        <v>54727</v>
      </c>
      <c r="J98" s="427">
        <v>214792</v>
      </c>
    </row>
    <row r="99" spans="2:10" x14ac:dyDescent="0.25">
      <c r="B99" s="422" t="s">
        <v>45</v>
      </c>
      <c r="C99" s="428">
        <v>17394</v>
      </c>
      <c r="D99" s="428">
        <v>63757</v>
      </c>
      <c r="E99" s="428">
        <v>1193</v>
      </c>
      <c r="F99" s="428">
        <v>5685</v>
      </c>
      <c r="G99" s="428">
        <v>19798</v>
      </c>
      <c r="H99" s="428">
        <v>66674</v>
      </c>
      <c r="I99" s="428">
        <v>38385</v>
      </c>
      <c r="J99" s="428">
        <v>136116</v>
      </c>
    </row>
    <row r="100" spans="2:10" x14ac:dyDescent="0.25">
      <c r="B100" s="422" t="s">
        <v>47</v>
      </c>
      <c r="C100" s="428">
        <v>19910</v>
      </c>
      <c r="D100" s="428">
        <v>70098</v>
      </c>
      <c r="E100" s="428">
        <v>1302</v>
      </c>
      <c r="F100" s="428">
        <v>5662</v>
      </c>
      <c r="G100" s="428">
        <v>23042</v>
      </c>
      <c r="H100" s="428">
        <v>72387</v>
      </c>
      <c r="I100" s="428">
        <v>44254</v>
      </c>
      <c r="J100" s="428">
        <v>148147</v>
      </c>
    </row>
    <row r="101" spans="2:10" x14ac:dyDescent="0.25">
      <c r="B101" s="422" t="s">
        <v>49</v>
      </c>
      <c r="C101" s="428">
        <v>17153</v>
      </c>
      <c r="D101" s="428">
        <v>58746</v>
      </c>
      <c r="E101" s="428">
        <v>1968</v>
      </c>
      <c r="F101" s="428">
        <v>8760</v>
      </c>
      <c r="G101" s="428">
        <v>32529</v>
      </c>
      <c r="H101" s="428">
        <v>97308</v>
      </c>
      <c r="I101" s="428">
        <v>51650</v>
      </c>
      <c r="J101" s="428">
        <v>164814</v>
      </c>
    </row>
    <row r="102" spans="2:10" x14ac:dyDescent="0.25">
      <c r="B102" s="423" t="s">
        <v>66</v>
      </c>
      <c r="C102" s="428">
        <v>17300</v>
      </c>
      <c r="D102" s="428">
        <v>58575</v>
      </c>
      <c r="E102" s="428">
        <v>1912</v>
      </c>
      <c r="F102" s="428">
        <v>7860</v>
      </c>
      <c r="G102" s="428">
        <v>33840</v>
      </c>
      <c r="H102" s="428">
        <v>99247</v>
      </c>
      <c r="I102" s="428">
        <v>53052</v>
      </c>
      <c r="J102" s="428">
        <v>165682</v>
      </c>
    </row>
    <row r="103" spans="2:10" x14ac:dyDescent="0.25">
      <c r="B103" s="423" t="s">
        <v>69</v>
      </c>
      <c r="C103" s="428">
        <v>18172</v>
      </c>
      <c r="D103" s="428">
        <v>59135</v>
      </c>
      <c r="E103" s="428">
        <v>1907</v>
      </c>
      <c r="F103" s="428">
        <v>7847</v>
      </c>
      <c r="G103" s="428">
        <v>38370</v>
      </c>
      <c r="H103" s="428">
        <v>109770</v>
      </c>
      <c r="I103" s="428">
        <v>58449</v>
      </c>
      <c r="J103" s="428">
        <v>176752</v>
      </c>
    </row>
    <row r="104" spans="2:10" x14ac:dyDescent="0.25">
      <c r="B104" s="423" t="s">
        <v>70</v>
      </c>
      <c r="C104" s="428">
        <v>20934</v>
      </c>
      <c r="D104" s="428">
        <v>67470</v>
      </c>
      <c r="E104" s="428">
        <v>2402</v>
      </c>
      <c r="F104" s="428">
        <v>9556</v>
      </c>
      <c r="G104" s="428">
        <v>44462</v>
      </c>
      <c r="H104" s="428">
        <v>125632</v>
      </c>
      <c r="I104" s="428">
        <v>67798</v>
      </c>
      <c r="J104" s="428">
        <v>202658</v>
      </c>
    </row>
    <row r="105" spans="2:10" x14ac:dyDescent="0.25">
      <c r="B105" s="423" t="s">
        <v>71</v>
      </c>
      <c r="C105" s="428">
        <v>18684</v>
      </c>
      <c r="D105" s="428">
        <v>59185</v>
      </c>
      <c r="E105" s="428">
        <v>1898</v>
      </c>
      <c r="F105" s="428">
        <v>7582</v>
      </c>
      <c r="G105" s="428">
        <v>45308</v>
      </c>
      <c r="H105" s="428">
        <v>126920</v>
      </c>
      <c r="I105" s="428">
        <v>65890</v>
      </c>
      <c r="J105" s="428">
        <v>193687</v>
      </c>
    </row>
    <row r="106" spans="2:10" x14ac:dyDescent="0.25">
      <c r="B106" s="423" t="s">
        <v>75</v>
      </c>
      <c r="C106" s="428">
        <v>17159</v>
      </c>
      <c r="D106" s="428">
        <v>54398</v>
      </c>
      <c r="E106" s="428">
        <v>2006</v>
      </c>
      <c r="F106" s="428">
        <v>7456</v>
      </c>
      <c r="G106" s="428">
        <v>48484</v>
      </c>
      <c r="H106" s="428">
        <v>134374</v>
      </c>
      <c r="I106" s="428">
        <v>67649</v>
      </c>
      <c r="J106" s="428">
        <v>196228</v>
      </c>
    </row>
    <row r="107" spans="2:10" x14ac:dyDescent="0.25">
      <c r="B107" s="411">
        <v>44197</v>
      </c>
      <c r="C107" s="400">
        <v>1411</v>
      </c>
      <c r="D107" s="400">
        <v>4622</v>
      </c>
      <c r="E107" s="400">
        <v>155</v>
      </c>
      <c r="F107" s="400">
        <v>625</v>
      </c>
      <c r="G107" s="400">
        <v>4306</v>
      </c>
      <c r="H107" s="400">
        <v>11827</v>
      </c>
      <c r="I107" s="400">
        <v>5872</v>
      </c>
      <c r="J107" s="400">
        <v>17074</v>
      </c>
    </row>
    <row r="108" spans="2:10" x14ac:dyDescent="0.25">
      <c r="B108" s="411">
        <v>44228</v>
      </c>
      <c r="C108" s="400">
        <v>1495</v>
      </c>
      <c r="D108" s="400">
        <v>4904</v>
      </c>
      <c r="E108" s="400">
        <v>139</v>
      </c>
      <c r="F108" s="400">
        <v>531</v>
      </c>
      <c r="G108" s="400">
        <v>4764</v>
      </c>
      <c r="H108" s="400">
        <v>12927</v>
      </c>
      <c r="I108" s="400">
        <v>6398</v>
      </c>
      <c r="J108" s="400">
        <v>18362</v>
      </c>
    </row>
    <row r="109" spans="2:10" x14ac:dyDescent="0.25">
      <c r="B109" s="411">
        <v>44256</v>
      </c>
      <c r="C109" s="400">
        <v>1529</v>
      </c>
      <c r="D109" s="400">
        <v>4851</v>
      </c>
      <c r="E109" s="400">
        <v>159</v>
      </c>
      <c r="F109" s="400">
        <v>584</v>
      </c>
      <c r="G109" s="400">
        <v>4596</v>
      </c>
      <c r="H109" s="400">
        <v>12534</v>
      </c>
      <c r="I109" s="400">
        <v>6284</v>
      </c>
      <c r="J109" s="400">
        <v>17969</v>
      </c>
    </row>
    <row r="110" spans="2:10" x14ac:dyDescent="0.25">
      <c r="B110" s="411">
        <v>44287</v>
      </c>
      <c r="C110" s="400">
        <v>1554</v>
      </c>
      <c r="D110" s="400">
        <v>4890</v>
      </c>
      <c r="E110" s="400">
        <v>204</v>
      </c>
      <c r="F110" s="400">
        <v>672</v>
      </c>
      <c r="G110" s="400">
        <v>3887</v>
      </c>
      <c r="H110" s="400">
        <v>10535</v>
      </c>
      <c r="I110" s="400">
        <v>5645</v>
      </c>
      <c r="J110" s="400">
        <v>16097</v>
      </c>
    </row>
    <row r="111" spans="2:10" x14ac:dyDescent="0.25">
      <c r="B111" s="411">
        <v>44317</v>
      </c>
      <c r="C111" s="400">
        <v>1339</v>
      </c>
      <c r="D111" s="400">
        <v>4387</v>
      </c>
      <c r="E111" s="400">
        <v>188</v>
      </c>
      <c r="F111" s="400">
        <v>681</v>
      </c>
      <c r="G111" s="400">
        <v>4727</v>
      </c>
      <c r="H111" s="400">
        <v>12674</v>
      </c>
      <c r="I111" s="400">
        <v>6254</v>
      </c>
      <c r="J111" s="400">
        <v>17742</v>
      </c>
    </row>
    <row r="112" spans="2:10" x14ac:dyDescent="0.25">
      <c r="B112" s="411">
        <v>44348</v>
      </c>
      <c r="C112" s="400">
        <v>1705</v>
      </c>
      <c r="D112" s="400">
        <v>5296</v>
      </c>
      <c r="E112" s="400">
        <v>180</v>
      </c>
      <c r="F112" s="400">
        <v>647</v>
      </c>
      <c r="G112" s="400">
        <v>4571</v>
      </c>
      <c r="H112" s="400">
        <v>12236</v>
      </c>
      <c r="I112" s="400">
        <v>6456</v>
      </c>
      <c r="J112" s="400">
        <v>18179</v>
      </c>
    </row>
    <row r="113" spans="2:10" x14ac:dyDescent="0.25">
      <c r="B113" s="411">
        <v>44378</v>
      </c>
      <c r="C113" s="400">
        <v>1501</v>
      </c>
      <c r="D113" s="400">
        <v>4957</v>
      </c>
      <c r="E113" s="400">
        <v>165</v>
      </c>
      <c r="F113" s="400">
        <v>584</v>
      </c>
      <c r="G113" s="400">
        <v>4456</v>
      </c>
      <c r="H113" s="400">
        <v>12115</v>
      </c>
      <c r="I113" s="400">
        <v>6122</v>
      </c>
      <c r="J113" s="400">
        <v>17656</v>
      </c>
    </row>
    <row r="114" spans="2:10" x14ac:dyDescent="0.25">
      <c r="B114" s="411">
        <v>44409</v>
      </c>
      <c r="C114" s="400">
        <v>1958</v>
      </c>
      <c r="D114" s="400">
        <v>6075</v>
      </c>
      <c r="E114" s="400">
        <v>199</v>
      </c>
      <c r="F114" s="400">
        <v>683</v>
      </c>
      <c r="G114" s="400">
        <v>5531</v>
      </c>
      <c r="H114" s="400">
        <v>15024</v>
      </c>
      <c r="I114" s="400">
        <v>7688</v>
      </c>
      <c r="J114" s="400">
        <v>21782</v>
      </c>
    </row>
    <row r="115" spans="2:10" x14ac:dyDescent="0.25">
      <c r="B115" s="411">
        <v>44440</v>
      </c>
      <c r="C115" s="400">
        <v>2110</v>
      </c>
      <c r="D115" s="400">
        <v>6529</v>
      </c>
      <c r="E115" s="400">
        <v>220</v>
      </c>
      <c r="F115" s="400">
        <v>837</v>
      </c>
      <c r="G115" s="400">
        <v>5212</v>
      </c>
      <c r="H115" s="400">
        <v>13910</v>
      </c>
      <c r="I115" s="400">
        <v>7542</v>
      </c>
      <c r="J115" s="400">
        <v>21276</v>
      </c>
    </row>
    <row r="116" spans="2:10" x14ac:dyDescent="0.25">
      <c r="B116" s="411">
        <v>44470</v>
      </c>
      <c r="C116" s="400">
        <v>1995</v>
      </c>
      <c r="D116" s="400">
        <v>6274</v>
      </c>
      <c r="E116" s="400">
        <v>253</v>
      </c>
      <c r="F116" s="400">
        <v>909</v>
      </c>
      <c r="G116" s="400">
        <v>5673</v>
      </c>
      <c r="H116" s="400">
        <v>15241</v>
      </c>
      <c r="I116" s="400">
        <v>7921</v>
      </c>
      <c r="J116" s="400">
        <v>22424</v>
      </c>
    </row>
    <row r="117" spans="2:10" x14ac:dyDescent="0.25">
      <c r="B117" s="411">
        <v>44501</v>
      </c>
      <c r="C117" s="400">
        <v>2001</v>
      </c>
      <c r="D117" s="400">
        <v>6341</v>
      </c>
      <c r="E117" s="400">
        <v>307</v>
      </c>
      <c r="F117" s="400">
        <v>1121</v>
      </c>
      <c r="G117" s="400">
        <v>5341</v>
      </c>
      <c r="H117" s="400">
        <v>14390</v>
      </c>
      <c r="I117" s="400">
        <v>7649</v>
      </c>
      <c r="J117" s="400">
        <v>21852</v>
      </c>
    </row>
    <row r="118" spans="2:10" x14ac:dyDescent="0.25">
      <c r="B118" s="411">
        <v>44531</v>
      </c>
      <c r="C118" s="400">
        <v>2034</v>
      </c>
      <c r="D118" s="400">
        <v>6415</v>
      </c>
      <c r="E118" s="400">
        <v>294</v>
      </c>
      <c r="F118" s="400">
        <v>1037</v>
      </c>
      <c r="G118" s="400">
        <v>5520</v>
      </c>
      <c r="H118" s="400">
        <v>14702</v>
      </c>
      <c r="I118" s="400">
        <v>7848</v>
      </c>
      <c r="J118" s="400">
        <v>22154</v>
      </c>
    </row>
    <row r="119" spans="2:10" x14ac:dyDescent="0.25">
      <c r="B119" s="424" t="s">
        <v>76</v>
      </c>
      <c r="C119" s="428">
        <v>20632</v>
      </c>
      <c r="D119" s="428">
        <v>65541</v>
      </c>
      <c r="E119" s="428">
        <v>2463</v>
      </c>
      <c r="F119" s="428">
        <v>8911</v>
      </c>
      <c r="G119" s="428">
        <v>58584</v>
      </c>
      <c r="H119" s="428">
        <v>158115</v>
      </c>
      <c r="I119" s="428">
        <v>81679</v>
      </c>
      <c r="J119" s="428">
        <v>232567</v>
      </c>
    </row>
    <row r="120" spans="2:10" x14ac:dyDescent="0.25">
      <c r="B120" s="411">
        <v>44562</v>
      </c>
      <c r="C120" s="400">
        <v>2127</v>
      </c>
      <c r="D120" s="400">
        <v>6604</v>
      </c>
      <c r="E120" s="400">
        <v>322</v>
      </c>
      <c r="F120" s="400">
        <v>1143</v>
      </c>
      <c r="G120" s="400">
        <v>5219</v>
      </c>
      <c r="H120" s="400">
        <v>14359</v>
      </c>
      <c r="I120" s="400">
        <v>7668</v>
      </c>
      <c r="J120" s="400">
        <v>22106</v>
      </c>
    </row>
    <row r="121" spans="2:10" x14ac:dyDescent="0.25">
      <c r="B121" s="411">
        <v>44593</v>
      </c>
      <c r="C121" s="400">
        <v>823</v>
      </c>
      <c r="D121" s="400">
        <v>2334</v>
      </c>
      <c r="E121" s="400">
        <v>205</v>
      </c>
      <c r="F121" s="400">
        <v>664</v>
      </c>
      <c r="G121" s="400">
        <v>9346</v>
      </c>
      <c r="H121" s="400">
        <v>23879</v>
      </c>
      <c r="I121" s="400">
        <v>10374</v>
      </c>
      <c r="J121" s="400">
        <v>26877</v>
      </c>
    </row>
    <row r="122" spans="2:10" x14ac:dyDescent="0.25">
      <c r="B122" s="411">
        <v>44621</v>
      </c>
      <c r="C122" s="400">
        <v>2362</v>
      </c>
      <c r="D122" s="400">
        <v>7292</v>
      </c>
      <c r="E122" s="400">
        <v>180</v>
      </c>
      <c r="F122" s="400">
        <v>602</v>
      </c>
      <c r="G122" s="400">
        <v>6973</v>
      </c>
      <c r="H122" s="400">
        <v>17491</v>
      </c>
      <c r="I122" s="400">
        <v>9515</v>
      </c>
      <c r="J122" s="400">
        <v>25385</v>
      </c>
    </row>
    <row r="123" spans="2:10" x14ac:dyDescent="0.25">
      <c r="B123" s="411">
        <v>44652</v>
      </c>
      <c r="C123" s="400">
        <v>4289</v>
      </c>
      <c r="D123" s="400">
        <v>13350</v>
      </c>
      <c r="E123" s="400">
        <v>873</v>
      </c>
      <c r="F123" s="400">
        <v>3126</v>
      </c>
      <c r="G123" s="400">
        <v>6323</v>
      </c>
      <c r="H123" s="400">
        <v>16898</v>
      </c>
      <c r="I123" s="400">
        <v>11485</v>
      </c>
      <c r="J123" s="400">
        <v>33374</v>
      </c>
    </row>
    <row r="124" spans="2:10" x14ac:dyDescent="0.25">
      <c r="B124" s="411">
        <v>44682</v>
      </c>
      <c r="C124" s="400">
        <v>1956</v>
      </c>
      <c r="D124" s="400">
        <v>5953</v>
      </c>
      <c r="E124" s="400">
        <v>514</v>
      </c>
      <c r="F124" s="400">
        <v>1992</v>
      </c>
      <c r="G124" s="400">
        <v>6279</v>
      </c>
      <c r="H124" s="400">
        <v>15696</v>
      </c>
      <c r="I124" s="400">
        <v>8749</v>
      </c>
      <c r="J124" s="400">
        <v>23641</v>
      </c>
    </row>
    <row r="125" spans="2:10" x14ac:dyDescent="0.25">
      <c r="B125" s="411">
        <v>44713</v>
      </c>
      <c r="C125" s="400">
        <v>1649</v>
      </c>
      <c r="D125" s="400">
        <v>5071</v>
      </c>
      <c r="E125" s="400">
        <v>372</v>
      </c>
      <c r="F125" s="400">
        <v>1451</v>
      </c>
      <c r="G125" s="400">
        <v>6680</v>
      </c>
      <c r="H125" s="400">
        <v>17868</v>
      </c>
      <c r="I125" s="400">
        <v>8701</v>
      </c>
      <c r="J125" s="400">
        <v>24390</v>
      </c>
    </row>
    <row r="126" spans="2:10" x14ac:dyDescent="0.25">
      <c r="B126" s="411">
        <v>44743</v>
      </c>
      <c r="C126" s="400">
        <v>1526</v>
      </c>
      <c r="D126" s="400">
        <v>4781</v>
      </c>
      <c r="E126" s="400">
        <v>327</v>
      </c>
      <c r="F126" s="400">
        <v>1197</v>
      </c>
      <c r="G126" s="400">
        <v>5871</v>
      </c>
      <c r="H126" s="400">
        <v>16169</v>
      </c>
      <c r="I126" s="400">
        <v>7724</v>
      </c>
      <c r="J126" s="400">
        <v>22147</v>
      </c>
    </row>
    <row r="127" spans="2:10" x14ac:dyDescent="0.25">
      <c r="B127" s="411">
        <v>44774</v>
      </c>
      <c r="C127" s="400">
        <v>3815</v>
      </c>
      <c r="D127" s="400">
        <v>11553</v>
      </c>
      <c r="E127" s="400">
        <v>768</v>
      </c>
      <c r="F127" s="400">
        <v>2546</v>
      </c>
      <c r="G127" s="400">
        <v>7704</v>
      </c>
      <c r="H127" s="400">
        <v>20253</v>
      </c>
      <c r="I127" s="400">
        <v>12287</v>
      </c>
      <c r="J127" s="400">
        <v>34352</v>
      </c>
    </row>
    <row r="128" spans="2:10" x14ac:dyDescent="0.25">
      <c r="B128" s="411">
        <v>44805</v>
      </c>
      <c r="C128" s="400">
        <v>1554</v>
      </c>
      <c r="D128" s="400">
        <v>4797</v>
      </c>
      <c r="E128" s="400">
        <v>246</v>
      </c>
      <c r="F128" s="400">
        <v>925</v>
      </c>
      <c r="G128" s="400">
        <v>4704</v>
      </c>
      <c r="H128" s="400">
        <v>12244</v>
      </c>
      <c r="I128" s="400">
        <v>6504</v>
      </c>
      <c r="J128" s="400">
        <v>17966</v>
      </c>
    </row>
    <row r="129" spans="2:10" x14ac:dyDescent="0.25">
      <c r="B129" s="411">
        <v>44835</v>
      </c>
      <c r="C129" s="400">
        <v>2371</v>
      </c>
      <c r="D129" s="400">
        <v>7347</v>
      </c>
      <c r="E129" s="400">
        <v>242</v>
      </c>
      <c r="F129" s="400">
        <v>826</v>
      </c>
      <c r="G129" s="400">
        <v>8344</v>
      </c>
      <c r="H129" s="400">
        <v>23067</v>
      </c>
      <c r="I129" s="400">
        <v>10957</v>
      </c>
      <c r="J129" s="400">
        <v>31240</v>
      </c>
    </row>
    <row r="130" spans="2:10" x14ac:dyDescent="0.25">
      <c r="B130" s="411">
        <v>44866</v>
      </c>
      <c r="C130" s="400">
        <v>2730</v>
      </c>
      <c r="D130" s="400">
        <v>8235</v>
      </c>
      <c r="E130" s="400">
        <v>790</v>
      </c>
      <c r="F130" s="400">
        <v>2651</v>
      </c>
      <c r="G130" s="400">
        <v>7647</v>
      </c>
      <c r="H130" s="400">
        <v>20867</v>
      </c>
      <c r="I130" s="400">
        <v>11167</v>
      </c>
      <c r="J130" s="400">
        <v>31753</v>
      </c>
    </row>
    <row r="131" spans="2:10" x14ac:dyDescent="0.25">
      <c r="B131" s="411">
        <v>44896</v>
      </c>
      <c r="C131" s="400">
        <v>2790</v>
      </c>
      <c r="D131" s="400">
        <v>8331</v>
      </c>
      <c r="E131" s="400">
        <v>439</v>
      </c>
      <c r="F131" s="400">
        <v>1454</v>
      </c>
      <c r="G131" s="400">
        <v>7069</v>
      </c>
      <c r="H131" s="400">
        <v>18563</v>
      </c>
      <c r="I131" s="400">
        <v>10298</v>
      </c>
      <c r="J131" s="400">
        <v>28348</v>
      </c>
    </row>
    <row r="132" spans="2:10" x14ac:dyDescent="0.25">
      <c r="B132" s="424" t="s">
        <v>77</v>
      </c>
      <c r="C132" s="428">
        <v>27992</v>
      </c>
      <c r="D132" s="428">
        <v>85648</v>
      </c>
      <c r="E132" s="428">
        <v>5278</v>
      </c>
      <c r="F132" s="428">
        <v>18577</v>
      </c>
      <c r="G132" s="428">
        <v>82159</v>
      </c>
      <c r="H132" s="428">
        <v>217354</v>
      </c>
      <c r="I132" s="428">
        <v>115429</v>
      </c>
      <c r="J132" s="428">
        <v>321579</v>
      </c>
    </row>
    <row r="133" spans="2:10" x14ac:dyDescent="0.25">
      <c r="B133" s="566" t="s">
        <v>7</v>
      </c>
      <c r="C133" s="567"/>
      <c r="D133" s="567"/>
      <c r="E133" s="567"/>
      <c r="F133" s="567"/>
      <c r="G133" s="567"/>
      <c r="H133" s="568"/>
      <c r="I133" s="428">
        <v>919046</v>
      </c>
      <c r="J133" s="428">
        <v>2969628</v>
      </c>
    </row>
    <row r="134" spans="2:10" x14ac:dyDescent="0.25">
      <c r="B134" s="324" t="s">
        <v>922</v>
      </c>
    </row>
  </sheetData>
  <mergeCells count="28">
    <mergeCell ref="B133:H133"/>
    <mergeCell ref="B93:B94"/>
    <mergeCell ref="C93:D93"/>
    <mergeCell ref="E93:F93"/>
    <mergeCell ref="G93:H93"/>
    <mergeCell ref="I93:J93"/>
    <mergeCell ref="B41:C42"/>
    <mergeCell ref="B9:C10"/>
    <mergeCell ref="B11:C12"/>
    <mergeCell ref="B13:C14"/>
    <mergeCell ref="B15:C16"/>
    <mergeCell ref="B17:C18"/>
    <mergeCell ref="B19:C20"/>
    <mergeCell ref="B21:C22"/>
    <mergeCell ref="B23:C24"/>
    <mergeCell ref="B35:C36"/>
    <mergeCell ref="B37:C38"/>
    <mergeCell ref="B39:C40"/>
    <mergeCell ref="B29:C30"/>
    <mergeCell ref="B31:C32"/>
    <mergeCell ref="B33:C34"/>
    <mergeCell ref="G7:H7"/>
    <mergeCell ref="I7:I8"/>
    <mergeCell ref="B25:C26"/>
    <mergeCell ref="B27:C28"/>
    <mergeCell ref="B7:C8"/>
    <mergeCell ref="D7:D8"/>
    <mergeCell ref="E7:F7"/>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A23B0-CEAB-4978-888F-9F840182767E}">
  <sheetPr>
    <tabColor theme="5" tint="0.59999389629810485"/>
  </sheetPr>
  <dimension ref="B1:M19"/>
  <sheetViews>
    <sheetView showGridLines="0" workbookViewId="0">
      <selection activeCell="B13" sqref="B13:M13"/>
    </sheetView>
  </sheetViews>
  <sheetFormatPr baseColWidth="10" defaultRowHeight="15" x14ac:dyDescent="0.25"/>
  <cols>
    <col min="1" max="1" width="14.42578125" customWidth="1"/>
  </cols>
  <sheetData>
    <row r="1" spans="2:13" x14ac:dyDescent="0.25">
      <c r="B1" s="450" t="s">
        <v>781</v>
      </c>
      <c r="C1" s="451"/>
      <c r="D1" s="451"/>
      <c r="E1" s="451"/>
      <c r="F1" s="451"/>
      <c r="G1" s="451"/>
      <c r="H1" s="451"/>
      <c r="I1" s="451"/>
      <c r="J1" s="451"/>
      <c r="K1" s="451"/>
      <c r="L1" s="451"/>
      <c r="M1" s="451"/>
    </row>
    <row r="2" spans="2:13" x14ac:dyDescent="0.25">
      <c r="B2" s="451"/>
      <c r="C2" s="451"/>
      <c r="D2" s="451"/>
      <c r="E2" s="451"/>
      <c r="F2" s="451"/>
      <c r="G2" s="451"/>
      <c r="H2" s="451"/>
      <c r="I2" s="451"/>
      <c r="J2" s="451"/>
      <c r="K2" s="451"/>
      <c r="L2" s="451"/>
      <c r="M2" s="451"/>
    </row>
    <row r="3" spans="2:13" x14ac:dyDescent="0.25">
      <c r="B3" s="451"/>
      <c r="C3" s="451"/>
      <c r="D3" s="451"/>
      <c r="E3" s="451"/>
      <c r="F3" s="451"/>
      <c r="G3" s="451"/>
      <c r="H3" s="451"/>
      <c r="I3" s="451"/>
      <c r="J3" s="451"/>
      <c r="K3" s="451"/>
      <c r="L3" s="451"/>
      <c r="M3" s="451"/>
    </row>
    <row r="4" spans="2:13" x14ac:dyDescent="0.25">
      <c r="B4" s="451"/>
      <c r="C4" s="451"/>
      <c r="D4" s="451"/>
      <c r="E4" s="451"/>
      <c r="F4" s="451"/>
      <c r="G4" s="451"/>
      <c r="H4" s="451"/>
      <c r="I4" s="451"/>
      <c r="J4" s="451"/>
      <c r="K4" s="451"/>
      <c r="L4" s="451"/>
      <c r="M4" s="451"/>
    </row>
    <row r="5" spans="2:13" x14ac:dyDescent="0.25">
      <c r="B5" s="451"/>
      <c r="C5" s="451"/>
      <c r="D5" s="451"/>
      <c r="E5" s="451"/>
      <c r="F5" s="451"/>
      <c r="G5" s="451"/>
      <c r="H5" s="451"/>
      <c r="I5" s="451"/>
      <c r="J5" s="451"/>
      <c r="K5" s="451"/>
      <c r="L5" s="451"/>
      <c r="M5" s="451"/>
    </row>
    <row r="6" spans="2:13" ht="15.75" x14ac:dyDescent="0.25">
      <c r="B6" s="262"/>
      <c r="C6" s="262"/>
      <c r="D6" s="262"/>
      <c r="E6" s="262"/>
      <c r="F6" s="262"/>
      <c r="G6" s="262"/>
      <c r="H6" s="262"/>
      <c r="I6" s="262"/>
      <c r="J6" s="262"/>
      <c r="K6" s="262"/>
      <c r="L6" s="262"/>
      <c r="M6" s="262"/>
    </row>
    <row r="8" spans="2:13" ht="15.75" thickBot="1" x14ac:dyDescent="0.3"/>
    <row r="9" spans="2:13" ht="21.75" thickBot="1" x14ac:dyDescent="0.4">
      <c r="B9" s="572" t="s">
        <v>957</v>
      </c>
      <c r="C9" s="573"/>
      <c r="D9" s="573"/>
      <c r="E9" s="573"/>
      <c r="F9" s="573"/>
      <c r="G9" s="573"/>
      <c r="H9" s="573"/>
      <c r="I9" s="573"/>
      <c r="J9" s="573"/>
      <c r="K9" s="573"/>
      <c r="L9" s="573"/>
      <c r="M9" s="574"/>
    </row>
    <row r="10" spans="2:13" ht="15.75" x14ac:dyDescent="0.25">
      <c r="B10" s="456" t="s">
        <v>894</v>
      </c>
      <c r="C10" s="456"/>
      <c r="D10" s="456"/>
      <c r="E10" s="456"/>
      <c r="F10" s="456"/>
      <c r="G10" s="456"/>
      <c r="H10" s="456"/>
      <c r="I10" s="456"/>
      <c r="J10" s="456"/>
      <c r="K10" s="456"/>
      <c r="L10" s="456"/>
      <c r="M10" s="456"/>
    </row>
    <row r="11" spans="2:13" x14ac:dyDescent="0.25">
      <c r="B11" s="452"/>
      <c r="C11" s="452"/>
      <c r="D11" s="452"/>
      <c r="E11" s="452"/>
      <c r="F11" s="452"/>
      <c r="G11" s="452"/>
      <c r="H11" s="452"/>
      <c r="I11" s="452"/>
      <c r="J11" s="452"/>
      <c r="K11" s="452"/>
      <c r="L11" s="452"/>
      <c r="M11" s="452"/>
    </row>
    <row r="12" spans="2:13" ht="18.75" x14ac:dyDescent="0.3">
      <c r="B12" s="458" t="s">
        <v>958</v>
      </c>
      <c r="C12" s="458"/>
      <c r="D12" s="458"/>
      <c r="E12" s="458"/>
      <c r="F12" s="458"/>
      <c r="G12" s="458"/>
      <c r="H12" s="458"/>
      <c r="I12" s="458"/>
      <c r="J12" s="458"/>
      <c r="K12" s="458"/>
      <c r="L12" s="458"/>
      <c r="M12" s="458"/>
    </row>
    <row r="13" spans="2:13" x14ac:dyDescent="0.25">
      <c r="B13" s="449" t="s">
        <v>959</v>
      </c>
      <c r="C13" s="449"/>
      <c r="D13" s="449"/>
      <c r="E13" s="449"/>
      <c r="F13" s="449"/>
      <c r="G13" s="449"/>
      <c r="H13" s="449"/>
      <c r="I13" s="449"/>
      <c r="J13" s="449"/>
      <c r="K13" s="449"/>
      <c r="L13" s="449"/>
      <c r="M13" s="449"/>
    </row>
    <row r="14" spans="2:13" ht="18.75" x14ac:dyDescent="0.3">
      <c r="B14" s="458" t="s">
        <v>960</v>
      </c>
      <c r="C14" s="458"/>
      <c r="D14" s="458"/>
      <c r="E14" s="458"/>
      <c r="F14" s="458"/>
      <c r="G14" s="458"/>
      <c r="H14" s="458"/>
      <c r="I14" s="458"/>
      <c r="J14" s="458"/>
      <c r="K14" s="458"/>
      <c r="L14" s="458"/>
      <c r="M14" s="458"/>
    </row>
    <row r="15" spans="2:13" x14ac:dyDescent="0.25">
      <c r="B15" s="449" t="s">
        <v>961</v>
      </c>
      <c r="C15" s="449"/>
      <c r="D15" s="449"/>
      <c r="E15" s="449"/>
      <c r="F15" s="449"/>
      <c r="G15" s="449"/>
      <c r="H15" s="449"/>
      <c r="I15" s="449"/>
      <c r="J15" s="449"/>
      <c r="K15" s="449"/>
      <c r="L15" s="449"/>
      <c r="M15" s="449"/>
    </row>
    <row r="16" spans="2:13" x14ac:dyDescent="0.25">
      <c r="B16" s="449" t="s">
        <v>962</v>
      </c>
      <c r="C16" s="449"/>
      <c r="D16" s="449"/>
      <c r="E16" s="449"/>
      <c r="F16" s="449"/>
      <c r="G16" s="449"/>
      <c r="H16" s="449"/>
      <c r="I16" s="449"/>
      <c r="J16" s="449"/>
      <c r="K16" s="449"/>
      <c r="L16" s="449"/>
      <c r="M16" s="449"/>
    </row>
    <row r="17" spans="2:13" ht="18.75" x14ac:dyDescent="0.3">
      <c r="B17" s="458" t="s">
        <v>963</v>
      </c>
      <c r="C17" s="458"/>
      <c r="D17" s="458"/>
      <c r="E17" s="458"/>
      <c r="F17" s="458"/>
      <c r="G17" s="458"/>
      <c r="H17" s="458"/>
      <c r="I17" s="458"/>
      <c r="J17" s="458"/>
      <c r="K17" s="458"/>
      <c r="L17" s="458"/>
      <c r="M17" s="458"/>
    </row>
    <row r="18" spans="2:13" x14ac:dyDescent="0.25">
      <c r="B18" s="449" t="s">
        <v>964</v>
      </c>
      <c r="C18" s="449"/>
      <c r="D18" s="449"/>
      <c r="E18" s="449"/>
      <c r="F18" s="449"/>
      <c r="G18" s="449"/>
      <c r="H18" s="449"/>
      <c r="I18" s="449"/>
      <c r="J18" s="449"/>
      <c r="K18" s="449"/>
      <c r="L18" s="449"/>
      <c r="M18" s="449"/>
    </row>
    <row r="19" spans="2:13" x14ac:dyDescent="0.25">
      <c r="B19" s="449" t="s">
        <v>965</v>
      </c>
      <c r="C19" s="449"/>
      <c r="D19" s="449"/>
      <c r="E19" s="449"/>
      <c r="F19" s="449"/>
      <c r="G19" s="449"/>
      <c r="H19" s="449"/>
      <c r="I19" s="449"/>
      <c r="J19" s="449"/>
      <c r="K19" s="449"/>
      <c r="L19" s="449"/>
      <c r="M19" s="449"/>
    </row>
  </sheetData>
  <mergeCells count="12">
    <mergeCell ref="B19:M19"/>
    <mergeCell ref="B1:M5"/>
    <mergeCell ref="B9:M9"/>
    <mergeCell ref="B10:M10"/>
    <mergeCell ref="B11:M11"/>
    <mergeCell ref="B12:M12"/>
    <mergeCell ref="B14:M14"/>
    <mergeCell ref="B17:M17"/>
    <mergeCell ref="B13:M13"/>
    <mergeCell ref="B15:M15"/>
    <mergeCell ref="B16:M16"/>
    <mergeCell ref="B18:M18"/>
  </mergeCells>
  <hyperlinks>
    <hyperlink ref="B12:M12" location="'4.1'!A1" display="1. Pagos del Subsidio al Trabajador Joven (STJ)" xr:uid="{2C05A9D1-0D43-4F84-B307-0AD2D16959DE}"/>
    <hyperlink ref="B14:M14" location="'4.2'!A1" display="2. Subsidio a la Contratación de Trabajadores Jóvenes" xr:uid="{8186C720-E23B-4F79-A183-2A9289EE638C}"/>
    <hyperlink ref="B17:M17" location="'4.3'!A1" display="3. Subsidio a la Cotización de Trabajadores Jóvenes" xr:uid="{6499BF31-C0CF-4AEA-8F03-EFCBCF719EE8}"/>
    <hyperlink ref="B13:M13" location="'4.1'!B4" display="i. Serie resumen de pagos del subsidio a la contratación y a la cotización de trabajadores jóvenes" xr:uid="{26333266-30FB-4A5D-9776-FE052C73CAFC}"/>
    <hyperlink ref="B15:M15" location="'4.2'!B4" display="i. Serie resumen del total de solicitudes y trabajadores del Subsidio a la Contratación de Trabajadores Jóvenes" xr:uid="{76E44E36-E4AA-4D4A-B1AB-BF75D645B023}"/>
    <hyperlink ref="B16:M16" location="'4.2'!B51" display="ii. Serie resumen del estado de las solicitudes del Subsidio a la Contratación de Trabajadores Jóvenes" xr:uid="{0A466E67-B15E-4A16-A7D0-A012A52BBDCC}"/>
    <hyperlink ref="B18:M18" location="'4.3'!B4" display="i. Serie resumen del total de solicitudes y trabajadores del Subsidio a la Cotización de Trabajadores Jóvenes" xr:uid="{63048BFA-3E13-4455-9F9E-A9F517725979}"/>
    <hyperlink ref="B19:M19" location="'4.3'!B47" display="ii. Serie resumen del estado de las solicitudes del Subsidio a la Cotización de Trabajadores Jóvenes" xr:uid="{C0FAEDC2-5214-4AB3-A87E-9F2F87B0ED65}"/>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BF15F-8843-45E0-AC9B-B8FF3753F618}">
  <sheetPr>
    <tabColor theme="5"/>
  </sheetPr>
  <dimension ref="B2:I48"/>
  <sheetViews>
    <sheetView showGridLines="0" tabSelected="1" topLeftCell="A20" workbookViewId="0">
      <selection activeCell="F52" sqref="F52"/>
    </sheetView>
  </sheetViews>
  <sheetFormatPr baseColWidth="10" defaultRowHeight="15" x14ac:dyDescent="0.25"/>
  <cols>
    <col min="2" max="2" width="14.28515625" customWidth="1"/>
    <col min="3" max="3" width="16.85546875" customWidth="1"/>
    <col min="4" max="4" width="18.7109375" customWidth="1"/>
    <col min="5" max="5" width="13.7109375" customWidth="1"/>
    <col min="6" max="6" width="12.42578125" customWidth="1"/>
    <col min="7" max="7" width="12.5703125" customWidth="1"/>
    <col min="8" max="8" width="13.5703125" customWidth="1"/>
  </cols>
  <sheetData>
    <row r="2" spans="2:9" ht="23.25" x14ac:dyDescent="0.25">
      <c r="B2" s="1" t="s">
        <v>944</v>
      </c>
    </row>
    <row r="4" spans="2:9" ht="18.75" x14ac:dyDescent="0.3">
      <c r="B4" s="2" t="s">
        <v>945</v>
      </c>
      <c r="C4" s="2"/>
      <c r="D4" s="2"/>
      <c r="E4" s="2"/>
      <c r="F4" s="2"/>
      <c r="G4" s="2"/>
      <c r="H4" s="2"/>
      <c r="I4" s="2"/>
    </row>
    <row r="5" spans="2:9" x14ac:dyDescent="0.25">
      <c r="B5" s="31" t="s">
        <v>989</v>
      </c>
    </row>
    <row r="7" spans="2:9" ht="26.25" customHeight="1" x14ac:dyDescent="0.25">
      <c r="B7" s="575" t="s">
        <v>487</v>
      </c>
      <c r="C7" s="576" t="s">
        <v>939</v>
      </c>
      <c r="D7" s="576"/>
      <c r="E7" s="576" t="s">
        <v>940</v>
      </c>
      <c r="F7" s="576"/>
      <c r="G7" s="576"/>
      <c r="H7" s="576"/>
    </row>
    <row r="8" spans="2:9" ht="36.75" customHeight="1" x14ac:dyDescent="0.25">
      <c r="B8" s="575"/>
      <c r="C8" s="575" t="s">
        <v>999</v>
      </c>
      <c r="D8" s="575" t="s">
        <v>1000</v>
      </c>
      <c r="E8" s="581" t="s">
        <v>999</v>
      </c>
      <c r="F8" s="575" t="s">
        <v>1001</v>
      </c>
      <c r="G8" s="575"/>
      <c r="H8" s="575"/>
    </row>
    <row r="9" spans="2:9" ht="30" x14ac:dyDescent="0.25">
      <c r="B9" s="575"/>
      <c r="C9" s="575"/>
      <c r="D9" s="575"/>
      <c r="E9" s="582"/>
      <c r="F9" s="304" t="s">
        <v>941</v>
      </c>
      <c r="G9" s="304" t="s">
        <v>942</v>
      </c>
      <c r="H9" s="304" t="s">
        <v>943</v>
      </c>
    </row>
    <row r="10" spans="2:9" ht="30" x14ac:dyDescent="0.25">
      <c r="B10" s="604" t="s">
        <v>998</v>
      </c>
      <c r="C10" s="430">
        <v>13465.1</v>
      </c>
      <c r="D10" s="430">
        <v>333.1</v>
      </c>
      <c r="E10" s="430"/>
      <c r="F10" s="430"/>
      <c r="G10" s="430"/>
      <c r="H10" s="430"/>
    </row>
    <row r="11" spans="2:9" x14ac:dyDescent="0.25">
      <c r="B11" s="429" t="s">
        <v>759</v>
      </c>
      <c r="C11" s="430">
        <v>8513</v>
      </c>
      <c r="D11" s="430">
        <v>256</v>
      </c>
      <c r="E11" s="430"/>
      <c r="F11" s="430"/>
      <c r="G11" s="430"/>
      <c r="H11" s="430"/>
    </row>
    <row r="12" spans="2:9" x14ac:dyDescent="0.25">
      <c r="B12" s="429" t="s">
        <v>760</v>
      </c>
      <c r="C12" s="430">
        <v>889.08333333333337</v>
      </c>
      <c r="D12" s="430">
        <v>78.083333333333329</v>
      </c>
      <c r="E12" s="430">
        <v>10236.5</v>
      </c>
      <c r="F12" s="430"/>
      <c r="G12" s="430"/>
      <c r="H12" s="430">
        <v>9647.25</v>
      </c>
    </row>
    <row r="13" spans="2:9" x14ac:dyDescent="0.25">
      <c r="B13" s="429" t="s">
        <v>761</v>
      </c>
      <c r="C13" s="430">
        <v>1340.9166666666667</v>
      </c>
      <c r="D13" s="430">
        <v>54.583333333333336</v>
      </c>
      <c r="E13" s="430">
        <v>23280.083333333332</v>
      </c>
      <c r="F13" s="430"/>
      <c r="G13" s="430"/>
      <c r="H13" s="430">
        <v>20683.25</v>
      </c>
    </row>
    <row r="14" spans="2:9" x14ac:dyDescent="0.25">
      <c r="B14" s="429" t="s">
        <v>762</v>
      </c>
      <c r="C14" s="430">
        <v>837</v>
      </c>
      <c r="D14" s="430">
        <v>41.416666666666664</v>
      </c>
      <c r="E14" s="430">
        <v>24404.833333333332</v>
      </c>
      <c r="F14" s="430"/>
      <c r="G14" s="430"/>
      <c r="H14" s="430">
        <v>22014.25</v>
      </c>
    </row>
    <row r="15" spans="2:9" x14ac:dyDescent="0.25">
      <c r="B15" s="429" t="s">
        <v>763</v>
      </c>
      <c r="C15" s="430">
        <v>637.5</v>
      </c>
      <c r="D15" s="430">
        <v>26.583333333333332</v>
      </c>
      <c r="E15" s="430">
        <v>21547.583333333332</v>
      </c>
      <c r="F15" s="430"/>
      <c r="G15" s="430"/>
      <c r="H15" s="430">
        <v>18964.916666666668</v>
      </c>
    </row>
    <row r="16" spans="2:9" x14ac:dyDescent="0.25">
      <c r="B16" s="429" t="s">
        <v>764</v>
      </c>
      <c r="C16" s="430">
        <v>326.33333333333331</v>
      </c>
      <c r="D16" s="430">
        <v>20.666666666666668</v>
      </c>
      <c r="E16" s="430">
        <v>22068.416666666668</v>
      </c>
      <c r="F16" s="430"/>
      <c r="G16" s="430"/>
      <c r="H16" s="430">
        <v>19622.416666666668</v>
      </c>
    </row>
    <row r="17" spans="2:8" x14ac:dyDescent="0.25">
      <c r="B17" s="429" t="s">
        <v>765</v>
      </c>
      <c r="C17" s="430">
        <v>154.75</v>
      </c>
      <c r="D17" s="430">
        <v>18.166666666666668</v>
      </c>
      <c r="E17" s="430">
        <v>8510.1666666666661</v>
      </c>
      <c r="F17" s="430">
        <v>1705.875</v>
      </c>
      <c r="G17" s="430">
        <v>1898.125</v>
      </c>
      <c r="H17" s="430">
        <v>7918.083333333333</v>
      </c>
    </row>
    <row r="18" spans="2:8" x14ac:dyDescent="0.25">
      <c r="B18" s="429" t="s">
        <v>766</v>
      </c>
      <c r="C18" s="430">
        <v>1993.75</v>
      </c>
      <c r="D18" s="430">
        <v>28.333333333333332</v>
      </c>
      <c r="E18" s="430">
        <v>33598.083333333336</v>
      </c>
      <c r="F18" s="430">
        <v>6543.083333333333</v>
      </c>
      <c r="G18" s="430">
        <v>9552.4166666666661</v>
      </c>
      <c r="H18" s="430">
        <v>16095.5</v>
      </c>
    </row>
    <row r="19" spans="2:8" x14ac:dyDescent="0.25">
      <c r="B19" s="429" t="s">
        <v>767</v>
      </c>
      <c r="C19" s="430">
        <v>1143.1666666666667</v>
      </c>
      <c r="D19" s="430">
        <v>48.083333333333336</v>
      </c>
      <c r="E19" s="430">
        <v>20892.916666666668</v>
      </c>
      <c r="F19" s="430">
        <v>9009.0833333333339</v>
      </c>
      <c r="G19" s="430">
        <v>9032.3333333333339</v>
      </c>
      <c r="H19" s="430">
        <v>18041.416666666668</v>
      </c>
    </row>
    <row r="20" spans="2:8" x14ac:dyDescent="0.25">
      <c r="B20" s="429" t="s">
        <v>768</v>
      </c>
      <c r="C20" s="430">
        <v>1018.75</v>
      </c>
      <c r="D20" s="430">
        <v>39.083333333333336</v>
      </c>
      <c r="E20" s="430">
        <v>20193.416666666668</v>
      </c>
      <c r="F20" s="430">
        <v>9991.9166666666661</v>
      </c>
      <c r="G20" s="430">
        <v>8124.083333333333</v>
      </c>
      <c r="H20" s="430">
        <v>18095.25</v>
      </c>
    </row>
    <row r="21" spans="2:8" x14ac:dyDescent="0.25">
      <c r="B21" s="429" t="s">
        <v>769</v>
      </c>
      <c r="C21" s="430">
        <v>514.33333333333337</v>
      </c>
      <c r="D21" s="430">
        <v>32.916666666666664</v>
      </c>
      <c r="E21" s="430">
        <v>18924</v>
      </c>
      <c r="F21" s="430">
        <v>6734.166666666667</v>
      </c>
      <c r="G21" s="430">
        <v>9886.6666666666661</v>
      </c>
      <c r="H21" s="430">
        <v>16620.833333333332</v>
      </c>
    </row>
    <row r="22" spans="2:8" x14ac:dyDescent="0.25">
      <c r="B22" s="412">
        <v>44197</v>
      </c>
      <c r="C22" s="307">
        <v>61</v>
      </c>
      <c r="D22" s="310">
        <v>23</v>
      </c>
      <c r="E22" s="308">
        <v>24914</v>
      </c>
      <c r="F22" s="309">
        <v>8732</v>
      </c>
      <c r="G22" s="309">
        <v>14109</v>
      </c>
      <c r="H22" s="307">
        <v>22841</v>
      </c>
    </row>
    <row r="23" spans="2:8" x14ac:dyDescent="0.25">
      <c r="B23" s="412">
        <v>44228</v>
      </c>
      <c r="C23" s="307">
        <v>52</v>
      </c>
      <c r="D23" s="310">
        <v>18</v>
      </c>
      <c r="E23" s="308">
        <v>25495</v>
      </c>
      <c r="F23" s="309">
        <v>8692</v>
      </c>
      <c r="G23" s="309">
        <v>14503</v>
      </c>
      <c r="H23" s="307">
        <v>23195</v>
      </c>
    </row>
    <row r="24" spans="2:8" x14ac:dyDescent="0.25">
      <c r="B24" s="412">
        <v>44256</v>
      </c>
      <c r="C24" s="307">
        <v>89</v>
      </c>
      <c r="D24" s="310">
        <v>22</v>
      </c>
      <c r="E24" s="308">
        <v>26451</v>
      </c>
      <c r="F24" s="309">
        <v>9196</v>
      </c>
      <c r="G24" s="309">
        <v>14960</v>
      </c>
      <c r="H24" s="307">
        <v>24156</v>
      </c>
    </row>
    <row r="25" spans="2:8" x14ac:dyDescent="0.25">
      <c r="B25" s="412">
        <v>44287</v>
      </c>
      <c r="C25" s="307">
        <v>35</v>
      </c>
      <c r="D25" s="310">
        <v>19</v>
      </c>
      <c r="E25" s="309">
        <v>27062</v>
      </c>
      <c r="F25" s="309">
        <v>9299</v>
      </c>
      <c r="G25" s="309">
        <v>15603</v>
      </c>
      <c r="H25" s="307">
        <v>24902</v>
      </c>
    </row>
    <row r="26" spans="2:8" x14ac:dyDescent="0.25">
      <c r="B26" s="412">
        <v>44317</v>
      </c>
      <c r="C26" s="307">
        <v>43</v>
      </c>
      <c r="D26" s="310">
        <v>18</v>
      </c>
      <c r="E26" s="308">
        <v>30323</v>
      </c>
      <c r="F26" s="309">
        <v>9912</v>
      </c>
      <c r="G26" s="309">
        <v>16497</v>
      </c>
      <c r="H26" s="307">
        <v>26409</v>
      </c>
    </row>
    <row r="27" spans="2:8" x14ac:dyDescent="0.25">
      <c r="B27" s="413">
        <v>44348</v>
      </c>
      <c r="C27" s="307">
        <v>49</v>
      </c>
      <c r="D27" s="310">
        <v>20</v>
      </c>
      <c r="E27" s="309">
        <v>25728</v>
      </c>
      <c r="F27" s="309">
        <v>8894</v>
      </c>
      <c r="G27" s="309">
        <v>14936</v>
      </c>
      <c r="H27" s="307">
        <v>23830</v>
      </c>
    </row>
    <row r="28" spans="2:8" x14ac:dyDescent="0.25">
      <c r="B28" s="412">
        <v>44378</v>
      </c>
      <c r="C28" s="307">
        <v>54</v>
      </c>
      <c r="D28" s="310">
        <v>25</v>
      </c>
      <c r="E28" s="308">
        <v>27581</v>
      </c>
      <c r="F28" s="308">
        <v>9481</v>
      </c>
      <c r="G28" s="308">
        <v>16038</v>
      </c>
      <c r="H28" s="307">
        <v>25519</v>
      </c>
    </row>
    <row r="29" spans="2:8" x14ac:dyDescent="0.25">
      <c r="B29" s="412">
        <v>44409</v>
      </c>
      <c r="C29" s="307">
        <v>36</v>
      </c>
      <c r="D29" s="310">
        <v>24</v>
      </c>
      <c r="E29" s="308">
        <v>28456</v>
      </c>
      <c r="F29" s="308">
        <v>9849</v>
      </c>
      <c r="G29" s="308">
        <v>16277</v>
      </c>
      <c r="H29" s="307">
        <v>26126</v>
      </c>
    </row>
    <row r="30" spans="2:8" x14ac:dyDescent="0.25">
      <c r="B30" s="412">
        <v>44440</v>
      </c>
      <c r="C30" s="307">
        <v>35</v>
      </c>
      <c r="D30" s="310">
        <v>24</v>
      </c>
      <c r="E30" s="308">
        <v>29198</v>
      </c>
      <c r="F30" s="308">
        <v>9726</v>
      </c>
      <c r="G30" s="308">
        <v>16702</v>
      </c>
      <c r="H30" s="307">
        <v>26428</v>
      </c>
    </row>
    <row r="31" spans="2:8" x14ac:dyDescent="0.25">
      <c r="B31" s="412">
        <v>44470</v>
      </c>
      <c r="C31" s="307">
        <v>55</v>
      </c>
      <c r="D31" s="310">
        <v>24</v>
      </c>
      <c r="E31" s="308">
        <v>31131</v>
      </c>
      <c r="F31" s="308">
        <v>10352</v>
      </c>
      <c r="G31" s="308">
        <v>18028</v>
      </c>
      <c r="H31" s="307">
        <v>28380</v>
      </c>
    </row>
    <row r="32" spans="2:8" x14ac:dyDescent="0.25">
      <c r="B32" s="412">
        <v>44501</v>
      </c>
      <c r="C32" s="307">
        <v>45</v>
      </c>
      <c r="D32" s="310">
        <v>18</v>
      </c>
      <c r="E32" s="308">
        <v>30171</v>
      </c>
      <c r="F32" s="308">
        <v>9798</v>
      </c>
      <c r="G32" s="308">
        <v>17755</v>
      </c>
      <c r="H32" s="307">
        <v>27553</v>
      </c>
    </row>
    <row r="33" spans="2:8" x14ac:dyDescent="0.25">
      <c r="B33" s="412">
        <v>44531</v>
      </c>
      <c r="C33" s="307">
        <v>26</v>
      </c>
      <c r="D33" s="310">
        <v>17</v>
      </c>
      <c r="E33" s="308">
        <v>30869</v>
      </c>
      <c r="F33" s="308">
        <v>10052</v>
      </c>
      <c r="G33" s="308">
        <v>18529</v>
      </c>
      <c r="H33" s="307">
        <v>28581</v>
      </c>
    </row>
    <row r="34" spans="2:8" x14ac:dyDescent="0.25">
      <c r="B34" s="429" t="s">
        <v>770</v>
      </c>
      <c r="C34" s="430">
        <v>48.333333333333336</v>
      </c>
      <c r="D34" s="430">
        <v>21</v>
      </c>
      <c r="E34" s="430">
        <v>28114.916666666668</v>
      </c>
      <c r="F34" s="430">
        <v>9498.5833333333339</v>
      </c>
      <c r="G34" s="430">
        <v>16161.416666666666</v>
      </c>
      <c r="H34" s="430">
        <v>25660</v>
      </c>
    </row>
    <row r="35" spans="2:8" x14ac:dyDescent="0.25">
      <c r="B35" s="412">
        <v>44562</v>
      </c>
      <c r="C35" s="307">
        <v>46</v>
      </c>
      <c r="D35" s="310">
        <v>20</v>
      </c>
      <c r="E35" s="308">
        <v>32712</v>
      </c>
      <c r="F35" s="308">
        <v>10458</v>
      </c>
      <c r="G35" s="308">
        <v>19591</v>
      </c>
      <c r="H35" s="307">
        <v>30049</v>
      </c>
    </row>
    <row r="36" spans="2:8" x14ac:dyDescent="0.25">
      <c r="B36" s="412">
        <v>44593</v>
      </c>
      <c r="C36" s="307">
        <v>63</v>
      </c>
      <c r="D36" s="310">
        <v>28</v>
      </c>
      <c r="E36" s="308">
        <v>31230</v>
      </c>
      <c r="F36" s="308">
        <v>9626</v>
      </c>
      <c r="G36" s="308">
        <v>18893</v>
      </c>
      <c r="H36" s="307">
        <v>28519</v>
      </c>
    </row>
    <row r="37" spans="2:8" x14ac:dyDescent="0.25">
      <c r="B37" s="412">
        <v>44621</v>
      </c>
      <c r="C37" s="307">
        <v>118</v>
      </c>
      <c r="D37" s="310">
        <v>46</v>
      </c>
      <c r="E37" s="308">
        <v>31857</v>
      </c>
      <c r="F37" s="308">
        <v>10028</v>
      </c>
      <c r="G37" s="308">
        <v>19428</v>
      </c>
      <c r="H37" s="307">
        <v>29456</v>
      </c>
    </row>
    <row r="38" spans="2:8" x14ac:dyDescent="0.25">
      <c r="B38" s="412">
        <v>44652</v>
      </c>
      <c r="C38" s="307">
        <v>20</v>
      </c>
      <c r="D38" s="310">
        <v>12</v>
      </c>
      <c r="E38" s="308">
        <v>4626</v>
      </c>
      <c r="F38" s="308">
        <v>1247</v>
      </c>
      <c r="G38" s="308">
        <v>2850</v>
      </c>
      <c r="H38" s="307">
        <v>4097</v>
      </c>
    </row>
    <row r="39" spans="2:8" x14ac:dyDescent="0.25">
      <c r="B39" s="412">
        <v>44682</v>
      </c>
      <c r="C39" s="307">
        <v>1528</v>
      </c>
      <c r="D39" s="311">
        <v>104</v>
      </c>
      <c r="E39" s="308">
        <v>52617</v>
      </c>
      <c r="F39" s="308">
        <v>12016</v>
      </c>
      <c r="G39" s="308">
        <v>23615</v>
      </c>
      <c r="H39" s="307">
        <v>35631</v>
      </c>
    </row>
    <row r="40" spans="2:8" x14ac:dyDescent="0.25">
      <c r="B40" s="412">
        <v>44713</v>
      </c>
      <c r="C40" s="307">
        <v>720</v>
      </c>
      <c r="D40" s="311">
        <v>113</v>
      </c>
      <c r="E40" s="308">
        <v>34898</v>
      </c>
      <c r="F40" s="308">
        <v>9940</v>
      </c>
      <c r="G40" s="308">
        <v>19746</v>
      </c>
      <c r="H40" s="307">
        <v>29686</v>
      </c>
    </row>
    <row r="41" spans="2:8" x14ac:dyDescent="0.25">
      <c r="B41" s="412">
        <v>44743</v>
      </c>
      <c r="C41" s="307">
        <v>609</v>
      </c>
      <c r="D41" s="311">
        <v>137</v>
      </c>
      <c r="E41" s="308">
        <v>33331</v>
      </c>
      <c r="F41" s="308">
        <v>20535</v>
      </c>
      <c r="G41" s="308">
        <v>10125</v>
      </c>
      <c r="H41" s="307">
        <v>30660</v>
      </c>
    </row>
    <row r="42" spans="2:8" x14ac:dyDescent="0.25">
      <c r="B42" s="412">
        <v>44774</v>
      </c>
      <c r="C42" s="312">
        <v>323</v>
      </c>
      <c r="D42" s="313">
        <v>128</v>
      </c>
      <c r="E42" s="314">
        <v>32908</v>
      </c>
      <c r="F42" s="314">
        <v>20415</v>
      </c>
      <c r="G42" s="314">
        <v>10040</v>
      </c>
      <c r="H42" s="312">
        <v>30455</v>
      </c>
    </row>
    <row r="43" spans="2:8" x14ac:dyDescent="0.25">
      <c r="B43" s="412">
        <v>44805</v>
      </c>
      <c r="C43" s="315">
        <v>282</v>
      </c>
      <c r="D43" s="315">
        <v>117</v>
      </c>
      <c r="E43" s="315">
        <v>34010</v>
      </c>
      <c r="F43" s="315">
        <v>20999</v>
      </c>
      <c r="G43" s="315">
        <v>10341</v>
      </c>
      <c r="H43" s="315">
        <v>31340</v>
      </c>
    </row>
    <row r="44" spans="2:8" x14ac:dyDescent="0.25">
      <c r="B44" s="412">
        <v>44835</v>
      </c>
      <c r="C44" s="315">
        <v>260</v>
      </c>
      <c r="D44" s="315">
        <v>116</v>
      </c>
      <c r="E44" s="315">
        <v>35879</v>
      </c>
      <c r="F44" s="315">
        <v>22543</v>
      </c>
      <c r="G44" s="315">
        <v>10893</v>
      </c>
      <c r="H44" s="315">
        <v>33436</v>
      </c>
    </row>
    <row r="45" spans="2:8" x14ac:dyDescent="0.25">
      <c r="B45" s="412">
        <v>44866</v>
      </c>
      <c r="C45" s="315">
        <v>215</v>
      </c>
      <c r="D45" s="315">
        <v>99</v>
      </c>
      <c r="E45" s="315">
        <v>35422</v>
      </c>
      <c r="F45" s="315">
        <v>21747</v>
      </c>
      <c r="G45" s="315">
        <v>10570</v>
      </c>
      <c r="H45" s="315">
        <v>32317</v>
      </c>
    </row>
    <row r="46" spans="2:8" x14ac:dyDescent="0.25">
      <c r="B46" s="412">
        <v>44896</v>
      </c>
      <c r="C46" s="315">
        <v>198</v>
      </c>
      <c r="D46" s="315">
        <v>103</v>
      </c>
      <c r="E46" s="315">
        <v>36687</v>
      </c>
      <c r="F46" s="315">
        <v>23077</v>
      </c>
      <c r="G46" s="315">
        <v>10925</v>
      </c>
      <c r="H46" s="315">
        <v>34002</v>
      </c>
    </row>
    <row r="47" spans="2:8" x14ac:dyDescent="0.25">
      <c r="B47" s="429" t="s">
        <v>771</v>
      </c>
      <c r="C47" s="430">
        <v>365.16666666666669</v>
      </c>
      <c r="D47" s="430">
        <v>85.25</v>
      </c>
      <c r="E47" s="430">
        <v>33014.75</v>
      </c>
      <c r="F47" s="430">
        <v>15219.25</v>
      </c>
      <c r="G47" s="430">
        <v>13918.083333333334</v>
      </c>
      <c r="H47" s="430">
        <v>29137.333333333332</v>
      </c>
    </row>
    <row r="48" spans="2:8" x14ac:dyDescent="0.25">
      <c r="B48" s="324" t="s">
        <v>922</v>
      </c>
    </row>
  </sheetData>
  <mergeCells count="7">
    <mergeCell ref="B7:B9"/>
    <mergeCell ref="C7:D7"/>
    <mergeCell ref="E7:H7"/>
    <mergeCell ref="C8:C9"/>
    <mergeCell ref="D8:D9"/>
    <mergeCell ref="E8:E9"/>
    <mergeCell ref="F8:H8"/>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8D66E-33C4-469B-A43C-E279700A063C}">
  <sheetPr>
    <tabColor theme="5"/>
  </sheetPr>
  <dimension ref="B2:L91"/>
  <sheetViews>
    <sheetView showGridLines="0" workbookViewId="0">
      <selection activeCell="I35" sqref="I35"/>
    </sheetView>
  </sheetViews>
  <sheetFormatPr baseColWidth="10" defaultRowHeight="15" x14ac:dyDescent="0.25"/>
  <cols>
    <col min="2" max="2" width="15.140625" customWidth="1"/>
    <col min="3" max="3" width="15.85546875" customWidth="1"/>
    <col min="4" max="4" width="12.85546875" customWidth="1"/>
    <col min="5" max="5" width="13" customWidth="1"/>
  </cols>
  <sheetData>
    <row r="2" spans="2:12" ht="23.25" x14ac:dyDescent="0.25">
      <c r="B2" s="1" t="s">
        <v>947</v>
      </c>
    </row>
    <row r="4" spans="2:12" ht="18.75" x14ac:dyDescent="0.3">
      <c r="B4" s="2" t="s">
        <v>948</v>
      </c>
      <c r="C4" s="2"/>
      <c r="D4" s="2"/>
      <c r="E4" s="2"/>
      <c r="F4" s="2"/>
      <c r="G4" s="2"/>
      <c r="H4" s="2"/>
      <c r="I4" s="2"/>
      <c r="J4" s="2"/>
      <c r="K4" s="2"/>
      <c r="L4" s="2"/>
    </row>
    <row r="5" spans="2:12" x14ac:dyDescent="0.25">
      <c r="B5" s="31" t="s">
        <v>990</v>
      </c>
    </row>
    <row r="7" spans="2:12" ht="15" customHeight="1" x14ac:dyDescent="0.25">
      <c r="B7" s="581" t="s">
        <v>487</v>
      </c>
      <c r="C7" s="575" t="s">
        <v>502</v>
      </c>
      <c r="D7" s="578" t="s">
        <v>943</v>
      </c>
      <c r="E7" s="579"/>
      <c r="F7" s="580"/>
    </row>
    <row r="8" spans="2:12" x14ac:dyDescent="0.25">
      <c r="B8" s="582"/>
      <c r="C8" s="575"/>
      <c r="D8" s="304" t="s">
        <v>87</v>
      </c>
      <c r="E8" s="304" t="s">
        <v>88</v>
      </c>
      <c r="F8" s="304" t="s">
        <v>609</v>
      </c>
    </row>
    <row r="9" spans="2:12" x14ac:dyDescent="0.25">
      <c r="B9" s="414" t="s">
        <v>946</v>
      </c>
      <c r="C9" s="401">
        <v>333</v>
      </c>
      <c r="D9" s="401"/>
      <c r="E9" s="401"/>
      <c r="F9" s="401"/>
    </row>
    <row r="10" spans="2:12" x14ac:dyDescent="0.25">
      <c r="B10" s="415" t="s">
        <v>39</v>
      </c>
      <c r="C10" s="401">
        <v>2105</v>
      </c>
      <c r="D10" s="401"/>
      <c r="E10" s="401"/>
      <c r="F10" s="401"/>
    </row>
    <row r="11" spans="2:12" x14ac:dyDescent="0.25">
      <c r="B11" s="415" t="s">
        <v>40</v>
      </c>
      <c r="C11" s="401">
        <v>1759</v>
      </c>
      <c r="D11" s="401"/>
      <c r="E11" s="401"/>
      <c r="F11" s="401"/>
    </row>
    <row r="12" spans="2:12" x14ac:dyDescent="0.25">
      <c r="B12" s="415" t="s">
        <v>41</v>
      </c>
      <c r="C12" s="402">
        <v>1026</v>
      </c>
      <c r="D12" s="402"/>
      <c r="E12" s="402"/>
      <c r="F12" s="402"/>
    </row>
    <row r="13" spans="2:12" x14ac:dyDescent="0.25">
      <c r="B13" s="415" t="s">
        <v>928</v>
      </c>
      <c r="C13" s="402">
        <v>807</v>
      </c>
      <c r="D13" s="402"/>
      <c r="E13" s="402"/>
      <c r="F13" s="402">
        <v>75178</v>
      </c>
    </row>
    <row r="14" spans="2:12" x14ac:dyDescent="0.25">
      <c r="B14" s="415" t="s">
        <v>45</v>
      </c>
      <c r="C14" s="401">
        <v>654</v>
      </c>
      <c r="D14" s="401"/>
      <c r="E14" s="401"/>
      <c r="F14" s="401">
        <v>114198</v>
      </c>
    </row>
    <row r="15" spans="2:12" x14ac:dyDescent="0.25">
      <c r="B15" s="415" t="s">
        <v>47</v>
      </c>
      <c r="C15" s="401">
        <v>513</v>
      </c>
      <c r="D15" s="401"/>
      <c r="E15" s="401"/>
      <c r="F15" s="401">
        <v>53853</v>
      </c>
    </row>
    <row r="16" spans="2:12" x14ac:dyDescent="0.25">
      <c r="B16" s="415" t="s">
        <v>49</v>
      </c>
      <c r="C16" s="401">
        <v>437</v>
      </c>
      <c r="D16" s="401"/>
      <c r="E16" s="401"/>
      <c r="F16" s="401">
        <v>26690</v>
      </c>
    </row>
    <row r="17" spans="2:6" x14ac:dyDescent="0.25">
      <c r="B17" s="415" t="s">
        <v>66</v>
      </c>
      <c r="C17" s="401">
        <v>481</v>
      </c>
      <c r="D17" s="401"/>
      <c r="E17" s="401"/>
      <c r="F17" s="401">
        <v>33713</v>
      </c>
    </row>
    <row r="18" spans="2:6" x14ac:dyDescent="0.25">
      <c r="B18" s="415" t="s">
        <v>69</v>
      </c>
      <c r="C18" s="401">
        <v>440</v>
      </c>
      <c r="D18" s="401">
        <v>11005</v>
      </c>
      <c r="E18" s="401">
        <v>8520</v>
      </c>
      <c r="F18" s="401">
        <v>19525</v>
      </c>
    </row>
    <row r="19" spans="2:6" x14ac:dyDescent="0.25">
      <c r="B19" s="415" t="s">
        <v>70</v>
      </c>
      <c r="C19" s="401">
        <v>578</v>
      </c>
      <c r="D19" s="401">
        <v>13715</v>
      </c>
      <c r="E19" s="401">
        <v>10369</v>
      </c>
      <c r="F19" s="401">
        <v>24084</v>
      </c>
    </row>
    <row r="20" spans="2:6" x14ac:dyDescent="0.25">
      <c r="B20" s="415" t="s">
        <v>71</v>
      </c>
      <c r="C20" s="401">
        <v>737</v>
      </c>
      <c r="D20" s="401">
        <v>10773</v>
      </c>
      <c r="E20" s="401">
        <v>8604</v>
      </c>
      <c r="F20" s="401">
        <v>19377</v>
      </c>
    </row>
    <row r="21" spans="2:6" x14ac:dyDescent="0.25">
      <c r="B21" s="415" t="s">
        <v>75</v>
      </c>
      <c r="C21" s="401">
        <v>457</v>
      </c>
      <c r="D21" s="401">
        <v>6047</v>
      </c>
      <c r="E21" s="401">
        <v>5903</v>
      </c>
      <c r="F21" s="401">
        <v>11950</v>
      </c>
    </row>
    <row r="22" spans="2:6" x14ac:dyDescent="0.25">
      <c r="B22" s="416">
        <v>44197</v>
      </c>
      <c r="C22" s="403">
        <v>21</v>
      </c>
      <c r="D22" s="403">
        <v>863</v>
      </c>
      <c r="E22" s="403">
        <v>646</v>
      </c>
      <c r="F22" s="403">
        <v>1509</v>
      </c>
    </row>
    <row r="23" spans="2:6" x14ac:dyDescent="0.25">
      <c r="B23" s="416">
        <v>44228</v>
      </c>
      <c r="C23" s="403">
        <v>12</v>
      </c>
      <c r="D23" s="403">
        <v>504</v>
      </c>
      <c r="E23" s="403">
        <v>400</v>
      </c>
      <c r="F23" s="403">
        <v>904</v>
      </c>
    </row>
    <row r="24" spans="2:6" x14ac:dyDescent="0.25">
      <c r="B24" s="416">
        <v>44256</v>
      </c>
      <c r="C24" s="403">
        <v>17</v>
      </c>
      <c r="D24" s="403">
        <v>371</v>
      </c>
      <c r="E24" s="403">
        <v>245</v>
      </c>
      <c r="F24" s="403">
        <v>616</v>
      </c>
    </row>
    <row r="25" spans="2:6" x14ac:dyDescent="0.25">
      <c r="B25" s="416">
        <v>44287</v>
      </c>
      <c r="C25" s="403">
        <v>9</v>
      </c>
      <c r="D25" s="403">
        <v>304</v>
      </c>
      <c r="E25" s="403">
        <v>210</v>
      </c>
      <c r="F25" s="403">
        <v>514</v>
      </c>
    </row>
    <row r="26" spans="2:6" x14ac:dyDescent="0.25">
      <c r="B26" s="416">
        <v>44317</v>
      </c>
      <c r="C26" s="403">
        <v>37</v>
      </c>
      <c r="D26" s="403">
        <v>321</v>
      </c>
      <c r="E26" s="403">
        <v>719</v>
      </c>
      <c r="F26" s="403">
        <v>1040</v>
      </c>
    </row>
    <row r="27" spans="2:6" x14ac:dyDescent="0.25">
      <c r="B27" s="416">
        <v>44348</v>
      </c>
      <c r="C27" s="403">
        <v>54</v>
      </c>
      <c r="D27" s="403">
        <v>420</v>
      </c>
      <c r="E27" s="403">
        <v>429</v>
      </c>
      <c r="F27" s="403">
        <v>849</v>
      </c>
    </row>
    <row r="28" spans="2:6" x14ac:dyDescent="0.25">
      <c r="B28" s="416">
        <v>44378</v>
      </c>
      <c r="C28" s="403">
        <v>14</v>
      </c>
      <c r="D28" s="403">
        <v>83</v>
      </c>
      <c r="E28" s="403">
        <v>65</v>
      </c>
      <c r="F28" s="403">
        <v>148</v>
      </c>
    </row>
    <row r="29" spans="2:6" x14ac:dyDescent="0.25">
      <c r="B29" s="416">
        <v>44409</v>
      </c>
      <c r="C29" s="403">
        <v>50</v>
      </c>
      <c r="D29" s="403">
        <v>526</v>
      </c>
      <c r="E29" s="403">
        <v>488</v>
      </c>
      <c r="F29" s="403">
        <v>1014</v>
      </c>
    </row>
    <row r="30" spans="2:6" x14ac:dyDescent="0.25">
      <c r="B30" s="416">
        <v>44440</v>
      </c>
      <c r="C30" s="403">
        <v>17</v>
      </c>
      <c r="D30" s="403">
        <v>200</v>
      </c>
      <c r="E30" s="403">
        <v>159</v>
      </c>
      <c r="F30" s="403">
        <v>359</v>
      </c>
    </row>
    <row r="31" spans="2:6" x14ac:dyDescent="0.25">
      <c r="B31" s="416">
        <v>44470</v>
      </c>
      <c r="C31" s="403">
        <v>17</v>
      </c>
      <c r="D31" s="403">
        <v>244</v>
      </c>
      <c r="E31" s="403">
        <v>174</v>
      </c>
      <c r="F31" s="403">
        <v>418</v>
      </c>
    </row>
    <row r="32" spans="2:6" x14ac:dyDescent="0.25">
      <c r="B32" s="416">
        <v>44501</v>
      </c>
      <c r="C32" s="403">
        <v>13</v>
      </c>
      <c r="D32" s="403">
        <v>138</v>
      </c>
      <c r="E32" s="403">
        <v>158</v>
      </c>
      <c r="F32" s="403">
        <v>296</v>
      </c>
    </row>
    <row r="33" spans="2:6" x14ac:dyDescent="0.25">
      <c r="B33" s="416">
        <v>44531</v>
      </c>
      <c r="C33" s="403">
        <v>35</v>
      </c>
      <c r="D33" s="403">
        <v>241</v>
      </c>
      <c r="E33" s="403">
        <v>258</v>
      </c>
      <c r="F33" s="403">
        <v>499</v>
      </c>
    </row>
    <row r="34" spans="2:6" x14ac:dyDescent="0.25">
      <c r="B34" s="280" t="s">
        <v>76</v>
      </c>
      <c r="C34" s="431">
        <v>296</v>
      </c>
      <c r="D34" s="431">
        <v>4215</v>
      </c>
      <c r="E34" s="431">
        <v>3951</v>
      </c>
      <c r="F34" s="431">
        <v>8166</v>
      </c>
    </row>
    <row r="35" spans="2:6" x14ac:dyDescent="0.25">
      <c r="B35" s="416">
        <v>44562</v>
      </c>
      <c r="C35" s="403">
        <v>52</v>
      </c>
      <c r="D35" s="403">
        <v>987</v>
      </c>
      <c r="E35" s="403">
        <v>892</v>
      </c>
      <c r="F35" s="403">
        <v>1879</v>
      </c>
    </row>
    <row r="36" spans="2:6" x14ac:dyDescent="0.25">
      <c r="B36" s="416">
        <v>44593</v>
      </c>
      <c r="C36" s="403">
        <v>47</v>
      </c>
      <c r="D36" s="403">
        <v>751</v>
      </c>
      <c r="E36" s="403">
        <v>629</v>
      </c>
      <c r="F36" s="403">
        <v>1380</v>
      </c>
    </row>
    <row r="37" spans="2:6" x14ac:dyDescent="0.25">
      <c r="B37" s="416">
        <v>44621</v>
      </c>
      <c r="C37" s="403">
        <v>69</v>
      </c>
      <c r="D37" s="403">
        <v>383</v>
      </c>
      <c r="E37" s="403">
        <v>358</v>
      </c>
      <c r="F37" s="403">
        <v>741</v>
      </c>
    </row>
    <row r="38" spans="2:6" x14ac:dyDescent="0.25">
      <c r="B38" s="416">
        <v>44652</v>
      </c>
      <c r="C38" s="403">
        <v>75</v>
      </c>
      <c r="D38" s="403">
        <v>425</v>
      </c>
      <c r="E38" s="403">
        <v>381</v>
      </c>
      <c r="F38" s="403">
        <v>806</v>
      </c>
    </row>
    <row r="39" spans="2:6" x14ac:dyDescent="0.25">
      <c r="B39" s="416">
        <v>44682</v>
      </c>
      <c r="C39" s="403">
        <v>80</v>
      </c>
      <c r="D39" s="403">
        <v>426</v>
      </c>
      <c r="E39" s="403">
        <v>325</v>
      </c>
      <c r="F39" s="403">
        <v>751</v>
      </c>
    </row>
    <row r="40" spans="2:6" x14ac:dyDescent="0.25">
      <c r="B40" s="416">
        <v>44713</v>
      </c>
      <c r="C40" s="403">
        <v>51</v>
      </c>
      <c r="D40" s="403">
        <v>361</v>
      </c>
      <c r="E40" s="403">
        <v>295</v>
      </c>
      <c r="F40" s="403">
        <v>656</v>
      </c>
    </row>
    <row r="41" spans="2:6" x14ac:dyDescent="0.25">
      <c r="B41" s="416">
        <v>44743</v>
      </c>
      <c r="C41" s="403">
        <v>38</v>
      </c>
      <c r="D41" s="403">
        <v>482</v>
      </c>
      <c r="E41" s="403">
        <v>401</v>
      </c>
      <c r="F41" s="403">
        <v>883</v>
      </c>
    </row>
    <row r="42" spans="2:6" x14ac:dyDescent="0.25">
      <c r="B42" s="416">
        <v>44774</v>
      </c>
      <c r="C42" s="403">
        <v>35</v>
      </c>
      <c r="D42" s="403">
        <v>909</v>
      </c>
      <c r="E42" s="403">
        <v>570</v>
      </c>
      <c r="F42" s="403">
        <v>1479</v>
      </c>
    </row>
    <row r="43" spans="2:6" x14ac:dyDescent="0.25">
      <c r="B43" s="416">
        <v>44805</v>
      </c>
      <c r="C43" s="403">
        <v>20</v>
      </c>
      <c r="D43" s="403">
        <v>387</v>
      </c>
      <c r="E43" s="403">
        <v>319</v>
      </c>
      <c r="F43" s="403">
        <v>706</v>
      </c>
    </row>
    <row r="44" spans="2:6" x14ac:dyDescent="0.25">
      <c r="B44" s="416">
        <v>44835</v>
      </c>
      <c r="C44" s="403">
        <v>33</v>
      </c>
      <c r="D44" s="403">
        <v>504</v>
      </c>
      <c r="E44" s="403">
        <v>459</v>
      </c>
      <c r="F44" s="403">
        <v>963</v>
      </c>
    </row>
    <row r="45" spans="2:6" x14ac:dyDescent="0.25">
      <c r="B45" s="416">
        <v>44866</v>
      </c>
      <c r="C45" s="403">
        <v>53</v>
      </c>
      <c r="D45" s="403">
        <v>204</v>
      </c>
      <c r="E45" s="403">
        <v>266</v>
      </c>
      <c r="F45" s="403">
        <v>470</v>
      </c>
    </row>
    <row r="46" spans="2:6" x14ac:dyDescent="0.25">
      <c r="B46" s="416">
        <v>44896</v>
      </c>
      <c r="C46" s="403">
        <v>49</v>
      </c>
      <c r="D46" s="403">
        <v>219</v>
      </c>
      <c r="E46" s="403">
        <v>281</v>
      </c>
      <c r="F46" s="403">
        <v>500</v>
      </c>
    </row>
    <row r="47" spans="2:6" x14ac:dyDescent="0.25">
      <c r="B47" s="280" t="s">
        <v>77</v>
      </c>
      <c r="C47" s="431">
        <v>602</v>
      </c>
      <c r="D47" s="431">
        <v>6038</v>
      </c>
      <c r="E47" s="431">
        <v>5176</v>
      </c>
      <c r="F47" s="431">
        <v>11214</v>
      </c>
    </row>
    <row r="48" spans="2:6" x14ac:dyDescent="0.25">
      <c r="B48" s="280" t="s">
        <v>7</v>
      </c>
      <c r="C48" s="340">
        <f>C9+C10+C11+C12+C13+C14+C15+C16+C17+C18+C19+C20+C21+C34+C47</f>
        <v>11225</v>
      </c>
      <c r="D48" s="340">
        <f>D9+D10+D11+D12+D13+D14+D15+D16+D17+D18+D19+D20+D21+D34+D47</f>
        <v>51793</v>
      </c>
      <c r="E48" s="340">
        <f>E9+E10+E11+E12+E13+E14+E15+E16+E17+E18+E19+E20+E21+E34+E47</f>
        <v>42523</v>
      </c>
      <c r="F48" s="340">
        <f>F9+F10+F11+F12+F13+F14+F15+F16+F17+F18+F19+F20+F21+F34+F47</f>
        <v>397948</v>
      </c>
    </row>
    <row r="49" spans="2:11" x14ac:dyDescent="0.25">
      <c r="B49" s="324" t="s">
        <v>922</v>
      </c>
    </row>
    <row r="51" spans="2:11" ht="18.75" x14ac:dyDescent="0.3">
      <c r="B51" s="2" t="s">
        <v>951</v>
      </c>
      <c r="C51" s="2"/>
      <c r="D51" s="2"/>
      <c r="E51" s="2"/>
      <c r="F51" s="2"/>
      <c r="G51" s="2"/>
      <c r="H51" s="2"/>
      <c r="I51" s="2"/>
      <c r="J51" s="2"/>
      <c r="K51" s="2"/>
    </row>
    <row r="52" spans="2:11" x14ac:dyDescent="0.25">
      <c r="B52" s="3" t="s">
        <v>991</v>
      </c>
    </row>
    <row r="54" spans="2:11" x14ac:dyDescent="0.25">
      <c r="B54" s="576" t="s">
        <v>487</v>
      </c>
      <c r="C54" s="464" t="s">
        <v>753</v>
      </c>
      <c r="D54" s="464"/>
      <c r="E54" s="464"/>
      <c r="F54" s="577" t="s">
        <v>949</v>
      </c>
    </row>
    <row r="55" spans="2:11" x14ac:dyDescent="0.25">
      <c r="B55" s="576"/>
      <c r="C55" s="317" t="s">
        <v>23</v>
      </c>
      <c r="D55" s="317" t="s">
        <v>24</v>
      </c>
      <c r="E55" s="317" t="s">
        <v>950</v>
      </c>
      <c r="F55" s="577"/>
    </row>
    <row r="56" spans="2:11" x14ac:dyDescent="0.25">
      <c r="B56" s="432" t="s">
        <v>928</v>
      </c>
      <c r="C56" s="431">
        <v>114</v>
      </c>
      <c r="D56" s="431">
        <v>539</v>
      </c>
      <c r="E56" s="335">
        <v>154</v>
      </c>
      <c r="F56" s="431">
        <v>807</v>
      </c>
    </row>
    <row r="57" spans="2:11" x14ac:dyDescent="0.25">
      <c r="B57" s="432" t="s">
        <v>45</v>
      </c>
      <c r="C57" s="431">
        <v>74</v>
      </c>
      <c r="D57" s="431">
        <v>430</v>
      </c>
      <c r="E57" s="335">
        <v>150</v>
      </c>
      <c r="F57" s="335">
        <v>654</v>
      </c>
    </row>
    <row r="58" spans="2:11" x14ac:dyDescent="0.25">
      <c r="B58" s="432" t="s">
        <v>47</v>
      </c>
      <c r="C58" s="431">
        <v>53</v>
      </c>
      <c r="D58" s="431">
        <v>347</v>
      </c>
      <c r="E58" s="335">
        <v>113</v>
      </c>
      <c r="F58" s="431">
        <v>513</v>
      </c>
    </row>
    <row r="59" spans="2:11" x14ac:dyDescent="0.25">
      <c r="B59" s="432" t="s">
        <v>49</v>
      </c>
      <c r="C59" s="431">
        <v>50</v>
      </c>
      <c r="D59" s="431">
        <v>281</v>
      </c>
      <c r="E59" s="431">
        <v>106</v>
      </c>
      <c r="F59" s="431">
        <v>437</v>
      </c>
    </row>
    <row r="60" spans="2:11" x14ac:dyDescent="0.25">
      <c r="B60" s="432" t="s">
        <v>66</v>
      </c>
      <c r="C60" s="431">
        <v>131</v>
      </c>
      <c r="D60" s="431">
        <v>207</v>
      </c>
      <c r="E60" s="431">
        <v>143</v>
      </c>
      <c r="F60" s="431">
        <v>481</v>
      </c>
    </row>
    <row r="61" spans="2:11" x14ac:dyDescent="0.25">
      <c r="B61" s="432" t="s">
        <v>69</v>
      </c>
      <c r="C61" s="431">
        <v>107</v>
      </c>
      <c r="D61" s="431">
        <v>188</v>
      </c>
      <c r="E61" s="431">
        <v>145</v>
      </c>
      <c r="F61" s="431">
        <v>440</v>
      </c>
    </row>
    <row r="62" spans="2:11" x14ac:dyDescent="0.25">
      <c r="B62" s="432" t="s">
        <v>70</v>
      </c>
      <c r="C62" s="431">
        <v>178</v>
      </c>
      <c r="D62" s="431">
        <v>278</v>
      </c>
      <c r="E62" s="431">
        <v>122</v>
      </c>
      <c r="F62" s="431">
        <v>578</v>
      </c>
    </row>
    <row r="63" spans="2:11" x14ac:dyDescent="0.25">
      <c r="B63" s="432" t="s">
        <v>71</v>
      </c>
      <c r="C63" s="431">
        <v>185</v>
      </c>
      <c r="D63" s="431">
        <v>496</v>
      </c>
      <c r="E63" s="431">
        <v>56</v>
      </c>
      <c r="F63" s="431">
        <v>737</v>
      </c>
    </row>
    <row r="64" spans="2:11" x14ac:dyDescent="0.25">
      <c r="B64" s="434" t="s">
        <v>75</v>
      </c>
      <c r="C64" s="431">
        <v>46</v>
      </c>
      <c r="D64" s="431">
        <v>317</v>
      </c>
      <c r="E64" s="431">
        <v>94</v>
      </c>
      <c r="F64" s="431">
        <v>457</v>
      </c>
    </row>
    <row r="65" spans="2:6" x14ac:dyDescent="0.25">
      <c r="B65" s="318">
        <v>44197</v>
      </c>
      <c r="C65" s="404">
        <v>1</v>
      </c>
      <c r="D65" s="404">
        <v>19</v>
      </c>
      <c r="E65" s="404">
        <v>1</v>
      </c>
      <c r="F65" s="435">
        <v>21</v>
      </c>
    </row>
    <row r="66" spans="2:6" x14ac:dyDescent="0.25">
      <c r="B66" s="318">
        <v>44228</v>
      </c>
      <c r="C66" s="404">
        <v>0</v>
      </c>
      <c r="D66" s="404">
        <v>12</v>
      </c>
      <c r="E66" s="404">
        <v>0</v>
      </c>
      <c r="F66" s="435">
        <v>12</v>
      </c>
    </row>
    <row r="67" spans="2:6" x14ac:dyDescent="0.25">
      <c r="B67" s="318">
        <v>44256</v>
      </c>
      <c r="C67" s="404">
        <v>2</v>
      </c>
      <c r="D67" s="404">
        <v>13</v>
      </c>
      <c r="E67" s="404">
        <v>2</v>
      </c>
      <c r="F67" s="435">
        <v>17</v>
      </c>
    </row>
    <row r="68" spans="2:6" x14ac:dyDescent="0.25">
      <c r="B68" s="318">
        <v>44287</v>
      </c>
      <c r="C68" s="404">
        <v>0</v>
      </c>
      <c r="D68" s="404">
        <v>9</v>
      </c>
      <c r="E68" s="404">
        <v>0</v>
      </c>
      <c r="F68" s="435">
        <v>9</v>
      </c>
    </row>
    <row r="69" spans="2:6" x14ac:dyDescent="0.25">
      <c r="B69" s="318">
        <v>44317</v>
      </c>
      <c r="C69" s="404">
        <v>1</v>
      </c>
      <c r="D69" s="404">
        <v>28</v>
      </c>
      <c r="E69" s="404">
        <v>8</v>
      </c>
      <c r="F69" s="435">
        <v>37</v>
      </c>
    </row>
    <row r="70" spans="2:6" x14ac:dyDescent="0.25">
      <c r="B70" s="318">
        <v>44348</v>
      </c>
      <c r="C70" s="404">
        <v>3</v>
      </c>
      <c r="D70" s="404">
        <v>35</v>
      </c>
      <c r="E70" s="404">
        <v>16</v>
      </c>
      <c r="F70" s="435">
        <v>54</v>
      </c>
    </row>
    <row r="71" spans="2:6" x14ac:dyDescent="0.25">
      <c r="B71" s="318">
        <v>44378</v>
      </c>
      <c r="C71" s="404">
        <v>4</v>
      </c>
      <c r="D71" s="404">
        <v>9</v>
      </c>
      <c r="E71" s="404">
        <v>1</v>
      </c>
      <c r="F71" s="435">
        <v>14</v>
      </c>
    </row>
    <row r="72" spans="2:6" x14ac:dyDescent="0.25">
      <c r="B72" s="318">
        <v>44409</v>
      </c>
      <c r="C72" s="404">
        <v>1</v>
      </c>
      <c r="D72" s="404">
        <v>38</v>
      </c>
      <c r="E72" s="404">
        <v>11</v>
      </c>
      <c r="F72" s="435">
        <v>50</v>
      </c>
    </row>
    <row r="73" spans="2:6" x14ac:dyDescent="0.25">
      <c r="B73" s="318">
        <v>44440</v>
      </c>
      <c r="C73" s="404">
        <v>2</v>
      </c>
      <c r="D73" s="404">
        <v>15</v>
      </c>
      <c r="E73" s="404">
        <v>0</v>
      </c>
      <c r="F73" s="435">
        <v>17</v>
      </c>
    </row>
    <row r="74" spans="2:6" x14ac:dyDescent="0.25">
      <c r="B74" s="318">
        <v>44470</v>
      </c>
      <c r="C74" s="404">
        <v>3</v>
      </c>
      <c r="D74" s="404">
        <v>14</v>
      </c>
      <c r="E74" s="404">
        <v>0</v>
      </c>
      <c r="F74" s="435">
        <v>17</v>
      </c>
    </row>
    <row r="75" spans="2:6" x14ac:dyDescent="0.25">
      <c r="B75" s="318">
        <v>44501</v>
      </c>
      <c r="C75" s="404">
        <v>2</v>
      </c>
      <c r="D75" s="404">
        <v>11</v>
      </c>
      <c r="E75" s="404">
        <v>0</v>
      </c>
      <c r="F75" s="435">
        <v>13</v>
      </c>
    </row>
    <row r="76" spans="2:6" x14ac:dyDescent="0.25">
      <c r="B76" s="318">
        <v>44531</v>
      </c>
      <c r="C76" s="404">
        <v>10</v>
      </c>
      <c r="D76" s="404">
        <v>13</v>
      </c>
      <c r="E76" s="404">
        <v>12</v>
      </c>
      <c r="F76" s="435">
        <v>35</v>
      </c>
    </row>
    <row r="77" spans="2:6" x14ac:dyDescent="0.25">
      <c r="B77" s="434" t="s">
        <v>76</v>
      </c>
      <c r="C77" s="431">
        <v>29</v>
      </c>
      <c r="D77" s="431">
        <v>216</v>
      </c>
      <c r="E77" s="431">
        <v>51</v>
      </c>
      <c r="F77" s="431">
        <v>296</v>
      </c>
    </row>
    <row r="78" spans="2:6" x14ac:dyDescent="0.25">
      <c r="B78" s="318">
        <v>44562</v>
      </c>
      <c r="C78" s="404">
        <v>21</v>
      </c>
      <c r="D78" s="404">
        <v>8</v>
      </c>
      <c r="E78" s="404">
        <v>23</v>
      </c>
      <c r="F78" s="435">
        <v>52</v>
      </c>
    </row>
    <row r="79" spans="2:6" x14ac:dyDescent="0.25">
      <c r="B79" s="318">
        <v>44593</v>
      </c>
      <c r="C79" s="404">
        <v>24</v>
      </c>
      <c r="D79" s="404">
        <v>10</v>
      </c>
      <c r="E79" s="404">
        <v>13</v>
      </c>
      <c r="F79" s="435">
        <v>47</v>
      </c>
    </row>
    <row r="80" spans="2:6" x14ac:dyDescent="0.25">
      <c r="B80" s="318">
        <v>44621</v>
      </c>
      <c r="C80" s="404">
        <v>44</v>
      </c>
      <c r="D80" s="404">
        <v>13</v>
      </c>
      <c r="E80" s="404">
        <v>12</v>
      </c>
      <c r="F80" s="435">
        <v>69</v>
      </c>
    </row>
    <row r="81" spans="2:6" x14ac:dyDescent="0.25">
      <c r="B81" s="318">
        <v>44652</v>
      </c>
      <c r="C81" s="404">
        <v>41</v>
      </c>
      <c r="D81" s="404">
        <v>6</v>
      </c>
      <c r="E81" s="404">
        <v>28</v>
      </c>
      <c r="F81" s="435">
        <v>75</v>
      </c>
    </row>
    <row r="82" spans="2:6" x14ac:dyDescent="0.25">
      <c r="B82" s="318">
        <v>44682</v>
      </c>
      <c r="C82" s="404">
        <v>49</v>
      </c>
      <c r="D82" s="404">
        <v>13</v>
      </c>
      <c r="E82" s="404">
        <v>18</v>
      </c>
      <c r="F82" s="435">
        <v>80</v>
      </c>
    </row>
    <row r="83" spans="2:6" x14ac:dyDescent="0.25">
      <c r="B83" s="318">
        <v>44713</v>
      </c>
      <c r="C83" s="404">
        <v>24</v>
      </c>
      <c r="D83" s="404">
        <v>13</v>
      </c>
      <c r="E83" s="404">
        <v>14</v>
      </c>
      <c r="F83" s="435">
        <v>51</v>
      </c>
    </row>
    <row r="84" spans="2:6" x14ac:dyDescent="0.25">
      <c r="B84" s="318">
        <v>44743</v>
      </c>
      <c r="C84" s="404">
        <v>17</v>
      </c>
      <c r="D84" s="404">
        <v>9</v>
      </c>
      <c r="E84" s="404">
        <v>12</v>
      </c>
      <c r="F84" s="435">
        <v>38</v>
      </c>
    </row>
    <row r="85" spans="2:6" x14ac:dyDescent="0.25">
      <c r="B85" s="318">
        <v>44774</v>
      </c>
      <c r="C85" s="404">
        <v>12</v>
      </c>
      <c r="D85" s="404">
        <v>17</v>
      </c>
      <c r="E85" s="404">
        <v>6</v>
      </c>
      <c r="F85" s="435">
        <v>35</v>
      </c>
    </row>
    <row r="86" spans="2:6" x14ac:dyDescent="0.25">
      <c r="B86" s="318">
        <v>44805</v>
      </c>
      <c r="C86" s="404">
        <v>11</v>
      </c>
      <c r="D86" s="404">
        <v>2</v>
      </c>
      <c r="E86" s="404">
        <v>2</v>
      </c>
      <c r="F86" s="435">
        <v>15</v>
      </c>
    </row>
    <row r="87" spans="2:6" x14ac:dyDescent="0.25">
      <c r="B87" s="318">
        <v>44835</v>
      </c>
      <c r="C87" s="404">
        <v>12</v>
      </c>
      <c r="D87" s="404">
        <v>15</v>
      </c>
      <c r="E87" s="404">
        <v>6</v>
      </c>
      <c r="F87" s="435">
        <v>33</v>
      </c>
    </row>
    <row r="88" spans="2:6" x14ac:dyDescent="0.25">
      <c r="B88" s="318">
        <v>44866</v>
      </c>
      <c r="C88" s="404">
        <v>9</v>
      </c>
      <c r="D88" s="404">
        <v>29</v>
      </c>
      <c r="E88" s="404">
        <v>15</v>
      </c>
      <c r="F88" s="435">
        <v>53</v>
      </c>
    </row>
    <row r="89" spans="2:6" x14ac:dyDescent="0.25">
      <c r="B89" s="318">
        <v>44896</v>
      </c>
      <c r="C89" s="404">
        <v>8</v>
      </c>
      <c r="D89" s="404">
        <v>31</v>
      </c>
      <c r="E89" s="404">
        <v>10</v>
      </c>
      <c r="F89" s="435">
        <v>49</v>
      </c>
    </row>
    <row r="90" spans="2:6" x14ac:dyDescent="0.25">
      <c r="B90" s="434" t="s">
        <v>77</v>
      </c>
      <c r="C90" s="431">
        <v>272</v>
      </c>
      <c r="D90" s="431">
        <v>166</v>
      </c>
      <c r="E90" s="431">
        <v>159</v>
      </c>
      <c r="F90" s="431">
        <v>597</v>
      </c>
    </row>
    <row r="91" spans="2:6" x14ac:dyDescent="0.25">
      <c r="B91" s="324" t="s">
        <v>922</v>
      </c>
    </row>
  </sheetData>
  <mergeCells count="6">
    <mergeCell ref="B54:B55"/>
    <mergeCell ref="C54:E54"/>
    <mergeCell ref="F54:F55"/>
    <mergeCell ref="D7:F7"/>
    <mergeCell ref="C7:C8"/>
    <mergeCell ref="B7:B8"/>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B1335-F5F0-483B-A3A4-CB520F6FD8F3}">
  <sheetPr>
    <tabColor theme="5"/>
  </sheetPr>
  <dimension ref="B2:L89"/>
  <sheetViews>
    <sheetView showGridLines="0" workbookViewId="0">
      <selection activeCell="I35" sqref="I35"/>
    </sheetView>
  </sheetViews>
  <sheetFormatPr baseColWidth="10" defaultRowHeight="15" x14ac:dyDescent="0.25"/>
  <cols>
    <col min="2" max="2" width="14.28515625" customWidth="1"/>
  </cols>
  <sheetData>
    <row r="2" spans="2:12" ht="23.25" x14ac:dyDescent="0.25">
      <c r="B2" s="1" t="s">
        <v>954</v>
      </c>
    </row>
    <row r="4" spans="2:12" ht="18.75" x14ac:dyDescent="0.3">
      <c r="B4" s="2" t="s">
        <v>955</v>
      </c>
      <c r="C4" s="2"/>
      <c r="D4" s="2"/>
      <c r="E4" s="2"/>
      <c r="F4" s="2"/>
      <c r="G4" s="2"/>
      <c r="H4" s="2"/>
      <c r="I4" s="2"/>
      <c r="J4" s="2"/>
      <c r="K4" s="2"/>
      <c r="L4" s="2"/>
    </row>
    <row r="5" spans="2:12" x14ac:dyDescent="0.25">
      <c r="B5" s="31" t="s">
        <v>992</v>
      </c>
    </row>
    <row r="7" spans="2:12" x14ac:dyDescent="0.25">
      <c r="B7" s="316" t="s">
        <v>487</v>
      </c>
      <c r="C7" s="304" t="s">
        <v>87</v>
      </c>
      <c r="D7" s="304" t="s">
        <v>88</v>
      </c>
      <c r="E7" s="304" t="s">
        <v>609</v>
      </c>
    </row>
    <row r="8" spans="2:12" x14ac:dyDescent="0.25">
      <c r="B8" s="436" t="s">
        <v>952</v>
      </c>
      <c r="C8" s="335"/>
      <c r="D8" s="335"/>
      <c r="E8" s="431">
        <v>122650</v>
      </c>
    </row>
    <row r="9" spans="2:12" x14ac:dyDescent="0.25">
      <c r="B9" s="437" t="s">
        <v>928</v>
      </c>
      <c r="C9" s="335"/>
      <c r="D9" s="335"/>
      <c r="E9" s="431">
        <v>32605</v>
      </c>
    </row>
    <row r="10" spans="2:12" x14ac:dyDescent="0.25">
      <c r="B10" s="437" t="s">
        <v>45</v>
      </c>
      <c r="C10" s="335"/>
      <c r="D10" s="335"/>
      <c r="E10" s="431">
        <v>23325</v>
      </c>
    </row>
    <row r="11" spans="2:12" x14ac:dyDescent="0.25">
      <c r="B11" s="437" t="s">
        <v>47</v>
      </c>
      <c r="C11" s="335"/>
      <c r="D11" s="335"/>
      <c r="E11" s="431">
        <v>22921</v>
      </c>
    </row>
    <row r="12" spans="2:12" x14ac:dyDescent="0.25">
      <c r="B12" s="437" t="s">
        <v>49</v>
      </c>
      <c r="C12" s="335"/>
      <c r="D12" s="335"/>
      <c r="E12" s="335">
        <v>30947</v>
      </c>
    </row>
    <row r="13" spans="2:12" x14ac:dyDescent="0.25">
      <c r="B13" s="437" t="s">
        <v>66</v>
      </c>
      <c r="C13" s="335"/>
      <c r="D13" s="335"/>
      <c r="E13" s="431">
        <v>29012</v>
      </c>
    </row>
    <row r="14" spans="2:12" x14ac:dyDescent="0.25">
      <c r="B14" s="280" t="s">
        <v>69</v>
      </c>
      <c r="C14" s="335">
        <v>11366</v>
      </c>
      <c r="D14" s="335">
        <v>8284</v>
      </c>
      <c r="E14" s="335">
        <v>19650</v>
      </c>
    </row>
    <row r="15" spans="2:12" x14ac:dyDescent="0.25">
      <c r="B15" s="280" t="s">
        <v>70</v>
      </c>
      <c r="C15" s="335">
        <v>13041</v>
      </c>
      <c r="D15" s="335">
        <v>8634</v>
      </c>
      <c r="E15" s="335">
        <v>21675</v>
      </c>
    </row>
    <row r="16" spans="2:12" x14ac:dyDescent="0.25">
      <c r="B16" s="280" t="s">
        <v>71</v>
      </c>
      <c r="C16" s="335">
        <v>16295</v>
      </c>
      <c r="D16" s="335">
        <v>10008</v>
      </c>
      <c r="E16" s="335">
        <v>26303</v>
      </c>
    </row>
    <row r="17" spans="2:5" x14ac:dyDescent="0.25">
      <c r="B17" s="438" t="s">
        <v>75</v>
      </c>
      <c r="C17" s="335">
        <v>33875</v>
      </c>
      <c r="D17" s="335">
        <v>19810</v>
      </c>
      <c r="E17" s="335">
        <v>53685</v>
      </c>
    </row>
    <row r="18" spans="2:5" x14ac:dyDescent="0.25">
      <c r="B18" s="417">
        <v>44197</v>
      </c>
      <c r="C18" s="405">
        <v>2266</v>
      </c>
      <c r="D18" s="307">
        <v>1048</v>
      </c>
      <c r="E18" s="307">
        <v>3314</v>
      </c>
    </row>
    <row r="19" spans="2:5" x14ac:dyDescent="0.25">
      <c r="B19" s="417">
        <v>44228</v>
      </c>
      <c r="C19" s="405">
        <v>3079</v>
      </c>
      <c r="D19" s="307">
        <v>1343</v>
      </c>
      <c r="E19" s="307">
        <v>4422</v>
      </c>
    </row>
    <row r="20" spans="2:5" x14ac:dyDescent="0.25">
      <c r="B20" s="417">
        <v>44256</v>
      </c>
      <c r="C20" s="405">
        <v>3621</v>
      </c>
      <c r="D20" s="307">
        <v>1770</v>
      </c>
      <c r="E20" s="307">
        <v>5391</v>
      </c>
    </row>
    <row r="21" spans="2:5" x14ac:dyDescent="0.25">
      <c r="B21" s="417">
        <v>44287</v>
      </c>
      <c r="C21" s="405">
        <v>4727</v>
      </c>
      <c r="D21" s="307">
        <v>2416</v>
      </c>
      <c r="E21" s="307">
        <v>7143</v>
      </c>
    </row>
    <row r="22" spans="2:5" x14ac:dyDescent="0.25">
      <c r="B22" s="417">
        <v>44317</v>
      </c>
      <c r="C22" s="405">
        <v>3848</v>
      </c>
      <c r="D22" s="307">
        <v>2237</v>
      </c>
      <c r="E22" s="307">
        <v>6085</v>
      </c>
    </row>
    <row r="23" spans="2:5" x14ac:dyDescent="0.25">
      <c r="B23" s="417">
        <v>44348</v>
      </c>
      <c r="C23" s="405">
        <v>3185</v>
      </c>
      <c r="D23" s="307">
        <v>2330</v>
      </c>
      <c r="E23" s="307">
        <v>5515</v>
      </c>
    </row>
    <row r="24" spans="2:5" x14ac:dyDescent="0.25">
      <c r="B24" s="417">
        <v>44378</v>
      </c>
      <c r="C24" s="405">
        <v>2655</v>
      </c>
      <c r="D24" s="307">
        <v>1488</v>
      </c>
      <c r="E24" s="307">
        <v>4143</v>
      </c>
    </row>
    <row r="25" spans="2:5" x14ac:dyDescent="0.25">
      <c r="B25" s="417">
        <v>44409</v>
      </c>
      <c r="C25" s="405">
        <v>2460</v>
      </c>
      <c r="D25" s="307">
        <v>1179</v>
      </c>
      <c r="E25" s="307">
        <v>3639</v>
      </c>
    </row>
    <row r="26" spans="2:5" x14ac:dyDescent="0.25">
      <c r="B26" s="417">
        <v>44440</v>
      </c>
      <c r="C26" s="405">
        <v>2275</v>
      </c>
      <c r="D26" s="307">
        <v>1293</v>
      </c>
      <c r="E26" s="307">
        <v>3568</v>
      </c>
    </row>
    <row r="27" spans="2:5" x14ac:dyDescent="0.25">
      <c r="B27" s="417">
        <v>44470</v>
      </c>
      <c r="C27" s="405">
        <v>1844</v>
      </c>
      <c r="D27" s="307">
        <v>901</v>
      </c>
      <c r="E27" s="307">
        <v>2745</v>
      </c>
    </row>
    <row r="28" spans="2:5" x14ac:dyDescent="0.25">
      <c r="B28" s="417">
        <v>44501</v>
      </c>
      <c r="C28" s="405">
        <v>1736</v>
      </c>
      <c r="D28" s="307">
        <v>897</v>
      </c>
      <c r="E28" s="307">
        <v>2633</v>
      </c>
    </row>
    <row r="29" spans="2:5" x14ac:dyDescent="0.25">
      <c r="B29" s="417">
        <v>44531</v>
      </c>
      <c r="C29" s="405">
        <v>1412</v>
      </c>
      <c r="D29" s="307">
        <v>755</v>
      </c>
      <c r="E29" s="307">
        <v>2167</v>
      </c>
    </row>
    <row r="30" spans="2:5" x14ac:dyDescent="0.25">
      <c r="B30" s="438" t="s">
        <v>76</v>
      </c>
      <c r="C30" s="335">
        <v>33108</v>
      </c>
      <c r="D30" s="335">
        <v>17657</v>
      </c>
      <c r="E30" s="335">
        <v>50765</v>
      </c>
    </row>
    <row r="31" spans="2:5" x14ac:dyDescent="0.25">
      <c r="B31" s="417">
        <v>44562</v>
      </c>
      <c r="C31" s="405">
        <v>2120</v>
      </c>
      <c r="D31" s="307">
        <v>1047</v>
      </c>
      <c r="E31" s="307">
        <v>3167</v>
      </c>
    </row>
    <row r="32" spans="2:5" x14ac:dyDescent="0.25">
      <c r="B32" s="417">
        <v>44593</v>
      </c>
      <c r="C32" s="405">
        <v>1533</v>
      </c>
      <c r="D32" s="307">
        <v>678</v>
      </c>
      <c r="E32" s="307">
        <v>2211</v>
      </c>
    </row>
    <row r="33" spans="2:11" x14ac:dyDescent="0.25">
      <c r="B33" s="417">
        <v>44621</v>
      </c>
      <c r="C33" s="405">
        <v>1322</v>
      </c>
      <c r="D33" s="307">
        <v>822</v>
      </c>
      <c r="E33" s="307">
        <v>2144</v>
      </c>
    </row>
    <row r="34" spans="2:11" x14ac:dyDescent="0.25">
      <c r="B34" s="417">
        <v>44652</v>
      </c>
      <c r="C34" s="405">
        <v>4292</v>
      </c>
      <c r="D34" s="307">
        <v>2262</v>
      </c>
      <c r="E34" s="307">
        <v>6554</v>
      </c>
    </row>
    <row r="35" spans="2:11" x14ac:dyDescent="0.25">
      <c r="B35" s="417">
        <v>44682</v>
      </c>
      <c r="C35" s="405">
        <v>3114</v>
      </c>
      <c r="D35" s="307">
        <v>1783</v>
      </c>
      <c r="E35" s="307">
        <v>4897</v>
      </c>
    </row>
    <row r="36" spans="2:11" x14ac:dyDescent="0.25">
      <c r="B36" s="417">
        <v>44713</v>
      </c>
      <c r="C36" s="405">
        <v>2806</v>
      </c>
      <c r="D36" s="307">
        <v>1333</v>
      </c>
      <c r="E36" s="307">
        <v>4139</v>
      </c>
    </row>
    <row r="37" spans="2:11" x14ac:dyDescent="0.25">
      <c r="B37" s="417">
        <v>44743</v>
      </c>
      <c r="C37" s="405">
        <v>4112</v>
      </c>
      <c r="D37" s="307">
        <v>1806</v>
      </c>
      <c r="E37" s="307">
        <v>5918</v>
      </c>
    </row>
    <row r="38" spans="2:11" x14ac:dyDescent="0.25">
      <c r="B38" s="417">
        <v>44774</v>
      </c>
      <c r="C38" s="405">
        <v>4749</v>
      </c>
      <c r="D38" s="307">
        <v>2007</v>
      </c>
      <c r="E38" s="307">
        <v>6756</v>
      </c>
    </row>
    <row r="39" spans="2:11" x14ac:dyDescent="0.25">
      <c r="B39" s="417">
        <v>44805</v>
      </c>
      <c r="C39" s="405">
        <v>2253</v>
      </c>
      <c r="D39" s="307">
        <v>1434</v>
      </c>
      <c r="E39" s="307">
        <v>3687</v>
      </c>
    </row>
    <row r="40" spans="2:11" x14ac:dyDescent="0.25">
      <c r="B40" s="417">
        <v>44835</v>
      </c>
      <c r="C40" s="405">
        <v>4664</v>
      </c>
      <c r="D40" s="307">
        <v>2110</v>
      </c>
      <c r="E40" s="307">
        <v>6774</v>
      </c>
    </row>
    <row r="41" spans="2:11" x14ac:dyDescent="0.25">
      <c r="B41" s="417">
        <v>44866</v>
      </c>
      <c r="C41" s="405">
        <v>2215</v>
      </c>
      <c r="D41" s="307">
        <v>1015</v>
      </c>
      <c r="E41" s="307">
        <v>3230</v>
      </c>
    </row>
    <row r="42" spans="2:11" x14ac:dyDescent="0.25">
      <c r="B42" s="417">
        <v>44896</v>
      </c>
      <c r="C42" s="405">
        <v>911</v>
      </c>
      <c r="D42" s="307">
        <v>503</v>
      </c>
      <c r="E42" s="307">
        <v>1414</v>
      </c>
    </row>
    <row r="43" spans="2:11" x14ac:dyDescent="0.25">
      <c r="B43" s="438" t="s">
        <v>77</v>
      </c>
      <c r="C43" s="335">
        <v>34091</v>
      </c>
      <c r="D43" s="335">
        <v>16800</v>
      </c>
      <c r="E43" s="335">
        <v>50891</v>
      </c>
    </row>
    <row r="44" spans="2:11" x14ac:dyDescent="0.25">
      <c r="B44" s="584" t="s">
        <v>7</v>
      </c>
      <c r="C44" s="585"/>
      <c r="D44" s="586"/>
      <c r="E44" s="439">
        <f>E8+E9+E10+E11+E12+E13+E14+E15+E16+E17+E30+E43</f>
        <v>484429</v>
      </c>
    </row>
    <row r="45" spans="2:11" x14ac:dyDescent="0.25">
      <c r="B45" s="324" t="s">
        <v>922</v>
      </c>
    </row>
    <row r="47" spans="2:11" ht="18.75" x14ac:dyDescent="0.3">
      <c r="B47" s="2" t="s">
        <v>956</v>
      </c>
      <c r="C47" s="2"/>
      <c r="D47" s="2"/>
      <c r="E47" s="2"/>
      <c r="F47" s="2"/>
      <c r="G47" s="2"/>
      <c r="H47" s="2"/>
      <c r="I47" s="2"/>
      <c r="J47" s="2"/>
      <c r="K47" s="2"/>
    </row>
    <row r="48" spans="2:11" x14ac:dyDescent="0.25">
      <c r="B48" s="3" t="s">
        <v>992</v>
      </c>
    </row>
    <row r="50" spans="2:12" ht="27.75" customHeight="1" x14ac:dyDescent="0.25">
      <c r="B50" s="576" t="s">
        <v>487</v>
      </c>
      <c r="C50" s="578" t="s">
        <v>753</v>
      </c>
      <c r="D50" s="579"/>
      <c r="E50" s="579"/>
      <c r="F50" s="579"/>
      <c r="G50" s="579"/>
      <c r="H50" s="579"/>
      <c r="I50" s="579"/>
      <c r="J50" s="579"/>
      <c r="K50" s="580"/>
      <c r="L50" s="581" t="s">
        <v>949</v>
      </c>
    </row>
    <row r="51" spans="2:12" x14ac:dyDescent="0.25">
      <c r="B51" s="576"/>
      <c r="C51" s="576" t="s">
        <v>23</v>
      </c>
      <c r="D51" s="576"/>
      <c r="E51" s="576"/>
      <c r="F51" s="587" t="s">
        <v>24</v>
      </c>
      <c r="G51" s="587"/>
      <c r="H51" s="587"/>
      <c r="I51" s="587" t="s">
        <v>950</v>
      </c>
      <c r="J51" s="587"/>
      <c r="K51" s="587"/>
      <c r="L51" s="583"/>
    </row>
    <row r="52" spans="2:12" x14ac:dyDescent="0.25">
      <c r="B52" s="576"/>
      <c r="C52" s="303" t="s">
        <v>87</v>
      </c>
      <c r="D52" s="303" t="s">
        <v>88</v>
      </c>
      <c r="E52" s="317" t="s">
        <v>609</v>
      </c>
      <c r="F52" s="303" t="s">
        <v>87</v>
      </c>
      <c r="G52" s="303" t="s">
        <v>88</v>
      </c>
      <c r="H52" s="317" t="s">
        <v>609</v>
      </c>
      <c r="I52" s="303" t="s">
        <v>87</v>
      </c>
      <c r="J52" s="303" t="s">
        <v>88</v>
      </c>
      <c r="K52" s="317" t="s">
        <v>609</v>
      </c>
      <c r="L52" s="582"/>
    </row>
    <row r="53" spans="2:12" x14ac:dyDescent="0.25">
      <c r="B53" s="280" t="s">
        <v>953</v>
      </c>
      <c r="C53" s="335"/>
      <c r="D53" s="335"/>
      <c r="E53" s="335">
        <v>119211</v>
      </c>
      <c r="F53" s="335"/>
      <c r="G53" s="335"/>
      <c r="H53" s="335">
        <v>1457</v>
      </c>
      <c r="I53" s="335"/>
      <c r="J53" s="335"/>
      <c r="K53" s="335">
        <v>1982</v>
      </c>
      <c r="L53" s="335">
        <v>122650</v>
      </c>
    </row>
    <row r="54" spans="2:12" x14ac:dyDescent="0.25">
      <c r="B54" s="280" t="s">
        <v>928</v>
      </c>
      <c r="C54" s="335"/>
      <c r="D54" s="335"/>
      <c r="E54" s="431">
        <v>24495</v>
      </c>
      <c r="F54" s="431"/>
      <c r="G54" s="431"/>
      <c r="H54" s="431">
        <v>248</v>
      </c>
      <c r="I54" s="431"/>
      <c r="J54" s="431"/>
      <c r="K54" s="431">
        <v>7862</v>
      </c>
      <c r="L54" s="431">
        <v>32605</v>
      </c>
    </row>
    <row r="55" spans="2:12" x14ac:dyDescent="0.25">
      <c r="B55" s="280" t="s">
        <v>45</v>
      </c>
      <c r="C55" s="335"/>
      <c r="D55" s="335"/>
      <c r="E55" s="335">
        <v>14041</v>
      </c>
      <c r="F55" s="335"/>
      <c r="G55" s="335"/>
      <c r="H55" s="335">
        <v>158</v>
      </c>
      <c r="I55" s="335"/>
      <c r="J55" s="335"/>
      <c r="K55" s="335">
        <v>9126</v>
      </c>
      <c r="L55" s="335">
        <v>23325</v>
      </c>
    </row>
    <row r="56" spans="2:12" x14ac:dyDescent="0.25">
      <c r="B56" s="280" t="s">
        <v>47</v>
      </c>
      <c r="C56" s="335"/>
      <c r="D56" s="335"/>
      <c r="E56" s="431">
        <v>11832</v>
      </c>
      <c r="F56" s="431"/>
      <c r="G56" s="431"/>
      <c r="H56" s="431">
        <v>299</v>
      </c>
      <c r="I56" s="431"/>
      <c r="J56" s="431"/>
      <c r="K56" s="431">
        <v>10790</v>
      </c>
      <c r="L56" s="431">
        <v>22921</v>
      </c>
    </row>
    <row r="57" spans="2:12" x14ac:dyDescent="0.25">
      <c r="B57" s="280" t="s">
        <v>49</v>
      </c>
      <c r="C57" s="335"/>
      <c r="D57" s="335"/>
      <c r="E57" s="431">
        <v>19727</v>
      </c>
      <c r="F57" s="431"/>
      <c r="G57" s="431"/>
      <c r="H57" s="431">
        <v>2960</v>
      </c>
      <c r="I57" s="431"/>
      <c r="J57" s="431"/>
      <c r="K57" s="431">
        <v>8260</v>
      </c>
      <c r="L57" s="431">
        <v>30947</v>
      </c>
    </row>
    <row r="58" spans="2:12" x14ac:dyDescent="0.25">
      <c r="B58" s="280" t="s">
        <v>66</v>
      </c>
      <c r="C58" s="433"/>
      <c r="D58" s="433"/>
      <c r="E58" s="431">
        <v>27817</v>
      </c>
      <c r="F58" s="431"/>
      <c r="G58" s="431"/>
      <c r="H58" s="431">
        <v>1016</v>
      </c>
      <c r="I58" s="431"/>
      <c r="J58" s="431"/>
      <c r="K58" s="431">
        <v>178</v>
      </c>
      <c r="L58" s="431">
        <v>29011</v>
      </c>
    </row>
    <row r="59" spans="2:12" x14ac:dyDescent="0.25">
      <c r="B59" s="280" t="s">
        <v>69</v>
      </c>
      <c r="C59" s="431"/>
      <c r="D59" s="431"/>
      <c r="E59" s="431">
        <v>18545</v>
      </c>
      <c r="F59" s="431"/>
      <c r="G59" s="431"/>
      <c r="H59" s="431">
        <v>551</v>
      </c>
      <c r="I59" s="431"/>
      <c r="J59" s="431"/>
      <c r="K59" s="431">
        <v>554</v>
      </c>
      <c r="L59" s="431">
        <v>19650</v>
      </c>
    </row>
    <row r="60" spans="2:12" x14ac:dyDescent="0.25">
      <c r="B60" s="280" t="s">
        <v>70</v>
      </c>
      <c r="C60" s="431"/>
      <c r="D60" s="431"/>
      <c r="E60" s="431">
        <v>20444</v>
      </c>
      <c r="F60" s="431"/>
      <c r="G60" s="431"/>
      <c r="H60" s="431">
        <v>521</v>
      </c>
      <c r="I60" s="431"/>
      <c r="J60" s="431"/>
      <c r="K60" s="431">
        <v>710</v>
      </c>
      <c r="L60" s="431">
        <v>21675</v>
      </c>
    </row>
    <row r="61" spans="2:12" x14ac:dyDescent="0.25">
      <c r="B61" s="280" t="s">
        <v>71</v>
      </c>
      <c r="C61" s="431"/>
      <c r="D61" s="431"/>
      <c r="E61" s="431">
        <v>24573</v>
      </c>
      <c r="F61" s="431"/>
      <c r="G61" s="431"/>
      <c r="H61" s="431">
        <v>817</v>
      </c>
      <c r="I61" s="431"/>
      <c r="J61" s="431"/>
      <c r="K61" s="431">
        <v>913</v>
      </c>
      <c r="L61" s="431">
        <v>26303</v>
      </c>
    </row>
    <row r="62" spans="2:12" x14ac:dyDescent="0.25">
      <c r="B62" s="280" t="s">
        <v>75</v>
      </c>
      <c r="C62" s="431"/>
      <c r="D62" s="431"/>
      <c r="E62" s="431">
        <v>48041</v>
      </c>
      <c r="F62" s="431"/>
      <c r="G62" s="431"/>
      <c r="H62" s="431">
        <v>1985</v>
      </c>
      <c r="I62" s="431"/>
      <c r="J62" s="431"/>
      <c r="K62" s="431">
        <v>3659</v>
      </c>
      <c r="L62" s="431">
        <v>53685</v>
      </c>
    </row>
    <row r="63" spans="2:12" x14ac:dyDescent="0.25">
      <c r="B63" s="417">
        <v>44197</v>
      </c>
      <c r="C63" s="406">
        <v>2090</v>
      </c>
      <c r="D63" s="406">
        <v>934</v>
      </c>
      <c r="E63" s="406">
        <v>3024</v>
      </c>
      <c r="F63" s="406">
        <v>46</v>
      </c>
      <c r="G63" s="406">
        <v>31</v>
      </c>
      <c r="H63" s="406">
        <v>77</v>
      </c>
      <c r="I63" s="406">
        <v>112</v>
      </c>
      <c r="J63" s="406">
        <v>101</v>
      </c>
      <c r="K63" s="406">
        <v>213</v>
      </c>
      <c r="L63" s="406">
        <v>3314</v>
      </c>
    </row>
    <row r="64" spans="2:12" x14ac:dyDescent="0.25">
      <c r="B64" s="417">
        <v>44228</v>
      </c>
      <c r="C64" s="406">
        <v>2887</v>
      </c>
      <c r="D64" s="406">
        <v>1200</v>
      </c>
      <c r="E64" s="406">
        <v>4087</v>
      </c>
      <c r="F64" s="406">
        <v>78</v>
      </c>
      <c r="G64" s="406">
        <v>53</v>
      </c>
      <c r="H64" s="406">
        <v>131</v>
      </c>
      <c r="I64" s="406">
        <v>114</v>
      </c>
      <c r="J64" s="406">
        <v>90</v>
      </c>
      <c r="K64" s="406">
        <v>204</v>
      </c>
      <c r="L64" s="406">
        <v>4422</v>
      </c>
    </row>
    <row r="65" spans="2:12" x14ac:dyDescent="0.25">
      <c r="B65" s="417">
        <v>44256</v>
      </c>
      <c r="C65" s="406">
        <v>3264</v>
      </c>
      <c r="D65" s="406">
        <v>1514</v>
      </c>
      <c r="E65" s="406">
        <v>4778</v>
      </c>
      <c r="F65" s="406">
        <v>49</v>
      </c>
      <c r="G65" s="406">
        <v>53</v>
      </c>
      <c r="H65" s="406">
        <v>102</v>
      </c>
      <c r="I65" s="406">
        <v>308</v>
      </c>
      <c r="J65" s="406">
        <v>203</v>
      </c>
      <c r="K65" s="406">
        <v>511</v>
      </c>
      <c r="L65" s="406">
        <v>5391</v>
      </c>
    </row>
    <row r="66" spans="2:12" x14ac:dyDescent="0.25">
      <c r="B66" s="417">
        <v>44287</v>
      </c>
      <c r="C66" s="406">
        <v>4279</v>
      </c>
      <c r="D66" s="406">
        <v>2062</v>
      </c>
      <c r="E66" s="406">
        <v>6341</v>
      </c>
      <c r="F66" s="406">
        <v>106</v>
      </c>
      <c r="G66" s="406">
        <v>82</v>
      </c>
      <c r="H66" s="406">
        <v>188</v>
      </c>
      <c r="I66" s="406">
        <v>342</v>
      </c>
      <c r="J66" s="406">
        <v>272</v>
      </c>
      <c r="K66" s="406">
        <v>614</v>
      </c>
      <c r="L66" s="406">
        <v>7143</v>
      </c>
    </row>
    <row r="67" spans="2:12" x14ac:dyDescent="0.25">
      <c r="B67" s="417">
        <v>44317</v>
      </c>
      <c r="C67" s="406">
        <v>3493</v>
      </c>
      <c r="D67" s="406">
        <v>1924</v>
      </c>
      <c r="E67" s="406">
        <v>5417</v>
      </c>
      <c r="F67" s="406">
        <v>95</v>
      </c>
      <c r="G67" s="406">
        <v>76</v>
      </c>
      <c r="H67" s="406">
        <v>171</v>
      </c>
      <c r="I67" s="406">
        <v>260</v>
      </c>
      <c r="J67" s="406">
        <v>237</v>
      </c>
      <c r="K67" s="406">
        <v>497</v>
      </c>
      <c r="L67" s="406">
        <v>6085</v>
      </c>
    </row>
    <row r="68" spans="2:12" x14ac:dyDescent="0.25">
      <c r="B68" s="417">
        <v>44348</v>
      </c>
      <c r="C68" s="406">
        <v>2836</v>
      </c>
      <c r="D68" s="406">
        <v>1991</v>
      </c>
      <c r="E68" s="406">
        <v>4827</v>
      </c>
      <c r="F68" s="406">
        <v>87</v>
      </c>
      <c r="G68" s="406">
        <v>140</v>
      </c>
      <c r="H68" s="406">
        <v>227</v>
      </c>
      <c r="I68" s="406">
        <v>262</v>
      </c>
      <c r="J68" s="406">
        <v>199</v>
      </c>
      <c r="K68" s="406">
        <v>461</v>
      </c>
      <c r="L68" s="406">
        <v>5515</v>
      </c>
    </row>
    <row r="69" spans="2:12" x14ac:dyDescent="0.25">
      <c r="B69" s="417">
        <v>44378</v>
      </c>
      <c r="C69" s="406">
        <v>2343</v>
      </c>
      <c r="D69" s="406">
        <v>1233</v>
      </c>
      <c r="E69" s="406">
        <v>3576</v>
      </c>
      <c r="F69" s="406">
        <v>100</v>
      </c>
      <c r="G69" s="406">
        <v>93</v>
      </c>
      <c r="H69" s="406">
        <v>193</v>
      </c>
      <c r="I69" s="406">
        <v>212</v>
      </c>
      <c r="J69" s="406">
        <v>162</v>
      </c>
      <c r="K69" s="406">
        <v>374</v>
      </c>
      <c r="L69" s="406">
        <v>4143</v>
      </c>
    </row>
    <row r="70" spans="2:12" x14ac:dyDescent="0.25">
      <c r="B70" s="417">
        <v>44409</v>
      </c>
      <c r="C70" s="406">
        <v>2201</v>
      </c>
      <c r="D70" s="406">
        <v>996</v>
      </c>
      <c r="E70" s="406">
        <v>3197</v>
      </c>
      <c r="F70" s="406">
        <v>47</v>
      </c>
      <c r="G70" s="406">
        <v>37</v>
      </c>
      <c r="H70" s="406">
        <v>84</v>
      </c>
      <c r="I70" s="406">
        <v>212</v>
      </c>
      <c r="J70" s="406">
        <v>146</v>
      </c>
      <c r="K70" s="406">
        <v>358</v>
      </c>
      <c r="L70" s="406">
        <v>3639</v>
      </c>
    </row>
    <row r="71" spans="2:12" x14ac:dyDescent="0.25">
      <c r="B71" s="417">
        <v>44440</v>
      </c>
      <c r="C71" s="406">
        <v>1991</v>
      </c>
      <c r="D71" s="406">
        <v>1077</v>
      </c>
      <c r="E71" s="406">
        <v>3068</v>
      </c>
      <c r="F71" s="406">
        <v>76</v>
      </c>
      <c r="G71" s="406">
        <v>70</v>
      </c>
      <c r="H71" s="406">
        <v>146</v>
      </c>
      <c r="I71" s="406">
        <v>208</v>
      </c>
      <c r="J71" s="406">
        <v>146</v>
      </c>
      <c r="K71" s="406">
        <v>354</v>
      </c>
      <c r="L71" s="406">
        <v>3568</v>
      </c>
    </row>
    <row r="72" spans="2:12" x14ac:dyDescent="0.25">
      <c r="B72" s="417">
        <v>44470</v>
      </c>
      <c r="C72" s="406">
        <v>1639</v>
      </c>
      <c r="D72" s="406">
        <v>788</v>
      </c>
      <c r="E72" s="406">
        <v>2427</v>
      </c>
      <c r="F72" s="406">
        <v>61</v>
      </c>
      <c r="G72" s="406">
        <v>34</v>
      </c>
      <c r="H72" s="406">
        <v>95</v>
      </c>
      <c r="I72" s="406">
        <v>144</v>
      </c>
      <c r="J72" s="406">
        <v>79</v>
      </c>
      <c r="K72" s="406">
        <v>223</v>
      </c>
      <c r="L72" s="406">
        <v>2745</v>
      </c>
    </row>
    <row r="73" spans="2:12" x14ac:dyDescent="0.25">
      <c r="B73" s="417">
        <v>44501</v>
      </c>
      <c r="C73" s="406">
        <v>1532</v>
      </c>
      <c r="D73" s="406">
        <v>765</v>
      </c>
      <c r="E73" s="406">
        <v>2297</v>
      </c>
      <c r="F73" s="406">
        <v>25</v>
      </c>
      <c r="G73" s="406">
        <v>18</v>
      </c>
      <c r="H73" s="406">
        <v>43</v>
      </c>
      <c r="I73" s="406">
        <v>179</v>
      </c>
      <c r="J73" s="406">
        <v>114</v>
      </c>
      <c r="K73" s="406">
        <v>293</v>
      </c>
      <c r="L73" s="406">
        <v>2633</v>
      </c>
    </row>
    <row r="74" spans="2:12" x14ac:dyDescent="0.25">
      <c r="B74" s="417">
        <v>44531</v>
      </c>
      <c r="C74" s="406">
        <v>1277</v>
      </c>
      <c r="D74" s="406">
        <v>646</v>
      </c>
      <c r="E74" s="406">
        <v>1923</v>
      </c>
      <c r="F74" s="406">
        <v>39</v>
      </c>
      <c r="G74" s="406">
        <v>24</v>
      </c>
      <c r="H74" s="406">
        <v>63</v>
      </c>
      <c r="I74" s="406">
        <v>76</v>
      </c>
      <c r="J74" s="406">
        <v>105</v>
      </c>
      <c r="K74" s="406">
        <v>181</v>
      </c>
      <c r="L74" s="406">
        <v>2167</v>
      </c>
    </row>
    <row r="75" spans="2:12" x14ac:dyDescent="0.25">
      <c r="B75" s="280" t="s">
        <v>76</v>
      </c>
      <c r="C75" s="431">
        <v>29832</v>
      </c>
      <c r="D75" s="431">
        <v>15130</v>
      </c>
      <c r="E75" s="431">
        <v>44962</v>
      </c>
      <c r="F75" s="431">
        <v>809</v>
      </c>
      <c r="G75" s="431">
        <v>711</v>
      </c>
      <c r="H75" s="431">
        <v>1520</v>
      </c>
      <c r="I75" s="431">
        <v>2429</v>
      </c>
      <c r="J75" s="431">
        <v>1854</v>
      </c>
      <c r="K75" s="431">
        <v>4283</v>
      </c>
      <c r="L75" s="431">
        <v>50765</v>
      </c>
    </row>
    <row r="76" spans="2:12" x14ac:dyDescent="0.25">
      <c r="B76" s="417">
        <v>44562</v>
      </c>
      <c r="C76" s="406">
        <v>1886</v>
      </c>
      <c r="D76" s="406">
        <v>887</v>
      </c>
      <c r="E76" s="406">
        <v>2773</v>
      </c>
      <c r="F76" s="406">
        <v>53</v>
      </c>
      <c r="G76" s="406">
        <v>47</v>
      </c>
      <c r="H76" s="406">
        <v>100</v>
      </c>
      <c r="I76" s="406">
        <v>181</v>
      </c>
      <c r="J76" s="406">
        <v>113</v>
      </c>
      <c r="K76" s="406">
        <v>294</v>
      </c>
      <c r="L76" s="406">
        <v>3167</v>
      </c>
    </row>
    <row r="77" spans="2:12" x14ac:dyDescent="0.25">
      <c r="B77" s="417">
        <v>44593</v>
      </c>
      <c r="C77" s="406">
        <v>1412</v>
      </c>
      <c r="D77" s="406">
        <v>595</v>
      </c>
      <c r="E77" s="406">
        <v>2007</v>
      </c>
      <c r="F77" s="406">
        <v>30</v>
      </c>
      <c r="G77" s="406">
        <v>18</v>
      </c>
      <c r="H77" s="406">
        <v>48</v>
      </c>
      <c r="I77" s="406">
        <v>91</v>
      </c>
      <c r="J77" s="406">
        <v>65</v>
      </c>
      <c r="K77" s="406">
        <v>156</v>
      </c>
      <c r="L77" s="406">
        <v>2211</v>
      </c>
    </row>
    <row r="78" spans="2:12" x14ac:dyDescent="0.25">
      <c r="B78" s="417">
        <v>44621</v>
      </c>
      <c r="C78" s="406">
        <v>1162</v>
      </c>
      <c r="D78" s="406">
        <v>726</v>
      </c>
      <c r="E78" s="406">
        <v>1888</v>
      </c>
      <c r="F78" s="406">
        <v>26</v>
      </c>
      <c r="G78" s="406">
        <v>33</v>
      </c>
      <c r="H78" s="406">
        <v>59</v>
      </c>
      <c r="I78" s="406">
        <v>134</v>
      </c>
      <c r="J78" s="406">
        <v>63</v>
      </c>
      <c r="K78" s="406">
        <v>197</v>
      </c>
      <c r="L78" s="406">
        <v>2144</v>
      </c>
    </row>
    <row r="79" spans="2:12" x14ac:dyDescent="0.25">
      <c r="B79" s="417">
        <v>44652</v>
      </c>
      <c r="C79" s="406">
        <v>3769</v>
      </c>
      <c r="D79" s="406">
        <v>1904</v>
      </c>
      <c r="E79" s="406">
        <v>5673</v>
      </c>
      <c r="F79" s="406">
        <v>61</v>
      </c>
      <c r="G79" s="406">
        <v>35</v>
      </c>
      <c r="H79" s="406">
        <v>96</v>
      </c>
      <c r="I79" s="406">
        <v>462</v>
      </c>
      <c r="J79" s="406">
        <v>323</v>
      </c>
      <c r="K79" s="406">
        <v>785</v>
      </c>
      <c r="L79" s="406">
        <v>6554</v>
      </c>
    </row>
    <row r="80" spans="2:12" x14ac:dyDescent="0.25">
      <c r="B80" s="417">
        <v>44682</v>
      </c>
      <c r="C80" s="406">
        <v>2974</v>
      </c>
      <c r="D80" s="406">
        <v>1701</v>
      </c>
      <c r="E80" s="406">
        <v>4675</v>
      </c>
      <c r="F80" s="406">
        <v>45</v>
      </c>
      <c r="G80" s="406">
        <v>26</v>
      </c>
      <c r="H80" s="406">
        <v>71</v>
      </c>
      <c r="I80" s="406">
        <v>95</v>
      </c>
      <c r="J80" s="406">
        <v>56</v>
      </c>
      <c r="K80" s="406">
        <v>151</v>
      </c>
      <c r="L80" s="406">
        <v>4897</v>
      </c>
    </row>
    <row r="81" spans="2:12" x14ac:dyDescent="0.25">
      <c r="B81" s="417">
        <v>44713</v>
      </c>
      <c r="C81" s="406">
        <v>2583</v>
      </c>
      <c r="D81" s="406">
        <v>1144</v>
      </c>
      <c r="E81" s="406">
        <v>3727</v>
      </c>
      <c r="F81" s="406">
        <v>69</v>
      </c>
      <c r="G81" s="406">
        <v>74</v>
      </c>
      <c r="H81" s="406">
        <v>143</v>
      </c>
      <c r="I81" s="406">
        <v>154</v>
      </c>
      <c r="J81" s="406">
        <v>115</v>
      </c>
      <c r="K81" s="406">
        <v>269</v>
      </c>
      <c r="L81" s="406">
        <v>4139</v>
      </c>
    </row>
    <row r="82" spans="2:12" x14ac:dyDescent="0.25">
      <c r="B82" s="417">
        <v>44743</v>
      </c>
      <c r="C82" s="406">
        <v>3721</v>
      </c>
      <c r="D82" s="406">
        <v>1573</v>
      </c>
      <c r="E82" s="406">
        <v>5294</v>
      </c>
      <c r="F82" s="406">
        <v>88</v>
      </c>
      <c r="G82" s="406">
        <v>48</v>
      </c>
      <c r="H82" s="406">
        <v>136</v>
      </c>
      <c r="I82" s="406">
        <v>303</v>
      </c>
      <c r="J82" s="406">
        <v>185</v>
      </c>
      <c r="K82" s="406">
        <v>488</v>
      </c>
      <c r="L82" s="406">
        <v>5918</v>
      </c>
    </row>
    <row r="83" spans="2:12" x14ac:dyDescent="0.25">
      <c r="B83" s="417">
        <v>44774</v>
      </c>
      <c r="C83" s="406">
        <v>4303</v>
      </c>
      <c r="D83" s="406">
        <v>1721</v>
      </c>
      <c r="E83" s="406">
        <v>6024</v>
      </c>
      <c r="F83" s="406">
        <v>106</v>
      </c>
      <c r="G83" s="406">
        <v>83</v>
      </c>
      <c r="H83" s="406">
        <v>189</v>
      </c>
      <c r="I83" s="406">
        <v>340</v>
      </c>
      <c r="J83" s="406">
        <v>203</v>
      </c>
      <c r="K83" s="406">
        <v>543</v>
      </c>
      <c r="L83" s="406">
        <v>6756</v>
      </c>
    </row>
    <row r="84" spans="2:12" x14ac:dyDescent="0.25">
      <c r="B84" s="417">
        <v>44805</v>
      </c>
      <c r="C84" s="406">
        <v>2112</v>
      </c>
      <c r="D84" s="406">
        <v>1341</v>
      </c>
      <c r="E84" s="406">
        <v>3453</v>
      </c>
      <c r="F84" s="406">
        <v>57</v>
      </c>
      <c r="G84" s="406">
        <v>48</v>
      </c>
      <c r="H84" s="406">
        <v>105</v>
      </c>
      <c r="I84" s="406">
        <v>84</v>
      </c>
      <c r="J84" s="406">
        <v>45</v>
      </c>
      <c r="K84" s="406">
        <v>129</v>
      </c>
      <c r="L84" s="406">
        <v>3687</v>
      </c>
    </row>
    <row r="85" spans="2:12" x14ac:dyDescent="0.25">
      <c r="B85" s="417">
        <v>44835</v>
      </c>
      <c r="C85" s="406">
        <v>4150</v>
      </c>
      <c r="D85" s="406">
        <v>1782</v>
      </c>
      <c r="E85" s="406">
        <v>5932</v>
      </c>
      <c r="F85" s="406">
        <v>116</v>
      </c>
      <c r="G85" s="406">
        <v>81</v>
      </c>
      <c r="H85" s="406">
        <v>197</v>
      </c>
      <c r="I85" s="406">
        <v>398</v>
      </c>
      <c r="J85" s="406">
        <v>247</v>
      </c>
      <c r="K85" s="406">
        <v>645</v>
      </c>
      <c r="L85" s="406">
        <v>6774</v>
      </c>
    </row>
    <row r="86" spans="2:12" x14ac:dyDescent="0.25">
      <c r="B86" s="417">
        <v>44866</v>
      </c>
      <c r="C86" s="406">
        <v>2043</v>
      </c>
      <c r="D86" s="406">
        <v>877</v>
      </c>
      <c r="E86" s="406">
        <v>2920</v>
      </c>
      <c r="F86" s="406">
        <v>75</v>
      </c>
      <c r="G86" s="406">
        <v>80</v>
      </c>
      <c r="H86" s="406">
        <v>155</v>
      </c>
      <c r="I86" s="406">
        <v>97</v>
      </c>
      <c r="J86" s="406">
        <v>58</v>
      </c>
      <c r="K86" s="406">
        <v>155</v>
      </c>
      <c r="L86" s="406">
        <v>3230</v>
      </c>
    </row>
    <row r="87" spans="2:12" x14ac:dyDescent="0.25">
      <c r="B87" s="417">
        <v>44896</v>
      </c>
      <c r="C87" s="406">
        <v>803</v>
      </c>
      <c r="D87" s="406">
        <v>425</v>
      </c>
      <c r="E87" s="406">
        <v>1228</v>
      </c>
      <c r="F87" s="406">
        <v>4</v>
      </c>
      <c r="G87" s="406">
        <v>13</v>
      </c>
      <c r="H87" s="406">
        <v>17</v>
      </c>
      <c r="I87" s="406">
        <v>104</v>
      </c>
      <c r="J87" s="406">
        <v>65</v>
      </c>
      <c r="K87" s="406">
        <v>169</v>
      </c>
      <c r="L87" s="406">
        <v>1414</v>
      </c>
    </row>
    <row r="88" spans="2:12" x14ac:dyDescent="0.25">
      <c r="B88" s="438" t="s">
        <v>77</v>
      </c>
      <c r="C88" s="431">
        <v>30918</v>
      </c>
      <c r="D88" s="431">
        <v>14676</v>
      </c>
      <c r="E88" s="431">
        <v>45594</v>
      </c>
      <c r="F88" s="431">
        <v>730</v>
      </c>
      <c r="G88" s="431">
        <v>586</v>
      </c>
      <c r="H88" s="431">
        <v>1316</v>
      </c>
      <c r="I88" s="431">
        <v>2443</v>
      </c>
      <c r="J88" s="431">
        <v>1538</v>
      </c>
      <c r="K88" s="431">
        <v>3981</v>
      </c>
      <c r="L88" s="431">
        <v>50891</v>
      </c>
    </row>
    <row r="89" spans="2:12" x14ac:dyDescent="0.25">
      <c r="B89" s="324" t="s">
        <v>922</v>
      </c>
    </row>
  </sheetData>
  <mergeCells count="7">
    <mergeCell ref="L50:L52"/>
    <mergeCell ref="C50:K50"/>
    <mergeCell ref="B44:D44"/>
    <mergeCell ref="B50:B52"/>
    <mergeCell ref="C51:E51"/>
    <mergeCell ref="F51:H51"/>
    <mergeCell ref="I51:K5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19378-0D09-465B-AA94-EFBB95F252F5}">
  <sheetPr>
    <tabColor rgb="FF00B0F0"/>
  </sheetPr>
  <dimension ref="A3:P246"/>
  <sheetViews>
    <sheetView workbookViewId="0"/>
  </sheetViews>
  <sheetFormatPr baseColWidth="10" defaultColWidth="11.5703125" defaultRowHeight="15" x14ac:dyDescent="0.25"/>
  <cols>
    <col min="1" max="1" width="46.5703125" style="183" bestFit="1" customWidth="1"/>
    <col min="2" max="2" width="13.28515625" style="182" customWidth="1"/>
    <col min="3" max="3" width="11.42578125" style="182" customWidth="1"/>
    <col min="4" max="4" width="13.42578125" style="182" customWidth="1"/>
    <col min="5" max="7" width="11.42578125" style="182" customWidth="1"/>
  </cols>
  <sheetData>
    <row r="3" spans="1:16" x14ac:dyDescent="0.25">
      <c r="A3" s="210" t="s">
        <v>504</v>
      </c>
    </row>
    <row r="7" spans="1:16" ht="18.75" x14ac:dyDescent="0.3">
      <c r="A7" s="2" t="s">
        <v>553</v>
      </c>
      <c r="B7" s="181"/>
    </row>
    <row r="8" spans="1:16" x14ac:dyDescent="0.25">
      <c r="A8" s="10" t="s">
        <v>12</v>
      </c>
      <c r="B8" s="181"/>
      <c r="C8" s="181"/>
      <c r="D8" s="181"/>
      <c r="E8" s="181"/>
      <c r="F8" s="181"/>
      <c r="G8" s="181"/>
    </row>
    <row r="9" spans="1:16" x14ac:dyDescent="0.25">
      <c r="A9" s="176"/>
      <c r="B9" s="181"/>
      <c r="C9" s="181"/>
      <c r="J9" s="155" t="s">
        <v>554</v>
      </c>
    </row>
    <row r="10" spans="1:16" ht="30" customHeight="1" x14ac:dyDescent="0.25">
      <c r="A10" s="589" t="s">
        <v>537</v>
      </c>
      <c r="B10" s="588" t="s">
        <v>538</v>
      </c>
      <c r="C10" s="588"/>
      <c r="D10" s="588"/>
      <c r="E10" s="588"/>
      <c r="F10" s="588"/>
      <c r="G10" s="172"/>
      <c r="H10" s="591" t="s">
        <v>539</v>
      </c>
      <c r="I10" s="591"/>
      <c r="J10" s="588" t="s">
        <v>540</v>
      </c>
      <c r="K10" s="588"/>
      <c r="L10" s="588"/>
      <c r="M10" s="588"/>
      <c r="N10" s="588"/>
      <c r="O10" s="588"/>
    </row>
    <row r="11" spans="1:16" ht="45" x14ac:dyDescent="0.25">
      <c r="A11" s="590"/>
      <c r="B11" s="198" t="s">
        <v>500</v>
      </c>
      <c r="C11" s="198" t="s">
        <v>143</v>
      </c>
      <c r="D11" s="198" t="s">
        <v>501</v>
      </c>
      <c r="E11" s="198" t="s">
        <v>20</v>
      </c>
      <c r="F11" s="198" t="s">
        <v>145</v>
      </c>
      <c r="G11" s="197" t="s">
        <v>36</v>
      </c>
      <c r="H11" s="198" t="s">
        <v>489</v>
      </c>
      <c r="I11" s="198" t="s">
        <v>490</v>
      </c>
      <c r="J11" s="199" t="s">
        <v>541</v>
      </c>
      <c r="K11" s="198" t="s">
        <v>542</v>
      </c>
      <c r="L11" s="198" t="s">
        <v>543</v>
      </c>
      <c r="M11" s="198" t="s">
        <v>544</v>
      </c>
      <c r="N11" s="198" t="s">
        <v>545</v>
      </c>
      <c r="O11" s="199">
        <v>7</v>
      </c>
      <c r="P11" s="197" t="s">
        <v>36</v>
      </c>
    </row>
    <row r="12" spans="1:16" x14ac:dyDescent="0.25">
      <c r="A12" s="196" t="s">
        <v>521</v>
      </c>
      <c r="B12" s="153">
        <v>8101</v>
      </c>
      <c r="C12" s="153">
        <v>5582</v>
      </c>
      <c r="D12" s="153">
        <v>27670</v>
      </c>
      <c r="E12" s="153">
        <v>5521</v>
      </c>
      <c r="F12" s="153">
        <v>2426</v>
      </c>
      <c r="G12" s="153">
        <v>49300</v>
      </c>
      <c r="H12" s="153">
        <v>28700</v>
      </c>
      <c r="I12" s="153">
        <v>20600</v>
      </c>
      <c r="J12" s="153">
        <f>26867+O12</f>
        <v>31824</v>
      </c>
      <c r="K12" s="153">
        <v>8036</v>
      </c>
      <c r="L12" s="153">
        <v>1630</v>
      </c>
      <c r="M12" s="153">
        <v>7810</v>
      </c>
      <c r="N12" s="153">
        <v>0</v>
      </c>
      <c r="O12" s="153">
        <v>4957</v>
      </c>
      <c r="P12" s="153">
        <v>49300</v>
      </c>
    </row>
    <row r="13" spans="1:16" x14ac:dyDescent="0.25">
      <c r="A13" s="196" t="s">
        <v>522</v>
      </c>
      <c r="B13" s="153">
        <v>15794</v>
      </c>
      <c r="C13" s="153">
        <v>7187</v>
      </c>
      <c r="D13" s="153">
        <v>50016</v>
      </c>
      <c r="E13" s="153">
        <v>8862</v>
      </c>
      <c r="F13" s="153">
        <v>2691</v>
      </c>
      <c r="G13" s="153">
        <v>84550</v>
      </c>
      <c r="H13" s="153">
        <v>51877</v>
      </c>
      <c r="I13" s="153">
        <v>32673</v>
      </c>
      <c r="J13" s="153">
        <v>53005</v>
      </c>
      <c r="K13" s="153">
        <v>12495</v>
      </c>
      <c r="L13" s="153">
        <v>1293</v>
      </c>
      <c r="M13" s="153">
        <v>7378</v>
      </c>
      <c r="N13" s="153">
        <v>0</v>
      </c>
      <c r="O13" s="153">
        <v>10379</v>
      </c>
      <c r="P13" s="153">
        <v>84550</v>
      </c>
    </row>
    <row r="14" spans="1:16" x14ac:dyDescent="0.25">
      <c r="A14" s="196" t="s">
        <v>523</v>
      </c>
      <c r="B14" s="153">
        <v>9557</v>
      </c>
      <c r="C14" s="153">
        <v>4574</v>
      </c>
      <c r="D14" s="153">
        <v>31048</v>
      </c>
      <c r="E14" s="153">
        <v>4547</v>
      </c>
      <c r="F14" s="153">
        <v>1754</v>
      </c>
      <c r="G14" s="153">
        <v>51480</v>
      </c>
      <c r="H14" s="153">
        <v>29719</v>
      </c>
      <c r="I14" s="153">
        <v>21761</v>
      </c>
      <c r="J14" s="153">
        <v>28789</v>
      </c>
      <c r="K14" s="153">
        <v>9687</v>
      </c>
      <c r="L14" s="153">
        <v>1315</v>
      </c>
      <c r="M14" s="153">
        <v>7301</v>
      </c>
      <c r="N14" s="153">
        <v>0</v>
      </c>
      <c r="O14" s="153">
        <v>4388</v>
      </c>
      <c r="P14" s="153">
        <v>51480</v>
      </c>
    </row>
    <row r="15" spans="1:16" x14ac:dyDescent="0.25">
      <c r="A15" s="196" t="s">
        <v>524</v>
      </c>
      <c r="B15" s="153">
        <v>28582</v>
      </c>
      <c r="C15" s="153">
        <v>13327</v>
      </c>
      <c r="D15" s="153">
        <v>90729</v>
      </c>
      <c r="E15" s="153">
        <v>13865</v>
      </c>
      <c r="F15" s="153">
        <v>5332</v>
      </c>
      <c r="G15" s="153">
        <v>151835</v>
      </c>
      <c r="H15" s="153">
        <v>89314</v>
      </c>
      <c r="I15" s="153">
        <v>62521</v>
      </c>
      <c r="J15" s="153">
        <v>101670</v>
      </c>
      <c r="K15" s="153">
        <v>22392</v>
      </c>
      <c r="L15" s="153">
        <v>2506</v>
      </c>
      <c r="M15" s="153">
        <v>12134</v>
      </c>
      <c r="N15" s="153">
        <v>2</v>
      </c>
      <c r="O15" s="153">
        <v>13131</v>
      </c>
      <c r="P15" s="153">
        <v>151835</v>
      </c>
    </row>
    <row r="16" spans="1:16" x14ac:dyDescent="0.25">
      <c r="A16" s="196" t="s">
        <v>525</v>
      </c>
      <c r="B16" s="153">
        <v>69827</v>
      </c>
      <c r="C16" s="153">
        <v>33363</v>
      </c>
      <c r="D16" s="153">
        <v>241450</v>
      </c>
      <c r="E16" s="153">
        <v>42677</v>
      </c>
      <c r="F16" s="153">
        <v>15760</v>
      </c>
      <c r="G16" s="153">
        <v>403077</v>
      </c>
      <c r="H16" s="153">
        <v>243554</v>
      </c>
      <c r="I16" s="153">
        <v>159523</v>
      </c>
      <c r="J16" s="153">
        <v>230337</v>
      </c>
      <c r="K16" s="153">
        <v>76048</v>
      </c>
      <c r="L16" s="153">
        <v>8740</v>
      </c>
      <c r="M16" s="153">
        <v>45453</v>
      </c>
      <c r="N16" s="153">
        <v>0</v>
      </c>
      <c r="O16" s="153">
        <v>42499</v>
      </c>
      <c r="P16" s="153">
        <v>403077</v>
      </c>
    </row>
    <row r="17" spans="1:16" x14ac:dyDescent="0.25">
      <c r="A17" s="196" t="s">
        <v>526</v>
      </c>
      <c r="B17" s="153">
        <v>33286</v>
      </c>
      <c r="C17" s="153">
        <v>19613</v>
      </c>
      <c r="D17" s="153">
        <v>115083</v>
      </c>
      <c r="E17" s="153">
        <v>16976</v>
      </c>
      <c r="F17" s="153">
        <v>9059</v>
      </c>
      <c r="G17" s="153">
        <v>194017</v>
      </c>
      <c r="H17" s="153">
        <v>112239</v>
      </c>
      <c r="I17" s="153">
        <v>81778</v>
      </c>
      <c r="J17" s="153">
        <v>104725</v>
      </c>
      <c r="K17" s="153">
        <v>31998</v>
      </c>
      <c r="L17" s="153">
        <v>4701</v>
      </c>
      <c r="M17" s="153">
        <v>36379</v>
      </c>
      <c r="N17" s="153">
        <v>0</v>
      </c>
      <c r="O17" s="153">
        <v>16214</v>
      </c>
      <c r="P17" s="153">
        <v>194017</v>
      </c>
    </row>
    <row r="18" spans="1:16" x14ac:dyDescent="0.25">
      <c r="A18" s="196" t="s">
        <v>527</v>
      </c>
      <c r="B18" s="153">
        <v>44682</v>
      </c>
      <c r="C18" s="153">
        <v>25086</v>
      </c>
      <c r="D18" s="153">
        <v>130947</v>
      </c>
      <c r="E18" s="153">
        <v>17751</v>
      </c>
      <c r="F18" s="153">
        <v>9739</v>
      </c>
      <c r="G18" s="153">
        <v>228205</v>
      </c>
      <c r="H18" s="153">
        <v>129715</v>
      </c>
      <c r="I18" s="153">
        <v>98490</v>
      </c>
      <c r="J18" s="153">
        <v>127730</v>
      </c>
      <c r="K18" s="153">
        <v>44147</v>
      </c>
      <c r="L18" s="153">
        <v>5852</v>
      </c>
      <c r="M18" s="153">
        <v>35671</v>
      </c>
      <c r="N18" s="153">
        <v>1</v>
      </c>
      <c r="O18" s="153">
        <v>14804</v>
      </c>
      <c r="P18" s="153">
        <v>228205</v>
      </c>
    </row>
    <row r="19" spans="1:16" x14ac:dyDescent="0.25">
      <c r="A19" s="196" t="s">
        <v>528</v>
      </c>
      <c r="B19" s="153">
        <v>61335</v>
      </c>
      <c r="C19" s="153">
        <v>42826</v>
      </c>
      <c r="D19" s="153">
        <v>181651</v>
      </c>
      <c r="E19" s="153">
        <v>29863</v>
      </c>
      <c r="F19" s="153">
        <v>13098</v>
      </c>
      <c r="G19" s="153">
        <v>328773</v>
      </c>
      <c r="H19" s="153">
        <v>198806</v>
      </c>
      <c r="I19" s="153">
        <v>129967</v>
      </c>
      <c r="J19" s="153">
        <v>179008</v>
      </c>
      <c r="K19" s="153">
        <v>52292</v>
      </c>
      <c r="L19" s="153">
        <v>9533</v>
      </c>
      <c r="M19" s="153">
        <v>60582</v>
      </c>
      <c r="N19" s="153">
        <v>0</v>
      </c>
      <c r="O19" s="153">
        <v>27358</v>
      </c>
      <c r="P19" s="153">
        <v>328773</v>
      </c>
    </row>
    <row r="20" spans="1:16" x14ac:dyDescent="0.25">
      <c r="A20" s="196" t="s">
        <v>529</v>
      </c>
      <c r="B20" s="153">
        <v>48594</v>
      </c>
      <c r="C20" s="153">
        <v>29684</v>
      </c>
      <c r="D20" s="153">
        <v>102186</v>
      </c>
      <c r="E20" s="153">
        <v>14675</v>
      </c>
      <c r="F20" s="153">
        <v>7901</v>
      </c>
      <c r="G20" s="153">
        <v>203040</v>
      </c>
      <c r="H20" s="153">
        <v>119372</v>
      </c>
      <c r="I20" s="153">
        <v>83668</v>
      </c>
      <c r="J20" s="153">
        <v>125072</v>
      </c>
      <c r="K20" s="153">
        <v>34098</v>
      </c>
      <c r="L20" s="153">
        <v>5023</v>
      </c>
      <c r="M20" s="153">
        <v>25515</v>
      </c>
      <c r="N20" s="153">
        <v>0</v>
      </c>
      <c r="O20" s="153">
        <v>13332</v>
      </c>
      <c r="P20" s="153">
        <v>203040</v>
      </c>
    </row>
    <row r="21" spans="1:16" x14ac:dyDescent="0.25">
      <c r="A21" s="196" t="s">
        <v>530</v>
      </c>
      <c r="B21" s="153">
        <v>34497</v>
      </c>
      <c r="C21" s="153">
        <v>21145</v>
      </c>
      <c r="D21" s="153">
        <v>82738</v>
      </c>
      <c r="E21" s="153">
        <v>11762</v>
      </c>
      <c r="F21" s="153">
        <v>8043</v>
      </c>
      <c r="G21" s="153">
        <v>158185</v>
      </c>
      <c r="H21" s="153">
        <v>90862</v>
      </c>
      <c r="I21" s="153">
        <v>67323</v>
      </c>
      <c r="J21" s="153">
        <v>97626</v>
      </c>
      <c r="K21" s="153">
        <v>32927</v>
      </c>
      <c r="L21" s="153">
        <v>4538</v>
      </c>
      <c r="M21" s="153">
        <v>12733</v>
      </c>
      <c r="N21" s="153">
        <v>0</v>
      </c>
      <c r="O21" s="153">
        <v>10361</v>
      </c>
      <c r="P21" s="153">
        <v>158185</v>
      </c>
    </row>
    <row r="22" spans="1:16" x14ac:dyDescent="0.25">
      <c r="A22" s="196" t="s">
        <v>531</v>
      </c>
      <c r="B22" s="153">
        <v>3478</v>
      </c>
      <c r="C22" s="153">
        <v>1755</v>
      </c>
      <c r="D22" s="153">
        <v>9775</v>
      </c>
      <c r="E22" s="153">
        <v>1326</v>
      </c>
      <c r="F22" s="153">
        <v>810</v>
      </c>
      <c r="G22" s="153">
        <v>17144</v>
      </c>
      <c r="H22" s="153">
        <v>9187</v>
      </c>
      <c r="I22" s="153">
        <v>7957</v>
      </c>
      <c r="J22" s="153">
        <v>11749</v>
      </c>
      <c r="K22" s="153">
        <v>3130</v>
      </c>
      <c r="L22" s="153">
        <v>269</v>
      </c>
      <c r="M22" s="153">
        <v>897</v>
      </c>
      <c r="N22" s="153">
        <v>0</v>
      </c>
      <c r="O22" s="153">
        <v>1099</v>
      </c>
      <c r="P22" s="153">
        <v>17144</v>
      </c>
    </row>
    <row r="23" spans="1:16" x14ac:dyDescent="0.25">
      <c r="A23" s="196" t="s">
        <v>532</v>
      </c>
      <c r="B23" s="153">
        <v>5652</v>
      </c>
      <c r="C23" s="153">
        <v>2170</v>
      </c>
      <c r="D23" s="153">
        <v>19217</v>
      </c>
      <c r="E23" s="153">
        <v>3795</v>
      </c>
      <c r="F23" s="153">
        <v>1119</v>
      </c>
      <c r="G23" s="153">
        <v>31953</v>
      </c>
      <c r="H23" s="153">
        <v>19088</v>
      </c>
      <c r="I23" s="153">
        <v>12865</v>
      </c>
      <c r="J23" s="153">
        <v>22306</v>
      </c>
      <c r="K23" s="153">
        <v>5348</v>
      </c>
      <c r="L23" s="153">
        <v>1204</v>
      </c>
      <c r="M23" s="153">
        <v>81</v>
      </c>
      <c r="N23" s="153">
        <v>0</v>
      </c>
      <c r="O23" s="153">
        <v>3014</v>
      </c>
      <c r="P23" s="153">
        <v>31953</v>
      </c>
    </row>
    <row r="24" spans="1:16" x14ac:dyDescent="0.25">
      <c r="A24" s="196" t="s">
        <v>533</v>
      </c>
      <c r="B24" s="153">
        <v>233102</v>
      </c>
      <c r="C24" s="153">
        <v>92519</v>
      </c>
      <c r="D24" s="153">
        <v>749658</v>
      </c>
      <c r="E24" s="153">
        <v>127402</v>
      </c>
      <c r="F24" s="153">
        <v>38448</v>
      </c>
      <c r="G24" s="153">
        <v>1241129</v>
      </c>
      <c r="H24" s="153">
        <v>758738</v>
      </c>
      <c r="I24" s="153">
        <v>482391</v>
      </c>
      <c r="J24" s="153">
        <v>644033</v>
      </c>
      <c r="K24" s="153">
        <v>195156</v>
      </c>
      <c r="L24" s="153">
        <v>34575</v>
      </c>
      <c r="M24" s="153">
        <v>192809</v>
      </c>
      <c r="N24" s="153">
        <v>0</v>
      </c>
      <c r="O24" s="153">
        <v>174556</v>
      </c>
      <c r="P24" s="153">
        <v>1241129</v>
      </c>
    </row>
    <row r="25" spans="1:16" x14ac:dyDescent="0.25">
      <c r="A25" s="196" t="s">
        <v>534</v>
      </c>
      <c r="B25" s="153">
        <v>17455</v>
      </c>
      <c r="C25" s="153">
        <v>11146</v>
      </c>
      <c r="D25" s="153">
        <v>45943</v>
      </c>
      <c r="E25" s="153">
        <v>7112</v>
      </c>
      <c r="F25" s="153">
        <v>4835</v>
      </c>
      <c r="G25" s="153">
        <v>86491</v>
      </c>
      <c r="H25" s="153">
        <v>50843</v>
      </c>
      <c r="I25" s="153">
        <v>35648</v>
      </c>
      <c r="J25" s="153">
        <v>57562</v>
      </c>
      <c r="K25" s="153">
        <v>16266</v>
      </c>
      <c r="L25" s="153">
        <v>2373</v>
      </c>
      <c r="M25" s="153">
        <v>4831</v>
      </c>
      <c r="N25" s="153">
        <v>2</v>
      </c>
      <c r="O25" s="153">
        <v>5457</v>
      </c>
      <c r="P25" s="153">
        <v>86491</v>
      </c>
    </row>
    <row r="26" spans="1:16" x14ac:dyDescent="0.25">
      <c r="A26" s="196" t="s">
        <v>535</v>
      </c>
      <c r="B26" s="153">
        <v>7640</v>
      </c>
      <c r="C26" s="153">
        <v>3351</v>
      </c>
      <c r="D26" s="153">
        <v>24755</v>
      </c>
      <c r="E26" s="153">
        <v>4271</v>
      </c>
      <c r="F26" s="153">
        <v>1491</v>
      </c>
      <c r="G26" s="153">
        <v>41508</v>
      </c>
      <c r="H26" s="153">
        <v>23818</v>
      </c>
      <c r="I26" s="153">
        <v>17690</v>
      </c>
      <c r="J26" s="153">
        <v>22486</v>
      </c>
      <c r="K26" s="153">
        <v>8492</v>
      </c>
      <c r="L26" s="153">
        <v>1323</v>
      </c>
      <c r="M26" s="153">
        <v>5428</v>
      </c>
      <c r="N26" s="153">
        <v>0</v>
      </c>
      <c r="O26" s="153">
        <v>3779</v>
      </c>
      <c r="P26" s="153">
        <v>41508</v>
      </c>
    </row>
    <row r="27" spans="1:16" x14ac:dyDescent="0.25">
      <c r="A27" s="196" t="s">
        <v>536</v>
      </c>
      <c r="B27" s="153">
        <v>23877</v>
      </c>
      <c r="C27" s="153">
        <v>26114</v>
      </c>
      <c r="D27" s="153">
        <v>59830</v>
      </c>
      <c r="E27" s="153">
        <v>8479</v>
      </c>
      <c r="F27" s="153">
        <v>7300</v>
      </c>
      <c r="G27" s="153">
        <v>125600</v>
      </c>
      <c r="H27" s="153">
        <v>75028</v>
      </c>
      <c r="I27" s="153">
        <v>50572</v>
      </c>
      <c r="J27" s="153">
        <v>69735</v>
      </c>
      <c r="K27" s="153">
        <v>20741</v>
      </c>
      <c r="L27" s="153">
        <v>2265</v>
      </c>
      <c r="M27" s="153">
        <v>26512</v>
      </c>
      <c r="N27" s="153">
        <v>0</v>
      </c>
      <c r="O27" s="153">
        <v>6347</v>
      </c>
      <c r="P27" s="153">
        <v>125600</v>
      </c>
    </row>
    <row r="28" spans="1:16" x14ac:dyDescent="0.25">
      <c r="A28" s="196" t="s">
        <v>36</v>
      </c>
      <c r="B28" s="153">
        <v>645459</v>
      </c>
      <c r="C28" s="153">
        <v>339442</v>
      </c>
      <c r="D28" s="153">
        <v>1962696</v>
      </c>
      <c r="E28" s="153">
        <v>318884</v>
      </c>
      <c r="F28" s="153">
        <v>129806</v>
      </c>
      <c r="G28" s="153">
        <v>3396287</v>
      </c>
      <c r="H28" s="153">
        <v>2030860</v>
      </c>
      <c r="I28" s="153">
        <v>1365427</v>
      </c>
      <c r="J28" s="153">
        <v>1902700</v>
      </c>
      <c r="K28" s="153">
        <v>573253</v>
      </c>
      <c r="L28" s="153">
        <v>87140</v>
      </c>
      <c r="M28" s="153">
        <v>481514</v>
      </c>
      <c r="N28" s="153">
        <v>5</v>
      </c>
      <c r="O28" s="153">
        <v>351675</v>
      </c>
      <c r="P28" s="153">
        <v>3396287</v>
      </c>
    </row>
    <row r="29" spans="1:16" x14ac:dyDescent="0.25">
      <c r="A29" s="176"/>
      <c r="B29" s="181"/>
      <c r="C29" s="181"/>
      <c r="D29" s="181"/>
      <c r="E29" s="181"/>
      <c r="F29" s="181"/>
      <c r="G29" s="181"/>
    </row>
    <row r="30" spans="1:16" x14ac:dyDescent="0.25">
      <c r="A30" s="176"/>
      <c r="B30" s="181"/>
      <c r="C30" s="181"/>
      <c r="D30" s="181"/>
      <c r="E30" s="181"/>
      <c r="F30" s="181"/>
      <c r="G30" s="181"/>
    </row>
    <row r="31" spans="1:16" x14ac:dyDescent="0.25">
      <c r="A31" s="217" t="s">
        <v>555</v>
      </c>
      <c r="B31" s="181"/>
      <c r="C31" s="181"/>
      <c r="D31" s="181"/>
      <c r="E31" s="181"/>
      <c r="F31" s="181"/>
      <c r="G31" s="181"/>
    </row>
    <row r="32" spans="1:16" ht="18.75" x14ac:dyDescent="0.3">
      <c r="A32" s="2" t="s">
        <v>546</v>
      </c>
      <c r="B32" s="181"/>
      <c r="C32" s="181"/>
      <c r="D32" s="181"/>
      <c r="E32" s="181"/>
      <c r="F32" s="181"/>
      <c r="G32" s="181"/>
    </row>
    <row r="33" spans="1:16" x14ac:dyDescent="0.25">
      <c r="A33" s="10" t="s">
        <v>12</v>
      </c>
      <c r="B33" s="181"/>
      <c r="C33" s="181"/>
      <c r="D33" s="181"/>
      <c r="E33" s="181"/>
      <c r="F33" s="181"/>
      <c r="G33" s="181"/>
    </row>
    <row r="34" spans="1:16" x14ac:dyDescent="0.25">
      <c r="A34" s="176"/>
      <c r="B34" s="181"/>
      <c r="C34" s="181"/>
      <c r="D34" s="181"/>
      <c r="E34" s="181"/>
      <c r="F34" s="181"/>
      <c r="G34" s="181"/>
    </row>
    <row r="35" spans="1:16" x14ac:dyDescent="0.25">
      <c r="A35" s="589" t="s">
        <v>537</v>
      </c>
      <c r="B35" s="588" t="s">
        <v>538</v>
      </c>
      <c r="C35" s="588"/>
      <c r="D35" s="588"/>
      <c r="E35" s="588"/>
      <c r="F35" s="588"/>
      <c r="G35" s="172"/>
      <c r="H35" s="591" t="s">
        <v>539</v>
      </c>
      <c r="I35" s="591"/>
      <c r="J35" s="588" t="s">
        <v>540</v>
      </c>
      <c r="K35" s="588"/>
      <c r="L35" s="588"/>
      <c r="M35" s="588"/>
      <c r="N35" s="588"/>
      <c r="O35" s="588"/>
    </row>
    <row r="36" spans="1:16" ht="45" x14ac:dyDescent="0.25">
      <c r="A36" s="590"/>
      <c r="B36" s="198" t="s">
        <v>500</v>
      </c>
      <c r="C36" s="198" t="s">
        <v>143</v>
      </c>
      <c r="D36" s="198" t="s">
        <v>501</v>
      </c>
      <c r="E36" s="198" t="s">
        <v>20</v>
      </c>
      <c r="F36" s="198" t="s">
        <v>145</v>
      </c>
      <c r="G36" s="197" t="s">
        <v>36</v>
      </c>
      <c r="H36" s="198" t="s">
        <v>489</v>
      </c>
      <c r="I36" s="198" t="s">
        <v>490</v>
      </c>
      <c r="J36" s="199" t="s">
        <v>541</v>
      </c>
      <c r="K36" s="198" t="s">
        <v>542</v>
      </c>
      <c r="L36" s="198" t="s">
        <v>543</v>
      </c>
      <c r="M36" s="198" t="s">
        <v>544</v>
      </c>
      <c r="N36" s="198" t="s">
        <v>545</v>
      </c>
      <c r="O36" s="199">
        <v>7</v>
      </c>
      <c r="P36" s="197" t="s">
        <v>36</v>
      </c>
    </row>
    <row r="37" spans="1:16" x14ac:dyDescent="0.25">
      <c r="A37" s="196" t="s">
        <v>521</v>
      </c>
      <c r="B37" s="153">
        <v>6662</v>
      </c>
      <c r="C37" s="153">
        <v>3217</v>
      </c>
      <c r="D37" s="153">
        <v>24104</v>
      </c>
      <c r="E37" s="153">
        <v>2630</v>
      </c>
      <c r="F37" s="153">
        <v>1936</v>
      </c>
      <c r="G37" s="153">
        <v>38549</v>
      </c>
      <c r="H37" s="153">
        <v>21882</v>
      </c>
      <c r="I37" s="153">
        <v>16667</v>
      </c>
      <c r="J37" s="153">
        <v>21212</v>
      </c>
      <c r="K37" s="153">
        <v>6595</v>
      </c>
      <c r="L37" s="153">
        <v>1309</v>
      </c>
      <c r="M37" s="153">
        <v>5804</v>
      </c>
      <c r="N37" s="153">
        <v>0</v>
      </c>
      <c r="O37" s="153">
        <v>3629</v>
      </c>
      <c r="P37" s="153">
        <v>38549</v>
      </c>
    </row>
    <row r="38" spans="1:16" x14ac:dyDescent="0.25">
      <c r="A38" s="196" t="s">
        <v>522</v>
      </c>
      <c r="B38" s="153">
        <v>12443</v>
      </c>
      <c r="C38" s="153">
        <v>4092</v>
      </c>
      <c r="D38" s="153">
        <v>42233</v>
      </c>
      <c r="E38" s="153">
        <v>4122</v>
      </c>
      <c r="F38" s="153">
        <v>2141</v>
      </c>
      <c r="G38" s="153">
        <v>65031</v>
      </c>
      <c r="H38" s="153">
        <v>39070</v>
      </c>
      <c r="I38" s="153">
        <v>25961</v>
      </c>
      <c r="J38" s="153">
        <v>40781</v>
      </c>
      <c r="K38" s="153">
        <v>9803</v>
      </c>
      <c r="L38" s="153">
        <v>1053</v>
      </c>
      <c r="M38" s="153">
        <v>6018</v>
      </c>
      <c r="N38" s="153">
        <v>0</v>
      </c>
      <c r="O38" s="153">
        <v>7376</v>
      </c>
      <c r="P38" s="153">
        <v>65031</v>
      </c>
    </row>
    <row r="39" spans="1:16" x14ac:dyDescent="0.25">
      <c r="A39" s="196" t="s">
        <v>523</v>
      </c>
      <c r="B39" s="153">
        <v>7988</v>
      </c>
      <c r="C39" s="153">
        <v>2722</v>
      </c>
      <c r="D39" s="153">
        <v>27232</v>
      </c>
      <c r="E39" s="153">
        <v>2396</v>
      </c>
      <c r="F39" s="153">
        <v>1448</v>
      </c>
      <c r="G39" s="153">
        <v>41786</v>
      </c>
      <c r="H39" s="153">
        <v>23546</v>
      </c>
      <c r="I39" s="153">
        <v>18240</v>
      </c>
      <c r="J39" s="153">
        <v>23161</v>
      </c>
      <c r="K39" s="153">
        <v>8195</v>
      </c>
      <c r="L39" s="153">
        <v>1026</v>
      </c>
      <c r="M39" s="153">
        <v>6108</v>
      </c>
      <c r="N39" s="153">
        <v>0</v>
      </c>
      <c r="O39" s="153">
        <v>3296</v>
      </c>
      <c r="P39" s="153">
        <v>41786</v>
      </c>
    </row>
    <row r="40" spans="1:16" x14ac:dyDescent="0.25">
      <c r="A40" s="196" t="s">
        <v>524</v>
      </c>
      <c r="B40" s="153">
        <v>24517</v>
      </c>
      <c r="C40" s="153">
        <v>7944</v>
      </c>
      <c r="D40" s="153">
        <v>80576</v>
      </c>
      <c r="E40" s="153">
        <v>7006</v>
      </c>
      <c r="F40" s="153">
        <v>4576</v>
      </c>
      <c r="G40" s="153">
        <v>124619</v>
      </c>
      <c r="H40" s="153">
        <v>71239</v>
      </c>
      <c r="I40" s="153">
        <v>53380</v>
      </c>
      <c r="J40" s="153">
        <v>83796</v>
      </c>
      <c r="K40" s="153">
        <v>19151</v>
      </c>
      <c r="L40" s="153">
        <v>1986</v>
      </c>
      <c r="M40" s="153">
        <v>9679</v>
      </c>
      <c r="N40" s="153">
        <v>2</v>
      </c>
      <c r="O40" s="153">
        <v>10005</v>
      </c>
      <c r="P40" s="153">
        <v>124619</v>
      </c>
    </row>
    <row r="41" spans="1:16" x14ac:dyDescent="0.25">
      <c r="A41" s="196" t="s">
        <v>525</v>
      </c>
      <c r="B41" s="153">
        <v>60056</v>
      </c>
      <c r="C41" s="153">
        <v>20443</v>
      </c>
      <c r="D41" s="153">
        <v>213573</v>
      </c>
      <c r="E41" s="153">
        <v>21002</v>
      </c>
      <c r="F41" s="153">
        <v>13051</v>
      </c>
      <c r="G41" s="153">
        <v>328125</v>
      </c>
      <c r="H41" s="153">
        <v>194329</v>
      </c>
      <c r="I41" s="153">
        <v>133796</v>
      </c>
      <c r="J41" s="153">
        <v>187067</v>
      </c>
      <c r="K41" s="153">
        <v>64257</v>
      </c>
      <c r="L41" s="153">
        <v>7042</v>
      </c>
      <c r="M41" s="153">
        <v>37690</v>
      </c>
      <c r="N41" s="153">
        <v>0</v>
      </c>
      <c r="O41" s="153">
        <v>32069</v>
      </c>
      <c r="P41" s="153">
        <v>328125</v>
      </c>
    </row>
    <row r="42" spans="1:16" x14ac:dyDescent="0.25">
      <c r="A42" s="196" t="s">
        <v>526</v>
      </c>
      <c r="B42" s="153">
        <v>28310</v>
      </c>
      <c r="C42" s="153">
        <v>10063</v>
      </c>
      <c r="D42" s="153">
        <v>102818</v>
      </c>
      <c r="E42" s="153">
        <v>8651</v>
      </c>
      <c r="F42" s="153">
        <v>7551</v>
      </c>
      <c r="G42" s="153">
        <v>157393</v>
      </c>
      <c r="H42" s="153">
        <v>87940</v>
      </c>
      <c r="I42" s="153">
        <v>69453</v>
      </c>
      <c r="J42" s="153">
        <v>85185</v>
      </c>
      <c r="K42" s="153">
        <v>27456</v>
      </c>
      <c r="L42" s="153">
        <v>3852</v>
      </c>
      <c r="M42" s="153">
        <v>28715</v>
      </c>
      <c r="N42" s="153">
        <v>0</v>
      </c>
      <c r="O42" s="153">
        <v>12185</v>
      </c>
      <c r="P42" s="153">
        <v>157393</v>
      </c>
    </row>
    <row r="43" spans="1:16" x14ac:dyDescent="0.25">
      <c r="A43" s="196" t="s">
        <v>527</v>
      </c>
      <c r="B43" s="153">
        <v>39533</v>
      </c>
      <c r="C43" s="153">
        <v>13471</v>
      </c>
      <c r="D43" s="153">
        <v>118610</v>
      </c>
      <c r="E43" s="153">
        <v>9596</v>
      </c>
      <c r="F43" s="153">
        <v>8042</v>
      </c>
      <c r="G43" s="153">
        <v>189252</v>
      </c>
      <c r="H43" s="153">
        <v>104534</v>
      </c>
      <c r="I43" s="153">
        <v>84718</v>
      </c>
      <c r="J43" s="153">
        <v>106557</v>
      </c>
      <c r="K43" s="153">
        <v>38759</v>
      </c>
      <c r="L43" s="153">
        <v>4838</v>
      </c>
      <c r="M43" s="153">
        <v>27831</v>
      </c>
      <c r="N43" s="153">
        <v>1</v>
      </c>
      <c r="O43" s="153">
        <v>11266</v>
      </c>
      <c r="P43" s="153">
        <v>189252</v>
      </c>
    </row>
    <row r="44" spans="1:16" x14ac:dyDescent="0.25">
      <c r="A44" s="196" t="s">
        <v>528</v>
      </c>
      <c r="B44" s="153">
        <v>53055</v>
      </c>
      <c r="C44" s="153">
        <v>21104</v>
      </c>
      <c r="D44" s="153">
        <v>160824</v>
      </c>
      <c r="E44" s="153">
        <v>16010</v>
      </c>
      <c r="F44" s="153">
        <v>10879</v>
      </c>
      <c r="G44" s="153">
        <v>261872</v>
      </c>
      <c r="H44" s="153">
        <v>151675</v>
      </c>
      <c r="I44" s="153">
        <v>110197</v>
      </c>
      <c r="J44" s="153">
        <v>144582</v>
      </c>
      <c r="K44" s="153">
        <v>44045</v>
      </c>
      <c r="L44" s="153">
        <v>7685</v>
      </c>
      <c r="M44" s="153">
        <v>44925</v>
      </c>
      <c r="N44" s="153">
        <v>0</v>
      </c>
      <c r="O44" s="153">
        <v>20635</v>
      </c>
      <c r="P44" s="153">
        <v>261872</v>
      </c>
    </row>
    <row r="45" spans="1:16" x14ac:dyDescent="0.25">
      <c r="A45" s="196" t="s">
        <v>529</v>
      </c>
      <c r="B45" s="153">
        <v>43591</v>
      </c>
      <c r="C45" s="153">
        <v>13744</v>
      </c>
      <c r="D45" s="153">
        <v>91902</v>
      </c>
      <c r="E45" s="153">
        <v>7758</v>
      </c>
      <c r="F45" s="153">
        <v>6637</v>
      </c>
      <c r="G45" s="153">
        <v>163632</v>
      </c>
      <c r="H45" s="153">
        <v>92141</v>
      </c>
      <c r="I45" s="153">
        <v>71491</v>
      </c>
      <c r="J45" s="153">
        <v>100767</v>
      </c>
      <c r="K45" s="153">
        <v>29809</v>
      </c>
      <c r="L45" s="153">
        <v>3964</v>
      </c>
      <c r="M45" s="153">
        <v>19138</v>
      </c>
      <c r="N45" s="153">
        <v>0</v>
      </c>
      <c r="O45" s="153">
        <v>9954</v>
      </c>
      <c r="P45" s="153">
        <v>163632</v>
      </c>
    </row>
    <row r="46" spans="1:16" x14ac:dyDescent="0.25">
      <c r="A46" s="196" t="s">
        <v>530</v>
      </c>
      <c r="B46" s="153">
        <v>30962</v>
      </c>
      <c r="C46" s="153">
        <v>11779</v>
      </c>
      <c r="D46" s="153">
        <v>74142</v>
      </c>
      <c r="E46" s="153">
        <v>6994</v>
      </c>
      <c r="F46" s="153">
        <v>6730</v>
      </c>
      <c r="G46" s="153">
        <v>130607</v>
      </c>
      <c r="H46" s="153">
        <v>73240</v>
      </c>
      <c r="I46" s="153">
        <v>57367</v>
      </c>
      <c r="J46" s="153">
        <v>79415</v>
      </c>
      <c r="K46" s="153">
        <v>29077</v>
      </c>
      <c r="L46" s="153">
        <v>3779</v>
      </c>
      <c r="M46" s="153">
        <v>10652</v>
      </c>
      <c r="N46" s="153">
        <v>0</v>
      </c>
      <c r="O46" s="153">
        <v>7684</v>
      </c>
      <c r="P46" s="153">
        <v>130607</v>
      </c>
    </row>
    <row r="47" spans="1:16" x14ac:dyDescent="0.25">
      <c r="A47" s="196" t="s">
        <v>531</v>
      </c>
      <c r="B47" s="153">
        <v>2978</v>
      </c>
      <c r="C47" s="153">
        <v>845</v>
      </c>
      <c r="D47" s="153">
        <v>8505</v>
      </c>
      <c r="E47" s="153">
        <v>574</v>
      </c>
      <c r="F47" s="153">
        <v>655</v>
      </c>
      <c r="G47" s="153">
        <v>13557</v>
      </c>
      <c r="H47" s="153">
        <v>6968</v>
      </c>
      <c r="I47" s="153">
        <v>6589</v>
      </c>
      <c r="J47" s="153">
        <v>9286</v>
      </c>
      <c r="K47" s="153">
        <v>2577</v>
      </c>
      <c r="L47" s="153">
        <v>195</v>
      </c>
      <c r="M47" s="153">
        <v>729</v>
      </c>
      <c r="N47" s="153">
        <v>0</v>
      </c>
      <c r="O47" s="153">
        <v>770</v>
      </c>
      <c r="P47" s="153">
        <v>13557</v>
      </c>
    </row>
    <row r="48" spans="1:16" x14ac:dyDescent="0.25">
      <c r="A48" s="196" t="s">
        <v>532</v>
      </c>
      <c r="B48" s="153">
        <v>4781</v>
      </c>
      <c r="C48" s="153">
        <v>1409</v>
      </c>
      <c r="D48" s="153">
        <v>16418</v>
      </c>
      <c r="E48" s="153">
        <v>1924</v>
      </c>
      <c r="F48" s="153">
        <v>926</v>
      </c>
      <c r="G48" s="153">
        <v>25458</v>
      </c>
      <c r="H48" s="153">
        <v>14866</v>
      </c>
      <c r="I48" s="153">
        <v>10592</v>
      </c>
      <c r="J48" s="153">
        <v>17936</v>
      </c>
      <c r="K48" s="153">
        <v>4323</v>
      </c>
      <c r="L48" s="153">
        <v>964</v>
      </c>
      <c r="M48" s="153">
        <v>64</v>
      </c>
      <c r="N48" s="153">
        <v>0</v>
      </c>
      <c r="O48" s="153">
        <v>2171</v>
      </c>
      <c r="P48" s="153">
        <v>25458</v>
      </c>
    </row>
    <row r="49" spans="1:16" x14ac:dyDescent="0.25">
      <c r="A49" s="196" t="s">
        <v>533</v>
      </c>
      <c r="B49" s="153">
        <v>200819</v>
      </c>
      <c r="C49" s="153">
        <v>55946</v>
      </c>
      <c r="D49" s="153">
        <v>661857</v>
      </c>
      <c r="E49" s="153">
        <v>67870</v>
      </c>
      <c r="F49" s="153">
        <v>31821</v>
      </c>
      <c r="G49" s="153">
        <v>1018313</v>
      </c>
      <c r="H49" s="153">
        <v>614365</v>
      </c>
      <c r="I49" s="153">
        <v>403948</v>
      </c>
      <c r="J49" s="153">
        <v>534149</v>
      </c>
      <c r="K49" s="153">
        <v>165113</v>
      </c>
      <c r="L49" s="153">
        <v>28569</v>
      </c>
      <c r="M49" s="153">
        <v>159877</v>
      </c>
      <c r="N49" s="153">
        <v>0</v>
      </c>
      <c r="O49" s="153">
        <v>130605</v>
      </c>
      <c r="P49" s="153">
        <v>1018313</v>
      </c>
    </row>
    <row r="50" spans="1:16" x14ac:dyDescent="0.25">
      <c r="A50" s="196" t="s">
        <v>534</v>
      </c>
      <c r="B50" s="153">
        <v>15645</v>
      </c>
      <c r="C50" s="153">
        <v>7315</v>
      </c>
      <c r="D50" s="153">
        <v>40964</v>
      </c>
      <c r="E50" s="153">
        <v>4112</v>
      </c>
      <c r="F50" s="153">
        <v>4143</v>
      </c>
      <c r="G50" s="153">
        <v>72179</v>
      </c>
      <c r="H50" s="153">
        <v>41329</v>
      </c>
      <c r="I50" s="153">
        <v>30850</v>
      </c>
      <c r="J50" s="153">
        <v>47993</v>
      </c>
      <c r="K50" s="153">
        <v>14144</v>
      </c>
      <c r="L50" s="153">
        <v>1935</v>
      </c>
      <c r="M50" s="153">
        <v>4031</v>
      </c>
      <c r="N50" s="153">
        <v>2</v>
      </c>
      <c r="O50" s="153">
        <v>4074</v>
      </c>
      <c r="P50" s="153">
        <v>72179</v>
      </c>
    </row>
    <row r="51" spans="1:16" x14ac:dyDescent="0.25">
      <c r="A51" s="196" t="s">
        <v>535</v>
      </c>
      <c r="B51" s="153">
        <v>6601</v>
      </c>
      <c r="C51" s="153">
        <v>2283</v>
      </c>
      <c r="D51" s="153">
        <v>22097</v>
      </c>
      <c r="E51" s="153">
        <v>2429</v>
      </c>
      <c r="F51" s="153">
        <v>1230</v>
      </c>
      <c r="G51" s="153">
        <v>34640</v>
      </c>
      <c r="H51" s="153">
        <v>19654</v>
      </c>
      <c r="I51" s="153">
        <v>14986</v>
      </c>
      <c r="J51" s="153">
        <v>18800</v>
      </c>
      <c r="K51" s="153">
        <v>7203</v>
      </c>
      <c r="L51" s="153">
        <v>1115</v>
      </c>
      <c r="M51" s="153">
        <v>4648</v>
      </c>
      <c r="N51" s="153">
        <v>0</v>
      </c>
      <c r="O51" s="153">
        <v>2874</v>
      </c>
      <c r="P51" s="153">
        <v>34640</v>
      </c>
    </row>
    <row r="52" spans="1:16" x14ac:dyDescent="0.25">
      <c r="A52" s="196" t="s">
        <v>536</v>
      </c>
      <c r="B52" s="153">
        <v>21395</v>
      </c>
      <c r="C52" s="153">
        <v>11278</v>
      </c>
      <c r="D52" s="153">
        <v>54317</v>
      </c>
      <c r="E52" s="153">
        <v>4745</v>
      </c>
      <c r="F52" s="153">
        <v>6172</v>
      </c>
      <c r="G52" s="153">
        <v>97907</v>
      </c>
      <c r="H52" s="153">
        <v>55177</v>
      </c>
      <c r="I52" s="153">
        <v>42730</v>
      </c>
      <c r="J52" s="153">
        <v>55568</v>
      </c>
      <c r="K52" s="153">
        <v>18252</v>
      </c>
      <c r="L52" s="153">
        <v>1933</v>
      </c>
      <c r="M52" s="153">
        <v>17376</v>
      </c>
      <c r="N52" s="153">
        <v>0</v>
      </c>
      <c r="O52" s="153">
        <v>4778</v>
      </c>
      <c r="P52" s="153">
        <v>97907</v>
      </c>
    </row>
    <row r="53" spans="1:16" x14ac:dyDescent="0.25">
      <c r="A53" s="152" t="s">
        <v>36</v>
      </c>
      <c r="B53" s="153">
        <v>559336</v>
      </c>
      <c r="C53" s="153">
        <v>187655</v>
      </c>
      <c r="D53" s="153">
        <v>1740172</v>
      </c>
      <c r="E53" s="153">
        <v>167819</v>
      </c>
      <c r="F53" s="153">
        <v>107938</v>
      </c>
      <c r="G53" s="153">
        <v>2762920</v>
      </c>
      <c r="H53" s="153">
        <v>1611955</v>
      </c>
      <c r="I53" s="153">
        <v>1150965</v>
      </c>
      <c r="J53" s="153">
        <v>1556255</v>
      </c>
      <c r="K53" s="153">
        <v>488759</v>
      </c>
      <c r="L53" s="153">
        <v>71245</v>
      </c>
      <c r="M53" s="153">
        <v>383285</v>
      </c>
      <c r="N53" s="153">
        <v>5</v>
      </c>
      <c r="O53" s="153">
        <v>263371</v>
      </c>
      <c r="P53" s="153">
        <v>2762920</v>
      </c>
    </row>
    <row r="54" spans="1:16" x14ac:dyDescent="0.25">
      <c r="A54" s="176"/>
      <c r="B54" s="181"/>
      <c r="C54" s="181"/>
      <c r="D54" s="181"/>
      <c r="E54" s="181"/>
      <c r="F54" s="181"/>
      <c r="G54" s="181"/>
    </row>
    <row r="55" spans="1:16" x14ac:dyDescent="0.25">
      <c r="A55" s="217" t="s">
        <v>556</v>
      </c>
      <c r="B55" s="218"/>
      <c r="C55" s="181"/>
      <c r="D55" s="181"/>
      <c r="E55" s="181"/>
      <c r="F55" s="181"/>
      <c r="G55" s="181"/>
    </row>
    <row r="56" spans="1:16" ht="18.75" x14ac:dyDescent="0.3">
      <c r="A56" s="2" t="s">
        <v>547</v>
      </c>
      <c r="B56" s="181"/>
      <c r="C56" s="181"/>
      <c r="D56" s="181"/>
      <c r="E56" s="181"/>
      <c r="F56" s="181"/>
      <c r="G56" s="181"/>
    </row>
    <row r="57" spans="1:16" x14ac:dyDescent="0.25">
      <c r="A57" s="10" t="s">
        <v>12</v>
      </c>
      <c r="B57" s="181"/>
      <c r="C57" s="181"/>
      <c r="D57" s="181"/>
      <c r="E57" s="181"/>
      <c r="F57" s="181"/>
      <c r="G57" s="181"/>
    </row>
    <row r="58" spans="1:16" x14ac:dyDescent="0.25">
      <c r="A58" s="176" t="s">
        <v>505</v>
      </c>
      <c r="B58" s="181"/>
      <c r="C58" s="181"/>
    </row>
    <row r="59" spans="1:16" x14ac:dyDescent="0.25">
      <c r="A59" s="589" t="s">
        <v>537</v>
      </c>
      <c r="B59" s="588" t="s">
        <v>538</v>
      </c>
      <c r="C59" s="588"/>
      <c r="D59" s="588"/>
      <c r="E59" s="588"/>
      <c r="F59" s="588"/>
      <c r="G59" s="173"/>
    </row>
    <row r="60" spans="1:16" ht="30" x14ac:dyDescent="0.25">
      <c r="A60" s="590"/>
      <c r="B60" s="152" t="s">
        <v>500</v>
      </c>
      <c r="C60" s="152" t="s">
        <v>143</v>
      </c>
      <c r="D60" s="152" t="s">
        <v>501</v>
      </c>
      <c r="E60" s="152" t="s">
        <v>20</v>
      </c>
      <c r="F60" s="152" t="s">
        <v>145</v>
      </c>
      <c r="G60" s="152" t="s">
        <v>36</v>
      </c>
    </row>
    <row r="61" spans="1:16" x14ac:dyDescent="0.25">
      <c r="A61" s="196" t="s">
        <v>521</v>
      </c>
      <c r="B61" s="184">
        <f t="shared" ref="B61:G70" si="0">+B37/B12</f>
        <v>0.8223676089371682</v>
      </c>
      <c r="C61" s="184">
        <f t="shared" si="0"/>
        <v>0.57631673235399494</v>
      </c>
      <c r="D61" s="184">
        <f t="shared" si="0"/>
        <v>0.87112396096855804</v>
      </c>
      <c r="E61" s="184">
        <f t="shared" si="0"/>
        <v>0.47636297772142727</v>
      </c>
      <c r="F61" s="184">
        <f t="shared" si="0"/>
        <v>0.7980214344600165</v>
      </c>
      <c r="G61" s="184">
        <f t="shared" si="0"/>
        <v>0.78192697768762676</v>
      </c>
    </row>
    <row r="62" spans="1:16" x14ac:dyDescent="0.25">
      <c r="A62" s="196" t="s">
        <v>522</v>
      </c>
      <c r="B62" s="184">
        <f t="shared" si="0"/>
        <v>0.78783082183107511</v>
      </c>
      <c r="C62" s="184">
        <f t="shared" si="0"/>
        <v>0.56936134687630446</v>
      </c>
      <c r="D62" s="184">
        <f t="shared" si="0"/>
        <v>0.84438979526551505</v>
      </c>
      <c r="E62" s="184">
        <f t="shared" si="0"/>
        <v>0.46513202437373052</v>
      </c>
      <c r="F62" s="184">
        <f t="shared" si="0"/>
        <v>0.79561501300631732</v>
      </c>
      <c r="G62" s="184">
        <f t="shared" si="0"/>
        <v>0.7691425192193968</v>
      </c>
    </row>
    <row r="63" spans="1:16" x14ac:dyDescent="0.25">
      <c r="A63" s="196" t="s">
        <v>523</v>
      </c>
      <c r="B63" s="184">
        <f t="shared" si="0"/>
        <v>0.8358271424087057</v>
      </c>
      <c r="C63" s="184">
        <f t="shared" si="0"/>
        <v>0.59510275470048102</v>
      </c>
      <c r="D63" s="184">
        <f t="shared" si="0"/>
        <v>0.87709353259469214</v>
      </c>
      <c r="E63" s="184">
        <f t="shared" si="0"/>
        <v>0.52694084011436115</v>
      </c>
      <c r="F63" s="184">
        <f t="shared" si="0"/>
        <v>0.82554161915621438</v>
      </c>
      <c r="G63" s="184">
        <f t="shared" si="0"/>
        <v>0.81169386169386171</v>
      </c>
    </row>
    <row r="64" spans="1:16" x14ac:dyDescent="0.25">
      <c r="A64" s="196" t="s">
        <v>524</v>
      </c>
      <c r="B64" s="184">
        <f t="shared" si="0"/>
        <v>0.85777762227975651</v>
      </c>
      <c r="C64" s="184">
        <f t="shared" si="0"/>
        <v>0.59608313949125835</v>
      </c>
      <c r="D64" s="184">
        <f t="shared" si="0"/>
        <v>0.88809531682262566</v>
      </c>
      <c r="E64" s="184">
        <f t="shared" si="0"/>
        <v>0.50530111792282728</v>
      </c>
      <c r="F64" s="184">
        <f t="shared" si="0"/>
        <v>0.85821455363840959</v>
      </c>
      <c r="G64" s="184">
        <f t="shared" si="0"/>
        <v>0.82075279085849773</v>
      </c>
    </row>
    <row r="65" spans="1:7" x14ac:dyDescent="0.25">
      <c r="A65" s="196" t="s">
        <v>525</v>
      </c>
      <c r="B65" s="184">
        <f t="shared" si="0"/>
        <v>0.86006845489567074</v>
      </c>
      <c r="C65" s="184">
        <f t="shared" si="0"/>
        <v>0.61274465725504301</v>
      </c>
      <c r="D65" s="184">
        <f t="shared" si="0"/>
        <v>0.88454338372333818</v>
      </c>
      <c r="E65" s="184">
        <f t="shared" si="0"/>
        <v>0.4921151908522155</v>
      </c>
      <c r="F65" s="184">
        <f t="shared" si="0"/>
        <v>0.82810913705583755</v>
      </c>
      <c r="G65" s="184">
        <f t="shared" si="0"/>
        <v>0.81405041716595095</v>
      </c>
    </row>
    <row r="66" spans="1:7" x14ac:dyDescent="0.25">
      <c r="A66" s="196" t="s">
        <v>526</v>
      </c>
      <c r="B66" s="184">
        <f t="shared" si="0"/>
        <v>0.85050772096376859</v>
      </c>
      <c r="C66" s="184">
        <f t="shared" si="0"/>
        <v>0.51307806047009641</v>
      </c>
      <c r="D66" s="184">
        <f t="shared" si="0"/>
        <v>0.89342474561837981</v>
      </c>
      <c r="E66" s="184">
        <f t="shared" si="0"/>
        <v>0.50960179076343071</v>
      </c>
      <c r="F66" s="184">
        <f t="shared" si="0"/>
        <v>0.83353571034330498</v>
      </c>
      <c r="G66" s="184">
        <f t="shared" si="0"/>
        <v>0.81123303628032595</v>
      </c>
    </row>
    <row r="67" spans="1:7" x14ac:dyDescent="0.25">
      <c r="A67" s="196" t="s">
        <v>527</v>
      </c>
      <c r="B67" s="184">
        <f t="shared" si="0"/>
        <v>0.88476343941631974</v>
      </c>
      <c r="C67" s="184">
        <f t="shared" si="0"/>
        <v>0.53699274495734672</v>
      </c>
      <c r="D67" s="184">
        <f t="shared" si="0"/>
        <v>0.90578631049203118</v>
      </c>
      <c r="E67" s="184">
        <f t="shared" si="0"/>
        <v>0.54058926257675621</v>
      </c>
      <c r="F67" s="184">
        <f t="shared" si="0"/>
        <v>0.82575213060889208</v>
      </c>
      <c r="G67" s="184">
        <f t="shared" si="0"/>
        <v>0.82930698275673187</v>
      </c>
    </row>
    <row r="68" spans="1:7" x14ac:dyDescent="0.25">
      <c r="A68" s="196" t="s">
        <v>528</v>
      </c>
      <c r="B68" s="184">
        <f t="shared" si="0"/>
        <v>0.86500366837857667</v>
      </c>
      <c r="C68" s="184">
        <f t="shared" si="0"/>
        <v>0.49278475692336432</v>
      </c>
      <c r="D68" s="184">
        <f t="shared" si="0"/>
        <v>0.88534607571662138</v>
      </c>
      <c r="E68" s="184">
        <f t="shared" si="0"/>
        <v>0.53611492482335998</v>
      </c>
      <c r="F68" s="184">
        <f t="shared" si="0"/>
        <v>0.83058482211024587</v>
      </c>
      <c r="G68" s="184">
        <f t="shared" si="0"/>
        <v>0.79651309566174833</v>
      </c>
    </row>
    <row r="69" spans="1:7" x14ac:dyDescent="0.25">
      <c r="A69" s="196" t="s">
        <v>529</v>
      </c>
      <c r="B69" s="184">
        <f t="shared" si="0"/>
        <v>0.89704490266288017</v>
      </c>
      <c r="C69" s="184">
        <f t="shared" si="0"/>
        <v>0.46301037596011319</v>
      </c>
      <c r="D69" s="184">
        <f t="shared" si="0"/>
        <v>0.89935999060536664</v>
      </c>
      <c r="E69" s="184">
        <f t="shared" si="0"/>
        <v>0.52865417376490631</v>
      </c>
      <c r="F69" s="184">
        <f t="shared" si="0"/>
        <v>0.84002025060118968</v>
      </c>
      <c r="G69" s="184">
        <f t="shared" si="0"/>
        <v>0.80591016548463357</v>
      </c>
    </row>
    <row r="70" spans="1:7" x14ac:dyDescent="0.25">
      <c r="A70" s="196" t="s">
        <v>530</v>
      </c>
      <c r="B70" s="184">
        <f t="shared" si="0"/>
        <v>0.8975273212163376</v>
      </c>
      <c r="C70" s="184">
        <f t="shared" si="0"/>
        <v>0.55705840624261049</v>
      </c>
      <c r="D70" s="184">
        <f t="shared" si="0"/>
        <v>0.89610577969010607</v>
      </c>
      <c r="E70" s="184">
        <f t="shared" si="0"/>
        <v>0.59462676415575577</v>
      </c>
      <c r="F70" s="184">
        <f t="shared" si="0"/>
        <v>0.8367524555514112</v>
      </c>
      <c r="G70" s="184">
        <f t="shared" si="0"/>
        <v>0.82565982868160703</v>
      </c>
    </row>
    <row r="71" spans="1:7" x14ac:dyDescent="0.25">
      <c r="A71" s="196" t="s">
        <v>531</v>
      </c>
      <c r="B71" s="184">
        <f t="shared" ref="B71:G77" si="1">+B47/B22</f>
        <v>0.85623921794134561</v>
      </c>
      <c r="C71" s="184">
        <f t="shared" si="1"/>
        <v>0.48148148148148145</v>
      </c>
      <c r="D71" s="184">
        <f t="shared" si="1"/>
        <v>0.87007672634271105</v>
      </c>
      <c r="E71" s="184">
        <f t="shared" si="1"/>
        <v>0.43288084464555054</v>
      </c>
      <c r="F71" s="184">
        <f t="shared" si="1"/>
        <v>0.80864197530864201</v>
      </c>
      <c r="G71" s="184">
        <f t="shared" si="1"/>
        <v>0.79077228184787685</v>
      </c>
    </row>
    <row r="72" spans="1:7" x14ac:dyDescent="0.25">
      <c r="A72" s="196" t="s">
        <v>532</v>
      </c>
      <c r="B72" s="184">
        <f t="shared" si="1"/>
        <v>0.8458952583156405</v>
      </c>
      <c r="C72" s="184">
        <f t="shared" si="1"/>
        <v>0.64930875576036862</v>
      </c>
      <c r="D72" s="184">
        <f t="shared" si="1"/>
        <v>0.85434771296248113</v>
      </c>
      <c r="E72" s="184">
        <f t="shared" si="1"/>
        <v>0.5069828722002635</v>
      </c>
      <c r="F72" s="184">
        <f t="shared" si="1"/>
        <v>0.82752457551385161</v>
      </c>
      <c r="G72" s="184">
        <f t="shared" si="1"/>
        <v>0.7967327011548212</v>
      </c>
    </row>
    <row r="73" spans="1:7" x14ac:dyDescent="0.25">
      <c r="A73" s="196" t="s">
        <v>533</v>
      </c>
      <c r="B73" s="184">
        <f t="shared" si="1"/>
        <v>0.86150697977709334</v>
      </c>
      <c r="C73" s="184">
        <f t="shared" si="1"/>
        <v>0.60469741350425321</v>
      </c>
      <c r="D73" s="184">
        <f t="shared" si="1"/>
        <v>0.88287859263824309</v>
      </c>
      <c r="E73" s="184">
        <f t="shared" si="1"/>
        <v>0.53272319115869449</v>
      </c>
      <c r="F73" s="184">
        <f t="shared" si="1"/>
        <v>0.82763732833957548</v>
      </c>
      <c r="G73" s="184">
        <f t="shared" si="1"/>
        <v>0.82047313373549402</v>
      </c>
    </row>
    <row r="74" spans="1:7" x14ac:dyDescent="0.25">
      <c r="A74" s="196" t="s">
        <v>534</v>
      </c>
      <c r="B74" s="184">
        <f t="shared" si="1"/>
        <v>0.89630478372959033</v>
      </c>
      <c r="C74" s="184">
        <f t="shared" si="1"/>
        <v>0.65628925174950659</v>
      </c>
      <c r="D74" s="184">
        <f t="shared" si="1"/>
        <v>0.89162658076311951</v>
      </c>
      <c r="E74" s="184">
        <f t="shared" si="1"/>
        <v>0.57817772778402698</v>
      </c>
      <c r="F74" s="184">
        <f t="shared" si="1"/>
        <v>0.85687693898655637</v>
      </c>
      <c r="G74" s="184">
        <f t="shared" si="1"/>
        <v>0.83452613566729483</v>
      </c>
    </row>
    <row r="75" spans="1:7" x14ac:dyDescent="0.25">
      <c r="A75" s="196" t="s">
        <v>535</v>
      </c>
      <c r="B75" s="184">
        <f t="shared" si="1"/>
        <v>0.86400523560209419</v>
      </c>
      <c r="C75" s="184">
        <f t="shared" si="1"/>
        <v>0.68128916741271262</v>
      </c>
      <c r="D75" s="184">
        <f t="shared" si="1"/>
        <v>0.89262775196929911</v>
      </c>
      <c r="E75" s="184">
        <f t="shared" si="1"/>
        <v>0.56871926949192231</v>
      </c>
      <c r="F75" s="184">
        <f t="shared" si="1"/>
        <v>0.82494969818913477</v>
      </c>
      <c r="G75" s="184">
        <f t="shared" si="1"/>
        <v>0.83453792040088659</v>
      </c>
    </row>
    <row r="76" spans="1:7" x14ac:dyDescent="0.25">
      <c r="A76" s="196" t="s">
        <v>536</v>
      </c>
      <c r="B76" s="184">
        <f t="shared" si="1"/>
        <v>0.89605059262051345</v>
      </c>
      <c r="C76" s="184">
        <f t="shared" si="1"/>
        <v>0.43187562227157844</v>
      </c>
      <c r="D76" s="184">
        <f t="shared" si="1"/>
        <v>0.90785559084071532</v>
      </c>
      <c r="E76" s="184">
        <f t="shared" si="1"/>
        <v>0.55961787946691832</v>
      </c>
      <c r="F76" s="184">
        <f t="shared" si="1"/>
        <v>0.84547945205479447</v>
      </c>
      <c r="G76" s="184">
        <f t="shared" si="1"/>
        <v>0.77951433121019109</v>
      </c>
    </row>
    <row r="77" spans="1:7" x14ac:dyDescent="0.25">
      <c r="A77" s="152" t="s">
        <v>36</v>
      </c>
      <c r="B77" s="184">
        <f t="shared" si="1"/>
        <v>0.86657092084857446</v>
      </c>
      <c r="C77" s="184">
        <f t="shared" si="1"/>
        <v>0.55283376836101605</v>
      </c>
      <c r="D77" s="184">
        <f t="shared" si="1"/>
        <v>0.886623297749626</v>
      </c>
      <c r="E77" s="184">
        <f t="shared" si="1"/>
        <v>0.52626974072076371</v>
      </c>
      <c r="F77" s="184">
        <f t="shared" si="1"/>
        <v>0.83153321109964096</v>
      </c>
      <c r="G77" s="184">
        <f t="shared" si="1"/>
        <v>0.81351193229547447</v>
      </c>
    </row>
    <row r="78" spans="1:7" x14ac:dyDescent="0.25">
      <c r="A78" s="176"/>
      <c r="B78" s="181"/>
      <c r="C78" s="181"/>
      <c r="D78" s="181"/>
      <c r="E78" s="181"/>
      <c r="F78" s="181"/>
      <c r="G78" s="181"/>
    </row>
    <row r="79" spans="1:7" x14ac:dyDescent="0.25">
      <c r="A79" s="176"/>
      <c r="B79" s="181"/>
      <c r="C79" s="181"/>
      <c r="D79" s="181"/>
      <c r="E79" s="181"/>
      <c r="F79" s="181"/>
      <c r="G79" s="181"/>
    </row>
    <row r="80" spans="1:7" x14ac:dyDescent="0.25">
      <c r="A80" s="176"/>
      <c r="B80" s="181"/>
      <c r="C80" s="181"/>
      <c r="D80" s="181"/>
      <c r="E80" s="181"/>
      <c r="F80" s="181"/>
      <c r="G80" s="181"/>
    </row>
    <row r="81" spans="1:7" x14ac:dyDescent="0.25">
      <c r="A81" s="176"/>
      <c r="B81" s="181"/>
      <c r="C81" s="181"/>
      <c r="D81" s="181"/>
      <c r="E81" s="181"/>
      <c r="F81" s="181"/>
      <c r="G81" s="181"/>
    </row>
    <row r="82" spans="1:7" x14ac:dyDescent="0.25">
      <c r="A82" s="176"/>
      <c r="B82" s="181"/>
      <c r="C82" s="181"/>
      <c r="D82" s="181"/>
      <c r="E82" s="181"/>
      <c r="F82" s="181"/>
      <c r="G82" s="181"/>
    </row>
    <row r="83" spans="1:7" x14ac:dyDescent="0.25">
      <c r="A83" s="176"/>
      <c r="B83" s="181"/>
      <c r="C83" s="181"/>
      <c r="D83" s="181"/>
      <c r="E83" s="181"/>
      <c r="F83" s="181"/>
      <c r="G83" s="181"/>
    </row>
    <row r="84" spans="1:7" x14ac:dyDescent="0.25">
      <c r="A84" s="176"/>
      <c r="B84" s="181"/>
      <c r="C84" s="181"/>
      <c r="D84" s="181"/>
      <c r="E84" s="181"/>
      <c r="F84" s="181"/>
      <c r="G84" s="181"/>
    </row>
    <row r="85" spans="1:7" x14ac:dyDescent="0.25">
      <c r="A85" s="176"/>
      <c r="B85" s="181"/>
      <c r="C85" s="181"/>
      <c r="D85" s="181"/>
      <c r="E85" s="181"/>
      <c r="F85" s="181"/>
      <c r="G85" s="181"/>
    </row>
    <row r="86" spans="1:7" x14ac:dyDescent="0.25">
      <c r="A86" s="176"/>
      <c r="B86" s="181"/>
      <c r="C86" s="181"/>
      <c r="D86" s="181"/>
      <c r="E86" s="181"/>
      <c r="F86" s="181"/>
      <c r="G86" s="181"/>
    </row>
    <row r="87" spans="1:7" x14ac:dyDescent="0.25">
      <c r="A87" s="176"/>
      <c r="B87" s="181"/>
      <c r="C87" s="181"/>
      <c r="D87" s="181"/>
      <c r="E87" s="181"/>
      <c r="F87" s="181"/>
      <c r="G87" s="181"/>
    </row>
    <row r="88" spans="1:7" x14ac:dyDescent="0.25">
      <c r="A88" s="176"/>
      <c r="B88" s="181"/>
      <c r="C88" s="181"/>
      <c r="D88" s="181"/>
      <c r="E88" s="181"/>
      <c r="F88" s="181"/>
      <c r="G88" s="181"/>
    </row>
    <row r="89" spans="1:7" x14ac:dyDescent="0.25">
      <c r="A89" s="176"/>
      <c r="B89" s="181"/>
      <c r="C89" s="181"/>
      <c r="D89" s="181"/>
      <c r="E89" s="181"/>
      <c r="F89" s="181"/>
      <c r="G89" s="181"/>
    </row>
    <row r="90" spans="1:7" x14ac:dyDescent="0.25">
      <c r="A90" s="176"/>
      <c r="B90" s="181"/>
      <c r="C90" s="181"/>
      <c r="D90" s="181"/>
      <c r="E90" s="181"/>
      <c r="F90" s="181"/>
      <c r="G90" s="181"/>
    </row>
    <row r="91" spans="1:7" x14ac:dyDescent="0.25">
      <c r="A91" s="176"/>
      <c r="B91" s="181"/>
      <c r="C91" s="181"/>
      <c r="D91" s="181"/>
      <c r="E91" s="181"/>
      <c r="F91" s="181"/>
      <c r="G91" s="181"/>
    </row>
    <row r="92" spans="1:7" x14ac:dyDescent="0.25">
      <c r="A92" s="176"/>
      <c r="B92" s="181"/>
      <c r="C92" s="181"/>
      <c r="D92" s="181"/>
      <c r="E92" s="181"/>
      <c r="F92" s="181"/>
      <c r="G92" s="181"/>
    </row>
    <row r="93" spans="1:7" x14ac:dyDescent="0.25">
      <c r="A93" s="176"/>
      <c r="B93" s="181"/>
      <c r="C93" s="181"/>
    </row>
    <row r="94" spans="1:7" x14ac:dyDescent="0.25">
      <c r="A94" s="176"/>
      <c r="B94" s="181"/>
      <c r="C94" s="181"/>
      <c r="D94" s="181"/>
      <c r="E94" s="181"/>
      <c r="F94" s="181"/>
      <c r="G94" s="181"/>
    </row>
    <row r="95" spans="1:7" x14ac:dyDescent="0.25">
      <c r="A95" s="176"/>
      <c r="B95" s="181"/>
      <c r="C95" s="181"/>
      <c r="D95" s="181"/>
    </row>
    <row r="96" spans="1:7" x14ac:dyDescent="0.25">
      <c r="A96" s="176"/>
    </row>
    <row r="97" spans="1:7" x14ac:dyDescent="0.25">
      <c r="A97" s="176"/>
      <c r="B97" s="181"/>
      <c r="C97" s="181"/>
    </row>
    <row r="98" spans="1:7" x14ac:dyDescent="0.25">
      <c r="A98" s="176"/>
      <c r="B98" s="181"/>
      <c r="C98" s="181"/>
      <c r="D98" s="181"/>
      <c r="E98" s="181"/>
      <c r="F98" s="181"/>
      <c r="G98" s="181"/>
    </row>
    <row r="99" spans="1:7" x14ac:dyDescent="0.25">
      <c r="A99" s="176"/>
      <c r="B99" s="181"/>
      <c r="C99" s="181"/>
    </row>
    <row r="100" spans="1:7" x14ac:dyDescent="0.25">
      <c r="A100" s="176"/>
      <c r="B100" s="181"/>
      <c r="C100" s="181"/>
      <c r="D100" s="181"/>
      <c r="E100" s="181"/>
      <c r="F100" s="181"/>
      <c r="G100" s="181"/>
    </row>
    <row r="101" spans="1:7" x14ac:dyDescent="0.25">
      <c r="A101" s="176"/>
      <c r="B101" s="181"/>
      <c r="C101" s="181"/>
      <c r="D101" s="181"/>
      <c r="E101" s="181"/>
      <c r="F101" s="181"/>
      <c r="G101" s="181"/>
    </row>
    <row r="102" spans="1:7" x14ac:dyDescent="0.25">
      <c r="A102" s="176"/>
      <c r="B102" s="181"/>
      <c r="C102" s="181"/>
      <c r="D102" s="181"/>
      <c r="E102" s="181"/>
      <c r="F102" s="181"/>
      <c r="G102" s="181"/>
    </row>
    <row r="103" spans="1:7" x14ac:dyDescent="0.25">
      <c r="A103" s="176"/>
      <c r="B103" s="181"/>
      <c r="C103" s="181"/>
      <c r="D103" s="181"/>
      <c r="E103" s="181"/>
      <c r="F103" s="181"/>
      <c r="G103" s="181"/>
    </row>
    <row r="104" spans="1:7" x14ac:dyDescent="0.25">
      <c r="A104" s="176"/>
      <c r="B104" s="181"/>
      <c r="C104" s="181"/>
      <c r="D104" s="181"/>
      <c r="E104" s="181"/>
      <c r="F104" s="181"/>
      <c r="G104" s="181"/>
    </row>
    <row r="105" spans="1:7" x14ac:dyDescent="0.25">
      <c r="A105" s="176"/>
      <c r="B105" s="181"/>
      <c r="C105" s="181"/>
      <c r="D105" s="181"/>
      <c r="E105" s="181"/>
      <c r="F105" s="181"/>
      <c r="G105" s="181"/>
    </row>
    <row r="106" spans="1:7" x14ac:dyDescent="0.25">
      <c r="A106" s="176"/>
      <c r="B106" s="181"/>
      <c r="C106" s="181"/>
      <c r="D106" s="181"/>
      <c r="E106" s="181"/>
      <c r="F106" s="181"/>
      <c r="G106" s="181"/>
    </row>
    <row r="107" spans="1:7" x14ac:dyDescent="0.25">
      <c r="A107" s="176"/>
      <c r="B107" s="181"/>
      <c r="C107" s="181"/>
      <c r="D107" s="181"/>
      <c r="E107" s="181"/>
      <c r="F107" s="181"/>
      <c r="G107" s="181"/>
    </row>
    <row r="108" spans="1:7" x14ac:dyDescent="0.25">
      <c r="A108" s="176"/>
      <c r="B108" s="181"/>
      <c r="C108" s="181"/>
      <c r="D108" s="181"/>
      <c r="E108" s="181"/>
      <c r="F108" s="181"/>
      <c r="G108" s="181"/>
    </row>
    <row r="109" spans="1:7" x14ac:dyDescent="0.25">
      <c r="A109" s="176"/>
      <c r="B109" s="181"/>
      <c r="C109" s="181"/>
      <c r="D109" s="181"/>
      <c r="E109" s="181"/>
      <c r="F109" s="181"/>
      <c r="G109" s="181"/>
    </row>
    <row r="110" spans="1:7" x14ac:dyDescent="0.25">
      <c r="A110" s="176"/>
      <c r="B110" s="181"/>
      <c r="C110" s="181"/>
    </row>
    <row r="111" spans="1:7" x14ac:dyDescent="0.25">
      <c r="A111" s="176"/>
      <c r="B111" s="181"/>
      <c r="C111" s="181"/>
      <c r="D111" s="181"/>
      <c r="E111" s="181"/>
      <c r="F111" s="181"/>
      <c r="G111" s="181"/>
    </row>
    <row r="112" spans="1:7" x14ac:dyDescent="0.25">
      <c r="A112" s="176"/>
      <c r="B112" s="181"/>
      <c r="C112" s="181"/>
      <c r="D112" s="181"/>
    </row>
    <row r="113" spans="1:7" x14ac:dyDescent="0.25">
      <c r="A113" s="176"/>
    </row>
    <row r="114" spans="1:7" x14ac:dyDescent="0.25">
      <c r="A114" s="176"/>
      <c r="B114" s="181"/>
      <c r="C114" s="181"/>
    </row>
    <row r="115" spans="1:7" x14ac:dyDescent="0.25">
      <c r="A115" s="176"/>
      <c r="B115" s="181"/>
      <c r="C115" s="181"/>
      <c r="D115" s="181"/>
      <c r="E115" s="181"/>
      <c r="F115" s="181"/>
      <c r="G115" s="181"/>
    </row>
    <row r="116" spans="1:7" x14ac:dyDescent="0.25">
      <c r="A116" s="176"/>
      <c r="B116" s="181"/>
      <c r="C116" s="181"/>
    </row>
    <row r="117" spans="1:7" x14ac:dyDescent="0.25">
      <c r="A117" s="176"/>
      <c r="B117" s="181"/>
      <c r="C117" s="181"/>
      <c r="D117" s="181"/>
      <c r="E117" s="181"/>
      <c r="F117" s="181"/>
      <c r="G117" s="181"/>
    </row>
    <row r="118" spans="1:7" x14ac:dyDescent="0.25">
      <c r="A118" s="176"/>
      <c r="B118" s="181"/>
      <c r="C118" s="181"/>
      <c r="D118" s="181"/>
      <c r="E118" s="181"/>
      <c r="F118" s="181"/>
      <c r="G118" s="181"/>
    </row>
    <row r="119" spans="1:7" x14ac:dyDescent="0.25">
      <c r="A119" s="176"/>
      <c r="B119" s="181"/>
      <c r="C119" s="181"/>
      <c r="D119" s="181"/>
      <c r="E119" s="181"/>
      <c r="F119" s="181"/>
      <c r="G119" s="181"/>
    </row>
    <row r="120" spans="1:7" x14ac:dyDescent="0.25">
      <c r="A120" s="176"/>
      <c r="B120" s="181"/>
      <c r="C120" s="181"/>
      <c r="D120" s="181"/>
      <c r="E120" s="181"/>
      <c r="F120" s="181"/>
      <c r="G120" s="181"/>
    </row>
    <row r="121" spans="1:7" x14ac:dyDescent="0.25">
      <c r="A121" s="176"/>
      <c r="B121" s="181"/>
      <c r="C121" s="181"/>
      <c r="D121" s="181"/>
      <c r="E121" s="181"/>
      <c r="F121" s="181"/>
      <c r="G121" s="181"/>
    </row>
    <row r="122" spans="1:7" x14ac:dyDescent="0.25">
      <c r="A122" s="176"/>
      <c r="B122" s="181"/>
      <c r="C122" s="181"/>
      <c r="D122" s="181"/>
      <c r="E122" s="181"/>
      <c r="F122" s="181"/>
      <c r="G122" s="181"/>
    </row>
    <row r="123" spans="1:7" x14ac:dyDescent="0.25">
      <c r="A123" s="176"/>
      <c r="B123" s="181"/>
      <c r="C123" s="181"/>
      <c r="D123" s="181"/>
      <c r="E123" s="181"/>
      <c r="F123" s="181"/>
      <c r="G123" s="181"/>
    </row>
    <row r="124" spans="1:7" x14ac:dyDescent="0.25">
      <c r="A124" s="176"/>
      <c r="B124" s="181"/>
      <c r="C124" s="181"/>
      <c r="D124" s="181"/>
      <c r="E124" s="181"/>
      <c r="F124" s="181"/>
      <c r="G124" s="181"/>
    </row>
    <row r="125" spans="1:7" x14ac:dyDescent="0.25">
      <c r="A125" s="176"/>
      <c r="B125" s="181"/>
      <c r="C125" s="181"/>
      <c r="D125" s="181"/>
      <c r="E125" s="181"/>
      <c r="F125" s="181"/>
      <c r="G125" s="181"/>
    </row>
    <row r="126" spans="1:7" x14ac:dyDescent="0.25">
      <c r="A126" s="176"/>
      <c r="B126" s="181"/>
      <c r="C126" s="181"/>
      <c r="D126" s="181"/>
      <c r="E126" s="181"/>
      <c r="F126" s="181"/>
      <c r="G126" s="181"/>
    </row>
    <row r="127" spans="1:7" x14ac:dyDescent="0.25">
      <c r="A127" s="176"/>
      <c r="B127" s="181"/>
      <c r="C127" s="181"/>
      <c r="D127" s="181"/>
      <c r="E127" s="181"/>
      <c r="F127" s="181"/>
      <c r="G127" s="181"/>
    </row>
    <row r="128" spans="1:7" x14ac:dyDescent="0.25">
      <c r="A128" s="176"/>
      <c r="B128" s="181"/>
      <c r="C128" s="181"/>
    </row>
    <row r="129" spans="1:7" x14ac:dyDescent="0.25">
      <c r="A129" s="176"/>
      <c r="B129" s="181"/>
      <c r="C129" s="181"/>
      <c r="D129" s="181"/>
      <c r="E129" s="181"/>
      <c r="F129" s="181"/>
      <c r="G129" s="181"/>
    </row>
    <row r="130" spans="1:7" x14ac:dyDescent="0.25">
      <c r="A130" s="176"/>
      <c r="B130" s="181"/>
      <c r="C130" s="181"/>
      <c r="D130" s="181"/>
    </row>
    <row r="131" spans="1:7" x14ac:dyDescent="0.25">
      <c r="A131" s="176"/>
    </row>
    <row r="132" spans="1:7" x14ac:dyDescent="0.25">
      <c r="A132" s="176"/>
      <c r="B132" s="181"/>
      <c r="C132" s="181"/>
    </row>
    <row r="133" spans="1:7" x14ac:dyDescent="0.25">
      <c r="A133" s="176"/>
      <c r="B133" s="181"/>
      <c r="C133" s="181"/>
      <c r="D133" s="181"/>
      <c r="E133" s="181"/>
      <c r="F133" s="181"/>
      <c r="G133" s="181"/>
    </row>
    <row r="134" spans="1:7" x14ac:dyDescent="0.25">
      <c r="A134" s="176"/>
      <c r="B134" s="181"/>
      <c r="C134" s="181"/>
    </row>
    <row r="135" spans="1:7" x14ac:dyDescent="0.25">
      <c r="A135" s="176"/>
      <c r="B135" s="181"/>
      <c r="C135" s="181"/>
      <c r="D135" s="181"/>
      <c r="E135" s="181"/>
      <c r="F135" s="181"/>
      <c r="G135" s="181"/>
    </row>
    <row r="136" spans="1:7" x14ac:dyDescent="0.25">
      <c r="A136" s="176"/>
      <c r="B136" s="181"/>
      <c r="C136" s="181"/>
      <c r="D136" s="181"/>
      <c r="E136" s="181"/>
      <c r="F136" s="181"/>
      <c r="G136" s="181"/>
    </row>
    <row r="137" spans="1:7" x14ac:dyDescent="0.25">
      <c r="A137" s="176"/>
      <c r="B137" s="181"/>
      <c r="C137" s="181"/>
      <c r="D137" s="181"/>
      <c r="E137" s="181"/>
      <c r="F137" s="181"/>
      <c r="G137" s="181"/>
    </row>
    <row r="138" spans="1:7" x14ac:dyDescent="0.25">
      <c r="A138" s="176"/>
      <c r="B138" s="181"/>
      <c r="C138" s="181"/>
      <c r="D138" s="181"/>
      <c r="E138" s="181"/>
      <c r="F138" s="181"/>
      <c r="G138" s="181"/>
    </row>
    <row r="139" spans="1:7" x14ac:dyDescent="0.25">
      <c r="A139" s="176"/>
      <c r="B139" s="181"/>
      <c r="C139" s="181"/>
      <c r="D139" s="181"/>
      <c r="E139" s="181"/>
      <c r="F139" s="181"/>
      <c r="G139" s="181"/>
    </row>
    <row r="140" spans="1:7" x14ac:dyDescent="0.25">
      <c r="A140" s="176"/>
      <c r="B140" s="181"/>
      <c r="C140" s="181"/>
      <c r="D140" s="181"/>
      <c r="E140" s="181"/>
      <c r="F140" s="181"/>
      <c r="G140" s="181"/>
    </row>
    <row r="141" spans="1:7" x14ac:dyDescent="0.25">
      <c r="A141" s="176"/>
      <c r="B141" s="181"/>
      <c r="C141" s="181"/>
      <c r="D141" s="181"/>
      <c r="E141" s="181"/>
      <c r="F141" s="181"/>
      <c r="G141" s="181"/>
    </row>
    <row r="142" spans="1:7" x14ac:dyDescent="0.25">
      <c r="A142" s="176"/>
      <c r="B142" s="181"/>
      <c r="C142" s="181"/>
      <c r="D142" s="181"/>
      <c r="E142" s="181"/>
      <c r="F142" s="181"/>
      <c r="G142" s="181"/>
    </row>
    <row r="143" spans="1:7" x14ac:dyDescent="0.25">
      <c r="A143" s="176"/>
      <c r="B143" s="181"/>
      <c r="C143" s="181"/>
      <c r="D143" s="181"/>
      <c r="E143" s="181"/>
      <c r="F143" s="181"/>
      <c r="G143" s="181"/>
    </row>
    <row r="144" spans="1:7" x14ac:dyDescent="0.25">
      <c r="A144" s="176"/>
      <c r="B144" s="181"/>
      <c r="C144" s="181"/>
      <c r="D144" s="181"/>
      <c r="E144" s="181"/>
      <c r="F144" s="181"/>
      <c r="G144" s="181"/>
    </row>
    <row r="145" spans="1:7" x14ac:dyDescent="0.25">
      <c r="A145" s="176"/>
      <c r="B145" s="181"/>
      <c r="C145" s="181"/>
      <c r="D145" s="181"/>
      <c r="E145" s="181"/>
      <c r="F145" s="181"/>
      <c r="G145" s="181"/>
    </row>
    <row r="146" spans="1:7" x14ac:dyDescent="0.25">
      <c r="A146" s="176"/>
      <c r="B146" s="181"/>
      <c r="C146" s="181"/>
      <c r="D146" s="181"/>
      <c r="E146" s="181"/>
      <c r="F146" s="181"/>
      <c r="G146" s="181"/>
    </row>
    <row r="147" spans="1:7" x14ac:dyDescent="0.25">
      <c r="A147" s="176"/>
      <c r="B147" s="181"/>
      <c r="C147" s="181"/>
      <c r="D147" s="181"/>
      <c r="E147" s="181"/>
      <c r="F147" s="181"/>
      <c r="G147" s="181"/>
    </row>
    <row r="148" spans="1:7" x14ac:dyDescent="0.25">
      <c r="A148" s="176"/>
      <c r="B148" s="181"/>
      <c r="C148" s="181"/>
      <c r="D148" s="181"/>
      <c r="E148" s="181"/>
      <c r="F148" s="181"/>
      <c r="G148" s="181"/>
    </row>
    <row r="149" spans="1:7" x14ac:dyDescent="0.25">
      <c r="A149" s="176"/>
      <c r="B149" s="181"/>
      <c r="C149" s="181"/>
      <c r="D149" s="181"/>
      <c r="E149" s="181"/>
      <c r="F149" s="181"/>
      <c r="G149" s="181"/>
    </row>
    <row r="150" spans="1:7" x14ac:dyDescent="0.25">
      <c r="A150" s="176"/>
      <c r="B150" s="181"/>
      <c r="C150" s="181"/>
      <c r="D150" s="181"/>
      <c r="E150" s="181"/>
      <c r="F150" s="181"/>
      <c r="G150" s="181"/>
    </row>
    <row r="151" spans="1:7" x14ac:dyDescent="0.25">
      <c r="A151" s="176"/>
      <c r="B151" s="181"/>
      <c r="C151" s="181"/>
      <c r="D151" s="181"/>
      <c r="E151" s="181"/>
      <c r="F151" s="181"/>
      <c r="G151" s="181"/>
    </row>
    <row r="152" spans="1:7" x14ac:dyDescent="0.25">
      <c r="A152" s="176"/>
      <c r="B152" s="181"/>
      <c r="C152" s="181"/>
      <c r="D152" s="181"/>
      <c r="E152" s="181"/>
      <c r="F152" s="181"/>
      <c r="G152" s="181"/>
    </row>
    <row r="153" spans="1:7" x14ac:dyDescent="0.25">
      <c r="A153" s="176"/>
      <c r="B153" s="181"/>
      <c r="C153" s="181"/>
      <c r="D153" s="181"/>
      <c r="E153" s="181"/>
      <c r="F153" s="181"/>
      <c r="G153" s="181"/>
    </row>
    <row r="154" spans="1:7" x14ac:dyDescent="0.25">
      <c r="A154" s="176"/>
      <c r="B154" s="181"/>
      <c r="C154" s="181"/>
      <c r="D154" s="181"/>
      <c r="E154" s="181"/>
      <c r="F154" s="181"/>
      <c r="G154" s="181"/>
    </row>
    <row r="155" spans="1:7" x14ac:dyDescent="0.25">
      <c r="A155" s="176"/>
      <c r="B155" s="181"/>
      <c r="C155" s="181"/>
      <c r="D155" s="181"/>
      <c r="E155" s="181"/>
      <c r="F155" s="181"/>
      <c r="G155" s="181"/>
    </row>
    <row r="156" spans="1:7" x14ac:dyDescent="0.25">
      <c r="A156" s="176"/>
      <c r="B156" s="181"/>
      <c r="C156" s="181"/>
      <c r="D156" s="181"/>
      <c r="E156" s="181"/>
      <c r="F156" s="181"/>
      <c r="G156" s="181"/>
    </row>
    <row r="157" spans="1:7" x14ac:dyDescent="0.25">
      <c r="A157" s="176"/>
      <c r="B157" s="181"/>
      <c r="C157" s="181"/>
      <c r="D157" s="181"/>
      <c r="E157" s="181"/>
      <c r="F157" s="181"/>
      <c r="G157" s="181"/>
    </row>
    <row r="158" spans="1:7" x14ac:dyDescent="0.25">
      <c r="A158" s="176"/>
      <c r="B158" s="181"/>
      <c r="C158" s="181"/>
      <c r="D158" s="181"/>
      <c r="E158" s="181"/>
      <c r="F158" s="181"/>
      <c r="G158" s="181"/>
    </row>
    <row r="159" spans="1:7" x14ac:dyDescent="0.25">
      <c r="A159" s="176"/>
      <c r="B159" s="181"/>
      <c r="C159" s="181"/>
      <c r="D159" s="181"/>
      <c r="E159" s="181"/>
      <c r="F159" s="181"/>
      <c r="G159" s="181"/>
    </row>
    <row r="160" spans="1:7" x14ac:dyDescent="0.25">
      <c r="A160" s="176"/>
      <c r="B160" s="181"/>
      <c r="C160" s="181"/>
      <c r="D160" s="181"/>
      <c r="E160" s="181"/>
      <c r="F160" s="181"/>
      <c r="G160" s="181"/>
    </row>
    <row r="161" spans="1:7" x14ac:dyDescent="0.25">
      <c r="A161" s="176"/>
      <c r="B161" s="181"/>
      <c r="C161" s="181"/>
      <c r="D161" s="181"/>
      <c r="E161" s="181"/>
      <c r="F161" s="181"/>
      <c r="G161" s="181"/>
    </row>
    <row r="162" spans="1:7" x14ac:dyDescent="0.25">
      <c r="A162" s="176"/>
      <c r="B162" s="181"/>
      <c r="C162" s="181"/>
      <c r="D162" s="181"/>
      <c r="E162" s="181"/>
      <c r="F162" s="181"/>
      <c r="G162" s="181"/>
    </row>
    <row r="163" spans="1:7" x14ac:dyDescent="0.25">
      <c r="A163" s="176"/>
      <c r="B163" s="181"/>
      <c r="C163" s="181"/>
      <c r="D163" s="181"/>
      <c r="E163" s="181"/>
      <c r="F163" s="181"/>
      <c r="G163" s="181"/>
    </row>
    <row r="164" spans="1:7" x14ac:dyDescent="0.25">
      <c r="A164" s="176"/>
      <c r="B164" s="181"/>
      <c r="C164" s="181"/>
      <c r="D164" s="181"/>
      <c r="E164" s="181"/>
      <c r="F164" s="181"/>
      <c r="G164" s="181"/>
    </row>
    <row r="165" spans="1:7" x14ac:dyDescent="0.25">
      <c r="A165" s="176"/>
      <c r="B165" s="181"/>
      <c r="C165" s="181"/>
      <c r="D165" s="181"/>
      <c r="E165" s="181"/>
      <c r="F165" s="181"/>
      <c r="G165" s="181"/>
    </row>
    <row r="166" spans="1:7" x14ac:dyDescent="0.25">
      <c r="A166" s="176"/>
      <c r="B166" s="181"/>
      <c r="C166" s="181"/>
      <c r="D166" s="181"/>
      <c r="E166" s="181"/>
      <c r="F166" s="181"/>
      <c r="G166" s="181"/>
    </row>
    <row r="167" spans="1:7" x14ac:dyDescent="0.25">
      <c r="A167" s="176"/>
      <c r="B167" s="181"/>
      <c r="C167" s="181"/>
      <c r="D167" s="181"/>
      <c r="E167" s="181"/>
      <c r="F167" s="181"/>
      <c r="G167" s="181"/>
    </row>
    <row r="168" spans="1:7" x14ac:dyDescent="0.25">
      <c r="A168" s="176"/>
      <c r="B168" s="181"/>
      <c r="C168" s="181"/>
      <c r="D168" s="181"/>
      <c r="E168" s="181"/>
      <c r="F168" s="181"/>
      <c r="G168" s="181"/>
    </row>
    <row r="169" spans="1:7" x14ac:dyDescent="0.25">
      <c r="A169" s="176"/>
      <c r="B169" s="181"/>
      <c r="C169" s="181"/>
      <c r="D169" s="181"/>
      <c r="E169" s="181"/>
      <c r="F169" s="181"/>
      <c r="G169" s="181"/>
    </row>
    <row r="170" spans="1:7" x14ac:dyDescent="0.25">
      <c r="A170" s="176"/>
      <c r="B170" s="181"/>
      <c r="C170" s="181"/>
      <c r="D170" s="181"/>
      <c r="E170" s="181"/>
      <c r="F170" s="181"/>
      <c r="G170" s="181"/>
    </row>
    <row r="171" spans="1:7" x14ac:dyDescent="0.25">
      <c r="A171" s="176"/>
      <c r="B171" s="181"/>
      <c r="C171" s="181"/>
      <c r="D171" s="181"/>
      <c r="E171" s="181"/>
      <c r="F171" s="181"/>
      <c r="G171" s="181"/>
    </row>
    <row r="172" spans="1:7" x14ac:dyDescent="0.25">
      <c r="A172" s="176"/>
      <c r="B172" s="181"/>
      <c r="C172" s="181"/>
      <c r="D172" s="181"/>
      <c r="E172" s="181"/>
      <c r="F172" s="181"/>
      <c r="G172" s="181"/>
    </row>
    <row r="173" spans="1:7" x14ac:dyDescent="0.25">
      <c r="A173" s="176"/>
      <c r="B173" s="181"/>
      <c r="C173" s="181"/>
      <c r="D173" s="181"/>
      <c r="E173" s="181"/>
      <c r="F173" s="181"/>
      <c r="G173" s="181"/>
    </row>
    <row r="174" spans="1:7" x14ac:dyDescent="0.25">
      <c r="A174" s="176"/>
      <c r="B174" s="181"/>
      <c r="C174" s="181"/>
      <c r="D174" s="181"/>
      <c r="E174" s="181"/>
      <c r="F174" s="181"/>
      <c r="G174" s="181"/>
    </row>
    <row r="175" spans="1:7" x14ac:dyDescent="0.25">
      <c r="A175" s="176"/>
      <c r="B175" s="181"/>
      <c r="C175" s="181"/>
      <c r="D175" s="181"/>
      <c r="E175" s="181"/>
      <c r="F175" s="181"/>
      <c r="G175" s="181"/>
    </row>
    <row r="176" spans="1:7" x14ac:dyDescent="0.25">
      <c r="A176" s="176"/>
      <c r="B176" s="181"/>
      <c r="C176" s="181"/>
      <c r="D176" s="181"/>
      <c r="E176" s="181"/>
      <c r="F176" s="181"/>
      <c r="G176" s="181"/>
    </row>
    <row r="177" spans="1:7" x14ac:dyDescent="0.25">
      <c r="A177" s="176"/>
      <c r="B177" s="181"/>
      <c r="C177" s="181"/>
      <c r="D177" s="181"/>
      <c r="E177" s="181"/>
      <c r="F177" s="181"/>
      <c r="G177" s="181"/>
    </row>
    <row r="178" spans="1:7" x14ac:dyDescent="0.25">
      <c r="A178" s="176"/>
      <c r="B178" s="181"/>
      <c r="C178" s="181"/>
      <c r="D178" s="181"/>
      <c r="E178" s="181"/>
      <c r="F178" s="181"/>
      <c r="G178" s="181"/>
    </row>
    <row r="179" spans="1:7" x14ac:dyDescent="0.25">
      <c r="A179" s="176"/>
      <c r="B179" s="181"/>
      <c r="C179" s="181"/>
      <c r="D179" s="181"/>
      <c r="E179" s="181"/>
      <c r="F179" s="181"/>
      <c r="G179" s="181"/>
    </row>
    <row r="180" spans="1:7" x14ac:dyDescent="0.25">
      <c r="A180" s="176"/>
      <c r="B180" s="181"/>
      <c r="C180" s="181"/>
      <c r="D180" s="181"/>
      <c r="E180" s="181"/>
      <c r="F180" s="181"/>
      <c r="G180" s="181"/>
    </row>
    <row r="181" spans="1:7" x14ac:dyDescent="0.25">
      <c r="A181" s="176"/>
      <c r="B181" s="181"/>
      <c r="C181" s="181"/>
      <c r="D181" s="181"/>
      <c r="E181" s="181"/>
      <c r="F181" s="181"/>
      <c r="G181" s="181"/>
    </row>
    <row r="182" spans="1:7" x14ac:dyDescent="0.25">
      <c r="A182" s="176"/>
      <c r="B182" s="181"/>
      <c r="C182" s="181"/>
      <c r="D182" s="181"/>
      <c r="E182" s="181"/>
      <c r="F182" s="181"/>
      <c r="G182" s="181"/>
    </row>
    <row r="183" spans="1:7" x14ac:dyDescent="0.25">
      <c r="A183" s="176"/>
      <c r="B183" s="181"/>
      <c r="C183" s="181"/>
      <c r="D183" s="181"/>
      <c r="E183" s="181"/>
      <c r="F183" s="181"/>
      <c r="G183" s="181"/>
    </row>
    <row r="184" spans="1:7" x14ac:dyDescent="0.25">
      <c r="A184" s="176"/>
      <c r="B184" s="181"/>
      <c r="C184" s="181"/>
      <c r="D184" s="181"/>
      <c r="E184" s="181"/>
      <c r="F184" s="181"/>
      <c r="G184" s="181"/>
    </row>
    <row r="185" spans="1:7" x14ac:dyDescent="0.25">
      <c r="A185" s="176"/>
      <c r="B185" s="181"/>
      <c r="C185" s="181"/>
      <c r="D185" s="181"/>
      <c r="E185" s="181"/>
      <c r="F185" s="181"/>
      <c r="G185" s="181"/>
    </row>
    <row r="186" spans="1:7" x14ac:dyDescent="0.25">
      <c r="A186" s="176"/>
      <c r="B186" s="181"/>
      <c r="C186" s="181"/>
      <c r="D186" s="181"/>
      <c r="E186" s="181"/>
      <c r="F186" s="181"/>
      <c r="G186" s="181"/>
    </row>
    <row r="187" spans="1:7" x14ac:dyDescent="0.25">
      <c r="A187" s="176"/>
      <c r="B187" s="181"/>
      <c r="C187" s="181"/>
    </row>
    <row r="188" spans="1:7" x14ac:dyDescent="0.25">
      <c r="A188" s="176"/>
      <c r="B188" s="181"/>
      <c r="C188" s="181"/>
      <c r="D188" s="181"/>
      <c r="E188" s="181"/>
      <c r="F188" s="181"/>
      <c r="G188" s="181"/>
    </row>
    <row r="189" spans="1:7" x14ac:dyDescent="0.25">
      <c r="A189" s="176"/>
      <c r="B189" s="181"/>
      <c r="C189" s="181"/>
      <c r="D189" s="181"/>
    </row>
    <row r="190" spans="1:7" x14ac:dyDescent="0.25">
      <c r="A190" s="176"/>
    </row>
    <row r="191" spans="1:7" x14ac:dyDescent="0.25">
      <c r="A191" s="176"/>
      <c r="B191" s="181"/>
      <c r="C191" s="181"/>
    </row>
    <row r="192" spans="1:7" x14ac:dyDescent="0.25">
      <c r="A192" s="176"/>
      <c r="B192" s="181"/>
      <c r="C192" s="181"/>
      <c r="D192" s="181"/>
      <c r="E192" s="181"/>
      <c r="F192" s="181"/>
      <c r="G192" s="181"/>
    </row>
    <row r="193" spans="1:7" x14ac:dyDescent="0.25">
      <c r="A193" s="176"/>
      <c r="B193" s="181"/>
      <c r="C193" s="181"/>
    </row>
    <row r="194" spans="1:7" x14ac:dyDescent="0.25">
      <c r="A194" s="176"/>
      <c r="B194" s="181"/>
      <c r="C194" s="181"/>
      <c r="D194" s="181"/>
      <c r="E194" s="181"/>
      <c r="F194" s="181"/>
      <c r="G194" s="181"/>
    </row>
    <row r="195" spans="1:7" x14ac:dyDescent="0.25">
      <c r="A195" s="176"/>
      <c r="B195" s="181"/>
      <c r="C195" s="181"/>
      <c r="D195" s="181"/>
      <c r="E195" s="181"/>
      <c r="F195" s="181"/>
      <c r="G195" s="181"/>
    </row>
    <row r="196" spans="1:7" x14ac:dyDescent="0.25">
      <c r="A196" s="176"/>
      <c r="B196" s="181"/>
      <c r="C196" s="181"/>
      <c r="D196" s="181"/>
      <c r="E196" s="181"/>
      <c r="F196" s="181"/>
      <c r="G196" s="181"/>
    </row>
    <row r="197" spans="1:7" x14ac:dyDescent="0.25">
      <c r="A197" s="176"/>
      <c r="B197" s="181"/>
      <c r="C197" s="181"/>
      <c r="D197" s="181"/>
      <c r="E197" s="181"/>
      <c r="F197" s="181"/>
      <c r="G197" s="181"/>
    </row>
    <row r="198" spans="1:7" x14ac:dyDescent="0.25">
      <c r="A198" s="176"/>
      <c r="B198" s="181"/>
      <c r="C198" s="181"/>
      <c r="D198" s="181"/>
      <c r="E198" s="181"/>
      <c r="F198" s="181"/>
      <c r="G198" s="181"/>
    </row>
    <row r="199" spans="1:7" x14ac:dyDescent="0.25">
      <c r="A199" s="176"/>
      <c r="B199" s="181"/>
      <c r="C199" s="181"/>
      <c r="D199" s="181"/>
      <c r="E199" s="181"/>
      <c r="F199" s="181"/>
      <c r="G199" s="181"/>
    </row>
    <row r="200" spans="1:7" x14ac:dyDescent="0.25">
      <c r="A200" s="176"/>
      <c r="B200" s="181"/>
      <c r="C200" s="181"/>
      <c r="D200" s="181"/>
      <c r="E200" s="181"/>
      <c r="F200" s="181"/>
      <c r="G200" s="181"/>
    </row>
    <row r="201" spans="1:7" x14ac:dyDescent="0.25">
      <c r="A201" s="176"/>
      <c r="B201" s="181"/>
      <c r="C201" s="181"/>
      <c r="D201" s="181"/>
      <c r="E201" s="181"/>
      <c r="F201" s="181"/>
      <c r="G201" s="181"/>
    </row>
    <row r="202" spans="1:7" x14ac:dyDescent="0.25">
      <c r="A202" s="176"/>
      <c r="B202" s="181"/>
      <c r="C202" s="181"/>
      <c r="D202" s="181"/>
      <c r="E202" s="181"/>
      <c r="F202" s="181"/>
      <c r="G202" s="181"/>
    </row>
    <row r="203" spans="1:7" x14ac:dyDescent="0.25">
      <c r="A203" s="176"/>
      <c r="B203" s="181"/>
      <c r="C203" s="181"/>
      <c r="D203" s="181"/>
      <c r="E203" s="181"/>
      <c r="F203" s="181"/>
      <c r="G203" s="181"/>
    </row>
    <row r="204" spans="1:7" x14ac:dyDescent="0.25">
      <c r="A204" s="176"/>
      <c r="B204" s="181"/>
      <c r="C204" s="181"/>
      <c r="D204" s="181"/>
      <c r="E204" s="181"/>
      <c r="F204" s="181"/>
      <c r="G204" s="181"/>
    </row>
    <row r="205" spans="1:7" x14ac:dyDescent="0.25">
      <c r="A205" s="176"/>
      <c r="B205" s="181"/>
      <c r="C205" s="181"/>
      <c r="D205" s="181"/>
      <c r="E205" s="181"/>
      <c r="F205" s="181"/>
      <c r="G205" s="181"/>
    </row>
    <row r="206" spans="1:7" x14ac:dyDescent="0.25">
      <c r="A206" s="176"/>
      <c r="B206" s="181"/>
      <c r="C206" s="181"/>
    </row>
    <row r="207" spans="1:7" x14ac:dyDescent="0.25">
      <c r="A207" s="176"/>
      <c r="B207" s="181"/>
      <c r="C207" s="181"/>
      <c r="D207" s="181"/>
      <c r="E207" s="181"/>
      <c r="F207" s="181"/>
      <c r="G207" s="181"/>
    </row>
    <row r="208" spans="1:7" x14ac:dyDescent="0.25">
      <c r="A208" s="176"/>
      <c r="B208" s="181"/>
      <c r="C208" s="181"/>
      <c r="D208" s="181"/>
    </row>
    <row r="209" spans="1:7" x14ac:dyDescent="0.25">
      <c r="A209" s="176"/>
    </row>
    <row r="210" spans="1:7" x14ac:dyDescent="0.25">
      <c r="A210" s="176"/>
      <c r="B210" s="181"/>
      <c r="C210" s="181"/>
    </row>
    <row r="211" spans="1:7" x14ac:dyDescent="0.25">
      <c r="A211" s="176"/>
      <c r="B211" s="181"/>
      <c r="C211" s="181"/>
      <c r="D211" s="181"/>
      <c r="E211" s="181"/>
      <c r="F211" s="181"/>
      <c r="G211" s="181"/>
    </row>
    <row r="212" spans="1:7" x14ac:dyDescent="0.25">
      <c r="A212" s="176"/>
      <c r="B212" s="181"/>
      <c r="C212" s="181"/>
    </row>
    <row r="213" spans="1:7" x14ac:dyDescent="0.25">
      <c r="A213" s="176"/>
      <c r="B213" s="181"/>
      <c r="C213" s="181"/>
      <c r="D213" s="181"/>
      <c r="E213" s="181"/>
      <c r="F213" s="181"/>
      <c r="G213" s="181"/>
    </row>
    <row r="214" spans="1:7" x14ac:dyDescent="0.25">
      <c r="A214" s="176"/>
      <c r="B214" s="181"/>
      <c r="C214" s="181"/>
      <c r="D214" s="181"/>
      <c r="E214" s="181"/>
      <c r="F214" s="181"/>
      <c r="G214" s="181"/>
    </row>
    <row r="215" spans="1:7" x14ac:dyDescent="0.25">
      <c r="A215" s="176"/>
      <c r="B215" s="181"/>
      <c r="C215" s="181"/>
      <c r="D215" s="181"/>
      <c r="E215" s="181"/>
      <c r="F215" s="181"/>
      <c r="G215" s="181"/>
    </row>
    <row r="216" spans="1:7" x14ac:dyDescent="0.25">
      <c r="A216" s="176"/>
      <c r="B216" s="181"/>
      <c r="C216" s="181"/>
      <c r="D216" s="181"/>
      <c r="E216" s="181"/>
      <c r="F216" s="181"/>
      <c r="G216" s="181"/>
    </row>
    <row r="217" spans="1:7" x14ac:dyDescent="0.25">
      <c r="A217" s="176"/>
      <c r="B217" s="181"/>
      <c r="C217" s="181"/>
    </row>
    <row r="218" spans="1:7" x14ac:dyDescent="0.25">
      <c r="A218" s="176"/>
      <c r="B218" s="181"/>
      <c r="C218" s="181"/>
      <c r="D218" s="181"/>
      <c r="E218" s="181"/>
      <c r="F218" s="181"/>
      <c r="G218" s="181"/>
    </row>
    <row r="219" spans="1:7" x14ac:dyDescent="0.25">
      <c r="A219" s="176"/>
      <c r="B219" s="181"/>
      <c r="C219" s="181"/>
      <c r="D219" s="181"/>
    </row>
    <row r="220" spans="1:7" x14ac:dyDescent="0.25">
      <c r="A220" s="176"/>
    </row>
    <row r="221" spans="1:7" x14ac:dyDescent="0.25">
      <c r="A221" s="176"/>
      <c r="B221" s="181"/>
      <c r="C221" s="181"/>
    </row>
    <row r="222" spans="1:7" x14ac:dyDescent="0.25">
      <c r="A222" s="176"/>
      <c r="B222" s="181"/>
      <c r="C222" s="181"/>
      <c r="D222" s="181"/>
      <c r="E222" s="181"/>
      <c r="F222" s="181"/>
      <c r="G222" s="181"/>
    </row>
    <row r="223" spans="1:7" x14ac:dyDescent="0.25">
      <c r="A223" s="176"/>
      <c r="B223" s="181"/>
      <c r="C223" s="181"/>
    </row>
    <row r="224" spans="1:7" x14ac:dyDescent="0.25">
      <c r="A224" s="176"/>
      <c r="B224" s="181"/>
      <c r="C224" s="181"/>
      <c r="D224" s="181"/>
      <c r="E224" s="181"/>
      <c r="F224" s="181"/>
      <c r="G224" s="181"/>
    </row>
    <row r="225" spans="1:7" x14ac:dyDescent="0.25">
      <c r="A225" s="176"/>
      <c r="B225" s="181"/>
      <c r="C225" s="181"/>
      <c r="D225" s="181"/>
      <c r="E225" s="181"/>
      <c r="F225" s="181"/>
      <c r="G225" s="181"/>
    </row>
    <row r="226" spans="1:7" x14ac:dyDescent="0.25">
      <c r="A226" s="176"/>
      <c r="B226" s="181"/>
      <c r="C226" s="181"/>
      <c r="D226" s="181"/>
      <c r="E226" s="181"/>
      <c r="F226" s="181"/>
      <c r="G226" s="181"/>
    </row>
    <row r="227" spans="1:7" x14ac:dyDescent="0.25">
      <c r="A227" s="176"/>
      <c r="B227" s="181"/>
      <c r="C227" s="181"/>
      <c r="D227" s="181"/>
      <c r="E227" s="181"/>
      <c r="F227" s="181"/>
      <c r="G227" s="181"/>
    </row>
    <row r="228" spans="1:7" x14ac:dyDescent="0.25">
      <c r="A228" s="176"/>
      <c r="B228" s="181"/>
      <c r="C228" s="181"/>
      <c r="D228" s="181"/>
      <c r="E228" s="181"/>
      <c r="F228" s="181"/>
      <c r="G228" s="181"/>
    </row>
    <row r="229" spans="1:7" x14ac:dyDescent="0.25">
      <c r="A229" s="176"/>
      <c r="B229" s="181"/>
      <c r="C229" s="181"/>
      <c r="D229" s="181"/>
      <c r="E229" s="181"/>
      <c r="F229" s="181"/>
      <c r="G229" s="181"/>
    </row>
    <row r="230" spans="1:7" x14ac:dyDescent="0.25">
      <c r="A230" s="176"/>
      <c r="B230" s="181"/>
      <c r="C230" s="181"/>
      <c r="D230" s="181"/>
      <c r="E230" s="181"/>
      <c r="F230" s="181"/>
      <c r="G230" s="181"/>
    </row>
    <row r="231" spans="1:7" x14ac:dyDescent="0.25">
      <c r="A231" s="176"/>
      <c r="B231" s="181"/>
      <c r="C231" s="181"/>
      <c r="D231" s="181"/>
      <c r="E231" s="181"/>
      <c r="F231" s="181"/>
      <c r="G231" s="181"/>
    </row>
    <row r="232" spans="1:7" x14ac:dyDescent="0.25">
      <c r="A232" s="176"/>
      <c r="B232" s="181"/>
      <c r="C232" s="181"/>
      <c r="D232" s="181"/>
      <c r="E232" s="181"/>
      <c r="F232" s="181"/>
      <c r="G232" s="181"/>
    </row>
    <row r="233" spans="1:7" x14ac:dyDescent="0.25">
      <c r="A233" s="176"/>
      <c r="B233" s="181"/>
      <c r="C233" s="181"/>
      <c r="D233" s="181"/>
      <c r="E233" s="181"/>
      <c r="F233" s="181"/>
      <c r="G233" s="181"/>
    </row>
    <row r="234" spans="1:7" x14ac:dyDescent="0.25">
      <c r="A234" s="176"/>
      <c r="B234" s="181"/>
      <c r="C234" s="181"/>
      <c r="D234" s="181"/>
      <c r="E234" s="181"/>
      <c r="F234" s="181"/>
      <c r="G234" s="181"/>
    </row>
    <row r="235" spans="1:7" x14ac:dyDescent="0.25">
      <c r="A235" s="176"/>
      <c r="B235" s="181"/>
      <c r="C235" s="181"/>
      <c r="D235" s="181"/>
      <c r="E235" s="181"/>
      <c r="F235" s="181"/>
      <c r="G235" s="181"/>
    </row>
    <row r="236" spans="1:7" x14ac:dyDescent="0.25">
      <c r="A236" s="176"/>
      <c r="B236" s="181"/>
      <c r="C236" s="181"/>
      <c r="D236" s="181"/>
      <c r="E236" s="181"/>
      <c r="F236" s="181"/>
      <c r="G236" s="181"/>
    </row>
    <row r="237" spans="1:7" x14ac:dyDescent="0.25">
      <c r="A237" s="176"/>
      <c r="B237" s="181"/>
      <c r="C237" s="181"/>
      <c r="D237" s="181"/>
      <c r="E237" s="181"/>
      <c r="F237" s="181"/>
      <c r="G237" s="181"/>
    </row>
    <row r="238" spans="1:7" x14ac:dyDescent="0.25">
      <c r="A238" s="176"/>
      <c r="B238" s="181"/>
      <c r="C238" s="181"/>
      <c r="D238" s="181"/>
      <c r="E238" s="181"/>
      <c r="F238" s="181"/>
      <c r="G238" s="181"/>
    </row>
    <row r="239" spans="1:7" x14ac:dyDescent="0.25">
      <c r="A239" s="176"/>
      <c r="B239" s="181"/>
      <c r="C239" s="181"/>
      <c r="D239" s="181"/>
      <c r="E239" s="181"/>
      <c r="F239" s="181"/>
      <c r="G239" s="181"/>
    </row>
    <row r="240" spans="1:7" x14ac:dyDescent="0.25">
      <c r="A240" s="176"/>
      <c r="B240" s="181"/>
      <c r="C240" s="181"/>
      <c r="D240" s="181"/>
      <c r="E240" s="181"/>
      <c r="F240" s="181"/>
      <c r="G240" s="181"/>
    </row>
    <row r="241" spans="1:7" x14ac:dyDescent="0.25">
      <c r="A241" s="176"/>
      <c r="B241" s="181"/>
      <c r="C241" s="181"/>
      <c r="D241" s="181"/>
      <c r="E241" s="181"/>
      <c r="F241" s="181"/>
      <c r="G241" s="181"/>
    </row>
    <row r="242" spans="1:7" x14ac:dyDescent="0.25">
      <c r="A242" s="176"/>
      <c r="B242" s="181"/>
      <c r="C242" s="181"/>
      <c r="D242" s="181"/>
      <c r="E242" s="181"/>
      <c r="F242" s="181"/>
      <c r="G242" s="181"/>
    </row>
    <row r="243" spans="1:7" x14ac:dyDescent="0.25">
      <c r="A243" s="176"/>
      <c r="B243" s="181"/>
      <c r="C243" s="181"/>
      <c r="D243" s="181"/>
      <c r="E243" s="181"/>
      <c r="F243" s="181"/>
      <c r="G243" s="181"/>
    </row>
    <row r="244" spans="1:7" x14ac:dyDescent="0.25">
      <c r="A244" s="176"/>
      <c r="B244" s="181"/>
      <c r="C244" s="181"/>
      <c r="D244" s="181"/>
      <c r="E244" s="181"/>
      <c r="F244" s="181"/>
      <c r="G244" s="181"/>
    </row>
    <row r="245" spans="1:7" x14ac:dyDescent="0.25">
      <c r="A245" s="176"/>
      <c r="B245" s="181"/>
      <c r="C245" s="181"/>
    </row>
    <row r="246" spans="1:7" x14ac:dyDescent="0.25">
      <c r="A246" s="176"/>
      <c r="B246" s="181"/>
      <c r="C246" s="181"/>
      <c r="D246" s="181"/>
      <c r="E246" s="181"/>
      <c r="F246" s="181"/>
      <c r="G246" s="181"/>
    </row>
  </sheetData>
  <mergeCells count="10">
    <mergeCell ref="B59:F59"/>
    <mergeCell ref="A59:A60"/>
    <mergeCell ref="B10:F10"/>
    <mergeCell ref="H10:I10"/>
    <mergeCell ref="J10:O10"/>
    <mergeCell ref="A10:A11"/>
    <mergeCell ref="A35:A36"/>
    <mergeCell ref="B35:F35"/>
    <mergeCell ref="H35:I35"/>
    <mergeCell ref="J35:O35"/>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BD74C-AA27-43F6-BE6E-4E3DC91C37EF}">
  <sheetPr>
    <tabColor rgb="FF00B0F0"/>
  </sheetPr>
  <dimension ref="A2:G459"/>
  <sheetViews>
    <sheetView workbookViewId="0"/>
  </sheetViews>
  <sheetFormatPr baseColWidth="10" defaultRowHeight="15" x14ac:dyDescent="0.25"/>
  <cols>
    <col min="1" max="1" width="18.28515625" customWidth="1"/>
    <col min="2" max="2" width="11.85546875" customWidth="1"/>
  </cols>
  <sheetData>
    <row r="2" spans="1:7" ht="18.75" x14ac:dyDescent="0.3">
      <c r="A2" s="2" t="s">
        <v>549</v>
      </c>
    </row>
    <row r="3" spans="1:7" x14ac:dyDescent="0.25">
      <c r="A3" s="10" t="s">
        <v>12</v>
      </c>
    </row>
    <row r="5" spans="1:7" x14ac:dyDescent="0.25">
      <c r="A5" s="205" t="s">
        <v>521</v>
      </c>
    </row>
    <row r="6" spans="1:7" x14ac:dyDescent="0.25">
      <c r="A6" s="106"/>
      <c r="B6" s="488" t="s">
        <v>503</v>
      </c>
      <c r="C6" s="488"/>
      <c r="D6" s="488"/>
      <c r="E6" s="488"/>
      <c r="F6" s="488"/>
      <c r="G6" s="107"/>
    </row>
    <row r="7" spans="1:7" x14ac:dyDescent="0.25">
      <c r="A7" s="178" t="s">
        <v>548</v>
      </c>
      <c r="B7" s="219" t="s">
        <v>142</v>
      </c>
      <c r="C7" s="180" t="s">
        <v>143</v>
      </c>
      <c r="D7" s="220" t="s">
        <v>144</v>
      </c>
      <c r="E7" s="180" t="s">
        <v>20</v>
      </c>
      <c r="F7" s="204" t="s">
        <v>145</v>
      </c>
      <c r="G7" s="179" t="s">
        <v>36</v>
      </c>
    </row>
    <row r="8" spans="1:7" x14ac:dyDescent="0.25">
      <c r="A8" s="175" t="s">
        <v>146</v>
      </c>
      <c r="B8" s="153">
        <v>1424</v>
      </c>
      <c r="C8" s="153">
        <v>1114</v>
      </c>
      <c r="D8" s="153">
        <v>4984</v>
      </c>
      <c r="E8" s="153">
        <v>463</v>
      </c>
      <c r="F8" s="153">
        <v>646</v>
      </c>
      <c r="G8" s="201">
        <v>8631</v>
      </c>
    </row>
    <row r="9" spans="1:7" x14ac:dyDescent="0.25">
      <c r="A9" s="152" t="s">
        <v>152</v>
      </c>
      <c r="B9" s="153">
        <v>66</v>
      </c>
      <c r="C9" s="153">
        <v>23</v>
      </c>
      <c r="D9" s="153">
        <v>92</v>
      </c>
      <c r="E9" s="153">
        <v>1</v>
      </c>
      <c r="F9" s="153">
        <v>10</v>
      </c>
      <c r="G9" s="153">
        <v>192</v>
      </c>
    </row>
    <row r="10" spans="1:7" x14ac:dyDescent="0.25">
      <c r="A10" s="152" t="s">
        <v>147</v>
      </c>
      <c r="B10" s="153">
        <v>63</v>
      </c>
      <c r="C10" s="153">
        <v>21</v>
      </c>
      <c r="D10" s="153">
        <v>47</v>
      </c>
      <c r="E10" s="153">
        <v>1</v>
      </c>
      <c r="F10" s="153">
        <v>5</v>
      </c>
      <c r="G10" s="153">
        <v>137</v>
      </c>
    </row>
    <row r="11" spans="1:7" x14ac:dyDescent="0.25">
      <c r="A11" s="152" t="s">
        <v>148</v>
      </c>
      <c r="B11" s="153">
        <v>122</v>
      </c>
      <c r="C11" s="153">
        <v>49</v>
      </c>
      <c r="D11" s="153">
        <v>254</v>
      </c>
      <c r="E11" s="153">
        <v>25</v>
      </c>
      <c r="F11" s="153">
        <v>26</v>
      </c>
      <c r="G11" s="153">
        <v>476</v>
      </c>
    </row>
    <row r="12" spans="1:7" x14ac:dyDescent="0.25">
      <c r="A12" s="174" t="s">
        <v>149</v>
      </c>
      <c r="B12" s="200">
        <v>4488</v>
      </c>
      <c r="C12" s="200">
        <v>1820</v>
      </c>
      <c r="D12" s="200">
        <v>17191</v>
      </c>
      <c r="E12" s="200">
        <v>1998</v>
      </c>
      <c r="F12" s="200">
        <v>1151</v>
      </c>
      <c r="G12" s="200">
        <v>26648</v>
      </c>
    </row>
    <row r="13" spans="1:7" x14ac:dyDescent="0.25">
      <c r="A13" s="177" t="s">
        <v>150</v>
      </c>
      <c r="B13" s="192">
        <v>178</v>
      </c>
      <c r="C13" s="192">
        <v>70</v>
      </c>
      <c r="D13" s="192">
        <v>564</v>
      </c>
      <c r="E13" s="192">
        <v>39</v>
      </c>
      <c r="F13" s="192">
        <v>25</v>
      </c>
      <c r="G13" s="192">
        <v>876</v>
      </c>
    </row>
    <row r="14" spans="1:7" x14ac:dyDescent="0.25">
      <c r="A14" s="177" t="s">
        <v>151</v>
      </c>
      <c r="B14" s="192">
        <v>321</v>
      </c>
      <c r="C14" s="192">
        <v>120</v>
      </c>
      <c r="D14" s="192">
        <v>972</v>
      </c>
      <c r="E14" s="192">
        <v>103</v>
      </c>
      <c r="F14" s="192">
        <v>73</v>
      </c>
      <c r="G14" s="192">
        <v>1589</v>
      </c>
    </row>
    <row r="15" spans="1:7" x14ac:dyDescent="0.25">
      <c r="A15" s="202" t="s">
        <v>36</v>
      </c>
      <c r="B15" s="203">
        <v>6662</v>
      </c>
      <c r="C15" s="203">
        <v>3217</v>
      </c>
      <c r="D15" s="203">
        <v>24104</v>
      </c>
      <c r="E15" s="203">
        <v>2630</v>
      </c>
      <c r="F15" s="203">
        <v>1936</v>
      </c>
      <c r="G15" s="203">
        <v>38549</v>
      </c>
    </row>
    <row r="16" spans="1:7" x14ac:dyDescent="0.25">
      <c r="A16" s="176"/>
      <c r="B16" s="176"/>
      <c r="C16" s="176"/>
      <c r="D16" s="176"/>
      <c r="E16" s="176"/>
      <c r="F16" s="176"/>
      <c r="G16" s="176"/>
    </row>
    <row r="17" spans="1:7" x14ac:dyDescent="0.25">
      <c r="A17" s="176"/>
      <c r="B17" s="176"/>
      <c r="C17" s="176"/>
      <c r="D17" s="176"/>
      <c r="E17" s="176"/>
      <c r="F17" s="176"/>
      <c r="G17" s="176"/>
    </row>
    <row r="18" spans="1:7" x14ac:dyDescent="0.25">
      <c r="A18" s="176"/>
      <c r="B18" s="176"/>
      <c r="C18" s="176"/>
      <c r="D18" s="176"/>
    </row>
    <row r="19" spans="1:7" x14ac:dyDescent="0.25">
      <c r="A19" s="205" t="s">
        <v>522</v>
      </c>
    </row>
    <row r="20" spans="1:7" x14ac:dyDescent="0.25">
      <c r="A20" s="106"/>
      <c r="B20" s="488" t="s">
        <v>503</v>
      </c>
      <c r="C20" s="488"/>
      <c r="D20" s="488"/>
      <c r="E20" s="488"/>
      <c r="F20" s="488"/>
      <c r="G20" s="107"/>
    </row>
    <row r="21" spans="1:7" x14ac:dyDescent="0.25">
      <c r="A21" s="178" t="s">
        <v>548</v>
      </c>
      <c r="B21" s="179" t="s">
        <v>142</v>
      </c>
      <c r="C21" s="179" t="s">
        <v>143</v>
      </c>
      <c r="D21" s="179" t="s">
        <v>144</v>
      </c>
      <c r="E21" s="179" t="s">
        <v>20</v>
      </c>
      <c r="F21" s="179" t="s">
        <v>145</v>
      </c>
      <c r="G21" s="179" t="s">
        <v>36</v>
      </c>
    </row>
    <row r="22" spans="1:7" x14ac:dyDescent="0.25">
      <c r="A22" s="175" t="s">
        <v>154</v>
      </c>
      <c r="B22" s="201">
        <v>7570</v>
      </c>
      <c r="C22" s="201">
        <v>2615</v>
      </c>
      <c r="D22" s="201">
        <v>27432</v>
      </c>
      <c r="E22" s="201">
        <v>2782</v>
      </c>
      <c r="F22" s="201">
        <v>1460</v>
      </c>
      <c r="G22" s="201">
        <v>41859</v>
      </c>
    </row>
    <row r="23" spans="1:7" x14ac:dyDescent="0.25">
      <c r="A23" s="152" t="s">
        <v>155</v>
      </c>
      <c r="B23" s="153">
        <v>3138</v>
      </c>
      <c r="C23" s="153">
        <v>877</v>
      </c>
      <c r="D23" s="153">
        <v>9397</v>
      </c>
      <c r="E23" s="153">
        <v>832</v>
      </c>
      <c r="F23" s="153">
        <v>426</v>
      </c>
      <c r="G23" s="153">
        <v>14670</v>
      </c>
    </row>
    <row r="24" spans="1:7" x14ac:dyDescent="0.25">
      <c r="A24" s="152" t="s">
        <v>156</v>
      </c>
      <c r="B24" s="153">
        <v>80</v>
      </c>
      <c r="C24" s="153">
        <v>19</v>
      </c>
      <c r="D24" s="153">
        <v>272</v>
      </c>
      <c r="E24" s="153">
        <v>32</v>
      </c>
      <c r="F24" s="153">
        <v>11</v>
      </c>
      <c r="G24" s="153">
        <v>414</v>
      </c>
    </row>
    <row r="25" spans="1:7" x14ac:dyDescent="0.25">
      <c r="A25" s="152" t="s">
        <v>157</v>
      </c>
      <c r="B25" s="153">
        <v>222</v>
      </c>
      <c r="C25" s="153">
        <v>59</v>
      </c>
      <c r="D25" s="153">
        <v>761</v>
      </c>
      <c r="E25" s="153">
        <v>89</v>
      </c>
      <c r="F25" s="153">
        <v>34</v>
      </c>
      <c r="G25" s="153">
        <v>1165</v>
      </c>
    </row>
    <row r="26" spans="1:7" x14ac:dyDescent="0.25">
      <c r="A26" s="152" t="s">
        <v>158</v>
      </c>
      <c r="B26" s="153">
        <v>15</v>
      </c>
      <c r="C26" s="153">
        <v>1</v>
      </c>
      <c r="D26" s="153">
        <v>19</v>
      </c>
      <c r="E26" s="153">
        <v>1</v>
      </c>
      <c r="F26" s="153">
        <v>1</v>
      </c>
      <c r="G26" s="153">
        <v>37</v>
      </c>
    </row>
    <row r="27" spans="1:7" ht="30" x14ac:dyDescent="0.25">
      <c r="A27" s="152" t="s">
        <v>159</v>
      </c>
      <c r="B27" s="153">
        <v>179</v>
      </c>
      <c r="C27" s="153">
        <v>36</v>
      </c>
      <c r="D27" s="153">
        <v>417</v>
      </c>
      <c r="E27" s="153">
        <v>33</v>
      </c>
      <c r="F27" s="153">
        <v>15</v>
      </c>
      <c r="G27" s="153">
        <v>680</v>
      </c>
    </row>
    <row r="28" spans="1:7" x14ac:dyDescent="0.25">
      <c r="A28" s="152" t="s">
        <v>160</v>
      </c>
      <c r="B28" s="153">
        <v>23</v>
      </c>
      <c r="C28" s="153">
        <v>8</v>
      </c>
      <c r="D28" s="153">
        <v>55</v>
      </c>
      <c r="E28" s="153">
        <v>8</v>
      </c>
      <c r="F28" s="153">
        <v>4</v>
      </c>
      <c r="G28" s="153">
        <v>98</v>
      </c>
    </row>
    <row r="29" spans="1:7" x14ac:dyDescent="0.25">
      <c r="A29" s="152" t="s">
        <v>161</v>
      </c>
      <c r="B29" s="153">
        <v>378</v>
      </c>
      <c r="C29" s="153">
        <v>161</v>
      </c>
      <c r="D29" s="153">
        <v>1187</v>
      </c>
      <c r="E29" s="153">
        <v>102</v>
      </c>
      <c r="F29" s="153">
        <v>57</v>
      </c>
      <c r="G29" s="153">
        <v>1885</v>
      </c>
    </row>
    <row r="30" spans="1:7" x14ac:dyDescent="0.25">
      <c r="A30" s="174" t="s">
        <v>162</v>
      </c>
      <c r="B30" s="200">
        <v>838</v>
      </c>
      <c r="C30" s="200">
        <v>316</v>
      </c>
      <c r="D30" s="200">
        <v>2693</v>
      </c>
      <c r="E30" s="200">
        <v>243</v>
      </c>
      <c r="F30" s="200">
        <v>133</v>
      </c>
      <c r="G30" s="200">
        <v>4223</v>
      </c>
    </row>
    <row r="31" spans="1:7" x14ac:dyDescent="0.25">
      <c r="A31" s="202" t="s">
        <v>36</v>
      </c>
      <c r="B31" s="203">
        <v>12443</v>
      </c>
      <c r="C31" s="203">
        <v>4092</v>
      </c>
      <c r="D31" s="203">
        <v>42233</v>
      </c>
      <c r="E31" s="203">
        <v>4122</v>
      </c>
      <c r="F31" s="203">
        <v>2141</v>
      </c>
      <c r="G31" s="203">
        <v>65031</v>
      </c>
    </row>
    <row r="32" spans="1:7" x14ac:dyDescent="0.25">
      <c r="A32" s="176"/>
      <c r="B32" s="176"/>
      <c r="C32" s="176"/>
      <c r="D32" s="176"/>
      <c r="E32" s="176"/>
      <c r="F32" s="176"/>
      <c r="G32" s="176"/>
    </row>
    <row r="33" spans="1:7" x14ac:dyDescent="0.25">
      <c r="A33" s="176"/>
      <c r="B33" s="176"/>
      <c r="C33" s="176"/>
      <c r="D33" s="176"/>
    </row>
    <row r="34" spans="1:7" x14ac:dyDescent="0.25">
      <c r="A34" s="205" t="s">
        <v>523</v>
      </c>
    </row>
    <row r="35" spans="1:7" x14ac:dyDescent="0.25">
      <c r="A35" s="176"/>
      <c r="B35" s="488" t="s">
        <v>503</v>
      </c>
      <c r="C35" s="488"/>
      <c r="D35" s="488"/>
      <c r="E35" s="488"/>
      <c r="F35" s="488"/>
      <c r="G35" s="107"/>
    </row>
    <row r="36" spans="1:7" x14ac:dyDescent="0.25">
      <c r="A36" s="178" t="s">
        <v>548</v>
      </c>
      <c r="B36" s="179" t="s">
        <v>142</v>
      </c>
      <c r="C36" s="179" t="s">
        <v>143</v>
      </c>
      <c r="D36" s="179" t="s">
        <v>144</v>
      </c>
      <c r="E36" s="179" t="s">
        <v>20</v>
      </c>
      <c r="F36" s="179" t="s">
        <v>145</v>
      </c>
      <c r="G36" s="179" t="s">
        <v>36</v>
      </c>
    </row>
    <row r="37" spans="1:7" x14ac:dyDescent="0.25">
      <c r="A37" s="152" t="s">
        <v>163</v>
      </c>
      <c r="B37" s="153">
        <v>239</v>
      </c>
      <c r="C37" s="153">
        <v>67</v>
      </c>
      <c r="D37" s="153">
        <v>612</v>
      </c>
      <c r="E37" s="153">
        <v>17</v>
      </c>
      <c r="F37" s="153">
        <v>27</v>
      </c>
      <c r="G37" s="153">
        <v>962</v>
      </c>
    </row>
    <row r="38" spans="1:7" x14ac:dyDescent="0.25">
      <c r="A38" s="152" t="s">
        <v>164</v>
      </c>
      <c r="B38" s="153">
        <v>458</v>
      </c>
      <c r="C38" s="153">
        <v>158</v>
      </c>
      <c r="D38" s="153">
        <v>1668</v>
      </c>
      <c r="E38" s="153">
        <v>148</v>
      </c>
      <c r="F38" s="153">
        <v>92</v>
      </c>
      <c r="G38" s="153">
        <v>2524</v>
      </c>
    </row>
    <row r="39" spans="1:7" x14ac:dyDescent="0.25">
      <c r="A39" s="152" t="s">
        <v>506</v>
      </c>
      <c r="B39" s="153">
        <v>525</v>
      </c>
      <c r="C39" s="153">
        <v>152</v>
      </c>
      <c r="D39" s="153">
        <v>1396</v>
      </c>
      <c r="E39" s="153">
        <v>115</v>
      </c>
      <c r="F39" s="153">
        <v>58</v>
      </c>
      <c r="G39" s="153">
        <v>2246</v>
      </c>
    </row>
    <row r="40" spans="1:7" x14ac:dyDescent="0.25">
      <c r="A40" s="152" t="s">
        <v>165</v>
      </c>
      <c r="B40" s="153">
        <v>3599</v>
      </c>
      <c r="C40" s="153">
        <v>1258</v>
      </c>
      <c r="D40" s="153">
        <v>13406</v>
      </c>
      <c r="E40" s="153">
        <v>1276</v>
      </c>
      <c r="F40" s="153">
        <v>790</v>
      </c>
      <c r="G40" s="153">
        <v>20329</v>
      </c>
    </row>
    <row r="41" spans="1:7" ht="30" x14ac:dyDescent="0.25">
      <c r="A41" s="152" t="s">
        <v>166</v>
      </c>
      <c r="B41" s="153">
        <v>291</v>
      </c>
      <c r="C41" s="153">
        <v>140</v>
      </c>
      <c r="D41" s="153">
        <v>859</v>
      </c>
      <c r="E41" s="153">
        <v>62</v>
      </c>
      <c r="F41" s="153">
        <v>47</v>
      </c>
      <c r="G41" s="153">
        <v>1399</v>
      </c>
    </row>
    <row r="42" spans="1:7" x14ac:dyDescent="0.25">
      <c r="A42" s="152" t="s">
        <v>167</v>
      </c>
      <c r="B42" s="153">
        <v>250</v>
      </c>
      <c r="C42" s="153">
        <v>88</v>
      </c>
      <c r="D42" s="153">
        <v>756</v>
      </c>
      <c r="E42" s="153">
        <v>47</v>
      </c>
      <c r="F42" s="153">
        <v>28</v>
      </c>
      <c r="G42" s="153">
        <v>1169</v>
      </c>
    </row>
    <row r="43" spans="1:7" x14ac:dyDescent="0.25">
      <c r="A43" s="152" t="s">
        <v>168</v>
      </c>
      <c r="B43" s="153">
        <v>373</v>
      </c>
      <c r="C43" s="153">
        <v>95</v>
      </c>
      <c r="D43" s="153">
        <v>1098</v>
      </c>
      <c r="E43" s="153">
        <v>68</v>
      </c>
      <c r="F43" s="153">
        <v>53</v>
      </c>
      <c r="G43" s="153">
        <v>1687</v>
      </c>
    </row>
    <row r="44" spans="1:7" x14ac:dyDescent="0.25">
      <c r="A44" s="152" t="s">
        <v>169</v>
      </c>
      <c r="B44" s="153">
        <v>274</v>
      </c>
      <c r="C44" s="153">
        <v>122</v>
      </c>
      <c r="D44" s="153">
        <v>1013</v>
      </c>
      <c r="E44" s="153">
        <v>90</v>
      </c>
      <c r="F44" s="153">
        <v>66</v>
      </c>
      <c r="G44" s="153">
        <v>1565</v>
      </c>
    </row>
    <row r="45" spans="1:7" x14ac:dyDescent="0.25">
      <c r="A45" s="174" t="s">
        <v>170</v>
      </c>
      <c r="B45" s="200">
        <v>1979</v>
      </c>
      <c r="C45" s="200">
        <v>642</v>
      </c>
      <c r="D45" s="200">
        <v>6424</v>
      </c>
      <c r="E45" s="200">
        <v>573</v>
      </c>
      <c r="F45" s="200">
        <v>287</v>
      </c>
      <c r="G45" s="200">
        <v>9905</v>
      </c>
    </row>
    <row r="46" spans="1:7" x14ac:dyDescent="0.25">
      <c r="A46" s="202" t="s">
        <v>36</v>
      </c>
      <c r="B46" s="203">
        <v>7988</v>
      </c>
      <c r="C46" s="203">
        <v>2722</v>
      </c>
      <c r="D46" s="203">
        <v>27232</v>
      </c>
      <c r="E46" s="203">
        <v>2396</v>
      </c>
      <c r="F46" s="203">
        <v>1448</v>
      </c>
      <c r="G46" s="203">
        <v>41786</v>
      </c>
    </row>
    <row r="47" spans="1:7" x14ac:dyDescent="0.25">
      <c r="A47" s="176"/>
      <c r="B47" s="208"/>
      <c r="C47" s="208"/>
      <c r="D47" s="208"/>
      <c r="E47" s="208"/>
      <c r="F47" s="208"/>
      <c r="G47" s="208"/>
    </row>
    <row r="48" spans="1:7" x14ac:dyDescent="0.25">
      <c r="A48" s="176"/>
      <c r="B48" s="176"/>
      <c r="C48" s="176"/>
      <c r="D48" s="176"/>
    </row>
    <row r="49" spans="1:7" x14ac:dyDescent="0.25">
      <c r="A49" s="205" t="s">
        <v>524</v>
      </c>
    </row>
    <row r="50" spans="1:7" x14ac:dyDescent="0.25">
      <c r="A50" s="176"/>
      <c r="B50" s="488" t="s">
        <v>503</v>
      </c>
      <c r="C50" s="488"/>
      <c r="D50" s="488"/>
      <c r="E50" s="488"/>
      <c r="F50" s="488"/>
      <c r="G50" s="107"/>
    </row>
    <row r="51" spans="1:7" x14ac:dyDescent="0.25">
      <c r="A51" s="178" t="s">
        <v>548</v>
      </c>
      <c r="B51" s="179" t="s">
        <v>142</v>
      </c>
      <c r="C51" s="179" t="s">
        <v>143</v>
      </c>
      <c r="D51" s="179" t="s">
        <v>144</v>
      </c>
      <c r="E51" s="179" t="s">
        <v>20</v>
      </c>
      <c r="F51" s="179" t="s">
        <v>145</v>
      </c>
      <c r="G51" s="179" t="s">
        <v>36</v>
      </c>
    </row>
    <row r="52" spans="1:7" x14ac:dyDescent="0.25">
      <c r="A52" s="175" t="s">
        <v>171</v>
      </c>
      <c r="B52" s="201">
        <v>408</v>
      </c>
      <c r="C52" s="201">
        <v>130</v>
      </c>
      <c r="D52" s="201">
        <v>1422</v>
      </c>
      <c r="E52" s="201">
        <v>104</v>
      </c>
      <c r="F52" s="201">
        <v>67</v>
      </c>
      <c r="G52" s="201">
        <v>2131</v>
      </c>
    </row>
    <row r="53" spans="1:7" x14ac:dyDescent="0.25">
      <c r="A53" s="152" t="s">
        <v>172</v>
      </c>
      <c r="B53" s="153">
        <v>542</v>
      </c>
      <c r="C53" s="153">
        <v>135</v>
      </c>
      <c r="D53" s="153">
        <v>1032</v>
      </c>
      <c r="E53" s="153">
        <v>44</v>
      </c>
      <c r="F53" s="153">
        <v>61</v>
      </c>
      <c r="G53" s="153">
        <v>1814</v>
      </c>
    </row>
    <row r="54" spans="1:7" x14ac:dyDescent="0.25">
      <c r="A54" s="152" t="s">
        <v>173</v>
      </c>
      <c r="B54" s="153">
        <v>671</v>
      </c>
      <c r="C54" s="153">
        <v>182</v>
      </c>
      <c r="D54" s="153">
        <v>2043</v>
      </c>
      <c r="E54" s="153">
        <v>146</v>
      </c>
      <c r="F54" s="153">
        <v>90</v>
      </c>
      <c r="G54" s="153">
        <v>3132</v>
      </c>
    </row>
    <row r="55" spans="1:7" x14ac:dyDescent="0.25">
      <c r="A55" s="152" t="s">
        <v>174</v>
      </c>
      <c r="B55" s="153">
        <v>6548</v>
      </c>
      <c r="C55" s="153">
        <v>2215</v>
      </c>
      <c r="D55" s="153">
        <v>23107</v>
      </c>
      <c r="E55" s="153">
        <v>2367</v>
      </c>
      <c r="F55" s="153">
        <v>1325</v>
      </c>
      <c r="G55" s="153">
        <v>35562</v>
      </c>
    </row>
    <row r="56" spans="1:7" x14ac:dyDescent="0.25">
      <c r="A56" s="152" t="s">
        <v>175</v>
      </c>
      <c r="B56" s="153">
        <v>1376</v>
      </c>
      <c r="C56" s="153">
        <v>368</v>
      </c>
      <c r="D56" s="153">
        <v>4048</v>
      </c>
      <c r="E56" s="153">
        <v>313</v>
      </c>
      <c r="F56" s="153">
        <v>219</v>
      </c>
      <c r="G56" s="153">
        <v>6324</v>
      </c>
    </row>
    <row r="57" spans="1:7" x14ac:dyDescent="0.25">
      <c r="A57" s="152" t="s">
        <v>176</v>
      </c>
      <c r="B57" s="153">
        <v>187</v>
      </c>
      <c r="C57" s="153">
        <v>53</v>
      </c>
      <c r="D57" s="153">
        <v>433</v>
      </c>
      <c r="E57" s="153">
        <v>26</v>
      </c>
      <c r="F57" s="153">
        <v>32</v>
      </c>
      <c r="G57" s="153">
        <v>731</v>
      </c>
    </row>
    <row r="58" spans="1:7" x14ac:dyDescent="0.25">
      <c r="A58" s="152" t="s">
        <v>177</v>
      </c>
      <c r="B58" s="153">
        <v>5671</v>
      </c>
      <c r="C58" s="153">
        <v>2073</v>
      </c>
      <c r="D58" s="153">
        <v>21508</v>
      </c>
      <c r="E58" s="153">
        <v>2219</v>
      </c>
      <c r="F58" s="153">
        <v>1263</v>
      </c>
      <c r="G58" s="153">
        <v>32734</v>
      </c>
    </row>
    <row r="59" spans="1:7" x14ac:dyDescent="0.25">
      <c r="A59" s="152" t="s">
        <v>178</v>
      </c>
      <c r="B59" s="153">
        <v>826</v>
      </c>
      <c r="C59" s="153">
        <v>229</v>
      </c>
      <c r="D59" s="153">
        <v>2497</v>
      </c>
      <c r="E59" s="153">
        <v>169</v>
      </c>
      <c r="F59" s="153">
        <v>128</v>
      </c>
      <c r="G59" s="153">
        <v>3849</v>
      </c>
    </row>
    <row r="60" spans="1:7" x14ac:dyDescent="0.25">
      <c r="A60" s="152" t="s">
        <v>179</v>
      </c>
      <c r="B60" s="153">
        <v>1123</v>
      </c>
      <c r="C60" s="153">
        <v>382</v>
      </c>
      <c r="D60" s="153">
        <v>3237</v>
      </c>
      <c r="E60" s="153">
        <v>145</v>
      </c>
      <c r="F60" s="153">
        <v>224</v>
      </c>
      <c r="G60" s="153">
        <v>5111</v>
      </c>
    </row>
    <row r="61" spans="1:7" x14ac:dyDescent="0.25">
      <c r="A61" s="152" t="s">
        <v>180</v>
      </c>
      <c r="B61" s="153">
        <v>4359</v>
      </c>
      <c r="C61" s="153">
        <v>1294</v>
      </c>
      <c r="D61" s="153">
        <v>12231</v>
      </c>
      <c r="E61" s="153">
        <v>921</v>
      </c>
      <c r="F61" s="153">
        <v>691</v>
      </c>
      <c r="G61" s="153">
        <v>19496</v>
      </c>
    </row>
    <row r="62" spans="1:7" x14ac:dyDescent="0.25">
      <c r="A62" s="152" t="s">
        <v>181</v>
      </c>
      <c r="B62" s="153">
        <v>146</v>
      </c>
      <c r="C62" s="153">
        <v>40</v>
      </c>
      <c r="D62" s="153">
        <v>577</v>
      </c>
      <c r="E62" s="153">
        <v>51</v>
      </c>
      <c r="F62" s="153">
        <v>23</v>
      </c>
      <c r="G62" s="153">
        <v>837</v>
      </c>
    </row>
    <row r="63" spans="1:7" x14ac:dyDescent="0.25">
      <c r="A63" s="152" t="s">
        <v>182</v>
      </c>
      <c r="B63" s="153">
        <v>451</v>
      </c>
      <c r="C63" s="153">
        <v>185</v>
      </c>
      <c r="D63" s="153">
        <v>1254</v>
      </c>
      <c r="E63" s="153">
        <v>54</v>
      </c>
      <c r="F63" s="153">
        <v>80</v>
      </c>
      <c r="G63" s="153">
        <v>2024</v>
      </c>
    </row>
    <row r="64" spans="1:7" x14ac:dyDescent="0.25">
      <c r="A64" s="152" t="s">
        <v>183</v>
      </c>
      <c r="B64" s="153">
        <v>279</v>
      </c>
      <c r="C64" s="153">
        <v>54</v>
      </c>
      <c r="D64" s="153">
        <v>547</v>
      </c>
      <c r="E64" s="153">
        <v>23</v>
      </c>
      <c r="F64" s="153">
        <v>24</v>
      </c>
      <c r="G64" s="153">
        <v>927</v>
      </c>
    </row>
    <row r="65" spans="1:7" x14ac:dyDescent="0.25">
      <c r="A65" s="174" t="s">
        <v>184</v>
      </c>
      <c r="B65" s="200">
        <v>1206</v>
      </c>
      <c r="C65" s="200">
        <v>332</v>
      </c>
      <c r="D65" s="200">
        <v>3347</v>
      </c>
      <c r="E65" s="200">
        <v>179</v>
      </c>
      <c r="F65" s="200">
        <v>148</v>
      </c>
      <c r="G65" s="200">
        <v>5212</v>
      </c>
    </row>
    <row r="66" spans="1:7" x14ac:dyDescent="0.25">
      <c r="A66" s="177" t="s">
        <v>507</v>
      </c>
      <c r="B66" s="192">
        <v>724</v>
      </c>
      <c r="C66" s="192">
        <v>272</v>
      </c>
      <c r="D66" s="192">
        <v>3293</v>
      </c>
      <c r="E66" s="192">
        <v>245</v>
      </c>
      <c r="F66" s="192">
        <v>201</v>
      </c>
      <c r="G66" s="192">
        <v>4735</v>
      </c>
    </row>
    <row r="67" spans="1:7" x14ac:dyDescent="0.25">
      <c r="A67" s="202" t="s">
        <v>36</v>
      </c>
      <c r="B67" s="203">
        <v>24517</v>
      </c>
      <c r="C67" s="203">
        <v>7944</v>
      </c>
      <c r="D67" s="203">
        <v>80576</v>
      </c>
      <c r="E67" s="203">
        <v>7006</v>
      </c>
      <c r="F67" s="203">
        <v>4576</v>
      </c>
      <c r="G67" s="203">
        <v>124619</v>
      </c>
    </row>
    <row r="68" spans="1:7" x14ac:dyDescent="0.25">
      <c r="A68" s="176"/>
      <c r="B68" s="208"/>
      <c r="C68" s="208"/>
      <c r="D68" s="208"/>
      <c r="E68" s="208"/>
      <c r="F68" s="208"/>
      <c r="G68" s="208"/>
    </row>
    <row r="69" spans="1:7" x14ac:dyDescent="0.25">
      <c r="A69" s="176"/>
      <c r="B69" s="208"/>
      <c r="C69" s="208"/>
      <c r="D69" s="208"/>
      <c r="E69" s="208"/>
      <c r="F69" s="208"/>
      <c r="G69" s="208"/>
    </row>
    <row r="70" spans="1:7" x14ac:dyDescent="0.25">
      <c r="A70" s="176"/>
      <c r="B70" s="176"/>
      <c r="C70" s="176"/>
      <c r="D70" s="176"/>
    </row>
    <row r="71" spans="1:7" x14ac:dyDescent="0.25">
      <c r="A71" s="206" t="s">
        <v>525</v>
      </c>
    </row>
    <row r="72" spans="1:7" x14ac:dyDescent="0.25">
      <c r="A72" s="176"/>
      <c r="B72" s="488" t="s">
        <v>503</v>
      </c>
      <c r="C72" s="488"/>
      <c r="D72" s="488"/>
      <c r="E72" s="488"/>
      <c r="F72" s="488"/>
      <c r="G72" s="107"/>
    </row>
    <row r="73" spans="1:7" x14ac:dyDescent="0.25">
      <c r="A73" s="178" t="s">
        <v>548</v>
      </c>
      <c r="B73" s="179" t="s">
        <v>142</v>
      </c>
      <c r="C73" s="179" t="s">
        <v>143</v>
      </c>
      <c r="D73" s="179" t="s">
        <v>144</v>
      </c>
      <c r="E73" s="179" t="s">
        <v>20</v>
      </c>
      <c r="F73" s="179" t="s">
        <v>145</v>
      </c>
      <c r="G73" s="179" t="s">
        <v>36</v>
      </c>
    </row>
    <row r="74" spans="1:7" x14ac:dyDescent="0.25">
      <c r="A74" s="152" t="s">
        <v>185</v>
      </c>
      <c r="B74" s="153">
        <v>660</v>
      </c>
      <c r="C74" s="153">
        <v>120</v>
      </c>
      <c r="D74" s="153">
        <v>1917</v>
      </c>
      <c r="E74" s="153">
        <v>161</v>
      </c>
      <c r="F74" s="153">
        <v>72</v>
      </c>
      <c r="G74" s="153">
        <v>2930</v>
      </c>
    </row>
    <row r="75" spans="1:7" x14ac:dyDescent="0.25">
      <c r="A75" s="152" t="s">
        <v>186</v>
      </c>
      <c r="B75" s="153">
        <v>796</v>
      </c>
      <c r="C75" s="153">
        <v>335</v>
      </c>
      <c r="D75" s="153">
        <v>2468</v>
      </c>
      <c r="E75" s="153">
        <v>162</v>
      </c>
      <c r="F75" s="153">
        <v>140</v>
      </c>
      <c r="G75" s="153">
        <v>3901</v>
      </c>
    </row>
    <row r="76" spans="1:7" x14ac:dyDescent="0.25">
      <c r="A76" s="152" t="s">
        <v>187</v>
      </c>
      <c r="B76" s="153">
        <v>293</v>
      </c>
      <c r="C76" s="153">
        <v>100</v>
      </c>
      <c r="D76" s="153">
        <v>1394</v>
      </c>
      <c r="E76" s="153">
        <v>128</v>
      </c>
      <c r="F76" s="153">
        <v>89</v>
      </c>
      <c r="G76" s="153">
        <v>2004</v>
      </c>
    </row>
    <row r="77" spans="1:7" x14ac:dyDescent="0.25">
      <c r="A77" s="152" t="s">
        <v>188</v>
      </c>
      <c r="B77" s="153">
        <v>1179</v>
      </c>
      <c r="C77" s="153">
        <v>323</v>
      </c>
      <c r="D77" s="153">
        <v>3039</v>
      </c>
      <c r="E77" s="153">
        <v>262</v>
      </c>
      <c r="F77" s="153">
        <v>231</v>
      </c>
      <c r="G77" s="153">
        <v>5034</v>
      </c>
    </row>
    <row r="78" spans="1:7" x14ac:dyDescent="0.25">
      <c r="A78" s="152" t="s">
        <v>189</v>
      </c>
      <c r="B78" s="153">
        <v>946</v>
      </c>
      <c r="C78" s="153">
        <v>244</v>
      </c>
      <c r="D78" s="153">
        <v>2931</v>
      </c>
      <c r="E78" s="153">
        <v>262</v>
      </c>
      <c r="F78" s="153">
        <v>138</v>
      </c>
      <c r="G78" s="153">
        <v>4521</v>
      </c>
    </row>
    <row r="79" spans="1:7" x14ac:dyDescent="0.25">
      <c r="A79" s="152" t="s">
        <v>190</v>
      </c>
      <c r="B79" s="153">
        <v>525</v>
      </c>
      <c r="C79" s="153">
        <v>163</v>
      </c>
      <c r="D79" s="153">
        <v>1783</v>
      </c>
      <c r="E79" s="153">
        <v>129</v>
      </c>
      <c r="F79" s="153">
        <v>76</v>
      </c>
      <c r="G79" s="153">
        <v>2676</v>
      </c>
    </row>
    <row r="80" spans="1:7" x14ac:dyDescent="0.25">
      <c r="A80" s="152" t="s">
        <v>191</v>
      </c>
      <c r="B80" s="153">
        <v>1130</v>
      </c>
      <c r="C80" s="153">
        <v>361</v>
      </c>
      <c r="D80" s="153">
        <v>3806</v>
      </c>
      <c r="E80" s="153">
        <v>399</v>
      </c>
      <c r="F80" s="153">
        <v>191</v>
      </c>
      <c r="G80" s="153">
        <v>5887</v>
      </c>
    </row>
    <row r="81" spans="1:7" x14ac:dyDescent="0.25">
      <c r="A81" s="152" t="s">
        <v>192</v>
      </c>
      <c r="B81" s="153">
        <v>792</v>
      </c>
      <c r="C81" s="153">
        <v>167</v>
      </c>
      <c r="D81" s="153">
        <v>2520</v>
      </c>
      <c r="E81" s="153">
        <v>293</v>
      </c>
      <c r="F81" s="153">
        <v>106</v>
      </c>
      <c r="G81" s="153">
        <v>3878</v>
      </c>
    </row>
    <row r="82" spans="1:7" x14ac:dyDescent="0.25">
      <c r="A82" s="152" t="s">
        <v>193</v>
      </c>
      <c r="B82" s="153">
        <v>679</v>
      </c>
      <c r="C82" s="153">
        <v>160</v>
      </c>
      <c r="D82" s="153">
        <v>2197</v>
      </c>
      <c r="E82" s="153">
        <v>238</v>
      </c>
      <c r="F82" s="153">
        <v>116</v>
      </c>
      <c r="G82" s="153">
        <v>3390</v>
      </c>
    </row>
    <row r="83" spans="1:7" x14ac:dyDescent="0.25">
      <c r="A83" s="152" t="s">
        <v>194</v>
      </c>
      <c r="B83" s="153">
        <v>784</v>
      </c>
      <c r="C83" s="153">
        <v>288</v>
      </c>
      <c r="D83" s="153">
        <v>1961</v>
      </c>
      <c r="E83" s="153">
        <v>122</v>
      </c>
      <c r="F83" s="153">
        <v>190</v>
      </c>
      <c r="G83" s="153">
        <v>3345</v>
      </c>
    </row>
    <row r="84" spans="1:7" x14ac:dyDescent="0.25">
      <c r="A84" s="152" t="s">
        <v>195</v>
      </c>
      <c r="B84" s="153">
        <v>139</v>
      </c>
      <c r="C84" s="153">
        <v>54</v>
      </c>
      <c r="D84" s="153">
        <v>412</v>
      </c>
      <c r="E84" s="153">
        <v>29</v>
      </c>
      <c r="F84" s="153">
        <v>34</v>
      </c>
      <c r="G84" s="153">
        <v>668</v>
      </c>
    </row>
    <row r="85" spans="1:7" x14ac:dyDescent="0.25">
      <c r="A85" s="152" t="s">
        <v>196</v>
      </c>
      <c r="B85" s="153">
        <v>45</v>
      </c>
      <c r="C85" s="153">
        <v>3</v>
      </c>
      <c r="D85" s="153">
        <v>87</v>
      </c>
      <c r="E85" s="153">
        <v>4</v>
      </c>
      <c r="F85" s="153">
        <v>2</v>
      </c>
      <c r="G85" s="153">
        <v>141</v>
      </c>
    </row>
    <row r="86" spans="1:7" x14ac:dyDescent="0.25">
      <c r="A86" s="152" t="s">
        <v>197</v>
      </c>
      <c r="B86" s="153">
        <v>2122</v>
      </c>
      <c r="C86" s="153">
        <v>739</v>
      </c>
      <c r="D86" s="153">
        <v>6698</v>
      </c>
      <c r="E86" s="153">
        <v>630</v>
      </c>
      <c r="F86" s="153">
        <v>465</v>
      </c>
      <c r="G86" s="153">
        <v>10654</v>
      </c>
    </row>
    <row r="87" spans="1:7" x14ac:dyDescent="0.25">
      <c r="A87" s="152" t="s">
        <v>198</v>
      </c>
      <c r="B87" s="153">
        <v>465</v>
      </c>
      <c r="C87" s="153">
        <v>144</v>
      </c>
      <c r="D87" s="153">
        <v>1776</v>
      </c>
      <c r="E87" s="153">
        <v>149</v>
      </c>
      <c r="F87" s="153">
        <v>125</v>
      </c>
      <c r="G87" s="153">
        <v>2659</v>
      </c>
    </row>
    <row r="88" spans="1:7" x14ac:dyDescent="0.25">
      <c r="A88" s="152" t="s">
        <v>199</v>
      </c>
      <c r="B88" s="153">
        <v>1716</v>
      </c>
      <c r="C88" s="153">
        <v>540</v>
      </c>
      <c r="D88" s="153">
        <v>4385</v>
      </c>
      <c r="E88" s="153">
        <v>300</v>
      </c>
      <c r="F88" s="153">
        <v>281</v>
      </c>
      <c r="G88" s="153">
        <v>7222</v>
      </c>
    </row>
    <row r="89" spans="1:7" x14ac:dyDescent="0.25">
      <c r="A89" s="152" t="s">
        <v>200</v>
      </c>
      <c r="B89" s="153">
        <v>1607</v>
      </c>
      <c r="C89" s="153">
        <v>569</v>
      </c>
      <c r="D89" s="153">
        <v>5841</v>
      </c>
      <c r="E89" s="153">
        <v>544</v>
      </c>
      <c r="F89" s="153">
        <v>355</v>
      </c>
      <c r="G89" s="153">
        <v>8916</v>
      </c>
    </row>
    <row r="90" spans="1:7" x14ac:dyDescent="0.25">
      <c r="A90" s="152" t="s">
        <v>201</v>
      </c>
      <c r="B90" s="153">
        <v>792</v>
      </c>
      <c r="C90" s="153">
        <v>255</v>
      </c>
      <c r="D90" s="153">
        <v>3218</v>
      </c>
      <c r="E90" s="153">
        <v>289</v>
      </c>
      <c r="F90" s="153">
        <v>190</v>
      </c>
      <c r="G90" s="153">
        <v>4744</v>
      </c>
    </row>
    <row r="91" spans="1:7" x14ac:dyDescent="0.25">
      <c r="A91" s="152" t="s">
        <v>202</v>
      </c>
      <c r="B91" s="153">
        <v>1798</v>
      </c>
      <c r="C91" s="153">
        <v>526</v>
      </c>
      <c r="D91" s="153">
        <v>7944</v>
      </c>
      <c r="E91" s="153">
        <v>818</v>
      </c>
      <c r="F91" s="153">
        <v>471</v>
      </c>
      <c r="G91" s="153">
        <v>11557</v>
      </c>
    </row>
    <row r="92" spans="1:7" x14ac:dyDescent="0.25">
      <c r="A92" s="152" t="s">
        <v>203</v>
      </c>
      <c r="B92" s="153">
        <v>838</v>
      </c>
      <c r="C92" s="153">
        <v>290</v>
      </c>
      <c r="D92" s="153">
        <v>2804</v>
      </c>
      <c r="E92" s="153">
        <v>193</v>
      </c>
      <c r="F92" s="153">
        <v>175</v>
      </c>
      <c r="G92" s="153">
        <v>4300</v>
      </c>
    </row>
    <row r="93" spans="1:7" x14ac:dyDescent="0.25">
      <c r="A93" s="152" t="s">
        <v>204</v>
      </c>
      <c r="B93" s="153">
        <v>701</v>
      </c>
      <c r="C93" s="153">
        <v>252</v>
      </c>
      <c r="D93" s="153">
        <v>2114</v>
      </c>
      <c r="E93" s="153">
        <v>185</v>
      </c>
      <c r="F93" s="153">
        <v>147</v>
      </c>
      <c r="G93" s="153">
        <v>3399</v>
      </c>
    </row>
    <row r="94" spans="1:7" x14ac:dyDescent="0.25">
      <c r="A94" s="152" t="s">
        <v>205</v>
      </c>
      <c r="B94" s="153">
        <v>182</v>
      </c>
      <c r="C94" s="153">
        <v>72</v>
      </c>
      <c r="D94" s="153">
        <v>858</v>
      </c>
      <c r="E94" s="153">
        <v>81</v>
      </c>
      <c r="F94" s="153">
        <v>60</v>
      </c>
      <c r="G94" s="153">
        <v>1253</v>
      </c>
    </row>
    <row r="95" spans="1:7" x14ac:dyDescent="0.25">
      <c r="A95" s="152" t="s">
        <v>206</v>
      </c>
      <c r="B95" s="153">
        <v>239</v>
      </c>
      <c r="C95" s="153">
        <v>75</v>
      </c>
      <c r="D95" s="153">
        <v>650</v>
      </c>
      <c r="E95" s="153">
        <v>61</v>
      </c>
      <c r="F95" s="153">
        <v>43</v>
      </c>
      <c r="G95" s="153">
        <v>1068</v>
      </c>
    </row>
    <row r="96" spans="1:7" x14ac:dyDescent="0.25">
      <c r="A96" s="152" t="s">
        <v>207</v>
      </c>
      <c r="B96" s="153">
        <v>358</v>
      </c>
      <c r="C96" s="153">
        <v>139</v>
      </c>
      <c r="D96" s="153">
        <v>1244</v>
      </c>
      <c r="E96" s="153">
        <v>83</v>
      </c>
      <c r="F96" s="153">
        <v>66</v>
      </c>
      <c r="G96" s="153">
        <v>1890</v>
      </c>
    </row>
    <row r="97" spans="1:7" x14ac:dyDescent="0.25">
      <c r="A97" s="152" t="s">
        <v>208</v>
      </c>
      <c r="B97" s="153">
        <v>793</v>
      </c>
      <c r="C97" s="153">
        <v>172</v>
      </c>
      <c r="D97" s="153">
        <v>2314</v>
      </c>
      <c r="E97" s="153">
        <v>187</v>
      </c>
      <c r="F97" s="153">
        <v>102</v>
      </c>
      <c r="G97" s="153">
        <v>3568</v>
      </c>
    </row>
    <row r="98" spans="1:7" x14ac:dyDescent="0.25">
      <c r="A98" s="152" t="s">
        <v>209</v>
      </c>
      <c r="B98" s="153">
        <v>557</v>
      </c>
      <c r="C98" s="153">
        <v>280</v>
      </c>
      <c r="D98" s="153">
        <v>2196</v>
      </c>
      <c r="E98" s="153">
        <v>148</v>
      </c>
      <c r="F98" s="153">
        <v>147</v>
      </c>
      <c r="G98" s="153">
        <v>3328</v>
      </c>
    </row>
    <row r="99" spans="1:7" x14ac:dyDescent="0.25">
      <c r="A99" s="152" t="s">
        <v>210</v>
      </c>
      <c r="B99" s="153">
        <v>3017</v>
      </c>
      <c r="C99" s="153">
        <v>986</v>
      </c>
      <c r="D99" s="153">
        <v>11383</v>
      </c>
      <c r="E99" s="153">
        <v>1074</v>
      </c>
      <c r="F99" s="153">
        <v>671</v>
      </c>
      <c r="G99" s="153">
        <v>17131</v>
      </c>
    </row>
    <row r="100" spans="1:7" x14ac:dyDescent="0.25">
      <c r="A100" s="152" t="s">
        <v>211</v>
      </c>
      <c r="B100" s="153">
        <v>5180</v>
      </c>
      <c r="C100" s="153">
        <v>1571</v>
      </c>
      <c r="D100" s="153">
        <v>18076</v>
      </c>
      <c r="E100" s="153">
        <v>1991</v>
      </c>
      <c r="F100" s="153">
        <v>971</v>
      </c>
      <c r="G100" s="153">
        <v>27789</v>
      </c>
    </row>
    <row r="101" spans="1:7" x14ac:dyDescent="0.25">
      <c r="A101" s="152" t="s">
        <v>212</v>
      </c>
      <c r="B101" s="153">
        <v>1128</v>
      </c>
      <c r="C101" s="153">
        <v>390</v>
      </c>
      <c r="D101" s="153">
        <v>3537</v>
      </c>
      <c r="E101" s="153">
        <v>394</v>
      </c>
      <c r="F101" s="153">
        <v>216</v>
      </c>
      <c r="G101" s="153">
        <v>5665</v>
      </c>
    </row>
    <row r="102" spans="1:7" x14ac:dyDescent="0.25">
      <c r="A102" s="152" t="s">
        <v>213</v>
      </c>
      <c r="B102" s="153">
        <v>214</v>
      </c>
      <c r="C102" s="153">
        <v>74</v>
      </c>
      <c r="D102" s="153">
        <v>1028</v>
      </c>
      <c r="E102" s="153">
        <v>73</v>
      </c>
      <c r="F102" s="153">
        <v>74</v>
      </c>
      <c r="G102" s="153">
        <v>1463</v>
      </c>
    </row>
    <row r="103" spans="1:7" x14ac:dyDescent="0.25">
      <c r="A103" s="152" t="s">
        <v>214</v>
      </c>
      <c r="B103" s="153">
        <v>3383</v>
      </c>
      <c r="C103" s="153">
        <v>1314</v>
      </c>
      <c r="D103" s="153">
        <v>11545</v>
      </c>
      <c r="E103" s="153">
        <v>965</v>
      </c>
      <c r="F103" s="153">
        <v>877</v>
      </c>
      <c r="G103" s="153">
        <v>18084</v>
      </c>
    </row>
    <row r="104" spans="1:7" x14ac:dyDescent="0.25">
      <c r="A104" s="152" t="s">
        <v>215</v>
      </c>
      <c r="B104" s="153">
        <v>460</v>
      </c>
      <c r="C104" s="153">
        <v>148</v>
      </c>
      <c r="D104" s="153">
        <v>2016</v>
      </c>
      <c r="E104" s="153">
        <v>156</v>
      </c>
      <c r="F104" s="153">
        <v>117</v>
      </c>
      <c r="G104" s="153">
        <v>2897</v>
      </c>
    </row>
    <row r="105" spans="1:7" x14ac:dyDescent="0.25">
      <c r="A105" s="152" t="s">
        <v>216</v>
      </c>
      <c r="B105" s="153">
        <v>1829</v>
      </c>
      <c r="C105" s="153">
        <v>681</v>
      </c>
      <c r="D105" s="153">
        <v>9279</v>
      </c>
      <c r="E105" s="153">
        <v>985</v>
      </c>
      <c r="F105" s="153">
        <v>644</v>
      </c>
      <c r="G105" s="153">
        <v>13418</v>
      </c>
    </row>
    <row r="106" spans="1:7" x14ac:dyDescent="0.25">
      <c r="A106" s="152" t="s">
        <v>217</v>
      </c>
      <c r="B106" s="153">
        <v>352</v>
      </c>
      <c r="C106" s="153">
        <v>133</v>
      </c>
      <c r="D106" s="153">
        <v>1870</v>
      </c>
      <c r="E106" s="153">
        <v>156</v>
      </c>
      <c r="F106" s="153">
        <v>92</v>
      </c>
      <c r="G106" s="153">
        <v>2603</v>
      </c>
    </row>
    <row r="107" spans="1:7" x14ac:dyDescent="0.25">
      <c r="A107" s="152" t="s">
        <v>218</v>
      </c>
      <c r="B107" s="153">
        <v>376</v>
      </c>
      <c r="C107" s="153">
        <v>62</v>
      </c>
      <c r="D107" s="153">
        <v>1124</v>
      </c>
      <c r="E107" s="153">
        <v>82</v>
      </c>
      <c r="F107" s="153">
        <v>51</v>
      </c>
      <c r="G107" s="153">
        <v>1695</v>
      </c>
    </row>
    <row r="108" spans="1:7" x14ac:dyDescent="0.25">
      <c r="A108" s="152" t="s">
        <v>219</v>
      </c>
      <c r="B108" s="153">
        <v>10584</v>
      </c>
      <c r="C108" s="153">
        <v>4302</v>
      </c>
      <c r="D108" s="153">
        <v>36006</v>
      </c>
      <c r="E108" s="153">
        <v>3753</v>
      </c>
      <c r="F108" s="153">
        <v>2550</v>
      </c>
      <c r="G108" s="153">
        <v>57195</v>
      </c>
    </row>
    <row r="109" spans="1:7" x14ac:dyDescent="0.25">
      <c r="A109" s="152" t="s">
        <v>220</v>
      </c>
      <c r="B109" s="153">
        <v>3449</v>
      </c>
      <c r="C109" s="153">
        <v>1297</v>
      </c>
      <c r="D109" s="153">
        <v>12627</v>
      </c>
      <c r="E109" s="153">
        <v>1314</v>
      </c>
      <c r="F109" s="153">
        <v>771</v>
      </c>
      <c r="G109" s="153">
        <v>19458</v>
      </c>
    </row>
    <row r="110" spans="1:7" x14ac:dyDescent="0.25">
      <c r="A110" s="174" t="s">
        <v>508</v>
      </c>
      <c r="B110" s="200">
        <v>9670</v>
      </c>
      <c r="C110" s="200">
        <v>3034</v>
      </c>
      <c r="D110" s="200">
        <v>37684</v>
      </c>
      <c r="E110" s="200">
        <v>4154</v>
      </c>
      <c r="F110" s="200">
        <v>1968</v>
      </c>
      <c r="G110" s="200">
        <v>56510</v>
      </c>
    </row>
    <row r="111" spans="1:7" x14ac:dyDescent="0.25">
      <c r="A111" s="177" t="s">
        <v>221</v>
      </c>
      <c r="B111" s="192">
        <v>278</v>
      </c>
      <c r="C111" s="192">
        <v>80</v>
      </c>
      <c r="D111" s="192">
        <v>841</v>
      </c>
      <c r="E111" s="192">
        <v>48</v>
      </c>
      <c r="F111" s="192">
        <v>37</v>
      </c>
      <c r="G111" s="192">
        <v>1284</v>
      </c>
    </row>
    <row r="112" spans="1:7" x14ac:dyDescent="0.25">
      <c r="A112" s="202" t="s">
        <v>36</v>
      </c>
      <c r="B112" s="203">
        <v>60056</v>
      </c>
      <c r="C112" s="203">
        <v>20443</v>
      </c>
      <c r="D112" s="203">
        <v>213573</v>
      </c>
      <c r="E112" s="203">
        <v>21002</v>
      </c>
      <c r="F112" s="203">
        <v>13051</v>
      </c>
      <c r="G112" s="203">
        <v>328125</v>
      </c>
    </row>
    <row r="113" spans="1:7" x14ac:dyDescent="0.25">
      <c r="A113" s="176"/>
      <c r="B113" s="176"/>
      <c r="C113" s="176"/>
      <c r="D113" s="176"/>
      <c r="E113" s="176"/>
      <c r="F113" s="176"/>
      <c r="G113" s="176"/>
    </row>
    <row r="114" spans="1:7" x14ac:dyDescent="0.25">
      <c r="A114" s="176"/>
      <c r="B114" s="176"/>
      <c r="C114" s="176"/>
      <c r="D114" s="176"/>
      <c r="E114" s="176"/>
      <c r="F114" s="176"/>
      <c r="G114" s="176"/>
    </row>
    <row r="115" spans="1:7" x14ac:dyDescent="0.25">
      <c r="A115" s="176"/>
      <c r="B115" s="176"/>
      <c r="C115" s="176"/>
      <c r="D115" s="176"/>
    </row>
    <row r="116" spans="1:7" x14ac:dyDescent="0.25">
      <c r="A116" s="205" t="s">
        <v>526</v>
      </c>
    </row>
    <row r="117" spans="1:7" x14ac:dyDescent="0.25">
      <c r="A117" s="176"/>
      <c r="B117" s="488" t="s">
        <v>503</v>
      </c>
      <c r="C117" s="488"/>
      <c r="D117" s="488"/>
      <c r="E117" s="488"/>
      <c r="F117" s="488"/>
      <c r="G117" s="107"/>
    </row>
    <row r="118" spans="1:7" x14ac:dyDescent="0.25">
      <c r="A118" s="178" t="s">
        <v>548</v>
      </c>
      <c r="B118" s="179" t="s">
        <v>142</v>
      </c>
      <c r="C118" s="179" t="s">
        <v>143</v>
      </c>
      <c r="D118" s="179" t="s">
        <v>144</v>
      </c>
      <c r="E118" s="179" t="s">
        <v>20</v>
      </c>
      <c r="F118" s="179" t="s">
        <v>145</v>
      </c>
      <c r="G118" s="179" t="s">
        <v>36</v>
      </c>
    </row>
    <row r="119" spans="1:7" x14ac:dyDescent="0.25">
      <c r="A119" s="175" t="s">
        <v>222</v>
      </c>
      <c r="B119" s="201">
        <v>681</v>
      </c>
      <c r="C119" s="201">
        <v>219</v>
      </c>
      <c r="D119" s="201">
        <v>2046</v>
      </c>
      <c r="E119" s="201">
        <v>143</v>
      </c>
      <c r="F119" s="201">
        <v>147</v>
      </c>
      <c r="G119" s="201">
        <v>3236</v>
      </c>
    </row>
    <row r="120" spans="1:7" x14ac:dyDescent="0.25">
      <c r="A120" s="152" t="s">
        <v>223</v>
      </c>
      <c r="B120" s="153">
        <v>1234</v>
      </c>
      <c r="C120" s="153">
        <v>471</v>
      </c>
      <c r="D120" s="153">
        <v>4126</v>
      </c>
      <c r="E120" s="153">
        <v>257</v>
      </c>
      <c r="F120" s="153">
        <v>281</v>
      </c>
      <c r="G120" s="153">
        <v>6369</v>
      </c>
    </row>
    <row r="121" spans="1:7" x14ac:dyDescent="0.25">
      <c r="A121" s="152" t="s">
        <v>224</v>
      </c>
      <c r="B121" s="153">
        <v>321</v>
      </c>
      <c r="C121" s="153">
        <v>141</v>
      </c>
      <c r="D121" s="153">
        <v>1407</v>
      </c>
      <c r="E121" s="153">
        <v>122</v>
      </c>
      <c r="F121" s="153">
        <v>120</v>
      </c>
      <c r="G121" s="153">
        <v>2111</v>
      </c>
    </row>
    <row r="122" spans="1:7" x14ac:dyDescent="0.25">
      <c r="A122" s="152" t="s">
        <v>225</v>
      </c>
      <c r="B122" s="153">
        <v>329</v>
      </c>
      <c r="C122" s="153">
        <v>126</v>
      </c>
      <c r="D122" s="153">
        <v>865</v>
      </c>
      <c r="E122" s="153">
        <v>77</v>
      </c>
      <c r="F122" s="153">
        <v>68</v>
      </c>
      <c r="G122" s="153">
        <v>1465</v>
      </c>
    </row>
    <row r="123" spans="1:7" x14ac:dyDescent="0.25">
      <c r="A123" s="152" t="s">
        <v>226</v>
      </c>
      <c r="B123" s="153">
        <v>636</v>
      </c>
      <c r="C123" s="153">
        <v>223</v>
      </c>
      <c r="D123" s="153">
        <v>2365</v>
      </c>
      <c r="E123" s="153">
        <v>188</v>
      </c>
      <c r="F123" s="153">
        <v>164</v>
      </c>
      <c r="G123" s="153">
        <v>3576</v>
      </c>
    </row>
    <row r="124" spans="1:7" x14ac:dyDescent="0.25">
      <c r="A124" s="152" t="s">
        <v>509</v>
      </c>
      <c r="B124" s="153">
        <v>603</v>
      </c>
      <c r="C124" s="153">
        <v>203</v>
      </c>
      <c r="D124" s="153">
        <v>2250</v>
      </c>
      <c r="E124" s="153">
        <v>224</v>
      </c>
      <c r="F124" s="153">
        <v>148</v>
      </c>
      <c r="G124" s="153">
        <v>3428</v>
      </c>
    </row>
    <row r="125" spans="1:7" x14ac:dyDescent="0.25">
      <c r="A125" s="152" t="s">
        <v>227</v>
      </c>
      <c r="B125" s="153">
        <v>791</v>
      </c>
      <c r="C125" s="153">
        <v>292</v>
      </c>
      <c r="D125" s="153">
        <v>3196</v>
      </c>
      <c r="E125" s="153">
        <v>317</v>
      </c>
      <c r="F125" s="153">
        <v>239</v>
      </c>
      <c r="G125" s="153">
        <v>4835</v>
      </c>
    </row>
    <row r="126" spans="1:7" x14ac:dyDescent="0.25">
      <c r="A126" s="152" t="s">
        <v>228</v>
      </c>
      <c r="B126" s="153">
        <v>170</v>
      </c>
      <c r="C126" s="153">
        <v>46</v>
      </c>
      <c r="D126" s="153">
        <v>503</v>
      </c>
      <c r="E126" s="153">
        <v>34</v>
      </c>
      <c r="F126" s="153">
        <v>18</v>
      </c>
      <c r="G126" s="153">
        <v>771</v>
      </c>
    </row>
    <row r="127" spans="1:7" x14ac:dyDescent="0.25">
      <c r="A127" s="152" t="s">
        <v>229</v>
      </c>
      <c r="B127" s="153">
        <v>985</v>
      </c>
      <c r="C127" s="153">
        <v>289</v>
      </c>
      <c r="D127" s="153">
        <v>2933</v>
      </c>
      <c r="E127" s="153">
        <v>246</v>
      </c>
      <c r="F127" s="153">
        <v>160</v>
      </c>
      <c r="G127" s="153">
        <v>4613</v>
      </c>
    </row>
    <row r="128" spans="1:7" x14ac:dyDescent="0.25">
      <c r="A128" s="152" t="s">
        <v>230</v>
      </c>
      <c r="B128" s="153">
        <v>289</v>
      </c>
      <c r="C128" s="153">
        <v>77</v>
      </c>
      <c r="D128" s="153">
        <v>783</v>
      </c>
      <c r="E128" s="153">
        <v>59</v>
      </c>
      <c r="F128" s="153">
        <v>35</v>
      </c>
      <c r="G128" s="153">
        <v>1243</v>
      </c>
    </row>
    <row r="129" spans="1:7" x14ac:dyDescent="0.25">
      <c r="A129" s="152" t="s">
        <v>231</v>
      </c>
      <c r="B129" s="153">
        <v>354</v>
      </c>
      <c r="C129" s="153">
        <v>115</v>
      </c>
      <c r="D129" s="153">
        <v>1017</v>
      </c>
      <c r="E129" s="153">
        <v>64</v>
      </c>
      <c r="F129" s="153">
        <v>54</v>
      </c>
      <c r="G129" s="153">
        <v>1604</v>
      </c>
    </row>
    <row r="130" spans="1:7" x14ac:dyDescent="0.25">
      <c r="A130" s="152" t="s">
        <v>232</v>
      </c>
      <c r="B130" s="153">
        <v>942</v>
      </c>
      <c r="C130" s="153">
        <v>305</v>
      </c>
      <c r="D130" s="153">
        <v>3406</v>
      </c>
      <c r="E130" s="153">
        <v>324</v>
      </c>
      <c r="F130" s="153">
        <v>242</v>
      </c>
      <c r="G130" s="153">
        <v>5219</v>
      </c>
    </row>
    <row r="131" spans="1:7" x14ac:dyDescent="0.25">
      <c r="A131" s="152" t="s">
        <v>233</v>
      </c>
      <c r="B131" s="153">
        <v>562</v>
      </c>
      <c r="C131" s="153">
        <v>204</v>
      </c>
      <c r="D131" s="153">
        <v>1640</v>
      </c>
      <c r="E131" s="153">
        <v>108</v>
      </c>
      <c r="F131" s="153">
        <v>123</v>
      </c>
      <c r="G131" s="153">
        <v>2637</v>
      </c>
    </row>
    <row r="132" spans="1:7" x14ac:dyDescent="0.25">
      <c r="A132" s="152" t="s">
        <v>234</v>
      </c>
      <c r="B132" s="153">
        <v>317</v>
      </c>
      <c r="C132" s="153">
        <v>89</v>
      </c>
      <c r="D132" s="153">
        <v>1104</v>
      </c>
      <c r="E132" s="153">
        <v>77</v>
      </c>
      <c r="F132" s="153">
        <v>37</v>
      </c>
      <c r="G132" s="153">
        <v>1624</v>
      </c>
    </row>
    <row r="133" spans="1:7" x14ac:dyDescent="0.25">
      <c r="A133" s="152" t="s">
        <v>235</v>
      </c>
      <c r="B133" s="153">
        <v>688</v>
      </c>
      <c r="C133" s="153">
        <v>307</v>
      </c>
      <c r="D133" s="153">
        <v>2814</v>
      </c>
      <c r="E133" s="153">
        <v>235</v>
      </c>
      <c r="F133" s="153">
        <v>209</v>
      </c>
      <c r="G133" s="153">
        <v>4253</v>
      </c>
    </row>
    <row r="134" spans="1:7" x14ac:dyDescent="0.25">
      <c r="A134" s="152" t="s">
        <v>236</v>
      </c>
      <c r="B134" s="153">
        <v>466</v>
      </c>
      <c r="C134" s="153">
        <v>199</v>
      </c>
      <c r="D134" s="153">
        <v>2136</v>
      </c>
      <c r="E134" s="153">
        <v>180</v>
      </c>
      <c r="F134" s="153">
        <v>173</v>
      </c>
      <c r="G134" s="153">
        <v>3154</v>
      </c>
    </row>
    <row r="135" spans="1:7" x14ac:dyDescent="0.25">
      <c r="A135" s="152" t="s">
        <v>237</v>
      </c>
      <c r="B135" s="153">
        <v>445</v>
      </c>
      <c r="C135" s="153">
        <v>104</v>
      </c>
      <c r="D135" s="153">
        <v>811</v>
      </c>
      <c r="E135" s="153">
        <v>42</v>
      </c>
      <c r="F135" s="153">
        <v>42</v>
      </c>
      <c r="G135" s="153">
        <v>1444</v>
      </c>
    </row>
    <row r="136" spans="1:7" x14ac:dyDescent="0.25">
      <c r="A136" s="152" t="s">
        <v>238</v>
      </c>
      <c r="B136" s="153">
        <v>332</v>
      </c>
      <c r="C136" s="153">
        <v>113</v>
      </c>
      <c r="D136" s="153">
        <v>1409</v>
      </c>
      <c r="E136" s="153">
        <v>101</v>
      </c>
      <c r="F136" s="153">
        <v>87</v>
      </c>
      <c r="G136" s="153">
        <v>2042</v>
      </c>
    </row>
    <row r="137" spans="1:7" x14ac:dyDescent="0.25">
      <c r="A137" s="152" t="s">
        <v>239</v>
      </c>
      <c r="B137" s="153">
        <v>468</v>
      </c>
      <c r="C137" s="153">
        <v>137</v>
      </c>
      <c r="D137" s="153">
        <v>1542</v>
      </c>
      <c r="E137" s="153">
        <v>89</v>
      </c>
      <c r="F137" s="153">
        <v>128</v>
      </c>
      <c r="G137" s="153">
        <v>2364</v>
      </c>
    </row>
    <row r="138" spans="1:7" x14ac:dyDescent="0.25">
      <c r="A138" s="152" t="s">
        <v>240</v>
      </c>
      <c r="B138" s="153">
        <v>335</v>
      </c>
      <c r="C138" s="153">
        <v>111</v>
      </c>
      <c r="D138" s="153">
        <v>903</v>
      </c>
      <c r="E138" s="153">
        <v>55</v>
      </c>
      <c r="F138" s="153">
        <v>59</v>
      </c>
      <c r="G138" s="153">
        <v>1463</v>
      </c>
    </row>
    <row r="139" spans="1:7" x14ac:dyDescent="0.25">
      <c r="A139" s="152" t="s">
        <v>241</v>
      </c>
      <c r="B139" s="153">
        <v>412</v>
      </c>
      <c r="C139" s="153">
        <v>140</v>
      </c>
      <c r="D139" s="153">
        <v>1500</v>
      </c>
      <c r="E139" s="153">
        <v>105</v>
      </c>
      <c r="F139" s="153">
        <v>66</v>
      </c>
      <c r="G139" s="153">
        <v>2223</v>
      </c>
    </row>
    <row r="140" spans="1:7" x14ac:dyDescent="0.25">
      <c r="A140" s="152" t="s">
        <v>242</v>
      </c>
      <c r="B140" s="153">
        <v>539</v>
      </c>
      <c r="C140" s="153">
        <v>165</v>
      </c>
      <c r="D140" s="153">
        <v>1910</v>
      </c>
      <c r="E140" s="153">
        <v>181</v>
      </c>
      <c r="F140" s="153">
        <v>99</v>
      </c>
      <c r="G140" s="153">
        <v>2894</v>
      </c>
    </row>
    <row r="141" spans="1:7" x14ac:dyDescent="0.25">
      <c r="A141" s="152" t="s">
        <v>243</v>
      </c>
      <c r="B141" s="153">
        <v>856</v>
      </c>
      <c r="C141" s="153">
        <v>262</v>
      </c>
      <c r="D141" s="153">
        <v>2493</v>
      </c>
      <c r="E141" s="153">
        <v>196</v>
      </c>
      <c r="F141" s="153">
        <v>162</v>
      </c>
      <c r="G141" s="153">
        <v>3969</v>
      </c>
    </row>
    <row r="142" spans="1:7" x14ac:dyDescent="0.25">
      <c r="A142" s="152" t="s">
        <v>244</v>
      </c>
      <c r="B142" s="153">
        <v>615</v>
      </c>
      <c r="C142" s="153">
        <v>192</v>
      </c>
      <c r="D142" s="153">
        <v>2071</v>
      </c>
      <c r="E142" s="153">
        <v>211</v>
      </c>
      <c r="F142" s="153">
        <v>144</v>
      </c>
      <c r="G142" s="153">
        <v>3233</v>
      </c>
    </row>
    <row r="143" spans="1:7" x14ac:dyDescent="0.25">
      <c r="A143" s="152" t="s">
        <v>245</v>
      </c>
      <c r="B143" s="153">
        <v>262</v>
      </c>
      <c r="C143" s="153">
        <v>105</v>
      </c>
      <c r="D143" s="153">
        <v>1105</v>
      </c>
      <c r="E143" s="153">
        <v>65</v>
      </c>
      <c r="F143" s="153">
        <v>82</v>
      </c>
      <c r="G143" s="153">
        <v>1619</v>
      </c>
    </row>
    <row r="144" spans="1:7" x14ac:dyDescent="0.25">
      <c r="A144" s="152" t="s">
        <v>246</v>
      </c>
      <c r="B144" s="153">
        <v>207</v>
      </c>
      <c r="C144" s="153">
        <v>47</v>
      </c>
      <c r="D144" s="153">
        <v>587</v>
      </c>
      <c r="E144" s="153">
        <v>37</v>
      </c>
      <c r="F144" s="153">
        <v>31</v>
      </c>
      <c r="G144" s="153">
        <v>909</v>
      </c>
    </row>
    <row r="145" spans="1:7" x14ac:dyDescent="0.25">
      <c r="A145" s="152" t="s">
        <v>247</v>
      </c>
      <c r="B145" s="153">
        <v>522</v>
      </c>
      <c r="C145" s="153">
        <v>193</v>
      </c>
      <c r="D145" s="153">
        <v>1548</v>
      </c>
      <c r="E145" s="153">
        <v>115</v>
      </c>
      <c r="F145" s="153">
        <v>113</v>
      </c>
      <c r="G145" s="153">
        <v>2491</v>
      </c>
    </row>
    <row r="146" spans="1:7" x14ac:dyDescent="0.25">
      <c r="A146" s="152" t="s">
        <v>248</v>
      </c>
      <c r="B146" s="153">
        <v>6341</v>
      </c>
      <c r="C146" s="153">
        <v>2492</v>
      </c>
      <c r="D146" s="153">
        <v>24754</v>
      </c>
      <c r="E146" s="153">
        <v>2313</v>
      </c>
      <c r="F146" s="153">
        <v>2192</v>
      </c>
      <c r="G146" s="153">
        <v>38092</v>
      </c>
    </row>
    <row r="147" spans="1:7" x14ac:dyDescent="0.25">
      <c r="A147" s="152" t="s">
        <v>249</v>
      </c>
      <c r="B147" s="153">
        <v>1703</v>
      </c>
      <c r="C147" s="153">
        <v>695</v>
      </c>
      <c r="D147" s="153">
        <v>6855</v>
      </c>
      <c r="E147" s="153">
        <v>605</v>
      </c>
      <c r="F147" s="153">
        <v>522</v>
      </c>
      <c r="G147" s="153">
        <v>10380</v>
      </c>
    </row>
    <row r="148" spans="1:7" x14ac:dyDescent="0.25">
      <c r="A148" s="152" t="s">
        <v>250</v>
      </c>
      <c r="B148" s="153">
        <v>548</v>
      </c>
      <c r="C148" s="153">
        <v>241</v>
      </c>
      <c r="D148" s="153">
        <v>2627</v>
      </c>
      <c r="E148" s="153">
        <v>244</v>
      </c>
      <c r="F148" s="153">
        <v>185</v>
      </c>
      <c r="G148" s="153">
        <v>3845</v>
      </c>
    </row>
    <row r="149" spans="1:7" x14ac:dyDescent="0.25">
      <c r="A149" s="152" t="s">
        <v>251</v>
      </c>
      <c r="B149" s="153">
        <v>2090</v>
      </c>
      <c r="C149" s="153">
        <v>721</v>
      </c>
      <c r="D149" s="153">
        <v>8711</v>
      </c>
      <c r="E149" s="153">
        <v>779</v>
      </c>
      <c r="F149" s="153">
        <v>643</v>
      </c>
      <c r="G149" s="153">
        <v>12944</v>
      </c>
    </row>
    <row r="150" spans="1:7" x14ac:dyDescent="0.25">
      <c r="A150" s="152" t="s">
        <v>252</v>
      </c>
      <c r="B150" s="153">
        <v>1932</v>
      </c>
      <c r="C150" s="153">
        <v>582</v>
      </c>
      <c r="D150" s="153">
        <v>6409</v>
      </c>
      <c r="E150" s="153">
        <v>470</v>
      </c>
      <c r="F150" s="153">
        <v>385</v>
      </c>
      <c r="G150" s="153">
        <v>9778</v>
      </c>
    </row>
    <row r="151" spans="1:7" x14ac:dyDescent="0.25">
      <c r="A151" s="174" t="s">
        <v>253</v>
      </c>
      <c r="B151" s="200">
        <v>1335</v>
      </c>
      <c r="C151" s="200">
        <v>457</v>
      </c>
      <c r="D151" s="200">
        <v>4992</v>
      </c>
      <c r="E151" s="200">
        <v>388</v>
      </c>
      <c r="F151" s="200">
        <v>393</v>
      </c>
      <c r="G151" s="200">
        <v>7565</v>
      </c>
    </row>
    <row r="152" spans="1:7" x14ac:dyDescent="0.25">
      <c r="A152" s="202" t="s">
        <v>36</v>
      </c>
      <c r="B152" s="203">
        <v>28310</v>
      </c>
      <c r="C152" s="203">
        <v>10063</v>
      </c>
      <c r="D152" s="203">
        <v>102818</v>
      </c>
      <c r="E152" s="203">
        <v>8651</v>
      </c>
      <c r="F152" s="203">
        <v>7551</v>
      </c>
      <c r="G152" s="203">
        <v>157393</v>
      </c>
    </row>
    <row r="153" spans="1:7" x14ac:dyDescent="0.25">
      <c r="A153" s="176"/>
      <c r="B153" s="181"/>
      <c r="C153" s="181"/>
      <c r="D153" s="181"/>
      <c r="E153" s="181"/>
      <c r="F153" s="181"/>
      <c r="G153" s="181"/>
    </row>
    <row r="154" spans="1:7" x14ac:dyDescent="0.25">
      <c r="A154" s="176"/>
      <c r="B154" s="181"/>
      <c r="C154" s="181"/>
      <c r="D154" s="181"/>
      <c r="E154" s="181"/>
      <c r="F154" s="181"/>
      <c r="G154" s="181"/>
    </row>
    <row r="155" spans="1:7" x14ac:dyDescent="0.25">
      <c r="A155" s="176"/>
      <c r="B155" s="176"/>
      <c r="C155" s="176"/>
      <c r="D155" s="176"/>
    </row>
    <row r="156" spans="1:7" x14ac:dyDescent="0.25">
      <c r="A156" s="209" t="s">
        <v>527</v>
      </c>
    </row>
    <row r="157" spans="1:7" x14ac:dyDescent="0.25">
      <c r="A157" s="176"/>
      <c r="B157" s="488" t="s">
        <v>503</v>
      </c>
      <c r="C157" s="488"/>
      <c r="D157" s="488"/>
      <c r="E157" s="488"/>
      <c r="F157" s="488"/>
      <c r="G157" s="107"/>
    </row>
    <row r="158" spans="1:7" x14ac:dyDescent="0.25">
      <c r="A158" s="178" t="s">
        <v>548</v>
      </c>
      <c r="B158" s="207" t="s">
        <v>142</v>
      </c>
      <c r="C158" s="207" t="s">
        <v>143</v>
      </c>
      <c r="D158" s="207" t="s">
        <v>144</v>
      </c>
      <c r="E158" s="207" t="s">
        <v>20</v>
      </c>
      <c r="F158" s="207" t="s">
        <v>145</v>
      </c>
      <c r="G158" s="179" t="s">
        <v>36</v>
      </c>
    </row>
    <row r="159" spans="1:7" x14ac:dyDescent="0.25">
      <c r="A159" s="175" t="s">
        <v>254</v>
      </c>
      <c r="B159" s="153">
        <v>2259</v>
      </c>
      <c r="C159" s="153">
        <v>694</v>
      </c>
      <c r="D159" s="153">
        <v>6207</v>
      </c>
      <c r="E159" s="153">
        <v>443</v>
      </c>
      <c r="F159" s="153">
        <v>379</v>
      </c>
      <c r="G159" s="153">
        <v>9982</v>
      </c>
    </row>
    <row r="160" spans="1:7" x14ac:dyDescent="0.25">
      <c r="A160" s="152" t="s">
        <v>255</v>
      </c>
      <c r="B160" s="153">
        <v>516</v>
      </c>
      <c r="C160" s="153">
        <v>194</v>
      </c>
      <c r="D160" s="153">
        <v>1037</v>
      </c>
      <c r="E160" s="153">
        <v>57</v>
      </c>
      <c r="F160" s="153">
        <v>88</v>
      </c>
      <c r="G160" s="153">
        <v>1892</v>
      </c>
    </row>
    <row r="161" spans="1:7" x14ac:dyDescent="0.25">
      <c r="A161" s="152" t="s">
        <v>256</v>
      </c>
      <c r="B161" s="153">
        <v>791</v>
      </c>
      <c r="C161" s="153">
        <v>314</v>
      </c>
      <c r="D161" s="153">
        <v>2396</v>
      </c>
      <c r="E161" s="153">
        <v>120</v>
      </c>
      <c r="F161" s="153">
        <v>152</v>
      </c>
      <c r="G161" s="153">
        <v>3773</v>
      </c>
    </row>
    <row r="162" spans="1:7" x14ac:dyDescent="0.25">
      <c r="A162" s="152" t="s">
        <v>257</v>
      </c>
      <c r="B162" s="153">
        <v>1690</v>
      </c>
      <c r="C162" s="153">
        <v>775</v>
      </c>
      <c r="D162" s="153">
        <v>4827</v>
      </c>
      <c r="E162" s="153">
        <v>366</v>
      </c>
      <c r="F162" s="153">
        <v>349</v>
      </c>
      <c r="G162" s="153">
        <v>8007</v>
      </c>
    </row>
    <row r="163" spans="1:7" x14ac:dyDescent="0.25">
      <c r="A163" s="152" t="s">
        <v>258</v>
      </c>
      <c r="B163" s="153">
        <v>735</v>
      </c>
      <c r="C163" s="153">
        <v>240</v>
      </c>
      <c r="D163" s="153">
        <v>1392</v>
      </c>
      <c r="E163" s="153">
        <v>84</v>
      </c>
      <c r="F163" s="153">
        <v>100</v>
      </c>
      <c r="G163" s="153">
        <v>2551</v>
      </c>
    </row>
    <row r="164" spans="1:7" x14ac:dyDescent="0.25">
      <c r="A164" s="152" t="s">
        <v>259</v>
      </c>
      <c r="B164" s="153">
        <v>4134</v>
      </c>
      <c r="C164" s="153">
        <v>1331</v>
      </c>
      <c r="D164" s="153">
        <v>16771</v>
      </c>
      <c r="E164" s="153">
        <v>1615</v>
      </c>
      <c r="F164" s="153">
        <v>1180</v>
      </c>
      <c r="G164" s="153">
        <v>25031</v>
      </c>
    </row>
    <row r="165" spans="1:7" x14ac:dyDescent="0.25">
      <c r="A165" s="152" t="s">
        <v>260</v>
      </c>
      <c r="B165" s="153">
        <v>215</v>
      </c>
      <c r="C165" s="153">
        <v>92</v>
      </c>
      <c r="D165" s="153">
        <v>351</v>
      </c>
      <c r="E165" s="153">
        <v>15</v>
      </c>
      <c r="F165" s="153">
        <v>33</v>
      </c>
      <c r="G165" s="153">
        <v>706</v>
      </c>
    </row>
    <row r="166" spans="1:7" x14ac:dyDescent="0.25">
      <c r="A166" s="152" t="s">
        <v>510</v>
      </c>
      <c r="B166" s="153">
        <v>586</v>
      </c>
      <c r="C166" s="153">
        <v>161</v>
      </c>
      <c r="D166" s="153">
        <v>1423</v>
      </c>
      <c r="E166" s="153">
        <v>94</v>
      </c>
      <c r="F166" s="153">
        <v>89</v>
      </c>
      <c r="G166" s="153">
        <v>2353</v>
      </c>
    </row>
    <row r="167" spans="1:7" x14ac:dyDescent="0.25">
      <c r="A167" s="152" t="s">
        <v>261</v>
      </c>
      <c r="B167" s="153">
        <v>332</v>
      </c>
      <c r="C167" s="153">
        <v>113</v>
      </c>
      <c r="D167" s="153">
        <v>831</v>
      </c>
      <c r="E167" s="153">
        <v>40</v>
      </c>
      <c r="F167" s="153">
        <v>62</v>
      </c>
      <c r="G167" s="153">
        <v>1378</v>
      </c>
    </row>
    <row r="168" spans="1:7" x14ac:dyDescent="0.25">
      <c r="A168" s="152" t="s">
        <v>262</v>
      </c>
      <c r="B168" s="153">
        <v>3626</v>
      </c>
      <c r="C168" s="153">
        <v>1053</v>
      </c>
      <c r="D168" s="153">
        <v>10943</v>
      </c>
      <c r="E168" s="153">
        <v>954</v>
      </c>
      <c r="F168" s="153">
        <v>684</v>
      </c>
      <c r="G168" s="153">
        <v>17260</v>
      </c>
    </row>
    <row r="169" spans="1:7" x14ac:dyDescent="0.25">
      <c r="A169" s="152" t="s">
        <v>263</v>
      </c>
      <c r="B169" s="153">
        <v>1507</v>
      </c>
      <c r="C169" s="153">
        <v>507</v>
      </c>
      <c r="D169" s="153">
        <v>3425</v>
      </c>
      <c r="E169" s="153">
        <v>134</v>
      </c>
      <c r="F169" s="153">
        <v>245</v>
      </c>
      <c r="G169" s="153">
        <v>5818</v>
      </c>
    </row>
    <row r="170" spans="1:7" x14ac:dyDescent="0.25">
      <c r="A170" s="152" t="s">
        <v>264</v>
      </c>
      <c r="B170" s="153">
        <v>1082</v>
      </c>
      <c r="C170" s="153">
        <v>559</v>
      </c>
      <c r="D170" s="153">
        <v>2903</v>
      </c>
      <c r="E170" s="153">
        <v>264</v>
      </c>
      <c r="F170" s="153">
        <v>307</v>
      </c>
      <c r="G170" s="153">
        <v>5115</v>
      </c>
    </row>
    <row r="171" spans="1:7" x14ac:dyDescent="0.25">
      <c r="A171" s="152" t="s">
        <v>265</v>
      </c>
      <c r="B171" s="153">
        <v>1311</v>
      </c>
      <c r="C171" s="153">
        <v>449</v>
      </c>
      <c r="D171" s="153">
        <v>5427</v>
      </c>
      <c r="E171" s="153">
        <v>465</v>
      </c>
      <c r="F171" s="153">
        <v>310</v>
      </c>
      <c r="G171" s="153">
        <v>7962</v>
      </c>
    </row>
    <row r="172" spans="1:7" x14ac:dyDescent="0.25">
      <c r="A172" s="152" t="s">
        <v>266</v>
      </c>
      <c r="B172" s="153">
        <v>1947</v>
      </c>
      <c r="C172" s="153">
        <v>631</v>
      </c>
      <c r="D172" s="153">
        <v>5322</v>
      </c>
      <c r="E172" s="153">
        <v>390</v>
      </c>
      <c r="F172" s="153">
        <v>404</v>
      </c>
      <c r="G172" s="153">
        <v>8694</v>
      </c>
    </row>
    <row r="173" spans="1:7" x14ac:dyDescent="0.25">
      <c r="A173" s="152" t="s">
        <v>267</v>
      </c>
      <c r="B173" s="153">
        <v>422</v>
      </c>
      <c r="C173" s="153">
        <v>109</v>
      </c>
      <c r="D173" s="153">
        <v>1020</v>
      </c>
      <c r="E173" s="153">
        <v>66</v>
      </c>
      <c r="F173" s="153">
        <v>61</v>
      </c>
      <c r="G173" s="153">
        <v>1678</v>
      </c>
    </row>
    <row r="174" spans="1:7" x14ac:dyDescent="0.25">
      <c r="A174" s="152" t="s">
        <v>268</v>
      </c>
      <c r="B174" s="153">
        <v>458</v>
      </c>
      <c r="C174" s="153">
        <v>139</v>
      </c>
      <c r="D174" s="153">
        <v>744</v>
      </c>
      <c r="E174" s="153">
        <v>51</v>
      </c>
      <c r="F174" s="153">
        <v>41</v>
      </c>
      <c r="G174" s="153">
        <v>1433</v>
      </c>
    </row>
    <row r="175" spans="1:7" x14ac:dyDescent="0.25">
      <c r="A175" s="152" t="s">
        <v>269</v>
      </c>
      <c r="B175" s="153">
        <v>360</v>
      </c>
      <c r="C175" s="153">
        <v>145</v>
      </c>
      <c r="D175" s="153">
        <v>1016</v>
      </c>
      <c r="E175" s="153">
        <v>43</v>
      </c>
      <c r="F175" s="153">
        <v>67</v>
      </c>
      <c r="G175" s="153">
        <v>1631</v>
      </c>
    </row>
    <row r="176" spans="1:7" x14ac:dyDescent="0.25">
      <c r="A176" s="152" t="s">
        <v>270</v>
      </c>
      <c r="B176" s="153">
        <v>387</v>
      </c>
      <c r="C176" s="153">
        <v>112</v>
      </c>
      <c r="D176" s="153">
        <v>1249</v>
      </c>
      <c r="E176" s="153">
        <v>58</v>
      </c>
      <c r="F176" s="153">
        <v>74</v>
      </c>
      <c r="G176" s="153">
        <v>1880</v>
      </c>
    </row>
    <row r="177" spans="1:7" x14ac:dyDescent="0.25">
      <c r="A177" s="152" t="s">
        <v>271</v>
      </c>
      <c r="B177" s="153">
        <v>984</v>
      </c>
      <c r="C177" s="153">
        <v>344</v>
      </c>
      <c r="D177" s="153">
        <v>2384</v>
      </c>
      <c r="E177" s="153">
        <v>138</v>
      </c>
      <c r="F177" s="153">
        <v>152</v>
      </c>
      <c r="G177" s="153">
        <v>4002</v>
      </c>
    </row>
    <row r="178" spans="1:7" x14ac:dyDescent="0.25">
      <c r="A178" s="152" t="s">
        <v>272</v>
      </c>
      <c r="B178" s="153">
        <v>573</v>
      </c>
      <c r="C178" s="153">
        <v>200</v>
      </c>
      <c r="D178" s="153">
        <v>1604</v>
      </c>
      <c r="E178" s="153">
        <v>98</v>
      </c>
      <c r="F178" s="153">
        <v>95</v>
      </c>
      <c r="G178" s="153">
        <v>2570</v>
      </c>
    </row>
    <row r="179" spans="1:7" x14ac:dyDescent="0.25">
      <c r="A179" s="152" t="s">
        <v>273</v>
      </c>
      <c r="B179" s="153">
        <v>436</v>
      </c>
      <c r="C179" s="153">
        <v>147</v>
      </c>
      <c r="D179" s="153">
        <v>1676</v>
      </c>
      <c r="E179" s="153">
        <v>86</v>
      </c>
      <c r="F179" s="153">
        <v>94</v>
      </c>
      <c r="G179" s="153">
        <v>2439</v>
      </c>
    </row>
    <row r="180" spans="1:7" x14ac:dyDescent="0.25">
      <c r="A180" s="152" t="s">
        <v>274</v>
      </c>
      <c r="B180" s="153">
        <v>685</v>
      </c>
      <c r="C180" s="153">
        <v>228</v>
      </c>
      <c r="D180" s="153">
        <v>2182</v>
      </c>
      <c r="E180" s="153">
        <v>139</v>
      </c>
      <c r="F180" s="153">
        <v>133</v>
      </c>
      <c r="G180" s="153">
        <v>3367</v>
      </c>
    </row>
    <row r="181" spans="1:7" x14ac:dyDescent="0.25">
      <c r="A181" s="152" t="s">
        <v>275</v>
      </c>
      <c r="B181" s="153">
        <v>1828</v>
      </c>
      <c r="C181" s="153">
        <v>584</v>
      </c>
      <c r="D181" s="153">
        <v>4476</v>
      </c>
      <c r="E181" s="153">
        <v>291</v>
      </c>
      <c r="F181" s="153">
        <v>328</v>
      </c>
      <c r="G181" s="153">
        <v>7507</v>
      </c>
    </row>
    <row r="182" spans="1:7" x14ac:dyDescent="0.25">
      <c r="A182" s="152" t="s">
        <v>276</v>
      </c>
      <c r="B182" s="153">
        <v>1787</v>
      </c>
      <c r="C182" s="153">
        <v>521</v>
      </c>
      <c r="D182" s="153">
        <v>5593</v>
      </c>
      <c r="E182" s="153">
        <v>423</v>
      </c>
      <c r="F182" s="153">
        <v>289</v>
      </c>
      <c r="G182" s="153">
        <v>8613</v>
      </c>
    </row>
    <row r="183" spans="1:7" x14ac:dyDescent="0.25">
      <c r="A183" s="152" t="s">
        <v>277</v>
      </c>
      <c r="B183" s="153">
        <v>380</v>
      </c>
      <c r="C183" s="153">
        <v>125</v>
      </c>
      <c r="D183" s="153">
        <v>984</v>
      </c>
      <c r="E183" s="153">
        <v>59</v>
      </c>
      <c r="F183" s="153">
        <v>60</v>
      </c>
      <c r="G183" s="153">
        <v>1608</v>
      </c>
    </row>
    <row r="184" spans="1:7" x14ac:dyDescent="0.25">
      <c r="A184" s="152" t="s">
        <v>278</v>
      </c>
      <c r="B184" s="153">
        <v>7680</v>
      </c>
      <c r="C184" s="153">
        <v>2753</v>
      </c>
      <c r="D184" s="153">
        <v>24449</v>
      </c>
      <c r="E184" s="153">
        <v>2642</v>
      </c>
      <c r="F184" s="153">
        <v>1782</v>
      </c>
      <c r="G184" s="153">
        <v>39306</v>
      </c>
    </row>
    <row r="185" spans="1:7" x14ac:dyDescent="0.25">
      <c r="A185" s="152" t="s">
        <v>279</v>
      </c>
      <c r="B185" s="153">
        <v>1092</v>
      </c>
      <c r="C185" s="153">
        <v>393</v>
      </c>
      <c r="D185" s="153">
        <v>3495</v>
      </c>
      <c r="E185" s="153">
        <v>180</v>
      </c>
      <c r="F185" s="153">
        <v>202</v>
      </c>
      <c r="G185" s="153">
        <v>5362</v>
      </c>
    </row>
    <row r="186" spans="1:7" x14ac:dyDescent="0.25">
      <c r="A186" s="152" t="s">
        <v>280</v>
      </c>
      <c r="B186" s="153">
        <v>261</v>
      </c>
      <c r="C186" s="153">
        <v>70</v>
      </c>
      <c r="D186" s="153">
        <v>475</v>
      </c>
      <c r="E186" s="153">
        <v>28</v>
      </c>
      <c r="F186" s="153">
        <v>30</v>
      </c>
      <c r="G186" s="153">
        <v>864</v>
      </c>
    </row>
    <row r="187" spans="1:7" x14ac:dyDescent="0.25">
      <c r="A187" s="152" t="s">
        <v>281</v>
      </c>
      <c r="B187" s="153">
        <v>678</v>
      </c>
      <c r="C187" s="153">
        <v>224</v>
      </c>
      <c r="D187" s="153">
        <v>2050</v>
      </c>
      <c r="E187" s="153">
        <v>164</v>
      </c>
      <c r="F187" s="153">
        <v>114</v>
      </c>
      <c r="G187" s="153">
        <v>3230</v>
      </c>
    </row>
    <row r="188" spans="1:7" x14ac:dyDescent="0.25">
      <c r="A188" s="174" t="s">
        <v>282</v>
      </c>
      <c r="B188" s="200">
        <v>791</v>
      </c>
      <c r="C188" s="200">
        <v>264</v>
      </c>
      <c r="D188" s="200">
        <v>1958</v>
      </c>
      <c r="E188" s="153">
        <v>89</v>
      </c>
      <c r="F188" s="153">
        <v>138</v>
      </c>
      <c r="G188" s="153">
        <v>3240</v>
      </c>
    </row>
    <row r="189" spans="1:7" x14ac:dyDescent="0.25">
      <c r="A189" s="202" t="s">
        <v>36</v>
      </c>
      <c r="B189" s="203">
        <v>39533</v>
      </c>
      <c r="C189" s="203">
        <v>13471</v>
      </c>
      <c r="D189" s="203">
        <v>118610</v>
      </c>
      <c r="E189" s="203">
        <v>9596</v>
      </c>
      <c r="F189" s="203">
        <v>8042</v>
      </c>
      <c r="G189" s="203">
        <v>189252</v>
      </c>
    </row>
    <row r="190" spans="1:7" x14ac:dyDescent="0.25">
      <c r="A190" s="176"/>
      <c r="B190" s="176"/>
      <c r="C190" s="176"/>
      <c r="D190" s="176"/>
      <c r="E190" s="176"/>
      <c r="F190" s="176"/>
      <c r="G190" s="176"/>
    </row>
    <row r="191" spans="1:7" x14ac:dyDescent="0.25">
      <c r="A191" s="176"/>
      <c r="B191" s="176"/>
      <c r="C191" s="176"/>
      <c r="D191" s="176"/>
      <c r="E191" s="176"/>
      <c r="F191" s="176"/>
      <c r="G191" s="176"/>
    </row>
    <row r="192" spans="1:7" x14ac:dyDescent="0.25">
      <c r="A192" s="176"/>
      <c r="B192" s="176"/>
      <c r="C192" s="176"/>
      <c r="D192" s="176"/>
    </row>
    <row r="193" spans="1:7" x14ac:dyDescent="0.25">
      <c r="A193" s="205" t="s">
        <v>528</v>
      </c>
    </row>
    <row r="194" spans="1:7" x14ac:dyDescent="0.25">
      <c r="A194" s="176"/>
      <c r="B194" s="488" t="s">
        <v>503</v>
      </c>
      <c r="C194" s="488"/>
      <c r="D194" s="488"/>
      <c r="E194" s="488"/>
      <c r="F194" s="488"/>
      <c r="G194" s="107"/>
    </row>
    <row r="195" spans="1:7" x14ac:dyDescent="0.25">
      <c r="A195" s="178" t="s">
        <v>548</v>
      </c>
      <c r="B195" s="207" t="s">
        <v>142</v>
      </c>
      <c r="C195" s="207" t="s">
        <v>143</v>
      </c>
      <c r="D195" s="207" t="s">
        <v>144</v>
      </c>
      <c r="E195" s="207" t="s">
        <v>20</v>
      </c>
      <c r="F195" s="207" t="s">
        <v>145</v>
      </c>
      <c r="G195" s="179" t="s">
        <v>36</v>
      </c>
    </row>
    <row r="196" spans="1:7" x14ac:dyDescent="0.25">
      <c r="A196" s="175" t="s">
        <v>284</v>
      </c>
      <c r="B196" s="153">
        <v>184</v>
      </c>
      <c r="C196" s="153">
        <v>211</v>
      </c>
      <c r="D196" s="153">
        <v>328</v>
      </c>
      <c r="E196" s="153">
        <v>6</v>
      </c>
      <c r="F196" s="153">
        <v>86</v>
      </c>
      <c r="G196" s="153">
        <v>815</v>
      </c>
    </row>
    <row r="197" spans="1:7" x14ac:dyDescent="0.25">
      <c r="A197" s="152" t="s">
        <v>285</v>
      </c>
      <c r="B197" s="153">
        <v>213</v>
      </c>
      <c r="C197" s="153">
        <v>86</v>
      </c>
      <c r="D197" s="153">
        <v>477</v>
      </c>
      <c r="E197" s="153">
        <v>50</v>
      </c>
      <c r="F197" s="153">
        <v>37</v>
      </c>
      <c r="G197" s="153">
        <v>863</v>
      </c>
    </row>
    <row r="198" spans="1:7" x14ac:dyDescent="0.25">
      <c r="A198" s="152" t="s">
        <v>286</v>
      </c>
      <c r="B198" s="153">
        <v>1459</v>
      </c>
      <c r="C198" s="153">
        <v>556</v>
      </c>
      <c r="D198" s="153">
        <v>3454</v>
      </c>
      <c r="E198" s="153">
        <v>276</v>
      </c>
      <c r="F198" s="153">
        <v>214</v>
      </c>
      <c r="G198" s="153">
        <v>5959</v>
      </c>
    </row>
    <row r="199" spans="1:7" x14ac:dyDescent="0.25">
      <c r="A199" s="152" t="s">
        <v>287</v>
      </c>
      <c r="B199" s="153">
        <v>1185</v>
      </c>
      <c r="C199" s="153">
        <v>660</v>
      </c>
      <c r="D199" s="153">
        <v>3203</v>
      </c>
      <c r="E199" s="153">
        <v>249</v>
      </c>
      <c r="F199" s="153">
        <v>258</v>
      </c>
      <c r="G199" s="153">
        <v>5555</v>
      </c>
    </row>
    <row r="200" spans="1:7" x14ac:dyDescent="0.25">
      <c r="A200" s="152" t="s">
        <v>511</v>
      </c>
      <c r="B200" s="153">
        <v>1646</v>
      </c>
      <c r="C200" s="153">
        <v>525</v>
      </c>
      <c r="D200" s="153">
        <v>3412</v>
      </c>
      <c r="E200" s="153">
        <v>231</v>
      </c>
      <c r="F200" s="153">
        <v>217</v>
      </c>
      <c r="G200" s="153">
        <v>6031</v>
      </c>
    </row>
    <row r="201" spans="1:7" x14ac:dyDescent="0.25">
      <c r="A201" s="152" t="s">
        <v>288</v>
      </c>
      <c r="B201" s="153">
        <v>2333</v>
      </c>
      <c r="C201" s="153">
        <v>819</v>
      </c>
      <c r="D201" s="153">
        <v>8726</v>
      </c>
      <c r="E201" s="153">
        <v>980</v>
      </c>
      <c r="F201" s="153">
        <v>486</v>
      </c>
      <c r="G201" s="153">
        <v>13344</v>
      </c>
    </row>
    <row r="202" spans="1:7" x14ac:dyDescent="0.25">
      <c r="A202" s="152" t="s">
        <v>289</v>
      </c>
      <c r="B202" s="153">
        <v>6243</v>
      </c>
      <c r="C202" s="153">
        <v>1954</v>
      </c>
      <c r="D202" s="153">
        <v>23553</v>
      </c>
      <c r="E202" s="153">
        <v>2793</v>
      </c>
      <c r="F202" s="153">
        <v>1235</v>
      </c>
      <c r="G202" s="153">
        <v>35778</v>
      </c>
    </row>
    <row r="203" spans="1:7" x14ac:dyDescent="0.25">
      <c r="A203" s="152" t="s">
        <v>290</v>
      </c>
      <c r="B203" s="153">
        <v>312</v>
      </c>
      <c r="C203" s="153">
        <v>122</v>
      </c>
      <c r="D203" s="153">
        <v>643</v>
      </c>
      <c r="E203" s="153">
        <v>41</v>
      </c>
      <c r="F203" s="153">
        <v>53</v>
      </c>
      <c r="G203" s="153">
        <v>1171</v>
      </c>
    </row>
    <row r="204" spans="1:7" x14ac:dyDescent="0.25">
      <c r="A204" s="152" t="s">
        <v>291</v>
      </c>
      <c r="B204" s="153">
        <v>3671</v>
      </c>
      <c r="C204" s="153">
        <v>1344</v>
      </c>
      <c r="D204" s="153">
        <v>11349</v>
      </c>
      <c r="E204" s="153">
        <v>1120</v>
      </c>
      <c r="F204" s="153">
        <v>705</v>
      </c>
      <c r="G204" s="153">
        <v>18189</v>
      </c>
    </row>
    <row r="205" spans="1:7" x14ac:dyDescent="0.25">
      <c r="A205" s="152" t="s">
        <v>292</v>
      </c>
      <c r="B205" s="153">
        <v>1293</v>
      </c>
      <c r="C205" s="153">
        <v>506</v>
      </c>
      <c r="D205" s="153">
        <v>3578</v>
      </c>
      <c r="E205" s="153">
        <v>343</v>
      </c>
      <c r="F205" s="153">
        <v>183</v>
      </c>
      <c r="G205" s="153">
        <v>5903</v>
      </c>
    </row>
    <row r="206" spans="1:7" x14ac:dyDescent="0.25">
      <c r="A206" s="152" t="s">
        <v>293</v>
      </c>
      <c r="B206" s="153">
        <v>585</v>
      </c>
      <c r="C206" s="153">
        <v>187</v>
      </c>
      <c r="D206" s="153">
        <v>1343</v>
      </c>
      <c r="E206" s="153">
        <v>103</v>
      </c>
      <c r="F206" s="153">
        <v>81</v>
      </c>
      <c r="G206" s="153">
        <v>2299</v>
      </c>
    </row>
    <row r="207" spans="1:7" x14ac:dyDescent="0.25">
      <c r="A207" s="152" t="s">
        <v>294</v>
      </c>
      <c r="B207" s="153">
        <v>2673</v>
      </c>
      <c r="C207" s="153">
        <v>936</v>
      </c>
      <c r="D207" s="153">
        <v>9970</v>
      </c>
      <c r="E207" s="153">
        <v>1166</v>
      </c>
      <c r="F207" s="153">
        <v>471</v>
      </c>
      <c r="G207" s="153">
        <v>15216</v>
      </c>
    </row>
    <row r="208" spans="1:7" x14ac:dyDescent="0.25">
      <c r="A208" s="152" t="s">
        <v>295</v>
      </c>
      <c r="B208" s="153">
        <v>902</v>
      </c>
      <c r="C208" s="153">
        <v>375</v>
      </c>
      <c r="D208" s="153">
        <v>2217</v>
      </c>
      <c r="E208" s="153">
        <v>189</v>
      </c>
      <c r="F208" s="153">
        <v>180</v>
      </c>
      <c r="G208" s="153">
        <v>3863</v>
      </c>
    </row>
    <row r="209" spans="1:7" x14ac:dyDescent="0.25">
      <c r="A209" s="152" t="s">
        <v>296</v>
      </c>
      <c r="B209" s="153">
        <v>1242</v>
      </c>
      <c r="C209" s="153">
        <v>616</v>
      </c>
      <c r="D209" s="153">
        <v>2666</v>
      </c>
      <c r="E209" s="153">
        <v>274</v>
      </c>
      <c r="F209" s="153">
        <v>251</v>
      </c>
      <c r="G209" s="153">
        <v>5049</v>
      </c>
    </row>
    <row r="210" spans="1:7" x14ac:dyDescent="0.25">
      <c r="A210" s="152" t="s">
        <v>297</v>
      </c>
      <c r="B210" s="153">
        <v>1051</v>
      </c>
      <c r="C210" s="153">
        <v>437</v>
      </c>
      <c r="D210" s="153">
        <v>2480</v>
      </c>
      <c r="E210" s="153">
        <v>205</v>
      </c>
      <c r="F210" s="153">
        <v>140</v>
      </c>
      <c r="G210" s="153">
        <v>4313</v>
      </c>
    </row>
    <row r="211" spans="1:7" x14ac:dyDescent="0.25">
      <c r="A211" s="152" t="s">
        <v>298</v>
      </c>
      <c r="B211" s="153">
        <v>740</v>
      </c>
      <c r="C211" s="153">
        <v>301</v>
      </c>
      <c r="D211" s="153">
        <v>1937</v>
      </c>
      <c r="E211" s="153">
        <v>164</v>
      </c>
      <c r="F211" s="153">
        <v>145</v>
      </c>
      <c r="G211" s="153">
        <v>3287</v>
      </c>
    </row>
    <row r="212" spans="1:7" x14ac:dyDescent="0.25">
      <c r="A212" s="152" t="s">
        <v>299</v>
      </c>
      <c r="B212" s="153">
        <v>6971</v>
      </c>
      <c r="C212" s="153">
        <v>3282</v>
      </c>
      <c r="D212" s="153">
        <v>19795</v>
      </c>
      <c r="E212" s="153">
        <v>1962</v>
      </c>
      <c r="F212" s="153">
        <v>1873</v>
      </c>
      <c r="G212" s="153">
        <v>33883</v>
      </c>
    </row>
    <row r="213" spans="1:7" x14ac:dyDescent="0.25">
      <c r="A213" s="152" t="s">
        <v>300</v>
      </c>
      <c r="B213" s="153">
        <v>1827</v>
      </c>
      <c r="C213" s="153">
        <v>571</v>
      </c>
      <c r="D213" s="153">
        <v>6178</v>
      </c>
      <c r="E213" s="153">
        <v>516</v>
      </c>
      <c r="F213" s="153">
        <v>306</v>
      </c>
      <c r="G213" s="153">
        <v>9398</v>
      </c>
    </row>
    <row r="214" spans="1:7" x14ac:dyDescent="0.25">
      <c r="A214" s="152" t="s">
        <v>301</v>
      </c>
      <c r="B214" s="153">
        <v>1279</v>
      </c>
      <c r="C214" s="153">
        <v>692</v>
      </c>
      <c r="D214" s="153">
        <v>3433</v>
      </c>
      <c r="E214" s="153">
        <v>323</v>
      </c>
      <c r="F214" s="153">
        <v>363</v>
      </c>
      <c r="G214" s="153">
        <v>6090</v>
      </c>
    </row>
    <row r="215" spans="1:7" x14ac:dyDescent="0.25">
      <c r="A215" s="152" t="s">
        <v>302</v>
      </c>
      <c r="B215" s="153">
        <v>1129</v>
      </c>
      <c r="C215" s="153">
        <v>546</v>
      </c>
      <c r="D215" s="153">
        <v>2880</v>
      </c>
      <c r="E215" s="153">
        <v>190</v>
      </c>
      <c r="F215" s="153">
        <v>311</v>
      </c>
      <c r="G215" s="153">
        <v>5056</v>
      </c>
    </row>
    <row r="216" spans="1:7" x14ac:dyDescent="0.25">
      <c r="A216" s="152" t="s">
        <v>303</v>
      </c>
      <c r="B216" s="153">
        <v>389</v>
      </c>
      <c r="C216" s="153">
        <v>240</v>
      </c>
      <c r="D216" s="153">
        <v>1055</v>
      </c>
      <c r="E216" s="153">
        <v>84</v>
      </c>
      <c r="F216" s="153">
        <v>153</v>
      </c>
      <c r="G216" s="153">
        <v>1921</v>
      </c>
    </row>
    <row r="217" spans="1:7" x14ac:dyDescent="0.25">
      <c r="A217" s="152" t="s">
        <v>304</v>
      </c>
      <c r="B217" s="153">
        <v>1542</v>
      </c>
      <c r="C217" s="153">
        <v>562</v>
      </c>
      <c r="D217" s="153">
        <v>5383</v>
      </c>
      <c r="E217" s="153">
        <v>593</v>
      </c>
      <c r="F217" s="153">
        <v>310</v>
      </c>
      <c r="G217" s="153">
        <v>8390</v>
      </c>
    </row>
    <row r="218" spans="1:7" x14ac:dyDescent="0.25">
      <c r="A218" s="152" t="s">
        <v>305</v>
      </c>
      <c r="B218" s="153">
        <v>271</v>
      </c>
      <c r="C218" s="153">
        <v>101</v>
      </c>
      <c r="D218" s="153">
        <v>537</v>
      </c>
      <c r="E218" s="153">
        <v>27</v>
      </c>
      <c r="F218" s="153">
        <v>39</v>
      </c>
      <c r="G218" s="153">
        <v>975</v>
      </c>
    </row>
    <row r="219" spans="1:7" x14ac:dyDescent="0.25">
      <c r="A219" s="152" t="s">
        <v>306</v>
      </c>
      <c r="B219" s="153">
        <v>554</v>
      </c>
      <c r="C219" s="153">
        <v>251</v>
      </c>
      <c r="D219" s="153">
        <v>1019</v>
      </c>
      <c r="E219" s="153">
        <v>114</v>
      </c>
      <c r="F219" s="153">
        <v>86</v>
      </c>
      <c r="G219" s="153">
        <v>2024</v>
      </c>
    </row>
    <row r="220" spans="1:7" ht="30" x14ac:dyDescent="0.25">
      <c r="A220" s="152" t="s">
        <v>307</v>
      </c>
      <c r="B220" s="153">
        <v>2540</v>
      </c>
      <c r="C220" s="153">
        <v>1016</v>
      </c>
      <c r="D220" s="153">
        <v>9012</v>
      </c>
      <c r="E220" s="153">
        <v>1048</v>
      </c>
      <c r="F220" s="153">
        <v>560</v>
      </c>
      <c r="G220" s="153">
        <v>14176</v>
      </c>
    </row>
    <row r="221" spans="1:7" x14ac:dyDescent="0.25">
      <c r="A221" s="152" t="s">
        <v>308</v>
      </c>
      <c r="B221" s="153">
        <v>178</v>
      </c>
      <c r="C221" s="153">
        <v>94</v>
      </c>
      <c r="D221" s="153">
        <v>441</v>
      </c>
      <c r="E221" s="153">
        <v>40</v>
      </c>
      <c r="F221" s="153">
        <v>38</v>
      </c>
      <c r="G221" s="153">
        <v>791</v>
      </c>
    </row>
    <row r="222" spans="1:7" x14ac:dyDescent="0.25">
      <c r="A222" s="152" t="s">
        <v>309</v>
      </c>
      <c r="B222" s="153">
        <v>677</v>
      </c>
      <c r="C222" s="153">
        <v>295</v>
      </c>
      <c r="D222" s="153">
        <v>1501</v>
      </c>
      <c r="E222" s="153">
        <v>83</v>
      </c>
      <c r="F222" s="153">
        <v>128</v>
      </c>
      <c r="G222" s="153">
        <v>2684</v>
      </c>
    </row>
    <row r="223" spans="1:7" x14ac:dyDescent="0.25">
      <c r="A223" s="152" t="s">
        <v>310</v>
      </c>
      <c r="B223" s="153">
        <v>756</v>
      </c>
      <c r="C223" s="153">
        <v>228</v>
      </c>
      <c r="D223" s="153">
        <v>1424</v>
      </c>
      <c r="E223" s="153">
        <v>107</v>
      </c>
      <c r="F223" s="153">
        <v>101</v>
      </c>
      <c r="G223" s="153">
        <v>2616</v>
      </c>
    </row>
    <row r="224" spans="1:7" x14ac:dyDescent="0.25">
      <c r="A224" s="152" t="s">
        <v>311</v>
      </c>
      <c r="B224" s="153">
        <v>4752</v>
      </c>
      <c r="C224" s="153">
        <v>1750</v>
      </c>
      <c r="D224" s="153">
        <v>16230</v>
      </c>
      <c r="E224" s="153">
        <v>1569</v>
      </c>
      <c r="F224" s="153">
        <v>1015</v>
      </c>
      <c r="G224" s="153">
        <v>25316</v>
      </c>
    </row>
    <row r="225" spans="1:7" x14ac:dyDescent="0.25">
      <c r="A225" s="152" t="s">
        <v>312</v>
      </c>
      <c r="B225" s="153">
        <v>542</v>
      </c>
      <c r="C225" s="153">
        <v>208</v>
      </c>
      <c r="D225" s="153">
        <v>569</v>
      </c>
      <c r="E225" s="153">
        <v>14</v>
      </c>
      <c r="F225" s="153">
        <v>57</v>
      </c>
      <c r="G225" s="153">
        <v>1390</v>
      </c>
    </row>
    <row r="226" spans="1:7" x14ac:dyDescent="0.25">
      <c r="A226" s="152" t="s">
        <v>313</v>
      </c>
      <c r="B226" s="153">
        <v>2051</v>
      </c>
      <c r="C226" s="153">
        <v>657</v>
      </c>
      <c r="D226" s="153">
        <v>7328</v>
      </c>
      <c r="E226" s="153">
        <v>764</v>
      </c>
      <c r="F226" s="153">
        <v>381</v>
      </c>
      <c r="G226" s="153">
        <v>11181</v>
      </c>
    </row>
    <row r="227" spans="1:7" x14ac:dyDescent="0.25">
      <c r="A227" s="174" t="s">
        <v>314</v>
      </c>
      <c r="B227" s="200">
        <v>616</v>
      </c>
      <c r="C227" s="200">
        <v>300</v>
      </c>
      <c r="D227" s="200">
        <v>1819</v>
      </c>
      <c r="E227" s="200">
        <v>157</v>
      </c>
      <c r="F227" s="200">
        <v>158</v>
      </c>
      <c r="G227" s="200">
        <v>3050</v>
      </c>
    </row>
    <row r="228" spans="1:7" x14ac:dyDescent="0.25">
      <c r="A228" s="177" t="s">
        <v>315</v>
      </c>
      <c r="B228" s="192">
        <v>1249</v>
      </c>
      <c r="C228" s="192">
        <v>676</v>
      </c>
      <c r="D228" s="192">
        <v>2884</v>
      </c>
      <c r="E228" s="192">
        <v>229</v>
      </c>
      <c r="F228" s="192">
        <v>258</v>
      </c>
      <c r="G228" s="192">
        <v>5296</v>
      </c>
    </row>
    <row r="229" spans="1:7" x14ac:dyDescent="0.25">
      <c r="A229" s="202" t="s">
        <v>36</v>
      </c>
      <c r="B229" s="203">
        <v>53055</v>
      </c>
      <c r="C229" s="203">
        <v>21104</v>
      </c>
      <c r="D229" s="203">
        <v>160824</v>
      </c>
      <c r="E229" s="203">
        <v>16010</v>
      </c>
      <c r="F229" s="203">
        <v>10879</v>
      </c>
      <c r="G229" s="203">
        <v>261872</v>
      </c>
    </row>
    <row r="230" spans="1:7" x14ac:dyDescent="0.25">
      <c r="A230" s="176"/>
      <c r="B230" s="176"/>
      <c r="C230" s="176"/>
      <c r="D230" s="176"/>
    </row>
    <row r="231" spans="1:7" x14ac:dyDescent="0.25">
      <c r="A231" s="176"/>
      <c r="B231" s="176"/>
      <c r="C231" s="176"/>
      <c r="D231" s="176"/>
    </row>
    <row r="232" spans="1:7" x14ac:dyDescent="0.25">
      <c r="A232" s="176"/>
      <c r="B232" s="176"/>
      <c r="C232" s="176"/>
      <c r="D232" s="176"/>
    </row>
    <row r="233" spans="1:7" x14ac:dyDescent="0.25">
      <c r="A233" s="205" t="s">
        <v>529</v>
      </c>
    </row>
    <row r="234" spans="1:7" x14ac:dyDescent="0.25">
      <c r="A234" s="176"/>
      <c r="B234" s="488" t="s">
        <v>503</v>
      </c>
      <c r="C234" s="488"/>
      <c r="D234" s="488"/>
      <c r="E234" s="488"/>
      <c r="F234" s="488"/>
      <c r="G234" s="107"/>
    </row>
    <row r="235" spans="1:7" x14ac:dyDescent="0.25">
      <c r="A235" s="178" t="s">
        <v>548</v>
      </c>
      <c r="B235" s="207" t="s">
        <v>142</v>
      </c>
      <c r="C235" s="207" t="s">
        <v>143</v>
      </c>
      <c r="D235" s="207" t="s">
        <v>144</v>
      </c>
      <c r="E235" s="207" t="s">
        <v>20</v>
      </c>
      <c r="F235" s="207" t="s">
        <v>145</v>
      </c>
      <c r="G235" s="179" t="s">
        <v>36</v>
      </c>
    </row>
    <row r="236" spans="1:7" x14ac:dyDescent="0.25">
      <c r="A236" s="175" t="s">
        <v>316</v>
      </c>
      <c r="B236" s="201">
        <v>1894</v>
      </c>
      <c r="C236" s="201">
        <v>679</v>
      </c>
      <c r="D236" s="201">
        <v>6178</v>
      </c>
      <c r="E236" s="201">
        <v>475</v>
      </c>
      <c r="F236" s="201">
        <v>440</v>
      </c>
      <c r="G236" s="201">
        <v>9666</v>
      </c>
    </row>
    <row r="237" spans="1:7" x14ac:dyDescent="0.25">
      <c r="A237" s="152" t="s">
        <v>317</v>
      </c>
      <c r="B237" s="153">
        <v>1924</v>
      </c>
      <c r="C237" s="153">
        <v>591</v>
      </c>
      <c r="D237" s="153">
        <v>2142</v>
      </c>
      <c r="E237" s="153">
        <v>96</v>
      </c>
      <c r="F237" s="153">
        <v>186</v>
      </c>
      <c r="G237" s="153">
        <v>4939</v>
      </c>
    </row>
    <row r="238" spans="1:7" x14ac:dyDescent="0.25">
      <c r="A238" s="152" t="s">
        <v>318</v>
      </c>
      <c r="B238" s="153">
        <v>729</v>
      </c>
      <c r="C238" s="153">
        <v>212</v>
      </c>
      <c r="D238" s="153">
        <v>839</v>
      </c>
      <c r="E238" s="153">
        <v>30</v>
      </c>
      <c r="F238" s="153">
        <v>90</v>
      </c>
      <c r="G238" s="153">
        <v>1900</v>
      </c>
    </row>
    <row r="239" spans="1:7" x14ac:dyDescent="0.25">
      <c r="A239" s="152" t="s">
        <v>319</v>
      </c>
      <c r="B239" s="153">
        <v>959</v>
      </c>
      <c r="C239" s="153">
        <v>338</v>
      </c>
      <c r="D239" s="153">
        <v>2436</v>
      </c>
      <c r="E239" s="153">
        <v>186</v>
      </c>
      <c r="F239" s="153">
        <v>175</v>
      </c>
      <c r="G239" s="153">
        <v>4094</v>
      </c>
    </row>
    <row r="240" spans="1:7" x14ac:dyDescent="0.25">
      <c r="A240" s="152" t="s">
        <v>320</v>
      </c>
      <c r="B240" s="153">
        <v>1408</v>
      </c>
      <c r="C240" s="153">
        <v>326</v>
      </c>
      <c r="D240" s="153">
        <v>2068</v>
      </c>
      <c r="E240" s="153">
        <v>132</v>
      </c>
      <c r="F240" s="153">
        <v>124</v>
      </c>
      <c r="G240" s="153">
        <v>4058</v>
      </c>
    </row>
    <row r="241" spans="1:7" x14ac:dyDescent="0.25">
      <c r="A241" s="152" t="s">
        <v>321</v>
      </c>
      <c r="B241" s="153">
        <v>1068</v>
      </c>
      <c r="C241" s="153">
        <v>252</v>
      </c>
      <c r="D241" s="153">
        <v>2264</v>
      </c>
      <c r="E241" s="153">
        <v>271</v>
      </c>
      <c r="F241" s="153">
        <v>98</v>
      </c>
      <c r="G241" s="153">
        <v>3953</v>
      </c>
    </row>
    <row r="242" spans="1:7" x14ac:dyDescent="0.25">
      <c r="A242" s="152" t="s">
        <v>322</v>
      </c>
      <c r="B242" s="153">
        <v>671</v>
      </c>
      <c r="C242" s="153">
        <v>124</v>
      </c>
      <c r="D242" s="153">
        <v>504</v>
      </c>
      <c r="E242" s="153">
        <v>20</v>
      </c>
      <c r="F242" s="153">
        <v>29</v>
      </c>
      <c r="G242" s="153">
        <v>1348</v>
      </c>
    </row>
    <row r="243" spans="1:7" x14ac:dyDescent="0.25">
      <c r="A243" s="152" t="s">
        <v>323</v>
      </c>
      <c r="B243" s="153">
        <v>328</v>
      </c>
      <c r="C243" s="153">
        <v>131</v>
      </c>
      <c r="D243" s="153">
        <v>770</v>
      </c>
      <c r="E243" s="153">
        <v>37</v>
      </c>
      <c r="F243" s="153">
        <v>43</v>
      </c>
      <c r="G243" s="153">
        <v>1309</v>
      </c>
    </row>
    <row r="244" spans="1:7" x14ac:dyDescent="0.25">
      <c r="A244" s="152" t="s">
        <v>324</v>
      </c>
      <c r="B244" s="153">
        <v>1329</v>
      </c>
      <c r="C244" s="153">
        <v>363</v>
      </c>
      <c r="D244" s="153">
        <v>2444</v>
      </c>
      <c r="E244" s="153">
        <v>145</v>
      </c>
      <c r="F244" s="153">
        <v>182</v>
      </c>
      <c r="G244" s="153">
        <v>4463</v>
      </c>
    </row>
    <row r="245" spans="1:7" x14ac:dyDescent="0.25">
      <c r="A245" s="152" t="s">
        <v>325</v>
      </c>
      <c r="B245" s="153">
        <v>754</v>
      </c>
      <c r="C245" s="153">
        <v>301</v>
      </c>
      <c r="D245" s="153">
        <v>984</v>
      </c>
      <c r="E245" s="153">
        <v>46</v>
      </c>
      <c r="F245" s="153">
        <v>106</v>
      </c>
      <c r="G245" s="153">
        <v>2191</v>
      </c>
    </row>
    <row r="246" spans="1:7" x14ac:dyDescent="0.25">
      <c r="A246" s="152" t="s">
        <v>326</v>
      </c>
      <c r="B246" s="153">
        <v>854</v>
      </c>
      <c r="C246" s="153">
        <v>268</v>
      </c>
      <c r="D246" s="153">
        <v>2025</v>
      </c>
      <c r="E246" s="153">
        <v>156</v>
      </c>
      <c r="F246" s="153">
        <v>146</v>
      </c>
      <c r="G246" s="153">
        <v>3449</v>
      </c>
    </row>
    <row r="247" spans="1:7" x14ac:dyDescent="0.25">
      <c r="A247" s="152" t="s">
        <v>327</v>
      </c>
      <c r="B247" s="153">
        <v>1575</v>
      </c>
      <c r="C247" s="153">
        <v>494</v>
      </c>
      <c r="D247" s="153">
        <v>3362</v>
      </c>
      <c r="E247" s="153">
        <v>282</v>
      </c>
      <c r="F247" s="153">
        <v>250</v>
      </c>
      <c r="G247" s="153">
        <v>5963</v>
      </c>
    </row>
    <row r="248" spans="1:7" x14ac:dyDescent="0.25">
      <c r="A248" s="152" t="s">
        <v>328</v>
      </c>
      <c r="B248" s="153">
        <v>1107</v>
      </c>
      <c r="C248" s="153">
        <v>338</v>
      </c>
      <c r="D248" s="153">
        <v>2680</v>
      </c>
      <c r="E248" s="153">
        <v>241</v>
      </c>
      <c r="F248" s="153">
        <v>202</v>
      </c>
      <c r="G248" s="153">
        <v>4568</v>
      </c>
    </row>
    <row r="249" spans="1:7" x14ac:dyDescent="0.25">
      <c r="A249" s="152" t="s">
        <v>329</v>
      </c>
      <c r="B249" s="153">
        <v>617</v>
      </c>
      <c r="C249" s="153">
        <v>210</v>
      </c>
      <c r="D249" s="153">
        <v>737</v>
      </c>
      <c r="E249" s="153">
        <v>29</v>
      </c>
      <c r="F249" s="153">
        <v>54</v>
      </c>
      <c r="G249" s="153">
        <v>1647</v>
      </c>
    </row>
    <row r="250" spans="1:7" x14ac:dyDescent="0.25">
      <c r="A250" s="152" t="s">
        <v>330</v>
      </c>
      <c r="B250" s="153">
        <v>415</v>
      </c>
      <c r="C250" s="153">
        <v>115</v>
      </c>
      <c r="D250" s="153">
        <v>801</v>
      </c>
      <c r="E250" s="153">
        <v>37</v>
      </c>
      <c r="F250" s="153">
        <v>52</v>
      </c>
      <c r="G250" s="153">
        <v>1420</v>
      </c>
    </row>
    <row r="251" spans="1:7" x14ac:dyDescent="0.25">
      <c r="A251" s="152" t="s">
        <v>331</v>
      </c>
      <c r="B251" s="153">
        <v>530</v>
      </c>
      <c r="C251" s="153">
        <v>215</v>
      </c>
      <c r="D251" s="153">
        <v>699</v>
      </c>
      <c r="E251" s="153">
        <v>30</v>
      </c>
      <c r="F251" s="153">
        <v>73</v>
      </c>
      <c r="G251" s="153">
        <v>1547</v>
      </c>
    </row>
    <row r="252" spans="1:7" x14ac:dyDescent="0.25">
      <c r="A252" s="152" t="s">
        <v>332</v>
      </c>
      <c r="B252" s="153">
        <v>658</v>
      </c>
      <c r="C252" s="153">
        <v>134</v>
      </c>
      <c r="D252" s="153">
        <v>546</v>
      </c>
      <c r="E252" s="153">
        <v>34</v>
      </c>
      <c r="F252" s="153">
        <v>47</v>
      </c>
      <c r="G252" s="153">
        <v>1419</v>
      </c>
    </row>
    <row r="253" spans="1:7" x14ac:dyDescent="0.25">
      <c r="A253" s="152" t="s">
        <v>333</v>
      </c>
      <c r="B253" s="153">
        <v>1917</v>
      </c>
      <c r="C253" s="153">
        <v>599</v>
      </c>
      <c r="D253" s="153">
        <v>3069</v>
      </c>
      <c r="E253" s="153">
        <v>215</v>
      </c>
      <c r="F253" s="153">
        <v>225</v>
      </c>
      <c r="G253" s="153">
        <v>6025</v>
      </c>
    </row>
    <row r="254" spans="1:7" x14ac:dyDescent="0.25">
      <c r="A254" s="152" t="s">
        <v>334</v>
      </c>
      <c r="B254" s="153">
        <v>2797</v>
      </c>
      <c r="C254" s="153">
        <v>1052</v>
      </c>
      <c r="D254" s="153">
        <v>5126</v>
      </c>
      <c r="E254" s="153">
        <v>460</v>
      </c>
      <c r="F254" s="153">
        <v>526</v>
      </c>
      <c r="G254" s="153">
        <v>9961</v>
      </c>
    </row>
    <row r="255" spans="1:7" x14ac:dyDescent="0.25">
      <c r="A255" s="152" t="s">
        <v>335</v>
      </c>
      <c r="B255" s="153">
        <v>287</v>
      </c>
      <c r="C255" s="153">
        <v>103</v>
      </c>
      <c r="D255" s="153">
        <v>617</v>
      </c>
      <c r="E255" s="153">
        <v>36</v>
      </c>
      <c r="F255" s="153">
        <v>42</v>
      </c>
      <c r="G255" s="153">
        <v>1085</v>
      </c>
    </row>
    <row r="256" spans="1:7" x14ac:dyDescent="0.25">
      <c r="A256" s="152" t="s">
        <v>336</v>
      </c>
      <c r="B256" s="153">
        <v>1354</v>
      </c>
      <c r="C256" s="153">
        <v>392</v>
      </c>
      <c r="D256" s="153">
        <v>2684</v>
      </c>
      <c r="E256" s="153">
        <v>245</v>
      </c>
      <c r="F256" s="153">
        <v>199</v>
      </c>
      <c r="G256" s="153">
        <v>4874</v>
      </c>
    </row>
    <row r="257" spans="1:7" x14ac:dyDescent="0.25">
      <c r="A257" s="152" t="s">
        <v>337</v>
      </c>
      <c r="B257" s="153">
        <v>1013</v>
      </c>
      <c r="C257" s="153">
        <v>211</v>
      </c>
      <c r="D257" s="153">
        <v>2154</v>
      </c>
      <c r="E257" s="153">
        <v>160</v>
      </c>
      <c r="F257" s="153">
        <v>125</v>
      </c>
      <c r="G257" s="153">
        <v>3663</v>
      </c>
    </row>
    <row r="258" spans="1:7" x14ac:dyDescent="0.25">
      <c r="A258" s="152" t="s">
        <v>338</v>
      </c>
      <c r="B258" s="153">
        <v>741</v>
      </c>
      <c r="C258" s="153">
        <v>304</v>
      </c>
      <c r="D258" s="153">
        <v>1200</v>
      </c>
      <c r="E258" s="153">
        <v>66</v>
      </c>
      <c r="F258" s="153">
        <v>92</v>
      </c>
      <c r="G258" s="153">
        <v>2403</v>
      </c>
    </row>
    <row r="259" spans="1:7" x14ac:dyDescent="0.25">
      <c r="A259" s="152" t="s">
        <v>339</v>
      </c>
      <c r="B259" s="153">
        <v>407</v>
      </c>
      <c r="C259" s="153">
        <v>167</v>
      </c>
      <c r="D259" s="153">
        <v>1132</v>
      </c>
      <c r="E259" s="153">
        <v>60</v>
      </c>
      <c r="F259" s="153">
        <v>91</v>
      </c>
      <c r="G259" s="153">
        <v>1857</v>
      </c>
    </row>
    <row r="260" spans="1:7" x14ac:dyDescent="0.25">
      <c r="A260" s="152" t="s">
        <v>340</v>
      </c>
      <c r="B260" s="153">
        <v>895</v>
      </c>
      <c r="C260" s="153">
        <v>317</v>
      </c>
      <c r="D260" s="153">
        <v>939</v>
      </c>
      <c r="E260" s="153">
        <v>56</v>
      </c>
      <c r="F260" s="153">
        <v>118</v>
      </c>
      <c r="G260" s="153">
        <v>2325</v>
      </c>
    </row>
    <row r="261" spans="1:7" x14ac:dyDescent="0.25">
      <c r="A261" s="152" t="s">
        <v>341</v>
      </c>
      <c r="B261" s="153">
        <v>9094</v>
      </c>
      <c r="C261" s="153">
        <v>2949</v>
      </c>
      <c r="D261" s="153">
        <v>25921</v>
      </c>
      <c r="E261" s="153">
        <v>2940</v>
      </c>
      <c r="F261" s="153">
        <v>1770</v>
      </c>
      <c r="G261" s="153">
        <v>42674</v>
      </c>
    </row>
    <row r="262" spans="1:7" x14ac:dyDescent="0.25">
      <c r="A262" s="152" t="s">
        <v>342</v>
      </c>
      <c r="B262" s="153">
        <v>1212</v>
      </c>
      <c r="C262" s="153">
        <v>326</v>
      </c>
      <c r="D262" s="153">
        <v>1166</v>
      </c>
      <c r="E262" s="153">
        <v>63</v>
      </c>
      <c r="F262" s="153">
        <v>98</v>
      </c>
      <c r="G262" s="153">
        <v>2865</v>
      </c>
    </row>
    <row r="263" spans="1:7" x14ac:dyDescent="0.25">
      <c r="A263" s="152" t="s">
        <v>343</v>
      </c>
      <c r="B263" s="153">
        <v>716</v>
      </c>
      <c r="C263" s="153">
        <v>221</v>
      </c>
      <c r="D263" s="153">
        <v>847</v>
      </c>
      <c r="E263" s="153">
        <v>45</v>
      </c>
      <c r="F263" s="153">
        <v>82</v>
      </c>
      <c r="G263" s="153">
        <v>1911</v>
      </c>
    </row>
    <row r="264" spans="1:7" x14ac:dyDescent="0.25">
      <c r="A264" s="152" t="s">
        <v>344</v>
      </c>
      <c r="B264" s="153">
        <v>994</v>
      </c>
      <c r="C264" s="153">
        <v>380</v>
      </c>
      <c r="D264" s="153">
        <v>2543</v>
      </c>
      <c r="E264" s="153">
        <v>169</v>
      </c>
      <c r="F264" s="153">
        <v>141</v>
      </c>
      <c r="G264" s="153">
        <v>4227</v>
      </c>
    </row>
    <row r="265" spans="1:7" x14ac:dyDescent="0.25">
      <c r="A265" s="152" t="s">
        <v>345</v>
      </c>
      <c r="B265" s="153">
        <v>1629</v>
      </c>
      <c r="C265" s="153">
        <v>547</v>
      </c>
      <c r="D265" s="153">
        <v>4478</v>
      </c>
      <c r="E265" s="153">
        <v>334</v>
      </c>
      <c r="F265" s="153">
        <v>258</v>
      </c>
      <c r="G265" s="153">
        <v>7246</v>
      </c>
    </row>
    <row r="266" spans="1:7" x14ac:dyDescent="0.25">
      <c r="A266" s="152" t="s">
        <v>346</v>
      </c>
      <c r="B266" s="153">
        <v>1181</v>
      </c>
      <c r="C266" s="153">
        <v>405</v>
      </c>
      <c r="D266" s="153">
        <v>2381</v>
      </c>
      <c r="E266" s="153">
        <v>182</v>
      </c>
      <c r="F266" s="153">
        <v>169</v>
      </c>
      <c r="G266" s="153">
        <v>4318</v>
      </c>
    </row>
    <row r="267" spans="1:7" x14ac:dyDescent="0.25">
      <c r="A267" s="152" t="s">
        <v>347</v>
      </c>
      <c r="B267" s="153">
        <v>2534</v>
      </c>
      <c r="C267" s="153">
        <v>680</v>
      </c>
      <c r="D267" s="153">
        <v>6166</v>
      </c>
      <c r="E267" s="153">
        <v>480</v>
      </c>
      <c r="F267" s="153">
        <v>404</v>
      </c>
      <c r="G267" s="153">
        <v>10264</v>
      </c>
    </row>
    <row r="268" spans="1:7" x14ac:dyDescent="0.25">
      <c r="A268" s="202" t="s">
        <v>36</v>
      </c>
      <c r="B268" s="203">
        <v>43591</v>
      </c>
      <c r="C268" s="203">
        <v>13744</v>
      </c>
      <c r="D268" s="203">
        <v>91902</v>
      </c>
      <c r="E268" s="203">
        <v>7758</v>
      </c>
      <c r="F268" s="203">
        <v>6637</v>
      </c>
      <c r="G268" s="203">
        <v>163632</v>
      </c>
    </row>
    <row r="269" spans="1:7" x14ac:dyDescent="0.25">
      <c r="A269" s="176"/>
      <c r="B269" s="176"/>
      <c r="C269" s="176"/>
      <c r="D269" s="176"/>
    </row>
    <row r="270" spans="1:7" x14ac:dyDescent="0.25">
      <c r="A270" s="176"/>
      <c r="B270" s="176"/>
      <c r="C270" s="176"/>
      <c r="D270" s="176"/>
    </row>
    <row r="271" spans="1:7" x14ac:dyDescent="0.25">
      <c r="A271" s="176"/>
      <c r="B271" s="176"/>
      <c r="C271" s="176"/>
      <c r="D271" s="176"/>
    </row>
    <row r="272" spans="1:7" x14ac:dyDescent="0.25">
      <c r="A272" s="176"/>
      <c r="B272" s="176"/>
      <c r="C272" s="176"/>
      <c r="D272" s="176"/>
    </row>
    <row r="273" spans="1:7" x14ac:dyDescent="0.25">
      <c r="A273" s="205" t="s">
        <v>530</v>
      </c>
    </row>
    <row r="274" spans="1:7" x14ac:dyDescent="0.25">
      <c r="A274" s="176"/>
      <c r="B274" s="488" t="s">
        <v>503</v>
      </c>
      <c r="C274" s="488"/>
      <c r="D274" s="488"/>
      <c r="E274" s="488"/>
      <c r="F274" s="488"/>
      <c r="G274" s="107"/>
    </row>
    <row r="275" spans="1:7" x14ac:dyDescent="0.25">
      <c r="A275" s="178" t="s">
        <v>548</v>
      </c>
      <c r="B275" s="207" t="s">
        <v>142</v>
      </c>
      <c r="C275" s="207" t="s">
        <v>143</v>
      </c>
      <c r="D275" s="207" t="s">
        <v>144</v>
      </c>
      <c r="E275" s="207" t="s">
        <v>20</v>
      </c>
      <c r="F275" s="207" t="s">
        <v>145</v>
      </c>
      <c r="G275" s="179" t="s">
        <v>36</v>
      </c>
    </row>
    <row r="276" spans="1:7" x14ac:dyDescent="0.25">
      <c r="A276" s="175" t="s">
        <v>349</v>
      </c>
      <c r="B276" s="201">
        <v>1507</v>
      </c>
      <c r="C276" s="201">
        <v>547</v>
      </c>
      <c r="D276" s="201">
        <v>4869</v>
      </c>
      <c r="E276" s="201">
        <v>370</v>
      </c>
      <c r="F276" s="201">
        <v>324</v>
      </c>
      <c r="G276" s="201">
        <v>7617</v>
      </c>
    </row>
    <row r="277" spans="1:7" x14ac:dyDescent="0.25">
      <c r="A277" s="152" t="s">
        <v>350</v>
      </c>
      <c r="B277" s="153">
        <v>1888</v>
      </c>
      <c r="C277" s="153">
        <v>462</v>
      </c>
      <c r="D277" s="153">
        <v>2480</v>
      </c>
      <c r="E277" s="153">
        <v>130</v>
      </c>
      <c r="F277" s="153">
        <v>214</v>
      </c>
      <c r="G277" s="153">
        <v>5174</v>
      </c>
    </row>
    <row r="278" spans="1:7" x14ac:dyDescent="0.25">
      <c r="A278" s="152" t="s">
        <v>351</v>
      </c>
      <c r="B278" s="153">
        <v>1431</v>
      </c>
      <c r="C278" s="153">
        <v>604</v>
      </c>
      <c r="D278" s="153">
        <v>4340</v>
      </c>
      <c r="E278" s="153">
        <v>391</v>
      </c>
      <c r="F278" s="153">
        <v>422</v>
      </c>
      <c r="G278" s="153">
        <v>7188</v>
      </c>
    </row>
    <row r="279" spans="1:7" x14ac:dyDescent="0.25">
      <c r="A279" s="152" t="s">
        <v>352</v>
      </c>
      <c r="B279" s="153">
        <v>193</v>
      </c>
      <c r="C279" s="153">
        <v>41</v>
      </c>
      <c r="D279" s="153">
        <v>287</v>
      </c>
      <c r="E279" s="153">
        <v>9</v>
      </c>
      <c r="F279" s="153">
        <v>10</v>
      </c>
      <c r="G279" s="153">
        <v>540</v>
      </c>
    </row>
    <row r="280" spans="1:7" x14ac:dyDescent="0.25">
      <c r="A280" s="152" t="s">
        <v>353</v>
      </c>
      <c r="B280" s="153">
        <v>541</v>
      </c>
      <c r="C280" s="153">
        <v>200</v>
      </c>
      <c r="D280" s="153">
        <v>1388</v>
      </c>
      <c r="E280" s="153">
        <v>79</v>
      </c>
      <c r="F280" s="153">
        <v>123</v>
      </c>
      <c r="G280" s="153">
        <v>2331</v>
      </c>
    </row>
    <row r="281" spans="1:7" x14ac:dyDescent="0.25">
      <c r="A281" s="152" t="s">
        <v>354</v>
      </c>
      <c r="B281" s="153">
        <v>302</v>
      </c>
      <c r="C281" s="153">
        <v>59</v>
      </c>
      <c r="D281" s="153">
        <v>316</v>
      </c>
      <c r="E281" s="153">
        <v>11</v>
      </c>
      <c r="F281" s="153">
        <v>23</v>
      </c>
      <c r="G281" s="153">
        <v>711</v>
      </c>
    </row>
    <row r="282" spans="1:7" x14ac:dyDescent="0.25">
      <c r="A282" s="152" t="s">
        <v>355</v>
      </c>
      <c r="B282" s="153">
        <v>178</v>
      </c>
      <c r="C282" s="153">
        <v>55</v>
      </c>
      <c r="D282" s="153">
        <v>392</v>
      </c>
      <c r="E282" s="153">
        <v>16</v>
      </c>
      <c r="F282" s="153">
        <v>34</v>
      </c>
      <c r="G282" s="153">
        <v>675</v>
      </c>
    </row>
    <row r="283" spans="1:7" x14ac:dyDescent="0.25">
      <c r="A283" s="152" t="s">
        <v>356</v>
      </c>
      <c r="B283" s="153">
        <v>579</v>
      </c>
      <c r="C283" s="153">
        <v>162</v>
      </c>
      <c r="D283" s="153">
        <v>1010</v>
      </c>
      <c r="E283" s="153">
        <v>55</v>
      </c>
      <c r="F283" s="153">
        <v>117</v>
      </c>
      <c r="G283" s="153">
        <v>1923</v>
      </c>
    </row>
    <row r="284" spans="1:7" x14ac:dyDescent="0.25">
      <c r="A284" s="152" t="s">
        <v>357</v>
      </c>
      <c r="B284" s="153">
        <v>749</v>
      </c>
      <c r="C284" s="153">
        <v>209</v>
      </c>
      <c r="D284" s="153">
        <v>1214</v>
      </c>
      <c r="E284" s="153">
        <v>93</v>
      </c>
      <c r="F284" s="153">
        <v>82</v>
      </c>
      <c r="G284" s="153">
        <v>2347</v>
      </c>
    </row>
    <row r="285" spans="1:7" x14ac:dyDescent="0.25">
      <c r="A285" s="152" t="s">
        <v>358</v>
      </c>
      <c r="B285" s="153">
        <v>695</v>
      </c>
      <c r="C285" s="153">
        <v>218</v>
      </c>
      <c r="D285" s="153">
        <v>1934</v>
      </c>
      <c r="E285" s="153">
        <v>168</v>
      </c>
      <c r="F285" s="153">
        <v>110</v>
      </c>
      <c r="G285" s="153">
        <v>3125</v>
      </c>
    </row>
    <row r="286" spans="1:7" x14ac:dyDescent="0.25">
      <c r="A286" s="152" t="s">
        <v>359</v>
      </c>
      <c r="B286" s="153">
        <v>144</v>
      </c>
      <c r="C286" s="153">
        <v>21</v>
      </c>
      <c r="D286" s="153">
        <v>232</v>
      </c>
      <c r="E286" s="153">
        <v>6</v>
      </c>
      <c r="F286" s="153">
        <v>7</v>
      </c>
      <c r="G286" s="153">
        <v>410</v>
      </c>
    </row>
    <row r="287" spans="1:7" x14ac:dyDescent="0.25">
      <c r="A287" s="152" t="s">
        <v>360</v>
      </c>
      <c r="B287" s="153">
        <v>417</v>
      </c>
      <c r="C287" s="153">
        <v>138</v>
      </c>
      <c r="D287" s="153">
        <v>588</v>
      </c>
      <c r="E287" s="153">
        <v>38</v>
      </c>
      <c r="F287" s="153">
        <v>53</v>
      </c>
      <c r="G287" s="153">
        <v>1234</v>
      </c>
    </row>
    <row r="288" spans="1:7" x14ac:dyDescent="0.25">
      <c r="A288" s="152" t="s">
        <v>361</v>
      </c>
      <c r="B288" s="153">
        <v>628</v>
      </c>
      <c r="C288" s="153">
        <v>214</v>
      </c>
      <c r="D288" s="153">
        <v>1878</v>
      </c>
      <c r="E288" s="153">
        <v>201</v>
      </c>
      <c r="F288" s="153">
        <v>123</v>
      </c>
      <c r="G288" s="153">
        <v>3044</v>
      </c>
    </row>
    <row r="289" spans="1:7" x14ac:dyDescent="0.25">
      <c r="A289" s="152" t="s">
        <v>362</v>
      </c>
      <c r="B289" s="153">
        <v>1270</v>
      </c>
      <c r="C289" s="153">
        <v>361</v>
      </c>
      <c r="D289" s="153">
        <v>1467</v>
      </c>
      <c r="E289" s="153">
        <v>74</v>
      </c>
      <c r="F289" s="153">
        <v>113</v>
      </c>
      <c r="G289" s="153">
        <v>3285</v>
      </c>
    </row>
    <row r="290" spans="1:7" x14ac:dyDescent="0.25">
      <c r="A290" s="152" t="s">
        <v>363</v>
      </c>
      <c r="B290" s="153">
        <v>1228</v>
      </c>
      <c r="C290" s="153">
        <v>333</v>
      </c>
      <c r="D290" s="153">
        <v>1189</v>
      </c>
      <c r="E290" s="153">
        <v>63</v>
      </c>
      <c r="F290" s="153">
        <v>96</v>
      </c>
      <c r="G290" s="153">
        <v>2909</v>
      </c>
    </row>
    <row r="291" spans="1:7" x14ac:dyDescent="0.25">
      <c r="A291" s="152" t="s">
        <v>364</v>
      </c>
      <c r="B291" s="153">
        <v>5455</v>
      </c>
      <c r="C291" s="153">
        <v>2892</v>
      </c>
      <c r="D291" s="153">
        <v>17096</v>
      </c>
      <c r="E291" s="153">
        <v>2220</v>
      </c>
      <c r="F291" s="153">
        <v>1838</v>
      </c>
      <c r="G291" s="153">
        <v>29501</v>
      </c>
    </row>
    <row r="292" spans="1:7" x14ac:dyDescent="0.25">
      <c r="A292" s="152" t="s">
        <v>365</v>
      </c>
      <c r="B292" s="153">
        <v>118</v>
      </c>
      <c r="C292" s="153">
        <v>15</v>
      </c>
      <c r="D292" s="153">
        <v>244</v>
      </c>
      <c r="E292" s="153">
        <v>19</v>
      </c>
      <c r="F292" s="153">
        <v>9</v>
      </c>
      <c r="G292" s="153">
        <v>405</v>
      </c>
    </row>
    <row r="293" spans="1:7" x14ac:dyDescent="0.25">
      <c r="A293" s="152" t="s">
        <v>366</v>
      </c>
      <c r="B293" s="153">
        <v>6448</v>
      </c>
      <c r="C293" s="153">
        <v>2241</v>
      </c>
      <c r="D293" s="153">
        <v>17969</v>
      </c>
      <c r="E293" s="153">
        <v>1841</v>
      </c>
      <c r="F293" s="153">
        <v>1545</v>
      </c>
      <c r="G293" s="153">
        <v>30044</v>
      </c>
    </row>
    <row r="294" spans="1:7" x14ac:dyDescent="0.25">
      <c r="A294" s="152" t="s">
        <v>367</v>
      </c>
      <c r="B294" s="153">
        <v>348</v>
      </c>
      <c r="C294" s="153">
        <v>187</v>
      </c>
      <c r="D294" s="153">
        <v>791</v>
      </c>
      <c r="E294" s="153">
        <v>60</v>
      </c>
      <c r="F294" s="153">
        <v>91</v>
      </c>
      <c r="G294" s="153">
        <v>1477</v>
      </c>
    </row>
    <row r="295" spans="1:7" x14ac:dyDescent="0.25">
      <c r="A295" s="152" t="s">
        <v>368</v>
      </c>
      <c r="B295" s="153">
        <v>1076</v>
      </c>
      <c r="C295" s="153">
        <v>319</v>
      </c>
      <c r="D295" s="153">
        <v>3548</v>
      </c>
      <c r="E295" s="153">
        <v>370</v>
      </c>
      <c r="F295" s="153">
        <v>180</v>
      </c>
      <c r="G295" s="153">
        <v>5493</v>
      </c>
    </row>
    <row r="296" spans="1:7" x14ac:dyDescent="0.25">
      <c r="A296" s="152" t="s">
        <v>369</v>
      </c>
      <c r="B296" s="153">
        <v>250</v>
      </c>
      <c r="C296" s="153">
        <v>69</v>
      </c>
      <c r="D296" s="153">
        <v>348</v>
      </c>
      <c r="E296" s="153">
        <v>13</v>
      </c>
      <c r="F296" s="153">
        <v>37</v>
      </c>
      <c r="G296" s="153">
        <v>717</v>
      </c>
    </row>
    <row r="297" spans="1:7" x14ac:dyDescent="0.25">
      <c r="A297" s="152" t="s">
        <v>370</v>
      </c>
      <c r="B297" s="153">
        <v>980</v>
      </c>
      <c r="C297" s="153">
        <v>448</v>
      </c>
      <c r="D297" s="153">
        <v>2660</v>
      </c>
      <c r="E297" s="153">
        <v>256</v>
      </c>
      <c r="F297" s="153">
        <v>244</v>
      </c>
      <c r="G297" s="153">
        <v>4588</v>
      </c>
    </row>
    <row r="298" spans="1:7" x14ac:dyDescent="0.25">
      <c r="A298" s="152" t="s">
        <v>371</v>
      </c>
      <c r="B298" s="153">
        <v>485</v>
      </c>
      <c r="C298" s="153">
        <v>283</v>
      </c>
      <c r="D298" s="153">
        <v>1180</v>
      </c>
      <c r="E298" s="153">
        <v>87</v>
      </c>
      <c r="F298" s="153">
        <v>131</v>
      </c>
      <c r="G298" s="153">
        <v>2166</v>
      </c>
    </row>
    <row r="299" spans="1:7" x14ac:dyDescent="0.25">
      <c r="A299" s="152" t="s">
        <v>372</v>
      </c>
      <c r="B299" s="153">
        <v>252</v>
      </c>
      <c r="C299" s="153">
        <v>100</v>
      </c>
      <c r="D299" s="153">
        <v>462</v>
      </c>
      <c r="E299" s="153">
        <v>27</v>
      </c>
      <c r="F299" s="153">
        <v>43</v>
      </c>
      <c r="G299" s="153">
        <v>884</v>
      </c>
    </row>
    <row r="300" spans="1:7" x14ac:dyDescent="0.25">
      <c r="A300" s="152" t="s">
        <v>373</v>
      </c>
      <c r="B300" s="153">
        <v>795</v>
      </c>
      <c r="C300" s="153">
        <v>300</v>
      </c>
      <c r="D300" s="153">
        <v>1691</v>
      </c>
      <c r="E300" s="153">
        <v>77</v>
      </c>
      <c r="F300" s="153">
        <v>207</v>
      </c>
      <c r="G300" s="153">
        <v>3070</v>
      </c>
    </row>
    <row r="301" spans="1:7" x14ac:dyDescent="0.25">
      <c r="A301" s="152" t="s">
        <v>374</v>
      </c>
      <c r="B301" s="153">
        <v>522</v>
      </c>
      <c r="C301" s="153">
        <v>121</v>
      </c>
      <c r="D301" s="153">
        <v>656</v>
      </c>
      <c r="E301" s="153">
        <v>36</v>
      </c>
      <c r="F301" s="153">
        <v>53</v>
      </c>
      <c r="G301" s="153">
        <v>1388</v>
      </c>
    </row>
    <row r="302" spans="1:7" x14ac:dyDescent="0.25">
      <c r="A302" s="152" t="s">
        <v>375</v>
      </c>
      <c r="B302" s="153">
        <v>553</v>
      </c>
      <c r="C302" s="153">
        <v>156</v>
      </c>
      <c r="D302" s="153">
        <v>645</v>
      </c>
      <c r="E302" s="153">
        <v>38</v>
      </c>
      <c r="F302" s="153">
        <v>66</v>
      </c>
      <c r="G302" s="153">
        <v>1458</v>
      </c>
    </row>
    <row r="303" spans="1:7" x14ac:dyDescent="0.25">
      <c r="A303" s="152" t="s">
        <v>376</v>
      </c>
      <c r="B303" s="153">
        <v>679</v>
      </c>
      <c r="C303" s="153">
        <v>385</v>
      </c>
      <c r="D303" s="153">
        <v>1555</v>
      </c>
      <c r="E303" s="153">
        <v>136</v>
      </c>
      <c r="F303" s="153">
        <v>204</v>
      </c>
      <c r="G303" s="153">
        <v>2959</v>
      </c>
    </row>
    <row r="304" spans="1:7" ht="30" x14ac:dyDescent="0.25">
      <c r="A304" s="152" t="s">
        <v>377</v>
      </c>
      <c r="B304" s="153">
        <v>679</v>
      </c>
      <c r="C304" s="153">
        <v>329</v>
      </c>
      <c r="D304" s="153">
        <v>575</v>
      </c>
      <c r="E304" s="153">
        <v>28</v>
      </c>
      <c r="F304" s="153">
        <v>86</v>
      </c>
      <c r="G304" s="153">
        <v>1697</v>
      </c>
    </row>
    <row r="305" spans="1:7" x14ac:dyDescent="0.25">
      <c r="A305" s="152" t="s">
        <v>378</v>
      </c>
      <c r="B305" s="153">
        <v>572</v>
      </c>
      <c r="C305" s="153">
        <v>310</v>
      </c>
      <c r="D305" s="153">
        <v>1138</v>
      </c>
      <c r="E305" s="153">
        <v>82</v>
      </c>
      <c r="F305" s="153">
        <v>145</v>
      </c>
      <c r="G305" s="153">
        <v>2247</v>
      </c>
    </row>
    <row r="306" spans="1:7" x14ac:dyDescent="0.25">
      <c r="A306" s="202" t="s">
        <v>36</v>
      </c>
      <c r="B306" s="203">
        <v>30962</v>
      </c>
      <c r="C306" s="203">
        <v>11779</v>
      </c>
      <c r="D306" s="203">
        <v>74142</v>
      </c>
      <c r="E306" s="203">
        <v>6994</v>
      </c>
      <c r="F306" s="203">
        <v>6730</v>
      </c>
      <c r="G306" s="203">
        <v>130607</v>
      </c>
    </row>
    <row r="307" spans="1:7" x14ac:dyDescent="0.25">
      <c r="A307" s="176"/>
      <c r="B307" s="176"/>
      <c r="C307" s="176"/>
      <c r="D307" s="176"/>
      <c r="E307" s="176"/>
      <c r="F307" s="176"/>
      <c r="G307" s="176"/>
    </row>
    <row r="308" spans="1:7" x14ac:dyDescent="0.25">
      <c r="A308" s="176"/>
      <c r="B308" s="176"/>
      <c r="C308" s="176"/>
      <c r="D308" s="176"/>
      <c r="E308" s="176"/>
      <c r="F308" s="176"/>
      <c r="G308" s="176"/>
    </row>
    <row r="309" spans="1:7" x14ac:dyDescent="0.25">
      <c r="A309" s="176"/>
      <c r="B309" s="176"/>
      <c r="C309" s="176"/>
      <c r="D309" s="176"/>
      <c r="E309" s="176"/>
      <c r="F309" s="176"/>
      <c r="G309" s="176"/>
    </row>
    <row r="310" spans="1:7" x14ac:dyDescent="0.25">
      <c r="A310" s="176"/>
      <c r="B310" s="176"/>
      <c r="C310" s="176"/>
      <c r="D310" s="176"/>
    </row>
    <row r="311" spans="1:7" x14ac:dyDescent="0.25">
      <c r="A311" s="205" t="s">
        <v>531</v>
      </c>
    </row>
    <row r="312" spans="1:7" x14ac:dyDescent="0.25">
      <c r="A312" s="176"/>
      <c r="B312" s="488" t="s">
        <v>503</v>
      </c>
      <c r="C312" s="488"/>
      <c r="D312" s="488"/>
      <c r="E312" s="488"/>
      <c r="F312" s="488"/>
      <c r="G312" s="107"/>
    </row>
    <row r="313" spans="1:7" x14ac:dyDescent="0.25">
      <c r="A313" s="178" t="s">
        <v>548</v>
      </c>
      <c r="B313" s="207" t="s">
        <v>142</v>
      </c>
      <c r="C313" s="207" t="s">
        <v>143</v>
      </c>
      <c r="D313" s="207" t="s">
        <v>144</v>
      </c>
      <c r="E313" s="207" t="s">
        <v>20</v>
      </c>
      <c r="F313" s="207" t="s">
        <v>145</v>
      </c>
      <c r="G313" s="179" t="s">
        <v>36</v>
      </c>
    </row>
    <row r="314" spans="1:7" x14ac:dyDescent="0.25">
      <c r="A314" s="175" t="s">
        <v>379</v>
      </c>
      <c r="B314" s="201">
        <v>449</v>
      </c>
      <c r="C314" s="201">
        <v>69</v>
      </c>
      <c r="D314" s="201">
        <v>583</v>
      </c>
      <c r="E314" s="201">
        <v>21</v>
      </c>
      <c r="F314" s="201">
        <v>37</v>
      </c>
      <c r="G314" s="201">
        <v>1159</v>
      </c>
    </row>
    <row r="315" spans="1:7" x14ac:dyDescent="0.25">
      <c r="A315" s="152" t="s">
        <v>380</v>
      </c>
      <c r="B315" s="153">
        <v>139</v>
      </c>
      <c r="C315" s="153">
        <v>37</v>
      </c>
      <c r="D315" s="153">
        <v>434</v>
      </c>
      <c r="E315" s="153">
        <v>11</v>
      </c>
      <c r="F315" s="153">
        <v>23</v>
      </c>
      <c r="G315" s="153">
        <v>644</v>
      </c>
    </row>
    <row r="316" spans="1:7" x14ac:dyDescent="0.25">
      <c r="A316" s="152" t="s">
        <v>381</v>
      </c>
      <c r="B316" s="153">
        <v>163</v>
      </c>
      <c r="C316" s="153">
        <v>30</v>
      </c>
      <c r="D316" s="153">
        <v>257</v>
      </c>
      <c r="E316" s="153">
        <v>15</v>
      </c>
      <c r="F316" s="153">
        <v>8</v>
      </c>
      <c r="G316" s="153">
        <v>473</v>
      </c>
    </row>
    <row r="317" spans="1:7" x14ac:dyDescent="0.25">
      <c r="A317" s="152" t="s">
        <v>382</v>
      </c>
      <c r="B317" s="153">
        <v>1401</v>
      </c>
      <c r="C317" s="153">
        <v>479</v>
      </c>
      <c r="D317" s="153">
        <v>4698</v>
      </c>
      <c r="E317" s="153">
        <v>407</v>
      </c>
      <c r="F317" s="153">
        <v>418</v>
      </c>
      <c r="G317" s="153">
        <v>7403</v>
      </c>
    </row>
    <row r="318" spans="1:7" x14ac:dyDescent="0.25">
      <c r="A318" s="152" t="s">
        <v>383</v>
      </c>
      <c r="B318" s="153">
        <v>50</v>
      </c>
      <c r="C318" s="153">
        <v>11</v>
      </c>
      <c r="D318" s="153">
        <v>83</v>
      </c>
      <c r="E318" s="153">
        <v>2</v>
      </c>
      <c r="F318" s="153">
        <v>7</v>
      </c>
      <c r="G318" s="153">
        <v>153</v>
      </c>
    </row>
    <row r="319" spans="1:7" x14ac:dyDescent="0.25">
      <c r="A319" s="152" t="s">
        <v>384</v>
      </c>
      <c r="B319" s="153">
        <v>50</v>
      </c>
      <c r="C319" s="153">
        <v>4</v>
      </c>
      <c r="D319" s="153">
        <v>99</v>
      </c>
      <c r="E319" s="153">
        <v>2</v>
      </c>
      <c r="F319" s="153">
        <v>3</v>
      </c>
      <c r="G319" s="153">
        <v>158</v>
      </c>
    </row>
    <row r="320" spans="1:7" x14ac:dyDescent="0.25">
      <c r="A320" s="152" t="s">
        <v>385</v>
      </c>
      <c r="B320" s="153">
        <v>15</v>
      </c>
      <c r="C320" s="153">
        <v>1</v>
      </c>
      <c r="D320" s="153">
        <v>27</v>
      </c>
      <c r="E320" s="153">
        <v>0</v>
      </c>
      <c r="F320" s="153">
        <v>1</v>
      </c>
      <c r="G320" s="153">
        <v>44</v>
      </c>
    </row>
    <row r="321" spans="1:7" x14ac:dyDescent="0.25">
      <c r="A321" s="152" t="s">
        <v>386</v>
      </c>
      <c r="B321" s="153">
        <v>575</v>
      </c>
      <c r="C321" s="153">
        <v>190</v>
      </c>
      <c r="D321" s="153">
        <v>2000</v>
      </c>
      <c r="E321" s="153">
        <v>109</v>
      </c>
      <c r="F321" s="153">
        <v>139</v>
      </c>
      <c r="G321" s="153">
        <v>3013</v>
      </c>
    </row>
    <row r="322" spans="1:7" x14ac:dyDescent="0.25">
      <c r="A322" s="152" t="s">
        <v>512</v>
      </c>
      <c r="B322" s="153">
        <v>124</v>
      </c>
      <c r="C322" s="153">
        <v>23</v>
      </c>
      <c r="D322" s="153">
        <v>299</v>
      </c>
      <c r="E322" s="153">
        <v>7</v>
      </c>
      <c r="F322" s="153">
        <v>16</v>
      </c>
      <c r="G322" s="153">
        <v>469</v>
      </c>
    </row>
    <row r="323" spans="1:7" x14ac:dyDescent="0.25">
      <c r="A323" s="152" t="s">
        <v>387</v>
      </c>
      <c r="B323" s="153">
        <v>12</v>
      </c>
      <c r="C323" s="153">
        <v>1</v>
      </c>
      <c r="D323" s="153">
        <v>25</v>
      </c>
      <c r="E323" s="153">
        <v>0</v>
      </c>
      <c r="F323" s="153">
        <v>3</v>
      </c>
      <c r="G323" s="153">
        <v>41</v>
      </c>
    </row>
    <row r="324" spans="1:7" x14ac:dyDescent="0.25">
      <c r="A324" s="202" t="s">
        <v>36</v>
      </c>
      <c r="B324" s="203">
        <v>2978</v>
      </c>
      <c r="C324" s="203">
        <v>845</v>
      </c>
      <c r="D324" s="203">
        <v>8505</v>
      </c>
      <c r="E324" s="203">
        <v>574</v>
      </c>
      <c r="F324" s="203">
        <v>655</v>
      </c>
      <c r="G324" s="203">
        <v>13557</v>
      </c>
    </row>
    <row r="325" spans="1:7" x14ac:dyDescent="0.25">
      <c r="A325" s="176"/>
      <c r="B325" s="176"/>
      <c r="C325" s="176"/>
      <c r="D325" s="176"/>
    </row>
    <row r="326" spans="1:7" x14ac:dyDescent="0.25">
      <c r="A326" s="176"/>
      <c r="B326" s="176"/>
      <c r="C326" s="176"/>
      <c r="D326" s="176"/>
    </row>
    <row r="327" spans="1:7" x14ac:dyDescent="0.25">
      <c r="A327" s="176"/>
      <c r="B327" s="176"/>
      <c r="C327" s="176"/>
      <c r="D327" s="176"/>
    </row>
    <row r="328" spans="1:7" x14ac:dyDescent="0.25">
      <c r="A328" s="205" t="s">
        <v>532</v>
      </c>
    </row>
    <row r="329" spans="1:7" x14ac:dyDescent="0.25">
      <c r="A329" s="176"/>
      <c r="B329" s="488" t="s">
        <v>503</v>
      </c>
      <c r="C329" s="488"/>
      <c r="D329" s="488"/>
      <c r="E329" s="488"/>
      <c r="F329" s="488"/>
      <c r="G329" s="107"/>
    </row>
    <row r="330" spans="1:7" x14ac:dyDescent="0.25">
      <c r="A330" s="178" t="s">
        <v>548</v>
      </c>
      <c r="B330" s="207" t="s">
        <v>142</v>
      </c>
      <c r="C330" s="207" t="s">
        <v>143</v>
      </c>
      <c r="D330" s="207" t="s">
        <v>144</v>
      </c>
      <c r="E330" s="207" t="s">
        <v>20</v>
      </c>
      <c r="F330" s="207" t="s">
        <v>145</v>
      </c>
      <c r="G330" s="179" t="s">
        <v>36</v>
      </c>
    </row>
    <row r="331" spans="1:7" x14ac:dyDescent="0.25">
      <c r="A331" s="175" t="s">
        <v>388</v>
      </c>
      <c r="B331" s="201">
        <v>17</v>
      </c>
      <c r="C331" s="201">
        <v>7</v>
      </c>
      <c r="D331" s="201">
        <v>71</v>
      </c>
      <c r="E331" s="201">
        <v>2</v>
      </c>
      <c r="F331" s="201">
        <v>4</v>
      </c>
      <c r="G331" s="201">
        <v>101</v>
      </c>
    </row>
    <row r="332" spans="1:7" x14ac:dyDescent="0.25">
      <c r="A332" s="152" t="s">
        <v>389</v>
      </c>
      <c r="B332" s="153">
        <v>0</v>
      </c>
      <c r="C332" s="153">
        <v>0</v>
      </c>
      <c r="D332" s="153">
        <v>4</v>
      </c>
      <c r="E332" s="153">
        <v>0</v>
      </c>
      <c r="F332" s="153">
        <v>0</v>
      </c>
      <c r="G332" s="153">
        <v>4</v>
      </c>
    </row>
    <row r="333" spans="1:7" x14ac:dyDescent="0.25">
      <c r="A333" s="152" t="s">
        <v>390</v>
      </c>
      <c r="B333" s="153">
        <v>3</v>
      </c>
      <c r="C333" s="153">
        <v>0</v>
      </c>
      <c r="D333" s="153">
        <v>15</v>
      </c>
      <c r="E333" s="153">
        <v>0</v>
      </c>
      <c r="F333" s="153">
        <v>1</v>
      </c>
      <c r="G333" s="153">
        <v>19</v>
      </c>
    </row>
    <row r="334" spans="1:7" x14ac:dyDescent="0.25">
      <c r="A334" s="152" t="s">
        <v>391</v>
      </c>
      <c r="B334" s="153">
        <v>1221</v>
      </c>
      <c r="C334" s="153">
        <v>273</v>
      </c>
      <c r="D334" s="153">
        <v>2526</v>
      </c>
      <c r="E334" s="153">
        <v>191</v>
      </c>
      <c r="F334" s="153">
        <v>111</v>
      </c>
      <c r="G334" s="153">
        <v>4322</v>
      </c>
    </row>
    <row r="335" spans="1:7" x14ac:dyDescent="0.25">
      <c r="A335" s="152" t="s">
        <v>392</v>
      </c>
      <c r="B335" s="153">
        <v>173</v>
      </c>
      <c r="C335" s="153">
        <v>43</v>
      </c>
      <c r="D335" s="153">
        <v>628</v>
      </c>
      <c r="E335" s="153">
        <v>44</v>
      </c>
      <c r="F335" s="153">
        <v>30</v>
      </c>
      <c r="G335" s="153">
        <v>918</v>
      </c>
    </row>
    <row r="336" spans="1:7" x14ac:dyDescent="0.25">
      <c r="A336" s="152" t="s">
        <v>393</v>
      </c>
      <c r="B336" s="153">
        <v>7</v>
      </c>
      <c r="C336" s="153">
        <v>5</v>
      </c>
      <c r="D336" s="153">
        <v>49</v>
      </c>
      <c r="E336" s="153">
        <v>3</v>
      </c>
      <c r="F336" s="153">
        <v>1</v>
      </c>
      <c r="G336" s="153">
        <v>65</v>
      </c>
    </row>
    <row r="337" spans="1:7" x14ac:dyDescent="0.25">
      <c r="A337" s="152" t="s">
        <v>394</v>
      </c>
      <c r="B337" s="153">
        <v>3349</v>
      </c>
      <c r="C337" s="153">
        <v>1081</v>
      </c>
      <c r="D337" s="153">
        <v>13090</v>
      </c>
      <c r="E337" s="153">
        <v>1682</v>
      </c>
      <c r="F337" s="153">
        <v>777</v>
      </c>
      <c r="G337" s="153">
        <v>19979</v>
      </c>
    </row>
    <row r="338" spans="1:7" x14ac:dyDescent="0.25">
      <c r="A338" s="152" t="s">
        <v>395</v>
      </c>
      <c r="B338" s="153">
        <v>3</v>
      </c>
      <c r="C338" s="153">
        <v>0</v>
      </c>
      <c r="D338" s="153">
        <v>10</v>
      </c>
      <c r="E338" s="153">
        <v>0</v>
      </c>
      <c r="F338" s="153">
        <v>2</v>
      </c>
      <c r="G338" s="153">
        <v>15</v>
      </c>
    </row>
    <row r="339" spans="1:7" x14ac:dyDescent="0.25">
      <c r="A339" s="152" t="s">
        <v>396</v>
      </c>
      <c r="B339" s="153">
        <v>5</v>
      </c>
      <c r="C339" s="153">
        <v>0</v>
      </c>
      <c r="D339" s="153">
        <v>22</v>
      </c>
      <c r="E339" s="153">
        <v>1</v>
      </c>
      <c r="F339" s="153">
        <v>0</v>
      </c>
      <c r="G339" s="153">
        <v>28</v>
      </c>
    </row>
    <row r="340" spans="1:7" x14ac:dyDescent="0.25">
      <c r="A340" s="152" t="s">
        <v>397</v>
      </c>
      <c r="B340" s="153">
        <v>2</v>
      </c>
      <c r="C340" s="153">
        <v>0</v>
      </c>
      <c r="D340" s="153">
        <v>1</v>
      </c>
      <c r="E340" s="153">
        <v>0</v>
      </c>
      <c r="F340" s="153">
        <v>0</v>
      </c>
      <c r="G340" s="153">
        <v>3</v>
      </c>
    </row>
    <row r="341" spans="1:7" x14ac:dyDescent="0.25">
      <c r="A341" s="152" t="s">
        <v>398</v>
      </c>
      <c r="B341" s="153">
        <v>1</v>
      </c>
      <c r="C341" s="153">
        <v>0</v>
      </c>
      <c r="D341" s="153">
        <v>2</v>
      </c>
      <c r="E341" s="153">
        <v>1</v>
      </c>
      <c r="F341" s="153">
        <v>0</v>
      </c>
      <c r="G341" s="153">
        <v>4</v>
      </c>
    </row>
    <row r="342" spans="1:7" x14ac:dyDescent="0.25">
      <c r="A342" s="202" t="s">
        <v>36</v>
      </c>
      <c r="B342" s="203">
        <v>4781</v>
      </c>
      <c r="C342" s="203">
        <v>1409</v>
      </c>
      <c r="D342" s="203">
        <v>16418</v>
      </c>
      <c r="E342" s="203">
        <v>1924</v>
      </c>
      <c r="F342" s="203">
        <v>926</v>
      </c>
      <c r="G342" s="203">
        <v>25458</v>
      </c>
    </row>
    <row r="343" spans="1:7" x14ac:dyDescent="0.25">
      <c r="A343" s="176"/>
      <c r="B343" s="176"/>
      <c r="C343" s="176"/>
      <c r="D343" s="176"/>
      <c r="E343" s="176"/>
      <c r="F343" s="176"/>
      <c r="G343" s="176"/>
    </row>
    <row r="344" spans="1:7" x14ac:dyDescent="0.25">
      <c r="A344" s="176"/>
      <c r="B344" s="176"/>
      <c r="C344" s="176"/>
      <c r="D344" s="176"/>
      <c r="E344" s="176"/>
      <c r="F344" s="176"/>
      <c r="G344" s="176"/>
    </row>
    <row r="345" spans="1:7" x14ac:dyDescent="0.25">
      <c r="A345" s="176"/>
      <c r="B345" s="176"/>
      <c r="C345" s="176"/>
      <c r="D345" s="176"/>
    </row>
    <row r="346" spans="1:7" x14ac:dyDescent="0.25">
      <c r="A346" s="205" t="s">
        <v>533</v>
      </c>
    </row>
    <row r="347" spans="1:7" x14ac:dyDescent="0.25">
      <c r="A347" s="176"/>
      <c r="B347" s="488" t="s">
        <v>503</v>
      </c>
      <c r="C347" s="488"/>
      <c r="D347" s="488"/>
      <c r="E347" s="488"/>
      <c r="F347" s="488"/>
      <c r="G347" s="107"/>
    </row>
    <row r="348" spans="1:7" x14ac:dyDescent="0.25">
      <c r="A348" s="178" t="s">
        <v>548</v>
      </c>
      <c r="B348" s="207" t="s">
        <v>142</v>
      </c>
      <c r="C348" s="207" t="s">
        <v>143</v>
      </c>
      <c r="D348" s="207" t="s">
        <v>144</v>
      </c>
      <c r="E348" s="207" t="s">
        <v>20</v>
      </c>
      <c r="F348" s="207" t="s">
        <v>145</v>
      </c>
      <c r="G348" s="179" t="s">
        <v>36</v>
      </c>
    </row>
    <row r="349" spans="1:7" x14ac:dyDescent="0.25">
      <c r="A349" s="175" t="s">
        <v>400</v>
      </c>
      <c r="B349" s="201">
        <v>189</v>
      </c>
      <c r="C349" s="201">
        <v>58</v>
      </c>
      <c r="D349" s="201">
        <v>613</v>
      </c>
      <c r="E349" s="201">
        <v>48</v>
      </c>
      <c r="F349" s="201">
        <v>16</v>
      </c>
      <c r="G349" s="201">
        <v>924</v>
      </c>
    </row>
    <row r="350" spans="1:7" x14ac:dyDescent="0.25">
      <c r="A350" s="152" t="s">
        <v>401</v>
      </c>
      <c r="B350" s="153">
        <v>1936</v>
      </c>
      <c r="C350" s="153">
        <v>669</v>
      </c>
      <c r="D350" s="153">
        <v>8419</v>
      </c>
      <c r="E350" s="153">
        <v>752</v>
      </c>
      <c r="F350" s="153">
        <v>454</v>
      </c>
      <c r="G350" s="153">
        <v>12230</v>
      </c>
    </row>
    <row r="351" spans="1:7" x14ac:dyDescent="0.25">
      <c r="A351" s="152" t="s">
        <v>402</v>
      </c>
      <c r="B351" s="153">
        <v>514</v>
      </c>
      <c r="C351" s="153">
        <v>151</v>
      </c>
      <c r="D351" s="153">
        <v>1959</v>
      </c>
      <c r="E351" s="153">
        <v>179</v>
      </c>
      <c r="F351" s="153">
        <v>114</v>
      </c>
      <c r="G351" s="153">
        <v>2917</v>
      </c>
    </row>
    <row r="352" spans="1:7" x14ac:dyDescent="0.25">
      <c r="A352" s="152" t="s">
        <v>403</v>
      </c>
      <c r="B352" s="153">
        <v>2435</v>
      </c>
      <c r="C352" s="153">
        <v>962</v>
      </c>
      <c r="D352" s="153">
        <v>8397</v>
      </c>
      <c r="E352" s="153">
        <v>977</v>
      </c>
      <c r="F352" s="153">
        <v>408</v>
      </c>
      <c r="G352" s="153">
        <v>13179</v>
      </c>
    </row>
    <row r="353" spans="1:7" x14ac:dyDescent="0.25">
      <c r="A353" s="152" t="s">
        <v>404</v>
      </c>
      <c r="B353" s="153">
        <v>5204</v>
      </c>
      <c r="C353" s="153">
        <v>1816</v>
      </c>
      <c r="D353" s="153">
        <v>16160</v>
      </c>
      <c r="E353" s="153">
        <v>1691</v>
      </c>
      <c r="F353" s="153">
        <v>944</v>
      </c>
      <c r="G353" s="153">
        <v>25815</v>
      </c>
    </row>
    <row r="354" spans="1:7" x14ac:dyDescent="0.25">
      <c r="A354" s="152" t="s">
        <v>405</v>
      </c>
      <c r="B354" s="153">
        <v>2392</v>
      </c>
      <c r="C354" s="153">
        <v>1254</v>
      </c>
      <c r="D354" s="153">
        <v>7857</v>
      </c>
      <c r="E354" s="153">
        <v>618</v>
      </c>
      <c r="F354" s="153">
        <v>527</v>
      </c>
      <c r="G354" s="153">
        <v>12648</v>
      </c>
    </row>
    <row r="355" spans="1:7" x14ac:dyDescent="0.25">
      <c r="A355" s="152" t="s">
        <v>406</v>
      </c>
      <c r="B355" s="153">
        <v>5416</v>
      </c>
      <c r="C355" s="153">
        <v>1321</v>
      </c>
      <c r="D355" s="153">
        <v>16813</v>
      </c>
      <c r="E355" s="153">
        <v>1627</v>
      </c>
      <c r="F355" s="153">
        <v>807</v>
      </c>
      <c r="G355" s="153">
        <v>25984</v>
      </c>
    </row>
    <row r="356" spans="1:7" x14ac:dyDescent="0.25">
      <c r="A356" s="152" t="s">
        <v>407</v>
      </c>
      <c r="B356" s="153">
        <v>1137</v>
      </c>
      <c r="C356" s="153">
        <v>275</v>
      </c>
      <c r="D356" s="153">
        <v>3328</v>
      </c>
      <c r="E356" s="153">
        <v>265</v>
      </c>
      <c r="F356" s="153">
        <v>165</v>
      </c>
      <c r="G356" s="153">
        <v>5170</v>
      </c>
    </row>
    <row r="357" spans="1:7" x14ac:dyDescent="0.25">
      <c r="A357" s="152" t="s">
        <v>408</v>
      </c>
      <c r="B357" s="153">
        <v>6070</v>
      </c>
      <c r="C357" s="153">
        <v>2006</v>
      </c>
      <c r="D357" s="153">
        <v>17795</v>
      </c>
      <c r="E357" s="153">
        <v>1801</v>
      </c>
      <c r="F357" s="153">
        <v>1062</v>
      </c>
      <c r="G357" s="153">
        <v>28734</v>
      </c>
    </row>
    <row r="358" spans="1:7" x14ac:dyDescent="0.25">
      <c r="A358" s="152" t="s">
        <v>409</v>
      </c>
      <c r="B358" s="153">
        <v>1137</v>
      </c>
      <c r="C358" s="153">
        <v>350</v>
      </c>
      <c r="D358" s="153">
        <v>3235</v>
      </c>
      <c r="E358" s="153">
        <v>267</v>
      </c>
      <c r="F358" s="153">
        <v>185</v>
      </c>
      <c r="G358" s="153">
        <v>5174</v>
      </c>
    </row>
    <row r="359" spans="1:7" x14ac:dyDescent="0.25">
      <c r="A359" s="152" t="s">
        <v>410</v>
      </c>
      <c r="B359" s="153">
        <v>4813</v>
      </c>
      <c r="C359" s="153">
        <v>1330</v>
      </c>
      <c r="D359" s="153">
        <v>15709</v>
      </c>
      <c r="E359" s="153">
        <v>1499</v>
      </c>
      <c r="F359" s="153">
        <v>760</v>
      </c>
      <c r="G359" s="153">
        <v>24111</v>
      </c>
    </row>
    <row r="360" spans="1:7" x14ac:dyDescent="0.25">
      <c r="A360" s="152" t="s">
        <v>411</v>
      </c>
      <c r="B360" s="153">
        <v>2557</v>
      </c>
      <c r="C360" s="153">
        <v>911</v>
      </c>
      <c r="D360" s="153">
        <v>7608</v>
      </c>
      <c r="E360" s="153">
        <v>794</v>
      </c>
      <c r="F360" s="153">
        <v>463</v>
      </c>
      <c r="G360" s="153">
        <v>12333</v>
      </c>
    </row>
    <row r="361" spans="1:7" x14ac:dyDescent="0.25">
      <c r="A361" s="152" t="s">
        <v>412</v>
      </c>
      <c r="B361" s="153">
        <v>2707</v>
      </c>
      <c r="C361" s="153">
        <v>599</v>
      </c>
      <c r="D361" s="153">
        <v>9791</v>
      </c>
      <c r="E361" s="153">
        <v>961</v>
      </c>
      <c r="F361" s="153">
        <v>400</v>
      </c>
      <c r="G361" s="153">
        <v>14458</v>
      </c>
    </row>
    <row r="362" spans="1:7" x14ac:dyDescent="0.25">
      <c r="A362" s="152" t="s">
        <v>413</v>
      </c>
      <c r="B362" s="153">
        <v>832</v>
      </c>
      <c r="C362" s="153">
        <v>285</v>
      </c>
      <c r="D362" s="153">
        <v>3591</v>
      </c>
      <c r="E362" s="153">
        <v>335</v>
      </c>
      <c r="F362" s="153">
        <v>224</v>
      </c>
      <c r="G362" s="153">
        <v>5267</v>
      </c>
    </row>
    <row r="363" spans="1:7" x14ac:dyDescent="0.25">
      <c r="A363" s="152" t="s">
        <v>414</v>
      </c>
      <c r="B363" s="153">
        <v>3490</v>
      </c>
      <c r="C363" s="153">
        <v>736</v>
      </c>
      <c r="D363" s="153">
        <v>10404</v>
      </c>
      <c r="E363" s="153">
        <v>1158</v>
      </c>
      <c r="F363" s="153">
        <v>429</v>
      </c>
      <c r="G363" s="153">
        <v>16217</v>
      </c>
    </row>
    <row r="364" spans="1:7" x14ac:dyDescent="0.25">
      <c r="A364" s="152" t="s">
        <v>415</v>
      </c>
      <c r="B364" s="153">
        <v>11334</v>
      </c>
      <c r="C364" s="153">
        <v>2443</v>
      </c>
      <c r="D364" s="153">
        <v>40492</v>
      </c>
      <c r="E364" s="153">
        <v>4673</v>
      </c>
      <c r="F364" s="153">
        <v>1483</v>
      </c>
      <c r="G364" s="153">
        <v>60425</v>
      </c>
    </row>
    <row r="365" spans="1:7" x14ac:dyDescent="0.25">
      <c r="A365" s="152" t="s">
        <v>416</v>
      </c>
      <c r="B365" s="153">
        <v>4629</v>
      </c>
      <c r="C365" s="153">
        <v>1345</v>
      </c>
      <c r="D365" s="153">
        <v>14007</v>
      </c>
      <c r="E365" s="153">
        <v>1457</v>
      </c>
      <c r="F365" s="153">
        <v>716</v>
      </c>
      <c r="G365" s="153">
        <v>22154</v>
      </c>
    </row>
    <row r="366" spans="1:7" x14ac:dyDescent="0.25">
      <c r="A366" s="152" t="s">
        <v>417</v>
      </c>
      <c r="B366" s="153">
        <v>5967</v>
      </c>
      <c r="C366" s="153">
        <v>2477</v>
      </c>
      <c r="D366" s="153">
        <v>17114</v>
      </c>
      <c r="E366" s="153">
        <v>1677</v>
      </c>
      <c r="F366" s="153">
        <v>1235</v>
      </c>
      <c r="G366" s="153">
        <v>28470</v>
      </c>
    </row>
    <row r="367" spans="1:7" x14ac:dyDescent="0.25">
      <c r="A367" s="152" t="s">
        <v>418</v>
      </c>
      <c r="B367" s="153">
        <v>1784</v>
      </c>
      <c r="C367" s="153">
        <v>376</v>
      </c>
      <c r="D367" s="153">
        <v>7428</v>
      </c>
      <c r="E367" s="153">
        <v>769</v>
      </c>
      <c r="F367" s="153">
        <v>224</v>
      </c>
      <c r="G367" s="153">
        <v>10581</v>
      </c>
    </row>
    <row r="368" spans="1:7" x14ac:dyDescent="0.25">
      <c r="A368" s="152" t="s">
        <v>419</v>
      </c>
      <c r="B368" s="153">
        <v>1802</v>
      </c>
      <c r="C368" s="153">
        <v>853</v>
      </c>
      <c r="D368" s="153">
        <v>5223</v>
      </c>
      <c r="E368" s="153">
        <v>384</v>
      </c>
      <c r="F368" s="153">
        <v>339</v>
      </c>
      <c r="G368" s="153">
        <v>8601</v>
      </c>
    </row>
    <row r="369" spans="1:7" x14ac:dyDescent="0.25">
      <c r="A369" s="152" t="s">
        <v>420</v>
      </c>
      <c r="B369" s="153">
        <v>4188</v>
      </c>
      <c r="C369" s="153">
        <v>819</v>
      </c>
      <c r="D369" s="153">
        <v>18575</v>
      </c>
      <c r="E369" s="153">
        <v>1898</v>
      </c>
      <c r="F369" s="153">
        <v>454</v>
      </c>
      <c r="G369" s="153">
        <v>25934</v>
      </c>
    </row>
    <row r="370" spans="1:7" x14ac:dyDescent="0.25">
      <c r="A370" s="152" t="s">
        <v>421</v>
      </c>
      <c r="B370" s="153">
        <v>1073</v>
      </c>
      <c r="C370" s="153">
        <v>296</v>
      </c>
      <c r="D370" s="153">
        <v>4053</v>
      </c>
      <c r="E370" s="153">
        <v>308</v>
      </c>
      <c r="F370" s="153">
        <v>168</v>
      </c>
      <c r="G370" s="153">
        <v>5898</v>
      </c>
    </row>
    <row r="371" spans="1:7" x14ac:dyDescent="0.25">
      <c r="A371" s="152" t="s">
        <v>422</v>
      </c>
      <c r="B371" s="153">
        <v>4167</v>
      </c>
      <c r="C371" s="153">
        <v>1456</v>
      </c>
      <c r="D371" s="153">
        <v>11736</v>
      </c>
      <c r="E371" s="153">
        <v>1148</v>
      </c>
      <c r="F371" s="153">
        <v>725</v>
      </c>
      <c r="G371" s="153">
        <v>19232</v>
      </c>
    </row>
    <row r="372" spans="1:7" x14ac:dyDescent="0.25">
      <c r="A372" s="152" t="s">
        <v>423</v>
      </c>
      <c r="B372" s="153">
        <v>3916</v>
      </c>
      <c r="C372" s="153">
        <v>1050</v>
      </c>
      <c r="D372" s="153">
        <v>12862</v>
      </c>
      <c r="E372" s="153">
        <v>1216</v>
      </c>
      <c r="F372" s="153">
        <v>590</v>
      </c>
      <c r="G372" s="153">
        <v>19634</v>
      </c>
    </row>
    <row r="373" spans="1:7" x14ac:dyDescent="0.25">
      <c r="A373" s="152" t="s">
        <v>424</v>
      </c>
      <c r="B373" s="153">
        <v>3709</v>
      </c>
      <c r="C373" s="153">
        <v>768</v>
      </c>
      <c r="D373" s="153">
        <v>14322</v>
      </c>
      <c r="E373" s="153">
        <v>1582</v>
      </c>
      <c r="F373" s="153">
        <v>518</v>
      </c>
      <c r="G373" s="153">
        <v>20899</v>
      </c>
    </row>
    <row r="374" spans="1:7" x14ac:dyDescent="0.25">
      <c r="A374" s="152" t="s">
        <v>425</v>
      </c>
      <c r="B374" s="153">
        <v>12649</v>
      </c>
      <c r="C374" s="153">
        <v>3551</v>
      </c>
      <c r="D374" s="153">
        <v>48462</v>
      </c>
      <c r="E374" s="153">
        <v>5887</v>
      </c>
      <c r="F374" s="153">
        <v>2068</v>
      </c>
      <c r="G374" s="153">
        <v>72617</v>
      </c>
    </row>
    <row r="375" spans="1:7" x14ac:dyDescent="0.25">
      <c r="A375" s="152" t="s">
        <v>426</v>
      </c>
      <c r="B375" s="153">
        <v>435</v>
      </c>
      <c r="C375" s="153">
        <v>137</v>
      </c>
      <c r="D375" s="153">
        <v>1357</v>
      </c>
      <c r="E375" s="153">
        <v>84</v>
      </c>
      <c r="F375" s="153">
        <v>82</v>
      </c>
      <c r="G375" s="153">
        <v>2095</v>
      </c>
    </row>
    <row r="376" spans="1:7" x14ac:dyDescent="0.25">
      <c r="A376" s="152" t="s">
        <v>427</v>
      </c>
      <c r="B376" s="153">
        <v>4343</v>
      </c>
      <c r="C376" s="153">
        <v>1214</v>
      </c>
      <c r="D376" s="153">
        <v>13649</v>
      </c>
      <c r="E376" s="153">
        <v>1114</v>
      </c>
      <c r="F376" s="153">
        <v>773</v>
      </c>
      <c r="G376" s="153">
        <v>21093</v>
      </c>
    </row>
    <row r="377" spans="1:7" x14ac:dyDescent="0.25">
      <c r="A377" s="152" t="s">
        <v>428</v>
      </c>
      <c r="B377" s="153">
        <v>1456</v>
      </c>
      <c r="C377" s="153">
        <v>472</v>
      </c>
      <c r="D377" s="153">
        <v>5401</v>
      </c>
      <c r="E377" s="153">
        <v>554</v>
      </c>
      <c r="F377" s="153">
        <v>288</v>
      </c>
      <c r="G377" s="153">
        <v>8171</v>
      </c>
    </row>
    <row r="378" spans="1:7" x14ac:dyDescent="0.25">
      <c r="A378" s="152" t="s">
        <v>429</v>
      </c>
      <c r="B378" s="153">
        <v>1723</v>
      </c>
      <c r="C378" s="153">
        <v>601</v>
      </c>
      <c r="D378" s="153">
        <v>6434</v>
      </c>
      <c r="E378" s="153">
        <v>451</v>
      </c>
      <c r="F378" s="153">
        <v>302</v>
      </c>
      <c r="G378" s="153">
        <v>9511</v>
      </c>
    </row>
    <row r="379" spans="1:7" ht="30" x14ac:dyDescent="0.25">
      <c r="A379" s="152" t="s">
        <v>430</v>
      </c>
      <c r="B379" s="153">
        <v>4510</v>
      </c>
      <c r="C379" s="153">
        <v>1296</v>
      </c>
      <c r="D379" s="153">
        <v>14568</v>
      </c>
      <c r="E379" s="153">
        <v>1326</v>
      </c>
      <c r="F379" s="153">
        <v>681</v>
      </c>
      <c r="G379" s="153">
        <v>22381</v>
      </c>
    </row>
    <row r="380" spans="1:7" x14ac:dyDescent="0.25">
      <c r="A380" s="152" t="s">
        <v>513</v>
      </c>
      <c r="B380" s="153">
        <v>2242</v>
      </c>
      <c r="C380" s="153">
        <v>669</v>
      </c>
      <c r="D380" s="153">
        <v>8872</v>
      </c>
      <c r="E380" s="153">
        <v>928</v>
      </c>
      <c r="F380" s="153">
        <v>451</v>
      </c>
      <c r="G380" s="153">
        <v>13162</v>
      </c>
    </row>
    <row r="381" spans="1:7" x14ac:dyDescent="0.25">
      <c r="A381" s="152" t="s">
        <v>514</v>
      </c>
      <c r="B381" s="153">
        <v>6285</v>
      </c>
      <c r="C381" s="153">
        <v>2003</v>
      </c>
      <c r="D381" s="153">
        <v>22365</v>
      </c>
      <c r="E381" s="153">
        <v>2312</v>
      </c>
      <c r="F381" s="153">
        <v>1142</v>
      </c>
      <c r="G381" s="153">
        <v>34107</v>
      </c>
    </row>
    <row r="382" spans="1:7" x14ac:dyDescent="0.25">
      <c r="A382" s="152" t="s">
        <v>431</v>
      </c>
      <c r="B382" s="153">
        <v>647</v>
      </c>
      <c r="C382" s="153">
        <v>180</v>
      </c>
      <c r="D382" s="153">
        <v>2065</v>
      </c>
      <c r="E382" s="153">
        <v>198</v>
      </c>
      <c r="F382" s="153">
        <v>85</v>
      </c>
      <c r="G382" s="153">
        <v>3175</v>
      </c>
    </row>
    <row r="383" spans="1:7" x14ac:dyDescent="0.25">
      <c r="A383" s="152" t="s">
        <v>432</v>
      </c>
      <c r="B383" s="153">
        <v>1824</v>
      </c>
      <c r="C383" s="153">
        <v>289</v>
      </c>
      <c r="D383" s="153">
        <v>9289</v>
      </c>
      <c r="E383" s="153">
        <v>994</v>
      </c>
      <c r="F383" s="153">
        <v>206</v>
      </c>
      <c r="G383" s="153">
        <v>12602</v>
      </c>
    </row>
    <row r="384" spans="1:7" x14ac:dyDescent="0.25">
      <c r="A384" s="152" t="s">
        <v>433</v>
      </c>
      <c r="B384" s="153">
        <v>5775</v>
      </c>
      <c r="C384" s="153">
        <v>2253</v>
      </c>
      <c r="D384" s="153">
        <v>20130</v>
      </c>
      <c r="E384" s="153">
        <v>2091</v>
      </c>
      <c r="F384" s="153">
        <v>1203</v>
      </c>
      <c r="G384" s="153">
        <v>31452</v>
      </c>
    </row>
    <row r="385" spans="1:7" x14ac:dyDescent="0.25">
      <c r="A385" s="152" t="s">
        <v>434</v>
      </c>
      <c r="B385" s="153">
        <v>12897</v>
      </c>
      <c r="C385" s="153">
        <v>4353</v>
      </c>
      <c r="D385" s="153">
        <v>46205</v>
      </c>
      <c r="E385" s="153">
        <v>5224</v>
      </c>
      <c r="F385" s="153">
        <v>2389</v>
      </c>
      <c r="G385" s="153">
        <v>71068</v>
      </c>
    </row>
    <row r="386" spans="1:7" x14ac:dyDescent="0.25">
      <c r="A386" s="152" t="s">
        <v>435</v>
      </c>
      <c r="B386" s="153">
        <v>3179</v>
      </c>
      <c r="C386" s="153">
        <v>1255</v>
      </c>
      <c r="D386" s="153">
        <v>11641</v>
      </c>
      <c r="E386" s="153">
        <v>1315</v>
      </c>
      <c r="F386" s="153">
        <v>753</v>
      </c>
      <c r="G386" s="153">
        <v>18143</v>
      </c>
    </row>
    <row r="387" spans="1:7" x14ac:dyDescent="0.25">
      <c r="A387" s="152" t="s">
        <v>436</v>
      </c>
      <c r="B387" s="153">
        <v>4252</v>
      </c>
      <c r="C387" s="153">
        <v>1005</v>
      </c>
      <c r="D387" s="153">
        <v>13922</v>
      </c>
      <c r="E387" s="153">
        <v>1312</v>
      </c>
      <c r="F387" s="153">
        <v>539</v>
      </c>
      <c r="G387" s="153">
        <v>21030</v>
      </c>
    </row>
    <row r="388" spans="1:7" x14ac:dyDescent="0.25">
      <c r="A388" s="152" t="s">
        <v>437</v>
      </c>
      <c r="B388" s="153">
        <v>5696</v>
      </c>
      <c r="C388" s="153">
        <v>1530</v>
      </c>
      <c r="D388" s="153">
        <v>18116</v>
      </c>
      <c r="E388" s="153">
        <v>1848</v>
      </c>
      <c r="F388" s="153">
        <v>894</v>
      </c>
      <c r="G388" s="153">
        <v>28084</v>
      </c>
    </row>
    <row r="389" spans="1:7" x14ac:dyDescent="0.25">
      <c r="A389" s="152" t="s">
        <v>438</v>
      </c>
      <c r="B389" s="153">
        <v>4561</v>
      </c>
      <c r="C389" s="153">
        <v>1626</v>
      </c>
      <c r="D389" s="153">
        <v>14932</v>
      </c>
      <c r="E389" s="153">
        <v>1534</v>
      </c>
      <c r="F389" s="153">
        <v>864</v>
      </c>
      <c r="G389" s="153">
        <v>23517</v>
      </c>
    </row>
    <row r="390" spans="1:7" x14ac:dyDescent="0.25">
      <c r="A390" s="152" t="s">
        <v>439</v>
      </c>
      <c r="B390" s="153">
        <v>7975</v>
      </c>
      <c r="C390" s="153">
        <v>2903</v>
      </c>
      <c r="D390" s="153">
        <v>25796</v>
      </c>
      <c r="E390" s="153">
        <v>2458</v>
      </c>
      <c r="F390" s="153">
        <v>1749</v>
      </c>
      <c r="G390" s="153">
        <v>40881</v>
      </c>
    </row>
    <row r="391" spans="1:7" x14ac:dyDescent="0.25">
      <c r="A391" s="152" t="s">
        <v>440</v>
      </c>
      <c r="B391" s="153">
        <v>3850</v>
      </c>
      <c r="C391" s="153">
        <v>1002</v>
      </c>
      <c r="D391" s="153">
        <v>13065</v>
      </c>
      <c r="E391" s="153">
        <v>1313</v>
      </c>
      <c r="F391" s="153">
        <v>579</v>
      </c>
      <c r="G391" s="153">
        <v>19809</v>
      </c>
    </row>
    <row r="392" spans="1:7" ht="30" x14ac:dyDescent="0.25">
      <c r="A392" s="152" t="s">
        <v>441</v>
      </c>
      <c r="B392" s="153">
        <v>538</v>
      </c>
      <c r="C392" s="153">
        <v>153</v>
      </c>
      <c r="D392" s="153">
        <v>1484</v>
      </c>
      <c r="E392" s="153">
        <v>156</v>
      </c>
      <c r="F392" s="153">
        <v>52</v>
      </c>
      <c r="G392" s="153">
        <v>2383</v>
      </c>
    </row>
    <row r="393" spans="1:7" x14ac:dyDescent="0.25">
      <c r="A393" s="152" t="s">
        <v>442</v>
      </c>
      <c r="B393" s="153">
        <v>3394</v>
      </c>
      <c r="C393" s="153">
        <v>645</v>
      </c>
      <c r="D393" s="153">
        <v>11065</v>
      </c>
      <c r="E393" s="153">
        <v>1183</v>
      </c>
      <c r="F393" s="153">
        <v>396</v>
      </c>
      <c r="G393" s="153">
        <v>16683</v>
      </c>
    </row>
    <row r="394" spans="1:7" x14ac:dyDescent="0.25">
      <c r="A394" s="152" t="s">
        <v>443</v>
      </c>
      <c r="B394" s="153">
        <v>503</v>
      </c>
      <c r="C394" s="153">
        <v>121</v>
      </c>
      <c r="D394" s="153">
        <v>916</v>
      </c>
      <c r="E394" s="153">
        <v>56</v>
      </c>
      <c r="F394" s="153">
        <v>57</v>
      </c>
      <c r="G394" s="153">
        <v>1653</v>
      </c>
    </row>
    <row r="395" spans="1:7" x14ac:dyDescent="0.25">
      <c r="A395" s="152" t="s">
        <v>444</v>
      </c>
      <c r="B395" s="153">
        <v>3989</v>
      </c>
      <c r="C395" s="153">
        <v>1109</v>
      </c>
      <c r="D395" s="153">
        <v>10699</v>
      </c>
      <c r="E395" s="153">
        <v>1088</v>
      </c>
      <c r="F395" s="153">
        <v>547</v>
      </c>
      <c r="G395" s="153">
        <v>17432</v>
      </c>
    </row>
    <row r="396" spans="1:7" x14ac:dyDescent="0.25">
      <c r="A396" s="152" t="s">
        <v>445</v>
      </c>
      <c r="B396" s="153">
        <v>16960</v>
      </c>
      <c r="C396" s="153">
        <v>1376</v>
      </c>
      <c r="D396" s="153">
        <v>31494</v>
      </c>
      <c r="E396" s="153">
        <v>2907</v>
      </c>
      <c r="F396" s="153">
        <v>1191</v>
      </c>
      <c r="G396" s="153">
        <v>53928</v>
      </c>
    </row>
    <row r="397" spans="1:7" x14ac:dyDescent="0.25">
      <c r="A397" s="152" t="s">
        <v>446</v>
      </c>
      <c r="B397" s="153">
        <v>1807</v>
      </c>
      <c r="C397" s="153">
        <v>568</v>
      </c>
      <c r="D397" s="153">
        <v>6951</v>
      </c>
      <c r="E397" s="153">
        <v>708</v>
      </c>
      <c r="F397" s="153">
        <v>376</v>
      </c>
      <c r="G397" s="153">
        <v>10410</v>
      </c>
    </row>
    <row r="398" spans="1:7" x14ac:dyDescent="0.25">
      <c r="A398" s="152" t="s">
        <v>447</v>
      </c>
      <c r="B398" s="153">
        <v>534</v>
      </c>
      <c r="C398" s="153">
        <v>159</v>
      </c>
      <c r="D398" s="153">
        <v>1651</v>
      </c>
      <c r="E398" s="153">
        <v>144</v>
      </c>
      <c r="F398" s="153">
        <v>93</v>
      </c>
      <c r="G398" s="153">
        <v>2581</v>
      </c>
    </row>
    <row r="399" spans="1:7" x14ac:dyDescent="0.25">
      <c r="A399" s="152" t="s">
        <v>448</v>
      </c>
      <c r="B399" s="153">
        <v>908</v>
      </c>
      <c r="C399" s="153">
        <v>116</v>
      </c>
      <c r="D399" s="153">
        <v>3571</v>
      </c>
      <c r="E399" s="153">
        <v>301</v>
      </c>
      <c r="F399" s="153">
        <v>81</v>
      </c>
      <c r="G399" s="153">
        <v>4977</v>
      </c>
    </row>
    <row r="400" spans="1:7" x14ac:dyDescent="0.25">
      <c r="A400" s="152" t="s">
        <v>515</v>
      </c>
      <c r="B400" s="153">
        <v>4489</v>
      </c>
      <c r="C400" s="153">
        <v>754</v>
      </c>
      <c r="D400" s="153">
        <v>20266</v>
      </c>
      <c r="E400" s="153">
        <v>2300</v>
      </c>
      <c r="F400" s="153">
        <v>570</v>
      </c>
      <c r="G400" s="153">
        <v>28379</v>
      </c>
    </row>
    <row r="401" spans="1:7" x14ac:dyDescent="0.25">
      <c r="A401" s="202" t="s">
        <v>36</v>
      </c>
      <c r="B401" s="203">
        <v>200819</v>
      </c>
      <c r="C401" s="203">
        <v>55946</v>
      </c>
      <c r="D401" s="203">
        <v>661857</v>
      </c>
      <c r="E401" s="203">
        <v>67870</v>
      </c>
      <c r="F401" s="203">
        <v>31821</v>
      </c>
      <c r="G401" s="203">
        <v>1018313</v>
      </c>
    </row>
    <row r="402" spans="1:7" x14ac:dyDescent="0.25">
      <c r="A402" s="176"/>
      <c r="B402" s="176"/>
      <c r="C402" s="176"/>
      <c r="D402" s="176"/>
      <c r="E402" s="176"/>
      <c r="F402" s="176"/>
      <c r="G402" s="176"/>
    </row>
    <row r="403" spans="1:7" x14ac:dyDescent="0.25">
      <c r="A403" s="176"/>
      <c r="B403" s="176"/>
      <c r="C403" s="176"/>
      <c r="D403" s="176"/>
      <c r="E403" s="176"/>
      <c r="F403" s="176"/>
      <c r="G403" s="176"/>
    </row>
    <row r="404" spans="1:7" x14ac:dyDescent="0.25">
      <c r="A404" s="176"/>
      <c r="B404" s="176"/>
      <c r="C404" s="176"/>
      <c r="D404" s="176"/>
    </row>
    <row r="405" spans="1:7" x14ac:dyDescent="0.25">
      <c r="A405" s="205" t="s">
        <v>534</v>
      </c>
    </row>
    <row r="406" spans="1:7" x14ac:dyDescent="0.25">
      <c r="A406" s="176"/>
      <c r="B406" s="488" t="s">
        <v>503</v>
      </c>
      <c r="C406" s="488"/>
      <c r="D406" s="488"/>
      <c r="E406" s="488"/>
      <c r="F406" s="488"/>
      <c r="G406" s="107"/>
    </row>
    <row r="407" spans="1:7" x14ac:dyDescent="0.25">
      <c r="A407" s="178" t="s">
        <v>548</v>
      </c>
      <c r="B407" s="207" t="s">
        <v>142</v>
      </c>
      <c r="C407" s="207" t="s">
        <v>143</v>
      </c>
      <c r="D407" s="207" t="s">
        <v>144</v>
      </c>
      <c r="E407" s="207" t="s">
        <v>20</v>
      </c>
      <c r="F407" s="207" t="s">
        <v>145</v>
      </c>
      <c r="G407" s="179" t="s">
        <v>36</v>
      </c>
    </row>
    <row r="408" spans="1:7" x14ac:dyDescent="0.25">
      <c r="A408" s="175" t="s">
        <v>450</v>
      </c>
      <c r="B408" s="201">
        <v>226</v>
      </c>
      <c r="C408" s="201">
        <v>107</v>
      </c>
      <c r="D408" s="201">
        <v>602</v>
      </c>
      <c r="E408" s="201">
        <v>52</v>
      </c>
      <c r="F408" s="201">
        <v>53</v>
      </c>
      <c r="G408" s="201">
        <v>1040</v>
      </c>
    </row>
    <row r="409" spans="1:7" x14ac:dyDescent="0.25">
      <c r="A409" s="152" t="s">
        <v>451</v>
      </c>
      <c r="B409" s="153">
        <v>724</v>
      </c>
      <c r="C409" s="153">
        <v>326</v>
      </c>
      <c r="D409" s="153">
        <v>1324</v>
      </c>
      <c r="E409" s="153">
        <v>100</v>
      </c>
      <c r="F409" s="153">
        <v>126</v>
      </c>
      <c r="G409" s="153">
        <v>2600</v>
      </c>
    </row>
    <row r="410" spans="1:7" x14ac:dyDescent="0.25">
      <c r="A410" s="152" t="s">
        <v>452</v>
      </c>
      <c r="B410" s="153">
        <v>1687</v>
      </c>
      <c r="C410" s="153">
        <v>741</v>
      </c>
      <c r="D410" s="153">
        <v>4915</v>
      </c>
      <c r="E410" s="153">
        <v>486</v>
      </c>
      <c r="F410" s="153">
        <v>523</v>
      </c>
      <c r="G410" s="153">
        <v>8352</v>
      </c>
    </row>
    <row r="411" spans="1:7" x14ac:dyDescent="0.25">
      <c r="A411" s="152" t="s">
        <v>453</v>
      </c>
      <c r="B411" s="153">
        <v>579</v>
      </c>
      <c r="C411" s="153">
        <v>267</v>
      </c>
      <c r="D411" s="153">
        <v>973</v>
      </c>
      <c r="E411" s="153">
        <v>60</v>
      </c>
      <c r="F411" s="153">
        <v>114</v>
      </c>
      <c r="G411" s="153">
        <v>1993</v>
      </c>
    </row>
    <row r="412" spans="1:7" x14ac:dyDescent="0.25">
      <c r="A412" s="152" t="s">
        <v>454</v>
      </c>
      <c r="B412" s="153">
        <v>842</v>
      </c>
      <c r="C412" s="153">
        <v>362</v>
      </c>
      <c r="D412" s="153">
        <v>1910</v>
      </c>
      <c r="E412" s="153">
        <v>134</v>
      </c>
      <c r="F412" s="153">
        <v>206</v>
      </c>
      <c r="G412" s="153">
        <v>3454</v>
      </c>
    </row>
    <row r="413" spans="1:7" x14ac:dyDescent="0.25">
      <c r="A413" s="152" t="s">
        <v>455</v>
      </c>
      <c r="B413" s="153">
        <v>891</v>
      </c>
      <c r="C413" s="153">
        <v>422</v>
      </c>
      <c r="D413" s="153">
        <v>2228</v>
      </c>
      <c r="E413" s="153">
        <v>180</v>
      </c>
      <c r="F413" s="153">
        <v>191</v>
      </c>
      <c r="G413" s="153">
        <v>3912</v>
      </c>
    </row>
    <row r="414" spans="1:7" x14ac:dyDescent="0.25">
      <c r="A414" s="152" t="s">
        <v>456</v>
      </c>
      <c r="B414" s="153">
        <v>284</v>
      </c>
      <c r="C414" s="153">
        <v>151</v>
      </c>
      <c r="D414" s="153">
        <v>888</v>
      </c>
      <c r="E414" s="153">
        <v>75</v>
      </c>
      <c r="F414" s="153">
        <v>88</v>
      </c>
      <c r="G414" s="153">
        <v>1486</v>
      </c>
    </row>
    <row r="415" spans="1:7" x14ac:dyDescent="0.25">
      <c r="A415" s="152" t="s">
        <v>457</v>
      </c>
      <c r="B415" s="153">
        <v>1037</v>
      </c>
      <c r="C415" s="153">
        <v>554</v>
      </c>
      <c r="D415" s="153">
        <v>2425</v>
      </c>
      <c r="E415" s="153">
        <v>185</v>
      </c>
      <c r="F415" s="153">
        <v>267</v>
      </c>
      <c r="G415" s="153">
        <v>4468</v>
      </c>
    </row>
    <row r="416" spans="1:7" x14ac:dyDescent="0.25">
      <c r="A416" s="152" t="s">
        <v>458</v>
      </c>
      <c r="B416" s="153">
        <v>1809</v>
      </c>
      <c r="C416" s="153">
        <v>813</v>
      </c>
      <c r="D416" s="153">
        <v>3090</v>
      </c>
      <c r="E416" s="153">
        <v>231</v>
      </c>
      <c r="F416" s="153">
        <v>351</v>
      </c>
      <c r="G416" s="153">
        <v>6294</v>
      </c>
    </row>
    <row r="417" spans="1:7" x14ac:dyDescent="0.25">
      <c r="A417" s="152" t="s">
        <v>459</v>
      </c>
      <c r="B417" s="153">
        <v>1790</v>
      </c>
      <c r="C417" s="153">
        <v>739</v>
      </c>
      <c r="D417" s="153">
        <v>3776</v>
      </c>
      <c r="E417" s="153">
        <v>271</v>
      </c>
      <c r="F417" s="153">
        <v>422</v>
      </c>
      <c r="G417" s="153">
        <v>6998</v>
      </c>
    </row>
    <row r="418" spans="1:7" ht="30" x14ac:dyDescent="0.25">
      <c r="A418" s="152" t="s">
        <v>460</v>
      </c>
      <c r="B418" s="153">
        <v>896</v>
      </c>
      <c r="C418" s="153">
        <v>452</v>
      </c>
      <c r="D418" s="153">
        <v>2025</v>
      </c>
      <c r="E418" s="153">
        <v>166</v>
      </c>
      <c r="F418" s="153">
        <v>265</v>
      </c>
      <c r="G418" s="153">
        <v>3804</v>
      </c>
    </row>
    <row r="419" spans="1:7" x14ac:dyDescent="0.25">
      <c r="A419" s="152" t="s">
        <v>461</v>
      </c>
      <c r="B419" s="153">
        <v>4880</v>
      </c>
      <c r="C419" s="153">
        <v>2381</v>
      </c>
      <c r="D419" s="153">
        <v>16808</v>
      </c>
      <c r="E419" s="153">
        <v>2172</v>
      </c>
      <c r="F419" s="153">
        <v>1537</v>
      </c>
      <c r="G419" s="153">
        <v>27778</v>
      </c>
    </row>
    <row r="420" spans="1:7" x14ac:dyDescent="0.25">
      <c r="A420" s="202" t="s">
        <v>36</v>
      </c>
      <c r="B420" s="203">
        <v>15645</v>
      </c>
      <c r="C420" s="203">
        <v>7315</v>
      </c>
      <c r="D420" s="203">
        <v>40964</v>
      </c>
      <c r="E420" s="203">
        <v>4112</v>
      </c>
      <c r="F420" s="203">
        <v>4143</v>
      </c>
      <c r="G420" s="203">
        <v>72179</v>
      </c>
    </row>
    <row r="421" spans="1:7" x14ac:dyDescent="0.25">
      <c r="A421" s="176"/>
      <c r="B421" s="176"/>
      <c r="C421" s="176"/>
      <c r="D421" s="176"/>
      <c r="E421" s="176"/>
      <c r="F421" s="176"/>
      <c r="G421" s="176"/>
    </row>
    <row r="422" spans="1:7" x14ac:dyDescent="0.25">
      <c r="A422" s="176"/>
      <c r="B422" s="176"/>
      <c r="C422" s="176"/>
      <c r="D422" s="176"/>
      <c r="E422" s="176"/>
      <c r="F422" s="176"/>
      <c r="G422" s="176"/>
    </row>
    <row r="423" spans="1:7" x14ac:dyDescent="0.25">
      <c r="A423" s="176"/>
      <c r="B423" s="176"/>
      <c r="C423" s="176"/>
      <c r="D423" s="176"/>
    </row>
    <row r="424" spans="1:7" x14ac:dyDescent="0.25">
      <c r="A424" s="205" t="s">
        <v>535</v>
      </c>
    </row>
    <row r="425" spans="1:7" x14ac:dyDescent="0.25">
      <c r="A425" s="176"/>
      <c r="B425" s="488" t="s">
        <v>503</v>
      </c>
      <c r="C425" s="488"/>
      <c r="D425" s="488"/>
      <c r="E425" s="488"/>
      <c r="F425" s="488"/>
      <c r="G425" s="107"/>
    </row>
    <row r="426" spans="1:7" x14ac:dyDescent="0.25">
      <c r="A426" s="178" t="s">
        <v>548</v>
      </c>
      <c r="B426" s="207" t="s">
        <v>142</v>
      </c>
      <c r="C426" s="207" t="s">
        <v>143</v>
      </c>
      <c r="D426" s="207" t="s">
        <v>144</v>
      </c>
      <c r="E426" s="207" t="s">
        <v>20</v>
      </c>
      <c r="F426" s="207" t="s">
        <v>145</v>
      </c>
      <c r="G426" s="179" t="s">
        <v>36</v>
      </c>
    </row>
    <row r="427" spans="1:7" x14ac:dyDescent="0.25">
      <c r="A427" s="175" t="s">
        <v>462</v>
      </c>
      <c r="B427" s="201">
        <v>6450</v>
      </c>
      <c r="C427" s="201">
        <v>2252</v>
      </c>
      <c r="D427" s="201">
        <v>21942</v>
      </c>
      <c r="E427" s="201">
        <v>2414</v>
      </c>
      <c r="F427" s="201">
        <v>1227</v>
      </c>
      <c r="G427" s="201">
        <v>34285</v>
      </c>
    </row>
    <row r="428" spans="1:7" x14ac:dyDescent="0.25">
      <c r="A428" s="152" t="s">
        <v>463</v>
      </c>
      <c r="B428" s="153">
        <v>26</v>
      </c>
      <c r="C428" s="153">
        <v>4</v>
      </c>
      <c r="D428" s="153">
        <v>40</v>
      </c>
      <c r="E428" s="153">
        <v>4</v>
      </c>
      <c r="F428" s="153">
        <v>1</v>
      </c>
      <c r="G428" s="153">
        <v>75</v>
      </c>
    </row>
    <row r="429" spans="1:7" x14ac:dyDescent="0.25">
      <c r="A429" s="152" t="s">
        <v>464</v>
      </c>
      <c r="B429" s="153">
        <v>36</v>
      </c>
      <c r="C429" s="153">
        <v>8</v>
      </c>
      <c r="D429" s="153">
        <v>18</v>
      </c>
      <c r="E429" s="153">
        <v>0</v>
      </c>
      <c r="F429" s="153">
        <v>0</v>
      </c>
      <c r="G429" s="153">
        <v>62</v>
      </c>
    </row>
    <row r="430" spans="1:7" x14ac:dyDescent="0.25">
      <c r="A430" s="152" t="s">
        <v>465</v>
      </c>
      <c r="B430" s="153">
        <v>89</v>
      </c>
      <c r="C430" s="153">
        <v>19</v>
      </c>
      <c r="D430" s="153">
        <v>97</v>
      </c>
      <c r="E430" s="153">
        <v>11</v>
      </c>
      <c r="F430" s="153">
        <v>2</v>
      </c>
      <c r="G430" s="153">
        <v>218</v>
      </c>
    </row>
    <row r="431" spans="1:7" x14ac:dyDescent="0.25">
      <c r="A431" s="202" t="s">
        <v>36</v>
      </c>
      <c r="B431" s="203">
        <v>6601</v>
      </c>
      <c r="C431" s="203">
        <v>2283</v>
      </c>
      <c r="D431" s="203">
        <v>22097</v>
      </c>
      <c r="E431" s="203">
        <v>2429</v>
      </c>
      <c r="F431" s="203">
        <v>1230</v>
      </c>
      <c r="G431" s="203">
        <v>34640</v>
      </c>
    </row>
    <row r="432" spans="1:7" x14ac:dyDescent="0.25">
      <c r="A432" s="176"/>
      <c r="B432" s="176"/>
      <c r="C432" s="176"/>
      <c r="D432" s="176"/>
      <c r="E432" s="176"/>
      <c r="F432" s="176"/>
      <c r="G432" s="176"/>
    </row>
    <row r="433" spans="1:7" x14ac:dyDescent="0.25">
      <c r="A433" s="176"/>
      <c r="B433" s="176"/>
      <c r="C433" s="176"/>
      <c r="D433" s="176"/>
      <c r="E433" s="176"/>
      <c r="F433" s="176"/>
      <c r="G433" s="176"/>
    </row>
    <row r="434" spans="1:7" x14ac:dyDescent="0.25">
      <c r="A434" s="176"/>
      <c r="B434" s="176"/>
      <c r="C434" s="176"/>
      <c r="D434" s="176"/>
    </row>
    <row r="435" spans="1:7" x14ac:dyDescent="0.25">
      <c r="A435" s="205" t="s">
        <v>536</v>
      </c>
    </row>
    <row r="436" spans="1:7" x14ac:dyDescent="0.25">
      <c r="A436" s="176"/>
      <c r="B436" s="488" t="s">
        <v>503</v>
      </c>
      <c r="C436" s="488"/>
      <c r="D436" s="488"/>
      <c r="E436" s="488"/>
      <c r="F436" s="488"/>
      <c r="G436" s="107"/>
    </row>
    <row r="437" spans="1:7" x14ac:dyDescent="0.25">
      <c r="A437" s="178" t="s">
        <v>548</v>
      </c>
      <c r="B437" s="207" t="s">
        <v>142</v>
      </c>
      <c r="C437" s="207" t="s">
        <v>143</v>
      </c>
      <c r="D437" s="207" t="s">
        <v>144</v>
      </c>
      <c r="E437" s="207" t="s">
        <v>20</v>
      </c>
      <c r="F437" s="207" t="s">
        <v>145</v>
      </c>
      <c r="G437" s="179" t="s">
        <v>36</v>
      </c>
    </row>
    <row r="438" spans="1:7" x14ac:dyDescent="0.25">
      <c r="A438" s="175" t="s">
        <v>466</v>
      </c>
      <c r="B438" s="201">
        <v>985</v>
      </c>
      <c r="C438" s="201">
        <v>502</v>
      </c>
      <c r="D438" s="201">
        <v>2673</v>
      </c>
      <c r="E438" s="201">
        <v>212</v>
      </c>
      <c r="F438" s="201">
        <v>238</v>
      </c>
      <c r="G438" s="201">
        <v>4610</v>
      </c>
    </row>
    <row r="439" spans="1:7" x14ac:dyDescent="0.25">
      <c r="A439" s="152" t="s">
        <v>467</v>
      </c>
      <c r="B439" s="153">
        <v>6694</v>
      </c>
      <c r="C439" s="153">
        <v>3574</v>
      </c>
      <c r="D439" s="153">
        <v>20869</v>
      </c>
      <c r="E439" s="153">
        <v>2268</v>
      </c>
      <c r="F439" s="153">
        <v>2418</v>
      </c>
      <c r="G439" s="153">
        <v>35823</v>
      </c>
    </row>
    <row r="440" spans="1:7" x14ac:dyDescent="0.25">
      <c r="A440" s="152" t="s">
        <v>468</v>
      </c>
      <c r="B440" s="153">
        <v>807</v>
      </c>
      <c r="C440" s="153">
        <v>440</v>
      </c>
      <c r="D440" s="153">
        <v>2210</v>
      </c>
      <c r="E440" s="153">
        <v>240</v>
      </c>
      <c r="F440" s="153">
        <v>311</v>
      </c>
      <c r="G440" s="153">
        <v>4008</v>
      </c>
    </row>
    <row r="441" spans="1:7" x14ac:dyDescent="0.25">
      <c r="A441" s="152" t="s">
        <v>469</v>
      </c>
      <c r="B441" s="153">
        <v>401</v>
      </c>
      <c r="C441" s="153">
        <v>146</v>
      </c>
      <c r="D441" s="153">
        <v>540</v>
      </c>
      <c r="E441" s="153">
        <v>31</v>
      </c>
      <c r="F441" s="153">
        <v>54</v>
      </c>
      <c r="G441" s="153">
        <v>1172</v>
      </c>
    </row>
    <row r="442" spans="1:7" x14ac:dyDescent="0.25">
      <c r="A442" s="152" t="s">
        <v>470</v>
      </c>
      <c r="B442" s="153">
        <v>876</v>
      </c>
      <c r="C442" s="153">
        <v>426</v>
      </c>
      <c r="D442" s="153">
        <v>2241</v>
      </c>
      <c r="E442" s="153">
        <v>176</v>
      </c>
      <c r="F442" s="153">
        <v>178</v>
      </c>
      <c r="G442" s="153">
        <v>3897</v>
      </c>
    </row>
    <row r="443" spans="1:7" x14ac:dyDescent="0.25">
      <c r="A443" s="152" t="s">
        <v>471</v>
      </c>
      <c r="B443" s="153">
        <v>1042</v>
      </c>
      <c r="C443" s="153">
        <v>680</v>
      </c>
      <c r="D443" s="153">
        <v>2207</v>
      </c>
      <c r="E443" s="153">
        <v>128</v>
      </c>
      <c r="F443" s="153">
        <v>313</v>
      </c>
      <c r="G443" s="153">
        <v>4370</v>
      </c>
    </row>
    <row r="444" spans="1:7" x14ac:dyDescent="0.25">
      <c r="A444" s="152" t="s">
        <v>472</v>
      </c>
      <c r="B444" s="153">
        <v>833</v>
      </c>
      <c r="C444" s="153">
        <v>479</v>
      </c>
      <c r="D444" s="153">
        <v>1153</v>
      </c>
      <c r="E444" s="153">
        <v>57</v>
      </c>
      <c r="F444" s="153">
        <v>181</v>
      </c>
      <c r="G444" s="153">
        <v>2703</v>
      </c>
    </row>
    <row r="445" spans="1:7" x14ac:dyDescent="0.25">
      <c r="A445" s="152" t="s">
        <v>473</v>
      </c>
      <c r="B445" s="153">
        <v>374</v>
      </c>
      <c r="C445" s="153">
        <v>255</v>
      </c>
      <c r="D445" s="153">
        <v>599</v>
      </c>
      <c r="E445" s="153">
        <v>49</v>
      </c>
      <c r="F445" s="153">
        <v>107</v>
      </c>
      <c r="G445" s="153">
        <v>1384</v>
      </c>
    </row>
    <row r="446" spans="1:7" x14ac:dyDescent="0.25">
      <c r="A446" s="152" t="s">
        <v>474</v>
      </c>
      <c r="B446" s="153">
        <v>403</v>
      </c>
      <c r="C446" s="153">
        <v>270</v>
      </c>
      <c r="D446" s="153">
        <v>843</v>
      </c>
      <c r="E446" s="153">
        <v>49</v>
      </c>
      <c r="F446" s="153">
        <v>121</v>
      </c>
      <c r="G446" s="153">
        <v>1686</v>
      </c>
    </row>
    <row r="447" spans="1:7" x14ac:dyDescent="0.25">
      <c r="A447" s="152" t="s">
        <v>475</v>
      </c>
      <c r="B447" s="153">
        <v>613</v>
      </c>
      <c r="C447" s="153">
        <v>319</v>
      </c>
      <c r="D447" s="153">
        <v>1171</v>
      </c>
      <c r="E447" s="153">
        <v>78</v>
      </c>
      <c r="F447" s="153">
        <v>135</v>
      </c>
      <c r="G447" s="153">
        <v>2316</v>
      </c>
    </row>
    <row r="448" spans="1:7" x14ac:dyDescent="0.25">
      <c r="A448" s="152" t="s">
        <v>476</v>
      </c>
      <c r="B448" s="153">
        <v>313</v>
      </c>
      <c r="C448" s="153">
        <v>164</v>
      </c>
      <c r="D448" s="153">
        <v>671</v>
      </c>
      <c r="E448" s="153">
        <v>32</v>
      </c>
      <c r="F448" s="153">
        <v>98</v>
      </c>
      <c r="G448" s="153">
        <v>1278</v>
      </c>
    </row>
    <row r="449" spans="1:7" x14ac:dyDescent="0.25">
      <c r="A449" s="152" t="s">
        <v>477</v>
      </c>
      <c r="B449" s="153">
        <v>1081</v>
      </c>
      <c r="C449" s="153">
        <v>390</v>
      </c>
      <c r="D449" s="153">
        <v>2292</v>
      </c>
      <c r="E449" s="153">
        <v>173</v>
      </c>
      <c r="F449" s="153">
        <v>139</v>
      </c>
      <c r="G449" s="153">
        <v>4075</v>
      </c>
    </row>
    <row r="450" spans="1:7" x14ac:dyDescent="0.25">
      <c r="A450" s="152" t="s">
        <v>478</v>
      </c>
      <c r="B450" s="153">
        <v>567</v>
      </c>
      <c r="C450" s="153">
        <v>308</v>
      </c>
      <c r="D450" s="153">
        <v>1564</v>
      </c>
      <c r="E450" s="153">
        <v>152</v>
      </c>
      <c r="F450" s="153">
        <v>144</v>
      </c>
      <c r="G450" s="153">
        <v>2735</v>
      </c>
    </row>
    <row r="451" spans="1:7" x14ac:dyDescent="0.25">
      <c r="A451" s="152" t="s">
        <v>479</v>
      </c>
      <c r="B451" s="153">
        <v>336</v>
      </c>
      <c r="C451" s="153">
        <v>175</v>
      </c>
      <c r="D451" s="153">
        <v>888</v>
      </c>
      <c r="E451" s="153">
        <v>69</v>
      </c>
      <c r="F451" s="153">
        <v>64</v>
      </c>
      <c r="G451" s="153">
        <v>1532</v>
      </c>
    </row>
    <row r="452" spans="1:7" x14ac:dyDescent="0.25">
      <c r="A452" s="152" t="s">
        <v>480</v>
      </c>
      <c r="B452" s="153">
        <v>2395</v>
      </c>
      <c r="C452" s="153">
        <v>1246</v>
      </c>
      <c r="D452" s="153">
        <v>6747</v>
      </c>
      <c r="E452" s="153">
        <v>469</v>
      </c>
      <c r="F452" s="153">
        <v>805</v>
      </c>
      <c r="G452" s="153">
        <v>11662</v>
      </c>
    </row>
    <row r="453" spans="1:7" x14ac:dyDescent="0.25">
      <c r="A453" s="152" t="s">
        <v>481</v>
      </c>
      <c r="B453" s="153">
        <v>200</v>
      </c>
      <c r="C453" s="153">
        <v>98</v>
      </c>
      <c r="D453" s="153">
        <v>537</v>
      </c>
      <c r="E453" s="153">
        <v>37</v>
      </c>
      <c r="F453" s="153">
        <v>43</v>
      </c>
      <c r="G453" s="153">
        <v>915</v>
      </c>
    </row>
    <row r="454" spans="1:7" x14ac:dyDescent="0.25">
      <c r="A454" s="152" t="s">
        <v>482</v>
      </c>
      <c r="B454" s="153">
        <v>1050</v>
      </c>
      <c r="C454" s="153">
        <v>627</v>
      </c>
      <c r="D454" s="153">
        <v>1608</v>
      </c>
      <c r="E454" s="153">
        <v>119</v>
      </c>
      <c r="F454" s="153">
        <v>281</v>
      </c>
      <c r="G454" s="153">
        <v>3685</v>
      </c>
    </row>
    <row r="455" spans="1:7" x14ac:dyDescent="0.25">
      <c r="A455" s="152" t="s">
        <v>483</v>
      </c>
      <c r="B455" s="153">
        <v>536</v>
      </c>
      <c r="C455" s="153">
        <v>281</v>
      </c>
      <c r="D455" s="153">
        <v>1189</v>
      </c>
      <c r="E455" s="153">
        <v>83</v>
      </c>
      <c r="F455" s="153">
        <v>167</v>
      </c>
      <c r="G455" s="153">
        <v>2256</v>
      </c>
    </row>
    <row r="456" spans="1:7" x14ac:dyDescent="0.25">
      <c r="A456" s="152" t="s">
        <v>484</v>
      </c>
      <c r="B456" s="153">
        <v>326</v>
      </c>
      <c r="C456" s="153">
        <v>167</v>
      </c>
      <c r="D456" s="153">
        <v>670</v>
      </c>
      <c r="E456" s="153">
        <v>38</v>
      </c>
      <c r="F456" s="153">
        <v>70</v>
      </c>
      <c r="G456" s="153">
        <v>1271</v>
      </c>
    </row>
    <row r="457" spans="1:7" x14ac:dyDescent="0.25">
      <c r="A457" s="152" t="s">
        <v>485</v>
      </c>
      <c r="B457" s="153">
        <v>805</v>
      </c>
      <c r="C457" s="153">
        <v>342</v>
      </c>
      <c r="D457" s="153">
        <v>2227</v>
      </c>
      <c r="E457" s="153">
        <v>212</v>
      </c>
      <c r="F457" s="153">
        <v>158</v>
      </c>
      <c r="G457" s="153">
        <v>3744</v>
      </c>
    </row>
    <row r="458" spans="1:7" x14ac:dyDescent="0.25">
      <c r="A458" s="152" t="s">
        <v>486</v>
      </c>
      <c r="B458" s="153">
        <v>758</v>
      </c>
      <c r="C458" s="153">
        <v>389</v>
      </c>
      <c r="D458" s="153">
        <v>1418</v>
      </c>
      <c r="E458" s="153">
        <v>73</v>
      </c>
      <c r="F458" s="153">
        <v>147</v>
      </c>
      <c r="G458" s="153">
        <v>2785</v>
      </c>
    </row>
    <row r="459" spans="1:7" x14ac:dyDescent="0.25">
      <c r="A459" s="202" t="s">
        <v>36</v>
      </c>
      <c r="B459" s="203">
        <v>21395</v>
      </c>
      <c r="C459" s="203">
        <v>11278</v>
      </c>
      <c r="D459" s="203">
        <v>54317</v>
      </c>
      <c r="E459" s="203">
        <v>4745</v>
      </c>
      <c r="F459" s="203">
        <v>6172</v>
      </c>
      <c r="G459" s="203">
        <v>97907</v>
      </c>
    </row>
  </sheetData>
  <mergeCells count="16">
    <mergeCell ref="B117:F117"/>
    <mergeCell ref="B6:F6"/>
    <mergeCell ref="B20:F20"/>
    <mergeCell ref="B35:F35"/>
    <mergeCell ref="B50:F50"/>
    <mergeCell ref="B72:F72"/>
    <mergeCell ref="B347:F347"/>
    <mergeCell ref="B406:F406"/>
    <mergeCell ref="B425:F425"/>
    <mergeCell ref="B436:F436"/>
    <mergeCell ref="B157:F157"/>
    <mergeCell ref="B194:F194"/>
    <mergeCell ref="B234:F234"/>
    <mergeCell ref="B274:F274"/>
    <mergeCell ref="B312:F312"/>
    <mergeCell ref="B329:F329"/>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7A452-9D1B-4E4B-A078-9C852ED1C8E2}">
  <sheetPr>
    <tabColor rgb="FF00B0F0"/>
  </sheetPr>
  <dimension ref="A3:I519"/>
  <sheetViews>
    <sheetView workbookViewId="0"/>
  </sheetViews>
  <sheetFormatPr baseColWidth="10" defaultRowHeight="15" x14ac:dyDescent="0.25"/>
  <sheetData>
    <row r="3" spans="1:7" ht="45" x14ac:dyDescent="0.25">
      <c r="A3" s="152" t="s">
        <v>517</v>
      </c>
      <c r="B3" s="152" t="s">
        <v>518</v>
      </c>
      <c r="C3" s="152">
        <v>1</v>
      </c>
      <c r="D3" s="172"/>
      <c r="E3" s="172"/>
      <c r="F3" s="173"/>
    </row>
    <row r="4" spans="1:7" x14ac:dyDescent="0.25">
      <c r="A4" s="152"/>
      <c r="B4" s="152"/>
      <c r="C4" s="152"/>
      <c r="D4" s="152"/>
      <c r="F4" s="161"/>
    </row>
    <row r="5" spans="1:7" ht="30" x14ac:dyDescent="0.25">
      <c r="A5" s="152"/>
      <c r="B5" s="152"/>
      <c r="C5" s="152" t="s">
        <v>516</v>
      </c>
      <c r="D5" s="152"/>
      <c r="F5" s="161"/>
    </row>
    <row r="6" spans="1:7" x14ac:dyDescent="0.25">
      <c r="A6" s="152" t="s">
        <v>141</v>
      </c>
      <c r="B6" s="152" t="s">
        <v>495</v>
      </c>
      <c r="C6" s="152" t="s">
        <v>496</v>
      </c>
      <c r="D6" s="152" t="s">
        <v>497</v>
      </c>
      <c r="E6" s="152" t="s">
        <v>498</v>
      </c>
      <c r="F6" s="152" t="s">
        <v>499</v>
      </c>
      <c r="G6" s="152" t="s">
        <v>36</v>
      </c>
    </row>
    <row r="7" spans="1:7" x14ac:dyDescent="0.25">
      <c r="A7" s="152"/>
      <c r="B7" s="152"/>
      <c r="C7" s="152"/>
      <c r="G7" s="161"/>
    </row>
    <row r="8" spans="1:7" ht="30" x14ac:dyDescent="0.25">
      <c r="A8" s="152" t="s">
        <v>146</v>
      </c>
      <c r="B8" s="152">
        <v>32</v>
      </c>
      <c r="C8" s="164">
        <v>8631</v>
      </c>
      <c r="D8" s="152">
        <v>1</v>
      </c>
      <c r="E8" s="164">
        <v>1938</v>
      </c>
      <c r="F8" s="152">
        <v>329</v>
      </c>
      <c r="G8" s="164">
        <v>10931</v>
      </c>
    </row>
    <row r="9" spans="1:7" x14ac:dyDescent="0.25">
      <c r="A9" s="152" t="s">
        <v>152</v>
      </c>
      <c r="B9" s="152">
        <v>0</v>
      </c>
      <c r="C9" s="152">
        <v>192</v>
      </c>
      <c r="D9">
        <v>0</v>
      </c>
      <c r="E9" s="152">
        <v>38</v>
      </c>
      <c r="F9" s="152">
        <v>4</v>
      </c>
      <c r="G9" s="152">
        <v>234</v>
      </c>
    </row>
    <row r="10" spans="1:7" x14ac:dyDescent="0.25">
      <c r="A10" s="152" t="s">
        <v>147</v>
      </c>
      <c r="B10" s="152">
        <v>2</v>
      </c>
      <c r="C10" s="152">
        <v>137</v>
      </c>
      <c r="D10">
        <v>0</v>
      </c>
      <c r="E10" s="152">
        <v>25</v>
      </c>
      <c r="F10" s="152">
        <v>3</v>
      </c>
      <c r="G10" s="152">
        <v>167</v>
      </c>
    </row>
    <row r="11" spans="1:7" x14ac:dyDescent="0.25">
      <c r="A11" s="152" t="s">
        <v>148</v>
      </c>
      <c r="B11" s="152">
        <v>6</v>
      </c>
      <c r="C11" s="152">
        <v>476</v>
      </c>
      <c r="D11" s="152">
        <v>1</v>
      </c>
      <c r="E11" s="152">
        <v>103</v>
      </c>
      <c r="F11" s="152">
        <v>14</v>
      </c>
      <c r="G11" s="152">
        <v>600</v>
      </c>
    </row>
    <row r="12" spans="1:7" x14ac:dyDescent="0.25">
      <c r="A12" s="152" t="s">
        <v>149</v>
      </c>
      <c r="B12" s="152">
        <v>90</v>
      </c>
      <c r="C12" s="164">
        <v>26648</v>
      </c>
      <c r="D12" s="152">
        <v>11</v>
      </c>
      <c r="E12" s="164">
        <v>6786</v>
      </c>
      <c r="F12" s="152">
        <v>678</v>
      </c>
      <c r="G12" s="164">
        <v>34213</v>
      </c>
    </row>
    <row r="13" spans="1:7" x14ac:dyDescent="0.25">
      <c r="A13" s="152" t="s">
        <v>150</v>
      </c>
      <c r="B13" s="152">
        <v>2</v>
      </c>
      <c r="C13" s="152">
        <v>876</v>
      </c>
      <c r="D13" s="185">
        <v>0</v>
      </c>
      <c r="E13" s="152">
        <v>200</v>
      </c>
      <c r="F13" s="152">
        <v>26</v>
      </c>
      <c r="G13" s="164">
        <v>1104</v>
      </c>
    </row>
    <row r="14" spans="1:7" ht="30" x14ac:dyDescent="0.25">
      <c r="A14" s="152" t="s">
        <v>151</v>
      </c>
      <c r="B14" s="152">
        <v>9</v>
      </c>
      <c r="C14" s="164">
        <v>1589</v>
      </c>
      <c r="D14" s="185">
        <v>0</v>
      </c>
      <c r="E14" s="152">
        <v>403</v>
      </c>
      <c r="F14" s="152">
        <v>50</v>
      </c>
      <c r="G14" s="164">
        <v>2051</v>
      </c>
    </row>
    <row r="15" spans="1:7" x14ac:dyDescent="0.25">
      <c r="A15" s="152" t="s">
        <v>36</v>
      </c>
      <c r="B15" s="153">
        <f>SUM(B8:B14)</f>
        <v>141</v>
      </c>
      <c r="C15" s="153">
        <f t="shared" ref="C15:G15" si="0">SUM(C8:C14)</f>
        <v>38549</v>
      </c>
      <c r="D15" s="153">
        <f t="shared" si="0"/>
        <v>13</v>
      </c>
      <c r="E15" s="153">
        <f t="shared" si="0"/>
        <v>9493</v>
      </c>
      <c r="F15" s="153">
        <f t="shared" si="0"/>
        <v>1104</v>
      </c>
      <c r="G15" s="153">
        <f t="shared" si="0"/>
        <v>49300</v>
      </c>
    </row>
    <row r="16" spans="1:7" x14ac:dyDescent="0.25">
      <c r="A16" s="152"/>
      <c r="B16" s="152"/>
      <c r="C16" s="152"/>
      <c r="D16" s="165"/>
      <c r="E16" s="165"/>
      <c r="F16" s="165"/>
      <c r="G16" s="162"/>
    </row>
    <row r="21" spans="1:8" ht="45" x14ac:dyDescent="0.25">
      <c r="A21" s="152" t="s">
        <v>153</v>
      </c>
      <c r="B21" s="172"/>
      <c r="C21" s="172"/>
      <c r="D21" s="172"/>
      <c r="E21" s="172"/>
      <c r="F21" s="173"/>
    </row>
    <row r="22" spans="1:8" x14ac:dyDescent="0.25">
      <c r="A22" s="152"/>
      <c r="B22" s="152"/>
      <c r="C22" s="152"/>
      <c r="F22" s="161"/>
    </row>
    <row r="23" spans="1:8" ht="30" x14ac:dyDescent="0.25">
      <c r="A23" s="152"/>
      <c r="B23" s="152" t="s">
        <v>516</v>
      </c>
      <c r="C23" s="152"/>
      <c r="F23" s="161"/>
    </row>
    <row r="24" spans="1:8" x14ac:dyDescent="0.25">
      <c r="A24" s="152" t="s">
        <v>141</v>
      </c>
      <c r="B24" s="152" t="s">
        <v>495</v>
      </c>
      <c r="C24" s="152" t="s">
        <v>496</v>
      </c>
      <c r="D24" s="152" t="s">
        <v>497</v>
      </c>
      <c r="E24" s="152" t="s">
        <v>498</v>
      </c>
      <c r="F24" s="152" t="s">
        <v>499</v>
      </c>
      <c r="G24" s="152" t="s">
        <v>36</v>
      </c>
    </row>
    <row r="25" spans="1:8" x14ac:dyDescent="0.25">
      <c r="A25" s="152"/>
      <c r="B25" s="152"/>
      <c r="C25" s="152"/>
      <c r="G25" s="161"/>
    </row>
    <row r="26" spans="1:8" ht="30" x14ac:dyDescent="0.25">
      <c r="A26" s="152" t="s">
        <v>154</v>
      </c>
      <c r="B26" s="152">
        <v>137</v>
      </c>
      <c r="C26" s="164">
        <v>41859</v>
      </c>
      <c r="D26" s="152">
        <v>18</v>
      </c>
      <c r="E26" s="164">
        <v>10946</v>
      </c>
      <c r="F26" s="164">
        <v>1282</v>
      </c>
      <c r="G26" s="164">
        <v>54242</v>
      </c>
    </row>
    <row r="27" spans="1:8" x14ac:dyDescent="0.25">
      <c r="A27" s="152" t="s">
        <v>155</v>
      </c>
      <c r="B27" s="152">
        <v>30</v>
      </c>
      <c r="C27" s="164">
        <v>14670</v>
      </c>
      <c r="D27" s="152">
        <v>8</v>
      </c>
      <c r="E27" s="164">
        <v>3983</v>
      </c>
      <c r="F27" s="152">
        <v>498</v>
      </c>
      <c r="G27" s="164">
        <v>19189</v>
      </c>
    </row>
    <row r="28" spans="1:8" ht="30" x14ac:dyDescent="0.25">
      <c r="A28" s="152" t="s">
        <v>156</v>
      </c>
      <c r="B28">
        <v>0</v>
      </c>
      <c r="C28" s="152">
        <v>414</v>
      </c>
      <c r="D28">
        <v>0</v>
      </c>
      <c r="E28" s="152">
        <v>130</v>
      </c>
      <c r="F28" s="152">
        <v>12</v>
      </c>
      <c r="G28" s="152">
        <v>556</v>
      </c>
    </row>
    <row r="29" spans="1:8" ht="30" x14ac:dyDescent="0.25">
      <c r="A29" s="152" t="s">
        <v>157</v>
      </c>
      <c r="B29" s="152">
        <v>3</v>
      </c>
      <c r="C29" s="164">
        <v>1165</v>
      </c>
      <c r="D29" s="152">
        <v>1</v>
      </c>
      <c r="E29" s="152">
        <v>377</v>
      </c>
      <c r="F29" s="152">
        <v>59</v>
      </c>
      <c r="G29" s="164">
        <v>1605</v>
      </c>
    </row>
    <row r="30" spans="1:8" x14ac:dyDescent="0.25">
      <c r="A30" s="152" t="s">
        <v>158</v>
      </c>
      <c r="B30" s="152">
        <v>0</v>
      </c>
      <c r="C30" s="152">
        <v>37</v>
      </c>
      <c r="D30" s="186">
        <v>0</v>
      </c>
      <c r="E30" s="152">
        <v>5</v>
      </c>
      <c r="F30" s="152">
        <v>1</v>
      </c>
      <c r="G30" s="152">
        <v>43</v>
      </c>
      <c r="H30" s="161"/>
    </row>
    <row r="31" spans="1:8" ht="45" x14ac:dyDescent="0.25">
      <c r="A31" s="152" t="s">
        <v>159</v>
      </c>
      <c r="B31" s="152">
        <v>1</v>
      </c>
      <c r="C31" s="152">
        <v>680</v>
      </c>
      <c r="D31" s="186">
        <v>0</v>
      </c>
      <c r="E31" s="152">
        <v>145</v>
      </c>
      <c r="F31" s="152">
        <v>25</v>
      </c>
      <c r="G31" s="152">
        <v>851</v>
      </c>
    </row>
    <row r="32" spans="1:8" ht="30" x14ac:dyDescent="0.25">
      <c r="A32" s="152" t="s">
        <v>160</v>
      </c>
      <c r="B32" s="185">
        <v>0</v>
      </c>
      <c r="C32" s="152">
        <v>98</v>
      </c>
      <c r="D32" s="186">
        <v>0</v>
      </c>
      <c r="E32" s="152">
        <v>29</v>
      </c>
      <c r="F32" s="152">
        <v>2</v>
      </c>
      <c r="G32" s="152">
        <v>129</v>
      </c>
    </row>
    <row r="33" spans="1:8" x14ac:dyDescent="0.25">
      <c r="A33" s="152" t="s">
        <v>161</v>
      </c>
      <c r="B33" s="152">
        <v>4</v>
      </c>
      <c r="C33" s="164">
        <v>1885</v>
      </c>
      <c r="D33" s="186">
        <v>0</v>
      </c>
      <c r="E33" s="152">
        <v>570</v>
      </c>
      <c r="F33" s="152">
        <v>63</v>
      </c>
      <c r="G33" s="164">
        <v>2522</v>
      </c>
    </row>
    <row r="34" spans="1:8" x14ac:dyDescent="0.25">
      <c r="A34" s="152" t="s">
        <v>162</v>
      </c>
      <c r="B34" s="152">
        <v>11</v>
      </c>
      <c r="C34" s="164">
        <v>4223</v>
      </c>
      <c r="D34" s="152">
        <v>7</v>
      </c>
      <c r="E34" s="164">
        <v>1046</v>
      </c>
      <c r="F34" s="152">
        <v>126</v>
      </c>
      <c r="G34" s="164">
        <v>5413</v>
      </c>
    </row>
    <row r="35" spans="1:8" x14ac:dyDescent="0.25">
      <c r="A35" s="152"/>
      <c r="G35" s="161"/>
    </row>
    <row r="36" spans="1:8" x14ac:dyDescent="0.25">
      <c r="A36" s="152" t="s">
        <v>36</v>
      </c>
      <c r="B36" s="153">
        <f>SUM(B26:B35)</f>
        <v>186</v>
      </c>
      <c r="C36" s="153">
        <f t="shared" ref="C36:G36" si="1">SUM(C26:C35)</f>
        <v>65031</v>
      </c>
      <c r="D36" s="153">
        <f t="shared" si="1"/>
        <v>34</v>
      </c>
      <c r="E36" s="153">
        <f t="shared" si="1"/>
        <v>17231</v>
      </c>
      <c r="F36" s="153">
        <f t="shared" si="1"/>
        <v>2068</v>
      </c>
      <c r="G36" s="153">
        <f t="shared" si="1"/>
        <v>84550</v>
      </c>
    </row>
    <row r="37" spans="1:8" x14ac:dyDescent="0.25">
      <c r="A37" s="152"/>
      <c r="B37" s="152"/>
      <c r="C37" s="152"/>
      <c r="D37" s="165"/>
      <c r="E37" s="165"/>
      <c r="F37" s="165"/>
      <c r="G37" s="162"/>
    </row>
    <row r="42" spans="1:8" ht="45" x14ac:dyDescent="0.25">
      <c r="A42" s="152" t="s">
        <v>517</v>
      </c>
      <c r="B42" s="152" t="s">
        <v>518</v>
      </c>
      <c r="C42" s="152">
        <v>3</v>
      </c>
      <c r="D42" s="172"/>
      <c r="E42" s="172"/>
      <c r="F42" s="172"/>
      <c r="G42" s="173"/>
    </row>
    <row r="43" spans="1:8" x14ac:dyDescent="0.25">
      <c r="A43" s="152"/>
      <c r="B43" s="152"/>
      <c r="C43" s="152"/>
      <c r="D43" s="152"/>
      <c r="G43" s="161"/>
    </row>
    <row r="44" spans="1:8" ht="30" x14ac:dyDescent="0.25">
      <c r="A44" s="152"/>
      <c r="B44" s="152"/>
      <c r="C44" s="152" t="s">
        <v>516</v>
      </c>
      <c r="D44" s="152"/>
      <c r="G44" s="161"/>
    </row>
    <row r="45" spans="1:8" x14ac:dyDescent="0.25">
      <c r="A45" s="152" t="s">
        <v>141</v>
      </c>
      <c r="B45" s="152"/>
      <c r="C45" s="152" t="s">
        <v>495</v>
      </c>
      <c r="D45" s="152" t="s">
        <v>496</v>
      </c>
      <c r="E45" s="152" t="s">
        <v>497</v>
      </c>
      <c r="F45" s="152" t="s">
        <v>498</v>
      </c>
      <c r="G45" s="152" t="s">
        <v>499</v>
      </c>
      <c r="H45" s="152" t="s">
        <v>36</v>
      </c>
    </row>
    <row r="46" spans="1:8" x14ac:dyDescent="0.25">
      <c r="A46" s="152"/>
      <c r="B46" s="152"/>
      <c r="C46" s="152"/>
      <c r="D46" s="152"/>
      <c r="H46" s="161"/>
    </row>
    <row r="47" spans="1:8" ht="30" x14ac:dyDescent="0.25">
      <c r="A47" s="152" t="s">
        <v>163</v>
      </c>
      <c r="B47" s="152"/>
      <c r="C47" s="152">
        <v>1</v>
      </c>
      <c r="D47" s="152">
        <v>962</v>
      </c>
      <c r="E47" s="152">
        <v>0</v>
      </c>
      <c r="F47" s="152">
        <v>159</v>
      </c>
      <c r="G47" s="152">
        <v>31</v>
      </c>
      <c r="H47" s="164">
        <v>1153</v>
      </c>
    </row>
    <row r="48" spans="1:8" x14ac:dyDescent="0.25">
      <c r="A48" s="152" t="s">
        <v>164</v>
      </c>
      <c r="B48" s="152"/>
      <c r="C48" s="152">
        <v>9</v>
      </c>
      <c r="D48" s="164">
        <v>2524</v>
      </c>
      <c r="E48" s="152">
        <v>1</v>
      </c>
      <c r="F48" s="152">
        <v>499</v>
      </c>
      <c r="G48" s="152">
        <v>92</v>
      </c>
      <c r="H48" s="164">
        <v>3125</v>
      </c>
    </row>
    <row r="49" spans="1:8" x14ac:dyDescent="0.25">
      <c r="A49" s="152" t="s">
        <v>506</v>
      </c>
      <c r="B49" s="152"/>
      <c r="C49" s="152">
        <v>5</v>
      </c>
      <c r="D49" s="164">
        <v>2246</v>
      </c>
      <c r="E49" s="152">
        <v>3</v>
      </c>
      <c r="F49" s="152">
        <v>497</v>
      </c>
      <c r="G49" s="152">
        <v>44</v>
      </c>
      <c r="H49" s="164">
        <v>2795</v>
      </c>
    </row>
    <row r="50" spans="1:8" x14ac:dyDescent="0.25">
      <c r="A50" s="152" t="s">
        <v>165</v>
      </c>
      <c r="B50" s="152"/>
      <c r="C50" s="152">
        <v>67</v>
      </c>
      <c r="D50" s="164">
        <v>20329</v>
      </c>
      <c r="E50" s="152">
        <v>7</v>
      </c>
      <c r="F50" s="164">
        <v>4285</v>
      </c>
      <c r="G50" s="152">
        <v>511</v>
      </c>
      <c r="H50" s="164">
        <v>25199</v>
      </c>
    </row>
    <row r="51" spans="1:8" ht="30" x14ac:dyDescent="0.25">
      <c r="A51" s="152" t="s">
        <v>166</v>
      </c>
      <c r="B51" s="152"/>
      <c r="C51" s="152">
        <v>6</v>
      </c>
      <c r="D51" s="164">
        <v>1399</v>
      </c>
      <c r="E51" s="152">
        <v>1</v>
      </c>
      <c r="F51" s="152">
        <v>380</v>
      </c>
      <c r="G51" s="152">
        <v>25</v>
      </c>
      <c r="H51" s="164">
        <v>1811</v>
      </c>
    </row>
    <row r="52" spans="1:8" x14ac:dyDescent="0.25">
      <c r="A52" s="152" t="s">
        <v>167</v>
      </c>
      <c r="B52" s="152"/>
      <c r="C52" s="152">
        <v>4</v>
      </c>
      <c r="D52" s="164">
        <v>1169</v>
      </c>
      <c r="E52" s="185">
        <v>0</v>
      </c>
      <c r="F52" s="152">
        <v>197</v>
      </c>
      <c r="G52" s="152">
        <v>13</v>
      </c>
      <c r="H52" s="164">
        <v>1383</v>
      </c>
    </row>
    <row r="53" spans="1:8" x14ac:dyDescent="0.25">
      <c r="A53" s="152" t="s">
        <v>168</v>
      </c>
      <c r="B53" s="152"/>
      <c r="C53" s="152">
        <v>2</v>
      </c>
      <c r="D53" s="164">
        <v>1687</v>
      </c>
      <c r="E53" s="152">
        <v>1</v>
      </c>
      <c r="F53" s="152">
        <v>361</v>
      </c>
      <c r="G53" s="152">
        <v>43</v>
      </c>
      <c r="H53" s="164">
        <v>2094</v>
      </c>
    </row>
    <row r="54" spans="1:8" ht="30" x14ac:dyDescent="0.25">
      <c r="A54" s="152" t="s">
        <v>169</v>
      </c>
      <c r="B54" s="152"/>
      <c r="C54" s="152">
        <v>4</v>
      </c>
      <c r="D54" s="164">
        <v>1565</v>
      </c>
      <c r="E54" s="152">
        <v>1</v>
      </c>
      <c r="F54" s="152">
        <v>299</v>
      </c>
      <c r="G54" s="152">
        <v>40</v>
      </c>
      <c r="H54" s="164">
        <v>1909</v>
      </c>
    </row>
    <row r="55" spans="1:8" x14ac:dyDescent="0.25">
      <c r="A55" s="152" t="s">
        <v>170</v>
      </c>
      <c r="B55" s="152"/>
      <c r="C55" s="152">
        <v>34</v>
      </c>
      <c r="D55" s="164">
        <v>9905</v>
      </c>
      <c r="E55" s="152">
        <v>3</v>
      </c>
      <c r="F55" s="164">
        <v>1871</v>
      </c>
      <c r="G55" s="152">
        <v>198</v>
      </c>
      <c r="H55" s="164">
        <v>12011</v>
      </c>
    </row>
    <row r="56" spans="1:8" x14ac:dyDescent="0.25">
      <c r="A56" s="152"/>
      <c r="H56" s="161"/>
    </row>
    <row r="57" spans="1:8" x14ac:dyDescent="0.25">
      <c r="A57" s="152" t="s">
        <v>36</v>
      </c>
      <c r="B57" s="152"/>
      <c r="C57" s="152">
        <v>132</v>
      </c>
      <c r="D57" s="164">
        <v>41786</v>
      </c>
      <c r="E57" s="152">
        <v>17</v>
      </c>
      <c r="F57" s="164">
        <v>8548</v>
      </c>
      <c r="G57" s="152">
        <v>997</v>
      </c>
      <c r="H57" s="164">
        <v>51480</v>
      </c>
    </row>
    <row r="58" spans="1:8" x14ac:dyDescent="0.25">
      <c r="A58" s="152"/>
      <c r="B58" s="152"/>
      <c r="C58" s="152"/>
      <c r="D58" s="152"/>
      <c r="E58" s="165"/>
      <c r="F58" s="165"/>
      <c r="G58" s="165"/>
      <c r="H58" s="162"/>
    </row>
    <row r="63" spans="1:8" ht="45" x14ac:dyDescent="0.25">
      <c r="A63" s="152" t="s">
        <v>517</v>
      </c>
      <c r="B63" s="152" t="s">
        <v>518</v>
      </c>
      <c r="C63" s="152">
        <v>4</v>
      </c>
      <c r="D63" s="172"/>
      <c r="E63" s="172"/>
      <c r="F63" s="173"/>
    </row>
    <row r="64" spans="1:8" x14ac:dyDescent="0.25">
      <c r="A64" s="152"/>
      <c r="B64" s="152"/>
      <c r="C64" s="152"/>
      <c r="D64" s="152"/>
      <c r="F64" s="161"/>
    </row>
    <row r="65" spans="1:7" ht="30" x14ac:dyDescent="0.25">
      <c r="A65" s="152"/>
      <c r="B65" s="152"/>
      <c r="C65" s="152" t="s">
        <v>516</v>
      </c>
      <c r="D65" s="152"/>
      <c r="F65" s="161"/>
    </row>
    <row r="66" spans="1:7" x14ac:dyDescent="0.25">
      <c r="A66" s="152" t="s">
        <v>141</v>
      </c>
      <c r="B66" s="152" t="s">
        <v>495</v>
      </c>
      <c r="C66" s="152" t="s">
        <v>496</v>
      </c>
      <c r="D66" s="152" t="s">
        <v>497</v>
      </c>
      <c r="E66" s="152" t="s">
        <v>498</v>
      </c>
      <c r="F66" s="152" t="s">
        <v>499</v>
      </c>
      <c r="G66" s="152" t="s">
        <v>36</v>
      </c>
    </row>
    <row r="67" spans="1:7" x14ac:dyDescent="0.25">
      <c r="A67" s="152"/>
      <c r="B67" s="152"/>
      <c r="C67" s="152"/>
      <c r="G67" s="161"/>
    </row>
    <row r="68" spans="1:7" ht="30" x14ac:dyDescent="0.25">
      <c r="A68" s="152" t="s">
        <v>171</v>
      </c>
      <c r="B68" s="152">
        <v>13</v>
      </c>
      <c r="C68" s="164">
        <v>2131</v>
      </c>
      <c r="D68" s="152">
        <v>1</v>
      </c>
      <c r="E68" s="152">
        <v>347</v>
      </c>
      <c r="F68" s="152">
        <v>52</v>
      </c>
      <c r="G68" s="164">
        <v>2544</v>
      </c>
    </row>
    <row r="69" spans="1:7" x14ac:dyDescent="0.25">
      <c r="A69" s="152" t="s">
        <v>172</v>
      </c>
      <c r="B69" s="152">
        <v>2</v>
      </c>
      <c r="C69" s="164">
        <v>1814</v>
      </c>
      <c r="D69">
        <v>0</v>
      </c>
      <c r="E69" s="152">
        <v>241</v>
      </c>
      <c r="F69" s="152">
        <v>31</v>
      </c>
      <c r="G69" s="164">
        <v>2088</v>
      </c>
    </row>
    <row r="70" spans="1:7" ht="30" x14ac:dyDescent="0.25">
      <c r="A70" s="152" t="s">
        <v>173</v>
      </c>
      <c r="B70" s="152">
        <v>3</v>
      </c>
      <c r="C70" s="164">
        <v>3132</v>
      </c>
      <c r="D70" s="152">
        <v>4</v>
      </c>
      <c r="E70" s="152">
        <v>459</v>
      </c>
      <c r="F70" s="152">
        <v>47</v>
      </c>
      <c r="G70" s="164">
        <v>3645</v>
      </c>
    </row>
    <row r="71" spans="1:7" x14ac:dyDescent="0.25">
      <c r="A71" s="152" t="s">
        <v>174</v>
      </c>
      <c r="B71" s="152">
        <v>86</v>
      </c>
      <c r="C71" s="164">
        <v>35562</v>
      </c>
      <c r="D71" s="152">
        <v>30</v>
      </c>
      <c r="E71" s="164">
        <v>7197</v>
      </c>
      <c r="F71" s="152">
        <v>906</v>
      </c>
      <c r="G71" s="164">
        <v>43781</v>
      </c>
    </row>
    <row r="72" spans="1:7" x14ac:dyDescent="0.25">
      <c r="A72" s="152" t="s">
        <v>175</v>
      </c>
      <c r="B72" s="152">
        <v>15</v>
      </c>
      <c r="C72" s="164">
        <v>6324</v>
      </c>
      <c r="D72" s="152">
        <v>3</v>
      </c>
      <c r="E72" s="164">
        <v>1147</v>
      </c>
      <c r="F72" s="152">
        <v>126</v>
      </c>
      <c r="G72" s="164">
        <v>7615</v>
      </c>
    </row>
    <row r="73" spans="1:7" x14ac:dyDescent="0.25">
      <c r="A73" s="152" t="s">
        <v>176</v>
      </c>
      <c r="B73" s="152">
        <v>3</v>
      </c>
      <c r="C73" s="152">
        <v>731</v>
      </c>
      <c r="D73" s="152">
        <v>1</v>
      </c>
      <c r="E73" s="152">
        <v>102</v>
      </c>
      <c r="F73" s="152">
        <v>20</v>
      </c>
      <c r="G73" s="152">
        <v>857</v>
      </c>
    </row>
    <row r="74" spans="1:7" x14ac:dyDescent="0.25">
      <c r="A74" s="152" t="s">
        <v>177</v>
      </c>
      <c r="B74" s="152">
        <v>89</v>
      </c>
      <c r="C74" s="164">
        <v>32734</v>
      </c>
      <c r="D74" s="152">
        <v>44</v>
      </c>
      <c r="E74" s="164">
        <v>7692</v>
      </c>
      <c r="F74" s="152">
        <v>869</v>
      </c>
      <c r="G74" s="164">
        <v>41428</v>
      </c>
    </row>
    <row r="75" spans="1:7" x14ac:dyDescent="0.25">
      <c r="A75" s="152" t="s">
        <v>178</v>
      </c>
      <c r="B75" s="152">
        <v>3</v>
      </c>
      <c r="C75" s="164">
        <v>3849</v>
      </c>
      <c r="D75" s="152">
        <v>3</v>
      </c>
      <c r="E75" s="152">
        <v>606</v>
      </c>
      <c r="F75" s="152">
        <v>88</v>
      </c>
      <c r="G75" s="164">
        <v>4549</v>
      </c>
    </row>
    <row r="76" spans="1:7" ht="30" x14ac:dyDescent="0.25">
      <c r="A76" s="152" t="s">
        <v>179</v>
      </c>
      <c r="B76" s="152">
        <v>11</v>
      </c>
      <c r="C76" s="164">
        <v>5111</v>
      </c>
      <c r="D76" s="152">
        <v>5</v>
      </c>
      <c r="E76" s="152">
        <v>715</v>
      </c>
      <c r="F76" s="152">
        <v>107</v>
      </c>
      <c r="G76" s="164">
        <v>5949</v>
      </c>
    </row>
    <row r="77" spans="1:7" x14ac:dyDescent="0.25">
      <c r="A77" s="152" t="s">
        <v>180</v>
      </c>
      <c r="B77" s="152">
        <v>39</v>
      </c>
      <c r="C77" s="164">
        <v>19496</v>
      </c>
      <c r="D77" s="152">
        <v>8</v>
      </c>
      <c r="E77" s="164">
        <v>3011</v>
      </c>
      <c r="F77" s="152">
        <v>420</v>
      </c>
      <c r="G77" s="164">
        <v>22974</v>
      </c>
    </row>
    <row r="78" spans="1:7" x14ac:dyDescent="0.25">
      <c r="A78" s="152" t="s">
        <v>181</v>
      </c>
      <c r="B78" s="152">
        <v>2</v>
      </c>
      <c r="C78" s="152">
        <v>837</v>
      </c>
      <c r="D78" s="152">
        <v>1</v>
      </c>
      <c r="E78" s="152">
        <v>126</v>
      </c>
      <c r="F78" s="152">
        <v>24</v>
      </c>
      <c r="G78" s="152">
        <v>990</v>
      </c>
    </row>
    <row r="79" spans="1:7" x14ac:dyDescent="0.25">
      <c r="A79" s="152" t="s">
        <v>182</v>
      </c>
      <c r="B79" s="152">
        <v>7</v>
      </c>
      <c r="C79" s="164">
        <v>2024</v>
      </c>
      <c r="D79" s="152">
        <v>1</v>
      </c>
      <c r="E79" s="152">
        <v>473</v>
      </c>
      <c r="F79" s="152">
        <v>56</v>
      </c>
      <c r="G79" s="164">
        <v>2561</v>
      </c>
    </row>
    <row r="80" spans="1:7" ht="30" x14ac:dyDescent="0.25">
      <c r="A80" s="152" t="s">
        <v>183</v>
      </c>
      <c r="B80" s="152"/>
      <c r="C80" s="152">
        <v>927</v>
      </c>
      <c r="D80" s="185">
        <v>0</v>
      </c>
      <c r="E80" s="152">
        <v>84</v>
      </c>
      <c r="F80" s="152">
        <v>10</v>
      </c>
      <c r="G80" s="164">
        <v>1021</v>
      </c>
    </row>
    <row r="81" spans="1:8" ht="30" x14ac:dyDescent="0.25">
      <c r="A81" s="152" t="s">
        <v>184</v>
      </c>
      <c r="B81" s="152">
        <v>10</v>
      </c>
      <c r="C81" s="164">
        <v>5212</v>
      </c>
      <c r="D81" s="152">
        <v>7</v>
      </c>
      <c r="E81" s="152">
        <v>858</v>
      </c>
      <c r="F81" s="152">
        <v>98</v>
      </c>
      <c r="G81" s="164">
        <v>6185</v>
      </c>
    </row>
    <row r="82" spans="1:8" x14ac:dyDescent="0.25">
      <c r="A82" s="152" t="s">
        <v>507</v>
      </c>
      <c r="B82" s="152">
        <v>16</v>
      </c>
      <c r="C82" s="164">
        <v>4735</v>
      </c>
      <c r="D82" s="152">
        <v>13</v>
      </c>
      <c r="E82" s="152">
        <v>764</v>
      </c>
      <c r="F82" s="152">
        <v>120</v>
      </c>
      <c r="G82" s="164">
        <v>5648</v>
      </c>
    </row>
    <row r="83" spans="1:8" x14ac:dyDescent="0.25">
      <c r="A83" s="152" t="s">
        <v>36</v>
      </c>
      <c r="B83" s="152">
        <v>299</v>
      </c>
      <c r="C83" s="164">
        <v>124619</v>
      </c>
      <c r="D83" s="152">
        <v>121</v>
      </c>
      <c r="E83" s="164">
        <v>23822</v>
      </c>
      <c r="F83" s="164">
        <v>2974</v>
      </c>
      <c r="G83" s="164">
        <v>151835</v>
      </c>
    </row>
    <row r="84" spans="1:8" x14ac:dyDescent="0.25">
      <c r="A84" s="152"/>
      <c r="B84" s="152"/>
      <c r="C84" s="152"/>
      <c r="F84" s="161"/>
    </row>
    <row r="85" spans="1:8" x14ac:dyDescent="0.25">
      <c r="A85" s="152"/>
      <c r="B85" s="165"/>
      <c r="C85" s="165"/>
      <c r="D85" s="165"/>
      <c r="E85" s="165"/>
      <c r="F85" s="162"/>
    </row>
    <row r="91" spans="1:8" ht="45" x14ac:dyDescent="0.25">
      <c r="A91" s="152" t="s">
        <v>517</v>
      </c>
      <c r="B91" s="152" t="s">
        <v>518</v>
      </c>
      <c r="C91" s="152">
        <v>5</v>
      </c>
      <c r="D91" s="172"/>
      <c r="E91" s="172"/>
      <c r="F91" s="172"/>
      <c r="G91" s="173"/>
    </row>
    <row r="92" spans="1:8" x14ac:dyDescent="0.25">
      <c r="A92" s="152"/>
      <c r="B92" s="152"/>
      <c r="C92" s="152"/>
      <c r="D92" s="152"/>
      <c r="G92" s="161"/>
    </row>
    <row r="93" spans="1:8" ht="30" x14ac:dyDescent="0.25">
      <c r="A93" s="152"/>
      <c r="B93" s="152"/>
      <c r="C93" s="152" t="s">
        <v>516</v>
      </c>
      <c r="D93" s="152"/>
      <c r="G93" s="161"/>
    </row>
    <row r="94" spans="1:8" x14ac:dyDescent="0.25">
      <c r="A94" s="152" t="s">
        <v>141</v>
      </c>
      <c r="B94" s="152"/>
      <c r="C94" s="152" t="s">
        <v>495</v>
      </c>
      <c r="D94" s="152" t="s">
        <v>496</v>
      </c>
      <c r="E94" s="152" t="s">
        <v>497</v>
      </c>
      <c r="F94" s="152" t="s">
        <v>498</v>
      </c>
      <c r="G94" s="152" t="s">
        <v>499</v>
      </c>
      <c r="H94" s="152" t="s">
        <v>36</v>
      </c>
    </row>
    <row r="95" spans="1:8" x14ac:dyDescent="0.25">
      <c r="A95" s="152"/>
      <c r="B95" s="152"/>
      <c r="C95" s="152"/>
      <c r="D95" s="152"/>
      <c r="H95" s="161"/>
    </row>
    <row r="96" spans="1:8" ht="30" x14ac:dyDescent="0.25">
      <c r="A96" s="152" t="s">
        <v>185</v>
      </c>
      <c r="B96" s="152"/>
      <c r="C96" s="152">
        <v>8</v>
      </c>
      <c r="D96" s="164">
        <v>2930</v>
      </c>
      <c r="E96" s="152">
        <v>1</v>
      </c>
      <c r="F96" s="152">
        <v>718</v>
      </c>
      <c r="G96" s="152">
        <v>100</v>
      </c>
      <c r="H96" s="164">
        <v>3757</v>
      </c>
    </row>
    <row r="97" spans="1:8" x14ac:dyDescent="0.25">
      <c r="A97" s="152" t="s">
        <v>186</v>
      </c>
      <c r="B97" s="152"/>
      <c r="C97" s="152">
        <v>13</v>
      </c>
      <c r="D97" s="164">
        <v>3901</v>
      </c>
      <c r="E97" s="152">
        <v>1</v>
      </c>
      <c r="F97" s="152">
        <v>979</v>
      </c>
      <c r="G97" s="152">
        <v>85</v>
      </c>
      <c r="H97" s="164">
        <v>4979</v>
      </c>
    </row>
    <row r="98" spans="1:8" ht="30" x14ac:dyDescent="0.25">
      <c r="A98" s="152" t="s">
        <v>187</v>
      </c>
      <c r="B98" s="152"/>
      <c r="C98" s="152">
        <v>5</v>
      </c>
      <c r="D98" s="164">
        <v>2004</v>
      </c>
      <c r="E98" s="152">
        <v>2</v>
      </c>
      <c r="F98" s="152">
        <v>378</v>
      </c>
      <c r="G98" s="152">
        <v>42</v>
      </c>
      <c r="H98" s="164">
        <v>2431</v>
      </c>
    </row>
    <row r="99" spans="1:8" ht="30" x14ac:dyDescent="0.25">
      <c r="A99" s="152" t="s">
        <v>188</v>
      </c>
      <c r="B99" s="152"/>
      <c r="C99" s="152">
        <v>13</v>
      </c>
      <c r="D99" s="164">
        <v>5034</v>
      </c>
      <c r="E99" s="152">
        <v>1</v>
      </c>
      <c r="F99" s="152">
        <v>862</v>
      </c>
      <c r="G99" s="152">
        <v>124</v>
      </c>
      <c r="H99" s="164">
        <v>6034</v>
      </c>
    </row>
    <row r="100" spans="1:8" ht="30" x14ac:dyDescent="0.25">
      <c r="A100" s="152" t="s">
        <v>189</v>
      </c>
      <c r="B100" s="152"/>
      <c r="C100" s="152">
        <v>13</v>
      </c>
      <c r="D100" s="164">
        <v>4521</v>
      </c>
      <c r="E100" s="152">
        <v>5</v>
      </c>
      <c r="F100" s="152">
        <v>897</v>
      </c>
      <c r="G100" s="152">
        <v>92</v>
      </c>
      <c r="H100" s="164">
        <v>5528</v>
      </c>
    </row>
    <row r="101" spans="1:8" x14ac:dyDescent="0.25">
      <c r="A101" s="152" t="s">
        <v>190</v>
      </c>
      <c r="B101" s="152"/>
      <c r="C101" s="152">
        <v>3</v>
      </c>
      <c r="D101" s="164">
        <v>2676</v>
      </c>
      <c r="E101" s="152">
        <v>1</v>
      </c>
      <c r="F101" s="152">
        <v>468</v>
      </c>
      <c r="G101" s="152">
        <v>49</v>
      </c>
      <c r="H101" s="164">
        <v>3197</v>
      </c>
    </row>
    <row r="102" spans="1:8" x14ac:dyDescent="0.25">
      <c r="A102" s="152" t="s">
        <v>191</v>
      </c>
      <c r="B102" s="152"/>
      <c r="C102" s="152">
        <v>17</v>
      </c>
      <c r="D102" s="164">
        <v>5887</v>
      </c>
      <c r="E102" s="152">
        <v>2</v>
      </c>
      <c r="F102" s="164">
        <v>1489</v>
      </c>
      <c r="G102" s="152">
        <v>172</v>
      </c>
      <c r="H102" s="164">
        <v>7567</v>
      </c>
    </row>
    <row r="103" spans="1:8" x14ac:dyDescent="0.25">
      <c r="A103" s="152" t="s">
        <v>192</v>
      </c>
      <c r="B103" s="152"/>
      <c r="C103" s="152">
        <v>6</v>
      </c>
      <c r="D103" s="164">
        <v>3878</v>
      </c>
      <c r="E103" s="152">
        <v>1</v>
      </c>
      <c r="F103" s="152">
        <v>920</v>
      </c>
      <c r="G103" s="152">
        <v>99</v>
      </c>
      <c r="H103" s="164">
        <v>4904</v>
      </c>
    </row>
    <row r="104" spans="1:8" x14ac:dyDescent="0.25">
      <c r="A104" s="152" t="s">
        <v>193</v>
      </c>
      <c r="B104" s="152"/>
      <c r="C104" s="152">
        <v>4</v>
      </c>
      <c r="D104" s="164">
        <v>3390</v>
      </c>
      <c r="E104" s="152">
        <v>4</v>
      </c>
      <c r="F104" s="152">
        <v>696</v>
      </c>
      <c r="G104" s="152">
        <v>92</v>
      </c>
      <c r="H104" s="164">
        <v>4186</v>
      </c>
    </row>
    <row r="105" spans="1:8" x14ac:dyDescent="0.25">
      <c r="A105" s="152" t="s">
        <v>194</v>
      </c>
      <c r="B105" s="152"/>
      <c r="C105" s="152">
        <v>6</v>
      </c>
      <c r="D105" s="164">
        <v>3345</v>
      </c>
      <c r="E105" s="152">
        <v>2</v>
      </c>
      <c r="F105" s="152">
        <v>650</v>
      </c>
      <c r="G105" s="152">
        <v>70</v>
      </c>
      <c r="H105" s="164">
        <v>4073</v>
      </c>
    </row>
    <row r="106" spans="1:8" ht="30" x14ac:dyDescent="0.25">
      <c r="A106" s="152" t="s">
        <v>195</v>
      </c>
      <c r="B106" s="152"/>
      <c r="C106" s="152">
        <v>4</v>
      </c>
      <c r="D106" s="152">
        <v>668</v>
      </c>
      <c r="E106" s="185">
        <v>0</v>
      </c>
      <c r="F106" s="152">
        <v>107</v>
      </c>
      <c r="G106" s="152">
        <v>21</v>
      </c>
      <c r="H106" s="152">
        <v>800</v>
      </c>
    </row>
    <row r="107" spans="1:8" ht="45" x14ac:dyDescent="0.25">
      <c r="A107" s="152" t="s">
        <v>196</v>
      </c>
      <c r="B107" s="152"/>
      <c r="C107" s="185">
        <v>0</v>
      </c>
      <c r="D107" s="152">
        <v>141</v>
      </c>
      <c r="E107" s="185">
        <v>0</v>
      </c>
      <c r="F107" s="152">
        <v>18</v>
      </c>
      <c r="G107" s="152">
        <v>1</v>
      </c>
      <c r="H107" s="152">
        <v>160</v>
      </c>
    </row>
    <row r="108" spans="1:8" x14ac:dyDescent="0.25">
      <c r="A108" s="152" t="s">
        <v>197</v>
      </c>
      <c r="B108" s="152"/>
      <c r="C108" s="152">
        <v>22</v>
      </c>
      <c r="D108" s="164">
        <v>10654</v>
      </c>
      <c r="E108" s="152">
        <v>6</v>
      </c>
      <c r="F108" s="164">
        <v>1904</v>
      </c>
      <c r="G108" s="152">
        <v>204</v>
      </c>
      <c r="H108" s="164">
        <v>12790</v>
      </c>
    </row>
    <row r="109" spans="1:8" x14ac:dyDescent="0.25">
      <c r="A109" s="152" t="s">
        <v>198</v>
      </c>
      <c r="B109" s="152"/>
      <c r="C109" s="152">
        <v>10</v>
      </c>
      <c r="D109" s="164">
        <v>2659</v>
      </c>
      <c r="E109" s="152">
        <v>1</v>
      </c>
      <c r="F109" s="152">
        <v>513</v>
      </c>
      <c r="G109" s="152">
        <v>64</v>
      </c>
      <c r="H109" s="164">
        <v>3247</v>
      </c>
    </row>
    <row r="110" spans="1:8" x14ac:dyDescent="0.25">
      <c r="A110" s="152" t="s">
        <v>199</v>
      </c>
      <c r="B110" s="152"/>
      <c r="C110" s="152">
        <v>25</v>
      </c>
      <c r="D110" s="164">
        <v>7222</v>
      </c>
      <c r="E110" s="152">
        <v>5</v>
      </c>
      <c r="F110" s="164">
        <v>1401</v>
      </c>
      <c r="G110" s="152">
        <v>150</v>
      </c>
      <c r="H110" s="164">
        <v>8803</v>
      </c>
    </row>
    <row r="111" spans="1:8" x14ac:dyDescent="0.25">
      <c r="A111" s="152" t="s">
        <v>200</v>
      </c>
      <c r="B111" s="152"/>
      <c r="C111" s="152">
        <v>29</v>
      </c>
      <c r="D111" s="164">
        <v>8916</v>
      </c>
      <c r="E111" s="152">
        <v>4</v>
      </c>
      <c r="F111" s="164">
        <v>1518</v>
      </c>
      <c r="G111" s="152">
        <v>205</v>
      </c>
      <c r="H111" s="164">
        <v>10672</v>
      </c>
    </row>
    <row r="112" spans="1:8" x14ac:dyDescent="0.25">
      <c r="A112" s="152" t="s">
        <v>201</v>
      </c>
      <c r="B112" s="152"/>
      <c r="C112" s="152">
        <v>13</v>
      </c>
      <c r="D112" s="164">
        <v>4744</v>
      </c>
      <c r="E112" s="152">
        <v>3</v>
      </c>
      <c r="F112" s="152">
        <v>832</v>
      </c>
      <c r="G112" s="152">
        <v>95</v>
      </c>
      <c r="H112" s="164">
        <v>5687</v>
      </c>
    </row>
    <row r="113" spans="1:9" x14ac:dyDescent="0.25">
      <c r="A113" s="152" t="s">
        <v>202</v>
      </c>
      <c r="B113" s="152"/>
      <c r="C113" s="152">
        <v>35</v>
      </c>
      <c r="D113" s="164">
        <v>11557</v>
      </c>
      <c r="E113" s="152">
        <v>11</v>
      </c>
      <c r="F113" s="164">
        <v>2786</v>
      </c>
      <c r="G113" s="152">
        <v>217</v>
      </c>
      <c r="H113" s="164">
        <v>14606</v>
      </c>
    </row>
    <row r="114" spans="1:9" x14ac:dyDescent="0.25">
      <c r="A114" s="152" t="s">
        <v>203</v>
      </c>
      <c r="B114" s="152"/>
      <c r="C114" s="152">
        <v>17</v>
      </c>
      <c r="D114" s="164">
        <v>4300</v>
      </c>
      <c r="E114" s="152">
        <v>1</v>
      </c>
      <c r="F114" s="164">
        <v>1016</v>
      </c>
      <c r="G114" s="152">
        <v>110</v>
      </c>
      <c r="H114" s="164">
        <v>5444</v>
      </c>
    </row>
    <row r="115" spans="1:9" x14ac:dyDescent="0.25">
      <c r="A115" s="152" t="s">
        <v>204</v>
      </c>
      <c r="B115" s="152"/>
      <c r="C115" s="152">
        <v>6</v>
      </c>
      <c r="D115" s="164">
        <v>3399</v>
      </c>
      <c r="E115" s="152">
        <v>1</v>
      </c>
      <c r="F115" s="152">
        <v>626</v>
      </c>
      <c r="G115" s="152">
        <v>97</v>
      </c>
      <c r="H115" s="164">
        <v>4129</v>
      </c>
    </row>
    <row r="116" spans="1:9" ht="30" x14ac:dyDescent="0.25">
      <c r="A116" s="152" t="s">
        <v>205</v>
      </c>
      <c r="B116" s="152"/>
      <c r="C116" s="185">
        <v>0</v>
      </c>
      <c r="D116" s="164">
        <v>1253</v>
      </c>
      <c r="E116" s="152">
        <v>1</v>
      </c>
      <c r="F116" s="187">
        <v>269</v>
      </c>
      <c r="G116" s="152">
        <v>27</v>
      </c>
      <c r="H116" s="164">
        <v>1550</v>
      </c>
    </row>
    <row r="117" spans="1:9" x14ac:dyDescent="0.25">
      <c r="A117" s="152" t="s">
        <v>206</v>
      </c>
      <c r="B117" s="152"/>
      <c r="C117" s="152">
        <v>0</v>
      </c>
      <c r="D117" s="164">
        <v>1068</v>
      </c>
      <c r="E117" s="185">
        <v>0</v>
      </c>
      <c r="F117" s="152">
        <v>194</v>
      </c>
      <c r="G117" s="152">
        <v>37</v>
      </c>
      <c r="H117" s="164">
        <v>1299</v>
      </c>
      <c r="I117" s="161"/>
    </row>
    <row r="118" spans="1:9" x14ac:dyDescent="0.25">
      <c r="A118" s="152" t="s">
        <v>207</v>
      </c>
      <c r="B118" s="152"/>
      <c r="C118" s="152">
        <v>4</v>
      </c>
      <c r="D118" s="164">
        <v>1890</v>
      </c>
      <c r="E118" s="185">
        <v>0</v>
      </c>
      <c r="F118" s="152">
        <v>422</v>
      </c>
      <c r="G118" s="152">
        <v>43</v>
      </c>
      <c r="H118" s="164">
        <v>2359</v>
      </c>
    </row>
    <row r="119" spans="1:9" ht="30" x14ac:dyDescent="0.25">
      <c r="A119" s="152" t="s">
        <v>208</v>
      </c>
      <c r="B119" s="152"/>
      <c r="C119" s="152">
        <v>13</v>
      </c>
      <c r="D119" s="164">
        <v>3568</v>
      </c>
      <c r="E119" s="185">
        <v>0</v>
      </c>
      <c r="F119" s="152">
        <v>837</v>
      </c>
      <c r="G119" s="152">
        <v>91</v>
      </c>
      <c r="H119" s="164">
        <v>4509</v>
      </c>
    </row>
    <row r="120" spans="1:9" x14ac:dyDescent="0.25">
      <c r="A120" s="152" t="s">
        <v>209</v>
      </c>
      <c r="B120" s="152"/>
      <c r="C120" s="152">
        <v>5</v>
      </c>
      <c r="D120" s="164">
        <v>3328</v>
      </c>
      <c r="E120" s="152">
        <v>2</v>
      </c>
      <c r="F120" s="152">
        <v>613</v>
      </c>
      <c r="G120" s="152">
        <v>83</v>
      </c>
      <c r="H120" s="164">
        <v>4031</v>
      </c>
    </row>
    <row r="121" spans="1:9" x14ac:dyDescent="0.25">
      <c r="A121" s="152" t="s">
        <v>210</v>
      </c>
      <c r="B121" s="152"/>
      <c r="C121" s="152">
        <v>54</v>
      </c>
      <c r="D121" s="164">
        <v>17131</v>
      </c>
      <c r="E121" s="152">
        <v>8</v>
      </c>
      <c r="F121" s="164">
        <v>3182</v>
      </c>
      <c r="G121" s="152">
        <v>342</v>
      </c>
      <c r="H121" s="164">
        <v>20717</v>
      </c>
    </row>
    <row r="122" spans="1:9" x14ac:dyDescent="0.25">
      <c r="A122" s="152" t="s">
        <v>211</v>
      </c>
      <c r="B122" s="152"/>
      <c r="C122" s="152">
        <v>73</v>
      </c>
      <c r="D122" s="164">
        <v>27789</v>
      </c>
      <c r="E122" s="152">
        <v>41</v>
      </c>
      <c r="F122" s="164">
        <v>5264</v>
      </c>
      <c r="G122" s="152">
        <v>574</v>
      </c>
      <c r="H122" s="164">
        <v>33741</v>
      </c>
    </row>
    <row r="123" spans="1:9" x14ac:dyDescent="0.25">
      <c r="A123" s="152" t="s">
        <v>212</v>
      </c>
      <c r="B123" s="152"/>
      <c r="C123" s="152">
        <v>14</v>
      </c>
      <c r="D123" s="164">
        <v>5665</v>
      </c>
      <c r="E123" s="152">
        <v>3</v>
      </c>
      <c r="F123" s="164">
        <v>1043</v>
      </c>
      <c r="G123" s="152">
        <v>146</v>
      </c>
      <c r="H123" s="164">
        <v>6871</v>
      </c>
    </row>
    <row r="124" spans="1:9" ht="30" x14ac:dyDescent="0.25">
      <c r="A124" s="152" t="s">
        <v>213</v>
      </c>
      <c r="B124" s="152"/>
      <c r="C124" s="152">
        <v>5</v>
      </c>
      <c r="D124" s="164">
        <v>1463</v>
      </c>
      <c r="E124" s="152">
        <v>2</v>
      </c>
      <c r="F124" s="152">
        <v>224</v>
      </c>
      <c r="G124" s="152">
        <v>24</v>
      </c>
      <c r="H124" s="164">
        <v>1718</v>
      </c>
    </row>
    <row r="125" spans="1:9" ht="30" x14ac:dyDescent="0.25">
      <c r="A125" s="152" t="s">
        <v>214</v>
      </c>
      <c r="B125" s="152"/>
      <c r="C125" s="152">
        <v>64</v>
      </c>
      <c r="D125" s="164">
        <v>18084</v>
      </c>
      <c r="E125" s="152">
        <v>9</v>
      </c>
      <c r="F125" s="164">
        <v>4161</v>
      </c>
      <c r="G125" s="152">
        <v>425</v>
      </c>
      <c r="H125" s="164">
        <v>22743</v>
      </c>
    </row>
    <row r="126" spans="1:9" ht="30" x14ac:dyDescent="0.25">
      <c r="A126" s="152" t="s">
        <v>215</v>
      </c>
      <c r="B126" s="152"/>
      <c r="C126" s="152">
        <v>6</v>
      </c>
      <c r="D126" s="164">
        <v>2897</v>
      </c>
      <c r="E126" s="152">
        <v>3</v>
      </c>
      <c r="F126" s="152">
        <v>721</v>
      </c>
      <c r="G126" s="152">
        <v>58</v>
      </c>
      <c r="H126" s="164">
        <v>3685</v>
      </c>
    </row>
    <row r="127" spans="1:9" x14ac:dyDescent="0.25">
      <c r="A127" s="152" t="s">
        <v>216</v>
      </c>
      <c r="B127" s="152"/>
      <c r="C127" s="152">
        <v>44</v>
      </c>
      <c r="D127" s="164">
        <v>13418</v>
      </c>
      <c r="E127" s="152">
        <v>9</v>
      </c>
      <c r="F127" s="164">
        <v>2758</v>
      </c>
      <c r="G127" s="152">
        <v>266</v>
      </c>
      <c r="H127" s="164">
        <v>16495</v>
      </c>
    </row>
    <row r="128" spans="1:9" ht="30" x14ac:dyDescent="0.25">
      <c r="A128" s="152" t="s">
        <v>217</v>
      </c>
      <c r="B128" s="152"/>
      <c r="C128" s="152">
        <v>10</v>
      </c>
      <c r="D128" s="164">
        <v>2603</v>
      </c>
      <c r="E128" s="152">
        <v>1</v>
      </c>
      <c r="F128" s="152">
        <v>504</v>
      </c>
      <c r="G128" s="152">
        <v>44</v>
      </c>
      <c r="H128" s="164">
        <v>3162</v>
      </c>
    </row>
    <row r="129" spans="1:8" ht="30" x14ac:dyDescent="0.25">
      <c r="A129" s="152" t="s">
        <v>218</v>
      </c>
      <c r="B129" s="152"/>
      <c r="C129" s="152">
        <v>5</v>
      </c>
      <c r="D129" s="164">
        <v>1695</v>
      </c>
      <c r="E129" s="185">
        <v>0</v>
      </c>
      <c r="F129" s="152">
        <v>540</v>
      </c>
      <c r="G129" s="152">
        <v>56</v>
      </c>
      <c r="H129" s="164">
        <v>2296</v>
      </c>
    </row>
    <row r="130" spans="1:8" ht="30" x14ac:dyDescent="0.25">
      <c r="A130" s="152" t="s">
        <v>219</v>
      </c>
      <c r="B130" s="152"/>
      <c r="C130" s="152">
        <v>176</v>
      </c>
      <c r="D130" s="164">
        <v>57195</v>
      </c>
      <c r="E130" s="152">
        <v>44</v>
      </c>
      <c r="F130" s="164">
        <v>10444</v>
      </c>
      <c r="G130" s="164">
        <v>1233</v>
      </c>
      <c r="H130" s="164">
        <v>69092</v>
      </c>
    </row>
    <row r="131" spans="1:8" ht="30" x14ac:dyDescent="0.25">
      <c r="A131" s="152" t="s">
        <v>220</v>
      </c>
      <c r="B131" s="152"/>
      <c r="C131" s="152">
        <v>45</v>
      </c>
      <c r="D131" s="164">
        <v>19458</v>
      </c>
      <c r="E131" s="152">
        <v>20</v>
      </c>
      <c r="F131" s="164">
        <v>4016</v>
      </c>
      <c r="G131" s="152">
        <v>531</v>
      </c>
      <c r="H131" s="164">
        <v>24070</v>
      </c>
    </row>
    <row r="132" spans="1:8" ht="30" x14ac:dyDescent="0.25">
      <c r="A132" s="152" t="s">
        <v>508</v>
      </c>
      <c r="B132" s="152"/>
      <c r="C132" s="152">
        <v>132</v>
      </c>
      <c r="D132" s="164">
        <v>56510</v>
      </c>
      <c r="E132" s="152">
        <v>42</v>
      </c>
      <c r="F132" s="164">
        <v>12188</v>
      </c>
      <c r="G132" s="164">
        <v>1307</v>
      </c>
      <c r="H132" s="164">
        <v>70179</v>
      </c>
    </row>
    <row r="133" spans="1:8" x14ac:dyDescent="0.25">
      <c r="A133" s="152" t="s">
        <v>221</v>
      </c>
      <c r="B133" s="152"/>
      <c r="C133" s="152">
        <v>7</v>
      </c>
      <c r="D133" s="164">
        <v>1284</v>
      </c>
      <c r="E133" s="185">
        <v>0</v>
      </c>
      <c r="F133" s="152">
        <v>248</v>
      </c>
      <c r="G133" s="152">
        <v>27</v>
      </c>
      <c r="H133" s="164">
        <v>1566</v>
      </c>
    </row>
    <row r="134" spans="1:8" x14ac:dyDescent="0.25">
      <c r="A134" s="152"/>
      <c r="H134" s="161"/>
    </row>
    <row r="135" spans="1:8" x14ac:dyDescent="0.25">
      <c r="A135" s="152" t="s">
        <v>36</v>
      </c>
      <c r="B135" s="152"/>
      <c r="C135" s="153">
        <f>SUM(C96:C134)</f>
        <v>906</v>
      </c>
      <c r="D135" s="153">
        <f t="shared" ref="D135:H135" si="2">SUM(D96:D134)</f>
        <v>328125</v>
      </c>
      <c r="E135" s="153">
        <f t="shared" si="2"/>
        <v>237</v>
      </c>
      <c r="F135" s="153">
        <f t="shared" si="2"/>
        <v>66406</v>
      </c>
      <c r="G135" s="153">
        <f t="shared" si="2"/>
        <v>7403</v>
      </c>
      <c r="H135" s="153">
        <f t="shared" si="2"/>
        <v>403077</v>
      </c>
    </row>
    <row r="136" spans="1:8" x14ac:dyDescent="0.25">
      <c r="A136" s="152"/>
      <c r="B136" s="152"/>
      <c r="C136" s="152"/>
      <c r="D136" s="152"/>
      <c r="H136" s="161"/>
    </row>
    <row r="137" spans="1:8" x14ac:dyDescent="0.25">
      <c r="A137" s="152"/>
      <c r="B137" s="165"/>
      <c r="C137" s="165"/>
      <c r="D137" s="165"/>
      <c r="E137" s="165"/>
      <c r="F137" s="165"/>
      <c r="G137" s="165"/>
      <c r="H137" s="162"/>
    </row>
    <row r="141" spans="1:8" ht="45" x14ac:dyDescent="0.25">
      <c r="A141" s="152" t="s">
        <v>517</v>
      </c>
      <c r="B141" s="152" t="s">
        <v>518</v>
      </c>
      <c r="C141" s="152">
        <v>6</v>
      </c>
      <c r="D141" s="172"/>
      <c r="E141" s="172"/>
      <c r="F141" s="172"/>
      <c r="G141" s="173"/>
    </row>
    <row r="142" spans="1:8" x14ac:dyDescent="0.25">
      <c r="A142" s="152"/>
      <c r="B142" s="152"/>
      <c r="C142" s="152"/>
      <c r="D142" s="152"/>
      <c r="G142" s="161"/>
    </row>
    <row r="143" spans="1:8" ht="30" x14ac:dyDescent="0.25">
      <c r="A143" s="152"/>
      <c r="B143" s="152"/>
      <c r="C143" s="152" t="s">
        <v>516</v>
      </c>
      <c r="D143" s="152"/>
      <c r="G143" s="161"/>
    </row>
    <row r="144" spans="1:8" x14ac:dyDescent="0.25">
      <c r="A144" s="152" t="s">
        <v>141</v>
      </c>
      <c r="B144" s="152"/>
      <c r="C144" s="152" t="s">
        <v>495</v>
      </c>
      <c r="D144" s="152" t="s">
        <v>496</v>
      </c>
      <c r="E144" s="152" t="s">
        <v>497</v>
      </c>
      <c r="F144" s="152" t="s">
        <v>498</v>
      </c>
      <c r="G144" s="152" t="s">
        <v>499</v>
      </c>
      <c r="H144" s="152" t="s">
        <v>36</v>
      </c>
    </row>
    <row r="145" spans="1:8" x14ac:dyDescent="0.25">
      <c r="A145" s="152"/>
      <c r="B145" s="152"/>
      <c r="C145" s="152"/>
      <c r="D145" s="152"/>
      <c r="H145" s="161"/>
    </row>
    <row r="146" spans="1:8" x14ac:dyDescent="0.25">
      <c r="A146" s="152" t="s">
        <v>222</v>
      </c>
      <c r="B146" s="152"/>
      <c r="C146" s="152">
        <v>10</v>
      </c>
      <c r="D146" s="164">
        <v>3236</v>
      </c>
      <c r="E146" s="152">
        <v>2</v>
      </c>
      <c r="F146" s="152">
        <v>704</v>
      </c>
      <c r="G146" s="152">
        <v>83</v>
      </c>
      <c r="H146" s="164">
        <v>4035</v>
      </c>
    </row>
    <row r="147" spans="1:8" ht="30" x14ac:dyDescent="0.25">
      <c r="A147" s="152" t="s">
        <v>223</v>
      </c>
      <c r="B147" s="152"/>
      <c r="C147" s="152">
        <v>18</v>
      </c>
      <c r="D147" s="164">
        <v>6369</v>
      </c>
      <c r="E147" s="152">
        <v>2</v>
      </c>
      <c r="F147" s="164">
        <v>1452</v>
      </c>
      <c r="G147" s="152">
        <v>146</v>
      </c>
      <c r="H147" s="164">
        <v>7987</v>
      </c>
    </row>
    <row r="148" spans="1:8" x14ac:dyDescent="0.25">
      <c r="A148" s="152" t="s">
        <v>224</v>
      </c>
      <c r="B148" s="152"/>
      <c r="C148" s="152">
        <v>5</v>
      </c>
      <c r="D148" s="164">
        <v>2111</v>
      </c>
      <c r="E148">
        <v>0</v>
      </c>
      <c r="F148" s="152">
        <v>379</v>
      </c>
      <c r="G148" s="152">
        <v>50</v>
      </c>
      <c r="H148" s="164">
        <v>2545</v>
      </c>
    </row>
    <row r="149" spans="1:8" x14ac:dyDescent="0.25">
      <c r="A149" s="152" t="s">
        <v>225</v>
      </c>
      <c r="B149" s="152"/>
      <c r="C149" s="152">
        <v>6</v>
      </c>
      <c r="D149" s="164">
        <v>1465</v>
      </c>
      <c r="E149" s="186">
        <v>0</v>
      </c>
      <c r="F149" s="152">
        <v>276</v>
      </c>
      <c r="G149" s="152">
        <v>26</v>
      </c>
      <c r="H149" s="164">
        <v>1773</v>
      </c>
    </row>
    <row r="150" spans="1:8" x14ac:dyDescent="0.25">
      <c r="A150" s="152" t="s">
        <v>226</v>
      </c>
      <c r="B150" s="152"/>
      <c r="C150" s="152">
        <v>2</v>
      </c>
      <c r="D150" s="164">
        <v>3576</v>
      </c>
      <c r="E150" s="152">
        <v>1</v>
      </c>
      <c r="F150" s="152">
        <v>601</v>
      </c>
      <c r="G150" s="152">
        <v>69</v>
      </c>
      <c r="H150" s="164">
        <v>4249</v>
      </c>
    </row>
    <row r="151" spans="1:8" x14ac:dyDescent="0.25">
      <c r="A151" s="152" t="s">
        <v>509</v>
      </c>
      <c r="B151" s="152"/>
      <c r="C151" s="152">
        <v>7</v>
      </c>
      <c r="D151" s="164">
        <v>3428</v>
      </c>
      <c r="E151" s="152">
        <v>3</v>
      </c>
      <c r="F151" s="152">
        <v>661</v>
      </c>
      <c r="G151" s="152">
        <v>66</v>
      </c>
      <c r="H151" s="164">
        <v>4165</v>
      </c>
    </row>
    <row r="152" spans="1:8" x14ac:dyDescent="0.25">
      <c r="A152" s="152" t="s">
        <v>227</v>
      </c>
      <c r="B152" s="152"/>
      <c r="C152" s="152">
        <v>11</v>
      </c>
      <c r="D152" s="164">
        <v>4835</v>
      </c>
      <c r="E152" s="152">
        <v>1</v>
      </c>
      <c r="F152" s="152">
        <v>871</v>
      </c>
      <c r="G152" s="152">
        <v>88</v>
      </c>
      <c r="H152" s="164">
        <v>5806</v>
      </c>
    </row>
    <row r="153" spans="1:8" ht="30" x14ac:dyDescent="0.25">
      <c r="A153" s="152" t="s">
        <v>228</v>
      </c>
      <c r="B153" s="152"/>
      <c r="C153" s="152">
        <v>1</v>
      </c>
      <c r="D153" s="152">
        <v>771</v>
      </c>
      <c r="E153" s="185">
        <v>0</v>
      </c>
      <c r="F153" s="152">
        <v>142</v>
      </c>
      <c r="G153" s="152">
        <v>13</v>
      </c>
      <c r="H153" s="152">
        <v>927</v>
      </c>
    </row>
    <row r="154" spans="1:8" ht="30" x14ac:dyDescent="0.25">
      <c r="A154" s="152" t="s">
        <v>229</v>
      </c>
      <c r="B154" s="152"/>
      <c r="C154" s="152">
        <v>8</v>
      </c>
      <c r="D154" s="164">
        <v>4613</v>
      </c>
      <c r="E154" s="152">
        <v>1</v>
      </c>
      <c r="F154" s="152">
        <v>817</v>
      </c>
      <c r="G154" s="152">
        <v>117</v>
      </c>
      <c r="H154" s="164">
        <v>5556</v>
      </c>
    </row>
    <row r="155" spans="1:8" x14ac:dyDescent="0.25">
      <c r="A155" s="152" t="s">
        <v>230</v>
      </c>
      <c r="B155" s="152"/>
      <c r="C155" s="152">
        <v>4</v>
      </c>
      <c r="D155" s="164">
        <v>1243</v>
      </c>
      <c r="E155" s="185">
        <v>0</v>
      </c>
      <c r="F155" s="152">
        <v>258</v>
      </c>
      <c r="G155" s="152">
        <v>33</v>
      </c>
      <c r="H155" s="164">
        <v>1538</v>
      </c>
    </row>
    <row r="156" spans="1:8" x14ac:dyDescent="0.25">
      <c r="A156" s="152" t="s">
        <v>231</v>
      </c>
      <c r="B156" s="152"/>
      <c r="C156" s="152">
        <v>5</v>
      </c>
      <c r="D156" s="164">
        <v>1604</v>
      </c>
      <c r="E156" s="185">
        <v>0</v>
      </c>
      <c r="F156" s="152">
        <v>297</v>
      </c>
      <c r="G156" s="152">
        <v>41</v>
      </c>
      <c r="H156" s="164">
        <v>1947</v>
      </c>
    </row>
    <row r="157" spans="1:8" x14ac:dyDescent="0.25">
      <c r="A157" s="152" t="s">
        <v>232</v>
      </c>
      <c r="B157" s="152"/>
      <c r="C157" s="152">
        <v>12</v>
      </c>
      <c r="D157" s="164">
        <v>5219</v>
      </c>
      <c r="E157" s="152">
        <v>2</v>
      </c>
      <c r="F157" s="164">
        <v>1268</v>
      </c>
      <c r="G157" s="152">
        <v>141</v>
      </c>
      <c r="H157" s="164">
        <v>6642</v>
      </c>
    </row>
    <row r="158" spans="1:8" x14ac:dyDescent="0.25">
      <c r="A158" s="152" t="s">
        <v>233</v>
      </c>
      <c r="B158" s="152"/>
      <c r="C158" s="152">
        <v>10</v>
      </c>
      <c r="D158" s="164">
        <v>2637</v>
      </c>
      <c r="E158" s="152">
        <v>1</v>
      </c>
      <c r="F158" s="152">
        <v>471</v>
      </c>
      <c r="G158" s="152">
        <v>44</v>
      </c>
      <c r="H158" s="164">
        <v>3163</v>
      </c>
    </row>
    <row r="159" spans="1:8" ht="30" x14ac:dyDescent="0.25">
      <c r="A159" s="152" t="s">
        <v>234</v>
      </c>
      <c r="B159" s="152"/>
      <c r="C159" s="152">
        <v>3</v>
      </c>
      <c r="D159" s="164">
        <v>1624</v>
      </c>
      <c r="E159" s="152">
        <v>1</v>
      </c>
      <c r="F159" s="152">
        <v>260</v>
      </c>
      <c r="G159" s="152">
        <v>42</v>
      </c>
      <c r="H159" s="164">
        <v>1930</v>
      </c>
    </row>
    <row r="160" spans="1:8" x14ac:dyDescent="0.25">
      <c r="A160" s="152" t="s">
        <v>235</v>
      </c>
      <c r="B160" s="152"/>
      <c r="C160" s="152">
        <v>21</v>
      </c>
      <c r="D160" s="164">
        <v>4253</v>
      </c>
      <c r="E160" s="185">
        <v>0</v>
      </c>
      <c r="F160" s="152">
        <v>961</v>
      </c>
      <c r="G160" s="152">
        <v>102</v>
      </c>
      <c r="H160" s="164">
        <v>5337</v>
      </c>
    </row>
    <row r="161" spans="1:8" x14ac:dyDescent="0.25">
      <c r="A161" s="152" t="s">
        <v>236</v>
      </c>
      <c r="B161" s="152"/>
      <c r="C161" s="152">
        <v>11</v>
      </c>
      <c r="D161" s="164">
        <v>3154</v>
      </c>
      <c r="E161" s="185">
        <v>0</v>
      </c>
      <c r="F161" s="152">
        <v>585</v>
      </c>
      <c r="G161" s="152">
        <v>61</v>
      </c>
      <c r="H161" s="164">
        <v>3811</v>
      </c>
    </row>
    <row r="162" spans="1:8" x14ac:dyDescent="0.25">
      <c r="A162" s="152" t="s">
        <v>237</v>
      </c>
      <c r="B162" s="152"/>
      <c r="C162" s="152">
        <v>4</v>
      </c>
      <c r="D162" s="164">
        <v>1444</v>
      </c>
      <c r="E162" s="152">
        <v>1</v>
      </c>
      <c r="F162" s="152">
        <v>294</v>
      </c>
      <c r="G162" s="152">
        <v>41</v>
      </c>
      <c r="H162" s="164">
        <v>1784</v>
      </c>
    </row>
    <row r="163" spans="1:8" x14ac:dyDescent="0.25">
      <c r="A163" s="152" t="s">
        <v>238</v>
      </c>
      <c r="B163" s="152"/>
      <c r="C163" s="152">
        <v>3</v>
      </c>
      <c r="D163" s="164">
        <v>2042</v>
      </c>
      <c r="E163" s="152">
        <v>3</v>
      </c>
      <c r="F163" s="152">
        <v>443</v>
      </c>
      <c r="G163" s="152">
        <v>43</v>
      </c>
      <c r="H163" s="164">
        <v>2534</v>
      </c>
    </row>
    <row r="164" spans="1:8" x14ac:dyDescent="0.25">
      <c r="A164" s="152" t="s">
        <v>239</v>
      </c>
      <c r="B164" s="152"/>
      <c r="C164" s="152">
        <v>8</v>
      </c>
      <c r="D164" s="164">
        <v>2364</v>
      </c>
      <c r="E164" s="185">
        <v>0</v>
      </c>
      <c r="F164" s="152">
        <v>538</v>
      </c>
      <c r="G164" s="152">
        <v>42</v>
      </c>
      <c r="H164" s="164">
        <v>2952</v>
      </c>
    </row>
    <row r="165" spans="1:8" ht="30" x14ac:dyDescent="0.25">
      <c r="A165" s="152" t="s">
        <v>240</v>
      </c>
      <c r="B165" s="152"/>
      <c r="C165" s="152">
        <v>5</v>
      </c>
      <c r="D165" s="164">
        <v>1463</v>
      </c>
      <c r="E165" s="185">
        <v>0</v>
      </c>
      <c r="F165" s="152">
        <v>234</v>
      </c>
      <c r="G165" s="152">
        <v>33</v>
      </c>
      <c r="H165" s="164">
        <v>1735</v>
      </c>
    </row>
    <row r="166" spans="1:8" x14ac:dyDescent="0.25">
      <c r="A166" s="152" t="s">
        <v>241</v>
      </c>
      <c r="B166" s="152"/>
      <c r="C166" s="152">
        <v>4</v>
      </c>
      <c r="D166" s="164">
        <v>2223</v>
      </c>
      <c r="E166" s="152">
        <v>1</v>
      </c>
      <c r="F166" s="152">
        <v>473</v>
      </c>
      <c r="G166" s="152">
        <v>43</v>
      </c>
      <c r="H166" s="164">
        <v>2744</v>
      </c>
    </row>
    <row r="167" spans="1:8" x14ac:dyDescent="0.25">
      <c r="A167" s="152" t="s">
        <v>242</v>
      </c>
      <c r="B167" s="152"/>
      <c r="C167" s="152">
        <v>6</v>
      </c>
      <c r="D167" s="164">
        <v>2894</v>
      </c>
      <c r="E167" s="152">
        <v>2</v>
      </c>
      <c r="F167" s="152">
        <v>414</v>
      </c>
      <c r="G167" s="152">
        <v>47</v>
      </c>
      <c r="H167" s="164">
        <v>3363</v>
      </c>
    </row>
    <row r="168" spans="1:8" ht="30" x14ac:dyDescent="0.25">
      <c r="A168" s="152" t="s">
        <v>243</v>
      </c>
      <c r="B168" s="152"/>
      <c r="C168" s="152">
        <v>8</v>
      </c>
      <c r="D168" s="164">
        <v>3969</v>
      </c>
      <c r="E168" s="152">
        <v>3</v>
      </c>
      <c r="F168" s="152">
        <v>747</v>
      </c>
      <c r="G168" s="152">
        <v>66</v>
      </c>
      <c r="H168" s="164">
        <v>4793</v>
      </c>
    </row>
    <row r="169" spans="1:8" x14ac:dyDescent="0.25">
      <c r="A169" s="152" t="s">
        <v>244</v>
      </c>
      <c r="B169" s="152"/>
      <c r="C169" s="152">
        <v>9</v>
      </c>
      <c r="D169" s="164">
        <v>3233</v>
      </c>
      <c r="E169" s="152">
        <v>1</v>
      </c>
      <c r="F169" s="152">
        <v>612</v>
      </c>
      <c r="G169" s="152">
        <v>97</v>
      </c>
      <c r="H169" s="164">
        <v>3952</v>
      </c>
    </row>
    <row r="170" spans="1:8" x14ac:dyDescent="0.25">
      <c r="A170" s="152" t="s">
        <v>245</v>
      </c>
      <c r="B170" s="152"/>
      <c r="C170" s="152">
        <v>5</v>
      </c>
      <c r="D170" s="164">
        <v>1619</v>
      </c>
      <c r="E170" s="185">
        <v>0</v>
      </c>
      <c r="F170" s="152">
        <v>324</v>
      </c>
      <c r="G170" s="152">
        <v>30</v>
      </c>
      <c r="H170" s="164">
        <v>1978</v>
      </c>
    </row>
    <row r="171" spans="1:8" ht="30" x14ac:dyDescent="0.25">
      <c r="A171" s="152" t="s">
        <v>246</v>
      </c>
      <c r="B171" s="152"/>
      <c r="C171" s="152">
        <v>2</v>
      </c>
      <c r="D171" s="152">
        <v>909</v>
      </c>
      <c r="E171" s="152">
        <v>1</v>
      </c>
      <c r="F171" s="152">
        <v>193</v>
      </c>
      <c r="G171" s="152">
        <v>17</v>
      </c>
      <c r="H171" s="164">
        <v>1122</v>
      </c>
    </row>
    <row r="172" spans="1:8" ht="30" x14ac:dyDescent="0.25">
      <c r="A172" s="152" t="s">
        <v>247</v>
      </c>
      <c r="B172" s="152"/>
      <c r="C172" s="152">
        <v>8</v>
      </c>
      <c r="D172" s="164">
        <v>2491</v>
      </c>
      <c r="E172" s="152">
        <v>1</v>
      </c>
      <c r="F172" s="152">
        <v>455</v>
      </c>
      <c r="G172" s="152">
        <v>63</v>
      </c>
      <c r="H172" s="164">
        <v>3018</v>
      </c>
    </row>
    <row r="173" spans="1:8" x14ac:dyDescent="0.25">
      <c r="A173" s="152" t="s">
        <v>248</v>
      </c>
      <c r="B173" s="152"/>
      <c r="C173" s="152">
        <v>117</v>
      </c>
      <c r="D173" s="164">
        <v>38092</v>
      </c>
      <c r="E173" s="152">
        <v>35</v>
      </c>
      <c r="F173" s="164">
        <v>8952</v>
      </c>
      <c r="G173" s="152">
        <v>957</v>
      </c>
      <c r="H173" s="164">
        <v>48153</v>
      </c>
    </row>
    <row r="174" spans="1:8" x14ac:dyDescent="0.25">
      <c r="A174" s="152" t="s">
        <v>249</v>
      </c>
      <c r="B174" s="152"/>
      <c r="C174" s="152">
        <v>21</v>
      </c>
      <c r="D174" s="164">
        <v>10380</v>
      </c>
      <c r="E174" s="152">
        <v>9</v>
      </c>
      <c r="F174" s="164">
        <v>2209</v>
      </c>
      <c r="G174" s="152">
        <v>211</v>
      </c>
      <c r="H174" s="164">
        <v>12830</v>
      </c>
    </row>
    <row r="175" spans="1:8" x14ac:dyDescent="0.25">
      <c r="A175" s="152" t="s">
        <v>250</v>
      </c>
      <c r="B175" s="152"/>
      <c r="C175" s="152">
        <v>8</v>
      </c>
      <c r="D175" s="164">
        <v>3845</v>
      </c>
      <c r="E175" s="152">
        <v>2</v>
      </c>
      <c r="F175" s="152">
        <v>841</v>
      </c>
      <c r="G175" s="152">
        <v>90</v>
      </c>
      <c r="H175" s="164">
        <v>4786</v>
      </c>
    </row>
    <row r="176" spans="1:8" ht="30" x14ac:dyDescent="0.25">
      <c r="A176" s="152" t="s">
        <v>251</v>
      </c>
      <c r="B176" s="152"/>
      <c r="C176" s="152">
        <v>30</v>
      </c>
      <c r="D176" s="164">
        <v>12944</v>
      </c>
      <c r="E176" s="152">
        <v>1</v>
      </c>
      <c r="F176" s="164">
        <v>2516</v>
      </c>
      <c r="G176" s="152">
        <v>277</v>
      </c>
      <c r="H176" s="164">
        <v>15768</v>
      </c>
    </row>
    <row r="177" spans="1:8" ht="30" x14ac:dyDescent="0.25">
      <c r="A177" s="152" t="s">
        <v>252</v>
      </c>
      <c r="B177" s="152"/>
      <c r="C177" s="152">
        <v>21</v>
      </c>
      <c r="D177" s="164">
        <v>9778</v>
      </c>
      <c r="E177" s="152">
        <v>2</v>
      </c>
      <c r="F177" s="164">
        <v>1826</v>
      </c>
      <c r="G177" s="152">
        <v>230</v>
      </c>
      <c r="H177" s="164">
        <v>11857</v>
      </c>
    </row>
    <row r="178" spans="1:8" ht="30" x14ac:dyDescent="0.25">
      <c r="A178" s="152" t="s">
        <v>253</v>
      </c>
      <c r="B178" s="152"/>
      <c r="C178" s="152">
        <v>11</v>
      </c>
      <c r="D178" s="164">
        <v>7565</v>
      </c>
      <c r="E178" s="152">
        <v>5</v>
      </c>
      <c r="F178" s="164">
        <v>1496</v>
      </c>
      <c r="G178" s="152">
        <v>160</v>
      </c>
      <c r="H178" s="164">
        <v>9237</v>
      </c>
    </row>
    <row r="179" spans="1:8" x14ac:dyDescent="0.25">
      <c r="A179" s="152"/>
      <c r="H179" s="161"/>
    </row>
    <row r="180" spans="1:8" x14ac:dyDescent="0.25">
      <c r="A180" s="152" t="s">
        <v>36</v>
      </c>
      <c r="B180" s="152"/>
      <c r="C180" s="153">
        <f>SUM(C146:C179)</f>
        <v>404</v>
      </c>
      <c r="D180" s="153">
        <f t="shared" ref="D180:H180" si="3">SUM(D146:D179)</f>
        <v>157393</v>
      </c>
      <c r="E180" s="153">
        <f t="shared" si="3"/>
        <v>81</v>
      </c>
      <c r="F180" s="153">
        <f t="shared" si="3"/>
        <v>32570</v>
      </c>
      <c r="G180" s="153">
        <f t="shared" si="3"/>
        <v>3569</v>
      </c>
      <c r="H180" s="153">
        <f t="shared" si="3"/>
        <v>194017</v>
      </c>
    </row>
    <row r="181" spans="1:8" x14ac:dyDescent="0.25">
      <c r="A181" s="152"/>
      <c r="B181" s="152"/>
      <c r="C181" s="152"/>
      <c r="D181" s="152"/>
      <c r="E181" s="165"/>
      <c r="F181" s="165"/>
      <c r="G181" s="165"/>
      <c r="H181" s="162"/>
    </row>
    <row r="185" spans="1:8" ht="45" x14ac:dyDescent="0.25">
      <c r="A185" s="152" t="s">
        <v>517</v>
      </c>
      <c r="B185" s="152" t="s">
        <v>518</v>
      </c>
      <c r="C185" s="152">
        <v>7</v>
      </c>
      <c r="D185" s="172"/>
      <c r="E185" s="172"/>
      <c r="F185" s="173"/>
    </row>
    <row r="186" spans="1:8" x14ac:dyDescent="0.25">
      <c r="A186" s="152"/>
      <c r="B186" s="152"/>
      <c r="C186" s="152"/>
      <c r="D186" s="152"/>
      <c r="F186" s="161"/>
    </row>
    <row r="187" spans="1:8" ht="30" x14ac:dyDescent="0.25">
      <c r="A187" s="152"/>
      <c r="B187" s="152"/>
      <c r="C187" s="152" t="s">
        <v>516</v>
      </c>
      <c r="D187" s="152"/>
      <c r="F187" s="161"/>
    </row>
    <row r="188" spans="1:8" x14ac:dyDescent="0.25">
      <c r="A188" s="152" t="s">
        <v>141</v>
      </c>
      <c r="B188" s="152" t="s">
        <v>495</v>
      </c>
      <c r="C188" s="152" t="s">
        <v>496</v>
      </c>
      <c r="D188" s="152" t="s">
        <v>497</v>
      </c>
      <c r="E188" s="152" t="s">
        <v>498</v>
      </c>
      <c r="F188" s="152" t="s">
        <v>499</v>
      </c>
      <c r="G188" s="152" t="s">
        <v>36</v>
      </c>
    </row>
    <row r="189" spans="1:8" x14ac:dyDescent="0.25">
      <c r="A189" s="152"/>
      <c r="B189" s="152"/>
      <c r="C189" s="152"/>
      <c r="D189" s="152"/>
      <c r="E189" s="176"/>
      <c r="G189" s="161"/>
    </row>
    <row r="190" spans="1:8" ht="30" x14ac:dyDescent="0.25">
      <c r="A190" s="152" t="s">
        <v>254</v>
      </c>
      <c r="B190" s="152">
        <v>27</v>
      </c>
      <c r="C190" s="164">
        <v>9982</v>
      </c>
      <c r="D190" s="152">
        <v>12</v>
      </c>
      <c r="E190" s="164">
        <v>1856</v>
      </c>
      <c r="F190" s="152">
        <v>174</v>
      </c>
      <c r="G190" s="164">
        <v>12051</v>
      </c>
    </row>
    <row r="191" spans="1:8" x14ac:dyDescent="0.25">
      <c r="A191" s="152" t="s">
        <v>255</v>
      </c>
      <c r="B191" s="152">
        <v>5</v>
      </c>
      <c r="C191" s="164">
        <v>1892</v>
      </c>
      <c r="D191">
        <v>0</v>
      </c>
      <c r="E191" s="152">
        <v>397</v>
      </c>
      <c r="F191" s="152">
        <v>50</v>
      </c>
      <c r="G191" s="164">
        <v>2344</v>
      </c>
    </row>
    <row r="192" spans="1:8" x14ac:dyDescent="0.25">
      <c r="A192" s="152" t="s">
        <v>256</v>
      </c>
      <c r="B192" s="152">
        <v>8</v>
      </c>
      <c r="C192" s="164">
        <v>3773</v>
      </c>
      <c r="D192" s="152">
        <v>1</v>
      </c>
      <c r="E192" s="152">
        <v>786</v>
      </c>
      <c r="F192" s="152">
        <v>83</v>
      </c>
      <c r="G192" s="164">
        <v>4651</v>
      </c>
    </row>
    <row r="193" spans="1:7" ht="30" x14ac:dyDescent="0.25">
      <c r="A193" s="152" t="s">
        <v>257</v>
      </c>
      <c r="B193" s="152">
        <v>33</v>
      </c>
      <c r="C193" s="164">
        <v>8007</v>
      </c>
      <c r="D193" s="152">
        <v>3</v>
      </c>
      <c r="E193" s="164">
        <v>1747</v>
      </c>
      <c r="F193" s="152">
        <v>172</v>
      </c>
      <c r="G193" s="164">
        <v>9962</v>
      </c>
    </row>
    <row r="194" spans="1:7" x14ac:dyDescent="0.25">
      <c r="A194" s="152" t="s">
        <v>258</v>
      </c>
      <c r="B194" s="152">
        <v>8</v>
      </c>
      <c r="C194" s="164">
        <v>2551</v>
      </c>
      <c r="D194" s="185">
        <v>0</v>
      </c>
      <c r="E194" s="152">
        <v>610</v>
      </c>
      <c r="F194" s="152">
        <v>32</v>
      </c>
      <c r="G194" s="164">
        <v>3201</v>
      </c>
    </row>
    <row r="195" spans="1:7" x14ac:dyDescent="0.25">
      <c r="A195" s="152" t="s">
        <v>259</v>
      </c>
      <c r="B195" s="152">
        <v>47</v>
      </c>
      <c r="C195" s="164">
        <v>25031</v>
      </c>
      <c r="D195" s="152">
        <v>16</v>
      </c>
      <c r="E195" s="164">
        <v>3837</v>
      </c>
      <c r="F195" s="152">
        <v>537</v>
      </c>
      <c r="G195" s="164">
        <v>29468</v>
      </c>
    </row>
    <row r="196" spans="1:7" ht="30" x14ac:dyDescent="0.25">
      <c r="A196" s="152" t="s">
        <v>260</v>
      </c>
      <c r="B196" s="152">
        <v>2</v>
      </c>
      <c r="C196" s="152">
        <v>706</v>
      </c>
      <c r="D196" s="185">
        <v>0</v>
      </c>
      <c r="E196" s="152">
        <v>180</v>
      </c>
      <c r="F196" s="152">
        <v>11</v>
      </c>
      <c r="G196" s="152">
        <v>899</v>
      </c>
    </row>
    <row r="197" spans="1:7" x14ac:dyDescent="0.25">
      <c r="A197" s="152" t="s">
        <v>510</v>
      </c>
      <c r="B197" s="152">
        <v>5</v>
      </c>
      <c r="C197" s="164">
        <v>2353</v>
      </c>
      <c r="D197" s="185">
        <v>0</v>
      </c>
      <c r="E197" s="152">
        <v>435</v>
      </c>
      <c r="F197" s="152">
        <v>28</v>
      </c>
      <c r="G197" s="164">
        <v>2821</v>
      </c>
    </row>
    <row r="198" spans="1:7" x14ac:dyDescent="0.25">
      <c r="A198" s="152" t="s">
        <v>261</v>
      </c>
      <c r="B198" s="152">
        <v>3</v>
      </c>
      <c r="C198" s="164">
        <v>1378</v>
      </c>
      <c r="D198" s="152">
        <v>1</v>
      </c>
      <c r="E198" s="152">
        <v>199</v>
      </c>
      <c r="F198" s="152">
        <v>26</v>
      </c>
      <c r="G198" s="164">
        <v>1607</v>
      </c>
    </row>
    <row r="199" spans="1:7" x14ac:dyDescent="0.25">
      <c r="A199" s="152" t="s">
        <v>262</v>
      </c>
      <c r="B199" s="152">
        <v>46</v>
      </c>
      <c r="C199" s="164">
        <v>17260</v>
      </c>
      <c r="D199" s="152">
        <v>10</v>
      </c>
      <c r="E199" s="164">
        <v>3215</v>
      </c>
      <c r="F199" s="152">
        <v>325</v>
      </c>
      <c r="G199" s="164">
        <v>20856</v>
      </c>
    </row>
    <row r="200" spans="1:7" x14ac:dyDescent="0.25">
      <c r="A200" s="152" t="s">
        <v>263</v>
      </c>
      <c r="B200" s="152">
        <v>9</v>
      </c>
      <c r="C200" s="164">
        <v>5818</v>
      </c>
      <c r="D200" s="185">
        <v>0</v>
      </c>
      <c r="E200" s="164">
        <v>1235</v>
      </c>
      <c r="F200" s="152">
        <v>146</v>
      </c>
      <c r="G200" s="164">
        <v>7208</v>
      </c>
    </row>
    <row r="201" spans="1:7" x14ac:dyDescent="0.25">
      <c r="A201" s="152" t="s">
        <v>264</v>
      </c>
      <c r="B201" s="152">
        <v>6</v>
      </c>
      <c r="C201" s="164">
        <v>5115</v>
      </c>
      <c r="D201" s="152">
        <v>2</v>
      </c>
      <c r="E201" s="164">
        <v>1016</v>
      </c>
      <c r="F201" s="152">
        <v>159</v>
      </c>
      <c r="G201" s="164">
        <v>6298</v>
      </c>
    </row>
    <row r="202" spans="1:7" x14ac:dyDescent="0.25">
      <c r="A202" s="152" t="s">
        <v>265</v>
      </c>
      <c r="B202" s="152">
        <v>18</v>
      </c>
      <c r="C202" s="164">
        <v>7962</v>
      </c>
      <c r="D202" s="152">
        <v>7</v>
      </c>
      <c r="E202" s="164">
        <v>1147</v>
      </c>
      <c r="F202" s="152">
        <v>157</v>
      </c>
      <c r="G202" s="164">
        <v>9291</v>
      </c>
    </row>
    <row r="203" spans="1:7" x14ac:dyDescent="0.25">
      <c r="A203" s="152" t="s">
        <v>266</v>
      </c>
      <c r="B203" s="152">
        <v>29</v>
      </c>
      <c r="C203" s="164">
        <v>8694</v>
      </c>
      <c r="D203" s="152">
        <v>8</v>
      </c>
      <c r="E203" s="164">
        <v>1726</v>
      </c>
      <c r="F203" s="152">
        <v>175</v>
      </c>
      <c r="G203" s="164">
        <v>10632</v>
      </c>
    </row>
    <row r="204" spans="1:7" x14ac:dyDescent="0.25">
      <c r="A204" s="152" t="s">
        <v>267</v>
      </c>
      <c r="B204" s="152">
        <v>0</v>
      </c>
      <c r="C204" s="164">
        <v>1678</v>
      </c>
      <c r="D204" s="185">
        <v>0</v>
      </c>
      <c r="E204" s="152">
        <v>292</v>
      </c>
      <c r="F204" s="152">
        <v>38</v>
      </c>
      <c r="G204" s="164">
        <v>2008</v>
      </c>
    </row>
    <row r="205" spans="1:7" x14ac:dyDescent="0.25">
      <c r="A205" s="152" t="s">
        <v>268</v>
      </c>
      <c r="B205" s="152">
        <v>7</v>
      </c>
      <c r="C205" s="164">
        <v>1433</v>
      </c>
      <c r="D205" s="185">
        <v>0</v>
      </c>
      <c r="E205" s="152">
        <v>320</v>
      </c>
      <c r="F205" s="152">
        <v>35</v>
      </c>
      <c r="G205" s="164">
        <v>1795</v>
      </c>
    </row>
    <row r="206" spans="1:7" x14ac:dyDescent="0.25">
      <c r="A206" s="152" t="s">
        <v>269</v>
      </c>
      <c r="B206" s="152">
        <v>4</v>
      </c>
      <c r="C206" s="164">
        <v>1631</v>
      </c>
      <c r="D206" s="185">
        <v>0</v>
      </c>
      <c r="E206" s="152">
        <v>224</v>
      </c>
      <c r="F206" s="152">
        <v>34</v>
      </c>
      <c r="G206" s="164">
        <v>1893</v>
      </c>
    </row>
    <row r="207" spans="1:7" x14ac:dyDescent="0.25">
      <c r="A207" s="152" t="s">
        <v>270</v>
      </c>
      <c r="B207" s="152">
        <v>2</v>
      </c>
      <c r="C207" s="164">
        <v>1880</v>
      </c>
      <c r="D207" s="185">
        <v>0</v>
      </c>
      <c r="E207" s="152">
        <v>248</v>
      </c>
      <c r="F207" s="152">
        <v>31</v>
      </c>
      <c r="G207" s="164">
        <v>2161</v>
      </c>
    </row>
    <row r="208" spans="1:7" x14ac:dyDescent="0.25">
      <c r="A208" s="152" t="s">
        <v>271</v>
      </c>
      <c r="B208" s="152">
        <v>7</v>
      </c>
      <c r="C208" s="164">
        <v>4002</v>
      </c>
      <c r="D208" s="152">
        <v>2</v>
      </c>
      <c r="E208" s="152">
        <v>872</v>
      </c>
      <c r="F208" s="152">
        <v>73</v>
      </c>
      <c r="G208" s="164">
        <v>4956</v>
      </c>
    </row>
    <row r="209" spans="1:7" x14ac:dyDescent="0.25">
      <c r="A209" s="152" t="s">
        <v>272</v>
      </c>
      <c r="B209" s="152">
        <v>2</v>
      </c>
      <c r="C209" s="164">
        <v>2570</v>
      </c>
      <c r="D209" s="185">
        <v>0</v>
      </c>
      <c r="E209" s="152">
        <v>522</v>
      </c>
      <c r="F209" s="152">
        <v>55</v>
      </c>
      <c r="G209" s="164">
        <v>3149</v>
      </c>
    </row>
    <row r="210" spans="1:7" x14ac:dyDescent="0.25">
      <c r="A210" s="152" t="s">
        <v>273</v>
      </c>
      <c r="B210" s="152">
        <v>2</v>
      </c>
      <c r="C210" s="164">
        <v>2439</v>
      </c>
      <c r="D210" s="185">
        <v>0</v>
      </c>
      <c r="E210" s="152">
        <v>350</v>
      </c>
      <c r="F210" s="152">
        <v>56</v>
      </c>
      <c r="G210" s="164">
        <v>2847</v>
      </c>
    </row>
    <row r="211" spans="1:7" ht="30" x14ac:dyDescent="0.25">
      <c r="A211" s="152" t="s">
        <v>274</v>
      </c>
      <c r="B211" s="152">
        <v>8</v>
      </c>
      <c r="C211" s="164">
        <v>3367</v>
      </c>
      <c r="D211" s="152">
        <v>3</v>
      </c>
      <c r="E211" s="152">
        <v>458</v>
      </c>
      <c r="F211" s="152">
        <v>71</v>
      </c>
      <c r="G211" s="164">
        <v>3907</v>
      </c>
    </row>
    <row r="212" spans="1:7" ht="30" x14ac:dyDescent="0.25">
      <c r="A212" s="152" t="s">
        <v>275</v>
      </c>
      <c r="B212" s="152">
        <v>19</v>
      </c>
      <c r="C212" s="164">
        <v>7507</v>
      </c>
      <c r="D212" s="152">
        <v>2</v>
      </c>
      <c r="E212" s="164">
        <v>1281</v>
      </c>
      <c r="F212" s="152">
        <v>139</v>
      </c>
      <c r="G212" s="164">
        <v>8948</v>
      </c>
    </row>
    <row r="213" spans="1:7" x14ac:dyDescent="0.25">
      <c r="A213" s="152" t="s">
        <v>276</v>
      </c>
      <c r="B213" s="152">
        <v>32</v>
      </c>
      <c r="C213" s="164">
        <v>8613</v>
      </c>
      <c r="D213" s="152">
        <v>2</v>
      </c>
      <c r="E213" s="164">
        <v>1325</v>
      </c>
      <c r="F213" s="152">
        <v>147</v>
      </c>
      <c r="G213" s="164">
        <v>10119</v>
      </c>
    </row>
    <row r="214" spans="1:7" ht="30" x14ac:dyDescent="0.25">
      <c r="A214" s="152" t="s">
        <v>277</v>
      </c>
      <c r="B214" s="152">
        <v>2</v>
      </c>
      <c r="C214" s="164">
        <v>1608</v>
      </c>
      <c r="E214" s="152">
        <v>390</v>
      </c>
      <c r="F214" s="152">
        <v>30</v>
      </c>
      <c r="G214" s="164">
        <v>2030</v>
      </c>
    </row>
    <row r="215" spans="1:7" x14ac:dyDescent="0.25">
      <c r="A215" s="152" t="s">
        <v>278</v>
      </c>
      <c r="B215" s="152">
        <v>105</v>
      </c>
      <c r="C215" s="164">
        <v>39306</v>
      </c>
      <c r="D215" s="152">
        <v>26</v>
      </c>
      <c r="E215" s="164">
        <v>7612</v>
      </c>
      <c r="F215" s="152">
        <v>865</v>
      </c>
      <c r="G215" s="164">
        <v>47914</v>
      </c>
    </row>
    <row r="216" spans="1:7" x14ac:dyDescent="0.25">
      <c r="A216" s="152" t="s">
        <v>279</v>
      </c>
      <c r="B216" s="152">
        <v>14</v>
      </c>
      <c r="C216" s="164">
        <v>5362</v>
      </c>
      <c r="D216" s="152">
        <v>3</v>
      </c>
      <c r="E216" s="152">
        <v>834</v>
      </c>
      <c r="F216" s="152">
        <v>136</v>
      </c>
      <c r="G216" s="164">
        <v>6349</v>
      </c>
    </row>
    <row r="217" spans="1:7" ht="30" x14ac:dyDescent="0.25">
      <c r="A217" s="152" t="s">
        <v>280</v>
      </c>
      <c r="B217" s="152">
        <v>1</v>
      </c>
      <c r="C217" s="152">
        <v>864</v>
      </c>
      <c r="D217" s="152">
        <v>1</v>
      </c>
      <c r="E217" s="152">
        <v>135</v>
      </c>
      <c r="F217" s="152">
        <v>24</v>
      </c>
      <c r="G217" s="164">
        <v>1025</v>
      </c>
    </row>
    <row r="218" spans="1:7" ht="30" x14ac:dyDescent="0.25">
      <c r="A218" s="152" t="s">
        <v>281</v>
      </c>
      <c r="B218" s="152">
        <v>8</v>
      </c>
      <c r="C218" s="164">
        <v>3230</v>
      </c>
      <c r="D218" s="152">
        <v>1</v>
      </c>
      <c r="E218" s="152">
        <v>631</v>
      </c>
      <c r="F218" s="152">
        <v>64</v>
      </c>
      <c r="G218" s="164">
        <v>3934</v>
      </c>
    </row>
    <row r="219" spans="1:7" ht="30" x14ac:dyDescent="0.25">
      <c r="A219" s="152" t="s">
        <v>282</v>
      </c>
      <c r="B219" s="152">
        <v>5</v>
      </c>
      <c r="C219" s="164">
        <v>3240</v>
      </c>
      <c r="D219" s="152">
        <v>1</v>
      </c>
      <c r="E219" s="152">
        <v>558</v>
      </c>
      <c r="F219" s="152">
        <v>77</v>
      </c>
      <c r="G219" s="164">
        <v>3881</v>
      </c>
    </row>
    <row r="220" spans="1:7" x14ac:dyDescent="0.25">
      <c r="A220" s="152" t="s">
        <v>36</v>
      </c>
      <c r="B220" s="153">
        <f>SUM(B190:B219)</f>
        <v>464</v>
      </c>
      <c r="C220" s="153">
        <f t="shared" ref="C220:G220" si="4">SUM(C190:C219)</f>
        <v>189252</v>
      </c>
      <c r="D220" s="153">
        <f t="shared" si="4"/>
        <v>101</v>
      </c>
      <c r="E220" s="153">
        <f t="shared" si="4"/>
        <v>34438</v>
      </c>
      <c r="F220" s="153">
        <f t="shared" si="4"/>
        <v>3950</v>
      </c>
      <c r="G220" s="153">
        <f t="shared" si="4"/>
        <v>228205</v>
      </c>
    </row>
    <row r="221" spans="1:7" x14ac:dyDescent="0.25">
      <c r="A221" s="152"/>
      <c r="B221" s="152"/>
      <c r="C221" s="152"/>
      <c r="D221" s="152"/>
      <c r="E221" s="188"/>
      <c r="F221" s="165"/>
      <c r="G221" s="162"/>
    </row>
    <row r="225" spans="1:8" ht="45" x14ac:dyDescent="0.25">
      <c r="A225" s="152" t="s">
        <v>283</v>
      </c>
      <c r="B225" s="172"/>
      <c r="C225" s="172"/>
      <c r="D225" s="172"/>
      <c r="E225" s="173"/>
    </row>
    <row r="226" spans="1:8" x14ac:dyDescent="0.25">
      <c r="A226" s="152"/>
      <c r="B226" s="152"/>
      <c r="C226" s="152"/>
      <c r="E226" s="161"/>
    </row>
    <row r="227" spans="1:8" x14ac:dyDescent="0.25">
      <c r="A227" s="152"/>
      <c r="B227" s="152"/>
      <c r="C227" s="152"/>
      <c r="D227" s="172"/>
      <c r="E227" s="172"/>
      <c r="F227" s="172"/>
      <c r="G227" s="173"/>
    </row>
    <row r="228" spans="1:8" ht="30" x14ac:dyDescent="0.25">
      <c r="A228" s="152"/>
      <c r="B228" s="152"/>
      <c r="C228" s="152" t="s">
        <v>516</v>
      </c>
      <c r="D228" s="152"/>
      <c r="G228" s="161"/>
    </row>
    <row r="229" spans="1:8" x14ac:dyDescent="0.25">
      <c r="A229" s="152" t="s">
        <v>141</v>
      </c>
      <c r="B229" s="152" t="s">
        <v>495</v>
      </c>
      <c r="C229" s="152" t="s">
        <v>496</v>
      </c>
      <c r="D229" s="152" t="s">
        <v>497</v>
      </c>
      <c r="E229" s="152" t="s">
        <v>498</v>
      </c>
      <c r="F229" s="152" t="s">
        <v>499</v>
      </c>
      <c r="G229" s="152" t="s">
        <v>36</v>
      </c>
      <c r="H229" s="161"/>
    </row>
    <row r="230" spans="1:8" x14ac:dyDescent="0.25">
      <c r="A230" s="152"/>
      <c r="B230" s="152"/>
      <c r="C230" s="152"/>
      <c r="H230" s="161"/>
    </row>
    <row r="231" spans="1:8" ht="30" x14ac:dyDescent="0.25">
      <c r="A231" s="152" t="s">
        <v>284</v>
      </c>
      <c r="B231" s="152">
        <v>4</v>
      </c>
      <c r="C231" s="152">
        <v>815</v>
      </c>
      <c r="D231" s="152">
        <v>0</v>
      </c>
      <c r="E231" s="152">
        <v>128</v>
      </c>
      <c r="F231" s="152">
        <v>23</v>
      </c>
      <c r="G231" s="152">
        <v>970</v>
      </c>
      <c r="H231" s="161"/>
    </row>
    <row r="232" spans="1:8" x14ac:dyDescent="0.25">
      <c r="A232" s="152" t="s">
        <v>285</v>
      </c>
      <c r="B232" s="152">
        <v>4</v>
      </c>
      <c r="C232" s="152">
        <v>863</v>
      </c>
      <c r="D232" s="152">
        <v>0</v>
      </c>
      <c r="E232" s="152">
        <v>151</v>
      </c>
      <c r="F232" s="152">
        <v>9</v>
      </c>
      <c r="G232" s="164">
        <v>1027</v>
      </c>
      <c r="H232" s="161"/>
    </row>
    <row r="233" spans="1:8" x14ac:dyDescent="0.25">
      <c r="A233" s="152" t="s">
        <v>286</v>
      </c>
      <c r="B233" s="152">
        <v>16</v>
      </c>
      <c r="C233" s="164">
        <v>5959</v>
      </c>
      <c r="D233" s="152">
        <v>3</v>
      </c>
      <c r="E233" s="164">
        <v>1709</v>
      </c>
      <c r="F233" s="152">
        <v>121</v>
      </c>
      <c r="G233" s="164">
        <v>7808</v>
      </c>
      <c r="H233" s="161"/>
    </row>
    <row r="234" spans="1:8" x14ac:dyDescent="0.25">
      <c r="A234" s="152" t="s">
        <v>287</v>
      </c>
      <c r="B234" s="152">
        <v>18</v>
      </c>
      <c r="C234" s="164">
        <v>5555</v>
      </c>
      <c r="D234" s="152">
        <v>3</v>
      </c>
      <c r="E234" s="164">
        <v>1081</v>
      </c>
      <c r="F234" s="152">
        <v>116</v>
      </c>
      <c r="G234" s="164">
        <v>6773</v>
      </c>
      <c r="H234" s="161"/>
    </row>
    <row r="235" spans="1:8" x14ac:dyDescent="0.25">
      <c r="A235" s="152" t="s">
        <v>511</v>
      </c>
      <c r="B235" s="152">
        <v>11</v>
      </c>
      <c r="C235" s="164">
        <v>6031</v>
      </c>
      <c r="D235" s="186">
        <v>0</v>
      </c>
      <c r="E235" s="164">
        <v>1432</v>
      </c>
      <c r="F235" s="152">
        <v>117</v>
      </c>
      <c r="G235" s="164">
        <v>7591</v>
      </c>
      <c r="H235" s="161"/>
    </row>
    <row r="236" spans="1:8" ht="30" x14ac:dyDescent="0.25">
      <c r="A236" s="152" t="s">
        <v>288</v>
      </c>
      <c r="B236" s="152">
        <v>44</v>
      </c>
      <c r="C236" s="164">
        <v>13344</v>
      </c>
      <c r="D236" s="152">
        <v>12</v>
      </c>
      <c r="E236" s="164">
        <v>2946</v>
      </c>
      <c r="F236" s="152">
        <v>274</v>
      </c>
      <c r="G236" s="164">
        <v>16620</v>
      </c>
      <c r="H236" s="161"/>
    </row>
    <row r="237" spans="1:8" ht="30" x14ac:dyDescent="0.25">
      <c r="A237" s="152" t="s">
        <v>289</v>
      </c>
      <c r="B237" s="152">
        <v>113</v>
      </c>
      <c r="C237" s="164">
        <v>35778</v>
      </c>
      <c r="D237" s="152">
        <v>37</v>
      </c>
      <c r="E237" s="164">
        <v>8576</v>
      </c>
      <c r="F237" s="152">
        <v>804</v>
      </c>
      <c r="G237" s="164">
        <v>45308</v>
      </c>
      <c r="H237" s="161"/>
    </row>
    <row r="238" spans="1:8" x14ac:dyDescent="0.25">
      <c r="A238" s="152" t="s">
        <v>290</v>
      </c>
      <c r="B238" s="152">
        <v>3</v>
      </c>
      <c r="C238" s="164">
        <v>1171</v>
      </c>
      <c r="D238" s="152">
        <v>1</v>
      </c>
      <c r="E238" s="152">
        <v>424</v>
      </c>
      <c r="F238" s="152">
        <v>50</v>
      </c>
      <c r="G238" s="164">
        <v>1649</v>
      </c>
      <c r="H238" s="161"/>
    </row>
    <row r="239" spans="1:8" x14ac:dyDescent="0.25">
      <c r="A239" s="152" t="s">
        <v>291</v>
      </c>
      <c r="B239" s="152">
        <v>45</v>
      </c>
      <c r="C239" s="164">
        <v>18189</v>
      </c>
      <c r="D239" s="152">
        <v>11</v>
      </c>
      <c r="E239" s="164">
        <v>4342</v>
      </c>
      <c r="F239" s="152">
        <v>373</v>
      </c>
      <c r="G239" s="164">
        <v>22960</v>
      </c>
      <c r="H239" s="161"/>
    </row>
    <row r="240" spans="1:8" ht="30" x14ac:dyDescent="0.25">
      <c r="A240" s="152" t="s">
        <v>292</v>
      </c>
      <c r="B240" s="152">
        <v>22</v>
      </c>
      <c r="C240" s="164">
        <v>5903</v>
      </c>
      <c r="D240" s="152">
        <v>2</v>
      </c>
      <c r="E240" s="164">
        <v>1890</v>
      </c>
      <c r="F240" s="152">
        <v>107</v>
      </c>
      <c r="G240" s="164">
        <v>7924</v>
      </c>
      <c r="H240" s="161"/>
    </row>
    <row r="241" spans="1:9" x14ac:dyDescent="0.25">
      <c r="A241" s="152" t="s">
        <v>293</v>
      </c>
      <c r="B241" s="152">
        <v>2</v>
      </c>
      <c r="C241" s="164">
        <v>2299</v>
      </c>
      <c r="D241" s="164">
        <v>0</v>
      </c>
      <c r="E241" s="152">
        <v>393</v>
      </c>
      <c r="F241" s="152">
        <v>45</v>
      </c>
      <c r="G241" s="164">
        <v>2739</v>
      </c>
      <c r="I241" s="161"/>
    </row>
    <row r="242" spans="1:9" x14ac:dyDescent="0.25">
      <c r="A242" s="152" t="s">
        <v>294</v>
      </c>
      <c r="B242" s="152">
        <v>44</v>
      </c>
      <c r="C242" s="164">
        <v>15216</v>
      </c>
      <c r="D242" s="152">
        <v>11</v>
      </c>
      <c r="E242" s="164">
        <v>3105</v>
      </c>
      <c r="F242" s="152">
        <v>292</v>
      </c>
      <c r="G242" s="164">
        <v>18668</v>
      </c>
      <c r="H242" s="161"/>
    </row>
    <row r="243" spans="1:9" x14ac:dyDescent="0.25">
      <c r="A243" s="152" t="s">
        <v>295</v>
      </c>
      <c r="B243" s="152">
        <v>10</v>
      </c>
      <c r="C243" s="164">
        <v>3863</v>
      </c>
      <c r="D243" s="152">
        <v>3</v>
      </c>
      <c r="E243" s="152">
        <v>829</v>
      </c>
      <c r="F243" s="152">
        <v>90</v>
      </c>
      <c r="G243" s="164">
        <v>4795</v>
      </c>
      <c r="H243" s="161"/>
    </row>
    <row r="244" spans="1:9" x14ac:dyDescent="0.25">
      <c r="A244" s="152" t="s">
        <v>296</v>
      </c>
      <c r="B244" s="152">
        <v>16</v>
      </c>
      <c r="C244" s="164">
        <v>5049</v>
      </c>
      <c r="D244" s="152">
        <v>1</v>
      </c>
      <c r="E244" s="164">
        <v>1158</v>
      </c>
      <c r="F244" s="152">
        <v>108</v>
      </c>
      <c r="G244" s="164">
        <v>6332</v>
      </c>
      <c r="H244" s="161"/>
    </row>
    <row r="245" spans="1:9" x14ac:dyDescent="0.25">
      <c r="A245" s="152" t="s">
        <v>297</v>
      </c>
      <c r="B245" s="152">
        <v>11</v>
      </c>
      <c r="C245" s="164">
        <v>4313</v>
      </c>
      <c r="D245" s="152">
        <v>1</v>
      </c>
      <c r="E245" s="163">
        <v>1292</v>
      </c>
      <c r="F245" s="152">
        <v>115</v>
      </c>
      <c r="G245" s="164">
        <v>5732</v>
      </c>
      <c r="H245" s="161"/>
    </row>
    <row r="246" spans="1:9" ht="30" x14ac:dyDescent="0.25">
      <c r="A246" s="152" t="s">
        <v>298</v>
      </c>
      <c r="B246" s="152">
        <v>10</v>
      </c>
      <c r="C246" s="164">
        <v>3287</v>
      </c>
      <c r="D246" s="152">
        <v>1</v>
      </c>
      <c r="E246">
        <v>768</v>
      </c>
      <c r="F246" s="152">
        <v>71</v>
      </c>
      <c r="G246" s="164">
        <v>4137</v>
      </c>
      <c r="H246" s="161"/>
    </row>
    <row r="247" spans="1:9" ht="30" x14ac:dyDescent="0.25">
      <c r="A247" s="152" t="s">
        <v>299</v>
      </c>
      <c r="B247" s="152">
        <v>78</v>
      </c>
      <c r="C247" s="164">
        <v>33883</v>
      </c>
      <c r="D247" s="152">
        <v>13</v>
      </c>
      <c r="E247" s="163">
        <v>6500</v>
      </c>
      <c r="F247" s="152">
        <v>708</v>
      </c>
      <c r="G247" s="164">
        <v>41182</v>
      </c>
      <c r="H247" s="161"/>
    </row>
    <row r="248" spans="1:9" x14ac:dyDescent="0.25">
      <c r="A248" s="152" t="s">
        <v>300</v>
      </c>
      <c r="B248" s="152">
        <v>22</v>
      </c>
      <c r="C248" s="164">
        <v>9398</v>
      </c>
      <c r="D248" s="152">
        <v>3</v>
      </c>
      <c r="E248" s="163">
        <v>2441</v>
      </c>
      <c r="F248" s="152">
        <v>172</v>
      </c>
      <c r="G248" s="164">
        <v>12036</v>
      </c>
      <c r="H248" s="161"/>
    </row>
    <row r="249" spans="1:9" x14ac:dyDescent="0.25">
      <c r="A249" s="152" t="s">
        <v>301</v>
      </c>
      <c r="B249" s="152">
        <v>20</v>
      </c>
      <c r="C249" s="164">
        <v>6090</v>
      </c>
      <c r="D249" s="152">
        <v>6</v>
      </c>
      <c r="E249" s="163">
        <v>1218</v>
      </c>
      <c r="F249" s="152">
        <v>125</v>
      </c>
      <c r="G249" s="164">
        <v>7459</v>
      </c>
      <c r="H249" s="161"/>
    </row>
    <row r="250" spans="1:9" ht="30" x14ac:dyDescent="0.25">
      <c r="A250" s="152" t="s">
        <v>302</v>
      </c>
      <c r="B250" s="152">
        <v>10</v>
      </c>
      <c r="C250" s="164">
        <v>5056</v>
      </c>
      <c r="D250" s="152">
        <v>4</v>
      </c>
      <c r="E250" s="163">
        <v>1117</v>
      </c>
      <c r="F250" s="152">
        <v>110</v>
      </c>
      <c r="G250" s="164">
        <v>6297</v>
      </c>
      <c r="H250" s="161"/>
    </row>
    <row r="251" spans="1:9" x14ac:dyDescent="0.25">
      <c r="A251" s="152" t="s">
        <v>303</v>
      </c>
      <c r="B251" s="152">
        <v>8</v>
      </c>
      <c r="C251" s="164">
        <v>1921</v>
      </c>
      <c r="E251" s="152">
        <v>324</v>
      </c>
      <c r="F251" s="152">
        <v>47</v>
      </c>
      <c r="G251" s="164">
        <v>2300</v>
      </c>
      <c r="H251" s="161"/>
    </row>
    <row r="252" spans="1:9" x14ac:dyDescent="0.25">
      <c r="A252" s="152" t="s">
        <v>304</v>
      </c>
      <c r="B252" s="152">
        <v>22</v>
      </c>
      <c r="C252" s="164">
        <v>8390</v>
      </c>
      <c r="D252" s="152">
        <v>2</v>
      </c>
      <c r="E252" s="163">
        <v>1974</v>
      </c>
      <c r="F252" s="152">
        <v>155</v>
      </c>
      <c r="G252" s="164">
        <v>10543</v>
      </c>
      <c r="H252" s="161"/>
    </row>
    <row r="253" spans="1:9" x14ac:dyDescent="0.25">
      <c r="A253" s="152" t="s">
        <v>305</v>
      </c>
      <c r="B253" s="152">
        <v>2</v>
      </c>
      <c r="C253" s="152">
        <v>975</v>
      </c>
      <c r="D253" s="152">
        <v>1</v>
      </c>
      <c r="E253">
        <v>124</v>
      </c>
      <c r="F253" s="152">
        <v>20</v>
      </c>
      <c r="G253" s="164">
        <v>1122</v>
      </c>
      <c r="H253" s="161"/>
    </row>
    <row r="254" spans="1:9" x14ac:dyDescent="0.25">
      <c r="A254" s="152" t="s">
        <v>306</v>
      </c>
      <c r="B254" s="152">
        <v>4</v>
      </c>
      <c r="C254" s="164">
        <v>2024</v>
      </c>
      <c r="E254" s="152">
        <v>351</v>
      </c>
      <c r="F254" s="152">
        <v>35</v>
      </c>
      <c r="G254" s="164">
        <v>2414</v>
      </c>
      <c r="H254" s="161"/>
    </row>
    <row r="255" spans="1:9" ht="30" x14ac:dyDescent="0.25">
      <c r="A255" s="152" t="s">
        <v>307</v>
      </c>
      <c r="B255" s="152">
        <v>38</v>
      </c>
      <c r="C255" s="164">
        <v>14176</v>
      </c>
      <c r="D255" s="152">
        <v>7</v>
      </c>
      <c r="E255" s="163">
        <v>3543</v>
      </c>
      <c r="F255" s="152">
        <v>373</v>
      </c>
      <c r="G255" s="164">
        <v>18137</v>
      </c>
    </row>
    <row r="256" spans="1:9" ht="30" x14ac:dyDescent="0.25">
      <c r="A256" s="152" t="s">
        <v>308</v>
      </c>
      <c r="B256" s="152">
        <v>6</v>
      </c>
      <c r="C256" s="152">
        <v>791</v>
      </c>
      <c r="E256" s="152">
        <v>155</v>
      </c>
      <c r="F256" s="152">
        <v>19</v>
      </c>
      <c r="G256" s="152">
        <v>971</v>
      </c>
      <c r="H256" s="161"/>
    </row>
    <row r="257" spans="1:8" ht="30" x14ac:dyDescent="0.25">
      <c r="A257" s="152" t="s">
        <v>309</v>
      </c>
      <c r="B257" s="152">
        <v>11</v>
      </c>
      <c r="C257" s="164">
        <v>2684</v>
      </c>
      <c r="D257" s="152">
        <v>3</v>
      </c>
      <c r="E257">
        <v>487</v>
      </c>
      <c r="F257" s="152">
        <v>50</v>
      </c>
      <c r="G257" s="164">
        <v>3235</v>
      </c>
      <c r="H257" s="161"/>
    </row>
    <row r="258" spans="1:8" ht="30" x14ac:dyDescent="0.25">
      <c r="A258" s="152" t="s">
        <v>310</v>
      </c>
      <c r="B258" s="152">
        <v>9</v>
      </c>
      <c r="C258" s="164">
        <v>2616</v>
      </c>
      <c r="D258" s="152">
        <v>1</v>
      </c>
      <c r="E258">
        <v>663</v>
      </c>
      <c r="F258" s="152">
        <v>63</v>
      </c>
      <c r="G258" s="164">
        <v>3352</v>
      </c>
      <c r="H258" s="161"/>
    </row>
    <row r="259" spans="1:8" ht="30" x14ac:dyDescent="0.25">
      <c r="A259" s="152" t="s">
        <v>311</v>
      </c>
      <c r="B259" s="152">
        <v>82</v>
      </c>
      <c r="C259" s="164">
        <v>25316</v>
      </c>
      <c r="D259" s="152">
        <v>39</v>
      </c>
      <c r="E259" s="163">
        <v>6847</v>
      </c>
      <c r="F259" s="152">
        <v>597</v>
      </c>
      <c r="G259" s="164">
        <v>32881</v>
      </c>
      <c r="H259" s="161"/>
    </row>
    <row r="260" spans="1:8" x14ac:dyDescent="0.25">
      <c r="A260" s="152" t="s">
        <v>312</v>
      </c>
      <c r="B260" s="152">
        <v>2</v>
      </c>
      <c r="C260" s="164">
        <v>1390</v>
      </c>
      <c r="E260" s="152">
        <v>364</v>
      </c>
      <c r="F260" s="152">
        <v>41</v>
      </c>
      <c r="G260" s="164">
        <v>1797</v>
      </c>
      <c r="H260" s="161"/>
    </row>
    <row r="261" spans="1:8" x14ac:dyDescent="0.25">
      <c r="A261" s="152" t="s">
        <v>313</v>
      </c>
      <c r="B261" s="152">
        <v>34</v>
      </c>
      <c r="C261" s="164">
        <v>11181</v>
      </c>
      <c r="D261" s="152">
        <v>4</v>
      </c>
      <c r="E261" s="163">
        <v>2262</v>
      </c>
      <c r="F261" s="152">
        <v>210</v>
      </c>
      <c r="G261" s="164">
        <v>13691</v>
      </c>
      <c r="H261" s="161"/>
    </row>
    <row r="262" spans="1:8" x14ac:dyDescent="0.25">
      <c r="A262" s="152" t="s">
        <v>314</v>
      </c>
      <c r="B262" s="152">
        <v>12</v>
      </c>
      <c r="C262" s="164">
        <v>3050</v>
      </c>
      <c r="D262" s="152">
        <v>3</v>
      </c>
      <c r="E262">
        <v>531</v>
      </c>
      <c r="F262" s="152">
        <v>61</v>
      </c>
      <c r="G262" s="164">
        <v>3657</v>
      </c>
      <c r="H262" s="161"/>
    </row>
    <row r="263" spans="1:8" x14ac:dyDescent="0.25">
      <c r="A263" s="152" t="s">
        <v>315</v>
      </c>
      <c r="B263" s="152">
        <v>19</v>
      </c>
      <c r="C263" s="164">
        <v>5296</v>
      </c>
      <c r="E263" s="164">
        <v>1243</v>
      </c>
      <c r="F263" s="152">
        <v>108</v>
      </c>
      <c r="G263" s="164">
        <v>6666</v>
      </c>
      <c r="H263" s="161"/>
    </row>
    <row r="264" spans="1:8" x14ac:dyDescent="0.25">
      <c r="A264" s="152"/>
      <c r="H264" s="161"/>
    </row>
    <row r="265" spans="1:8" x14ac:dyDescent="0.25">
      <c r="A265" s="152" t="s">
        <v>36</v>
      </c>
      <c r="B265" s="153">
        <f>SUM(B231:B264)</f>
        <v>752</v>
      </c>
      <c r="C265" s="153">
        <f t="shared" ref="C265:G265" si="5">SUM(C231:C264)</f>
        <v>261872</v>
      </c>
      <c r="D265" s="153">
        <f t="shared" si="5"/>
        <v>172</v>
      </c>
      <c r="E265" s="153">
        <f t="shared" si="5"/>
        <v>60368</v>
      </c>
      <c r="F265" s="153">
        <f t="shared" si="5"/>
        <v>5609</v>
      </c>
      <c r="G265" s="153">
        <f t="shared" si="5"/>
        <v>328773</v>
      </c>
      <c r="H265" s="161"/>
    </row>
    <row r="266" spans="1:8" x14ac:dyDescent="0.25">
      <c r="A266" s="152"/>
      <c r="B266" s="152"/>
      <c r="C266" s="152"/>
      <c r="D266" s="165"/>
      <c r="E266" s="165"/>
      <c r="F266" s="165"/>
      <c r="G266" s="162"/>
    </row>
    <row r="267" spans="1:8" ht="45" x14ac:dyDescent="0.25">
      <c r="A267" s="152" t="s">
        <v>517</v>
      </c>
      <c r="B267" s="152" t="s">
        <v>518</v>
      </c>
      <c r="C267" s="152">
        <v>9</v>
      </c>
      <c r="D267" s="172"/>
      <c r="E267" s="172"/>
      <c r="F267" s="173"/>
    </row>
    <row r="268" spans="1:8" x14ac:dyDescent="0.25">
      <c r="A268" s="152"/>
      <c r="B268" s="152"/>
      <c r="C268" s="152"/>
      <c r="D268" s="152"/>
      <c r="F268" s="161"/>
    </row>
    <row r="269" spans="1:8" ht="30" x14ac:dyDescent="0.25">
      <c r="A269" s="152"/>
      <c r="B269" s="152"/>
      <c r="C269" s="152" t="s">
        <v>516</v>
      </c>
      <c r="D269" s="152"/>
      <c r="F269" s="161"/>
    </row>
    <row r="270" spans="1:8" x14ac:dyDescent="0.25">
      <c r="A270" s="152" t="s">
        <v>141</v>
      </c>
      <c r="B270" s="152" t="s">
        <v>495</v>
      </c>
      <c r="C270" s="152" t="s">
        <v>496</v>
      </c>
      <c r="D270" s="152" t="s">
        <v>497</v>
      </c>
      <c r="E270" t="s">
        <v>498</v>
      </c>
      <c r="F270" s="152" t="s">
        <v>499</v>
      </c>
      <c r="G270" s="152" t="s">
        <v>36</v>
      </c>
    </row>
    <row r="271" spans="1:8" x14ac:dyDescent="0.25">
      <c r="A271" s="152"/>
      <c r="B271" s="152"/>
      <c r="C271" s="152"/>
      <c r="D271" s="152"/>
      <c r="G271" s="161"/>
    </row>
    <row r="272" spans="1:8" x14ac:dyDescent="0.25">
      <c r="A272" s="152" t="s">
        <v>316</v>
      </c>
      <c r="B272" s="152">
        <v>25</v>
      </c>
      <c r="C272" s="164">
        <v>9666</v>
      </c>
      <c r="D272" s="152">
        <v>4</v>
      </c>
      <c r="E272" s="163">
        <v>2211</v>
      </c>
      <c r="F272" s="152">
        <v>190</v>
      </c>
      <c r="G272" s="164">
        <v>12096</v>
      </c>
    </row>
    <row r="273" spans="1:7" x14ac:dyDescent="0.25">
      <c r="A273" s="152" t="s">
        <v>317</v>
      </c>
      <c r="B273" s="152">
        <v>15</v>
      </c>
      <c r="C273" s="164">
        <v>4939</v>
      </c>
      <c r="E273" s="164">
        <v>1139</v>
      </c>
      <c r="F273" s="152">
        <v>109</v>
      </c>
      <c r="G273" s="164">
        <v>6202</v>
      </c>
    </row>
    <row r="274" spans="1:7" x14ac:dyDescent="0.25">
      <c r="A274" s="152" t="s">
        <v>318</v>
      </c>
      <c r="B274" s="152">
        <v>7</v>
      </c>
      <c r="C274" s="164">
        <v>1900</v>
      </c>
      <c r="E274" s="152">
        <v>377</v>
      </c>
      <c r="F274" s="152">
        <v>59</v>
      </c>
      <c r="G274" s="164">
        <v>2343</v>
      </c>
    </row>
    <row r="275" spans="1:7" x14ac:dyDescent="0.25">
      <c r="A275" s="152" t="s">
        <v>319</v>
      </c>
      <c r="B275" s="152">
        <v>12</v>
      </c>
      <c r="C275" s="164">
        <v>4094</v>
      </c>
      <c r="D275" s="152">
        <v>2</v>
      </c>
      <c r="E275">
        <v>789</v>
      </c>
      <c r="F275" s="152">
        <v>87</v>
      </c>
      <c r="G275" s="164">
        <v>4984</v>
      </c>
    </row>
    <row r="276" spans="1:7" x14ac:dyDescent="0.25">
      <c r="A276" s="152" t="s">
        <v>320</v>
      </c>
      <c r="B276" s="152">
        <v>10</v>
      </c>
      <c r="C276" s="164">
        <v>4058</v>
      </c>
      <c r="D276" s="152">
        <v>3</v>
      </c>
      <c r="E276">
        <v>798</v>
      </c>
      <c r="F276" s="152">
        <v>113</v>
      </c>
      <c r="G276" s="164">
        <v>4982</v>
      </c>
    </row>
    <row r="277" spans="1:7" ht="30" x14ac:dyDescent="0.25">
      <c r="A277" s="152" t="s">
        <v>321</v>
      </c>
      <c r="B277" s="152">
        <v>13</v>
      </c>
      <c r="C277" s="164">
        <v>3953</v>
      </c>
      <c r="D277" s="152">
        <v>1</v>
      </c>
      <c r="E277">
        <v>718</v>
      </c>
      <c r="F277" s="152">
        <v>98</v>
      </c>
      <c r="G277" s="164">
        <v>4783</v>
      </c>
    </row>
    <row r="278" spans="1:7" ht="30" x14ac:dyDescent="0.25">
      <c r="A278" s="152" t="s">
        <v>322</v>
      </c>
      <c r="B278" s="152">
        <v>3</v>
      </c>
      <c r="C278" s="164">
        <v>1348</v>
      </c>
      <c r="E278" s="152">
        <v>238</v>
      </c>
      <c r="F278" s="152">
        <v>33</v>
      </c>
      <c r="G278" s="164">
        <v>1622</v>
      </c>
    </row>
    <row r="279" spans="1:7" x14ac:dyDescent="0.25">
      <c r="A279" s="152" t="s">
        <v>323</v>
      </c>
      <c r="B279" s="152">
        <v>3</v>
      </c>
      <c r="C279" s="164">
        <v>1309</v>
      </c>
      <c r="D279" s="152">
        <v>1</v>
      </c>
      <c r="E279">
        <v>281</v>
      </c>
      <c r="F279" s="152">
        <v>25</v>
      </c>
      <c r="G279" s="164">
        <v>1619</v>
      </c>
    </row>
    <row r="280" spans="1:7" x14ac:dyDescent="0.25">
      <c r="A280" s="152" t="s">
        <v>324</v>
      </c>
      <c r="B280" s="152">
        <v>13</v>
      </c>
      <c r="C280" s="164">
        <v>4463</v>
      </c>
      <c r="D280" s="152">
        <v>1</v>
      </c>
      <c r="E280">
        <v>770</v>
      </c>
      <c r="F280" s="152">
        <v>93</v>
      </c>
      <c r="G280" s="164">
        <v>5340</v>
      </c>
    </row>
    <row r="281" spans="1:7" ht="30" x14ac:dyDescent="0.25">
      <c r="A281" s="152" t="s">
        <v>325</v>
      </c>
      <c r="B281" s="152">
        <v>8</v>
      </c>
      <c r="C281" s="164">
        <v>2191</v>
      </c>
      <c r="D281" s="152">
        <v>1</v>
      </c>
      <c r="E281">
        <v>524</v>
      </c>
      <c r="F281" s="152">
        <v>58</v>
      </c>
      <c r="G281" s="164">
        <v>2782</v>
      </c>
    </row>
    <row r="282" spans="1:7" x14ac:dyDescent="0.25">
      <c r="A282" s="152" t="s">
        <v>326</v>
      </c>
      <c r="B282" s="152">
        <v>8</v>
      </c>
      <c r="C282" s="164">
        <v>3449</v>
      </c>
      <c r="E282" s="152">
        <v>736</v>
      </c>
      <c r="F282" s="152">
        <v>78</v>
      </c>
      <c r="G282" s="164">
        <v>4271</v>
      </c>
    </row>
    <row r="283" spans="1:7" x14ac:dyDescent="0.25">
      <c r="A283" s="152" t="s">
        <v>327</v>
      </c>
      <c r="B283" s="152">
        <v>11</v>
      </c>
      <c r="C283" s="164">
        <v>5963</v>
      </c>
      <c r="D283" s="152">
        <v>2</v>
      </c>
      <c r="E283" s="163">
        <v>1283</v>
      </c>
      <c r="F283" s="152">
        <v>153</v>
      </c>
      <c r="G283" s="164">
        <v>7412</v>
      </c>
    </row>
    <row r="284" spans="1:7" x14ac:dyDescent="0.25">
      <c r="A284" s="152" t="s">
        <v>328</v>
      </c>
      <c r="B284" s="152">
        <v>12</v>
      </c>
      <c r="C284" s="164">
        <v>4568</v>
      </c>
      <c r="D284" s="152">
        <v>3</v>
      </c>
      <c r="E284">
        <v>802</v>
      </c>
      <c r="F284" s="152">
        <v>132</v>
      </c>
      <c r="G284" s="164">
        <v>5517</v>
      </c>
    </row>
    <row r="285" spans="1:7" ht="30" x14ac:dyDescent="0.25">
      <c r="A285" s="152" t="s">
        <v>329</v>
      </c>
      <c r="B285" s="152">
        <v>8</v>
      </c>
      <c r="C285" s="164">
        <v>1647</v>
      </c>
      <c r="E285" s="152">
        <v>347</v>
      </c>
      <c r="F285" s="152">
        <v>55</v>
      </c>
      <c r="G285" s="164">
        <v>2057</v>
      </c>
    </row>
    <row r="286" spans="1:7" x14ac:dyDescent="0.25">
      <c r="A286" s="152" t="s">
        <v>330</v>
      </c>
      <c r="B286" s="152">
        <v>7</v>
      </c>
      <c r="C286" s="164">
        <v>1420</v>
      </c>
      <c r="E286" s="152">
        <v>341</v>
      </c>
      <c r="F286" s="152">
        <v>37</v>
      </c>
      <c r="G286" s="164">
        <v>1805</v>
      </c>
    </row>
    <row r="287" spans="1:7" x14ac:dyDescent="0.25">
      <c r="A287" s="152" t="s">
        <v>331</v>
      </c>
      <c r="B287" s="152">
        <v>3</v>
      </c>
      <c r="C287" s="164">
        <v>1547</v>
      </c>
      <c r="E287" s="152">
        <v>327</v>
      </c>
      <c r="F287" s="152">
        <v>40</v>
      </c>
      <c r="G287" s="164">
        <v>1917</v>
      </c>
    </row>
    <row r="288" spans="1:7" x14ac:dyDescent="0.25">
      <c r="A288" s="152" t="s">
        <v>332</v>
      </c>
      <c r="B288" s="152">
        <v>7</v>
      </c>
      <c r="C288" s="164">
        <v>1419</v>
      </c>
      <c r="E288" s="152">
        <v>252</v>
      </c>
      <c r="F288" s="152">
        <v>52</v>
      </c>
      <c r="G288" s="164">
        <v>1730</v>
      </c>
    </row>
    <row r="289" spans="1:7" ht="30" x14ac:dyDescent="0.25">
      <c r="A289" s="152" t="s">
        <v>333</v>
      </c>
      <c r="B289" s="152">
        <v>13</v>
      </c>
      <c r="C289" s="164">
        <v>6025</v>
      </c>
      <c r="D289" s="152">
        <v>3</v>
      </c>
      <c r="E289" s="163">
        <v>1140</v>
      </c>
      <c r="F289" s="152">
        <v>162</v>
      </c>
      <c r="G289" s="164">
        <v>7343</v>
      </c>
    </row>
    <row r="290" spans="1:7" ht="30" x14ac:dyDescent="0.25">
      <c r="A290" s="152" t="s">
        <v>334</v>
      </c>
      <c r="B290" s="152">
        <v>29</v>
      </c>
      <c r="C290" s="164">
        <v>9961</v>
      </c>
      <c r="D290" s="152">
        <v>2</v>
      </c>
      <c r="E290" s="163">
        <v>2042</v>
      </c>
      <c r="F290" s="152">
        <v>292</v>
      </c>
      <c r="G290" s="164">
        <v>12326</v>
      </c>
    </row>
    <row r="291" spans="1:7" ht="30" x14ac:dyDescent="0.25">
      <c r="A291" s="152" t="s">
        <v>335</v>
      </c>
      <c r="B291" s="152">
        <v>1</v>
      </c>
      <c r="C291" s="164">
        <v>1085</v>
      </c>
      <c r="E291" s="152">
        <v>210</v>
      </c>
      <c r="F291" s="152">
        <v>28</v>
      </c>
      <c r="G291" s="164">
        <v>1324</v>
      </c>
    </row>
    <row r="292" spans="1:7" ht="30" x14ac:dyDescent="0.25">
      <c r="A292" s="152" t="s">
        <v>336</v>
      </c>
      <c r="B292" s="152">
        <v>14</v>
      </c>
      <c r="C292" s="164">
        <v>4874</v>
      </c>
      <c r="D292" s="152">
        <v>2</v>
      </c>
      <c r="E292" s="163">
        <v>1116</v>
      </c>
      <c r="F292" s="152">
        <v>128</v>
      </c>
      <c r="G292" s="164">
        <v>6134</v>
      </c>
    </row>
    <row r="293" spans="1:7" x14ac:dyDescent="0.25">
      <c r="A293" s="152" t="s">
        <v>337</v>
      </c>
      <c r="B293" s="152">
        <v>9</v>
      </c>
      <c r="C293" s="164">
        <v>3663</v>
      </c>
      <c r="D293" s="152">
        <v>2</v>
      </c>
      <c r="E293">
        <v>783</v>
      </c>
      <c r="F293" s="152">
        <v>117</v>
      </c>
      <c r="G293" s="164">
        <v>4574</v>
      </c>
    </row>
    <row r="294" spans="1:7" x14ac:dyDescent="0.25">
      <c r="A294" s="152" t="s">
        <v>338</v>
      </c>
      <c r="B294" s="152"/>
      <c r="C294" s="164">
        <v>2403</v>
      </c>
      <c r="E294" s="152">
        <v>632</v>
      </c>
      <c r="F294" s="152">
        <v>70</v>
      </c>
      <c r="G294" s="164">
        <v>3105</v>
      </c>
    </row>
    <row r="295" spans="1:7" x14ac:dyDescent="0.25">
      <c r="A295" s="152" t="s">
        <v>339</v>
      </c>
      <c r="B295" s="152">
        <v>3</v>
      </c>
      <c r="C295" s="164">
        <v>1857</v>
      </c>
      <c r="D295" s="152">
        <v>1</v>
      </c>
      <c r="E295">
        <v>467</v>
      </c>
      <c r="F295" s="152">
        <v>69</v>
      </c>
      <c r="G295" s="164">
        <v>2397</v>
      </c>
    </row>
    <row r="296" spans="1:7" x14ac:dyDescent="0.25">
      <c r="A296" s="152" t="s">
        <v>340</v>
      </c>
      <c r="B296" s="152">
        <v>10</v>
      </c>
      <c r="C296" s="164">
        <v>2325</v>
      </c>
      <c r="E296" s="152">
        <v>503</v>
      </c>
      <c r="F296" s="152">
        <v>55</v>
      </c>
      <c r="G296" s="164">
        <v>2893</v>
      </c>
    </row>
    <row r="297" spans="1:7" x14ac:dyDescent="0.25">
      <c r="A297" s="152" t="s">
        <v>341</v>
      </c>
      <c r="B297" s="152">
        <v>141</v>
      </c>
      <c r="C297" s="164">
        <v>42674</v>
      </c>
      <c r="D297" s="152">
        <v>17</v>
      </c>
      <c r="E297" s="163">
        <v>9506</v>
      </c>
      <c r="F297" s="152">
        <v>940</v>
      </c>
      <c r="G297" s="164">
        <v>53278</v>
      </c>
    </row>
    <row r="298" spans="1:7" ht="30" x14ac:dyDescent="0.25">
      <c r="A298" s="152" t="s">
        <v>342</v>
      </c>
      <c r="B298" s="152">
        <v>10</v>
      </c>
      <c r="C298" s="164">
        <v>2865</v>
      </c>
      <c r="D298" s="152">
        <v>1</v>
      </c>
      <c r="E298">
        <v>557</v>
      </c>
      <c r="F298" s="152">
        <v>59</v>
      </c>
      <c r="G298" s="164">
        <v>3492</v>
      </c>
    </row>
    <row r="299" spans="1:7" x14ac:dyDescent="0.25">
      <c r="A299" s="152" t="s">
        <v>343</v>
      </c>
      <c r="B299" s="152">
        <v>6</v>
      </c>
      <c r="C299" s="164">
        <v>1911</v>
      </c>
      <c r="E299" s="152">
        <v>467</v>
      </c>
      <c r="F299" s="152">
        <v>51</v>
      </c>
      <c r="G299" s="164">
        <v>2435</v>
      </c>
    </row>
    <row r="300" spans="1:7" x14ac:dyDescent="0.25">
      <c r="A300" s="152" t="s">
        <v>344</v>
      </c>
      <c r="B300" s="152">
        <v>13</v>
      </c>
      <c r="C300" s="164">
        <v>4227</v>
      </c>
      <c r="D300" s="152">
        <v>2</v>
      </c>
      <c r="E300" s="163">
        <v>1039</v>
      </c>
      <c r="F300" s="152">
        <v>81</v>
      </c>
      <c r="G300" s="164">
        <v>5362</v>
      </c>
    </row>
    <row r="301" spans="1:7" x14ac:dyDescent="0.25">
      <c r="A301" s="152" t="s">
        <v>345</v>
      </c>
      <c r="B301" s="152">
        <v>27</v>
      </c>
      <c r="C301" s="164">
        <v>7246</v>
      </c>
      <c r="D301" s="152">
        <v>6</v>
      </c>
      <c r="E301" s="163">
        <v>1584</v>
      </c>
      <c r="F301" s="152">
        <v>165</v>
      </c>
      <c r="G301" s="164">
        <v>9028</v>
      </c>
    </row>
    <row r="302" spans="1:7" x14ac:dyDescent="0.25">
      <c r="A302" s="152" t="s">
        <v>346</v>
      </c>
      <c r="B302" s="152">
        <v>12</v>
      </c>
      <c r="C302" s="164">
        <v>4318</v>
      </c>
      <c r="D302" s="152">
        <v>1</v>
      </c>
      <c r="E302">
        <v>899</v>
      </c>
      <c r="F302" s="152">
        <v>115</v>
      </c>
      <c r="G302" s="164">
        <v>5345</v>
      </c>
    </row>
    <row r="303" spans="1:7" x14ac:dyDescent="0.25">
      <c r="A303" s="152" t="s">
        <v>347</v>
      </c>
      <c r="B303" s="152">
        <v>18</v>
      </c>
      <c r="C303" s="164">
        <v>10264</v>
      </c>
      <c r="D303" s="152">
        <v>4</v>
      </c>
      <c r="E303" s="163">
        <v>1970</v>
      </c>
      <c r="F303" s="152">
        <v>286</v>
      </c>
      <c r="G303" s="164">
        <v>12542</v>
      </c>
    </row>
    <row r="304" spans="1:7" x14ac:dyDescent="0.25">
      <c r="A304" s="152" t="s">
        <v>36</v>
      </c>
      <c r="B304" s="153">
        <f>SUM(B272:B303)</f>
        <v>471</v>
      </c>
      <c r="C304" s="153">
        <f t="shared" ref="C304:G304" si="6">SUM(C272:C303)</f>
        <v>163632</v>
      </c>
      <c r="D304" s="153">
        <f t="shared" si="6"/>
        <v>59</v>
      </c>
      <c r="E304" s="153">
        <f t="shared" si="6"/>
        <v>34848</v>
      </c>
      <c r="F304" s="153">
        <f t="shared" si="6"/>
        <v>4030</v>
      </c>
      <c r="G304" s="153">
        <f t="shared" si="6"/>
        <v>203040</v>
      </c>
    </row>
    <row r="305" spans="1:7" x14ac:dyDescent="0.25">
      <c r="A305" s="152"/>
      <c r="B305" s="152"/>
      <c r="C305" s="152"/>
      <c r="D305" s="152"/>
      <c r="F305" s="161"/>
    </row>
    <row r="306" spans="1:7" x14ac:dyDescent="0.25">
      <c r="A306" s="152"/>
      <c r="B306" s="165"/>
      <c r="C306" s="165"/>
      <c r="D306" s="165"/>
      <c r="E306" s="165"/>
      <c r="F306" s="162"/>
    </row>
    <row r="308" spans="1:7" ht="45" x14ac:dyDescent="0.25">
      <c r="A308" s="152" t="s">
        <v>348</v>
      </c>
      <c r="B308" s="172"/>
      <c r="C308" s="172"/>
      <c r="D308" s="172"/>
      <c r="E308" s="173"/>
    </row>
    <row r="309" spans="1:7" x14ac:dyDescent="0.25">
      <c r="A309" s="152"/>
      <c r="B309" s="152"/>
      <c r="C309" s="152"/>
      <c r="E309" s="161"/>
    </row>
    <row r="310" spans="1:7" x14ac:dyDescent="0.25">
      <c r="A310" s="152"/>
      <c r="B310" s="152"/>
      <c r="C310" s="152"/>
      <c r="D310" s="172"/>
      <c r="E310" s="172"/>
      <c r="F310" s="172"/>
      <c r="G310" s="173"/>
    </row>
    <row r="311" spans="1:7" ht="30" x14ac:dyDescent="0.25">
      <c r="A311" s="152"/>
      <c r="B311" s="152"/>
      <c r="C311" s="152" t="s">
        <v>516</v>
      </c>
      <c r="D311" s="152"/>
      <c r="G311" s="161"/>
    </row>
    <row r="312" spans="1:7" x14ac:dyDescent="0.25">
      <c r="A312" s="152" t="s">
        <v>141</v>
      </c>
      <c r="B312" s="152" t="s">
        <v>495</v>
      </c>
      <c r="C312" s="152" t="s">
        <v>496</v>
      </c>
      <c r="D312" s="152" t="s">
        <v>497</v>
      </c>
      <c r="E312" t="s">
        <v>498</v>
      </c>
      <c r="F312" s="152" t="s">
        <v>36</v>
      </c>
      <c r="G312" s="161"/>
    </row>
    <row r="313" spans="1:7" x14ac:dyDescent="0.25">
      <c r="A313" s="152"/>
      <c r="B313" s="152"/>
      <c r="C313" s="152"/>
      <c r="G313" s="161"/>
    </row>
    <row r="314" spans="1:7" x14ac:dyDescent="0.25">
      <c r="A314" s="152" t="s">
        <v>349</v>
      </c>
      <c r="B314" s="152">
        <v>15</v>
      </c>
      <c r="C314" s="164">
        <v>7617</v>
      </c>
      <c r="D314" s="152">
        <v>7</v>
      </c>
      <c r="E314" s="163">
        <v>1476</v>
      </c>
      <c r="F314" s="164">
        <v>9277</v>
      </c>
      <c r="G314" s="161"/>
    </row>
    <row r="315" spans="1:7" x14ac:dyDescent="0.25">
      <c r="A315" s="152" t="s">
        <v>350</v>
      </c>
      <c r="B315" s="152">
        <v>17</v>
      </c>
      <c r="C315" s="164">
        <v>5174</v>
      </c>
      <c r="D315" s="152">
        <v>2</v>
      </c>
      <c r="E315">
        <v>959</v>
      </c>
      <c r="F315" s="164">
        <v>6285</v>
      </c>
      <c r="G315" s="161"/>
    </row>
    <row r="316" spans="1:7" x14ac:dyDescent="0.25">
      <c r="A316" s="152" t="s">
        <v>351</v>
      </c>
      <c r="B316" s="152">
        <v>16</v>
      </c>
      <c r="C316" s="164">
        <v>7188</v>
      </c>
      <c r="D316" s="152">
        <v>8</v>
      </c>
      <c r="E316" s="163">
        <v>1675</v>
      </c>
      <c r="F316" s="164">
        <v>9051</v>
      </c>
      <c r="G316" s="161"/>
    </row>
    <row r="317" spans="1:7" x14ac:dyDescent="0.25">
      <c r="A317" s="152" t="s">
        <v>352</v>
      </c>
      <c r="B317" s="152">
        <v>1</v>
      </c>
      <c r="C317" s="152">
        <v>540</v>
      </c>
      <c r="E317" s="152">
        <v>90</v>
      </c>
      <c r="F317" s="152">
        <v>647</v>
      </c>
      <c r="G317" s="161"/>
    </row>
    <row r="318" spans="1:7" x14ac:dyDescent="0.25">
      <c r="A318" s="152" t="s">
        <v>353</v>
      </c>
      <c r="B318" s="152">
        <v>9</v>
      </c>
      <c r="C318" s="164">
        <v>2331</v>
      </c>
      <c r="D318" s="152">
        <v>1</v>
      </c>
      <c r="E318">
        <v>386</v>
      </c>
      <c r="F318" s="164">
        <v>2768</v>
      </c>
      <c r="G318" s="161"/>
    </row>
    <row r="319" spans="1:7" x14ac:dyDescent="0.25">
      <c r="A319" s="152" t="s">
        <v>354</v>
      </c>
      <c r="B319" s="152">
        <v>2</v>
      </c>
      <c r="C319" s="152">
        <v>711</v>
      </c>
      <c r="D319" s="152">
        <v>1</v>
      </c>
      <c r="E319">
        <v>116</v>
      </c>
      <c r="F319" s="152">
        <v>846</v>
      </c>
      <c r="G319" s="161"/>
    </row>
    <row r="320" spans="1:7" ht="30" x14ac:dyDescent="0.25">
      <c r="A320" s="152" t="s">
        <v>355</v>
      </c>
      <c r="B320" s="152">
        <v>1</v>
      </c>
      <c r="C320" s="152">
        <v>675</v>
      </c>
      <c r="E320" s="152">
        <v>110</v>
      </c>
      <c r="F320" s="152">
        <v>802</v>
      </c>
      <c r="G320" s="161"/>
    </row>
    <row r="321" spans="1:7" x14ac:dyDescent="0.25">
      <c r="A321" s="152" t="s">
        <v>356</v>
      </c>
      <c r="B321" s="152">
        <v>4</v>
      </c>
      <c r="C321" s="164">
        <v>1923</v>
      </c>
      <c r="D321" s="152">
        <v>3</v>
      </c>
      <c r="E321">
        <v>322</v>
      </c>
      <c r="F321" s="164">
        <v>2306</v>
      </c>
      <c r="G321" s="161"/>
    </row>
    <row r="322" spans="1:7" x14ac:dyDescent="0.25">
      <c r="A322" s="152" t="s">
        <v>357</v>
      </c>
      <c r="B322" s="152">
        <v>12</v>
      </c>
      <c r="C322" s="164">
        <v>2347</v>
      </c>
      <c r="E322" s="152">
        <v>468</v>
      </c>
      <c r="F322" s="164">
        <v>2879</v>
      </c>
      <c r="G322" s="161"/>
    </row>
    <row r="323" spans="1:7" x14ac:dyDescent="0.25">
      <c r="A323" s="152" t="s">
        <v>358</v>
      </c>
      <c r="B323" s="152">
        <v>8</v>
      </c>
      <c r="C323" s="164">
        <v>3125</v>
      </c>
      <c r="D323" s="152">
        <v>2</v>
      </c>
      <c r="E323">
        <v>583</v>
      </c>
      <c r="F323" s="164">
        <v>3791</v>
      </c>
      <c r="G323" s="161"/>
    </row>
    <row r="324" spans="1:7" x14ac:dyDescent="0.25">
      <c r="A324" s="152" t="s">
        <v>359</v>
      </c>
      <c r="B324" s="152">
        <v>1</v>
      </c>
      <c r="C324" s="152">
        <v>410</v>
      </c>
      <c r="E324" s="152">
        <v>57</v>
      </c>
      <c r="F324" s="152">
        <v>479</v>
      </c>
      <c r="G324" s="161"/>
    </row>
    <row r="325" spans="1:7" x14ac:dyDescent="0.25">
      <c r="A325" s="152" t="s">
        <v>360</v>
      </c>
      <c r="B325" s="152">
        <v>5</v>
      </c>
      <c r="C325" s="164">
        <v>1234</v>
      </c>
      <c r="E325" s="152">
        <v>289</v>
      </c>
      <c r="F325" s="164">
        <v>1567</v>
      </c>
      <c r="G325" s="161"/>
    </row>
    <row r="326" spans="1:7" ht="30" x14ac:dyDescent="0.25">
      <c r="A326" s="152" t="s">
        <v>361</v>
      </c>
      <c r="B326" s="152">
        <v>6</v>
      </c>
      <c r="C326" s="164">
        <v>3044</v>
      </c>
      <c r="D326" s="152">
        <v>1</v>
      </c>
      <c r="E326">
        <v>704</v>
      </c>
      <c r="F326" s="164">
        <v>3820</v>
      </c>
      <c r="G326" s="161"/>
    </row>
    <row r="327" spans="1:7" ht="30" x14ac:dyDescent="0.25">
      <c r="A327" s="152" t="s">
        <v>362</v>
      </c>
      <c r="B327" s="152">
        <v>8</v>
      </c>
      <c r="C327" s="164">
        <v>3285</v>
      </c>
      <c r="D327" s="152">
        <v>1</v>
      </c>
      <c r="E327">
        <v>846</v>
      </c>
      <c r="F327" s="164">
        <v>4215</v>
      </c>
      <c r="G327" s="161"/>
    </row>
    <row r="328" spans="1:7" x14ac:dyDescent="0.25">
      <c r="A328" s="152" t="s">
        <v>363</v>
      </c>
      <c r="B328" s="152">
        <v>12</v>
      </c>
      <c r="C328" s="164">
        <v>2909</v>
      </c>
      <c r="D328" s="152">
        <v>1</v>
      </c>
      <c r="E328">
        <v>602</v>
      </c>
      <c r="F328" s="164">
        <v>3603</v>
      </c>
      <c r="G328" s="161"/>
    </row>
    <row r="329" spans="1:7" x14ac:dyDescent="0.25">
      <c r="A329" s="152" t="s">
        <v>364</v>
      </c>
      <c r="B329" s="152">
        <v>91</v>
      </c>
      <c r="C329" s="164">
        <v>29501</v>
      </c>
      <c r="D329" s="152">
        <v>5</v>
      </c>
      <c r="E329" s="163">
        <v>4407</v>
      </c>
      <c r="F329" s="164">
        <v>34740</v>
      </c>
      <c r="G329" s="161"/>
    </row>
    <row r="330" spans="1:7" x14ac:dyDescent="0.25">
      <c r="A330" s="152" t="s">
        <v>365</v>
      </c>
      <c r="B330" s="152">
        <v>2</v>
      </c>
      <c r="C330" s="152">
        <v>405</v>
      </c>
      <c r="D330" s="152">
        <v>1</v>
      </c>
      <c r="E330">
        <v>65</v>
      </c>
      <c r="F330" s="152">
        <v>482</v>
      </c>
      <c r="G330" s="161"/>
    </row>
    <row r="331" spans="1:7" ht="30" x14ac:dyDescent="0.25">
      <c r="A331" s="152" t="s">
        <v>366</v>
      </c>
      <c r="B331" s="152">
        <v>83</v>
      </c>
      <c r="C331" s="164">
        <v>30044</v>
      </c>
      <c r="D331" s="152">
        <v>11</v>
      </c>
      <c r="E331" s="163">
        <v>5777</v>
      </c>
      <c r="F331" s="164">
        <v>36694</v>
      </c>
      <c r="G331" s="161"/>
    </row>
    <row r="332" spans="1:7" ht="30" x14ac:dyDescent="0.25">
      <c r="A332" s="152" t="s">
        <v>367</v>
      </c>
      <c r="B332" s="152">
        <v>1</v>
      </c>
      <c r="C332" s="164">
        <v>1477</v>
      </c>
      <c r="E332" s="152">
        <v>248</v>
      </c>
      <c r="F332" s="164">
        <v>1766</v>
      </c>
      <c r="G332" s="161"/>
    </row>
    <row r="333" spans="1:7" ht="30" x14ac:dyDescent="0.25">
      <c r="A333" s="152" t="s">
        <v>368</v>
      </c>
      <c r="B333" s="152">
        <v>12</v>
      </c>
      <c r="C333" s="164">
        <v>5493</v>
      </c>
      <c r="D333" s="152">
        <v>6</v>
      </c>
      <c r="E333" s="163">
        <v>1168</v>
      </c>
      <c r="F333" s="164">
        <v>6845</v>
      </c>
      <c r="G333" s="161"/>
    </row>
    <row r="334" spans="1:7" ht="30" x14ac:dyDescent="0.25">
      <c r="A334" s="152" t="s">
        <v>369</v>
      </c>
      <c r="B334" s="152">
        <v>5</v>
      </c>
      <c r="C334" s="152">
        <v>717</v>
      </c>
      <c r="E334" s="152">
        <v>171</v>
      </c>
      <c r="F334" s="152">
        <v>906</v>
      </c>
      <c r="G334" s="161"/>
    </row>
    <row r="335" spans="1:7" ht="30" x14ac:dyDescent="0.25">
      <c r="A335" s="152" t="s">
        <v>370</v>
      </c>
      <c r="B335" s="152">
        <v>14</v>
      </c>
      <c r="C335" s="164">
        <v>4588</v>
      </c>
      <c r="E335" s="152">
        <v>603</v>
      </c>
      <c r="F335" s="164">
        <v>5321</v>
      </c>
      <c r="G335" s="161"/>
    </row>
    <row r="336" spans="1:7" x14ac:dyDescent="0.25">
      <c r="A336" s="152" t="s">
        <v>371</v>
      </c>
      <c r="B336" s="152">
        <v>4</v>
      </c>
      <c r="C336" s="164">
        <v>2166</v>
      </c>
      <c r="D336" s="152">
        <v>1</v>
      </c>
      <c r="E336">
        <v>380</v>
      </c>
      <c r="F336" s="164">
        <v>2617</v>
      </c>
      <c r="G336" s="161"/>
    </row>
    <row r="337" spans="1:7" x14ac:dyDescent="0.25">
      <c r="A337" s="152" t="s">
        <v>372</v>
      </c>
      <c r="B337" s="152">
        <v>4</v>
      </c>
      <c r="C337" s="152">
        <v>884</v>
      </c>
      <c r="D337" s="152">
        <v>1</v>
      </c>
      <c r="E337">
        <v>119</v>
      </c>
      <c r="F337" s="164">
        <v>1025</v>
      </c>
      <c r="G337" s="161"/>
    </row>
    <row r="338" spans="1:7" x14ac:dyDescent="0.25">
      <c r="A338" s="152" t="s">
        <v>373</v>
      </c>
      <c r="B338" s="152">
        <v>10</v>
      </c>
      <c r="C338" s="164">
        <v>3070</v>
      </c>
      <c r="D338" s="152">
        <v>2</v>
      </c>
      <c r="E338">
        <v>592</v>
      </c>
      <c r="F338" s="164">
        <v>3771</v>
      </c>
      <c r="G338" s="161"/>
    </row>
    <row r="339" spans="1:7" x14ac:dyDescent="0.25">
      <c r="A339" s="152" t="s">
        <v>374</v>
      </c>
      <c r="B339" s="152">
        <v>2</v>
      </c>
      <c r="C339" s="164">
        <v>1388</v>
      </c>
      <c r="D339" s="152">
        <v>1</v>
      </c>
      <c r="E339" s="163">
        <v>254</v>
      </c>
      <c r="F339" s="164">
        <v>1671</v>
      </c>
      <c r="G339" s="161"/>
    </row>
    <row r="340" spans="1:7" x14ac:dyDescent="0.25">
      <c r="A340" s="152" t="s">
        <v>375</v>
      </c>
      <c r="B340" s="152">
        <v>6</v>
      </c>
      <c r="C340" s="164">
        <v>1458</v>
      </c>
      <c r="D340" s="152">
        <v>1</v>
      </c>
      <c r="E340">
        <v>366</v>
      </c>
      <c r="F340" s="164">
        <v>1867</v>
      </c>
      <c r="G340" s="161"/>
    </row>
    <row r="341" spans="1:7" x14ac:dyDescent="0.25">
      <c r="A341" s="152" t="s">
        <v>376</v>
      </c>
      <c r="B341" s="152">
        <v>14</v>
      </c>
      <c r="C341" s="164">
        <v>2959</v>
      </c>
      <c r="D341" s="152">
        <v>2</v>
      </c>
      <c r="E341">
        <v>426</v>
      </c>
      <c r="F341" s="164">
        <v>3465</v>
      </c>
      <c r="G341" s="161"/>
    </row>
    <row r="342" spans="1:7" ht="45" x14ac:dyDescent="0.25">
      <c r="A342" s="152" t="s">
        <v>377</v>
      </c>
      <c r="B342" s="152">
        <v>9</v>
      </c>
      <c r="C342" s="164">
        <v>1697</v>
      </c>
      <c r="E342" s="152">
        <v>292</v>
      </c>
      <c r="F342" s="164">
        <v>2052</v>
      </c>
    </row>
    <row r="343" spans="1:7" x14ac:dyDescent="0.25">
      <c r="A343" s="152" t="s">
        <v>378</v>
      </c>
      <c r="B343" s="152">
        <v>8</v>
      </c>
      <c r="C343" s="164">
        <v>2247</v>
      </c>
      <c r="D343" s="152">
        <v>1</v>
      </c>
      <c r="E343" s="163">
        <v>300</v>
      </c>
      <c r="F343" s="164">
        <v>2627</v>
      </c>
      <c r="G343" s="161"/>
    </row>
    <row r="344" spans="1:7" x14ac:dyDescent="0.25">
      <c r="A344" s="152"/>
      <c r="G344" s="161"/>
    </row>
    <row r="345" spans="1:7" x14ac:dyDescent="0.25">
      <c r="A345" s="152" t="s">
        <v>36</v>
      </c>
      <c r="B345" s="153">
        <f>SUM(B314:B344)</f>
        <v>382</v>
      </c>
      <c r="C345" s="153">
        <f t="shared" ref="C345:F345" si="7">SUM(C314:C344)</f>
        <v>130607</v>
      </c>
      <c r="D345" s="153">
        <f t="shared" si="7"/>
        <v>59</v>
      </c>
      <c r="E345" s="153">
        <f t="shared" si="7"/>
        <v>23851</v>
      </c>
      <c r="F345" s="153">
        <f t="shared" si="7"/>
        <v>158185</v>
      </c>
      <c r="G345" s="161"/>
    </row>
    <row r="346" spans="1:7" x14ac:dyDescent="0.25">
      <c r="A346" s="152"/>
      <c r="B346" s="152"/>
      <c r="C346" s="152"/>
      <c r="D346" s="165"/>
      <c r="E346" s="165"/>
      <c r="F346" s="165"/>
      <c r="G346" s="162"/>
    </row>
    <row r="348" spans="1:7" ht="45" x14ac:dyDescent="0.25">
      <c r="A348" s="152" t="s">
        <v>517</v>
      </c>
      <c r="B348" s="152" t="s">
        <v>518</v>
      </c>
      <c r="C348" s="152">
        <v>11</v>
      </c>
      <c r="D348" s="172"/>
      <c r="E348" s="172"/>
      <c r="F348" s="173"/>
    </row>
    <row r="349" spans="1:7" x14ac:dyDescent="0.25">
      <c r="A349" s="152"/>
      <c r="B349" s="152"/>
      <c r="C349" s="152"/>
      <c r="D349" s="152"/>
      <c r="F349" s="161"/>
    </row>
    <row r="350" spans="1:7" ht="30" x14ac:dyDescent="0.25">
      <c r="A350" s="152"/>
      <c r="B350" s="152"/>
      <c r="C350" s="152" t="s">
        <v>516</v>
      </c>
      <c r="D350" s="152"/>
      <c r="F350" s="161"/>
    </row>
    <row r="351" spans="1:7" x14ac:dyDescent="0.25">
      <c r="A351" s="152" t="s">
        <v>141</v>
      </c>
      <c r="B351" s="152" t="s">
        <v>495</v>
      </c>
      <c r="C351" s="152" t="s">
        <v>496</v>
      </c>
      <c r="D351" s="152" t="s">
        <v>497</v>
      </c>
      <c r="E351" t="s">
        <v>498</v>
      </c>
      <c r="F351" s="152" t="s">
        <v>499</v>
      </c>
      <c r="G351" s="152" t="s">
        <v>36</v>
      </c>
    </row>
    <row r="352" spans="1:7" x14ac:dyDescent="0.25">
      <c r="A352" s="152"/>
      <c r="B352" s="152"/>
      <c r="C352" s="152"/>
      <c r="G352" s="161"/>
    </row>
    <row r="353" spans="1:7" ht="30" x14ac:dyDescent="0.25">
      <c r="A353" s="152" t="s">
        <v>379</v>
      </c>
      <c r="B353" s="152">
        <v>3</v>
      </c>
      <c r="C353" s="164">
        <v>1159</v>
      </c>
      <c r="D353" s="152">
        <v>1</v>
      </c>
      <c r="E353">
        <v>200</v>
      </c>
      <c r="F353" s="152">
        <v>33</v>
      </c>
      <c r="G353" s="164">
        <v>1396</v>
      </c>
    </row>
    <row r="354" spans="1:7" x14ac:dyDescent="0.25">
      <c r="A354" s="152" t="s">
        <v>380</v>
      </c>
      <c r="B354" s="152">
        <v>3</v>
      </c>
      <c r="C354" s="152">
        <v>644</v>
      </c>
      <c r="D354" s="152">
        <v>1</v>
      </c>
      <c r="E354">
        <v>143</v>
      </c>
      <c r="F354" s="152">
        <v>16</v>
      </c>
      <c r="G354" s="152">
        <v>807</v>
      </c>
    </row>
    <row r="355" spans="1:7" x14ac:dyDescent="0.25">
      <c r="A355" s="152" t="s">
        <v>381</v>
      </c>
      <c r="B355" s="152">
        <v>3</v>
      </c>
      <c r="C355" s="152">
        <v>473</v>
      </c>
      <c r="D355" s="152">
        <v>2</v>
      </c>
      <c r="E355">
        <v>89</v>
      </c>
      <c r="F355" s="152">
        <v>15</v>
      </c>
      <c r="G355" s="152">
        <v>582</v>
      </c>
    </row>
    <row r="356" spans="1:7" x14ac:dyDescent="0.25">
      <c r="A356" s="152" t="s">
        <v>382</v>
      </c>
      <c r="B356" s="152">
        <v>26</v>
      </c>
      <c r="C356" s="164">
        <v>7403</v>
      </c>
      <c r="D356" s="152">
        <v>4</v>
      </c>
      <c r="E356" s="163">
        <v>1966</v>
      </c>
      <c r="F356" s="152">
        <v>194</v>
      </c>
      <c r="G356" s="164">
        <v>9593</v>
      </c>
    </row>
    <row r="357" spans="1:7" x14ac:dyDescent="0.25">
      <c r="A357" s="152" t="s">
        <v>383</v>
      </c>
      <c r="B357" s="152"/>
      <c r="C357" s="152">
        <v>153</v>
      </c>
      <c r="E357" s="152">
        <v>27</v>
      </c>
      <c r="F357" s="152">
        <v>3</v>
      </c>
      <c r="G357" s="152">
        <v>183</v>
      </c>
    </row>
    <row r="358" spans="1:7" ht="30" x14ac:dyDescent="0.25">
      <c r="A358" s="152" t="s">
        <v>384</v>
      </c>
      <c r="B358" s="152"/>
      <c r="C358" s="152">
        <v>158</v>
      </c>
      <c r="E358" s="152">
        <v>17</v>
      </c>
      <c r="F358" s="152">
        <v>3</v>
      </c>
      <c r="G358" s="152">
        <v>178</v>
      </c>
    </row>
    <row r="359" spans="1:7" x14ac:dyDescent="0.25">
      <c r="A359" s="152" t="s">
        <v>385</v>
      </c>
      <c r="B359" s="152"/>
      <c r="C359" s="152">
        <v>44</v>
      </c>
      <c r="E359" s="152">
        <v>5</v>
      </c>
      <c r="F359" s="152">
        <v>1</v>
      </c>
      <c r="G359" s="152">
        <v>50</v>
      </c>
    </row>
    <row r="360" spans="1:7" ht="30" x14ac:dyDescent="0.25">
      <c r="A360" s="152" t="s">
        <v>386</v>
      </c>
      <c r="B360" s="152">
        <v>7</v>
      </c>
      <c r="C360" s="164">
        <v>3013</v>
      </c>
      <c r="D360" s="152">
        <v>3</v>
      </c>
      <c r="E360">
        <v>662</v>
      </c>
      <c r="F360" s="152">
        <v>54</v>
      </c>
      <c r="G360" s="164">
        <v>3739</v>
      </c>
    </row>
    <row r="361" spans="1:7" x14ac:dyDescent="0.25">
      <c r="A361" s="152" t="s">
        <v>512</v>
      </c>
      <c r="B361" s="152">
        <v>2</v>
      </c>
      <c r="C361" s="152">
        <v>469</v>
      </c>
      <c r="E361" s="152">
        <v>83</v>
      </c>
      <c r="F361" s="152">
        <v>13</v>
      </c>
      <c r="G361" s="152">
        <v>567</v>
      </c>
    </row>
    <row r="362" spans="1:7" x14ac:dyDescent="0.25">
      <c r="A362" s="152" t="s">
        <v>387</v>
      </c>
      <c r="B362" s="152"/>
      <c r="C362" s="152">
        <v>41</v>
      </c>
      <c r="E362" s="152">
        <v>7</v>
      </c>
      <c r="F362" s="152">
        <v>1</v>
      </c>
      <c r="G362" s="152">
        <v>49</v>
      </c>
    </row>
    <row r="363" spans="1:7" x14ac:dyDescent="0.25">
      <c r="A363" s="152" t="s">
        <v>36</v>
      </c>
      <c r="B363" s="153">
        <f>SUM(B353:B362)</f>
        <v>44</v>
      </c>
      <c r="C363" s="153">
        <f t="shared" ref="C363:G363" si="8">SUM(C353:C362)</f>
        <v>13557</v>
      </c>
      <c r="D363" s="153">
        <f t="shared" si="8"/>
        <v>11</v>
      </c>
      <c r="E363" s="153">
        <f t="shared" si="8"/>
        <v>3199</v>
      </c>
      <c r="F363" s="153">
        <f t="shared" si="8"/>
        <v>333</v>
      </c>
      <c r="G363" s="153">
        <f t="shared" si="8"/>
        <v>17144</v>
      </c>
    </row>
    <row r="364" spans="1:7" x14ac:dyDescent="0.25">
      <c r="A364" s="152"/>
      <c r="B364" s="152"/>
      <c r="C364" s="152"/>
      <c r="D364" s="165"/>
      <c r="E364" s="165"/>
      <c r="F364" s="162"/>
    </row>
    <row r="368" spans="1:7" ht="45" x14ac:dyDescent="0.25">
      <c r="A368" s="152" t="s">
        <v>517</v>
      </c>
      <c r="B368" s="152" t="s">
        <v>518</v>
      </c>
      <c r="C368" s="152">
        <v>12</v>
      </c>
      <c r="D368" s="172"/>
      <c r="E368" s="172"/>
      <c r="F368" s="172"/>
      <c r="G368" s="173"/>
    </row>
    <row r="369" spans="1:9" x14ac:dyDescent="0.25">
      <c r="A369" s="152"/>
      <c r="B369" s="152"/>
      <c r="C369" s="152"/>
      <c r="D369" s="152"/>
      <c r="G369" s="161"/>
    </row>
    <row r="370" spans="1:9" x14ac:dyDescent="0.25">
      <c r="A370" s="152"/>
      <c r="B370" s="152"/>
      <c r="C370" s="152"/>
      <c r="D370" s="172"/>
      <c r="E370" s="172"/>
      <c r="F370" s="173"/>
      <c r="G370" s="161"/>
    </row>
    <row r="371" spans="1:9" ht="30" x14ac:dyDescent="0.25">
      <c r="A371" s="174"/>
      <c r="B371" s="174" t="s">
        <v>516</v>
      </c>
      <c r="C371" s="174"/>
      <c r="F371" s="161"/>
      <c r="G371" s="174"/>
    </row>
    <row r="372" spans="1:9" x14ac:dyDescent="0.25">
      <c r="A372" s="177" t="s">
        <v>141</v>
      </c>
      <c r="B372" s="177" t="s">
        <v>495</v>
      </c>
      <c r="C372" s="177" t="s">
        <v>496</v>
      </c>
      <c r="D372" s="177" t="s">
        <v>497</v>
      </c>
      <c r="E372" s="170" t="s">
        <v>498</v>
      </c>
      <c r="F372" s="177" t="s">
        <v>499</v>
      </c>
      <c r="G372" s="177" t="s">
        <v>36</v>
      </c>
    </row>
    <row r="373" spans="1:9" x14ac:dyDescent="0.25">
      <c r="A373" s="177"/>
      <c r="B373" s="177"/>
      <c r="C373" s="177"/>
      <c r="D373" s="170"/>
      <c r="E373" s="170"/>
      <c r="F373" s="170"/>
      <c r="G373" s="170"/>
      <c r="H373" s="176"/>
    </row>
    <row r="374" spans="1:9" ht="30" x14ac:dyDescent="0.25">
      <c r="A374" s="177" t="s">
        <v>388</v>
      </c>
      <c r="B374" s="177">
        <v>1</v>
      </c>
      <c r="C374" s="177">
        <v>101</v>
      </c>
      <c r="D374" s="170"/>
      <c r="E374" s="177">
        <v>33</v>
      </c>
      <c r="F374" s="177">
        <v>4</v>
      </c>
      <c r="G374" s="177">
        <v>139</v>
      </c>
    </row>
    <row r="375" spans="1:9" ht="30" x14ac:dyDescent="0.25">
      <c r="A375" s="177" t="s">
        <v>389</v>
      </c>
      <c r="C375" s="177">
        <v>4</v>
      </c>
      <c r="D375" s="170"/>
      <c r="E375" s="170"/>
      <c r="F375" s="170"/>
      <c r="G375" s="177">
        <v>4</v>
      </c>
    </row>
    <row r="376" spans="1:9" ht="30" x14ac:dyDescent="0.25">
      <c r="A376" s="177" t="s">
        <v>390</v>
      </c>
      <c r="C376" s="177">
        <v>19</v>
      </c>
      <c r="E376" s="177">
        <v>4</v>
      </c>
      <c r="F376" s="177">
        <v>2</v>
      </c>
      <c r="G376" s="177">
        <v>25</v>
      </c>
      <c r="H376" s="189"/>
    </row>
    <row r="377" spans="1:9" x14ac:dyDescent="0.25">
      <c r="A377" s="177" t="s">
        <v>391</v>
      </c>
      <c r="B377" s="177">
        <v>7</v>
      </c>
      <c r="C377" s="190">
        <v>4322</v>
      </c>
      <c r="D377" s="177">
        <v>7</v>
      </c>
      <c r="E377" s="170">
        <v>872</v>
      </c>
      <c r="F377" s="177">
        <v>107</v>
      </c>
      <c r="G377" s="193">
        <v>5315</v>
      </c>
      <c r="H377" s="189"/>
    </row>
    <row r="378" spans="1:9" x14ac:dyDescent="0.25">
      <c r="A378" s="177" t="s">
        <v>392</v>
      </c>
      <c r="B378" s="177">
        <v>3</v>
      </c>
      <c r="C378" s="177">
        <v>918</v>
      </c>
      <c r="E378" s="177">
        <v>182</v>
      </c>
      <c r="F378" s="177">
        <v>17</v>
      </c>
      <c r="G378" s="193">
        <v>1120</v>
      </c>
    </row>
    <row r="379" spans="1:9" ht="30" x14ac:dyDescent="0.25">
      <c r="A379" s="177" t="s">
        <v>393</v>
      </c>
      <c r="B379" s="177"/>
      <c r="C379" s="177">
        <v>65</v>
      </c>
      <c r="E379" s="177">
        <v>13</v>
      </c>
      <c r="F379" s="177">
        <v>2</v>
      </c>
      <c r="G379" s="194">
        <v>80</v>
      </c>
      <c r="I379" s="189"/>
    </row>
    <row r="380" spans="1:9" ht="30" x14ac:dyDescent="0.25">
      <c r="A380" s="177" t="s">
        <v>394</v>
      </c>
      <c r="B380" s="177">
        <v>71</v>
      </c>
      <c r="C380" s="190">
        <v>19979</v>
      </c>
      <c r="D380" s="177">
        <v>32</v>
      </c>
      <c r="E380" s="191">
        <v>4673</v>
      </c>
      <c r="F380" s="177">
        <v>454</v>
      </c>
      <c r="G380" s="193">
        <v>25209</v>
      </c>
    </row>
    <row r="381" spans="1:9" x14ac:dyDescent="0.25">
      <c r="A381" s="177" t="s">
        <v>395</v>
      </c>
      <c r="B381" s="177"/>
      <c r="C381" s="177">
        <v>15</v>
      </c>
      <c r="F381" s="177">
        <v>1</v>
      </c>
      <c r="G381" s="194">
        <v>16</v>
      </c>
    </row>
    <row r="382" spans="1:9" ht="30" x14ac:dyDescent="0.25">
      <c r="A382" s="177" t="s">
        <v>396</v>
      </c>
      <c r="B382" s="177"/>
      <c r="C382" s="177">
        <v>28</v>
      </c>
      <c r="E382" s="177">
        <v>7</v>
      </c>
      <c r="G382" s="194">
        <v>35</v>
      </c>
    </row>
    <row r="383" spans="1:9" x14ac:dyDescent="0.25">
      <c r="A383" s="177" t="s">
        <v>397</v>
      </c>
      <c r="B383" s="177"/>
      <c r="C383" s="177">
        <v>3</v>
      </c>
      <c r="D383" s="177"/>
      <c r="E383" s="177"/>
      <c r="F383" s="177">
        <v>1</v>
      </c>
      <c r="G383" s="194">
        <v>4</v>
      </c>
    </row>
    <row r="384" spans="1:9" ht="30" x14ac:dyDescent="0.25">
      <c r="A384" s="177" t="s">
        <v>398</v>
      </c>
      <c r="B384" s="177"/>
      <c r="C384" s="177">
        <v>4</v>
      </c>
      <c r="D384" s="177"/>
      <c r="E384" s="177">
        <v>2</v>
      </c>
      <c r="G384" s="194">
        <v>6</v>
      </c>
    </row>
    <row r="385" spans="1:8" x14ac:dyDescent="0.25">
      <c r="A385" s="177"/>
      <c r="B385" s="170"/>
      <c r="C385" s="170"/>
      <c r="D385" s="170"/>
      <c r="E385" s="170"/>
      <c r="F385" s="170"/>
      <c r="G385" s="171"/>
      <c r="H385" s="189"/>
    </row>
    <row r="386" spans="1:8" x14ac:dyDescent="0.25">
      <c r="A386" s="177" t="s">
        <v>36</v>
      </c>
      <c r="B386" s="192">
        <f>SUM(B374:B385)</f>
        <v>82</v>
      </c>
      <c r="C386" s="192">
        <f t="shared" ref="C386:G386" si="9">SUM(C374:C385)</f>
        <v>25458</v>
      </c>
      <c r="D386" s="192">
        <f t="shared" si="9"/>
        <v>39</v>
      </c>
      <c r="E386" s="192">
        <f t="shared" si="9"/>
        <v>5786</v>
      </c>
      <c r="F386" s="192">
        <f t="shared" si="9"/>
        <v>588</v>
      </c>
      <c r="G386" s="195">
        <f t="shared" si="9"/>
        <v>31953</v>
      </c>
    </row>
    <row r="387" spans="1:8" x14ac:dyDescent="0.25">
      <c r="A387" s="175"/>
      <c r="B387" s="175"/>
      <c r="C387" s="175"/>
      <c r="D387" s="165"/>
      <c r="E387" s="165"/>
      <c r="F387" s="162"/>
    </row>
    <row r="390" spans="1:8" ht="45" x14ac:dyDescent="0.25">
      <c r="A390" s="152" t="s">
        <v>399</v>
      </c>
      <c r="B390" s="172"/>
      <c r="C390" s="172"/>
      <c r="D390" s="172"/>
      <c r="E390" s="172"/>
      <c r="F390" s="173"/>
    </row>
    <row r="391" spans="1:8" x14ac:dyDescent="0.25">
      <c r="A391" s="152"/>
      <c r="B391" s="152"/>
      <c r="C391" s="152"/>
      <c r="F391" s="161"/>
    </row>
    <row r="392" spans="1:8" ht="30" x14ac:dyDescent="0.25">
      <c r="A392" s="152"/>
      <c r="B392" s="152" t="s">
        <v>516</v>
      </c>
      <c r="C392" s="152"/>
      <c r="F392" s="161"/>
    </row>
    <row r="393" spans="1:8" x14ac:dyDescent="0.25">
      <c r="A393" s="152" t="s">
        <v>141</v>
      </c>
      <c r="B393" s="152" t="s">
        <v>495</v>
      </c>
      <c r="C393" s="152" t="s">
        <v>496</v>
      </c>
      <c r="D393" s="152" t="s">
        <v>497</v>
      </c>
      <c r="E393" t="s">
        <v>498</v>
      </c>
      <c r="F393" s="152" t="s">
        <v>499</v>
      </c>
      <c r="G393" s="152" t="s">
        <v>36</v>
      </c>
    </row>
    <row r="394" spans="1:8" x14ac:dyDescent="0.25">
      <c r="A394" s="152"/>
      <c r="B394" s="152"/>
      <c r="C394" s="152"/>
      <c r="G394" s="161"/>
    </row>
    <row r="395" spans="1:8" x14ac:dyDescent="0.25">
      <c r="A395" s="152" t="s">
        <v>400</v>
      </c>
      <c r="B395" s="152">
        <v>1</v>
      </c>
      <c r="C395" s="152">
        <v>924</v>
      </c>
      <c r="D395" s="152">
        <v>1</v>
      </c>
      <c r="E395">
        <v>119</v>
      </c>
      <c r="F395" s="152">
        <v>21</v>
      </c>
      <c r="G395" s="164">
        <v>1066</v>
      </c>
    </row>
    <row r="396" spans="1:8" x14ac:dyDescent="0.25">
      <c r="A396" s="152" t="s">
        <v>401</v>
      </c>
      <c r="B396" s="152">
        <v>17</v>
      </c>
      <c r="C396" s="164">
        <v>12230</v>
      </c>
      <c r="D396" s="152">
        <v>9</v>
      </c>
      <c r="E396" s="163">
        <v>1993</v>
      </c>
      <c r="F396" s="152">
        <v>282</v>
      </c>
      <c r="G396" s="164">
        <v>14531</v>
      </c>
    </row>
    <row r="397" spans="1:8" ht="30" x14ac:dyDescent="0.25">
      <c r="A397" s="152" t="s">
        <v>402</v>
      </c>
      <c r="B397" s="152">
        <v>6</v>
      </c>
      <c r="C397" s="164">
        <v>2917</v>
      </c>
      <c r="D397" s="152">
        <v>1</v>
      </c>
      <c r="E397">
        <v>571</v>
      </c>
      <c r="F397" s="152">
        <v>86</v>
      </c>
      <c r="G397" s="164">
        <v>3581</v>
      </c>
    </row>
    <row r="398" spans="1:8" x14ac:dyDescent="0.25">
      <c r="A398" s="152" t="s">
        <v>403</v>
      </c>
      <c r="B398" s="152">
        <v>38</v>
      </c>
      <c r="C398" s="164">
        <v>13179</v>
      </c>
      <c r="D398" s="152">
        <v>5</v>
      </c>
      <c r="E398" s="163">
        <v>2692</v>
      </c>
      <c r="F398" s="152">
        <v>261</v>
      </c>
      <c r="G398" s="164">
        <v>16175</v>
      </c>
    </row>
    <row r="399" spans="1:8" ht="30" x14ac:dyDescent="0.25">
      <c r="A399" s="152" t="s">
        <v>404</v>
      </c>
      <c r="B399" s="152">
        <v>62</v>
      </c>
      <c r="C399" s="164">
        <v>25815</v>
      </c>
      <c r="D399" s="152">
        <v>11</v>
      </c>
      <c r="E399" s="163">
        <v>3671</v>
      </c>
      <c r="F399" s="152">
        <v>485</v>
      </c>
      <c r="G399" s="164">
        <v>30044</v>
      </c>
    </row>
    <row r="400" spans="1:8" x14ac:dyDescent="0.25">
      <c r="A400" s="152" t="s">
        <v>405</v>
      </c>
      <c r="B400" s="152">
        <v>29</v>
      </c>
      <c r="C400" s="164">
        <v>12648</v>
      </c>
      <c r="D400" s="152">
        <v>7</v>
      </c>
      <c r="E400" s="163">
        <v>2490</v>
      </c>
      <c r="F400" s="152">
        <v>406</v>
      </c>
      <c r="G400" s="164">
        <v>15580</v>
      </c>
    </row>
    <row r="401" spans="1:7" x14ac:dyDescent="0.25">
      <c r="A401" s="152" t="s">
        <v>406</v>
      </c>
      <c r="B401" s="152">
        <v>66</v>
      </c>
      <c r="C401" s="164">
        <v>25984</v>
      </c>
      <c r="D401" s="152">
        <v>9</v>
      </c>
      <c r="E401" s="163">
        <v>4636</v>
      </c>
      <c r="F401" s="152">
        <v>488</v>
      </c>
      <c r="G401" s="164">
        <v>31183</v>
      </c>
    </row>
    <row r="402" spans="1:7" x14ac:dyDescent="0.25">
      <c r="A402" s="152" t="s">
        <v>407</v>
      </c>
      <c r="B402" s="152">
        <v>4</v>
      </c>
      <c r="C402" s="164">
        <v>5170</v>
      </c>
      <c r="D402" s="152">
        <v>1</v>
      </c>
      <c r="E402">
        <v>887</v>
      </c>
      <c r="F402" s="152">
        <v>158</v>
      </c>
      <c r="G402" s="164">
        <v>6220</v>
      </c>
    </row>
    <row r="403" spans="1:7" x14ac:dyDescent="0.25">
      <c r="A403" s="152" t="s">
        <v>408</v>
      </c>
      <c r="B403" s="152">
        <v>60</v>
      </c>
      <c r="C403" s="164">
        <v>28734</v>
      </c>
      <c r="D403" s="152">
        <v>22</v>
      </c>
      <c r="E403" s="163">
        <v>4750</v>
      </c>
      <c r="F403" s="152">
        <v>584</v>
      </c>
      <c r="G403" s="164">
        <v>34150</v>
      </c>
    </row>
    <row r="404" spans="1:7" x14ac:dyDescent="0.25">
      <c r="A404" s="152" t="s">
        <v>409</v>
      </c>
      <c r="B404" s="152">
        <v>16</v>
      </c>
      <c r="C404" s="164">
        <v>5174</v>
      </c>
      <c r="D404" s="152">
        <v>2</v>
      </c>
      <c r="E404">
        <v>822</v>
      </c>
      <c r="F404" s="152">
        <v>144</v>
      </c>
      <c r="G404" s="164">
        <v>6158</v>
      </c>
    </row>
    <row r="405" spans="1:7" ht="30" x14ac:dyDescent="0.25">
      <c r="A405" s="152" t="s">
        <v>410</v>
      </c>
      <c r="B405" s="152">
        <v>58</v>
      </c>
      <c r="C405" s="164">
        <v>24111</v>
      </c>
      <c r="D405" s="152">
        <v>18</v>
      </c>
      <c r="E405" s="163">
        <v>4393</v>
      </c>
      <c r="F405" s="152">
        <v>550</v>
      </c>
      <c r="G405" s="164">
        <v>29130</v>
      </c>
    </row>
    <row r="406" spans="1:7" ht="30" x14ac:dyDescent="0.25">
      <c r="A406" s="152" t="s">
        <v>411</v>
      </c>
      <c r="B406" s="152">
        <v>39</v>
      </c>
      <c r="C406" s="164">
        <v>12333</v>
      </c>
      <c r="D406" s="152">
        <v>7</v>
      </c>
      <c r="E406" s="163">
        <v>2733</v>
      </c>
      <c r="F406" s="152">
        <v>301</v>
      </c>
      <c r="G406" s="164">
        <v>15413</v>
      </c>
    </row>
    <row r="407" spans="1:7" ht="30" x14ac:dyDescent="0.25">
      <c r="A407" s="152" t="s">
        <v>412</v>
      </c>
      <c r="B407" s="152">
        <v>33</v>
      </c>
      <c r="C407" s="164">
        <v>14458</v>
      </c>
      <c r="D407" s="152">
        <v>11</v>
      </c>
      <c r="E407" s="163">
        <v>2637</v>
      </c>
      <c r="F407" s="152">
        <v>377</v>
      </c>
      <c r="G407" s="164">
        <v>17516</v>
      </c>
    </row>
    <row r="408" spans="1:7" ht="30" x14ac:dyDescent="0.25">
      <c r="A408" s="152" t="s">
        <v>413</v>
      </c>
      <c r="B408" s="152">
        <v>7</v>
      </c>
      <c r="C408" s="164">
        <v>5267</v>
      </c>
      <c r="D408" s="152">
        <v>2</v>
      </c>
      <c r="E408">
        <v>771</v>
      </c>
      <c r="F408" s="152">
        <v>127</v>
      </c>
      <c r="G408" s="164">
        <v>6174</v>
      </c>
    </row>
    <row r="409" spans="1:7" ht="30" x14ac:dyDescent="0.25">
      <c r="A409" s="152" t="s">
        <v>414</v>
      </c>
      <c r="B409" s="152">
        <v>40</v>
      </c>
      <c r="C409" s="164">
        <v>16217</v>
      </c>
      <c r="D409" s="152">
        <v>5</v>
      </c>
      <c r="E409" s="163">
        <v>2774</v>
      </c>
      <c r="F409" s="152">
        <v>315</v>
      </c>
      <c r="G409" s="164">
        <v>19351</v>
      </c>
    </row>
    <row r="410" spans="1:7" x14ac:dyDescent="0.25">
      <c r="A410" s="152" t="s">
        <v>415</v>
      </c>
      <c r="B410" s="152">
        <v>143</v>
      </c>
      <c r="C410" s="164">
        <v>60425</v>
      </c>
      <c r="D410" s="152">
        <v>33</v>
      </c>
      <c r="E410" s="163">
        <v>13569</v>
      </c>
      <c r="F410" s="164">
        <v>1419</v>
      </c>
      <c r="G410" s="164">
        <v>75589</v>
      </c>
    </row>
    <row r="411" spans="1:7" x14ac:dyDescent="0.25">
      <c r="A411" s="152" t="s">
        <v>416</v>
      </c>
      <c r="B411" s="152">
        <v>56</v>
      </c>
      <c r="C411" s="164">
        <v>22154</v>
      </c>
      <c r="D411" s="152">
        <v>8</v>
      </c>
      <c r="E411" s="163">
        <v>3556</v>
      </c>
      <c r="F411" s="152">
        <v>449</v>
      </c>
      <c r="G411" s="164">
        <v>26223</v>
      </c>
    </row>
    <row r="412" spans="1:7" ht="30" x14ac:dyDescent="0.25">
      <c r="A412" s="152" t="s">
        <v>417</v>
      </c>
      <c r="B412" s="152">
        <v>74</v>
      </c>
      <c r="C412" s="164">
        <v>28470</v>
      </c>
      <c r="D412" s="152">
        <v>6</v>
      </c>
      <c r="E412" s="163">
        <v>3852</v>
      </c>
      <c r="F412" s="152">
        <v>642</v>
      </c>
      <c r="G412" s="164">
        <v>33044</v>
      </c>
    </row>
    <row r="413" spans="1:7" x14ac:dyDescent="0.25">
      <c r="A413" s="152" t="s">
        <v>418</v>
      </c>
      <c r="B413" s="152">
        <v>18</v>
      </c>
      <c r="C413" s="164">
        <v>10581</v>
      </c>
      <c r="D413" s="152">
        <v>3</v>
      </c>
      <c r="E413" s="163">
        <v>2744</v>
      </c>
      <c r="F413" s="152">
        <v>327</v>
      </c>
      <c r="G413" s="164">
        <v>13673</v>
      </c>
    </row>
    <row r="414" spans="1:7" x14ac:dyDescent="0.25">
      <c r="A414" s="152" t="s">
        <v>419</v>
      </c>
      <c r="B414" s="152">
        <v>22</v>
      </c>
      <c r="C414" s="164">
        <v>8601</v>
      </c>
      <c r="D414" s="152">
        <v>4</v>
      </c>
      <c r="E414" s="163">
        <v>1394</v>
      </c>
      <c r="F414" s="152">
        <v>378</v>
      </c>
      <c r="G414" s="164">
        <v>10399</v>
      </c>
    </row>
    <row r="415" spans="1:7" ht="30" x14ac:dyDescent="0.25">
      <c r="A415" s="152" t="s">
        <v>420</v>
      </c>
      <c r="B415" s="152">
        <v>47</v>
      </c>
      <c r="C415" s="164">
        <v>25934</v>
      </c>
      <c r="D415" s="152">
        <v>19</v>
      </c>
      <c r="E415" s="163">
        <v>11809</v>
      </c>
      <c r="F415" s="152">
        <v>995</v>
      </c>
      <c r="G415" s="164">
        <v>38804</v>
      </c>
    </row>
    <row r="416" spans="1:7" ht="45" x14ac:dyDescent="0.25">
      <c r="A416" s="152" t="s">
        <v>421</v>
      </c>
      <c r="B416" s="152">
        <v>13</v>
      </c>
      <c r="C416" s="164">
        <v>5898</v>
      </c>
      <c r="D416" s="152">
        <v>3</v>
      </c>
      <c r="E416" s="163">
        <v>1373</v>
      </c>
      <c r="F416" s="152">
        <v>225</v>
      </c>
      <c r="G416" s="164">
        <v>7512</v>
      </c>
    </row>
    <row r="417" spans="1:7" x14ac:dyDescent="0.25">
      <c r="A417" s="152" t="s">
        <v>422</v>
      </c>
      <c r="B417" s="152">
        <v>66</v>
      </c>
      <c r="C417" s="164">
        <v>19232</v>
      </c>
      <c r="D417" s="152">
        <v>7</v>
      </c>
      <c r="E417" s="163">
        <v>2796</v>
      </c>
      <c r="F417" s="152">
        <v>398</v>
      </c>
      <c r="G417" s="164">
        <v>22499</v>
      </c>
    </row>
    <row r="418" spans="1:7" x14ac:dyDescent="0.25">
      <c r="A418" s="152" t="s">
        <v>423</v>
      </c>
      <c r="B418" s="152">
        <v>56</v>
      </c>
      <c r="C418" s="164">
        <v>19634</v>
      </c>
      <c r="D418" s="152">
        <v>8</v>
      </c>
      <c r="E418" s="163">
        <v>3323</v>
      </c>
      <c r="F418" s="152">
        <v>387</v>
      </c>
      <c r="G418" s="164">
        <v>23408</v>
      </c>
    </row>
    <row r="419" spans="1:7" x14ac:dyDescent="0.25">
      <c r="A419" s="152" t="s">
        <v>424</v>
      </c>
      <c r="B419" s="152">
        <v>39</v>
      </c>
      <c r="C419" s="164">
        <v>20899</v>
      </c>
      <c r="D419" s="152">
        <v>11</v>
      </c>
      <c r="E419" s="163">
        <v>3948</v>
      </c>
      <c r="F419" s="152">
        <v>426</v>
      </c>
      <c r="G419" s="164">
        <v>25323</v>
      </c>
    </row>
    <row r="420" spans="1:7" x14ac:dyDescent="0.25">
      <c r="A420" s="152" t="s">
        <v>425</v>
      </c>
      <c r="B420" s="152">
        <v>181</v>
      </c>
      <c r="C420" s="164">
        <v>72617</v>
      </c>
      <c r="D420" s="152">
        <v>61</v>
      </c>
      <c r="E420" s="163">
        <v>16053</v>
      </c>
      <c r="F420" s="164">
        <v>1674</v>
      </c>
      <c r="G420" s="164">
        <v>90586</v>
      </c>
    </row>
    <row r="421" spans="1:7" ht="30" x14ac:dyDescent="0.25">
      <c r="A421" s="152" t="s">
        <v>426</v>
      </c>
      <c r="B421" s="152">
        <v>8</v>
      </c>
      <c r="C421" s="164">
        <v>2095</v>
      </c>
      <c r="E421" s="152">
        <v>515</v>
      </c>
      <c r="F421" s="152">
        <v>49</v>
      </c>
      <c r="G421" s="164">
        <v>2667</v>
      </c>
    </row>
    <row r="422" spans="1:7" x14ac:dyDescent="0.25">
      <c r="A422" s="152" t="s">
        <v>427</v>
      </c>
      <c r="B422" s="152">
        <v>54</v>
      </c>
      <c r="C422" s="164">
        <v>21093</v>
      </c>
      <c r="D422" s="152">
        <v>13</v>
      </c>
      <c r="E422" s="163">
        <v>3862</v>
      </c>
      <c r="F422" s="152">
        <v>467</v>
      </c>
      <c r="G422" s="164">
        <v>25489</v>
      </c>
    </row>
    <row r="423" spans="1:7" ht="30" x14ac:dyDescent="0.25">
      <c r="A423" s="152" t="s">
        <v>428</v>
      </c>
      <c r="B423" s="152">
        <v>20</v>
      </c>
      <c r="C423" s="164">
        <v>8171</v>
      </c>
      <c r="D423" s="152">
        <v>2</v>
      </c>
      <c r="E423" s="163">
        <v>1386</v>
      </c>
      <c r="F423" s="152">
        <v>233</v>
      </c>
      <c r="G423" s="164">
        <v>9812</v>
      </c>
    </row>
    <row r="424" spans="1:7" x14ac:dyDescent="0.25">
      <c r="A424" s="152" t="s">
        <v>429</v>
      </c>
      <c r="B424" s="152">
        <v>24</v>
      </c>
      <c r="C424" s="164">
        <v>9511</v>
      </c>
      <c r="D424" s="152">
        <v>2</v>
      </c>
      <c r="E424" s="163">
        <v>1446</v>
      </c>
      <c r="F424" s="152">
        <v>258</v>
      </c>
      <c r="G424" s="164">
        <v>11241</v>
      </c>
    </row>
    <row r="425" spans="1:7" ht="45" x14ac:dyDescent="0.25">
      <c r="A425" s="152" t="s">
        <v>430</v>
      </c>
      <c r="B425" s="152">
        <v>49</v>
      </c>
      <c r="C425" s="164">
        <v>22381</v>
      </c>
      <c r="D425" s="152">
        <v>17</v>
      </c>
      <c r="E425" s="163">
        <v>3608</v>
      </c>
      <c r="F425" s="152">
        <v>479</v>
      </c>
      <c r="G425" s="164">
        <v>26534</v>
      </c>
    </row>
    <row r="426" spans="1:7" x14ac:dyDescent="0.25">
      <c r="A426" s="152" t="s">
        <v>513</v>
      </c>
      <c r="B426" s="152">
        <v>22</v>
      </c>
      <c r="C426" s="164">
        <v>13162</v>
      </c>
      <c r="D426" s="152">
        <v>7</v>
      </c>
      <c r="E426" s="163">
        <v>2639</v>
      </c>
      <c r="F426" s="152">
        <v>275</v>
      </c>
      <c r="G426" s="164">
        <v>16105</v>
      </c>
    </row>
    <row r="427" spans="1:7" x14ac:dyDescent="0.25">
      <c r="A427" s="152" t="s">
        <v>514</v>
      </c>
      <c r="B427" s="152">
        <v>78</v>
      </c>
      <c r="C427" s="164">
        <v>34107</v>
      </c>
      <c r="D427" s="152">
        <v>13</v>
      </c>
      <c r="E427" s="163">
        <v>5884</v>
      </c>
      <c r="F427" s="152">
        <v>805</v>
      </c>
      <c r="G427" s="164">
        <v>40887</v>
      </c>
    </row>
    <row r="428" spans="1:7" x14ac:dyDescent="0.25">
      <c r="A428" s="152" t="s">
        <v>431</v>
      </c>
      <c r="B428" s="152">
        <v>7</v>
      </c>
      <c r="C428" s="164">
        <v>3175</v>
      </c>
      <c r="D428" s="152">
        <v>1</v>
      </c>
      <c r="E428">
        <v>611</v>
      </c>
      <c r="F428" s="152">
        <v>103</v>
      </c>
      <c r="G428" s="164">
        <v>3897</v>
      </c>
    </row>
    <row r="429" spans="1:7" ht="30" x14ac:dyDescent="0.25">
      <c r="A429" s="152" t="s">
        <v>432</v>
      </c>
      <c r="B429" s="152">
        <v>22</v>
      </c>
      <c r="C429" s="164">
        <v>12602</v>
      </c>
      <c r="D429" s="152">
        <v>7</v>
      </c>
      <c r="E429" s="163">
        <v>4503</v>
      </c>
      <c r="F429" s="152">
        <v>493</v>
      </c>
      <c r="G429" s="164">
        <v>17627</v>
      </c>
    </row>
    <row r="430" spans="1:7" x14ac:dyDescent="0.25">
      <c r="A430" s="152" t="s">
        <v>433</v>
      </c>
      <c r="B430" s="152">
        <v>82</v>
      </c>
      <c r="C430" s="164">
        <v>31452</v>
      </c>
      <c r="D430" s="152">
        <v>25</v>
      </c>
      <c r="E430" s="163">
        <v>5262</v>
      </c>
      <c r="F430" s="152">
        <v>839</v>
      </c>
      <c r="G430" s="164">
        <v>37660</v>
      </c>
    </row>
    <row r="431" spans="1:7" ht="30" x14ac:dyDescent="0.25">
      <c r="A431" s="152" t="s">
        <v>434</v>
      </c>
      <c r="B431" s="152">
        <v>139</v>
      </c>
      <c r="C431" s="164">
        <v>71068</v>
      </c>
      <c r="D431" s="152">
        <v>25</v>
      </c>
      <c r="E431" s="163">
        <v>11252</v>
      </c>
      <c r="F431" s="164">
        <v>1837</v>
      </c>
      <c r="G431" s="164">
        <v>84321</v>
      </c>
    </row>
    <row r="432" spans="1:7" x14ac:dyDescent="0.25">
      <c r="A432" s="152" t="s">
        <v>435</v>
      </c>
      <c r="B432" s="152">
        <v>46</v>
      </c>
      <c r="C432" s="164">
        <v>18143</v>
      </c>
      <c r="D432" s="152">
        <v>6</v>
      </c>
      <c r="E432" s="163">
        <v>3143</v>
      </c>
      <c r="F432" s="152">
        <v>568</v>
      </c>
      <c r="G432" s="164">
        <v>21906</v>
      </c>
    </row>
    <row r="433" spans="1:7" ht="30" x14ac:dyDescent="0.25">
      <c r="A433" s="152" t="s">
        <v>436</v>
      </c>
      <c r="B433" s="152">
        <v>49</v>
      </c>
      <c r="C433" s="164">
        <v>21030</v>
      </c>
      <c r="D433" s="152">
        <v>4</v>
      </c>
      <c r="E433" s="163">
        <v>3207</v>
      </c>
      <c r="F433" s="152">
        <v>438</v>
      </c>
      <c r="G433" s="164">
        <v>24728</v>
      </c>
    </row>
    <row r="434" spans="1:7" x14ac:dyDescent="0.25">
      <c r="A434" s="152" t="s">
        <v>437</v>
      </c>
      <c r="B434" s="152">
        <v>89</v>
      </c>
      <c r="C434" s="164">
        <v>28084</v>
      </c>
      <c r="D434" s="152">
        <v>6</v>
      </c>
      <c r="E434" s="163">
        <v>4734</v>
      </c>
      <c r="F434" s="152">
        <v>625</v>
      </c>
      <c r="G434" s="164">
        <v>33538</v>
      </c>
    </row>
    <row r="435" spans="1:7" x14ac:dyDescent="0.25">
      <c r="A435" s="152" t="s">
        <v>438</v>
      </c>
      <c r="B435" s="152">
        <v>50</v>
      </c>
      <c r="C435" s="164">
        <v>23517</v>
      </c>
      <c r="D435" s="152">
        <v>10</v>
      </c>
      <c r="E435" s="163">
        <v>3534</v>
      </c>
      <c r="F435" s="152">
        <v>544</v>
      </c>
      <c r="G435" s="164">
        <v>27655</v>
      </c>
    </row>
    <row r="436" spans="1:7" ht="30" x14ac:dyDescent="0.25">
      <c r="A436" s="152" t="s">
        <v>439</v>
      </c>
      <c r="B436" s="152">
        <v>87</v>
      </c>
      <c r="C436" s="164">
        <v>40881</v>
      </c>
      <c r="D436" s="152">
        <v>25</v>
      </c>
      <c r="E436" s="163">
        <v>6718</v>
      </c>
      <c r="F436" s="164">
        <v>1025</v>
      </c>
      <c r="G436" s="164">
        <v>48736</v>
      </c>
    </row>
    <row r="437" spans="1:7" ht="30" x14ac:dyDescent="0.25">
      <c r="A437" s="152" t="s">
        <v>440</v>
      </c>
      <c r="B437" s="152">
        <v>50</v>
      </c>
      <c r="C437" s="164">
        <v>19809</v>
      </c>
      <c r="D437" s="152">
        <v>8</v>
      </c>
      <c r="E437" s="163">
        <v>2971</v>
      </c>
      <c r="F437" s="152">
        <v>448</v>
      </c>
      <c r="G437" s="164">
        <v>23286</v>
      </c>
    </row>
    <row r="438" spans="1:7" ht="30" x14ac:dyDescent="0.25">
      <c r="A438" s="152" t="s">
        <v>441</v>
      </c>
      <c r="B438" s="152">
        <v>3</v>
      </c>
      <c r="C438" s="164">
        <v>2383</v>
      </c>
      <c r="D438" s="152">
        <v>1</v>
      </c>
      <c r="E438">
        <v>492</v>
      </c>
      <c r="F438" s="152">
        <v>53</v>
      </c>
      <c r="G438" s="164">
        <v>2932</v>
      </c>
    </row>
    <row r="439" spans="1:7" ht="30" x14ac:dyDescent="0.25">
      <c r="A439" s="152" t="s">
        <v>442</v>
      </c>
      <c r="B439" s="152">
        <v>49</v>
      </c>
      <c r="C439" s="164">
        <v>16683</v>
      </c>
      <c r="D439" s="152">
        <v>5</v>
      </c>
      <c r="E439" s="163">
        <v>3202</v>
      </c>
      <c r="F439" s="152">
        <v>431</v>
      </c>
      <c r="G439" s="164">
        <v>20370</v>
      </c>
    </row>
    <row r="440" spans="1:7" x14ac:dyDescent="0.25">
      <c r="A440" s="152" t="s">
        <v>443</v>
      </c>
      <c r="B440" s="152">
        <v>6</v>
      </c>
      <c r="C440" s="164">
        <v>1653</v>
      </c>
      <c r="D440" s="152">
        <v>2</v>
      </c>
      <c r="E440">
        <v>321</v>
      </c>
      <c r="F440" s="152">
        <v>47</v>
      </c>
      <c r="G440" s="164">
        <v>2029</v>
      </c>
    </row>
    <row r="441" spans="1:7" ht="30" x14ac:dyDescent="0.25">
      <c r="A441" s="152" t="s">
        <v>444</v>
      </c>
      <c r="B441" s="152">
        <v>45</v>
      </c>
      <c r="C441" s="164">
        <v>17432</v>
      </c>
      <c r="D441" s="152">
        <v>5</v>
      </c>
      <c r="E441" s="163">
        <v>2147</v>
      </c>
      <c r="F441" s="152">
        <v>292</v>
      </c>
      <c r="G441" s="164">
        <v>19921</v>
      </c>
    </row>
    <row r="442" spans="1:7" x14ac:dyDescent="0.25">
      <c r="A442" s="152" t="s">
        <v>445</v>
      </c>
      <c r="B442" s="152">
        <v>420</v>
      </c>
      <c r="C442" s="164">
        <v>53928</v>
      </c>
      <c r="D442" s="152">
        <v>14</v>
      </c>
      <c r="E442" s="163">
        <v>10554</v>
      </c>
      <c r="F442" s="164">
        <v>1765</v>
      </c>
      <c r="G442" s="164">
        <v>66681</v>
      </c>
    </row>
    <row r="443" spans="1:7" x14ac:dyDescent="0.25">
      <c r="A443" s="152" t="s">
        <v>446</v>
      </c>
      <c r="B443" s="152">
        <v>22</v>
      </c>
      <c r="C443" s="164">
        <v>10410</v>
      </c>
      <c r="D443" s="152">
        <v>10</v>
      </c>
      <c r="E443" s="163">
        <v>1956</v>
      </c>
      <c r="F443" s="152">
        <v>255</v>
      </c>
      <c r="G443" s="164">
        <v>12653</v>
      </c>
    </row>
    <row r="444" spans="1:7" x14ac:dyDescent="0.25">
      <c r="A444" s="152" t="s">
        <v>447</v>
      </c>
      <c r="B444" s="152">
        <v>6</v>
      </c>
      <c r="C444" s="164">
        <v>2581</v>
      </c>
      <c r="E444" s="152">
        <v>416</v>
      </c>
      <c r="F444" s="152">
        <v>58</v>
      </c>
      <c r="G444" s="164">
        <v>3061</v>
      </c>
    </row>
    <row r="445" spans="1:7" x14ac:dyDescent="0.25">
      <c r="A445" s="152" t="s">
        <v>448</v>
      </c>
      <c r="B445" s="152">
        <v>7</v>
      </c>
      <c r="C445" s="164">
        <v>4977</v>
      </c>
      <c r="E445" s="164">
        <v>2219</v>
      </c>
      <c r="F445" s="152">
        <v>223</v>
      </c>
      <c r="G445" s="164">
        <v>7426</v>
      </c>
    </row>
    <row r="446" spans="1:7" x14ac:dyDescent="0.25">
      <c r="A446" s="152" t="s">
        <v>515</v>
      </c>
      <c r="B446" s="152">
        <v>56</v>
      </c>
      <c r="C446" s="164">
        <v>28379</v>
      </c>
      <c r="D446" s="152">
        <v>13</v>
      </c>
      <c r="E446" s="163">
        <v>7415</v>
      </c>
      <c r="F446" s="152">
        <v>772</v>
      </c>
      <c r="G446" s="164">
        <v>36635</v>
      </c>
    </row>
    <row r="447" spans="1:7" x14ac:dyDescent="0.25">
      <c r="A447" s="152"/>
      <c r="G447" s="161"/>
    </row>
    <row r="448" spans="1:7" x14ac:dyDescent="0.25">
      <c r="A448" s="152" t="s">
        <v>36</v>
      </c>
      <c r="B448" s="164">
        <f>SUM(B395:B447)</f>
        <v>2681</v>
      </c>
      <c r="C448" s="164">
        <f t="shared" ref="C448:G448" si="10">SUM(C395:C447)</f>
        <v>1018313</v>
      </c>
      <c r="D448" s="164">
        <f t="shared" si="10"/>
        <v>495</v>
      </c>
      <c r="E448" s="164">
        <f t="shared" si="10"/>
        <v>194353</v>
      </c>
      <c r="F448" s="164">
        <f t="shared" si="10"/>
        <v>25287</v>
      </c>
      <c r="G448" s="164">
        <f t="shared" si="10"/>
        <v>1241129</v>
      </c>
    </row>
    <row r="449" spans="1:7" x14ac:dyDescent="0.25">
      <c r="A449" s="152"/>
      <c r="B449" s="152"/>
      <c r="C449" s="152"/>
      <c r="D449" s="165"/>
      <c r="F449" s="165"/>
      <c r="G449" s="162"/>
    </row>
    <row r="454" spans="1:7" ht="45" x14ac:dyDescent="0.25">
      <c r="A454" s="152" t="s">
        <v>449</v>
      </c>
      <c r="B454" s="172"/>
      <c r="C454" s="172"/>
      <c r="D454" s="172"/>
      <c r="E454" s="172"/>
      <c r="F454" s="173"/>
    </row>
    <row r="455" spans="1:7" x14ac:dyDescent="0.25">
      <c r="A455" s="152"/>
      <c r="B455" s="152"/>
      <c r="C455" s="152"/>
      <c r="F455" s="161"/>
    </row>
    <row r="456" spans="1:7" ht="30" x14ac:dyDescent="0.25">
      <c r="A456" s="152"/>
      <c r="B456" s="152" t="s">
        <v>516</v>
      </c>
      <c r="C456" s="152"/>
      <c r="F456" s="161"/>
    </row>
    <row r="457" spans="1:7" x14ac:dyDescent="0.25">
      <c r="A457" s="152" t="s">
        <v>141</v>
      </c>
      <c r="B457" s="152" t="s">
        <v>495</v>
      </c>
      <c r="C457" s="152" t="s">
        <v>496</v>
      </c>
      <c r="D457" s="152" t="s">
        <v>497</v>
      </c>
      <c r="E457" s="152" t="s">
        <v>498</v>
      </c>
      <c r="F457" s="152" t="s">
        <v>499</v>
      </c>
      <c r="G457" s="152" t="s">
        <v>36</v>
      </c>
    </row>
    <row r="458" spans="1:7" x14ac:dyDescent="0.25">
      <c r="A458" s="152"/>
      <c r="B458" s="152"/>
      <c r="C458" s="152"/>
      <c r="G458" s="161"/>
    </row>
    <row r="459" spans="1:7" x14ac:dyDescent="0.25">
      <c r="A459" s="152" t="s">
        <v>450</v>
      </c>
      <c r="B459" s="152">
        <v>2</v>
      </c>
      <c r="C459" s="164">
        <v>1040</v>
      </c>
      <c r="D459" s="152">
        <v>1</v>
      </c>
      <c r="E459" s="152">
        <v>159</v>
      </c>
      <c r="F459" s="152">
        <v>13</v>
      </c>
      <c r="G459" s="164">
        <v>1215</v>
      </c>
    </row>
    <row r="460" spans="1:7" x14ac:dyDescent="0.25">
      <c r="A460" s="152" t="s">
        <v>451</v>
      </c>
      <c r="B460" s="152">
        <v>9</v>
      </c>
      <c r="C460" s="164">
        <v>2600</v>
      </c>
      <c r="D460" s="152">
        <v>2</v>
      </c>
      <c r="E460" s="152">
        <v>421</v>
      </c>
      <c r="F460" s="152">
        <v>81</v>
      </c>
      <c r="G460" s="164">
        <v>3113</v>
      </c>
    </row>
    <row r="461" spans="1:7" x14ac:dyDescent="0.25">
      <c r="A461" s="152" t="s">
        <v>452</v>
      </c>
      <c r="B461" s="152">
        <v>22</v>
      </c>
      <c r="C461" s="164">
        <v>8352</v>
      </c>
      <c r="D461" s="152">
        <v>8</v>
      </c>
      <c r="E461" s="164">
        <v>1465</v>
      </c>
      <c r="F461" s="152">
        <v>187</v>
      </c>
      <c r="G461" s="164">
        <v>10034</v>
      </c>
    </row>
    <row r="462" spans="1:7" ht="30" x14ac:dyDescent="0.25">
      <c r="A462" s="152" t="s">
        <v>453</v>
      </c>
      <c r="B462" s="152">
        <v>5</v>
      </c>
      <c r="C462" s="164">
        <v>1993</v>
      </c>
      <c r="D462" s="152">
        <v>1</v>
      </c>
      <c r="E462" s="152">
        <v>282</v>
      </c>
      <c r="F462" s="152">
        <v>48</v>
      </c>
      <c r="G462" s="164">
        <v>2329</v>
      </c>
    </row>
    <row r="463" spans="1:7" x14ac:dyDescent="0.25">
      <c r="A463" s="152" t="s">
        <v>454</v>
      </c>
      <c r="B463" s="152">
        <v>17</v>
      </c>
      <c r="C463" s="164">
        <v>3454</v>
      </c>
      <c r="D463" s="152">
        <v>5</v>
      </c>
      <c r="E463" s="152">
        <v>556</v>
      </c>
      <c r="F463" s="152">
        <v>66</v>
      </c>
      <c r="G463" s="164">
        <v>4098</v>
      </c>
    </row>
    <row r="464" spans="1:7" x14ac:dyDescent="0.25">
      <c r="A464" s="152" t="s">
        <v>455</v>
      </c>
      <c r="B464" s="152">
        <v>10</v>
      </c>
      <c r="C464" s="164">
        <v>3912</v>
      </c>
      <c r="D464" s="152">
        <v>2</v>
      </c>
      <c r="E464" s="152">
        <v>567</v>
      </c>
      <c r="F464" s="152">
        <v>98</v>
      </c>
      <c r="G464" s="164">
        <v>4589</v>
      </c>
    </row>
    <row r="465" spans="1:7" x14ac:dyDescent="0.25">
      <c r="A465" s="152" t="s">
        <v>456</v>
      </c>
      <c r="B465" s="152">
        <v>7</v>
      </c>
      <c r="C465" s="164">
        <v>1486</v>
      </c>
      <c r="D465" s="152">
        <v>1</v>
      </c>
      <c r="E465" s="152">
        <v>250</v>
      </c>
      <c r="F465" s="152">
        <v>24</v>
      </c>
      <c r="G465" s="164">
        <v>1768</v>
      </c>
    </row>
    <row r="466" spans="1:7" x14ac:dyDescent="0.25">
      <c r="A466" s="152" t="s">
        <v>457</v>
      </c>
      <c r="B466" s="152">
        <v>19</v>
      </c>
      <c r="C466" s="164">
        <v>4468</v>
      </c>
      <c r="D466" s="152">
        <v>2</v>
      </c>
      <c r="E466" s="152">
        <v>955</v>
      </c>
      <c r="F466" s="152">
        <v>104</v>
      </c>
      <c r="G466" s="164">
        <v>5548</v>
      </c>
    </row>
    <row r="467" spans="1:7" ht="30" x14ac:dyDescent="0.25">
      <c r="A467" s="152" t="s">
        <v>458</v>
      </c>
      <c r="B467" s="152">
        <v>12</v>
      </c>
      <c r="C467" s="164">
        <v>6294</v>
      </c>
      <c r="D467" s="152">
        <v>5</v>
      </c>
      <c r="E467" s="164">
        <v>1104</v>
      </c>
      <c r="F467" s="152">
        <v>155</v>
      </c>
      <c r="G467" s="164">
        <v>7570</v>
      </c>
    </row>
    <row r="468" spans="1:7" x14ac:dyDescent="0.25">
      <c r="A468" s="152" t="s">
        <v>459</v>
      </c>
      <c r="B468" s="152">
        <v>20</v>
      </c>
      <c r="C468" s="164">
        <v>6998</v>
      </c>
      <c r="D468" s="152">
        <v>11</v>
      </c>
      <c r="E468" s="164">
        <v>1159</v>
      </c>
      <c r="F468" s="152">
        <v>156</v>
      </c>
      <c r="G468" s="164">
        <v>8344</v>
      </c>
    </row>
    <row r="469" spans="1:7" ht="60" x14ac:dyDescent="0.25">
      <c r="A469" s="152" t="s">
        <v>519</v>
      </c>
      <c r="B469" s="152">
        <v>13</v>
      </c>
      <c r="C469" s="164">
        <v>3804</v>
      </c>
      <c r="D469" s="152">
        <v>1</v>
      </c>
      <c r="E469" s="152">
        <v>560</v>
      </c>
      <c r="F469" s="152">
        <v>88</v>
      </c>
      <c r="G469" s="164">
        <v>4466</v>
      </c>
    </row>
    <row r="470" spans="1:7" x14ac:dyDescent="0.25">
      <c r="A470" s="152" t="s">
        <v>461</v>
      </c>
      <c r="B470" s="152">
        <v>97</v>
      </c>
      <c r="C470" s="164">
        <v>27778</v>
      </c>
      <c r="D470" s="152">
        <v>29</v>
      </c>
      <c r="E470" s="164">
        <v>4913</v>
      </c>
      <c r="F470" s="152">
        <v>600</v>
      </c>
      <c r="G470" s="164">
        <v>33417</v>
      </c>
    </row>
    <row r="471" spans="1:7" x14ac:dyDescent="0.25">
      <c r="A471" s="152"/>
      <c r="G471" s="161"/>
    </row>
    <row r="472" spans="1:7" x14ac:dyDescent="0.25">
      <c r="A472" s="152" t="s">
        <v>36</v>
      </c>
      <c r="B472" s="152">
        <v>233</v>
      </c>
      <c r="C472" s="164">
        <v>72179</v>
      </c>
      <c r="D472" s="152">
        <v>68</v>
      </c>
      <c r="E472" s="164">
        <v>12391</v>
      </c>
      <c r="F472" s="164">
        <v>1620</v>
      </c>
      <c r="G472" s="164">
        <v>86491</v>
      </c>
    </row>
    <row r="473" spans="1:7" x14ac:dyDescent="0.25">
      <c r="A473" s="152"/>
      <c r="B473" s="152"/>
      <c r="C473" s="152"/>
      <c r="F473" s="161"/>
    </row>
    <row r="474" spans="1:7" x14ac:dyDescent="0.25">
      <c r="A474" s="152"/>
      <c r="B474" s="165"/>
      <c r="C474" s="165"/>
      <c r="D474" s="165"/>
      <c r="E474" s="165"/>
      <c r="F474" s="162"/>
    </row>
    <row r="478" spans="1:7" ht="45" x14ac:dyDescent="0.25">
      <c r="A478" s="152" t="s">
        <v>517</v>
      </c>
      <c r="B478" s="152" t="s">
        <v>518</v>
      </c>
      <c r="C478" s="152">
        <v>15</v>
      </c>
      <c r="D478" s="172"/>
      <c r="E478" s="172"/>
      <c r="F478" s="173"/>
    </row>
    <row r="479" spans="1:7" x14ac:dyDescent="0.25">
      <c r="A479" s="152"/>
      <c r="B479" s="152"/>
      <c r="C479" s="152"/>
      <c r="D479" s="152"/>
      <c r="F479" s="161"/>
    </row>
    <row r="480" spans="1:7" ht="30" x14ac:dyDescent="0.25">
      <c r="A480" s="152"/>
      <c r="B480" s="152"/>
      <c r="C480" s="152" t="s">
        <v>516</v>
      </c>
      <c r="D480" s="152"/>
      <c r="F480" s="161"/>
    </row>
    <row r="481" spans="1:7" x14ac:dyDescent="0.25">
      <c r="A481" s="152" t="s">
        <v>141</v>
      </c>
      <c r="B481" s="152" t="s">
        <v>495</v>
      </c>
      <c r="C481" s="152" t="s">
        <v>496</v>
      </c>
      <c r="D481" s="152" t="s">
        <v>497</v>
      </c>
      <c r="E481" s="152" t="s">
        <v>498</v>
      </c>
      <c r="F481" s="152" t="s">
        <v>499</v>
      </c>
      <c r="G481" s="152" t="s">
        <v>36</v>
      </c>
    </row>
    <row r="482" spans="1:7" x14ac:dyDescent="0.25">
      <c r="A482" s="152"/>
      <c r="B482" s="152"/>
      <c r="C482" s="152"/>
      <c r="G482" s="161"/>
    </row>
    <row r="483" spans="1:7" x14ac:dyDescent="0.25">
      <c r="A483" s="152" t="s">
        <v>462</v>
      </c>
      <c r="B483" s="152">
        <v>109</v>
      </c>
      <c r="C483" s="164">
        <v>34285</v>
      </c>
      <c r="D483" s="152">
        <v>16</v>
      </c>
      <c r="E483" s="164">
        <v>5811</v>
      </c>
      <c r="F483" s="152">
        <v>828</v>
      </c>
      <c r="G483" s="164">
        <v>41049</v>
      </c>
    </row>
    <row r="484" spans="1:7" ht="30" x14ac:dyDescent="0.25">
      <c r="A484" s="152" t="s">
        <v>463</v>
      </c>
      <c r="B484" s="152"/>
      <c r="C484" s="152">
        <v>75</v>
      </c>
      <c r="E484" s="152">
        <v>15</v>
      </c>
      <c r="F484" s="152">
        <v>1</v>
      </c>
      <c r="G484" s="152">
        <v>91</v>
      </c>
    </row>
    <row r="485" spans="1:7" ht="30" x14ac:dyDescent="0.25">
      <c r="A485" s="152" t="s">
        <v>464</v>
      </c>
      <c r="B485" s="152">
        <v>1</v>
      </c>
      <c r="C485" s="152">
        <v>62</v>
      </c>
      <c r="E485" s="152">
        <v>21</v>
      </c>
      <c r="G485" s="152">
        <v>84</v>
      </c>
    </row>
    <row r="486" spans="1:7" x14ac:dyDescent="0.25">
      <c r="A486" s="152" t="s">
        <v>465</v>
      </c>
      <c r="B486" s="152"/>
      <c r="C486" s="152">
        <v>218</v>
      </c>
      <c r="E486" s="152">
        <v>58</v>
      </c>
      <c r="F486" s="152">
        <v>8</v>
      </c>
      <c r="G486" s="152">
        <v>284</v>
      </c>
    </row>
    <row r="487" spans="1:7" x14ac:dyDescent="0.25">
      <c r="A487" s="152" t="s">
        <v>36</v>
      </c>
      <c r="B487" s="153">
        <f>SUM(B483:B486)</f>
        <v>110</v>
      </c>
      <c r="C487" s="153">
        <f t="shared" ref="C487:F487" si="11">SUM(C483:C486)</f>
        <v>34640</v>
      </c>
      <c r="D487" s="153">
        <f t="shared" si="11"/>
        <v>16</v>
      </c>
      <c r="E487" s="153">
        <f t="shared" si="11"/>
        <v>5905</v>
      </c>
      <c r="F487" s="153">
        <f t="shared" si="11"/>
        <v>837</v>
      </c>
      <c r="G487" s="153">
        <f>SUM(G483:G486)</f>
        <v>41508</v>
      </c>
    </row>
    <row r="488" spans="1:7" x14ac:dyDescent="0.25">
      <c r="A488" s="152"/>
      <c r="B488" s="152"/>
      <c r="C488" s="152"/>
      <c r="D488" s="165"/>
      <c r="E488" s="165"/>
      <c r="F488" s="162"/>
    </row>
    <row r="492" spans="1:7" ht="45" x14ac:dyDescent="0.25">
      <c r="A492" s="152" t="s">
        <v>517</v>
      </c>
      <c r="B492" s="152" t="s">
        <v>518</v>
      </c>
      <c r="C492" s="152">
        <v>16</v>
      </c>
      <c r="D492" s="172"/>
      <c r="E492" s="172"/>
      <c r="F492" s="173"/>
    </row>
    <row r="493" spans="1:7" x14ac:dyDescent="0.25">
      <c r="A493" s="152"/>
      <c r="B493" s="152"/>
      <c r="C493" s="152"/>
      <c r="D493" s="152"/>
      <c r="F493" s="161"/>
    </row>
    <row r="494" spans="1:7" ht="30" x14ac:dyDescent="0.25">
      <c r="A494" s="152"/>
      <c r="B494" s="152"/>
      <c r="C494" s="152" t="s">
        <v>516</v>
      </c>
      <c r="D494" s="152"/>
      <c r="F494" s="161"/>
    </row>
    <row r="495" spans="1:7" x14ac:dyDescent="0.25">
      <c r="A495" s="152" t="s">
        <v>141</v>
      </c>
      <c r="B495" s="152" t="s">
        <v>495</v>
      </c>
      <c r="C495" s="152" t="s">
        <v>496</v>
      </c>
      <c r="D495" s="152" t="s">
        <v>497</v>
      </c>
      <c r="E495" s="152" t="s">
        <v>498</v>
      </c>
      <c r="F495" s="152" t="s">
        <v>499</v>
      </c>
      <c r="G495" s="152" t="s">
        <v>36</v>
      </c>
    </row>
    <row r="496" spans="1:7" x14ac:dyDescent="0.25">
      <c r="A496" s="152"/>
      <c r="B496" s="152"/>
      <c r="C496" s="152"/>
      <c r="G496" s="161"/>
    </row>
    <row r="497" spans="1:7" x14ac:dyDescent="0.25">
      <c r="A497" s="152" t="s">
        <v>466</v>
      </c>
      <c r="B497" s="152">
        <v>13</v>
      </c>
      <c r="C497" s="164">
        <v>4610</v>
      </c>
      <c r="D497" s="152">
        <v>1</v>
      </c>
      <c r="E497" s="164">
        <v>1258</v>
      </c>
      <c r="F497" s="152">
        <v>132</v>
      </c>
      <c r="G497" s="164">
        <v>6014</v>
      </c>
    </row>
    <row r="498" spans="1:7" x14ac:dyDescent="0.25">
      <c r="A498" s="152" t="s">
        <v>467</v>
      </c>
      <c r="B498" s="152">
        <v>107</v>
      </c>
      <c r="C498" s="164">
        <v>35823</v>
      </c>
      <c r="D498" s="152">
        <v>9</v>
      </c>
      <c r="E498" s="164">
        <v>8805</v>
      </c>
      <c r="F498" s="152">
        <v>912</v>
      </c>
      <c r="G498" s="164">
        <v>45656</v>
      </c>
    </row>
    <row r="499" spans="1:7" ht="30" x14ac:dyDescent="0.25">
      <c r="A499" s="152" t="s">
        <v>468</v>
      </c>
      <c r="B499" s="152">
        <v>18</v>
      </c>
      <c r="C499" s="164">
        <v>4008</v>
      </c>
      <c r="E499" s="152">
        <v>891</v>
      </c>
      <c r="F499" s="152">
        <v>106</v>
      </c>
      <c r="G499" s="164">
        <v>5023</v>
      </c>
    </row>
    <row r="500" spans="1:7" ht="30" x14ac:dyDescent="0.25">
      <c r="A500" s="152" t="s">
        <v>469</v>
      </c>
      <c r="B500" s="152">
        <v>5</v>
      </c>
      <c r="C500" s="164">
        <v>1172</v>
      </c>
      <c r="E500" s="152">
        <v>277</v>
      </c>
      <c r="F500" s="152">
        <v>24</v>
      </c>
      <c r="G500" s="164">
        <v>1478</v>
      </c>
    </row>
    <row r="501" spans="1:7" x14ac:dyDescent="0.25">
      <c r="A501" s="152" t="s">
        <v>470</v>
      </c>
      <c r="B501" s="152">
        <v>5</v>
      </c>
      <c r="C501" s="164">
        <v>3897</v>
      </c>
      <c r="E501" s="152">
        <v>822</v>
      </c>
      <c r="F501" s="152">
        <v>74</v>
      </c>
      <c r="G501" s="164">
        <v>4798</v>
      </c>
    </row>
    <row r="502" spans="1:7" x14ac:dyDescent="0.25">
      <c r="A502" s="152" t="s">
        <v>471</v>
      </c>
      <c r="B502" s="152">
        <v>18</v>
      </c>
      <c r="C502" s="164">
        <v>4370</v>
      </c>
      <c r="D502" s="152">
        <v>1</v>
      </c>
      <c r="E502" s="164">
        <v>1431</v>
      </c>
      <c r="F502" s="152">
        <v>147</v>
      </c>
      <c r="G502" s="164">
        <v>5967</v>
      </c>
    </row>
    <row r="503" spans="1:7" x14ac:dyDescent="0.25">
      <c r="A503" s="152" t="s">
        <v>472</v>
      </c>
      <c r="B503" s="152">
        <v>10</v>
      </c>
      <c r="C503" s="164">
        <v>2703</v>
      </c>
      <c r="D503" s="152">
        <v>1</v>
      </c>
      <c r="E503" s="152">
        <v>848</v>
      </c>
      <c r="F503" s="152">
        <v>73</v>
      </c>
      <c r="G503" s="164">
        <v>3635</v>
      </c>
    </row>
    <row r="504" spans="1:7" x14ac:dyDescent="0.25">
      <c r="A504" s="152" t="s">
        <v>473</v>
      </c>
      <c r="B504" s="152">
        <v>3</v>
      </c>
      <c r="C504" s="164">
        <v>1384</v>
      </c>
      <c r="E504" s="152">
        <v>494</v>
      </c>
      <c r="F504" s="152">
        <v>28</v>
      </c>
      <c r="G504" s="164">
        <v>1909</v>
      </c>
    </row>
    <row r="505" spans="1:7" x14ac:dyDescent="0.25">
      <c r="A505" s="152" t="s">
        <v>474</v>
      </c>
      <c r="B505" s="152">
        <v>2</v>
      </c>
      <c r="C505" s="164">
        <v>1686</v>
      </c>
      <c r="E505" s="152">
        <v>551</v>
      </c>
      <c r="F505" s="152">
        <v>51</v>
      </c>
      <c r="G505" s="164">
        <v>2290</v>
      </c>
    </row>
    <row r="506" spans="1:7" x14ac:dyDescent="0.25">
      <c r="A506" s="152" t="s">
        <v>475</v>
      </c>
      <c r="B506" s="152">
        <v>5</v>
      </c>
      <c r="C506" s="164">
        <v>2316</v>
      </c>
      <c r="E506" s="152">
        <v>695</v>
      </c>
      <c r="F506" s="152">
        <v>81</v>
      </c>
      <c r="G506" s="164">
        <v>3097</v>
      </c>
    </row>
    <row r="507" spans="1:7" ht="30" x14ac:dyDescent="0.25">
      <c r="A507" s="152" t="s">
        <v>476</v>
      </c>
      <c r="B507" s="152">
        <v>4</v>
      </c>
      <c r="C507" s="164">
        <v>1278</v>
      </c>
      <c r="E507" s="152">
        <v>260</v>
      </c>
      <c r="F507" s="152">
        <v>26</v>
      </c>
      <c r="G507" s="164">
        <v>1568</v>
      </c>
    </row>
    <row r="508" spans="1:7" x14ac:dyDescent="0.25">
      <c r="A508" s="152" t="s">
        <v>477</v>
      </c>
      <c r="B508" s="152">
        <v>15</v>
      </c>
      <c r="C508" s="164">
        <v>4075</v>
      </c>
      <c r="D508" s="152">
        <v>3</v>
      </c>
      <c r="E508" s="152">
        <v>910</v>
      </c>
      <c r="F508" s="152">
        <v>132</v>
      </c>
      <c r="G508" s="164">
        <v>5135</v>
      </c>
    </row>
    <row r="509" spans="1:7" x14ac:dyDescent="0.25">
      <c r="A509" s="152" t="s">
        <v>478</v>
      </c>
      <c r="B509" s="152">
        <v>9</v>
      </c>
      <c r="C509" s="164">
        <v>2735</v>
      </c>
      <c r="E509" s="152">
        <v>605</v>
      </c>
      <c r="F509" s="152">
        <v>57</v>
      </c>
      <c r="G509" s="164">
        <v>3406</v>
      </c>
    </row>
    <row r="510" spans="1:7" x14ac:dyDescent="0.25">
      <c r="A510" s="152" t="s">
        <v>479</v>
      </c>
      <c r="B510" s="152">
        <v>4</v>
      </c>
      <c r="C510" s="164">
        <v>1532</v>
      </c>
      <c r="D510" s="152">
        <v>1</v>
      </c>
      <c r="E510" s="152">
        <v>322</v>
      </c>
      <c r="F510" s="152">
        <v>37</v>
      </c>
      <c r="G510" s="164">
        <v>1896</v>
      </c>
    </row>
    <row r="511" spans="1:7" ht="30" x14ac:dyDescent="0.25">
      <c r="A511" s="152" t="s">
        <v>480</v>
      </c>
      <c r="B511" s="152">
        <v>34</v>
      </c>
      <c r="C511" s="164">
        <v>11662</v>
      </c>
      <c r="D511" s="152">
        <v>6</v>
      </c>
      <c r="E511" s="164">
        <v>2801</v>
      </c>
      <c r="F511" s="152">
        <v>253</v>
      </c>
      <c r="G511" s="164">
        <v>14756</v>
      </c>
    </row>
    <row r="512" spans="1:7" ht="30" x14ac:dyDescent="0.25">
      <c r="A512" s="152" t="s">
        <v>481</v>
      </c>
      <c r="B512" s="152">
        <v>2</v>
      </c>
      <c r="C512" s="152">
        <v>915</v>
      </c>
      <c r="E512" s="152">
        <v>208</v>
      </c>
      <c r="F512" s="152">
        <v>24</v>
      </c>
      <c r="G512" s="164">
        <v>1149</v>
      </c>
    </row>
    <row r="513" spans="1:7" ht="30" x14ac:dyDescent="0.25">
      <c r="A513" s="152" t="s">
        <v>482</v>
      </c>
      <c r="B513" s="152">
        <v>16</v>
      </c>
      <c r="C513" s="164">
        <v>3685</v>
      </c>
      <c r="E513" s="164">
        <v>1109</v>
      </c>
      <c r="F513" s="152">
        <v>141</v>
      </c>
      <c r="G513" s="164">
        <v>4951</v>
      </c>
    </row>
    <row r="514" spans="1:7" ht="30" x14ac:dyDescent="0.25">
      <c r="A514" s="152" t="s">
        <v>483</v>
      </c>
      <c r="B514" s="152">
        <v>10</v>
      </c>
      <c r="C514" s="164">
        <v>2256</v>
      </c>
      <c r="D514" s="152">
        <v>1</v>
      </c>
      <c r="E514" s="152">
        <v>614</v>
      </c>
      <c r="F514" s="152">
        <v>62</v>
      </c>
      <c r="G514" s="164">
        <v>2943</v>
      </c>
    </row>
    <row r="515" spans="1:7" x14ac:dyDescent="0.25">
      <c r="A515" s="152" t="s">
        <v>484</v>
      </c>
      <c r="B515" s="152">
        <v>5</v>
      </c>
      <c r="C515" s="164">
        <v>1271</v>
      </c>
      <c r="D515" s="152">
        <v>1</v>
      </c>
      <c r="E515" s="152">
        <v>240</v>
      </c>
      <c r="F515" s="152">
        <v>33</v>
      </c>
      <c r="G515" s="164">
        <v>1550</v>
      </c>
    </row>
    <row r="516" spans="1:7" x14ac:dyDescent="0.25">
      <c r="A516" s="152" t="s">
        <v>485</v>
      </c>
      <c r="B516" s="152">
        <v>11</v>
      </c>
      <c r="C516" s="164">
        <v>3744</v>
      </c>
      <c r="E516" s="152">
        <v>854</v>
      </c>
      <c r="F516" s="152">
        <v>95</v>
      </c>
      <c r="G516" s="164">
        <v>4704</v>
      </c>
    </row>
    <row r="517" spans="1:7" x14ac:dyDescent="0.25">
      <c r="A517" s="152" t="s">
        <v>486</v>
      </c>
      <c r="B517" s="152">
        <v>3</v>
      </c>
      <c r="C517" s="164">
        <v>2785</v>
      </c>
      <c r="D517" s="152">
        <v>1</v>
      </c>
      <c r="E517" s="152">
        <v>811</v>
      </c>
      <c r="F517" s="152">
        <v>75</v>
      </c>
      <c r="G517" s="164">
        <v>3675</v>
      </c>
    </row>
    <row r="518" spans="1:7" x14ac:dyDescent="0.25">
      <c r="A518" s="152" t="s">
        <v>36</v>
      </c>
      <c r="B518" s="153">
        <f>SUM(B497:B517)</f>
        <v>299</v>
      </c>
      <c r="C518" s="153">
        <f t="shared" ref="C518:G518" si="12">SUM(C497:C517)</f>
        <v>97907</v>
      </c>
      <c r="D518" s="153">
        <f t="shared" si="12"/>
        <v>25</v>
      </c>
      <c r="E518" s="153">
        <f t="shared" si="12"/>
        <v>24806</v>
      </c>
      <c r="F518" s="153">
        <f t="shared" si="12"/>
        <v>2563</v>
      </c>
      <c r="G518" s="153">
        <f t="shared" si="12"/>
        <v>125600</v>
      </c>
    </row>
    <row r="519" spans="1:7" x14ac:dyDescent="0.25">
      <c r="A519" s="152"/>
      <c r="B519" s="152"/>
      <c r="C519" s="152"/>
      <c r="D519" s="165"/>
      <c r="E519" s="165"/>
      <c r="F519" s="165"/>
      <c r="G519" s="162"/>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03039-2ED7-4A87-BED5-62F25767226C}">
  <sheetPr>
    <tabColor rgb="FF00B0F0"/>
  </sheetPr>
  <dimension ref="A2:W41"/>
  <sheetViews>
    <sheetView workbookViewId="0"/>
  </sheetViews>
  <sheetFormatPr baseColWidth="10" defaultColWidth="11.42578125" defaultRowHeight="15" x14ac:dyDescent="0.25"/>
  <cols>
    <col min="1" max="1" width="7.5703125" style="23" customWidth="1"/>
    <col min="2" max="2" width="11.42578125" style="23"/>
    <col min="3" max="3" width="18.7109375" style="23" bestFit="1" customWidth="1"/>
    <col min="4" max="5" width="11.28515625" style="23" customWidth="1"/>
    <col min="6" max="6" width="11" style="23" customWidth="1"/>
    <col min="7" max="8" width="10.7109375" style="23" customWidth="1"/>
    <col min="9" max="9" width="18.7109375" style="23" bestFit="1" customWidth="1"/>
    <col min="10" max="10" width="9.5703125" style="108" customWidth="1"/>
    <col min="11" max="11" width="11.28515625" style="108" customWidth="1"/>
    <col min="12" max="14" width="11.42578125" style="23"/>
    <col min="15" max="15" width="18.7109375" style="23" bestFit="1" customWidth="1"/>
    <col min="16" max="22" width="11.42578125" style="23"/>
    <col min="23" max="23" width="14.42578125" style="23" bestFit="1" customWidth="1"/>
    <col min="24" max="16384" width="11.42578125" style="23"/>
  </cols>
  <sheetData>
    <row r="2" spans="1:18" ht="23.25" x14ac:dyDescent="0.25">
      <c r="B2" s="1" t="s">
        <v>81</v>
      </c>
      <c r="G2" s="108"/>
      <c r="J2" s="23"/>
    </row>
    <row r="3" spans="1:18" ht="23.25" x14ac:dyDescent="0.25">
      <c r="B3" s="1"/>
      <c r="G3" s="108"/>
      <c r="J3" s="23"/>
    </row>
    <row r="4" spans="1:18" ht="41.25" customHeight="1" x14ac:dyDescent="0.25">
      <c r="B4" s="592" t="s">
        <v>550</v>
      </c>
      <c r="C4" s="592"/>
      <c r="D4" s="592"/>
      <c r="E4" s="592"/>
      <c r="F4" s="592"/>
      <c r="G4" s="108"/>
      <c r="H4" s="592" t="s">
        <v>551</v>
      </c>
      <c r="I4" s="592"/>
      <c r="J4" s="592"/>
      <c r="K4" s="592"/>
      <c r="L4" s="592"/>
      <c r="N4" s="592" t="s">
        <v>552</v>
      </c>
      <c r="O4" s="592"/>
      <c r="P4" s="592"/>
      <c r="Q4" s="592"/>
      <c r="R4" s="592"/>
    </row>
    <row r="5" spans="1:18" x14ac:dyDescent="0.25">
      <c r="B5" s="3" t="s">
        <v>520</v>
      </c>
      <c r="C5" s="25"/>
      <c r="D5" s="25"/>
      <c r="E5" s="25"/>
      <c r="F5" s="25"/>
      <c r="H5" s="3" t="s">
        <v>520</v>
      </c>
      <c r="I5" s="25"/>
      <c r="J5" s="25"/>
      <c r="K5" s="25"/>
      <c r="L5" s="25"/>
      <c r="N5" s="3" t="s">
        <v>520</v>
      </c>
      <c r="O5" s="25"/>
      <c r="P5" s="25"/>
      <c r="Q5" s="25"/>
      <c r="R5" s="25"/>
    </row>
    <row r="6" spans="1:18" x14ac:dyDescent="0.25">
      <c r="B6" s="3"/>
      <c r="C6" s="25"/>
      <c r="D6" s="25"/>
      <c r="E6" s="25"/>
      <c r="F6" s="25"/>
      <c r="H6" s="31"/>
      <c r="I6" s="25"/>
      <c r="J6" s="25"/>
      <c r="K6" s="25"/>
      <c r="L6" s="25"/>
      <c r="N6" s="31"/>
      <c r="O6" s="25"/>
      <c r="P6" s="25"/>
      <c r="Q6" s="25"/>
      <c r="R6" s="25"/>
    </row>
    <row r="7" spans="1:18" x14ac:dyDescent="0.25">
      <c r="B7" s="593" t="s">
        <v>86</v>
      </c>
      <c r="C7" s="211" t="s">
        <v>487</v>
      </c>
      <c r="D7" s="211" t="s">
        <v>87</v>
      </c>
      <c r="E7" s="211" t="s">
        <v>88</v>
      </c>
      <c r="F7" s="166" t="s">
        <v>89</v>
      </c>
      <c r="H7" s="593" t="s">
        <v>86</v>
      </c>
      <c r="I7" s="211" t="s">
        <v>487</v>
      </c>
      <c r="J7" s="211" t="s">
        <v>87</v>
      </c>
      <c r="K7" s="211" t="s">
        <v>88</v>
      </c>
      <c r="L7" s="166" t="s">
        <v>89</v>
      </c>
      <c r="N7" s="593" t="s">
        <v>86</v>
      </c>
      <c r="O7" s="211" t="s">
        <v>487</v>
      </c>
      <c r="P7" s="211" t="s">
        <v>87</v>
      </c>
      <c r="Q7" s="211" t="s">
        <v>88</v>
      </c>
      <c r="R7" s="166" t="s">
        <v>89</v>
      </c>
    </row>
    <row r="8" spans="1:18" x14ac:dyDescent="0.25">
      <c r="B8" s="593"/>
      <c r="C8" s="168">
        <v>44835</v>
      </c>
      <c r="D8" s="103">
        <v>26497</v>
      </c>
      <c r="E8" s="103">
        <v>23095</v>
      </c>
      <c r="F8" s="169">
        <f t="shared" ref="F8:F10" si="0">SUM(D8:E8)</f>
        <v>49592</v>
      </c>
      <c r="H8" s="593"/>
      <c r="I8" s="168">
        <v>44835</v>
      </c>
      <c r="J8" s="103">
        <v>18824</v>
      </c>
      <c r="K8" s="103">
        <v>15337</v>
      </c>
      <c r="L8" s="169">
        <f t="shared" ref="L8:L11" si="1">SUM(J8:K8)</f>
        <v>34161</v>
      </c>
      <c r="N8" s="593"/>
      <c r="O8" s="168">
        <v>44835</v>
      </c>
      <c r="P8" s="103">
        <v>4420</v>
      </c>
      <c r="Q8" s="103">
        <v>4711</v>
      </c>
      <c r="R8" s="169">
        <f t="shared" ref="R8:R11" si="2">SUM(P8:Q8)</f>
        <v>9131</v>
      </c>
    </row>
    <row r="9" spans="1:18" x14ac:dyDescent="0.25">
      <c r="B9" s="593"/>
      <c r="C9" s="168">
        <v>44866</v>
      </c>
      <c r="D9" s="103">
        <v>25410</v>
      </c>
      <c r="E9" s="103">
        <v>22601</v>
      </c>
      <c r="F9" s="169">
        <f t="shared" si="0"/>
        <v>48011</v>
      </c>
      <c r="H9" s="593"/>
      <c r="I9" s="168">
        <v>44866</v>
      </c>
      <c r="J9" s="103">
        <v>12715</v>
      </c>
      <c r="K9" s="103">
        <v>11825</v>
      </c>
      <c r="L9" s="169">
        <f t="shared" si="1"/>
        <v>24540</v>
      </c>
      <c r="N9" s="593"/>
      <c r="O9" s="168">
        <v>44866</v>
      </c>
      <c r="P9" s="103">
        <v>3462</v>
      </c>
      <c r="Q9" s="103">
        <v>4015</v>
      </c>
      <c r="R9" s="169">
        <f t="shared" si="2"/>
        <v>7477</v>
      </c>
    </row>
    <row r="10" spans="1:18" x14ac:dyDescent="0.25">
      <c r="B10" s="593"/>
      <c r="C10" s="168">
        <v>44896</v>
      </c>
      <c r="D10" s="103">
        <v>20337</v>
      </c>
      <c r="E10" s="103">
        <v>18577</v>
      </c>
      <c r="F10" s="169">
        <f t="shared" si="0"/>
        <v>38914</v>
      </c>
      <c r="H10" s="593"/>
      <c r="I10" s="168">
        <v>44896</v>
      </c>
      <c r="J10" s="103">
        <v>6609</v>
      </c>
      <c r="K10" s="103">
        <v>5547</v>
      </c>
      <c r="L10" s="169">
        <f t="shared" si="1"/>
        <v>12156</v>
      </c>
      <c r="N10" s="593"/>
      <c r="O10" s="168">
        <v>44896</v>
      </c>
      <c r="P10" s="103">
        <v>19</v>
      </c>
      <c r="Q10" s="103">
        <v>29</v>
      </c>
      <c r="R10" s="169">
        <f t="shared" si="2"/>
        <v>48</v>
      </c>
    </row>
    <row r="11" spans="1:18" x14ac:dyDescent="0.25">
      <c r="B11" s="593"/>
      <c r="C11" s="167" t="s">
        <v>488</v>
      </c>
      <c r="D11" s="103">
        <f>SUM(D8:D10)</f>
        <v>72244</v>
      </c>
      <c r="E11" s="103">
        <f>SUM(E8:E10)</f>
        <v>64273</v>
      </c>
      <c r="F11" s="169">
        <f>SUM(D11:E11)</f>
        <v>136517</v>
      </c>
      <c r="H11" s="593"/>
      <c r="I11" s="167" t="s">
        <v>488</v>
      </c>
      <c r="J11" s="103">
        <f>SUM(J8:J10)</f>
        <v>38148</v>
      </c>
      <c r="K11" s="103">
        <f>SUM(K8:K10)</f>
        <v>32709</v>
      </c>
      <c r="L11" s="169">
        <f t="shared" si="1"/>
        <v>70857</v>
      </c>
      <c r="N11" s="593"/>
      <c r="O11" s="167" t="s">
        <v>488</v>
      </c>
      <c r="P11" s="103">
        <f>SUM(P8:P10)</f>
        <v>7901</v>
      </c>
      <c r="Q11" s="103">
        <f>SUM(Q8:Q10)</f>
        <v>8755</v>
      </c>
      <c r="R11" s="169">
        <f t="shared" si="2"/>
        <v>16656</v>
      </c>
    </row>
    <row r="15" spans="1:18" ht="39" customHeight="1" x14ac:dyDescent="0.25">
      <c r="B15" s="592" t="s">
        <v>82</v>
      </c>
      <c r="C15" s="592"/>
      <c r="D15" s="592"/>
      <c r="E15" s="592"/>
      <c r="F15" s="592"/>
      <c r="G15" s="25"/>
      <c r="H15" s="592" t="s">
        <v>83</v>
      </c>
      <c r="I15" s="592"/>
      <c r="J15" s="592"/>
      <c r="K15" s="592"/>
      <c r="L15" s="592"/>
      <c r="N15" s="592" t="s">
        <v>84</v>
      </c>
      <c r="O15" s="592"/>
      <c r="P15" s="592"/>
      <c r="Q15" s="592"/>
      <c r="R15" s="592"/>
    </row>
    <row r="16" spans="1:18" x14ac:dyDescent="0.25">
      <c r="A16" s="26"/>
      <c r="B16" s="3" t="s">
        <v>85</v>
      </c>
      <c r="C16" s="25"/>
      <c r="D16" s="25"/>
      <c r="E16" s="25"/>
      <c r="F16" s="25"/>
      <c r="G16" s="26"/>
      <c r="H16" s="31" t="s">
        <v>85</v>
      </c>
      <c r="I16" s="25"/>
      <c r="J16" s="25"/>
      <c r="K16" s="25"/>
      <c r="L16" s="25"/>
      <c r="N16" s="31" t="s">
        <v>85</v>
      </c>
      <c r="O16" s="25"/>
      <c r="P16" s="25"/>
      <c r="Q16" s="25"/>
      <c r="R16" s="25"/>
    </row>
    <row r="17" spans="1:18" ht="15.75" thickBot="1" x14ac:dyDescent="0.3">
      <c r="A17" s="26"/>
      <c r="B17" s="104"/>
      <c r="C17" s="26"/>
      <c r="D17" s="109"/>
      <c r="E17" s="109"/>
      <c r="F17" s="26"/>
      <c r="G17" s="26"/>
      <c r="I17" s="26"/>
      <c r="J17" s="109"/>
      <c r="K17" s="109"/>
      <c r="L17" s="26"/>
    </row>
    <row r="18" spans="1:18" ht="15.75" thickBot="1" x14ac:dyDescent="0.3">
      <c r="B18" s="595" t="s">
        <v>86</v>
      </c>
      <c r="C18" s="110" t="s">
        <v>68</v>
      </c>
      <c r="D18" s="111" t="s">
        <v>87</v>
      </c>
      <c r="E18" s="112" t="s">
        <v>88</v>
      </c>
      <c r="F18" s="113" t="s">
        <v>89</v>
      </c>
      <c r="G18" s="26"/>
      <c r="H18" s="595" t="s">
        <v>86</v>
      </c>
      <c r="I18" s="114" t="s">
        <v>68</v>
      </c>
      <c r="J18" s="111" t="s">
        <v>87</v>
      </c>
      <c r="K18" s="112" t="s">
        <v>88</v>
      </c>
      <c r="L18" s="113" t="s">
        <v>89</v>
      </c>
      <c r="N18" s="595" t="s">
        <v>86</v>
      </c>
      <c r="O18" s="115" t="s">
        <v>68</v>
      </c>
      <c r="P18" s="116" t="s">
        <v>87</v>
      </c>
      <c r="Q18" s="117" t="s">
        <v>88</v>
      </c>
      <c r="R18" s="118" t="s">
        <v>89</v>
      </c>
    </row>
    <row r="19" spans="1:18" x14ac:dyDescent="0.25">
      <c r="B19" s="596"/>
      <c r="C19" s="119">
        <v>2008</v>
      </c>
      <c r="D19" s="120">
        <v>107640</v>
      </c>
      <c r="E19" s="121">
        <v>31722</v>
      </c>
      <c r="F19" s="122">
        <f t="shared" ref="F19:F25" si="3">SUM(D19:E19)</f>
        <v>139362</v>
      </c>
      <c r="G19" s="26"/>
      <c r="H19" s="596"/>
      <c r="I19" s="123">
        <v>2008</v>
      </c>
      <c r="J19" s="120">
        <v>88629</v>
      </c>
      <c r="K19" s="121">
        <v>26452</v>
      </c>
      <c r="L19" s="122">
        <f>SUM(J19:K19)</f>
        <v>115081</v>
      </c>
      <c r="N19" s="596"/>
      <c r="O19" s="124">
        <v>2008</v>
      </c>
      <c r="P19" s="125">
        <v>18804</v>
      </c>
      <c r="Q19" s="126">
        <v>5186</v>
      </c>
      <c r="R19" s="127">
        <v>23990</v>
      </c>
    </row>
    <row r="20" spans="1:18" x14ac:dyDescent="0.25">
      <c r="B20" s="596"/>
      <c r="C20" s="128">
        <v>2009</v>
      </c>
      <c r="D20" s="129">
        <v>256079</v>
      </c>
      <c r="E20" s="130">
        <v>148361</v>
      </c>
      <c r="F20" s="131">
        <f t="shared" si="3"/>
        <v>404440</v>
      </c>
      <c r="G20" s="26"/>
      <c r="H20" s="596"/>
      <c r="I20" s="132">
        <v>2009</v>
      </c>
      <c r="J20" s="129">
        <v>225147</v>
      </c>
      <c r="K20" s="130">
        <v>140811</v>
      </c>
      <c r="L20" s="131">
        <f t="shared" ref="L20:L32" si="4">SUM(J20:K20)</f>
        <v>365958</v>
      </c>
      <c r="N20" s="596"/>
      <c r="O20" s="132">
        <v>2009</v>
      </c>
      <c r="P20" s="129">
        <v>30542</v>
      </c>
      <c r="Q20" s="133">
        <v>7415</v>
      </c>
      <c r="R20" s="131">
        <v>37957</v>
      </c>
    </row>
    <row r="21" spans="1:18" x14ac:dyDescent="0.25">
      <c r="B21" s="596"/>
      <c r="C21" s="128">
        <v>2010</v>
      </c>
      <c r="D21" s="129">
        <v>152798</v>
      </c>
      <c r="E21" s="130">
        <v>92877</v>
      </c>
      <c r="F21" s="131">
        <f t="shared" si="3"/>
        <v>245675</v>
      </c>
      <c r="G21" s="26"/>
      <c r="H21" s="596"/>
      <c r="I21" s="132">
        <v>2010</v>
      </c>
      <c r="J21" s="129">
        <v>119671</v>
      </c>
      <c r="K21" s="130">
        <v>77499</v>
      </c>
      <c r="L21" s="131">
        <f t="shared" si="4"/>
        <v>197170</v>
      </c>
      <c r="N21" s="596"/>
      <c r="O21" s="132">
        <v>2010</v>
      </c>
      <c r="P21" s="129">
        <v>32361</v>
      </c>
      <c r="Q21" s="133">
        <v>14916</v>
      </c>
      <c r="R21" s="131">
        <v>47277</v>
      </c>
    </row>
    <row r="22" spans="1:18" x14ac:dyDescent="0.25">
      <c r="B22" s="596"/>
      <c r="C22" s="128">
        <v>2011</v>
      </c>
      <c r="D22" s="129">
        <v>123376</v>
      </c>
      <c r="E22" s="130">
        <v>71415</v>
      </c>
      <c r="F22" s="131">
        <f t="shared" si="3"/>
        <v>194791</v>
      </c>
      <c r="G22" s="26"/>
      <c r="H22" s="596"/>
      <c r="I22" s="132">
        <v>2011</v>
      </c>
      <c r="J22" s="129">
        <v>84838</v>
      </c>
      <c r="K22" s="130">
        <v>54466</v>
      </c>
      <c r="L22" s="131">
        <f t="shared" si="4"/>
        <v>139304</v>
      </c>
      <c r="N22" s="596"/>
      <c r="O22" s="132">
        <v>2011</v>
      </c>
      <c r="P22" s="129">
        <v>37699</v>
      </c>
      <c r="Q22" s="133">
        <v>16497</v>
      </c>
      <c r="R22" s="131">
        <v>54196</v>
      </c>
    </row>
    <row r="23" spans="1:18" x14ac:dyDescent="0.25">
      <c r="B23" s="596"/>
      <c r="C23" s="128">
        <v>2012</v>
      </c>
      <c r="D23" s="129">
        <v>118771</v>
      </c>
      <c r="E23" s="130">
        <v>73499</v>
      </c>
      <c r="F23" s="131">
        <f t="shared" si="3"/>
        <v>192270</v>
      </c>
      <c r="G23" s="26"/>
      <c r="H23" s="596"/>
      <c r="I23" s="132">
        <v>2012</v>
      </c>
      <c r="J23" s="129">
        <v>95751</v>
      </c>
      <c r="K23" s="130">
        <v>64376</v>
      </c>
      <c r="L23" s="131">
        <f t="shared" si="4"/>
        <v>160127</v>
      </c>
      <c r="N23" s="596"/>
      <c r="O23" s="132">
        <v>2012</v>
      </c>
      <c r="P23" s="129">
        <v>22288</v>
      </c>
      <c r="Q23" s="133">
        <v>8812</v>
      </c>
      <c r="R23" s="131">
        <v>31100</v>
      </c>
    </row>
    <row r="24" spans="1:18" x14ac:dyDescent="0.25">
      <c r="B24" s="596"/>
      <c r="C24" s="128">
        <v>2013</v>
      </c>
      <c r="D24" s="129">
        <v>82046</v>
      </c>
      <c r="E24" s="130">
        <v>51988</v>
      </c>
      <c r="F24" s="131">
        <f t="shared" si="3"/>
        <v>134034</v>
      </c>
      <c r="G24" s="26"/>
      <c r="H24" s="596"/>
      <c r="I24" s="132">
        <v>2013</v>
      </c>
      <c r="J24" s="129">
        <v>65748</v>
      </c>
      <c r="K24" s="130">
        <v>44360</v>
      </c>
      <c r="L24" s="131">
        <f t="shared" si="4"/>
        <v>110108</v>
      </c>
      <c r="N24" s="596"/>
      <c r="O24" s="132">
        <v>2013</v>
      </c>
      <c r="P24" s="129">
        <v>15792</v>
      </c>
      <c r="Q24" s="133">
        <v>7374</v>
      </c>
      <c r="R24" s="131">
        <v>23166</v>
      </c>
    </row>
    <row r="25" spans="1:18" x14ac:dyDescent="0.25">
      <c r="B25" s="596"/>
      <c r="C25" s="128">
        <v>2014</v>
      </c>
      <c r="D25" s="129">
        <v>92858</v>
      </c>
      <c r="E25" s="130">
        <v>58706</v>
      </c>
      <c r="F25" s="131">
        <f t="shared" si="3"/>
        <v>151564</v>
      </c>
      <c r="G25" s="26"/>
      <c r="H25" s="596"/>
      <c r="I25" s="132">
        <v>2014</v>
      </c>
      <c r="J25" s="129">
        <v>70004</v>
      </c>
      <c r="K25" s="130">
        <v>47881</v>
      </c>
      <c r="L25" s="131">
        <f t="shared" si="4"/>
        <v>117885</v>
      </c>
      <c r="N25" s="596"/>
      <c r="O25" s="132">
        <v>2014</v>
      </c>
      <c r="P25" s="129">
        <v>22698</v>
      </c>
      <c r="Q25" s="133">
        <v>10710</v>
      </c>
      <c r="R25" s="131">
        <v>33408</v>
      </c>
    </row>
    <row r="26" spans="1:18" x14ac:dyDescent="0.25">
      <c r="B26" s="596"/>
      <c r="C26" s="128">
        <v>2015</v>
      </c>
      <c r="D26" s="129">
        <v>86238</v>
      </c>
      <c r="E26" s="130">
        <v>54740</v>
      </c>
      <c r="F26" s="131">
        <f>SUM(D26:E26)</f>
        <v>140978</v>
      </c>
      <c r="G26" s="26"/>
      <c r="H26" s="596"/>
      <c r="I26" s="132">
        <v>2015</v>
      </c>
      <c r="J26" s="129">
        <v>65990</v>
      </c>
      <c r="K26" s="130">
        <v>45355</v>
      </c>
      <c r="L26" s="131">
        <f t="shared" si="4"/>
        <v>111345</v>
      </c>
      <c r="N26" s="596"/>
      <c r="O26" s="132">
        <v>2015</v>
      </c>
      <c r="P26" s="129">
        <v>20102</v>
      </c>
      <c r="Q26" s="133">
        <v>9307</v>
      </c>
      <c r="R26" s="131">
        <v>29409</v>
      </c>
    </row>
    <row r="27" spans="1:18" x14ac:dyDescent="0.25">
      <c r="B27" s="596"/>
      <c r="C27" s="128">
        <v>2016</v>
      </c>
      <c r="D27" s="129">
        <v>86383</v>
      </c>
      <c r="E27" s="130">
        <v>52405</v>
      </c>
      <c r="F27" s="131">
        <f t="shared" ref="F27:F33" si="5">SUM(D27:E27)</f>
        <v>138788</v>
      </c>
      <c r="G27" s="26"/>
      <c r="H27" s="596"/>
      <c r="I27" s="132">
        <v>2016</v>
      </c>
      <c r="J27" s="129">
        <v>64506</v>
      </c>
      <c r="K27" s="130">
        <v>42193</v>
      </c>
      <c r="L27" s="131">
        <f t="shared" si="4"/>
        <v>106699</v>
      </c>
      <c r="N27" s="596"/>
      <c r="O27" s="132">
        <v>2016</v>
      </c>
      <c r="P27" s="129">
        <v>21719</v>
      </c>
      <c r="Q27" s="133">
        <v>10118</v>
      </c>
      <c r="R27" s="131">
        <v>31837</v>
      </c>
    </row>
    <row r="28" spans="1:18" x14ac:dyDescent="0.25">
      <c r="B28" s="596"/>
      <c r="C28" s="128">
        <v>2017</v>
      </c>
      <c r="D28" s="129">
        <v>95362</v>
      </c>
      <c r="E28" s="130">
        <v>61704</v>
      </c>
      <c r="F28" s="131">
        <f t="shared" si="5"/>
        <v>157066</v>
      </c>
      <c r="G28" s="26"/>
      <c r="H28" s="596"/>
      <c r="I28" s="132">
        <v>2017</v>
      </c>
      <c r="J28" s="129">
        <v>72374</v>
      </c>
      <c r="K28" s="130">
        <v>50736</v>
      </c>
      <c r="L28" s="131">
        <f t="shared" si="4"/>
        <v>123110</v>
      </c>
      <c r="N28" s="596"/>
      <c r="O28" s="132">
        <v>2017</v>
      </c>
      <c r="P28" s="129">
        <v>22804</v>
      </c>
      <c r="Q28" s="133">
        <v>10855</v>
      </c>
      <c r="R28" s="131">
        <v>33659</v>
      </c>
    </row>
    <row r="29" spans="1:18" x14ac:dyDescent="0.25">
      <c r="B29" s="596"/>
      <c r="C29" s="128">
        <v>2018</v>
      </c>
      <c r="D29" s="129">
        <v>107375</v>
      </c>
      <c r="E29" s="130">
        <v>71026</v>
      </c>
      <c r="F29" s="131">
        <f t="shared" si="5"/>
        <v>178401</v>
      </c>
      <c r="G29" s="26"/>
      <c r="H29" s="596"/>
      <c r="I29" s="132">
        <v>2018</v>
      </c>
      <c r="J29" s="129">
        <v>91770</v>
      </c>
      <c r="K29" s="130">
        <v>65379</v>
      </c>
      <c r="L29" s="131">
        <f t="shared" si="4"/>
        <v>157149</v>
      </c>
      <c r="N29" s="596"/>
      <c r="O29" s="132">
        <v>2018</v>
      </c>
      <c r="P29" s="129">
        <v>15382</v>
      </c>
      <c r="Q29" s="133">
        <v>5540</v>
      </c>
      <c r="R29" s="131">
        <v>20922</v>
      </c>
    </row>
    <row r="30" spans="1:18" x14ac:dyDescent="0.25">
      <c r="B30" s="596"/>
      <c r="C30" s="128">
        <v>2019</v>
      </c>
      <c r="D30" s="129">
        <v>98722</v>
      </c>
      <c r="E30" s="130">
        <v>66590</v>
      </c>
      <c r="F30" s="131">
        <f t="shared" si="5"/>
        <v>165312</v>
      </c>
      <c r="G30" s="26"/>
      <c r="H30" s="596"/>
      <c r="I30" s="132">
        <v>2019</v>
      </c>
      <c r="J30" s="129">
        <v>83709</v>
      </c>
      <c r="K30" s="130">
        <v>61500</v>
      </c>
      <c r="L30" s="131">
        <f t="shared" si="4"/>
        <v>145209</v>
      </c>
      <c r="N30" s="596"/>
      <c r="O30" s="132">
        <v>2019</v>
      </c>
      <c r="P30" s="129">
        <v>14748</v>
      </c>
      <c r="Q30" s="133">
        <v>4976</v>
      </c>
      <c r="R30" s="131">
        <v>19724</v>
      </c>
    </row>
    <row r="31" spans="1:18" x14ac:dyDescent="0.25">
      <c r="B31" s="596"/>
      <c r="C31" s="128">
        <v>2020</v>
      </c>
      <c r="D31" s="129">
        <v>126382</v>
      </c>
      <c r="E31" s="130">
        <v>93427</v>
      </c>
      <c r="F31" s="131">
        <f t="shared" si="5"/>
        <v>219809</v>
      </c>
      <c r="G31" s="26"/>
      <c r="H31" s="596"/>
      <c r="I31" s="132">
        <v>2020</v>
      </c>
      <c r="J31" s="129">
        <v>107846</v>
      </c>
      <c r="K31" s="130">
        <v>85846</v>
      </c>
      <c r="L31" s="131">
        <f t="shared" si="4"/>
        <v>193692</v>
      </c>
      <c r="N31" s="596"/>
      <c r="O31" s="132">
        <v>2020</v>
      </c>
      <c r="P31" s="129">
        <v>18220</v>
      </c>
      <c r="Q31" s="133">
        <v>7384</v>
      </c>
      <c r="R31" s="131">
        <v>25604</v>
      </c>
    </row>
    <row r="32" spans="1:18" x14ac:dyDescent="0.25">
      <c r="B32" s="596"/>
      <c r="C32" s="128">
        <v>2021</v>
      </c>
      <c r="D32" s="129">
        <v>165351</v>
      </c>
      <c r="E32" s="130">
        <v>114859</v>
      </c>
      <c r="F32" s="131">
        <f t="shared" si="5"/>
        <v>280210</v>
      </c>
      <c r="G32" s="26"/>
      <c r="H32" s="596"/>
      <c r="I32" s="132">
        <v>2021</v>
      </c>
      <c r="J32" s="129">
        <v>133904</v>
      </c>
      <c r="K32" s="130">
        <v>103140</v>
      </c>
      <c r="L32" s="131">
        <f t="shared" si="4"/>
        <v>237044</v>
      </c>
      <c r="N32" s="596"/>
      <c r="O32" s="132">
        <v>2021</v>
      </c>
      <c r="P32" s="129">
        <v>30908</v>
      </c>
      <c r="Q32" s="133">
        <v>11467</v>
      </c>
      <c r="R32" s="131">
        <v>42375</v>
      </c>
    </row>
    <row r="33" spans="1:23" ht="15.75" thickBot="1" x14ac:dyDescent="0.3">
      <c r="B33" s="596"/>
      <c r="C33" s="134">
        <v>2022</v>
      </c>
      <c r="D33" s="135">
        <v>331479</v>
      </c>
      <c r="E33" s="136">
        <v>322108</v>
      </c>
      <c r="F33" s="137">
        <f t="shared" si="5"/>
        <v>653587</v>
      </c>
      <c r="G33" s="26"/>
      <c r="H33" s="596"/>
      <c r="I33" s="138">
        <v>2022</v>
      </c>
      <c r="J33" s="135">
        <v>242068</v>
      </c>
      <c r="K33" s="136">
        <v>240971</v>
      </c>
      <c r="L33" s="137">
        <f>SUM(J33:K33)</f>
        <v>483039</v>
      </c>
      <c r="N33" s="596"/>
      <c r="O33" s="132">
        <v>2022</v>
      </c>
      <c r="P33" s="129">
        <v>50840</v>
      </c>
      <c r="Q33" s="133">
        <v>52551</v>
      </c>
      <c r="R33" s="131">
        <v>103391</v>
      </c>
    </row>
    <row r="34" spans="1:23" ht="15.75" thickBot="1" x14ac:dyDescent="0.3">
      <c r="A34" s="139"/>
      <c r="B34" s="597"/>
      <c r="C34" s="138" t="s">
        <v>36</v>
      </c>
      <c r="D34" s="135">
        <f>SUM(D19:D33)</f>
        <v>2030860</v>
      </c>
      <c r="E34" s="140">
        <f>SUM(E19:E33)</f>
        <v>1365427</v>
      </c>
      <c r="F34" s="137">
        <f t="shared" ref="F34" si="6">SUM(F19:F33)</f>
        <v>3396287</v>
      </c>
      <c r="G34" s="26"/>
      <c r="H34" s="597"/>
      <c r="I34" s="138" t="s">
        <v>36</v>
      </c>
      <c r="J34" s="135">
        <f>SUM(J19:J33)</f>
        <v>1611955</v>
      </c>
      <c r="K34" s="140">
        <f>SUM(K19:K33)</f>
        <v>1150965</v>
      </c>
      <c r="L34" s="137">
        <f t="shared" ref="L34" si="7">SUM(L19:L33)</f>
        <v>2762920</v>
      </c>
      <c r="M34" s="8"/>
      <c r="N34" s="597"/>
      <c r="O34" s="138" t="s">
        <v>36</v>
      </c>
      <c r="P34" s="135">
        <f>SUM(P19:P33)</f>
        <v>374907</v>
      </c>
      <c r="Q34" s="140">
        <f t="shared" ref="Q34:R34" si="8">SUM(Q19:Q33)</f>
        <v>183108</v>
      </c>
      <c r="R34" s="137">
        <f t="shared" si="8"/>
        <v>558015</v>
      </c>
    </row>
    <row r="35" spans="1:23" x14ac:dyDescent="0.25">
      <c r="B35" s="8"/>
      <c r="G35" s="26"/>
      <c r="H35" s="26"/>
      <c r="M35" s="30"/>
    </row>
    <row r="36" spans="1:23" ht="18" customHeight="1" x14ac:dyDescent="0.25">
      <c r="B36" s="8" t="s">
        <v>28</v>
      </c>
      <c r="T36" s="594"/>
      <c r="U36" s="594"/>
      <c r="V36" s="594"/>
      <c r="W36" s="594"/>
    </row>
    <row r="37" spans="1:23" ht="14.45" customHeight="1" x14ac:dyDescent="0.25">
      <c r="B37" s="503" t="s">
        <v>90</v>
      </c>
      <c r="C37" s="503"/>
      <c r="D37" s="503"/>
      <c r="E37" s="503"/>
      <c r="F37" s="503"/>
      <c r="G37" s="503"/>
      <c r="H37" s="503"/>
      <c r="I37" s="503"/>
      <c r="J37" s="503"/>
      <c r="K37" s="503"/>
      <c r="L37" s="503"/>
      <c r="M37" s="503"/>
      <c r="N37" s="503"/>
      <c r="O37" s="503"/>
      <c r="P37" s="503"/>
      <c r="Q37" s="503"/>
      <c r="R37" s="503"/>
      <c r="T37" s="594"/>
      <c r="U37" s="594"/>
      <c r="V37" s="594"/>
      <c r="W37" s="594"/>
    </row>
    <row r="38" spans="1:23" x14ac:dyDescent="0.25">
      <c r="B38" s="503"/>
      <c r="C38" s="503"/>
      <c r="D38" s="503"/>
      <c r="E38" s="503"/>
      <c r="F38" s="503"/>
      <c r="G38" s="503"/>
      <c r="H38" s="503"/>
      <c r="I38" s="503"/>
      <c r="J38" s="503"/>
      <c r="K38" s="503"/>
      <c r="L38" s="503"/>
      <c r="M38" s="503"/>
      <c r="N38" s="503"/>
      <c r="O38" s="503"/>
      <c r="P38" s="503"/>
      <c r="Q38" s="503"/>
      <c r="R38" s="503"/>
      <c r="T38" s="594"/>
      <c r="U38" s="594"/>
      <c r="V38" s="594"/>
      <c r="W38" s="594"/>
    </row>
    <row r="39" spans="1:23" x14ac:dyDescent="0.25">
      <c r="B39" s="503"/>
      <c r="C39" s="503"/>
      <c r="D39" s="503"/>
      <c r="E39" s="503"/>
      <c r="F39" s="503"/>
      <c r="G39" s="503"/>
      <c r="H39" s="503"/>
      <c r="I39" s="503"/>
      <c r="J39" s="503"/>
      <c r="K39" s="503"/>
      <c r="L39" s="503"/>
      <c r="M39" s="503"/>
      <c r="N39" s="503"/>
      <c r="O39" s="503"/>
      <c r="P39" s="503"/>
      <c r="Q39" s="503"/>
      <c r="R39" s="503"/>
      <c r="T39" s="594"/>
      <c r="U39" s="594"/>
      <c r="V39" s="594"/>
      <c r="W39" s="594"/>
    </row>
    <row r="40" spans="1:23" x14ac:dyDescent="0.25">
      <c r="B40" s="503"/>
      <c r="C40" s="503"/>
      <c r="D40" s="503"/>
      <c r="E40" s="503"/>
      <c r="F40" s="503"/>
      <c r="G40" s="503"/>
      <c r="H40" s="503"/>
      <c r="I40" s="503"/>
      <c r="J40" s="503"/>
      <c r="K40" s="503"/>
      <c r="L40" s="503"/>
      <c r="M40" s="503"/>
      <c r="N40" s="503"/>
      <c r="O40" s="503"/>
      <c r="P40" s="503"/>
      <c r="Q40" s="503"/>
      <c r="R40" s="503"/>
    </row>
    <row r="41" spans="1:23" x14ac:dyDescent="0.25">
      <c r="B41" s="503"/>
      <c r="C41" s="503"/>
      <c r="D41" s="503"/>
      <c r="E41" s="503"/>
      <c r="F41" s="503"/>
      <c r="G41" s="503"/>
      <c r="H41" s="503"/>
      <c r="I41" s="503"/>
      <c r="J41" s="503"/>
      <c r="K41" s="503"/>
      <c r="L41" s="503"/>
      <c r="M41" s="503"/>
      <c r="N41" s="503"/>
      <c r="O41" s="503"/>
      <c r="P41" s="503"/>
      <c r="Q41" s="503"/>
      <c r="R41" s="503"/>
    </row>
  </sheetData>
  <mergeCells count="14">
    <mergeCell ref="T36:W39"/>
    <mergeCell ref="B37:R41"/>
    <mergeCell ref="B15:F15"/>
    <mergeCell ref="H15:L15"/>
    <mergeCell ref="N15:R15"/>
    <mergeCell ref="B18:B34"/>
    <mergeCell ref="H18:H34"/>
    <mergeCell ref="N18:N34"/>
    <mergeCell ref="B4:F4"/>
    <mergeCell ref="H4:L4"/>
    <mergeCell ref="N4:R4"/>
    <mergeCell ref="B7:B11"/>
    <mergeCell ref="H7:H11"/>
    <mergeCell ref="N7:N11"/>
  </mergeCells>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3F428-636F-4A03-99A7-7565CD3EEBB5}">
  <dimension ref="B1:P36"/>
  <sheetViews>
    <sheetView workbookViewId="0"/>
  </sheetViews>
  <sheetFormatPr baseColWidth="10" defaultColWidth="10" defaultRowHeight="15" x14ac:dyDescent="0.25"/>
  <cols>
    <col min="1" max="1" width="5" style="23" customWidth="1"/>
    <col min="2" max="2" width="21.140625" style="23" customWidth="1"/>
    <col min="3" max="3" width="10" style="23"/>
    <col min="4" max="4" width="28.7109375" style="23" customWidth="1"/>
    <col min="5" max="5" width="10" style="23"/>
    <col min="6" max="6" width="12" style="23" customWidth="1"/>
    <col min="7" max="8" width="10" style="23"/>
    <col min="9" max="9" width="18" style="23" customWidth="1"/>
    <col min="10" max="10" width="27.7109375" style="23" customWidth="1"/>
    <col min="11" max="11" width="14.140625" style="23" customWidth="1"/>
    <col min="12" max="16384" width="10" style="23"/>
  </cols>
  <sheetData>
    <row r="1" spans="2:16" ht="20.45" customHeight="1" x14ac:dyDescent="0.25"/>
    <row r="2" spans="2:16" ht="23.25" x14ac:dyDescent="0.25">
      <c r="B2" s="1" t="s">
        <v>92</v>
      </c>
      <c r="C2" s="142"/>
      <c r="D2" s="142"/>
      <c r="E2" s="142"/>
      <c r="F2" s="142"/>
      <c r="G2" s="142"/>
      <c r="H2" s="142"/>
      <c r="I2" s="142"/>
      <c r="J2" s="142"/>
      <c r="K2" s="142"/>
      <c r="L2" s="142"/>
      <c r="M2" s="142"/>
      <c r="N2" s="143"/>
      <c r="O2" s="143"/>
      <c r="P2" s="143"/>
    </row>
    <row r="3" spans="2:16" x14ac:dyDescent="0.25">
      <c r="B3" s="31" t="s">
        <v>93</v>
      </c>
    </row>
    <row r="5" spans="2:16" ht="20.45" customHeight="1" x14ac:dyDescent="0.25">
      <c r="B5" s="599" t="s">
        <v>94</v>
      </c>
      <c r="C5" s="599"/>
      <c r="D5" s="599"/>
      <c r="E5" s="599"/>
      <c r="F5" s="599"/>
      <c r="G5" s="144"/>
      <c r="H5" s="144"/>
      <c r="I5" s="600" t="s">
        <v>95</v>
      </c>
      <c r="J5" s="600"/>
      <c r="K5" s="600"/>
    </row>
    <row r="6" spans="2:16" x14ac:dyDescent="0.25">
      <c r="B6" s="145"/>
      <c r="C6" s="145"/>
      <c r="D6" s="145"/>
      <c r="E6" s="145"/>
      <c r="F6" s="145"/>
    </row>
    <row r="7" spans="2:16" ht="45" x14ac:dyDescent="0.25">
      <c r="B7" s="146" t="s">
        <v>96</v>
      </c>
      <c r="C7" s="146" t="s">
        <v>97</v>
      </c>
      <c r="D7" s="146" t="s">
        <v>98</v>
      </c>
      <c r="E7" s="146" t="s">
        <v>99</v>
      </c>
      <c r="F7" s="146" t="s">
        <v>100</v>
      </c>
      <c r="I7" s="146" t="s">
        <v>96</v>
      </c>
      <c r="J7" s="146" t="s">
        <v>98</v>
      </c>
      <c r="K7" s="146" t="s">
        <v>101</v>
      </c>
    </row>
    <row r="8" spans="2:16" ht="30" x14ac:dyDescent="0.25">
      <c r="B8" s="147" t="s">
        <v>102</v>
      </c>
      <c r="C8" s="148" t="s">
        <v>103</v>
      </c>
      <c r="D8" s="148" t="s">
        <v>104</v>
      </c>
      <c r="E8" s="149">
        <v>70000</v>
      </c>
      <c r="F8" s="149">
        <v>60000</v>
      </c>
      <c r="I8" s="150" t="s">
        <v>105</v>
      </c>
      <c r="J8" s="148" t="s">
        <v>106</v>
      </c>
      <c r="K8" s="149">
        <v>193935</v>
      </c>
    </row>
    <row r="9" spans="2:16" ht="30" x14ac:dyDescent="0.25">
      <c r="B9" s="147" t="s">
        <v>107</v>
      </c>
      <c r="C9" s="148" t="s">
        <v>103</v>
      </c>
      <c r="D9" s="148" t="s">
        <v>108</v>
      </c>
      <c r="E9" s="149">
        <v>120000</v>
      </c>
      <c r="F9" s="149">
        <v>75000</v>
      </c>
      <c r="I9" s="150" t="s">
        <v>109</v>
      </c>
      <c r="J9" s="148" t="s">
        <v>106</v>
      </c>
      <c r="K9" s="149">
        <v>206173</v>
      </c>
    </row>
    <row r="10" spans="2:16" ht="30" x14ac:dyDescent="0.25">
      <c r="B10" s="147" t="s">
        <v>110</v>
      </c>
      <c r="C10" s="148" t="s">
        <v>103</v>
      </c>
      <c r="D10" s="148" t="s">
        <v>111</v>
      </c>
      <c r="E10" s="149">
        <v>150000</v>
      </c>
      <c r="F10" s="149">
        <v>75000</v>
      </c>
      <c r="I10" s="150" t="s">
        <v>112</v>
      </c>
      <c r="J10" s="148" t="s">
        <v>113</v>
      </c>
      <c r="K10" s="149">
        <v>206173</v>
      </c>
    </row>
    <row r="11" spans="2:16" ht="30" x14ac:dyDescent="0.25">
      <c r="B11" s="147" t="s">
        <v>114</v>
      </c>
      <c r="C11" s="148" t="s">
        <v>103</v>
      </c>
      <c r="D11" s="148" t="s">
        <v>115</v>
      </c>
      <c r="E11" s="149">
        <v>200000</v>
      </c>
      <c r="F11" s="149">
        <v>75840</v>
      </c>
      <c r="I11" s="151" t="s">
        <v>116</v>
      </c>
    </row>
    <row r="12" spans="2:16" ht="30" x14ac:dyDescent="0.25">
      <c r="B12" s="147" t="s">
        <v>117</v>
      </c>
      <c r="C12" s="148" t="s">
        <v>103</v>
      </c>
      <c r="D12" s="148" t="s">
        <v>118</v>
      </c>
      <c r="E12" s="149">
        <v>255000</v>
      </c>
      <c r="F12" s="149">
        <v>78449</v>
      </c>
    </row>
    <row r="13" spans="2:16" ht="30" x14ac:dyDescent="0.25">
      <c r="B13" s="147" t="s">
        <v>119</v>
      </c>
      <c r="C13" s="148" t="s">
        <v>103</v>
      </c>
      <c r="D13" s="148" t="s">
        <v>118</v>
      </c>
      <c r="E13" s="149">
        <v>261758</v>
      </c>
      <c r="F13" s="149">
        <v>80528</v>
      </c>
    </row>
    <row r="14" spans="2:16" ht="30" x14ac:dyDescent="0.25">
      <c r="B14" s="147" t="s">
        <v>120</v>
      </c>
      <c r="C14" s="148" t="s">
        <v>103</v>
      </c>
      <c r="D14" s="148" t="s">
        <v>118</v>
      </c>
      <c r="E14" s="149">
        <v>266731</v>
      </c>
      <c r="F14" s="149">
        <v>82058</v>
      </c>
    </row>
    <row r="15" spans="2:16" ht="30" x14ac:dyDescent="0.25">
      <c r="B15" s="147" t="s">
        <v>121</v>
      </c>
      <c r="C15" s="148" t="s">
        <v>103</v>
      </c>
      <c r="D15" s="148" t="s">
        <v>118</v>
      </c>
      <c r="E15" s="149">
        <v>279427</v>
      </c>
      <c r="F15" s="149">
        <v>85964</v>
      </c>
    </row>
    <row r="16" spans="2:16" ht="30" x14ac:dyDescent="0.25">
      <c r="B16" s="147" t="s">
        <v>122</v>
      </c>
      <c r="C16" s="148" t="s">
        <v>103</v>
      </c>
      <c r="D16" s="148" t="s">
        <v>118</v>
      </c>
      <c r="E16" s="149">
        <v>291778</v>
      </c>
      <c r="F16" s="149">
        <v>89764</v>
      </c>
    </row>
    <row r="17" spans="2:6" ht="30" x14ac:dyDescent="0.25">
      <c r="B17" s="147" t="s">
        <v>123</v>
      </c>
      <c r="C17" s="148" t="s">
        <v>103</v>
      </c>
      <c r="D17" s="148" t="s">
        <v>118</v>
      </c>
      <c r="E17" s="149">
        <v>304062</v>
      </c>
      <c r="F17" s="149">
        <v>93543</v>
      </c>
    </row>
    <row r="18" spans="2:6" ht="30" x14ac:dyDescent="0.25">
      <c r="B18" s="147" t="s">
        <v>124</v>
      </c>
      <c r="C18" s="148" t="s">
        <v>103</v>
      </c>
      <c r="D18" s="148" t="s">
        <v>118</v>
      </c>
      <c r="E18" s="149">
        <v>304062</v>
      </c>
      <c r="F18" s="149">
        <v>102897</v>
      </c>
    </row>
    <row r="19" spans="2:6" ht="30" x14ac:dyDescent="0.25">
      <c r="B19" s="147" t="s">
        <v>125</v>
      </c>
      <c r="C19" s="148" t="s">
        <v>103</v>
      </c>
      <c r="D19" s="148" t="s">
        <v>118</v>
      </c>
      <c r="E19" s="149">
        <v>309231</v>
      </c>
      <c r="F19" s="149">
        <v>104646</v>
      </c>
    </row>
    <row r="20" spans="2:6" ht="30" x14ac:dyDescent="0.25">
      <c r="B20" s="147" t="s">
        <v>126</v>
      </c>
      <c r="C20" s="148" t="s">
        <v>103</v>
      </c>
      <c r="D20" s="148" t="s">
        <v>118</v>
      </c>
      <c r="E20" s="149">
        <v>317085</v>
      </c>
      <c r="F20" s="149">
        <v>107304</v>
      </c>
    </row>
    <row r="21" spans="2:6" ht="30" x14ac:dyDescent="0.25">
      <c r="B21" s="147" t="s">
        <v>127</v>
      </c>
      <c r="C21" s="148" t="s">
        <v>103</v>
      </c>
      <c r="D21" s="148" t="s">
        <v>118</v>
      </c>
      <c r="E21" s="149">
        <v>325656</v>
      </c>
      <c r="F21" s="149">
        <v>110201</v>
      </c>
    </row>
    <row r="22" spans="2:6" x14ac:dyDescent="0.25">
      <c r="B22" s="601" t="s">
        <v>128</v>
      </c>
      <c r="C22" s="148" t="s">
        <v>129</v>
      </c>
      <c r="D22" s="148" t="s">
        <v>118</v>
      </c>
      <c r="E22" s="149">
        <v>407058</v>
      </c>
      <c r="F22" s="149">
        <v>137751</v>
      </c>
    </row>
    <row r="23" spans="2:6" ht="30" x14ac:dyDescent="0.25">
      <c r="B23" s="602"/>
      <c r="C23" s="148" t="s">
        <v>130</v>
      </c>
      <c r="D23" s="148" t="s">
        <v>118</v>
      </c>
      <c r="E23" s="149">
        <v>423340</v>
      </c>
      <c r="F23" s="149">
        <v>143261</v>
      </c>
    </row>
    <row r="24" spans="2:6" x14ac:dyDescent="0.25">
      <c r="B24" s="603"/>
      <c r="C24" s="148" t="s">
        <v>131</v>
      </c>
      <c r="D24" s="148" t="s">
        <v>118</v>
      </c>
      <c r="E24" s="149">
        <v>488469</v>
      </c>
      <c r="F24" s="149">
        <v>165302</v>
      </c>
    </row>
    <row r="25" spans="2:6" x14ac:dyDescent="0.25">
      <c r="B25" s="598" t="s">
        <v>132</v>
      </c>
      <c r="C25" s="148" t="s">
        <v>129</v>
      </c>
      <c r="D25" s="148" t="s">
        <v>118</v>
      </c>
      <c r="E25" s="149">
        <v>417764</v>
      </c>
      <c r="F25" s="149">
        <v>141374</v>
      </c>
    </row>
    <row r="26" spans="2:6" ht="30" x14ac:dyDescent="0.25">
      <c r="B26" s="598"/>
      <c r="C26" s="148" t="s">
        <v>130</v>
      </c>
      <c r="D26" s="148" t="s">
        <v>118</v>
      </c>
      <c r="E26" s="149">
        <v>434474</v>
      </c>
      <c r="F26" s="149">
        <v>147029</v>
      </c>
    </row>
    <row r="27" spans="2:6" x14ac:dyDescent="0.25">
      <c r="B27" s="598"/>
      <c r="C27" s="148" t="s">
        <v>131</v>
      </c>
      <c r="D27" s="148" t="s">
        <v>118</v>
      </c>
      <c r="E27" s="149">
        <v>501316</v>
      </c>
      <c r="F27" s="149">
        <v>169649</v>
      </c>
    </row>
    <row r="28" spans="2:6" x14ac:dyDescent="0.25">
      <c r="B28" s="598" t="s">
        <v>133</v>
      </c>
      <c r="C28" s="148" t="s">
        <v>134</v>
      </c>
      <c r="D28" s="148" t="s">
        <v>118</v>
      </c>
      <c r="E28" s="149">
        <v>467894</v>
      </c>
      <c r="F28" s="149">
        <v>158339</v>
      </c>
    </row>
    <row r="29" spans="2:6" x14ac:dyDescent="0.25">
      <c r="B29" s="598"/>
      <c r="C29" s="148" t="s">
        <v>135</v>
      </c>
      <c r="D29" s="148" t="s">
        <v>118</v>
      </c>
      <c r="E29" s="149">
        <v>501316</v>
      </c>
      <c r="F29" s="149">
        <v>169649</v>
      </c>
    </row>
    <row r="30" spans="2:6" ht="21" customHeight="1" x14ac:dyDescent="0.25">
      <c r="B30" s="598" t="s">
        <v>136</v>
      </c>
      <c r="C30" s="148" t="s">
        <v>134</v>
      </c>
      <c r="D30" s="148" t="s">
        <v>118</v>
      </c>
      <c r="E30" s="149">
        <v>485674</v>
      </c>
      <c r="F30" s="149">
        <v>164356</v>
      </c>
    </row>
    <row r="31" spans="2:6" x14ac:dyDescent="0.25">
      <c r="B31" s="598"/>
      <c r="C31" s="148" t="s">
        <v>135</v>
      </c>
      <c r="D31" s="148" t="s">
        <v>118</v>
      </c>
      <c r="E31" s="149">
        <v>520366</v>
      </c>
      <c r="F31" s="149">
        <v>176096</v>
      </c>
    </row>
    <row r="32" spans="2:6" ht="30" x14ac:dyDescent="0.25">
      <c r="B32" s="147" t="s">
        <v>137</v>
      </c>
      <c r="C32" s="148" t="s">
        <v>103</v>
      </c>
      <c r="D32" s="148" t="s">
        <v>118</v>
      </c>
      <c r="E32" s="149">
        <v>520366</v>
      </c>
      <c r="F32" s="149">
        <v>176096</v>
      </c>
    </row>
    <row r="33" spans="2:6" ht="30" x14ac:dyDescent="0.25">
      <c r="B33" s="147" t="s">
        <v>138</v>
      </c>
      <c r="C33" s="148" t="s">
        <v>103</v>
      </c>
      <c r="D33" s="148" t="s">
        <v>118</v>
      </c>
      <c r="E33" s="149">
        <v>520366</v>
      </c>
      <c r="F33" s="149">
        <v>185000</v>
      </c>
    </row>
    <row r="34" spans="2:6" ht="30" x14ac:dyDescent="0.25">
      <c r="B34" s="147" t="s">
        <v>139</v>
      </c>
      <c r="C34" s="148" t="s">
        <v>103</v>
      </c>
      <c r="D34" s="148" t="s">
        <v>118</v>
      </c>
      <c r="E34" s="149">
        <v>573079</v>
      </c>
      <c r="F34" s="149">
        <v>193935</v>
      </c>
    </row>
    <row r="35" spans="2:6" ht="30" x14ac:dyDescent="0.25">
      <c r="B35" s="147" t="s">
        <v>140</v>
      </c>
      <c r="C35" s="148" t="s">
        <v>103</v>
      </c>
      <c r="D35" s="148" t="s">
        <v>118</v>
      </c>
      <c r="E35" s="149">
        <v>573079</v>
      </c>
      <c r="F35" s="149">
        <v>206173</v>
      </c>
    </row>
    <row r="36" spans="2:6" x14ac:dyDescent="0.25">
      <c r="B36" s="8" t="s">
        <v>116</v>
      </c>
    </row>
  </sheetData>
  <mergeCells count="6">
    <mergeCell ref="B30:B31"/>
    <mergeCell ref="B5:F5"/>
    <mergeCell ref="I5:K5"/>
    <mergeCell ref="B22:B24"/>
    <mergeCell ref="B25:B27"/>
    <mergeCell ref="B28:B29"/>
  </mergeCells>
  <pageMargins left="0.7" right="0.7" top="0.75" bottom="0.75" header="0.3" footer="0.3"/>
  <pageSetup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33</vt:i4>
      </vt:variant>
    </vt:vector>
  </HeadingPairs>
  <TitlesOfParts>
    <vt:vector size="33" baseType="lpstr">
      <vt:lpstr>Indice General</vt:lpstr>
      <vt:lpstr>I. Beneficios pagados</vt:lpstr>
      <vt:lpstr>dinamica pgu</vt:lpstr>
      <vt:lpstr>N PBS</vt:lpstr>
      <vt:lpstr>MONTOS PBS</vt:lpstr>
      <vt:lpstr>1.1</vt:lpstr>
      <vt:lpstr>1.2</vt:lpstr>
      <vt:lpstr>DINAMICA APS</vt:lpstr>
      <vt:lpstr>1.3</vt:lpstr>
      <vt:lpstr>1.4</vt:lpstr>
      <vt:lpstr>1.5</vt:lpstr>
      <vt:lpstr>Hoja2</vt:lpstr>
      <vt:lpstr>II. Estado de Solicitudes</vt:lpstr>
      <vt:lpstr>2.1</vt:lpstr>
      <vt:lpstr>2.2</vt:lpstr>
      <vt:lpstr>Solicitudes_compl</vt:lpstr>
      <vt:lpstr>2.3</vt:lpstr>
      <vt:lpstr>2.4</vt:lpstr>
      <vt:lpstr>2.5</vt:lpstr>
      <vt:lpstr>2.6</vt:lpstr>
      <vt:lpstr>2.7</vt:lpstr>
      <vt:lpstr>2.8</vt:lpstr>
      <vt:lpstr>III. Bono por hijo</vt:lpstr>
      <vt:lpstr>3.1</vt:lpstr>
      <vt:lpstr>IV. Subsidio STJ</vt:lpstr>
      <vt:lpstr>4.1</vt:lpstr>
      <vt:lpstr>4.2</vt:lpstr>
      <vt:lpstr>4.3</vt:lpstr>
      <vt:lpstr>Regiones</vt:lpstr>
      <vt:lpstr>Comunas</vt:lpstr>
      <vt:lpstr>Hoja2 (2)</vt:lpstr>
      <vt:lpstr>Por sexo</vt:lpstr>
      <vt:lpstr>Focalización y monto del benef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Constanza Morales Lavín</dc:creator>
  <cp:lastModifiedBy>Constanza Morales Lavín</cp:lastModifiedBy>
  <cp:lastPrinted>2023-05-19T19:08:08Z</cp:lastPrinted>
  <dcterms:created xsi:type="dcterms:W3CDTF">2023-05-09T16:34:00Z</dcterms:created>
  <dcterms:modified xsi:type="dcterms:W3CDTF">2023-07-14T14:33:28Z</dcterms:modified>
</cp:coreProperties>
</file>