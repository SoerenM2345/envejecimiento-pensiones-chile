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ibueno\Desktop\Desktop\SOLICITUDES\Informe_mensual del Pilar Solidario\2023\primer trimestre\"/>
    </mc:Choice>
  </mc:AlternateContent>
  <xr:revisionPtr revIDLastSave="0" documentId="13_ncr:1_{30D92B5B-2B28-4CCE-BD16-A4E979285C64}" xr6:coauthVersionLast="47" xr6:coauthVersionMax="47" xr10:uidLastSave="{00000000-0000-0000-0000-000000000000}"/>
  <bookViews>
    <workbookView xWindow="-28920" yWindow="-30" windowWidth="29040" windowHeight="15840" xr2:uid="{26D8F194-EB32-4EC6-A94C-427CE860A783}"/>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2" r:id="rId7"/>
    <sheet name="1.3" sheetId="3" r:id="rId8"/>
    <sheet name="DINAMICA APS" sheetId="23" state="hidden" r:id="rId9"/>
    <sheet name="1.4" sheetId="4" r:id="rId10"/>
    <sheet name="Hoja2" sheetId="16" state="hidden" r:id="rId11"/>
    <sheet name="II. Estado de Solicitudes" sheetId="30" r:id="rId12"/>
    <sheet name="2.1" sheetId="7" r:id="rId13"/>
    <sheet name="Solicitudes_compl" sheetId="8" state="hidden" r:id="rId14"/>
    <sheet name="2.2" sheetId="27" r:id="rId15"/>
    <sheet name="2.3" sheetId="9" r:id="rId16"/>
    <sheet name="2.4" sheetId="28" r:id="rId17"/>
    <sheet name="2.5" sheetId="10" r:id="rId18"/>
    <sheet name="2.6" sheetId="12" r:id="rId19"/>
    <sheet name="III. Bono por hijo" sheetId="31" r:id="rId20"/>
    <sheet name="3.1" sheetId="34" r:id="rId21"/>
    <sheet name="IV. Subsidio STJ" sheetId="35" r:id="rId22"/>
    <sheet name="4.1" sheetId="33" r:id="rId23"/>
    <sheet name="4.2" sheetId="32" r:id="rId24"/>
    <sheet name="4.3" sheetId="36" r:id="rId25"/>
    <sheet name="Regiones" sheetId="14" state="hidden" r:id="rId26"/>
    <sheet name="Comunas" sheetId="15" state="hidden" r:id="rId27"/>
    <sheet name="Hoja2 (2)" sheetId="18" state="hidden" r:id="rId28"/>
    <sheet name="Por sexo" sheetId="11" state="hidden" r:id="rId29"/>
    <sheet name="Focalización y monto del benef" sheetId="13" state="hidden" r:id="rId30"/>
  </sheets>
  <definedNames>
    <definedName name="_xlnm._FilterDatabase" localSheetId="12" hidden="1">'2.1'!$A$9:$AD$24</definedName>
  </definedNames>
  <calcPr calcId="191029"/>
  <pivotCaches>
    <pivotCache cacheId="16" r:id="rId31"/>
    <pivotCache cacheId="17" r:id="rId32"/>
    <pivotCache cacheId="18" r:id="rId33"/>
    <pivotCache cacheId="19"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 i="12" l="1"/>
  <c r="V36" i="12"/>
  <c r="W36" i="12"/>
  <c r="U37" i="12"/>
  <c r="V37" i="12"/>
  <c r="W37" i="12"/>
  <c r="U38" i="12"/>
  <c r="V38" i="12"/>
  <c r="W38" i="12"/>
  <c r="U39" i="12"/>
  <c r="V39" i="12"/>
  <c r="W39" i="12"/>
  <c r="U40" i="12"/>
  <c r="V40" i="12"/>
  <c r="W40" i="12"/>
  <c r="U41" i="12"/>
  <c r="V41" i="12"/>
  <c r="W41" i="12"/>
  <c r="U42" i="12"/>
  <c r="V42" i="12"/>
  <c r="W42" i="12"/>
  <c r="U43" i="12"/>
  <c r="V43" i="12"/>
  <c r="W43" i="12"/>
  <c r="U44" i="12"/>
  <c r="V44" i="12"/>
  <c r="W44" i="12"/>
  <c r="U45" i="12"/>
  <c r="V45" i="12"/>
  <c r="W45" i="12"/>
  <c r="U46" i="12"/>
  <c r="V46" i="12"/>
  <c r="W46" i="12"/>
  <c r="U47" i="12"/>
  <c r="V47" i="12"/>
  <c r="W47" i="12"/>
  <c r="U48" i="12"/>
  <c r="V48" i="12"/>
  <c r="W48" i="12"/>
  <c r="U49" i="12"/>
  <c r="V49" i="12"/>
  <c r="W49" i="12"/>
  <c r="U50" i="12"/>
  <c r="V50" i="12"/>
  <c r="W50" i="12"/>
  <c r="U51" i="12"/>
  <c r="V51" i="12"/>
  <c r="W51" i="12"/>
  <c r="U52" i="12"/>
  <c r="V52" i="12"/>
  <c r="W52" i="12"/>
  <c r="U53" i="12"/>
  <c r="V53" i="12"/>
  <c r="W53" i="12"/>
  <c r="U54" i="12"/>
  <c r="V54" i="12"/>
  <c r="W54" i="12"/>
  <c r="U55" i="12"/>
  <c r="V55" i="12"/>
  <c r="W55" i="12"/>
  <c r="U56" i="12"/>
  <c r="V56" i="12"/>
  <c r="W56" i="12"/>
  <c r="U57" i="12"/>
  <c r="V57" i="12"/>
  <c r="W57" i="12"/>
  <c r="U58" i="12"/>
  <c r="V58" i="12"/>
  <c r="W58" i="12"/>
  <c r="U59" i="12"/>
  <c r="V59" i="12"/>
  <c r="W59" i="12"/>
  <c r="U60" i="12"/>
  <c r="V60" i="12"/>
  <c r="W60" i="12"/>
  <c r="U61" i="12"/>
  <c r="V61" i="12"/>
  <c r="W61" i="12"/>
  <c r="U62" i="12"/>
  <c r="V62" i="12"/>
  <c r="W62" i="12"/>
  <c r="U63" i="12"/>
  <c r="V63" i="12"/>
  <c r="W63" i="12"/>
  <c r="U64" i="12"/>
  <c r="V64" i="12"/>
  <c r="W64" i="12"/>
  <c r="U65" i="12"/>
  <c r="V65" i="12"/>
  <c r="W65" i="12"/>
  <c r="U66" i="12"/>
  <c r="V66" i="12"/>
  <c r="W66" i="12"/>
  <c r="U67" i="12"/>
  <c r="V67" i="12"/>
  <c r="W67" i="12"/>
  <c r="U68" i="12"/>
  <c r="V68" i="12"/>
  <c r="W68" i="12"/>
  <c r="U69" i="12"/>
  <c r="V69" i="12"/>
  <c r="W69" i="12"/>
  <c r="U70" i="12"/>
  <c r="V70" i="12"/>
  <c r="W70" i="12"/>
  <c r="U71" i="12"/>
  <c r="V71" i="12"/>
  <c r="W71" i="12"/>
  <c r="U72" i="12"/>
  <c r="V72" i="12"/>
  <c r="W72" i="12"/>
  <c r="U73" i="12"/>
  <c r="V73" i="12"/>
  <c r="W73" i="12"/>
  <c r="U74" i="12"/>
  <c r="V74" i="12"/>
  <c r="W74" i="12"/>
  <c r="U75" i="12"/>
  <c r="V75" i="12"/>
  <c r="W75" i="12"/>
  <c r="U76" i="12"/>
  <c r="V76" i="12"/>
  <c r="W76" i="12"/>
  <c r="U77" i="12"/>
  <c r="V77" i="12"/>
  <c r="W77" i="12"/>
  <c r="U78" i="12"/>
  <c r="V78" i="12"/>
  <c r="W78" i="12"/>
  <c r="U79" i="12"/>
  <c r="V79" i="12"/>
  <c r="W79" i="12"/>
  <c r="U80" i="12"/>
  <c r="V80" i="12"/>
  <c r="W80" i="12"/>
  <c r="U81" i="12"/>
  <c r="V81" i="12"/>
  <c r="W81" i="12"/>
  <c r="U82" i="12"/>
  <c r="V82" i="12"/>
  <c r="W82" i="12"/>
  <c r="U83" i="12"/>
  <c r="V83" i="12"/>
  <c r="W83" i="12"/>
  <c r="U84" i="12"/>
  <c r="V84" i="12"/>
  <c r="W84" i="12"/>
  <c r="U85" i="12"/>
  <c r="V85" i="12"/>
  <c r="W85" i="12"/>
  <c r="U86" i="12"/>
  <c r="V86" i="12"/>
  <c r="W86" i="12"/>
  <c r="U87" i="12"/>
  <c r="V87" i="12"/>
  <c r="W87" i="12"/>
  <c r="U88" i="12"/>
  <c r="V88" i="12"/>
  <c r="W88" i="12"/>
  <c r="U89" i="12"/>
  <c r="V89" i="12"/>
  <c r="W89" i="12"/>
  <c r="U90" i="12"/>
  <c r="V90" i="12"/>
  <c r="W90" i="12"/>
  <c r="U91" i="12"/>
  <c r="V91" i="12"/>
  <c r="W91" i="12"/>
  <c r="U92" i="12"/>
  <c r="V92" i="12"/>
  <c r="W92" i="12"/>
  <c r="U93" i="12"/>
  <c r="V93" i="12"/>
  <c r="W93" i="12"/>
  <c r="U94" i="12"/>
  <c r="V94" i="12"/>
  <c r="W94" i="12"/>
  <c r="U95" i="12"/>
  <c r="V95" i="12"/>
  <c r="W95" i="12"/>
  <c r="U96" i="12"/>
  <c r="V96" i="12"/>
  <c r="W96" i="12"/>
  <c r="U97" i="12"/>
  <c r="V97" i="12"/>
  <c r="W97" i="12"/>
  <c r="U98" i="12"/>
  <c r="V98" i="12"/>
  <c r="W98" i="12"/>
  <c r="U99" i="12"/>
  <c r="V99" i="12"/>
  <c r="W99" i="12"/>
  <c r="U100" i="12"/>
  <c r="V100" i="12"/>
  <c r="W100" i="12"/>
  <c r="U101" i="12"/>
  <c r="V101" i="12"/>
  <c r="W101" i="12"/>
  <c r="U102" i="12"/>
  <c r="V102" i="12"/>
  <c r="W102" i="12"/>
  <c r="U103" i="12"/>
  <c r="V103" i="12"/>
  <c r="W103" i="12"/>
  <c r="U104" i="12"/>
  <c r="V104" i="12"/>
  <c r="W104" i="12"/>
  <c r="U105" i="12"/>
  <c r="V105" i="12"/>
  <c r="W105" i="12"/>
  <c r="U106" i="12"/>
  <c r="V106" i="12"/>
  <c r="W106" i="12"/>
  <c r="U107" i="12"/>
  <c r="V107" i="12"/>
  <c r="W107" i="12"/>
  <c r="U108" i="12"/>
  <c r="V108" i="12"/>
  <c r="W108" i="12"/>
  <c r="U109" i="12"/>
  <c r="V109" i="12"/>
  <c r="W109" i="12"/>
  <c r="U110" i="12"/>
  <c r="V110" i="12"/>
  <c r="W110" i="12"/>
  <c r="U111" i="12"/>
  <c r="V111" i="12"/>
  <c r="W111" i="12"/>
  <c r="U112" i="12"/>
  <c r="V112" i="12"/>
  <c r="W112" i="12"/>
  <c r="U113" i="12"/>
  <c r="V113" i="12"/>
  <c r="W113" i="12"/>
  <c r="U114" i="12"/>
  <c r="V114" i="12"/>
  <c r="W114" i="12"/>
  <c r="U115" i="12"/>
  <c r="V115" i="12"/>
  <c r="W115" i="12"/>
  <c r="U116" i="12"/>
  <c r="V116" i="12"/>
  <c r="W116" i="12"/>
  <c r="U117" i="12"/>
  <c r="V117" i="12"/>
  <c r="W117" i="12"/>
  <c r="U118" i="12"/>
  <c r="V118" i="12"/>
  <c r="W118" i="12"/>
  <c r="U119" i="12"/>
  <c r="V119" i="12"/>
  <c r="W119" i="12"/>
  <c r="U120" i="12"/>
  <c r="V120" i="12"/>
  <c r="W120" i="12"/>
  <c r="U121" i="12"/>
  <c r="V121" i="12"/>
  <c r="W121" i="12"/>
  <c r="U122" i="12"/>
  <c r="V122" i="12"/>
  <c r="W122" i="12"/>
  <c r="U123" i="12"/>
  <c r="V123" i="12"/>
  <c r="W123" i="12"/>
  <c r="U124" i="12"/>
  <c r="V124" i="12"/>
  <c r="W124" i="12"/>
  <c r="U125" i="12"/>
  <c r="V125" i="12"/>
  <c r="W125" i="12"/>
  <c r="U126" i="12"/>
  <c r="V126" i="12"/>
  <c r="W126" i="12"/>
  <c r="U127" i="12"/>
  <c r="V127" i="12"/>
  <c r="W127" i="12"/>
  <c r="U128" i="12"/>
  <c r="V128" i="12"/>
  <c r="W128" i="12"/>
  <c r="U129" i="12"/>
  <c r="V129" i="12"/>
  <c r="W129" i="12"/>
  <c r="U130" i="12"/>
  <c r="V130" i="12"/>
  <c r="W130" i="12"/>
  <c r="U131" i="12"/>
  <c r="V131" i="12"/>
  <c r="W131" i="12"/>
  <c r="U132" i="12"/>
  <c r="V132" i="12"/>
  <c r="W132" i="12"/>
  <c r="U133" i="12"/>
  <c r="V133" i="12"/>
  <c r="W133" i="12"/>
  <c r="U134" i="12"/>
  <c r="V134" i="12"/>
  <c r="W134" i="12"/>
  <c r="U135" i="12"/>
  <c r="V135" i="12"/>
  <c r="W135" i="12"/>
  <c r="U136" i="12"/>
  <c r="V136" i="12"/>
  <c r="W136" i="12"/>
  <c r="U137" i="12"/>
  <c r="V137" i="12"/>
  <c r="W137" i="12"/>
  <c r="U138" i="12"/>
  <c r="V138" i="12"/>
  <c r="W138" i="12"/>
  <c r="U139" i="12"/>
  <c r="V139" i="12"/>
  <c r="W139" i="12"/>
  <c r="U140" i="12"/>
  <c r="V140" i="12"/>
  <c r="W140" i="12"/>
  <c r="U141" i="12"/>
  <c r="V141" i="12"/>
  <c r="W141" i="12"/>
  <c r="U142" i="12"/>
  <c r="V142" i="12"/>
  <c r="W142" i="12"/>
  <c r="U143" i="12"/>
  <c r="V143" i="12"/>
  <c r="W143" i="12"/>
  <c r="U144" i="12"/>
  <c r="V144" i="12"/>
  <c r="W144" i="12"/>
  <c r="U145" i="12"/>
  <c r="V145" i="12"/>
  <c r="W145" i="12"/>
  <c r="U146" i="12"/>
  <c r="V146" i="12"/>
  <c r="W146" i="12"/>
  <c r="U147" i="12"/>
  <c r="V147" i="12"/>
  <c r="W147" i="12"/>
  <c r="U148" i="12"/>
  <c r="V148" i="12"/>
  <c r="W148" i="12"/>
  <c r="U149" i="12"/>
  <c r="V149" i="12"/>
  <c r="W149" i="12"/>
  <c r="U150" i="12"/>
  <c r="V150" i="12"/>
  <c r="W150" i="12"/>
  <c r="U151" i="12"/>
  <c r="V151" i="12"/>
  <c r="W151" i="12"/>
  <c r="U152" i="12"/>
  <c r="V152" i="12"/>
  <c r="W152" i="12"/>
  <c r="U153" i="12"/>
  <c r="V153" i="12"/>
  <c r="W153" i="12"/>
  <c r="U154" i="12"/>
  <c r="V154" i="12"/>
  <c r="W154" i="12"/>
  <c r="U155" i="12"/>
  <c r="V155" i="12"/>
  <c r="W155" i="12"/>
  <c r="U156" i="12"/>
  <c r="V156" i="12"/>
  <c r="W156" i="12"/>
  <c r="U157" i="12"/>
  <c r="V157" i="12"/>
  <c r="W157" i="12"/>
  <c r="U158" i="12"/>
  <c r="V158" i="12"/>
  <c r="W158" i="12"/>
  <c r="U159" i="12"/>
  <c r="V159" i="12"/>
  <c r="W159" i="12"/>
  <c r="U160" i="12"/>
  <c r="V160" i="12"/>
  <c r="W160" i="12"/>
  <c r="U161" i="12"/>
  <c r="V161" i="12"/>
  <c r="W161" i="12"/>
  <c r="U162" i="12"/>
  <c r="V162" i="12"/>
  <c r="W162" i="12"/>
  <c r="U163" i="12"/>
  <c r="V163" i="12"/>
  <c r="W163" i="12"/>
  <c r="U164" i="12"/>
  <c r="V164" i="12"/>
  <c r="W164" i="12"/>
  <c r="U165" i="12"/>
  <c r="V165" i="12"/>
  <c r="W165" i="12"/>
  <c r="U166" i="12"/>
  <c r="V166" i="12"/>
  <c r="W166" i="12"/>
  <c r="U167" i="12"/>
  <c r="V167" i="12"/>
  <c r="W167" i="12"/>
  <c r="U168" i="12"/>
  <c r="V168" i="12"/>
  <c r="W168" i="12"/>
  <c r="U169" i="12"/>
  <c r="V169" i="12"/>
  <c r="W169" i="12"/>
  <c r="U170" i="12"/>
  <c r="V170" i="12"/>
  <c r="W170" i="12"/>
  <c r="U171" i="12"/>
  <c r="V171" i="12"/>
  <c r="W171" i="12"/>
  <c r="U172" i="12"/>
  <c r="V172" i="12"/>
  <c r="W172" i="12"/>
  <c r="U173" i="12"/>
  <c r="V173" i="12"/>
  <c r="W173" i="12"/>
  <c r="U174" i="12"/>
  <c r="V174" i="12"/>
  <c r="W174" i="12"/>
  <c r="U175" i="12"/>
  <c r="V175" i="12"/>
  <c r="W175" i="12"/>
  <c r="U176" i="12"/>
  <c r="V176" i="12"/>
  <c r="W176" i="12"/>
  <c r="U177" i="12"/>
  <c r="V177" i="12"/>
  <c r="W177" i="12"/>
  <c r="U178" i="12"/>
  <c r="V178" i="12"/>
  <c r="W178" i="12"/>
  <c r="U179" i="12"/>
  <c r="V179" i="12"/>
  <c r="W179" i="12"/>
  <c r="U180" i="12"/>
  <c r="V180" i="12"/>
  <c r="W180" i="12"/>
  <c r="U181" i="12"/>
  <c r="V181" i="12"/>
  <c r="W181" i="12"/>
  <c r="U182" i="12"/>
  <c r="V182" i="12"/>
  <c r="W182" i="12"/>
  <c r="U183" i="12"/>
  <c r="V183" i="12"/>
  <c r="W183" i="12"/>
  <c r="U184" i="12"/>
  <c r="V184" i="12"/>
  <c r="W184" i="12"/>
  <c r="U185" i="12"/>
  <c r="V185" i="12"/>
  <c r="W185" i="12"/>
  <c r="U186" i="12"/>
  <c r="V186" i="12"/>
  <c r="W186" i="12"/>
  <c r="U187" i="12"/>
  <c r="V187" i="12"/>
  <c r="W187" i="12"/>
  <c r="U188" i="12"/>
  <c r="V188" i="12"/>
  <c r="W188" i="12"/>
  <c r="U189" i="12"/>
  <c r="V189" i="12"/>
  <c r="W189" i="12"/>
  <c r="U190" i="12"/>
  <c r="V190" i="12"/>
  <c r="W190" i="12"/>
  <c r="U191" i="12"/>
  <c r="V191" i="12"/>
  <c r="W191" i="12"/>
  <c r="U192" i="12"/>
  <c r="V192" i="12"/>
  <c r="W192" i="12"/>
  <c r="U193" i="12"/>
  <c r="V193" i="12"/>
  <c r="W193" i="12"/>
  <c r="U194" i="12"/>
  <c r="V194" i="12"/>
  <c r="W194" i="12"/>
  <c r="U195" i="12"/>
  <c r="V195" i="12"/>
  <c r="W195" i="12"/>
  <c r="U196" i="12"/>
  <c r="V196" i="12"/>
  <c r="W196" i="12"/>
  <c r="U197" i="12"/>
  <c r="V197" i="12"/>
  <c r="W197" i="12"/>
  <c r="U198" i="12"/>
  <c r="V198" i="12"/>
  <c r="W198" i="12"/>
  <c r="U199" i="12"/>
  <c r="V199" i="12"/>
  <c r="W199" i="12"/>
  <c r="U200" i="12"/>
  <c r="V200" i="12"/>
  <c r="W200" i="12"/>
  <c r="U201" i="12"/>
  <c r="V201" i="12"/>
  <c r="W201" i="12"/>
  <c r="U202" i="12"/>
  <c r="V202" i="12"/>
  <c r="W202" i="12"/>
  <c r="U203" i="12"/>
  <c r="V203" i="12"/>
  <c r="W203" i="12"/>
  <c r="U204" i="12"/>
  <c r="V204" i="12"/>
  <c r="W204" i="12"/>
  <c r="U205" i="12"/>
  <c r="V205" i="12"/>
  <c r="W205" i="12"/>
  <c r="U206" i="12"/>
  <c r="V206" i="12"/>
  <c r="W206" i="12"/>
  <c r="U207" i="12"/>
  <c r="V207" i="12"/>
  <c r="W207" i="12"/>
  <c r="U208" i="12"/>
  <c r="V208" i="12"/>
  <c r="W208" i="12"/>
  <c r="U209" i="12"/>
  <c r="V209" i="12"/>
  <c r="W209" i="12"/>
  <c r="U210" i="12"/>
  <c r="V210" i="12"/>
  <c r="W210" i="12"/>
  <c r="U211" i="12"/>
  <c r="V211" i="12"/>
  <c r="W211" i="12"/>
  <c r="U212" i="12"/>
  <c r="V212" i="12"/>
  <c r="W212" i="12"/>
  <c r="U213" i="12"/>
  <c r="V213" i="12"/>
  <c r="W213" i="12"/>
  <c r="U214" i="12"/>
  <c r="V214" i="12"/>
  <c r="W214" i="12"/>
  <c r="U215" i="12"/>
  <c r="V215" i="12"/>
  <c r="W215" i="12"/>
  <c r="U216" i="12"/>
  <c r="V216" i="12"/>
  <c r="W216" i="12"/>
  <c r="U217" i="12"/>
  <c r="V217" i="12"/>
  <c r="W217" i="12"/>
  <c r="U218" i="12"/>
  <c r="V218" i="12"/>
  <c r="W218" i="12"/>
  <c r="U219" i="12"/>
  <c r="V219" i="12"/>
  <c r="W219" i="12"/>
  <c r="U220" i="12"/>
  <c r="V220" i="12"/>
  <c r="W220" i="12"/>
  <c r="U221" i="12"/>
  <c r="V221" i="12"/>
  <c r="W221" i="12"/>
  <c r="U222" i="12"/>
  <c r="V222" i="12"/>
  <c r="W222" i="12"/>
  <c r="U223" i="12"/>
  <c r="V223" i="12"/>
  <c r="W223" i="12"/>
  <c r="U224" i="12"/>
  <c r="V224" i="12"/>
  <c r="W224" i="12"/>
  <c r="U225" i="12"/>
  <c r="V225" i="12"/>
  <c r="W225" i="12"/>
  <c r="U226" i="12"/>
  <c r="V226" i="12"/>
  <c r="W226" i="12"/>
  <c r="U227" i="12"/>
  <c r="V227" i="12"/>
  <c r="W227" i="12"/>
  <c r="U228" i="12"/>
  <c r="V228" i="12"/>
  <c r="W228" i="12"/>
  <c r="V35" i="12"/>
  <c r="W35" i="12"/>
  <c r="U35" i="12"/>
  <c r="C36" i="12"/>
  <c r="D36" i="12"/>
  <c r="E36" i="12"/>
  <c r="F36" i="12"/>
  <c r="G36" i="12"/>
  <c r="H36" i="12"/>
  <c r="I36" i="12"/>
  <c r="J36" i="12"/>
  <c r="K36" i="12"/>
  <c r="L36" i="12"/>
  <c r="M36" i="12"/>
  <c r="N36" i="12"/>
  <c r="O36" i="12"/>
  <c r="P36" i="12"/>
  <c r="Q36" i="12"/>
  <c r="R36" i="12"/>
  <c r="S36" i="12"/>
  <c r="T36" i="12"/>
  <c r="C37" i="12"/>
  <c r="D37" i="12"/>
  <c r="E37" i="12"/>
  <c r="F37" i="12"/>
  <c r="G37" i="12"/>
  <c r="H37" i="12"/>
  <c r="I37" i="12"/>
  <c r="J37" i="12"/>
  <c r="K37" i="12"/>
  <c r="L37" i="12"/>
  <c r="M37" i="12"/>
  <c r="N37" i="12"/>
  <c r="O37" i="12"/>
  <c r="P37" i="12"/>
  <c r="Q37" i="12"/>
  <c r="R37" i="12"/>
  <c r="S37" i="12"/>
  <c r="T37" i="12"/>
  <c r="C38" i="12"/>
  <c r="D38" i="12"/>
  <c r="E38" i="12"/>
  <c r="F38" i="12"/>
  <c r="G38" i="12"/>
  <c r="H38" i="12"/>
  <c r="I38" i="12"/>
  <c r="J38" i="12"/>
  <c r="K38" i="12"/>
  <c r="L38" i="12"/>
  <c r="M38" i="12"/>
  <c r="N38" i="12"/>
  <c r="O38" i="12"/>
  <c r="P38" i="12"/>
  <c r="Q38" i="12"/>
  <c r="R38" i="12"/>
  <c r="S38" i="12"/>
  <c r="T38" i="12"/>
  <c r="C39" i="12"/>
  <c r="D39" i="12"/>
  <c r="E39" i="12"/>
  <c r="F39" i="12"/>
  <c r="G39" i="12"/>
  <c r="H39" i="12"/>
  <c r="I39" i="12"/>
  <c r="J39" i="12"/>
  <c r="K39" i="12"/>
  <c r="L39" i="12"/>
  <c r="M39" i="12"/>
  <c r="N39" i="12"/>
  <c r="O39" i="12"/>
  <c r="P39" i="12"/>
  <c r="Q39" i="12"/>
  <c r="R39" i="12"/>
  <c r="S39" i="12"/>
  <c r="T39" i="12"/>
  <c r="C40" i="12"/>
  <c r="D40" i="12"/>
  <c r="E40" i="12"/>
  <c r="F40" i="12"/>
  <c r="G40" i="12"/>
  <c r="H40" i="12"/>
  <c r="I40" i="12"/>
  <c r="J40" i="12"/>
  <c r="K40" i="12"/>
  <c r="L40" i="12"/>
  <c r="M40" i="12"/>
  <c r="N40" i="12"/>
  <c r="O40" i="12"/>
  <c r="P40" i="12"/>
  <c r="Q40" i="12"/>
  <c r="R40" i="12"/>
  <c r="S40" i="12"/>
  <c r="T40" i="12"/>
  <c r="C41" i="12"/>
  <c r="D41" i="12"/>
  <c r="E41" i="12"/>
  <c r="F41" i="12"/>
  <c r="G41" i="12"/>
  <c r="H41" i="12"/>
  <c r="I41" i="12"/>
  <c r="J41" i="12"/>
  <c r="K41" i="12"/>
  <c r="L41" i="12"/>
  <c r="M41" i="12"/>
  <c r="N41" i="12"/>
  <c r="O41" i="12"/>
  <c r="P41" i="12"/>
  <c r="Q41" i="12"/>
  <c r="R41" i="12"/>
  <c r="S41" i="12"/>
  <c r="T41" i="12"/>
  <c r="C42" i="12"/>
  <c r="D42" i="12"/>
  <c r="E42" i="12"/>
  <c r="F42" i="12"/>
  <c r="G42" i="12"/>
  <c r="H42" i="12"/>
  <c r="I42" i="12"/>
  <c r="J42" i="12"/>
  <c r="K42" i="12"/>
  <c r="L42" i="12"/>
  <c r="M42" i="12"/>
  <c r="N42" i="12"/>
  <c r="O42" i="12"/>
  <c r="P42" i="12"/>
  <c r="Q42" i="12"/>
  <c r="R42" i="12"/>
  <c r="S42" i="12"/>
  <c r="T42" i="12"/>
  <c r="C43" i="12"/>
  <c r="D43" i="12"/>
  <c r="E43" i="12"/>
  <c r="F43" i="12"/>
  <c r="G43" i="12"/>
  <c r="H43" i="12"/>
  <c r="I43" i="12"/>
  <c r="J43" i="12"/>
  <c r="K43" i="12"/>
  <c r="L43" i="12"/>
  <c r="M43" i="12"/>
  <c r="N43" i="12"/>
  <c r="O43" i="12"/>
  <c r="P43" i="12"/>
  <c r="Q43" i="12"/>
  <c r="R43" i="12"/>
  <c r="S43" i="12"/>
  <c r="T43" i="12"/>
  <c r="C44" i="12"/>
  <c r="D44" i="12"/>
  <c r="E44" i="12"/>
  <c r="F44" i="12"/>
  <c r="G44" i="12"/>
  <c r="H44" i="12"/>
  <c r="I44" i="12"/>
  <c r="J44" i="12"/>
  <c r="K44" i="12"/>
  <c r="L44" i="12"/>
  <c r="M44" i="12"/>
  <c r="N44" i="12"/>
  <c r="O44" i="12"/>
  <c r="P44" i="12"/>
  <c r="Q44" i="12"/>
  <c r="R44" i="12"/>
  <c r="S44" i="12"/>
  <c r="T44" i="12"/>
  <c r="C45" i="12"/>
  <c r="D45" i="12"/>
  <c r="E45" i="12"/>
  <c r="F45" i="12"/>
  <c r="G45" i="12"/>
  <c r="H45" i="12"/>
  <c r="I45" i="12"/>
  <c r="J45" i="12"/>
  <c r="K45" i="12"/>
  <c r="L45" i="12"/>
  <c r="M45" i="12"/>
  <c r="N45" i="12"/>
  <c r="O45" i="12"/>
  <c r="P45" i="12"/>
  <c r="Q45" i="12"/>
  <c r="R45" i="12"/>
  <c r="S45" i="12"/>
  <c r="T45" i="12"/>
  <c r="C46" i="12"/>
  <c r="D46" i="12"/>
  <c r="E46" i="12"/>
  <c r="F46" i="12"/>
  <c r="G46" i="12"/>
  <c r="H46" i="12"/>
  <c r="I46" i="12"/>
  <c r="J46" i="12"/>
  <c r="K46" i="12"/>
  <c r="L46" i="12"/>
  <c r="M46" i="12"/>
  <c r="N46" i="12"/>
  <c r="O46" i="12"/>
  <c r="P46" i="12"/>
  <c r="Q46" i="12"/>
  <c r="R46" i="12"/>
  <c r="S46" i="12"/>
  <c r="T46" i="12"/>
  <c r="C47" i="12"/>
  <c r="D47" i="12"/>
  <c r="E47" i="12"/>
  <c r="F47" i="12"/>
  <c r="G47" i="12"/>
  <c r="H47" i="12"/>
  <c r="I47" i="12"/>
  <c r="J47" i="12"/>
  <c r="K47" i="12"/>
  <c r="L47" i="12"/>
  <c r="M47" i="12"/>
  <c r="N47" i="12"/>
  <c r="O47" i="12"/>
  <c r="P47" i="12"/>
  <c r="Q47" i="12"/>
  <c r="R47" i="12"/>
  <c r="S47" i="12"/>
  <c r="T47" i="12"/>
  <c r="C48" i="12"/>
  <c r="D48" i="12"/>
  <c r="E48" i="12"/>
  <c r="F48" i="12"/>
  <c r="G48" i="12"/>
  <c r="H48" i="12"/>
  <c r="I48" i="12"/>
  <c r="J48" i="12"/>
  <c r="K48" i="12"/>
  <c r="L48" i="12"/>
  <c r="M48" i="12"/>
  <c r="N48" i="12"/>
  <c r="O48" i="12"/>
  <c r="P48" i="12"/>
  <c r="Q48" i="12"/>
  <c r="R48" i="12"/>
  <c r="S48" i="12"/>
  <c r="T48" i="12"/>
  <c r="C49" i="12"/>
  <c r="D49" i="12"/>
  <c r="E49" i="12"/>
  <c r="F49" i="12"/>
  <c r="G49" i="12"/>
  <c r="H49" i="12"/>
  <c r="I49" i="12"/>
  <c r="J49" i="12"/>
  <c r="K49" i="12"/>
  <c r="L49" i="12"/>
  <c r="M49" i="12"/>
  <c r="N49" i="12"/>
  <c r="O49" i="12"/>
  <c r="P49" i="12"/>
  <c r="Q49" i="12"/>
  <c r="R49" i="12"/>
  <c r="S49" i="12"/>
  <c r="T49" i="12"/>
  <c r="C50" i="12"/>
  <c r="D50" i="12"/>
  <c r="E50" i="12"/>
  <c r="F50" i="12"/>
  <c r="G50" i="12"/>
  <c r="H50" i="12"/>
  <c r="I50" i="12"/>
  <c r="J50" i="12"/>
  <c r="K50" i="12"/>
  <c r="L50" i="12"/>
  <c r="M50" i="12"/>
  <c r="N50" i="12"/>
  <c r="O50" i="12"/>
  <c r="P50" i="12"/>
  <c r="Q50" i="12"/>
  <c r="R50" i="12"/>
  <c r="S50" i="12"/>
  <c r="T50" i="12"/>
  <c r="C51" i="12"/>
  <c r="D51" i="12"/>
  <c r="E51" i="12"/>
  <c r="F51" i="12"/>
  <c r="G51" i="12"/>
  <c r="H51" i="12"/>
  <c r="I51" i="12"/>
  <c r="J51" i="12"/>
  <c r="K51" i="12"/>
  <c r="L51" i="12"/>
  <c r="M51" i="12"/>
  <c r="N51" i="12"/>
  <c r="O51" i="12"/>
  <c r="P51" i="12"/>
  <c r="Q51" i="12"/>
  <c r="R51" i="12"/>
  <c r="S51" i="12"/>
  <c r="T51" i="12"/>
  <c r="C52" i="12"/>
  <c r="D52" i="12"/>
  <c r="E52" i="12"/>
  <c r="F52" i="12"/>
  <c r="G52" i="12"/>
  <c r="H52" i="12"/>
  <c r="I52" i="12"/>
  <c r="J52" i="12"/>
  <c r="K52" i="12"/>
  <c r="L52" i="12"/>
  <c r="M52" i="12"/>
  <c r="N52" i="12"/>
  <c r="O52" i="12"/>
  <c r="P52" i="12"/>
  <c r="Q52" i="12"/>
  <c r="R52" i="12"/>
  <c r="S52" i="12"/>
  <c r="T52" i="12"/>
  <c r="C53" i="12"/>
  <c r="D53" i="12"/>
  <c r="E53" i="12"/>
  <c r="F53" i="12"/>
  <c r="G53" i="12"/>
  <c r="H53" i="12"/>
  <c r="I53" i="12"/>
  <c r="J53" i="12"/>
  <c r="K53" i="12"/>
  <c r="L53" i="12"/>
  <c r="M53" i="12"/>
  <c r="N53" i="12"/>
  <c r="O53" i="12"/>
  <c r="P53" i="12"/>
  <c r="Q53" i="12"/>
  <c r="R53" i="12"/>
  <c r="S53" i="12"/>
  <c r="T53" i="12"/>
  <c r="C54" i="12"/>
  <c r="D54" i="12"/>
  <c r="E54" i="12"/>
  <c r="F54" i="12"/>
  <c r="G54" i="12"/>
  <c r="H54" i="12"/>
  <c r="I54" i="12"/>
  <c r="J54" i="12"/>
  <c r="K54" i="12"/>
  <c r="L54" i="12"/>
  <c r="M54" i="12"/>
  <c r="N54" i="12"/>
  <c r="O54" i="12"/>
  <c r="P54" i="12"/>
  <c r="Q54" i="12"/>
  <c r="R54" i="12"/>
  <c r="S54" i="12"/>
  <c r="T54" i="12"/>
  <c r="C55" i="12"/>
  <c r="D55" i="12"/>
  <c r="E55" i="12"/>
  <c r="F55" i="12"/>
  <c r="G55" i="12"/>
  <c r="H55" i="12"/>
  <c r="I55" i="12"/>
  <c r="J55" i="12"/>
  <c r="K55" i="12"/>
  <c r="L55" i="12"/>
  <c r="M55" i="12"/>
  <c r="N55" i="12"/>
  <c r="O55" i="12"/>
  <c r="P55" i="12"/>
  <c r="Q55" i="12"/>
  <c r="R55" i="12"/>
  <c r="S55" i="12"/>
  <c r="T55" i="12"/>
  <c r="C56" i="12"/>
  <c r="D56" i="12"/>
  <c r="E56" i="12"/>
  <c r="F56" i="12"/>
  <c r="G56" i="12"/>
  <c r="H56" i="12"/>
  <c r="I56" i="12"/>
  <c r="J56" i="12"/>
  <c r="K56" i="12"/>
  <c r="L56" i="12"/>
  <c r="M56" i="12"/>
  <c r="N56" i="12"/>
  <c r="O56" i="12"/>
  <c r="P56" i="12"/>
  <c r="Q56" i="12"/>
  <c r="R56" i="12"/>
  <c r="S56" i="12"/>
  <c r="T56" i="12"/>
  <c r="C57" i="12"/>
  <c r="D57" i="12"/>
  <c r="E57" i="12"/>
  <c r="F57" i="12"/>
  <c r="G57" i="12"/>
  <c r="H57" i="12"/>
  <c r="I57" i="12"/>
  <c r="J57" i="12"/>
  <c r="K57" i="12"/>
  <c r="L57" i="12"/>
  <c r="M57" i="12"/>
  <c r="N57" i="12"/>
  <c r="O57" i="12"/>
  <c r="P57" i="12"/>
  <c r="Q57" i="12"/>
  <c r="R57" i="12"/>
  <c r="S57" i="12"/>
  <c r="T57" i="12"/>
  <c r="C58" i="12"/>
  <c r="D58" i="12"/>
  <c r="E58" i="12"/>
  <c r="F58" i="12"/>
  <c r="G58" i="12"/>
  <c r="H58" i="12"/>
  <c r="I58" i="12"/>
  <c r="J58" i="12"/>
  <c r="K58" i="12"/>
  <c r="L58" i="12"/>
  <c r="M58" i="12"/>
  <c r="N58" i="12"/>
  <c r="O58" i="12"/>
  <c r="P58" i="12"/>
  <c r="Q58" i="12"/>
  <c r="R58" i="12"/>
  <c r="S58" i="12"/>
  <c r="T58" i="12"/>
  <c r="C59" i="12"/>
  <c r="D59" i="12"/>
  <c r="E59" i="12"/>
  <c r="F59" i="12"/>
  <c r="G59" i="12"/>
  <c r="H59" i="12"/>
  <c r="I59" i="12"/>
  <c r="J59" i="12"/>
  <c r="K59" i="12"/>
  <c r="L59" i="12"/>
  <c r="M59" i="12"/>
  <c r="N59" i="12"/>
  <c r="O59" i="12"/>
  <c r="P59" i="12"/>
  <c r="Q59" i="12"/>
  <c r="R59" i="12"/>
  <c r="S59" i="12"/>
  <c r="T59" i="12"/>
  <c r="C60" i="12"/>
  <c r="D60" i="12"/>
  <c r="E60" i="12"/>
  <c r="F60" i="12"/>
  <c r="G60" i="12"/>
  <c r="H60" i="12"/>
  <c r="I60" i="12"/>
  <c r="J60" i="12"/>
  <c r="K60" i="12"/>
  <c r="L60" i="12"/>
  <c r="M60" i="12"/>
  <c r="N60" i="12"/>
  <c r="O60" i="12"/>
  <c r="P60" i="12"/>
  <c r="Q60" i="12"/>
  <c r="R60" i="12"/>
  <c r="S60" i="12"/>
  <c r="T60" i="12"/>
  <c r="C61" i="12"/>
  <c r="D61" i="12"/>
  <c r="E61" i="12"/>
  <c r="F61" i="12"/>
  <c r="G61" i="12"/>
  <c r="H61" i="12"/>
  <c r="I61" i="12"/>
  <c r="J61" i="12"/>
  <c r="K61" i="12"/>
  <c r="L61" i="12"/>
  <c r="M61" i="12"/>
  <c r="N61" i="12"/>
  <c r="O61" i="12"/>
  <c r="P61" i="12"/>
  <c r="Q61" i="12"/>
  <c r="R61" i="12"/>
  <c r="S61" i="12"/>
  <c r="T61" i="12"/>
  <c r="C62" i="12"/>
  <c r="D62" i="12"/>
  <c r="E62" i="12"/>
  <c r="F62" i="12"/>
  <c r="G62" i="12"/>
  <c r="H62" i="12"/>
  <c r="I62" i="12"/>
  <c r="J62" i="12"/>
  <c r="K62" i="12"/>
  <c r="L62" i="12"/>
  <c r="M62" i="12"/>
  <c r="N62" i="12"/>
  <c r="O62" i="12"/>
  <c r="P62" i="12"/>
  <c r="Q62" i="12"/>
  <c r="R62" i="12"/>
  <c r="S62" i="12"/>
  <c r="T62" i="12"/>
  <c r="C63" i="12"/>
  <c r="D63" i="12"/>
  <c r="E63" i="12"/>
  <c r="F63" i="12"/>
  <c r="G63" i="12"/>
  <c r="H63" i="12"/>
  <c r="I63" i="12"/>
  <c r="J63" i="12"/>
  <c r="K63" i="12"/>
  <c r="L63" i="12"/>
  <c r="M63" i="12"/>
  <c r="N63" i="12"/>
  <c r="O63" i="12"/>
  <c r="P63" i="12"/>
  <c r="Q63" i="12"/>
  <c r="R63" i="12"/>
  <c r="S63" i="12"/>
  <c r="T63" i="12"/>
  <c r="C64" i="12"/>
  <c r="D64" i="12"/>
  <c r="E64" i="12"/>
  <c r="F64" i="12"/>
  <c r="G64" i="12"/>
  <c r="H64" i="12"/>
  <c r="I64" i="12"/>
  <c r="J64" i="12"/>
  <c r="K64" i="12"/>
  <c r="L64" i="12"/>
  <c r="M64" i="12"/>
  <c r="N64" i="12"/>
  <c r="O64" i="12"/>
  <c r="P64" i="12"/>
  <c r="Q64" i="12"/>
  <c r="R64" i="12"/>
  <c r="S64" i="12"/>
  <c r="T64" i="12"/>
  <c r="C65" i="12"/>
  <c r="D65" i="12"/>
  <c r="E65" i="12"/>
  <c r="F65" i="12"/>
  <c r="G65" i="12"/>
  <c r="H65" i="12"/>
  <c r="I65" i="12"/>
  <c r="J65" i="12"/>
  <c r="K65" i="12"/>
  <c r="L65" i="12"/>
  <c r="M65" i="12"/>
  <c r="N65" i="12"/>
  <c r="O65" i="12"/>
  <c r="P65" i="12"/>
  <c r="Q65" i="12"/>
  <c r="R65" i="12"/>
  <c r="S65" i="12"/>
  <c r="T65" i="12"/>
  <c r="C66" i="12"/>
  <c r="D66" i="12"/>
  <c r="E66" i="12"/>
  <c r="F66" i="12"/>
  <c r="G66" i="12"/>
  <c r="H66" i="12"/>
  <c r="I66" i="12"/>
  <c r="J66" i="12"/>
  <c r="K66" i="12"/>
  <c r="L66" i="12"/>
  <c r="M66" i="12"/>
  <c r="N66" i="12"/>
  <c r="O66" i="12"/>
  <c r="P66" i="12"/>
  <c r="Q66" i="12"/>
  <c r="R66" i="12"/>
  <c r="S66" i="12"/>
  <c r="T66" i="12"/>
  <c r="C67" i="12"/>
  <c r="D67" i="12"/>
  <c r="E67" i="12"/>
  <c r="F67" i="12"/>
  <c r="G67" i="12"/>
  <c r="H67" i="12"/>
  <c r="I67" i="12"/>
  <c r="J67" i="12"/>
  <c r="K67" i="12"/>
  <c r="L67" i="12"/>
  <c r="M67" i="12"/>
  <c r="N67" i="12"/>
  <c r="O67" i="12"/>
  <c r="P67" i="12"/>
  <c r="Q67" i="12"/>
  <c r="R67" i="12"/>
  <c r="S67" i="12"/>
  <c r="T67" i="12"/>
  <c r="C68" i="12"/>
  <c r="D68" i="12"/>
  <c r="E68" i="12"/>
  <c r="F68" i="12"/>
  <c r="G68" i="12"/>
  <c r="H68" i="12"/>
  <c r="I68" i="12"/>
  <c r="J68" i="12"/>
  <c r="K68" i="12"/>
  <c r="L68" i="12"/>
  <c r="M68" i="12"/>
  <c r="N68" i="12"/>
  <c r="O68" i="12"/>
  <c r="P68" i="12"/>
  <c r="Q68" i="12"/>
  <c r="R68" i="12"/>
  <c r="S68" i="12"/>
  <c r="T68" i="12"/>
  <c r="C69" i="12"/>
  <c r="D69" i="12"/>
  <c r="E69" i="12"/>
  <c r="F69" i="12"/>
  <c r="G69" i="12"/>
  <c r="H69" i="12"/>
  <c r="I69" i="12"/>
  <c r="J69" i="12"/>
  <c r="K69" i="12"/>
  <c r="L69" i="12"/>
  <c r="M69" i="12"/>
  <c r="N69" i="12"/>
  <c r="O69" i="12"/>
  <c r="P69" i="12"/>
  <c r="Q69" i="12"/>
  <c r="R69" i="12"/>
  <c r="S69" i="12"/>
  <c r="T69" i="12"/>
  <c r="C70" i="12"/>
  <c r="D70" i="12"/>
  <c r="E70" i="12"/>
  <c r="F70" i="12"/>
  <c r="G70" i="12"/>
  <c r="H70" i="12"/>
  <c r="I70" i="12"/>
  <c r="J70" i="12"/>
  <c r="K70" i="12"/>
  <c r="L70" i="12"/>
  <c r="M70" i="12"/>
  <c r="N70" i="12"/>
  <c r="O70" i="12"/>
  <c r="P70" i="12"/>
  <c r="Q70" i="12"/>
  <c r="R70" i="12"/>
  <c r="S70" i="12"/>
  <c r="T70" i="12"/>
  <c r="C71" i="12"/>
  <c r="D71" i="12"/>
  <c r="E71" i="12"/>
  <c r="F71" i="12"/>
  <c r="G71" i="12"/>
  <c r="H71" i="12"/>
  <c r="I71" i="12"/>
  <c r="J71" i="12"/>
  <c r="K71" i="12"/>
  <c r="L71" i="12"/>
  <c r="M71" i="12"/>
  <c r="N71" i="12"/>
  <c r="O71" i="12"/>
  <c r="P71" i="12"/>
  <c r="Q71" i="12"/>
  <c r="R71" i="12"/>
  <c r="S71" i="12"/>
  <c r="T71" i="12"/>
  <c r="C72" i="12"/>
  <c r="D72" i="12"/>
  <c r="E72" i="12"/>
  <c r="F72" i="12"/>
  <c r="G72" i="12"/>
  <c r="H72" i="12"/>
  <c r="I72" i="12"/>
  <c r="J72" i="12"/>
  <c r="K72" i="12"/>
  <c r="L72" i="12"/>
  <c r="M72" i="12"/>
  <c r="N72" i="12"/>
  <c r="O72" i="12"/>
  <c r="P72" i="12"/>
  <c r="Q72" i="12"/>
  <c r="R72" i="12"/>
  <c r="S72" i="12"/>
  <c r="T72" i="12"/>
  <c r="C73" i="12"/>
  <c r="D73" i="12"/>
  <c r="E73" i="12"/>
  <c r="F73" i="12"/>
  <c r="G73" i="12"/>
  <c r="H73" i="12"/>
  <c r="I73" i="12"/>
  <c r="J73" i="12"/>
  <c r="K73" i="12"/>
  <c r="L73" i="12"/>
  <c r="M73" i="12"/>
  <c r="N73" i="12"/>
  <c r="O73" i="12"/>
  <c r="P73" i="12"/>
  <c r="Q73" i="12"/>
  <c r="R73" i="12"/>
  <c r="S73" i="12"/>
  <c r="T73" i="12"/>
  <c r="C74" i="12"/>
  <c r="D74" i="12"/>
  <c r="E74" i="12"/>
  <c r="F74" i="12"/>
  <c r="G74" i="12"/>
  <c r="H74" i="12"/>
  <c r="I74" i="12"/>
  <c r="J74" i="12"/>
  <c r="K74" i="12"/>
  <c r="L74" i="12"/>
  <c r="M74" i="12"/>
  <c r="N74" i="12"/>
  <c r="O74" i="12"/>
  <c r="P74" i="12"/>
  <c r="Q74" i="12"/>
  <c r="R74" i="12"/>
  <c r="S74" i="12"/>
  <c r="T74" i="12"/>
  <c r="C75" i="12"/>
  <c r="D75" i="12"/>
  <c r="E75" i="12"/>
  <c r="F75" i="12"/>
  <c r="G75" i="12"/>
  <c r="H75" i="12"/>
  <c r="I75" i="12"/>
  <c r="J75" i="12"/>
  <c r="K75" i="12"/>
  <c r="L75" i="12"/>
  <c r="M75" i="12"/>
  <c r="N75" i="12"/>
  <c r="O75" i="12"/>
  <c r="P75" i="12"/>
  <c r="Q75" i="12"/>
  <c r="R75" i="12"/>
  <c r="S75" i="12"/>
  <c r="T75" i="12"/>
  <c r="C76" i="12"/>
  <c r="D76" i="12"/>
  <c r="E76" i="12"/>
  <c r="F76" i="12"/>
  <c r="G76" i="12"/>
  <c r="H76" i="12"/>
  <c r="I76" i="12"/>
  <c r="J76" i="12"/>
  <c r="K76" i="12"/>
  <c r="L76" i="12"/>
  <c r="M76" i="12"/>
  <c r="N76" i="12"/>
  <c r="O76" i="12"/>
  <c r="P76" i="12"/>
  <c r="Q76" i="12"/>
  <c r="R76" i="12"/>
  <c r="S76" i="12"/>
  <c r="T76" i="12"/>
  <c r="C77" i="12"/>
  <c r="D77" i="12"/>
  <c r="E77" i="12"/>
  <c r="F77" i="12"/>
  <c r="G77" i="12"/>
  <c r="H77" i="12"/>
  <c r="I77" i="12"/>
  <c r="J77" i="12"/>
  <c r="K77" i="12"/>
  <c r="L77" i="12"/>
  <c r="M77" i="12"/>
  <c r="N77" i="12"/>
  <c r="O77" i="12"/>
  <c r="P77" i="12"/>
  <c r="Q77" i="12"/>
  <c r="R77" i="12"/>
  <c r="S77" i="12"/>
  <c r="T77" i="12"/>
  <c r="C78" i="12"/>
  <c r="D78" i="12"/>
  <c r="E78" i="12"/>
  <c r="F78" i="12"/>
  <c r="G78" i="12"/>
  <c r="H78" i="12"/>
  <c r="I78" i="12"/>
  <c r="J78" i="12"/>
  <c r="K78" i="12"/>
  <c r="L78" i="12"/>
  <c r="M78" i="12"/>
  <c r="N78" i="12"/>
  <c r="O78" i="12"/>
  <c r="P78" i="12"/>
  <c r="Q78" i="12"/>
  <c r="R78" i="12"/>
  <c r="S78" i="12"/>
  <c r="T78" i="12"/>
  <c r="C79" i="12"/>
  <c r="D79" i="12"/>
  <c r="E79" i="12"/>
  <c r="F79" i="12"/>
  <c r="G79" i="12"/>
  <c r="H79" i="12"/>
  <c r="I79" i="12"/>
  <c r="J79" i="12"/>
  <c r="K79" i="12"/>
  <c r="L79" i="12"/>
  <c r="M79" i="12"/>
  <c r="N79" i="12"/>
  <c r="O79" i="12"/>
  <c r="P79" i="12"/>
  <c r="Q79" i="12"/>
  <c r="R79" i="12"/>
  <c r="S79" i="12"/>
  <c r="T79" i="12"/>
  <c r="C80" i="12"/>
  <c r="D80" i="12"/>
  <c r="E80" i="12"/>
  <c r="F80" i="12"/>
  <c r="G80" i="12"/>
  <c r="H80" i="12"/>
  <c r="I80" i="12"/>
  <c r="J80" i="12"/>
  <c r="K80" i="12"/>
  <c r="L80" i="12"/>
  <c r="M80" i="12"/>
  <c r="N80" i="12"/>
  <c r="O80" i="12"/>
  <c r="P80" i="12"/>
  <c r="Q80" i="12"/>
  <c r="R80" i="12"/>
  <c r="S80" i="12"/>
  <c r="T80" i="12"/>
  <c r="C81" i="12"/>
  <c r="D81" i="12"/>
  <c r="E81" i="12"/>
  <c r="F81" i="12"/>
  <c r="G81" i="12"/>
  <c r="H81" i="12"/>
  <c r="I81" i="12"/>
  <c r="J81" i="12"/>
  <c r="K81" i="12"/>
  <c r="L81" i="12"/>
  <c r="M81" i="12"/>
  <c r="N81" i="12"/>
  <c r="O81" i="12"/>
  <c r="P81" i="12"/>
  <c r="Q81" i="12"/>
  <c r="R81" i="12"/>
  <c r="S81" i="12"/>
  <c r="T81" i="12"/>
  <c r="C82" i="12"/>
  <c r="D82" i="12"/>
  <c r="E82" i="12"/>
  <c r="F82" i="12"/>
  <c r="G82" i="12"/>
  <c r="H82" i="12"/>
  <c r="I82" i="12"/>
  <c r="J82" i="12"/>
  <c r="K82" i="12"/>
  <c r="L82" i="12"/>
  <c r="M82" i="12"/>
  <c r="N82" i="12"/>
  <c r="O82" i="12"/>
  <c r="P82" i="12"/>
  <c r="Q82" i="12"/>
  <c r="R82" i="12"/>
  <c r="S82" i="12"/>
  <c r="T82" i="12"/>
  <c r="C83" i="12"/>
  <c r="D83" i="12"/>
  <c r="E83" i="12"/>
  <c r="F83" i="12"/>
  <c r="G83" i="12"/>
  <c r="H83" i="12"/>
  <c r="I83" i="12"/>
  <c r="J83" i="12"/>
  <c r="K83" i="12"/>
  <c r="L83" i="12"/>
  <c r="M83" i="12"/>
  <c r="N83" i="12"/>
  <c r="O83" i="12"/>
  <c r="P83" i="12"/>
  <c r="Q83" i="12"/>
  <c r="R83" i="12"/>
  <c r="S83" i="12"/>
  <c r="T83" i="12"/>
  <c r="C84" i="12"/>
  <c r="D84" i="12"/>
  <c r="E84" i="12"/>
  <c r="F84" i="12"/>
  <c r="G84" i="12"/>
  <c r="H84" i="12"/>
  <c r="I84" i="12"/>
  <c r="J84" i="12"/>
  <c r="K84" i="12"/>
  <c r="L84" i="12"/>
  <c r="M84" i="12"/>
  <c r="N84" i="12"/>
  <c r="O84" i="12"/>
  <c r="P84" i="12"/>
  <c r="Q84" i="12"/>
  <c r="R84" i="12"/>
  <c r="S84" i="12"/>
  <c r="T84" i="12"/>
  <c r="C85" i="12"/>
  <c r="D85" i="12"/>
  <c r="E85" i="12"/>
  <c r="F85" i="12"/>
  <c r="G85" i="12"/>
  <c r="H85" i="12"/>
  <c r="I85" i="12"/>
  <c r="J85" i="12"/>
  <c r="K85" i="12"/>
  <c r="L85" i="12"/>
  <c r="M85" i="12"/>
  <c r="N85" i="12"/>
  <c r="O85" i="12"/>
  <c r="P85" i="12"/>
  <c r="Q85" i="12"/>
  <c r="R85" i="12"/>
  <c r="S85" i="12"/>
  <c r="T85" i="12"/>
  <c r="C86" i="12"/>
  <c r="D86" i="12"/>
  <c r="E86" i="12"/>
  <c r="F86" i="12"/>
  <c r="G86" i="12"/>
  <c r="H86" i="12"/>
  <c r="I86" i="12"/>
  <c r="J86" i="12"/>
  <c r="K86" i="12"/>
  <c r="L86" i="12"/>
  <c r="M86" i="12"/>
  <c r="N86" i="12"/>
  <c r="O86" i="12"/>
  <c r="P86" i="12"/>
  <c r="Q86" i="12"/>
  <c r="R86" i="12"/>
  <c r="S86" i="12"/>
  <c r="T86" i="12"/>
  <c r="C87" i="12"/>
  <c r="D87" i="12"/>
  <c r="E87" i="12"/>
  <c r="F87" i="12"/>
  <c r="G87" i="12"/>
  <c r="H87" i="12"/>
  <c r="I87" i="12"/>
  <c r="J87" i="12"/>
  <c r="K87" i="12"/>
  <c r="L87" i="12"/>
  <c r="M87" i="12"/>
  <c r="N87" i="12"/>
  <c r="O87" i="12"/>
  <c r="P87" i="12"/>
  <c r="Q87" i="12"/>
  <c r="R87" i="12"/>
  <c r="S87" i="12"/>
  <c r="T87" i="12"/>
  <c r="C88" i="12"/>
  <c r="D88" i="12"/>
  <c r="E88" i="12"/>
  <c r="F88" i="12"/>
  <c r="G88" i="12"/>
  <c r="H88" i="12"/>
  <c r="I88" i="12"/>
  <c r="J88" i="12"/>
  <c r="K88" i="12"/>
  <c r="L88" i="12"/>
  <c r="M88" i="12"/>
  <c r="N88" i="12"/>
  <c r="O88" i="12"/>
  <c r="P88" i="12"/>
  <c r="Q88" i="12"/>
  <c r="R88" i="12"/>
  <c r="S88" i="12"/>
  <c r="T88" i="12"/>
  <c r="C89" i="12"/>
  <c r="D89" i="12"/>
  <c r="E89" i="12"/>
  <c r="F89" i="12"/>
  <c r="G89" i="12"/>
  <c r="H89" i="12"/>
  <c r="I89" i="12"/>
  <c r="J89" i="12"/>
  <c r="K89" i="12"/>
  <c r="L89" i="12"/>
  <c r="M89" i="12"/>
  <c r="N89" i="12"/>
  <c r="O89" i="12"/>
  <c r="P89" i="12"/>
  <c r="Q89" i="12"/>
  <c r="R89" i="12"/>
  <c r="S89" i="12"/>
  <c r="T89" i="12"/>
  <c r="C90" i="12"/>
  <c r="D90" i="12"/>
  <c r="E90" i="12"/>
  <c r="F90" i="12"/>
  <c r="G90" i="12"/>
  <c r="H90" i="12"/>
  <c r="I90" i="12"/>
  <c r="J90" i="12"/>
  <c r="K90" i="12"/>
  <c r="L90" i="12"/>
  <c r="M90" i="12"/>
  <c r="N90" i="12"/>
  <c r="O90" i="12"/>
  <c r="P90" i="12"/>
  <c r="Q90" i="12"/>
  <c r="R90" i="12"/>
  <c r="S90" i="12"/>
  <c r="T90" i="12"/>
  <c r="C91" i="12"/>
  <c r="D91" i="12"/>
  <c r="E91" i="12"/>
  <c r="F91" i="12"/>
  <c r="G91" i="12"/>
  <c r="H91" i="12"/>
  <c r="I91" i="12"/>
  <c r="J91" i="12"/>
  <c r="K91" i="12"/>
  <c r="L91" i="12"/>
  <c r="M91" i="12"/>
  <c r="N91" i="12"/>
  <c r="O91" i="12"/>
  <c r="P91" i="12"/>
  <c r="Q91" i="12"/>
  <c r="R91" i="12"/>
  <c r="S91" i="12"/>
  <c r="T91" i="12"/>
  <c r="C92" i="12"/>
  <c r="D92" i="12"/>
  <c r="E92" i="12"/>
  <c r="F92" i="12"/>
  <c r="G92" i="12"/>
  <c r="H92" i="12"/>
  <c r="I92" i="12"/>
  <c r="J92" i="12"/>
  <c r="K92" i="12"/>
  <c r="L92" i="12"/>
  <c r="M92" i="12"/>
  <c r="N92" i="12"/>
  <c r="O92" i="12"/>
  <c r="P92" i="12"/>
  <c r="Q92" i="12"/>
  <c r="R92" i="12"/>
  <c r="S92" i="12"/>
  <c r="T92" i="12"/>
  <c r="C93" i="12"/>
  <c r="D93" i="12"/>
  <c r="E93" i="12"/>
  <c r="F93" i="12"/>
  <c r="G93" i="12"/>
  <c r="H93" i="12"/>
  <c r="I93" i="12"/>
  <c r="J93" i="12"/>
  <c r="K93" i="12"/>
  <c r="L93" i="12"/>
  <c r="M93" i="12"/>
  <c r="N93" i="12"/>
  <c r="O93" i="12"/>
  <c r="P93" i="12"/>
  <c r="Q93" i="12"/>
  <c r="R93" i="12"/>
  <c r="S93" i="12"/>
  <c r="T93" i="12"/>
  <c r="C94" i="12"/>
  <c r="D94" i="12"/>
  <c r="E94" i="12"/>
  <c r="F94" i="12"/>
  <c r="G94" i="12"/>
  <c r="H94" i="12"/>
  <c r="I94" i="12"/>
  <c r="J94" i="12"/>
  <c r="K94" i="12"/>
  <c r="L94" i="12"/>
  <c r="M94" i="12"/>
  <c r="N94" i="12"/>
  <c r="O94" i="12"/>
  <c r="P94" i="12"/>
  <c r="Q94" i="12"/>
  <c r="R94" i="12"/>
  <c r="S94" i="12"/>
  <c r="T94" i="12"/>
  <c r="C95" i="12"/>
  <c r="D95" i="12"/>
  <c r="E95" i="12"/>
  <c r="F95" i="12"/>
  <c r="G95" i="12"/>
  <c r="H95" i="12"/>
  <c r="I95" i="12"/>
  <c r="J95" i="12"/>
  <c r="K95" i="12"/>
  <c r="L95" i="12"/>
  <c r="M95" i="12"/>
  <c r="N95" i="12"/>
  <c r="O95" i="12"/>
  <c r="P95" i="12"/>
  <c r="Q95" i="12"/>
  <c r="R95" i="12"/>
  <c r="S95" i="12"/>
  <c r="T95" i="12"/>
  <c r="C96" i="12"/>
  <c r="D96" i="12"/>
  <c r="E96" i="12"/>
  <c r="F96" i="12"/>
  <c r="G96" i="12"/>
  <c r="H96" i="12"/>
  <c r="I96" i="12"/>
  <c r="J96" i="12"/>
  <c r="K96" i="12"/>
  <c r="L96" i="12"/>
  <c r="M96" i="12"/>
  <c r="N96" i="12"/>
  <c r="O96" i="12"/>
  <c r="P96" i="12"/>
  <c r="Q96" i="12"/>
  <c r="R96" i="12"/>
  <c r="S96" i="12"/>
  <c r="T96" i="12"/>
  <c r="C97" i="12"/>
  <c r="D97" i="12"/>
  <c r="E97" i="12"/>
  <c r="F97" i="12"/>
  <c r="G97" i="12"/>
  <c r="H97" i="12"/>
  <c r="I97" i="12"/>
  <c r="J97" i="12"/>
  <c r="K97" i="12"/>
  <c r="L97" i="12"/>
  <c r="M97" i="12"/>
  <c r="N97" i="12"/>
  <c r="O97" i="12"/>
  <c r="P97" i="12"/>
  <c r="Q97" i="12"/>
  <c r="R97" i="12"/>
  <c r="S97" i="12"/>
  <c r="T97" i="12"/>
  <c r="C98" i="12"/>
  <c r="D98" i="12"/>
  <c r="E98" i="12"/>
  <c r="F98" i="12"/>
  <c r="G98" i="12"/>
  <c r="H98" i="12"/>
  <c r="I98" i="12"/>
  <c r="J98" i="12"/>
  <c r="K98" i="12"/>
  <c r="L98" i="12"/>
  <c r="M98" i="12"/>
  <c r="N98" i="12"/>
  <c r="O98" i="12"/>
  <c r="P98" i="12"/>
  <c r="Q98" i="12"/>
  <c r="R98" i="12"/>
  <c r="S98" i="12"/>
  <c r="T98" i="12"/>
  <c r="C99" i="12"/>
  <c r="D99" i="12"/>
  <c r="E99" i="12"/>
  <c r="F99" i="12"/>
  <c r="G99" i="12"/>
  <c r="H99" i="12"/>
  <c r="I99" i="12"/>
  <c r="J99" i="12"/>
  <c r="K99" i="12"/>
  <c r="L99" i="12"/>
  <c r="M99" i="12"/>
  <c r="N99" i="12"/>
  <c r="O99" i="12"/>
  <c r="P99" i="12"/>
  <c r="Q99" i="12"/>
  <c r="R99" i="12"/>
  <c r="S99" i="12"/>
  <c r="T99" i="12"/>
  <c r="C100" i="12"/>
  <c r="D100" i="12"/>
  <c r="E100" i="12"/>
  <c r="F100" i="12"/>
  <c r="G100" i="12"/>
  <c r="H100" i="12"/>
  <c r="I100" i="12"/>
  <c r="J100" i="12"/>
  <c r="K100" i="12"/>
  <c r="L100" i="12"/>
  <c r="M100" i="12"/>
  <c r="N100" i="12"/>
  <c r="O100" i="12"/>
  <c r="P100" i="12"/>
  <c r="Q100" i="12"/>
  <c r="R100" i="12"/>
  <c r="S100" i="12"/>
  <c r="T100" i="12"/>
  <c r="C101" i="12"/>
  <c r="D101" i="12"/>
  <c r="E101" i="12"/>
  <c r="F101" i="12"/>
  <c r="G101" i="12"/>
  <c r="H101" i="12"/>
  <c r="I101" i="12"/>
  <c r="J101" i="12"/>
  <c r="K101" i="12"/>
  <c r="L101" i="12"/>
  <c r="M101" i="12"/>
  <c r="N101" i="12"/>
  <c r="O101" i="12"/>
  <c r="P101" i="12"/>
  <c r="Q101" i="12"/>
  <c r="R101" i="12"/>
  <c r="S101" i="12"/>
  <c r="T101" i="12"/>
  <c r="C102" i="12"/>
  <c r="D102" i="12"/>
  <c r="E102" i="12"/>
  <c r="F102" i="12"/>
  <c r="G102" i="12"/>
  <c r="H102" i="12"/>
  <c r="I102" i="12"/>
  <c r="J102" i="12"/>
  <c r="K102" i="12"/>
  <c r="L102" i="12"/>
  <c r="M102" i="12"/>
  <c r="N102" i="12"/>
  <c r="O102" i="12"/>
  <c r="P102" i="12"/>
  <c r="Q102" i="12"/>
  <c r="R102" i="12"/>
  <c r="S102" i="12"/>
  <c r="T102" i="12"/>
  <c r="C103" i="12"/>
  <c r="D103" i="12"/>
  <c r="E103" i="12"/>
  <c r="F103" i="12"/>
  <c r="G103" i="12"/>
  <c r="H103" i="12"/>
  <c r="I103" i="12"/>
  <c r="J103" i="12"/>
  <c r="K103" i="12"/>
  <c r="L103" i="12"/>
  <c r="M103" i="12"/>
  <c r="N103" i="12"/>
  <c r="O103" i="12"/>
  <c r="P103" i="12"/>
  <c r="Q103" i="12"/>
  <c r="R103" i="12"/>
  <c r="S103" i="12"/>
  <c r="T103" i="12"/>
  <c r="C104" i="12"/>
  <c r="D104" i="12"/>
  <c r="E104" i="12"/>
  <c r="F104" i="12"/>
  <c r="G104" i="12"/>
  <c r="H104" i="12"/>
  <c r="I104" i="12"/>
  <c r="J104" i="12"/>
  <c r="K104" i="12"/>
  <c r="L104" i="12"/>
  <c r="M104" i="12"/>
  <c r="N104" i="12"/>
  <c r="O104" i="12"/>
  <c r="P104" i="12"/>
  <c r="Q104" i="12"/>
  <c r="R104" i="12"/>
  <c r="S104" i="12"/>
  <c r="T104" i="12"/>
  <c r="C105" i="12"/>
  <c r="D105" i="12"/>
  <c r="E105" i="12"/>
  <c r="F105" i="12"/>
  <c r="G105" i="12"/>
  <c r="H105" i="12"/>
  <c r="I105" i="12"/>
  <c r="J105" i="12"/>
  <c r="K105" i="12"/>
  <c r="L105" i="12"/>
  <c r="M105" i="12"/>
  <c r="N105" i="12"/>
  <c r="O105" i="12"/>
  <c r="P105" i="12"/>
  <c r="Q105" i="12"/>
  <c r="R105" i="12"/>
  <c r="S105" i="12"/>
  <c r="T105" i="12"/>
  <c r="C106" i="12"/>
  <c r="D106" i="12"/>
  <c r="E106" i="12"/>
  <c r="F106" i="12"/>
  <c r="G106" i="12"/>
  <c r="H106" i="12"/>
  <c r="I106" i="12"/>
  <c r="J106" i="12"/>
  <c r="K106" i="12"/>
  <c r="L106" i="12"/>
  <c r="M106" i="12"/>
  <c r="N106" i="12"/>
  <c r="O106" i="12"/>
  <c r="P106" i="12"/>
  <c r="Q106" i="12"/>
  <c r="R106" i="12"/>
  <c r="S106" i="12"/>
  <c r="T106" i="12"/>
  <c r="C107" i="12"/>
  <c r="D107" i="12"/>
  <c r="E107" i="12"/>
  <c r="F107" i="12"/>
  <c r="G107" i="12"/>
  <c r="H107" i="12"/>
  <c r="I107" i="12"/>
  <c r="J107" i="12"/>
  <c r="K107" i="12"/>
  <c r="L107" i="12"/>
  <c r="M107" i="12"/>
  <c r="N107" i="12"/>
  <c r="O107" i="12"/>
  <c r="P107" i="12"/>
  <c r="Q107" i="12"/>
  <c r="R107" i="12"/>
  <c r="S107" i="12"/>
  <c r="T107" i="12"/>
  <c r="C108" i="12"/>
  <c r="D108" i="12"/>
  <c r="E108" i="12"/>
  <c r="F108" i="12"/>
  <c r="G108" i="12"/>
  <c r="H108" i="12"/>
  <c r="I108" i="12"/>
  <c r="J108" i="12"/>
  <c r="K108" i="12"/>
  <c r="L108" i="12"/>
  <c r="M108" i="12"/>
  <c r="N108" i="12"/>
  <c r="O108" i="12"/>
  <c r="P108" i="12"/>
  <c r="Q108" i="12"/>
  <c r="R108" i="12"/>
  <c r="S108" i="12"/>
  <c r="T108" i="12"/>
  <c r="C109" i="12"/>
  <c r="D109" i="12"/>
  <c r="E109" i="12"/>
  <c r="F109" i="12"/>
  <c r="G109" i="12"/>
  <c r="H109" i="12"/>
  <c r="I109" i="12"/>
  <c r="J109" i="12"/>
  <c r="K109" i="12"/>
  <c r="L109" i="12"/>
  <c r="M109" i="12"/>
  <c r="N109" i="12"/>
  <c r="O109" i="12"/>
  <c r="P109" i="12"/>
  <c r="Q109" i="12"/>
  <c r="R109" i="12"/>
  <c r="S109" i="12"/>
  <c r="T109" i="12"/>
  <c r="C110" i="12"/>
  <c r="D110" i="12"/>
  <c r="E110" i="12"/>
  <c r="F110" i="12"/>
  <c r="G110" i="12"/>
  <c r="H110" i="12"/>
  <c r="I110" i="12"/>
  <c r="J110" i="12"/>
  <c r="K110" i="12"/>
  <c r="L110" i="12"/>
  <c r="M110" i="12"/>
  <c r="N110" i="12"/>
  <c r="O110" i="12"/>
  <c r="P110" i="12"/>
  <c r="Q110" i="12"/>
  <c r="R110" i="12"/>
  <c r="S110" i="12"/>
  <c r="T110" i="12"/>
  <c r="C111" i="12"/>
  <c r="D111" i="12"/>
  <c r="E111" i="12"/>
  <c r="F111" i="12"/>
  <c r="G111" i="12"/>
  <c r="H111" i="12"/>
  <c r="I111" i="12"/>
  <c r="J111" i="12"/>
  <c r="K111" i="12"/>
  <c r="L111" i="12"/>
  <c r="M111" i="12"/>
  <c r="N111" i="12"/>
  <c r="O111" i="12"/>
  <c r="P111" i="12"/>
  <c r="Q111" i="12"/>
  <c r="R111" i="12"/>
  <c r="S111" i="12"/>
  <c r="T111" i="12"/>
  <c r="C112" i="12"/>
  <c r="D112" i="12"/>
  <c r="E112" i="12"/>
  <c r="F112" i="12"/>
  <c r="G112" i="12"/>
  <c r="H112" i="12"/>
  <c r="I112" i="12"/>
  <c r="J112" i="12"/>
  <c r="K112" i="12"/>
  <c r="L112" i="12"/>
  <c r="M112" i="12"/>
  <c r="N112" i="12"/>
  <c r="O112" i="12"/>
  <c r="P112" i="12"/>
  <c r="Q112" i="12"/>
  <c r="R112" i="12"/>
  <c r="S112" i="12"/>
  <c r="T112" i="12"/>
  <c r="C113" i="12"/>
  <c r="D113" i="12"/>
  <c r="E113" i="12"/>
  <c r="F113" i="12"/>
  <c r="G113" i="12"/>
  <c r="H113" i="12"/>
  <c r="I113" i="12"/>
  <c r="J113" i="12"/>
  <c r="K113" i="12"/>
  <c r="L113" i="12"/>
  <c r="M113" i="12"/>
  <c r="N113" i="12"/>
  <c r="O113" i="12"/>
  <c r="P113" i="12"/>
  <c r="Q113" i="12"/>
  <c r="R113" i="12"/>
  <c r="S113" i="12"/>
  <c r="T113" i="12"/>
  <c r="C114" i="12"/>
  <c r="D114" i="12"/>
  <c r="E114" i="12"/>
  <c r="F114" i="12"/>
  <c r="G114" i="12"/>
  <c r="H114" i="12"/>
  <c r="I114" i="12"/>
  <c r="J114" i="12"/>
  <c r="K114" i="12"/>
  <c r="L114" i="12"/>
  <c r="M114" i="12"/>
  <c r="N114" i="12"/>
  <c r="O114" i="12"/>
  <c r="P114" i="12"/>
  <c r="Q114" i="12"/>
  <c r="R114" i="12"/>
  <c r="S114" i="12"/>
  <c r="T114" i="12"/>
  <c r="C115" i="12"/>
  <c r="D115" i="12"/>
  <c r="E115" i="12"/>
  <c r="F115" i="12"/>
  <c r="G115" i="12"/>
  <c r="H115" i="12"/>
  <c r="I115" i="12"/>
  <c r="J115" i="12"/>
  <c r="K115" i="12"/>
  <c r="L115" i="12"/>
  <c r="M115" i="12"/>
  <c r="N115" i="12"/>
  <c r="O115" i="12"/>
  <c r="P115" i="12"/>
  <c r="Q115" i="12"/>
  <c r="R115" i="12"/>
  <c r="S115" i="12"/>
  <c r="T115" i="12"/>
  <c r="C116" i="12"/>
  <c r="D116" i="12"/>
  <c r="E116" i="12"/>
  <c r="F116" i="12"/>
  <c r="G116" i="12"/>
  <c r="H116" i="12"/>
  <c r="I116" i="12"/>
  <c r="J116" i="12"/>
  <c r="K116" i="12"/>
  <c r="L116" i="12"/>
  <c r="M116" i="12"/>
  <c r="N116" i="12"/>
  <c r="O116" i="12"/>
  <c r="P116" i="12"/>
  <c r="Q116" i="12"/>
  <c r="R116" i="12"/>
  <c r="S116" i="12"/>
  <c r="T116" i="12"/>
  <c r="C117" i="12"/>
  <c r="D117" i="12"/>
  <c r="E117" i="12"/>
  <c r="F117" i="12"/>
  <c r="G117" i="12"/>
  <c r="H117" i="12"/>
  <c r="I117" i="12"/>
  <c r="J117" i="12"/>
  <c r="K117" i="12"/>
  <c r="L117" i="12"/>
  <c r="M117" i="12"/>
  <c r="N117" i="12"/>
  <c r="O117" i="12"/>
  <c r="P117" i="12"/>
  <c r="Q117" i="12"/>
  <c r="R117" i="12"/>
  <c r="S117" i="12"/>
  <c r="T117" i="12"/>
  <c r="C118" i="12"/>
  <c r="D118" i="12"/>
  <c r="E118" i="12"/>
  <c r="F118" i="12"/>
  <c r="G118" i="12"/>
  <c r="H118" i="12"/>
  <c r="I118" i="12"/>
  <c r="J118" i="12"/>
  <c r="K118" i="12"/>
  <c r="L118" i="12"/>
  <c r="M118" i="12"/>
  <c r="N118" i="12"/>
  <c r="O118" i="12"/>
  <c r="P118" i="12"/>
  <c r="Q118" i="12"/>
  <c r="R118" i="12"/>
  <c r="S118" i="12"/>
  <c r="T118" i="12"/>
  <c r="C119" i="12"/>
  <c r="D119" i="12"/>
  <c r="E119" i="12"/>
  <c r="F119" i="12"/>
  <c r="G119" i="12"/>
  <c r="H119" i="12"/>
  <c r="I119" i="12"/>
  <c r="J119" i="12"/>
  <c r="K119" i="12"/>
  <c r="L119" i="12"/>
  <c r="M119" i="12"/>
  <c r="N119" i="12"/>
  <c r="O119" i="12"/>
  <c r="P119" i="12"/>
  <c r="Q119" i="12"/>
  <c r="R119" i="12"/>
  <c r="S119" i="12"/>
  <c r="T119" i="12"/>
  <c r="C120" i="12"/>
  <c r="D120" i="12"/>
  <c r="E120" i="12"/>
  <c r="F120" i="12"/>
  <c r="G120" i="12"/>
  <c r="H120" i="12"/>
  <c r="I120" i="12"/>
  <c r="J120" i="12"/>
  <c r="K120" i="12"/>
  <c r="L120" i="12"/>
  <c r="M120" i="12"/>
  <c r="N120" i="12"/>
  <c r="O120" i="12"/>
  <c r="P120" i="12"/>
  <c r="Q120" i="12"/>
  <c r="R120" i="12"/>
  <c r="S120" i="12"/>
  <c r="T120" i="12"/>
  <c r="C121" i="12"/>
  <c r="D121" i="12"/>
  <c r="E121" i="12"/>
  <c r="F121" i="12"/>
  <c r="G121" i="12"/>
  <c r="H121" i="12"/>
  <c r="I121" i="12"/>
  <c r="J121" i="12"/>
  <c r="K121" i="12"/>
  <c r="L121" i="12"/>
  <c r="M121" i="12"/>
  <c r="N121" i="12"/>
  <c r="O121" i="12"/>
  <c r="P121" i="12"/>
  <c r="Q121" i="12"/>
  <c r="R121" i="12"/>
  <c r="S121" i="12"/>
  <c r="T121" i="12"/>
  <c r="C122" i="12"/>
  <c r="D122" i="12"/>
  <c r="E122" i="12"/>
  <c r="F122" i="12"/>
  <c r="G122" i="12"/>
  <c r="H122" i="12"/>
  <c r="I122" i="12"/>
  <c r="J122" i="12"/>
  <c r="K122" i="12"/>
  <c r="L122" i="12"/>
  <c r="M122" i="12"/>
  <c r="N122" i="12"/>
  <c r="O122" i="12"/>
  <c r="P122" i="12"/>
  <c r="Q122" i="12"/>
  <c r="R122" i="12"/>
  <c r="S122" i="12"/>
  <c r="T122" i="12"/>
  <c r="C123" i="12"/>
  <c r="D123" i="12"/>
  <c r="E123" i="12"/>
  <c r="F123" i="12"/>
  <c r="G123" i="12"/>
  <c r="H123" i="12"/>
  <c r="I123" i="12"/>
  <c r="J123" i="12"/>
  <c r="K123" i="12"/>
  <c r="L123" i="12"/>
  <c r="M123" i="12"/>
  <c r="N123" i="12"/>
  <c r="O123" i="12"/>
  <c r="P123" i="12"/>
  <c r="Q123" i="12"/>
  <c r="R123" i="12"/>
  <c r="S123" i="12"/>
  <c r="T123" i="12"/>
  <c r="C124" i="12"/>
  <c r="D124" i="12"/>
  <c r="E124" i="12"/>
  <c r="F124" i="12"/>
  <c r="G124" i="12"/>
  <c r="H124" i="12"/>
  <c r="I124" i="12"/>
  <c r="J124" i="12"/>
  <c r="K124" i="12"/>
  <c r="L124" i="12"/>
  <c r="M124" i="12"/>
  <c r="N124" i="12"/>
  <c r="O124" i="12"/>
  <c r="P124" i="12"/>
  <c r="Q124" i="12"/>
  <c r="R124" i="12"/>
  <c r="S124" i="12"/>
  <c r="T124" i="12"/>
  <c r="C125" i="12"/>
  <c r="D125" i="12"/>
  <c r="E125" i="12"/>
  <c r="F125" i="12"/>
  <c r="G125" i="12"/>
  <c r="H125" i="12"/>
  <c r="I125" i="12"/>
  <c r="J125" i="12"/>
  <c r="K125" i="12"/>
  <c r="L125" i="12"/>
  <c r="M125" i="12"/>
  <c r="N125" i="12"/>
  <c r="O125" i="12"/>
  <c r="P125" i="12"/>
  <c r="Q125" i="12"/>
  <c r="R125" i="12"/>
  <c r="S125" i="12"/>
  <c r="T125" i="12"/>
  <c r="C126" i="12"/>
  <c r="D126" i="12"/>
  <c r="E126" i="12"/>
  <c r="F126" i="12"/>
  <c r="G126" i="12"/>
  <c r="H126" i="12"/>
  <c r="I126" i="12"/>
  <c r="J126" i="12"/>
  <c r="K126" i="12"/>
  <c r="L126" i="12"/>
  <c r="M126" i="12"/>
  <c r="N126" i="12"/>
  <c r="O126" i="12"/>
  <c r="P126" i="12"/>
  <c r="Q126" i="12"/>
  <c r="R126" i="12"/>
  <c r="S126" i="12"/>
  <c r="T126" i="12"/>
  <c r="C127" i="12"/>
  <c r="D127" i="12"/>
  <c r="E127" i="12"/>
  <c r="F127" i="12"/>
  <c r="G127" i="12"/>
  <c r="H127" i="12"/>
  <c r="I127" i="12"/>
  <c r="J127" i="12"/>
  <c r="K127" i="12"/>
  <c r="L127" i="12"/>
  <c r="M127" i="12"/>
  <c r="N127" i="12"/>
  <c r="O127" i="12"/>
  <c r="P127" i="12"/>
  <c r="Q127" i="12"/>
  <c r="R127" i="12"/>
  <c r="S127" i="12"/>
  <c r="T127" i="12"/>
  <c r="C128" i="12"/>
  <c r="D128" i="12"/>
  <c r="E128" i="12"/>
  <c r="F128" i="12"/>
  <c r="G128" i="12"/>
  <c r="H128" i="12"/>
  <c r="I128" i="12"/>
  <c r="J128" i="12"/>
  <c r="K128" i="12"/>
  <c r="L128" i="12"/>
  <c r="M128" i="12"/>
  <c r="N128" i="12"/>
  <c r="O128" i="12"/>
  <c r="P128" i="12"/>
  <c r="Q128" i="12"/>
  <c r="R128" i="12"/>
  <c r="S128" i="12"/>
  <c r="T128" i="12"/>
  <c r="C129" i="12"/>
  <c r="D129" i="12"/>
  <c r="E129" i="12"/>
  <c r="F129" i="12"/>
  <c r="G129" i="12"/>
  <c r="H129" i="12"/>
  <c r="I129" i="12"/>
  <c r="J129" i="12"/>
  <c r="K129" i="12"/>
  <c r="L129" i="12"/>
  <c r="M129" i="12"/>
  <c r="N129" i="12"/>
  <c r="O129" i="12"/>
  <c r="P129" i="12"/>
  <c r="Q129" i="12"/>
  <c r="R129" i="12"/>
  <c r="S129" i="12"/>
  <c r="T129" i="12"/>
  <c r="C130" i="12"/>
  <c r="D130" i="12"/>
  <c r="E130" i="12"/>
  <c r="F130" i="12"/>
  <c r="G130" i="12"/>
  <c r="H130" i="12"/>
  <c r="I130" i="12"/>
  <c r="J130" i="12"/>
  <c r="K130" i="12"/>
  <c r="L130" i="12"/>
  <c r="M130" i="12"/>
  <c r="N130" i="12"/>
  <c r="O130" i="12"/>
  <c r="P130" i="12"/>
  <c r="Q130" i="12"/>
  <c r="R130" i="12"/>
  <c r="S130" i="12"/>
  <c r="T130" i="12"/>
  <c r="C131" i="12"/>
  <c r="D131" i="12"/>
  <c r="E131" i="12"/>
  <c r="F131" i="12"/>
  <c r="G131" i="12"/>
  <c r="H131" i="12"/>
  <c r="I131" i="12"/>
  <c r="J131" i="12"/>
  <c r="K131" i="12"/>
  <c r="L131" i="12"/>
  <c r="M131" i="12"/>
  <c r="N131" i="12"/>
  <c r="O131" i="12"/>
  <c r="P131" i="12"/>
  <c r="Q131" i="12"/>
  <c r="R131" i="12"/>
  <c r="S131" i="12"/>
  <c r="T131" i="12"/>
  <c r="C132" i="12"/>
  <c r="D132" i="12"/>
  <c r="E132" i="12"/>
  <c r="F132" i="12"/>
  <c r="G132" i="12"/>
  <c r="H132" i="12"/>
  <c r="I132" i="12"/>
  <c r="J132" i="12"/>
  <c r="K132" i="12"/>
  <c r="L132" i="12"/>
  <c r="M132" i="12"/>
  <c r="N132" i="12"/>
  <c r="O132" i="12"/>
  <c r="P132" i="12"/>
  <c r="Q132" i="12"/>
  <c r="R132" i="12"/>
  <c r="S132" i="12"/>
  <c r="T132" i="12"/>
  <c r="C133" i="12"/>
  <c r="D133" i="12"/>
  <c r="E133" i="12"/>
  <c r="F133" i="12"/>
  <c r="G133" i="12"/>
  <c r="H133" i="12"/>
  <c r="I133" i="12"/>
  <c r="J133" i="12"/>
  <c r="K133" i="12"/>
  <c r="L133" i="12"/>
  <c r="M133" i="12"/>
  <c r="N133" i="12"/>
  <c r="O133" i="12"/>
  <c r="P133" i="12"/>
  <c r="Q133" i="12"/>
  <c r="R133" i="12"/>
  <c r="S133" i="12"/>
  <c r="T133" i="12"/>
  <c r="C134" i="12"/>
  <c r="D134" i="12"/>
  <c r="E134" i="12"/>
  <c r="F134" i="12"/>
  <c r="G134" i="12"/>
  <c r="H134" i="12"/>
  <c r="I134" i="12"/>
  <c r="J134" i="12"/>
  <c r="K134" i="12"/>
  <c r="L134" i="12"/>
  <c r="M134" i="12"/>
  <c r="N134" i="12"/>
  <c r="O134" i="12"/>
  <c r="P134" i="12"/>
  <c r="Q134" i="12"/>
  <c r="R134" i="12"/>
  <c r="S134" i="12"/>
  <c r="T134" i="12"/>
  <c r="C135" i="12"/>
  <c r="D135" i="12"/>
  <c r="E135" i="12"/>
  <c r="F135" i="12"/>
  <c r="G135" i="12"/>
  <c r="H135" i="12"/>
  <c r="I135" i="12"/>
  <c r="J135" i="12"/>
  <c r="K135" i="12"/>
  <c r="L135" i="12"/>
  <c r="M135" i="12"/>
  <c r="N135" i="12"/>
  <c r="O135" i="12"/>
  <c r="P135" i="12"/>
  <c r="Q135" i="12"/>
  <c r="R135" i="12"/>
  <c r="S135" i="12"/>
  <c r="T135" i="12"/>
  <c r="C136" i="12"/>
  <c r="D136" i="12"/>
  <c r="E136" i="12"/>
  <c r="F136" i="12"/>
  <c r="G136" i="12"/>
  <c r="H136" i="12"/>
  <c r="I136" i="12"/>
  <c r="J136" i="12"/>
  <c r="K136" i="12"/>
  <c r="L136" i="12"/>
  <c r="M136" i="12"/>
  <c r="N136" i="12"/>
  <c r="O136" i="12"/>
  <c r="P136" i="12"/>
  <c r="Q136" i="12"/>
  <c r="R136" i="12"/>
  <c r="S136" i="12"/>
  <c r="T136" i="12"/>
  <c r="C137" i="12"/>
  <c r="D137" i="12"/>
  <c r="E137" i="12"/>
  <c r="F137" i="12"/>
  <c r="G137" i="12"/>
  <c r="H137" i="12"/>
  <c r="I137" i="12"/>
  <c r="J137" i="12"/>
  <c r="K137" i="12"/>
  <c r="L137" i="12"/>
  <c r="M137" i="12"/>
  <c r="N137" i="12"/>
  <c r="O137" i="12"/>
  <c r="P137" i="12"/>
  <c r="Q137" i="12"/>
  <c r="R137" i="12"/>
  <c r="S137" i="12"/>
  <c r="T137" i="12"/>
  <c r="C138" i="12"/>
  <c r="D138" i="12"/>
  <c r="E138" i="12"/>
  <c r="F138" i="12"/>
  <c r="G138" i="12"/>
  <c r="H138" i="12"/>
  <c r="I138" i="12"/>
  <c r="J138" i="12"/>
  <c r="K138" i="12"/>
  <c r="L138" i="12"/>
  <c r="M138" i="12"/>
  <c r="N138" i="12"/>
  <c r="O138" i="12"/>
  <c r="P138" i="12"/>
  <c r="Q138" i="12"/>
  <c r="R138" i="12"/>
  <c r="S138" i="12"/>
  <c r="T138" i="12"/>
  <c r="C139" i="12"/>
  <c r="D139" i="12"/>
  <c r="E139" i="12"/>
  <c r="F139" i="12"/>
  <c r="G139" i="12"/>
  <c r="H139" i="12"/>
  <c r="I139" i="12"/>
  <c r="J139" i="12"/>
  <c r="K139" i="12"/>
  <c r="L139" i="12"/>
  <c r="M139" i="12"/>
  <c r="N139" i="12"/>
  <c r="O139" i="12"/>
  <c r="P139" i="12"/>
  <c r="Q139" i="12"/>
  <c r="R139" i="12"/>
  <c r="S139" i="12"/>
  <c r="T139" i="12"/>
  <c r="C140" i="12"/>
  <c r="D140" i="12"/>
  <c r="E140" i="12"/>
  <c r="F140" i="12"/>
  <c r="G140" i="12"/>
  <c r="H140" i="12"/>
  <c r="I140" i="12"/>
  <c r="J140" i="12"/>
  <c r="K140" i="12"/>
  <c r="L140" i="12"/>
  <c r="M140" i="12"/>
  <c r="N140" i="12"/>
  <c r="O140" i="12"/>
  <c r="P140" i="12"/>
  <c r="Q140" i="12"/>
  <c r="R140" i="12"/>
  <c r="S140" i="12"/>
  <c r="T140" i="12"/>
  <c r="C141" i="12"/>
  <c r="D141" i="12"/>
  <c r="E141" i="12"/>
  <c r="F141" i="12"/>
  <c r="G141" i="12"/>
  <c r="H141" i="12"/>
  <c r="I141" i="12"/>
  <c r="J141" i="12"/>
  <c r="K141" i="12"/>
  <c r="L141" i="12"/>
  <c r="M141" i="12"/>
  <c r="N141" i="12"/>
  <c r="O141" i="12"/>
  <c r="P141" i="12"/>
  <c r="Q141" i="12"/>
  <c r="R141" i="12"/>
  <c r="S141" i="12"/>
  <c r="T141" i="12"/>
  <c r="C142" i="12"/>
  <c r="D142" i="12"/>
  <c r="E142" i="12"/>
  <c r="F142" i="12"/>
  <c r="G142" i="12"/>
  <c r="H142" i="12"/>
  <c r="I142" i="12"/>
  <c r="J142" i="12"/>
  <c r="K142" i="12"/>
  <c r="L142" i="12"/>
  <c r="M142" i="12"/>
  <c r="N142" i="12"/>
  <c r="O142" i="12"/>
  <c r="P142" i="12"/>
  <c r="Q142" i="12"/>
  <c r="R142" i="12"/>
  <c r="S142" i="12"/>
  <c r="T142" i="12"/>
  <c r="C143" i="12"/>
  <c r="D143" i="12"/>
  <c r="E143" i="12"/>
  <c r="F143" i="12"/>
  <c r="G143" i="12"/>
  <c r="H143" i="12"/>
  <c r="I143" i="12"/>
  <c r="J143" i="12"/>
  <c r="K143" i="12"/>
  <c r="L143" i="12"/>
  <c r="M143" i="12"/>
  <c r="N143" i="12"/>
  <c r="O143" i="12"/>
  <c r="P143" i="12"/>
  <c r="Q143" i="12"/>
  <c r="R143" i="12"/>
  <c r="S143" i="12"/>
  <c r="T143" i="12"/>
  <c r="C144" i="12"/>
  <c r="D144" i="12"/>
  <c r="E144" i="12"/>
  <c r="F144" i="12"/>
  <c r="G144" i="12"/>
  <c r="H144" i="12"/>
  <c r="I144" i="12"/>
  <c r="J144" i="12"/>
  <c r="K144" i="12"/>
  <c r="L144" i="12"/>
  <c r="M144" i="12"/>
  <c r="N144" i="12"/>
  <c r="O144" i="12"/>
  <c r="P144" i="12"/>
  <c r="Q144" i="12"/>
  <c r="R144" i="12"/>
  <c r="S144" i="12"/>
  <c r="T144" i="12"/>
  <c r="C145" i="12"/>
  <c r="D145" i="12"/>
  <c r="E145" i="12"/>
  <c r="F145" i="12"/>
  <c r="G145" i="12"/>
  <c r="H145" i="12"/>
  <c r="I145" i="12"/>
  <c r="J145" i="12"/>
  <c r="K145" i="12"/>
  <c r="L145" i="12"/>
  <c r="M145" i="12"/>
  <c r="N145" i="12"/>
  <c r="O145" i="12"/>
  <c r="P145" i="12"/>
  <c r="Q145" i="12"/>
  <c r="R145" i="12"/>
  <c r="S145" i="12"/>
  <c r="T145" i="12"/>
  <c r="C146" i="12"/>
  <c r="D146" i="12"/>
  <c r="E146" i="12"/>
  <c r="F146" i="12"/>
  <c r="G146" i="12"/>
  <c r="H146" i="12"/>
  <c r="I146" i="12"/>
  <c r="J146" i="12"/>
  <c r="K146" i="12"/>
  <c r="L146" i="12"/>
  <c r="M146" i="12"/>
  <c r="N146" i="12"/>
  <c r="O146" i="12"/>
  <c r="P146" i="12"/>
  <c r="Q146" i="12"/>
  <c r="R146" i="12"/>
  <c r="S146" i="12"/>
  <c r="T146" i="12"/>
  <c r="C147" i="12"/>
  <c r="D147" i="12"/>
  <c r="E147" i="12"/>
  <c r="F147" i="12"/>
  <c r="G147" i="12"/>
  <c r="H147" i="12"/>
  <c r="I147" i="12"/>
  <c r="J147" i="12"/>
  <c r="K147" i="12"/>
  <c r="L147" i="12"/>
  <c r="M147" i="12"/>
  <c r="N147" i="12"/>
  <c r="O147" i="12"/>
  <c r="P147" i="12"/>
  <c r="Q147" i="12"/>
  <c r="R147" i="12"/>
  <c r="S147" i="12"/>
  <c r="T147" i="12"/>
  <c r="C148" i="12"/>
  <c r="D148" i="12"/>
  <c r="E148" i="12"/>
  <c r="F148" i="12"/>
  <c r="G148" i="12"/>
  <c r="H148" i="12"/>
  <c r="I148" i="12"/>
  <c r="J148" i="12"/>
  <c r="K148" i="12"/>
  <c r="L148" i="12"/>
  <c r="M148" i="12"/>
  <c r="N148" i="12"/>
  <c r="O148" i="12"/>
  <c r="P148" i="12"/>
  <c r="Q148" i="12"/>
  <c r="R148" i="12"/>
  <c r="S148" i="12"/>
  <c r="T148" i="12"/>
  <c r="C149" i="12"/>
  <c r="D149" i="12"/>
  <c r="E149" i="12"/>
  <c r="F149" i="12"/>
  <c r="G149" i="12"/>
  <c r="H149" i="12"/>
  <c r="I149" i="12"/>
  <c r="J149" i="12"/>
  <c r="K149" i="12"/>
  <c r="L149" i="12"/>
  <c r="M149" i="12"/>
  <c r="N149" i="12"/>
  <c r="O149" i="12"/>
  <c r="P149" i="12"/>
  <c r="Q149" i="12"/>
  <c r="R149" i="12"/>
  <c r="S149" i="12"/>
  <c r="T149" i="12"/>
  <c r="C150" i="12"/>
  <c r="D150" i="12"/>
  <c r="E150" i="12"/>
  <c r="F150" i="12"/>
  <c r="G150" i="12"/>
  <c r="H150" i="12"/>
  <c r="I150" i="12"/>
  <c r="J150" i="12"/>
  <c r="K150" i="12"/>
  <c r="L150" i="12"/>
  <c r="M150" i="12"/>
  <c r="N150" i="12"/>
  <c r="O150" i="12"/>
  <c r="P150" i="12"/>
  <c r="Q150" i="12"/>
  <c r="R150" i="12"/>
  <c r="S150" i="12"/>
  <c r="T150" i="12"/>
  <c r="C151" i="12"/>
  <c r="D151" i="12"/>
  <c r="E151" i="12"/>
  <c r="F151" i="12"/>
  <c r="G151" i="12"/>
  <c r="H151" i="12"/>
  <c r="I151" i="12"/>
  <c r="J151" i="12"/>
  <c r="K151" i="12"/>
  <c r="L151" i="12"/>
  <c r="M151" i="12"/>
  <c r="N151" i="12"/>
  <c r="O151" i="12"/>
  <c r="P151" i="12"/>
  <c r="Q151" i="12"/>
  <c r="R151" i="12"/>
  <c r="S151" i="12"/>
  <c r="T151" i="12"/>
  <c r="C152" i="12"/>
  <c r="D152" i="12"/>
  <c r="E152" i="12"/>
  <c r="F152" i="12"/>
  <c r="G152" i="12"/>
  <c r="H152" i="12"/>
  <c r="I152" i="12"/>
  <c r="J152" i="12"/>
  <c r="K152" i="12"/>
  <c r="L152" i="12"/>
  <c r="M152" i="12"/>
  <c r="N152" i="12"/>
  <c r="O152" i="12"/>
  <c r="P152" i="12"/>
  <c r="Q152" i="12"/>
  <c r="R152" i="12"/>
  <c r="S152" i="12"/>
  <c r="T152" i="12"/>
  <c r="C153" i="12"/>
  <c r="D153" i="12"/>
  <c r="E153" i="12"/>
  <c r="F153" i="12"/>
  <c r="G153" i="12"/>
  <c r="H153" i="12"/>
  <c r="I153" i="12"/>
  <c r="J153" i="12"/>
  <c r="K153" i="12"/>
  <c r="L153" i="12"/>
  <c r="M153" i="12"/>
  <c r="N153" i="12"/>
  <c r="O153" i="12"/>
  <c r="P153" i="12"/>
  <c r="Q153" i="12"/>
  <c r="R153" i="12"/>
  <c r="S153" i="12"/>
  <c r="T153" i="12"/>
  <c r="C154" i="12"/>
  <c r="D154" i="12"/>
  <c r="E154" i="12"/>
  <c r="F154" i="12"/>
  <c r="G154" i="12"/>
  <c r="H154" i="12"/>
  <c r="I154" i="12"/>
  <c r="J154" i="12"/>
  <c r="K154" i="12"/>
  <c r="L154" i="12"/>
  <c r="M154" i="12"/>
  <c r="N154" i="12"/>
  <c r="O154" i="12"/>
  <c r="P154" i="12"/>
  <c r="Q154" i="12"/>
  <c r="R154" i="12"/>
  <c r="S154" i="12"/>
  <c r="T154" i="12"/>
  <c r="C155" i="12"/>
  <c r="D155" i="12"/>
  <c r="E155" i="12"/>
  <c r="F155" i="12"/>
  <c r="G155" i="12"/>
  <c r="H155" i="12"/>
  <c r="I155" i="12"/>
  <c r="J155" i="12"/>
  <c r="K155" i="12"/>
  <c r="L155" i="12"/>
  <c r="M155" i="12"/>
  <c r="N155" i="12"/>
  <c r="O155" i="12"/>
  <c r="P155" i="12"/>
  <c r="Q155" i="12"/>
  <c r="R155" i="12"/>
  <c r="S155" i="12"/>
  <c r="T155" i="12"/>
  <c r="C156" i="12"/>
  <c r="D156" i="12"/>
  <c r="E156" i="12"/>
  <c r="F156" i="12"/>
  <c r="G156" i="12"/>
  <c r="H156" i="12"/>
  <c r="I156" i="12"/>
  <c r="J156" i="12"/>
  <c r="K156" i="12"/>
  <c r="L156" i="12"/>
  <c r="M156" i="12"/>
  <c r="N156" i="12"/>
  <c r="O156" i="12"/>
  <c r="P156" i="12"/>
  <c r="Q156" i="12"/>
  <c r="R156" i="12"/>
  <c r="S156" i="12"/>
  <c r="T156" i="12"/>
  <c r="C157" i="12"/>
  <c r="D157" i="12"/>
  <c r="E157" i="12"/>
  <c r="F157" i="12"/>
  <c r="G157" i="12"/>
  <c r="H157" i="12"/>
  <c r="I157" i="12"/>
  <c r="J157" i="12"/>
  <c r="K157" i="12"/>
  <c r="L157" i="12"/>
  <c r="M157" i="12"/>
  <c r="N157" i="12"/>
  <c r="O157" i="12"/>
  <c r="P157" i="12"/>
  <c r="Q157" i="12"/>
  <c r="R157" i="12"/>
  <c r="S157" i="12"/>
  <c r="T157" i="12"/>
  <c r="C158" i="12"/>
  <c r="D158" i="12"/>
  <c r="E158" i="12"/>
  <c r="F158" i="12"/>
  <c r="G158" i="12"/>
  <c r="H158" i="12"/>
  <c r="I158" i="12"/>
  <c r="J158" i="12"/>
  <c r="K158" i="12"/>
  <c r="L158" i="12"/>
  <c r="M158" i="12"/>
  <c r="N158" i="12"/>
  <c r="O158" i="12"/>
  <c r="P158" i="12"/>
  <c r="Q158" i="12"/>
  <c r="R158" i="12"/>
  <c r="S158" i="12"/>
  <c r="T158" i="12"/>
  <c r="C159" i="12"/>
  <c r="D159" i="12"/>
  <c r="E159" i="12"/>
  <c r="F159" i="12"/>
  <c r="G159" i="12"/>
  <c r="H159" i="12"/>
  <c r="I159" i="12"/>
  <c r="J159" i="12"/>
  <c r="K159" i="12"/>
  <c r="L159" i="12"/>
  <c r="M159" i="12"/>
  <c r="N159" i="12"/>
  <c r="O159" i="12"/>
  <c r="P159" i="12"/>
  <c r="Q159" i="12"/>
  <c r="R159" i="12"/>
  <c r="S159" i="12"/>
  <c r="T159" i="12"/>
  <c r="C160" i="12"/>
  <c r="D160" i="12"/>
  <c r="E160" i="12"/>
  <c r="F160" i="12"/>
  <c r="G160" i="12"/>
  <c r="H160" i="12"/>
  <c r="I160" i="12"/>
  <c r="J160" i="12"/>
  <c r="K160" i="12"/>
  <c r="L160" i="12"/>
  <c r="M160" i="12"/>
  <c r="N160" i="12"/>
  <c r="O160" i="12"/>
  <c r="P160" i="12"/>
  <c r="Q160" i="12"/>
  <c r="R160" i="12"/>
  <c r="S160" i="12"/>
  <c r="T160" i="12"/>
  <c r="C161" i="12"/>
  <c r="D161" i="12"/>
  <c r="E161" i="12"/>
  <c r="F161" i="12"/>
  <c r="G161" i="12"/>
  <c r="H161" i="12"/>
  <c r="I161" i="12"/>
  <c r="J161" i="12"/>
  <c r="K161" i="12"/>
  <c r="L161" i="12"/>
  <c r="M161" i="12"/>
  <c r="N161" i="12"/>
  <c r="O161" i="12"/>
  <c r="P161" i="12"/>
  <c r="Q161" i="12"/>
  <c r="R161" i="12"/>
  <c r="S161" i="12"/>
  <c r="T161" i="12"/>
  <c r="C162" i="12"/>
  <c r="D162" i="12"/>
  <c r="E162" i="12"/>
  <c r="F162" i="12"/>
  <c r="G162" i="12"/>
  <c r="H162" i="12"/>
  <c r="I162" i="12"/>
  <c r="J162" i="12"/>
  <c r="K162" i="12"/>
  <c r="L162" i="12"/>
  <c r="M162" i="12"/>
  <c r="N162" i="12"/>
  <c r="O162" i="12"/>
  <c r="P162" i="12"/>
  <c r="Q162" i="12"/>
  <c r="R162" i="12"/>
  <c r="S162" i="12"/>
  <c r="T162" i="12"/>
  <c r="C163" i="12"/>
  <c r="D163" i="12"/>
  <c r="E163" i="12"/>
  <c r="F163" i="12"/>
  <c r="G163" i="12"/>
  <c r="H163" i="12"/>
  <c r="I163" i="12"/>
  <c r="J163" i="12"/>
  <c r="K163" i="12"/>
  <c r="L163" i="12"/>
  <c r="M163" i="12"/>
  <c r="N163" i="12"/>
  <c r="O163" i="12"/>
  <c r="P163" i="12"/>
  <c r="Q163" i="12"/>
  <c r="R163" i="12"/>
  <c r="S163" i="12"/>
  <c r="T163" i="12"/>
  <c r="C164" i="12"/>
  <c r="D164" i="12"/>
  <c r="E164" i="12"/>
  <c r="F164" i="12"/>
  <c r="G164" i="12"/>
  <c r="H164" i="12"/>
  <c r="I164" i="12"/>
  <c r="J164" i="12"/>
  <c r="K164" i="12"/>
  <c r="L164" i="12"/>
  <c r="M164" i="12"/>
  <c r="N164" i="12"/>
  <c r="O164" i="12"/>
  <c r="P164" i="12"/>
  <c r="Q164" i="12"/>
  <c r="R164" i="12"/>
  <c r="S164" i="12"/>
  <c r="T164" i="12"/>
  <c r="C165" i="12"/>
  <c r="D165" i="12"/>
  <c r="E165" i="12"/>
  <c r="F165" i="12"/>
  <c r="G165" i="12"/>
  <c r="H165" i="12"/>
  <c r="I165" i="12"/>
  <c r="J165" i="12"/>
  <c r="K165" i="12"/>
  <c r="L165" i="12"/>
  <c r="M165" i="12"/>
  <c r="N165" i="12"/>
  <c r="O165" i="12"/>
  <c r="P165" i="12"/>
  <c r="Q165" i="12"/>
  <c r="R165" i="12"/>
  <c r="S165" i="12"/>
  <c r="T165" i="12"/>
  <c r="C166" i="12"/>
  <c r="D166" i="12"/>
  <c r="E166" i="12"/>
  <c r="F166" i="12"/>
  <c r="G166" i="12"/>
  <c r="H166" i="12"/>
  <c r="I166" i="12"/>
  <c r="J166" i="12"/>
  <c r="K166" i="12"/>
  <c r="L166" i="12"/>
  <c r="M166" i="12"/>
  <c r="N166" i="12"/>
  <c r="O166" i="12"/>
  <c r="P166" i="12"/>
  <c r="Q166" i="12"/>
  <c r="R166" i="12"/>
  <c r="S166" i="12"/>
  <c r="T166" i="12"/>
  <c r="C167" i="12"/>
  <c r="D167" i="12"/>
  <c r="E167" i="12"/>
  <c r="F167" i="12"/>
  <c r="G167" i="12"/>
  <c r="H167" i="12"/>
  <c r="I167" i="12"/>
  <c r="J167" i="12"/>
  <c r="K167" i="12"/>
  <c r="L167" i="12"/>
  <c r="M167" i="12"/>
  <c r="N167" i="12"/>
  <c r="O167" i="12"/>
  <c r="P167" i="12"/>
  <c r="Q167" i="12"/>
  <c r="R167" i="12"/>
  <c r="S167" i="12"/>
  <c r="T167" i="12"/>
  <c r="C168" i="12"/>
  <c r="D168" i="12"/>
  <c r="E168" i="12"/>
  <c r="F168" i="12"/>
  <c r="G168" i="12"/>
  <c r="H168" i="12"/>
  <c r="I168" i="12"/>
  <c r="J168" i="12"/>
  <c r="K168" i="12"/>
  <c r="L168" i="12"/>
  <c r="M168" i="12"/>
  <c r="N168" i="12"/>
  <c r="O168" i="12"/>
  <c r="P168" i="12"/>
  <c r="Q168" i="12"/>
  <c r="R168" i="12"/>
  <c r="S168" i="12"/>
  <c r="T168" i="12"/>
  <c r="C169" i="12"/>
  <c r="D169" i="12"/>
  <c r="E169" i="12"/>
  <c r="F169" i="12"/>
  <c r="G169" i="12"/>
  <c r="H169" i="12"/>
  <c r="I169" i="12"/>
  <c r="J169" i="12"/>
  <c r="K169" i="12"/>
  <c r="L169" i="12"/>
  <c r="M169" i="12"/>
  <c r="N169" i="12"/>
  <c r="O169" i="12"/>
  <c r="P169" i="12"/>
  <c r="Q169" i="12"/>
  <c r="R169" i="12"/>
  <c r="S169" i="12"/>
  <c r="T169" i="12"/>
  <c r="C170" i="12"/>
  <c r="D170" i="12"/>
  <c r="E170" i="12"/>
  <c r="F170" i="12"/>
  <c r="G170" i="12"/>
  <c r="H170" i="12"/>
  <c r="I170" i="12"/>
  <c r="J170" i="12"/>
  <c r="K170" i="12"/>
  <c r="L170" i="12"/>
  <c r="M170" i="12"/>
  <c r="N170" i="12"/>
  <c r="O170" i="12"/>
  <c r="P170" i="12"/>
  <c r="Q170" i="12"/>
  <c r="R170" i="12"/>
  <c r="S170" i="12"/>
  <c r="T170" i="12"/>
  <c r="C171" i="12"/>
  <c r="D171" i="12"/>
  <c r="E171" i="12"/>
  <c r="F171" i="12"/>
  <c r="G171" i="12"/>
  <c r="H171" i="12"/>
  <c r="I171" i="12"/>
  <c r="J171" i="12"/>
  <c r="K171" i="12"/>
  <c r="L171" i="12"/>
  <c r="M171" i="12"/>
  <c r="N171" i="12"/>
  <c r="O171" i="12"/>
  <c r="P171" i="12"/>
  <c r="Q171" i="12"/>
  <c r="R171" i="12"/>
  <c r="S171" i="12"/>
  <c r="T171" i="12"/>
  <c r="C172" i="12"/>
  <c r="D172" i="12"/>
  <c r="E172" i="12"/>
  <c r="F172" i="12"/>
  <c r="G172" i="12"/>
  <c r="H172" i="12"/>
  <c r="I172" i="12"/>
  <c r="J172" i="12"/>
  <c r="K172" i="12"/>
  <c r="L172" i="12"/>
  <c r="M172" i="12"/>
  <c r="N172" i="12"/>
  <c r="O172" i="12"/>
  <c r="P172" i="12"/>
  <c r="Q172" i="12"/>
  <c r="R172" i="12"/>
  <c r="S172" i="12"/>
  <c r="T172" i="12"/>
  <c r="C173" i="12"/>
  <c r="D173" i="12"/>
  <c r="E173" i="12"/>
  <c r="F173" i="12"/>
  <c r="G173" i="12"/>
  <c r="H173" i="12"/>
  <c r="I173" i="12"/>
  <c r="J173" i="12"/>
  <c r="K173" i="12"/>
  <c r="L173" i="12"/>
  <c r="M173" i="12"/>
  <c r="N173" i="12"/>
  <c r="O173" i="12"/>
  <c r="P173" i="12"/>
  <c r="Q173" i="12"/>
  <c r="R173" i="12"/>
  <c r="S173" i="12"/>
  <c r="T173" i="12"/>
  <c r="C174" i="12"/>
  <c r="D174" i="12"/>
  <c r="E174" i="12"/>
  <c r="F174" i="12"/>
  <c r="G174" i="12"/>
  <c r="H174" i="12"/>
  <c r="I174" i="12"/>
  <c r="J174" i="12"/>
  <c r="K174" i="12"/>
  <c r="L174" i="12"/>
  <c r="M174" i="12"/>
  <c r="N174" i="12"/>
  <c r="O174" i="12"/>
  <c r="P174" i="12"/>
  <c r="Q174" i="12"/>
  <c r="R174" i="12"/>
  <c r="S174" i="12"/>
  <c r="T174" i="12"/>
  <c r="C175" i="12"/>
  <c r="D175" i="12"/>
  <c r="E175" i="12"/>
  <c r="F175" i="12"/>
  <c r="G175" i="12"/>
  <c r="H175" i="12"/>
  <c r="I175" i="12"/>
  <c r="J175" i="12"/>
  <c r="K175" i="12"/>
  <c r="L175" i="12"/>
  <c r="M175" i="12"/>
  <c r="N175" i="12"/>
  <c r="O175" i="12"/>
  <c r="P175" i="12"/>
  <c r="Q175" i="12"/>
  <c r="R175" i="12"/>
  <c r="S175" i="12"/>
  <c r="T175" i="12"/>
  <c r="C176" i="12"/>
  <c r="D176" i="12"/>
  <c r="E176" i="12"/>
  <c r="F176" i="12"/>
  <c r="G176" i="12"/>
  <c r="H176" i="12"/>
  <c r="I176" i="12"/>
  <c r="J176" i="12"/>
  <c r="K176" i="12"/>
  <c r="L176" i="12"/>
  <c r="M176" i="12"/>
  <c r="N176" i="12"/>
  <c r="O176" i="12"/>
  <c r="P176" i="12"/>
  <c r="Q176" i="12"/>
  <c r="R176" i="12"/>
  <c r="S176" i="12"/>
  <c r="T176" i="12"/>
  <c r="C177" i="12"/>
  <c r="D177" i="12"/>
  <c r="E177" i="12"/>
  <c r="F177" i="12"/>
  <c r="G177" i="12"/>
  <c r="H177" i="12"/>
  <c r="I177" i="12"/>
  <c r="J177" i="12"/>
  <c r="K177" i="12"/>
  <c r="L177" i="12"/>
  <c r="M177" i="12"/>
  <c r="N177" i="12"/>
  <c r="O177" i="12"/>
  <c r="P177" i="12"/>
  <c r="Q177" i="12"/>
  <c r="R177" i="12"/>
  <c r="S177" i="12"/>
  <c r="T177" i="12"/>
  <c r="C178" i="12"/>
  <c r="D178" i="12"/>
  <c r="E178" i="12"/>
  <c r="F178" i="12"/>
  <c r="G178" i="12"/>
  <c r="H178" i="12"/>
  <c r="I178" i="12"/>
  <c r="J178" i="12"/>
  <c r="K178" i="12"/>
  <c r="L178" i="12"/>
  <c r="M178" i="12"/>
  <c r="N178" i="12"/>
  <c r="O178" i="12"/>
  <c r="P178" i="12"/>
  <c r="Q178" i="12"/>
  <c r="R178" i="12"/>
  <c r="S178" i="12"/>
  <c r="T178" i="12"/>
  <c r="C179" i="12"/>
  <c r="D179" i="12"/>
  <c r="E179" i="12"/>
  <c r="F179" i="12"/>
  <c r="G179" i="12"/>
  <c r="H179" i="12"/>
  <c r="I179" i="12"/>
  <c r="J179" i="12"/>
  <c r="K179" i="12"/>
  <c r="L179" i="12"/>
  <c r="M179" i="12"/>
  <c r="N179" i="12"/>
  <c r="O179" i="12"/>
  <c r="P179" i="12"/>
  <c r="Q179" i="12"/>
  <c r="R179" i="12"/>
  <c r="S179" i="12"/>
  <c r="T179" i="12"/>
  <c r="C180" i="12"/>
  <c r="D180" i="12"/>
  <c r="E180" i="12"/>
  <c r="F180" i="12"/>
  <c r="G180" i="12"/>
  <c r="H180" i="12"/>
  <c r="I180" i="12"/>
  <c r="J180" i="12"/>
  <c r="K180" i="12"/>
  <c r="L180" i="12"/>
  <c r="M180" i="12"/>
  <c r="N180" i="12"/>
  <c r="O180" i="12"/>
  <c r="P180" i="12"/>
  <c r="Q180" i="12"/>
  <c r="R180" i="12"/>
  <c r="S180" i="12"/>
  <c r="T180" i="12"/>
  <c r="C181" i="12"/>
  <c r="D181" i="12"/>
  <c r="E181" i="12"/>
  <c r="F181" i="12"/>
  <c r="G181" i="12"/>
  <c r="H181" i="12"/>
  <c r="I181" i="12"/>
  <c r="J181" i="12"/>
  <c r="K181" i="12"/>
  <c r="L181" i="12"/>
  <c r="M181" i="12"/>
  <c r="N181" i="12"/>
  <c r="O181" i="12"/>
  <c r="P181" i="12"/>
  <c r="Q181" i="12"/>
  <c r="R181" i="12"/>
  <c r="S181" i="12"/>
  <c r="T181" i="12"/>
  <c r="C182" i="12"/>
  <c r="D182" i="12"/>
  <c r="E182" i="12"/>
  <c r="F182" i="12"/>
  <c r="G182" i="12"/>
  <c r="H182" i="12"/>
  <c r="I182" i="12"/>
  <c r="J182" i="12"/>
  <c r="K182" i="12"/>
  <c r="L182" i="12"/>
  <c r="M182" i="12"/>
  <c r="N182" i="12"/>
  <c r="O182" i="12"/>
  <c r="P182" i="12"/>
  <c r="Q182" i="12"/>
  <c r="R182" i="12"/>
  <c r="S182" i="12"/>
  <c r="T182" i="12"/>
  <c r="C183" i="12"/>
  <c r="D183" i="12"/>
  <c r="E183" i="12"/>
  <c r="F183" i="12"/>
  <c r="G183" i="12"/>
  <c r="H183" i="12"/>
  <c r="I183" i="12"/>
  <c r="J183" i="12"/>
  <c r="K183" i="12"/>
  <c r="L183" i="12"/>
  <c r="M183" i="12"/>
  <c r="N183" i="12"/>
  <c r="O183" i="12"/>
  <c r="P183" i="12"/>
  <c r="Q183" i="12"/>
  <c r="R183" i="12"/>
  <c r="S183" i="12"/>
  <c r="T183" i="12"/>
  <c r="C184" i="12"/>
  <c r="D184" i="12"/>
  <c r="E184" i="12"/>
  <c r="F184" i="12"/>
  <c r="G184" i="12"/>
  <c r="H184" i="12"/>
  <c r="I184" i="12"/>
  <c r="J184" i="12"/>
  <c r="K184" i="12"/>
  <c r="L184" i="12"/>
  <c r="M184" i="12"/>
  <c r="N184" i="12"/>
  <c r="O184" i="12"/>
  <c r="P184" i="12"/>
  <c r="Q184" i="12"/>
  <c r="R184" i="12"/>
  <c r="S184" i="12"/>
  <c r="T184" i="12"/>
  <c r="C185" i="12"/>
  <c r="D185" i="12"/>
  <c r="E185" i="12"/>
  <c r="F185" i="12"/>
  <c r="G185" i="12"/>
  <c r="H185" i="12"/>
  <c r="I185" i="12"/>
  <c r="J185" i="12"/>
  <c r="K185" i="12"/>
  <c r="L185" i="12"/>
  <c r="M185" i="12"/>
  <c r="N185" i="12"/>
  <c r="O185" i="12"/>
  <c r="P185" i="12"/>
  <c r="Q185" i="12"/>
  <c r="R185" i="12"/>
  <c r="S185" i="12"/>
  <c r="T185" i="12"/>
  <c r="C186" i="12"/>
  <c r="D186" i="12"/>
  <c r="E186" i="12"/>
  <c r="F186" i="12"/>
  <c r="G186" i="12"/>
  <c r="H186" i="12"/>
  <c r="I186" i="12"/>
  <c r="J186" i="12"/>
  <c r="K186" i="12"/>
  <c r="L186" i="12"/>
  <c r="M186" i="12"/>
  <c r="N186" i="12"/>
  <c r="O186" i="12"/>
  <c r="P186" i="12"/>
  <c r="Q186" i="12"/>
  <c r="R186" i="12"/>
  <c r="S186" i="12"/>
  <c r="T186" i="12"/>
  <c r="C187" i="12"/>
  <c r="D187" i="12"/>
  <c r="E187" i="12"/>
  <c r="F187" i="12"/>
  <c r="G187" i="12"/>
  <c r="H187" i="12"/>
  <c r="I187" i="12"/>
  <c r="J187" i="12"/>
  <c r="K187" i="12"/>
  <c r="L187" i="12"/>
  <c r="M187" i="12"/>
  <c r="N187" i="12"/>
  <c r="O187" i="12"/>
  <c r="P187" i="12"/>
  <c r="Q187" i="12"/>
  <c r="R187" i="12"/>
  <c r="S187" i="12"/>
  <c r="T187" i="12"/>
  <c r="C188" i="12"/>
  <c r="D188" i="12"/>
  <c r="E188" i="12"/>
  <c r="F188" i="12"/>
  <c r="G188" i="12"/>
  <c r="H188" i="12"/>
  <c r="I188" i="12"/>
  <c r="J188" i="12"/>
  <c r="K188" i="12"/>
  <c r="L188" i="12"/>
  <c r="M188" i="12"/>
  <c r="N188" i="12"/>
  <c r="O188" i="12"/>
  <c r="P188" i="12"/>
  <c r="Q188" i="12"/>
  <c r="R188" i="12"/>
  <c r="S188" i="12"/>
  <c r="T188" i="12"/>
  <c r="C189" i="12"/>
  <c r="D189" i="12"/>
  <c r="E189" i="12"/>
  <c r="F189" i="12"/>
  <c r="G189" i="12"/>
  <c r="H189" i="12"/>
  <c r="I189" i="12"/>
  <c r="J189" i="12"/>
  <c r="K189" i="12"/>
  <c r="L189" i="12"/>
  <c r="M189" i="12"/>
  <c r="N189" i="12"/>
  <c r="O189" i="12"/>
  <c r="P189" i="12"/>
  <c r="Q189" i="12"/>
  <c r="R189" i="12"/>
  <c r="S189" i="12"/>
  <c r="T189" i="12"/>
  <c r="C190" i="12"/>
  <c r="D190" i="12"/>
  <c r="E190" i="12"/>
  <c r="F190" i="12"/>
  <c r="G190" i="12"/>
  <c r="H190" i="12"/>
  <c r="I190" i="12"/>
  <c r="J190" i="12"/>
  <c r="K190" i="12"/>
  <c r="L190" i="12"/>
  <c r="M190" i="12"/>
  <c r="N190" i="12"/>
  <c r="O190" i="12"/>
  <c r="P190" i="12"/>
  <c r="Q190" i="12"/>
  <c r="R190" i="12"/>
  <c r="S190" i="12"/>
  <c r="T190" i="12"/>
  <c r="C191" i="12"/>
  <c r="D191" i="12"/>
  <c r="E191" i="12"/>
  <c r="F191" i="12"/>
  <c r="G191" i="12"/>
  <c r="H191" i="12"/>
  <c r="I191" i="12"/>
  <c r="J191" i="12"/>
  <c r="K191" i="12"/>
  <c r="L191" i="12"/>
  <c r="M191" i="12"/>
  <c r="N191" i="12"/>
  <c r="O191" i="12"/>
  <c r="P191" i="12"/>
  <c r="Q191" i="12"/>
  <c r="R191" i="12"/>
  <c r="S191" i="12"/>
  <c r="T191" i="12"/>
  <c r="C192" i="12"/>
  <c r="D192" i="12"/>
  <c r="E192" i="12"/>
  <c r="F192" i="12"/>
  <c r="G192" i="12"/>
  <c r="H192" i="12"/>
  <c r="I192" i="12"/>
  <c r="J192" i="12"/>
  <c r="K192" i="12"/>
  <c r="L192" i="12"/>
  <c r="M192" i="12"/>
  <c r="N192" i="12"/>
  <c r="O192" i="12"/>
  <c r="P192" i="12"/>
  <c r="Q192" i="12"/>
  <c r="R192" i="12"/>
  <c r="S192" i="12"/>
  <c r="T192" i="12"/>
  <c r="C193" i="12"/>
  <c r="D193" i="12"/>
  <c r="E193" i="12"/>
  <c r="F193" i="12"/>
  <c r="G193" i="12"/>
  <c r="H193" i="12"/>
  <c r="I193" i="12"/>
  <c r="J193" i="12"/>
  <c r="K193" i="12"/>
  <c r="L193" i="12"/>
  <c r="M193" i="12"/>
  <c r="N193" i="12"/>
  <c r="O193" i="12"/>
  <c r="P193" i="12"/>
  <c r="Q193" i="12"/>
  <c r="R193" i="12"/>
  <c r="S193" i="12"/>
  <c r="T193" i="12"/>
  <c r="C194" i="12"/>
  <c r="D194" i="12"/>
  <c r="E194" i="12"/>
  <c r="F194" i="12"/>
  <c r="G194" i="12"/>
  <c r="H194" i="12"/>
  <c r="I194" i="12"/>
  <c r="J194" i="12"/>
  <c r="K194" i="12"/>
  <c r="L194" i="12"/>
  <c r="M194" i="12"/>
  <c r="N194" i="12"/>
  <c r="O194" i="12"/>
  <c r="P194" i="12"/>
  <c r="Q194" i="12"/>
  <c r="R194" i="12"/>
  <c r="S194" i="12"/>
  <c r="T194" i="12"/>
  <c r="C195" i="12"/>
  <c r="D195" i="12"/>
  <c r="E195" i="12"/>
  <c r="F195" i="12"/>
  <c r="G195" i="12"/>
  <c r="H195" i="12"/>
  <c r="I195" i="12"/>
  <c r="J195" i="12"/>
  <c r="K195" i="12"/>
  <c r="L195" i="12"/>
  <c r="M195" i="12"/>
  <c r="N195" i="12"/>
  <c r="O195" i="12"/>
  <c r="P195" i="12"/>
  <c r="Q195" i="12"/>
  <c r="R195" i="12"/>
  <c r="S195" i="12"/>
  <c r="T195" i="12"/>
  <c r="C196" i="12"/>
  <c r="D196" i="12"/>
  <c r="E196" i="12"/>
  <c r="F196" i="12"/>
  <c r="G196" i="12"/>
  <c r="H196" i="12"/>
  <c r="I196" i="12"/>
  <c r="J196" i="12"/>
  <c r="K196" i="12"/>
  <c r="L196" i="12"/>
  <c r="M196" i="12"/>
  <c r="N196" i="12"/>
  <c r="O196" i="12"/>
  <c r="P196" i="12"/>
  <c r="Q196" i="12"/>
  <c r="R196" i="12"/>
  <c r="S196" i="12"/>
  <c r="T196" i="12"/>
  <c r="C197" i="12"/>
  <c r="D197" i="12"/>
  <c r="E197" i="12"/>
  <c r="F197" i="12"/>
  <c r="G197" i="12"/>
  <c r="H197" i="12"/>
  <c r="I197" i="12"/>
  <c r="J197" i="12"/>
  <c r="K197" i="12"/>
  <c r="L197" i="12"/>
  <c r="M197" i="12"/>
  <c r="N197" i="12"/>
  <c r="O197" i="12"/>
  <c r="P197" i="12"/>
  <c r="Q197" i="12"/>
  <c r="R197" i="12"/>
  <c r="S197" i="12"/>
  <c r="T197" i="12"/>
  <c r="C198" i="12"/>
  <c r="D198" i="12"/>
  <c r="E198" i="12"/>
  <c r="F198" i="12"/>
  <c r="G198" i="12"/>
  <c r="H198" i="12"/>
  <c r="I198" i="12"/>
  <c r="J198" i="12"/>
  <c r="K198" i="12"/>
  <c r="L198" i="12"/>
  <c r="M198" i="12"/>
  <c r="N198" i="12"/>
  <c r="O198" i="12"/>
  <c r="P198" i="12"/>
  <c r="Q198" i="12"/>
  <c r="R198" i="12"/>
  <c r="S198" i="12"/>
  <c r="T198" i="12"/>
  <c r="C199" i="12"/>
  <c r="D199" i="12"/>
  <c r="E199" i="12"/>
  <c r="F199" i="12"/>
  <c r="G199" i="12"/>
  <c r="H199" i="12"/>
  <c r="I199" i="12"/>
  <c r="J199" i="12"/>
  <c r="K199" i="12"/>
  <c r="L199" i="12"/>
  <c r="M199" i="12"/>
  <c r="N199" i="12"/>
  <c r="O199" i="12"/>
  <c r="P199" i="12"/>
  <c r="Q199" i="12"/>
  <c r="R199" i="12"/>
  <c r="S199" i="12"/>
  <c r="T199" i="12"/>
  <c r="C200" i="12"/>
  <c r="D200" i="12"/>
  <c r="E200" i="12"/>
  <c r="F200" i="12"/>
  <c r="G200" i="12"/>
  <c r="H200" i="12"/>
  <c r="I200" i="12"/>
  <c r="J200" i="12"/>
  <c r="K200" i="12"/>
  <c r="L200" i="12"/>
  <c r="M200" i="12"/>
  <c r="N200" i="12"/>
  <c r="O200" i="12"/>
  <c r="P200" i="12"/>
  <c r="Q200" i="12"/>
  <c r="R200" i="12"/>
  <c r="S200" i="12"/>
  <c r="T200" i="12"/>
  <c r="C201" i="12"/>
  <c r="D201" i="12"/>
  <c r="E201" i="12"/>
  <c r="F201" i="12"/>
  <c r="G201" i="12"/>
  <c r="H201" i="12"/>
  <c r="I201" i="12"/>
  <c r="J201" i="12"/>
  <c r="K201" i="12"/>
  <c r="L201" i="12"/>
  <c r="M201" i="12"/>
  <c r="N201" i="12"/>
  <c r="O201" i="12"/>
  <c r="P201" i="12"/>
  <c r="Q201" i="12"/>
  <c r="R201" i="12"/>
  <c r="S201" i="12"/>
  <c r="T201" i="12"/>
  <c r="C202" i="12"/>
  <c r="D202" i="12"/>
  <c r="E202" i="12"/>
  <c r="F202" i="12"/>
  <c r="G202" i="12"/>
  <c r="H202" i="12"/>
  <c r="I202" i="12"/>
  <c r="J202" i="12"/>
  <c r="K202" i="12"/>
  <c r="L202" i="12"/>
  <c r="M202" i="12"/>
  <c r="N202" i="12"/>
  <c r="O202" i="12"/>
  <c r="P202" i="12"/>
  <c r="Q202" i="12"/>
  <c r="R202" i="12"/>
  <c r="S202" i="12"/>
  <c r="T202" i="12"/>
  <c r="C203" i="12"/>
  <c r="D203" i="12"/>
  <c r="E203" i="12"/>
  <c r="F203" i="12"/>
  <c r="G203" i="12"/>
  <c r="H203" i="12"/>
  <c r="I203" i="12"/>
  <c r="J203" i="12"/>
  <c r="K203" i="12"/>
  <c r="L203" i="12"/>
  <c r="M203" i="12"/>
  <c r="N203" i="12"/>
  <c r="O203" i="12"/>
  <c r="P203" i="12"/>
  <c r="Q203" i="12"/>
  <c r="R203" i="12"/>
  <c r="S203" i="12"/>
  <c r="T203" i="12"/>
  <c r="C204" i="12"/>
  <c r="D204" i="12"/>
  <c r="E204" i="12"/>
  <c r="F204" i="12"/>
  <c r="G204" i="12"/>
  <c r="H204" i="12"/>
  <c r="I204" i="12"/>
  <c r="J204" i="12"/>
  <c r="K204" i="12"/>
  <c r="L204" i="12"/>
  <c r="M204" i="12"/>
  <c r="N204" i="12"/>
  <c r="O204" i="12"/>
  <c r="P204" i="12"/>
  <c r="Q204" i="12"/>
  <c r="R204" i="12"/>
  <c r="S204" i="12"/>
  <c r="T204" i="12"/>
  <c r="C205" i="12"/>
  <c r="D205" i="12"/>
  <c r="E205" i="12"/>
  <c r="F205" i="12"/>
  <c r="G205" i="12"/>
  <c r="H205" i="12"/>
  <c r="I205" i="12"/>
  <c r="J205" i="12"/>
  <c r="K205" i="12"/>
  <c r="L205" i="12"/>
  <c r="M205" i="12"/>
  <c r="N205" i="12"/>
  <c r="O205" i="12"/>
  <c r="P205" i="12"/>
  <c r="Q205" i="12"/>
  <c r="R205" i="12"/>
  <c r="S205" i="12"/>
  <c r="T205" i="12"/>
  <c r="C206" i="12"/>
  <c r="D206" i="12"/>
  <c r="E206" i="12"/>
  <c r="F206" i="12"/>
  <c r="G206" i="12"/>
  <c r="H206" i="12"/>
  <c r="I206" i="12"/>
  <c r="J206" i="12"/>
  <c r="K206" i="12"/>
  <c r="L206" i="12"/>
  <c r="M206" i="12"/>
  <c r="N206" i="12"/>
  <c r="O206" i="12"/>
  <c r="P206" i="12"/>
  <c r="Q206" i="12"/>
  <c r="R206" i="12"/>
  <c r="S206" i="12"/>
  <c r="T206" i="12"/>
  <c r="C207" i="12"/>
  <c r="D207" i="12"/>
  <c r="E207" i="12"/>
  <c r="F207" i="12"/>
  <c r="G207" i="12"/>
  <c r="H207" i="12"/>
  <c r="I207" i="12"/>
  <c r="J207" i="12"/>
  <c r="K207" i="12"/>
  <c r="L207" i="12"/>
  <c r="M207" i="12"/>
  <c r="N207" i="12"/>
  <c r="O207" i="12"/>
  <c r="P207" i="12"/>
  <c r="Q207" i="12"/>
  <c r="R207" i="12"/>
  <c r="S207" i="12"/>
  <c r="T207" i="12"/>
  <c r="C208" i="12"/>
  <c r="D208" i="12"/>
  <c r="E208" i="12"/>
  <c r="F208" i="12"/>
  <c r="G208" i="12"/>
  <c r="H208" i="12"/>
  <c r="I208" i="12"/>
  <c r="J208" i="12"/>
  <c r="K208" i="12"/>
  <c r="L208" i="12"/>
  <c r="M208" i="12"/>
  <c r="N208" i="12"/>
  <c r="O208" i="12"/>
  <c r="P208" i="12"/>
  <c r="Q208" i="12"/>
  <c r="R208" i="12"/>
  <c r="S208" i="12"/>
  <c r="T208" i="12"/>
  <c r="C209" i="12"/>
  <c r="D209" i="12"/>
  <c r="E209" i="12"/>
  <c r="F209" i="12"/>
  <c r="G209" i="12"/>
  <c r="H209" i="12"/>
  <c r="I209" i="12"/>
  <c r="J209" i="12"/>
  <c r="K209" i="12"/>
  <c r="L209" i="12"/>
  <c r="M209" i="12"/>
  <c r="N209" i="12"/>
  <c r="O209" i="12"/>
  <c r="P209" i="12"/>
  <c r="Q209" i="12"/>
  <c r="R209" i="12"/>
  <c r="S209" i="12"/>
  <c r="T209" i="12"/>
  <c r="C210" i="12"/>
  <c r="D210" i="12"/>
  <c r="E210" i="12"/>
  <c r="F210" i="12"/>
  <c r="G210" i="12"/>
  <c r="H210" i="12"/>
  <c r="I210" i="12"/>
  <c r="J210" i="12"/>
  <c r="K210" i="12"/>
  <c r="L210" i="12"/>
  <c r="M210" i="12"/>
  <c r="N210" i="12"/>
  <c r="O210" i="12"/>
  <c r="P210" i="12"/>
  <c r="Q210" i="12"/>
  <c r="R210" i="12"/>
  <c r="S210" i="12"/>
  <c r="T210" i="12"/>
  <c r="C211" i="12"/>
  <c r="D211" i="12"/>
  <c r="E211" i="12"/>
  <c r="F211" i="12"/>
  <c r="G211" i="12"/>
  <c r="H211" i="12"/>
  <c r="I211" i="12"/>
  <c r="J211" i="12"/>
  <c r="K211" i="12"/>
  <c r="L211" i="12"/>
  <c r="M211" i="12"/>
  <c r="N211" i="12"/>
  <c r="O211" i="12"/>
  <c r="P211" i="12"/>
  <c r="Q211" i="12"/>
  <c r="R211" i="12"/>
  <c r="S211" i="12"/>
  <c r="T211" i="12"/>
  <c r="C212" i="12"/>
  <c r="D212" i="12"/>
  <c r="E212" i="12"/>
  <c r="F212" i="12"/>
  <c r="G212" i="12"/>
  <c r="H212" i="12"/>
  <c r="I212" i="12"/>
  <c r="J212" i="12"/>
  <c r="K212" i="12"/>
  <c r="L212" i="12"/>
  <c r="M212" i="12"/>
  <c r="N212" i="12"/>
  <c r="O212" i="12"/>
  <c r="P212" i="12"/>
  <c r="Q212" i="12"/>
  <c r="R212" i="12"/>
  <c r="S212" i="12"/>
  <c r="T212" i="12"/>
  <c r="C213" i="12"/>
  <c r="D213" i="12"/>
  <c r="E213" i="12"/>
  <c r="F213" i="12"/>
  <c r="G213" i="12"/>
  <c r="H213" i="12"/>
  <c r="I213" i="12"/>
  <c r="J213" i="12"/>
  <c r="K213" i="12"/>
  <c r="L213" i="12"/>
  <c r="M213" i="12"/>
  <c r="N213" i="12"/>
  <c r="O213" i="12"/>
  <c r="P213" i="12"/>
  <c r="Q213" i="12"/>
  <c r="R213" i="12"/>
  <c r="S213" i="12"/>
  <c r="T213" i="12"/>
  <c r="C214" i="12"/>
  <c r="D214" i="12"/>
  <c r="E214" i="12"/>
  <c r="F214" i="12"/>
  <c r="G214" i="12"/>
  <c r="H214" i="12"/>
  <c r="I214" i="12"/>
  <c r="J214" i="12"/>
  <c r="K214" i="12"/>
  <c r="L214" i="12"/>
  <c r="M214" i="12"/>
  <c r="N214" i="12"/>
  <c r="O214" i="12"/>
  <c r="P214" i="12"/>
  <c r="Q214" i="12"/>
  <c r="R214" i="12"/>
  <c r="S214" i="12"/>
  <c r="T214" i="12"/>
  <c r="C215" i="12"/>
  <c r="D215" i="12"/>
  <c r="E215" i="12"/>
  <c r="F215" i="12"/>
  <c r="G215" i="12"/>
  <c r="H215" i="12"/>
  <c r="I215" i="12"/>
  <c r="J215" i="12"/>
  <c r="K215" i="12"/>
  <c r="L215" i="12"/>
  <c r="M215" i="12"/>
  <c r="N215" i="12"/>
  <c r="O215" i="12"/>
  <c r="P215" i="12"/>
  <c r="Q215" i="12"/>
  <c r="R215" i="12"/>
  <c r="S215" i="12"/>
  <c r="T215" i="12"/>
  <c r="C216" i="12"/>
  <c r="D216" i="12"/>
  <c r="E216" i="12"/>
  <c r="F216" i="12"/>
  <c r="G216" i="12"/>
  <c r="H216" i="12"/>
  <c r="I216" i="12"/>
  <c r="J216" i="12"/>
  <c r="K216" i="12"/>
  <c r="L216" i="12"/>
  <c r="M216" i="12"/>
  <c r="N216" i="12"/>
  <c r="O216" i="12"/>
  <c r="P216" i="12"/>
  <c r="Q216" i="12"/>
  <c r="R216" i="12"/>
  <c r="S216" i="12"/>
  <c r="T216" i="12"/>
  <c r="C217" i="12"/>
  <c r="D217" i="12"/>
  <c r="E217" i="12"/>
  <c r="F217" i="12"/>
  <c r="G217" i="12"/>
  <c r="H217" i="12"/>
  <c r="I217" i="12"/>
  <c r="J217" i="12"/>
  <c r="K217" i="12"/>
  <c r="L217" i="12"/>
  <c r="M217" i="12"/>
  <c r="N217" i="12"/>
  <c r="O217" i="12"/>
  <c r="P217" i="12"/>
  <c r="Q217" i="12"/>
  <c r="R217" i="12"/>
  <c r="S217" i="12"/>
  <c r="T217" i="12"/>
  <c r="C218" i="12"/>
  <c r="D218" i="12"/>
  <c r="E218" i="12"/>
  <c r="F218" i="12"/>
  <c r="G218" i="12"/>
  <c r="H218" i="12"/>
  <c r="I218" i="12"/>
  <c r="J218" i="12"/>
  <c r="K218" i="12"/>
  <c r="L218" i="12"/>
  <c r="M218" i="12"/>
  <c r="N218" i="12"/>
  <c r="O218" i="12"/>
  <c r="P218" i="12"/>
  <c r="Q218" i="12"/>
  <c r="R218" i="12"/>
  <c r="S218" i="12"/>
  <c r="T218" i="12"/>
  <c r="C219" i="12"/>
  <c r="D219" i="12"/>
  <c r="E219" i="12"/>
  <c r="F219" i="12"/>
  <c r="G219" i="12"/>
  <c r="H219" i="12"/>
  <c r="I219" i="12"/>
  <c r="J219" i="12"/>
  <c r="K219" i="12"/>
  <c r="L219" i="12"/>
  <c r="M219" i="12"/>
  <c r="N219" i="12"/>
  <c r="O219" i="12"/>
  <c r="P219" i="12"/>
  <c r="Q219" i="12"/>
  <c r="R219" i="12"/>
  <c r="S219" i="12"/>
  <c r="T219" i="12"/>
  <c r="C220" i="12"/>
  <c r="D220" i="12"/>
  <c r="E220" i="12"/>
  <c r="F220" i="12"/>
  <c r="G220" i="12"/>
  <c r="H220" i="12"/>
  <c r="I220" i="12"/>
  <c r="J220" i="12"/>
  <c r="K220" i="12"/>
  <c r="L220" i="12"/>
  <c r="M220" i="12"/>
  <c r="N220" i="12"/>
  <c r="O220" i="12"/>
  <c r="P220" i="12"/>
  <c r="Q220" i="12"/>
  <c r="R220" i="12"/>
  <c r="S220" i="12"/>
  <c r="T220" i="12"/>
  <c r="C221" i="12"/>
  <c r="D221" i="12"/>
  <c r="E221" i="12"/>
  <c r="F221" i="12"/>
  <c r="G221" i="12"/>
  <c r="H221" i="12"/>
  <c r="I221" i="12"/>
  <c r="J221" i="12"/>
  <c r="K221" i="12"/>
  <c r="L221" i="12"/>
  <c r="M221" i="12"/>
  <c r="N221" i="12"/>
  <c r="O221" i="12"/>
  <c r="P221" i="12"/>
  <c r="Q221" i="12"/>
  <c r="R221" i="12"/>
  <c r="S221" i="12"/>
  <c r="T221" i="12"/>
  <c r="C222" i="12"/>
  <c r="D222" i="12"/>
  <c r="E222" i="12"/>
  <c r="F222" i="12"/>
  <c r="G222" i="12"/>
  <c r="H222" i="12"/>
  <c r="I222" i="12"/>
  <c r="J222" i="12"/>
  <c r="K222" i="12"/>
  <c r="L222" i="12"/>
  <c r="M222" i="12"/>
  <c r="N222" i="12"/>
  <c r="O222" i="12"/>
  <c r="P222" i="12"/>
  <c r="Q222" i="12"/>
  <c r="R222" i="12"/>
  <c r="S222" i="12"/>
  <c r="T222" i="12"/>
  <c r="C223" i="12"/>
  <c r="D223" i="12"/>
  <c r="E223" i="12"/>
  <c r="F223" i="12"/>
  <c r="G223" i="12"/>
  <c r="H223" i="12"/>
  <c r="I223" i="12"/>
  <c r="J223" i="12"/>
  <c r="K223" i="12"/>
  <c r="L223" i="12"/>
  <c r="M223" i="12"/>
  <c r="N223" i="12"/>
  <c r="O223" i="12"/>
  <c r="P223" i="12"/>
  <c r="Q223" i="12"/>
  <c r="R223" i="12"/>
  <c r="S223" i="12"/>
  <c r="T223" i="12"/>
  <c r="C224" i="12"/>
  <c r="D224" i="12"/>
  <c r="E224" i="12"/>
  <c r="F224" i="12"/>
  <c r="G224" i="12"/>
  <c r="H224" i="12"/>
  <c r="I224" i="12"/>
  <c r="J224" i="12"/>
  <c r="K224" i="12"/>
  <c r="L224" i="12"/>
  <c r="M224" i="12"/>
  <c r="N224" i="12"/>
  <c r="O224" i="12"/>
  <c r="P224" i="12"/>
  <c r="Q224" i="12"/>
  <c r="R224" i="12"/>
  <c r="S224" i="12"/>
  <c r="T224" i="12"/>
  <c r="C225" i="12"/>
  <c r="D225" i="12"/>
  <c r="E225" i="12"/>
  <c r="F225" i="12"/>
  <c r="G225" i="12"/>
  <c r="H225" i="12"/>
  <c r="I225" i="12"/>
  <c r="J225" i="12"/>
  <c r="K225" i="12"/>
  <c r="L225" i="12"/>
  <c r="M225" i="12"/>
  <c r="N225" i="12"/>
  <c r="O225" i="12"/>
  <c r="P225" i="12"/>
  <c r="Q225" i="12"/>
  <c r="R225" i="12"/>
  <c r="S225" i="12"/>
  <c r="T225" i="12"/>
  <c r="C226" i="12"/>
  <c r="D226" i="12"/>
  <c r="E226" i="12"/>
  <c r="F226" i="12"/>
  <c r="G226" i="12"/>
  <c r="H226" i="12"/>
  <c r="I226" i="12"/>
  <c r="J226" i="12"/>
  <c r="K226" i="12"/>
  <c r="L226" i="12"/>
  <c r="M226" i="12"/>
  <c r="N226" i="12"/>
  <c r="O226" i="12"/>
  <c r="P226" i="12"/>
  <c r="Q226" i="12"/>
  <c r="R226" i="12"/>
  <c r="S226" i="12"/>
  <c r="T226" i="12"/>
  <c r="C227" i="12"/>
  <c r="D227" i="12"/>
  <c r="E227" i="12"/>
  <c r="F227" i="12"/>
  <c r="G227" i="12"/>
  <c r="H227" i="12"/>
  <c r="I227" i="12"/>
  <c r="J227" i="12"/>
  <c r="K227" i="12"/>
  <c r="L227" i="12"/>
  <c r="M227" i="12"/>
  <c r="N227" i="12"/>
  <c r="O227" i="12"/>
  <c r="P227" i="12"/>
  <c r="Q227" i="12"/>
  <c r="R227" i="12"/>
  <c r="S227" i="12"/>
  <c r="T227" i="12"/>
  <c r="C228" i="12"/>
  <c r="D228" i="12"/>
  <c r="E228" i="12"/>
  <c r="F228" i="12"/>
  <c r="G228" i="12"/>
  <c r="H228" i="12"/>
  <c r="I228" i="12"/>
  <c r="J228" i="12"/>
  <c r="K228" i="12"/>
  <c r="L228" i="12"/>
  <c r="M228" i="12"/>
  <c r="N228" i="12"/>
  <c r="O228" i="12"/>
  <c r="P228" i="12"/>
  <c r="Q228" i="12"/>
  <c r="R228" i="12"/>
  <c r="S228" i="12"/>
  <c r="T228" i="12"/>
  <c r="D35" i="12"/>
  <c r="E35" i="12"/>
  <c r="F35" i="12"/>
  <c r="G35" i="12"/>
  <c r="H35" i="12"/>
  <c r="I35" i="12"/>
  <c r="J35" i="12"/>
  <c r="K35" i="12"/>
  <c r="L35" i="12"/>
  <c r="M35" i="12"/>
  <c r="N35" i="12"/>
  <c r="O35" i="12"/>
  <c r="P35" i="12"/>
  <c r="Q35" i="12"/>
  <c r="R35" i="12"/>
  <c r="S35" i="12"/>
  <c r="T35" i="12"/>
  <c r="C35" i="12"/>
  <c r="C11" i="12" l="1"/>
  <c r="D11" i="12"/>
  <c r="E11" i="12"/>
  <c r="F11" i="12"/>
  <c r="G11" i="12"/>
  <c r="H11" i="12"/>
  <c r="I11" i="12"/>
  <c r="J11" i="12"/>
  <c r="K11" i="12"/>
  <c r="L11" i="12"/>
  <c r="M11" i="12"/>
  <c r="N11" i="12"/>
  <c r="O11" i="12"/>
  <c r="P11" i="12"/>
  <c r="Q11" i="12"/>
  <c r="C12" i="12"/>
  <c r="D12" i="12"/>
  <c r="E12" i="12"/>
  <c r="F12" i="12"/>
  <c r="G12" i="12"/>
  <c r="H12" i="12"/>
  <c r="I12" i="12"/>
  <c r="J12" i="12"/>
  <c r="K12" i="12"/>
  <c r="L12" i="12"/>
  <c r="M12" i="12"/>
  <c r="N12" i="12"/>
  <c r="O12" i="12"/>
  <c r="P12" i="12"/>
  <c r="Q12" i="12"/>
  <c r="C13" i="12"/>
  <c r="D13" i="12"/>
  <c r="E13" i="12"/>
  <c r="F13" i="12"/>
  <c r="G13" i="12"/>
  <c r="H13" i="12"/>
  <c r="I13" i="12"/>
  <c r="J13" i="12"/>
  <c r="K13" i="12"/>
  <c r="L13" i="12"/>
  <c r="M13" i="12"/>
  <c r="N13" i="12"/>
  <c r="O13" i="12"/>
  <c r="P13" i="12"/>
  <c r="Q13" i="12"/>
  <c r="C14" i="12"/>
  <c r="D14" i="12"/>
  <c r="E14" i="12"/>
  <c r="F14" i="12"/>
  <c r="G14" i="12"/>
  <c r="H14" i="12"/>
  <c r="I14" i="12"/>
  <c r="J14" i="12"/>
  <c r="K14" i="12"/>
  <c r="L14" i="12"/>
  <c r="M14" i="12"/>
  <c r="N14" i="12"/>
  <c r="O14" i="12"/>
  <c r="P14" i="12"/>
  <c r="Q14" i="12"/>
  <c r="C15" i="12"/>
  <c r="D15" i="12"/>
  <c r="E15" i="12"/>
  <c r="F15" i="12"/>
  <c r="G15" i="12"/>
  <c r="H15" i="12"/>
  <c r="I15" i="12"/>
  <c r="J15" i="12"/>
  <c r="K15" i="12"/>
  <c r="L15" i="12"/>
  <c r="M15" i="12"/>
  <c r="N15" i="12"/>
  <c r="O15" i="12"/>
  <c r="P15" i="12"/>
  <c r="Q15" i="12"/>
  <c r="C16" i="12"/>
  <c r="D16" i="12"/>
  <c r="E16" i="12"/>
  <c r="F16" i="12"/>
  <c r="G16" i="12"/>
  <c r="H16" i="12"/>
  <c r="I16" i="12"/>
  <c r="J16" i="12"/>
  <c r="K16" i="12"/>
  <c r="L16" i="12"/>
  <c r="M16" i="12"/>
  <c r="N16" i="12"/>
  <c r="O16" i="12"/>
  <c r="P16" i="12"/>
  <c r="Q16" i="12"/>
  <c r="C17" i="12"/>
  <c r="D17" i="12"/>
  <c r="E17" i="12"/>
  <c r="F17" i="12"/>
  <c r="G17" i="12"/>
  <c r="H17" i="12"/>
  <c r="I17" i="12"/>
  <c r="J17" i="12"/>
  <c r="K17" i="12"/>
  <c r="L17" i="12"/>
  <c r="M17" i="12"/>
  <c r="N17" i="12"/>
  <c r="O17" i="12"/>
  <c r="P17" i="12"/>
  <c r="Q17" i="12"/>
  <c r="C18" i="12"/>
  <c r="D18" i="12"/>
  <c r="E18" i="12"/>
  <c r="F18" i="12"/>
  <c r="G18" i="12"/>
  <c r="H18" i="12"/>
  <c r="I18" i="12"/>
  <c r="J18" i="12"/>
  <c r="K18" i="12"/>
  <c r="L18" i="12"/>
  <c r="M18" i="12"/>
  <c r="N18" i="12"/>
  <c r="O18" i="12"/>
  <c r="P18" i="12"/>
  <c r="Q18" i="12"/>
  <c r="C19" i="12"/>
  <c r="D19" i="12"/>
  <c r="E19" i="12"/>
  <c r="F19" i="12"/>
  <c r="G19" i="12"/>
  <c r="H19" i="12"/>
  <c r="I19" i="12"/>
  <c r="J19" i="12"/>
  <c r="K19" i="12"/>
  <c r="L19" i="12"/>
  <c r="M19" i="12"/>
  <c r="N19" i="12"/>
  <c r="O19" i="12"/>
  <c r="P19" i="12"/>
  <c r="Q19" i="12"/>
  <c r="C20" i="12"/>
  <c r="D20" i="12"/>
  <c r="E20" i="12"/>
  <c r="F20" i="12"/>
  <c r="G20" i="12"/>
  <c r="H20" i="12"/>
  <c r="I20" i="12"/>
  <c r="J20" i="12"/>
  <c r="K20" i="12"/>
  <c r="L20" i="12"/>
  <c r="M20" i="12"/>
  <c r="N20" i="12"/>
  <c r="O20" i="12"/>
  <c r="P20" i="12"/>
  <c r="Q20" i="12"/>
  <c r="C21" i="12"/>
  <c r="D21" i="12"/>
  <c r="E21" i="12"/>
  <c r="F21" i="12"/>
  <c r="G21" i="12"/>
  <c r="H21" i="12"/>
  <c r="I21" i="12"/>
  <c r="J21" i="12"/>
  <c r="K21" i="12"/>
  <c r="L21" i="12"/>
  <c r="M21" i="12"/>
  <c r="N21" i="12"/>
  <c r="O21" i="12"/>
  <c r="P21" i="12"/>
  <c r="Q21" i="12"/>
  <c r="C22" i="12"/>
  <c r="D22" i="12"/>
  <c r="E22" i="12"/>
  <c r="F22" i="12"/>
  <c r="G22" i="12"/>
  <c r="H22" i="12"/>
  <c r="I22" i="12"/>
  <c r="J22" i="12"/>
  <c r="K22" i="12"/>
  <c r="L22" i="12"/>
  <c r="M22" i="12"/>
  <c r="N22" i="12"/>
  <c r="O22" i="12"/>
  <c r="P22" i="12"/>
  <c r="Q22" i="12"/>
  <c r="C23" i="12"/>
  <c r="D23" i="12"/>
  <c r="E23" i="12"/>
  <c r="F23" i="12"/>
  <c r="G23" i="12"/>
  <c r="H23" i="12"/>
  <c r="I23" i="12"/>
  <c r="J23" i="12"/>
  <c r="K23" i="12"/>
  <c r="L23" i="12"/>
  <c r="M23" i="12"/>
  <c r="N23" i="12"/>
  <c r="O23" i="12"/>
  <c r="P23" i="12"/>
  <c r="Q23" i="12"/>
  <c r="C24" i="12"/>
  <c r="D24" i="12"/>
  <c r="E24" i="12"/>
  <c r="F24" i="12"/>
  <c r="G24" i="12"/>
  <c r="H24" i="12"/>
  <c r="I24" i="12"/>
  <c r="J24" i="12"/>
  <c r="K24" i="12"/>
  <c r="L24" i="12"/>
  <c r="M24" i="12"/>
  <c r="N24" i="12"/>
  <c r="O24" i="12"/>
  <c r="P24" i="12"/>
  <c r="Q24" i="12"/>
  <c r="C25" i="12"/>
  <c r="D25" i="12"/>
  <c r="E25" i="12"/>
  <c r="F25" i="12"/>
  <c r="G25" i="12"/>
  <c r="H25" i="12"/>
  <c r="I25" i="12"/>
  <c r="J25" i="12"/>
  <c r="K25" i="12"/>
  <c r="L25" i="12"/>
  <c r="M25" i="12"/>
  <c r="N25" i="12"/>
  <c r="O25" i="12"/>
  <c r="P25" i="12"/>
  <c r="Q25" i="12"/>
  <c r="C26" i="12"/>
  <c r="D26" i="12"/>
  <c r="E26" i="12"/>
  <c r="F26" i="12"/>
  <c r="G26" i="12"/>
  <c r="H26" i="12"/>
  <c r="I26" i="12"/>
  <c r="J26" i="12"/>
  <c r="K26" i="12"/>
  <c r="L26" i="12"/>
  <c r="M26" i="12"/>
  <c r="N26" i="12"/>
  <c r="O26" i="12"/>
  <c r="P26" i="12"/>
  <c r="Q26" i="12"/>
  <c r="D10" i="12"/>
  <c r="E10" i="12"/>
  <c r="F10" i="12"/>
  <c r="G10" i="12"/>
  <c r="H10" i="12"/>
  <c r="I10" i="12"/>
  <c r="J10" i="12"/>
  <c r="K10" i="12"/>
  <c r="L10" i="12"/>
  <c r="M10" i="12"/>
  <c r="N10" i="12"/>
  <c r="O10" i="12"/>
  <c r="P10" i="12"/>
  <c r="Q10" i="12"/>
  <c r="C10" i="12"/>
  <c r="O24" i="7"/>
  <c r="O23" i="7"/>
  <c r="O22" i="7"/>
  <c r="O21" i="7"/>
  <c r="O20" i="7"/>
  <c r="O19" i="7"/>
  <c r="O18" i="7"/>
  <c r="O17" i="7"/>
  <c r="O16" i="7"/>
  <c r="O15" i="7"/>
  <c r="O14" i="7"/>
  <c r="O13" i="7"/>
  <c r="O12" i="7"/>
  <c r="O11" i="7"/>
  <c r="O10" i="7"/>
  <c r="M24" i="7"/>
  <c r="M23" i="7"/>
  <c r="M22" i="7"/>
  <c r="M21" i="7"/>
  <c r="M20" i="7"/>
  <c r="M19" i="7"/>
  <c r="M18" i="7"/>
  <c r="M17" i="7"/>
  <c r="M16" i="7"/>
  <c r="M15" i="7"/>
  <c r="M14" i="7"/>
  <c r="M13" i="7"/>
  <c r="M12" i="7"/>
  <c r="M11" i="7"/>
  <c r="M10" i="7"/>
  <c r="K24" i="7"/>
  <c r="K23" i="7"/>
  <c r="K22" i="7"/>
  <c r="K21" i="7"/>
  <c r="K20" i="7"/>
  <c r="K19" i="7"/>
  <c r="K18" i="7"/>
  <c r="K17" i="7"/>
  <c r="K16" i="7"/>
  <c r="K15" i="7"/>
  <c r="K14" i="7"/>
  <c r="K13" i="7"/>
  <c r="K12" i="7"/>
  <c r="K11" i="7"/>
  <c r="K10" i="7"/>
  <c r="I24" i="7"/>
  <c r="I23" i="7"/>
  <c r="I22" i="7"/>
  <c r="I21" i="7"/>
  <c r="I20" i="7"/>
  <c r="I19" i="7"/>
  <c r="I18" i="7"/>
  <c r="I17" i="7"/>
  <c r="I16" i="7"/>
  <c r="I15" i="7"/>
  <c r="I14" i="7"/>
  <c r="I13" i="7"/>
  <c r="I12" i="7"/>
  <c r="I11" i="7"/>
  <c r="I10" i="7"/>
  <c r="G24" i="7"/>
  <c r="G23" i="7"/>
  <c r="G22" i="7"/>
  <c r="G21" i="7"/>
  <c r="G20" i="7"/>
  <c r="G19" i="7"/>
  <c r="G18" i="7"/>
  <c r="G17" i="7"/>
  <c r="G16" i="7"/>
  <c r="G15" i="7"/>
  <c r="G14" i="7"/>
  <c r="G13" i="7"/>
  <c r="G12" i="7"/>
  <c r="G11" i="7"/>
  <c r="G10" i="7"/>
  <c r="E11" i="7"/>
  <c r="E12" i="7"/>
  <c r="E13" i="7"/>
  <c r="E14" i="7"/>
  <c r="E15" i="7"/>
  <c r="E16" i="7"/>
  <c r="E17" i="7"/>
  <c r="E18" i="7"/>
  <c r="E19" i="7"/>
  <c r="E20" i="7"/>
  <c r="E21" i="7"/>
  <c r="E22" i="7"/>
  <c r="E23" i="7"/>
  <c r="E24" i="7"/>
  <c r="E10" i="7"/>
  <c r="AG243" i="4" l="1"/>
  <c r="AH243" i="4"/>
  <c r="AJ243" i="4"/>
  <c r="AK243" i="4"/>
  <c r="AG244" i="4"/>
  <c r="AH244" i="4"/>
  <c r="AJ244" i="4"/>
  <c r="AK244" i="4"/>
  <c r="AG245" i="4"/>
  <c r="AH245" i="4"/>
  <c r="AJ245" i="4"/>
  <c r="AK245" i="4"/>
  <c r="AG246" i="4"/>
  <c r="AH246" i="4"/>
  <c r="AJ246" i="4"/>
  <c r="AK246" i="4"/>
  <c r="AG247" i="4"/>
  <c r="AH247" i="4"/>
  <c r="AJ247" i="4"/>
  <c r="AK247" i="4"/>
  <c r="AG248" i="4"/>
  <c r="AH248" i="4"/>
  <c r="AJ248" i="4"/>
  <c r="AK248" i="4"/>
  <c r="AG249" i="4"/>
  <c r="AH249" i="4"/>
  <c r="AJ249" i="4"/>
  <c r="AK249" i="4"/>
  <c r="AG250" i="4"/>
  <c r="AH250" i="4"/>
  <c r="AJ250" i="4"/>
  <c r="AK250" i="4"/>
  <c r="AG251" i="4"/>
  <c r="AH251" i="4"/>
  <c r="AJ251" i="4"/>
  <c r="AK251" i="4"/>
  <c r="AG252" i="4"/>
  <c r="AH252" i="4"/>
  <c r="AJ252" i="4"/>
  <c r="AK252" i="4"/>
  <c r="AG253" i="4"/>
  <c r="AH253" i="4"/>
  <c r="AJ253" i="4"/>
  <c r="AK253" i="4"/>
  <c r="AG254" i="4"/>
  <c r="AH254" i="4"/>
  <c r="AJ254" i="4"/>
  <c r="AK254" i="4"/>
  <c r="AG255" i="4"/>
  <c r="AH255" i="4"/>
  <c r="AJ255" i="4"/>
  <c r="AK255" i="4"/>
  <c r="AG256" i="4"/>
  <c r="AH256" i="4"/>
  <c r="AJ256" i="4"/>
  <c r="AK256" i="4"/>
  <c r="AG257" i="4"/>
  <c r="AH257" i="4"/>
  <c r="AJ257" i="4"/>
  <c r="AK257" i="4"/>
  <c r="AG258" i="4"/>
  <c r="AH258" i="4"/>
  <c r="AJ258" i="4"/>
  <c r="AK258" i="4"/>
  <c r="AG259" i="4"/>
  <c r="AH259" i="4"/>
  <c r="AJ259" i="4"/>
  <c r="AK259" i="4"/>
  <c r="AG260" i="4"/>
  <c r="AH260" i="4"/>
  <c r="AJ260" i="4"/>
  <c r="AK260" i="4"/>
  <c r="AG261" i="4"/>
  <c r="AH261" i="4"/>
  <c r="AJ261" i="4"/>
  <c r="AK261" i="4"/>
  <c r="AG262" i="4"/>
  <c r="AH262" i="4"/>
  <c r="AJ262" i="4"/>
  <c r="AK262" i="4"/>
  <c r="AG263" i="4"/>
  <c r="AH263" i="4"/>
  <c r="AJ263" i="4"/>
  <c r="AK263" i="4"/>
  <c r="AG264" i="4"/>
  <c r="AH264" i="4"/>
  <c r="AJ264" i="4"/>
  <c r="AK264" i="4"/>
  <c r="AG265" i="4"/>
  <c r="AH265" i="4"/>
  <c r="AJ265" i="4"/>
  <c r="AK265" i="4"/>
  <c r="AG266" i="4"/>
  <c r="AH266" i="4"/>
  <c r="AJ266" i="4"/>
  <c r="AK266" i="4"/>
  <c r="AG267" i="4"/>
  <c r="AH267" i="4"/>
  <c r="AJ267" i="4"/>
  <c r="AK267" i="4"/>
  <c r="AG268" i="4"/>
  <c r="AH268" i="4"/>
  <c r="AJ268" i="4"/>
  <c r="AK268" i="4"/>
  <c r="AG269" i="4"/>
  <c r="AH269" i="4"/>
  <c r="AJ269" i="4"/>
  <c r="AK269" i="4"/>
  <c r="AG270" i="4"/>
  <c r="AH270" i="4"/>
  <c r="AJ270" i="4"/>
  <c r="AK270" i="4"/>
  <c r="AG271" i="4"/>
  <c r="AH271" i="4"/>
  <c r="AJ271" i="4"/>
  <c r="AK271" i="4"/>
  <c r="AG272" i="4"/>
  <c r="AH272" i="4"/>
  <c r="AJ272" i="4"/>
  <c r="AK272" i="4"/>
  <c r="AG273" i="4"/>
  <c r="AH273" i="4"/>
  <c r="AJ273" i="4"/>
  <c r="AK273" i="4"/>
  <c r="AG274" i="4"/>
  <c r="AH274" i="4"/>
  <c r="AJ274" i="4"/>
  <c r="AK274" i="4"/>
  <c r="AG275" i="4"/>
  <c r="AH275" i="4"/>
  <c r="AJ275" i="4"/>
  <c r="AK275" i="4"/>
  <c r="AG276" i="4"/>
  <c r="AH276" i="4"/>
  <c r="AJ276" i="4"/>
  <c r="AK276" i="4"/>
  <c r="AG277" i="4"/>
  <c r="AH277" i="4"/>
  <c r="AJ277" i="4"/>
  <c r="AK277" i="4"/>
  <c r="AG278" i="4"/>
  <c r="AH278" i="4"/>
  <c r="AJ278" i="4"/>
  <c r="AK278" i="4"/>
  <c r="AG279" i="4"/>
  <c r="AH279" i="4"/>
  <c r="AJ279" i="4"/>
  <c r="AK279" i="4"/>
  <c r="AG280" i="4"/>
  <c r="AH280" i="4"/>
  <c r="AJ280" i="4"/>
  <c r="AK280" i="4"/>
  <c r="AG281" i="4"/>
  <c r="AH281" i="4"/>
  <c r="AJ281" i="4"/>
  <c r="AK281" i="4"/>
  <c r="AG282" i="4"/>
  <c r="AH282" i="4"/>
  <c r="AJ282" i="4"/>
  <c r="AK282" i="4"/>
  <c r="AG283" i="4"/>
  <c r="AH283" i="4"/>
  <c r="AJ283" i="4"/>
  <c r="AK283" i="4"/>
  <c r="AG284" i="4"/>
  <c r="AH284" i="4"/>
  <c r="AJ284" i="4"/>
  <c r="AK284" i="4"/>
  <c r="AG285" i="4"/>
  <c r="AH285" i="4"/>
  <c r="AJ285" i="4"/>
  <c r="AK285" i="4"/>
  <c r="AG286" i="4"/>
  <c r="AH286" i="4"/>
  <c r="AJ286" i="4"/>
  <c r="AK286" i="4"/>
  <c r="AG287" i="4"/>
  <c r="AH287" i="4"/>
  <c r="AJ287" i="4"/>
  <c r="AK287" i="4"/>
  <c r="AG288" i="4"/>
  <c r="AH288" i="4"/>
  <c r="AJ288" i="4"/>
  <c r="AK288" i="4"/>
  <c r="AG289" i="4"/>
  <c r="AH289" i="4"/>
  <c r="AJ289" i="4"/>
  <c r="AK289" i="4"/>
  <c r="AG290" i="4"/>
  <c r="AH290" i="4"/>
  <c r="AJ290" i="4"/>
  <c r="AK290" i="4"/>
  <c r="AG291" i="4"/>
  <c r="AH291" i="4"/>
  <c r="AJ291" i="4"/>
  <c r="AK291" i="4"/>
  <c r="AG292" i="4"/>
  <c r="AH292" i="4"/>
  <c r="AJ292" i="4"/>
  <c r="AK292" i="4"/>
  <c r="AG293" i="4"/>
  <c r="AH293" i="4"/>
  <c r="AJ293" i="4"/>
  <c r="AK293" i="4"/>
  <c r="AG294" i="4"/>
  <c r="AH294" i="4"/>
  <c r="AJ294" i="4"/>
  <c r="AK294" i="4"/>
  <c r="AG295" i="4"/>
  <c r="AH295" i="4"/>
  <c r="AJ295" i="4"/>
  <c r="AK295" i="4"/>
  <c r="AG296" i="4"/>
  <c r="AH296" i="4"/>
  <c r="AJ296" i="4"/>
  <c r="AK296" i="4"/>
  <c r="AG297" i="4"/>
  <c r="AH297" i="4"/>
  <c r="AJ297" i="4"/>
  <c r="AK297" i="4"/>
  <c r="AG298" i="4"/>
  <c r="AH298" i="4"/>
  <c r="AJ298" i="4"/>
  <c r="AK298" i="4"/>
  <c r="AG299" i="4"/>
  <c r="AH299" i="4"/>
  <c r="AJ299" i="4"/>
  <c r="AK299" i="4"/>
  <c r="AG300" i="4"/>
  <c r="AH300" i="4"/>
  <c r="AJ300" i="4"/>
  <c r="AK300" i="4"/>
  <c r="AG301" i="4"/>
  <c r="AH301" i="4"/>
  <c r="AJ301" i="4"/>
  <c r="AK301" i="4"/>
  <c r="AG302" i="4"/>
  <c r="AH302" i="4"/>
  <c r="AJ302" i="4"/>
  <c r="AK302" i="4"/>
  <c r="AG303" i="4"/>
  <c r="AH303" i="4"/>
  <c r="AJ303" i="4"/>
  <c r="AK303" i="4"/>
  <c r="AG304" i="4"/>
  <c r="AH304" i="4"/>
  <c r="AJ304" i="4"/>
  <c r="AK304" i="4"/>
  <c r="AG305" i="4"/>
  <c r="AH305" i="4"/>
  <c r="AJ305" i="4"/>
  <c r="AK305" i="4"/>
  <c r="AG306" i="4"/>
  <c r="AH306" i="4"/>
  <c r="AJ306" i="4"/>
  <c r="AK306" i="4"/>
  <c r="AG307" i="4"/>
  <c r="AH307" i="4"/>
  <c r="AJ307" i="4"/>
  <c r="AK307" i="4"/>
  <c r="AG308" i="4"/>
  <c r="AH308" i="4"/>
  <c r="AJ308" i="4"/>
  <c r="AK308" i="4"/>
  <c r="AG309" i="4"/>
  <c r="AH309" i="4"/>
  <c r="AJ309" i="4"/>
  <c r="AK309" i="4"/>
  <c r="AG310" i="4"/>
  <c r="AH310" i="4"/>
  <c r="AJ310" i="4"/>
  <c r="AK310" i="4"/>
  <c r="AG311" i="4"/>
  <c r="AH311" i="4"/>
  <c r="AJ311" i="4"/>
  <c r="AK311" i="4"/>
  <c r="AG312" i="4"/>
  <c r="AH312" i="4"/>
  <c r="AJ312" i="4"/>
  <c r="AK312" i="4"/>
  <c r="AG313" i="4"/>
  <c r="AH313" i="4"/>
  <c r="AJ313" i="4"/>
  <c r="AK313" i="4"/>
  <c r="AG314" i="4"/>
  <c r="AH314" i="4"/>
  <c r="AJ314" i="4"/>
  <c r="AK314" i="4"/>
  <c r="AG315" i="4"/>
  <c r="AH315" i="4"/>
  <c r="AJ315" i="4"/>
  <c r="AK315" i="4"/>
  <c r="AG316" i="4"/>
  <c r="AH316" i="4"/>
  <c r="AJ316" i="4"/>
  <c r="AK316" i="4"/>
  <c r="AG317" i="4"/>
  <c r="AH317" i="4"/>
  <c r="AJ317" i="4"/>
  <c r="AK317" i="4"/>
  <c r="AG318" i="4"/>
  <c r="AH318" i="4"/>
  <c r="AJ318" i="4"/>
  <c r="AK318" i="4"/>
  <c r="AG319" i="4"/>
  <c r="AH319" i="4"/>
  <c r="AJ319" i="4"/>
  <c r="AK319" i="4"/>
  <c r="AG320" i="4"/>
  <c r="AH320" i="4"/>
  <c r="AJ320" i="4"/>
  <c r="AK320" i="4"/>
  <c r="AG321" i="4"/>
  <c r="AH321" i="4"/>
  <c r="AJ321" i="4"/>
  <c r="AK321" i="4"/>
  <c r="AG322" i="4"/>
  <c r="AH322" i="4"/>
  <c r="AJ322" i="4"/>
  <c r="AK322" i="4"/>
  <c r="AG323" i="4"/>
  <c r="AH323" i="4"/>
  <c r="AJ323" i="4"/>
  <c r="AK323" i="4"/>
  <c r="AG324" i="4"/>
  <c r="AH324" i="4"/>
  <c r="AJ324" i="4"/>
  <c r="AK324" i="4"/>
  <c r="AG325" i="4"/>
  <c r="AH325" i="4"/>
  <c r="AJ325" i="4"/>
  <c r="AK325" i="4"/>
  <c r="AG326" i="4"/>
  <c r="AH326" i="4"/>
  <c r="AJ326" i="4"/>
  <c r="AK326" i="4"/>
  <c r="AG327" i="4"/>
  <c r="AH327" i="4"/>
  <c r="AJ327" i="4"/>
  <c r="AK327" i="4"/>
  <c r="AG328" i="4"/>
  <c r="AH328" i="4"/>
  <c r="AJ328" i="4"/>
  <c r="AK328" i="4"/>
  <c r="AG329" i="4"/>
  <c r="AH329" i="4"/>
  <c r="AJ329" i="4"/>
  <c r="AK329" i="4"/>
  <c r="AG330" i="4"/>
  <c r="AH330" i="4"/>
  <c r="AJ330" i="4"/>
  <c r="AK330" i="4"/>
  <c r="AG331" i="4"/>
  <c r="AH331" i="4"/>
  <c r="AJ331" i="4"/>
  <c r="AK331" i="4"/>
  <c r="AG332" i="4"/>
  <c r="AH332" i="4"/>
  <c r="AJ332" i="4"/>
  <c r="AK332" i="4"/>
  <c r="AG333" i="4"/>
  <c r="AH333" i="4"/>
  <c r="AJ333" i="4"/>
  <c r="AK333" i="4"/>
  <c r="AG334" i="4"/>
  <c r="AH334" i="4"/>
  <c r="AJ334" i="4"/>
  <c r="AK334" i="4"/>
  <c r="AG335" i="4"/>
  <c r="AH335" i="4"/>
  <c r="AJ335" i="4"/>
  <c r="AK335" i="4"/>
  <c r="AG336" i="4"/>
  <c r="AH336" i="4"/>
  <c r="AJ336" i="4"/>
  <c r="AK336" i="4"/>
  <c r="AG337" i="4"/>
  <c r="AH337" i="4"/>
  <c r="AJ337" i="4"/>
  <c r="AK337" i="4"/>
  <c r="AG338" i="4"/>
  <c r="AH338" i="4"/>
  <c r="AJ338" i="4"/>
  <c r="AK338" i="4"/>
  <c r="AG339" i="4"/>
  <c r="AH339" i="4"/>
  <c r="AJ339" i="4"/>
  <c r="AK339" i="4"/>
  <c r="AG340" i="4"/>
  <c r="AH340" i="4"/>
  <c r="AJ340" i="4"/>
  <c r="AK340" i="4"/>
  <c r="AG341" i="4"/>
  <c r="AH341" i="4"/>
  <c r="AJ341" i="4"/>
  <c r="AK341" i="4"/>
  <c r="AG342" i="4"/>
  <c r="AH342" i="4"/>
  <c r="AJ342" i="4"/>
  <c r="AK342" i="4"/>
  <c r="AG343" i="4"/>
  <c r="AH343" i="4"/>
  <c r="AJ343" i="4"/>
  <c r="AK343" i="4"/>
  <c r="AG344" i="4"/>
  <c r="AH344" i="4"/>
  <c r="AJ344" i="4"/>
  <c r="AK344" i="4"/>
  <c r="AG345" i="4"/>
  <c r="AH345" i="4"/>
  <c r="AJ345" i="4"/>
  <c r="AK345" i="4"/>
  <c r="AG346" i="4"/>
  <c r="AH346" i="4"/>
  <c r="AJ346" i="4"/>
  <c r="AK346" i="4"/>
  <c r="AG347" i="4"/>
  <c r="AH347" i="4"/>
  <c r="AJ347" i="4"/>
  <c r="AK347" i="4"/>
  <c r="AG348" i="4"/>
  <c r="AH348" i="4"/>
  <c r="AJ348" i="4"/>
  <c r="AK348" i="4"/>
  <c r="AG349" i="4"/>
  <c r="AH349" i="4"/>
  <c r="AJ349" i="4"/>
  <c r="AK349" i="4"/>
  <c r="AG350" i="4"/>
  <c r="AH350" i="4"/>
  <c r="AJ350" i="4"/>
  <c r="AK350" i="4"/>
  <c r="AG351" i="4"/>
  <c r="AH351" i="4"/>
  <c r="AJ351" i="4"/>
  <c r="AK351" i="4"/>
  <c r="AG352" i="4"/>
  <c r="AH352" i="4"/>
  <c r="AJ352" i="4"/>
  <c r="AK352" i="4"/>
  <c r="AG353" i="4"/>
  <c r="AH353" i="4"/>
  <c r="AJ353" i="4"/>
  <c r="AK353" i="4"/>
  <c r="AG354" i="4"/>
  <c r="AH354" i="4"/>
  <c r="AJ354" i="4"/>
  <c r="AK354" i="4"/>
  <c r="AG355" i="4"/>
  <c r="AH355" i="4"/>
  <c r="AJ355" i="4"/>
  <c r="AK355" i="4"/>
  <c r="AG356" i="4"/>
  <c r="AH356" i="4"/>
  <c r="AJ356" i="4"/>
  <c r="AK356" i="4"/>
  <c r="AG357" i="4"/>
  <c r="AH357" i="4"/>
  <c r="AJ357" i="4"/>
  <c r="AK357" i="4"/>
  <c r="AG358" i="4"/>
  <c r="AH358" i="4"/>
  <c r="AJ358" i="4"/>
  <c r="AK358" i="4"/>
  <c r="AG359" i="4"/>
  <c r="AH359" i="4"/>
  <c r="AJ359" i="4"/>
  <c r="AK359" i="4"/>
  <c r="AG360" i="4"/>
  <c r="AH360" i="4"/>
  <c r="AJ360" i="4"/>
  <c r="AK360" i="4"/>
  <c r="AG361" i="4"/>
  <c r="AH361" i="4"/>
  <c r="AJ361" i="4"/>
  <c r="AK361" i="4"/>
  <c r="AG362" i="4"/>
  <c r="AH362" i="4"/>
  <c r="AJ362" i="4"/>
  <c r="AK362" i="4"/>
  <c r="AG363" i="4"/>
  <c r="AH363" i="4"/>
  <c r="AJ363" i="4"/>
  <c r="AK363" i="4"/>
  <c r="AG364" i="4"/>
  <c r="AH364" i="4"/>
  <c r="AJ364" i="4"/>
  <c r="AK364" i="4"/>
  <c r="AG365" i="4"/>
  <c r="AH365" i="4"/>
  <c r="AJ365" i="4"/>
  <c r="AK365" i="4"/>
  <c r="AG366" i="4"/>
  <c r="AH366" i="4"/>
  <c r="AJ366" i="4"/>
  <c r="AK366" i="4"/>
  <c r="AG367" i="4"/>
  <c r="AH367" i="4"/>
  <c r="AJ367" i="4"/>
  <c r="AK367" i="4"/>
  <c r="AG368" i="4"/>
  <c r="AH368" i="4"/>
  <c r="AJ368" i="4"/>
  <c r="AK368" i="4"/>
  <c r="AG369" i="4"/>
  <c r="AH369" i="4"/>
  <c r="AJ369" i="4"/>
  <c r="AK369" i="4"/>
  <c r="AG370" i="4"/>
  <c r="AH370" i="4"/>
  <c r="AJ370" i="4"/>
  <c r="AK370" i="4"/>
  <c r="AG371" i="4"/>
  <c r="AH371" i="4"/>
  <c r="AJ371" i="4"/>
  <c r="AK371" i="4"/>
  <c r="AG372" i="4"/>
  <c r="AH372" i="4"/>
  <c r="AJ372" i="4"/>
  <c r="AK372" i="4"/>
  <c r="AG373" i="4"/>
  <c r="AH373" i="4"/>
  <c r="AJ373" i="4"/>
  <c r="AK373" i="4"/>
  <c r="AG374" i="4"/>
  <c r="AH374" i="4"/>
  <c r="AJ374" i="4"/>
  <c r="AK374" i="4"/>
  <c r="AG375" i="4"/>
  <c r="AH375" i="4"/>
  <c r="AJ375" i="4"/>
  <c r="AK375" i="4"/>
  <c r="AG376" i="4"/>
  <c r="AH376" i="4"/>
  <c r="AJ376" i="4"/>
  <c r="AK376" i="4"/>
  <c r="AG377" i="4"/>
  <c r="AH377" i="4"/>
  <c r="AJ377" i="4"/>
  <c r="AK377" i="4"/>
  <c r="AG378" i="4"/>
  <c r="AH378" i="4"/>
  <c r="AJ378" i="4"/>
  <c r="AK378" i="4"/>
  <c r="AG379" i="4"/>
  <c r="AH379" i="4"/>
  <c r="AJ379" i="4"/>
  <c r="AK379" i="4"/>
  <c r="AG380" i="4"/>
  <c r="AH380" i="4"/>
  <c r="AJ380" i="4"/>
  <c r="AK380" i="4"/>
  <c r="AG381" i="4"/>
  <c r="AH381" i="4"/>
  <c r="AJ381" i="4"/>
  <c r="AK381" i="4"/>
  <c r="AG382" i="4"/>
  <c r="AH382" i="4"/>
  <c r="AJ382" i="4"/>
  <c r="AK382" i="4"/>
  <c r="AG383" i="4"/>
  <c r="AH383" i="4"/>
  <c r="AJ383" i="4"/>
  <c r="AK383" i="4"/>
  <c r="AG384" i="4"/>
  <c r="AH384" i="4"/>
  <c r="AJ384" i="4"/>
  <c r="AK384" i="4"/>
  <c r="AG385" i="4"/>
  <c r="AH385" i="4"/>
  <c r="AJ385" i="4"/>
  <c r="AK385" i="4"/>
  <c r="AG386" i="4"/>
  <c r="AH386" i="4"/>
  <c r="AJ386" i="4"/>
  <c r="AK386" i="4"/>
  <c r="AG387" i="4"/>
  <c r="AH387" i="4"/>
  <c r="AJ387" i="4"/>
  <c r="AK387" i="4"/>
  <c r="AG388" i="4"/>
  <c r="AH388" i="4"/>
  <c r="AJ388" i="4"/>
  <c r="AK388" i="4"/>
  <c r="AG389" i="4"/>
  <c r="AH389" i="4"/>
  <c r="AJ389" i="4"/>
  <c r="AK389" i="4"/>
  <c r="AG390" i="4"/>
  <c r="AH390" i="4"/>
  <c r="AJ390" i="4"/>
  <c r="AK390" i="4"/>
  <c r="AG391" i="4"/>
  <c r="AH391" i="4"/>
  <c r="AJ391" i="4"/>
  <c r="AK391" i="4"/>
  <c r="AG392" i="4"/>
  <c r="AH392" i="4"/>
  <c r="AJ392" i="4"/>
  <c r="AK392" i="4"/>
  <c r="AG393" i="4"/>
  <c r="AH393" i="4"/>
  <c r="AJ393" i="4"/>
  <c r="AK393" i="4"/>
  <c r="AG394" i="4"/>
  <c r="AH394" i="4"/>
  <c r="AJ394" i="4"/>
  <c r="AK394" i="4"/>
  <c r="AG395" i="4"/>
  <c r="AH395" i="4"/>
  <c r="AJ395" i="4"/>
  <c r="AK395" i="4"/>
  <c r="AG396" i="4"/>
  <c r="AH396" i="4"/>
  <c r="AJ396" i="4"/>
  <c r="AK396" i="4"/>
  <c r="AG397" i="4"/>
  <c r="AH397" i="4"/>
  <c r="AJ397" i="4"/>
  <c r="AK397" i="4"/>
  <c r="AG398" i="4"/>
  <c r="AH398" i="4"/>
  <c r="AJ398" i="4"/>
  <c r="AK398" i="4"/>
  <c r="AG399" i="4"/>
  <c r="AH399" i="4"/>
  <c r="AJ399" i="4"/>
  <c r="AK399" i="4"/>
  <c r="AG400" i="4"/>
  <c r="AH400" i="4"/>
  <c r="AJ400" i="4"/>
  <c r="AK400" i="4"/>
  <c r="AG401" i="4"/>
  <c r="AH401" i="4"/>
  <c r="AJ401" i="4"/>
  <c r="AK401" i="4"/>
  <c r="AG402" i="4"/>
  <c r="AH402" i="4"/>
  <c r="AJ402" i="4"/>
  <c r="AK402" i="4"/>
  <c r="AG403" i="4"/>
  <c r="AH403" i="4"/>
  <c r="AJ403" i="4"/>
  <c r="AK403" i="4"/>
  <c r="AG404" i="4"/>
  <c r="AH404" i="4"/>
  <c r="AJ404" i="4"/>
  <c r="AK404" i="4"/>
  <c r="AG405" i="4"/>
  <c r="AH405" i="4"/>
  <c r="AJ405" i="4"/>
  <c r="AK405" i="4"/>
  <c r="AG406" i="4"/>
  <c r="AH406" i="4"/>
  <c r="AJ406" i="4"/>
  <c r="AK406" i="4"/>
  <c r="AG407" i="4"/>
  <c r="AH407" i="4"/>
  <c r="AJ407" i="4"/>
  <c r="AK407" i="4"/>
  <c r="AG408" i="4"/>
  <c r="AH408" i="4"/>
  <c r="AJ408" i="4"/>
  <c r="AK408" i="4"/>
  <c r="AG409" i="4"/>
  <c r="AH409" i="4"/>
  <c r="AJ409" i="4"/>
  <c r="AK409" i="4"/>
  <c r="AG410" i="4"/>
  <c r="AH410" i="4"/>
  <c r="AJ410" i="4"/>
  <c r="AK410" i="4"/>
  <c r="AG411" i="4"/>
  <c r="AH411" i="4"/>
  <c r="AJ411" i="4"/>
  <c r="AK411" i="4"/>
  <c r="AG412" i="4"/>
  <c r="AH412" i="4"/>
  <c r="AJ412" i="4"/>
  <c r="AK412" i="4"/>
  <c r="AG413" i="4"/>
  <c r="AH413" i="4"/>
  <c r="AJ413" i="4"/>
  <c r="AK413" i="4"/>
  <c r="W241" i="4"/>
  <c r="W242" i="4"/>
  <c r="W243" i="4"/>
  <c r="AA243" i="4" s="1"/>
  <c r="W244" i="4"/>
  <c r="Y244" i="4" s="1"/>
  <c r="W245" i="4"/>
  <c r="W246" i="4"/>
  <c r="AA246" i="4" s="1"/>
  <c r="W247" i="4"/>
  <c r="AA247" i="4" s="1"/>
  <c r="W248" i="4"/>
  <c r="W249" i="4"/>
  <c r="W250" i="4"/>
  <c r="AB250" i="4" s="1"/>
  <c r="W251" i="4"/>
  <c r="W252" i="4"/>
  <c r="W253" i="4"/>
  <c r="W254" i="4"/>
  <c r="Y254" i="4" s="1"/>
  <c r="W255" i="4"/>
  <c r="W256" i="4"/>
  <c r="W257" i="4"/>
  <c r="W258" i="4"/>
  <c r="W259" i="4"/>
  <c r="AA259" i="4" s="1"/>
  <c r="W260" i="4"/>
  <c r="W261" i="4"/>
  <c r="W262" i="4"/>
  <c r="Y262" i="4" s="1"/>
  <c r="W263" i="4"/>
  <c r="X263" i="4" s="1"/>
  <c r="W264" i="4"/>
  <c r="W265" i="4"/>
  <c r="W266" i="4"/>
  <c r="X266" i="4" s="1"/>
  <c r="W267" i="4"/>
  <c r="X267" i="4" s="1"/>
  <c r="W268" i="4"/>
  <c r="AA268" i="4" s="1"/>
  <c r="W269" i="4"/>
  <c r="W270" i="4"/>
  <c r="Y270" i="4" s="1"/>
  <c r="W271" i="4"/>
  <c r="W272" i="4"/>
  <c r="W273" i="4"/>
  <c r="W274" i="4"/>
  <c r="AA274" i="4" s="1"/>
  <c r="W275" i="4"/>
  <c r="AA275" i="4" s="1"/>
  <c r="W276" i="4"/>
  <c r="W277" i="4"/>
  <c r="W278" i="4"/>
  <c r="AB278" i="4" s="1"/>
  <c r="W279" i="4"/>
  <c r="X279" i="4" s="1"/>
  <c r="W280" i="4"/>
  <c r="W281" i="4"/>
  <c r="AB281" i="4" s="1"/>
  <c r="W282" i="4"/>
  <c r="X282" i="4" s="1"/>
  <c r="W283" i="4"/>
  <c r="W284" i="4"/>
  <c r="W285" i="4"/>
  <c r="X285" i="4" s="1"/>
  <c r="W286" i="4"/>
  <c r="Y286" i="4" s="1"/>
  <c r="W287" i="4"/>
  <c r="AA287" i="4" s="1"/>
  <c r="W288" i="4"/>
  <c r="W289" i="4"/>
  <c r="W290" i="4"/>
  <c r="AA290" i="4" s="1"/>
  <c r="W291" i="4"/>
  <c r="W292" i="4"/>
  <c r="Y292" i="4" s="1"/>
  <c r="W293" i="4"/>
  <c r="W294" i="4"/>
  <c r="AB294" i="4" s="1"/>
  <c r="W295" i="4"/>
  <c r="AB295" i="4" s="1"/>
  <c r="W296" i="4"/>
  <c r="W297" i="4"/>
  <c r="W298" i="4"/>
  <c r="X298" i="4" s="1"/>
  <c r="W299" i="4"/>
  <c r="X299" i="4" s="1"/>
  <c r="W300" i="4"/>
  <c r="W301" i="4"/>
  <c r="W302" i="4"/>
  <c r="Y302" i="4" s="1"/>
  <c r="W303" i="4"/>
  <c r="W304" i="4"/>
  <c r="W305" i="4"/>
  <c r="W306" i="4"/>
  <c r="Y306" i="4" s="1"/>
  <c r="W307" i="4"/>
  <c r="AA307" i="4" s="1"/>
  <c r="W308" i="4"/>
  <c r="W309" i="4"/>
  <c r="W310" i="4"/>
  <c r="AB310" i="4" s="1"/>
  <c r="W311" i="4"/>
  <c r="X311" i="4" s="1"/>
  <c r="W312" i="4"/>
  <c r="W313" i="4"/>
  <c r="W314" i="4"/>
  <c r="X314" i="4" s="1"/>
  <c r="W315" i="4"/>
  <c r="W316" i="4"/>
  <c r="W317" i="4"/>
  <c r="X317" i="4" s="1"/>
  <c r="W318" i="4"/>
  <c r="X318" i="4" s="1"/>
  <c r="W319" i="4"/>
  <c r="AA319" i="4" s="1"/>
  <c r="W320" i="4"/>
  <c r="W321" i="4"/>
  <c r="W322" i="4"/>
  <c r="AA322" i="4" s="1"/>
  <c r="W323" i="4"/>
  <c r="W324" i="4"/>
  <c r="W325" i="4"/>
  <c r="AB325" i="4" s="1"/>
  <c r="W326" i="4"/>
  <c r="Y326" i="4" s="1"/>
  <c r="W327" i="4"/>
  <c r="Y327" i="4" s="1"/>
  <c r="W328" i="4"/>
  <c r="W329" i="4"/>
  <c r="W330" i="4"/>
  <c r="X330" i="4" s="1"/>
  <c r="W331" i="4"/>
  <c r="Y331" i="4" s="1"/>
  <c r="W332" i="4"/>
  <c r="W333" i="4"/>
  <c r="AB333" i="4" s="1"/>
  <c r="W334" i="4"/>
  <c r="Y334" i="4" s="1"/>
  <c r="W335" i="4"/>
  <c r="Y335" i="4" s="1"/>
  <c r="W336" i="4"/>
  <c r="AA336" i="4" s="1"/>
  <c r="W337" i="4"/>
  <c r="X337" i="4" s="1"/>
  <c r="W338" i="4"/>
  <c r="AA338" i="4" s="1"/>
  <c r="W339" i="4"/>
  <c r="Y339" i="4" s="1"/>
  <c r="W340" i="4"/>
  <c r="W341" i="4"/>
  <c r="Y341" i="4" s="1"/>
  <c r="W342" i="4"/>
  <c r="AB342" i="4" s="1"/>
  <c r="W343" i="4"/>
  <c r="Y343" i="4" s="1"/>
  <c r="W344" i="4"/>
  <c r="Y344" i="4" s="1"/>
  <c r="W345" i="4"/>
  <c r="W346" i="4"/>
  <c r="X346" i="4" s="1"/>
  <c r="W347" i="4"/>
  <c r="Y347" i="4" s="1"/>
  <c r="W348" i="4"/>
  <c r="W349" i="4"/>
  <c r="W350" i="4"/>
  <c r="Y350" i="4" s="1"/>
  <c r="W351" i="4"/>
  <c r="Y351" i="4" s="1"/>
  <c r="W352" i="4"/>
  <c r="W353" i="4"/>
  <c r="X353" i="4" s="1"/>
  <c r="W354" i="4"/>
  <c r="AA354" i="4" s="1"/>
  <c r="W355" i="4"/>
  <c r="Y355" i="4" s="1"/>
  <c r="W356" i="4"/>
  <c r="W357" i="4"/>
  <c r="W358" i="4"/>
  <c r="AB358" i="4" s="1"/>
  <c r="W359" i="4"/>
  <c r="Y359" i="4" s="1"/>
  <c r="W360" i="4"/>
  <c r="W361" i="4"/>
  <c r="AA361" i="4" s="1"/>
  <c r="W362" i="4"/>
  <c r="AA362" i="4" s="1"/>
  <c r="W363" i="4"/>
  <c r="AA363" i="4" s="1"/>
  <c r="W364" i="4"/>
  <c r="Y364" i="4" s="1"/>
  <c r="W365" i="4"/>
  <c r="W366" i="4"/>
  <c r="AA366" i="4" s="1"/>
  <c r="W367" i="4"/>
  <c r="AA367" i="4" s="1"/>
  <c r="W368" i="4"/>
  <c r="Y368" i="4" s="1"/>
  <c r="W369" i="4"/>
  <c r="W370" i="4"/>
  <c r="AA370" i="4" s="1"/>
  <c r="W371" i="4"/>
  <c r="AA371" i="4" s="1"/>
  <c r="W372" i="4"/>
  <c r="Y372" i="4" s="1"/>
  <c r="W373" i="4"/>
  <c r="W374" i="4"/>
  <c r="AA374" i="4" s="1"/>
  <c r="W375" i="4"/>
  <c r="AA375" i="4" s="1"/>
  <c r="W376" i="4"/>
  <c r="Y376" i="4" s="1"/>
  <c r="W377" i="4"/>
  <c r="W378" i="4"/>
  <c r="AA378" i="4" s="1"/>
  <c r="W379" i="4"/>
  <c r="AA379" i="4" s="1"/>
  <c r="W380" i="4"/>
  <c r="Y380" i="4" s="1"/>
  <c r="W381" i="4"/>
  <c r="W382" i="4"/>
  <c r="AA382" i="4" s="1"/>
  <c r="W383" i="4"/>
  <c r="AA383" i="4" s="1"/>
  <c r="W384" i="4"/>
  <c r="Y384" i="4" s="1"/>
  <c r="W385" i="4"/>
  <c r="AA385" i="4" s="1"/>
  <c r="W386" i="4"/>
  <c r="AA386" i="4" s="1"/>
  <c r="W387" i="4"/>
  <c r="AA387" i="4" s="1"/>
  <c r="W388" i="4"/>
  <c r="Y388" i="4" s="1"/>
  <c r="W389" i="4"/>
  <c r="W390" i="4"/>
  <c r="AA390" i="4" s="1"/>
  <c r="W391" i="4"/>
  <c r="AA391" i="4" s="1"/>
  <c r="W392" i="4"/>
  <c r="Y392" i="4" s="1"/>
  <c r="W393" i="4"/>
  <c r="AA393" i="4" s="1"/>
  <c r="W394" i="4"/>
  <c r="AA394" i="4" s="1"/>
  <c r="W395" i="4"/>
  <c r="AA395" i="4" s="1"/>
  <c r="W396" i="4"/>
  <c r="Y396" i="4" s="1"/>
  <c r="W397" i="4"/>
  <c r="W398" i="4"/>
  <c r="AA398" i="4" s="1"/>
  <c r="W399" i="4"/>
  <c r="AA399" i="4" s="1"/>
  <c r="W400" i="4"/>
  <c r="Y400" i="4" s="1"/>
  <c r="W401" i="4"/>
  <c r="AA401" i="4" s="1"/>
  <c r="W402" i="4"/>
  <c r="AA402" i="4" s="1"/>
  <c r="W403" i="4"/>
  <c r="AA403" i="4" s="1"/>
  <c r="W404" i="4"/>
  <c r="Y404" i="4" s="1"/>
  <c r="W405" i="4"/>
  <c r="W406" i="4"/>
  <c r="AA406" i="4" s="1"/>
  <c r="W407" i="4"/>
  <c r="AA407" i="4" s="1"/>
  <c r="W408" i="4"/>
  <c r="Y408" i="4" s="1"/>
  <c r="W409" i="4"/>
  <c r="W410" i="4"/>
  <c r="AA410" i="4" s="1"/>
  <c r="W411" i="4"/>
  <c r="AA411" i="4" s="1"/>
  <c r="W412" i="4"/>
  <c r="Y412" i="4" s="1"/>
  <c r="W413" i="4"/>
  <c r="X413" i="4" s="1"/>
  <c r="W240" i="4"/>
  <c r="AF5" i="20"/>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X254" i="4" l="1"/>
  <c r="AA364" i="4"/>
  <c r="Y246" i="4"/>
  <c r="AA396" i="4"/>
  <c r="AB334" i="4"/>
  <c r="AB384" i="4"/>
  <c r="AA294" i="4"/>
  <c r="Y411" i="4"/>
  <c r="Y391" i="4"/>
  <c r="Y379" i="4"/>
  <c r="Y371" i="4"/>
  <c r="AA359" i="4"/>
  <c r="AA327" i="4"/>
  <c r="Y243" i="4"/>
  <c r="AB408" i="4"/>
  <c r="X403" i="4"/>
  <c r="X396" i="4"/>
  <c r="X391" i="4"/>
  <c r="X383" i="4"/>
  <c r="AB376" i="4"/>
  <c r="X371" i="4"/>
  <c r="X364" i="4"/>
  <c r="AA358" i="4"/>
  <c r="Y342" i="4"/>
  <c r="AB331" i="4"/>
  <c r="Y274" i="4"/>
  <c r="Y403" i="4"/>
  <c r="AB307" i="4"/>
  <c r="X243" i="4"/>
  <c r="AB407" i="4"/>
  <c r="AB399" i="4"/>
  <c r="X395" i="4"/>
  <c r="X388" i="4"/>
  <c r="Y382" i="4"/>
  <c r="AB375" i="4"/>
  <c r="AB367" i="4"/>
  <c r="X363" i="4"/>
  <c r="X354" i="4"/>
  <c r="X338" i="4"/>
  <c r="X331" i="4"/>
  <c r="Y318" i="4"/>
  <c r="X247" i="4"/>
  <c r="AB411" i="4"/>
  <c r="AA404" i="4"/>
  <c r="Y399" i="4"/>
  <c r="Y394" i="4"/>
  <c r="AB387" i="4"/>
  <c r="AB379" i="4"/>
  <c r="AA372" i="4"/>
  <c r="Y367" i="4"/>
  <c r="Y362" i="4"/>
  <c r="AB347" i="4"/>
  <c r="X335" i="4"/>
  <c r="AB327" i="4"/>
  <c r="X286" i="4"/>
  <c r="AB247" i="4"/>
  <c r="AB244" i="4"/>
  <c r="AA412" i="4"/>
  <c r="X411" i="4"/>
  <c r="Y407" i="4"/>
  <c r="X404" i="4"/>
  <c r="Y402" i="4"/>
  <c r="X399" i="4"/>
  <c r="AB395" i="4"/>
  <c r="AB392" i="4"/>
  <c r="Y390" i="4"/>
  <c r="Y387" i="4"/>
  <c r="AB383" i="4"/>
  <c r="AA380" i="4"/>
  <c r="X379" i="4"/>
  <c r="Y375" i="4"/>
  <c r="X372" i="4"/>
  <c r="Y370" i="4"/>
  <c r="X367" i="4"/>
  <c r="AB363" i="4"/>
  <c r="Y358" i="4"/>
  <c r="X351" i="4"/>
  <c r="X347" i="4"/>
  <c r="AB343" i="4"/>
  <c r="X334" i="4"/>
  <c r="AB330" i="4"/>
  <c r="AA326" i="4"/>
  <c r="AB275" i="4"/>
  <c r="AB259" i="4"/>
  <c r="Y247" i="4"/>
  <c r="AB243" i="4"/>
  <c r="X412" i="4"/>
  <c r="Y410" i="4"/>
  <c r="X407" i="4"/>
  <c r="AB403" i="4"/>
  <c r="AB400" i="4"/>
  <c r="Y398" i="4"/>
  <c r="Y395" i="4"/>
  <c r="AB391" i="4"/>
  <c r="AA388" i="4"/>
  <c r="X387" i="4"/>
  <c r="Y383" i="4"/>
  <c r="X380" i="4"/>
  <c r="Y378" i="4"/>
  <c r="X375" i="4"/>
  <c r="AB371" i="4"/>
  <c r="AB368" i="4"/>
  <c r="Y366" i="4"/>
  <c r="Y363" i="4"/>
  <c r="AB359" i="4"/>
  <c r="AA355" i="4"/>
  <c r="AB350" i="4"/>
  <c r="AB346" i="4"/>
  <c r="AA343" i="4"/>
  <c r="AA339" i="4"/>
  <c r="AA330" i="4"/>
  <c r="X326" i="4"/>
  <c r="AB314" i="4"/>
  <c r="AA306" i="4"/>
  <c r="AB282" i="4"/>
  <c r="Y406" i="4"/>
  <c r="Y386" i="4"/>
  <c r="Y374" i="4"/>
  <c r="Y354" i="4"/>
  <c r="X350" i="4"/>
  <c r="AA346" i="4"/>
  <c r="AA342" i="4"/>
  <c r="Y338" i="4"/>
  <c r="X409" i="4"/>
  <c r="AB409" i="4"/>
  <c r="Y409" i="4"/>
  <c r="X397" i="4"/>
  <c r="AB397" i="4"/>
  <c r="Y397" i="4"/>
  <c r="X389" i="4"/>
  <c r="AB389" i="4"/>
  <c r="Y389" i="4"/>
  <c r="X381" i="4"/>
  <c r="AB381" i="4"/>
  <c r="Y381" i="4"/>
  <c r="X373" i="4"/>
  <c r="AB373" i="4"/>
  <c r="Y373" i="4"/>
  <c r="X365" i="4"/>
  <c r="AB365" i="4"/>
  <c r="Y365" i="4"/>
  <c r="AA357" i="4"/>
  <c r="X357" i="4"/>
  <c r="AB357" i="4"/>
  <c r="AA349" i="4"/>
  <c r="X349" i="4"/>
  <c r="Y349" i="4"/>
  <c r="AA337" i="4"/>
  <c r="Y337" i="4"/>
  <c r="AB337" i="4"/>
  <c r="AA329" i="4"/>
  <c r="AB329" i="4"/>
  <c r="Y329" i="4"/>
  <c r="X329" i="4"/>
  <c r="AA321" i="4"/>
  <c r="AB321" i="4"/>
  <c r="X321" i="4"/>
  <c r="Y321" i="4"/>
  <c r="AA313" i="4"/>
  <c r="X313" i="4"/>
  <c r="Y313" i="4"/>
  <c r="AA305" i="4"/>
  <c r="AB305" i="4"/>
  <c r="X305" i="4"/>
  <c r="AA293" i="4"/>
  <c r="AB293" i="4"/>
  <c r="X293" i="4"/>
  <c r="Y293" i="4"/>
  <c r="AA289" i="4"/>
  <c r="AB289" i="4"/>
  <c r="X289" i="4"/>
  <c r="Y289" i="4"/>
  <c r="AA281" i="4"/>
  <c r="X281" i="4"/>
  <c r="Y281" i="4"/>
  <c r="AA273" i="4"/>
  <c r="AB273" i="4"/>
  <c r="X273" i="4"/>
  <c r="AA269" i="4"/>
  <c r="Y269" i="4"/>
  <c r="AB269" i="4"/>
  <c r="X269" i="4"/>
  <c r="AA261" i="4"/>
  <c r="X261" i="4"/>
  <c r="AB261" i="4"/>
  <c r="Y261" i="4"/>
  <c r="AA253" i="4"/>
  <c r="X253" i="4"/>
  <c r="AB253" i="4"/>
  <c r="Y253" i="4"/>
  <c r="X245" i="4"/>
  <c r="AB245" i="4"/>
  <c r="Y245" i="4"/>
  <c r="Y360" i="4"/>
  <c r="AA360" i="4"/>
  <c r="X356" i="4"/>
  <c r="AB356" i="4"/>
  <c r="Y356" i="4"/>
  <c r="AA356" i="4"/>
  <c r="X352" i="4"/>
  <c r="AB352" i="4"/>
  <c r="Y352" i="4"/>
  <c r="X348" i="4"/>
  <c r="AB348" i="4"/>
  <c r="AA348" i="4"/>
  <c r="Y348" i="4"/>
  <c r="X344" i="4"/>
  <c r="AB344" i="4"/>
  <c r="AA344" i="4"/>
  <c r="X340" i="4"/>
  <c r="AB340" i="4"/>
  <c r="Y340" i="4"/>
  <c r="AA340" i="4"/>
  <c r="X336" i="4"/>
  <c r="AB336" i="4"/>
  <c r="Y336" i="4"/>
  <c r="X332" i="4"/>
  <c r="AB332" i="4"/>
  <c r="AA332" i="4"/>
  <c r="Y332" i="4"/>
  <c r="X328" i="4"/>
  <c r="AB328" i="4"/>
  <c r="AA328" i="4"/>
  <c r="X324" i="4"/>
  <c r="AB324" i="4"/>
  <c r="AA324" i="4"/>
  <c r="Y324" i="4"/>
  <c r="X320" i="4"/>
  <c r="AB320" i="4"/>
  <c r="Y320" i="4"/>
  <c r="AA320" i="4"/>
  <c r="X316" i="4"/>
  <c r="AB316" i="4"/>
  <c r="Y316" i="4"/>
  <c r="AA316" i="4"/>
  <c r="X312" i="4"/>
  <c r="AB312" i="4"/>
  <c r="AA312" i="4"/>
  <c r="Y312" i="4"/>
  <c r="X308" i="4"/>
  <c r="AB308" i="4"/>
  <c r="AA308" i="4"/>
  <c r="Y308" i="4"/>
  <c r="X304" i="4"/>
  <c r="AB304" i="4"/>
  <c r="Y304" i="4"/>
  <c r="AA304" i="4"/>
  <c r="X300" i="4"/>
  <c r="AB300" i="4"/>
  <c r="Y300" i="4"/>
  <c r="X296" i="4"/>
  <c r="AB296" i="4"/>
  <c r="AA296" i="4"/>
  <c r="Y296" i="4"/>
  <c r="X292" i="4"/>
  <c r="AB292" i="4"/>
  <c r="AA292" i="4"/>
  <c r="X288" i="4"/>
  <c r="AB288" i="4"/>
  <c r="Y288" i="4"/>
  <c r="AA288" i="4"/>
  <c r="X284" i="4"/>
  <c r="AB284" i="4"/>
  <c r="Y284" i="4"/>
  <c r="AA284" i="4"/>
  <c r="X280" i="4"/>
  <c r="AB280" i="4"/>
  <c r="AA280" i="4"/>
  <c r="Y280" i="4"/>
  <c r="X276" i="4"/>
  <c r="AB276" i="4"/>
  <c r="AA276" i="4"/>
  <c r="Y276" i="4"/>
  <c r="X272" i="4"/>
  <c r="AB272" i="4"/>
  <c r="Y272" i="4"/>
  <c r="AA272" i="4"/>
  <c r="X268" i="4"/>
  <c r="AB268" i="4"/>
  <c r="Y268" i="4"/>
  <c r="X264" i="4"/>
  <c r="AB264" i="4"/>
  <c r="Y264" i="4"/>
  <c r="AA264" i="4"/>
  <c r="X260" i="4"/>
  <c r="AB260" i="4"/>
  <c r="Y260" i="4"/>
  <c r="AA260" i="4"/>
  <c r="X256" i="4"/>
  <c r="AB256" i="4"/>
  <c r="Y256" i="4"/>
  <c r="AA256" i="4"/>
  <c r="X252" i="4"/>
  <c r="AB252" i="4"/>
  <c r="Y252" i="4"/>
  <c r="X248" i="4"/>
  <c r="AB248" i="4"/>
  <c r="Y248" i="4"/>
  <c r="AA248" i="4"/>
  <c r="AA244" i="4"/>
  <c r="AA408" i="4"/>
  <c r="AA400" i="4"/>
  <c r="AA392" i="4"/>
  <c r="AA384" i="4"/>
  <c r="AA376" i="4"/>
  <c r="AA368" i="4"/>
  <c r="AB360" i="4"/>
  <c r="Y357" i="4"/>
  <c r="AB349" i="4"/>
  <c r="AB313" i="4"/>
  <c r="AA252" i="4"/>
  <c r="Y413" i="4"/>
  <c r="AA413" i="4"/>
  <c r="AB413" i="4"/>
  <c r="X405" i="4"/>
  <c r="AB405" i="4"/>
  <c r="Y405" i="4"/>
  <c r="X401" i="4"/>
  <c r="AB401" i="4"/>
  <c r="Y401" i="4"/>
  <c r="X393" i="4"/>
  <c r="AB393" i="4"/>
  <c r="Y393" i="4"/>
  <c r="X385" i="4"/>
  <c r="AB385" i="4"/>
  <c r="Y385" i="4"/>
  <c r="X377" i="4"/>
  <c r="AB377" i="4"/>
  <c r="Y377" i="4"/>
  <c r="X369" i="4"/>
  <c r="AB369" i="4"/>
  <c r="Y369" i="4"/>
  <c r="X361" i="4"/>
  <c r="AB361" i="4"/>
  <c r="Y361" i="4"/>
  <c r="AA353" i="4"/>
  <c r="Y353" i="4"/>
  <c r="AB353" i="4"/>
  <c r="AA345" i="4"/>
  <c r="AB345" i="4"/>
  <c r="Y345" i="4"/>
  <c r="X345" i="4"/>
  <c r="AA341" i="4"/>
  <c r="AB341" i="4"/>
  <c r="X341" i="4"/>
  <c r="AA333" i="4"/>
  <c r="X333" i="4"/>
  <c r="Y333" i="4"/>
  <c r="AA325" i="4"/>
  <c r="X325" i="4"/>
  <c r="Y325" i="4"/>
  <c r="AA317" i="4"/>
  <c r="Y317" i="4"/>
  <c r="AB317" i="4"/>
  <c r="AA309" i="4"/>
  <c r="AB309" i="4"/>
  <c r="X309" i="4"/>
  <c r="Y309" i="4"/>
  <c r="AA301" i="4"/>
  <c r="Y301" i="4"/>
  <c r="X301" i="4"/>
  <c r="AB301" i="4"/>
  <c r="AA297" i="4"/>
  <c r="X297" i="4"/>
  <c r="Y297" i="4"/>
  <c r="AB297" i="4"/>
  <c r="AA285" i="4"/>
  <c r="Y285" i="4"/>
  <c r="AB285" i="4"/>
  <c r="AA277" i="4"/>
  <c r="AB277" i="4"/>
  <c r="X277" i="4"/>
  <c r="Y277" i="4"/>
  <c r="AA265" i="4"/>
  <c r="X265" i="4"/>
  <c r="Y265" i="4"/>
  <c r="AB265" i="4"/>
  <c r="AA257" i="4"/>
  <c r="X257" i="4"/>
  <c r="AB257" i="4"/>
  <c r="Y257" i="4"/>
  <c r="AA249" i="4"/>
  <c r="X249" i="4"/>
  <c r="AB249" i="4"/>
  <c r="Y249" i="4"/>
  <c r="AA245" i="4"/>
  <c r="AA409" i="4"/>
  <c r="AA377" i="4"/>
  <c r="AA369" i="4"/>
  <c r="Y273" i="4"/>
  <c r="X244" i="4"/>
  <c r="AB412" i="4"/>
  <c r="X408" i="4"/>
  <c r="AA405" i="4"/>
  <c r="AB404" i="4"/>
  <c r="X400" i="4"/>
  <c r="AA397" i="4"/>
  <c r="AB396" i="4"/>
  <c r="X392" i="4"/>
  <c r="AA389" i="4"/>
  <c r="AB388" i="4"/>
  <c r="X384" i="4"/>
  <c r="AA381" i="4"/>
  <c r="AB380" i="4"/>
  <c r="X376" i="4"/>
  <c r="AA373" i="4"/>
  <c r="AB372" i="4"/>
  <c r="X368" i="4"/>
  <c r="AA365" i="4"/>
  <c r="AB364" i="4"/>
  <c r="X360" i="4"/>
  <c r="AA352" i="4"/>
  <c r="Y328" i="4"/>
  <c r="Y305" i="4"/>
  <c r="AA300" i="4"/>
  <c r="Y323" i="4"/>
  <c r="X323" i="4"/>
  <c r="Y319" i="4"/>
  <c r="AB319" i="4"/>
  <c r="X319" i="4"/>
  <c r="Y315" i="4"/>
  <c r="AA315" i="4"/>
  <c r="AB315" i="4"/>
  <c r="Y311" i="4"/>
  <c r="AA311" i="4"/>
  <c r="Y307" i="4"/>
  <c r="X307" i="4"/>
  <c r="Y303" i="4"/>
  <c r="AB303" i="4"/>
  <c r="X303" i="4"/>
  <c r="Y299" i="4"/>
  <c r="AA299" i="4"/>
  <c r="AB299" i="4"/>
  <c r="Y295" i="4"/>
  <c r="AA295" i="4"/>
  <c r="Y291" i="4"/>
  <c r="X291" i="4"/>
  <c r="Y287" i="4"/>
  <c r="AB287" i="4"/>
  <c r="X287" i="4"/>
  <c r="Y283" i="4"/>
  <c r="AA283" i="4"/>
  <c r="AB283" i="4"/>
  <c r="Y279" i="4"/>
  <c r="AA279" i="4"/>
  <c r="Y275" i="4"/>
  <c r="X275" i="4"/>
  <c r="Y271" i="4"/>
  <c r="AB271" i="4"/>
  <c r="X271" i="4"/>
  <c r="Y267" i="4"/>
  <c r="AA267" i="4"/>
  <c r="AB267" i="4"/>
  <c r="Y263" i="4"/>
  <c r="AA263" i="4"/>
  <c r="AB263" i="4"/>
  <c r="Y259" i="4"/>
  <c r="X259" i="4"/>
  <c r="Y255" i="4"/>
  <c r="AA255" i="4"/>
  <c r="AB255" i="4"/>
  <c r="Y251" i="4"/>
  <c r="X251" i="4"/>
  <c r="AB246" i="4"/>
  <c r="X246" i="4"/>
  <c r="AB410" i="4"/>
  <c r="X410" i="4"/>
  <c r="AB406" i="4"/>
  <c r="X406" i="4"/>
  <c r="AB402" i="4"/>
  <c r="X402" i="4"/>
  <c r="AB398" i="4"/>
  <c r="X398" i="4"/>
  <c r="AB394" i="4"/>
  <c r="X394" i="4"/>
  <c r="AB390" i="4"/>
  <c r="X390" i="4"/>
  <c r="AB386" i="4"/>
  <c r="X386" i="4"/>
  <c r="AB382" i="4"/>
  <c r="X382" i="4"/>
  <c r="AB378" i="4"/>
  <c r="X378" i="4"/>
  <c r="AB374" i="4"/>
  <c r="X374" i="4"/>
  <c r="AB370" i="4"/>
  <c r="X370" i="4"/>
  <c r="AB366" i="4"/>
  <c r="X366" i="4"/>
  <c r="AB362" i="4"/>
  <c r="X362" i="4"/>
  <c r="X358" i="4"/>
  <c r="X355" i="4"/>
  <c r="AB354" i="4"/>
  <c r="AB351" i="4"/>
  <c r="AA350" i="4"/>
  <c r="AA347" i="4"/>
  <c r="Y346" i="4"/>
  <c r="X342" i="4"/>
  <c r="X339" i="4"/>
  <c r="AB338" i="4"/>
  <c r="AB335" i="4"/>
  <c r="AA334" i="4"/>
  <c r="AA331" i="4"/>
  <c r="Y330" i="4"/>
  <c r="AB323" i="4"/>
  <c r="AA303" i="4"/>
  <c r="X295" i="4"/>
  <c r="AB291" i="4"/>
  <c r="AA271" i="4"/>
  <c r="X255" i="4"/>
  <c r="AB251" i="4"/>
  <c r="AB322" i="4"/>
  <c r="X322" i="4"/>
  <c r="AA318" i="4"/>
  <c r="AB318" i="4"/>
  <c r="Y314" i="4"/>
  <c r="AA314" i="4"/>
  <c r="X310" i="4"/>
  <c r="Y310" i="4"/>
  <c r="AB306" i="4"/>
  <c r="X306" i="4"/>
  <c r="AA302" i="4"/>
  <c r="AB302" i="4"/>
  <c r="Y298" i="4"/>
  <c r="AA298" i="4"/>
  <c r="X294" i="4"/>
  <c r="Y294" i="4"/>
  <c r="AB290" i="4"/>
  <c r="X290" i="4"/>
  <c r="AA286" i="4"/>
  <c r="AB286" i="4"/>
  <c r="Y282" i="4"/>
  <c r="AA282" i="4"/>
  <c r="X278" i="4"/>
  <c r="Y278" i="4"/>
  <c r="AB274" i="4"/>
  <c r="X274" i="4"/>
  <c r="AA270" i="4"/>
  <c r="AB270" i="4"/>
  <c r="Y266" i="4"/>
  <c r="AA266" i="4"/>
  <c r="AA262" i="4"/>
  <c r="AB262" i="4"/>
  <c r="AA258" i="4"/>
  <c r="X258" i="4"/>
  <c r="Y258" i="4"/>
  <c r="AA254" i="4"/>
  <c r="AB254" i="4"/>
  <c r="AA250" i="4"/>
  <c r="X250" i="4"/>
  <c r="Y250" i="4"/>
  <c r="X359" i="4"/>
  <c r="AB355" i="4"/>
  <c r="AA351" i="4"/>
  <c r="X343" i="4"/>
  <c r="AB339" i="4"/>
  <c r="AA335" i="4"/>
  <c r="X327" i="4"/>
  <c r="AB326" i="4"/>
  <c r="AA323" i="4"/>
  <c r="Y322" i="4"/>
  <c r="X315" i="4"/>
  <c r="AB311" i="4"/>
  <c r="AA310" i="4"/>
  <c r="X302" i="4"/>
  <c r="AB298" i="4"/>
  <c r="AA291" i="4"/>
  <c r="Y290" i="4"/>
  <c r="X283" i="4"/>
  <c r="AB279" i="4"/>
  <c r="AA278" i="4"/>
  <c r="X270" i="4"/>
  <c r="AB266" i="4"/>
  <c r="X262" i="4"/>
  <c r="AB258" i="4"/>
  <c r="AA251" i="4"/>
  <c r="F11" i="1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 r="S244" i="4" l="1"/>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243" i="4"/>
  <c r="J413" i="4"/>
  <c r="I413" i="4"/>
  <c r="H413" i="4"/>
  <c r="E413" i="4"/>
  <c r="J412" i="4"/>
  <c r="I412" i="4"/>
  <c r="H412" i="4"/>
  <c r="E412" i="4"/>
  <c r="J411" i="4"/>
  <c r="I411" i="4"/>
  <c r="H411" i="4"/>
  <c r="E411" i="4"/>
  <c r="J410" i="4"/>
  <c r="I410" i="4"/>
  <c r="H410" i="4"/>
  <c r="E410" i="4"/>
  <c r="J409" i="4"/>
  <c r="I409" i="4"/>
  <c r="H409" i="4"/>
  <c r="E409" i="4"/>
  <c r="J408" i="4"/>
  <c r="I408" i="4"/>
  <c r="H408" i="4"/>
  <c r="E408" i="4"/>
  <c r="J407" i="4"/>
  <c r="I407" i="4"/>
  <c r="H407" i="4"/>
  <c r="E407" i="4"/>
  <c r="J406" i="4"/>
  <c r="I406" i="4"/>
  <c r="H406" i="4"/>
  <c r="E406" i="4"/>
  <c r="J405" i="4"/>
  <c r="I405" i="4"/>
  <c r="H405" i="4"/>
  <c r="E405" i="4"/>
  <c r="J404" i="4"/>
  <c r="I404" i="4"/>
  <c r="H404" i="4"/>
  <c r="E404" i="4"/>
  <c r="J403" i="4"/>
  <c r="I403" i="4"/>
  <c r="H403" i="4"/>
  <c r="E403" i="4"/>
  <c r="J402" i="4"/>
  <c r="I402" i="4"/>
  <c r="H402" i="4"/>
  <c r="E402" i="4"/>
  <c r="J401" i="4"/>
  <c r="I401" i="4"/>
  <c r="H401" i="4"/>
  <c r="E401" i="4"/>
  <c r="J400" i="4"/>
  <c r="I400" i="4"/>
  <c r="H400" i="4"/>
  <c r="E400" i="4"/>
  <c r="J399" i="4"/>
  <c r="I399" i="4"/>
  <c r="H399" i="4"/>
  <c r="E399" i="4"/>
  <c r="J398" i="4"/>
  <c r="I398" i="4"/>
  <c r="H398" i="4"/>
  <c r="E398" i="4"/>
  <c r="J397" i="4"/>
  <c r="I397" i="4"/>
  <c r="H397" i="4"/>
  <c r="E397" i="4"/>
  <c r="J396" i="4"/>
  <c r="I396" i="4"/>
  <c r="H396" i="4"/>
  <c r="E396" i="4"/>
  <c r="J395" i="4"/>
  <c r="I395" i="4"/>
  <c r="H395" i="4"/>
  <c r="E395" i="4"/>
  <c r="J394" i="4"/>
  <c r="I394" i="4"/>
  <c r="H394" i="4"/>
  <c r="E394" i="4"/>
  <c r="J393" i="4"/>
  <c r="I393" i="4"/>
  <c r="H393" i="4"/>
  <c r="E393" i="4"/>
  <c r="J392" i="4"/>
  <c r="I392" i="4"/>
  <c r="H392" i="4"/>
  <c r="E392" i="4"/>
  <c r="J391" i="4"/>
  <c r="I391" i="4"/>
  <c r="H391" i="4"/>
  <c r="E391" i="4"/>
  <c r="J390" i="4"/>
  <c r="I390" i="4"/>
  <c r="H390" i="4"/>
  <c r="E390" i="4"/>
  <c r="J389" i="4"/>
  <c r="I389" i="4"/>
  <c r="H389" i="4"/>
  <c r="E389" i="4"/>
  <c r="J388" i="4"/>
  <c r="I388" i="4"/>
  <c r="H388" i="4"/>
  <c r="E388" i="4"/>
  <c r="J387" i="4"/>
  <c r="I387" i="4"/>
  <c r="H387" i="4"/>
  <c r="E387" i="4"/>
  <c r="J386" i="4"/>
  <c r="I386" i="4"/>
  <c r="H386" i="4"/>
  <c r="E386" i="4"/>
  <c r="J385" i="4"/>
  <c r="I385" i="4"/>
  <c r="H385" i="4"/>
  <c r="E385" i="4"/>
  <c r="J384" i="4"/>
  <c r="I384" i="4"/>
  <c r="H384" i="4"/>
  <c r="E384" i="4"/>
  <c r="J383" i="4"/>
  <c r="I383" i="4"/>
  <c r="H383" i="4"/>
  <c r="E383" i="4"/>
  <c r="J382" i="4"/>
  <c r="I382" i="4"/>
  <c r="H382" i="4"/>
  <c r="E382" i="4"/>
  <c r="J381" i="4"/>
  <c r="I381" i="4"/>
  <c r="H381" i="4"/>
  <c r="E381" i="4"/>
  <c r="J380" i="4"/>
  <c r="I380" i="4"/>
  <c r="H380" i="4"/>
  <c r="E380" i="4"/>
  <c r="J379" i="4"/>
  <c r="I379" i="4"/>
  <c r="H379" i="4"/>
  <c r="E379" i="4"/>
  <c r="J378" i="4"/>
  <c r="I378" i="4"/>
  <c r="H378" i="4"/>
  <c r="E378" i="4"/>
  <c r="J377" i="4"/>
  <c r="I377" i="4"/>
  <c r="H377" i="4"/>
  <c r="E377" i="4"/>
  <c r="J376" i="4"/>
  <c r="I376" i="4"/>
  <c r="H376" i="4"/>
  <c r="E376" i="4"/>
  <c r="J375" i="4"/>
  <c r="I375" i="4"/>
  <c r="H375" i="4"/>
  <c r="E375" i="4"/>
  <c r="J374" i="4"/>
  <c r="I374" i="4"/>
  <c r="H374" i="4"/>
  <c r="E374" i="4"/>
  <c r="J373" i="4"/>
  <c r="I373" i="4"/>
  <c r="H373" i="4"/>
  <c r="E373" i="4"/>
  <c r="J372" i="4"/>
  <c r="I372" i="4"/>
  <c r="H372" i="4"/>
  <c r="E372" i="4"/>
  <c r="J371" i="4"/>
  <c r="I371" i="4"/>
  <c r="H371" i="4"/>
  <c r="E371" i="4"/>
  <c r="J370" i="4"/>
  <c r="I370" i="4"/>
  <c r="H370" i="4"/>
  <c r="E370" i="4"/>
  <c r="J369" i="4"/>
  <c r="I369" i="4"/>
  <c r="H369" i="4"/>
  <c r="E369" i="4"/>
  <c r="J368" i="4"/>
  <c r="I368" i="4"/>
  <c r="H368" i="4"/>
  <c r="E368" i="4"/>
  <c r="J367" i="4"/>
  <c r="I367" i="4"/>
  <c r="H367" i="4"/>
  <c r="E367" i="4"/>
  <c r="J366" i="4"/>
  <c r="I366" i="4"/>
  <c r="H366" i="4"/>
  <c r="E366" i="4"/>
  <c r="J341" i="4"/>
  <c r="I341" i="4"/>
  <c r="H341" i="4"/>
  <c r="E341" i="4"/>
  <c r="J340" i="4"/>
  <c r="I340" i="4"/>
  <c r="H340" i="4"/>
  <c r="E340" i="4"/>
  <c r="J339" i="4"/>
  <c r="I339" i="4"/>
  <c r="H339" i="4"/>
  <c r="E339" i="4"/>
  <c r="J338" i="4"/>
  <c r="I338" i="4"/>
  <c r="H338" i="4"/>
  <c r="E338" i="4"/>
  <c r="J337" i="4"/>
  <c r="I337" i="4"/>
  <c r="H337" i="4"/>
  <c r="E337" i="4"/>
  <c r="J336" i="4"/>
  <c r="I336" i="4"/>
  <c r="H336" i="4"/>
  <c r="E336" i="4"/>
  <c r="J335" i="4"/>
  <c r="I335" i="4"/>
  <c r="H335" i="4"/>
  <c r="E335" i="4"/>
  <c r="J334" i="4"/>
  <c r="I334" i="4"/>
  <c r="H334" i="4"/>
  <c r="E334" i="4"/>
  <c r="J333" i="4"/>
  <c r="I333" i="4"/>
  <c r="H333" i="4"/>
  <c r="E333" i="4"/>
  <c r="J332" i="4"/>
  <c r="I332" i="4"/>
  <c r="H332" i="4"/>
  <c r="E332" i="4"/>
  <c r="J331" i="4"/>
  <c r="I331" i="4"/>
  <c r="H331" i="4"/>
  <c r="E331" i="4"/>
  <c r="J330" i="4"/>
  <c r="I330" i="4"/>
  <c r="H330" i="4"/>
  <c r="E330" i="4"/>
  <c r="K329" i="4"/>
  <c r="J329" i="4"/>
  <c r="I329" i="4"/>
  <c r="K328" i="4"/>
  <c r="J328" i="4"/>
  <c r="I328" i="4"/>
  <c r="K331" i="4" l="1"/>
  <c r="K333" i="4"/>
  <c r="K335" i="4"/>
  <c r="K337" i="4"/>
  <c r="K339" i="4"/>
  <c r="K341" i="4"/>
  <c r="K367" i="4"/>
  <c r="K369" i="4"/>
  <c r="K371" i="4"/>
  <c r="K373" i="4"/>
  <c r="K375" i="4"/>
  <c r="K377" i="4"/>
  <c r="K379" i="4"/>
  <c r="K381" i="4"/>
  <c r="K383" i="4"/>
  <c r="K385" i="4"/>
  <c r="K387" i="4"/>
  <c r="K389" i="4"/>
  <c r="K391" i="4"/>
  <c r="K393" i="4"/>
  <c r="K395" i="4"/>
  <c r="K397" i="4"/>
  <c r="K399" i="4"/>
  <c r="K401" i="4"/>
  <c r="K403" i="4"/>
  <c r="K405" i="4"/>
  <c r="K407" i="4"/>
  <c r="K409" i="4"/>
  <c r="K411" i="4"/>
  <c r="K413" i="4"/>
  <c r="K330" i="4"/>
  <c r="K332" i="4"/>
  <c r="K334" i="4"/>
  <c r="K336" i="4"/>
  <c r="K338" i="4"/>
  <c r="K340" i="4"/>
  <c r="K366" i="4"/>
  <c r="K368" i="4"/>
  <c r="K370" i="4"/>
  <c r="K372" i="4"/>
  <c r="K374" i="4"/>
  <c r="K376" i="4"/>
  <c r="K378" i="4"/>
  <c r="K380" i="4"/>
  <c r="K382" i="4"/>
  <c r="K384" i="4"/>
  <c r="K386" i="4"/>
  <c r="K388" i="4"/>
  <c r="K390" i="4"/>
  <c r="K392" i="4"/>
  <c r="K396" i="4"/>
  <c r="K398" i="4"/>
  <c r="K400" i="4"/>
  <c r="K402" i="4"/>
  <c r="K404" i="4"/>
  <c r="K406" i="4"/>
  <c r="K408" i="4"/>
  <c r="K410" i="4"/>
  <c r="K412" i="4"/>
  <c r="K394" i="4"/>
  <c r="AI407" i="4"/>
  <c r="Z407" i="4"/>
  <c r="Z399" i="4"/>
  <c r="AI399" i="4"/>
  <c r="AI391" i="4"/>
  <c r="Z391" i="4"/>
  <c r="Z383" i="4"/>
  <c r="AI383" i="4"/>
  <c r="AI375" i="4"/>
  <c r="Z375" i="4"/>
  <c r="Z367" i="4"/>
  <c r="AI367" i="4"/>
  <c r="AI359" i="4"/>
  <c r="Z359" i="4"/>
  <c r="AI351" i="4"/>
  <c r="Z351" i="4"/>
  <c r="AI339" i="4"/>
  <c r="Z339" i="4"/>
  <c r="AI327" i="4"/>
  <c r="Z327" i="4"/>
  <c r="Z319" i="4"/>
  <c r="AI319" i="4"/>
  <c r="Z311" i="4"/>
  <c r="AI311" i="4"/>
  <c r="AI303" i="4"/>
  <c r="Z303" i="4"/>
  <c r="AI295" i="4"/>
  <c r="Z295" i="4"/>
  <c r="AI287" i="4"/>
  <c r="Z287" i="4"/>
  <c r="AI279" i="4"/>
  <c r="Z279" i="4"/>
  <c r="AI271" i="4"/>
  <c r="Z271" i="4"/>
  <c r="AI263" i="4"/>
  <c r="Z263" i="4"/>
  <c r="AI255" i="4"/>
  <c r="Z255" i="4"/>
  <c r="AI247" i="4"/>
  <c r="Z247" i="4"/>
  <c r="AL410" i="4"/>
  <c r="AC410" i="4"/>
  <c r="AL402" i="4"/>
  <c r="AC402" i="4"/>
  <c r="AL394" i="4"/>
  <c r="AC394" i="4"/>
  <c r="AL386" i="4"/>
  <c r="AC386" i="4"/>
  <c r="AL374" i="4"/>
  <c r="AC374" i="4"/>
  <c r="AL366" i="4"/>
  <c r="AC366" i="4"/>
  <c r="AL358" i="4"/>
  <c r="AC358" i="4"/>
  <c r="AL350" i="4"/>
  <c r="AC350" i="4"/>
  <c r="AL342" i="4"/>
  <c r="AC342" i="4"/>
  <c r="AL330" i="4"/>
  <c r="AC330" i="4"/>
  <c r="AL322" i="4"/>
  <c r="AC322" i="4"/>
  <c r="AL314" i="4"/>
  <c r="AC314" i="4"/>
  <c r="AL306" i="4"/>
  <c r="AC306" i="4"/>
  <c r="AL298" i="4"/>
  <c r="AC298" i="4"/>
  <c r="AL290" i="4"/>
  <c r="AC290" i="4"/>
  <c r="AL282" i="4"/>
  <c r="AC282" i="4"/>
  <c r="AL274" i="4"/>
  <c r="AC274" i="4"/>
  <c r="AL266" i="4"/>
  <c r="AC266" i="4"/>
  <c r="AL258" i="4"/>
  <c r="AC258" i="4"/>
  <c r="AL250" i="4"/>
  <c r="AC250" i="4"/>
  <c r="AD413" i="4"/>
  <c r="AM413" i="4"/>
  <c r="AM401" i="4"/>
  <c r="AD401" i="4"/>
  <c r="AM393" i="4"/>
  <c r="AD393" i="4"/>
  <c r="T385" i="4"/>
  <c r="AM385" i="4"/>
  <c r="AD385" i="4"/>
  <c r="AM377" i="4"/>
  <c r="AD377" i="4"/>
  <c r="AM369" i="4"/>
  <c r="AD369" i="4"/>
  <c r="AM361" i="4"/>
  <c r="AD361" i="4"/>
  <c r="AM353" i="4"/>
  <c r="AD353" i="4"/>
  <c r="AM345" i="4"/>
  <c r="AD345" i="4"/>
  <c r="AM337" i="4"/>
  <c r="AD337" i="4"/>
  <c r="AM333" i="4"/>
  <c r="AD333" i="4"/>
  <c r="AM325" i="4"/>
  <c r="AD325" i="4"/>
  <c r="AM321" i="4"/>
  <c r="AD321" i="4"/>
  <c r="AM313" i="4"/>
  <c r="AD313" i="4"/>
  <c r="AM305" i="4"/>
  <c r="AD305" i="4"/>
  <c r="AM297" i="4"/>
  <c r="AD297" i="4"/>
  <c r="AM289" i="4"/>
  <c r="AD289" i="4"/>
  <c r="AM285" i="4"/>
  <c r="AD285" i="4"/>
  <c r="AM277" i="4"/>
  <c r="AD277" i="4"/>
  <c r="AD269" i="4"/>
  <c r="AM269" i="4"/>
  <c r="AM261" i="4"/>
  <c r="AD261" i="4"/>
  <c r="AM253" i="4"/>
  <c r="AD253" i="4"/>
  <c r="AM245" i="4"/>
  <c r="AD245" i="4"/>
  <c r="AN408" i="4"/>
  <c r="AE408" i="4"/>
  <c r="T400" i="4"/>
  <c r="AN400" i="4"/>
  <c r="AE400" i="4"/>
  <c r="AN388" i="4"/>
  <c r="AE388" i="4"/>
  <c r="T380" i="4"/>
  <c r="AN380" i="4"/>
  <c r="AE380" i="4"/>
  <c r="AN372" i="4"/>
  <c r="AE372" i="4"/>
  <c r="AN364" i="4"/>
  <c r="AE364" i="4"/>
  <c r="AN356" i="4"/>
  <c r="AE356" i="4"/>
  <c r="AN348" i="4"/>
  <c r="AE348" i="4"/>
  <c r="AN340" i="4"/>
  <c r="AE340" i="4"/>
  <c r="AN332" i="4"/>
  <c r="AE332" i="4"/>
  <c r="AN324" i="4"/>
  <c r="AE324" i="4"/>
  <c r="AN316" i="4"/>
  <c r="AE316" i="4"/>
  <c r="AN308" i="4"/>
  <c r="AE308" i="4"/>
  <c r="AN288" i="4"/>
  <c r="AE288" i="4"/>
  <c r="AI410" i="4"/>
  <c r="Z410" i="4"/>
  <c r="AI402" i="4"/>
  <c r="Z402" i="4"/>
  <c r="AI394" i="4"/>
  <c r="Z394" i="4"/>
  <c r="AI386" i="4"/>
  <c r="Z386" i="4"/>
  <c r="AI378" i="4"/>
  <c r="Z378" i="4"/>
  <c r="AI370" i="4"/>
  <c r="Z370" i="4"/>
  <c r="AI358" i="4"/>
  <c r="Z358" i="4"/>
  <c r="AI350" i="4"/>
  <c r="Z350" i="4"/>
  <c r="AI342" i="4"/>
  <c r="Z342" i="4"/>
  <c r="AI334" i="4"/>
  <c r="Z334" i="4"/>
  <c r="AI326" i="4"/>
  <c r="Z326" i="4"/>
  <c r="AI314" i="4"/>
  <c r="Z314" i="4"/>
  <c r="AI306" i="4"/>
  <c r="Z306" i="4"/>
  <c r="AI298" i="4"/>
  <c r="Z298" i="4"/>
  <c r="Z294" i="4"/>
  <c r="AI294" i="4"/>
  <c r="Z286" i="4"/>
  <c r="AI286" i="4"/>
  <c r="Z278" i="4"/>
  <c r="AI278" i="4"/>
  <c r="Z270" i="4"/>
  <c r="AI270" i="4"/>
  <c r="Z262" i="4"/>
  <c r="AI262" i="4"/>
  <c r="Z254" i="4"/>
  <c r="AI254" i="4"/>
  <c r="AI246" i="4"/>
  <c r="Z246" i="4"/>
  <c r="AL409" i="4"/>
  <c r="AC409" i="4"/>
  <c r="AC401" i="4"/>
  <c r="AL401" i="4"/>
  <c r="AL393" i="4"/>
  <c r="AC393" i="4"/>
  <c r="AL385" i="4"/>
  <c r="AC385" i="4"/>
  <c r="AL377" i="4"/>
  <c r="AC377" i="4"/>
  <c r="AC369" i="4"/>
  <c r="AL369" i="4"/>
  <c r="AL361" i="4"/>
  <c r="AC361" i="4"/>
  <c r="AL353" i="4"/>
  <c r="AC353" i="4"/>
  <c r="AL345" i="4"/>
  <c r="AC345" i="4"/>
  <c r="AL337" i="4"/>
  <c r="AC337" i="4"/>
  <c r="AL329" i="4"/>
  <c r="AC329" i="4"/>
  <c r="AL321" i="4"/>
  <c r="AC321" i="4"/>
  <c r="AC313" i="4"/>
  <c r="AL313" i="4"/>
  <c r="AL305" i="4"/>
  <c r="AC305" i="4"/>
  <c r="AL301" i="4"/>
  <c r="AC301" i="4"/>
  <c r="AL293" i="4"/>
  <c r="AC293" i="4"/>
  <c r="AL285" i="4"/>
  <c r="AC285" i="4"/>
  <c r="AL277" i="4"/>
  <c r="AC277" i="4"/>
  <c r="AL269" i="4"/>
  <c r="AC269" i="4"/>
  <c r="AL261" i="4"/>
  <c r="AC261" i="4"/>
  <c r="AL253" i="4"/>
  <c r="AC253" i="4"/>
  <c r="AL245" i="4"/>
  <c r="AC245" i="4"/>
  <c r="AM408" i="4"/>
  <c r="AD408" i="4"/>
  <c r="AM400" i="4"/>
  <c r="AD400" i="4"/>
  <c r="AM392" i="4"/>
  <c r="AD392" i="4"/>
  <c r="AM384" i="4"/>
  <c r="AD384" i="4"/>
  <c r="AM376" i="4"/>
  <c r="AD376" i="4"/>
  <c r="AM368" i="4"/>
  <c r="AD368" i="4"/>
  <c r="AD364" i="4"/>
  <c r="AM364" i="4"/>
  <c r="AM356" i="4"/>
  <c r="AD356" i="4"/>
  <c r="AM348" i="4"/>
  <c r="AD348" i="4"/>
  <c r="AM344" i="4"/>
  <c r="AD344" i="4"/>
  <c r="AM336" i="4"/>
  <c r="AD336" i="4"/>
  <c r="AM328" i="4"/>
  <c r="AD328" i="4"/>
  <c r="AM320" i="4"/>
  <c r="AD320" i="4"/>
  <c r="AM312" i="4"/>
  <c r="AD312" i="4"/>
  <c r="AM304" i="4"/>
  <c r="AD304" i="4"/>
  <c r="AM296" i="4"/>
  <c r="AD296" i="4"/>
  <c r="AM288" i="4"/>
  <c r="AD288" i="4"/>
  <c r="AM284" i="4"/>
  <c r="AD284" i="4"/>
  <c r="AM276" i="4"/>
  <c r="AD276" i="4"/>
  <c r="AM268" i="4"/>
  <c r="AD268" i="4"/>
  <c r="AM260" i="4"/>
  <c r="AD260" i="4"/>
  <c r="AM252" i="4"/>
  <c r="AD252" i="4"/>
  <c r="T244" i="4"/>
  <c r="AM244" i="4"/>
  <c r="AD244" i="4"/>
  <c r="AN407" i="4"/>
  <c r="AE407" i="4"/>
  <c r="T399" i="4"/>
  <c r="AN399" i="4"/>
  <c r="AE399" i="4"/>
  <c r="AN391" i="4"/>
  <c r="AE391" i="4"/>
  <c r="AN387" i="4"/>
  <c r="AE387" i="4"/>
  <c r="AN379" i="4"/>
  <c r="AE379" i="4"/>
  <c r="AN371" i="4"/>
  <c r="AE371" i="4"/>
  <c r="AN363" i="4"/>
  <c r="AE363" i="4"/>
  <c r="AN351" i="4"/>
  <c r="AE351" i="4"/>
  <c r="AN343" i="4"/>
  <c r="AE343" i="4"/>
  <c r="AN335" i="4"/>
  <c r="AE335" i="4"/>
  <c r="AN327" i="4"/>
  <c r="AE327" i="4"/>
  <c r="AN319" i="4"/>
  <c r="AE319" i="4"/>
  <c r="AN307" i="4"/>
  <c r="AE307" i="4"/>
  <c r="AN299" i="4"/>
  <c r="AE299" i="4"/>
  <c r="AN291" i="4"/>
  <c r="AE291" i="4"/>
  <c r="AN283" i="4"/>
  <c r="AE283" i="4"/>
  <c r="AN275" i="4"/>
  <c r="AE275" i="4"/>
  <c r="AN267" i="4"/>
  <c r="AE267" i="4"/>
  <c r="AN259" i="4"/>
  <c r="AE259" i="4"/>
  <c r="AN255" i="4"/>
  <c r="AE255" i="4"/>
  <c r="AN247" i="4"/>
  <c r="AE247" i="4"/>
  <c r="Z413" i="4"/>
  <c r="AI413" i="4"/>
  <c r="AI409" i="4"/>
  <c r="Z409" i="4"/>
  <c r="AI405" i="4"/>
  <c r="Z405" i="4"/>
  <c r="AI401" i="4"/>
  <c r="Z401" i="4"/>
  <c r="AI397" i="4"/>
  <c r="Z397" i="4"/>
  <c r="AI393" i="4"/>
  <c r="Z393" i="4"/>
  <c r="AI389" i="4"/>
  <c r="Z389" i="4"/>
  <c r="AI385" i="4"/>
  <c r="Z385" i="4"/>
  <c r="AI381" i="4"/>
  <c r="Z381" i="4"/>
  <c r="AI377" i="4"/>
  <c r="Z377" i="4"/>
  <c r="AI373" i="4"/>
  <c r="Z373" i="4"/>
  <c r="AI369" i="4"/>
  <c r="Z369" i="4"/>
  <c r="AI365" i="4"/>
  <c r="Z365" i="4"/>
  <c r="AI361" i="4"/>
  <c r="Z361" i="4"/>
  <c r="AI357" i="4"/>
  <c r="Z357" i="4"/>
  <c r="AI353" i="4"/>
  <c r="Z353" i="4"/>
  <c r="AI349" i="4"/>
  <c r="Z349" i="4"/>
  <c r="AI345" i="4"/>
  <c r="Z345" i="4"/>
  <c r="AI341" i="4"/>
  <c r="Z341" i="4"/>
  <c r="AI337" i="4"/>
  <c r="Z337" i="4"/>
  <c r="AI333" i="4"/>
  <c r="Z333" i="4"/>
  <c r="AI329" i="4"/>
  <c r="Z329" i="4"/>
  <c r="AI325" i="4"/>
  <c r="Z325" i="4"/>
  <c r="AI321" i="4"/>
  <c r="Z321" i="4"/>
  <c r="AI317" i="4"/>
  <c r="Z317" i="4"/>
  <c r="AI313" i="4"/>
  <c r="Z313" i="4"/>
  <c r="AI309" i="4"/>
  <c r="Z309" i="4"/>
  <c r="Z305" i="4"/>
  <c r="AI305" i="4"/>
  <c r="AI301" i="4"/>
  <c r="Z301" i="4"/>
  <c r="AI297" i="4"/>
  <c r="Z297" i="4"/>
  <c r="AI293" i="4"/>
  <c r="Z293" i="4"/>
  <c r="Z289" i="4"/>
  <c r="AI289" i="4"/>
  <c r="AI285" i="4"/>
  <c r="Z285" i="4"/>
  <c r="AI281" i="4"/>
  <c r="Z281" i="4"/>
  <c r="AI277" i="4"/>
  <c r="Z277" i="4"/>
  <c r="Z273" i="4"/>
  <c r="AI273" i="4"/>
  <c r="AI269" i="4"/>
  <c r="Z269" i="4"/>
  <c r="AI265" i="4"/>
  <c r="Z265" i="4"/>
  <c r="AI261" i="4"/>
  <c r="Z261" i="4"/>
  <c r="AI257" i="4"/>
  <c r="Z257" i="4"/>
  <c r="AI253" i="4"/>
  <c r="Z253" i="4"/>
  <c r="AI249" i="4"/>
  <c r="Z249" i="4"/>
  <c r="AI245" i="4"/>
  <c r="Z245" i="4"/>
  <c r="AL412" i="4"/>
  <c r="AC412" i="4"/>
  <c r="AL408" i="4"/>
  <c r="AC408" i="4"/>
  <c r="AL404" i="4"/>
  <c r="AC404" i="4"/>
  <c r="AL400" i="4"/>
  <c r="AC400" i="4"/>
  <c r="AL396" i="4"/>
  <c r="AC396" i="4"/>
  <c r="AL392" i="4"/>
  <c r="AC392" i="4"/>
  <c r="AC388" i="4"/>
  <c r="AL388" i="4"/>
  <c r="AL384" i="4"/>
  <c r="AC384" i="4"/>
  <c r="AL380" i="4"/>
  <c r="AC380" i="4"/>
  <c r="AL376" i="4"/>
  <c r="AC376" i="4"/>
  <c r="AL372" i="4"/>
  <c r="AC372" i="4"/>
  <c r="AL368" i="4"/>
  <c r="AC368" i="4"/>
  <c r="AL364" i="4"/>
  <c r="AC364" i="4"/>
  <c r="AL360" i="4"/>
  <c r="AC360" i="4"/>
  <c r="AL356" i="4"/>
  <c r="AC356" i="4"/>
  <c r="AL352" i="4"/>
  <c r="AC352" i="4"/>
  <c r="AL348" i="4"/>
  <c r="AC348" i="4"/>
  <c r="AL344" i="4"/>
  <c r="AC344" i="4"/>
  <c r="AL340" i="4"/>
  <c r="AC340" i="4"/>
  <c r="AL336" i="4"/>
  <c r="AC336" i="4"/>
  <c r="AL332" i="4"/>
  <c r="AC332" i="4"/>
  <c r="AL328" i="4"/>
  <c r="AC328" i="4"/>
  <c r="AL324" i="4"/>
  <c r="AC324" i="4"/>
  <c r="AL320" i="4"/>
  <c r="AC320" i="4"/>
  <c r="AC316" i="4"/>
  <c r="AL316" i="4"/>
  <c r="AL312" i="4"/>
  <c r="AC312" i="4"/>
  <c r="AL308" i="4"/>
  <c r="AC308" i="4"/>
  <c r="AL304" i="4"/>
  <c r="AC304" i="4"/>
  <c r="AL300" i="4"/>
  <c r="AC300" i="4"/>
  <c r="AL296" i="4"/>
  <c r="AC296" i="4"/>
  <c r="AL292" i="4"/>
  <c r="AC292" i="4"/>
  <c r="AL288" i="4"/>
  <c r="AC288" i="4"/>
  <c r="AL284" i="4"/>
  <c r="AC284" i="4"/>
  <c r="AL280" i="4"/>
  <c r="AC280" i="4"/>
  <c r="AL276" i="4"/>
  <c r="AC276" i="4"/>
  <c r="AL272" i="4"/>
  <c r="AC272" i="4"/>
  <c r="AL268" i="4"/>
  <c r="AC268" i="4"/>
  <c r="AL264" i="4"/>
  <c r="AC264" i="4"/>
  <c r="AL260" i="4"/>
  <c r="AC260" i="4"/>
  <c r="AL256" i="4"/>
  <c r="AC256" i="4"/>
  <c r="AL252" i="4"/>
  <c r="AC252" i="4"/>
  <c r="AL248" i="4"/>
  <c r="AC248" i="4"/>
  <c r="AL244" i="4"/>
  <c r="AC244" i="4"/>
  <c r="AD411" i="4"/>
  <c r="AM411" i="4"/>
  <c r="AM407" i="4"/>
  <c r="AD407" i="4"/>
  <c r="AM403" i="4"/>
  <c r="AD403" i="4"/>
  <c r="AM399" i="4"/>
  <c r="AD399" i="4"/>
  <c r="T395" i="4"/>
  <c r="AD395" i="4"/>
  <c r="AM395" i="4"/>
  <c r="T391" i="4"/>
  <c r="AM391" i="4"/>
  <c r="AD391" i="4"/>
  <c r="AM387" i="4"/>
  <c r="AD387" i="4"/>
  <c r="AM383" i="4"/>
  <c r="AD383" i="4"/>
  <c r="AD379" i="4"/>
  <c r="AM379" i="4"/>
  <c r="AM375" i="4"/>
  <c r="AD375" i="4"/>
  <c r="AM371" i="4"/>
  <c r="AD371" i="4"/>
  <c r="AM367" i="4"/>
  <c r="AD367" i="4"/>
  <c r="AD363" i="4"/>
  <c r="AM363" i="4"/>
  <c r="AM359" i="4"/>
  <c r="AD359" i="4"/>
  <c r="AM355" i="4"/>
  <c r="AD355" i="4"/>
  <c r="AM351" i="4"/>
  <c r="AD351" i="4"/>
  <c r="AM347" i="4"/>
  <c r="AD347" i="4"/>
  <c r="AM343" i="4"/>
  <c r="AD343" i="4"/>
  <c r="AM339" i="4"/>
  <c r="AD339" i="4"/>
  <c r="AM335" i="4"/>
  <c r="AD335" i="4"/>
  <c r="AM331" i="4"/>
  <c r="AD331" i="4"/>
  <c r="AM327" i="4"/>
  <c r="AD327" i="4"/>
  <c r="AM323" i="4"/>
  <c r="AD323" i="4"/>
  <c r="AM319" i="4"/>
  <c r="AD319" i="4"/>
  <c r="AD315" i="4"/>
  <c r="AM315" i="4"/>
  <c r="AM311" i="4"/>
  <c r="AD311" i="4"/>
  <c r="AM307" i="4"/>
  <c r="AD307" i="4"/>
  <c r="AM303" i="4"/>
  <c r="AD303" i="4"/>
  <c r="AM299" i="4"/>
  <c r="AD299" i="4"/>
  <c r="AM295" i="4"/>
  <c r="AD295" i="4"/>
  <c r="AM291" i="4"/>
  <c r="AD291" i="4"/>
  <c r="AM287" i="4"/>
  <c r="AD287" i="4"/>
  <c r="AM283" i="4"/>
  <c r="AD283" i="4"/>
  <c r="AM279" i="4"/>
  <c r="AD279" i="4"/>
  <c r="AM275" i="4"/>
  <c r="AD275" i="4"/>
  <c r="AM271" i="4"/>
  <c r="AD271" i="4"/>
  <c r="T267" i="4"/>
  <c r="AM267" i="4"/>
  <c r="AD267" i="4"/>
  <c r="AM263" i="4"/>
  <c r="AD263" i="4"/>
  <c r="AM259" i="4"/>
  <c r="AD259" i="4"/>
  <c r="AM255" i="4"/>
  <c r="AD255" i="4"/>
  <c r="AM251" i="4"/>
  <c r="AD251" i="4"/>
  <c r="T247" i="4"/>
  <c r="AM247" i="4"/>
  <c r="AD247" i="4"/>
  <c r="AN243" i="4"/>
  <c r="AE243" i="4"/>
  <c r="AN410" i="4"/>
  <c r="AE410" i="4"/>
  <c r="AN406" i="4"/>
  <c r="AE406" i="4"/>
  <c r="AN402" i="4"/>
  <c r="AE402" i="4"/>
  <c r="AN398" i="4"/>
  <c r="AE398" i="4"/>
  <c r="AN394" i="4"/>
  <c r="AE394" i="4"/>
  <c r="AN390" i="4"/>
  <c r="AE390" i="4"/>
  <c r="AN386" i="4"/>
  <c r="AE386" i="4"/>
  <c r="AE382" i="4"/>
  <c r="AN382" i="4"/>
  <c r="AN378" i="4"/>
  <c r="AE378" i="4"/>
  <c r="AN374" i="4"/>
  <c r="AE374" i="4"/>
  <c r="AN370" i="4"/>
  <c r="AE370" i="4"/>
  <c r="AN366" i="4"/>
  <c r="AE366" i="4"/>
  <c r="AN362" i="4"/>
  <c r="AE362" i="4"/>
  <c r="AN358" i="4"/>
  <c r="AE358" i="4"/>
  <c r="AN354" i="4"/>
  <c r="AE354" i="4"/>
  <c r="AE350" i="4"/>
  <c r="AN350" i="4"/>
  <c r="AN346" i="4"/>
  <c r="AE346" i="4"/>
  <c r="AN342" i="4"/>
  <c r="AE342" i="4"/>
  <c r="AN338" i="4"/>
  <c r="AE338" i="4"/>
  <c r="AN334" i="4"/>
  <c r="AE334" i="4"/>
  <c r="AN330" i="4"/>
  <c r="AE330" i="4"/>
  <c r="AN326" i="4"/>
  <c r="AE326" i="4"/>
  <c r="AN322" i="4"/>
  <c r="AE322" i="4"/>
  <c r="AN318" i="4"/>
  <c r="AE318" i="4"/>
  <c r="AN314" i="4"/>
  <c r="AE314" i="4"/>
  <c r="AN310" i="4"/>
  <c r="AE310" i="4"/>
  <c r="AN306" i="4"/>
  <c r="AE306" i="4"/>
  <c r="AN302" i="4"/>
  <c r="AE302" i="4"/>
  <c r="AN298" i="4"/>
  <c r="AE298" i="4"/>
  <c r="AN294" i="4"/>
  <c r="AE294" i="4"/>
  <c r="AN290" i="4"/>
  <c r="AE290" i="4"/>
  <c r="AN286" i="4"/>
  <c r="AE286" i="4"/>
  <c r="AN282" i="4"/>
  <c r="AE282" i="4"/>
  <c r="AN278" i="4"/>
  <c r="AE278" i="4"/>
  <c r="AN274" i="4"/>
  <c r="AE274" i="4"/>
  <c r="AN270" i="4"/>
  <c r="AE270" i="4"/>
  <c r="AN266" i="4"/>
  <c r="AE266" i="4"/>
  <c r="AN262" i="4"/>
  <c r="AE262" i="4"/>
  <c r="AN258" i="4"/>
  <c r="AE258" i="4"/>
  <c r="AN254" i="4"/>
  <c r="AE254" i="4"/>
  <c r="AN250" i="4"/>
  <c r="AE250" i="4"/>
  <c r="AN246" i="4"/>
  <c r="AE246" i="4"/>
  <c r="T387" i="4"/>
  <c r="AI411" i="4"/>
  <c r="Z411" i="4"/>
  <c r="AI403" i="4"/>
  <c r="Z403" i="4"/>
  <c r="AI395" i="4"/>
  <c r="Z395" i="4"/>
  <c r="AI387" i="4"/>
  <c r="Z387" i="4"/>
  <c r="AI379" i="4"/>
  <c r="Z379" i="4"/>
  <c r="AI371" i="4"/>
  <c r="Z371" i="4"/>
  <c r="AI363" i="4"/>
  <c r="Z363" i="4"/>
  <c r="AI355" i="4"/>
  <c r="Z355" i="4"/>
  <c r="AI347" i="4"/>
  <c r="Z347" i="4"/>
  <c r="AI343" i="4"/>
  <c r="Z343" i="4"/>
  <c r="Z335" i="4"/>
  <c r="AI335" i="4"/>
  <c r="AI331" i="4"/>
  <c r="Z331" i="4"/>
  <c r="AI323" i="4"/>
  <c r="Z323" i="4"/>
  <c r="AI315" i="4"/>
  <c r="Z315" i="4"/>
  <c r="AI307" i="4"/>
  <c r="Z307" i="4"/>
  <c r="AI299" i="4"/>
  <c r="Z299" i="4"/>
  <c r="AI291" i="4"/>
  <c r="Z291" i="4"/>
  <c r="AI283" i="4"/>
  <c r="Z283" i="4"/>
  <c r="AI275" i="4"/>
  <c r="Z275" i="4"/>
  <c r="AI267" i="4"/>
  <c r="Z267" i="4"/>
  <c r="AI259" i="4"/>
  <c r="Z259" i="4"/>
  <c r="AI251" i="4"/>
  <c r="Z251" i="4"/>
  <c r="AL243" i="4"/>
  <c r="AC243" i="4"/>
  <c r="AL406" i="4"/>
  <c r="AC406" i="4"/>
  <c r="AL398" i="4"/>
  <c r="AC398" i="4"/>
  <c r="AL390" i="4"/>
  <c r="AC390" i="4"/>
  <c r="AL382" i="4"/>
  <c r="AC382" i="4"/>
  <c r="AL378" i="4"/>
  <c r="AC378" i="4"/>
  <c r="AL370" i="4"/>
  <c r="AC370" i="4"/>
  <c r="AL362" i="4"/>
  <c r="AC362" i="4"/>
  <c r="AL354" i="4"/>
  <c r="AC354" i="4"/>
  <c r="AL346" i="4"/>
  <c r="AC346" i="4"/>
  <c r="AL338" i="4"/>
  <c r="AC338" i="4"/>
  <c r="AL334" i="4"/>
  <c r="AC334" i="4"/>
  <c r="AL326" i="4"/>
  <c r="AC326" i="4"/>
  <c r="AL318" i="4"/>
  <c r="AC318" i="4"/>
  <c r="AC310" i="4"/>
  <c r="AL310" i="4"/>
  <c r="AL302" i="4"/>
  <c r="AC302" i="4"/>
  <c r="AC294" i="4"/>
  <c r="AL294" i="4"/>
  <c r="AL286" i="4"/>
  <c r="AC286" i="4"/>
  <c r="AC278" i="4"/>
  <c r="AL278" i="4"/>
  <c r="AL270" i="4"/>
  <c r="AC270" i="4"/>
  <c r="AC262" i="4"/>
  <c r="AL262" i="4"/>
  <c r="AL254" i="4"/>
  <c r="AC254" i="4"/>
  <c r="AL246" i="4"/>
  <c r="AC246" i="4"/>
  <c r="AM409" i="4"/>
  <c r="AD409" i="4"/>
  <c r="AM405" i="4"/>
  <c r="AD405" i="4"/>
  <c r="AM397" i="4"/>
  <c r="AD397" i="4"/>
  <c r="AM389" i="4"/>
  <c r="AD389" i="4"/>
  <c r="AM381" i="4"/>
  <c r="AD381" i="4"/>
  <c r="AM373" i="4"/>
  <c r="AD373" i="4"/>
  <c r="AM365" i="4"/>
  <c r="AD365" i="4"/>
  <c r="AM357" i="4"/>
  <c r="AD357" i="4"/>
  <c r="AM349" i="4"/>
  <c r="AD349" i="4"/>
  <c r="AM341" i="4"/>
  <c r="AD341" i="4"/>
  <c r="AM329" i="4"/>
  <c r="AD329" i="4"/>
  <c r="AM317" i="4"/>
  <c r="AD317" i="4"/>
  <c r="AM309" i="4"/>
  <c r="AD309" i="4"/>
  <c r="AD301" i="4"/>
  <c r="AM301" i="4"/>
  <c r="AM293" i="4"/>
  <c r="AD293" i="4"/>
  <c r="AM281" i="4"/>
  <c r="AD281" i="4"/>
  <c r="AM273" i="4"/>
  <c r="AD273" i="4"/>
  <c r="AM265" i="4"/>
  <c r="AD265" i="4"/>
  <c r="AM257" i="4"/>
  <c r="AD257" i="4"/>
  <c r="AM249" i="4"/>
  <c r="AD249" i="4"/>
  <c r="T412" i="4"/>
  <c r="AN412" i="4"/>
  <c r="AE412" i="4"/>
  <c r="AN404" i="4"/>
  <c r="AE404" i="4"/>
  <c r="T396" i="4"/>
  <c r="AN396" i="4"/>
  <c r="AE396" i="4"/>
  <c r="AN392" i="4"/>
  <c r="AE392" i="4"/>
  <c r="AN384" i="4"/>
  <c r="AE384" i="4"/>
  <c r="AN376" i="4"/>
  <c r="AE376" i="4"/>
  <c r="AN368" i="4"/>
  <c r="AE368" i="4"/>
  <c r="AN360" i="4"/>
  <c r="AE360" i="4"/>
  <c r="AN352" i="4"/>
  <c r="AE352" i="4"/>
  <c r="AN344" i="4"/>
  <c r="AE344" i="4"/>
  <c r="AN336" i="4"/>
  <c r="AE336" i="4"/>
  <c r="AN328" i="4"/>
  <c r="AE328" i="4"/>
  <c r="AN320" i="4"/>
  <c r="AE320" i="4"/>
  <c r="AN312" i="4"/>
  <c r="AE312" i="4"/>
  <c r="AE304" i="4"/>
  <c r="AN304" i="4"/>
  <c r="AN300" i="4"/>
  <c r="AE300" i="4"/>
  <c r="AN296" i="4"/>
  <c r="AE296" i="4"/>
  <c r="AN292" i="4"/>
  <c r="AE292" i="4"/>
  <c r="AN284" i="4"/>
  <c r="AE284" i="4"/>
  <c r="AN280" i="4"/>
  <c r="AE280" i="4"/>
  <c r="AN276" i="4"/>
  <c r="AE276" i="4"/>
  <c r="AE272" i="4"/>
  <c r="AN272" i="4"/>
  <c r="AN268" i="4"/>
  <c r="AE268" i="4"/>
  <c r="AN264" i="4"/>
  <c r="AE264" i="4"/>
  <c r="AN260" i="4"/>
  <c r="AE260" i="4"/>
  <c r="AN256" i="4"/>
  <c r="AE256" i="4"/>
  <c r="AN252" i="4"/>
  <c r="AE252" i="4"/>
  <c r="AN248" i="4"/>
  <c r="AE248" i="4"/>
  <c r="AN244" i="4"/>
  <c r="AE244" i="4"/>
  <c r="AI243" i="4"/>
  <c r="Z243" i="4"/>
  <c r="AI406" i="4"/>
  <c r="Z406" i="4"/>
  <c r="AI398" i="4"/>
  <c r="Z398" i="4"/>
  <c r="AI390" i="4"/>
  <c r="Z390" i="4"/>
  <c r="AI382" i="4"/>
  <c r="Z382" i="4"/>
  <c r="AI374" i="4"/>
  <c r="Z374" i="4"/>
  <c r="AI366" i="4"/>
  <c r="Z366" i="4"/>
  <c r="AI362" i="4"/>
  <c r="Z362" i="4"/>
  <c r="AI354" i="4"/>
  <c r="Z354" i="4"/>
  <c r="AI346" i="4"/>
  <c r="Z346" i="4"/>
  <c r="AI338" i="4"/>
  <c r="Z338" i="4"/>
  <c r="AI330" i="4"/>
  <c r="Z330" i="4"/>
  <c r="AI322" i="4"/>
  <c r="Z322" i="4"/>
  <c r="AI318" i="4"/>
  <c r="Z318" i="4"/>
  <c r="Z310" i="4"/>
  <c r="AI310" i="4"/>
  <c r="Z302" i="4"/>
  <c r="AI302" i="4"/>
  <c r="AI290" i="4"/>
  <c r="Z290" i="4"/>
  <c r="AI282" i="4"/>
  <c r="Z282" i="4"/>
  <c r="AI274" i="4"/>
  <c r="Z274" i="4"/>
  <c r="AI266" i="4"/>
  <c r="Z266" i="4"/>
  <c r="AI258" i="4"/>
  <c r="Z258" i="4"/>
  <c r="AI250" i="4"/>
  <c r="Z250" i="4"/>
  <c r="AC413" i="4"/>
  <c r="AL413" i="4"/>
  <c r="AL405" i="4"/>
  <c r="AC405" i="4"/>
  <c r="AL397" i="4"/>
  <c r="AC397" i="4"/>
  <c r="AL389" i="4"/>
  <c r="AC389" i="4"/>
  <c r="AL381" i="4"/>
  <c r="AC381" i="4"/>
  <c r="AL373" i="4"/>
  <c r="AC373" i="4"/>
  <c r="AL365" i="4"/>
  <c r="AC365" i="4"/>
  <c r="AL357" i="4"/>
  <c r="AC357" i="4"/>
  <c r="AL349" i="4"/>
  <c r="AC349" i="4"/>
  <c r="AL341" i="4"/>
  <c r="AC341" i="4"/>
  <c r="AL333" i="4"/>
  <c r="AC333" i="4"/>
  <c r="AL325" i="4"/>
  <c r="AC325" i="4"/>
  <c r="AL317" i="4"/>
  <c r="AC317" i="4"/>
  <c r="AL309" i="4"/>
  <c r="AC309" i="4"/>
  <c r="AL297" i="4"/>
  <c r="AC297" i="4"/>
  <c r="AL289" i="4"/>
  <c r="AC289" i="4"/>
  <c r="AL281" i="4"/>
  <c r="AC281" i="4"/>
  <c r="AL273" i="4"/>
  <c r="AC273" i="4"/>
  <c r="AL265" i="4"/>
  <c r="AC265" i="4"/>
  <c r="AL257" i="4"/>
  <c r="AC257" i="4"/>
  <c r="AL249" i="4"/>
  <c r="AC249" i="4"/>
  <c r="AM412" i="4"/>
  <c r="AD412" i="4"/>
  <c r="AM404" i="4"/>
  <c r="AD404" i="4"/>
  <c r="AD396" i="4"/>
  <c r="AM396" i="4"/>
  <c r="AM388" i="4"/>
  <c r="AD388" i="4"/>
  <c r="AM380" i="4"/>
  <c r="AD380" i="4"/>
  <c r="AM372" i="4"/>
  <c r="AD372" i="4"/>
  <c r="AM360" i="4"/>
  <c r="AD360" i="4"/>
  <c r="AM352" i="4"/>
  <c r="AD352" i="4"/>
  <c r="AM340" i="4"/>
  <c r="AD340" i="4"/>
  <c r="AD332" i="4"/>
  <c r="AM332" i="4"/>
  <c r="AM324" i="4"/>
  <c r="AD324" i="4"/>
  <c r="AD316" i="4"/>
  <c r="AM316" i="4"/>
  <c r="AM308" i="4"/>
  <c r="AD308" i="4"/>
  <c r="AM300" i="4"/>
  <c r="AD300" i="4"/>
  <c r="AM292" i="4"/>
  <c r="AD292" i="4"/>
  <c r="AM280" i="4"/>
  <c r="AD280" i="4"/>
  <c r="AM272" i="4"/>
  <c r="AD272" i="4"/>
  <c r="AM264" i="4"/>
  <c r="AD264" i="4"/>
  <c r="AM256" i="4"/>
  <c r="AD256" i="4"/>
  <c r="AM248" i="4"/>
  <c r="AD248" i="4"/>
  <c r="AN411" i="4"/>
  <c r="AE411" i="4"/>
  <c r="AN403" i="4"/>
  <c r="AE403" i="4"/>
  <c r="AN395" i="4"/>
  <c r="AE395" i="4"/>
  <c r="T383" i="4"/>
  <c r="AN383" i="4"/>
  <c r="AE383" i="4"/>
  <c r="AN375" i="4"/>
  <c r="AE375" i="4"/>
  <c r="AE367" i="4"/>
  <c r="AN367" i="4"/>
  <c r="AN359" i="4"/>
  <c r="AE359" i="4"/>
  <c r="AN355" i="4"/>
  <c r="AE355" i="4"/>
  <c r="AN347" i="4"/>
  <c r="AE347" i="4"/>
  <c r="AN339" i="4"/>
  <c r="AE339" i="4"/>
  <c r="AN331" i="4"/>
  <c r="AE331" i="4"/>
  <c r="AN323" i="4"/>
  <c r="AE323" i="4"/>
  <c r="AN315" i="4"/>
  <c r="AE315" i="4"/>
  <c r="AN311" i="4"/>
  <c r="AE311" i="4"/>
  <c r="AN303" i="4"/>
  <c r="AE303" i="4"/>
  <c r="AN295" i="4"/>
  <c r="AE295" i="4"/>
  <c r="AN287" i="4"/>
  <c r="AE287" i="4"/>
  <c r="AN279" i="4"/>
  <c r="AE279" i="4"/>
  <c r="AN271" i="4"/>
  <c r="AE271" i="4"/>
  <c r="AN263" i="4"/>
  <c r="AE263" i="4"/>
  <c r="AN251" i="4"/>
  <c r="AE251" i="4"/>
  <c r="T388" i="4"/>
  <c r="AI412" i="4"/>
  <c r="Z412" i="4"/>
  <c r="AI408" i="4"/>
  <c r="Z408" i="4"/>
  <c r="AI404" i="4"/>
  <c r="Z404" i="4"/>
  <c r="AI400" i="4"/>
  <c r="Z400" i="4"/>
  <c r="AI396" i="4"/>
  <c r="Z396" i="4"/>
  <c r="AI392" i="4"/>
  <c r="Z392" i="4"/>
  <c r="AI388" i="4"/>
  <c r="Z388" i="4"/>
  <c r="AI384" i="4"/>
  <c r="Z384" i="4"/>
  <c r="Z380" i="4"/>
  <c r="AI380" i="4"/>
  <c r="AI376" i="4"/>
  <c r="Z376" i="4"/>
  <c r="AI372" i="4"/>
  <c r="Z372" i="4"/>
  <c r="AI368" i="4"/>
  <c r="Z368" i="4"/>
  <c r="AI364" i="4"/>
  <c r="Z364" i="4"/>
  <c r="AI360" i="4"/>
  <c r="Z360" i="4"/>
  <c r="AI356" i="4"/>
  <c r="Z356" i="4"/>
  <c r="AI352" i="4"/>
  <c r="Z352" i="4"/>
  <c r="AI348" i="4"/>
  <c r="Z348" i="4"/>
  <c r="AI344" i="4"/>
  <c r="Z344" i="4"/>
  <c r="AI340" i="4"/>
  <c r="Z340" i="4"/>
  <c r="AI336" i="4"/>
  <c r="Z336" i="4"/>
  <c r="AI332" i="4"/>
  <c r="Z332" i="4"/>
  <c r="AI328" i="4"/>
  <c r="Z328" i="4"/>
  <c r="AI324" i="4"/>
  <c r="Z324" i="4"/>
  <c r="AI320" i="4"/>
  <c r="Z320" i="4"/>
  <c r="Z316" i="4"/>
  <c r="AI316" i="4"/>
  <c r="AI312" i="4"/>
  <c r="Z312" i="4"/>
  <c r="AI308" i="4"/>
  <c r="Z308" i="4"/>
  <c r="AI304" i="4"/>
  <c r="Z304" i="4"/>
  <c r="AI300" i="4"/>
  <c r="Z300" i="4"/>
  <c r="AI296" i="4"/>
  <c r="Z296" i="4"/>
  <c r="AI292" i="4"/>
  <c r="Z292" i="4"/>
  <c r="AI288" i="4"/>
  <c r="Z288" i="4"/>
  <c r="AI284" i="4"/>
  <c r="Z284" i="4"/>
  <c r="AI280" i="4"/>
  <c r="Z280" i="4"/>
  <c r="AI276" i="4"/>
  <c r="Z276" i="4"/>
  <c r="AI272" i="4"/>
  <c r="Z272" i="4"/>
  <c r="AI268" i="4"/>
  <c r="Z268" i="4"/>
  <c r="AI264" i="4"/>
  <c r="Z264" i="4"/>
  <c r="AI260" i="4"/>
  <c r="Z260" i="4"/>
  <c r="AI256" i="4"/>
  <c r="Z256" i="4"/>
  <c r="AI252" i="4"/>
  <c r="Z252" i="4"/>
  <c r="AI248" i="4"/>
  <c r="Z248" i="4"/>
  <c r="AI244" i="4"/>
  <c r="Z244" i="4"/>
  <c r="AL411" i="4"/>
  <c r="AC411" i="4"/>
  <c r="AL407" i="4"/>
  <c r="AC407" i="4"/>
  <c r="AL403" i="4"/>
  <c r="AC403" i="4"/>
  <c r="AL399" i="4"/>
  <c r="AC399" i="4"/>
  <c r="AL395" i="4"/>
  <c r="AC395" i="4"/>
  <c r="AL391" i="4"/>
  <c r="AC391" i="4"/>
  <c r="AL387" i="4"/>
  <c r="AC387" i="4"/>
  <c r="AL383" i="4"/>
  <c r="AC383" i="4"/>
  <c r="AL379" i="4"/>
  <c r="AC379" i="4"/>
  <c r="AL375" i="4"/>
  <c r="AC375" i="4"/>
  <c r="AL371" i="4"/>
  <c r="AC371" i="4"/>
  <c r="AL367" i="4"/>
  <c r="AC367" i="4"/>
  <c r="AL363" i="4"/>
  <c r="AC363" i="4"/>
  <c r="AL359" i="4"/>
  <c r="AC359" i="4"/>
  <c r="AL355" i="4"/>
  <c r="AC355" i="4"/>
  <c r="AL351" i="4"/>
  <c r="AC351" i="4"/>
  <c r="AL347" i="4"/>
  <c r="AC347" i="4"/>
  <c r="AL343" i="4"/>
  <c r="AC343" i="4"/>
  <c r="AL339" i="4"/>
  <c r="AC339" i="4"/>
  <c r="AL335" i="4"/>
  <c r="AC335" i="4"/>
  <c r="AL331" i="4"/>
  <c r="AC331" i="4"/>
  <c r="AL327" i="4"/>
  <c r="AC327" i="4"/>
  <c r="AL323" i="4"/>
  <c r="AC323" i="4"/>
  <c r="AL319" i="4"/>
  <c r="AC319" i="4"/>
  <c r="AL315" i="4"/>
  <c r="AC315" i="4"/>
  <c r="AL311" i="4"/>
  <c r="AC311" i="4"/>
  <c r="AC307" i="4"/>
  <c r="AL307" i="4"/>
  <c r="AL303" i="4"/>
  <c r="AC303" i="4"/>
  <c r="AL299" i="4"/>
  <c r="AC299" i="4"/>
  <c r="AL295" i="4"/>
  <c r="AC295" i="4"/>
  <c r="AC291" i="4"/>
  <c r="AL291" i="4"/>
  <c r="AL287" i="4"/>
  <c r="AC287" i="4"/>
  <c r="AL283" i="4"/>
  <c r="AC283" i="4"/>
  <c r="AL279" i="4"/>
  <c r="AC279" i="4"/>
  <c r="AC275" i="4"/>
  <c r="AL275" i="4"/>
  <c r="AL271" i="4"/>
  <c r="AC271" i="4"/>
  <c r="AL267" i="4"/>
  <c r="AC267" i="4"/>
  <c r="AL263" i="4"/>
  <c r="AC263" i="4"/>
  <c r="AC259" i="4"/>
  <c r="AL259" i="4"/>
  <c r="AL255" i="4"/>
  <c r="AC255" i="4"/>
  <c r="AL251" i="4"/>
  <c r="AC251" i="4"/>
  <c r="AL247" i="4"/>
  <c r="AC247" i="4"/>
  <c r="AM243" i="4"/>
  <c r="AD243" i="4"/>
  <c r="AM410" i="4"/>
  <c r="AD410" i="4"/>
  <c r="AM406" i="4"/>
  <c r="AD406" i="4"/>
  <c r="AM402" i="4"/>
  <c r="AD402" i="4"/>
  <c r="AM398" i="4"/>
  <c r="AD398" i="4"/>
  <c r="AM394" i="4"/>
  <c r="AD394" i="4"/>
  <c r="AM390" i="4"/>
  <c r="AD390" i="4"/>
  <c r="T386" i="4"/>
  <c r="AM386" i="4"/>
  <c r="AD386" i="4"/>
  <c r="AM382" i="4"/>
  <c r="AD382" i="4"/>
  <c r="AM378" i="4"/>
  <c r="AD378" i="4"/>
  <c r="AM374" i="4"/>
  <c r="AD374" i="4"/>
  <c r="AM370" i="4"/>
  <c r="AD370" i="4"/>
  <c r="AM366" i="4"/>
  <c r="AD366" i="4"/>
  <c r="AM362" i="4"/>
  <c r="AD362" i="4"/>
  <c r="AM358" i="4"/>
  <c r="AD358" i="4"/>
  <c r="AM354" i="4"/>
  <c r="AD354" i="4"/>
  <c r="AM350" i="4"/>
  <c r="AD350" i="4"/>
  <c r="AM346" i="4"/>
  <c r="AD346" i="4"/>
  <c r="AM342" i="4"/>
  <c r="AD342" i="4"/>
  <c r="AM338" i="4"/>
  <c r="AD338" i="4"/>
  <c r="AM334" i="4"/>
  <c r="AD334" i="4"/>
  <c r="AM330" i="4"/>
  <c r="AD330" i="4"/>
  <c r="AM326" i="4"/>
  <c r="AD326" i="4"/>
  <c r="AM322" i="4"/>
  <c r="AD322" i="4"/>
  <c r="AM318" i="4"/>
  <c r="AD318" i="4"/>
  <c r="AM314" i="4"/>
  <c r="AD314" i="4"/>
  <c r="AD310" i="4"/>
  <c r="AM310" i="4"/>
  <c r="AM306" i="4"/>
  <c r="AD306" i="4"/>
  <c r="AD302" i="4"/>
  <c r="AM302" i="4"/>
  <c r="AM298" i="4"/>
  <c r="AD298" i="4"/>
  <c r="AD294" i="4"/>
  <c r="AM294" i="4"/>
  <c r="AM290" i="4"/>
  <c r="AD290" i="4"/>
  <c r="AD286" i="4"/>
  <c r="AM286" i="4"/>
  <c r="AM282" i="4"/>
  <c r="AD282" i="4"/>
  <c r="AD278" i="4"/>
  <c r="AM278" i="4"/>
  <c r="AM274" i="4"/>
  <c r="AD274" i="4"/>
  <c r="AD270" i="4"/>
  <c r="AM270" i="4"/>
  <c r="AM266" i="4"/>
  <c r="AD266" i="4"/>
  <c r="AD262" i="4"/>
  <c r="AM262" i="4"/>
  <c r="AM258" i="4"/>
  <c r="AD258" i="4"/>
  <c r="AD254" i="4"/>
  <c r="AM254" i="4"/>
  <c r="AM250" i="4"/>
  <c r="AD250" i="4"/>
  <c r="AM246" i="4"/>
  <c r="AD246" i="4"/>
  <c r="AN413" i="4"/>
  <c r="AE413" i="4"/>
  <c r="T409" i="4"/>
  <c r="AN409" i="4"/>
  <c r="AE409" i="4"/>
  <c r="T405" i="4"/>
  <c r="AN405" i="4"/>
  <c r="AE405" i="4"/>
  <c r="AN401" i="4"/>
  <c r="AE401" i="4"/>
  <c r="T397" i="4"/>
  <c r="AN397" i="4"/>
  <c r="AE397" i="4"/>
  <c r="AN393" i="4"/>
  <c r="AE393" i="4"/>
  <c r="T389" i="4"/>
  <c r="AN389" i="4"/>
  <c r="AE389" i="4"/>
  <c r="AN385" i="4"/>
  <c r="AE385" i="4"/>
  <c r="AN381" i="4"/>
  <c r="AE381" i="4"/>
  <c r="AN377" i="4"/>
  <c r="AE377" i="4"/>
  <c r="T373" i="4"/>
  <c r="AN373" i="4"/>
  <c r="AE373" i="4"/>
  <c r="AN369" i="4"/>
  <c r="AE369" i="4"/>
  <c r="AN365" i="4"/>
  <c r="AE365" i="4"/>
  <c r="AN361" i="4"/>
  <c r="AE361" i="4"/>
  <c r="AN357" i="4"/>
  <c r="AE357" i="4"/>
  <c r="AN353" i="4"/>
  <c r="AE353" i="4"/>
  <c r="AN349" i="4"/>
  <c r="AE349" i="4"/>
  <c r="AN345" i="4"/>
  <c r="AE345" i="4"/>
  <c r="AN341" i="4"/>
  <c r="AE341" i="4"/>
  <c r="AN337" i="4"/>
  <c r="AE337" i="4"/>
  <c r="AN333" i="4"/>
  <c r="AE333" i="4"/>
  <c r="AN329" i="4"/>
  <c r="AE329" i="4"/>
  <c r="AN325" i="4"/>
  <c r="AE325" i="4"/>
  <c r="AN321" i="4"/>
  <c r="AE321" i="4"/>
  <c r="AN317" i="4"/>
  <c r="AE317" i="4"/>
  <c r="AN313" i="4"/>
  <c r="AE313" i="4"/>
  <c r="AN309" i="4"/>
  <c r="AE309" i="4"/>
  <c r="AE305" i="4"/>
  <c r="AN305" i="4"/>
  <c r="AN301" i="4"/>
  <c r="AE301" i="4"/>
  <c r="AE297" i="4"/>
  <c r="AN297" i="4"/>
  <c r="AN293" i="4"/>
  <c r="AE293" i="4"/>
  <c r="AE289" i="4"/>
  <c r="AN289" i="4"/>
  <c r="AN285" i="4"/>
  <c r="AE285" i="4"/>
  <c r="AE281" i="4"/>
  <c r="AN281" i="4"/>
  <c r="AN277" i="4"/>
  <c r="AE277" i="4"/>
  <c r="AE273" i="4"/>
  <c r="AN273" i="4"/>
  <c r="AN269" i="4"/>
  <c r="AE269" i="4"/>
  <c r="AE265" i="4"/>
  <c r="AN265" i="4"/>
  <c r="AN261" i="4"/>
  <c r="AE261" i="4"/>
  <c r="AE257" i="4"/>
  <c r="AN257" i="4"/>
  <c r="AN253" i="4"/>
  <c r="AE253" i="4"/>
  <c r="AE249" i="4"/>
  <c r="AN249" i="4"/>
  <c r="AN245" i="4"/>
  <c r="AE245" i="4"/>
  <c r="T355" i="4"/>
  <c r="T392" i="4"/>
  <c r="T364" i="4"/>
  <c r="T320" i="4"/>
  <c r="T284" i="4"/>
  <c r="T321" i="4"/>
  <c r="T367" i="4"/>
  <c r="T406" i="4"/>
  <c r="T402" i="4"/>
  <c r="T413" i="4"/>
  <c r="T411" i="4"/>
  <c r="T410" i="4"/>
  <c r="T408" i="4"/>
  <c r="T407" i="4"/>
  <c r="T404" i="4"/>
  <c r="T403" i="4"/>
  <c r="T401" i="4"/>
  <c r="T398" i="4"/>
  <c r="T394" i="4"/>
  <c r="T393" i="4"/>
  <c r="T390" i="4"/>
  <c r="T384" i="4"/>
  <c r="T382" i="4"/>
  <c r="T381" i="4"/>
  <c r="T379" i="4"/>
  <c r="T378" i="4"/>
  <c r="T377" i="4"/>
  <c r="T376" i="4"/>
  <c r="T375" i="4"/>
  <c r="T374" i="4"/>
  <c r="T372" i="4"/>
  <c r="T371" i="4"/>
  <c r="T370" i="4"/>
  <c r="T366" i="4"/>
  <c r="T369" i="4"/>
  <c r="T368" i="4"/>
  <c r="T365" i="4"/>
  <c r="T363" i="4"/>
  <c r="T362" i="4"/>
  <c r="T361" i="4"/>
  <c r="T360" i="4"/>
  <c r="T359" i="4"/>
  <c r="T358" i="4"/>
  <c r="T357" i="4"/>
  <c r="T356"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24" i="4"/>
  <c r="T323" i="4"/>
  <c r="T322"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3" i="4"/>
  <c r="T282" i="4"/>
  <c r="T281" i="4"/>
  <c r="T280" i="4"/>
  <c r="T279" i="4"/>
  <c r="T278" i="4"/>
  <c r="T277" i="4"/>
  <c r="T276" i="4"/>
  <c r="T275" i="4"/>
  <c r="T274" i="4"/>
  <c r="T273" i="4"/>
  <c r="T272" i="4"/>
  <c r="T271" i="4"/>
  <c r="T270" i="4"/>
  <c r="T269" i="4"/>
  <c r="T268" i="4"/>
  <c r="T266" i="4"/>
  <c r="T265" i="4"/>
  <c r="T264" i="4"/>
  <c r="T263" i="4"/>
  <c r="T262" i="4"/>
  <c r="T261" i="4"/>
  <c r="T260" i="4"/>
  <c r="T259" i="4"/>
  <c r="T258" i="4"/>
  <c r="T257" i="4"/>
  <c r="T256" i="4"/>
  <c r="T255" i="4"/>
  <c r="T254" i="4"/>
  <c r="T253" i="4"/>
  <c r="T252" i="4"/>
  <c r="T251" i="4"/>
  <c r="T250" i="4"/>
  <c r="T249" i="4"/>
  <c r="T248" i="4"/>
  <c r="T246" i="4"/>
  <c r="T245" i="4"/>
  <c r="T243" i="4"/>
  <c r="AO246" i="4" l="1"/>
  <c r="AF246" i="4"/>
  <c r="AO263" i="4"/>
  <c r="AF263" i="4"/>
  <c r="AF272" i="4"/>
  <c r="AO272" i="4"/>
  <c r="AO285" i="4"/>
  <c r="AF285" i="4"/>
  <c r="AO297" i="4"/>
  <c r="AF297" i="4"/>
  <c r="AO309" i="4"/>
  <c r="AF309" i="4"/>
  <c r="AO317" i="4"/>
  <c r="AF317" i="4"/>
  <c r="AO331" i="4"/>
  <c r="AF331" i="4"/>
  <c r="AO339" i="4"/>
  <c r="AF339" i="4"/>
  <c r="AO351" i="4"/>
  <c r="AF351" i="4"/>
  <c r="AO360" i="4"/>
  <c r="AF360" i="4"/>
  <c r="AO370" i="4"/>
  <c r="AF370" i="4"/>
  <c r="AF390" i="4"/>
  <c r="AO390" i="4"/>
  <c r="AO408" i="4"/>
  <c r="AF408" i="4"/>
  <c r="AO406" i="4"/>
  <c r="AF406" i="4"/>
  <c r="AO396" i="4"/>
  <c r="AF396" i="4"/>
  <c r="AO260" i="4"/>
  <c r="AF260" i="4"/>
  <c r="AO310" i="4"/>
  <c r="AF310" i="4"/>
  <c r="AO393" i="4"/>
  <c r="AF393" i="4"/>
  <c r="AO364" i="4"/>
  <c r="AF364" i="4"/>
  <c r="AO405" i="4"/>
  <c r="AF405" i="4"/>
  <c r="AO383" i="4"/>
  <c r="AF383" i="4"/>
  <c r="AO412" i="4"/>
  <c r="AF412" i="4"/>
  <c r="AO247" i="4"/>
  <c r="AF247" i="4"/>
  <c r="AO380" i="4"/>
  <c r="AF380" i="4"/>
  <c r="AO385" i="4"/>
  <c r="AF385" i="4"/>
  <c r="AO255" i="4"/>
  <c r="AF255" i="4"/>
  <c r="AO276" i="4"/>
  <c r="AF276" i="4"/>
  <c r="AO289" i="4"/>
  <c r="AF289" i="4"/>
  <c r="AO305" i="4"/>
  <c r="AF305" i="4"/>
  <c r="AO323" i="4"/>
  <c r="AF323" i="4"/>
  <c r="AO343" i="4"/>
  <c r="AF343" i="4"/>
  <c r="AO375" i="4"/>
  <c r="AF375" i="4"/>
  <c r="AO320" i="4"/>
  <c r="AF320" i="4"/>
  <c r="AO397" i="4"/>
  <c r="AF397" i="4"/>
  <c r="AO244" i="4"/>
  <c r="AF244" i="4"/>
  <c r="AF248" i="4"/>
  <c r="AO248" i="4"/>
  <c r="AF256" i="4"/>
  <c r="AO256" i="4"/>
  <c r="AO269" i="4"/>
  <c r="AF269" i="4"/>
  <c r="AO277" i="4"/>
  <c r="AF277" i="4"/>
  <c r="AO286" i="4"/>
  <c r="AF286" i="4"/>
  <c r="AO298" i="4"/>
  <c r="AF298" i="4"/>
  <c r="AO302" i="4"/>
  <c r="AF302" i="4"/>
  <c r="AO314" i="4"/>
  <c r="AF314" i="4"/>
  <c r="AO324" i="4"/>
  <c r="AF324" i="4"/>
  <c r="AO332" i="4"/>
  <c r="AF332" i="4"/>
  <c r="AO340" i="4"/>
  <c r="AF340" i="4"/>
  <c r="AO352" i="4"/>
  <c r="AF352" i="4"/>
  <c r="AO361" i="4"/>
  <c r="AF361" i="4"/>
  <c r="AO371" i="4"/>
  <c r="AF371" i="4"/>
  <c r="AO376" i="4"/>
  <c r="AF376" i="4"/>
  <c r="AO403" i="4"/>
  <c r="AF403" i="4"/>
  <c r="AO367" i="4"/>
  <c r="AF367" i="4"/>
  <c r="AO243" i="4"/>
  <c r="AF243" i="4"/>
  <c r="AO249" i="4"/>
  <c r="AF249" i="4"/>
  <c r="AO253" i="4"/>
  <c r="AF253" i="4"/>
  <c r="AO257" i="4"/>
  <c r="AF257" i="4"/>
  <c r="AO261" i="4"/>
  <c r="AF261" i="4"/>
  <c r="AO265" i="4"/>
  <c r="AF265" i="4"/>
  <c r="AO270" i="4"/>
  <c r="AF270" i="4"/>
  <c r="AO274" i="4"/>
  <c r="AF274" i="4"/>
  <c r="AO278" i="4"/>
  <c r="AF278" i="4"/>
  <c r="AO282" i="4"/>
  <c r="AF282" i="4"/>
  <c r="AO287" i="4"/>
  <c r="AF287" i="4"/>
  <c r="AO291" i="4"/>
  <c r="AF291" i="4"/>
  <c r="AO295" i="4"/>
  <c r="AF295" i="4"/>
  <c r="AO299" i="4"/>
  <c r="AF299" i="4"/>
  <c r="AO303" i="4"/>
  <c r="AF303" i="4"/>
  <c r="AF307" i="4"/>
  <c r="AO307" i="4"/>
  <c r="AO311" i="4"/>
  <c r="AF311" i="4"/>
  <c r="AO315" i="4"/>
  <c r="AF315" i="4"/>
  <c r="AO319" i="4"/>
  <c r="AF319" i="4"/>
  <c r="AO325" i="4"/>
  <c r="AF325" i="4"/>
  <c r="AO329" i="4"/>
  <c r="AF329" i="4"/>
  <c r="AO333" i="4"/>
  <c r="AF333" i="4"/>
  <c r="AO337" i="4"/>
  <c r="AF337" i="4"/>
  <c r="AO341" i="4"/>
  <c r="AF341" i="4"/>
  <c r="AO345" i="4"/>
  <c r="AF345" i="4"/>
  <c r="AO349" i="4"/>
  <c r="AF349" i="4"/>
  <c r="AO353" i="4"/>
  <c r="AF353" i="4"/>
  <c r="AF358" i="4"/>
  <c r="AO358" i="4"/>
  <c r="AO362" i="4"/>
  <c r="AF362" i="4"/>
  <c r="AO369" i="4"/>
  <c r="AF369" i="4"/>
  <c r="AO372" i="4"/>
  <c r="AF372" i="4"/>
  <c r="AF377" i="4"/>
  <c r="AO377" i="4"/>
  <c r="AO382" i="4"/>
  <c r="AF382" i="4"/>
  <c r="AO394" i="4"/>
  <c r="AF394" i="4"/>
  <c r="AO404" i="4"/>
  <c r="AF404" i="4"/>
  <c r="AO411" i="4"/>
  <c r="AF411" i="4"/>
  <c r="AO321" i="4"/>
  <c r="AF321" i="4"/>
  <c r="AO392" i="4"/>
  <c r="AF392" i="4"/>
  <c r="AO373" i="4"/>
  <c r="AF373" i="4"/>
  <c r="AO395" i="4"/>
  <c r="AF395" i="4"/>
  <c r="AO400" i="4"/>
  <c r="AF400" i="4"/>
  <c r="AO251" i="4"/>
  <c r="AF251" i="4"/>
  <c r="AO259" i="4"/>
  <c r="AF259" i="4"/>
  <c r="AO268" i="4"/>
  <c r="AF268" i="4"/>
  <c r="AF280" i="4"/>
  <c r="AO280" i="4"/>
  <c r="AO293" i="4"/>
  <c r="AF293" i="4"/>
  <c r="AO301" i="4"/>
  <c r="AF301" i="4"/>
  <c r="AF313" i="4"/>
  <c r="AO313" i="4"/>
  <c r="AO327" i="4"/>
  <c r="AF327" i="4"/>
  <c r="AO335" i="4"/>
  <c r="AF335" i="4"/>
  <c r="AO347" i="4"/>
  <c r="AF347" i="4"/>
  <c r="AO356" i="4"/>
  <c r="AF356" i="4"/>
  <c r="AO365" i="4"/>
  <c r="AF365" i="4"/>
  <c r="AO379" i="4"/>
  <c r="AF379" i="4"/>
  <c r="AO401" i="4"/>
  <c r="AF401" i="4"/>
  <c r="AF409" i="4"/>
  <c r="AO409" i="4"/>
  <c r="AO388" i="4"/>
  <c r="AF388" i="4"/>
  <c r="AO387" i="4"/>
  <c r="AF387" i="4"/>
  <c r="AO267" i="4"/>
  <c r="AF267" i="4"/>
  <c r="AO252" i="4"/>
  <c r="AF252" i="4"/>
  <c r="AF264" i="4"/>
  <c r="AO264" i="4"/>
  <c r="AO273" i="4"/>
  <c r="AF273" i="4"/>
  <c r="AO281" i="4"/>
  <c r="AF281" i="4"/>
  <c r="AO290" i="4"/>
  <c r="AF290" i="4"/>
  <c r="AO294" i="4"/>
  <c r="AF294" i="4"/>
  <c r="AO306" i="4"/>
  <c r="AF306" i="4"/>
  <c r="AO318" i="4"/>
  <c r="AF318" i="4"/>
  <c r="AO328" i="4"/>
  <c r="AF328" i="4"/>
  <c r="AO336" i="4"/>
  <c r="AF336" i="4"/>
  <c r="AO344" i="4"/>
  <c r="AF344" i="4"/>
  <c r="AO348" i="4"/>
  <c r="AF348" i="4"/>
  <c r="AO357" i="4"/>
  <c r="AF357" i="4"/>
  <c r="AO368" i="4"/>
  <c r="AF368" i="4"/>
  <c r="AO381" i="4"/>
  <c r="AF381" i="4"/>
  <c r="AO410" i="4"/>
  <c r="AF410" i="4"/>
  <c r="AO245" i="4"/>
  <c r="AF245" i="4"/>
  <c r="AO250" i="4"/>
  <c r="AF250" i="4"/>
  <c r="AO254" i="4"/>
  <c r="AF254" i="4"/>
  <c r="AO258" i="4"/>
  <c r="AF258" i="4"/>
  <c r="AO262" i="4"/>
  <c r="AF262" i="4"/>
  <c r="AO266" i="4"/>
  <c r="AF266" i="4"/>
  <c r="AO271" i="4"/>
  <c r="AF271" i="4"/>
  <c r="AF275" i="4"/>
  <c r="AO275" i="4"/>
  <c r="AO279" i="4"/>
  <c r="AF279" i="4"/>
  <c r="AO283" i="4"/>
  <c r="AF283" i="4"/>
  <c r="AF288" i="4"/>
  <c r="AO288" i="4"/>
  <c r="AO292" i="4"/>
  <c r="AF292" i="4"/>
  <c r="AF296" i="4"/>
  <c r="AO296" i="4"/>
  <c r="AO300" i="4"/>
  <c r="AF300" i="4"/>
  <c r="AF304" i="4"/>
  <c r="AO304" i="4"/>
  <c r="AO308" i="4"/>
  <c r="AF308" i="4"/>
  <c r="AO312" i="4"/>
  <c r="AF312" i="4"/>
  <c r="AO316" i="4"/>
  <c r="AF316" i="4"/>
  <c r="AO322" i="4"/>
  <c r="AF322" i="4"/>
  <c r="AO326" i="4"/>
  <c r="AF326" i="4"/>
  <c r="AO330" i="4"/>
  <c r="AF330" i="4"/>
  <c r="AO334" i="4"/>
  <c r="AF334" i="4"/>
  <c r="AO338" i="4"/>
  <c r="AF338" i="4"/>
  <c r="AO342" i="4"/>
  <c r="AF342" i="4"/>
  <c r="AO346" i="4"/>
  <c r="AF346" i="4"/>
  <c r="AO350" i="4"/>
  <c r="AF350" i="4"/>
  <c r="AO354" i="4"/>
  <c r="AF354" i="4"/>
  <c r="AO359" i="4"/>
  <c r="AF359" i="4"/>
  <c r="AO363" i="4"/>
  <c r="AF363" i="4"/>
  <c r="AO366" i="4"/>
  <c r="AF366" i="4"/>
  <c r="AO374" i="4"/>
  <c r="AF374" i="4"/>
  <c r="AO378" i="4"/>
  <c r="AF378" i="4"/>
  <c r="AO384" i="4"/>
  <c r="AF384" i="4"/>
  <c r="AO398" i="4"/>
  <c r="AF398" i="4"/>
  <c r="AO407" i="4"/>
  <c r="AF407" i="4"/>
  <c r="AO413" i="4"/>
  <c r="AF413" i="4"/>
  <c r="AO402" i="4"/>
  <c r="AF402" i="4"/>
  <c r="AO284" i="4"/>
  <c r="AF284" i="4"/>
  <c r="AO355" i="4"/>
  <c r="AF355" i="4"/>
  <c r="AO389" i="4"/>
  <c r="AF389" i="4"/>
  <c r="AO386" i="4"/>
  <c r="AF386" i="4"/>
  <c r="AO391" i="4"/>
  <c r="AF391" i="4"/>
  <c r="AO399" i="4"/>
  <c r="AF399" i="4"/>
</calcChain>
</file>

<file path=xl/sharedStrings.xml><?xml version="1.0" encoding="utf-8"?>
<sst xmlns="http://schemas.openxmlformats.org/spreadsheetml/2006/main" count="5538" uniqueCount="962">
  <si>
    <t xml:space="preserve">TOTAL BENEFICIOS PAGADOS DEL PILAR NO CONTRIBUTIVO </t>
  </si>
  <si>
    <t>(julio 2008 a diciembre 2022)</t>
  </si>
  <si>
    <t>N°</t>
  </si>
  <si>
    <t>PBS Vejez</t>
  </si>
  <si>
    <t>PBS Invalidez</t>
  </si>
  <si>
    <t>APS Vejez</t>
  </si>
  <si>
    <t>APS Invalidez</t>
  </si>
  <si>
    <t>TOTAL</t>
  </si>
  <si>
    <t>Fuente: SP. Información 2022 actualizada 10-05-2023</t>
  </si>
  <si>
    <t>%</t>
  </si>
  <si>
    <t>(febrero 2022 a diciembre 2022)</t>
  </si>
  <si>
    <t>PERIODO</t>
  </si>
  <si>
    <t>(julio 2008  a diciembre 2022)</t>
  </si>
  <si>
    <t>NÚMERO DE BENEFICIARIOS DE APS</t>
  </si>
  <si>
    <t>APS VEJEZ</t>
  </si>
  <si>
    <t>APS INVALIDEZ</t>
  </si>
  <si>
    <t>TOTAL APS</t>
  </si>
  <si>
    <t>MONTOS PAGADOS APS</t>
  </si>
  <si>
    <t>Número de beneficios y montos APS pagados mensualmente</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</si>
  <si>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</si>
  <si>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</si>
  <si>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</si>
  <si>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</si>
  <si>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</si>
  <si>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</si>
  <si>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</si>
  <si>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</si>
  <si>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</si>
  <si>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</si>
  <si>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</si>
  <si>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</si>
  <si>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</si>
  <si>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</si>
  <si>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</si>
  <si>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</si>
  <si>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</si>
  <si>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</si>
  <si>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</si>
  <si>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</si>
  <si>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</si>
  <si>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</si>
  <si>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</si>
  <si>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</si>
  <si>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</si>
  <si>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</si>
  <si>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</si>
  <si>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</si>
  <si>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</si>
  <si>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</si>
  <si>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</si>
  <si>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</si>
  <si>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</si>
  <si>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</si>
  <si>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</si>
  <si>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</si>
  <si>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</si>
  <si>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</si>
  <si>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</si>
  <si>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</si>
  <si>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</si>
  <si>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</si>
  <si>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</si>
  <si>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</si>
  <si>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</si>
  <si>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</si>
  <si>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</si>
  <si>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</si>
  <si>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</si>
  <si>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</si>
  <si>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</si>
  <si>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</si>
  <si>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</si>
  <si>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</si>
  <si>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</si>
  <si>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</si>
  <si>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</si>
  <si>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</si>
  <si>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</si>
  <si>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</si>
  <si>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</si>
  <si>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</si>
  <si>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</si>
  <si>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</si>
  <si>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</si>
  <si>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</si>
  <si>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</si>
  <si>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</si>
  <si>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TASAS DE CONCESIÓN</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</si>
  <si>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</si>
  <si>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</si>
  <si>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</si>
  <si>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</si>
  <si>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</si>
  <si>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</si>
  <si>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</si>
  <si>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</si>
  <si>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</si>
  <si>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</si>
  <si>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</si>
  <si>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</si>
  <si>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</si>
  <si>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</si>
  <si>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</si>
  <si>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</si>
  <si>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</si>
  <si>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</si>
  <si>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</si>
  <si>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</si>
  <si>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</si>
  <si>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</si>
  <si>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</si>
  <si>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</si>
  <si>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</si>
  <si>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</si>
  <si>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</si>
  <si>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</si>
  <si>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</si>
  <si>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</si>
  <si>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</si>
  <si>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</si>
  <si>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</si>
  <si>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</si>
  <si>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</si>
  <si>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</si>
  <si>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</si>
  <si>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</si>
  <si>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</si>
  <si>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</si>
  <si>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</si>
  <si>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</si>
  <si>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</si>
  <si>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</si>
  <si>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</si>
  <si>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</si>
  <si>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</si>
  <si>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</si>
  <si>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</si>
  <si>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</si>
  <si>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</si>
  <si>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</si>
  <si>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</si>
  <si>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</si>
  <si>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</si>
  <si>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</si>
  <si>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</si>
  <si>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</si>
  <si>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</si>
  <si>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</si>
  <si>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</si>
  <si>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</si>
  <si>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</si>
  <si>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</si>
  <si>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</si>
  <si>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</si>
  <si>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</si>
  <si>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</si>
  <si>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</si>
  <si>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</si>
  <si>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</si>
  <si>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</si>
  <si>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</si>
  <si>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</si>
  <si>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</si>
  <si>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</si>
  <si>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</si>
  <si>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</si>
  <si>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</si>
  <si>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</si>
  <si>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</si>
  <si>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</si>
  <si>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</si>
  <si>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</si>
  <si>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</si>
  <si>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</si>
  <si>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</si>
  <si>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</si>
  <si>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</si>
  <si>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</si>
  <si>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</si>
  <si>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</si>
  <si>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</si>
  <si>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</si>
  <si>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</si>
  <si>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</si>
  <si>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</si>
  <si>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</si>
  <si>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</si>
  <si>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</si>
  <si>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</si>
  <si>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</si>
  <si>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</si>
  <si>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</si>
  <si>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</si>
  <si>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</si>
  <si>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</si>
  <si>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</si>
  <si>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</si>
  <si>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</si>
  <si>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</si>
  <si>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</si>
  <si>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</si>
  <si>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</si>
  <si>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</si>
  <si>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</si>
  <si>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</si>
  <si>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</si>
  <si>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</si>
  <si>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</si>
  <si>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</si>
  <si>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</si>
  <si>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</si>
  <si>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</si>
  <si>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</si>
  <si>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</si>
  <si>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</si>
  <si>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</si>
  <si>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</si>
  <si>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</si>
  <si>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</si>
  <si>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</si>
  <si>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</si>
  <si>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</si>
  <si>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</si>
  <si>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</si>
  <si>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</si>
  <si>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</si>
  <si>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</si>
  <si>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</si>
  <si>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</si>
  <si>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</si>
  <si>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</si>
  <si>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</si>
  <si>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</si>
  <si>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</si>
  <si>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</si>
  <si>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</si>
  <si>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</si>
  <si>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</si>
  <si>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</si>
  <si>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</si>
  <si>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</si>
  <si>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</si>
  <si>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</si>
  <si>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</si>
  <si>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</si>
  <si>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</si>
  <si>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</si>
  <si>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</si>
  <si>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</si>
  <si>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</si>
  <si>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</si>
  <si>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</si>
  <si>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</si>
  <si>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</si>
  <si>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</si>
  <si>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</si>
  <si>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</si>
  <si>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</si>
  <si>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</si>
  <si>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</si>
  <si>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</si>
  <si>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</si>
  <si>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</si>
  <si>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</si>
  <si>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</si>
  <si>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</si>
  <si>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</si>
  <si>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</si>
  <si>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</si>
  <si>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</si>
  <si>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</si>
  <si>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</si>
  <si>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</si>
  <si>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</si>
  <si>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</si>
  <si>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</si>
  <si>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</si>
  <si>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</si>
  <si>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</si>
  <si>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</si>
  <si>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</si>
  <si>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</si>
  <si>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</si>
  <si>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</si>
  <si>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</si>
  <si>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</si>
  <si>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</si>
  <si>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</si>
  <si>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</si>
  <si>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</si>
  <si>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</si>
  <si>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</si>
  <si>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</si>
  <si>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</si>
  <si>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</si>
  <si>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</si>
  <si>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</si>
  <si>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</si>
  <si>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</si>
  <si>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</si>
  <si>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</si>
  <si>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</si>
  <si>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</si>
  <si>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</si>
  <si>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</si>
  <si>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</si>
  <si>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</si>
  <si>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</si>
  <si>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</si>
  <si>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</si>
  <si>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</si>
  <si>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</si>
  <si>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</si>
  <si>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</si>
  <si>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</si>
  <si>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</si>
  <si>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</si>
  <si>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</si>
  <si>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</si>
  <si>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</si>
  <si>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</si>
  <si>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</si>
  <si>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</si>
  <si>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</si>
  <si>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</si>
  <si>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</si>
  <si>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</si>
  <si>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</si>
  <si>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</si>
  <si>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</si>
  <si>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</si>
  <si>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</si>
  <si>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</si>
  <si>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</si>
  <si>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</si>
  <si>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</si>
  <si>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</si>
  <si>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</si>
  <si>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</si>
  <si>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</si>
  <si>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</si>
  <si>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</si>
  <si>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</si>
  <si>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</si>
  <si>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</si>
  <si>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</si>
  <si>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</si>
  <si>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</si>
  <si>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</si>
  <si>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</si>
  <si>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</si>
  <si>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</si>
  <si>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</si>
  <si>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</si>
  <si>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</si>
  <si>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</si>
  <si>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</si>
  <si>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</si>
  <si>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</si>
  <si>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</si>
  <si>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</si>
  <si>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</si>
  <si>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</si>
  <si>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</si>
  <si>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</si>
  <si>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</si>
  <si>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</si>
  <si>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</si>
  <si>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</si>
  <si>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</si>
  <si>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</si>
  <si>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</si>
  <si>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</si>
  <si>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</si>
  <si>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</si>
  <si>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</si>
  <si>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</si>
  <si>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</si>
  <si>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</si>
  <si>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</si>
  <si>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</si>
  <si>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</si>
  <si>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</si>
  <si>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</si>
  <si>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</si>
  <si>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</si>
  <si>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</si>
  <si>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</si>
  <si>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</si>
  <si>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</si>
  <si>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</si>
  <si>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</si>
  <si>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</si>
  <si>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</si>
  <si>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</si>
  <si>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</si>
  <si>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</si>
  <si>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</si>
  <si>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</si>
  <si>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</si>
  <si>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</si>
  <si>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</si>
  <si>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</si>
  <si>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</si>
  <si>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</si>
  <si>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</si>
  <si>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</si>
  <si>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</si>
  <si>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</si>
  <si>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</si>
  <si>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</si>
  <si>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</si>
  <si>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</si>
  <si>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</si>
  <si>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</si>
  <si>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</si>
  <si>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</si>
  <si>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</si>
  <si>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</si>
  <si>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</si>
  <si>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</si>
  <si>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</si>
  <si>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</si>
  <si>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</si>
  <si>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</si>
  <si>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</si>
  <si>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</si>
  <si>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</si>
  <si>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</si>
  <si>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</si>
  <si>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</si>
  <si>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</si>
  <si>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</si>
  <si>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</si>
  <si>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</si>
  <si>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</si>
  <si>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</si>
  <si>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</si>
  <si>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</si>
  <si>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</si>
  <si>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</si>
  <si>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</si>
  <si>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</si>
  <si>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</si>
  <si>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</si>
  <si>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</si>
  <si>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</si>
  <si>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</si>
  <si>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</si>
  <si>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</si>
  <si>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</si>
  <si>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</si>
  <si>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</si>
  <si>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</si>
  <si>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</si>
  <si>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</si>
  <si>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</si>
  <si>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</si>
  <si>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</si>
  <si>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</si>
  <si>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</si>
  <si>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</si>
  <si>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</si>
  <si>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</si>
  <si>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</si>
  <si>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</si>
  <si>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</si>
  <si>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</si>
  <si>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</si>
  <si>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</si>
  <si>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</si>
  <si>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</si>
  <si>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</si>
  <si>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</si>
  <si>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</si>
  <si>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</si>
  <si>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</si>
  <si>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</si>
  <si>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</si>
  <si>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</si>
  <si>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</si>
  <si>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</si>
  <si>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</si>
  <si>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</si>
  <si>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</si>
  <si>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</si>
  <si>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</si>
  <si>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</si>
  <si>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</si>
  <si>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Número de concesiones</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</si>
  <si>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</si>
  <si>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</si>
  <si>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</si>
  <si>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</si>
  <si>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</si>
  <si>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</si>
  <si>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</si>
  <si>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</si>
  <si>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</si>
  <si>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</si>
  <si>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</si>
  <si>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</si>
  <si>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</si>
  <si>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</si>
  <si>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</si>
  <si>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</si>
  <si>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</si>
  <si>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</si>
  <si>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</si>
  <si>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</si>
  <si>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</si>
  <si>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</si>
  <si>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</si>
  <si>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</si>
  <si>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</si>
  <si>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</si>
  <si>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</si>
  <si>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</si>
  <si>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</si>
  <si>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</si>
  <si>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</si>
  <si>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</si>
  <si>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</si>
  <si>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</si>
  <si>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</si>
  <si>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</si>
  <si>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</si>
  <si>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</si>
  <si>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</si>
  <si>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</si>
  <si>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</si>
  <si>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</si>
  <si>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</si>
  <si>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</si>
  <si>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</si>
  <si>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</si>
  <si>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</si>
  <si>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</si>
  <si>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</si>
  <si>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</si>
  <si>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</si>
  <si>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</si>
  <si>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</si>
  <si>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</si>
  <si>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</si>
  <si>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</si>
  <si>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</si>
  <si>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</si>
  <si>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</si>
  <si>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</si>
  <si>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</si>
  <si>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</si>
  <si>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</si>
  <si>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</si>
  <si>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</si>
  <si>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IPC PERIODO</t>
  </si>
  <si>
    <t>IPC DICIEMBRE 2022</t>
  </si>
  <si>
    <t>COEF. DEFLACTOR</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</si>
  <si>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</si>
  <si>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</si>
  <si>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</si>
  <si>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</si>
  <si>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</si>
  <si>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</si>
  <si>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</si>
  <si>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</si>
  <si>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</si>
  <si>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</si>
  <si>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</si>
  <si>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</si>
  <si>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</si>
  <si>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</si>
  <si>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</si>
  <si>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</si>
  <si>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</si>
  <si>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</si>
  <si>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</si>
  <si>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</si>
  <si>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</si>
  <si>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</si>
  <si>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</si>
  <si>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</si>
  <si>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</si>
  <si>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</si>
  <si>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</si>
  <si>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</si>
  <si>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</si>
  <si>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</si>
  <si>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</si>
  <si>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</si>
  <si>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</si>
  <si>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</si>
  <si>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</si>
  <si>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</si>
  <si>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</si>
  <si>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</si>
  <si>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</si>
  <si>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</si>
  <si>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</si>
  <si>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</si>
  <si>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</si>
  <si>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</si>
  <si>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</si>
  <si>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</si>
  <si>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</si>
  <si>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Monto nominal M$ *</t>
  </si>
  <si>
    <t>Monto real M$ **</t>
  </si>
  <si>
    <t>N° Beneficios promedio</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</si>
  <si>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</si>
  <si>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</si>
  <si>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</si>
  <si>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</si>
  <si>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</si>
  <si>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</si>
  <si>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</si>
  <si>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</si>
  <si>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</si>
  <si>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</si>
  <si>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</si>
  <si>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</si>
  <si>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</si>
  <si>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</si>
  <si>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</si>
  <si>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</si>
  <si>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</si>
  <si>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</si>
  <si>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</si>
  <si>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</si>
  <si>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</si>
  <si>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</si>
  <si>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</si>
  <si>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</si>
  <si>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</si>
  <si>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</si>
  <si>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</si>
  <si>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</si>
  <si>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Monto promedio M$ *</t>
  </si>
  <si>
    <t>ocultar</t>
  </si>
  <si>
    <t>APS Total</t>
  </si>
  <si>
    <t>APS VEJEZ HOMBRE</t>
  </si>
  <si>
    <t>APS VEJEZ MUJER</t>
  </si>
  <si>
    <t>APS INVALIDEZ HOMBRE</t>
  </si>
  <si>
    <t>APS INVALIDEZ MUJER</t>
  </si>
  <si>
    <t>APS TOTAL HOMBRE</t>
  </si>
  <si>
    <t>APS TOTAL MUJER</t>
  </si>
  <si>
    <t>APS TOTAL AMBOS</t>
  </si>
  <si>
    <t>APS INVALIDEZ AMBOS</t>
  </si>
  <si>
    <t>APS VEJEZ AMBOS</t>
  </si>
  <si>
    <t>PBSV_HOMBRE REAL</t>
  </si>
  <si>
    <t>PBSV_MUJER REAL</t>
  </si>
  <si>
    <t>PBSV_TOTAL REAL</t>
  </si>
  <si>
    <t>PBSI_HOMBRE REAL</t>
  </si>
  <si>
    <t>PBSI_MUJER REAL</t>
  </si>
  <si>
    <t>PBSI_TOTAL REAL</t>
  </si>
  <si>
    <t>PBS_HOMBRE REAL</t>
  </si>
  <si>
    <t>PBS_MUJER REAL</t>
  </si>
  <si>
    <t>PBS_TOTAL REAL</t>
  </si>
  <si>
    <t>APS VEJEZ HOMBRE nom</t>
  </si>
  <si>
    <t>APS VEJEZ MUJER nom</t>
  </si>
  <si>
    <t>APS VEJEZ AMBOS nom</t>
  </si>
  <si>
    <t>APS INVALIDEZ HOMBRE nom</t>
  </si>
  <si>
    <t>APS INVALIDEZ MUJER nom</t>
  </si>
  <si>
    <t>APS INVALIDEZ AMBOS nom</t>
  </si>
  <si>
    <t>APS TOTAL HOMBRE nom</t>
  </si>
  <si>
    <t>APS TOTAL MUJER nom</t>
  </si>
  <si>
    <t>APS TOTAL AMBOS nom</t>
  </si>
  <si>
    <t>APS VEJEZ HOMBRE n</t>
  </si>
  <si>
    <t>APS VEJEZ MUJER n</t>
  </si>
  <si>
    <t>APS VEJEZ AMBOS n</t>
  </si>
  <si>
    <t>APS INVALIDEZ HOMBRE N</t>
  </si>
  <si>
    <t>APS INVALIDEZ MUJER N</t>
  </si>
  <si>
    <t>APS INVALIDEZ AMBOS N</t>
  </si>
  <si>
    <t>APS TOTAL HOMBRE N</t>
  </si>
  <si>
    <t>APS TOTAL MUJER N</t>
  </si>
  <si>
    <t>APS TOTAL AMBOS N</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</si>
  <si>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</si>
  <si>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</si>
  <si>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</si>
  <si>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</si>
  <si>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</si>
  <si>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</si>
  <si>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</si>
  <si>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</si>
  <si>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</si>
  <si>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</si>
  <si>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</si>
  <si>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</si>
  <si>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</si>
  <si>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</si>
  <si>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</si>
  <si>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</si>
  <si>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</si>
  <si>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</si>
  <si>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</si>
  <si>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</si>
  <si>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</si>
  <si>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</si>
  <si>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</si>
  <si>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</si>
  <si>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</si>
  <si>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</si>
  <si>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</si>
  <si>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</si>
  <si>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</si>
  <si>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</si>
  <si>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</si>
  <si>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</si>
  <si>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</si>
  <si>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PGU Total</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</si>
  <si>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</si>
  <si>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</si>
  <si>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</si>
  <si>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</si>
  <si>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</si>
  <si>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</si>
  <si>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</si>
  <si>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</si>
  <si>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</si>
  <si>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</si>
  <si>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</si>
  <si>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</si>
  <si>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</si>
  <si>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</si>
  <si>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</si>
  <si>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</si>
  <si>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</si>
  <si>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</si>
  <si>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</si>
  <si>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</si>
  <si>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</si>
  <si>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</si>
  <si>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</si>
  <si>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</si>
  <si>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</si>
  <si>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</si>
  <si>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</si>
  <si>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</si>
  <si>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</si>
  <si>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</si>
  <si>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</si>
  <si>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</si>
  <si>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</si>
  <si>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</si>
  <si>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</si>
  <si>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</si>
  <si>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</si>
  <si>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</si>
  <si>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N</t>
  </si>
  <si>
    <t>Nbis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</si>
  <si>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</si>
  <si>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</si>
  <si>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</si>
  <si>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</si>
  <si>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</si>
  <si>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</si>
  <si>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</si>
  <si>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</si>
  <si>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</si>
  <si>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</si>
  <si>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</si>
  <si>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</si>
  <si>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</si>
  <si>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</si>
  <si>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</si>
  <si>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</si>
  <si>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</si>
  <si>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ESTADO SOLICITUDES PILAR NO CONTRIBUTIVO DE PENSIONES A NIVEL REGIONAL Y COMUNAL</t>
  </si>
  <si>
    <t>SOLICITUDES CONCEDIDAS PILAR NO CONTRIBUTIVO DE PENSIONES A NIVEL REGIONAL Y COMUNAL</t>
  </si>
  <si>
    <t xml:space="preserve">   Región de Tarapacá</t>
  </si>
  <si>
    <t xml:space="preserve">   Región de Antofagasta</t>
  </si>
  <si>
    <t xml:space="preserve">   Región de Atacama</t>
  </si>
  <si>
    <t xml:space="preserve">   Región de Coquimbo</t>
  </si>
  <si>
    <t xml:space="preserve">   Región de Valparaíso</t>
  </si>
  <si>
    <t xml:space="preserve">   Región del Libertador General Bernardo O’Higgins</t>
  </si>
  <si>
    <t xml:space="preserve">   Región del Maule</t>
  </si>
  <si>
    <t xml:space="preserve">   Región del Bio-bío</t>
  </si>
  <si>
    <t xml:space="preserve">   Región de La Araucanía</t>
  </si>
  <si>
    <t xml:space="preserve">   Región de Los Lagos</t>
  </si>
  <si>
    <t xml:space="preserve">   Región Aysén del General Carlos Ibáñez del Campo</t>
  </si>
  <si>
    <t xml:space="preserve">   Región de Magallanes y Antártica Chilena</t>
  </si>
  <si>
    <t xml:space="preserve">   Región Metropolitana de Santiago</t>
  </si>
  <si>
    <t xml:space="preserve">   Región de Los Ríos</t>
  </si>
  <si>
    <t xml:space="preserve">   Región de Arica y Parinacota</t>
  </si>
  <si>
    <t xml:space="preserve">   Región de Ñuble</t>
  </si>
  <si>
    <t>1. Total de beneficios pagados del Pilar No Contributivo</t>
  </si>
  <si>
    <t>PAGOS PENSIÓN BÁSICA SOLIDARIA (PBS)</t>
  </si>
  <si>
    <t xml:space="preserve">PAGOS PENSIÓN GARANTIZADA UNIVERSAL (PGU) </t>
  </si>
  <si>
    <t>PAGOS APORTE PREVISIONAL SOLIDARIO (APS)</t>
  </si>
  <si>
    <t>4. Pagos Aporte Previsional Solidario (APS)</t>
  </si>
  <si>
    <t>i. Resumen trimestral de beneficios pagados en T4 2022, por tipo y sexo</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</si>
  <si>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</si>
  <si>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</si>
  <si>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</si>
  <si>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</si>
  <si>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</si>
  <si>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Resumen trimestral de beneficios pagados, por tipo y sexo</t>
  </si>
  <si>
    <t>Monto promedio M$*</t>
  </si>
  <si>
    <t>AFP y Cías. de Seguros</t>
  </si>
  <si>
    <t>Cuota Única</t>
  </si>
  <si>
    <t>Nº de Causantes (hijos)</t>
  </si>
  <si>
    <t>I</t>
  </si>
  <si>
    <t>II</t>
  </si>
  <si>
    <t>III</t>
  </si>
  <si>
    <t>IV</t>
  </si>
  <si>
    <t>V</t>
  </si>
  <si>
    <t>VI</t>
  </si>
  <si>
    <t>VII</t>
  </si>
  <si>
    <t>VIII</t>
  </si>
  <si>
    <t>XVI</t>
  </si>
  <si>
    <t>IX</t>
  </si>
  <si>
    <t>XIV</t>
  </si>
  <si>
    <t>X</t>
  </si>
  <si>
    <t>XI</t>
  </si>
  <si>
    <t>XII</t>
  </si>
  <si>
    <t>XIII</t>
  </si>
  <si>
    <t xml:space="preserve">TOTAL </t>
  </si>
  <si>
    <t>BONO POR HIJO</t>
  </si>
  <si>
    <t>Nº Beneficiarias</t>
  </si>
  <si>
    <t>Concesiones de Bono por Hijo por región, según institución y tipo de beneficio</t>
  </si>
  <si>
    <t>N° Beneficiarias y Causantes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</si>
  <si>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</si>
  <si>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</si>
  <si>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</si>
  <si>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</si>
  <si>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</si>
  <si>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</si>
  <si>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</si>
  <si>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</si>
  <si>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</si>
  <si>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</si>
  <si>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</si>
  <si>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 Concesiones de Bono por Hijo por región, según institución y tipo de beneficio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</si>
  <si>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</si>
  <si>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</si>
  <si>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</si>
  <si>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</si>
  <si>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</si>
  <si>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</si>
  <si>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</si>
  <si>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</si>
  <si>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</si>
  <si>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</si>
  <si>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</si>
  <si>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</si>
  <si>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</si>
  <si>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</si>
  <si>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</si>
  <si>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</si>
  <si>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</si>
  <si>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</si>
  <si>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</si>
  <si>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</si>
  <si>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</si>
  <si>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</si>
  <si>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</si>
  <si>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</si>
  <si>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</si>
  <si>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</si>
  <si>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</si>
  <si>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</si>
  <si>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</si>
  <si>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Número de solicitudes trimestrales por comuna, según tipo y sexo</t>
  </si>
  <si>
    <t>Promedio 
mar - dic 2009</t>
  </si>
  <si>
    <t xml:space="preserve">Número promedio de subsidios pagados </t>
  </si>
  <si>
    <t>Número promedio de empleadores que recibieron pago en el mes</t>
  </si>
  <si>
    <t xml:space="preserve">Número promedio de trabajadores que recibieron pago en el mes  </t>
  </si>
  <si>
    <t>Trimestre EFM 2023</t>
  </si>
  <si>
    <t>(enero 2023 a marzo 2023)</t>
  </si>
  <si>
    <t>enero 2023</t>
  </si>
  <si>
    <t>febrero 2023</t>
  </si>
  <si>
    <t>marzo 2023</t>
  </si>
  <si>
    <t>(enero 2020 a marzo 2023)</t>
  </si>
  <si>
    <t>(julio 2008 a marzo 2023)</t>
  </si>
  <si>
    <t>Resumen trimestral de concesiones de beneficios del Pilar No Contributivo</t>
  </si>
  <si>
    <t>(marzo 2023)</t>
  </si>
  <si>
    <t>(agosto 2009 a marzo 2023)</t>
  </si>
  <si>
    <t>(octubre 2008 a marzo 2023)</t>
  </si>
  <si>
    <t>(enero 2012 a marzo 2023)</t>
  </si>
  <si>
    <t>(julio 2011 a marzo 2023)</t>
  </si>
  <si>
    <t>2. Pagos Pensión Garantizada Universal (PGU)</t>
  </si>
  <si>
    <t>3. Pagos Pensión Básica Solidaria (PBS)</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</si>
  <si>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</si>
  <si>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</si>
  <si>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</si>
  <si>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</si>
  <si>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</si>
  <si>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</si>
  <si>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(julio 2008 y marzo 2023)</t>
  </si>
  <si>
    <t>Causal de Rechazo</t>
  </si>
  <si>
    <t>2. Solicitudes a nivel regional y comunal</t>
  </si>
  <si>
    <t>4. Concesiones a nivel regional y comunal</t>
  </si>
  <si>
    <t>(marzo 2009 a marzo 2023)</t>
  </si>
  <si>
    <t>(febrero 2022 a marzo 2023)</t>
  </si>
  <si>
    <t>SAN JOSÉ DE LA MARIQUINA</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</si>
  <si>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</si>
  <si>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</si>
  <si>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</si>
  <si>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</si>
  <si>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</si>
  <si>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</si>
  <si>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requisito, no tiene 5 años de residencia en los últimos 6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</si>
  <si>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</si>
  <si>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</si>
  <si>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</si>
  <si>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</si>
  <si>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</si>
  <si>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</si>
  <si>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Imponente o pensionado de la Caja de Defensa y/o de la Dirección de Previsión de Carabineros</t>
  </si>
  <si>
    <t>Percibe Garantía Estatal de monto superior al APS Calculado</t>
  </si>
  <si>
    <t>Percibe Pensión de Ley Especial de monto superior al APS Calculado</t>
  </si>
  <si>
    <t>Percibe Pensión de Ley Especial de monto superior a la PBS</t>
  </si>
  <si>
    <t>Pensionado Invalidez por de Ley de Accidentes del Trabajo y Enfermedades Profesionales</t>
  </si>
  <si>
    <t>Sin derecho a pago</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</si>
  <si>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</si>
  <si>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</si>
  <si>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</si>
  <si>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</si>
  <si>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</si>
  <si>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</si>
  <si>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</si>
  <si>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</si>
  <si>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</si>
  <si>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Resumen trimestral de tasas de concesiones de beneficios por región, según tipo de beneficio y sexo</t>
  </si>
  <si>
    <t>Serie resumen de tasas de concesión de solicitudes por tipo de beneficio y sexo</t>
  </si>
  <si>
    <t>Fuente: Elaboración propia con datos de la Superintendencia de Pensiones</t>
  </si>
  <si>
    <t>Nota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2: Para los APS de Vejez, en aquellos casos en que este beneficio superaba el monto de la PGU se mantuvo el beneficio.</t>
  </si>
  <si>
    <t>* Montos nominales de cada periodo de pago. ** Montos deflactados a marzo 2023</t>
  </si>
  <si>
    <t>* Montos deflactados a marzo 2023</t>
  </si>
  <si>
    <t>Fuente: Elaboración propia con datos del Instituto de Previsión Social
Nota 1: El periodo utilizado para el reporte de las solicitudes considera la fecha de ingreso de la solicitud.
Nota 2: El estado final de las solicitudes puede cambiar entre periodos, dado que se incluyen en la estadística solicitudes en trámite.
Nota 3: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4: A partir de la implementación de la PGU (febrero 2022) dejan de existir nuevas solicitudes de los beneficios PBS de Vejez y APS de Vejez, ya que estos beneficios fueron reemplazados con PGU No Contributiva y PGU Contributiva, respectivamente.</t>
  </si>
  <si>
    <t>Fuente: Elaboración propia con datos del Instituto de Previsión Social
Nota 1: A marzo de 2023 se encuentran vigentes 95.875 beneficios Ex PASIS de Vejez y 96.319 Ex PASIS de Invalidez
Nota 2: El periodo utilizado para el reporte de las solicitudes considera la fecha de ingreso de la solicitud.
Nota 3: El estado final de las solicitudes puede cambiar entre periodos, dado que se incluyen en la estadística solicitudes en trámite.
Nota 4: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5: A partir de la implementación de la PGU (febrero 2022) dejan de existir nuevas solicitudes de los beneficios PBS de Vejez y APS de Vejez, ya que estos beneficios fueron reemplazados con PGU No Contributiva y PGU Contributiva, respectivamente.</t>
  </si>
  <si>
    <t>ii. Serie resumen de pagos de beneficios acumulado, por tipo y sexo</t>
  </si>
  <si>
    <t>i. Resumen trimestral de beneficios pagados, por tipo y sexo</t>
  </si>
  <si>
    <t>Resumen trimestral de beneficios pagados, por tipo de beneficio y sexo</t>
  </si>
  <si>
    <t>ii. Serie resumen de pagos de beneficios acumulados, por tipo de beneficio</t>
  </si>
  <si>
    <t>i. Resumen trimestral de beneficios pagados,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</si>
  <si>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</si>
  <si>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</si>
  <si>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</si>
  <si>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</si>
  <si>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</si>
  <si>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</si>
  <si>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</si>
  <si>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</si>
  <si>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</si>
  <si>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</si>
  <si>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</si>
  <si>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i. Resumen trimestral de tasas de concesiones de beneficios por región, según tipo de beneficio y sexo</t>
  </si>
  <si>
    <t>ii. Serie resumen de tasas de concesión de solicitudes por tipo de beneficio y sexo</t>
  </si>
  <si>
    <t>Promedio al Primer trimestre 2023</t>
  </si>
  <si>
    <t>Total al
Primer trimestre 2023</t>
  </si>
  <si>
    <t>Total al Primer trimestre 2023</t>
  </si>
  <si>
    <t>Promedio al
Primer trimestre 2023</t>
  </si>
  <si>
    <t>Fuente: Instituto de Previsión Social</t>
  </si>
  <si>
    <t>Fuente: Instituto de Previsión Social y Superintendencia de Pensiones</t>
  </si>
  <si>
    <t>Promedio al Primer trimeste 2023</t>
  </si>
  <si>
    <t>Total Concesiones</t>
  </si>
  <si>
    <t>Total Rechazadas</t>
  </si>
  <si>
    <t>jul-20</t>
  </si>
  <si>
    <t>S/I</t>
  </si>
  <si>
    <t>Serie resumen de pagos (monto real M$) de beneficios acumulado, por tipo de beneficio y sexo</t>
  </si>
  <si>
    <t>Serie resumen de pagos (monto real M$) de beneficios acumulado, por tipo y sexo</t>
  </si>
  <si>
    <t>Serie resumen de pagos (monto real M$) de beneficios acumulados, por tipo de beneficio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</si>
</sst>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0000%"/>
  </numFmts>
  <fonts count="43"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b/>
      <sz val="10"/>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sz val="12"/>
      <name val="Calibri"/>
      <family val="2"/>
      <scheme val="minor"/>
    </font>
    <font>
      <b/>
      <u/>
      <sz val="14"/>
      <color theme="10"/>
      <name val="Calibri"/>
      <family val="2"/>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11"/>
      <name val="Arial"/>
      <family val="2"/>
    </font>
    <font>
      <sz val="11"/>
      <color indexed="8"/>
      <name val="Calibri"/>
      <family val="2"/>
      <scheme val="minor"/>
    </font>
    <font>
      <sz val="9"/>
      <color rgb="FFFF0000"/>
      <name val="Calibri"/>
      <family val="2"/>
      <scheme val="minor"/>
    </font>
    <font>
      <b/>
      <sz val="9"/>
      <color theme="5"/>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4"/>
        <bgColor indexed="64"/>
      </patternFill>
    </fill>
    <fill>
      <patternFill patternType="solid">
        <fgColor theme="6" tint="0.39997558519241921"/>
        <bgColor indexed="64"/>
      </patternFill>
    </fill>
    <fill>
      <patternFill patternType="solid">
        <fgColor rgb="FFFFFFFF"/>
        <bgColor indexed="64"/>
      </patternFill>
    </fill>
    <fill>
      <patternFill patternType="solid">
        <fgColor theme="0" tint="-0.249977111117893"/>
        <bgColor indexed="64"/>
      </patternFill>
    </fill>
    <fill>
      <patternFill patternType="solid">
        <fgColor theme="6"/>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18">
    <xf numFmtId="0" fontId="0" fillId="0" borderId="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6" fillId="6" borderId="0" applyNumberFormat="0" applyBorder="0" applyAlignment="0" applyProtection="0"/>
    <xf numFmtId="166" fontId="1" fillId="0" borderId="0" applyFont="0" applyFill="0" applyBorder="0" applyAlignment="0" applyProtection="0"/>
    <xf numFmtId="0" fontId="23" fillId="0" borderId="0" applyNumberFormat="0" applyFill="0" applyBorder="0" applyAlignment="0" applyProtection="0">
      <alignment vertical="top"/>
      <protection locked="0"/>
    </xf>
    <xf numFmtId="168" fontId="1" fillId="0" borderId="0" applyFont="0" applyFill="0" applyBorder="0" applyAlignment="0" applyProtection="0"/>
    <xf numFmtId="0" fontId="31"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8" fillId="0" borderId="0"/>
    <xf numFmtId="0" fontId="38" fillId="0" borderId="0"/>
    <xf numFmtId="0" fontId="1" fillId="0" borderId="0"/>
    <xf numFmtId="0" fontId="38" fillId="0" borderId="0"/>
    <xf numFmtId="0" fontId="38" fillId="0" borderId="0"/>
  </cellStyleXfs>
  <cellXfs count="564">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7" fillId="2" borderId="0" xfId="0" applyFont="1" applyFill="1"/>
    <xf numFmtId="0" fontId="12" fillId="3" borderId="0" xfId="0" applyFont="1" applyFill="1"/>
    <xf numFmtId="165" fontId="7" fillId="3" borderId="0" xfId="2" applyNumberFormat="1" applyFont="1" applyFill="1" applyBorder="1"/>
    <xf numFmtId="0" fontId="8" fillId="3" borderId="0" xfId="0" applyFont="1" applyFill="1"/>
    <xf numFmtId="0" fontId="9" fillId="3" borderId="0" xfId="0" applyFont="1" applyFill="1"/>
    <xf numFmtId="0" fontId="13" fillId="3" borderId="1" xfId="0" applyFont="1" applyFill="1" applyBorder="1" applyAlignment="1">
      <alignment vertical="center" wrapText="1"/>
    </xf>
    <xf numFmtId="165" fontId="13" fillId="3" borderId="1" xfId="2" applyNumberFormat="1" applyFont="1" applyFill="1" applyBorder="1" applyAlignment="1"/>
    <xf numFmtId="17" fontId="7" fillId="3" borderId="1" xfId="0" applyNumberFormat="1" applyFont="1" applyFill="1" applyBorder="1" applyAlignment="1">
      <alignment horizontal="left"/>
    </xf>
    <xf numFmtId="165" fontId="7" fillId="3" borderId="1" xfId="2" applyNumberFormat="1" applyFont="1" applyFill="1" applyBorder="1"/>
    <xf numFmtId="165" fontId="7" fillId="3" borderId="1" xfId="0" applyNumberFormat="1" applyFont="1" applyFill="1" applyBorder="1"/>
    <xf numFmtId="17" fontId="7" fillId="5" borderId="1" xfId="0" applyNumberFormat="1" applyFont="1" applyFill="1" applyBorder="1" applyAlignment="1">
      <alignment horizontal="left"/>
    </xf>
    <xf numFmtId="165" fontId="14" fillId="5" borderId="1" xfId="2" applyNumberFormat="1" applyFont="1" applyFill="1" applyBorder="1"/>
    <xf numFmtId="165" fontId="7" fillId="5" borderId="1" xfId="0" applyNumberFormat="1" applyFont="1" applyFill="1" applyBorder="1"/>
    <xf numFmtId="0" fontId="3" fillId="3" borderId="0" xfId="0" applyFont="1" applyFill="1"/>
    <xf numFmtId="0" fontId="13" fillId="3" borderId="0" xfId="0" applyFont="1" applyFill="1" applyAlignment="1">
      <alignment vertical="center" wrapText="1"/>
    </xf>
    <xf numFmtId="165" fontId="13" fillId="3" borderId="1" xfId="2" applyNumberFormat="1" applyFont="1" applyFill="1" applyBorder="1" applyAlignment="1">
      <alignment vertical="center"/>
    </xf>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5" fillId="3" borderId="0" xfId="0" applyFont="1" applyFill="1"/>
    <xf numFmtId="165" fontId="0" fillId="3" borderId="0" xfId="0" applyNumberFormat="1" applyFill="1"/>
    <xf numFmtId="0" fontId="7" fillId="3" borderId="0" xfId="0" applyFont="1" applyFill="1" applyAlignment="1">
      <alignment horizontal="left" vertical="top" wrapText="1"/>
    </xf>
    <xf numFmtId="0" fontId="14" fillId="3" borderId="0" xfId="0" applyFont="1" applyFill="1"/>
    <xf numFmtId="0" fontId="4" fillId="3" borderId="0" xfId="0" applyFont="1" applyFill="1"/>
    <xf numFmtId="165" fontId="7" fillId="3" borderId="1" xfId="4" applyNumberFormat="1" applyFont="1" applyFill="1" applyBorder="1" applyAlignment="1">
      <alignment horizontal="center" vertical="center"/>
    </xf>
    <xf numFmtId="165" fontId="7" fillId="3" borderId="1" xfId="4" applyNumberFormat="1" applyFont="1" applyFill="1" applyBorder="1" applyAlignment="1">
      <alignment horizontal="center" vertical="center" wrapText="1"/>
    </xf>
    <xf numFmtId="0" fontId="13" fillId="4" borderId="1" xfId="4" applyNumberFormat="1" applyFont="1" applyFill="1" applyBorder="1" applyAlignment="1">
      <alignment horizontal="center" vertical="center" wrapText="1"/>
    </xf>
    <xf numFmtId="165" fontId="13" fillId="7" borderId="1" xfId="4" applyNumberFormat="1" applyFont="1" applyFill="1" applyBorder="1" applyAlignment="1">
      <alignment horizontal="left" vertical="center" wrapText="1"/>
    </xf>
    <xf numFmtId="165" fontId="21" fillId="7" borderId="1" xfId="5"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4" fillId="3" borderId="11" xfId="5" applyNumberFormat="1" applyFont="1" applyFill="1" applyBorder="1"/>
    <xf numFmtId="165" fontId="14" fillId="3" borderId="12" xfId="5" applyNumberFormat="1" applyFont="1" applyFill="1" applyBorder="1"/>
    <xf numFmtId="165" fontId="14" fillId="3" borderId="13" xfId="5" applyNumberFormat="1" applyFont="1" applyFill="1" applyBorder="1"/>
    <xf numFmtId="165" fontId="14" fillId="4" borderId="10" xfId="5" applyNumberFormat="1" applyFont="1" applyFill="1" applyBorder="1"/>
    <xf numFmtId="0" fontId="0" fillId="3" borderId="14" xfId="0" applyFill="1" applyBorder="1" applyAlignment="1">
      <alignment horizontal="left"/>
    </xf>
    <xf numFmtId="165" fontId="14" fillId="3" borderId="2" xfId="5" applyNumberFormat="1" applyFont="1" applyFill="1" applyBorder="1"/>
    <xf numFmtId="165" fontId="14" fillId="3" borderId="1" xfId="5" applyNumberFormat="1" applyFont="1" applyFill="1" applyBorder="1"/>
    <xf numFmtId="165" fontId="14" fillId="3" borderId="3" xfId="5" applyNumberFormat="1" applyFont="1" applyFill="1" applyBorder="1"/>
    <xf numFmtId="165" fontId="14" fillId="4" borderId="14" xfId="5" applyNumberFormat="1" applyFont="1" applyFill="1" applyBorder="1"/>
    <xf numFmtId="0" fontId="17" fillId="3" borderId="0" xfId="0" applyFont="1" applyFill="1"/>
    <xf numFmtId="165" fontId="7" fillId="3" borderId="1" xfId="4" applyNumberFormat="1" applyFont="1" applyFill="1" applyBorder="1" applyAlignment="1">
      <alignment vertical="center" wrapText="1"/>
    </xf>
    <xf numFmtId="0" fontId="0" fillId="4" borderId="15" xfId="0" applyFill="1" applyBorder="1" applyAlignment="1">
      <alignment horizontal="left"/>
    </xf>
    <xf numFmtId="165" fontId="14" fillId="4" borderId="2" xfId="5" applyNumberFormat="1" applyFont="1" applyFill="1" applyBorder="1"/>
    <xf numFmtId="165" fontId="14" fillId="4" borderId="1" xfId="5" applyNumberFormat="1" applyFont="1" applyFill="1" applyBorder="1"/>
    <xf numFmtId="165" fontId="14" fillId="4" borderId="3" xfId="5" applyNumberFormat="1" applyFont="1" applyFill="1" applyBorder="1"/>
    <xf numFmtId="165" fontId="14" fillId="4" borderId="15" xfId="5"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4" fillId="3" borderId="18" xfId="5" applyNumberFormat="1" applyFont="1" applyFill="1" applyBorder="1"/>
    <xf numFmtId="165" fontId="14" fillId="3" borderId="19" xfId="5" applyNumberFormat="1" applyFont="1" applyFill="1" applyBorder="1"/>
    <xf numFmtId="0" fontId="6" fillId="4" borderId="15" xfId="0" applyFont="1" applyFill="1" applyBorder="1" applyAlignment="1">
      <alignment horizontal="left"/>
    </xf>
    <xf numFmtId="165" fontId="14" fillId="4" borderId="20" xfId="5" applyNumberFormat="1" applyFont="1" applyFill="1" applyBorder="1"/>
    <xf numFmtId="165" fontId="14" fillId="4" borderId="21" xfId="5" applyNumberFormat="1" applyFont="1" applyFill="1" applyBorder="1"/>
    <xf numFmtId="165" fontId="14" fillId="4" borderId="22" xfId="5" applyNumberFormat="1" applyFont="1" applyFill="1" applyBorder="1"/>
    <xf numFmtId="165" fontId="13" fillId="3" borderId="23" xfId="4" applyNumberFormat="1" applyFont="1" applyFill="1" applyBorder="1" applyAlignment="1">
      <alignment vertical="center"/>
    </xf>
    <xf numFmtId="165" fontId="13" fillId="4" borderId="16" xfId="4" applyNumberFormat="1" applyFont="1" applyFill="1" applyBorder="1" applyAlignment="1">
      <alignment horizontal="center" vertical="center"/>
    </xf>
    <xf numFmtId="165" fontId="13" fillId="4" borderId="8" xfId="4" applyNumberFormat="1" applyFont="1" applyFill="1" applyBorder="1" applyAlignment="1">
      <alignment horizontal="center" vertical="center"/>
    </xf>
    <xf numFmtId="0" fontId="13" fillId="4" borderId="17" xfId="4" applyNumberFormat="1" applyFont="1" applyFill="1" applyBorder="1" applyAlignment="1">
      <alignment horizontal="center" vertical="center" wrapText="1"/>
    </xf>
    <xf numFmtId="0" fontId="22" fillId="3" borderId="24" xfId="0" applyFont="1" applyFill="1" applyBorder="1" applyAlignment="1">
      <alignment horizontal="left" vertical="center"/>
    </xf>
    <xf numFmtId="165" fontId="22" fillId="0" borderId="25" xfId="0" applyNumberFormat="1" applyFont="1" applyBorder="1" applyAlignment="1">
      <alignment horizontal="center" vertical="center"/>
    </xf>
    <xf numFmtId="165" fontId="22" fillId="0" borderId="26" xfId="0" applyNumberFormat="1" applyFont="1" applyBorder="1" applyAlignment="1">
      <alignment horizontal="center" vertical="center"/>
    </xf>
    <xf numFmtId="165" fontId="22" fillId="4" borderId="27" xfId="0" applyNumberFormat="1" applyFont="1" applyFill="1" applyBorder="1" applyAlignment="1">
      <alignment horizontal="center" vertical="center"/>
    </xf>
    <xf numFmtId="0" fontId="22" fillId="3" borderId="28" xfId="0" applyFont="1" applyFill="1" applyBorder="1" applyAlignment="1">
      <alignment horizontal="left" vertical="center"/>
    </xf>
    <xf numFmtId="165" fontId="22" fillId="0" borderId="18" xfId="0" applyNumberFormat="1" applyFont="1" applyBorder="1" applyAlignment="1">
      <alignment horizontal="center" vertical="center"/>
    </xf>
    <xf numFmtId="165" fontId="22" fillId="0" borderId="1" xfId="0" applyNumberFormat="1" applyFont="1" applyBorder="1" applyAlignment="1">
      <alignment horizontal="center" vertical="center"/>
    </xf>
    <xf numFmtId="165" fontId="22" fillId="4" borderId="19" xfId="0" applyNumberFormat="1" applyFont="1" applyFill="1" applyBorder="1" applyAlignment="1">
      <alignment horizontal="center" vertical="center"/>
    </xf>
    <xf numFmtId="0" fontId="22" fillId="3" borderId="29" xfId="0" applyFont="1" applyFill="1" applyBorder="1" applyAlignment="1">
      <alignment horizontal="left" vertical="center"/>
    </xf>
    <xf numFmtId="165" fontId="22" fillId="0" borderId="20" xfId="0" applyNumberFormat="1" applyFont="1" applyBorder="1" applyAlignment="1">
      <alignment horizontal="center" vertical="center"/>
    </xf>
    <xf numFmtId="165" fontId="22" fillId="0" borderId="21" xfId="0" applyNumberFormat="1" applyFont="1" applyBorder="1" applyAlignment="1">
      <alignment horizontal="center" vertical="center"/>
    </xf>
    <xf numFmtId="165" fontId="22" fillId="4" borderId="22" xfId="0" applyNumberFormat="1" applyFont="1" applyFill="1" applyBorder="1" applyAlignment="1">
      <alignment horizontal="center" vertical="center"/>
    </xf>
    <xf numFmtId="165" fontId="15" fillId="3" borderId="0" xfId="0" applyNumberFormat="1" applyFont="1" applyFill="1"/>
    <xf numFmtId="0" fontId="22" fillId="7" borderId="29" xfId="0" applyFont="1" applyFill="1" applyBorder="1" applyAlignment="1">
      <alignment horizontal="left" vertical="center"/>
    </xf>
    <xf numFmtId="0" fontId="7" fillId="3" borderId="0" xfId="0" applyFont="1" applyFill="1" applyAlignment="1">
      <alignment vertical="top" wrapText="1"/>
    </xf>
    <xf numFmtId="165" fontId="15"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4" fillId="3" borderId="1" xfId="5"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4" fillId="3" borderId="1" xfId="5" applyNumberFormat="1" applyFont="1" applyFill="1" applyBorder="1" applyAlignment="1">
      <alignment horizontal="left"/>
    </xf>
    <xf numFmtId="0" fontId="15" fillId="3" borderId="13" xfId="0" applyFont="1" applyFill="1" applyBorder="1"/>
    <xf numFmtId="0" fontId="15" fillId="3" borderId="34" xfId="0" applyFont="1" applyFill="1" applyBorder="1"/>
    <xf numFmtId="0" fontId="0" fillId="3" borderId="34" xfId="0" applyFill="1" applyBorder="1"/>
    <xf numFmtId="0" fontId="0" fillId="3" borderId="11" xfId="0" applyFill="1" applyBorder="1"/>
    <xf numFmtId="165" fontId="21" fillId="7" borderId="1" xfId="5" applyNumberFormat="1" applyFont="1" applyFill="1" applyBorder="1" applyAlignment="1">
      <alignment vertical="center"/>
    </xf>
    <xf numFmtId="9" fontId="0" fillId="3" borderId="0" xfId="3" applyFont="1" applyFill="1"/>
    <xf numFmtId="0" fontId="14" fillId="3" borderId="0" xfId="0" applyFont="1" applyFill="1" applyAlignment="1">
      <alignment vertical="center" wrapText="1"/>
    </xf>
    <xf numFmtId="0" fontId="23" fillId="3" borderId="0" xfId="6" applyFill="1" applyAlignment="1" applyProtection="1"/>
    <xf numFmtId="165" fontId="14" fillId="3" borderId="1" xfId="5"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2" fillId="3" borderId="4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4" borderId="40"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6"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17" xfId="0" applyFont="1" applyFill="1" applyBorder="1" applyAlignment="1">
      <alignment horizontal="center" vertical="center"/>
    </xf>
    <xf numFmtId="0" fontId="22" fillId="4" borderId="6" xfId="0" applyFont="1" applyFill="1" applyBorder="1" applyAlignment="1">
      <alignment horizontal="center" vertical="center"/>
    </xf>
    <xf numFmtId="0" fontId="22" fillId="3" borderId="43" xfId="0" applyFont="1" applyFill="1" applyBorder="1" applyAlignment="1">
      <alignment horizontal="center" vertical="center"/>
    </xf>
    <xf numFmtId="165" fontId="14" fillId="3" borderId="25" xfId="5" applyNumberFormat="1" applyFont="1" applyFill="1" applyBorder="1" applyAlignment="1">
      <alignment vertical="center"/>
    </xf>
    <xf numFmtId="165" fontId="14" fillId="3" borderId="44" xfId="5" applyNumberFormat="1" applyFont="1" applyFill="1" applyBorder="1" applyAlignment="1">
      <alignment vertical="center"/>
    </xf>
    <xf numFmtId="165" fontId="26" fillId="3" borderId="45" xfId="0" applyNumberFormat="1" applyFont="1" applyFill="1" applyBorder="1"/>
    <xf numFmtId="0" fontId="22" fillId="3" borderId="45" xfId="0" applyFont="1" applyFill="1" applyBorder="1" applyAlignment="1">
      <alignment horizontal="center" vertical="center"/>
    </xf>
    <xf numFmtId="0" fontId="22" fillId="3" borderId="10" xfId="0" applyFont="1" applyFill="1" applyBorder="1" applyAlignment="1">
      <alignment horizontal="center" vertical="center"/>
    </xf>
    <xf numFmtId="165" fontId="14" fillId="3" borderId="37" xfId="5" applyNumberFormat="1" applyFont="1" applyFill="1" applyBorder="1" applyAlignment="1">
      <alignment vertical="center"/>
    </xf>
    <xf numFmtId="165" fontId="14" fillId="3" borderId="46" xfId="5" applyNumberFormat="1" applyFont="1" applyFill="1" applyBorder="1" applyAlignment="1">
      <alignment vertical="center"/>
    </xf>
    <xf numFmtId="165" fontId="26" fillId="3" borderId="10" xfId="0" applyNumberFormat="1" applyFont="1" applyFill="1" applyBorder="1"/>
    <xf numFmtId="0" fontId="22" fillId="3" borderId="47" xfId="0" applyFont="1" applyFill="1" applyBorder="1" applyAlignment="1">
      <alignment horizontal="center" vertical="center"/>
    </xf>
    <xf numFmtId="165" fontId="14" fillId="3" borderId="18" xfId="5" applyNumberFormat="1" applyFont="1" applyFill="1" applyBorder="1" applyAlignment="1">
      <alignment vertical="center"/>
    </xf>
    <xf numFmtId="165" fontId="14" fillId="3" borderId="3" xfId="5" applyNumberFormat="1" applyFont="1" applyFill="1" applyBorder="1" applyAlignment="1">
      <alignment vertical="center"/>
    </xf>
    <xf numFmtId="165" fontId="26" fillId="3" borderId="14" xfId="0" applyNumberFormat="1" applyFont="1" applyFill="1" applyBorder="1"/>
    <xf numFmtId="0" fontId="22" fillId="3" borderId="14" xfId="0" applyFont="1" applyFill="1" applyBorder="1" applyAlignment="1">
      <alignment horizontal="center" vertical="center"/>
    </xf>
    <xf numFmtId="165" fontId="14" fillId="3" borderId="19" xfId="5" applyNumberFormat="1" applyFont="1" applyFill="1" applyBorder="1" applyAlignment="1">
      <alignment vertical="center"/>
    </xf>
    <xf numFmtId="0" fontId="22" fillId="3" borderId="48" xfId="0" applyFont="1" applyFill="1" applyBorder="1" applyAlignment="1">
      <alignment horizontal="center" vertical="center"/>
    </xf>
    <xf numFmtId="165" fontId="14" fillId="3" borderId="20" xfId="5" applyNumberFormat="1" applyFont="1" applyFill="1" applyBorder="1" applyAlignment="1">
      <alignment vertical="center"/>
    </xf>
    <xf numFmtId="165" fontId="14" fillId="3" borderId="49" xfId="5" applyNumberFormat="1" applyFont="1" applyFill="1" applyBorder="1" applyAlignment="1">
      <alignment vertical="center"/>
    </xf>
    <xf numFmtId="165" fontId="26" fillId="3" borderId="15" xfId="0" applyNumberFormat="1" applyFont="1" applyFill="1" applyBorder="1"/>
    <xf numFmtId="0" fontId="22" fillId="3" borderId="15" xfId="0" applyFont="1" applyFill="1" applyBorder="1" applyAlignment="1">
      <alignment horizontal="center" vertical="center"/>
    </xf>
    <xf numFmtId="0" fontId="26" fillId="3" borderId="0" xfId="0" applyFont="1" applyFill="1"/>
    <xf numFmtId="165" fontId="14" fillId="3" borderId="22" xfId="5" applyNumberFormat="1" applyFont="1" applyFill="1" applyBorder="1" applyAlignment="1">
      <alignment vertical="center"/>
    </xf>
    <xf numFmtId="0" fontId="6" fillId="3" borderId="0" xfId="0" applyFont="1" applyFill="1" applyAlignment="1">
      <alignment wrapText="1"/>
    </xf>
    <xf numFmtId="0" fontId="27" fillId="3" borderId="0" xfId="0" applyFont="1" applyFill="1"/>
    <xf numFmtId="0" fontId="27"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8" fillId="7" borderId="1" xfId="0" applyFont="1" applyFill="1" applyBorder="1" applyAlignment="1">
      <alignment horizontal="center" vertical="center" wrapText="1"/>
    </xf>
    <xf numFmtId="9" fontId="18" fillId="3" borderId="1" xfId="0" applyNumberFormat="1" applyFont="1" applyFill="1" applyBorder="1" applyAlignment="1">
      <alignment horizontal="center" vertical="center" wrapText="1"/>
    </xf>
    <xf numFmtId="169" fontId="18" fillId="3" borderId="1" xfId="7" applyNumberFormat="1" applyFont="1" applyFill="1" applyBorder="1" applyAlignment="1">
      <alignment horizontal="center" vertical="center"/>
    </xf>
    <xf numFmtId="0" fontId="18" fillId="3" borderId="1" xfId="0" applyFont="1" applyFill="1" applyBorder="1" applyAlignment="1">
      <alignment horizontal="center" vertical="center" wrapText="1"/>
    </xf>
    <xf numFmtId="0" fontId="12"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8" borderId="0" xfId="0" applyFill="1"/>
    <xf numFmtId="41" fontId="0" fillId="9"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5" fillId="4" borderId="1" xfId="0" applyFont="1" applyFill="1" applyBorder="1" applyAlignment="1">
      <alignment horizontal="center" vertical="center"/>
    </xf>
    <xf numFmtId="0" fontId="22" fillId="3" borderId="1" xfId="0" applyFont="1" applyFill="1" applyBorder="1" applyAlignment="1">
      <alignment horizontal="center" vertical="center"/>
    </xf>
    <xf numFmtId="17" fontId="22" fillId="3" borderId="1" xfId="0" applyNumberFormat="1" applyFont="1" applyFill="1" applyBorder="1" applyAlignment="1">
      <alignment horizontal="center" vertical="center"/>
    </xf>
    <xf numFmtId="165" fontId="26"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3"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8"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10" borderId="1" xfId="0" applyFill="1" applyBorder="1" applyAlignment="1">
      <alignment vertical="center" wrapText="1"/>
    </xf>
    <xf numFmtId="41" fontId="0" fillId="10"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8" borderId="0" xfId="0" applyFill="1" applyAlignment="1">
      <alignment wrapText="1"/>
    </xf>
    <xf numFmtId="0" fontId="25"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9" borderId="1" xfId="0" applyFont="1" applyFill="1" applyBorder="1"/>
    <xf numFmtId="17" fontId="6" fillId="9" borderId="1" xfId="0" applyNumberFormat="1" applyFont="1" applyFill="1" applyBorder="1" applyAlignment="1">
      <alignment horizontal="center"/>
    </xf>
    <xf numFmtId="0" fontId="0" fillId="9" borderId="1" xfId="0" applyFill="1" applyBorder="1" applyAlignment="1">
      <alignment horizontal="left"/>
    </xf>
    <xf numFmtId="0" fontId="0" fillId="8" borderId="0" xfId="0" applyFill="1" applyAlignment="1">
      <alignment vertical="center" wrapText="1"/>
    </xf>
    <xf numFmtId="41" fontId="0" fillId="8" borderId="0" xfId="1" applyFont="1" applyFill="1" applyBorder="1" applyAlignment="1">
      <alignment vertical="center" wrapText="1"/>
    </xf>
    <xf numFmtId="0" fontId="6" fillId="8" borderId="57" xfId="0" applyFont="1" applyFill="1" applyBorder="1" applyAlignment="1">
      <alignment horizontal="center" vertical="center" wrapText="1"/>
    </xf>
    <xf numFmtId="0" fontId="6" fillId="8" borderId="59" xfId="0" applyFont="1" applyFill="1" applyBorder="1" applyAlignment="1">
      <alignment horizontal="center" vertical="center" wrapText="1"/>
    </xf>
    <xf numFmtId="0" fontId="0" fillId="11" borderId="0" xfId="0" applyFill="1"/>
    <xf numFmtId="0" fontId="19" fillId="12" borderId="0" xfId="0" applyFont="1" applyFill="1"/>
    <xf numFmtId="17" fontId="6" fillId="0" borderId="1" xfId="0" applyNumberFormat="1" applyFont="1" applyBorder="1" applyAlignment="1">
      <alignment horizontal="center" vertical="center"/>
    </xf>
    <xf numFmtId="165" fontId="13" fillId="3" borderId="51" xfId="2" applyNumberFormat="1" applyFont="1" applyFill="1" applyBorder="1" applyAlignment="1"/>
    <xf numFmtId="43" fontId="0" fillId="0" borderId="0" xfId="0" applyNumberFormat="1"/>
    <xf numFmtId="0" fontId="0" fillId="0" borderId="0" xfId="0" pivotButton="1"/>
    <xf numFmtId="0" fontId="0" fillId="0" borderId="0" xfId="0" applyAlignment="1">
      <alignment horizontal="left"/>
    </xf>
    <xf numFmtId="41" fontId="0" fillId="0" borderId="0" xfId="0" applyNumberFormat="1"/>
    <xf numFmtId="0" fontId="6" fillId="13"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0" fillId="0" borderId="0" xfId="0" applyAlignment="1">
      <alignment vertical="center"/>
    </xf>
    <xf numFmtId="0" fontId="6" fillId="0" borderId="2" xfId="0" applyFont="1" applyBorder="1" applyAlignment="1">
      <alignment horizontal="center" vertical="center" wrapText="1"/>
    </xf>
    <xf numFmtId="17" fontId="0" fillId="0" borderId="0" xfId="0" applyNumberFormat="1"/>
    <xf numFmtId="17" fontId="6" fillId="0" borderId="1" xfId="0" applyNumberFormat="1" applyFont="1" applyBorder="1" applyAlignment="1">
      <alignment horizontal="center"/>
    </xf>
    <xf numFmtId="0" fontId="0" fillId="9" borderId="0" xfId="0" applyFill="1" applyAlignment="1">
      <alignment horizontal="left"/>
    </xf>
    <xf numFmtId="41" fontId="0" fillId="9" borderId="0" xfId="0" applyNumberFormat="1" applyFill="1"/>
    <xf numFmtId="0" fontId="0" fillId="9" borderId="0" xfId="0" applyFill="1"/>
    <xf numFmtId="41" fontId="0" fillId="0" borderId="0" xfId="1" applyFont="1"/>
    <xf numFmtId="41" fontId="0" fillId="9" borderId="0" xfId="1" applyFont="1" applyFill="1"/>
    <xf numFmtId="0" fontId="0" fillId="12" borderId="0" xfId="0" applyFill="1"/>
    <xf numFmtId="0" fontId="0" fillId="15" borderId="0" xfId="0" applyFill="1"/>
    <xf numFmtId="165" fontId="13" fillId="14" borderId="1" xfId="2" applyNumberFormat="1" applyFont="1" applyFill="1" applyBorder="1" applyAlignment="1"/>
    <xf numFmtId="0" fontId="0" fillId="10" borderId="0" xfId="0" applyFill="1" applyAlignment="1">
      <alignment horizontal="left"/>
    </xf>
    <xf numFmtId="41" fontId="0" fillId="10" borderId="0" xfId="0" applyNumberFormat="1" applyFill="1"/>
    <xf numFmtId="0" fontId="0" fillId="10" borderId="0" xfId="0" applyFill="1"/>
    <xf numFmtId="0" fontId="6" fillId="0" borderId="0" xfId="0" applyFont="1" applyAlignment="1">
      <alignment horizontal="center" vertical="center" wrapText="1"/>
    </xf>
    <xf numFmtId="17" fontId="11"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3"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7" fillId="0" borderId="0" xfId="0" applyFont="1" applyAlignment="1">
      <alignment horizontal="left" vertical="center"/>
    </xf>
    <xf numFmtId="0" fontId="0" fillId="0" borderId="66" xfId="0" applyBorder="1"/>
    <xf numFmtId="17" fontId="11" fillId="0" borderId="0" xfId="0" applyNumberFormat="1" applyFont="1" applyAlignment="1">
      <alignment horizontal="center" vertical="center" wrapText="1"/>
    </xf>
    <xf numFmtId="41" fontId="6" fillId="0" borderId="1" xfId="1" applyFont="1" applyBorder="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1" fillId="3" borderId="1" xfId="0" applyFont="1" applyFill="1" applyBorder="1" applyAlignment="1">
      <alignment horizontal="center" vertical="center" wrapText="1"/>
    </xf>
    <xf numFmtId="165" fontId="11" fillId="0" borderId="1" xfId="4" applyNumberFormat="1" applyFont="1" applyFill="1" applyBorder="1" applyAlignment="1">
      <alignment horizontal="center" vertical="center"/>
    </xf>
    <xf numFmtId="165" fontId="11" fillId="9" borderId="1" xfId="4"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6" borderId="1" xfId="0" applyFont="1" applyFill="1" applyBorder="1" applyAlignment="1">
      <alignment horizontal="center"/>
    </xf>
    <xf numFmtId="0" fontId="6" fillId="16" borderId="1" xfId="0" applyFont="1" applyFill="1" applyBorder="1" applyAlignment="1">
      <alignment horizontal="center" vertical="center" wrapText="1"/>
    </xf>
    <xf numFmtId="0" fontId="0" fillId="16" borderId="3" xfId="0" applyFill="1" applyBorder="1" applyAlignment="1">
      <alignment vertical="center" wrapText="1"/>
    </xf>
    <xf numFmtId="0" fontId="3" fillId="0" borderId="0" xfId="0" applyFont="1"/>
    <xf numFmtId="0" fontId="0" fillId="0" borderId="0" xfId="0" quotePrefix="1" applyAlignment="1">
      <alignment vertical="top"/>
    </xf>
    <xf numFmtId="0" fontId="32" fillId="0" borderId="0" xfId="0" quotePrefix="1" applyFont="1" applyAlignment="1">
      <alignment vertical="center" wrapText="1"/>
    </xf>
    <xf numFmtId="0" fontId="35" fillId="0" borderId="1" xfId="0" applyFont="1" applyBorder="1" applyAlignment="1">
      <alignment vertical="center"/>
    </xf>
    <xf numFmtId="0" fontId="36" fillId="0" borderId="1" xfId="0" applyFont="1" applyBorder="1" applyAlignment="1">
      <alignment vertical="center"/>
    </xf>
    <xf numFmtId="0" fontId="34"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10" fillId="0" borderId="1" xfId="14" applyNumberFormat="1" applyFont="1" applyBorder="1" applyAlignment="1">
      <alignment horizontal="center"/>
    </xf>
    <xf numFmtId="3" fontId="18" fillId="17" borderId="1" xfId="15" applyNumberFormat="1" applyFont="1" applyFill="1" applyBorder="1" applyAlignment="1">
      <alignment horizontal="center" wrapText="1"/>
    </xf>
    <xf numFmtId="3" fontId="18" fillId="0" borderId="1" xfId="15" applyNumberFormat="1" applyFont="1" applyBorder="1" applyAlignment="1">
      <alignment horizontal="center" wrapText="1"/>
    </xf>
    <xf numFmtId="0" fontId="39" fillId="0" borderId="1" xfId="0" applyFont="1" applyBorder="1" applyAlignment="1">
      <alignment horizontal="center" vertical="center"/>
    </xf>
    <xf numFmtId="3" fontId="39" fillId="0" borderId="1" xfId="0" applyNumberFormat="1" applyFont="1" applyBorder="1" applyAlignment="1">
      <alignment horizontal="center" vertical="center"/>
    </xf>
    <xf numFmtId="3" fontId="10" fillId="0" borderId="1" xfId="1" applyNumberFormat="1" applyFont="1" applyBorder="1" applyAlignment="1">
      <alignment horizontal="center"/>
    </xf>
    <xf numFmtId="3" fontId="39" fillId="0" borderId="1" xfId="1" applyNumberFormat="1" applyFont="1" applyBorder="1" applyAlignment="1">
      <alignment horizontal="center" vertical="center"/>
    </xf>
    <xf numFmtId="3" fontId="18" fillId="17" borderId="1" xfId="1" applyNumberFormat="1" applyFont="1" applyFill="1" applyBorder="1" applyAlignment="1">
      <alignment horizontal="center" wrapText="1"/>
    </xf>
    <xf numFmtId="3" fontId="0" fillId="0" borderId="1" xfId="1" applyNumberFormat="1" applyFont="1" applyBorder="1" applyAlignment="1">
      <alignment horizontal="center"/>
    </xf>
    <xf numFmtId="0" fontId="11" fillId="0" borderId="50" xfId="0" applyFont="1" applyBorder="1" applyAlignment="1">
      <alignment horizontal="center" vertical="center" wrapText="1"/>
    </xf>
    <xf numFmtId="0" fontId="11" fillId="0" borderId="1" xfId="0" applyFont="1" applyBorder="1" applyAlignment="1">
      <alignment horizontal="center"/>
    </xf>
    <xf numFmtId="0" fontId="23" fillId="0" borderId="0" xfId="6" applyAlignment="1" applyProtection="1"/>
    <xf numFmtId="0" fontId="15" fillId="0" borderId="0" xfId="0" quotePrefix="1" applyFont="1" applyAlignment="1">
      <alignment vertical="top"/>
    </xf>
    <xf numFmtId="0" fontId="14" fillId="0" borderId="0" xfId="0" quotePrefix="1" applyFont="1" applyAlignment="1">
      <alignment vertical="top"/>
    </xf>
    <xf numFmtId="0" fontId="41" fillId="0" borderId="0" xfId="0" quotePrefix="1" applyFont="1" applyAlignment="1">
      <alignment vertical="top"/>
    </xf>
    <xf numFmtId="0" fontId="14" fillId="0" borderId="0" xfId="0" applyFont="1"/>
    <xf numFmtId="0" fontId="14" fillId="0" borderId="0" xfId="0" applyFont="1" applyAlignment="1">
      <alignment vertical="center"/>
    </xf>
    <xf numFmtId="0" fontId="21" fillId="0" borderId="0" xfId="0" applyFont="1" applyAlignment="1">
      <alignment horizontal="center" vertical="center" wrapText="1"/>
    </xf>
    <xf numFmtId="0" fontId="14" fillId="0" borderId="0" xfId="0" quotePrefix="1" applyFont="1" applyAlignment="1">
      <alignment vertical="center"/>
    </xf>
    <xf numFmtId="0" fontId="42" fillId="3" borderId="0" xfId="0" applyFont="1" applyFill="1" applyAlignment="1">
      <alignment vertical="center"/>
    </xf>
    <xf numFmtId="0" fontId="7" fillId="3" borderId="0" xfId="0" applyFont="1" applyFill="1" applyAlignment="1">
      <alignment vertical="center"/>
    </xf>
    <xf numFmtId="3" fontId="0" fillId="0" borderId="1" xfId="1" applyNumberFormat="1" applyFont="1" applyBorder="1"/>
    <xf numFmtId="3" fontId="0" fillId="16" borderId="1" xfId="1" applyNumberFormat="1" applyFont="1" applyFill="1" applyBorder="1" applyAlignment="1">
      <alignment horizontal="center"/>
    </xf>
    <xf numFmtId="3" fontId="6" fillId="16"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3" fontId="6" fillId="16" borderId="1" xfId="1" applyNumberFormat="1" applyFont="1" applyFill="1" applyBorder="1" applyAlignment="1">
      <alignment horizontal="center"/>
    </xf>
    <xf numFmtId="164" fontId="0" fillId="0" borderId="1" xfId="3" applyNumberFormat="1" applyFont="1" applyFill="1" applyBorder="1" applyAlignment="1">
      <alignment horizontal="center" vertical="center" wrapText="1"/>
    </xf>
    <xf numFmtId="3" fontId="6" fillId="16"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0" fillId="16" borderId="1" xfId="1" applyNumberFormat="1" applyFont="1" applyFill="1" applyBorder="1" applyAlignment="1">
      <alignment horizontal="center" vertical="center" wrapText="1"/>
    </xf>
    <xf numFmtId="3" fontId="1" fillId="3" borderId="1" xfId="1" applyNumberFormat="1" applyFont="1" applyFill="1" applyBorder="1" applyAlignment="1">
      <alignment horizontal="center"/>
    </xf>
    <xf numFmtId="3" fontId="0" fillId="0" borderId="52" xfId="1" applyNumberFormat="1" applyFont="1" applyBorder="1" applyAlignment="1">
      <alignment horizontal="center" vertical="center" wrapText="1"/>
    </xf>
    <xf numFmtId="3" fontId="0" fillId="0" borderId="1" xfId="1" applyNumberFormat="1" applyFont="1" applyBorder="1" applyAlignment="1">
      <alignment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164" fontId="0" fillId="0" borderId="52" xfId="3" applyNumberFormat="1" applyFont="1" applyBorder="1" applyAlignment="1">
      <alignment horizontal="center" vertical="center" wrapText="1"/>
    </xf>
    <xf numFmtId="3" fontId="36" fillId="0" borderId="1" xfId="0" applyNumberFormat="1" applyFont="1" applyBorder="1" applyAlignment="1">
      <alignment horizontal="center" vertical="center"/>
    </xf>
    <xf numFmtId="3" fontId="0" fillId="0" borderId="1" xfId="12" applyNumberFormat="1" applyFont="1" applyBorder="1" applyAlignment="1">
      <alignment horizontal="center"/>
    </xf>
    <xf numFmtId="3" fontId="35" fillId="0" borderId="1" xfId="0" applyNumberFormat="1" applyFont="1" applyBorder="1" applyAlignment="1">
      <alignment horizontal="center" vertical="center"/>
    </xf>
    <xf numFmtId="3" fontId="0" fillId="0" borderId="1" xfId="14" applyNumberFormat="1" applyFont="1" applyBorder="1" applyAlignment="1">
      <alignment horizontal="center"/>
    </xf>
    <xf numFmtId="3" fontId="0" fillId="0" borderId="1" xfId="5" applyNumberFormat="1" applyFont="1" applyBorder="1" applyAlignment="1">
      <alignment horizontal="center"/>
    </xf>
    <xf numFmtId="17" fontId="6" fillId="18" borderId="1" xfId="0" applyNumberFormat="1" applyFont="1" applyFill="1" applyBorder="1" applyAlignment="1">
      <alignment horizontal="center"/>
    </xf>
    <xf numFmtId="0" fontId="6" fillId="18" borderId="1" xfId="0" applyFont="1" applyFill="1" applyBorder="1" applyAlignment="1">
      <alignment horizontal="center"/>
    </xf>
    <xf numFmtId="3" fontId="34" fillId="16" borderId="1" xfId="0" applyNumberFormat="1" applyFont="1" applyFill="1" applyBorder="1" applyAlignment="1">
      <alignment horizontal="left" vertical="center"/>
    </xf>
    <xf numFmtId="3" fontId="34"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3"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17" fontId="5" fillId="16" borderId="1" xfId="0" applyNumberFormat="1" applyFont="1" applyFill="1" applyBorder="1" applyAlignment="1">
      <alignment horizontal="center" vertical="center"/>
    </xf>
    <xf numFmtId="0" fontId="37" fillId="16" borderId="1" xfId="0" applyFont="1" applyFill="1" applyBorder="1" applyAlignment="1">
      <alignment horizontal="center" vertical="center" wrapText="1"/>
    </xf>
    <xf numFmtId="3" fontId="35" fillId="16" borderId="1" xfId="0" applyNumberFormat="1" applyFont="1" applyFill="1" applyBorder="1" applyAlignment="1">
      <alignment horizontal="center" vertical="center" wrapText="1"/>
    </xf>
    <xf numFmtId="3" fontId="37" fillId="16" borderId="1" xfId="0" applyNumberFormat="1" applyFont="1" applyFill="1" applyBorder="1" applyAlignment="1">
      <alignment horizontal="center" vertical="center" wrapText="1"/>
    </xf>
    <xf numFmtId="3" fontId="37" fillId="16" borderId="1" xfId="0" applyNumberFormat="1" applyFont="1" applyFill="1" applyBorder="1" applyAlignment="1">
      <alignment horizontal="center" vertical="center"/>
    </xf>
    <xf numFmtId="17" fontId="6" fillId="16" borderId="1" xfId="0" applyNumberFormat="1" applyFont="1" applyFill="1" applyBorder="1" applyAlignment="1">
      <alignment horizontal="center" vertical="center"/>
    </xf>
    <xf numFmtId="3" fontId="6" fillId="16" borderId="1" xfId="0" applyNumberFormat="1" applyFont="1" applyFill="1" applyBorder="1" applyAlignment="1">
      <alignment horizontal="center" vertical="center"/>
    </xf>
    <xf numFmtId="3" fontId="6" fillId="16" borderId="1" xfId="5" applyNumberFormat="1" applyFont="1" applyFill="1" applyBorder="1" applyAlignment="1">
      <alignment horizontal="center"/>
    </xf>
    <xf numFmtId="3" fontId="0" fillId="16" borderId="1" xfId="5" applyNumberFormat="1" applyFont="1" applyFill="1" applyBorder="1" applyAlignment="1">
      <alignment horizontal="center"/>
    </xf>
    <xf numFmtId="17" fontId="6" fillId="16" borderId="3" xfId="0" applyNumberFormat="1" applyFont="1" applyFill="1" applyBorder="1" applyAlignment="1">
      <alignment horizontal="center"/>
    </xf>
    <xf numFmtId="0" fontId="6" fillId="16" borderId="3" xfId="0" applyFont="1" applyFill="1" applyBorder="1" applyAlignment="1">
      <alignment horizontal="center"/>
    </xf>
    <xf numFmtId="1" fontId="6" fillId="16" borderId="1" xfId="0" applyNumberFormat="1" applyFont="1" applyFill="1" applyBorder="1" applyAlignment="1">
      <alignment horizontal="center"/>
    </xf>
    <xf numFmtId="165" fontId="6" fillId="16" borderId="1" xfId="0" applyNumberFormat="1" applyFont="1" applyFill="1" applyBorder="1"/>
    <xf numFmtId="17" fontId="6" fillId="16" borderId="1" xfId="0" applyNumberFormat="1" applyFont="1" applyFill="1" applyBorder="1" applyAlignment="1">
      <alignment horizontal="center" vertical="center" wrapText="1"/>
    </xf>
    <xf numFmtId="17" fontId="6" fillId="16" borderId="1" xfId="0" quotePrefix="1" applyNumberFormat="1" applyFont="1" applyFill="1" applyBorder="1" applyAlignment="1">
      <alignment horizontal="center"/>
    </xf>
    <xf numFmtId="3" fontId="6" fillId="16" borderId="1" xfId="5"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16" borderId="1" xfId="0" applyFont="1" applyFill="1" applyBorder="1" applyAlignment="1">
      <alignment vertical="center" wrapText="1"/>
    </xf>
    <xf numFmtId="3" fontId="6" fillId="16" borderId="59" xfId="1" applyNumberFormat="1" applyFont="1" applyFill="1" applyBorder="1" applyAlignment="1">
      <alignment horizontal="center" vertical="center" wrapText="1"/>
    </xf>
    <xf numFmtId="0" fontId="6" fillId="16" borderId="3" xfId="0" applyFont="1" applyFill="1" applyBorder="1" applyAlignment="1">
      <alignment vertical="center" wrapText="1"/>
    </xf>
    <xf numFmtId="3" fontId="6" fillId="16" borderId="1" xfId="0" applyNumberFormat="1" applyFont="1" applyFill="1" applyBorder="1" applyAlignment="1">
      <alignment horizontal="center" vertical="center" wrapText="1"/>
    </xf>
    <xf numFmtId="0" fontId="6" fillId="0" borderId="62" xfId="0" applyFont="1" applyBorder="1" applyAlignment="1">
      <alignment vertical="center" wrapText="1"/>
    </xf>
    <xf numFmtId="0" fontId="6" fillId="0" borderId="64" xfId="0" applyFont="1" applyBorder="1" applyAlignment="1">
      <alignment vertical="center" wrapText="1"/>
    </xf>
    <xf numFmtId="0" fontId="6" fillId="16" borderId="64" xfId="0" applyFont="1" applyFill="1" applyBorder="1" applyAlignment="1">
      <alignment vertical="center" wrapText="1"/>
    </xf>
    <xf numFmtId="3" fontId="6" fillId="16" borderId="57" xfId="1" applyNumberFormat="1" applyFont="1" applyFill="1" applyBorder="1" applyAlignment="1">
      <alignment horizontal="center" vertical="center" wrapText="1"/>
    </xf>
    <xf numFmtId="3" fontId="6" fillId="16" borderId="82" xfId="1" applyNumberFormat="1" applyFont="1" applyFill="1" applyBorder="1" applyAlignment="1">
      <alignment horizontal="center" vertical="center" wrapText="1"/>
    </xf>
    <xf numFmtId="3" fontId="0" fillId="3" borderId="1" xfId="0" applyNumberFormat="1" applyFill="1" applyBorder="1" applyAlignment="1">
      <alignment horizontal="center"/>
    </xf>
    <xf numFmtId="3" fontId="0" fillId="0" borderId="1" xfId="1" applyNumberFormat="1" applyFont="1" applyBorder="1" applyAlignment="1">
      <alignment horizontal="center" vertical="center"/>
    </xf>
    <xf numFmtId="3" fontId="6" fillId="16" borderId="1" xfId="1" applyNumberFormat="1" applyFont="1" applyFill="1" applyBorder="1" applyAlignment="1">
      <alignment horizontal="center" vertical="center"/>
    </xf>
    <xf numFmtId="3" fontId="0" fillId="3" borderId="1" xfId="0" applyNumberFormat="1" applyFill="1" applyBorder="1" applyAlignment="1">
      <alignment horizontal="center" vertical="center"/>
    </xf>
    <xf numFmtId="3" fontId="6" fillId="16" borderId="1" xfId="1" applyNumberFormat="1" applyFont="1" applyFill="1" applyBorder="1" applyAlignment="1">
      <alignment vertical="center" wrapText="1"/>
    </xf>
    <xf numFmtId="3" fontId="6" fillId="16" borderId="1" xfId="1" applyNumberFormat="1" applyFont="1" applyFill="1" applyBorder="1"/>
    <xf numFmtId="165" fontId="11" fillId="19" borderId="1" xfId="4" applyNumberFormat="1" applyFont="1" applyFill="1" applyBorder="1" applyAlignment="1">
      <alignment horizontal="center" vertical="center"/>
    </xf>
    <xf numFmtId="0" fontId="6" fillId="0" borderId="52" xfId="0" applyFont="1" applyBorder="1" applyAlignment="1">
      <alignment vertical="center" wrapText="1"/>
    </xf>
    <xf numFmtId="0" fontId="6" fillId="19" borderId="52" xfId="0" applyFont="1" applyFill="1" applyBorder="1" applyAlignment="1">
      <alignment vertical="center" wrapText="1"/>
    </xf>
    <xf numFmtId="3" fontId="6" fillId="19"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9" borderId="52" xfId="0" applyNumberFormat="1" applyFont="1" applyFill="1" applyBorder="1" applyAlignment="1">
      <alignment horizontal="center" vertical="center" wrapText="1"/>
    </xf>
    <xf numFmtId="0" fontId="6" fillId="0" borderId="59" xfId="0" applyFont="1" applyBorder="1" applyAlignment="1">
      <alignment vertical="center" wrapText="1"/>
    </xf>
    <xf numFmtId="164" fontId="6" fillId="19" borderId="52" xfId="3" applyNumberFormat="1" applyFont="1" applyFill="1" applyBorder="1" applyAlignment="1">
      <alignment horizontal="center" vertical="center" wrapText="1"/>
    </xf>
    <xf numFmtId="0" fontId="6" fillId="19"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6" fillId="19" borderId="1" xfId="0" applyFont="1" applyFill="1" applyBorder="1" applyAlignment="1">
      <alignment horizontal="left"/>
    </xf>
    <xf numFmtId="9" fontId="6" fillId="19" borderId="1" xfId="3" applyFont="1" applyFill="1" applyBorder="1" applyAlignment="1">
      <alignment horizontal="center"/>
    </xf>
    <xf numFmtId="0" fontId="6" fillId="19" borderId="3" xfId="0" applyFont="1" applyFill="1" applyBorder="1" applyAlignment="1">
      <alignment horizontal="center" vertical="center" wrapText="1"/>
    </xf>
    <xf numFmtId="164" fontId="6" fillId="19" borderId="1" xfId="3" applyNumberFormat="1" applyFont="1" applyFill="1" applyBorder="1" applyAlignment="1">
      <alignment horizontal="center"/>
    </xf>
    <xf numFmtId="0" fontId="7" fillId="2" borderId="0" xfId="0" applyFont="1" applyFill="1" applyAlignment="1">
      <alignment horizontal="left" vertical="top" wrapText="1"/>
    </xf>
    <xf numFmtId="3" fontId="40" fillId="0" borderId="1" xfId="14" applyNumberFormat="1" applyFont="1" applyBorder="1" applyAlignment="1">
      <alignment horizontal="center" vertical="center"/>
    </xf>
    <xf numFmtId="3" fontId="1" fillId="0" borderId="1" xfId="5" applyNumberFormat="1" applyFont="1" applyFill="1" applyBorder="1" applyAlignment="1">
      <alignment horizontal="center" vertical="center"/>
    </xf>
    <xf numFmtId="3" fontId="6" fillId="18" borderId="1" xfId="5" applyNumberFormat="1" applyFont="1" applyFill="1" applyBorder="1" applyAlignment="1">
      <alignment horizontal="center" vertical="center"/>
    </xf>
    <xf numFmtId="3" fontId="11" fillId="18" borderId="1" xfId="5" applyNumberFormat="1" applyFont="1" applyFill="1" applyBorder="1" applyAlignment="1">
      <alignment horizontal="center" vertical="center"/>
    </xf>
    <xf numFmtId="3" fontId="0" fillId="3" borderId="1" xfId="5"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9" borderId="1" xfId="0" applyFont="1" applyFill="1" applyBorder="1" applyAlignment="1">
      <alignment horizontal="center" vertical="center"/>
    </xf>
    <xf numFmtId="41" fontId="6" fillId="19" borderId="1" xfId="1" applyFont="1" applyFill="1" applyBorder="1" applyAlignment="1">
      <alignment horizontal="center" vertical="center" wrapText="1"/>
    </xf>
    <xf numFmtId="0" fontId="6" fillId="19" borderId="1" xfId="0" applyFont="1" applyFill="1" applyBorder="1"/>
    <xf numFmtId="3" fontId="6" fillId="19" borderId="1" xfId="1" applyNumberFormat="1" applyFont="1" applyFill="1" applyBorder="1" applyAlignment="1">
      <alignment horizontal="center" vertical="center" wrapText="1"/>
    </xf>
    <xf numFmtId="9" fontId="6" fillId="19" borderId="1" xfId="3" applyFont="1" applyFill="1" applyBorder="1" applyAlignment="1">
      <alignment horizontal="center" vertical="center" wrapText="1"/>
    </xf>
    <xf numFmtId="3" fontId="6" fillId="0" borderId="2" xfId="0" applyNumberFormat="1" applyFont="1" applyBorder="1" applyAlignment="1">
      <alignment horizontal="center" vertical="center" wrapText="1"/>
    </xf>
    <xf numFmtId="17" fontId="6" fillId="19" borderId="1" xfId="0" applyNumberFormat="1" applyFont="1" applyFill="1" applyBorder="1" applyAlignment="1">
      <alignment horizontal="center" vertical="center"/>
    </xf>
    <xf numFmtId="3" fontId="6" fillId="19" borderId="2" xfId="0" applyNumberFormat="1" applyFont="1" applyFill="1" applyBorder="1" applyAlignment="1">
      <alignment horizontal="center" vertical="center" wrapText="1"/>
    </xf>
    <xf numFmtId="171" fontId="6" fillId="19" borderId="1" xfId="3" applyNumberFormat="1" applyFont="1" applyFill="1" applyBorder="1" applyAlignment="1">
      <alignment horizontal="center" vertical="center" wrapText="1"/>
    </xf>
    <xf numFmtId="17" fontId="6" fillId="19" borderId="1" xfId="0" applyNumberFormat="1" applyFont="1" applyFill="1" applyBorder="1" applyAlignment="1">
      <alignment horizontal="center" vertical="center" wrapText="1"/>
    </xf>
    <xf numFmtId="17" fontId="11" fillId="19" borderId="1" xfId="0" applyNumberFormat="1" applyFont="1" applyFill="1" applyBorder="1" applyAlignment="1">
      <alignment horizontal="center" vertical="center"/>
    </xf>
    <xf numFmtId="3"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3" applyFont="1" applyBorder="1" applyAlignment="1">
      <alignment horizontal="center" vertical="center" wrapText="1"/>
    </xf>
    <xf numFmtId="171" fontId="1" fillId="0" borderId="1" xfId="3" applyNumberFormat="1" applyFont="1" applyBorder="1" applyAlignment="1">
      <alignment horizontal="center" vertical="center" wrapText="1"/>
    </xf>
    <xf numFmtId="3" fontId="0" fillId="0" borderId="1" xfId="0" applyNumberFormat="1" applyBorder="1" applyAlignment="1">
      <alignment horizontal="center" vertical="center" wrapText="1"/>
    </xf>
    <xf numFmtId="3" fontId="6" fillId="19" borderId="1" xfId="0" applyNumberFormat="1" applyFont="1" applyFill="1" applyBorder="1" applyAlignment="1">
      <alignment horizontal="center" vertical="center" wrapText="1"/>
    </xf>
    <xf numFmtId="17" fontId="11" fillId="0" borderId="1" xfId="4" applyNumberFormat="1" applyFont="1" applyFill="1" applyBorder="1" applyAlignment="1">
      <alignment horizontal="center" vertical="center" wrapText="1"/>
    </xf>
    <xf numFmtId="3" fontId="10" fillId="3" borderId="1" xfId="0" applyNumberFormat="1" applyFont="1" applyFill="1" applyBorder="1" applyAlignment="1">
      <alignment horizontal="center" vertical="center" wrapText="1"/>
    </xf>
    <xf numFmtId="3" fontId="10" fillId="19" borderId="1" xfId="0" applyNumberFormat="1" applyFont="1" applyFill="1" applyBorder="1" applyAlignment="1">
      <alignment horizontal="center" vertical="center" wrapText="1"/>
    </xf>
    <xf numFmtId="17" fontId="11" fillId="19" borderId="1" xfId="4" applyNumberFormat="1" applyFont="1" applyFill="1" applyBorder="1" applyAlignment="1">
      <alignment horizontal="center" vertical="center" wrapText="1"/>
    </xf>
    <xf numFmtId="3" fontId="11" fillId="19" borderId="1" xfId="0" applyNumberFormat="1" applyFont="1" applyFill="1" applyBorder="1" applyAlignment="1">
      <alignment horizontal="center" vertical="center" wrapText="1"/>
    </xf>
    <xf numFmtId="9" fontId="10" fillId="3" borderId="1" xfId="3" applyFont="1" applyFill="1" applyBorder="1" applyAlignment="1">
      <alignment horizontal="center" vertical="center" wrapText="1"/>
    </xf>
    <xf numFmtId="9" fontId="11" fillId="19" borderId="1" xfId="3" applyFont="1" applyFill="1" applyBorder="1" applyAlignment="1">
      <alignment horizontal="center" vertical="center" wrapText="1"/>
    </xf>
    <xf numFmtId="3" fontId="18" fillId="0" borderId="1" xfId="0" applyNumberFormat="1" applyFont="1" applyBorder="1" applyAlignment="1">
      <alignment horizontal="center" vertical="center"/>
    </xf>
    <xf numFmtId="17" fontId="37" fillId="16" borderId="1" xfId="0" applyNumberFormat="1" applyFont="1" applyFill="1" applyBorder="1" applyAlignment="1">
      <alignment horizontal="center" vertical="center"/>
    </xf>
    <xf numFmtId="17" fontId="11" fillId="9" borderId="1" xfId="4" applyNumberFormat="1" applyFont="1" applyFill="1" applyBorder="1" applyAlignment="1">
      <alignment horizontal="center" vertical="center" wrapText="1"/>
    </xf>
    <xf numFmtId="17" fontId="5" fillId="0" borderId="1" xfId="0" applyNumberFormat="1" applyFont="1" applyBorder="1" applyAlignment="1">
      <alignment horizontal="center" vertical="center"/>
    </xf>
    <xf numFmtId="3" fontId="35" fillId="0" borderId="1" xfId="0" applyNumberFormat="1" applyFont="1" applyBorder="1" applyAlignment="1">
      <alignment horizontal="center" vertical="center" wrapText="1"/>
    </xf>
    <xf numFmtId="17" fontId="37" fillId="0" borderId="1" xfId="0" applyNumberFormat="1" applyFont="1" applyBorder="1" applyAlignment="1">
      <alignment horizontal="center" vertical="center"/>
    </xf>
    <xf numFmtId="17" fontId="6"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17" borderId="1" xfId="0" applyNumberFormat="1" applyFont="1" applyFill="1" applyBorder="1" applyAlignment="1">
      <alignment horizontal="center" vertical="center"/>
    </xf>
    <xf numFmtId="17" fontId="11" fillId="0" borderId="1"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3" fontId="11" fillId="0" borderId="12"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17" fontId="6" fillId="16" borderId="1" xfId="0" applyNumberFormat="1" applyFont="1" applyFill="1" applyBorder="1" applyAlignment="1">
      <alignment horizontal="center"/>
    </xf>
    <xf numFmtId="17" fontId="6" fillId="0" borderId="1" xfId="0" quotePrefix="1" applyNumberFormat="1" applyFont="1" applyBorder="1" applyAlignment="1">
      <alignment horizontal="center"/>
    </xf>
    <xf numFmtId="3" fontId="1" fillId="0" borderId="1" xfId="5" applyNumberFormat="1" applyFont="1" applyFill="1" applyBorder="1" applyAlignment="1">
      <alignment horizontal="center"/>
    </xf>
    <xf numFmtId="17" fontId="6" fillId="0" borderId="3" xfId="0" applyNumberFormat="1" applyFont="1" applyBorder="1" applyAlignment="1">
      <alignment horizontal="center"/>
    </xf>
    <xf numFmtId="0" fontId="33" fillId="0" borderId="0" xfId="6" applyFont="1" applyFill="1" applyAlignment="1" applyProtection="1"/>
    <xf numFmtId="0" fontId="23" fillId="0" borderId="0" xfId="6" applyFill="1" applyAlignment="1" applyProtection="1">
      <alignment horizontal="left"/>
    </xf>
    <xf numFmtId="0" fontId="23" fillId="0" borderId="0" xfId="6" applyAlignment="1" applyProtection="1">
      <alignment horizontal="left"/>
    </xf>
    <xf numFmtId="0" fontId="27" fillId="0" borderId="0" xfId="0" applyFont="1" applyAlignment="1">
      <alignment horizontal="left" vertical="center" wrapText="1"/>
    </xf>
    <xf numFmtId="0" fontId="27" fillId="0" borderId="0" xfId="0" applyFont="1" applyAlignment="1">
      <alignment horizontal="left" vertical="center"/>
    </xf>
    <xf numFmtId="0" fontId="0" fillId="0" borderId="0" xfId="0" applyAlignment="1">
      <alignment horizontal="center"/>
    </xf>
    <xf numFmtId="0" fontId="30" fillId="0" borderId="67" xfId="0" applyFont="1" applyBorder="1" applyAlignment="1">
      <alignment horizontal="center"/>
    </xf>
    <xf numFmtId="0" fontId="30" fillId="0" borderId="65" xfId="0" applyFont="1" applyBorder="1" applyAlignment="1">
      <alignment horizontal="center"/>
    </xf>
    <xf numFmtId="0" fontId="30" fillId="0" borderId="68" xfId="0" applyFont="1" applyBorder="1" applyAlignment="1">
      <alignment horizontal="center"/>
    </xf>
    <xf numFmtId="0" fontId="27" fillId="0" borderId="0" xfId="0" applyFont="1" applyAlignment="1">
      <alignment horizontal="center"/>
    </xf>
    <xf numFmtId="0" fontId="23" fillId="0" borderId="0" xfId="6" applyFill="1" applyAlignment="1" applyProtection="1"/>
    <xf numFmtId="0" fontId="33" fillId="0" borderId="0" xfId="6" applyFont="1" applyAlignment="1" applyProtection="1">
      <alignment horizontal="left"/>
    </xf>
    <xf numFmtId="0" fontId="29" fillId="0" borderId="69" xfId="0" applyFont="1" applyBorder="1" applyAlignment="1">
      <alignment horizontal="center"/>
    </xf>
    <xf numFmtId="0" fontId="29" fillId="0" borderId="70" xfId="0" applyFont="1" applyBorder="1" applyAlignment="1">
      <alignment horizontal="center"/>
    </xf>
    <xf numFmtId="0" fontId="29" fillId="0" borderId="71" xfId="0" applyFont="1" applyBorder="1" applyAlignment="1">
      <alignment horizontal="center"/>
    </xf>
    <xf numFmtId="17" fontId="6" fillId="0" borderId="1" xfId="0" quotePrefix="1" applyNumberFormat="1" applyFont="1" applyBorder="1" applyAlignment="1">
      <alignment horizontal="center" vertical="center"/>
    </xf>
    <xf numFmtId="17" fontId="6" fillId="0" borderId="1" xfId="0" applyNumberFormat="1" applyFont="1" applyBorder="1" applyAlignment="1">
      <alignment horizontal="center" vertical="center"/>
    </xf>
    <xf numFmtId="0" fontId="6" fillId="0" borderId="1" xfId="0" applyFont="1" applyBorder="1" applyAlignment="1">
      <alignment horizontal="center"/>
    </xf>
    <xf numFmtId="0" fontId="7" fillId="0" borderId="0" xfId="0" quotePrefix="1" applyFont="1" applyAlignment="1">
      <alignment horizontal="left" vertical="top" wrapText="1"/>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14" fillId="0" borderId="0" xfId="0" quotePrefix="1" applyFont="1" applyAlignment="1">
      <alignment horizontal="left" vertical="center"/>
    </xf>
    <xf numFmtId="0" fontId="6" fillId="19" borderId="1" xfId="0" applyFont="1" applyFill="1" applyBorder="1" applyAlignment="1">
      <alignment horizontal="center"/>
    </xf>
    <xf numFmtId="17" fontId="6" fillId="0" borderId="50" xfId="0" quotePrefix="1" applyNumberFormat="1" applyFont="1" applyBorder="1" applyAlignment="1">
      <alignment horizontal="center" vertical="center"/>
    </xf>
    <xf numFmtId="17" fontId="6" fillId="0" borderId="51" xfId="0" applyNumberFormat="1" applyFont="1" applyBorder="1" applyAlignment="1">
      <alignment horizontal="center" vertical="center"/>
    </xf>
    <xf numFmtId="0" fontId="6" fillId="0" borderId="0" xfId="0" applyFont="1" applyAlignment="1">
      <alignment horizontal="center"/>
    </xf>
    <xf numFmtId="0" fontId="13" fillId="3" borderId="1" xfId="0" applyFont="1" applyFill="1" applyBorder="1" applyAlignment="1">
      <alignment horizontal="center" vertical="center"/>
    </xf>
    <xf numFmtId="165" fontId="13" fillId="3" borderId="1" xfId="2" applyNumberFormat="1" applyFont="1" applyFill="1" applyBorder="1" applyAlignment="1">
      <alignment horizontal="center" vertical="center"/>
    </xf>
    <xf numFmtId="170" fontId="6" fillId="0" borderId="50" xfId="0" quotePrefix="1" applyNumberFormat="1" applyFont="1" applyBorder="1" applyAlignment="1">
      <alignment horizontal="center" vertical="center"/>
    </xf>
    <xf numFmtId="170" fontId="6" fillId="0" borderId="51" xfId="0" applyNumberFormat="1" applyFont="1" applyBorder="1" applyAlignment="1">
      <alignment horizontal="center" vertic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0" fontId="29" fillId="0" borderId="72" xfId="0" applyFont="1" applyBorder="1" applyAlignment="1">
      <alignment horizontal="center"/>
    </xf>
    <xf numFmtId="0" fontId="29" fillId="0" borderId="73" xfId="0" applyFont="1" applyBorder="1" applyAlignment="1">
      <alignment horizontal="center"/>
    </xf>
    <xf numFmtId="0" fontId="29" fillId="0" borderId="74" xfId="0" applyFont="1" applyBorder="1" applyAlignment="1">
      <alignment horizontal="center"/>
    </xf>
    <xf numFmtId="0" fontId="11" fillId="19"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0" fontId="7" fillId="3" borderId="0" xfId="0" applyFont="1" applyFill="1" applyAlignment="1">
      <alignment horizontal="left" vertical="top" wrapText="1"/>
    </xf>
    <xf numFmtId="0" fontId="6" fillId="19" borderId="1" xfId="0" applyFont="1" applyFill="1" applyBorder="1" applyAlignment="1">
      <alignment horizontal="center" vertical="center" wrapText="1"/>
    </xf>
    <xf numFmtId="0" fontId="7" fillId="3" borderId="5" xfId="0" applyFont="1" applyFill="1" applyBorder="1" applyAlignment="1">
      <alignment horizontal="left" vertical="top" wrapText="1"/>
    </xf>
    <xf numFmtId="0" fontId="11" fillId="3" borderId="3" xfId="0" applyFont="1" applyFill="1" applyBorder="1" applyAlignment="1">
      <alignment horizontal="center" vertical="top" wrapText="1"/>
    </xf>
    <xf numFmtId="0" fontId="11" fillId="3" borderId="4" xfId="0" applyFont="1" applyFill="1" applyBorder="1" applyAlignment="1">
      <alignment horizontal="center" vertical="top" wrapText="1"/>
    </xf>
    <xf numFmtId="0" fontId="11" fillId="3" borderId="2" xfId="0" applyFont="1" applyFill="1" applyBorder="1" applyAlignment="1">
      <alignment horizontal="center" vertical="top" wrapText="1"/>
    </xf>
    <xf numFmtId="165" fontId="11" fillId="0" borderId="1" xfId="4" applyNumberFormat="1"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 xfId="0" applyFont="1" applyBorder="1" applyAlignment="1">
      <alignment horizontal="center" vertical="center" wrapText="1"/>
    </xf>
    <xf numFmtId="165" fontId="13" fillId="4" borderId="1" xfId="4" applyNumberFormat="1" applyFont="1" applyFill="1" applyBorder="1" applyAlignment="1">
      <alignment horizontal="center" vertical="center" wrapText="1"/>
    </xf>
    <xf numFmtId="0" fontId="20" fillId="3" borderId="1" xfId="0" applyFont="1" applyFill="1" applyBorder="1" applyAlignment="1">
      <alignment horizontal="center" wrapText="1"/>
    </xf>
    <xf numFmtId="0" fontId="20" fillId="3" borderId="1" xfId="0" applyFont="1" applyFill="1" applyBorder="1" applyAlignment="1">
      <alignment horizontal="center"/>
    </xf>
    <xf numFmtId="0" fontId="6" fillId="16" borderId="30" xfId="0" applyFont="1" applyFill="1" applyBorder="1" applyAlignment="1">
      <alignment horizontal="center" vertical="center"/>
    </xf>
    <xf numFmtId="0" fontId="6" fillId="16" borderId="5" xfId="0" applyFont="1" applyFill="1" applyBorder="1" applyAlignment="1">
      <alignment horizontal="center" vertical="center"/>
    </xf>
    <xf numFmtId="0" fontId="6" fillId="16" borderId="31"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11" xfId="0" applyFont="1" applyFill="1" applyBorder="1" applyAlignment="1">
      <alignment horizontal="center" vertical="center"/>
    </xf>
    <xf numFmtId="0" fontId="7" fillId="3" borderId="0" xfId="0" applyFont="1" applyFill="1" applyAlignment="1">
      <alignment horizontal="left" vertical="center" wrapText="1"/>
    </xf>
    <xf numFmtId="0" fontId="6" fillId="0" borderId="1" xfId="0" applyFont="1" applyBorder="1" applyAlignment="1">
      <alignment horizontal="center" vertical="center"/>
    </xf>
    <xf numFmtId="17" fontId="11" fillId="0" borderId="0" xfId="0" applyNumberFormat="1" applyFont="1" applyAlignment="1">
      <alignment horizontal="center" vertical="center" wrapText="1"/>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6" fillId="0" borderId="1" xfId="0" applyFont="1" applyBorder="1" applyAlignment="1">
      <alignment horizontal="left" vertical="center" wrapText="1"/>
    </xf>
    <xf numFmtId="3" fontId="6" fillId="19" borderId="3" xfId="1" applyNumberFormat="1" applyFont="1" applyFill="1" applyBorder="1" applyAlignment="1">
      <alignment horizontal="left"/>
    </xf>
    <xf numFmtId="3" fontId="6" fillId="19" borderId="4" xfId="1" applyNumberFormat="1" applyFont="1" applyFill="1" applyBorder="1" applyAlignment="1">
      <alignment horizontal="left"/>
    </xf>
    <xf numFmtId="3" fontId="6" fillId="19" borderId="2" xfId="1" applyNumberFormat="1" applyFont="1" applyFill="1" applyBorder="1" applyAlignment="1">
      <alignment horizontal="left"/>
    </xf>
    <xf numFmtId="165" fontId="11" fillId="19" borderId="1" xfId="4" applyNumberFormat="1" applyFont="1" applyFill="1" applyBorder="1" applyAlignment="1">
      <alignment horizontal="center" vertical="center"/>
    </xf>
    <xf numFmtId="165" fontId="11" fillId="0" borderId="1" xfId="4" applyNumberFormat="1" applyFont="1" applyFill="1" applyBorder="1" applyAlignment="1">
      <alignment horizontal="center" vertical="center"/>
    </xf>
    <xf numFmtId="0" fontId="3" fillId="2" borderId="0" xfId="0" applyFont="1" applyFill="1" applyAlignment="1">
      <alignment horizontal="left"/>
    </xf>
    <xf numFmtId="0" fontId="7" fillId="3" borderId="53" xfId="0" applyFont="1" applyFill="1" applyBorder="1" applyAlignment="1">
      <alignment horizontal="left" vertical="top" wrapText="1"/>
    </xf>
    <xf numFmtId="0" fontId="6" fillId="19" borderId="30" xfId="0" applyFont="1" applyFill="1" applyBorder="1" applyAlignment="1">
      <alignment horizontal="center" vertical="center"/>
    </xf>
    <xf numFmtId="0" fontId="6" fillId="19" borderId="5" xfId="0" applyFont="1" applyFill="1" applyBorder="1" applyAlignment="1">
      <alignment horizontal="center" vertical="center"/>
    </xf>
    <xf numFmtId="0" fontId="6" fillId="19" borderId="31" xfId="0" applyFont="1" applyFill="1" applyBorder="1" applyAlignment="1">
      <alignment horizontal="center" vertical="center"/>
    </xf>
    <xf numFmtId="0" fontId="6" fillId="19" borderId="13" xfId="0" applyFont="1" applyFill="1" applyBorder="1" applyAlignment="1">
      <alignment horizontal="center" vertical="center"/>
    </xf>
    <xf numFmtId="0" fontId="6" fillId="19" borderId="34" xfId="0" applyFont="1" applyFill="1" applyBorder="1" applyAlignment="1">
      <alignment horizontal="center" vertical="center"/>
    </xf>
    <xf numFmtId="0" fontId="6" fillId="19" borderId="11" xfId="0" applyFont="1" applyFill="1" applyBorder="1" applyAlignment="1">
      <alignment horizontal="center" vertical="center"/>
    </xf>
    <xf numFmtId="0" fontId="29" fillId="0" borderId="76" xfId="0" applyFont="1" applyBorder="1" applyAlignment="1">
      <alignment horizontal="center"/>
    </xf>
    <xf numFmtId="0" fontId="29" fillId="0" borderId="77" xfId="0" applyFont="1" applyBorder="1" applyAlignment="1">
      <alignment horizontal="center"/>
    </xf>
    <xf numFmtId="0" fontId="29" fillId="0" borderId="78" xfId="0" applyFont="1" applyBorder="1" applyAlignment="1">
      <alignment horizontal="center"/>
    </xf>
    <xf numFmtId="0" fontId="33" fillId="0" borderId="0" xfId="6" applyFont="1" applyAlignment="1" applyProtection="1"/>
    <xf numFmtId="0" fontId="34" fillId="0" borderId="1" xfId="0" applyFont="1" applyBorder="1" applyAlignment="1">
      <alignment horizontal="center" vertical="center" wrapText="1"/>
    </xf>
    <xf numFmtId="0" fontId="34" fillId="0" borderId="30" xfId="0" applyFont="1" applyBorder="1" applyAlignment="1">
      <alignment horizontal="left" vertical="center"/>
    </xf>
    <xf numFmtId="0" fontId="34" fillId="0" borderId="31" xfId="0" applyFont="1" applyBorder="1" applyAlignment="1">
      <alignment horizontal="left" vertical="center"/>
    </xf>
    <xf numFmtId="0" fontId="34" fillId="0" borderId="13" xfId="0" applyFont="1" applyBorder="1" applyAlignment="1">
      <alignment horizontal="left" vertical="center"/>
    </xf>
    <xf numFmtId="0" fontId="34" fillId="0" borderId="11" xfId="0" applyFont="1" applyBorder="1" applyAlignment="1">
      <alignment horizontal="left" vertical="center"/>
    </xf>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2" xfId="0" applyFont="1" applyBorder="1" applyAlignment="1">
      <alignment horizontal="center" vertical="center"/>
    </xf>
    <xf numFmtId="0" fontId="34" fillId="16" borderId="1" xfId="0" applyFont="1" applyFill="1" applyBorder="1" applyAlignment="1">
      <alignment horizontal="center" vertical="center"/>
    </xf>
    <xf numFmtId="0" fontId="34" fillId="0" borderId="30" xfId="0" applyFont="1" applyBorder="1" applyAlignment="1">
      <alignment horizontal="left" vertical="center" wrapText="1"/>
    </xf>
    <xf numFmtId="0" fontId="34" fillId="0" borderId="31" xfId="0" applyFont="1" applyBorder="1" applyAlignment="1">
      <alignment horizontal="left" vertical="center" wrapText="1"/>
    </xf>
    <xf numFmtId="0" fontId="34" fillId="0" borderId="13" xfId="0" applyFont="1" applyBorder="1" applyAlignment="1">
      <alignment horizontal="left" vertical="center" wrapText="1"/>
    </xf>
    <xf numFmtId="0" fontId="34" fillId="0" borderId="11" xfId="0" applyFont="1" applyBorder="1" applyAlignment="1">
      <alignment horizontal="left" vertical="center" wrapText="1"/>
    </xf>
    <xf numFmtId="0" fontId="37" fillId="16" borderId="3" xfId="0" applyFont="1" applyFill="1" applyBorder="1" applyAlignment="1">
      <alignment horizontal="center" vertical="center"/>
    </xf>
    <xf numFmtId="0" fontId="37" fillId="16" borderId="4" xfId="0" applyFont="1" applyFill="1" applyBorder="1" applyAlignment="1">
      <alignment horizontal="center" vertical="center"/>
    </xf>
    <xf numFmtId="0" fontId="37" fillId="16" borderId="2" xfId="0" applyFont="1" applyFill="1" applyBorder="1" applyAlignment="1">
      <alignment horizontal="center" vertical="center"/>
    </xf>
    <xf numFmtId="0" fontId="34" fillId="0" borderId="50"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3" xfId="0" applyFont="1" applyBorder="1" applyAlignment="1">
      <alignment horizontal="center" vertical="center" wrapText="1"/>
    </xf>
    <xf numFmtId="0" fontId="29" fillId="0" borderId="79" xfId="0" applyFont="1" applyBorder="1" applyAlignment="1">
      <alignment horizontal="center"/>
    </xf>
    <xf numFmtId="0" fontId="29" fillId="0" borderId="80" xfId="0" applyFont="1" applyBorder="1" applyAlignment="1">
      <alignment horizontal="center"/>
    </xf>
    <xf numFmtId="0" fontId="29" fillId="0" borderId="81" xfId="0" applyFont="1" applyBorder="1" applyAlignment="1">
      <alignment horizont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50" xfId="0" applyFont="1" applyBorder="1" applyAlignment="1">
      <alignment horizontal="center" vertical="center" wrapText="1"/>
    </xf>
    <xf numFmtId="0" fontId="11" fillId="0" borderId="12" xfId="0" applyFont="1" applyBorder="1" applyAlignment="1">
      <alignment horizontal="center" vertical="center" wrapText="1"/>
    </xf>
    <xf numFmtId="0" fontId="6" fillId="0" borderId="1" xfId="0" applyFont="1" applyBorder="1" applyAlignment="1">
      <alignment horizont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51" xfId="0" applyFont="1" applyBorder="1" applyAlignment="1">
      <alignment horizontal="center" vertical="center" wrapText="1"/>
    </xf>
    <xf numFmtId="1" fontId="6" fillId="16" borderId="3" xfId="0" applyNumberFormat="1" applyFont="1" applyFill="1" applyBorder="1" applyAlignment="1">
      <alignment horizontal="left"/>
    </xf>
    <xf numFmtId="1" fontId="6" fillId="16" borderId="4" xfId="0" applyNumberFormat="1" applyFont="1" applyFill="1" applyBorder="1" applyAlignment="1">
      <alignment horizontal="left"/>
    </xf>
    <xf numFmtId="1" fontId="6" fillId="16" borderId="2" xfId="0" applyNumberFormat="1" applyFont="1" applyFill="1" applyBorder="1" applyAlignment="1">
      <alignment horizontal="left"/>
    </xf>
    <xf numFmtId="0" fontId="11"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6" fillId="2" borderId="0" xfId="0" applyFont="1" applyFill="1" applyAlignment="1">
      <alignment horizontal="left" vertical="top" wrapText="1"/>
    </xf>
    <xf numFmtId="0" fontId="25" fillId="4" borderId="1" xfId="0" applyFont="1" applyFill="1" applyBorder="1" applyAlignment="1">
      <alignment horizontal="center" vertical="center"/>
    </xf>
    <xf numFmtId="0" fontId="26" fillId="3" borderId="0" xfId="0" applyFont="1" applyFill="1" applyAlignment="1">
      <alignment horizontal="center" vertical="center" wrapText="1"/>
    </xf>
    <xf numFmtId="0" fontId="25" fillId="4" borderId="40"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25" fillId="4" borderId="38"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8" fillId="7" borderId="50" xfId="0" applyFont="1" applyFill="1" applyBorder="1" applyAlignment="1">
      <alignment horizontal="center" vertical="center" wrapText="1"/>
    </xf>
    <xf numFmtId="0" fontId="18" fillId="7" borderId="51" xfId="0" applyFont="1" applyFill="1" applyBorder="1" applyAlignment="1">
      <alignment horizontal="center" vertical="center" wrapText="1"/>
    </xf>
    <xf numFmtId="0" fontId="18" fillId="7" borderId="12" xfId="0" applyFont="1" applyFill="1" applyBorder="1" applyAlignment="1">
      <alignment horizontal="center" vertical="center" wrapText="1"/>
    </xf>
  </cellXfs>
  <cellStyles count="18">
    <cellStyle name="Énfasis1" xfId="4" builtinId="29"/>
    <cellStyle name="Hipervínculo" xfId="6" builtinId="8"/>
    <cellStyle name="Hipervínculo 2" xfId="8" xr:uid="{85AA409B-0980-419E-929B-89D3717590B8}"/>
    <cellStyle name="Millares" xfId="2" builtinId="3"/>
    <cellStyle name="Millares [0]" xfId="1" builtinId="6"/>
    <cellStyle name="Millares [0] 2" xfId="9" xr:uid="{4CEBDFAD-F434-4B68-B000-A5B1CBCDE52B}"/>
    <cellStyle name="Millares [0] 3" xfId="10" xr:uid="{9C7E356D-B969-4636-9991-5E76F002E267}"/>
    <cellStyle name="Millares 2" xfId="5" xr:uid="{4500BE1E-3F64-4B12-BF64-4573CF79A08A}"/>
    <cellStyle name="Moneda 2" xfId="7" xr:uid="{840C7DF7-6A0F-4A69-903B-C397B8D3409C}"/>
    <cellStyle name="Normal" xfId="0" builtinId="0"/>
    <cellStyle name="Normal 10" xfId="14" xr:uid="{0C23251E-3C2C-4A01-A3A2-69696D50C3E8}"/>
    <cellStyle name="Normal 2" xfId="11" xr:uid="{674A1408-8A7E-44EA-9AC5-52D15FCAD068}"/>
    <cellStyle name="Normal 2 5" xfId="16" xr:uid="{2D51551A-756B-43EE-AAA9-BA8AAB054EF3}"/>
    <cellStyle name="Normal 3 5" xfId="15" xr:uid="{98333E36-C805-4A48-86BE-E34D16E74AAC}"/>
    <cellStyle name="Normal 46" xfId="13" xr:uid="{D33680AD-CF19-4C95-A08E-B06A8273D62C}"/>
    <cellStyle name="Normal 76" xfId="17" xr:uid="{AADA6E4E-A697-42AC-BD25-F1CDDAE3B747}"/>
    <cellStyle name="Normal 9" xfId="12" xr:uid="{0FD13D5E-4D39-4FF7-8268-92025368748E}"/>
    <cellStyle name="Porcentaje" xfId="3" builtinId="5"/>
  </cellStyles>
  <dxfs count="56">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173444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142510" y="318808"/>
          <a:ext cx="1826559"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179544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226678" y="324908"/>
          <a:ext cx="1831850"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310403</xdr:colOff>
      <xdr:row>1</xdr:row>
      <xdr:rowOff>0</xdr:rowOff>
    </xdr:from>
    <xdr:to>
      <xdr:col>24</xdr:col>
      <xdr:colOff>355787</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65695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95250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104775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36:AI410" sheet="1.3"/>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36:K410" sheet="1.3"/>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39:AO413" sheet="1.4"/>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86:W97" sheet="1.2"/>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46">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5">
      <pivotArea collapsedLevelsAreSubtotals="1" fieldPosition="0">
        <references count="1">
          <reference field="23" count="1">
            <x v="11"/>
          </reference>
        </references>
      </pivotArea>
    </format>
    <format dxfId="44">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3">
      <pivotArea collapsedLevelsAreSubtotals="1" fieldPosition="0">
        <references count="1">
          <reference field="23" count="1">
            <x v="12"/>
          </reference>
        </references>
      </pivotArea>
    </format>
    <format dxfId="42">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19"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53">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2">
      <pivotArea collapsedLevelsAreSubtotals="1" fieldPosition="0">
        <references count="1">
          <reference field="23" count="1">
            <x v="11"/>
          </reference>
        </references>
      </pivotArea>
    </format>
    <format dxfId="51">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50">
      <pivotArea collapsedLevelsAreSubtotals="1" fieldPosition="0">
        <references count="1">
          <reference field="23" count="1">
            <x v="12"/>
          </reference>
        </references>
      </pivotArea>
    </format>
    <format dxfId="49">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19"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19"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7"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16"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16"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5">
      <pivotArea outline="0" collapsedLevelsAreSubtotals="1" fieldPosition="0"/>
    </format>
    <format dxfId="4">
      <pivotArea collapsedLevelsAreSubtotals="1" fieldPosition="0">
        <references count="1">
          <reference field="42" count="1">
            <x v="14"/>
          </reference>
        </references>
      </pivotArea>
    </format>
    <format dxfId="3">
      <pivotArea dataOnly="0" labelOnly="1" fieldPosition="0">
        <references count="1">
          <reference field="42" count="1">
            <x v="14"/>
          </reference>
        </references>
      </pivotArea>
    </format>
    <format dxfId="2">
      <pivotArea collapsedLevelsAreSubtotals="1" fieldPosition="0">
        <references count="1">
          <reference field="42" count="1">
            <x v="15"/>
          </reference>
        </references>
      </pivotArea>
    </format>
    <format dxfId="1">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16">
      <pivotArea outline="0" collapsedLevelsAreSubtotals="1" fieldPosition="0"/>
    </format>
    <format dxfId="15">
      <pivotArea collapsedLevelsAreSubtotals="1" fieldPosition="0">
        <references count="1">
          <reference field="42" count="1">
            <x v="14"/>
          </reference>
        </references>
      </pivotArea>
    </format>
    <format dxfId="14">
      <pivotArea dataOnly="0" labelOnly="1" fieldPosition="0">
        <references count="1">
          <reference field="42" count="1">
            <x v="14"/>
          </reference>
        </references>
      </pivotArea>
    </format>
    <format dxfId="13">
      <pivotArea collapsedLevelsAreSubtotals="1" fieldPosition="0">
        <references count="1">
          <reference field="42" count="1">
            <x v="15"/>
          </reference>
        </references>
      </pivotArea>
    </format>
    <format dxfId="12">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18"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29"/>
  <sheetViews>
    <sheetView showGridLines="0" tabSelected="1" workbookViewId="0">
      <selection activeCell="D7" sqref="D7"/>
    </sheetView>
  </sheetViews>
  <sheetFormatPr baseColWidth="10" defaultRowHeight="15" x14ac:dyDescent="0.25"/>
  <cols>
    <col min="1" max="1" width="14.42578125" customWidth="1"/>
  </cols>
  <sheetData>
    <row r="1" spans="1:13" x14ac:dyDescent="0.25">
      <c r="B1" s="431" t="s">
        <v>765</v>
      </c>
      <c r="C1" s="432"/>
      <c r="D1" s="432"/>
      <c r="E1" s="432"/>
      <c r="F1" s="432"/>
      <c r="G1" s="432"/>
      <c r="H1" s="432"/>
      <c r="I1" s="432"/>
      <c r="J1" s="432"/>
      <c r="K1" s="432"/>
      <c r="L1" s="432"/>
      <c r="M1" s="432"/>
    </row>
    <row r="2" spans="1:13" x14ac:dyDescent="0.25">
      <c r="B2" s="432"/>
      <c r="C2" s="432"/>
      <c r="D2" s="432"/>
      <c r="E2" s="432"/>
      <c r="F2" s="432"/>
      <c r="G2" s="432"/>
      <c r="H2" s="432"/>
      <c r="I2" s="432"/>
      <c r="J2" s="432"/>
      <c r="K2" s="432"/>
      <c r="L2" s="432"/>
      <c r="M2" s="432"/>
    </row>
    <row r="3" spans="1:13" x14ac:dyDescent="0.25">
      <c r="B3" s="432"/>
      <c r="C3" s="432"/>
      <c r="D3" s="432"/>
      <c r="E3" s="432"/>
      <c r="F3" s="432"/>
      <c r="G3" s="432"/>
      <c r="H3" s="432"/>
      <c r="I3" s="432"/>
      <c r="J3" s="432"/>
      <c r="K3" s="432"/>
      <c r="L3" s="432"/>
      <c r="M3" s="432"/>
    </row>
    <row r="4" spans="1:13" x14ac:dyDescent="0.25">
      <c r="B4" s="432"/>
      <c r="C4" s="432"/>
      <c r="D4" s="432"/>
      <c r="E4" s="432"/>
      <c r="F4" s="432"/>
      <c r="G4" s="432"/>
      <c r="H4" s="432"/>
      <c r="I4" s="432"/>
      <c r="J4" s="432"/>
      <c r="K4" s="432"/>
      <c r="L4" s="432"/>
      <c r="M4" s="432"/>
    </row>
    <row r="5" spans="1:13" x14ac:dyDescent="0.25">
      <c r="B5" s="432"/>
      <c r="C5" s="432"/>
      <c r="D5" s="432"/>
      <c r="E5" s="432"/>
      <c r="F5" s="432"/>
      <c r="G5" s="432"/>
      <c r="H5" s="432"/>
      <c r="I5" s="432"/>
      <c r="J5" s="432"/>
      <c r="K5" s="432"/>
      <c r="L5" s="432"/>
      <c r="M5" s="432"/>
    </row>
    <row r="6" spans="1:13" ht="15.75" x14ac:dyDescent="0.25">
      <c r="B6" s="250"/>
      <c r="C6" s="250"/>
      <c r="D6" s="250"/>
      <c r="E6" s="250"/>
      <c r="F6" s="250"/>
      <c r="G6" s="250"/>
      <c r="H6" s="250"/>
      <c r="I6" s="250"/>
      <c r="J6" s="250"/>
      <c r="K6" s="250"/>
      <c r="L6" s="250"/>
      <c r="M6" s="250"/>
    </row>
    <row r="8" spans="1:13" ht="15.75" thickBot="1" x14ac:dyDescent="0.3"/>
    <row r="9" spans="1:13" ht="24.75" thickTop="1" thickBot="1" x14ac:dyDescent="0.4">
      <c r="A9" s="251"/>
      <c r="B9" s="434" t="s">
        <v>794</v>
      </c>
      <c r="C9" s="435"/>
      <c r="D9" s="435"/>
      <c r="E9" s="435"/>
      <c r="F9" s="435"/>
      <c r="G9" s="435"/>
      <c r="H9" s="435"/>
      <c r="I9" s="435"/>
      <c r="J9" s="435"/>
      <c r="K9" s="435"/>
      <c r="L9" s="435"/>
      <c r="M9" s="436"/>
    </row>
    <row r="10" spans="1:13" ht="16.5" thickTop="1" x14ac:dyDescent="0.25">
      <c r="B10" s="437" t="s">
        <v>866</v>
      </c>
      <c r="C10" s="437"/>
      <c r="D10" s="437"/>
      <c r="E10" s="437"/>
      <c r="F10" s="437"/>
      <c r="G10" s="437"/>
      <c r="H10" s="437"/>
      <c r="I10" s="437"/>
      <c r="J10" s="437"/>
      <c r="K10" s="437"/>
      <c r="L10" s="437"/>
      <c r="M10" s="437"/>
    </row>
    <row r="11" spans="1:13" x14ac:dyDescent="0.25">
      <c r="B11" s="433"/>
      <c r="C11" s="433"/>
      <c r="D11" s="433"/>
      <c r="E11" s="433"/>
      <c r="F11" s="433"/>
      <c r="G11" s="433"/>
      <c r="H11" s="433"/>
      <c r="I11" s="433"/>
      <c r="J11" s="433"/>
      <c r="K11" s="433"/>
      <c r="L11" s="433"/>
      <c r="M11" s="433"/>
    </row>
    <row r="12" spans="1:13" ht="18.75" x14ac:dyDescent="0.3">
      <c r="B12" s="428" t="s">
        <v>790</v>
      </c>
      <c r="C12" s="428"/>
      <c r="D12" s="428"/>
      <c r="E12" s="428"/>
      <c r="F12" s="428"/>
      <c r="G12" s="428"/>
      <c r="H12" s="428"/>
      <c r="I12" s="428"/>
      <c r="J12" s="428"/>
      <c r="K12" s="428"/>
      <c r="L12" s="428"/>
      <c r="M12" s="428"/>
    </row>
    <row r="13" spans="1:13" x14ac:dyDescent="0.25">
      <c r="B13" s="438" t="s">
        <v>784</v>
      </c>
      <c r="C13" s="438"/>
      <c r="D13" s="438"/>
      <c r="E13" s="438"/>
      <c r="F13" s="438"/>
      <c r="G13" s="438"/>
      <c r="H13" s="438"/>
      <c r="I13" s="438"/>
      <c r="J13" s="438"/>
      <c r="K13" s="438"/>
      <c r="L13" s="438"/>
      <c r="M13" s="438"/>
    </row>
    <row r="14" spans="1:13" x14ac:dyDescent="0.25">
      <c r="B14" s="430" t="s">
        <v>879</v>
      </c>
      <c r="C14" s="430"/>
      <c r="D14" s="430"/>
      <c r="E14" s="430"/>
      <c r="F14" s="430"/>
      <c r="G14" s="430"/>
      <c r="H14" s="430"/>
      <c r="I14" s="430"/>
      <c r="J14" s="430"/>
      <c r="K14" s="430"/>
      <c r="L14" s="430"/>
      <c r="M14" s="430"/>
    </row>
    <row r="15" spans="1:13" x14ac:dyDescent="0.25">
      <c r="B15" s="430" t="s">
        <v>880</v>
      </c>
      <c r="C15" s="430"/>
      <c r="D15" s="430"/>
      <c r="E15" s="430"/>
      <c r="F15" s="430"/>
      <c r="G15" s="430"/>
      <c r="H15" s="430"/>
      <c r="I15" s="430"/>
      <c r="J15" s="430"/>
      <c r="K15" s="430"/>
      <c r="L15" s="430"/>
      <c r="M15" s="430"/>
    </row>
    <row r="16" spans="1:13" x14ac:dyDescent="0.25">
      <c r="B16" s="430" t="s">
        <v>788</v>
      </c>
      <c r="C16" s="430"/>
      <c r="D16" s="430"/>
      <c r="E16" s="430"/>
      <c r="F16" s="430"/>
      <c r="G16" s="430"/>
      <c r="H16" s="430"/>
      <c r="I16" s="430"/>
      <c r="J16" s="430"/>
      <c r="K16" s="430"/>
      <c r="L16" s="430"/>
      <c r="M16" s="430"/>
    </row>
    <row r="17" spans="2:13" ht="18.75" x14ac:dyDescent="0.3">
      <c r="B17" s="428" t="s">
        <v>764</v>
      </c>
      <c r="C17" s="428"/>
      <c r="D17" s="428"/>
      <c r="E17" s="428"/>
      <c r="F17" s="428"/>
      <c r="G17" s="428"/>
      <c r="H17" s="428"/>
      <c r="I17" s="428"/>
      <c r="J17" s="428"/>
      <c r="K17" s="428"/>
      <c r="L17" s="428"/>
      <c r="M17" s="428"/>
    </row>
    <row r="18" spans="2:13" x14ac:dyDescent="0.25">
      <c r="B18" s="429" t="s">
        <v>881</v>
      </c>
      <c r="C18" s="429"/>
      <c r="D18" s="429"/>
      <c r="E18" s="429"/>
      <c r="F18" s="429"/>
      <c r="G18" s="429"/>
      <c r="H18" s="429"/>
      <c r="I18" s="429"/>
      <c r="J18" s="429"/>
      <c r="K18" s="429"/>
      <c r="L18" s="429"/>
      <c r="M18" s="429"/>
    </row>
    <row r="19" spans="2:13" x14ac:dyDescent="0.25">
      <c r="B19" s="429" t="s">
        <v>889</v>
      </c>
      <c r="C19" s="429"/>
      <c r="D19" s="429"/>
      <c r="E19" s="429"/>
      <c r="F19" s="429"/>
      <c r="G19" s="429"/>
      <c r="H19" s="429"/>
      <c r="I19" s="429"/>
      <c r="J19" s="429"/>
      <c r="K19" s="429"/>
      <c r="L19" s="429"/>
      <c r="M19" s="429"/>
    </row>
    <row r="20" spans="2:13" x14ac:dyDescent="0.25">
      <c r="B20" s="429" t="s">
        <v>883</v>
      </c>
      <c r="C20" s="429"/>
      <c r="D20" s="429"/>
      <c r="E20" s="429"/>
      <c r="F20" s="429"/>
      <c r="G20" s="429"/>
      <c r="H20" s="429"/>
      <c r="I20" s="429"/>
      <c r="J20" s="429"/>
      <c r="K20" s="429"/>
      <c r="L20" s="429"/>
      <c r="M20" s="429"/>
    </row>
    <row r="21" spans="2:13" x14ac:dyDescent="0.25">
      <c r="B21" s="429" t="s">
        <v>890</v>
      </c>
      <c r="C21" s="429"/>
      <c r="D21" s="429"/>
      <c r="E21" s="429"/>
      <c r="F21" s="429"/>
      <c r="G21" s="429"/>
      <c r="H21" s="429"/>
      <c r="I21" s="429"/>
      <c r="J21" s="429"/>
      <c r="K21" s="429"/>
      <c r="L21" s="429"/>
      <c r="M21" s="429"/>
    </row>
    <row r="22" spans="2:13" x14ac:dyDescent="0.25">
      <c r="B22" s="429" t="s">
        <v>885</v>
      </c>
      <c r="C22" s="429"/>
      <c r="D22" s="429"/>
      <c r="E22" s="429"/>
      <c r="F22" s="429"/>
      <c r="G22" s="429"/>
      <c r="H22" s="429"/>
      <c r="I22" s="429"/>
      <c r="J22" s="429"/>
      <c r="K22" s="429"/>
      <c r="L22" s="429"/>
      <c r="M22" s="429"/>
    </row>
    <row r="23" spans="2:13" x14ac:dyDescent="0.25">
      <c r="B23" s="430" t="s">
        <v>886</v>
      </c>
      <c r="C23" s="430"/>
      <c r="D23" s="430"/>
      <c r="E23" s="430"/>
      <c r="F23" s="430"/>
      <c r="G23" s="430"/>
      <c r="H23" s="430"/>
      <c r="I23" s="430"/>
      <c r="J23" s="430"/>
      <c r="K23" s="430"/>
      <c r="L23" s="430"/>
      <c r="M23" s="430"/>
    </row>
    <row r="24" spans="2:13" ht="18.75" x14ac:dyDescent="0.3">
      <c r="B24" s="428" t="s">
        <v>829</v>
      </c>
      <c r="C24" s="428"/>
      <c r="D24" s="428"/>
      <c r="E24" s="428"/>
      <c r="F24" s="428"/>
      <c r="G24" s="428"/>
      <c r="H24" s="428"/>
      <c r="I24" s="428"/>
      <c r="J24" s="428"/>
      <c r="K24" s="428"/>
      <c r="L24" s="428"/>
      <c r="M24" s="428"/>
    </row>
    <row r="25" spans="2:13" x14ac:dyDescent="0.25">
      <c r="B25" s="285" t="s">
        <v>830</v>
      </c>
    </row>
    <row r="26" spans="2:13" ht="18.75" x14ac:dyDescent="0.3">
      <c r="B26" s="428" t="s">
        <v>852</v>
      </c>
      <c r="C26" s="428"/>
      <c r="D26" s="428"/>
      <c r="E26" s="428"/>
      <c r="F26" s="428"/>
      <c r="G26" s="428"/>
      <c r="H26" s="428"/>
      <c r="I26" s="428"/>
      <c r="J26" s="428"/>
      <c r="K26" s="428"/>
      <c r="L26" s="428"/>
      <c r="M26" s="428"/>
    </row>
    <row r="27" spans="2:13" x14ac:dyDescent="0.25">
      <c r="B27" s="285" t="s">
        <v>853</v>
      </c>
    </row>
    <row r="28" spans="2:13" x14ac:dyDescent="0.25">
      <c r="B28" s="285" t="s">
        <v>855</v>
      </c>
    </row>
    <row r="29" spans="2:13" x14ac:dyDescent="0.25">
      <c r="B29" s="285" t="s">
        <v>858</v>
      </c>
    </row>
  </sheetData>
  <mergeCells count="18">
    <mergeCell ref="B1:M5"/>
    <mergeCell ref="B11:M11"/>
    <mergeCell ref="B18:M18"/>
    <mergeCell ref="B9:M9"/>
    <mergeCell ref="B10:M10"/>
    <mergeCell ref="B12:M12"/>
    <mergeCell ref="B17:M17"/>
    <mergeCell ref="B13:M13"/>
    <mergeCell ref="B14:M14"/>
    <mergeCell ref="B15:M15"/>
    <mergeCell ref="B16:M16"/>
    <mergeCell ref="B24:M24"/>
    <mergeCell ref="B26:M26"/>
    <mergeCell ref="B22:M22"/>
    <mergeCell ref="B23:M23"/>
    <mergeCell ref="B19:M19"/>
    <mergeCell ref="B20:M20"/>
    <mergeCell ref="B21:M21"/>
  </mergeCells>
  <hyperlinks>
    <hyperlink ref="B12:M12" location="'I. Beneficios pagados'!A1" display="I. Pago de Beneficios del Pilar No Contributivo" xr:uid="{1BA79B36-5036-430B-8DAB-4A04B59A7EC3}"/>
    <hyperlink ref="B17:M17" location="'II. Estado de Solicitudes'!A1" display="II. Estado de solicitudes" xr:uid="{5E32C9AC-14CA-42EE-B860-7955881BDA35}"/>
    <hyperlink ref="B13:M13" location="'1.1'!A1" display="1. Total de beneficios pagados del Pilar No Contributivo" xr:uid="{EC722C1D-1952-414E-AA3B-DD246723790A}"/>
    <hyperlink ref="B15:M15" location="'1.3'!A1" display="3. Pagos Pensión Básica Solidaria (PBS)" xr:uid="{DFE45D39-2E5B-418A-A36F-F4D6BCF1B7A1}"/>
    <hyperlink ref="B14:M14" location="'1.2'!A1" display="2. Pagos Pensión Garantizada Universal (PGU)" xr:uid="{A3DB2700-DB33-450D-B547-E5AD8058755C}"/>
    <hyperlink ref="B16:M16" location="'1.4'!A1" display="4. Pagos Aporte Previsional Solidario (APS)" xr:uid="{C8EFC842-0BD6-4697-9E9F-1AB1C24F78BD}"/>
    <hyperlink ref="B18:M18" location="'2.1'!A1" display="1. Solicitudes del Pilar No Contributivo a nivel nacional" xr:uid="{5EFB9C70-1ED7-4876-9D7D-D03FAC2507FC}"/>
    <hyperlink ref="B19:M19" location="'2.2'!A1" display="2. Solicitudes a nivel regional y comunal" xr:uid="{3C2C8CCB-4AAA-44D6-8F67-412580B79E1A}"/>
    <hyperlink ref="B20:M20" location="'2.3'!A1" display="3. Solicitudes concedidas del Pilar No Contributivo a nivel nacional" xr:uid="{8517ABA5-CB9B-4980-9208-CAC739F63259}"/>
    <hyperlink ref="B21:M21" location="'2.4'!A1" display="4. Concesiones a nivel regional y comunal" xr:uid="{6D995E26-29D9-4A99-BBED-94DD52CDB247}"/>
    <hyperlink ref="B22:M22" location="'2.5'!A1" display="5. Solicitudes Rechazadas del Pilar No Contributivo" xr:uid="{5D20F942-7DFE-4DEA-96AD-9DDAE13C6335}"/>
    <hyperlink ref="B23:M23" location="'2.6'!A1" display="6. Tasas de concesión de solicitudes" xr:uid="{D8A2EA35-C2C7-4144-BD14-2BE7B124503D}"/>
    <hyperlink ref="B24:M24" location="'III. Bono por hijo'!A1" display="III. Bono por Hijo" xr:uid="{2BF229FB-08AE-4200-A7FE-5F7FF625F183}"/>
    <hyperlink ref="B26:M26" location="'IV. Subsidio STJ'!A1" display="IV. Subsidio al Trabajador Joven" xr:uid="{5BF86860-0062-405A-B903-0B97A20975B6}"/>
    <hyperlink ref="B25" location="'3.1'!A1" display="1. Bono por Hijo" xr:uid="{B2B65761-45A6-4CCA-9F75-3ECBB13D5D49}"/>
    <hyperlink ref="B27" location="'4.1'!A1" display="1. Pagos del Subsidio al Trabajador Joven (STJ)" xr:uid="{47B6102E-AE86-41BD-B4CD-0CB33048A34D}"/>
    <hyperlink ref="B28" location="'4.2'!A1" display="2. Subsidio a la Contratación de Trabajadores Jóvenes" xr:uid="{740A0177-CF64-4ADF-A0A9-A51B49FA76FC}"/>
    <hyperlink ref="B29" location="'4.3'!A1" display="3. Subsidio a la Cotización de Trabajadores Jóvenes" xr:uid="{FCE2254A-0293-4569-9D3F-E0317502A6FE}"/>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3"/>
  <sheetViews>
    <sheetView showGridLines="0" workbookViewId="0"/>
  </sheetViews>
  <sheetFormatPr baseColWidth="10" defaultRowHeight="15" x14ac:dyDescent="0.25"/>
  <cols>
    <col min="1" max="1" width="14.42578125" customWidth="1"/>
  </cols>
  <sheetData>
    <row r="1" spans="2:13" x14ac:dyDescent="0.25">
      <c r="B1" s="431" t="s">
        <v>765</v>
      </c>
      <c r="C1" s="432"/>
      <c r="D1" s="432"/>
      <c r="E1" s="432"/>
      <c r="F1" s="432"/>
      <c r="G1" s="432"/>
      <c r="H1" s="432"/>
      <c r="I1" s="432"/>
      <c r="J1" s="432"/>
      <c r="K1" s="432"/>
      <c r="L1" s="432"/>
      <c r="M1" s="432"/>
    </row>
    <row r="2" spans="2:13" x14ac:dyDescent="0.25">
      <c r="B2" s="432"/>
      <c r="C2" s="432"/>
      <c r="D2" s="432"/>
      <c r="E2" s="432"/>
      <c r="F2" s="432"/>
      <c r="G2" s="432"/>
      <c r="H2" s="432"/>
      <c r="I2" s="432"/>
      <c r="J2" s="432"/>
      <c r="K2" s="432"/>
      <c r="L2" s="432"/>
      <c r="M2" s="432"/>
    </row>
    <row r="3" spans="2:13" x14ac:dyDescent="0.25">
      <c r="B3" s="432"/>
      <c r="C3" s="432"/>
      <c r="D3" s="432"/>
      <c r="E3" s="432"/>
      <c r="F3" s="432"/>
      <c r="G3" s="432"/>
      <c r="H3" s="432"/>
      <c r="I3" s="432"/>
      <c r="J3" s="432"/>
      <c r="K3" s="432"/>
      <c r="L3" s="432"/>
      <c r="M3" s="432"/>
    </row>
    <row r="4" spans="2:13" x14ac:dyDescent="0.25">
      <c r="B4" s="432"/>
      <c r="C4" s="432"/>
      <c r="D4" s="432"/>
      <c r="E4" s="432"/>
      <c r="F4" s="432"/>
      <c r="G4" s="432"/>
      <c r="H4" s="432"/>
      <c r="I4" s="432"/>
      <c r="J4" s="432"/>
      <c r="K4" s="432"/>
      <c r="L4" s="432"/>
      <c r="M4" s="432"/>
    </row>
    <row r="5" spans="2:13" x14ac:dyDescent="0.25">
      <c r="B5" s="432"/>
      <c r="C5" s="432"/>
      <c r="D5" s="432"/>
      <c r="E5" s="432"/>
      <c r="F5" s="432"/>
      <c r="G5" s="432"/>
      <c r="H5" s="432"/>
      <c r="I5" s="432"/>
      <c r="J5" s="432"/>
      <c r="K5" s="432"/>
      <c r="L5" s="432"/>
      <c r="M5" s="432"/>
    </row>
    <row r="6" spans="2:13" ht="15.75" x14ac:dyDescent="0.25">
      <c r="B6" s="250"/>
      <c r="C6" s="250"/>
      <c r="D6" s="250"/>
      <c r="E6" s="250"/>
      <c r="F6" s="250"/>
      <c r="G6" s="250"/>
      <c r="H6" s="250"/>
      <c r="I6" s="250"/>
      <c r="J6" s="250"/>
      <c r="K6" s="250"/>
      <c r="L6" s="250"/>
      <c r="M6" s="250"/>
    </row>
    <row r="8" spans="2:13" ht="15.75" thickBot="1" x14ac:dyDescent="0.3"/>
    <row r="9" spans="2:13" ht="21.75" thickBot="1" x14ac:dyDescent="0.4">
      <c r="B9" s="440" t="s">
        <v>790</v>
      </c>
      <c r="C9" s="441"/>
      <c r="D9" s="441"/>
      <c r="E9" s="441"/>
      <c r="F9" s="441"/>
      <c r="G9" s="441"/>
      <c r="H9" s="441"/>
      <c r="I9" s="441"/>
      <c r="J9" s="441"/>
      <c r="K9" s="441"/>
      <c r="L9" s="441"/>
      <c r="M9" s="442"/>
    </row>
    <row r="10" spans="2:13" ht="15.75" x14ac:dyDescent="0.25">
      <c r="B10" s="437" t="s">
        <v>866</v>
      </c>
      <c r="C10" s="437"/>
      <c r="D10" s="437"/>
      <c r="E10" s="437"/>
      <c r="F10" s="437"/>
      <c r="G10" s="437"/>
      <c r="H10" s="437"/>
      <c r="I10" s="437"/>
      <c r="J10" s="437"/>
      <c r="K10" s="437"/>
      <c r="L10" s="437"/>
      <c r="M10" s="437"/>
    </row>
    <row r="11" spans="2:13" x14ac:dyDescent="0.25">
      <c r="B11" s="433"/>
      <c r="C11" s="433"/>
      <c r="D11" s="433"/>
      <c r="E11" s="433"/>
      <c r="F11" s="433"/>
      <c r="G11" s="433"/>
      <c r="H11" s="433"/>
      <c r="I11" s="433"/>
      <c r="J11" s="433"/>
      <c r="K11" s="433"/>
      <c r="L11" s="433"/>
      <c r="M11" s="433"/>
    </row>
    <row r="12" spans="2:13" ht="18.75" x14ac:dyDescent="0.3">
      <c r="B12" s="439" t="s">
        <v>784</v>
      </c>
      <c r="C12" s="439"/>
      <c r="D12" s="439"/>
      <c r="E12" s="439"/>
      <c r="F12" s="439"/>
      <c r="G12" s="439"/>
      <c r="H12" s="439"/>
      <c r="I12" s="439"/>
      <c r="J12" s="439"/>
      <c r="K12" s="439"/>
      <c r="L12" s="439"/>
      <c r="M12" s="439"/>
    </row>
    <row r="13" spans="2:13" x14ac:dyDescent="0.25">
      <c r="B13" s="430" t="s">
        <v>931</v>
      </c>
      <c r="C13" s="430"/>
      <c r="D13" s="430"/>
      <c r="E13" s="430"/>
      <c r="F13" s="430"/>
      <c r="G13" s="430"/>
      <c r="H13" s="430"/>
      <c r="I13" s="430"/>
      <c r="J13" s="430"/>
      <c r="K13" s="430"/>
      <c r="L13" s="430"/>
      <c r="M13" s="430"/>
    </row>
    <row r="14" spans="2:13" x14ac:dyDescent="0.25">
      <c r="B14" s="430" t="s">
        <v>933</v>
      </c>
      <c r="C14" s="430"/>
      <c r="D14" s="430"/>
      <c r="E14" s="430"/>
      <c r="F14" s="430"/>
      <c r="G14" s="430"/>
      <c r="H14" s="430"/>
      <c r="I14" s="430"/>
      <c r="J14" s="430"/>
      <c r="K14" s="430"/>
      <c r="L14" s="430"/>
      <c r="M14" s="430"/>
    </row>
    <row r="15" spans="2:13" ht="18.75" x14ac:dyDescent="0.3">
      <c r="B15" s="439" t="s">
        <v>879</v>
      </c>
      <c r="C15" s="439"/>
      <c r="D15" s="439"/>
      <c r="E15" s="439"/>
      <c r="F15" s="439"/>
      <c r="G15" s="439"/>
      <c r="H15" s="439"/>
      <c r="I15" s="439"/>
      <c r="J15" s="439"/>
      <c r="K15" s="439"/>
      <c r="L15" s="439"/>
      <c r="M15" s="439"/>
    </row>
    <row r="16" spans="2:13" x14ac:dyDescent="0.25">
      <c r="B16" s="430" t="s">
        <v>934</v>
      </c>
      <c r="C16" s="430"/>
      <c r="D16" s="430"/>
      <c r="E16" s="430"/>
      <c r="F16" s="430"/>
      <c r="G16" s="430"/>
      <c r="H16" s="430"/>
      <c r="I16" s="430"/>
      <c r="J16" s="430"/>
      <c r="K16" s="430"/>
      <c r="L16" s="430"/>
      <c r="M16" s="430"/>
    </row>
    <row r="17" spans="2:13" x14ac:dyDescent="0.25">
      <c r="B17" s="430" t="s">
        <v>935</v>
      </c>
      <c r="C17" s="430"/>
      <c r="D17" s="430"/>
      <c r="E17" s="430"/>
      <c r="F17" s="430"/>
      <c r="G17" s="430"/>
      <c r="H17" s="430"/>
      <c r="I17" s="430"/>
      <c r="J17" s="430"/>
      <c r="K17" s="430"/>
      <c r="L17" s="430"/>
      <c r="M17" s="430"/>
    </row>
    <row r="18" spans="2:13" ht="18.75" x14ac:dyDescent="0.3">
      <c r="B18" s="439" t="s">
        <v>880</v>
      </c>
      <c r="C18" s="439"/>
      <c r="D18" s="439"/>
      <c r="E18" s="439"/>
      <c r="F18" s="439"/>
      <c r="G18" s="439"/>
      <c r="H18" s="439"/>
      <c r="I18" s="439"/>
      <c r="J18" s="439"/>
      <c r="K18" s="439"/>
      <c r="L18" s="439"/>
      <c r="M18" s="439"/>
    </row>
    <row r="19" spans="2:13" x14ac:dyDescent="0.25">
      <c r="B19" s="430" t="s">
        <v>934</v>
      </c>
      <c r="C19" s="430"/>
      <c r="D19" s="430"/>
      <c r="E19" s="430"/>
      <c r="F19" s="430"/>
      <c r="G19" s="430"/>
      <c r="H19" s="430"/>
      <c r="I19" s="430"/>
      <c r="J19" s="430"/>
      <c r="K19" s="430"/>
      <c r="L19" s="430"/>
      <c r="M19" s="430"/>
    </row>
    <row r="20" spans="2:13" x14ac:dyDescent="0.25">
      <c r="B20" s="430" t="s">
        <v>935</v>
      </c>
      <c r="C20" s="430"/>
      <c r="D20" s="430"/>
      <c r="E20" s="430"/>
      <c r="F20" s="430"/>
      <c r="G20" s="430"/>
      <c r="H20" s="430"/>
      <c r="I20" s="430"/>
      <c r="J20" s="430"/>
      <c r="K20" s="430"/>
      <c r="L20" s="430"/>
      <c r="M20" s="430"/>
    </row>
    <row r="21" spans="2:13" ht="18.75" x14ac:dyDescent="0.3">
      <c r="B21" s="439" t="s">
        <v>788</v>
      </c>
      <c r="C21" s="439"/>
      <c r="D21" s="439"/>
      <c r="E21" s="439"/>
      <c r="F21" s="439"/>
      <c r="G21" s="439"/>
      <c r="H21" s="439"/>
      <c r="I21" s="439"/>
      <c r="J21" s="439"/>
      <c r="K21" s="439"/>
      <c r="L21" s="439"/>
      <c r="M21" s="439"/>
    </row>
    <row r="22" spans="2:13" x14ac:dyDescent="0.25">
      <c r="B22" s="430" t="s">
        <v>789</v>
      </c>
      <c r="C22" s="430"/>
      <c r="D22" s="430"/>
      <c r="E22" s="430"/>
      <c r="F22" s="430"/>
      <c r="G22" s="430"/>
      <c r="H22" s="430"/>
      <c r="I22" s="430"/>
      <c r="J22" s="430"/>
      <c r="K22" s="430"/>
      <c r="L22" s="430"/>
      <c r="M22" s="430"/>
    </row>
    <row r="23" spans="2:13" x14ac:dyDescent="0.25">
      <c r="B23" s="430" t="s">
        <v>930</v>
      </c>
      <c r="C23" s="430"/>
      <c r="D23" s="430"/>
      <c r="E23" s="430"/>
      <c r="F23" s="430"/>
      <c r="G23" s="430"/>
      <c r="H23" s="430"/>
      <c r="I23" s="430"/>
      <c r="J23" s="430"/>
      <c r="K23" s="430"/>
      <c r="L23" s="430"/>
      <c r="M23" s="430"/>
    </row>
  </sheetData>
  <mergeCells count="16">
    <mergeCell ref="B1:M5"/>
    <mergeCell ref="B9:M9"/>
    <mergeCell ref="B10:M10"/>
    <mergeCell ref="B11:M11"/>
    <mergeCell ref="B12:M12"/>
    <mergeCell ref="B21:M21"/>
    <mergeCell ref="B17:M17"/>
    <mergeCell ref="B22:M22"/>
    <mergeCell ref="B23:M23"/>
    <mergeCell ref="B20:M20"/>
    <mergeCell ref="B19:M19"/>
    <mergeCell ref="B16:M16"/>
    <mergeCell ref="B18:M18"/>
    <mergeCell ref="B15:M15"/>
    <mergeCell ref="B13:M13"/>
    <mergeCell ref="B14:M14"/>
  </mergeCells>
  <hyperlinks>
    <hyperlink ref="B12:M12" location="'1.1'!A1" display="1. Total de beneficios pagados del Pilar No Contributivo" xr:uid="{BAB42535-16D8-4990-8B62-6090B5DEF07E}"/>
    <hyperlink ref="B13:M13" location="'1.1'!B4" display="i. Resumen trimestral de beneficios pagados en T4 2022, por tipo y sexo" xr:uid="{939D757F-ED37-4A79-8A78-4C07BA53B3F9}"/>
    <hyperlink ref="B14:M14" location="'1.1'!B31" display="ii. Serie resumen de pagos de beneficios acumulados, por tipo" xr:uid="{4416ACD0-07EF-4B32-9C09-02DF791B60CD}"/>
    <hyperlink ref="B18:M18" location="'1.3'!A1" display="3. Pagos Pensión Básica Solidaria (PBS)" xr:uid="{51FC3DB7-86FF-4522-895D-99D4E394B2A9}"/>
    <hyperlink ref="B19:M19" location="'1.3'!B4" display="i. Resumen trimestral de beneficios pagados, por tipo de beneficio y sexo" xr:uid="{E8BCF4CA-B895-49A3-B328-7938D3865F6F}"/>
    <hyperlink ref="B20:M20" location="'1.3'!B22" display="ii. Serie resumen de pagos de beneficios acumulado, por tipo de beneficio y sexo" xr:uid="{7680E28C-D722-48B1-9550-F3E16A3B6636}"/>
    <hyperlink ref="B16:M16" location="'1.2'!B5" display="i. Resumen trimestral de beneficios pagados, por tipo de beneficio y sexo" xr:uid="{6A2E5246-7F24-498C-8BEF-B3B067C95F2F}"/>
    <hyperlink ref="B17:M17" location="'1.2'!B23" display="ii. Serie resumen de pagos de beneficios acumulado, por tipo de beneficio y sexo" xr:uid="{963311E5-746D-48DE-9BCF-F24F66DACF67}"/>
    <hyperlink ref="B21:M21" location="'1.4'!A1" display="4. Pagos Aporte Previsional Solidario (APS)" xr:uid="{4F3EE4F0-097B-4F98-BE99-854A7C4AF112}"/>
    <hyperlink ref="B22:M22" location="'1.4'!B4" display="i. Resumen trimestral de beneficios pagados en T4 2022, por tipo y sexo" xr:uid="{8A2BB148-983C-403C-9CD3-1C9567AD26B3}"/>
    <hyperlink ref="B23:M23" location="'1.4'!B22" display="ii. Serie resumen de pagos de beneficios acumulado, por tipo y sexo" xr:uid="{902E32BA-2722-4009-8445-6CDF4EC0CCB0}"/>
    <hyperlink ref="B15:M15" location="'1.2'!A1" display="2. Pagos Pensión Garantizada Universal (PGU)" xr:uid="{AB45694A-099D-496B-A977-F2310A9E6E34}"/>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22" t="s">
        <v>11</v>
      </c>
      <c r="B1" t="s">
        <v>614</v>
      </c>
    </row>
    <row r="3" spans="1:2" x14ac:dyDescent="0.25">
      <c r="A3" s="222" t="s">
        <v>558</v>
      </c>
    </row>
    <row r="4" spans="1:2" x14ac:dyDescent="0.25">
      <c r="A4" s="223" t="s">
        <v>599</v>
      </c>
    </row>
    <row r="5" spans="1:2" x14ac:dyDescent="0.25">
      <c r="A5" s="227" t="s">
        <v>709</v>
      </c>
      <c r="B5">
        <v>322141</v>
      </c>
    </row>
    <row r="6" spans="1:2" x14ac:dyDescent="0.25">
      <c r="A6" s="227" t="s">
        <v>710</v>
      </c>
      <c r="B6">
        <v>109963</v>
      </c>
    </row>
    <row r="7" spans="1:2" x14ac:dyDescent="0.25">
      <c r="A7" s="227" t="s">
        <v>711</v>
      </c>
      <c r="B7">
        <v>686334</v>
      </c>
    </row>
    <row r="8" spans="1:2" x14ac:dyDescent="0.25">
      <c r="A8" s="227" t="s">
        <v>712</v>
      </c>
      <c r="B8">
        <v>563950</v>
      </c>
    </row>
    <row r="9" spans="1:2" x14ac:dyDescent="0.25">
      <c r="A9" s="223" t="s">
        <v>600</v>
      </c>
    </row>
    <row r="10" spans="1:2" x14ac:dyDescent="0.25">
      <c r="A10" s="227" t="s">
        <v>709</v>
      </c>
      <c r="B10">
        <v>327443</v>
      </c>
    </row>
    <row r="11" spans="1:2" x14ac:dyDescent="0.25">
      <c r="A11" s="227" t="s">
        <v>710</v>
      </c>
      <c r="B11">
        <v>121585</v>
      </c>
    </row>
    <row r="12" spans="1:2" x14ac:dyDescent="0.25">
      <c r="A12" s="227" t="s">
        <v>711</v>
      </c>
      <c r="B12">
        <v>704099</v>
      </c>
    </row>
    <row r="13" spans="1:2" x14ac:dyDescent="0.25">
      <c r="A13" s="227" t="s">
        <v>712</v>
      </c>
      <c r="B13">
        <v>584193</v>
      </c>
    </row>
    <row r="14" spans="1:2" x14ac:dyDescent="0.25">
      <c r="A14" s="223" t="s">
        <v>601</v>
      </c>
    </row>
    <row r="15" spans="1:2" x14ac:dyDescent="0.25">
      <c r="A15" s="227" t="s">
        <v>709</v>
      </c>
      <c r="B15">
        <v>329180</v>
      </c>
    </row>
    <row r="16" spans="1:2" x14ac:dyDescent="0.25">
      <c r="A16" s="227" t="s">
        <v>710</v>
      </c>
      <c r="B16">
        <v>125728</v>
      </c>
    </row>
    <row r="17" spans="1:2" x14ac:dyDescent="0.25">
      <c r="A17" s="227" t="s">
        <v>711</v>
      </c>
      <c r="B17">
        <v>717919</v>
      </c>
    </row>
    <row r="18" spans="1:2" x14ac:dyDescent="0.25">
      <c r="A18" s="227" t="s">
        <v>712</v>
      </c>
      <c r="B18">
        <v>594890</v>
      </c>
    </row>
    <row r="22" spans="1:2" x14ac:dyDescent="0.25">
      <c r="A22" s="222" t="s">
        <v>11</v>
      </c>
      <c r="B22" t="s">
        <v>614</v>
      </c>
    </row>
    <row r="24" spans="1:2" x14ac:dyDescent="0.25">
      <c r="A24" s="222" t="s">
        <v>558</v>
      </c>
    </row>
    <row r="25" spans="1:2" x14ac:dyDescent="0.25">
      <c r="A25" s="223" t="s">
        <v>599</v>
      </c>
    </row>
    <row r="26" spans="1:2" x14ac:dyDescent="0.25">
      <c r="A26" s="227" t="s">
        <v>713</v>
      </c>
      <c r="B26" s="224">
        <v>62098939.511</v>
      </c>
    </row>
    <row r="27" spans="1:2" x14ac:dyDescent="0.25">
      <c r="A27" s="227" t="s">
        <v>714</v>
      </c>
      <c r="B27" s="224">
        <v>21312758.105999999</v>
      </c>
    </row>
    <row r="28" spans="1:2" x14ac:dyDescent="0.25">
      <c r="A28" s="227" t="s">
        <v>715</v>
      </c>
      <c r="B28" s="224">
        <v>131986560.543</v>
      </c>
    </row>
    <row r="29" spans="1:2" x14ac:dyDescent="0.25">
      <c r="A29" s="227" t="s">
        <v>716</v>
      </c>
      <c r="B29" s="224">
        <v>108014882.678</v>
      </c>
    </row>
    <row r="30" spans="1:2" x14ac:dyDescent="0.25">
      <c r="A30" s="223" t="s">
        <v>600</v>
      </c>
      <c r="B30" s="224"/>
    </row>
    <row r="31" spans="1:2" x14ac:dyDescent="0.25">
      <c r="A31" s="227" t="s">
        <v>713</v>
      </c>
      <c r="B31" s="224">
        <v>63080932.634000003</v>
      </c>
    </row>
    <row r="32" spans="1:2" x14ac:dyDescent="0.25">
      <c r="A32" s="227" t="s">
        <v>714</v>
      </c>
      <c r="B32" s="224">
        <v>23564397.059999999</v>
      </c>
    </row>
    <row r="33" spans="1:2" x14ac:dyDescent="0.25">
      <c r="A33" s="227" t="s">
        <v>715</v>
      </c>
      <c r="B33" s="224">
        <v>135236238.01499999</v>
      </c>
    </row>
    <row r="34" spans="1:2" x14ac:dyDescent="0.25">
      <c r="A34" s="227" t="s">
        <v>716</v>
      </c>
      <c r="B34" s="224">
        <v>111537201.04000001</v>
      </c>
    </row>
    <row r="35" spans="1:2" x14ac:dyDescent="0.25">
      <c r="A35" s="223" t="s">
        <v>601</v>
      </c>
      <c r="B35" s="224"/>
    </row>
    <row r="36" spans="1:2" x14ac:dyDescent="0.25">
      <c r="A36" s="227" t="s">
        <v>713</v>
      </c>
      <c r="B36" s="224">
        <v>63417031.792999998</v>
      </c>
    </row>
    <row r="37" spans="1:2" x14ac:dyDescent="0.25">
      <c r="A37" s="227" t="s">
        <v>714</v>
      </c>
      <c r="B37" s="224">
        <v>24368202.673</v>
      </c>
    </row>
    <row r="38" spans="1:2" x14ac:dyDescent="0.25">
      <c r="A38" s="227" t="s">
        <v>715</v>
      </c>
      <c r="B38" s="224">
        <v>137636217.15900001</v>
      </c>
    </row>
    <row r="39" spans="1:2" x14ac:dyDescent="0.25">
      <c r="A39" s="227" t="s">
        <v>716</v>
      </c>
      <c r="B39" s="224">
        <v>113286938.10600001</v>
      </c>
    </row>
    <row r="43" spans="1:2" x14ac:dyDescent="0.25">
      <c r="A43" s="222" t="s">
        <v>11</v>
      </c>
      <c r="B43" t="s">
        <v>614</v>
      </c>
    </row>
    <row r="45" spans="1:2" x14ac:dyDescent="0.25">
      <c r="A45" s="222" t="s">
        <v>558</v>
      </c>
    </row>
    <row r="46" spans="1:2" x14ac:dyDescent="0.25">
      <c r="A46" s="223" t="s">
        <v>599</v>
      </c>
    </row>
    <row r="47" spans="1:2" x14ac:dyDescent="0.25">
      <c r="A47" s="227" t="s">
        <v>717</v>
      </c>
      <c r="B47" s="224">
        <v>61325232.307267956</v>
      </c>
    </row>
    <row r="48" spans="1:2" x14ac:dyDescent="0.25">
      <c r="A48" s="227" t="s">
        <v>718</v>
      </c>
      <c r="B48" s="224">
        <v>21047216.784234114</v>
      </c>
    </row>
    <row r="49" spans="1:2" x14ac:dyDescent="0.25">
      <c r="A49" s="227" t="s">
        <v>719</v>
      </c>
      <c r="B49" s="224">
        <v>130342104.88092148</v>
      </c>
    </row>
    <row r="50" spans="1:2" x14ac:dyDescent="0.25">
      <c r="A50" s="227" t="s">
        <v>720</v>
      </c>
      <c r="B50" s="224">
        <v>106669096.52615377</v>
      </c>
    </row>
    <row r="51" spans="1:2" x14ac:dyDescent="0.25">
      <c r="A51" s="223" t="s">
        <v>600</v>
      </c>
      <c r="B51" s="224"/>
    </row>
    <row r="52" spans="1:2" x14ac:dyDescent="0.25">
      <c r="A52" s="227" t="s">
        <v>717</v>
      </c>
      <c r="B52" s="224">
        <v>62902519.333161265</v>
      </c>
    </row>
    <row r="53" spans="1:2" x14ac:dyDescent="0.25">
      <c r="A53" s="227" t="s">
        <v>718</v>
      </c>
      <c r="B53" s="224">
        <v>23497749.315805372</v>
      </c>
    </row>
    <row r="54" spans="1:2" x14ac:dyDescent="0.25">
      <c r="A54" s="227" t="s">
        <v>719</v>
      </c>
      <c r="B54" s="224">
        <v>134853746.14923665</v>
      </c>
    </row>
    <row r="55" spans="1:2" x14ac:dyDescent="0.25">
      <c r="A55" s="227" t="s">
        <v>720</v>
      </c>
      <c r="B55" s="224">
        <v>111221737.72370252</v>
      </c>
    </row>
    <row r="56" spans="1:2" x14ac:dyDescent="0.25">
      <c r="A56" s="223" t="s">
        <v>601</v>
      </c>
      <c r="B56" s="224"/>
    </row>
    <row r="57" spans="1:2" x14ac:dyDescent="0.25">
      <c r="A57" s="227" t="s">
        <v>717</v>
      </c>
      <c r="B57" s="224">
        <v>63417031.792999998</v>
      </c>
    </row>
    <row r="58" spans="1:2" x14ac:dyDescent="0.25">
      <c r="A58" s="227" t="s">
        <v>718</v>
      </c>
      <c r="B58" s="224">
        <v>24368202.673</v>
      </c>
    </row>
    <row r="59" spans="1:2" x14ac:dyDescent="0.25">
      <c r="A59" s="227" t="s">
        <v>719</v>
      </c>
      <c r="B59" s="224">
        <v>137636217.15900001</v>
      </c>
    </row>
    <row r="60" spans="1:2" x14ac:dyDescent="0.25">
      <c r="A60" s="227" t="s">
        <v>720</v>
      </c>
      <c r="B60" s="224">
        <v>113286938.10600001</v>
      </c>
    </row>
    <row r="67" spans="1:5" x14ac:dyDescent="0.25">
      <c r="A67" s="222" t="s">
        <v>721</v>
      </c>
      <c r="D67" s="222" t="s">
        <v>721</v>
      </c>
    </row>
    <row r="68" spans="1:5" x14ac:dyDescent="0.25">
      <c r="A68" s="223" t="s">
        <v>723</v>
      </c>
      <c r="B68" s="224">
        <v>319227.81818181818</v>
      </c>
      <c r="D68" s="223" t="s">
        <v>727</v>
      </c>
      <c r="E68" s="224">
        <v>626988.27272727271</v>
      </c>
    </row>
    <row r="69" spans="1:5" x14ac:dyDescent="0.25">
      <c r="A69" s="223" t="s">
        <v>709</v>
      </c>
      <c r="B69" s="224">
        <v>3511506</v>
      </c>
      <c r="D69" s="223" t="s">
        <v>725</v>
      </c>
      <c r="E69" s="224">
        <v>6896871</v>
      </c>
    </row>
    <row r="70" spans="1:5" x14ac:dyDescent="0.25">
      <c r="A70" s="223" t="s">
        <v>724</v>
      </c>
      <c r="B70" s="224">
        <v>111460.54545454546</v>
      </c>
      <c r="D70" s="223" t="s">
        <v>728</v>
      </c>
      <c r="E70" s="224">
        <v>488475.90909090912</v>
      </c>
    </row>
    <row r="71" spans="1:5" x14ac:dyDescent="0.25">
      <c r="A71" s="223" t="s">
        <v>722</v>
      </c>
      <c r="B71" s="224">
        <v>1226066</v>
      </c>
      <c r="D71" s="223" t="s">
        <v>726</v>
      </c>
      <c r="E71" s="224">
        <v>5373235</v>
      </c>
    </row>
    <row r="76" spans="1:5" x14ac:dyDescent="0.25">
      <c r="A76" s="222" t="s">
        <v>721</v>
      </c>
      <c r="D76" s="222" t="s">
        <v>721</v>
      </c>
    </row>
    <row r="77" spans="1:5" x14ac:dyDescent="0.25">
      <c r="A77" s="223" t="s">
        <v>731</v>
      </c>
      <c r="B77" s="224">
        <v>60323651.838181823</v>
      </c>
      <c r="D77" s="223" t="s">
        <v>735</v>
      </c>
      <c r="E77" s="224">
        <v>117640304.71290909</v>
      </c>
    </row>
    <row r="78" spans="1:5" x14ac:dyDescent="0.25">
      <c r="A78" s="223" t="s">
        <v>729</v>
      </c>
      <c r="B78" s="224">
        <v>663560170.22000003</v>
      </c>
      <c r="D78" s="223" t="s">
        <v>733</v>
      </c>
      <c r="E78" s="224">
        <v>1294043351.842</v>
      </c>
    </row>
    <row r="79" spans="1:5" x14ac:dyDescent="0.25">
      <c r="A79" s="223" t="s">
        <v>732</v>
      </c>
      <c r="B79" s="224">
        <v>21167797.947545454</v>
      </c>
      <c r="D79" s="223" t="s">
        <v>736</v>
      </c>
      <c r="E79" s="224">
        <v>91979552.724818185</v>
      </c>
    </row>
    <row r="80" spans="1:5" x14ac:dyDescent="0.25">
      <c r="A80" s="223" t="s">
        <v>730</v>
      </c>
      <c r="B80" s="224">
        <v>232845777.42300001</v>
      </c>
      <c r="D80" s="223" t="s">
        <v>734</v>
      </c>
      <c r="E80" s="224">
        <v>1011775079.973</v>
      </c>
    </row>
    <row r="84" spans="1:5" x14ac:dyDescent="0.25">
      <c r="A84" s="222" t="s">
        <v>721</v>
      </c>
      <c r="D84" s="222" t="s">
        <v>721</v>
      </c>
    </row>
    <row r="85" spans="1:5" x14ac:dyDescent="0.25">
      <c r="A85" s="223" t="s">
        <v>739</v>
      </c>
      <c r="B85" s="224">
        <v>57868225.186836265</v>
      </c>
      <c r="D85" s="223" t="s">
        <v>743</v>
      </c>
      <c r="E85" s="224">
        <v>113231615.65594667</v>
      </c>
    </row>
    <row r="86" spans="1:5" x14ac:dyDescent="0.25">
      <c r="A86" s="223" t="s">
        <v>737</v>
      </c>
      <c r="B86" s="224">
        <v>636550477.05519891</v>
      </c>
      <c r="D86" s="223" t="s">
        <v>741</v>
      </c>
      <c r="E86" s="224">
        <v>1245547772.2154133</v>
      </c>
    </row>
    <row r="87" spans="1:5" x14ac:dyDescent="0.25">
      <c r="A87" s="223" t="s">
        <v>740</v>
      </c>
      <c r="B87" s="224">
        <v>20321992.323435444</v>
      </c>
      <c r="D87" s="223" t="s">
        <v>744</v>
      </c>
      <c r="E87" s="224">
        <v>88711833.569766387</v>
      </c>
    </row>
    <row r="88" spans="1:5" x14ac:dyDescent="0.25">
      <c r="A88" s="223" t="s">
        <v>738</v>
      </c>
      <c r="B88" s="224">
        <v>223541915.55778989</v>
      </c>
      <c r="D88" s="223" t="s">
        <v>742</v>
      </c>
      <c r="E88" s="224">
        <v>975830169.26743031</v>
      </c>
    </row>
    <row r="93" spans="1:5" x14ac:dyDescent="0.25">
      <c r="A93" s="222" t="s">
        <v>558</v>
      </c>
      <c r="B93" t="s">
        <v>709</v>
      </c>
      <c r="C93" t="s">
        <v>710</v>
      </c>
      <c r="D93" t="s">
        <v>711</v>
      </c>
      <c r="E93" t="s">
        <v>712</v>
      </c>
    </row>
    <row r="94" spans="1:5" x14ac:dyDescent="0.25">
      <c r="A94" s="223" t="s">
        <v>591</v>
      </c>
      <c r="B94" s="224">
        <v>309683</v>
      </c>
      <c r="C94" s="224">
        <v>106066</v>
      </c>
      <c r="D94" s="224">
        <v>517361</v>
      </c>
      <c r="E94" s="224">
        <v>340110</v>
      </c>
    </row>
    <row r="95" spans="1:5" x14ac:dyDescent="0.25">
      <c r="A95" s="223" t="s">
        <v>592</v>
      </c>
      <c r="B95" s="224">
        <v>312946</v>
      </c>
      <c r="C95" s="224">
        <v>107255</v>
      </c>
      <c r="D95" s="224">
        <v>536699</v>
      </c>
      <c r="E95" s="224">
        <v>361057</v>
      </c>
    </row>
    <row r="96" spans="1:5" x14ac:dyDescent="0.25">
      <c r="A96" s="223" t="s">
        <v>593</v>
      </c>
      <c r="B96" s="224">
        <v>314601</v>
      </c>
      <c r="C96" s="224">
        <v>107763</v>
      </c>
      <c r="D96" s="224">
        <v>552501</v>
      </c>
      <c r="E96" s="224">
        <v>374925</v>
      </c>
    </row>
    <row r="97" spans="1:5" x14ac:dyDescent="0.25">
      <c r="A97" s="223" t="s">
        <v>594</v>
      </c>
      <c r="B97" s="224">
        <v>316872</v>
      </c>
      <c r="C97" s="224">
        <v>108938</v>
      </c>
      <c r="D97" s="224">
        <v>605836</v>
      </c>
      <c r="E97" s="224">
        <v>477591</v>
      </c>
    </row>
    <row r="98" spans="1:5" x14ac:dyDescent="0.25">
      <c r="A98" s="223" t="s">
        <v>595</v>
      </c>
      <c r="B98" s="224">
        <v>317138</v>
      </c>
      <c r="C98" s="224">
        <v>109221</v>
      </c>
      <c r="D98" s="224">
        <v>615086</v>
      </c>
      <c r="E98" s="224">
        <v>487043</v>
      </c>
    </row>
    <row r="99" spans="1:5" x14ac:dyDescent="0.25">
      <c r="A99" s="223" t="s">
        <v>596</v>
      </c>
      <c r="B99" s="224">
        <v>317824</v>
      </c>
      <c r="C99" s="224">
        <v>109691</v>
      </c>
      <c r="D99" s="224">
        <v>621791</v>
      </c>
      <c r="E99" s="224">
        <v>498271</v>
      </c>
    </row>
    <row r="100" spans="1:5" x14ac:dyDescent="0.25">
      <c r="A100" s="223" t="s">
        <v>597</v>
      </c>
      <c r="B100" s="224">
        <v>322017</v>
      </c>
      <c r="C100" s="224">
        <v>110018</v>
      </c>
      <c r="D100" s="224">
        <v>660104</v>
      </c>
      <c r="E100" s="224">
        <v>538150</v>
      </c>
    </row>
    <row r="101" spans="1:5" x14ac:dyDescent="0.25">
      <c r="A101" s="223" t="s">
        <v>598</v>
      </c>
      <c r="B101" s="224">
        <v>321661</v>
      </c>
      <c r="C101" s="224">
        <v>109838</v>
      </c>
      <c r="D101" s="224">
        <v>679141</v>
      </c>
      <c r="E101" s="224">
        <v>553055</v>
      </c>
    </row>
    <row r="102" spans="1:5" x14ac:dyDescent="0.25">
      <c r="A102" s="223" t="s">
        <v>599</v>
      </c>
      <c r="B102" s="224">
        <v>322141</v>
      </c>
      <c r="C102" s="224">
        <v>109963</v>
      </c>
      <c r="D102" s="224">
        <v>686334</v>
      </c>
      <c r="E102" s="224">
        <v>563950</v>
      </c>
    </row>
    <row r="103" spans="1:5" x14ac:dyDescent="0.25">
      <c r="A103" s="223" t="s">
        <v>600</v>
      </c>
      <c r="B103" s="224">
        <v>327443</v>
      </c>
      <c r="C103" s="224">
        <v>121585</v>
      </c>
      <c r="D103" s="224">
        <v>704099</v>
      </c>
      <c r="E103" s="224">
        <v>584193</v>
      </c>
    </row>
    <row r="104" spans="1:5" x14ac:dyDescent="0.25">
      <c r="A104" s="223" t="s">
        <v>601</v>
      </c>
      <c r="B104" s="224">
        <v>329180</v>
      </c>
      <c r="C104" s="224">
        <v>125728</v>
      </c>
      <c r="D104" s="224">
        <v>717919</v>
      </c>
      <c r="E104" s="224">
        <v>594890</v>
      </c>
    </row>
    <row r="108" spans="1:5" x14ac:dyDescent="0.25">
      <c r="A108" s="222" t="s">
        <v>558</v>
      </c>
      <c r="B108" t="s">
        <v>739</v>
      </c>
      <c r="C108" t="s">
        <v>740</v>
      </c>
      <c r="D108" t="s">
        <v>743</v>
      </c>
      <c r="E108" t="s">
        <v>744</v>
      </c>
    </row>
    <row r="109" spans="1:5" x14ac:dyDescent="0.25">
      <c r="A109" s="223" t="s">
        <v>591</v>
      </c>
      <c r="B109" s="224">
        <v>51479972.012799807</v>
      </c>
      <c r="C109" s="224">
        <v>17653929.924414385</v>
      </c>
      <c r="D109" s="224">
        <v>76563175.748604089</v>
      </c>
      <c r="E109" s="224">
        <v>52468769.282160051</v>
      </c>
    </row>
    <row r="110" spans="1:5" x14ac:dyDescent="0.25">
      <c r="A110" s="223" t="s">
        <v>592</v>
      </c>
      <c r="B110" s="224">
        <v>52900839.868866049</v>
      </c>
      <c r="C110" s="224">
        <v>18182522.16710674</v>
      </c>
      <c r="D110" s="224">
        <v>90814177.247717783</v>
      </c>
      <c r="E110" s="224">
        <v>61156596.985792443</v>
      </c>
    </row>
    <row r="111" spans="1:5" x14ac:dyDescent="0.25">
      <c r="A111" s="223" t="s">
        <v>593</v>
      </c>
      <c r="B111" s="224">
        <v>53866571.515622824</v>
      </c>
      <c r="C111" s="224">
        <v>18523266.417408571</v>
      </c>
      <c r="D111" s="224">
        <v>94731528.649637625</v>
      </c>
      <c r="E111" s="224">
        <v>64414474.957863875</v>
      </c>
    </row>
    <row r="112" spans="1:5" x14ac:dyDescent="0.25">
      <c r="A112" s="223" t="s">
        <v>594</v>
      </c>
      <c r="B112" s="224">
        <v>54858966.378384836</v>
      </c>
      <c r="C112" s="224">
        <v>18947987.941543601</v>
      </c>
      <c r="D112" s="224">
        <v>105078731.83953598</v>
      </c>
      <c r="E112" s="224">
        <v>83047981.72619015</v>
      </c>
    </row>
    <row r="113" spans="1:5" x14ac:dyDescent="0.25">
      <c r="A113" s="223" t="s">
        <v>595</v>
      </c>
      <c r="B113" s="224">
        <v>55397966.503543399</v>
      </c>
      <c r="C113" s="224">
        <v>19173743.597283315</v>
      </c>
      <c r="D113" s="224">
        <v>107633875.10387804</v>
      </c>
      <c r="E113" s="224">
        <v>85481507.652592659</v>
      </c>
    </row>
    <row r="114" spans="1:5" x14ac:dyDescent="0.25">
      <c r="A114" s="223" t="s">
        <v>596</v>
      </c>
      <c r="B114" s="224">
        <v>58993211.929863982</v>
      </c>
      <c r="C114" s="224">
        <v>20461815.299974598</v>
      </c>
      <c r="D114" s="224">
        <v>115630826.53683501</v>
      </c>
      <c r="E114" s="224">
        <v>92933917.124145657</v>
      </c>
    </row>
    <row r="115" spans="1:5" x14ac:dyDescent="0.25">
      <c r="A115" s="223" t="s">
        <v>597</v>
      </c>
      <c r="B115" s="224">
        <v>60482279.820567153</v>
      </c>
      <c r="C115" s="224">
        <v>20770526.869989313</v>
      </c>
      <c r="D115" s="224">
        <v>123862548.4774671</v>
      </c>
      <c r="E115" s="224">
        <v>100896180.34271789</v>
      </c>
    </row>
    <row r="116" spans="1:5" x14ac:dyDescent="0.25">
      <c r="A116" s="223" t="s">
        <v>598</v>
      </c>
      <c r="B116" s="224">
        <v>60925885.592121646</v>
      </c>
      <c r="C116" s="224">
        <v>20914954.567029878</v>
      </c>
      <c r="D116" s="224">
        <v>128400840.42257972</v>
      </c>
      <c r="E116" s="224">
        <v>104252968.84011112</v>
      </c>
    </row>
    <row r="117" spans="1:5" x14ac:dyDescent="0.25">
      <c r="A117" s="223" t="s">
        <v>599</v>
      </c>
      <c r="B117" s="224">
        <v>61325232.307267956</v>
      </c>
      <c r="C117" s="224">
        <v>21047216.784234114</v>
      </c>
      <c r="D117" s="224">
        <v>130342104.88092148</v>
      </c>
      <c r="E117" s="224">
        <v>106669096.52615377</v>
      </c>
    </row>
    <row r="118" spans="1:5" x14ac:dyDescent="0.25">
      <c r="A118" s="223" t="s">
        <v>600</v>
      </c>
      <c r="B118" s="224">
        <v>62902519.333161265</v>
      </c>
      <c r="C118" s="224">
        <v>23497749.315805372</v>
      </c>
      <c r="D118" s="224">
        <v>134853746.14923665</v>
      </c>
      <c r="E118" s="224">
        <v>111221737.72370252</v>
      </c>
    </row>
    <row r="119" spans="1:5" x14ac:dyDescent="0.25">
      <c r="A119" s="223" t="s">
        <v>601</v>
      </c>
      <c r="B119" s="224">
        <v>63417031.792999998</v>
      </c>
      <c r="C119" s="224">
        <v>24368202.673</v>
      </c>
      <c r="D119" s="224">
        <v>137636217.15900001</v>
      </c>
      <c r="E119" s="224">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22" t="s">
        <v>558</v>
      </c>
      <c r="B3" t="s">
        <v>608</v>
      </c>
      <c r="C3" t="s">
        <v>609</v>
      </c>
      <c r="D3" t="s">
        <v>610</v>
      </c>
      <c r="E3" t="s">
        <v>611</v>
      </c>
      <c r="F3" t="s">
        <v>612</v>
      </c>
      <c r="G3" t="s">
        <v>613</v>
      </c>
    </row>
    <row r="4" spans="1:7" x14ac:dyDescent="0.25">
      <c r="A4" s="223" t="s">
        <v>560</v>
      </c>
      <c r="B4" s="224">
        <v>218799.83333333334</v>
      </c>
      <c r="C4" s="224">
        <v>107682.66666666667</v>
      </c>
      <c r="D4" s="224">
        <v>108916.5</v>
      </c>
      <c r="E4" s="224">
        <v>84536</v>
      </c>
      <c r="F4" s="224">
        <v>327716.33333333331</v>
      </c>
      <c r="G4" s="224">
        <v>192218.66666666666</v>
      </c>
    </row>
    <row r="5" spans="1:7" x14ac:dyDescent="0.25">
      <c r="A5" s="223" t="s">
        <v>561</v>
      </c>
      <c r="B5" s="224">
        <v>262267.25</v>
      </c>
      <c r="C5" s="224">
        <v>117026.58333333333</v>
      </c>
      <c r="D5" s="224">
        <v>116205.08333333333</v>
      </c>
      <c r="E5" s="224">
        <v>86817.666666666672</v>
      </c>
      <c r="F5" s="224">
        <v>378472.33333333331</v>
      </c>
      <c r="G5" s="224">
        <v>203844.25</v>
      </c>
    </row>
    <row r="6" spans="1:7" x14ac:dyDescent="0.25">
      <c r="A6" s="223" t="s">
        <v>562</v>
      </c>
      <c r="B6" s="224">
        <v>284569.66666666669</v>
      </c>
      <c r="C6" s="224">
        <v>119969.58333333333</v>
      </c>
      <c r="D6" s="224">
        <v>125529.75</v>
      </c>
      <c r="E6" s="224">
        <v>89731.416666666672</v>
      </c>
      <c r="F6" s="224">
        <v>410099.41666666669</v>
      </c>
      <c r="G6" s="224">
        <v>209701</v>
      </c>
    </row>
    <row r="7" spans="1:7" x14ac:dyDescent="0.25">
      <c r="A7" s="223" t="s">
        <v>563</v>
      </c>
      <c r="B7" s="224">
        <v>286982.91666666669</v>
      </c>
      <c r="C7" s="224">
        <v>118668.91666666667</v>
      </c>
      <c r="D7" s="224">
        <v>125674.58333333333</v>
      </c>
      <c r="E7" s="224">
        <v>89317.916666666672</v>
      </c>
      <c r="F7" s="224">
        <v>412657.5</v>
      </c>
      <c r="G7" s="224">
        <v>207986.83333333334</v>
      </c>
    </row>
    <row r="8" spans="1:7" x14ac:dyDescent="0.25">
      <c r="A8" s="223" t="s">
        <v>564</v>
      </c>
      <c r="B8" s="224">
        <v>288232.25</v>
      </c>
      <c r="C8" s="224">
        <v>116683.83333333333</v>
      </c>
      <c r="D8" s="224">
        <v>120025.91666666667</v>
      </c>
      <c r="E8" s="224">
        <v>85446.25</v>
      </c>
      <c r="F8" s="224">
        <v>408258.16666666669</v>
      </c>
      <c r="G8" s="224">
        <v>202130.08333333334</v>
      </c>
    </row>
    <row r="9" spans="1:7" x14ac:dyDescent="0.25">
      <c r="A9" s="223" t="s">
        <v>565</v>
      </c>
      <c r="B9" s="224">
        <v>288720.25</v>
      </c>
      <c r="C9" s="224">
        <v>114312</v>
      </c>
      <c r="D9" s="224">
        <v>112605.08333333333</v>
      </c>
      <c r="E9" s="224">
        <v>79812.916666666672</v>
      </c>
      <c r="F9" s="224">
        <v>401325.33333333331</v>
      </c>
      <c r="G9" s="224">
        <v>194124.91666666666</v>
      </c>
    </row>
    <row r="10" spans="1:7" x14ac:dyDescent="0.25">
      <c r="A10" s="223" t="s">
        <v>566</v>
      </c>
      <c r="B10" s="224">
        <v>288530.41666666669</v>
      </c>
      <c r="C10" s="224">
        <v>111136.16666666667</v>
      </c>
      <c r="D10" s="224">
        <v>107377.16666666667</v>
      </c>
      <c r="E10" s="224">
        <v>75527.833333333328</v>
      </c>
      <c r="F10" s="224">
        <v>395907.58333333331</v>
      </c>
      <c r="G10" s="224">
        <v>186664</v>
      </c>
    </row>
    <row r="11" spans="1:7" x14ac:dyDescent="0.25">
      <c r="A11" s="223" t="s">
        <v>567</v>
      </c>
      <c r="B11" s="224">
        <v>289070.58333333331</v>
      </c>
      <c r="C11" s="224">
        <v>110162</v>
      </c>
      <c r="D11" s="224">
        <v>105105.41666666667</v>
      </c>
      <c r="E11" s="224">
        <v>74655.333333333328</v>
      </c>
      <c r="F11" s="224">
        <v>394176</v>
      </c>
      <c r="G11" s="224">
        <v>184817.33333333334</v>
      </c>
    </row>
    <row r="12" spans="1:7" x14ac:dyDescent="0.25">
      <c r="A12" s="223" t="s">
        <v>568</v>
      </c>
      <c r="B12" s="224">
        <v>290373</v>
      </c>
      <c r="C12" s="224">
        <v>108843.41666666667</v>
      </c>
      <c r="D12" s="224">
        <v>105459.83333333333</v>
      </c>
      <c r="E12" s="224">
        <v>75532.583333333328</v>
      </c>
      <c r="F12" s="224">
        <v>395832.83333333331</v>
      </c>
      <c r="G12" s="224">
        <v>184376</v>
      </c>
    </row>
    <row r="13" spans="1:7" x14ac:dyDescent="0.25">
      <c r="A13" s="223" t="s">
        <v>569</v>
      </c>
      <c r="B13" s="224">
        <v>291754</v>
      </c>
      <c r="C13" s="224">
        <v>107694.83333333333</v>
      </c>
      <c r="D13" s="224">
        <v>105581.83333333333</v>
      </c>
      <c r="E13" s="224">
        <v>76434.166666666672</v>
      </c>
      <c r="F13" s="224">
        <v>397335.83333333331</v>
      </c>
      <c r="G13" s="224">
        <v>184129</v>
      </c>
    </row>
    <row r="14" spans="1:7" x14ac:dyDescent="0.25">
      <c r="A14" s="223" t="s">
        <v>570</v>
      </c>
      <c r="B14" s="224">
        <v>295171.83333333331</v>
      </c>
      <c r="C14" s="224">
        <v>107077.41666666667</v>
      </c>
      <c r="D14" s="224">
        <v>105559.41666666667</v>
      </c>
      <c r="E14" s="224">
        <v>77417</v>
      </c>
      <c r="F14" s="224">
        <v>400731.25</v>
      </c>
      <c r="G14" s="224">
        <v>184494.41666666666</v>
      </c>
    </row>
    <row r="15" spans="1:7" x14ac:dyDescent="0.25">
      <c r="A15" s="223" t="s">
        <v>571</v>
      </c>
      <c r="B15" s="224">
        <v>299821.5</v>
      </c>
      <c r="C15" s="224">
        <v>106705.25</v>
      </c>
      <c r="D15" s="224">
        <v>104899.16666666667</v>
      </c>
      <c r="E15" s="224">
        <v>77850.416666666672</v>
      </c>
      <c r="F15" s="224">
        <v>404720.66666666669</v>
      </c>
      <c r="G15" s="224">
        <v>184555.66666666666</v>
      </c>
    </row>
    <row r="16" spans="1:7" x14ac:dyDescent="0.25">
      <c r="A16" s="223" t="s">
        <v>572</v>
      </c>
      <c r="B16" s="224">
        <v>302635</v>
      </c>
      <c r="C16" s="224">
        <v>105719.41666666667</v>
      </c>
      <c r="D16" s="224">
        <v>104028.33333333333</v>
      </c>
      <c r="E16" s="224">
        <v>77987.166666666672</v>
      </c>
      <c r="F16" s="224">
        <v>406663.33333333331</v>
      </c>
      <c r="G16" s="224">
        <v>183706.58333333334</v>
      </c>
    </row>
    <row r="17" spans="1:7" s="235" customFormat="1" x14ac:dyDescent="0.25">
      <c r="A17" s="233" t="s">
        <v>573</v>
      </c>
      <c r="B17" s="234">
        <v>305054.41666666669</v>
      </c>
      <c r="C17" s="234">
        <v>104587.16666666667</v>
      </c>
      <c r="D17" s="234">
        <v>102460.83333333333</v>
      </c>
      <c r="E17" s="234">
        <v>78655.75</v>
      </c>
      <c r="F17" s="234">
        <v>407515.25</v>
      </c>
      <c r="G17" s="234">
        <v>183242.91666666666</v>
      </c>
    </row>
    <row r="18" spans="1:7" x14ac:dyDescent="0.25">
      <c r="A18" s="226" t="s">
        <v>590</v>
      </c>
      <c r="B18" s="224">
        <v>303535</v>
      </c>
      <c r="C18" s="224">
        <v>104773</v>
      </c>
      <c r="D18" s="224">
        <v>102915</v>
      </c>
      <c r="E18" s="224">
        <v>78093</v>
      </c>
      <c r="F18" s="224">
        <v>406450</v>
      </c>
      <c r="G18" s="224">
        <v>182866</v>
      </c>
    </row>
    <row r="19" spans="1:7" x14ac:dyDescent="0.25">
      <c r="A19" s="226" t="s">
        <v>591</v>
      </c>
      <c r="B19" s="224">
        <v>303509</v>
      </c>
      <c r="C19" s="224">
        <v>104543</v>
      </c>
      <c r="D19" s="224">
        <v>102585</v>
      </c>
      <c r="E19" s="224">
        <v>78054</v>
      </c>
      <c r="F19" s="224">
        <v>406094</v>
      </c>
      <c r="G19" s="224">
        <v>182597</v>
      </c>
    </row>
    <row r="20" spans="1:7" x14ac:dyDescent="0.25">
      <c r="A20" s="226" t="s">
        <v>592</v>
      </c>
      <c r="B20" s="224">
        <v>303836</v>
      </c>
      <c r="C20" s="224">
        <v>104524</v>
      </c>
      <c r="D20" s="224">
        <v>102435</v>
      </c>
      <c r="E20" s="224">
        <v>78131</v>
      </c>
      <c r="F20" s="224">
        <v>406271</v>
      </c>
      <c r="G20" s="224">
        <v>182655</v>
      </c>
    </row>
    <row r="21" spans="1:7" x14ac:dyDescent="0.25">
      <c r="A21" s="226" t="s">
        <v>593</v>
      </c>
      <c r="B21" s="224">
        <v>304229</v>
      </c>
      <c r="C21" s="224">
        <v>104568</v>
      </c>
      <c r="D21" s="224">
        <v>102581</v>
      </c>
      <c r="E21" s="224">
        <v>78384</v>
      </c>
      <c r="F21" s="224">
        <v>406810</v>
      </c>
      <c r="G21" s="224">
        <v>182952</v>
      </c>
    </row>
    <row r="22" spans="1:7" x14ac:dyDescent="0.25">
      <c r="A22" s="226" t="s">
        <v>594</v>
      </c>
      <c r="B22" s="224">
        <v>304427</v>
      </c>
      <c r="C22" s="224">
        <v>104477</v>
      </c>
      <c r="D22" s="224">
        <v>102248</v>
      </c>
      <c r="E22" s="224">
        <v>78324</v>
      </c>
      <c r="F22" s="224">
        <v>406675</v>
      </c>
      <c r="G22" s="224">
        <v>182801</v>
      </c>
    </row>
    <row r="23" spans="1:7" x14ac:dyDescent="0.25">
      <c r="A23" s="226" t="s">
        <v>595</v>
      </c>
      <c r="B23" s="224">
        <v>304385</v>
      </c>
      <c r="C23" s="224">
        <v>104256</v>
      </c>
      <c r="D23" s="224">
        <v>102342</v>
      </c>
      <c r="E23" s="224">
        <v>78508</v>
      </c>
      <c r="F23" s="224">
        <v>406727</v>
      </c>
      <c r="G23" s="224">
        <v>182764</v>
      </c>
    </row>
    <row r="24" spans="1:7" x14ac:dyDescent="0.25">
      <c r="A24" s="226" t="s">
        <v>596</v>
      </c>
      <c r="B24" s="224">
        <v>304412</v>
      </c>
      <c r="C24" s="224">
        <v>104136</v>
      </c>
      <c r="D24" s="224">
        <v>102344</v>
      </c>
      <c r="E24" s="224">
        <v>78636</v>
      </c>
      <c r="F24" s="224">
        <v>406756</v>
      </c>
      <c r="G24" s="224">
        <v>182772</v>
      </c>
    </row>
    <row r="25" spans="1:7" x14ac:dyDescent="0.25">
      <c r="A25" s="226" t="s">
        <v>597</v>
      </c>
      <c r="B25" s="224">
        <v>304998</v>
      </c>
      <c r="C25" s="224">
        <v>104304</v>
      </c>
      <c r="D25" s="224">
        <v>102353</v>
      </c>
      <c r="E25" s="224">
        <v>78808</v>
      </c>
      <c r="F25" s="224">
        <v>407351</v>
      </c>
      <c r="G25" s="224">
        <v>183112</v>
      </c>
    </row>
    <row r="26" spans="1:7" x14ac:dyDescent="0.25">
      <c r="A26" s="226" t="s">
        <v>598</v>
      </c>
      <c r="B26" s="224">
        <v>305471</v>
      </c>
      <c r="C26" s="224">
        <v>104316</v>
      </c>
      <c r="D26" s="224">
        <v>102289</v>
      </c>
      <c r="E26" s="224">
        <v>78880</v>
      </c>
      <c r="F26" s="224">
        <v>407760</v>
      </c>
      <c r="G26" s="224">
        <v>183196</v>
      </c>
    </row>
    <row r="27" spans="1:7" x14ac:dyDescent="0.25">
      <c r="A27" s="226" t="s">
        <v>599</v>
      </c>
      <c r="B27" s="224">
        <v>306429</v>
      </c>
      <c r="C27" s="224">
        <v>104673</v>
      </c>
      <c r="D27" s="224">
        <v>102399</v>
      </c>
      <c r="E27" s="224">
        <v>79105</v>
      </c>
      <c r="F27" s="224">
        <v>408828</v>
      </c>
      <c r="G27" s="224">
        <v>183778</v>
      </c>
    </row>
    <row r="28" spans="1:7" x14ac:dyDescent="0.25">
      <c r="A28" s="226" t="s">
        <v>600</v>
      </c>
      <c r="B28" s="224">
        <v>307296</v>
      </c>
      <c r="C28" s="224">
        <v>105079</v>
      </c>
      <c r="D28" s="224">
        <v>102500</v>
      </c>
      <c r="E28" s="224">
        <v>79398</v>
      </c>
      <c r="F28" s="224">
        <v>409796</v>
      </c>
      <c r="G28" s="224">
        <v>184477</v>
      </c>
    </row>
    <row r="29" spans="1:7" x14ac:dyDescent="0.25">
      <c r="A29" s="226" t="s">
        <v>601</v>
      </c>
      <c r="B29" s="224">
        <v>308126</v>
      </c>
      <c r="C29" s="224">
        <v>105397</v>
      </c>
      <c r="D29" s="224">
        <v>102539</v>
      </c>
      <c r="E29" s="224">
        <v>79548</v>
      </c>
      <c r="F29" s="224">
        <v>410665</v>
      </c>
      <c r="G29" s="224">
        <v>184945</v>
      </c>
    </row>
    <row r="30" spans="1:7" s="235" customFormat="1" x14ac:dyDescent="0.25">
      <c r="A30" s="233" t="s">
        <v>574</v>
      </c>
      <c r="B30" s="234">
        <v>25752.666666666668</v>
      </c>
      <c r="C30" s="234">
        <v>8825.75</v>
      </c>
      <c r="D30" s="234">
        <v>103357.58333333333</v>
      </c>
      <c r="E30" s="234">
        <v>80758.083333333328</v>
      </c>
      <c r="F30" s="234">
        <v>129110.25</v>
      </c>
      <c r="G30" s="234">
        <v>89583.833333333328</v>
      </c>
    </row>
    <row r="31" spans="1:7" x14ac:dyDescent="0.25">
      <c r="A31" s="226" t="s">
        <v>590</v>
      </c>
      <c r="B31" s="224">
        <v>309032</v>
      </c>
      <c r="C31" s="224">
        <v>105909</v>
      </c>
      <c r="D31" s="224">
        <v>102612</v>
      </c>
      <c r="E31" s="224">
        <v>79732</v>
      </c>
      <c r="F31" s="224">
        <v>411644</v>
      </c>
      <c r="G31" s="224">
        <v>185641</v>
      </c>
    </row>
    <row r="32" spans="1:7" x14ac:dyDescent="0.25">
      <c r="A32" s="226" t="s">
        <v>591</v>
      </c>
      <c r="B32" s="224">
        <v>0</v>
      </c>
      <c r="C32" s="224">
        <v>0</v>
      </c>
      <c r="D32" s="224">
        <v>102691</v>
      </c>
      <c r="E32" s="224">
        <v>79908</v>
      </c>
      <c r="F32" s="224">
        <v>102691</v>
      </c>
      <c r="G32" s="224">
        <v>79908</v>
      </c>
    </row>
    <row r="33" spans="1:7" x14ac:dyDescent="0.25">
      <c r="A33" s="226" t="s">
        <v>592</v>
      </c>
      <c r="B33" s="224">
        <v>0</v>
      </c>
      <c r="C33" s="224">
        <v>0</v>
      </c>
      <c r="D33" s="224">
        <v>102784</v>
      </c>
      <c r="E33" s="224">
        <v>80074</v>
      </c>
      <c r="F33" s="224">
        <v>102784</v>
      </c>
      <c r="G33" s="224">
        <v>80074</v>
      </c>
    </row>
    <row r="34" spans="1:7" x14ac:dyDescent="0.25">
      <c r="A34" s="226" t="s">
        <v>593</v>
      </c>
      <c r="B34" s="224">
        <v>0</v>
      </c>
      <c r="C34" s="224">
        <v>0</v>
      </c>
      <c r="D34" s="224">
        <v>102632</v>
      </c>
      <c r="E34" s="224">
        <v>80110</v>
      </c>
      <c r="F34" s="224">
        <v>102632</v>
      </c>
      <c r="G34" s="224">
        <v>80110</v>
      </c>
    </row>
    <row r="35" spans="1:7" x14ac:dyDescent="0.25">
      <c r="A35" s="226" t="s">
        <v>594</v>
      </c>
      <c r="B35" s="224">
        <v>0</v>
      </c>
      <c r="C35" s="224">
        <v>0</v>
      </c>
      <c r="D35" s="224">
        <v>102856</v>
      </c>
      <c r="E35" s="224">
        <v>80398</v>
      </c>
      <c r="F35" s="224">
        <v>102856</v>
      </c>
      <c r="G35" s="224">
        <v>80398</v>
      </c>
    </row>
    <row r="36" spans="1:7" x14ac:dyDescent="0.25">
      <c r="A36" s="226" t="s">
        <v>595</v>
      </c>
      <c r="B36" s="224">
        <v>0</v>
      </c>
      <c r="C36" s="224">
        <v>0</v>
      </c>
      <c r="D36" s="224">
        <v>103404</v>
      </c>
      <c r="E36" s="224">
        <v>80766</v>
      </c>
      <c r="F36" s="224">
        <v>103404</v>
      </c>
      <c r="G36" s="224">
        <v>80766</v>
      </c>
    </row>
    <row r="37" spans="1:7" x14ac:dyDescent="0.25">
      <c r="A37" s="226" t="s">
        <v>596</v>
      </c>
      <c r="B37" s="224">
        <v>0</v>
      </c>
      <c r="C37" s="224">
        <v>0</v>
      </c>
      <c r="D37" s="224">
        <v>103650</v>
      </c>
      <c r="E37" s="224">
        <v>81031</v>
      </c>
      <c r="F37" s="224">
        <v>103650</v>
      </c>
      <c r="G37" s="224">
        <v>81031</v>
      </c>
    </row>
    <row r="38" spans="1:7" x14ac:dyDescent="0.25">
      <c r="A38" s="226" t="s">
        <v>597</v>
      </c>
      <c r="B38" s="224">
        <v>0</v>
      </c>
      <c r="C38" s="224">
        <v>0</v>
      </c>
      <c r="D38" s="224">
        <v>103890</v>
      </c>
      <c r="E38" s="224">
        <v>81219</v>
      </c>
      <c r="F38" s="224">
        <v>103890</v>
      </c>
      <c r="G38" s="224">
        <v>81219</v>
      </c>
    </row>
    <row r="39" spans="1:7" x14ac:dyDescent="0.25">
      <c r="A39" s="226" t="s">
        <v>598</v>
      </c>
      <c r="B39" s="224">
        <v>0</v>
      </c>
      <c r="C39" s="224">
        <v>0</v>
      </c>
      <c r="D39" s="224">
        <v>103948</v>
      </c>
      <c r="E39" s="224">
        <v>81350</v>
      </c>
      <c r="F39" s="224">
        <v>103948</v>
      </c>
      <c r="G39" s="224">
        <v>81350</v>
      </c>
    </row>
    <row r="40" spans="1:7" x14ac:dyDescent="0.25">
      <c r="A40" s="226" t="s">
        <v>599</v>
      </c>
      <c r="B40" s="224">
        <v>0</v>
      </c>
      <c r="C40" s="224">
        <v>0</v>
      </c>
      <c r="D40" s="224">
        <v>103979</v>
      </c>
      <c r="E40" s="224">
        <v>81414</v>
      </c>
      <c r="F40" s="224">
        <v>103979</v>
      </c>
      <c r="G40" s="224">
        <v>81414</v>
      </c>
    </row>
    <row r="41" spans="1:7" x14ac:dyDescent="0.25">
      <c r="A41" s="226" t="s">
        <v>600</v>
      </c>
      <c r="B41" s="224">
        <v>0</v>
      </c>
      <c r="C41" s="224">
        <v>0</v>
      </c>
      <c r="D41" s="224">
        <v>103866</v>
      </c>
      <c r="E41" s="224">
        <v>81490</v>
      </c>
      <c r="F41" s="224">
        <v>103866</v>
      </c>
      <c r="G41" s="224">
        <v>81490</v>
      </c>
    </row>
    <row r="42" spans="1:7" x14ac:dyDescent="0.25">
      <c r="A42" s="226" t="s">
        <v>601</v>
      </c>
      <c r="B42" s="224">
        <v>0</v>
      </c>
      <c r="C42" s="224">
        <v>0</v>
      </c>
      <c r="D42" s="224">
        <v>103979</v>
      </c>
      <c r="E42" s="224">
        <v>81605</v>
      </c>
      <c r="F42" s="224">
        <v>103979</v>
      </c>
      <c r="G42" s="224">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22" t="s">
        <v>11</v>
      </c>
      <c r="J1" t="s">
        <v>614</v>
      </c>
    </row>
    <row r="3" spans="1:40" x14ac:dyDescent="0.25">
      <c r="A3" s="222" t="s">
        <v>558</v>
      </c>
      <c r="B3" t="s">
        <v>586</v>
      </c>
      <c r="C3" t="s">
        <v>585</v>
      </c>
      <c r="D3" t="s">
        <v>587</v>
      </c>
      <c r="E3" t="s">
        <v>584</v>
      </c>
      <c r="F3" t="s">
        <v>589</v>
      </c>
      <c r="G3" t="s">
        <v>588</v>
      </c>
      <c r="I3" s="222" t="s">
        <v>558</v>
      </c>
      <c r="J3" t="s">
        <v>576</v>
      </c>
      <c r="K3" t="s">
        <v>575</v>
      </c>
      <c r="L3" t="s">
        <v>577</v>
      </c>
      <c r="M3" t="s">
        <v>583</v>
      </c>
      <c r="N3" t="s">
        <v>582</v>
      </c>
      <c r="O3" t="s">
        <v>578</v>
      </c>
      <c r="P3" t="s">
        <v>580</v>
      </c>
      <c r="Q3" t="s">
        <v>579</v>
      </c>
      <c r="R3" t="s">
        <v>581</v>
      </c>
      <c r="T3" t="s">
        <v>558</v>
      </c>
      <c r="U3" t="s">
        <v>576</v>
      </c>
      <c r="V3" t="s">
        <v>575</v>
      </c>
      <c r="W3" t="s">
        <v>577</v>
      </c>
      <c r="X3" t="s">
        <v>583</v>
      </c>
      <c r="Y3" t="s">
        <v>582</v>
      </c>
      <c r="Z3" t="s">
        <v>578</v>
      </c>
      <c r="AA3" t="s">
        <v>580</v>
      </c>
      <c r="AB3" t="s">
        <v>579</v>
      </c>
      <c r="AC3" t="s">
        <v>581</v>
      </c>
      <c r="AE3" t="s">
        <v>558</v>
      </c>
      <c r="AF3" t="s">
        <v>576</v>
      </c>
      <c r="AG3" t="s">
        <v>575</v>
      </c>
      <c r="AH3" t="s">
        <v>577</v>
      </c>
      <c r="AI3" s="238" t="s">
        <v>583</v>
      </c>
      <c r="AJ3" s="238" t="s">
        <v>582</v>
      </c>
      <c r="AK3" t="s">
        <v>578</v>
      </c>
      <c r="AL3" s="239" t="s">
        <v>580</v>
      </c>
      <c r="AM3" s="239" t="s">
        <v>579</v>
      </c>
      <c r="AN3" t="s">
        <v>581</v>
      </c>
    </row>
    <row r="4" spans="1:40" x14ac:dyDescent="0.25">
      <c r="A4" s="223" t="s">
        <v>560</v>
      </c>
      <c r="B4" s="224">
        <v>8246926869.2877502</v>
      </c>
      <c r="C4" s="224">
        <v>3973207724.5979996</v>
      </c>
      <c r="D4" s="224">
        <v>3969656243.1597457</v>
      </c>
      <c r="E4" s="224">
        <v>3064613569.4954667</v>
      </c>
      <c r="F4" s="224">
        <v>12216583112.447495</v>
      </c>
      <c r="G4" s="224">
        <v>7037821294.0934668</v>
      </c>
      <c r="I4" s="233" t="s">
        <v>574</v>
      </c>
      <c r="J4" s="234">
        <v>0</v>
      </c>
      <c r="K4" s="234">
        <v>0</v>
      </c>
      <c r="L4" s="234">
        <v>0</v>
      </c>
      <c r="M4" s="234">
        <v>60133312971.379852</v>
      </c>
      <c r="N4" s="234">
        <v>47149435903.915161</v>
      </c>
      <c r="O4" s="234">
        <v>107282748875.29501</v>
      </c>
      <c r="P4" s="234">
        <v>60133312971.379852</v>
      </c>
      <c r="Q4" s="234">
        <v>47149435903.915161</v>
      </c>
      <c r="R4" s="234">
        <v>107282748875.29501</v>
      </c>
      <c r="T4" t="s">
        <v>599</v>
      </c>
      <c r="U4">
        <v>0</v>
      </c>
      <c r="V4">
        <v>0</v>
      </c>
      <c r="W4">
        <v>0</v>
      </c>
      <c r="X4">
        <v>19903687043.913326</v>
      </c>
      <c r="Y4">
        <v>15583475340.434208</v>
      </c>
      <c r="Z4">
        <v>35487162384.347534</v>
      </c>
      <c r="AA4">
        <v>19903687043.913326</v>
      </c>
      <c r="AB4">
        <v>15583475340.434208</v>
      </c>
      <c r="AC4">
        <v>35487162384.347534</v>
      </c>
      <c r="AE4" t="s">
        <v>599</v>
      </c>
      <c r="AF4" s="236">
        <f>+U4/1000</f>
        <v>0</v>
      </c>
      <c r="AG4" s="236">
        <f t="shared" ref="AG4:AN4" si="0">+V4/1000</f>
        <v>0</v>
      </c>
      <c r="AH4" s="236">
        <f t="shared" si="0"/>
        <v>0</v>
      </c>
      <c r="AI4" s="236">
        <f t="shared" si="0"/>
        <v>19903687.043913327</v>
      </c>
      <c r="AJ4" s="236">
        <f t="shared" si="0"/>
        <v>15583475.340434209</v>
      </c>
      <c r="AK4" s="236">
        <f t="shared" si="0"/>
        <v>35487162.384347536</v>
      </c>
      <c r="AL4" s="236">
        <f t="shared" si="0"/>
        <v>19903687.043913327</v>
      </c>
      <c r="AM4" s="236">
        <f t="shared" si="0"/>
        <v>15583475.340434209</v>
      </c>
      <c r="AN4" s="236">
        <f t="shared" si="0"/>
        <v>35487162.384347536</v>
      </c>
    </row>
    <row r="5" spans="1:40" x14ac:dyDescent="0.25">
      <c r="A5" s="223" t="s">
        <v>561</v>
      </c>
      <c r="B5" s="224">
        <v>10831943415.048538</v>
      </c>
      <c r="C5" s="224">
        <v>4778493385.1598539</v>
      </c>
      <c r="D5" s="224">
        <v>5149103046.8522663</v>
      </c>
      <c r="E5" s="224">
        <v>3655592972.6395154</v>
      </c>
      <c r="F5" s="224">
        <v>15981046461.900803</v>
      </c>
      <c r="G5" s="224">
        <v>8434086357.799367</v>
      </c>
      <c r="I5" s="226" t="s">
        <v>599</v>
      </c>
      <c r="J5" s="224">
        <v>0</v>
      </c>
      <c r="K5" s="224">
        <v>0</v>
      </c>
      <c r="L5" s="224">
        <v>0</v>
      </c>
      <c r="M5" s="224">
        <v>19903687043.913326</v>
      </c>
      <c r="N5" s="224">
        <v>15583475340.434208</v>
      </c>
      <c r="O5" s="224">
        <v>35487162384.347534</v>
      </c>
      <c r="P5" s="224">
        <v>19903687043.913326</v>
      </c>
      <c r="Q5" s="224">
        <v>15583475340.434208</v>
      </c>
      <c r="R5" s="224">
        <v>35487162384.347534</v>
      </c>
      <c r="T5" t="s">
        <v>600</v>
      </c>
      <c r="U5">
        <v>0</v>
      </c>
      <c r="V5">
        <v>0</v>
      </c>
      <c r="W5">
        <v>0</v>
      </c>
      <c r="X5">
        <v>20075788768.466526</v>
      </c>
      <c r="Y5">
        <v>15749774388.480951</v>
      </c>
      <c r="Z5">
        <v>35825563156.947479</v>
      </c>
      <c r="AA5">
        <v>20075788768.466526</v>
      </c>
      <c r="AB5">
        <v>15749774388.480951</v>
      </c>
      <c r="AC5">
        <v>35825563156.947479</v>
      </c>
      <c r="AE5" t="s">
        <v>600</v>
      </c>
      <c r="AF5" s="236">
        <f t="shared" ref="AF5:AF6" si="1">+U5/1000</f>
        <v>0</v>
      </c>
      <c r="AG5" s="236">
        <f t="shared" ref="AG5:AG6" si="2">+V5/1000</f>
        <v>0</v>
      </c>
      <c r="AH5" s="236">
        <f t="shared" ref="AH5:AH6" si="3">+W5/1000</f>
        <v>0</v>
      </c>
      <c r="AI5" s="236">
        <f t="shared" ref="AI5:AI6" si="4">+X5/1000</f>
        <v>20075788.768466525</v>
      </c>
      <c r="AJ5" s="236">
        <f t="shared" ref="AJ5:AJ6" si="5">+Y5/1000</f>
        <v>15749774.388480952</v>
      </c>
      <c r="AK5" s="236">
        <f t="shared" ref="AK5:AK6" si="6">+Z5/1000</f>
        <v>35825563.156947479</v>
      </c>
      <c r="AL5" s="236">
        <f t="shared" ref="AL5:AL6" si="7">+AA5/1000</f>
        <v>20075788.768466525</v>
      </c>
      <c r="AM5" s="236">
        <f t="shared" ref="AM5:AM6" si="8">+AB5/1000</f>
        <v>15749774.388480952</v>
      </c>
      <c r="AN5" s="236">
        <f t="shared" ref="AN5:AN6" si="9">+AC5/1000</f>
        <v>35825563.156947479</v>
      </c>
    </row>
    <row r="6" spans="1:40" x14ac:dyDescent="0.25">
      <c r="A6" s="223" t="s">
        <v>562</v>
      </c>
      <c r="B6" s="224">
        <v>13095567640.080732</v>
      </c>
      <c r="C6" s="224">
        <v>5502966223.7595825</v>
      </c>
      <c r="D6" s="224">
        <v>5973329799.6957197</v>
      </c>
      <c r="E6" s="224">
        <v>4181931763.7496819</v>
      </c>
      <c r="F6" s="224">
        <v>19068897439.776447</v>
      </c>
      <c r="G6" s="224">
        <v>9684897987.5092659</v>
      </c>
      <c r="I6" s="226" t="s">
        <v>600</v>
      </c>
      <c r="J6" s="224">
        <v>0</v>
      </c>
      <c r="K6" s="224">
        <v>0</v>
      </c>
      <c r="L6" s="224">
        <v>0</v>
      </c>
      <c r="M6" s="224">
        <v>20075788768.466526</v>
      </c>
      <c r="N6" s="224">
        <v>15749774388.480951</v>
      </c>
      <c r="O6" s="224">
        <v>35825563156.947479</v>
      </c>
      <c r="P6" s="224">
        <v>20075788768.466526</v>
      </c>
      <c r="Q6" s="224">
        <v>15749774388.480951</v>
      </c>
      <c r="R6" s="224">
        <v>35825563156.947479</v>
      </c>
      <c r="T6" t="s">
        <v>601</v>
      </c>
      <c r="U6">
        <v>0</v>
      </c>
      <c r="V6">
        <v>0</v>
      </c>
      <c r="W6">
        <v>0</v>
      </c>
      <c r="X6">
        <v>20153837159</v>
      </c>
      <c r="Y6">
        <v>15816186175</v>
      </c>
      <c r="Z6">
        <v>35970023334</v>
      </c>
      <c r="AA6">
        <v>20153837159</v>
      </c>
      <c r="AB6">
        <v>15816186175</v>
      </c>
      <c r="AC6">
        <v>35970023334</v>
      </c>
      <c r="AE6" t="s">
        <v>601</v>
      </c>
      <c r="AF6" s="236">
        <f t="shared" si="1"/>
        <v>0</v>
      </c>
      <c r="AG6" s="236">
        <f t="shared" si="2"/>
        <v>0</v>
      </c>
      <c r="AH6" s="236">
        <f t="shared" si="3"/>
        <v>0</v>
      </c>
      <c r="AI6" s="236">
        <f t="shared" si="4"/>
        <v>20153837.159000002</v>
      </c>
      <c r="AJ6" s="236">
        <f t="shared" si="5"/>
        <v>15816186.175000001</v>
      </c>
      <c r="AK6" s="236">
        <f t="shared" si="6"/>
        <v>35970023.333999999</v>
      </c>
      <c r="AL6" s="236">
        <f t="shared" si="7"/>
        <v>20153837.159000002</v>
      </c>
      <c r="AM6" s="236">
        <f t="shared" si="8"/>
        <v>15816186.175000001</v>
      </c>
      <c r="AN6" s="236">
        <f t="shared" si="9"/>
        <v>35970023.333999999</v>
      </c>
    </row>
    <row r="7" spans="1:40" x14ac:dyDescent="0.25">
      <c r="A7" s="223" t="s">
        <v>563</v>
      </c>
      <c r="B7" s="224">
        <v>13994994329.511679</v>
      </c>
      <c r="C7" s="224">
        <v>5780107940.9241409</v>
      </c>
      <c r="D7" s="224">
        <v>6221600908.5936813</v>
      </c>
      <c r="E7" s="224">
        <v>4373494706.5970135</v>
      </c>
      <c r="F7" s="224">
        <v>20216595238.105358</v>
      </c>
      <c r="G7" s="224">
        <v>10153602647.521154</v>
      </c>
      <c r="I7" s="226" t="s">
        <v>601</v>
      </c>
      <c r="J7" s="224">
        <v>0</v>
      </c>
      <c r="K7" s="224">
        <v>0</v>
      </c>
      <c r="L7" s="224">
        <v>0</v>
      </c>
      <c r="M7" s="224">
        <v>20153837159</v>
      </c>
      <c r="N7" s="224">
        <v>15816186175</v>
      </c>
      <c r="O7" s="224">
        <v>35970023334</v>
      </c>
      <c r="P7" s="224">
        <v>20153837159</v>
      </c>
      <c r="Q7" s="224">
        <v>15816186175</v>
      </c>
      <c r="R7" s="224">
        <v>35970023334</v>
      </c>
    </row>
    <row r="8" spans="1:40" x14ac:dyDescent="0.25">
      <c r="A8" s="223" t="s">
        <v>564</v>
      </c>
      <c r="B8" s="224">
        <v>14900591934.083181</v>
      </c>
      <c r="C8" s="224">
        <v>6027641672.6388502</v>
      </c>
      <c r="D8" s="224">
        <v>6305334741.0595312</v>
      </c>
      <c r="E8" s="224">
        <v>4448180899.6762056</v>
      </c>
      <c r="F8" s="224">
        <v>21205926675.142715</v>
      </c>
      <c r="G8" s="224">
        <v>10475822572.315058</v>
      </c>
    </row>
    <row r="9" spans="1:40" x14ac:dyDescent="0.25">
      <c r="A9" s="223" t="s">
        <v>565</v>
      </c>
      <c r="B9" s="224">
        <v>15464510652.205984</v>
      </c>
      <c r="C9" s="224">
        <v>6127638130.4877253</v>
      </c>
      <c r="D9" s="224">
        <v>6133300571.7438841</v>
      </c>
      <c r="E9" s="224">
        <v>4291617400.8795981</v>
      </c>
      <c r="F9" s="224">
        <v>21597811223.949871</v>
      </c>
      <c r="G9" s="224">
        <v>10419255531.367325</v>
      </c>
    </row>
    <row r="10" spans="1:40" x14ac:dyDescent="0.25">
      <c r="A10" s="223" t="s">
        <v>566</v>
      </c>
      <c r="B10" s="224">
        <v>16719242118.712105</v>
      </c>
      <c r="C10" s="224">
        <v>6443033859.5210752</v>
      </c>
      <c r="D10" s="224">
        <v>6332875385.4161987</v>
      </c>
      <c r="E10" s="224">
        <v>4376817385.0717344</v>
      </c>
      <c r="F10" s="224">
        <v>23052117504.128307</v>
      </c>
      <c r="G10" s="224">
        <v>10819851244.592808</v>
      </c>
    </row>
    <row r="11" spans="1:40" x14ac:dyDescent="0.25">
      <c r="A11" s="223" t="s">
        <v>567</v>
      </c>
      <c r="B11" s="224">
        <v>18210702843.160507</v>
      </c>
      <c r="C11" s="224">
        <v>6946083183.5916548</v>
      </c>
      <c r="D11" s="224">
        <v>6761441395.714366</v>
      </c>
      <c r="E11" s="224">
        <v>4771430769.2962599</v>
      </c>
      <c r="F11" s="224">
        <v>24972144238.874874</v>
      </c>
      <c r="G11" s="224">
        <v>11717513952.887915</v>
      </c>
    </row>
    <row r="12" spans="1:40" x14ac:dyDescent="0.25">
      <c r="A12" s="223" t="s">
        <v>568</v>
      </c>
      <c r="B12" s="224">
        <v>19783296657.483814</v>
      </c>
      <c r="C12" s="224">
        <v>7425619705.3861189</v>
      </c>
      <c r="D12" s="224">
        <v>7362010767.830924</v>
      </c>
      <c r="E12" s="224">
        <v>5231600971.8967381</v>
      </c>
      <c r="F12" s="224">
        <v>27145307425.314739</v>
      </c>
      <c r="G12" s="224">
        <v>12657220677.28286</v>
      </c>
      <c r="I12" s="222" t="s">
        <v>11</v>
      </c>
      <c r="J12" t="s">
        <v>614</v>
      </c>
      <c r="AE12" t="s">
        <v>634</v>
      </c>
    </row>
    <row r="13" spans="1:40" x14ac:dyDescent="0.25">
      <c r="A13" s="223" t="s">
        <v>569</v>
      </c>
      <c r="B13" s="224">
        <v>23013211595.87286</v>
      </c>
      <c r="C13" s="224">
        <v>8501264270.2728071</v>
      </c>
      <c r="D13" s="224">
        <v>8483630715.9830093</v>
      </c>
      <c r="E13" s="224">
        <v>6104356781.0873613</v>
      </c>
      <c r="F13" s="224">
        <v>31496842311.855865</v>
      </c>
      <c r="G13" s="224">
        <v>14605621051.360168</v>
      </c>
      <c r="AF13" t="s">
        <v>635</v>
      </c>
      <c r="AI13" t="s">
        <v>633</v>
      </c>
      <c r="AL13" t="s">
        <v>85</v>
      </c>
    </row>
    <row r="14" spans="1:40" x14ac:dyDescent="0.25">
      <c r="A14" s="223" t="s">
        <v>570</v>
      </c>
      <c r="B14" s="224">
        <v>24370427621.370571</v>
      </c>
      <c r="C14" s="224">
        <v>8842345357.059454</v>
      </c>
      <c r="D14" s="224">
        <v>8863104958.5664921</v>
      </c>
      <c r="E14" s="224">
        <v>6451885180.39046</v>
      </c>
      <c r="F14" s="224">
        <v>33233532579.937061</v>
      </c>
      <c r="G14" s="224">
        <v>15294230537.449913</v>
      </c>
      <c r="I14" s="222" t="s">
        <v>558</v>
      </c>
      <c r="J14" t="s">
        <v>615</v>
      </c>
      <c r="K14" t="s">
        <v>616</v>
      </c>
      <c r="L14" t="s">
        <v>617</v>
      </c>
      <c r="M14" t="s">
        <v>618</v>
      </c>
      <c r="N14" t="s">
        <v>619</v>
      </c>
      <c r="O14" t="s">
        <v>620</v>
      </c>
      <c r="P14" t="s">
        <v>621</v>
      </c>
      <c r="Q14" t="s">
        <v>622</v>
      </c>
      <c r="R14" t="s">
        <v>623</v>
      </c>
      <c r="T14" t="s">
        <v>558</v>
      </c>
      <c r="U14" s="225" t="s">
        <v>615</v>
      </c>
      <c r="V14" s="225" t="s">
        <v>616</v>
      </c>
      <c r="W14" s="225" t="s">
        <v>617</v>
      </c>
      <c r="X14" s="225" t="s">
        <v>618</v>
      </c>
      <c r="Y14" s="225" t="s">
        <v>619</v>
      </c>
      <c r="Z14" s="225" t="s">
        <v>620</v>
      </c>
      <c r="AA14" s="225" t="s">
        <v>621</v>
      </c>
      <c r="AB14" s="225" t="s">
        <v>622</v>
      </c>
      <c r="AC14" s="225" t="s">
        <v>623</v>
      </c>
      <c r="AE14" t="s">
        <v>558</v>
      </c>
      <c r="AF14" t="s">
        <v>624</v>
      </c>
      <c r="AG14" t="s">
        <v>625</v>
      </c>
      <c r="AH14" t="s">
        <v>626</v>
      </c>
      <c r="AI14" t="s">
        <v>627</v>
      </c>
      <c r="AJ14" t="s">
        <v>628</v>
      </c>
      <c r="AK14" t="s">
        <v>629</v>
      </c>
      <c r="AL14" t="s">
        <v>630</v>
      </c>
      <c r="AM14" t="s">
        <v>631</v>
      </c>
      <c r="AN14" t="s">
        <v>632</v>
      </c>
    </row>
    <row r="15" spans="1:40" x14ac:dyDescent="0.25">
      <c r="A15" s="223" t="s">
        <v>571</v>
      </c>
      <c r="B15" s="224">
        <v>26689511249.196259</v>
      </c>
      <c r="C15" s="224">
        <v>9492244005.0758266</v>
      </c>
      <c r="D15" s="224">
        <v>9429656004.8587437</v>
      </c>
      <c r="E15" s="224">
        <v>6956454754.7894373</v>
      </c>
      <c r="F15" s="224">
        <v>36119167254.055008</v>
      </c>
      <c r="G15" s="224">
        <v>16448698759.865265</v>
      </c>
      <c r="I15" s="233" t="s">
        <v>574</v>
      </c>
      <c r="J15" s="234">
        <v>0</v>
      </c>
      <c r="K15" s="234">
        <v>0</v>
      </c>
      <c r="L15" s="234">
        <v>0</v>
      </c>
      <c r="M15" s="234">
        <v>60441368879</v>
      </c>
      <c r="N15" s="234">
        <v>47390715970</v>
      </c>
      <c r="O15" s="234">
        <v>107832084849</v>
      </c>
      <c r="P15" s="234">
        <v>60441368879</v>
      </c>
      <c r="Q15" s="234">
        <v>47390715970</v>
      </c>
      <c r="R15" s="234">
        <v>107832084849</v>
      </c>
      <c r="T15" t="s">
        <v>599</v>
      </c>
      <c r="U15" s="236">
        <v>0</v>
      </c>
      <c r="V15" s="236">
        <v>0</v>
      </c>
      <c r="W15" s="236">
        <v>0</v>
      </c>
      <c r="X15" s="236">
        <v>20154801071</v>
      </c>
      <c r="Y15" s="236">
        <v>15780083599</v>
      </c>
      <c r="Z15" s="236">
        <v>35934884670</v>
      </c>
      <c r="AA15" s="236">
        <v>20154801071</v>
      </c>
      <c r="AB15" s="236">
        <v>15780083599</v>
      </c>
      <c r="AC15" s="236">
        <v>35934884670</v>
      </c>
      <c r="AE15" t="s">
        <v>599</v>
      </c>
      <c r="AF15" s="236">
        <f>+U15/1000</f>
        <v>0</v>
      </c>
      <c r="AG15" s="236">
        <f t="shared" ref="AG15:AN15" si="10">+V15/1000</f>
        <v>0</v>
      </c>
      <c r="AH15" s="236">
        <f t="shared" si="10"/>
        <v>0</v>
      </c>
      <c r="AI15" s="236">
        <f>+X15/1000</f>
        <v>20154801.070999999</v>
      </c>
      <c r="AJ15" s="236">
        <f t="shared" si="10"/>
        <v>15780083.598999999</v>
      </c>
      <c r="AK15" s="236">
        <f t="shared" si="10"/>
        <v>35934884.670000002</v>
      </c>
      <c r="AL15" s="236">
        <f t="shared" si="10"/>
        <v>20154801.070999999</v>
      </c>
      <c r="AM15" s="236">
        <f t="shared" si="10"/>
        <v>15780083.598999999</v>
      </c>
      <c r="AN15" s="236">
        <f t="shared" si="10"/>
        <v>35934884.670000002</v>
      </c>
    </row>
    <row r="16" spans="1:40" x14ac:dyDescent="0.25">
      <c r="A16" s="223" t="s">
        <v>572</v>
      </c>
      <c r="B16" s="224">
        <v>36592890448.634682</v>
      </c>
      <c r="C16" s="224">
        <v>12913294405.351358</v>
      </c>
      <c r="D16" s="224">
        <v>11894673713.107821</v>
      </c>
      <c r="E16" s="224">
        <v>8911422908.9337215</v>
      </c>
      <c r="F16" s="224">
        <v>48487564161.742493</v>
      </c>
      <c r="G16" s="224">
        <v>21824717314.285076</v>
      </c>
      <c r="I16" s="226" t="s">
        <v>599</v>
      </c>
      <c r="J16" s="224">
        <v>0</v>
      </c>
      <c r="K16" s="224">
        <v>0</v>
      </c>
      <c r="L16" s="224">
        <v>0</v>
      </c>
      <c r="M16" s="224">
        <v>20154801071</v>
      </c>
      <c r="N16" s="224">
        <v>15780083599</v>
      </c>
      <c r="O16" s="224">
        <v>35934884670</v>
      </c>
      <c r="P16" s="224">
        <v>20154801071</v>
      </c>
      <c r="Q16" s="224">
        <v>15780083599</v>
      </c>
      <c r="R16" s="224">
        <v>35934884670</v>
      </c>
      <c r="T16" s="235" t="s">
        <v>600</v>
      </c>
      <c r="U16" s="237">
        <v>0</v>
      </c>
      <c r="V16" s="237">
        <v>0</v>
      </c>
      <c r="W16" s="237">
        <v>0</v>
      </c>
      <c r="X16" s="237">
        <v>20132730649</v>
      </c>
      <c r="Y16" s="237">
        <v>15794446196</v>
      </c>
      <c r="Z16" s="237">
        <v>35927176845</v>
      </c>
      <c r="AA16" s="237">
        <v>20132730649</v>
      </c>
      <c r="AB16" s="237">
        <v>15794446196</v>
      </c>
      <c r="AC16" s="237">
        <v>35927176845</v>
      </c>
      <c r="AE16" s="235" t="s">
        <v>600</v>
      </c>
      <c r="AF16" s="236">
        <f t="shared" ref="AF16:AF17" si="11">+U16/1000</f>
        <v>0</v>
      </c>
      <c r="AG16" s="236">
        <f t="shared" ref="AG16:AG17" si="12">+V16/1000</f>
        <v>0</v>
      </c>
      <c r="AH16" s="236">
        <f t="shared" ref="AH16:AH17" si="13">+W16/1000</f>
        <v>0</v>
      </c>
      <c r="AI16" s="236">
        <f t="shared" ref="AI16:AI17" si="14">+X16/1000</f>
        <v>20132730.649</v>
      </c>
      <c r="AJ16" s="236">
        <f t="shared" ref="AJ16:AJ17" si="15">+Y16/1000</f>
        <v>15794446.196</v>
      </c>
      <c r="AK16" s="236">
        <f t="shared" ref="AK16:AK17" si="16">+Z16/1000</f>
        <v>35927176.844999999</v>
      </c>
      <c r="AL16" s="236">
        <f t="shared" ref="AL16:AL17" si="17">+AA16/1000</f>
        <v>20132730.649</v>
      </c>
      <c r="AM16" s="236">
        <f t="shared" ref="AM16:AM17" si="18">+AB16/1000</f>
        <v>15794446.196</v>
      </c>
      <c r="AN16" s="236">
        <f t="shared" ref="AN16:AN17" si="19">+AC16/1000</f>
        <v>35927176.844999999</v>
      </c>
    </row>
    <row r="17" spans="1:40" x14ac:dyDescent="0.25">
      <c r="A17" s="233" t="s">
        <v>573</v>
      </c>
      <c r="B17" s="234">
        <v>43453866484.039848</v>
      </c>
      <c r="C17" s="234">
        <v>14949329618.898636</v>
      </c>
      <c r="D17" s="234">
        <v>14114095435.076376</v>
      </c>
      <c r="E17" s="234">
        <v>10837332885.31241</v>
      </c>
      <c r="F17" s="234">
        <v>57567961919.116219</v>
      </c>
      <c r="G17" s="234">
        <v>25786662504.21104</v>
      </c>
      <c r="I17" s="226" t="s">
        <v>600</v>
      </c>
      <c r="J17" s="224">
        <v>0</v>
      </c>
      <c r="K17" s="224">
        <v>0</v>
      </c>
      <c r="L17" s="224">
        <v>0</v>
      </c>
      <c r="M17" s="224">
        <v>20132730649</v>
      </c>
      <c r="N17" s="224">
        <v>15794446196</v>
      </c>
      <c r="O17" s="224">
        <v>35927176845</v>
      </c>
      <c r="P17" s="224">
        <v>20132730649</v>
      </c>
      <c r="Q17" s="224">
        <v>15794446196</v>
      </c>
      <c r="R17" s="224">
        <v>35927176845</v>
      </c>
      <c r="S17" s="235"/>
      <c r="T17" t="s">
        <v>601</v>
      </c>
      <c r="U17" s="236">
        <v>0</v>
      </c>
      <c r="V17" s="236">
        <v>0</v>
      </c>
      <c r="W17" s="236">
        <v>0</v>
      </c>
      <c r="X17" s="236">
        <v>20153837159</v>
      </c>
      <c r="Y17" s="236">
        <v>15816186175</v>
      </c>
      <c r="Z17" s="236">
        <v>35970023334</v>
      </c>
      <c r="AA17" s="236">
        <v>20153837159</v>
      </c>
      <c r="AB17" s="236">
        <v>15816186175</v>
      </c>
      <c r="AC17" s="236">
        <v>35970023334</v>
      </c>
      <c r="AE17" t="s">
        <v>601</v>
      </c>
      <c r="AF17" s="236">
        <f t="shared" si="11"/>
        <v>0</v>
      </c>
      <c r="AG17" s="236">
        <f t="shared" si="12"/>
        <v>0</v>
      </c>
      <c r="AH17" s="236">
        <f t="shared" si="13"/>
        <v>0</v>
      </c>
      <c r="AI17" s="236">
        <f t="shared" si="14"/>
        <v>20153837.159000002</v>
      </c>
      <c r="AJ17" s="236">
        <f t="shared" si="15"/>
        <v>15816186.175000001</v>
      </c>
      <c r="AK17" s="236">
        <f t="shared" si="16"/>
        <v>35970023.333999999</v>
      </c>
      <c r="AL17" s="236">
        <f t="shared" si="17"/>
        <v>20153837.159000002</v>
      </c>
      <c r="AM17" s="236">
        <f t="shared" si="18"/>
        <v>15816186.175000001</v>
      </c>
      <c r="AN17" s="236">
        <f t="shared" si="19"/>
        <v>35970023.333999999</v>
      </c>
    </row>
    <row r="18" spans="1:40" x14ac:dyDescent="0.25">
      <c r="A18" s="226" t="s">
        <v>590</v>
      </c>
      <c r="B18" s="224">
        <v>41412764928.550545</v>
      </c>
      <c r="C18" s="224">
        <v>14344174607.805138</v>
      </c>
      <c r="D18" s="224">
        <v>13575450041.297749</v>
      </c>
      <c r="E18" s="224">
        <v>10301136754.388906</v>
      </c>
      <c r="F18" s="224">
        <v>54988214969.848297</v>
      </c>
      <c r="G18" s="224">
        <v>24645311362.194046</v>
      </c>
      <c r="I18" s="226" t="s">
        <v>601</v>
      </c>
      <c r="J18" s="224">
        <v>0</v>
      </c>
      <c r="K18" s="224">
        <v>0</v>
      </c>
      <c r="L18" s="224">
        <v>0</v>
      </c>
      <c r="M18" s="224">
        <v>20153837159</v>
      </c>
      <c r="N18" s="224">
        <v>15816186175</v>
      </c>
      <c r="O18" s="224">
        <v>35970023334</v>
      </c>
      <c r="P18" s="224">
        <v>20153837159</v>
      </c>
      <c r="Q18" s="224">
        <v>15816186175</v>
      </c>
      <c r="R18" s="224">
        <v>35970023334</v>
      </c>
      <c r="T18" t="s">
        <v>559</v>
      </c>
      <c r="U18" s="236">
        <v>0</v>
      </c>
      <c r="V18" s="236">
        <v>0</v>
      </c>
      <c r="W18" s="236">
        <v>0</v>
      </c>
      <c r="X18" s="236">
        <v>20147122959.666668</v>
      </c>
      <c r="Y18" s="236">
        <v>15796905323.333334</v>
      </c>
      <c r="Z18" s="236">
        <v>35944028283</v>
      </c>
      <c r="AA18" s="236">
        <v>20147122959.666668</v>
      </c>
      <c r="AB18" s="236">
        <v>15796905323.333334</v>
      </c>
      <c r="AC18" s="236">
        <v>35944028283</v>
      </c>
      <c r="AF18" s="236"/>
      <c r="AG18" s="236"/>
      <c r="AH18" s="236"/>
      <c r="AI18" s="236"/>
      <c r="AJ18" s="236"/>
      <c r="AK18" s="236"/>
      <c r="AL18" s="236"/>
      <c r="AM18" s="236"/>
      <c r="AN18" s="236"/>
    </row>
    <row r="19" spans="1:40" x14ac:dyDescent="0.25">
      <c r="A19" s="226" t="s">
        <v>591</v>
      </c>
      <c r="B19" s="224">
        <v>41492133144.129395</v>
      </c>
      <c r="C19" s="224">
        <v>14338671951.417471</v>
      </c>
      <c r="D19" s="224">
        <v>13556899957.095909</v>
      </c>
      <c r="E19" s="224">
        <v>10317360873.560974</v>
      </c>
      <c r="F19" s="224">
        <v>55049033101.225304</v>
      </c>
      <c r="G19" s="224">
        <v>24656032824.978443</v>
      </c>
    </row>
    <row r="20" spans="1:40" x14ac:dyDescent="0.25">
      <c r="A20" s="226" t="s">
        <v>592</v>
      </c>
      <c r="B20" s="224">
        <v>41689377531.52832</v>
      </c>
      <c r="C20" s="224">
        <v>14389107537.936651</v>
      </c>
      <c r="D20" s="224">
        <v>13587482423.759024</v>
      </c>
      <c r="E20" s="224">
        <v>10363693683.943645</v>
      </c>
      <c r="F20" s="224">
        <v>55276859955.287346</v>
      </c>
      <c r="G20" s="224">
        <v>24752801221.880299</v>
      </c>
    </row>
    <row r="21" spans="1:40" x14ac:dyDescent="0.25">
      <c r="A21" s="226" t="s">
        <v>593</v>
      </c>
      <c r="B21" s="224">
        <v>41893693794.81633</v>
      </c>
      <c r="C21" s="224">
        <v>14448119364.683731</v>
      </c>
      <c r="D21" s="224">
        <v>13658161040.342596</v>
      </c>
      <c r="E21" s="224">
        <v>10436146134.295401</v>
      </c>
      <c r="F21" s="224">
        <v>55551854835.158928</v>
      </c>
      <c r="G21" s="224">
        <v>24884265498.97913</v>
      </c>
    </row>
    <row r="22" spans="1:40" x14ac:dyDescent="0.25">
      <c r="A22" s="226" t="s">
        <v>594</v>
      </c>
      <c r="B22" s="224">
        <v>42028716433.503952</v>
      </c>
      <c r="C22" s="224">
        <v>14474202460.279303</v>
      </c>
      <c r="D22" s="224">
        <v>13650260559.967369</v>
      </c>
      <c r="E22" s="224">
        <v>10455981672.870468</v>
      </c>
      <c r="F22" s="224">
        <v>55678976993.471321</v>
      </c>
      <c r="G22" s="224">
        <v>24930184133.149773</v>
      </c>
    </row>
    <row r="23" spans="1:40" x14ac:dyDescent="0.25">
      <c r="A23" s="226" t="s">
        <v>595</v>
      </c>
      <c r="B23" s="224">
        <v>42051494056.711189</v>
      </c>
      <c r="C23" s="224">
        <v>14454401135.575151</v>
      </c>
      <c r="D23" s="224">
        <v>13673344879.106573</v>
      </c>
      <c r="E23" s="224">
        <v>10488651757.441307</v>
      </c>
      <c r="F23" s="224">
        <v>55724838935.817764</v>
      </c>
      <c r="G23" s="224">
        <v>24943052893.01646</v>
      </c>
    </row>
    <row r="24" spans="1:40" x14ac:dyDescent="0.25">
      <c r="A24" s="226" t="s">
        <v>596</v>
      </c>
      <c r="B24" s="224">
        <v>43968064599.592735</v>
      </c>
      <c r="C24" s="224">
        <v>15094747143.016346</v>
      </c>
      <c r="D24" s="224">
        <v>14296200721.375242</v>
      </c>
      <c r="E24" s="224">
        <v>10984398268.326876</v>
      </c>
      <c r="F24" s="224">
        <v>58264265320.967979</v>
      </c>
      <c r="G24" s="224">
        <v>26079145411.343224</v>
      </c>
    </row>
    <row r="25" spans="1:40" x14ac:dyDescent="0.25">
      <c r="A25" s="226" t="s">
        <v>597</v>
      </c>
      <c r="B25" s="224">
        <v>44239652802.527435</v>
      </c>
      <c r="C25" s="224">
        <v>15183281289.48546</v>
      </c>
      <c r="D25" s="224">
        <v>14359653915.897924</v>
      </c>
      <c r="E25" s="224">
        <v>11056169211.807955</v>
      </c>
      <c r="F25" s="224">
        <v>58599306718.425362</v>
      </c>
      <c r="G25" s="224">
        <v>26239450501.293415</v>
      </c>
    </row>
    <row r="26" spans="1:40" x14ac:dyDescent="0.25">
      <c r="A26" s="226" t="s">
        <v>598</v>
      </c>
      <c r="B26" s="224">
        <v>44825753490.339638</v>
      </c>
      <c r="C26" s="224">
        <v>15361682293.239056</v>
      </c>
      <c r="D26" s="224">
        <v>14520121666.492722</v>
      </c>
      <c r="E26" s="224">
        <v>11196683921.068314</v>
      </c>
      <c r="F26" s="224">
        <v>59345875156.832359</v>
      </c>
      <c r="G26" s="224">
        <v>26558366214.307369</v>
      </c>
    </row>
    <row r="27" spans="1:40" x14ac:dyDescent="0.25">
      <c r="A27" s="226" t="s">
        <v>599</v>
      </c>
      <c r="B27" s="224">
        <v>45558468926.131744</v>
      </c>
      <c r="C27" s="224">
        <v>15619780966.110331</v>
      </c>
      <c r="D27" s="224">
        <v>14731002156.65905</v>
      </c>
      <c r="E27" s="224">
        <v>11378658505.587618</v>
      </c>
      <c r="F27" s="224">
        <v>60289471082.790794</v>
      </c>
      <c r="G27" s="224">
        <v>26998439471.697948</v>
      </c>
    </row>
    <row r="28" spans="1:40" x14ac:dyDescent="0.25">
      <c r="A28" s="226" t="s">
        <v>600</v>
      </c>
      <c r="B28" s="224">
        <v>45907806144.015701</v>
      </c>
      <c r="C28" s="224">
        <v>15757842457.160728</v>
      </c>
      <c r="D28" s="224">
        <v>14819941119.248938</v>
      </c>
      <c r="E28" s="224">
        <v>11477733789.488827</v>
      </c>
      <c r="F28" s="224">
        <v>60727747263.264633</v>
      </c>
      <c r="G28" s="224">
        <v>27235576246.649555</v>
      </c>
    </row>
    <row r="29" spans="1:40" x14ac:dyDescent="0.25">
      <c r="A29" s="226" t="s">
        <v>601</v>
      </c>
      <c r="B29" s="224">
        <v>46378471956.631134</v>
      </c>
      <c r="C29" s="224">
        <v>15925944220.074242</v>
      </c>
      <c r="D29" s="224">
        <v>14940626739.673445</v>
      </c>
      <c r="E29" s="224">
        <v>11591380050.96863</v>
      </c>
      <c r="F29" s="224">
        <v>61319098696.304581</v>
      </c>
      <c r="G29" s="224">
        <v>27517324271.042873</v>
      </c>
    </row>
    <row r="30" spans="1:40" s="235" customFormat="1" x14ac:dyDescent="0.25">
      <c r="A30" s="233" t="s">
        <v>574</v>
      </c>
      <c r="B30" s="234">
        <v>4061495668.9687133</v>
      </c>
      <c r="C30" s="234">
        <v>1394304840.9271979</v>
      </c>
      <c r="D30" s="234">
        <v>18608107348.715408</v>
      </c>
      <c r="E30" s="234">
        <v>14541108885.050779</v>
      </c>
      <c r="F30" s="234">
        <v>22669603017.684124</v>
      </c>
      <c r="G30" s="234">
        <v>15935413725.977976</v>
      </c>
      <c r="H30"/>
      <c r="I30"/>
      <c r="J30"/>
      <c r="K30"/>
      <c r="L30"/>
      <c r="M30"/>
      <c r="N30"/>
      <c r="O30"/>
    </row>
    <row r="31" spans="1:40" x14ac:dyDescent="0.25">
      <c r="A31" s="226" t="s">
        <v>590</v>
      </c>
      <c r="B31" s="224">
        <v>48737948027.624557</v>
      </c>
      <c r="C31" s="224">
        <v>16731658091.126375</v>
      </c>
      <c r="D31" s="224">
        <v>16210542125.044081</v>
      </c>
      <c r="E31" s="224">
        <v>12595583261.466858</v>
      </c>
      <c r="F31" s="224">
        <v>64948490152.66864</v>
      </c>
      <c r="G31" s="224">
        <v>29327241352.593231</v>
      </c>
    </row>
    <row r="32" spans="1:40" x14ac:dyDescent="0.25">
      <c r="A32" s="226" t="s">
        <v>591</v>
      </c>
      <c r="B32" s="224">
        <v>0</v>
      </c>
      <c r="C32" s="224">
        <v>0</v>
      </c>
      <c r="D32" s="224">
        <v>17091973483.192741</v>
      </c>
      <c r="E32" s="224">
        <v>13299723403.619192</v>
      </c>
      <c r="F32" s="224">
        <v>17091973483.192741</v>
      </c>
      <c r="G32" s="224">
        <v>13299723403.619192</v>
      </c>
    </row>
    <row r="33" spans="1:7" x14ac:dyDescent="0.25">
      <c r="A33" s="226" t="s">
        <v>592</v>
      </c>
      <c r="B33" s="224">
        <v>0</v>
      </c>
      <c r="C33" s="224">
        <v>0</v>
      </c>
      <c r="D33" s="224">
        <v>17424606452.911678</v>
      </c>
      <c r="E33" s="224">
        <v>13573744962.130131</v>
      </c>
      <c r="F33" s="224">
        <v>17424606452.911678</v>
      </c>
      <c r="G33" s="224">
        <v>13573744962.130131</v>
      </c>
    </row>
    <row r="34" spans="1:7" x14ac:dyDescent="0.25">
      <c r="A34" s="226" t="s">
        <v>593</v>
      </c>
      <c r="B34" s="224">
        <v>0</v>
      </c>
      <c r="C34" s="224">
        <v>0</v>
      </c>
      <c r="D34" s="224">
        <v>17641980698.009972</v>
      </c>
      <c r="E34" s="224">
        <v>13769718696.30522</v>
      </c>
      <c r="F34" s="224">
        <v>17641980698.009972</v>
      </c>
      <c r="G34" s="224">
        <v>13769718696.30522</v>
      </c>
    </row>
    <row r="35" spans="1:7" x14ac:dyDescent="0.25">
      <c r="A35" s="226" t="s">
        <v>594</v>
      </c>
      <c r="B35" s="224">
        <v>0</v>
      </c>
      <c r="C35" s="224">
        <v>0</v>
      </c>
      <c r="D35" s="224">
        <v>17891632863.695015</v>
      </c>
      <c r="E35" s="224">
        <v>13984257091.629864</v>
      </c>
      <c r="F35" s="224">
        <v>17891632863.695015</v>
      </c>
      <c r="G35" s="224">
        <v>13984257091.629864</v>
      </c>
    </row>
    <row r="36" spans="1:7" x14ac:dyDescent="0.25">
      <c r="A36" s="226" t="s">
        <v>595</v>
      </c>
      <c r="B36" s="224">
        <v>0</v>
      </c>
      <c r="C36" s="224">
        <v>0</v>
      </c>
      <c r="D36" s="224">
        <v>18154510583.825241</v>
      </c>
      <c r="E36" s="224">
        <v>14178908328.029295</v>
      </c>
      <c r="F36" s="224">
        <v>18154510583.825241</v>
      </c>
      <c r="G36" s="224">
        <v>14178908328.029295</v>
      </c>
    </row>
    <row r="37" spans="1:7" x14ac:dyDescent="0.25">
      <c r="A37" s="226" t="s">
        <v>596</v>
      </c>
      <c r="B37" s="224">
        <v>0</v>
      </c>
      <c r="C37" s="224">
        <v>0</v>
      </c>
      <c r="D37" s="224">
        <v>19337226013.322685</v>
      </c>
      <c r="E37" s="224">
        <v>15116052668.109373</v>
      </c>
      <c r="F37" s="224">
        <v>19337226013.322685</v>
      </c>
      <c r="G37" s="224">
        <v>15116052668.109373</v>
      </c>
    </row>
    <row r="38" spans="1:7" x14ac:dyDescent="0.25">
      <c r="A38" s="226" t="s">
        <v>597</v>
      </c>
      <c r="B38" s="224">
        <v>0</v>
      </c>
      <c r="C38" s="224">
        <v>0</v>
      </c>
      <c r="D38" s="224">
        <v>19615995290.222252</v>
      </c>
      <c r="E38" s="224">
        <v>15334641090.347298</v>
      </c>
      <c r="F38" s="224">
        <v>19615995290.222252</v>
      </c>
      <c r="G38" s="224">
        <v>15334641090.347298</v>
      </c>
    </row>
    <row r="39" spans="1:7" x14ac:dyDescent="0.25">
      <c r="A39" s="226" t="s">
        <v>598</v>
      </c>
      <c r="B39" s="224">
        <v>0</v>
      </c>
      <c r="C39" s="224">
        <v>0</v>
      </c>
      <c r="D39" s="224">
        <v>19795507702.981388</v>
      </c>
      <c r="E39" s="224">
        <v>15491241215.056953</v>
      </c>
      <c r="F39" s="224">
        <v>19795507702.981388</v>
      </c>
      <c r="G39" s="224">
        <v>15491241215.056953</v>
      </c>
    </row>
    <row r="40" spans="1:7" x14ac:dyDescent="0.25">
      <c r="A40" s="226" t="s">
        <v>599</v>
      </c>
      <c r="B40" s="224">
        <v>0</v>
      </c>
      <c r="C40" s="224">
        <v>0</v>
      </c>
      <c r="D40" s="224">
        <v>19903687043.913326</v>
      </c>
      <c r="E40" s="224">
        <v>15583475340.434208</v>
      </c>
      <c r="F40" s="224">
        <v>19903687043.913326</v>
      </c>
      <c r="G40" s="224">
        <v>15583475340.434208</v>
      </c>
    </row>
    <row r="41" spans="1:7" x14ac:dyDescent="0.25">
      <c r="A41" s="226" t="s">
        <v>600</v>
      </c>
      <c r="B41" s="224">
        <v>0</v>
      </c>
      <c r="C41" s="224">
        <v>0</v>
      </c>
      <c r="D41" s="224">
        <v>20075788768.466526</v>
      </c>
      <c r="E41" s="224">
        <v>15749774388.480951</v>
      </c>
      <c r="F41" s="224">
        <v>20075788768.466526</v>
      </c>
      <c r="G41" s="224">
        <v>15749774388.480951</v>
      </c>
    </row>
    <row r="42" spans="1:7" x14ac:dyDescent="0.25">
      <c r="A42" s="226" t="s">
        <v>601</v>
      </c>
      <c r="B42" s="224">
        <v>0</v>
      </c>
      <c r="C42" s="224">
        <v>0</v>
      </c>
      <c r="D42" s="224">
        <v>20153837159</v>
      </c>
      <c r="E42" s="224">
        <v>15816186175</v>
      </c>
      <c r="F42" s="224">
        <v>20153837159</v>
      </c>
      <c r="G42" s="224">
        <v>15816186175</v>
      </c>
    </row>
    <row r="43" spans="1:7" x14ac:dyDescent="0.25">
      <c r="A43" s="223" t="s">
        <v>559</v>
      </c>
      <c r="B43" s="224">
        <v>19676256282.276787</v>
      </c>
      <c r="C43" s="224">
        <v>7386963480.0933323</v>
      </c>
      <c r="D43" s="224">
        <v>8525316752.7444334</v>
      </c>
      <c r="E43" s="224">
        <v>6252795520.6978397</v>
      </c>
      <c r="F43" s="224">
        <v>28201573035.02121</v>
      </c>
      <c r="G43" s="224">
        <v>13639759000.791176</v>
      </c>
    </row>
    <row r="52" spans="1:15" x14ac:dyDescent="0.25">
      <c r="A52" t="s">
        <v>558</v>
      </c>
      <c r="B52" t="s">
        <v>586</v>
      </c>
      <c r="C52" t="s">
        <v>585</v>
      </c>
      <c r="D52" t="s">
        <v>587</v>
      </c>
      <c r="E52" t="s">
        <v>584</v>
      </c>
      <c r="F52" t="s">
        <v>589</v>
      </c>
      <c r="G52" t="s">
        <v>588</v>
      </c>
      <c r="I52" t="s">
        <v>558</v>
      </c>
      <c r="J52" t="s">
        <v>586</v>
      </c>
      <c r="K52" t="s">
        <v>585</v>
      </c>
      <c r="L52" t="s">
        <v>587</v>
      </c>
      <c r="M52" t="s">
        <v>584</v>
      </c>
      <c r="N52" t="s">
        <v>589</v>
      </c>
      <c r="O52" t="s">
        <v>588</v>
      </c>
    </row>
    <row r="53" spans="1:15" x14ac:dyDescent="0.25">
      <c r="A53" t="s">
        <v>560</v>
      </c>
      <c r="B53">
        <v>8246926869.2877502</v>
      </c>
      <c r="C53" s="236">
        <v>3973207724.5979996</v>
      </c>
      <c r="D53">
        <v>3969656243.1597457</v>
      </c>
      <c r="E53">
        <v>3064613569.4954667</v>
      </c>
      <c r="F53">
        <v>12216583112.447495</v>
      </c>
      <c r="G53">
        <v>7037821294.0934668</v>
      </c>
      <c r="I53" t="s">
        <v>560</v>
      </c>
      <c r="J53" s="236">
        <v>8246926.8692877507</v>
      </c>
      <c r="K53" s="236">
        <v>3973207.7245979994</v>
      </c>
      <c r="L53" s="236">
        <v>3969656.2431597458</v>
      </c>
      <c r="M53" s="236">
        <v>3064613.5694954665</v>
      </c>
      <c r="N53" s="236">
        <v>12216583.112447495</v>
      </c>
      <c r="O53" s="236">
        <v>7037821.2940934664</v>
      </c>
    </row>
    <row r="54" spans="1:15" x14ac:dyDescent="0.25">
      <c r="A54" t="s">
        <v>561</v>
      </c>
      <c r="B54">
        <v>10831943415.048538</v>
      </c>
      <c r="C54">
        <v>4778493385.1598539</v>
      </c>
      <c r="D54">
        <v>5149103046.8522663</v>
      </c>
      <c r="E54">
        <v>3655592972.6395154</v>
      </c>
      <c r="F54">
        <v>15981046461.900803</v>
      </c>
      <c r="G54">
        <v>8434086357.799367</v>
      </c>
      <c r="I54" t="s">
        <v>561</v>
      </c>
      <c r="J54" s="236">
        <v>10831943.415048538</v>
      </c>
      <c r="K54" s="236">
        <v>4778493.3851598538</v>
      </c>
      <c r="L54" s="236">
        <v>5149103.0468522664</v>
      </c>
      <c r="M54" s="236">
        <v>3655592.9726395155</v>
      </c>
      <c r="N54" s="236">
        <v>15981046.461900802</v>
      </c>
      <c r="O54" s="236">
        <v>8434086.3577993661</v>
      </c>
    </row>
    <row r="55" spans="1:15" x14ac:dyDescent="0.25">
      <c r="A55" t="s">
        <v>562</v>
      </c>
      <c r="B55">
        <v>13095567640.080732</v>
      </c>
      <c r="C55">
        <v>5502966223.7595825</v>
      </c>
      <c r="D55">
        <v>5973329799.6957197</v>
      </c>
      <c r="E55">
        <v>4181931763.7496819</v>
      </c>
      <c r="F55">
        <v>19068897439.776447</v>
      </c>
      <c r="G55">
        <v>9684897987.5092659</v>
      </c>
      <c r="I55" t="s">
        <v>562</v>
      </c>
      <c r="J55" s="236">
        <v>13095567.640080733</v>
      </c>
      <c r="K55" s="236">
        <v>5502966.2237595823</v>
      </c>
      <c r="L55" s="236">
        <v>5973329.79969572</v>
      </c>
      <c r="M55" s="236">
        <v>4181931.7637496819</v>
      </c>
      <c r="N55" s="236">
        <v>19068897.439776447</v>
      </c>
      <c r="O55" s="236">
        <v>9684897.9875092655</v>
      </c>
    </row>
    <row r="56" spans="1:15" x14ac:dyDescent="0.25">
      <c r="A56" t="s">
        <v>563</v>
      </c>
      <c r="B56">
        <v>13994994329.511679</v>
      </c>
      <c r="C56">
        <v>5780107940.9241409</v>
      </c>
      <c r="D56">
        <v>6221600908.5936813</v>
      </c>
      <c r="E56">
        <v>4373494706.5970135</v>
      </c>
      <c r="F56">
        <v>20216595238.105358</v>
      </c>
      <c r="G56">
        <v>10153602647.521154</v>
      </c>
      <c r="I56" t="s">
        <v>563</v>
      </c>
      <c r="J56" s="236">
        <v>13994994.329511678</v>
      </c>
      <c r="K56" s="236">
        <v>5780107.9409241406</v>
      </c>
      <c r="L56" s="236">
        <v>6221600.9085936816</v>
      </c>
      <c r="M56" s="236">
        <v>4373494.7065970134</v>
      </c>
      <c r="N56" s="236">
        <v>20216595.238105357</v>
      </c>
      <c r="O56" s="236">
        <v>10153602.647521155</v>
      </c>
    </row>
    <row r="57" spans="1:15" x14ac:dyDescent="0.25">
      <c r="A57" t="s">
        <v>564</v>
      </c>
      <c r="B57">
        <v>14900591934.083181</v>
      </c>
      <c r="C57">
        <v>6027641672.6388502</v>
      </c>
      <c r="D57">
        <v>6305334741.0595312</v>
      </c>
      <c r="E57">
        <v>4448180899.6762056</v>
      </c>
      <c r="F57">
        <v>21205926675.142715</v>
      </c>
      <c r="G57">
        <v>10475822572.315058</v>
      </c>
      <c r="I57" t="s">
        <v>564</v>
      </c>
      <c r="J57" s="236">
        <v>14900591.934083181</v>
      </c>
      <c r="K57" s="236">
        <v>6027641.6726388503</v>
      </c>
      <c r="L57" s="236">
        <v>6305334.7410595315</v>
      </c>
      <c r="M57" s="236">
        <v>4448180.8996762056</v>
      </c>
      <c r="N57" s="236">
        <v>21205926.675142717</v>
      </c>
      <c r="O57" s="236">
        <v>10475822.572315058</v>
      </c>
    </row>
    <row r="58" spans="1:15" x14ac:dyDescent="0.25">
      <c r="A58" t="s">
        <v>565</v>
      </c>
      <c r="B58">
        <v>15464510652.205984</v>
      </c>
      <c r="C58">
        <v>6127638130.4877253</v>
      </c>
      <c r="D58">
        <v>6133300571.7438841</v>
      </c>
      <c r="E58">
        <v>4291617400.8795981</v>
      </c>
      <c r="F58">
        <v>21597811223.949871</v>
      </c>
      <c r="G58">
        <v>10419255531.367325</v>
      </c>
      <c r="I58" t="s">
        <v>565</v>
      </c>
      <c r="J58" s="236">
        <v>15464510.652205985</v>
      </c>
      <c r="K58" s="236">
        <v>6127638.1304877251</v>
      </c>
      <c r="L58" s="236">
        <v>6133300.5717438841</v>
      </c>
      <c r="M58" s="236">
        <v>4291617.4008795982</v>
      </c>
      <c r="N58" s="236">
        <v>21597811.223949872</v>
      </c>
      <c r="O58" s="236">
        <v>10419255.531367324</v>
      </c>
    </row>
    <row r="59" spans="1:15" x14ac:dyDescent="0.25">
      <c r="A59" t="s">
        <v>566</v>
      </c>
      <c r="B59">
        <v>16719242118.712105</v>
      </c>
      <c r="C59">
        <v>6443033859.5210752</v>
      </c>
      <c r="D59">
        <v>6332875385.4161987</v>
      </c>
      <c r="E59">
        <v>4376817385.0717344</v>
      </c>
      <c r="F59">
        <v>23052117504.128307</v>
      </c>
      <c r="G59">
        <v>10819851244.592808</v>
      </c>
      <c r="I59" t="s">
        <v>566</v>
      </c>
      <c r="J59" s="236">
        <v>16719242.118712105</v>
      </c>
      <c r="K59" s="236">
        <v>6443033.8595210752</v>
      </c>
      <c r="L59" s="236">
        <v>6332875.3854161985</v>
      </c>
      <c r="M59" s="236">
        <v>4376817.385071734</v>
      </c>
      <c r="N59" s="236">
        <v>23052117.504128307</v>
      </c>
      <c r="O59" s="236">
        <v>10819851.244592808</v>
      </c>
    </row>
    <row r="60" spans="1:15" x14ac:dyDescent="0.25">
      <c r="A60" t="s">
        <v>567</v>
      </c>
      <c r="B60">
        <v>18210702843.160507</v>
      </c>
      <c r="C60">
        <v>6946083183.5916548</v>
      </c>
      <c r="D60">
        <v>6761441395.714366</v>
      </c>
      <c r="E60">
        <v>4771430769.2962599</v>
      </c>
      <c r="F60">
        <v>24972144238.874874</v>
      </c>
      <c r="G60">
        <v>11717513952.887915</v>
      </c>
      <c r="I60" t="s">
        <v>567</v>
      </c>
      <c r="J60" s="236">
        <v>18210702.843160506</v>
      </c>
      <c r="K60" s="236">
        <v>6946083.1835916545</v>
      </c>
      <c r="L60" s="236">
        <v>6761441.3957143659</v>
      </c>
      <c r="M60" s="236">
        <v>4771430.7692962596</v>
      </c>
      <c r="N60" s="236">
        <v>24972144.238874875</v>
      </c>
      <c r="O60" s="236">
        <v>11717513.952887915</v>
      </c>
    </row>
    <row r="61" spans="1:15" x14ac:dyDescent="0.25">
      <c r="A61" t="s">
        <v>568</v>
      </c>
      <c r="B61">
        <v>19783296657.483814</v>
      </c>
      <c r="C61">
        <v>7425619705.3861189</v>
      </c>
      <c r="D61">
        <v>7362010767.830924</v>
      </c>
      <c r="E61">
        <v>5231600971.8967381</v>
      </c>
      <c r="F61">
        <v>27145307425.314739</v>
      </c>
      <c r="G61">
        <v>12657220677.28286</v>
      </c>
      <c r="I61" t="s">
        <v>568</v>
      </c>
      <c r="J61" s="236">
        <v>19783296.657483812</v>
      </c>
      <c r="K61" s="236">
        <v>7425619.705386119</v>
      </c>
      <c r="L61" s="236">
        <v>7362010.7678309241</v>
      </c>
      <c r="M61" s="236">
        <v>5231600.9718967378</v>
      </c>
      <c r="N61" s="236">
        <v>27145307.425314739</v>
      </c>
      <c r="O61" s="236">
        <v>12657220.677282861</v>
      </c>
    </row>
    <row r="62" spans="1:15" x14ac:dyDescent="0.25">
      <c r="A62" t="s">
        <v>569</v>
      </c>
      <c r="B62">
        <v>23013211595.87286</v>
      </c>
      <c r="C62">
        <v>8501264270.2728071</v>
      </c>
      <c r="D62">
        <v>8483630715.9830093</v>
      </c>
      <c r="E62">
        <v>6104356781.0873613</v>
      </c>
      <c r="F62">
        <v>31496842311.855865</v>
      </c>
      <c r="G62">
        <v>14605621051.360168</v>
      </c>
      <c r="I62" t="s">
        <v>569</v>
      </c>
      <c r="J62" s="236">
        <v>23013211.59587286</v>
      </c>
      <c r="K62" s="236">
        <v>8501264.2702728063</v>
      </c>
      <c r="L62" s="236">
        <v>8483630.715983009</v>
      </c>
      <c r="M62" s="236">
        <v>6104356.7810873613</v>
      </c>
      <c r="N62" s="236">
        <v>31496842.311855864</v>
      </c>
      <c r="O62" s="236">
        <v>14605621.051360168</v>
      </c>
    </row>
    <row r="63" spans="1:15" x14ac:dyDescent="0.25">
      <c r="A63" t="s">
        <v>570</v>
      </c>
      <c r="B63">
        <v>24370427621.370571</v>
      </c>
      <c r="C63">
        <v>8842345357.059454</v>
      </c>
      <c r="D63">
        <v>8863104958.5664921</v>
      </c>
      <c r="E63">
        <v>6451885180.39046</v>
      </c>
      <c r="F63">
        <v>33233532579.937061</v>
      </c>
      <c r="G63">
        <v>15294230537.449913</v>
      </c>
      <c r="I63" t="s">
        <v>570</v>
      </c>
      <c r="J63" s="236">
        <v>24370427.621370573</v>
      </c>
      <c r="K63" s="236">
        <v>8842345.3570594545</v>
      </c>
      <c r="L63" s="236">
        <v>8863104.9585664924</v>
      </c>
      <c r="M63" s="236">
        <v>6451885.1803904604</v>
      </c>
      <c r="N63" s="236">
        <v>33233532.579937063</v>
      </c>
      <c r="O63" s="236">
        <v>15294230.537449913</v>
      </c>
    </row>
    <row r="64" spans="1:15" x14ac:dyDescent="0.25">
      <c r="A64" t="s">
        <v>571</v>
      </c>
      <c r="B64">
        <v>26689511249.196259</v>
      </c>
      <c r="C64">
        <v>9492244005.0758266</v>
      </c>
      <c r="D64">
        <v>9429656004.8587437</v>
      </c>
      <c r="E64">
        <v>6956454754.7894373</v>
      </c>
      <c r="F64">
        <v>36119167254.055008</v>
      </c>
      <c r="G64">
        <v>16448698759.865265</v>
      </c>
      <c r="I64" t="s">
        <v>571</v>
      </c>
      <c r="J64" s="236">
        <v>26689511.249196257</v>
      </c>
      <c r="K64" s="236">
        <v>9492244.0050758272</v>
      </c>
      <c r="L64" s="236">
        <v>9429656.0048587434</v>
      </c>
      <c r="M64" s="236">
        <v>6956454.7547894372</v>
      </c>
      <c r="N64" s="236">
        <v>36119167.254055008</v>
      </c>
      <c r="O64" s="236">
        <v>16448698.759865265</v>
      </c>
    </row>
    <row r="65" spans="1:15" x14ac:dyDescent="0.25">
      <c r="A65" t="s">
        <v>572</v>
      </c>
      <c r="B65">
        <v>36592890448.634682</v>
      </c>
      <c r="C65">
        <v>12913294405.351358</v>
      </c>
      <c r="D65">
        <v>11894673713.107821</v>
      </c>
      <c r="E65">
        <v>8911422908.9337215</v>
      </c>
      <c r="F65">
        <v>48487564161.742493</v>
      </c>
      <c r="G65">
        <v>21824717314.285076</v>
      </c>
      <c r="I65" t="s">
        <v>572</v>
      </c>
      <c r="J65" s="236">
        <v>36592890.448634684</v>
      </c>
      <c r="K65" s="236">
        <v>12913294.405351358</v>
      </c>
      <c r="L65" s="236">
        <v>11894673.713107821</v>
      </c>
      <c r="M65" s="236">
        <v>8911422.9089337215</v>
      </c>
      <c r="N65" s="236">
        <v>48487564.161742494</v>
      </c>
      <c r="O65" s="236">
        <v>21824717.314285077</v>
      </c>
    </row>
    <row r="66" spans="1:15" x14ac:dyDescent="0.25">
      <c r="A66" t="s">
        <v>573</v>
      </c>
      <c r="B66">
        <v>43453866484.039848</v>
      </c>
      <c r="C66">
        <v>14949329618.898636</v>
      </c>
      <c r="D66">
        <v>14114095435.076376</v>
      </c>
      <c r="E66">
        <v>10837332885.31241</v>
      </c>
      <c r="F66">
        <v>57567961919.116219</v>
      </c>
      <c r="G66">
        <v>25786662504.21104</v>
      </c>
      <c r="I66" t="s">
        <v>590</v>
      </c>
      <c r="J66" s="236">
        <v>41412764.928550541</v>
      </c>
      <c r="K66" s="236">
        <v>14344174.607805138</v>
      </c>
      <c r="L66" s="236">
        <v>13575450.041297749</v>
      </c>
      <c r="M66" s="236">
        <v>10301136.754388906</v>
      </c>
      <c r="N66" s="236">
        <v>54988214.969848298</v>
      </c>
      <c r="O66" s="236">
        <v>24645311.362194046</v>
      </c>
    </row>
    <row r="67" spans="1:15" x14ac:dyDescent="0.25">
      <c r="A67" t="s">
        <v>590</v>
      </c>
      <c r="B67">
        <v>41412764928.550545</v>
      </c>
      <c r="C67">
        <v>14344174607.805138</v>
      </c>
      <c r="D67">
        <v>13575450041.297749</v>
      </c>
      <c r="E67">
        <v>10301136754.388906</v>
      </c>
      <c r="F67">
        <v>54988214969.848297</v>
      </c>
      <c r="G67">
        <v>24645311362.194046</v>
      </c>
      <c r="I67" t="s">
        <v>591</v>
      </c>
      <c r="J67" s="236">
        <v>41492133.144129395</v>
      </c>
      <c r="K67" s="236">
        <v>14338671.95141747</v>
      </c>
      <c r="L67" s="236">
        <v>13556899.95709591</v>
      </c>
      <c r="M67" s="236">
        <v>10317360.873560974</v>
      </c>
      <c r="N67" s="236">
        <v>55049033.101225302</v>
      </c>
      <c r="O67" s="236">
        <v>24656032.824978445</v>
      </c>
    </row>
    <row r="68" spans="1:15" x14ac:dyDescent="0.25">
      <c r="A68" t="s">
        <v>591</v>
      </c>
      <c r="B68">
        <v>41492133144.129395</v>
      </c>
      <c r="C68">
        <v>14338671951.417471</v>
      </c>
      <c r="D68">
        <v>13556899957.095909</v>
      </c>
      <c r="E68">
        <v>10317360873.560974</v>
      </c>
      <c r="F68">
        <v>55049033101.225304</v>
      </c>
      <c r="G68">
        <v>24656032824.978443</v>
      </c>
      <c r="I68" t="s">
        <v>592</v>
      </c>
      <c r="J68" s="236">
        <v>41689377.531528324</v>
      </c>
      <c r="K68" s="236">
        <v>14389107.537936652</v>
      </c>
      <c r="L68" s="236">
        <v>13587482.423759025</v>
      </c>
      <c r="M68" s="236">
        <v>10363693.683943646</v>
      </c>
      <c r="N68" s="236">
        <v>55276859.955287345</v>
      </c>
      <c r="O68" s="236">
        <v>24752801.221880298</v>
      </c>
    </row>
    <row r="69" spans="1:15" x14ac:dyDescent="0.25">
      <c r="A69" t="s">
        <v>592</v>
      </c>
      <c r="B69">
        <v>41689377531.52832</v>
      </c>
      <c r="C69">
        <v>14389107537.936651</v>
      </c>
      <c r="D69">
        <v>13587482423.759024</v>
      </c>
      <c r="E69">
        <v>10363693683.943645</v>
      </c>
      <c r="F69">
        <v>55276859955.287346</v>
      </c>
      <c r="G69">
        <v>24752801221.880299</v>
      </c>
      <c r="I69" t="s">
        <v>593</v>
      </c>
      <c r="J69" s="236">
        <v>41893693.79481633</v>
      </c>
      <c r="K69" s="236">
        <v>14448119.364683731</v>
      </c>
      <c r="L69" s="236">
        <v>13658161.040342595</v>
      </c>
      <c r="M69" s="236">
        <v>10436146.1342954</v>
      </c>
      <c r="N69" s="236">
        <v>55551854.835158929</v>
      </c>
      <c r="O69" s="236">
        <v>24884265.498979129</v>
      </c>
    </row>
    <row r="70" spans="1:15" x14ac:dyDescent="0.25">
      <c r="A70" t="s">
        <v>593</v>
      </c>
      <c r="B70">
        <v>41893693794.81633</v>
      </c>
      <c r="C70">
        <v>14448119364.683731</v>
      </c>
      <c r="D70">
        <v>13658161040.342596</v>
      </c>
      <c r="E70">
        <v>10436146134.295401</v>
      </c>
      <c r="F70">
        <v>55551854835.158928</v>
      </c>
      <c r="G70">
        <v>24884265498.97913</v>
      </c>
      <c r="I70" t="s">
        <v>594</v>
      </c>
      <c r="J70" s="236">
        <v>42028716.433503956</v>
      </c>
      <c r="K70" s="236">
        <v>14474202.460279303</v>
      </c>
      <c r="L70" s="236">
        <v>13650260.559967369</v>
      </c>
      <c r="M70" s="236">
        <v>10455981.672870468</v>
      </c>
      <c r="N70" s="236">
        <v>55678976.993471324</v>
      </c>
      <c r="O70" s="236">
        <v>24930184.133149773</v>
      </c>
    </row>
    <row r="71" spans="1:15" x14ac:dyDescent="0.25">
      <c r="A71" t="s">
        <v>594</v>
      </c>
      <c r="B71">
        <v>42028716433.503952</v>
      </c>
      <c r="C71">
        <v>14474202460.279303</v>
      </c>
      <c r="D71">
        <v>13650260559.967369</v>
      </c>
      <c r="E71">
        <v>10455981672.870468</v>
      </c>
      <c r="F71">
        <v>55678976993.471321</v>
      </c>
      <c r="G71">
        <v>24930184133.149773</v>
      </c>
      <c r="I71" t="s">
        <v>595</v>
      </c>
      <c r="J71" s="236">
        <v>42051494.056711189</v>
      </c>
      <c r="K71" s="236">
        <v>14454401.135575151</v>
      </c>
      <c r="L71" s="236">
        <v>13673344.879106574</v>
      </c>
      <c r="M71" s="236">
        <v>10488651.757441306</v>
      </c>
      <c r="N71" s="236">
        <v>55724838.935817763</v>
      </c>
      <c r="O71" s="236">
        <v>24943052.893016461</v>
      </c>
    </row>
    <row r="72" spans="1:15" x14ac:dyDescent="0.25">
      <c r="A72" t="s">
        <v>595</v>
      </c>
      <c r="B72">
        <v>42051494056.711189</v>
      </c>
      <c r="C72">
        <v>14454401135.575151</v>
      </c>
      <c r="D72">
        <v>13673344879.106573</v>
      </c>
      <c r="E72">
        <v>10488651757.441307</v>
      </c>
      <c r="F72">
        <v>55724838935.817764</v>
      </c>
      <c r="G72">
        <v>24943052893.01646</v>
      </c>
      <c r="I72" t="s">
        <v>596</v>
      </c>
      <c r="J72" s="236">
        <v>43968064.599592738</v>
      </c>
      <c r="K72" s="236">
        <v>15094747.143016346</v>
      </c>
      <c r="L72" s="236">
        <v>14296200.721375242</v>
      </c>
      <c r="M72" s="236">
        <v>10984398.268326875</v>
      </c>
      <c r="N72" s="236">
        <v>58264265.32096798</v>
      </c>
      <c r="O72" s="236">
        <v>26079145.411343224</v>
      </c>
    </row>
    <row r="73" spans="1:15" x14ac:dyDescent="0.25">
      <c r="A73" t="s">
        <v>596</v>
      </c>
      <c r="B73">
        <v>43968064599.592735</v>
      </c>
      <c r="C73">
        <v>15094747143.016346</v>
      </c>
      <c r="D73">
        <v>14296200721.375242</v>
      </c>
      <c r="E73">
        <v>10984398268.326876</v>
      </c>
      <c r="F73">
        <v>58264265320.967979</v>
      </c>
      <c r="G73">
        <v>26079145411.343224</v>
      </c>
      <c r="I73" t="s">
        <v>597</v>
      </c>
      <c r="J73" s="236">
        <v>44239652.802527435</v>
      </c>
      <c r="K73" s="236">
        <v>15183281.28948546</v>
      </c>
      <c r="L73" s="236">
        <v>14359653.915897924</v>
      </c>
      <c r="M73" s="236">
        <v>11056169.211807955</v>
      </c>
      <c r="N73" s="236">
        <v>58599306.718425363</v>
      </c>
      <c r="O73" s="236">
        <v>26239450.501293413</v>
      </c>
    </row>
    <row r="74" spans="1:15" x14ac:dyDescent="0.25">
      <c r="A74" t="s">
        <v>597</v>
      </c>
      <c r="B74">
        <v>44239652802.527435</v>
      </c>
      <c r="C74">
        <v>15183281289.48546</v>
      </c>
      <c r="D74">
        <v>14359653915.897924</v>
      </c>
      <c r="E74">
        <v>11056169211.807955</v>
      </c>
      <c r="F74">
        <v>58599306718.425362</v>
      </c>
      <c r="G74">
        <v>26239450501.293415</v>
      </c>
      <c r="I74" t="s">
        <v>598</v>
      </c>
      <c r="J74" s="236">
        <v>44825753.490339637</v>
      </c>
      <c r="K74" s="236">
        <v>15361682.293239055</v>
      </c>
      <c r="L74" s="236">
        <v>14520121.666492721</v>
      </c>
      <c r="M74" s="236">
        <v>11196683.921068314</v>
      </c>
      <c r="N74" s="236">
        <v>59345875.15683236</v>
      </c>
      <c r="O74" s="236">
        <v>26558366.214307368</v>
      </c>
    </row>
    <row r="75" spans="1:15" x14ac:dyDescent="0.25">
      <c r="A75" t="s">
        <v>598</v>
      </c>
      <c r="B75">
        <v>44825753490.339638</v>
      </c>
      <c r="C75">
        <v>15361682293.239056</v>
      </c>
      <c r="D75">
        <v>14520121666.492722</v>
      </c>
      <c r="E75">
        <v>11196683921.068314</v>
      </c>
      <c r="F75">
        <v>59345875156.832359</v>
      </c>
      <c r="G75">
        <v>26558366214.307369</v>
      </c>
      <c r="I75" t="s">
        <v>599</v>
      </c>
      <c r="J75" s="236">
        <v>45558468.926131748</v>
      </c>
      <c r="K75" s="236">
        <v>15619780.96611033</v>
      </c>
      <c r="L75" s="236">
        <v>14731002.15665905</v>
      </c>
      <c r="M75" s="236">
        <v>11378658.505587619</v>
      </c>
      <c r="N75" s="236">
        <v>60289471.082790792</v>
      </c>
      <c r="O75" s="236">
        <v>26998439.471697949</v>
      </c>
    </row>
    <row r="76" spans="1:15" x14ac:dyDescent="0.25">
      <c r="A76" t="s">
        <v>599</v>
      </c>
      <c r="B76">
        <v>45558468926.131744</v>
      </c>
      <c r="C76">
        <v>15619780966.110331</v>
      </c>
      <c r="D76">
        <v>14731002156.65905</v>
      </c>
      <c r="E76">
        <v>11378658505.587618</v>
      </c>
      <c r="F76">
        <v>60289471082.790794</v>
      </c>
      <c r="G76">
        <v>26998439471.697948</v>
      </c>
      <c r="I76" t="s">
        <v>600</v>
      </c>
      <c r="J76" s="236">
        <v>45907806.1440157</v>
      </c>
      <c r="K76" s="236">
        <v>15757842.457160728</v>
      </c>
      <c r="L76" s="236">
        <v>14819941.119248938</v>
      </c>
      <c r="M76" s="236">
        <v>11477733.789488826</v>
      </c>
      <c r="N76" s="236">
        <v>60727747.263264634</v>
      </c>
      <c r="O76" s="236">
        <v>27235576.246649556</v>
      </c>
    </row>
    <row r="77" spans="1:15" x14ac:dyDescent="0.25">
      <c r="A77" t="s">
        <v>600</v>
      </c>
      <c r="B77">
        <v>45907806144.015701</v>
      </c>
      <c r="C77">
        <v>15757842457.160728</v>
      </c>
      <c r="D77">
        <v>14819941119.248938</v>
      </c>
      <c r="E77">
        <v>11477733789.488827</v>
      </c>
      <c r="F77">
        <v>60727747263.264633</v>
      </c>
      <c r="G77">
        <v>27235576246.649555</v>
      </c>
      <c r="I77" t="s">
        <v>601</v>
      </c>
      <c r="J77" s="236">
        <v>46378471.956631131</v>
      </c>
      <c r="K77" s="236">
        <v>15925944.220074242</v>
      </c>
      <c r="L77" s="236">
        <v>14940626.739673445</v>
      </c>
      <c r="M77" s="236">
        <v>11591380.05096863</v>
      </c>
      <c r="N77" s="236">
        <v>61319098.696304582</v>
      </c>
      <c r="O77" s="236">
        <v>27517324.271042872</v>
      </c>
    </row>
    <row r="78" spans="1:15" x14ac:dyDescent="0.25">
      <c r="A78" t="s">
        <v>601</v>
      </c>
      <c r="B78">
        <v>46378471956.631134</v>
      </c>
      <c r="C78">
        <v>15925944220.074242</v>
      </c>
      <c r="D78">
        <v>14940626739.673445</v>
      </c>
      <c r="E78">
        <v>11591380050.96863</v>
      </c>
      <c r="F78">
        <v>61319098696.304581</v>
      </c>
      <c r="G78">
        <v>27517324271.042873</v>
      </c>
      <c r="I78" t="s">
        <v>590</v>
      </c>
      <c r="J78" s="236">
        <v>48737948.027624555</v>
      </c>
      <c r="K78" s="236">
        <v>16731658.091126375</v>
      </c>
      <c r="L78" s="236">
        <v>16210542.125044081</v>
      </c>
      <c r="M78" s="236">
        <v>12595583.261466857</v>
      </c>
      <c r="N78" s="236">
        <v>64948490.15266864</v>
      </c>
      <c r="O78" s="236">
        <v>29327241.352593232</v>
      </c>
    </row>
    <row r="79" spans="1:15" x14ac:dyDescent="0.25">
      <c r="A79" t="s">
        <v>574</v>
      </c>
      <c r="B79">
        <v>4061495668.9687133</v>
      </c>
      <c r="C79">
        <v>1394304840.9271979</v>
      </c>
      <c r="D79">
        <v>18608107348.715408</v>
      </c>
      <c r="E79">
        <v>14541108885.050779</v>
      </c>
      <c r="F79">
        <v>22669603017.684124</v>
      </c>
      <c r="G79">
        <v>15935413725.977976</v>
      </c>
      <c r="I79" t="s">
        <v>591</v>
      </c>
      <c r="J79" s="236">
        <v>0</v>
      </c>
      <c r="K79" s="236">
        <v>0</v>
      </c>
      <c r="L79" s="236">
        <v>17091973.483192742</v>
      </c>
      <c r="M79" s="236">
        <v>13299723.403619193</v>
      </c>
      <c r="N79" s="236">
        <v>17091973.483192742</v>
      </c>
      <c r="O79" s="236">
        <v>13299723.403619193</v>
      </c>
    </row>
    <row r="80" spans="1:15" x14ac:dyDescent="0.25">
      <c r="A80" t="s">
        <v>590</v>
      </c>
      <c r="B80">
        <v>48737948027.624557</v>
      </c>
      <c r="C80">
        <v>16731658091.126375</v>
      </c>
      <c r="D80">
        <v>16210542125.044081</v>
      </c>
      <c r="E80">
        <v>12595583261.466858</v>
      </c>
      <c r="F80">
        <v>64948490152.66864</v>
      </c>
      <c r="G80">
        <v>29327241352.593231</v>
      </c>
      <c r="I80" t="s">
        <v>592</v>
      </c>
      <c r="J80" s="236">
        <v>0</v>
      </c>
      <c r="K80" s="236">
        <v>0</v>
      </c>
      <c r="L80" s="236">
        <v>17424606.452911679</v>
      </c>
      <c r="M80" s="236">
        <v>13573744.962130131</v>
      </c>
      <c r="N80" s="236">
        <v>17424606.452911679</v>
      </c>
      <c r="O80" s="236">
        <v>13573744.962130131</v>
      </c>
    </row>
    <row r="81" spans="1:15" x14ac:dyDescent="0.25">
      <c r="A81" t="s">
        <v>591</v>
      </c>
      <c r="B81">
        <v>0</v>
      </c>
      <c r="C81">
        <v>0</v>
      </c>
      <c r="D81">
        <v>17091973483.192741</v>
      </c>
      <c r="E81">
        <v>13299723403.619192</v>
      </c>
      <c r="F81">
        <v>17091973483.192741</v>
      </c>
      <c r="G81">
        <v>13299723403.619192</v>
      </c>
      <c r="I81" t="s">
        <v>593</v>
      </c>
      <c r="J81" s="236">
        <v>0</v>
      </c>
      <c r="K81" s="236">
        <v>0</v>
      </c>
      <c r="L81" s="236">
        <v>17641980.698009972</v>
      </c>
      <c r="M81" s="236">
        <v>13769718.696305219</v>
      </c>
      <c r="N81" s="236">
        <v>17641980.698009972</v>
      </c>
      <c r="O81" s="236">
        <v>13769718.696305219</v>
      </c>
    </row>
    <row r="82" spans="1:15" x14ac:dyDescent="0.25">
      <c r="A82" t="s">
        <v>592</v>
      </c>
      <c r="B82">
        <v>0</v>
      </c>
      <c r="C82">
        <v>0</v>
      </c>
      <c r="D82">
        <v>17424606452.911678</v>
      </c>
      <c r="E82">
        <v>13573744962.130131</v>
      </c>
      <c r="F82">
        <v>17424606452.911678</v>
      </c>
      <c r="G82">
        <v>13573744962.130131</v>
      </c>
      <c r="I82" t="s">
        <v>594</v>
      </c>
      <c r="J82" s="236">
        <v>0</v>
      </c>
      <c r="K82" s="236">
        <v>0</v>
      </c>
      <c r="L82" s="236">
        <v>17891632.863695014</v>
      </c>
      <c r="M82" s="236">
        <v>13984257.091629865</v>
      </c>
      <c r="N82" s="236">
        <v>17891632.863695014</v>
      </c>
      <c r="O82" s="236">
        <v>13984257.091629865</v>
      </c>
    </row>
    <row r="83" spans="1:15" x14ac:dyDescent="0.25">
      <c r="A83" t="s">
        <v>593</v>
      </c>
      <c r="B83">
        <v>0</v>
      </c>
      <c r="C83">
        <v>0</v>
      </c>
      <c r="D83">
        <v>17641980698.009972</v>
      </c>
      <c r="E83">
        <v>13769718696.30522</v>
      </c>
      <c r="F83">
        <v>17641980698.009972</v>
      </c>
      <c r="G83">
        <v>13769718696.30522</v>
      </c>
      <c r="I83" t="s">
        <v>595</v>
      </c>
      <c r="J83" s="236">
        <v>0</v>
      </c>
      <c r="K83" s="236">
        <v>0</v>
      </c>
      <c r="L83" s="236">
        <v>18154510.583825242</v>
      </c>
      <c r="M83" s="236">
        <v>14178908.328029295</v>
      </c>
      <c r="N83" s="236">
        <v>18154510.583825242</v>
      </c>
      <c r="O83" s="236">
        <v>14178908.328029295</v>
      </c>
    </row>
    <row r="84" spans="1:15" x14ac:dyDescent="0.25">
      <c r="A84" t="s">
        <v>594</v>
      </c>
      <c r="B84">
        <v>0</v>
      </c>
      <c r="C84">
        <v>0</v>
      </c>
      <c r="D84">
        <v>17891632863.695015</v>
      </c>
      <c r="E84">
        <v>13984257091.629864</v>
      </c>
      <c r="F84">
        <v>17891632863.695015</v>
      </c>
      <c r="G84">
        <v>13984257091.629864</v>
      </c>
      <c r="I84" t="s">
        <v>596</v>
      </c>
      <c r="J84" s="236">
        <v>0</v>
      </c>
      <c r="K84" s="236">
        <v>0</v>
      </c>
      <c r="L84" s="236">
        <v>19337226.013322685</v>
      </c>
      <c r="M84" s="236">
        <v>15116052.668109372</v>
      </c>
      <c r="N84" s="236">
        <v>19337226.013322685</v>
      </c>
      <c r="O84" s="236">
        <v>15116052.668109372</v>
      </c>
    </row>
    <row r="85" spans="1:15" x14ac:dyDescent="0.25">
      <c r="A85" t="s">
        <v>595</v>
      </c>
      <c r="B85">
        <v>0</v>
      </c>
      <c r="C85">
        <v>0</v>
      </c>
      <c r="D85">
        <v>18154510583.825241</v>
      </c>
      <c r="E85">
        <v>14178908328.029295</v>
      </c>
      <c r="F85">
        <v>18154510583.825241</v>
      </c>
      <c r="G85">
        <v>14178908328.029295</v>
      </c>
      <c r="I85" t="s">
        <v>597</v>
      </c>
      <c r="J85" s="236">
        <v>0</v>
      </c>
      <c r="K85" s="236">
        <v>0</v>
      </c>
      <c r="L85" s="236">
        <v>19615995.290222254</v>
      </c>
      <c r="M85" s="236">
        <v>15334641.090347297</v>
      </c>
      <c r="N85" s="236">
        <v>19615995.290222254</v>
      </c>
      <c r="O85" s="236">
        <v>15334641.090347297</v>
      </c>
    </row>
    <row r="86" spans="1:15" x14ac:dyDescent="0.25">
      <c r="A86" t="s">
        <v>596</v>
      </c>
      <c r="B86">
        <v>0</v>
      </c>
      <c r="C86">
        <v>0</v>
      </c>
      <c r="D86">
        <v>19337226013.322685</v>
      </c>
      <c r="E86">
        <v>15116052668.109373</v>
      </c>
      <c r="F86">
        <v>19337226013.322685</v>
      </c>
      <c r="G86">
        <v>15116052668.109373</v>
      </c>
      <c r="I86" t="s">
        <v>598</v>
      </c>
      <c r="J86" s="236">
        <v>0</v>
      </c>
      <c r="K86" s="236">
        <v>0</v>
      </c>
      <c r="L86" s="236">
        <v>19795507.702981386</v>
      </c>
      <c r="M86" s="236">
        <v>15491241.215056954</v>
      </c>
      <c r="N86" s="236">
        <v>19795507.702981386</v>
      </c>
      <c r="O86" s="236">
        <v>15491241.215056954</v>
      </c>
    </row>
    <row r="87" spans="1:15" x14ac:dyDescent="0.25">
      <c r="A87" t="s">
        <v>597</v>
      </c>
      <c r="B87">
        <v>0</v>
      </c>
      <c r="C87">
        <v>0</v>
      </c>
      <c r="D87">
        <v>19615995290.222252</v>
      </c>
      <c r="E87">
        <v>15334641090.347298</v>
      </c>
      <c r="F87">
        <v>19615995290.222252</v>
      </c>
      <c r="G87">
        <v>15334641090.347298</v>
      </c>
      <c r="I87" t="s">
        <v>599</v>
      </c>
      <c r="J87" s="236">
        <v>0</v>
      </c>
      <c r="K87" s="236">
        <v>0</v>
      </c>
      <c r="L87" s="236">
        <v>19903687.043913327</v>
      </c>
      <c r="M87" s="236">
        <v>15583475.340434209</v>
      </c>
      <c r="N87" s="236">
        <v>19903687.043913327</v>
      </c>
      <c r="O87" s="236">
        <v>15583475.340434209</v>
      </c>
    </row>
    <row r="88" spans="1:15" x14ac:dyDescent="0.25">
      <c r="A88" t="s">
        <v>598</v>
      </c>
      <c r="B88">
        <v>0</v>
      </c>
      <c r="C88">
        <v>0</v>
      </c>
      <c r="D88">
        <v>19795507702.981388</v>
      </c>
      <c r="E88">
        <v>15491241215.056953</v>
      </c>
      <c r="F88">
        <v>19795507702.981388</v>
      </c>
      <c r="G88">
        <v>15491241215.056953</v>
      </c>
      <c r="I88" t="s">
        <v>600</v>
      </c>
      <c r="J88" s="236">
        <v>0</v>
      </c>
      <c r="K88" s="236">
        <v>0</v>
      </c>
      <c r="L88" s="236">
        <v>20075788.768466525</v>
      </c>
      <c r="M88" s="236">
        <v>15749774.388480952</v>
      </c>
      <c r="N88" s="236">
        <v>20075788.768466525</v>
      </c>
      <c r="O88" s="236">
        <v>15749774.388480952</v>
      </c>
    </row>
    <row r="89" spans="1:15" x14ac:dyDescent="0.25">
      <c r="A89" t="s">
        <v>599</v>
      </c>
      <c r="B89">
        <v>0</v>
      </c>
      <c r="C89">
        <v>0</v>
      </c>
      <c r="D89">
        <v>19903687043.913326</v>
      </c>
      <c r="E89">
        <v>15583475340.434208</v>
      </c>
      <c r="F89">
        <v>19903687043.913326</v>
      </c>
      <c r="G89">
        <v>15583475340.434208</v>
      </c>
      <c r="I89" t="s">
        <v>601</v>
      </c>
      <c r="J89" s="236">
        <v>0</v>
      </c>
      <c r="K89" s="236">
        <v>0</v>
      </c>
      <c r="L89" s="236">
        <v>20153837.159000002</v>
      </c>
      <c r="M89" s="236">
        <v>15816186.175000001</v>
      </c>
      <c r="N89" s="236">
        <v>20153837.159000002</v>
      </c>
      <c r="O89" s="236">
        <v>15816186.175000001</v>
      </c>
    </row>
    <row r="90" spans="1:15" x14ac:dyDescent="0.25">
      <c r="A90" t="s">
        <v>600</v>
      </c>
      <c r="B90">
        <v>0</v>
      </c>
      <c r="C90">
        <v>0</v>
      </c>
      <c r="D90">
        <v>20075788768.466526</v>
      </c>
      <c r="E90">
        <v>15749774388.480951</v>
      </c>
      <c r="F90">
        <v>20075788768.466526</v>
      </c>
      <c r="G90">
        <v>15749774388.480951</v>
      </c>
    </row>
    <row r="91" spans="1:15" x14ac:dyDescent="0.25">
      <c r="A91" t="s">
        <v>601</v>
      </c>
      <c r="B91">
        <v>0</v>
      </c>
      <c r="C91">
        <v>0</v>
      </c>
      <c r="D91">
        <v>20153837159</v>
      </c>
      <c r="E91">
        <v>15816186175</v>
      </c>
      <c r="F91">
        <v>20153837159</v>
      </c>
      <c r="G91">
        <v>15816186175</v>
      </c>
    </row>
    <row r="92" spans="1:15" x14ac:dyDescent="0.25">
      <c r="A92" t="s">
        <v>559</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H231"/>
  <sheetViews>
    <sheetView showGridLines="0" workbookViewId="0">
      <selection activeCell="B28" sqref="B28:L28"/>
    </sheetView>
  </sheetViews>
  <sheetFormatPr baseColWidth="10" defaultRowHeight="15" outlineLevelRow="1" x14ac:dyDescent="0.25"/>
  <cols>
    <col min="2" max="2" width="19.7109375" customWidth="1"/>
    <col min="3" max="3" width="23.28515625" customWidth="1"/>
    <col min="4" max="4" width="14.5703125" customWidth="1"/>
    <col min="5" max="5" width="16.285156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5" max="25" width="14" customWidth="1"/>
  </cols>
  <sheetData>
    <row r="2" spans="2:12" ht="23.25" x14ac:dyDescent="0.25">
      <c r="B2" s="1" t="s">
        <v>0</v>
      </c>
    </row>
    <row r="4" spans="2:12" ht="18.75" x14ac:dyDescent="0.3">
      <c r="B4" s="2" t="s">
        <v>932</v>
      </c>
      <c r="C4" s="2"/>
      <c r="D4" s="2"/>
      <c r="E4" s="2"/>
      <c r="F4" s="2"/>
    </row>
    <row r="5" spans="2:12" x14ac:dyDescent="0.25">
      <c r="B5" s="3" t="s">
        <v>867</v>
      </c>
    </row>
    <row r="7" spans="2:12" x14ac:dyDescent="0.25">
      <c r="D7" s="447" t="s">
        <v>83</v>
      </c>
      <c r="E7" s="448"/>
      <c r="F7" s="449"/>
      <c r="G7" s="445" t="s">
        <v>84</v>
      </c>
      <c r="H7" s="445"/>
      <c r="I7" s="445"/>
      <c r="J7" s="445" t="s">
        <v>35</v>
      </c>
      <c r="K7" s="445"/>
      <c r="L7" s="445"/>
    </row>
    <row r="8" spans="2:12" ht="30" x14ac:dyDescent="0.25">
      <c r="B8" s="152" t="s">
        <v>483</v>
      </c>
      <c r="C8" s="152" t="s">
        <v>488</v>
      </c>
      <c r="D8" s="152" t="s">
        <v>2</v>
      </c>
      <c r="E8" s="175" t="s">
        <v>605</v>
      </c>
      <c r="F8" s="175" t="s">
        <v>606</v>
      </c>
      <c r="G8" s="152" t="s">
        <v>2</v>
      </c>
      <c r="H8" s="175" t="s">
        <v>605</v>
      </c>
      <c r="I8" s="175" t="s">
        <v>606</v>
      </c>
      <c r="J8" s="152" t="s">
        <v>2</v>
      </c>
      <c r="K8" s="175" t="s">
        <v>605</v>
      </c>
      <c r="L8" s="175" t="s">
        <v>606</v>
      </c>
    </row>
    <row r="9" spans="2:12" x14ac:dyDescent="0.25">
      <c r="B9" s="443" t="s">
        <v>868</v>
      </c>
      <c r="C9" s="166" t="s">
        <v>707</v>
      </c>
      <c r="D9" s="282">
        <v>331003</v>
      </c>
      <c r="E9" s="282">
        <v>63933034.277999997</v>
      </c>
      <c r="F9" s="303">
        <v>64586412.276094392</v>
      </c>
      <c r="G9" s="303">
        <v>126303</v>
      </c>
      <c r="H9" s="303">
        <v>24450261.088</v>
      </c>
      <c r="I9" s="303">
        <v>24700136.020778839</v>
      </c>
      <c r="J9" s="303">
        <v>457306</v>
      </c>
      <c r="K9" s="303">
        <v>88383295.365999997</v>
      </c>
      <c r="L9" s="303">
        <v>89286548.296873227</v>
      </c>
    </row>
    <row r="10" spans="2:12" x14ac:dyDescent="0.25">
      <c r="B10" s="444"/>
      <c r="C10" s="166" t="s">
        <v>497</v>
      </c>
      <c r="D10" s="282">
        <v>729835</v>
      </c>
      <c r="E10" s="282">
        <v>139863579.13</v>
      </c>
      <c r="F10" s="303">
        <v>141292946.3791894</v>
      </c>
      <c r="G10" s="303">
        <v>605454</v>
      </c>
      <c r="H10" s="303">
        <v>115112771.93099999</v>
      </c>
      <c r="I10" s="303">
        <v>116289192.74895035</v>
      </c>
      <c r="J10" s="303">
        <v>1335289</v>
      </c>
      <c r="K10" s="303">
        <v>254976351.06099999</v>
      </c>
      <c r="L10" s="303">
        <v>257582139.12813973</v>
      </c>
    </row>
    <row r="11" spans="2:12" x14ac:dyDescent="0.25">
      <c r="B11" s="444"/>
      <c r="C11" s="346" t="s">
        <v>4</v>
      </c>
      <c r="D11" s="282">
        <v>104230</v>
      </c>
      <c r="E11" s="282">
        <v>20201881.583999999</v>
      </c>
      <c r="F11" s="303">
        <v>20408339.248588521</v>
      </c>
      <c r="G11" s="303">
        <v>81876</v>
      </c>
      <c r="H11" s="303">
        <v>15868522.635</v>
      </c>
      <c r="I11" s="303">
        <v>16030694.56488038</v>
      </c>
      <c r="J11" s="303">
        <v>186106</v>
      </c>
      <c r="K11" s="303">
        <v>36070404.218999997</v>
      </c>
      <c r="L11" s="303">
        <v>36439033.813468903</v>
      </c>
    </row>
    <row r="12" spans="2:12" x14ac:dyDescent="0.25">
      <c r="B12" s="444"/>
      <c r="C12" s="166" t="s">
        <v>5</v>
      </c>
      <c r="D12" s="282">
        <v>108797</v>
      </c>
      <c r="E12" s="282">
        <v>23112169.975000001</v>
      </c>
      <c r="F12" s="303">
        <v>23348369.985220369</v>
      </c>
      <c r="G12" s="303">
        <v>62891</v>
      </c>
      <c r="H12" s="303">
        <v>13450861.778000001</v>
      </c>
      <c r="I12" s="303">
        <v>13588325.879937332</v>
      </c>
      <c r="J12" s="303">
        <v>171688</v>
      </c>
      <c r="K12" s="303">
        <v>36563031.752999999</v>
      </c>
      <c r="L12" s="303">
        <v>36936695.865157701</v>
      </c>
    </row>
    <row r="13" spans="2:12" x14ac:dyDescent="0.25">
      <c r="B13" s="444"/>
      <c r="C13" s="166" t="s">
        <v>6</v>
      </c>
      <c r="D13" s="282">
        <v>46104</v>
      </c>
      <c r="E13" s="282">
        <v>7667276.8150000004</v>
      </c>
      <c r="F13" s="303">
        <v>7745634.2718733409</v>
      </c>
      <c r="G13" s="303">
        <v>47256</v>
      </c>
      <c r="H13" s="303">
        <v>7473814.6869999999</v>
      </c>
      <c r="I13" s="303">
        <v>7550195.01421999</v>
      </c>
      <c r="J13" s="303">
        <v>93360</v>
      </c>
      <c r="K13" s="303">
        <v>15141091.502</v>
      </c>
      <c r="L13" s="303">
        <v>15295829.28609333</v>
      </c>
    </row>
    <row r="14" spans="2:12" x14ac:dyDescent="0.25">
      <c r="B14" s="444"/>
      <c r="C14" s="389" t="s">
        <v>487</v>
      </c>
      <c r="D14" s="367">
        <v>1319969</v>
      </c>
      <c r="E14" s="367">
        <v>254777941.78199998</v>
      </c>
      <c r="F14" s="367">
        <v>257381702.16096607</v>
      </c>
      <c r="G14" s="367">
        <v>923780</v>
      </c>
      <c r="H14" s="367">
        <v>176356232.11899999</v>
      </c>
      <c r="I14" s="367">
        <v>178158544.22876689</v>
      </c>
      <c r="J14" s="367">
        <v>2243749</v>
      </c>
      <c r="K14" s="367">
        <v>431134173.90099996</v>
      </c>
      <c r="L14" s="367">
        <v>435540246.38973296</v>
      </c>
    </row>
    <row r="15" spans="2:12" x14ac:dyDescent="0.25">
      <c r="B15" s="443" t="s">
        <v>869</v>
      </c>
      <c r="C15" s="166" t="s">
        <v>707</v>
      </c>
      <c r="D15" s="282">
        <v>331827</v>
      </c>
      <c r="E15" s="282">
        <v>68143593.652999997</v>
      </c>
      <c r="F15" s="303">
        <v>68884240.706839949</v>
      </c>
      <c r="G15" s="303">
        <v>127315</v>
      </c>
      <c r="H15" s="303">
        <v>26162330.182999998</v>
      </c>
      <c r="I15" s="303">
        <v>26446686.374578312</v>
      </c>
      <c r="J15" s="303">
        <v>459142</v>
      </c>
      <c r="K15" s="303">
        <v>94305923.835999995</v>
      </c>
      <c r="L15" s="303">
        <v>95330927.081418261</v>
      </c>
    </row>
    <row r="16" spans="2:12" x14ac:dyDescent="0.25">
      <c r="B16" s="444"/>
      <c r="C16" s="166" t="s">
        <v>497</v>
      </c>
      <c r="D16" s="282">
        <v>737271</v>
      </c>
      <c r="E16" s="282">
        <v>150459571.79699999</v>
      </c>
      <c r="F16" s="303">
        <v>152094904.3733964</v>
      </c>
      <c r="G16" s="303">
        <v>613433</v>
      </c>
      <c r="H16" s="303">
        <v>124249454.222</v>
      </c>
      <c r="I16" s="303">
        <v>125599911.20962755</v>
      </c>
      <c r="J16" s="303">
        <v>1350704</v>
      </c>
      <c r="K16" s="303">
        <v>274709026.01899999</v>
      </c>
      <c r="L16" s="303">
        <v>277694815.58302391</v>
      </c>
    </row>
    <row r="17" spans="2:13" x14ac:dyDescent="0.25">
      <c r="B17" s="444"/>
      <c r="C17" s="346" t="s">
        <v>4</v>
      </c>
      <c r="D17" s="282">
        <v>104475</v>
      </c>
      <c r="E17" s="282">
        <v>21529706.804000001</v>
      </c>
      <c r="F17" s="303">
        <v>21763711.397236161</v>
      </c>
      <c r="G17" s="303">
        <v>82037</v>
      </c>
      <c r="H17" s="303">
        <v>16905382.120999999</v>
      </c>
      <c r="I17" s="303">
        <v>17089125.313730869</v>
      </c>
      <c r="J17" s="303">
        <v>186512</v>
      </c>
      <c r="K17" s="303">
        <v>38435088.924999997</v>
      </c>
      <c r="L17" s="303">
        <v>38852836.710967034</v>
      </c>
    </row>
    <row r="18" spans="2:13" x14ac:dyDescent="0.25">
      <c r="B18" s="444"/>
      <c r="C18" s="166" t="s">
        <v>5</v>
      </c>
      <c r="D18" s="282">
        <v>108645</v>
      </c>
      <c r="E18" s="282">
        <v>23098112.738000002</v>
      </c>
      <c r="F18" s="303">
        <v>23349164.204932865</v>
      </c>
      <c r="G18" s="303">
        <v>62678</v>
      </c>
      <c r="H18" s="303">
        <v>13420693.58</v>
      </c>
      <c r="I18" s="303">
        <v>13566561.982701685</v>
      </c>
      <c r="J18" s="303">
        <v>171323</v>
      </c>
      <c r="K18" s="303">
        <v>36518806.318000004</v>
      </c>
      <c r="L18" s="303">
        <v>36915726.18763455</v>
      </c>
    </row>
    <row r="19" spans="2:13" x14ac:dyDescent="0.25">
      <c r="B19" s="444"/>
      <c r="C19" s="166" t="s">
        <v>6</v>
      </c>
      <c r="D19" s="282">
        <v>46210</v>
      </c>
      <c r="E19" s="282">
        <v>8237673.3859999999</v>
      </c>
      <c r="F19" s="303">
        <v>8327207.9731382299</v>
      </c>
      <c r="G19" s="303">
        <v>47542</v>
      </c>
      <c r="H19" s="303">
        <v>8076320.6639999999</v>
      </c>
      <c r="I19" s="303">
        <v>8164101.5218179524</v>
      </c>
      <c r="J19" s="303">
        <v>93752</v>
      </c>
      <c r="K19" s="303">
        <v>16313994.050000001</v>
      </c>
      <c r="L19" s="303">
        <v>16491309.494956182</v>
      </c>
    </row>
    <row r="20" spans="2:13" x14ac:dyDescent="0.25">
      <c r="B20" s="444"/>
      <c r="C20" s="389" t="s">
        <v>487</v>
      </c>
      <c r="D20" s="367">
        <v>1328428</v>
      </c>
      <c r="E20" s="367">
        <v>271468658.37799996</v>
      </c>
      <c r="F20" s="367">
        <v>274419228.65554363</v>
      </c>
      <c r="G20" s="367">
        <v>933005</v>
      </c>
      <c r="H20" s="367">
        <v>188814180.77000001</v>
      </c>
      <c r="I20" s="367">
        <v>190866386.40245637</v>
      </c>
      <c r="J20" s="367">
        <v>2261433</v>
      </c>
      <c r="K20" s="367">
        <v>460282839.14800006</v>
      </c>
      <c r="L20" s="367">
        <v>465285615.05799997</v>
      </c>
    </row>
    <row r="21" spans="2:13" x14ac:dyDescent="0.25">
      <c r="B21" s="443" t="s">
        <v>870</v>
      </c>
      <c r="C21" s="166" t="s">
        <v>707</v>
      </c>
      <c r="D21" s="282">
        <v>332837</v>
      </c>
      <c r="E21" s="282">
        <v>68328242.839000002</v>
      </c>
      <c r="F21" s="303">
        <v>68328242.839000002</v>
      </c>
      <c r="G21" s="303">
        <v>128270</v>
      </c>
      <c r="H21" s="303">
        <v>26367972.688999999</v>
      </c>
      <c r="I21" s="303">
        <v>26367972.688999999</v>
      </c>
      <c r="J21" s="303">
        <v>461107</v>
      </c>
      <c r="K21" s="303">
        <v>94696215.527999997</v>
      </c>
      <c r="L21" s="303">
        <v>94696215.527999997</v>
      </c>
    </row>
    <row r="22" spans="2:13" x14ac:dyDescent="0.25">
      <c r="B22" s="444"/>
      <c r="C22" s="166" t="s">
        <v>497</v>
      </c>
      <c r="D22" s="282">
        <v>745051</v>
      </c>
      <c r="E22" s="303">
        <v>151999309.83899999</v>
      </c>
      <c r="F22" s="303">
        <v>151999309.83899999</v>
      </c>
      <c r="G22" s="303">
        <v>620582</v>
      </c>
      <c r="H22" s="303">
        <v>125653634.987</v>
      </c>
      <c r="I22" s="303">
        <v>125653634.987</v>
      </c>
      <c r="J22" s="303">
        <v>1365633</v>
      </c>
      <c r="K22" s="303">
        <v>277652944.82599998</v>
      </c>
      <c r="L22" s="303">
        <v>277652944.82599998</v>
      </c>
    </row>
    <row r="23" spans="2:13" x14ac:dyDescent="0.25">
      <c r="B23" s="444"/>
      <c r="C23" s="346" t="s">
        <v>4</v>
      </c>
      <c r="D23" s="282">
        <v>104804</v>
      </c>
      <c r="E23" s="303">
        <v>21596971.883000001</v>
      </c>
      <c r="F23" s="303">
        <v>21596971.883000001</v>
      </c>
      <c r="G23" s="303">
        <v>82313</v>
      </c>
      <c r="H23" s="303">
        <v>16962285.868999999</v>
      </c>
      <c r="I23" s="303">
        <v>16962285.868999999</v>
      </c>
      <c r="J23" s="303">
        <v>187117</v>
      </c>
      <c r="K23" s="303">
        <v>38559257.751999997</v>
      </c>
      <c r="L23" s="303">
        <v>38559257.751999997</v>
      </c>
    </row>
    <row r="24" spans="2:13" x14ac:dyDescent="0.25">
      <c r="B24" s="444"/>
      <c r="C24" s="166" t="s">
        <v>5</v>
      </c>
      <c r="D24" s="282">
        <v>108598</v>
      </c>
      <c r="E24" s="282">
        <v>23099681.600000001</v>
      </c>
      <c r="F24" s="303">
        <v>23099681.600000001</v>
      </c>
      <c r="G24" s="303">
        <v>62593</v>
      </c>
      <c r="H24" s="303">
        <v>13421795.244000001</v>
      </c>
      <c r="I24" s="303">
        <v>13421795.244000001</v>
      </c>
      <c r="J24" s="303">
        <v>171191</v>
      </c>
      <c r="K24" s="303">
        <v>36521476.843999997</v>
      </c>
      <c r="L24" s="303">
        <v>36521476.843999997</v>
      </c>
    </row>
    <row r="25" spans="2:13" x14ac:dyDescent="0.25">
      <c r="B25" s="444"/>
      <c r="C25" s="166" t="s">
        <v>6</v>
      </c>
      <c r="D25" s="282">
        <v>46381</v>
      </c>
      <c r="E25" s="282">
        <v>8260461.9170000004</v>
      </c>
      <c r="F25" s="303">
        <v>8260461.9170000004</v>
      </c>
      <c r="G25" s="303">
        <v>47964</v>
      </c>
      <c r="H25" s="303">
        <v>8133303.9519999996</v>
      </c>
      <c r="I25" s="303">
        <v>8133303.9519999996</v>
      </c>
      <c r="J25" s="303">
        <v>94345</v>
      </c>
      <c r="K25" s="303">
        <v>16393765.869000001</v>
      </c>
      <c r="L25" s="303">
        <v>16393765.869000001</v>
      </c>
    </row>
    <row r="26" spans="2:13" x14ac:dyDescent="0.25">
      <c r="B26" s="444"/>
      <c r="C26" s="389" t="s">
        <v>487</v>
      </c>
      <c r="D26" s="367">
        <v>1337671</v>
      </c>
      <c r="E26" s="367">
        <v>273284668.07800001</v>
      </c>
      <c r="F26" s="367">
        <v>273284668.07800001</v>
      </c>
      <c r="G26" s="367">
        <v>941722</v>
      </c>
      <c r="H26" s="367">
        <v>190538992.74099997</v>
      </c>
      <c r="I26" s="367">
        <v>190538992.74099997</v>
      </c>
      <c r="J26" s="367">
        <v>2279393</v>
      </c>
      <c r="K26" s="367">
        <v>463823660.81899995</v>
      </c>
      <c r="L26" s="367">
        <v>463823660.81899995</v>
      </c>
    </row>
    <row r="27" spans="2:13" x14ac:dyDescent="0.25">
      <c r="B27" s="4" t="s">
        <v>924</v>
      </c>
    </row>
    <row r="28" spans="2:13" ht="66.75" customHeight="1" x14ac:dyDescent="0.25">
      <c r="B28" s="446" t="s">
        <v>925</v>
      </c>
      <c r="C28" s="446"/>
      <c r="D28" s="446"/>
      <c r="E28" s="446"/>
      <c r="F28" s="446"/>
      <c r="G28" s="446"/>
      <c r="H28" s="446"/>
      <c r="I28" s="446"/>
      <c r="J28" s="446"/>
      <c r="K28" s="446"/>
      <c r="L28" s="446"/>
      <c r="M28" s="265"/>
    </row>
    <row r="29" spans="2:13" ht="15" customHeight="1" x14ac:dyDescent="0.25">
      <c r="B29" s="287" t="s">
        <v>926</v>
      </c>
      <c r="C29" s="265"/>
      <c r="D29" s="265"/>
      <c r="E29" s="265"/>
      <c r="F29" s="265"/>
      <c r="G29" s="265"/>
      <c r="H29" s="265"/>
      <c r="I29" s="265"/>
      <c r="J29" s="265"/>
      <c r="K29" s="265"/>
      <c r="L29" s="265"/>
      <c r="M29" s="265"/>
    </row>
    <row r="30" spans="2:13" x14ac:dyDescent="0.25">
      <c r="B30" s="286"/>
    </row>
    <row r="31" spans="2:13" ht="18.75" x14ac:dyDescent="0.3">
      <c r="B31" s="2" t="s">
        <v>961</v>
      </c>
      <c r="C31" s="2"/>
      <c r="D31" s="2"/>
      <c r="E31" s="2"/>
      <c r="F31" s="2"/>
      <c r="G31" s="264"/>
    </row>
    <row r="32" spans="2:13" x14ac:dyDescent="0.25">
      <c r="B32" s="3" t="s">
        <v>871</v>
      </c>
    </row>
    <row r="34" spans="2:34" x14ac:dyDescent="0.25">
      <c r="C34" s="445" t="s">
        <v>707</v>
      </c>
      <c r="D34" s="445"/>
      <c r="E34" s="445"/>
      <c r="F34" s="445"/>
      <c r="G34" s="445" t="s">
        <v>497</v>
      </c>
      <c r="H34" s="445"/>
      <c r="I34" s="445"/>
      <c r="J34" s="445"/>
      <c r="K34" s="445" t="s">
        <v>3</v>
      </c>
      <c r="L34" s="445"/>
      <c r="M34" s="445"/>
      <c r="N34" s="445"/>
      <c r="O34" s="445" t="s">
        <v>4</v>
      </c>
      <c r="P34" s="445"/>
      <c r="Q34" s="445"/>
      <c r="R34" s="445"/>
      <c r="S34" s="445" t="s">
        <v>5</v>
      </c>
      <c r="T34" s="445"/>
      <c r="U34" s="445"/>
      <c r="V34" s="445"/>
      <c r="W34" s="445" t="s">
        <v>6</v>
      </c>
      <c r="X34" s="445"/>
      <c r="Y34" s="445"/>
      <c r="Z34" s="445"/>
      <c r="AA34" s="445" t="s">
        <v>748</v>
      </c>
      <c r="AB34" s="445"/>
      <c r="AC34" s="445"/>
      <c r="AD34" s="445"/>
      <c r="AE34" s="445" t="s">
        <v>487</v>
      </c>
      <c r="AF34" s="445"/>
      <c r="AG34" s="445"/>
      <c r="AH34" s="445"/>
    </row>
    <row r="35" spans="2:34" x14ac:dyDescent="0.25">
      <c r="C35" s="445" t="s">
        <v>607</v>
      </c>
      <c r="D35" s="445"/>
      <c r="E35" s="445" t="s">
        <v>796</v>
      </c>
      <c r="F35" s="445"/>
      <c r="G35" s="445" t="s">
        <v>607</v>
      </c>
      <c r="H35" s="445"/>
      <c r="I35" s="445" t="s">
        <v>796</v>
      </c>
      <c r="J35" s="445"/>
      <c r="K35" s="445" t="s">
        <v>607</v>
      </c>
      <c r="L35" s="445"/>
      <c r="M35" s="445" t="s">
        <v>796</v>
      </c>
      <c r="N35" s="445"/>
      <c r="O35" s="445" t="s">
        <v>607</v>
      </c>
      <c r="P35" s="445"/>
      <c r="Q35" s="445" t="s">
        <v>796</v>
      </c>
      <c r="R35" s="445"/>
      <c r="S35" s="445" t="s">
        <v>607</v>
      </c>
      <c r="T35" s="445"/>
      <c r="U35" s="445" t="s">
        <v>796</v>
      </c>
      <c r="V35" s="445"/>
      <c r="W35" s="445" t="s">
        <v>607</v>
      </c>
      <c r="X35" s="445"/>
      <c r="Y35" s="445" t="s">
        <v>796</v>
      </c>
      <c r="Z35" s="445"/>
      <c r="AA35" s="445" t="s">
        <v>607</v>
      </c>
      <c r="AB35" s="445"/>
      <c r="AC35" s="445" t="s">
        <v>796</v>
      </c>
      <c r="AD35" s="445"/>
      <c r="AE35" s="445" t="s">
        <v>607</v>
      </c>
      <c r="AF35" s="445"/>
      <c r="AG35" s="445" t="s">
        <v>796</v>
      </c>
      <c r="AH35" s="445"/>
    </row>
    <row r="36" spans="2:34" x14ac:dyDescent="0.25">
      <c r="B36" s="152" t="s">
        <v>483</v>
      </c>
      <c r="C36" s="230" t="s">
        <v>747</v>
      </c>
      <c r="D36" s="175" t="s">
        <v>9</v>
      </c>
      <c r="E36" s="230" t="s">
        <v>747</v>
      </c>
      <c r="F36" s="175" t="s">
        <v>9</v>
      </c>
      <c r="G36" s="230" t="s">
        <v>747</v>
      </c>
      <c r="H36" s="175" t="s">
        <v>9</v>
      </c>
      <c r="I36" s="230" t="s">
        <v>747</v>
      </c>
      <c r="J36" s="175" t="s">
        <v>9</v>
      </c>
      <c r="K36" s="230" t="s">
        <v>747</v>
      </c>
      <c r="L36" s="175" t="s">
        <v>9</v>
      </c>
      <c r="M36" s="230" t="s">
        <v>747</v>
      </c>
      <c r="N36" s="175" t="s">
        <v>9</v>
      </c>
      <c r="O36" s="230" t="s">
        <v>747</v>
      </c>
      <c r="P36" s="175" t="s">
        <v>9</v>
      </c>
      <c r="Q36" s="230" t="s">
        <v>747</v>
      </c>
      <c r="R36" s="175" t="s">
        <v>9</v>
      </c>
      <c r="S36" s="230" t="s">
        <v>747</v>
      </c>
      <c r="T36" s="175" t="s">
        <v>9</v>
      </c>
      <c r="U36" s="230" t="s">
        <v>747</v>
      </c>
      <c r="V36" s="175" t="s">
        <v>9</v>
      </c>
      <c r="W36" s="230" t="s">
        <v>747</v>
      </c>
      <c r="X36" s="175" t="s">
        <v>9</v>
      </c>
      <c r="Y36" s="230" t="s">
        <v>747</v>
      </c>
      <c r="Z36" s="175" t="s">
        <v>9</v>
      </c>
      <c r="AA36" s="230" t="s">
        <v>747</v>
      </c>
      <c r="AB36" s="175" t="s">
        <v>9</v>
      </c>
      <c r="AC36" s="230" t="s">
        <v>747</v>
      </c>
      <c r="AD36" s="175" t="s">
        <v>9</v>
      </c>
      <c r="AE36" s="230" t="s">
        <v>747</v>
      </c>
      <c r="AF36" s="175" t="s">
        <v>9</v>
      </c>
      <c r="AG36" s="230" t="s">
        <v>747</v>
      </c>
      <c r="AH36" s="175" t="s">
        <v>9</v>
      </c>
    </row>
    <row r="37" spans="2:34" hidden="1" outlineLevel="1" x14ac:dyDescent="0.25">
      <c r="B37" s="219">
        <v>39630</v>
      </c>
      <c r="C37" s="399"/>
      <c r="D37" s="400"/>
      <c r="E37" s="399"/>
      <c r="F37" s="400"/>
      <c r="G37" s="399"/>
      <c r="H37" s="400"/>
      <c r="I37" s="399"/>
      <c r="J37" s="400"/>
      <c r="K37" s="399">
        <v>290570</v>
      </c>
      <c r="L37" s="400">
        <v>0.60124441060169964</v>
      </c>
      <c r="M37" s="399">
        <v>30163620.437392738</v>
      </c>
      <c r="N37" s="400">
        <v>0.60124441060169953</v>
      </c>
      <c r="O37" s="399">
        <v>192711</v>
      </c>
      <c r="P37" s="400">
        <v>0.39875558939830036</v>
      </c>
      <c r="Q37" s="399">
        <v>20005029.62491101</v>
      </c>
      <c r="R37" s="400">
        <v>0.39875558939830036</v>
      </c>
      <c r="S37" s="399"/>
      <c r="T37" s="400"/>
      <c r="U37" s="399"/>
      <c r="V37" s="400"/>
      <c r="W37" s="399"/>
      <c r="X37" s="400"/>
      <c r="Y37" s="399"/>
      <c r="Z37" s="400"/>
      <c r="AA37" s="399"/>
      <c r="AB37" s="401"/>
      <c r="AC37" s="399"/>
      <c r="AD37" s="401"/>
      <c r="AE37" s="399">
        <v>483281</v>
      </c>
      <c r="AF37" s="400">
        <v>1</v>
      </c>
      <c r="AG37" s="399">
        <v>50168650.062303752</v>
      </c>
      <c r="AH37" s="400">
        <v>0.99999999999999989</v>
      </c>
    </row>
    <row r="38" spans="2:34" hidden="1" outlineLevel="1" x14ac:dyDescent="0.25">
      <c r="B38" s="219">
        <v>39661</v>
      </c>
      <c r="C38" s="399"/>
      <c r="D38" s="400"/>
      <c r="E38" s="399"/>
      <c r="F38" s="400"/>
      <c r="G38" s="399"/>
      <c r="H38" s="400"/>
      <c r="I38" s="399"/>
      <c r="J38" s="400"/>
      <c r="K38" s="399">
        <v>292137</v>
      </c>
      <c r="L38" s="400">
        <v>0.60055998569199553</v>
      </c>
      <c r="M38" s="399">
        <v>30046161.26799361</v>
      </c>
      <c r="N38" s="400">
        <v>0.60055998569199542</v>
      </c>
      <c r="O38" s="399">
        <v>194304</v>
      </c>
      <c r="P38" s="400">
        <v>0.39944001430800447</v>
      </c>
      <c r="Q38" s="399">
        <v>19984080.479419693</v>
      </c>
      <c r="R38" s="400">
        <v>0.39944001430800447</v>
      </c>
      <c r="S38" s="399"/>
      <c r="T38" s="400"/>
      <c r="U38" s="399"/>
      <c r="V38" s="400"/>
      <c r="W38" s="399"/>
      <c r="X38" s="400"/>
      <c r="Y38" s="399"/>
      <c r="Z38" s="400"/>
      <c r="AA38" s="399"/>
      <c r="AB38" s="401"/>
      <c r="AC38" s="399"/>
      <c r="AD38" s="401"/>
      <c r="AE38" s="399">
        <v>486441</v>
      </c>
      <c r="AF38" s="400">
        <v>1</v>
      </c>
      <c r="AG38" s="399">
        <v>50030241.747413307</v>
      </c>
      <c r="AH38" s="400">
        <v>0.99999999999999989</v>
      </c>
    </row>
    <row r="39" spans="2:34" hidden="1" outlineLevel="1" x14ac:dyDescent="0.25">
      <c r="B39" s="219">
        <v>39692</v>
      </c>
      <c r="C39" s="399"/>
      <c r="D39" s="400"/>
      <c r="E39" s="399"/>
      <c r="F39" s="400"/>
      <c r="G39" s="399"/>
      <c r="H39" s="400"/>
      <c r="I39" s="399"/>
      <c r="J39" s="400"/>
      <c r="K39" s="399">
        <v>329546</v>
      </c>
      <c r="L39" s="400">
        <v>0.63002997721120169</v>
      </c>
      <c r="M39" s="399">
        <v>33529943.056707721</v>
      </c>
      <c r="N39" s="400">
        <v>0.62997893774254088</v>
      </c>
      <c r="O39" s="399">
        <v>193518</v>
      </c>
      <c r="P39" s="400">
        <v>0.36997002278879831</v>
      </c>
      <c r="Q39" s="399">
        <v>19693968.169369966</v>
      </c>
      <c r="R39" s="400">
        <v>0.37002106225745901</v>
      </c>
      <c r="S39" s="399"/>
      <c r="T39" s="400"/>
      <c r="U39" s="399"/>
      <c r="V39" s="400"/>
      <c r="W39" s="399"/>
      <c r="X39" s="400"/>
      <c r="Y39" s="399"/>
      <c r="Z39" s="400"/>
      <c r="AA39" s="399"/>
      <c r="AB39" s="401"/>
      <c r="AC39" s="399"/>
      <c r="AD39" s="401"/>
      <c r="AE39" s="399">
        <v>523064</v>
      </c>
      <c r="AF39" s="400">
        <v>1</v>
      </c>
      <c r="AG39" s="399">
        <v>53223911.226077691</v>
      </c>
      <c r="AH39" s="400">
        <v>0.99999999999999989</v>
      </c>
    </row>
    <row r="40" spans="2:34" hidden="1" outlineLevel="1" x14ac:dyDescent="0.25">
      <c r="B40" s="219">
        <v>39722</v>
      </c>
      <c r="C40" s="399"/>
      <c r="D40" s="400"/>
      <c r="E40" s="399"/>
      <c r="F40" s="400"/>
      <c r="G40" s="399"/>
      <c r="H40" s="400"/>
      <c r="I40" s="399"/>
      <c r="J40" s="400"/>
      <c r="K40" s="399">
        <v>340883</v>
      </c>
      <c r="L40" s="400">
        <v>0.63388369355615515</v>
      </c>
      <c r="M40" s="399">
        <v>37227667.217158876</v>
      </c>
      <c r="N40" s="400">
        <v>0.64317181792667077</v>
      </c>
      <c r="O40" s="399">
        <v>193041</v>
      </c>
      <c r="P40" s="400">
        <v>0.35896639635233718</v>
      </c>
      <c r="Q40" s="399">
        <v>19563396.547051162</v>
      </c>
      <c r="R40" s="400">
        <v>0.33799123776919604</v>
      </c>
      <c r="S40" s="399">
        <v>3399</v>
      </c>
      <c r="T40" s="400">
        <v>6.3205577115824823E-3</v>
      </c>
      <c r="U40" s="399">
        <v>970515.16441123479</v>
      </c>
      <c r="V40" s="400">
        <v>1.6767314454021642E-2</v>
      </c>
      <c r="W40" s="399">
        <v>446</v>
      </c>
      <c r="X40" s="400">
        <v>8.2935237992520956E-4</v>
      </c>
      <c r="Y40" s="399">
        <v>119793.01514021966</v>
      </c>
      <c r="Z40" s="400">
        <v>2.0696298501115791E-3</v>
      </c>
      <c r="AA40" s="399"/>
      <c r="AB40" s="401"/>
      <c r="AC40" s="399"/>
      <c r="AD40" s="401"/>
      <c r="AE40" s="399">
        <v>537769</v>
      </c>
      <c r="AF40" s="400">
        <v>1</v>
      </c>
      <c r="AG40" s="399">
        <v>57881371.94376149</v>
      </c>
      <c r="AH40" s="400">
        <v>1</v>
      </c>
    </row>
    <row r="41" spans="2:34" hidden="1" outlineLevel="1" x14ac:dyDescent="0.25">
      <c r="B41" s="219">
        <v>39753</v>
      </c>
      <c r="C41" s="399"/>
      <c r="D41" s="400"/>
      <c r="E41" s="399"/>
      <c r="F41" s="400"/>
      <c r="G41" s="399"/>
      <c r="H41" s="400"/>
      <c r="I41" s="399"/>
      <c r="J41" s="400"/>
      <c r="K41" s="399">
        <v>347314</v>
      </c>
      <c r="L41" s="400">
        <v>0.63749096021761553</v>
      </c>
      <c r="M41" s="399">
        <v>37107809.294582188</v>
      </c>
      <c r="N41" s="400">
        <v>0.64785948050032593</v>
      </c>
      <c r="O41" s="399">
        <v>192690</v>
      </c>
      <c r="P41" s="400">
        <v>0.35368033861097548</v>
      </c>
      <c r="Q41" s="399">
        <v>19633136.037075255</v>
      </c>
      <c r="R41" s="400">
        <v>0.34277187350504351</v>
      </c>
      <c r="S41" s="399">
        <v>4226</v>
      </c>
      <c r="T41" s="400">
        <v>7.7567757069385151E-3</v>
      </c>
      <c r="U41" s="399">
        <v>469015.23694313143</v>
      </c>
      <c r="V41" s="400">
        <v>8.1884641947073383E-3</v>
      </c>
      <c r="W41" s="399">
        <v>584</v>
      </c>
      <c r="X41" s="400">
        <v>1.0719254644704431E-3</v>
      </c>
      <c r="Y41" s="399">
        <v>67597.932086548666</v>
      </c>
      <c r="Z41" s="400">
        <v>1.1801817999232236E-3</v>
      </c>
      <c r="AA41" s="399"/>
      <c r="AB41" s="401"/>
      <c r="AC41" s="399"/>
      <c r="AD41" s="401"/>
      <c r="AE41" s="399">
        <v>544814</v>
      </c>
      <c r="AF41" s="400">
        <v>1</v>
      </c>
      <c r="AG41" s="399">
        <v>57277558.500687122</v>
      </c>
      <c r="AH41" s="400">
        <v>1</v>
      </c>
    </row>
    <row r="42" spans="2:34" hidden="1" outlineLevel="1" x14ac:dyDescent="0.25">
      <c r="B42" s="219">
        <v>39783</v>
      </c>
      <c r="C42" s="399"/>
      <c r="D42" s="400"/>
      <c r="E42" s="399"/>
      <c r="F42" s="400"/>
      <c r="G42" s="399"/>
      <c r="H42" s="400"/>
      <c r="I42" s="399"/>
      <c r="J42" s="400"/>
      <c r="K42" s="399">
        <v>358445</v>
      </c>
      <c r="L42" s="400">
        <v>0.64228131758651519</v>
      </c>
      <c r="M42" s="399">
        <v>39974650.430502169</v>
      </c>
      <c r="N42" s="400">
        <v>0.64842421999130029</v>
      </c>
      <c r="O42" s="399">
        <v>194451</v>
      </c>
      <c r="P42" s="400">
        <v>0.34842791637773013</v>
      </c>
      <c r="Q42" s="399">
        <v>21082121.535252273</v>
      </c>
      <c r="R42" s="400">
        <v>0.34197067554159027</v>
      </c>
      <c r="S42" s="399">
        <v>4485</v>
      </c>
      <c r="T42" s="400">
        <v>8.0364678245631004E-3</v>
      </c>
      <c r="U42" s="399">
        <v>521679.39232310053</v>
      </c>
      <c r="V42" s="400">
        <v>8.4621015921262331E-3</v>
      </c>
      <c r="W42" s="399">
        <v>700</v>
      </c>
      <c r="X42" s="400">
        <v>1.2542982111915654E-3</v>
      </c>
      <c r="Y42" s="399">
        <v>70464.888509442069</v>
      </c>
      <c r="Z42" s="400">
        <v>1.143002874983113E-3</v>
      </c>
      <c r="AA42" s="399"/>
      <c r="AB42" s="401"/>
      <c r="AC42" s="399"/>
      <c r="AD42" s="401"/>
      <c r="AE42" s="399">
        <v>558081</v>
      </c>
      <c r="AF42" s="400">
        <v>1</v>
      </c>
      <c r="AG42" s="399">
        <v>61648916.246586986</v>
      </c>
      <c r="AH42" s="400">
        <v>0.99999999999999989</v>
      </c>
    </row>
    <row r="43" spans="2:34" collapsed="1" x14ac:dyDescent="0.25">
      <c r="B43" s="393" t="s">
        <v>749</v>
      </c>
      <c r="C43" s="394"/>
      <c r="D43" s="391"/>
      <c r="E43" s="394"/>
      <c r="F43" s="391"/>
      <c r="G43" s="394"/>
      <c r="H43" s="391"/>
      <c r="I43" s="394"/>
      <c r="J43" s="391"/>
      <c r="K43" s="394">
        <v>326482.5</v>
      </c>
      <c r="L43" s="391">
        <v>0.62240689609155808</v>
      </c>
      <c r="M43" s="394">
        <v>34674975.284056216</v>
      </c>
      <c r="N43" s="391">
        <v>0.62580848198771</v>
      </c>
      <c r="O43" s="394">
        <v>193452.5</v>
      </c>
      <c r="P43" s="391">
        <v>0.36879823594266808</v>
      </c>
      <c r="Q43" s="394">
        <v>19993622.065513227</v>
      </c>
      <c r="R43" s="391">
        <v>0.36084173591344987</v>
      </c>
      <c r="S43" s="394">
        <v>4036.6666666666665</v>
      </c>
      <c r="T43" s="391">
        <v>7.6955094700520118E-3</v>
      </c>
      <c r="U43" s="394">
        <v>653736.59789248894</v>
      </c>
      <c r="V43" s="391">
        <v>1.1798534954833025E-2</v>
      </c>
      <c r="W43" s="394">
        <v>576.66666666666663</v>
      </c>
      <c r="X43" s="391">
        <v>1.099358495721716E-3</v>
      </c>
      <c r="Y43" s="394">
        <v>85951.945245403462</v>
      </c>
      <c r="Z43" s="391">
        <v>1.5512471440073225E-3</v>
      </c>
      <c r="AA43" s="394"/>
      <c r="AB43" s="395"/>
      <c r="AC43" s="394"/>
      <c r="AD43" s="395"/>
      <c r="AE43" s="394">
        <v>524548.33333333337</v>
      </c>
      <c r="AF43" s="391">
        <v>0.99999999999999989</v>
      </c>
      <c r="AG43" s="394">
        <v>55408285.892707326</v>
      </c>
      <c r="AH43" s="391">
        <v>1.0000000000000002</v>
      </c>
    </row>
    <row r="44" spans="2:34" hidden="1" outlineLevel="1" x14ac:dyDescent="0.25">
      <c r="B44" s="219">
        <v>39814</v>
      </c>
      <c r="C44" s="399"/>
      <c r="D44" s="400"/>
      <c r="E44" s="399"/>
      <c r="F44" s="400"/>
      <c r="G44" s="399"/>
      <c r="H44" s="400"/>
      <c r="I44" s="399"/>
      <c r="J44" s="400"/>
      <c r="K44" s="399">
        <v>364131</v>
      </c>
      <c r="L44" s="400">
        <v>0.64167331898898794</v>
      </c>
      <c r="M44" s="399">
        <v>39015660.364474595</v>
      </c>
      <c r="N44" s="400">
        <v>0.63183868401096943</v>
      </c>
      <c r="O44" s="399">
        <v>196192</v>
      </c>
      <c r="P44" s="400">
        <v>0.34573044261292646</v>
      </c>
      <c r="Q44" s="399">
        <v>21595407.801360995</v>
      </c>
      <c r="R44" s="400">
        <v>0.34972659487051339</v>
      </c>
      <c r="S44" s="399">
        <v>6199</v>
      </c>
      <c r="T44" s="400">
        <v>1.0923906243667077E-2</v>
      </c>
      <c r="U44" s="399">
        <v>998048.25019837415</v>
      </c>
      <c r="V44" s="400">
        <v>1.6162881445394794E-2</v>
      </c>
      <c r="W44" s="399">
        <v>949</v>
      </c>
      <c r="X44" s="400">
        <v>1.6723321544184636E-3</v>
      </c>
      <c r="Y44" s="399">
        <v>140284.73933631636</v>
      </c>
      <c r="Z44" s="400">
        <v>2.2718396731223351E-3</v>
      </c>
      <c r="AA44" s="399"/>
      <c r="AB44" s="401"/>
      <c r="AC44" s="399"/>
      <c r="AD44" s="401"/>
      <c r="AE44" s="399">
        <v>567471</v>
      </c>
      <c r="AF44" s="400">
        <v>1</v>
      </c>
      <c r="AG44" s="399">
        <v>61749401.15537028</v>
      </c>
      <c r="AH44" s="400">
        <v>1</v>
      </c>
    </row>
    <row r="45" spans="2:34" hidden="1" outlineLevel="1" x14ac:dyDescent="0.25">
      <c r="B45" s="219">
        <v>39845</v>
      </c>
      <c r="C45" s="399"/>
      <c r="D45" s="400"/>
      <c r="E45" s="399"/>
      <c r="F45" s="400"/>
      <c r="G45" s="399"/>
      <c r="H45" s="400"/>
      <c r="I45" s="399"/>
      <c r="J45" s="400"/>
      <c r="K45" s="399">
        <v>366991</v>
      </c>
      <c r="L45" s="400">
        <v>0.64091252813884569</v>
      </c>
      <c r="M45" s="399">
        <v>39051163.873244964</v>
      </c>
      <c r="N45" s="400">
        <v>0.63378798428923566</v>
      </c>
      <c r="O45" s="399">
        <v>197256</v>
      </c>
      <c r="P45" s="400">
        <v>0.3444875804871404</v>
      </c>
      <c r="Q45" s="399">
        <v>21625404.871074259</v>
      </c>
      <c r="R45" s="400">
        <v>0.35097345132054003</v>
      </c>
      <c r="S45" s="399">
        <v>7180</v>
      </c>
      <c r="T45" s="400">
        <v>1.2539141156150728E-2</v>
      </c>
      <c r="U45" s="399">
        <v>782323.47322241147</v>
      </c>
      <c r="V45" s="400">
        <v>1.2696861449896272E-2</v>
      </c>
      <c r="W45" s="399">
        <v>1180</v>
      </c>
      <c r="X45" s="400">
        <v>2.0607502178632115E-3</v>
      </c>
      <c r="Y45" s="399">
        <v>156608.29883225204</v>
      </c>
      <c r="Z45" s="400">
        <v>2.541702940328051E-3</v>
      </c>
      <c r="AA45" s="399"/>
      <c r="AB45" s="401"/>
      <c r="AC45" s="399"/>
      <c r="AD45" s="401"/>
      <c r="AE45" s="399">
        <v>572607</v>
      </c>
      <c r="AF45" s="400">
        <v>1</v>
      </c>
      <c r="AG45" s="399">
        <v>61615500.516373888</v>
      </c>
      <c r="AH45" s="400">
        <v>1</v>
      </c>
    </row>
    <row r="46" spans="2:34" hidden="1" outlineLevel="1" x14ac:dyDescent="0.25">
      <c r="B46" s="219">
        <v>39873</v>
      </c>
      <c r="C46" s="399"/>
      <c r="D46" s="400"/>
      <c r="E46" s="399"/>
      <c r="F46" s="400"/>
      <c r="G46" s="399"/>
      <c r="H46" s="400"/>
      <c r="I46" s="399"/>
      <c r="J46" s="400"/>
      <c r="K46" s="399">
        <v>369833</v>
      </c>
      <c r="L46" s="400">
        <v>0.64020613559803208</v>
      </c>
      <c r="M46" s="399">
        <v>39044298.069453992</v>
      </c>
      <c r="N46" s="400">
        <v>0.63318479098493707</v>
      </c>
      <c r="O46" s="399">
        <v>198068</v>
      </c>
      <c r="P46" s="400">
        <v>0.34286921087526268</v>
      </c>
      <c r="Q46" s="399">
        <v>21517144.462390177</v>
      </c>
      <c r="R46" s="400">
        <v>0.34894541053793743</v>
      </c>
      <c r="S46" s="399">
        <v>8287</v>
      </c>
      <c r="T46" s="400">
        <v>1.4345361949044278E-2</v>
      </c>
      <c r="U46" s="399">
        <v>914148.79656077502</v>
      </c>
      <c r="V46" s="400">
        <v>1.4824830853658131E-2</v>
      </c>
      <c r="W46" s="399">
        <v>1490</v>
      </c>
      <c r="X46" s="400">
        <v>2.5792915776609113E-3</v>
      </c>
      <c r="Y46" s="399">
        <v>187762.91723236383</v>
      </c>
      <c r="Z46" s="400">
        <v>3.0449676234673546E-3</v>
      </c>
      <c r="AA46" s="399"/>
      <c r="AB46" s="401"/>
      <c r="AC46" s="399"/>
      <c r="AD46" s="401"/>
      <c r="AE46" s="399">
        <v>577678</v>
      </c>
      <c r="AF46" s="400">
        <v>0.99999999999999989</v>
      </c>
      <c r="AG46" s="399">
        <v>61663354.245637305</v>
      </c>
      <c r="AH46" s="400">
        <v>1</v>
      </c>
    </row>
    <row r="47" spans="2:34" hidden="1" outlineLevel="1" x14ac:dyDescent="0.25">
      <c r="B47" s="219">
        <v>39904</v>
      </c>
      <c r="C47" s="399"/>
      <c r="D47" s="400"/>
      <c r="E47" s="399"/>
      <c r="F47" s="400"/>
      <c r="G47" s="399"/>
      <c r="H47" s="400"/>
      <c r="I47" s="399"/>
      <c r="J47" s="400"/>
      <c r="K47" s="399">
        <v>371972</v>
      </c>
      <c r="L47" s="400">
        <v>0.63854126969412939</v>
      </c>
      <c r="M47" s="399">
        <v>39087037.529400595</v>
      </c>
      <c r="N47" s="400">
        <v>0.62590062620837117</v>
      </c>
      <c r="O47" s="399">
        <v>198891</v>
      </c>
      <c r="P47" s="400">
        <v>0.34142384822173472</v>
      </c>
      <c r="Q47" s="399">
        <v>21738418.120678887</v>
      </c>
      <c r="R47" s="400">
        <v>0.34809723055317388</v>
      </c>
      <c r="S47" s="399">
        <v>9630</v>
      </c>
      <c r="T47" s="400">
        <v>1.6531223928560393E-2</v>
      </c>
      <c r="U47" s="399">
        <v>1299003.1106649337</v>
      </c>
      <c r="V47" s="400">
        <v>2.0800933296626644E-2</v>
      </c>
      <c r="W47" s="399">
        <v>2041</v>
      </c>
      <c r="X47" s="400">
        <v>3.5036581555754685E-3</v>
      </c>
      <c r="Y47" s="399">
        <v>324811.76672741218</v>
      </c>
      <c r="Z47" s="400">
        <v>5.2012099418283107E-3</v>
      </c>
      <c r="AA47" s="399"/>
      <c r="AB47" s="401"/>
      <c r="AC47" s="399"/>
      <c r="AD47" s="401"/>
      <c r="AE47" s="399">
        <v>582534</v>
      </c>
      <c r="AF47" s="400">
        <v>1</v>
      </c>
      <c r="AG47" s="399">
        <v>62449270.527471825</v>
      </c>
      <c r="AH47" s="400">
        <v>1</v>
      </c>
    </row>
    <row r="48" spans="2:34" hidden="1" outlineLevel="1" x14ac:dyDescent="0.25">
      <c r="B48" s="219">
        <v>39934</v>
      </c>
      <c r="C48" s="399"/>
      <c r="D48" s="400"/>
      <c r="E48" s="399"/>
      <c r="F48" s="400"/>
      <c r="G48" s="399"/>
      <c r="H48" s="400"/>
      <c r="I48" s="399"/>
      <c r="J48" s="400"/>
      <c r="K48" s="399">
        <v>374732</v>
      </c>
      <c r="L48" s="400">
        <v>0.63690179768749777</v>
      </c>
      <c r="M48" s="399">
        <v>39538056.310956672</v>
      </c>
      <c r="N48" s="400">
        <v>0.62392416817607566</v>
      </c>
      <c r="O48" s="399">
        <v>200088</v>
      </c>
      <c r="P48" s="400">
        <v>0.3400734575528539</v>
      </c>
      <c r="Q48" s="399">
        <v>22189494.970976375</v>
      </c>
      <c r="R48" s="400">
        <v>0.35015788543396564</v>
      </c>
      <c r="S48" s="399">
        <v>11050</v>
      </c>
      <c r="T48" s="400">
        <v>1.8780794980003977E-2</v>
      </c>
      <c r="U48" s="399">
        <v>1320464.5513423327</v>
      </c>
      <c r="V48" s="400">
        <v>2.0837386145710745E-2</v>
      </c>
      <c r="W48" s="399">
        <v>2497</v>
      </c>
      <c r="X48" s="400">
        <v>4.2439497796443373E-3</v>
      </c>
      <c r="Y48" s="399">
        <v>321954.95426232641</v>
      </c>
      <c r="Z48" s="400">
        <v>5.0805602442480832E-3</v>
      </c>
      <c r="AA48" s="399"/>
      <c r="AB48" s="401"/>
      <c r="AC48" s="399"/>
      <c r="AD48" s="401"/>
      <c r="AE48" s="399">
        <v>588367</v>
      </c>
      <c r="AF48" s="400">
        <v>1</v>
      </c>
      <c r="AG48" s="399">
        <v>63369970.787537701</v>
      </c>
      <c r="AH48" s="400">
        <v>1.0000000000000002</v>
      </c>
    </row>
    <row r="49" spans="2:34" hidden="1" outlineLevel="1" x14ac:dyDescent="0.25">
      <c r="B49" s="219">
        <v>39965</v>
      </c>
      <c r="C49" s="399"/>
      <c r="D49" s="400"/>
      <c r="E49" s="399"/>
      <c r="F49" s="400"/>
      <c r="G49" s="399"/>
      <c r="H49" s="400"/>
      <c r="I49" s="399"/>
      <c r="J49" s="400"/>
      <c r="K49" s="399">
        <v>377068</v>
      </c>
      <c r="L49" s="400">
        <v>0.63511323862813329</v>
      </c>
      <c r="M49" s="399">
        <v>39705226.102990478</v>
      </c>
      <c r="N49" s="400">
        <v>0.62146721977402342</v>
      </c>
      <c r="O49" s="399">
        <v>201424</v>
      </c>
      <c r="P49" s="400">
        <v>0.33926784817972655</v>
      </c>
      <c r="Q49" s="399">
        <v>22530661.821466986</v>
      </c>
      <c r="R49" s="400">
        <v>0.35265049808647803</v>
      </c>
      <c r="S49" s="399">
        <v>12190</v>
      </c>
      <c r="T49" s="400">
        <v>2.0532186180945995E-2</v>
      </c>
      <c r="U49" s="399">
        <v>1280294.3576967823</v>
      </c>
      <c r="V49" s="400">
        <v>2.0039200202672101E-2</v>
      </c>
      <c r="W49" s="399">
        <v>3020</v>
      </c>
      <c r="X49" s="400">
        <v>5.0867270111941681E-3</v>
      </c>
      <c r="Y49" s="399">
        <v>373311.54734816012</v>
      </c>
      <c r="Z49" s="400">
        <v>5.8430819368266024E-3</v>
      </c>
      <c r="AA49" s="399"/>
      <c r="AB49" s="401"/>
      <c r="AC49" s="399"/>
      <c r="AD49" s="401"/>
      <c r="AE49" s="399">
        <v>593702</v>
      </c>
      <c r="AF49" s="400">
        <v>1</v>
      </c>
      <c r="AG49" s="399">
        <v>63889493.829502396</v>
      </c>
      <c r="AH49" s="400">
        <v>1.0000000000000002</v>
      </c>
    </row>
    <row r="50" spans="2:34" hidden="1" outlineLevel="1" x14ac:dyDescent="0.25">
      <c r="B50" s="219">
        <v>39995</v>
      </c>
      <c r="C50" s="399"/>
      <c r="D50" s="400"/>
      <c r="E50" s="399"/>
      <c r="F50" s="400"/>
      <c r="G50" s="399"/>
      <c r="H50" s="400"/>
      <c r="I50" s="399"/>
      <c r="J50" s="400"/>
      <c r="K50" s="399">
        <v>378458</v>
      </c>
      <c r="L50" s="400">
        <v>0.63259680975360255</v>
      </c>
      <c r="M50" s="399">
        <v>49698980.735089473</v>
      </c>
      <c r="N50" s="400">
        <v>0.61863068875215665</v>
      </c>
      <c r="O50" s="399">
        <v>202738</v>
      </c>
      <c r="P50" s="400">
        <v>0.33887885053513433</v>
      </c>
      <c r="Q50" s="399">
        <v>28129150.978198647</v>
      </c>
      <c r="R50" s="400">
        <v>0.35013909312168717</v>
      </c>
      <c r="S50" s="399">
        <v>13277</v>
      </c>
      <c r="T50" s="400">
        <v>2.2192655045206022E-2</v>
      </c>
      <c r="U50" s="399">
        <v>1827041.731435918</v>
      </c>
      <c r="V50" s="400">
        <v>2.274219849138924E-2</v>
      </c>
      <c r="W50" s="399">
        <v>3788</v>
      </c>
      <c r="X50" s="400">
        <v>6.3316846660571224E-3</v>
      </c>
      <c r="Y50" s="399">
        <v>681902.67954252288</v>
      </c>
      <c r="Z50" s="400">
        <v>8.4880196347667143E-3</v>
      </c>
      <c r="AA50" s="399"/>
      <c r="AB50" s="401"/>
      <c r="AC50" s="399"/>
      <c r="AD50" s="401"/>
      <c r="AE50" s="399">
        <v>598261</v>
      </c>
      <c r="AF50" s="400">
        <v>1</v>
      </c>
      <c r="AG50" s="399">
        <v>80337076.12426658</v>
      </c>
      <c r="AH50" s="400">
        <v>0.99999999999999989</v>
      </c>
    </row>
    <row r="51" spans="2:34" hidden="1" outlineLevel="1" x14ac:dyDescent="0.25">
      <c r="B51" s="219">
        <v>40026</v>
      </c>
      <c r="C51" s="399"/>
      <c r="D51" s="400"/>
      <c r="E51" s="399"/>
      <c r="F51" s="400"/>
      <c r="G51" s="399"/>
      <c r="H51" s="400"/>
      <c r="I51" s="399"/>
      <c r="J51" s="400"/>
      <c r="K51" s="399">
        <v>379265</v>
      </c>
      <c r="L51" s="400">
        <v>0.62885818461584375</v>
      </c>
      <c r="M51" s="399">
        <v>50142761.179970227</v>
      </c>
      <c r="N51" s="400">
        <v>0.60958882151824956</v>
      </c>
      <c r="O51" s="399">
        <v>204743</v>
      </c>
      <c r="P51" s="400">
        <v>0.33948376805874969</v>
      </c>
      <c r="Q51" s="399">
        <v>29125241.951379769</v>
      </c>
      <c r="R51" s="400">
        <v>0.35407746800883327</v>
      </c>
      <c r="S51" s="399">
        <v>14655</v>
      </c>
      <c r="T51" s="400">
        <v>2.4299412536208695E-2</v>
      </c>
      <c r="U51" s="399">
        <v>2278434.9389384449</v>
      </c>
      <c r="V51" s="400">
        <v>2.7699082313167426E-2</v>
      </c>
      <c r="W51" s="399">
        <v>4438</v>
      </c>
      <c r="X51" s="400">
        <v>7.3586347891978288E-3</v>
      </c>
      <c r="Y51" s="399">
        <v>710255.96665934997</v>
      </c>
      <c r="Z51" s="400">
        <v>8.6346281597497656E-3</v>
      </c>
      <c r="AA51" s="399"/>
      <c r="AB51" s="401"/>
      <c r="AC51" s="399"/>
      <c r="AD51" s="401"/>
      <c r="AE51" s="399">
        <v>603101</v>
      </c>
      <c r="AF51" s="400">
        <v>1</v>
      </c>
      <c r="AG51" s="399">
        <v>82256694.036947787</v>
      </c>
      <c r="AH51" s="400">
        <v>1</v>
      </c>
    </row>
    <row r="52" spans="2:34" hidden="1" outlineLevel="1" x14ac:dyDescent="0.25">
      <c r="B52" s="219">
        <v>40057</v>
      </c>
      <c r="C52" s="399"/>
      <c r="D52" s="400"/>
      <c r="E52" s="399"/>
      <c r="F52" s="400"/>
      <c r="G52" s="399"/>
      <c r="H52" s="400"/>
      <c r="I52" s="399"/>
      <c r="J52" s="400"/>
      <c r="K52" s="399">
        <v>384674</v>
      </c>
      <c r="L52" s="400">
        <v>0.61716102782626558</v>
      </c>
      <c r="M52" s="399">
        <v>51475690.461170651</v>
      </c>
      <c r="N52" s="400">
        <v>0.60982284356029293</v>
      </c>
      <c r="O52" s="399">
        <v>206439</v>
      </c>
      <c r="P52" s="400">
        <v>0.33120539839819285</v>
      </c>
      <c r="Q52" s="399">
        <v>28864720.744328815</v>
      </c>
      <c r="R52" s="400">
        <v>0.34195492911665282</v>
      </c>
      <c r="S52" s="399">
        <v>27203</v>
      </c>
      <c r="T52" s="400">
        <v>4.3643790430228979E-2</v>
      </c>
      <c r="U52" s="399">
        <v>3338137.269247232</v>
      </c>
      <c r="V52" s="400">
        <v>3.95462857028114E-2</v>
      </c>
      <c r="W52" s="399">
        <v>4980</v>
      </c>
      <c r="X52" s="400">
        <v>7.9897833453126607E-3</v>
      </c>
      <c r="Y52" s="399">
        <v>732343.97500665905</v>
      </c>
      <c r="Z52" s="400">
        <v>8.6759416202428618E-3</v>
      </c>
      <c r="AA52" s="399"/>
      <c r="AB52" s="401"/>
      <c r="AC52" s="399"/>
      <c r="AD52" s="401"/>
      <c r="AE52" s="399">
        <v>623296</v>
      </c>
      <c r="AF52" s="400">
        <v>1</v>
      </c>
      <c r="AG52" s="399">
        <v>84410892.449753359</v>
      </c>
      <c r="AH52" s="400">
        <v>1</v>
      </c>
    </row>
    <row r="53" spans="2:34" hidden="1" outlineLevel="1" x14ac:dyDescent="0.25">
      <c r="B53" s="219">
        <v>40087</v>
      </c>
      <c r="C53" s="399"/>
      <c r="D53" s="400"/>
      <c r="E53" s="399"/>
      <c r="F53" s="400"/>
      <c r="G53" s="399"/>
      <c r="H53" s="400"/>
      <c r="I53" s="399"/>
      <c r="J53" s="400"/>
      <c r="K53" s="399">
        <v>391967</v>
      </c>
      <c r="L53" s="400">
        <v>0.5049435819745729</v>
      </c>
      <c r="M53" s="399">
        <v>52565725.701239631</v>
      </c>
      <c r="N53" s="400">
        <v>0.54420682515871088</v>
      </c>
      <c r="O53" s="399">
        <v>208340</v>
      </c>
      <c r="P53" s="400">
        <v>0.26838980288795361</v>
      </c>
      <c r="Q53" s="399">
        <v>29551301.345281854</v>
      </c>
      <c r="R53" s="400">
        <v>0.30594117497449347</v>
      </c>
      <c r="S53" s="399">
        <v>169034</v>
      </c>
      <c r="T53" s="400">
        <v>0.21775464117002186</v>
      </c>
      <c r="U53" s="399">
        <v>13177042.409465063</v>
      </c>
      <c r="V53" s="400">
        <v>0.13642038265377857</v>
      </c>
      <c r="W53" s="399">
        <v>6918</v>
      </c>
      <c r="X53" s="400">
        <v>8.9119739674515842E-3</v>
      </c>
      <c r="Y53" s="399">
        <v>1297379.3666362064</v>
      </c>
      <c r="Z53" s="400">
        <v>1.3431617213017166E-2</v>
      </c>
      <c r="AA53" s="399"/>
      <c r="AB53" s="401"/>
      <c r="AC53" s="399"/>
      <c r="AD53" s="401"/>
      <c r="AE53" s="399">
        <v>776259</v>
      </c>
      <c r="AF53" s="400">
        <v>1</v>
      </c>
      <c r="AG53" s="399">
        <v>96591448.822622746</v>
      </c>
      <c r="AH53" s="400">
        <v>1</v>
      </c>
    </row>
    <row r="54" spans="2:34" hidden="1" outlineLevel="1" x14ac:dyDescent="0.25">
      <c r="B54" s="219">
        <v>40118</v>
      </c>
      <c r="C54" s="399"/>
      <c r="D54" s="400"/>
      <c r="E54" s="399"/>
      <c r="F54" s="400"/>
      <c r="G54" s="399"/>
      <c r="H54" s="400"/>
      <c r="I54" s="399"/>
      <c r="J54" s="400"/>
      <c r="K54" s="399">
        <v>393607</v>
      </c>
      <c r="L54" s="400">
        <v>0.48307962694544709</v>
      </c>
      <c r="M54" s="399">
        <v>51646737.306764141</v>
      </c>
      <c r="N54" s="400">
        <v>0.56902663823230826</v>
      </c>
      <c r="O54" s="399">
        <v>209889</v>
      </c>
      <c r="P54" s="400">
        <v>0.25759983897632144</v>
      </c>
      <c r="Q54" s="399">
        <v>29424832.220947176</v>
      </c>
      <c r="R54" s="400">
        <v>0.32419305133999987</v>
      </c>
      <c r="S54" s="399">
        <v>203555</v>
      </c>
      <c r="T54" s="400">
        <v>0.24982602815214283</v>
      </c>
      <c r="U54" s="399">
        <v>8540424.432105368</v>
      </c>
      <c r="V54" s="400">
        <v>9.409556647911449E-2</v>
      </c>
      <c r="W54" s="399">
        <v>7736</v>
      </c>
      <c r="X54" s="400">
        <v>9.4945059260886592E-3</v>
      </c>
      <c r="Y54" s="399">
        <v>1151309.2612867956</v>
      </c>
      <c r="Z54" s="400">
        <v>1.2684743948577484E-2</v>
      </c>
      <c r="AA54" s="399"/>
      <c r="AB54" s="401"/>
      <c r="AC54" s="399"/>
      <c r="AD54" s="401"/>
      <c r="AE54" s="399">
        <v>814787</v>
      </c>
      <c r="AF54" s="400">
        <v>1</v>
      </c>
      <c r="AG54" s="399">
        <v>90763303.221103474</v>
      </c>
      <c r="AH54" s="400">
        <v>1.0000000000000002</v>
      </c>
    </row>
    <row r="55" spans="2:34" hidden="1" outlineLevel="1" x14ac:dyDescent="0.25">
      <c r="B55" s="219">
        <v>40148</v>
      </c>
      <c r="C55" s="399"/>
      <c r="D55" s="400"/>
      <c r="E55" s="399"/>
      <c r="F55" s="400"/>
      <c r="G55" s="399"/>
      <c r="H55" s="400"/>
      <c r="I55" s="399"/>
      <c r="J55" s="400"/>
      <c r="K55" s="399">
        <v>398828</v>
      </c>
      <c r="L55" s="400">
        <v>0.46495534387142579</v>
      </c>
      <c r="M55" s="399">
        <v>53714395.936876833</v>
      </c>
      <c r="N55" s="400">
        <v>0.55645501643659967</v>
      </c>
      <c r="O55" s="399">
        <v>212205</v>
      </c>
      <c r="P55" s="400">
        <v>0.2473894730215429</v>
      </c>
      <c r="Q55" s="399">
        <v>30946668.295727972</v>
      </c>
      <c r="R55" s="400">
        <v>0.32059243178298269</v>
      </c>
      <c r="S55" s="399">
        <v>237978</v>
      </c>
      <c r="T55" s="400">
        <v>0.27743574378888686</v>
      </c>
      <c r="U55" s="399">
        <v>10472838.542296382</v>
      </c>
      <c r="V55" s="400">
        <v>0.10849351354597457</v>
      </c>
      <c r="W55" s="399">
        <v>8766</v>
      </c>
      <c r="X55" s="400">
        <v>1.0219439318144459E-2</v>
      </c>
      <c r="Y55" s="399">
        <v>1395725.5872448564</v>
      </c>
      <c r="Z55" s="400">
        <v>1.4459038234443139E-2</v>
      </c>
      <c r="AA55" s="399"/>
      <c r="AB55" s="401"/>
      <c r="AC55" s="399"/>
      <c r="AD55" s="401"/>
      <c r="AE55" s="399">
        <v>857777</v>
      </c>
      <c r="AF55" s="400">
        <v>1</v>
      </c>
      <c r="AG55" s="399">
        <v>96529628.362146035</v>
      </c>
      <c r="AH55" s="400">
        <v>1</v>
      </c>
    </row>
    <row r="56" spans="2:34" collapsed="1" x14ac:dyDescent="0.25">
      <c r="B56" s="393" t="s">
        <v>750</v>
      </c>
      <c r="C56" s="394"/>
      <c r="D56" s="391"/>
      <c r="E56" s="394"/>
      <c r="F56" s="391"/>
      <c r="G56" s="394"/>
      <c r="H56" s="391"/>
      <c r="I56" s="394"/>
      <c r="J56" s="391"/>
      <c r="K56" s="394">
        <v>379293.83333333331</v>
      </c>
      <c r="L56" s="391">
        <v>0.58685145645088088</v>
      </c>
      <c r="M56" s="394">
        <v>45390477.79763601</v>
      </c>
      <c r="N56" s="391">
        <v>0.60144663809905252</v>
      </c>
      <c r="O56" s="394">
        <v>203022.75</v>
      </c>
      <c r="P56" s="391">
        <v>0.31412110100259932</v>
      </c>
      <c r="Q56" s="394">
        <v>25603203.965317655</v>
      </c>
      <c r="R56" s="391">
        <v>0.33925531734117659</v>
      </c>
      <c r="S56" s="394">
        <v>60019.833333333336</v>
      </c>
      <c r="T56" s="391">
        <v>9.2863957998102084E-2</v>
      </c>
      <c r="U56" s="394">
        <v>3852350.155264501</v>
      </c>
      <c r="V56" s="391">
        <v>5.1045575241441245E-2</v>
      </c>
      <c r="W56" s="394">
        <v>3983.5833333333335</v>
      </c>
      <c r="X56" s="391">
        <v>6.1634845484177083E-3</v>
      </c>
      <c r="Y56" s="394">
        <v>622804.25500960171</v>
      </c>
      <c r="Z56" s="391">
        <v>8.2524693183295538E-3</v>
      </c>
      <c r="AA56" s="394"/>
      <c r="AB56" s="395"/>
      <c r="AC56" s="394"/>
      <c r="AD56" s="395"/>
      <c r="AE56" s="394">
        <v>646320</v>
      </c>
      <c r="AF56" s="391">
        <v>1</v>
      </c>
      <c r="AG56" s="394">
        <v>75468836.173227772</v>
      </c>
      <c r="AH56" s="391">
        <v>1</v>
      </c>
    </row>
    <row r="57" spans="2:34" hidden="1" outlineLevel="1" x14ac:dyDescent="0.25">
      <c r="B57" s="219">
        <v>40179</v>
      </c>
      <c r="C57" s="399"/>
      <c r="D57" s="400"/>
      <c r="E57" s="399"/>
      <c r="F57" s="400"/>
      <c r="G57" s="399"/>
      <c r="H57" s="400"/>
      <c r="I57" s="399"/>
      <c r="J57" s="400"/>
      <c r="K57" s="399">
        <v>401503</v>
      </c>
      <c r="L57" s="400">
        <v>0.45844561265688655</v>
      </c>
      <c r="M57" s="399">
        <v>52273699.668783158</v>
      </c>
      <c r="N57" s="400">
        <v>0.56428748389835748</v>
      </c>
      <c r="O57" s="399">
        <v>213689</v>
      </c>
      <c r="P57" s="400">
        <v>0.24399514953322249</v>
      </c>
      <c r="Q57" s="399">
        <v>29304772.160802171</v>
      </c>
      <c r="R57" s="400">
        <v>0.31634103294029631</v>
      </c>
      <c r="S57" s="399">
        <v>250933</v>
      </c>
      <c r="T57" s="400">
        <v>0.28652122878491698</v>
      </c>
      <c r="U57" s="399">
        <v>9643213.1357254945</v>
      </c>
      <c r="V57" s="400">
        <v>0.10409717528188873</v>
      </c>
      <c r="W57" s="399">
        <v>9667</v>
      </c>
      <c r="X57" s="400">
        <v>1.1038009024973967E-2</v>
      </c>
      <c r="Y57" s="399">
        <v>1414960.6459871538</v>
      </c>
      <c r="Z57" s="400">
        <v>1.5274307879457424E-2</v>
      </c>
      <c r="AA57" s="399"/>
      <c r="AB57" s="401"/>
      <c r="AC57" s="399"/>
      <c r="AD57" s="401"/>
      <c r="AE57" s="399">
        <v>875792</v>
      </c>
      <c r="AF57" s="400">
        <v>1</v>
      </c>
      <c r="AG57" s="399">
        <v>92636645.61129798</v>
      </c>
      <c r="AH57" s="400">
        <v>1</v>
      </c>
    </row>
    <row r="58" spans="2:34" hidden="1" outlineLevel="1" x14ac:dyDescent="0.25">
      <c r="B58" s="219">
        <v>40210</v>
      </c>
      <c r="C58" s="399"/>
      <c r="D58" s="400"/>
      <c r="E58" s="399"/>
      <c r="F58" s="400"/>
      <c r="G58" s="399"/>
      <c r="H58" s="400"/>
      <c r="I58" s="399"/>
      <c r="J58" s="400"/>
      <c r="K58" s="399">
        <v>399656</v>
      </c>
      <c r="L58" s="400">
        <v>0.4499100531125676</v>
      </c>
      <c r="M58" s="399">
        <v>51342683.93650613</v>
      </c>
      <c r="N58" s="400">
        <v>0.56799650996090323</v>
      </c>
      <c r="O58" s="399">
        <v>212721</v>
      </c>
      <c r="P58" s="400">
        <v>0.23946923456211963</v>
      </c>
      <c r="Q58" s="399">
        <v>27338705.939768001</v>
      </c>
      <c r="R58" s="400">
        <v>0.30244405570692379</v>
      </c>
      <c r="S58" s="399">
        <v>265352</v>
      </c>
      <c r="T58" s="400">
        <v>0.29871822871050613</v>
      </c>
      <c r="U58" s="399">
        <v>10266516.246369805</v>
      </c>
      <c r="V58" s="400">
        <v>0.11357694904704246</v>
      </c>
      <c r="W58" s="399">
        <v>10573</v>
      </c>
      <c r="X58" s="400">
        <v>1.1902483614806676E-2</v>
      </c>
      <c r="Y58" s="399">
        <v>1444698.472831802</v>
      </c>
      <c r="Z58" s="400">
        <v>1.5982485285130403E-2</v>
      </c>
      <c r="AA58" s="399"/>
      <c r="AB58" s="401"/>
      <c r="AC58" s="399"/>
      <c r="AD58" s="401"/>
      <c r="AE58" s="399">
        <v>888302</v>
      </c>
      <c r="AF58" s="400">
        <v>1</v>
      </c>
      <c r="AG58" s="399">
        <v>90392604.595475748</v>
      </c>
      <c r="AH58" s="400">
        <v>0.99999999999999989</v>
      </c>
    </row>
    <row r="59" spans="2:34" hidden="1" outlineLevel="1" x14ac:dyDescent="0.25">
      <c r="B59" s="219">
        <v>40238</v>
      </c>
      <c r="C59" s="399"/>
      <c r="D59" s="400"/>
      <c r="E59" s="399"/>
      <c r="F59" s="400"/>
      <c r="G59" s="399"/>
      <c r="H59" s="400"/>
      <c r="I59" s="399"/>
      <c r="J59" s="400"/>
      <c r="K59" s="399">
        <v>402294</v>
      </c>
      <c r="L59" s="400">
        <v>0.44120182405622199</v>
      </c>
      <c r="M59" s="399">
        <v>53210434.916645423</v>
      </c>
      <c r="N59" s="400">
        <v>0.55107759732160888</v>
      </c>
      <c r="O59" s="399">
        <v>214407</v>
      </c>
      <c r="P59" s="400">
        <v>0.23514335160460356</v>
      </c>
      <c r="Q59" s="399">
        <v>29594584.795782834</v>
      </c>
      <c r="R59" s="400">
        <v>0.30649839093663989</v>
      </c>
      <c r="S59" s="399">
        <v>283774</v>
      </c>
      <c r="T59" s="400">
        <v>0.31121917408594296</v>
      </c>
      <c r="U59" s="399">
        <v>12118768.990464255</v>
      </c>
      <c r="V59" s="400">
        <v>0.12550888013267325</v>
      </c>
      <c r="W59" s="399">
        <v>11339</v>
      </c>
      <c r="X59" s="400">
        <v>1.243565025323147E-2</v>
      </c>
      <c r="Y59" s="399">
        <v>1633275.4478967721</v>
      </c>
      <c r="Z59" s="400">
        <v>1.6915131609077833E-2</v>
      </c>
      <c r="AA59" s="399"/>
      <c r="AB59" s="401"/>
      <c r="AC59" s="399"/>
      <c r="AD59" s="401"/>
      <c r="AE59" s="399">
        <v>911814</v>
      </c>
      <c r="AF59" s="400">
        <v>1</v>
      </c>
      <c r="AG59" s="399">
        <v>96557064.150789291</v>
      </c>
      <c r="AH59" s="400">
        <v>0.99999999999999989</v>
      </c>
    </row>
    <row r="60" spans="2:34" hidden="1" outlineLevel="1" x14ac:dyDescent="0.25">
      <c r="B60" s="219">
        <v>40269</v>
      </c>
      <c r="C60" s="399"/>
      <c r="D60" s="400"/>
      <c r="E60" s="399"/>
      <c r="F60" s="400"/>
      <c r="G60" s="399"/>
      <c r="H60" s="400"/>
      <c r="I60" s="399"/>
      <c r="J60" s="400"/>
      <c r="K60" s="399">
        <v>403577</v>
      </c>
      <c r="L60" s="400">
        <v>0.43827049215933278</v>
      </c>
      <c r="M60" s="399">
        <v>52314465.618727401</v>
      </c>
      <c r="N60" s="400">
        <v>0.56380649761620705</v>
      </c>
      <c r="O60" s="399">
        <v>214665</v>
      </c>
      <c r="P60" s="400">
        <v>0.23311867425394206</v>
      </c>
      <c r="Q60" s="399">
        <v>28412124.922269896</v>
      </c>
      <c r="R60" s="400">
        <v>0.30620480306549702</v>
      </c>
      <c r="S60" s="399">
        <v>290581</v>
      </c>
      <c r="T60" s="400">
        <v>0.31556079232005563</v>
      </c>
      <c r="U60" s="399">
        <v>10434712.685543014</v>
      </c>
      <c r="V60" s="400">
        <v>0.11245759166775038</v>
      </c>
      <c r="W60" s="399">
        <v>12017</v>
      </c>
      <c r="X60" s="400">
        <v>1.3050041266669563E-2</v>
      </c>
      <c r="Y60" s="399">
        <v>1626676.0534338255</v>
      </c>
      <c r="Z60" s="400">
        <v>1.7531107650545646E-2</v>
      </c>
      <c r="AA60" s="399"/>
      <c r="AB60" s="401"/>
      <c r="AC60" s="399"/>
      <c r="AD60" s="401"/>
      <c r="AE60" s="399">
        <v>920840</v>
      </c>
      <c r="AF60" s="400">
        <v>1</v>
      </c>
      <c r="AG60" s="399">
        <v>92787979.279974133</v>
      </c>
      <c r="AH60" s="400">
        <v>1</v>
      </c>
    </row>
    <row r="61" spans="2:34" hidden="1" outlineLevel="1" x14ac:dyDescent="0.25">
      <c r="B61" s="219">
        <v>40299</v>
      </c>
      <c r="C61" s="399"/>
      <c r="D61" s="400"/>
      <c r="E61" s="399"/>
      <c r="F61" s="400"/>
      <c r="G61" s="399"/>
      <c r="H61" s="400"/>
      <c r="I61" s="399"/>
      <c r="J61" s="400"/>
      <c r="K61" s="399">
        <v>404226</v>
      </c>
      <c r="L61" s="400">
        <v>0.43466376479342433</v>
      </c>
      <c r="M61" s="399">
        <v>52355198.001061961</v>
      </c>
      <c r="N61" s="400">
        <v>0.56029958168225025</v>
      </c>
      <c r="O61" s="399">
        <v>214850</v>
      </c>
      <c r="P61" s="400">
        <v>0.23102796422265567</v>
      </c>
      <c r="Q61" s="399">
        <v>28351838.03820831</v>
      </c>
      <c r="R61" s="400">
        <v>0.30341825834387653</v>
      </c>
      <c r="S61" s="399">
        <v>297968</v>
      </c>
      <c r="T61" s="400">
        <v>0.32040465647426702</v>
      </c>
      <c r="U61" s="399">
        <v>10959350.898923477</v>
      </c>
      <c r="V61" s="400">
        <v>0.1172857702505731</v>
      </c>
      <c r="W61" s="399">
        <v>12930</v>
      </c>
      <c r="X61" s="400">
        <v>1.3903614509652959E-2</v>
      </c>
      <c r="Y61" s="399">
        <v>1775049.951461043</v>
      </c>
      <c r="Z61" s="400">
        <v>1.8996389723300207E-2</v>
      </c>
      <c r="AA61" s="399"/>
      <c r="AB61" s="401"/>
      <c r="AC61" s="399"/>
      <c r="AD61" s="401"/>
      <c r="AE61" s="399">
        <v>929974</v>
      </c>
      <c r="AF61" s="400">
        <v>1</v>
      </c>
      <c r="AG61" s="399">
        <v>93441436.889654785</v>
      </c>
      <c r="AH61" s="400">
        <v>1</v>
      </c>
    </row>
    <row r="62" spans="2:34" hidden="1" outlineLevel="1" x14ac:dyDescent="0.25">
      <c r="B62" s="219">
        <v>40330</v>
      </c>
      <c r="C62" s="399"/>
      <c r="D62" s="400"/>
      <c r="E62" s="399"/>
      <c r="F62" s="400"/>
      <c r="G62" s="399"/>
      <c r="H62" s="400"/>
      <c r="I62" s="399"/>
      <c r="J62" s="400"/>
      <c r="K62" s="399">
        <v>405141</v>
      </c>
      <c r="L62" s="400">
        <v>0.42909933210897239</v>
      </c>
      <c r="M62" s="399">
        <v>52312227.369711384</v>
      </c>
      <c r="N62" s="400">
        <v>0.55333693815810059</v>
      </c>
      <c r="O62" s="399">
        <v>215430</v>
      </c>
      <c r="P62" s="400">
        <v>0.22816962271464974</v>
      </c>
      <c r="Q62" s="399">
        <v>28688592.4387375</v>
      </c>
      <c r="R62" s="400">
        <v>0.30345597383811468</v>
      </c>
      <c r="S62" s="399">
        <v>309440</v>
      </c>
      <c r="T62" s="400">
        <v>0.32773897810342673</v>
      </c>
      <c r="U62" s="399">
        <v>11404173.481552204</v>
      </c>
      <c r="V62" s="400">
        <v>0.12062859399788387</v>
      </c>
      <c r="W62" s="399">
        <v>14155</v>
      </c>
      <c r="X62" s="400">
        <v>1.4992067072951155E-2</v>
      </c>
      <c r="Y62" s="399">
        <v>2134560.7543100254</v>
      </c>
      <c r="Z62" s="400">
        <v>2.257849400590093E-2</v>
      </c>
      <c r="AA62" s="399"/>
      <c r="AB62" s="401"/>
      <c r="AC62" s="399"/>
      <c r="AD62" s="401"/>
      <c r="AE62" s="399">
        <v>944166</v>
      </c>
      <c r="AF62" s="400">
        <v>1</v>
      </c>
      <c r="AG62" s="399">
        <v>94539554.044311106</v>
      </c>
      <c r="AH62" s="400">
        <v>1</v>
      </c>
    </row>
    <row r="63" spans="2:34" hidden="1" outlineLevel="1" x14ac:dyDescent="0.25">
      <c r="B63" s="219">
        <v>40360</v>
      </c>
      <c r="C63" s="399"/>
      <c r="D63" s="400"/>
      <c r="E63" s="399"/>
      <c r="F63" s="400"/>
      <c r="G63" s="399"/>
      <c r="H63" s="400"/>
      <c r="I63" s="399"/>
      <c r="J63" s="400"/>
      <c r="K63" s="399">
        <v>405859</v>
      </c>
      <c r="L63" s="400">
        <v>0.42549963778030092</v>
      </c>
      <c r="M63" s="399">
        <v>52724752.284663334</v>
      </c>
      <c r="N63" s="400">
        <v>0.50727639370041155</v>
      </c>
      <c r="O63" s="399">
        <v>215653</v>
      </c>
      <c r="P63" s="400">
        <v>0.22608904419080328</v>
      </c>
      <c r="Q63" s="399">
        <v>28854770.569792725</v>
      </c>
      <c r="R63" s="400">
        <v>0.27761806971931396</v>
      </c>
      <c r="S63" s="399">
        <v>317232</v>
      </c>
      <c r="T63" s="400">
        <v>0.33258373250887724</v>
      </c>
      <c r="U63" s="399">
        <v>20237591.473318577</v>
      </c>
      <c r="V63" s="400">
        <v>0.19471030161204672</v>
      </c>
      <c r="W63" s="399">
        <v>15097</v>
      </c>
      <c r="X63" s="400">
        <v>1.5827585520018537E-2</v>
      </c>
      <c r="Y63" s="399">
        <v>2119818.1599642551</v>
      </c>
      <c r="Z63" s="400">
        <v>2.0395234968227711E-2</v>
      </c>
      <c r="AA63" s="399"/>
      <c r="AB63" s="401"/>
      <c r="AC63" s="399"/>
      <c r="AD63" s="401"/>
      <c r="AE63" s="399">
        <v>953841</v>
      </c>
      <c r="AF63" s="400">
        <v>1</v>
      </c>
      <c r="AG63" s="399">
        <v>103936932.48773889</v>
      </c>
      <c r="AH63" s="400">
        <v>0.99999999999999989</v>
      </c>
    </row>
    <row r="64" spans="2:34" hidden="1" outlineLevel="1" x14ac:dyDescent="0.25">
      <c r="B64" s="219">
        <v>40391</v>
      </c>
      <c r="C64" s="399"/>
      <c r="D64" s="400"/>
      <c r="E64" s="399"/>
      <c r="F64" s="400"/>
      <c r="G64" s="399"/>
      <c r="H64" s="400"/>
      <c r="I64" s="399"/>
      <c r="J64" s="400"/>
      <c r="K64" s="399">
        <v>407004</v>
      </c>
      <c r="L64" s="400">
        <v>0.42148364928762716</v>
      </c>
      <c r="M64" s="399">
        <v>52992147.508850299</v>
      </c>
      <c r="N64" s="400">
        <v>0.5033315246396296</v>
      </c>
      <c r="O64" s="399">
        <v>215989</v>
      </c>
      <c r="P64" s="400">
        <v>0.22367306445633287</v>
      </c>
      <c r="Q64" s="399">
        <v>28715340.211412676</v>
      </c>
      <c r="R64" s="400">
        <v>0.27274486218438559</v>
      </c>
      <c r="S64" s="399">
        <v>326831</v>
      </c>
      <c r="T64" s="400">
        <v>0.33845839986910314</v>
      </c>
      <c r="U64" s="399">
        <v>21402915.253488697</v>
      </c>
      <c r="V64" s="400">
        <v>0.20328977919741931</v>
      </c>
      <c r="W64" s="399">
        <v>15822</v>
      </c>
      <c r="X64" s="400">
        <v>1.6384886386936828E-2</v>
      </c>
      <c r="Y64" s="399">
        <v>2172387.6219518371</v>
      </c>
      <c r="Z64" s="400">
        <v>2.0633833978565632E-2</v>
      </c>
      <c r="AA64" s="399"/>
      <c r="AB64" s="401"/>
      <c r="AC64" s="399"/>
      <c r="AD64" s="401"/>
      <c r="AE64" s="399">
        <v>965646</v>
      </c>
      <c r="AF64" s="400">
        <v>0.99999999999999989</v>
      </c>
      <c r="AG64" s="399">
        <v>105282790.5957035</v>
      </c>
      <c r="AH64" s="400">
        <v>1.0000000000000002</v>
      </c>
    </row>
    <row r="65" spans="2:34" hidden="1" outlineLevel="1" x14ac:dyDescent="0.25">
      <c r="B65" s="219">
        <v>40422</v>
      </c>
      <c r="C65" s="399"/>
      <c r="D65" s="400"/>
      <c r="E65" s="399"/>
      <c r="F65" s="400"/>
      <c r="G65" s="399"/>
      <c r="H65" s="400"/>
      <c r="I65" s="399"/>
      <c r="J65" s="400"/>
      <c r="K65" s="399">
        <v>405711</v>
      </c>
      <c r="L65" s="400">
        <v>0.41614713792488012</v>
      </c>
      <c r="M65" s="399">
        <v>51925780.169300683</v>
      </c>
      <c r="N65" s="400">
        <v>0.50140057751931022</v>
      </c>
      <c r="O65" s="399">
        <v>216293</v>
      </c>
      <c r="P65" s="400">
        <v>0.22185672289680611</v>
      </c>
      <c r="Q65" s="399">
        <v>28713977.193094127</v>
      </c>
      <c r="R65" s="400">
        <v>0.27726506372273146</v>
      </c>
      <c r="S65" s="399">
        <v>337133</v>
      </c>
      <c r="T65" s="400">
        <v>0.34580510030546036</v>
      </c>
      <c r="U65" s="399">
        <v>20907400.645052578</v>
      </c>
      <c r="V65" s="400">
        <v>0.20188397215560108</v>
      </c>
      <c r="W65" s="399">
        <v>15785</v>
      </c>
      <c r="X65" s="400">
        <v>1.6191038872853419E-2</v>
      </c>
      <c r="Y65" s="399">
        <v>2014310.601552939</v>
      </c>
      <c r="Z65" s="400">
        <v>1.9450386602357234E-2</v>
      </c>
      <c r="AA65" s="399"/>
      <c r="AB65" s="401"/>
      <c r="AC65" s="399"/>
      <c r="AD65" s="401"/>
      <c r="AE65" s="399">
        <v>974922</v>
      </c>
      <c r="AF65" s="400">
        <v>1</v>
      </c>
      <c r="AG65" s="399">
        <v>103561468.60900033</v>
      </c>
      <c r="AH65" s="400">
        <v>0.99999999999999989</v>
      </c>
    </row>
    <row r="66" spans="2:34" hidden="1" outlineLevel="1" x14ac:dyDescent="0.25">
      <c r="B66" s="219">
        <v>40452</v>
      </c>
      <c r="C66" s="399"/>
      <c r="D66" s="400"/>
      <c r="E66" s="399"/>
      <c r="F66" s="400"/>
      <c r="G66" s="399"/>
      <c r="H66" s="400"/>
      <c r="I66" s="399"/>
      <c r="J66" s="400"/>
      <c r="K66" s="399">
        <v>405916</v>
      </c>
      <c r="L66" s="400">
        <v>0.41141747446859406</v>
      </c>
      <c r="M66" s="399">
        <v>52488199.16486638</v>
      </c>
      <c r="N66" s="400">
        <v>0.49481363331721656</v>
      </c>
      <c r="O66" s="399">
        <v>216539</v>
      </c>
      <c r="P66" s="400">
        <v>0.21947380370311809</v>
      </c>
      <c r="Q66" s="399">
        <v>28657604.668276776</v>
      </c>
      <c r="R66" s="400">
        <v>0.2701592684393358</v>
      </c>
      <c r="S66" s="399">
        <v>348007</v>
      </c>
      <c r="T66" s="400">
        <v>0.35272362024998277</v>
      </c>
      <c r="U66" s="399">
        <v>22811244.609366924</v>
      </c>
      <c r="V66" s="400">
        <v>0.2150448101714246</v>
      </c>
      <c r="W66" s="399">
        <v>16166</v>
      </c>
      <c r="X66" s="400">
        <v>1.6385101578305097E-2</v>
      </c>
      <c r="Y66" s="399">
        <v>2119655.2509330041</v>
      </c>
      <c r="Z66" s="400">
        <v>1.9982288072022982E-2</v>
      </c>
      <c r="AA66" s="399"/>
      <c r="AB66" s="401"/>
      <c r="AC66" s="399"/>
      <c r="AD66" s="401"/>
      <c r="AE66" s="399">
        <v>986628</v>
      </c>
      <c r="AF66" s="400">
        <v>1.0000000000000002</v>
      </c>
      <c r="AG66" s="399">
        <v>106076703.69344309</v>
      </c>
      <c r="AH66" s="400">
        <v>0.99999999999999989</v>
      </c>
    </row>
    <row r="67" spans="2:34" hidden="1" outlineLevel="1" x14ac:dyDescent="0.25">
      <c r="B67" s="219">
        <v>40483</v>
      </c>
      <c r="C67" s="399"/>
      <c r="D67" s="400"/>
      <c r="E67" s="399"/>
      <c r="F67" s="400"/>
      <c r="G67" s="399"/>
      <c r="H67" s="400"/>
      <c r="I67" s="399"/>
      <c r="J67" s="400"/>
      <c r="K67" s="399">
        <v>406466</v>
      </c>
      <c r="L67" s="400">
        <v>0.40554460266275022</v>
      </c>
      <c r="M67" s="399">
        <v>52772309.915377833</v>
      </c>
      <c r="N67" s="400">
        <v>0.48876839213209133</v>
      </c>
      <c r="O67" s="399">
        <v>216508</v>
      </c>
      <c r="P67" s="400">
        <v>0.21601720890137607</v>
      </c>
      <c r="Q67" s="399">
        <v>28631378.682808716</v>
      </c>
      <c r="R67" s="400">
        <v>0.2651790862625017</v>
      </c>
      <c r="S67" s="399">
        <v>362534</v>
      </c>
      <c r="T67" s="400">
        <v>0.36171218990453691</v>
      </c>
      <c r="U67" s="399">
        <v>24275812.883025832</v>
      </c>
      <c r="V67" s="400">
        <v>0.22483855737151492</v>
      </c>
      <c r="W67" s="399">
        <v>16764</v>
      </c>
      <c r="X67" s="400">
        <v>1.6725998531336803E-2</v>
      </c>
      <c r="Y67" s="399">
        <v>2290471.1374669662</v>
      </c>
      <c r="Z67" s="400">
        <v>2.1213964233892036E-2</v>
      </c>
      <c r="AA67" s="399"/>
      <c r="AB67" s="401"/>
      <c r="AC67" s="399"/>
      <c r="AD67" s="401"/>
      <c r="AE67" s="399">
        <v>1002272</v>
      </c>
      <c r="AF67" s="400">
        <v>1</v>
      </c>
      <c r="AG67" s="399">
        <v>107969972.61867934</v>
      </c>
      <c r="AH67" s="400">
        <v>0.99999999999999989</v>
      </c>
    </row>
    <row r="68" spans="2:34" hidden="1" outlineLevel="1" x14ac:dyDescent="0.25">
      <c r="B68" s="219">
        <v>40513</v>
      </c>
      <c r="C68" s="399"/>
      <c r="D68" s="400"/>
      <c r="E68" s="399"/>
      <c r="F68" s="400"/>
      <c r="G68" s="399"/>
      <c r="H68" s="400"/>
      <c r="I68" s="399"/>
      <c r="J68" s="400"/>
      <c r="K68" s="399">
        <v>407118</v>
      </c>
      <c r="L68" s="400">
        <v>0.40265059168525213</v>
      </c>
      <c r="M68" s="399">
        <v>52791755.590741277</v>
      </c>
      <c r="N68" s="400">
        <v>0.49036701508285668</v>
      </c>
      <c r="O68" s="399">
        <v>216390</v>
      </c>
      <c r="P68" s="400">
        <v>0.21401549804914474</v>
      </c>
      <c r="Q68" s="399">
        <v>28481426.964912459</v>
      </c>
      <c r="R68" s="400">
        <v>0.26455555739339642</v>
      </c>
      <c r="S68" s="399">
        <v>370216</v>
      </c>
      <c r="T68" s="400">
        <v>0.36615352662212752</v>
      </c>
      <c r="U68" s="399">
        <v>24019571.670381654</v>
      </c>
      <c r="V68" s="400">
        <v>0.22311070226350871</v>
      </c>
      <c r="W68" s="399">
        <v>17371</v>
      </c>
      <c r="X68" s="400">
        <v>1.7180383643475638E-2</v>
      </c>
      <c r="Y68" s="399">
        <v>2364885.8006314188</v>
      </c>
      <c r="Z68" s="400">
        <v>2.1966725260238254E-2</v>
      </c>
      <c r="AA68" s="399"/>
      <c r="AB68" s="401"/>
      <c r="AC68" s="399"/>
      <c r="AD68" s="401"/>
      <c r="AE68" s="399">
        <v>1011095</v>
      </c>
      <c r="AF68" s="400">
        <v>1</v>
      </c>
      <c r="AG68" s="399">
        <v>107657640.02666681</v>
      </c>
      <c r="AH68" s="400">
        <v>1.0000000000000002</v>
      </c>
    </row>
    <row r="69" spans="2:34" collapsed="1" x14ac:dyDescent="0.25">
      <c r="B69" s="393" t="s">
        <v>751</v>
      </c>
      <c r="C69" s="394"/>
      <c r="D69" s="391"/>
      <c r="E69" s="394"/>
      <c r="F69" s="391"/>
      <c r="G69" s="394"/>
      <c r="H69" s="391"/>
      <c r="I69" s="394"/>
      <c r="J69" s="391"/>
      <c r="K69" s="394">
        <v>404539.25</v>
      </c>
      <c r="L69" s="391">
        <v>0.42713121669025311</v>
      </c>
      <c r="M69" s="394">
        <v>52458637.845436268</v>
      </c>
      <c r="N69" s="391">
        <v>0.52685149188284774</v>
      </c>
      <c r="O69" s="394">
        <v>215261.16666666666</v>
      </c>
      <c r="P69" s="391">
        <v>0.2272826778229719</v>
      </c>
      <c r="Q69" s="394">
        <v>28645426.382155519</v>
      </c>
      <c r="R69" s="391">
        <v>0.28769114572752608</v>
      </c>
      <c r="S69" s="394">
        <v>313333.41666666669</v>
      </c>
      <c r="T69" s="391">
        <v>0.3308318871173746</v>
      </c>
      <c r="U69" s="394">
        <v>16540105.997767709</v>
      </c>
      <c r="V69" s="391">
        <v>0.16611524581518392</v>
      </c>
      <c r="W69" s="394">
        <v>13973.833333333334</v>
      </c>
      <c r="X69" s="391">
        <v>1.4754218369400452E-2</v>
      </c>
      <c r="Y69" s="394">
        <v>1925895.8248684201</v>
      </c>
      <c r="Z69" s="391">
        <v>1.9342116574442219E-2</v>
      </c>
      <c r="AA69" s="394"/>
      <c r="AB69" s="395"/>
      <c r="AC69" s="394"/>
      <c r="AD69" s="395"/>
      <c r="AE69" s="394">
        <v>947107.66666666663</v>
      </c>
      <c r="AF69" s="391">
        <v>1</v>
      </c>
      <c r="AG69" s="394">
        <v>99570066.050227925</v>
      </c>
      <c r="AH69" s="391">
        <v>0.99999999999999989</v>
      </c>
    </row>
    <row r="70" spans="2:34" hidden="1" outlineLevel="1" x14ac:dyDescent="0.25">
      <c r="B70" s="219">
        <v>40544</v>
      </c>
      <c r="C70" s="399"/>
      <c r="D70" s="400"/>
      <c r="E70" s="399"/>
      <c r="F70" s="400"/>
      <c r="G70" s="399"/>
      <c r="H70" s="400"/>
      <c r="I70" s="399"/>
      <c r="J70" s="400"/>
      <c r="K70" s="399">
        <v>408161</v>
      </c>
      <c r="L70" s="400">
        <v>0.4019207780007602</v>
      </c>
      <c r="M70" s="399">
        <v>53300717.105354302</v>
      </c>
      <c r="N70" s="400">
        <v>0.49319949204690744</v>
      </c>
      <c r="O70" s="399">
        <v>216183</v>
      </c>
      <c r="P70" s="400">
        <v>0.2128778583709329</v>
      </c>
      <c r="Q70" s="399">
        <v>28150701.405094869</v>
      </c>
      <c r="R70" s="400">
        <v>0.26048264240636737</v>
      </c>
      <c r="S70" s="399">
        <v>372853</v>
      </c>
      <c r="T70" s="400">
        <v>0.36715258890466618</v>
      </c>
      <c r="U70" s="399">
        <v>23909082.458545122</v>
      </c>
      <c r="V70" s="400">
        <v>0.22123430910983979</v>
      </c>
      <c r="W70" s="399">
        <v>18329</v>
      </c>
      <c r="X70" s="400">
        <v>1.8048774723640755E-2</v>
      </c>
      <c r="Y70" s="399">
        <v>2710812.9006577679</v>
      </c>
      <c r="Z70" s="400">
        <v>2.5083556436885351E-2</v>
      </c>
      <c r="AA70" s="399"/>
      <c r="AB70" s="401"/>
      <c r="AC70" s="399"/>
      <c r="AD70" s="401"/>
      <c r="AE70" s="399">
        <v>1015526</v>
      </c>
      <c r="AF70" s="400">
        <v>1</v>
      </c>
      <c r="AG70" s="399">
        <v>108071313.86965206</v>
      </c>
      <c r="AH70" s="400">
        <v>0.99999999999999989</v>
      </c>
    </row>
    <row r="71" spans="2:34" hidden="1" outlineLevel="1" x14ac:dyDescent="0.25">
      <c r="B71" s="219">
        <v>40575</v>
      </c>
      <c r="C71" s="399"/>
      <c r="D71" s="400"/>
      <c r="E71" s="399"/>
      <c r="F71" s="400"/>
      <c r="G71" s="399"/>
      <c r="H71" s="400"/>
      <c r="I71" s="399"/>
      <c r="J71" s="400"/>
      <c r="K71" s="399">
        <v>407627</v>
      </c>
      <c r="L71" s="400">
        <v>0.39832102587253987</v>
      </c>
      <c r="M71" s="399">
        <v>52207292.128824443</v>
      </c>
      <c r="N71" s="400">
        <v>0.48441660651244034</v>
      </c>
      <c r="O71" s="399">
        <v>215873</v>
      </c>
      <c r="P71" s="400">
        <v>0.21094469899732549</v>
      </c>
      <c r="Q71" s="399">
        <v>27942889.001633938</v>
      </c>
      <c r="R71" s="400">
        <v>0.25927411505895498</v>
      </c>
      <c r="S71" s="399">
        <v>381231</v>
      </c>
      <c r="T71" s="400">
        <v>0.37252763682095208</v>
      </c>
      <c r="U71" s="399">
        <v>25220901.490053196</v>
      </c>
      <c r="V71" s="400">
        <v>0.23401756756218914</v>
      </c>
      <c r="W71" s="399">
        <v>18632</v>
      </c>
      <c r="X71" s="400">
        <v>1.8206638309182569E-2</v>
      </c>
      <c r="Y71" s="399">
        <v>2402456.5747920126</v>
      </c>
      <c r="Z71" s="400">
        <v>2.2291710866415564E-2</v>
      </c>
      <c r="AA71" s="399"/>
      <c r="AB71" s="401"/>
      <c r="AC71" s="399"/>
      <c r="AD71" s="401"/>
      <c r="AE71" s="399">
        <v>1023363</v>
      </c>
      <c r="AF71" s="400">
        <v>1</v>
      </c>
      <c r="AG71" s="399">
        <v>107773539.19530359</v>
      </c>
      <c r="AH71" s="400">
        <v>1</v>
      </c>
    </row>
    <row r="72" spans="2:34" hidden="1" outlineLevel="1" x14ac:dyDescent="0.25">
      <c r="B72" s="219">
        <v>40603</v>
      </c>
      <c r="C72" s="399"/>
      <c r="D72" s="400"/>
      <c r="E72" s="399"/>
      <c r="F72" s="400"/>
      <c r="G72" s="399"/>
      <c r="H72" s="400"/>
      <c r="I72" s="399"/>
      <c r="J72" s="400"/>
      <c r="K72" s="399">
        <v>408158</v>
      </c>
      <c r="L72" s="400">
        <v>0.39701768379277474</v>
      </c>
      <c r="M72" s="399">
        <v>52188992.280245163</v>
      </c>
      <c r="N72" s="400">
        <v>0.48977940697454186</v>
      </c>
      <c r="O72" s="399">
        <v>215968</v>
      </c>
      <c r="P72" s="400">
        <v>0.21007334202283914</v>
      </c>
      <c r="Q72" s="399">
        <v>27999217.94711012</v>
      </c>
      <c r="R72" s="400">
        <v>0.26276499627062971</v>
      </c>
      <c r="S72" s="399">
        <v>384417</v>
      </c>
      <c r="T72" s="400">
        <v>0.37392467365717952</v>
      </c>
      <c r="U72" s="399">
        <v>23575452.3187383</v>
      </c>
      <c r="V72" s="400">
        <v>0.22124916675578299</v>
      </c>
      <c r="W72" s="399">
        <v>19517</v>
      </c>
      <c r="X72" s="400">
        <v>1.8984300527206583E-2</v>
      </c>
      <c r="Y72" s="399">
        <v>2792455.4471602235</v>
      </c>
      <c r="Z72" s="400">
        <v>2.6206429999045357E-2</v>
      </c>
      <c r="AA72" s="399"/>
      <c r="AB72" s="401"/>
      <c r="AC72" s="399"/>
      <c r="AD72" s="401"/>
      <c r="AE72" s="399">
        <v>1028060</v>
      </c>
      <c r="AF72" s="400">
        <v>1</v>
      </c>
      <c r="AG72" s="399">
        <v>106556117.99325381</v>
      </c>
      <c r="AH72" s="400">
        <v>0.99999999999999989</v>
      </c>
    </row>
    <row r="73" spans="2:34" hidden="1" outlineLevel="1" x14ac:dyDescent="0.25">
      <c r="B73" s="219">
        <v>40634</v>
      </c>
      <c r="C73" s="399"/>
      <c r="D73" s="400"/>
      <c r="E73" s="399"/>
      <c r="F73" s="400"/>
      <c r="G73" s="399"/>
      <c r="H73" s="400"/>
      <c r="I73" s="399"/>
      <c r="J73" s="400"/>
      <c r="K73" s="399">
        <v>403355</v>
      </c>
      <c r="L73" s="400">
        <v>0.39436004180643697</v>
      </c>
      <c r="M73" s="399">
        <v>50478560.831445299</v>
      </c>
      <c r="N73" s="400">
        <v>0.48945379262799216</v>
      </c>
      <c r="O73" s="399">
        <v>215453</v>
      </c>
      <c r="P73" s="400">
        <v>0.21064832241405776</v>
      </c>
      <c r="Q73" s="399">
        <v>27924361.883178771</v>
      </c>
      <c r="R73" s="400">
        <v>0.27076217319421264</v>
      </c>
      <c r="S73" s="399">
        <v>383911</v>
      </c>
      <c r="T73" s="400">
        <v>0.3753496498368708</v>
      </c>
      <c r="U73" s="399">
        <v>22341979.650858443</v>
      </c>
      <c r="V73" s="400">
        <v>0.21663388366884603</v>
      </c>
      <c r="W73" s="399">
        <v>20090</v>
      </c>
      <c r="X73" s="400">
        <v>1.964198594263445E-2</v>
      </c>
      <c r="Y73" s="399">
        <v>2387531.3631725749</v>
      </c>
      <c r="Z73" s="400">
        <v>2.3150150508949009E-2</v>
      </c>
      <c r="AA73" s="399"/>
      <c r="AB73" s="401"/>
      <c r="AC73" s="399"/>
      <c r="AD73" s="401"/>
      <c r="AE73" s="399">
        <v>1022809</v>
      </c>
      <c r="AF73" s="400">
        <v>1</v>
      </c>
      <c r="AG73" s="399">
        <v>103132433.7286551</v>
      </c>
      <c r="AH73" s="400">
        <v>0.99999999999999978</v>
      </c>
    </row>
    <row r="74" spans="2:34" hidden="1" outlineLevel="1" x14ac:dyDescent="0.25">
      <c r="B74" s="219">
        <v>40664</v>
      </c>
      <c r="C74" s="399"/>
      <c r="D74" s="400"/>
      <c r="E74" s="399"/>
      <c r="F74" s="400"/>
      <c r="G74" s="399"/>
      <c r="H74" s="400"/>
      <c r="I74" s="399"/>
      <c r="J74" s="400"/>
      <c r="K74" s="399">
        <v>406131</v>
      </c>
      <c r="L74" s="400">
        <v>0.3934630632166759</v>
      </c>
      <c r="M74" s="399">
        <v>52533617.065189086</v>
      </c>
      <c r="N74" s="400">
        <v>0.48762634671125832</v>
      </c>
      <c r="O74" s="399">
        <v>215354</v>
      </c>
      <c r="P74" s="400">
        <v>0.20863673178349848</v>
      </c>
      <c r="Q74" s="399">
        <v>27574010.962073158</v>
      </c>
      <c r="R74" s="400">
        <v>0.25594685804571543</v>
      </c>
      <c r="S74" s="399">
        <v>389170</v>
      </c>
      <c r="T74" s="400">
        <v>0.37703110649527805</v>
      </c>
      <c r="U74" s="399">
        <v>24385386.560605336</v>
      </c>
      <c r="V74" s="400">
        <v>0.22634948107483788</v>
      </c>
      <c r="W74" s="399">
        <v>21541</v>
      </c>
      <c r="X74" s="400">
        <v>2.0869098504547587E-2</v>
      </c>
      <c r="Y74" s="399">
        <v>3240329.6407538308</v>
      </c>
      <c r="Z74" s="400">
        <v>3.0077314168188381E-2</v>
      </c>
      <c r="AA74" s="399"/>
      <c r="AB74" s="401"/>
      <c r="AC74" s="399"/>
      <c r="AD74" s="401"/>
      <c r="AE74" s="399">
        <v>1032196</v>
      </c>
      <c r="AF74" s="400">
        <v>1</v>
      </c>
      <c r="AG74" s="399">
        <v>107733344.22862141</v>
      </c>
      <c r="AH74" s="400">
        <v>1</v>
      </c>
    </row>
    <row r="75" spans="2:34" hidden="1" outlineLevel="1" x14ac:dyDescent="0.25">
      <c r="B75" s="219">
        <v>40695</v>
      </c>
      <c r="C75" s="399"/>
      <c r="D75" s="400"/>
      <c r="E75" s="399"/>
      <c r="F75" s="400"/>
      <c r="G75" s="399"/>
      <c r="H75" s="400"/>
      <c r="I75" s="399"/>
      <c r="J75" s="400"/>
      <c r="K75" s="399">
        <v>406612</v>
      </c>
      <c r="L75" s="400">
        <v>0.39025410877652328</v>
      </c>
      <c r="M75" s="399">
        <v>51475126.046955213</v>
      </c>
      <c r="N75" s="400">
        <v>0.47884412502391205</v>
      </c>
      <c r="O75" s="399">
        <v>215443</v>
      </c>
      <c r="P75" s="400">
        <v>0.20677578614782766</v>
      </c>
      <c r="Q75" s="399">
        <v>27632843.969435982</v>
      </c>
      <c r="R75" s="400">
        <v>0.25705279440009315</v>
      </c>
      <c r="S75" s="399">
        <v>397492</v>
      </c>
      <c r="T75" s="400">
        <v>0.38150100391970176</v>
      </c>
      <c r="U75" s="399">
        <v>25350914.102631539</v>
      </c>
      <c r="V75" s="400">
        <v>0.2358252852252897</v>
      </c>
      <c r="W75" s="399">
        <v>22369</v>
      </c>
      <c r="X75" s="400">
        <v>2.1469101155947311E-2</v>
      </c>
      <c r="Y75" s="399">
        <v>3039826.540494509</v>
      </c>
      <c r="Z75" s="400">
        <v>2.8277795350705286E-2</v>
      </c>
      <c r="AA75" s="399"/>
      <c r="AB75" s="401"/>
      <c r="AC75" s="399"/>
      <c r="AD75" s="401"/>
      <c r="AE75" s="399">
        <v>1041916</v>
      </c>
      <c r="AF75" s="400">
        <v>1</v>
      </c>
      <c r="AG75" s="399">
        <v>107498710.65951723</v>
      </c>
      <c r="AH75" s="400">
        <v>1.0000000000000002</v>
      </c>
    </row>
    <row r="76" spans="2:34" hidden="1" outlineLevel="1" x14ac:dyDescent="0.25">
      <c r="B76" s="219">
        <v>40725</v>
      </c>
      <c r="C76" s="399"/>
      <c r="D76" s="400"/>
      <c r="E76" s="399"/>
      <c r="F76" s="400"/>
      <c r="G76" s="399"/>
      <c r="H76" s="400"/>
      <c r="I76" s="399"/>
      <c r="J76" s="400"/>
      <c r="K76" s="399">
        <v>405603</v>
      </c>
      <c r="L76" s="400">
        <v>0.38809004847262435</v>
      </c>
      <c r="M76" s="399">
        <v>52928335.179671906</v>
      </c>
      <c r="N76" s="400">
        <v>0.4576944839403716</v>
      </c>
      <c r="O76" s="399">
        <v>214230</v>
      </c>
      <c r="P76" s="400">
        <v>0.2049800693887627</v>
      </c>
      <c r="Q76" s="399">
        <v>28158957.547686275</v>
      </c>
      <c r="R76" s="400">
        <v>0.24350283263844374</v>
      </c>
      <c r="S76" s="399">
        <v>402342</v>
      </c>
      <c r="T76" s="400">
        <v>0.38496985052519983</v>
      </c>
      <c r="U76" s="399">
        <v>31492031.499089073</v>
      </c>
      <c r="V76" s="400">
        <v>0.27232538216590946</v>
      </c>
      <c r="W76" s="399">
        <v>22951</v>
      </c>
      <c r="X76" s="400">
        <v>2.196003161341312E-2</v>
      </c>
      <c r="Y76" s="399">
        <v>3061866.6483097221</v>
      </c>
      <c r="Z76" s="400">
        <v>2.6477301255275202E-2</v>
      </c>
      <c r="AA76" s="399"/>
      <c r="AB76" s="401"/>
      <c r="AC76" s="399"/>
      <c r="AD76" s="401"/>
      <c r="AE76" s="399">
        <v>1045126</v>
      </c>
      <c r="AF76" s="400">
        <v>1</v>
      </c>
      <c r="AG76" s="399">
        <v>115641190.87475698</v>
      </c>
      <c r="AH76" s="400">
        <v>1</v>
      </c>
    </row>
    <row r="77" spans="2:34" hidden="1" outlineLevel="1" x14ac:dyDescent="0.25">
      <c r="B77" s="219">
        <v>40756</v>
      </c>
      <c r="C77" s="399"/>
      <c r="D77" s="400"/>
      <c r="E77" s="399"/>
      <c r="F77" s="400"/>
      <c r="G77" s="399"/>
      <c r="H77" s="400"/>
      <c r="I77" s="399"/>
      <c r="J77" s="400"/>
      <c r="K77" s="399">
        <v>405997</v>
      </c>
      <c r="L77" s="400">
        <v>0.38525524297354719</v>
      </c>
      <c r="M77" s="399">
        <v>52931842.106564961</v>
      </c>
      <c r="N77" s="400">
        <v>0.45146023061924567</v>
      </c>
      <c r="O77" s="399">
        <v>214543</v>
      </c>
      <c r="P77" s="400">
        <v>0.20358233088735567</v>
      </c>
      <c r="Q77" s="399">
        <v>28252839.354623996</v>
      </c>
      <c r="R77" s="400">
        <v>0.24097089508065855</v>
      </c>
      <c r="S77" s="399">
        <v>409747</v>
      </c>
      <c r="T77" s="400">
        <v>0.38881366128981754</v>
      </c>
      <c r="U77" s="399">
        <v>32882483.343556274</v>
      </c>
      <c r="V77" s="400">
        <v>0.28045752656271578</v>
      </c>
      <c r="W77" s="399">
        <v>23552</v>
      </c>
      <c r="X77" s="400">
        <v>2.2348764849279633E-2</v>
      </c>
      <c r="Y77" s="399">
        <v>3178693.2278902614</v>
      </c>
      <c r="Z77" s="400">
        <v>2.7111347737379936E-2</v>
      </c>
      <c r="AA77" s="399"/>
      <c r="AB77" s="401"/>
      <c r="AC77" s="399"/>
      <c r="AD77" s="401"/>
      <c r="AE77" s="399">
        <v>1053839</v>
      </c>
      <c r="AF77" s="400">
        <v>1</v>
      </c>
      <c r="AG77" s="399">
        <v>117245858.0326355</v>
      </c>
      <c r="AH77" s="400">
        <v>1</v>
      </c>
    </row>
    <row r="78" spans="2:34" hidden="1" outlineLevel="1" x14ac:dyDescent="0.25">
      <c r="B78" s="219">
        <v>40787</v>
      </c>
      <c r="C78" s="399"/>
      <c r="D78" s="400"/>
      <c r="E78" s="399"/>
      <c r="F78" s="400"/>
      <c r="G78" s="399"/>
      <c r="H78" s="400"/>
      <c r="I78" s="399"/>
      <c r="J78" s="400"/>
      <c r="K78" s="399">
        <v>405744</v>
      </c>
      <c r="L78" s="400">
        <v>0.38511420240554001</v>
      </c>
      <c r="M78" s="399">
        <v>52707730.055546016</v>
      </c>
      <c r="N78" s="400">
        <v>0.45972646739031831</v>
      </c>
      <c r="O78" s="399">
        <v>214849</v>
      </c>
      <c r="P78" s="400">
        <v>0.2039251381970599</v>
      </c>
      <c r="Q78" s="399">
        <v>28643959.306847766</v>
      </c>
      <c r="R78" s="400">
        <v>0.24983785509889453</v>
      </c>
      <c r="S78" s="399">
        <v>409464</v>
      </c>
      <c r="T78" s="400">
        <v>0.38864506135341997</v>
      </c>
      <c r="U78" s="399">
        <v>30420317.294931978</v>
      </c>
      <c r="V78" s="400">
        <v>0.26533157455564049</v>
      </c>
      <c r="W78" s="399">
        <v>23511</v>
      </c>
      <c r="X78" s="400">
        <v>2.2315598043980076E-2</v>
      </c>
      <c r="Y78" s="399">
        <v>2878190.3494868712</v>
      </c>
      <c r="Z78" s="400">
        <v>2.5104102955146656E-2</v>
      </c>
      <c r="AA78" s="399"/>
      <c r="AB78" s="401"/>
      <c r="AC78" s="399"/>
      <c r="AD78" s="401"/>
      <c r="AE78" s="399">
        <v>1053568</v>
      </c>
      <c r="AF78" s="400">
        <v>0.99999999999999989</v>
      </c>
      <c r="AG78" s="399">
        <v>114650197.00681263</v>
      </c>
      <c r="AH78" s="400">
        <v>1</v>
      </c>
    </row>
    <row r="79" spans="2:34" hidden="1" outlineLevel="1" x14ac:dyDescent="0.25">
      <c r="B79" s="219">
        <v>40817</v>
      </c>
      <c r="C79" s="399"/>
      <c r="D79" s="400"/>
      <c r="E79" s="399"/>
      <c r="F79" s="400"/>
      <c r="G79" s="399"/>
      <c r="H79" s="400"/>
      <c r="I79" s="399"/>
      <c r="J79" s="400"/>
      <c r="K79" s="399">
        <v>403625</v>
      </c>
      <c r="L79" s="400">
        <v>0.37899843940438205</v>
      </c>
      <c r="M79" s="399">
        <v>51877268.739809036</v>
      </c>
      <c r="N79" s="400">
        <v>0.43739465880348816</v>
      </c>
      <c r="O79" s="399">
        <v>214346</v>
      </c>
      <c r="P79" s="400">
        <v>0.20126800741423767</v>
      </c>
      <c r="Q79" s="399">
        <v>28052586.839567166</v>
      </c>
      <c r="R79" s="400">
        <v>0.23652077195482804</v>
      </c>
      <c r="S79" s="399">
        <v>422164</v>
      </c>
      <c r="T79" s="400">
        <v>0.39640631074069138</v>
      </c>
      <c r="U79" s="399">
        <v>35081656.68441084</v>
      </c>
      <c r="V79" s="400">
        <v>0.29578521823690507</v>
      </c>
      <c r="W79" s="399">
        <v>24843</v>
      </c>
      <c r="X79" s="400">
        <v>2.3327242440688914E-2</v>
      </c>
      <c r="Y79" s="399">
        <v>3593659.7374475547</v>
      </c>
      <c r="Z79" s="400">
        <v>3.0299351004778669E-2</v>
      </c>
      <c r="AA79" s="399"/>
      <c r="AB79" s="401"/>
      <c r="AC79" s="399"/>
      <c r="AD79" s="401"/>
      <c r="AE79" s="399">
        <v>1064978</v>
      </c>
      <c r="AF79" s="400">
        <v>1</v>
      </c>
      <c r="AG79" s="399">
        <v>118605172.00123461</v>
      </c>
      <c r="AH79" s="400">
        <v>0.99999999999999989</v>
      </c>
    </row>
    <row r="80" spans="2:34" hidden="1" outlineLevel="1" x14ac:dyDescent="0.25">
      <c r="B80" s="219">
        <v>40848</v>
      </c>
      <c r="C80" s="399"/>
      <c r="D80" s="400"/>
      <c r="E80" s="399"/>
      <c r="F80" s="400"/>
      <c r="G80" s="399"/>
      <c r="H80" s="400"/>
      <c r="I80" s="399"/>
      <c r="J80" s="400"/>
      <c r="K80" s="399">
        <v>401693</v>
      </c>
      <c r="L80" s="400">
        <v>0.3778840382838855</v>
      </c>
      <c r="M80" s="399">
        <v>50893833.56990698</v>
      </c>
      <c r="N80" s="400">
        <v>0.44669860673176243</v>
      </c>
      <c r="O80" s="399">
        <v>213867</v>
      </c>
      <c r="P80" s="400">
        <v>0.20119077408782265</v>
      </c>
      <c r="Q80" s="399">
        <v>27695304.803242389</v>
      </c>
      <c r="R80" s="400">
        <v>0.24308355651037028</v>
      </c>
      <c r="S80" s="399">
        <v>422687</v>
      </c>
      <c r="T80" s="400">
        <v>0.39763369162544709</v>
      </c>
      <c r="U80" s="399">
        <v>32319873.28155395</v>
      </c>
      <c r="V80" s="400">
        <v>0.2836737056717587</v>
      </c>
      <c r="W80" s="399">
        <v>24759</v>
      </c>
      <c r="X80" s="400">
        <v>2.3291496002844764E-2</v>
      </c>
      <c r="Y80" s="399">
        <v>3024259.6896332577</v>
      </c>
      <c r="Z80" s="400">
        <v>2.6544131086108664E-2</v>
      </c>
      <c r="AA80" s="399"/>
      <c r="AB80" s="401"/>
      <c r="AC80" s="399"/>
      <c r="AD80" s="401"/>
      <c r="AE80" s="399">
        <v>1063006</v>
      </c>
      <c r="AF80" s="400">
        <v>1</v>
      </c>
      <c r="AG80" s="399">
        <v>113933271.34433657</v>
      </c>
      <c r="AH80" s="400">
        <v>1.0000000000000002</v>
      </c>
    </row>
    <row r="81" spans="2:34" hidden="1" outlineLevel="1" x14ac:dyDescent="0.25">
      <c r="B81" s="219">
        <v>40878</v>
      </c>
      <c r="C81" s="399"/>
      <c r="D81" s="400"/>
      <c r="E81" s="399"/>
      <c r="F81" s="400"/>
      <c r="G81" s="399"/>
      <c r="H81" s="400"/>
      <c r="I81" s="399"/>
      <c r="J81" s="400"/>
      <c r="K81" s="399">
        <v>405116</v>
      </c>
      <c r="L81" s="400">
        <v>0.37454835930074742</v>
      </c>
      <c r="M81" s="399">
        <v>53229500.642263688</v>
      </c>
      <c r="N81" s="400">
        <v>0.44180205287802499</v>
      </c>
      <c r="O81" s="399">
        <v>213801</v>
      </c>
      <c r="P81" s="400">
        <v>0.19766884982784955</v>
      </c>
      <c r="Q81" s="399">
        <v>27774146.851264924</v>
      </c>
      <c r="R81" s="400">
        <v>0.23052395659864192</v>
      </c>
      <c r="S81" s="399">
        <v>436791</v>
      </c>
      <c r="T81" s="400">
        <v>0.40383335244061641</v>
      </c>
      <c r="U81" s="399">
        <v>35810761.308983631</v>
      </c>
      <c r="V81" s="400">
        <v>0.29722743348210162</v>
      </c>
      <c r="W81" s="399">
        <v>25904</v>
      </c>
      <c r="X81" s="400">
        <v>2.3949438430786639E-2</v>
      </c>
      <c r="Y81" s="399">
        <v>3668283.1531079211</v>
      </c>
      <c r="Z81" s="400">
        <v>3.0446557041231569E-2</v>
      </c>
      <c r="AA81" s="399"/>
      <c r="AB81" s="401"/>
      <c r="AC81" s="399"/>
      <c r="AD81" s="401"/>
      <c r="AE81" s="399">
        <v>1081612</v>
      </c>
      <c r="AF81" s="400">
        <v>1</v>
      </c>
      <c r="AG81" s="399">
        <v>120482691.95562015</v>
      </c>
      <c r="AH81" s="400">
        <v>1</v>
      </c>
    </row>
    <row r="82" spans="2:34" collapsed="1" x14ac:dyDescent="0.25">
      <c r="B82" s="393" t="s">
        <v>752</v>
      </c>
      <c r="C82" s="394"/>
      <c r="D82" s="391"/>
      <c r="E82" s="394"/>
      <c r="F82" s="391"/>
      <c r="G82" s="394"/>
      <c r="H82" s="391"/>
      <c r="I82" s="394"/>
      <c r="J82" s="391"/>
      <c r="K82" s="394">
        <v>405651.83333333331</v>
      </c>
      <c r="L82" s="391">
        <v>0.38861746675853959</v>
      </c>
      <c r="M82" s="394">
        <v>52229401.312647998</v>
      </c>
      <c r="N82" s="391">
        <v>0.4672643523101207</v>
      </c>
      <c r="O82" s="394">
        <v>214992.5</v>
      </c>
      <c r="P82" s="391">
        <v>0.20596441050330597</v>
      </c>
      <c r="Q82" s="394">
        <v>27983484.989313286</v>
      </c>
      <c r="R82" s="391">
        <v>0.25035104099010641</v>
      </c>
      <c r="S82" s="394">
        <v>401022.41666666669</v>
      </c>
      <c r="T82" s="391">
        <v>0.38418245123602518</v>
      </c>
      <c r="U82" s="394">
        <v>28565903.332829803</v>
      </c>
      <c r="V82" s="391">
        <v>0.25556157994359191</v>
      </c>
      <c r="W82" s="394">
        <v>22166.5</v>
      </c>
      <c r="X82" s="391">
        <v>2.1235671502129291E-2</v>
      </c>
      <c r="Y82" s="394">
        <v>2998197.1060755425</v>
      </c>
      <c r="Z82" s="391">
        <v>2.6823026756180892E-2</v>
      </c>
      <c r="AA82" s="394"/>
      <c r="AB82" s="395"/>
      <c r="AC82" s="394"/>
      <c r="AD82" s="395"/>
      <c r="AE82" s="394">
        <v>1043833.25</v>
      </c>
      <c r="AF82" s="391">
        <v>0.99999999999999989</v>
      </c>
      <c r="AG82" s="394">
        <v>111776986.74086663</v>
      </c>
      <c r="AH82" s="391">
        <v>1</v>
      </c>
    </row>
    <row r="83" spans="2:34" hidden="1" outlineLevel="1" x14ac:dyDescent="0.25">
      <c r="B83" s="219">
        <v>40909</v>
      </c>
      <c r="C83" s="399"/>
      <c r="D83" s="400"/>
      <c r="E83" s="399"/>
      <c r="F83" s="400"/>
      <c r="G83" s="399"/>
      <c r="H83" s="400"/>
      <c r="I83" s="399"/>
      <c r="J83" s="400"/>
      <c r="K83" s="399">
        <v>405147</v>
      </c>
      <c r="L83" s="400">
        <v>0.37581396815738016</v>
      </c>
      <c r="M83" s="399">
        <v>51763101.485681288</v>
      </c>
      <c r="N83" s="400">
        <v>0.45393341351649913</v>
      </c>
      <c r="O83" s="399">
        <v>212218</v>
      </c>
      <c r="P83" s="400">
        <v>0.19685321301755387</v>
      </c>
      <c r="Q83" s="399">
        <v>27337072.190176889</v>
      </c>
      <c r="R83" s="400">
        <v>0.23973081478254527</v>
      </c>
      <c r="S83" s="399">
        <v>434885</v>
      </c>
      <c r="T83" s="400">
        <v>0.40339890840145004</v>
      </c>
      <c r="U83" s="399">
        <v>31817720.688550353</v>
      </c>
      <c r="V83" s="400">
        <v>0.27902359302143931</v>
      </c>
      <c r="W83" s="399">
        <v>25802</v>
      </c>
      <c r="X83" s="400">
        <v>2.393391042361593E-2</v>
      </c>
      <c r="Y83" s="399">
        <v>3114472.3756526867</v>
      </c>
      <c r="Z83" s="400">
        <v>2.7312178679516328E-2</v>
      </c>
      <c r="AA83" s="399"/>
      <c r="AB83" s="401"/>
      <c r="AC83" s="399"/>
      <c r="AD83" s="401"/>
      <c r="AE83" s="399">
        <v>1078052</v>
      </c>
      <c r="AF83" s="400">
        <v>0.99999999999999989</v>
      </c>
      <c r="AG83" s="399">
        <v>114032366.74006121</v>
      </c>
      <c r="AH83" s="400">
        <v>1</v>
      </c>
    </row>
    <row r="84" spans="2:34" hidden="1" outlineLevel="1" x14ac:dyDescent="0.25">
      <c r="B84" s="219">
        <v>40940</v>
      </c>
      <c r="C84" s="399"/>
      <c r="D84" s="400"/>
      <c r="E84" s="399"/>
      <c r="F84" s="400"/>
      <c r="G84" s="399"/>
      <c r="H84" s="400"/>
      <c r="I84" s="399"/>
      <c r="J84" s="400"/>
      <c r="K84" s="399">
        <v>405788</v>
      </c>
      <c r="L84" s="400">
        <v>0.37228120263778847</v>
      </c>
      <c r="M84" s="399">
        <v>51845163.10464102</v>
      </c>
      <c r="N84" s="400">
        <v>0.43889155242458833</v>
      </c>
      <c r="O84" s="399">
        <v>211479</v>
      </c>
      <c r="P84" s="400">
        <v>0.19401671920470018</v>
      </c>
      <c r="Q84" s="399">
        <v>26987648.685005136</v>
      </c>
      <c r="R84" s="400">
        <v>0.22846202651045391</v>
      </c>
      <c r="S84" s="399">
        <v>445464</v>
      </c>
      <c r="T84" s="400">
        <v>0.40868106906029705</v>
      </c>
      <c r="U84" s="399">
        <v>35348252.294890359</v>
      </c>
      <c r="V84" s="400">
        <v>0.29923812360061181</v>
      </c>
      <c r="W84" s="399">
        <v>27273</v>
      </c>
      <c r="X84" s="400">
        <v>2.5021009097214324E-2</v>
      </c>
      <c r="Y84" s="399">
        <v>3946438.7535346565</v>
      </c>
      <c r="Z84" s="400">
        <v>3.3408297464345989E-2</v>
      </c>
      <c r="AA84" s="399"/>
      <c r="AB84" s="401"/>
      <c r="AC84" s="399"/>
      <c r="AD84" s="401"/>
      <c r="AE84" s="399">
        <v>1090004</v>
      </c>
      <c r="AF84" s="400">
        <v>1</v>
      </c>
      <c r="AG84" s="399">
        <v>118127502.83807117</v>
      </c>
      <c r="AH84" s="400">
        <v>1</v>
      </c>
    </row>
    <row r="85" spans="2:34" hidden="1" outlineLevel="1" x14ac:dyDescent="0.25">
      <c r="B85" s="219">
        <v>40969</v>
      </c>
      <c r="C85" s="399"/>
      <c r="D85" s="400"/>
      <c r="E85" s="399"/>
      <c r="F85" s="400"/>
      <c r="G85" s="399"/>
      <c r="H85" s="400"/>
      <c r="I85" s="399"/>
      <c r="J85" s="400"/>
      <c r="K85" s="399">
        <v>405724</v>
      </c>
      <c r="L85" s="400">
        <v>0.36716306614154987</v>
      </c>
      <c r="M85" s="399">
        <v>51731559.21206183</v>
      </c>
      <c r="N85" s="400">
        <v>0.43558475508604416</v>
      </c>
      <c r="O85" s="399">
        <v>211975</v>
      </c>
      <c r="P85" s="400">
        <v>0.19182841277655507</v>
      </c>
      <c r="Q85" s="399">
        <v>27334951.843681071</v>
      </c>
      <c r="R85" s="400">
        <v>0.23016295053682517</v>
      </c>
      <c r="S85" s="399">
        <v>459460</v>
      </c>
      <c r="T85" s="400">
        <v>0.41579187420363722</v>
      </c>
      <c r="U85" s="399">
        <v>36041975.358940691</v>
      </c>
      <c r="V85" s="400">
        <v>0.30347693455721186</v>
      </c>
      <c r="W85" s="399">
        <v>27865</v>
      </c>
      <c r="X85" s="400">
        <v>2.5216646878257847E-2</v>
      </c>
      <c r="Y85" s="399">
        <v>3654988.6794870701</v>
      </c>
      <c r="Z85" s="400">
        <v>3.0775359819918826E-2</v>
      </c>
      <c r="AA85" s="399"/>
      <c r="AB85" s="401"/>
      <c r="AC85" s="399"/>
      <c r="AD85" s="401"/>
      <c r="AE85" s="399">
        <v>1105024</v>
      </c>
      <c r="AF85" s="400">
        <v>1</v>
      </c>
      <c r="AG85" s="399">
        <v>118763475.09417066</v>
      </c>
      <c r="AH85" s="400">
        <v>1</v>
      </c>
    </row>
    <row r="86" spans="2:34" hidden="1" outlineLevel="1" x14ac:dyDescent="0.25">
      <c r="B86" s="219">
        <v>41000</v>
      </c>
      <c r="C86" s="399"/>
      <c r="D86" s="400"/>
      <c r="E86" s="399"/>
      <c r="F86" s="400"/>
      <c r="G86" s="399"/>
      <c r="H86" s="400"/>
      <c r="I86" s="399"/>
      <c r="J86" s="400"/>
      <c r="K86" s="399">
        <v>405278</v>
      </c>
      <c r="L86" s="400">
        <v>0.3653901809018496</v>
      </c>
      <c r="M86" s="399">
        <v>51572135.187499493</v>
      </c>
      <c r="N86" s="400">
        <v>0.44139917627248509</v>
      </c>
      <c r="O86" s="399">
        <v>210835</v>
      </c>
      <c r="P86" s="400">
        <v>0.19008443288419666</v>
      </c>
      <c r="Q86" s="399">
        <v>27245768.92516258</v>
      </c>
      <c r="R86" s="400">
        <v>0.2331929813794536</v>
      </c>
      <c r="S86" s="399">
        <v>464267</v>
      </c>
      <c r="T86" s="400">
        <v>0.41857343136503589</v>
      </c>
      <c r="U86" s="399">
        <v>34319041.907416895</v>
      </c>
      <c r="V86" s="400">
        <v>0.29373220195983885</v>
      </c>
      <c r="W86" s="399">
        <v>28785</v>
      </c>
      <c r="X86" s="400">
        <v>2.595195484891788E-2</v>
      </c>
      <c r="Y86" s="399">
        <v>3700914.0389595684</v>
      </c>
      <c r="Z86" s="400">
        <v>3.1675640388222487E-2</v>
      </c>
      <c r="AA86" s="399"/>
      <c r="AB86" s="401"/>
      <c r="AC86" s="399"/>
      <c r="AD86" s="401"/>
      <c r="AE86" s="399">
        <v>1109165</v>
      </c>
      <c r="AF86" s="400">
        <v>1</v>
      </c>
      <c r="AG86" s="399">
        <v>116837860.05903853</v>
      </c>
      <c r="AH86" s="400">
        <v>1</v>
      </c>
    </row>
    <row r="87" spans="2:34" hidden="1" outlineLevel="1" x14ac:dyDescent="0.25">
      <c r="B87" s="219">
        <v>41030</v>
      </c>
      <c r="C87" s="399"/>
      <c r="D87" s="400"/>
      <c r="E87" s="399"/>
      <c r="F87" s="400"/>
      <c r="G87" s="399"/>
      <c r="H87" s="400"/>
      <c r="I87" s="399"/>
      <c r="J87" s="400"/>
      <c r="K87" s="399">
        <v>405077</v>
      </c>
      <c r="L87" s="400">
        <v>0.36230928712874827</v>
      </c>
      <c r="M87" s="399">
        <v>51358213.110349342</v>
      </c>
      <c r="N87" s="400">
        <v>0.43297818513383679</v>
      </c>
      <c r="O87" s="399">
        <v>211171</v>
      </c>
      <c r="P87" s="400">
        <v>0.18887573096538413</v>
      </c>
      <c r="Q87" s="399">
        <v>27350008.403781295</v>
      </c>
      <c r="R87" s="400">
        <v>0.23057572070547958</v>
      </c>
      <c r="S87" s="399">
        <v>472382</v>
      </c>
      <c r="T87" s="400">
        <v>0.42250827786433781</v>
      </c>
      <c r="U87" s="399">
        <v>36110664.787302397</v>
      </c>
      <c r="V87" s="400">
        <v>0.30443290676777574</v>
      </c>
      <c r="W87" s="399">
        <v>29412</v>
      </c>
      <c r="X87" s="400">
        <v>2.6306704041529745E-2</v>
      </c>
      <c r="Y87" s="399">
        <v>3797281.611216282</v>
      </c>
      <c r="Z87" s="400">
        <v>3.2013187392907989E-2</v>
      </c>
      <c r="AA87" s="399"/>
      <c r="AB87" s="401"/>
      <c r="AC87" s="399"/>
      <c r="AD87" s="401"/>
      <c r="AE87" s="399">
        <v>1118042</v>
      </c>
      <c r="AF87" s="400">
        <v>1</v>
      </c>
      <c r="AG87" s="399">
        <v>118616167.9126493</v>
      </c>
      <c r="AH87" s="400">
        <v>1</v>
      </c>
    </row>
    <row r="88" spans="2:34" hidden="1" outlineLevel="1" x14ac:dyDescent="0.25">
      <c r="B88" s="219">
        <v>41061</v>
      </c>
      <c r="C88" s="399"/>
      <c r="D88" s="400"/>
      <c r="E88" s="399"/>
      <c r="F88" s="400"/>
      <c r="G88" s="399"/>
      <c r="H88" s="400"/>
      <c r="I88" s="399"/>
      <c r="J88" s="400"/>
      <c r="K88" s="399">
        <v>405447</v>
      </c>
      <c r="L88" s="400">
        <v>0.35951851030813564</v>
      </c>
      <c r="M88" s="399">
        <v>51664656.419645667</v>
      </c>
      <c r="N88" s="400">
        <v>0.43216834628017914</v>
      </c>
      <c r="O88" s="399">
        <v>211515</v>
      </c>
      <c r="P88" s="400">
        <v>0.18755486588339615</v>
      </c>
      <c r="Q88" s="399">
        <v>27510113.46259122</v>
      </c>
      <c r="R88" s="400">
        <v>0.23011863554341389</v>
      </c>
      <c r="S88" s="399">
        <v>480566</v>
      </c>
      <c r="T88" s="400">
        <v>0.42612813123475946</v>
      </c>
      <c r="U88" s="399">
        <v>36482213.33103174</v>
      </c>
      <c r="V88" s="400">
        <v>0.30516912133993096</v>
      </c>
      <c r="W88" s="399">
        <v>30222</v>
      </c>
      <c r="X88" s="400">
        <v>2.6798492573708713E-2</v>
      </c>
      <c r="Y88" s="399">
        <v>3890542.3386165346</v>
      </c>
      <c r="Z88" s="400">
        <v>3.2543896836476044E-2</v>
      </c>
      <c r="AA88" s="399"/>
      <c r="AB88" s="401"/>
      <c r="AC88" s="399"/>
      <c r="AD88" s="401"/>
      <c r="AE88" s="399">
        <v>1127750</v>
      </c>
      <c r="AF88" s="400">
        <v>1</v>
      </c>
      <c r="AG88" s="399">
        <v>119547525.55188516</v>
      </c>
      <c r="AH88" s="400">
        <v>1</v>
      </c>
    </row>
    <row r="89" spans="2:34" hidden="1" outlineLevel="1" x14ac:dyDescent="0.25">
      <c r="B89" s="219">
        <v>41091</v>
      </c>
      <c r="C89" s="399"/>
      <c r="D89" s="400"/>
      <c r="E89" s="399"/>
      <c r="F89" s="400"/>
      <c r="G89" s="399"/>
      <c r="H89" s="400"/>
      <c r="I89" s="399"/>
      <c r="J89" s="400"/>
      <c r="K89" s="399">
        <v>405988</v>
      </c>
      <c r="L89" s="400">
        <v>0.3605279492901563</v>
      </c>
      <c r="M89" s="399">
        <v>53111723.632248603</v>
      </c>
      <c r="N89" s="400">
        <v>0.43364826145176461</v>
      </c>
      <c r="O89" s="399">
        <v>211177</v>
      </c>
      <c r="P89" s="400">
        <v>0.18753069240284773</v>
      </c>
      <c r="Q89" s="399">
        <v>28180526.587378699</v>
      </c>
      <c r="R89" s="400">
        <v>0.2300892444392813</v>
      </c>
      <c r="S89" s="399">
        <v>478596</v>
      </c>
      <c r="T89" s="400">
        <v>0.42500574996914109</v>
      </c>
      <c r="U89" s="399">
        <v>37219185.497661173</v>
      </c>
      <c r="V89" s="400">
        <v>0.30388836926978441</v>
      </c>
      <c r="W89" s="399">
        <v>30332</v>
      </c>
      <c r="X89" s="400">
        <v>2.6935608337854865E-2</v>
      </c>
      <c r="Y89" s="399">
        <v>3965069.6754497392</v>
      </c>
      <c r="Z89" s="400">
        <v>3.2374124839169627E-2</v>
      </c>
      <c r="AA89" s="399"/>
      <c r="AB89" s="401"/>
      <c r="AC89" s="399"/>
      <c r="AD89" s="401"/>
      <c r="AE89" s="399">
        <v>1126093</v>
      </c>
      <c r="AF89" s="400">
        <v>1</v>
      </c>
      <c r="AG89" s="399">
        <v>122476505.39273822</v>
      </c>
      <c r="AH89" s="400">
        <v>1</v>
      </c>
    </row>
    <row r="90" spans="2:34" hidden="1" outlineLevel="1" x14ac:dyDescent="0.25">
      <c r="B90" s="219">
        <v>41122</v>
      </c>
      <c r="C90" s="399"/>
      <c r="D90" s="400"/>
      <c r="E90" s="399"/>
      <c r="F90" s="400"/>
      <c r="G90" s="399"/>
      <c r="H90" s="400"/>
      <c r="I90" s="399"/>
      <c r="J90" s="400"/>
      <c r="K90" s="399">
        <v>403875</v>
      </c>
      <c r="L90" s="400">
        <v>0.35582916675844145</v>
      </c>
      <c r="M90" s="399">
        <v>52789866.164440744</v>
      </c>
      <c r="N90" s="400">
        <v>0.42874193510125608</v>
      </c>
      <c r="O90" s="399">
        <v>198447</v>
      </c>
      <c r="P90" s="400">
        <v>0.17483932071980793</v>
      </c>
      <c r="Q90" s="399">
        <v>26091526.489084195</v>
      </c>
      <c r="R90" s="400">
        <v>0.21190679896458781</v>
      </c>
      <c r="S90" s="399">
        <v>489880</v>
      </c>
      <c r="T90" s="400">
        <v>0.43160282813153894</v>
      </c>
      <c r="U90" s="399">
        <v>38773136.328606568</v>
      </c>
      <c r="V90" s="400">
        <v>0.31490266422894053</v>
      </c>
      <c r="W90" s="399">
        <v>42823</v>
      </c>
      <c r="X90" s="400">
        <v>3.7728684390211667E-2</v>
      </c>
      <c r="Y90" s="399">
        <v>5472839.3541926444</v>
      </c>
      <c r="Z90" s="400">
        <v>4.4448601705215578E-2</v>
      </c>
      <c r="AA90" s="399"/>
      <c r="AB90" s="401"/>
      <c r="AC90" s="399"/>
      <c r="AD90" s="401"/>
      <c r="AE90" s="399">
        <v>1135025</v>
      </c>
      <c r="AF90" s="400">
        <v>1</v>
      </c>
      <c r="AG90" s="399">
        <v>123127368.33632416</v>
      </c>
      <c r="AH90" s="400">
        <v>1</v>
      </c>
    </row>
    <row r="91" spans="2:34" hidden="1" outlineLevel="1" x14ac:dyDescent="0.25">
      <c r="B91" s="219">
        <v>41153</v>
      </c>
      <c r="C91" s="399"/>
      <c r="D91" s="400"/>
      <c r="E91" s="399"/>
      <c r="F91" s="400"/>
      <c r="G91" s="399"/>
      <c r="H91" s="400"/>
      <c r="I91" s="399"/>
      <c r="J91" s="400"/>
      <c r="K91" s="399">
        <v>403144</v>
      </c>
      <c r="L91" s="400">
        <v>0.35241061539685359</v>
      </c>
      <c r="M91" s="399">
        <v>51978945.429325774</v>
      </c>
      <c r="N91" s="400">
        <v>0.42433171253565893</v>
      </c>
      <c r="O91" s="399">
        <v>198376</v>
      </c>
      <c r="P91" s="400">
        <v>0.17341150616148626</v>
      </c>
      <c r="Q91" s="399">
        <v>26203398.813926291</v>
      </c>
      <c r="R91" s="400">
        <v>0.21391224852928728</v>
      </c>
      <c r="S91" s="399">
        <v>499207</v>
      </c>
      <c r="T91" s="400">
        <v>0.43638463199357319</v>
      </c>
      <c r="U91" s="399">
        <v>38822810.105870225</v>
      </c>
      <c r="V91" s="400">
        <v>0.31693119899997713</v>
      </c>
      <c r="W91" s="399">
        <v>43234</v>
      </c>
      <c r="X91" s="400">
        <v>3.7793246448086952E-2</v>
      </c>
      <c r="Y91" s="399">
        <v>5490864.4346675202</v>
      </c>
      <c r="Z91" s="400">
        <v>4.4824839935076646E-2</v>
      </c>
      <c r="AA91" s="399"/>
      <c r="AB91" s="401"/>
      <c r="AC91" s="399"/>
      <c r="AD91" s="401"/>
      <c r="AE91" s="399">
        <v>1143961</v>
      </c>
      <c r="AF91" s="400">
        <v>0.99999999999999989</v>
      </c>
      <c r="AG91" s="399">
        <v>122496018.78378981</v>
      </c>
      <c r="AH91" s="400">
        <v>1</v>
      </c>
    </row>
    <row r="92" spans="2:34" hidden="1" outlineLevel="1" x14ac:dyDescent="0.25">
      <c r="B92" s="219">
        <v>41183</v>
      </c>
      <c r="C92" s="399"/>
      <c r="D92" s="400"/>
      <c r="E92" s="399"/>
      <c r="F92" s="400"/>
      <c r="G92" s="399"/>
      <c r="H92" s="400"/>
      <c r="I92" s="399"/>
      <c r="J92" s="400"/>
      <c r="K92" s="399">
        <v>403812</v>
      </c>
      <c r="L92" s="400">
        <v>0.35006267652153106</v>
      </c>
      <c r="M92" s="399">
        <v>52255587.388430625</v>
      </c>
      <c r="N92" s="400">
        <v>0.42507821560282527</v>
      </c>
      <c r="O92" s="399">
        <v>197358</v>
      </c>
      <c r="P92" s="400">
        <v>0.17108869898105142</v>
      </c>
      <c r="Q92" s="399">
        <v>25402847.919909477</v>
      </c>
      <c r="R92" s="400">
        <v>0.20664196509282337</v>
      </c>
      <c r="S92" s="399">
        <v>510960</v>
      </c>
      <c r="T92" s="400">
        <v>0.44294876129347693</v>
      </c>
      <c r="U92" s="399">
        <v>40016876.560963467</v>
      </c>
      <c r="V92" s="400">
        <v>0.32552121854626687</v>
      </c>
      <c r="W92" s="399">
        <v>41412</v>
      </c>
      <c r="X92" s="400">
        <v>3.5899863203940556E-2</v>
      </c>
      <c r="Y92" s="399">
        <v>5256387.4517832445</v>
      </c>
      <c r="Z92" s="400">
        <v>4.2758600758084554E-2</v>
      </c>
      <c r="AA92" s="399"/>
      <c r="AB92" s="401"/>
      <c r="AC92" s="399"/>
      <c r="AD92" s="401"/>
      <c r="AE92" s="399">
        <v>1153542</v>
      </c>
      <c r="AF92" s="400">
        <v>1</v>
      </c>
      <c r="AG92" s="399">
        <v>122931699.32108681</v>
      </c>
      <c r="AH92" s="400">
        <v>1</v>
      </c>
    </row>
    <row r="93" spans="2:34" hidden="1" outlineLevel="1" x14ac:dyDescent="0.25">
      <c r="B93" s="219">
        <v>41214</v>
      </c>
      <c r="C93" s="399"/>
      <c r="D93" s="400"/>
      <c r="E93" s="399"/>
      <c r="F93" s="400"/>
      <c r="G93" s="399"/>
      <c r="H93" s="400"/>
      <c r="I93" s="399"/>
      <c r="J93" s="400"/>
      <c r="K93" s="399">
        <v>403590</v>
      </c>
      <c r="L93" s="400">
        <v>0.34642115590454126</v>
      </c>
      <c r="M93" s="399">
        <v>52058684.652248122</v>
      </c>
      <c r="N93" s="400">
        <v>0.41859241624605376</v>
      </c>
      <c r="O93" s="399">
        <v>196261</v>
      </c>
      <c r="P93" s="400">
        <v>0.16846047344825485</v>
      </c>
      <c r="Q93" s="399">
        <v>26115301.340226762</v>
      </c>
      <c r="R93" s="400">
        <v>0.20998738562110883</v>
      </c>
      <c r="S93" s="399">
        <v>526706</v>
      </c>
      <c r="T93" s="400">
        <v>0.4520976767062051</v>
      </c>
      <c r="U93" s="399">
        <v>41402896.454895943</v>
      </c>
      <c r="V93" s="400">
        <v>0.33291157051720938</v>
      </c>
      <c r="W93" s="399">
        <v>38470</v>
      </c>
      <c r="X93" s="400">
        <v>3.302069394099879E-2</v>
      </c>
      <c r="Y93" s="399">
        <v>4789165.8415866783</v>
      </c>
      <c r="Z93" s="400">
        <v>3.8508627615628031E-2</v>
      </c>
      <c r="AA93" s="399"/>
      <c r="AB93" s="401"/>
      <c r="AC93" s="399"/>
      <c r="AD93" s="401"/>
      <c r="AE93" s="399">
        <v>1165027</v>
      </c>
      <c r="AF93" s="400">
        <v>1</v>
      </c>
      <c r="AG93" s="399">
        <v>124366048.28895751</v>
      </c>
      <c r="AH93" s="400">
        <v>0.99999999999999989</v>
      </c>
    </row>
    <row r="94" spans="2:34" hidden="1" outlineLevel="1" x14ac:dyDescent="0.25">
      <c r="B94" s="219">
        <v>41244</v>
      </c>
      <c r="C94" s="399"/>
      <c r="D94" s="400"/>
      <c r="E94" s="399"/>
      <c r="F94" s="400"/>
      <c r="G94" s="399"/>
      <c r="H94" s="400"/>
      <c r="I94" s="399"/>
      <c r="J94" s="400"/>
      <c r="K94" s="399">
        <v>406123</v>
      </c>
      <c r="L94" s="400">
        <v>0.34387216571311968</v>
      </c>
      <c r="M94" s="399">
        <v>53039434.022859298</v>
      </c>
      <c r="N94" s="400">
        <v>0.4219177719317968</v>
      </c>
      <c r="O94" s="399">
        <v>194854</v>
      </c>
      <c r="P94" s="400">
        <v>0.16498663453649318</v>
      </c>
      <c r="Q94" s="399">
        <v>25571011.699177857</v>
      </c>
      <c r="R94" s="400">
        <v>0.20341213063301491</v>
      </c>
      <c r="S94" s="399">
        <v>539888</v>
      </c>
      <c r="T94" s="400">
        <v>0.45713356742298455</v>
      </c>
      <c r="U94" s="399">
        <v>41922892.787834607</v>
      </c>
      <c r="V94" s="400">
        <v>0.33348797633012961</v>
      </c>
      <c r="W94" s="399">
        <v>40164</v>
      </c>
      <c r="X94" s="400">
        <v>3.4007632327402629E-2</v>
      </c>
      <c r="Y94" s="399">
        <v>5177019.1743102428</v>
      </c>
      <c r="Z94" s="400">
        <v>4.1182121105058811E-2</v>
      </c>
      <c r="AA94" s="399"/>
      <c r="AB94" s="401"/>
      <c r="AC94" s="399"/>
      <c r="AD94" s="401"/>
      <c r="AE94" s="399">
        <v>1181029</v>
      </c>
      <c r="AF94" s="400">
        <v>1</v>
      </c>
      <c r="AG94" s="399">
        <v>125710357.68418199</v>
      </c>
      <c r="AH94" s="400">
        <v>1</v>
      </c>
    </row>
    <row r="95" spans="2:34" collapsed="1" x14ac:dyDescent="0.25">
      <c r="B95" s="393" t="s">
        <v>753</v>
      </c>
      <c r="C95" s="394"/>
      <c r="D95" s="391"/>
      <c r="E95" s="394"/>
      <c r="F95" s="391"/>
      <c r="G95" s="394"/>
      <c r="H95" s="391"/>
      <c r="I95" s="394"/>
      <c r="J95" s="391"/>
      <c r="K95" s="394">
        <v>404916.08333333331</v>
      </c>
      <c r="L95" s="391">
        <v>0.35905532327070533</v>
      </c>
      <c r="M95" s="394">
        <v>52097422.484119318</v>
      </c>
      <c r="N95" s="391">
        <v>0.43203514691082417</v>
      </c>
      <c r="O95" s="394">
        <v>205472.16666666666</v>
      </c>
      <c r="P95" s="391">
        <v>0.18220040710237426</v>
      </c>
      <c r="Q95" s="394">
        <v>26777514.696675122</v>
      </c>
      <c r="R95" s="391">
        <v>0.22206141771046881</v>
      </c>
      <c r="S95" s="394">
        <v>483521.75</v>
      </c>
      <c r="T95" s="391">
        <v>0.42875811902919103</v>
      </c>
      <c r="U95" s="394">
        <v>37356472.175330363</v>
      </c>
      <c r="V95" s="391">
        <v>0.30979092966180161</v>
      </c>
      <c r="W95" s="394">
        <v>33816.166666666664</v>
      </c>
      <c r="X95" s="391">
        <v>2.9986150597729321E-2</v>
      </c>
      <c r="Y95" s="394">
        <v>4354665.3107880726</v>
      </c>
      <c r="Z95" s="391">
        <v>3.6112505716905399E-2</v>
      </c>
      <c r="AA95" s="394"/>
      <c r="AB95" s="395"/>
      <c r="AC95" s="394"/>
      <c r="AD95" s="395"/>
      <c r="AE95" s="394">
        <v>1127726.1666666667</v>
      </c>
      <c r="AF95" s="391">
        <v>1</v>
      </c>
      <c r="AG95" s="394">
        <v>120586074.66691288</v>
      </c>
      <c r="AH95" s="391">
        <v>1</v>
      </c>
    </row>
    <row r="96" spans="2:34" hidden="1" outlineLevel="1" x14ac:dyDescent="0.25">
      <c r="B96" s="219">
        <v>41275</v>
      </c>
      <c r="C96" s="399"/>
      <c r="D96" s="400"/>
      <c r="E96" s="399"/>
      <c r="F96" s="400"/>
      <c r="G96" s="399"/>
      <c r="H96" s="400"/>
      <c r="I96" s="399"/>
      <c r="J96" s="400"/>
      <c r="K96" s="399">
        <v>407292</v>
      </c>
      <c r="L96" s="400">
        <v>0.34219173363467187</v>
      </c>
      <c r="M96" s="399">
        <v>52632085.627445742</v>
      </c>
      <c r="N96" s="400">
        <v>0.42065001039593208</v>
      </c>
      <c r="O96" s="399">
        <v>195551</v>
      </c>
      <c r="P96" s="400">
        <v>0.16429474603968092</v>
      </c>
      <c r="Q96" s="399">
        <v>25826212.166427653</v>
      </c>
      <c r="R96" s="400">
        <v>0.20641014481535691</v>
      </c>
      <c r="S96" s="399">
        <v>546324</v>
      </c>
      <c r="T96" s="400">
        <v>0.45900129805208173</v>
      </c>
      <c r="U96" s="399">
        <v>41504656.499110885</v>
      </c>
      <c r="V96" s="400">
        <v>0.33171655615954498</v>
      </c>
      <c r="W96" s="399">
        <v>41078</v>
      </c>
      <c r="X96" s="400">
        <v>3.4512222273565527E-2</v>
      </c>
      <c r="Y96" s="399">
        <v>5157892.7929491783</v>
      </c>
      <c r="Z96" s="400">
        <v>4.1223288629165994E-2</v>
      </c>
      <c r="AA96" s="399"/>
      <c r="AB96" s="401"/>
      <c r="AC96" s="399"/>
      <c r="AD96" s="401"/>
      <c r="AE96" s="399">
        <v>1190245</v>
      </c>
      <c r="AF96" s="400">
        <v>1</v>
      </c>
      <c r="AG96" s="399">
        <v>125120847.08593346</v>
      </c>
      <c r="AH96" s="400">
        <v>1</v>
      </c>
    </row>
    <row r="97" spans="2:34" hidden="1" outlineLevel="1" x14ac:dyDescent="0.25">
      <c r="B97" s="219">
        <v>41306</v>
      </c>
      <c r="C97" s="399"/>
      <c r="D97" s="400"/>
      <c r="E97" s="399"/>
      <c r="F97" s="400"/>
      <c r="G97" s="399"/>
      <c r="H97" s="400"/>
      <c r="I97" s="399"/>
      <c r="J97" s="400"/>
      <c r="K97" s="399">
        <v>407384</v>
      </c>
      <c r="L97" s="400">
        <v>0.34100270787208131</v>
      </c>
      <c r="M97" s="399">
        <v>52271651.346473627</v>
      </c>
      <c r="N97" s="400">
        <v>0.42121555459190879</v>
      </c>
      <c r="O97" s="399">
        <v>195641</v>
      </c>
      <c r="P97" s="400">
        <v>0.16376222623078437</v>
      </c>
      <c r="Q97" s="399">
        <v>25699236.999211714</v>
      </c>
      <c r="R97" s="400">
        <v>0.20708965732612425</v>
      </c>
      <c r="S97" s="399">
        <v>550022</v>
      </c>
      <c r="T97" s="400">
        <v>0.46039852176133056</v>
      </c>
      <c r="U97" s="399">
        <v>40946507.719340578</v>
      </c>
      <c r="V97" s="400">
        <v>0.32995525324583919</v>
      </c>
      <c r="W97" s="399">
        <v>41618</v>
      </c>
      <c r="X97" s="400">
        <v>3.4836544135803761E-2</v>
      </c>
      <c r="Y97" s="399">
        <v>5179757.4627363356</v>
      </c>
      <c r="Z97" s="400">
        <v>4.1739534836127828E-2</v>
      </c>
      <c r="AA97" s="399"/>
      <c r="AB97" s="401"/>
      <c r="AC97" s="399"/>
      <c r="AD97" s="401"/>
      <c r="AE97" s="399">
        <v>1194665</v>
      </c>
      <c r="AF97" s="400">
        <v>1</v>
      </c>
      <c r="AG97" s="399">
        <v>124097153.52776225</v>
      </c>
      <c r="AH97" s="400">
        <v>1</v>
      </c>
    </row>
    <row r="98" spans="2:34" hidden="1" outlineLevel="1" x14ac:dyDescent="0.25">
      <c r="B98" s="219">
        <v>41334</v>
      </c>
      <c r="C98" s="399"/>
      <c r="D98" s="400"/>
      <c r="E98" s="399"/>
      <c r="F98" s="400"/>
      <c r="G98" s="399"/>
      <c r="H98" s="400"/>
      <c r="I98" s="399"/>
      <c r="J98" s="400"/>
      <c r="K98" s="399">
        <v>407033</v>
      </c>
      <c r="L98" s="400">
        <v>0.33955975934089033</v>
      </c>
      <c r="M98" s="399">
        <v>52070600.422349796</v>
      </c>
      <c r="N98" s="400">
        <v>0.41920239906981049</v>
      </c>
      <c r="O98" s="399">
        <v>195663</v>
      </c>
      <c r="P98" s="400">
        <v>0.1632282424076589</v>
      </c>
      <c r="Q98" s="399">
        <v>25630612.525960449</v>
      </c>
      <c r="R98" s="400">
        <v>0.20634319891382752</v>
      </c>
      <c r="S98" s="399">
        <v>553656</v>
      </c>
      <c r="T98" s="400">
        <v>0.46187728787995075</v>
      </c>
      <c r="U98" s="399">
        <v>41285501.931539319</v>
      </c>
      <c r="V98" s="400">
        <v>0.33237530038301721</v>
      </c>
      <c r="W98" s="399">
        <v>42356</v>
      </c>
      <c r="X98" s="400">
        <v>3.5334710371499982E-2</v>
      </c>
      <c r="Y98" s="399">
        <v>5226792.8145050043</v>
      </c>
      <c r="Z98" s="400">
        <v>4.2079101633344822E-2</v>
      </c>
      <c r="AA98" s="399"/>
      <c r="AB98" s="401"/>
      <c r="AC98" s="399"/>
      <c r="AD98" s="401"/>
      <c r="AE98" s="399">
        <v>1198708</v>
      </c>
      <c r="AF98" s="400">
        <v>0.99999999999999989</v>
      </c>
      <c r="AG98" s="399">
        <v>124213507.69435456</v>
      </c>
      <c r="AH98" s="400">
        <v>1</v>
      </c>
    </row>
    <row r="99" spans="2:34" hidden="1" outlineLevel="1" x14ac:dyDescent="0.25">
      <c r="B99" s="219">
        <v>41365</v>
      </c>
      <c r="C99" s="399"/>
      <c r="D99" s="400"/>
      <c r="E99" s="399"/>
      <c r="F99" s="400"/>
      <c r="G99" s="399"/>
      <c r="H99" s="400"/>
      <c r="I99" s="399"/>
      <c r="J99" s="400"/>
      <c r="K99" s="399">
        <v>407163</v>
      </c>
      <c r="L99" s="400">
        <v>0.33837900729259729</v>
      </c>
      <c r="M99" s="399">
        <v>52407596.66168721</v>
      </c>
      <c r="N99" s="400">
        <v>0.41932508415365372</v>
      </c>
      <c r="O99" s="399">
        <v>195429</v>
      </c>
      <c r="P99" s="400">
        <v>0.16241424445783384</v>
      </c>
      <c r="Q99" s="399">
        <v>25496807.562203072</v>
      </c>
      <c r="R99" s="400">
        <v>0.20400574835911808</v>
      </c>
      <c r="S99" s="399">
        <v>557660</v>
      </c>
      <c r="T99" s="400">
        <v>0.46345182938231078</v>
      </c>
      <c r="U99" s="399">
        <v>41759003.38193205</v>
      </c>
      <c r="V99" s="400">
        <v>0.33412327072236386</v>
      </c>
      <c r="W99" s="399">
        <v>43023</v>
      </c>
      <c r="X99" s="400">
        <v>3.5754918867258109E-2</v>
      </c>
      <c r="Y99" s="399">
        <v>5317421.4506226787</v>
      </c>
      <c r="Z99" s="400">
        <v>4.2545896764864435E-2</v>
      </c>
      <c r="AA99" s="399"/>
      <c r="AB99" s="401"/>
      <c r="AC99" s="399"/>
      <c r="AD99" s="401"/>
      <c r="AE99" s="399">
        <v>1203275</v>
      </c>
      <c r="AF99" s="400">
        <v>1</v>
      </c>
      <c r="AG99" s="399">
        <v>124980829.056445</v>
      </c>
      <c r="AH99" s="400">
        <v>1</v>
      </c>
    </row>
    <row r="100" spans="2:34" hidden="1" outlineLevel="1" x14ac:dyDescent="0.25">
      <c r="B100" s="219">
        <v>41395</v>
      </c>
      <c r="C100" s="399"/>
      <c r="D100" s="400"/>
      <c r="E100" s="399"/>
      <c r="F100" s="400"/>
      <c r="G100" s="399"/>
      <c r="H100" s="400"/>
      <c r="I100" s="399"/>
      <c r="J100" s="400"/>
      <c r="K100" s="399">
        <v>403102</v>
      </c>
      <c r="L100" s="400">
        <v>0.3353312242482121</v>
      </c>
      <c r="M100" s="399">
        <v>51596100.175309822</v>
      </c>
      <c r="N100" s="400">
        <v>0.41463631646069649</v>
      </c>
      <c r="O100" s="399">
        <v>194785</v>
      </c>
      <c r="P100" s="400">
        <v>0.16203713331908051</v>
      </c>
      <c r="Q100" s="399">
        <v>25419760.360895053</v>
      </c>
      <c r="R100" s="400">
        <v>0.20427814826204274</v>
      </c>
      <c r="S100" s="399">
        <v>557865</v>
      </c>
      <c r="T100" s="400">
        <v>0.46407498205225683</v>
      </c>
      <c r="U100" s="399">
        <v>41699551.397084482</v>
      </c>
      <c r="V100" s="400">
        <v>0.33510572176197956</v>
      </c>
      <c r="W100" s="399">
        <v>46349</v>
      </c>
      <c r="X100" s="400">
        <v>3.8556660380450559E-2</v>
      </c>
      <c r="Y100" s="399">
        <v>5721590.1501994934</v>
      </c>
      <c r="Z100" s="400">
        <v>4.5979813515281347E-2</v>
      </c>
      <c r="AA100" s="399"/>
      <c r="AB100" s="401"/>
      <c r="AC100" s="399"/>
      <c r="AD100" s="401"/>
      <c r="AE100" s="399">
        <v>1202101</v>
      </c>
      <c r="AF100" s="400">
        <v>1</v>
      </c>
      <c r="AG100" s="399">
        <v>124437002.08348884</v>
      </c>
      <c r="AH100" s="400">
        <v>1.0000000000000002</v>
      </c>
    </row>
    <row r="101" spans="2:34" hidden="1" outlineLevel="1" x14ac:dyDescent="0.25">
      <c r="B101" s="219">
        <v>41426</v>
      </c>
      <c r="C101" s="399"/>
      <c r="D101" s="400"/>
      <c r="E101" s="399"/>
      <c r="F101" s="400"/>
      <c r="G101" s="399"/>
      <c r="H101" s="400"/>
      <c r="I101" s="399"/>
      <c r="J101" s="400"/>
      <c r="K101" s="399">
        <v>402501</v>
      </c>
      <c r="L101" s="400">
        <v>0.33400161150190816</v>
      </c>
      <c r="M101" s="399">
        <v>51168219.457245536</v>
      </c>
      <c r="N101" s="400">
        <v>0.41328247289202447</v>
      </c>
      <c r="O101" s="399">
        <v>194527</v>
      </c>
      <c r="P101" s="400">
        <v>0.16142154051948115</v>
      </c>
      <c r="Q101" s="399">
        <v>25245144.356851663</v>
      </c>
      <c r="R101" s="400">
        <v>0.20390343457296917</v>
      </c>
      <c r="S101" s="399">
        <v>560838</v>
      </c>
      <c r="T101" s="400">
        <v>0.46539212521585577</v>
      </c>
      <c r="U101" s="399">
        <v>41581019.79722324</v>
      </c>
      <c r="V101" s="400">
        <v>0.33584726749242499</v>
      </c>
      <c r="W101" s="399">
        <v>47221</v>
      </c>
      <c r="X101" s="400">
        <v>3.9184722762754885E-2</v>
      </c>
      <c r="Y101" s="399">
        <v>5814930.3893096158</v>
      </c>
      <c r="Z101" s="400">
        <v>4.69668250425814E-2</v>
      </c>
      <c r="AA101" s="399"/>
      <c r="AB101" s="401"/>
      <c r="AC101" s="399"/>
      <c r="AD101" s="401"/>
      <c r="AE101" s="399">
        <v>1205087</v>
      </c>
      <c r="AF101" s="400">
        <v>1</v>
      </c>
      <c r="AG101" s="399">
        <v>123809314.00063005</v>
      </c>
      <c r="AH101" s="400">
        <v>1</v>
      </c>
    </row>
    <row r="102" spans="2:34" hidden="1" outlineLevel="1" x14ac:dyDescent="0.25">
      <c r="B102" s="219">
        <v>41456</v>
      </c>
      <c r="C102" s="399"/>
      <c r="D102" s="400"/>
      <c r="E102" s="399"/>
      <c r="F102" s="400"/>
      <c r="G102" s="399"/>
      <c r="H102" s="400"/>
      <c r="I102" s="399"/>
      <c r="J102" s="400"/>
      <c r="K102" s="399">
        <v>400723</v>
      </c>
      <c r="L102" s="400">
        <v>0.33189440615679722</v>
      </c>
      <c r="M102" s="399">
        <v>51390769.449469805</v>
      </c>
      <c r="N102" s="400">
        <v>0.41034112445368182</v>
      </c>
      <c r="O102" s="399">
        <v>193707</v>
      </c>
      <c r="P102" s="400">
        <v>0.16043568682959231</v>
      </c>
      <c r="Q102" s="399">
        <v>25462722.863104917</v>
      </c>
      <c r="R102" s="400">
        <v>0.20331282141187593</v>
      </c>
      <c r="S102" s="399">
        <v>564939</v>
      </c>
      <c r="T102" s="400">
        <v>0.46790449742044971</v>
      </c>
      <c r="U102" s="399">
        <v>42478362.095647953</v>
      </c>
      <c r="V102" s="400">
        <v>0.33917800908619528</v>
      </c>
      <c r="W102" s="399">
        <v>48012</v>
      </c>
      <c r="X102" s="400">
        <v>3.976540959316073E-2</v>
      </c>
      <c r="Y102" s="399">
        <v>5907285.3876976734</v>
      </c>
      <c r="Z102" s="400">
        <v>4.7168045048246995E-2</v>
      </c>
      <c r="AA102" s="399"/>
      <c r="AB102" s="401"/>
      <c r="AC102" s="399"/>
      <c r="AD102" s="401"/>
      <c r="AE102" s="399">
        <v>1207381</v>
      </c>
      <c r="AF102" s="400">
        <v>1</v>
      </c>
      <c r="AG102" s="399">
        <v>125239139.79592034</v>
      </c>
      <c r="AH102" s="400">
        <v>1</v>
      </c>
    </row>
    <row r="103" spans="2:34" hidden="1" outlineLevel="1" x14ac:dyDescent="0.25">
      <c r="B103" s="219">
        <v>41487</v>
      </c>
      <c r="C103" s="399"/>
      <c r="D103" s="400"/>
      <c r="E103" s="399"/>
      <c r="F103" s="400"/>
      <c r="G103" s="399"/>
      <c r="H103" s="400"/>
      <c r="I103" s="399"/>
      <c r="J103" s="400"/>
      <c r="K103" s="399">
        <v>399188</v>
      </c>
      <c r="L103" s="400">
        <v>0.3300148974128766</v>
      </c>
      <c r="M103" s="399">
        <v>51382365.635820433</v>
      </c>
      <c r="N103" s="400">
        <v>0.40790726659532384</v>
      </c>
      <c r="O103" s="399">
        <v>192279</v>
      </c>
      <c r="P103" s="400">
        <v>0.15896002499987599</v>
      </c>
      <c r="Q103" s="399">
        <v>25002621.996425703</v>
      </c>
      <c r="R103" s="400">
        <v>0.19848738122653162</v>
      </c>
      <c r="S103" s="399">
        <v>569076</v>
      </c>
      <c r="T103" s="400">
        <v>0.47046393619079269</v>
      </c>
      <c r="U103" s="399">
        <v>43523812.406646244</v>
      </c>
      <c r="V103" s="400">
        <v>0.34552086364482226</v>
      </c>
      <c r="W103" s="399">
        <v>49063</v>
      </c>
      <c r="X103" s="400">
        <v>4.0561141396454711E-2</v>
      </c>
      <c r="Y103" s="399">
        <v>6057001.1214870093</v>
      </c>
      <c r="Z103" s="400">
        <v>4.8084488533322214E-2</v>
      </c>
      <c r="AA103" s="399"/>
      <c r="AB103" s="401"/>
      <c r="AC103" s="399"/>
      <c r="AD103" s="401"/>
      <c r="AE103" s="399">
        <v>1209606</v>
      </c>
      <c r="AF103" s="400">
        <v>1</v>
      </c>
      <c r="AG103" s="399">
        <v>125965801.16037939</v>
      </c>
      <c r="AH103" s="400">
        <v>1</v>
      </c>
    </row>
    <row r="104" spans="2:34" hidden="1" outlineLevel="1" x14ac:dyDescent="0.25">
      <c r="B104" s="219">
        <v>41518</v>
      </c>
      <c r="C104" s="399"/>
      <c r="D104" s="400"/>
      <c r="E104" s="399"/>
      <c r="F104" s="400"/>
      <c r="G104" s="399"/>
      <c r="H104" s="400"/>
      <c r="I104" s="399"/>
      <c r="J104" s="400"/>
      <c r="K104" s="399">
        <v>400350</v>
      </c>
      <c r="L104" s="400">
        <v>0.32974744483823965</v>
      </c>
      <c r="M104" s="399">
        <v>53092827.144923754</v>
      </c>
      <c r="N104" s="400">
        <v>0.41266316460913133</v>
      </c>
      <c r="O104" s="399">
        <v>189756</v>
      </c>
      <c r="P104" s="400">
        <v>0.15629213473891596</v>
      </c>
      <c r="Q104" s="399">
        <v>24677547.619515456</v>
      </c>
      <c r="R104" s="400">
        <v>0.1918058510552576</v>
      </c>
      <c r="S104" s="399">
        <v>572392</v>
      </c>
      <c r="T104" s="400">
        <v>0.47144948031934475</v>
      </c>
      <c r="U104" s="399">
        <v>44351112.69482626</v>
      </c>
      <c r="V104" s="400">
        <v>0.34471832642525041</v>
      </c>
      <c r="W104" s="399">
        <v>51613</v>
      </c>
      <c r="X104" s="400">
        <v>4.2510940103499595E-2</v>
      </c>
      <c r="Y104" s="399">
        <v>6537505.3907809472</v>
      </c>
      <c r="Z104" s="400">
        <v>5.0812657910360666E-2</v>
      </c>
      <c r="AA104" s="399"/>
      <c r="AB104" s="401"/>
      <c r="AC104" s="399"/>
      <c r="AD104" s="401"/>
      <c r="AE104" s="399">
        <v>1214111</v>
      </c>
      <c r="AF104" s="400">
        <v>1</v>
      </c>
      <c r="AG104" s="399">
        <v>128658992.85004641</v>
      </c>
      <c r="AH104" s="400">
        <v>1</v>
      </c>
    </row>
    <row r="105" spans="2:34" hidden="1" outlineLevel="1" x14ac:dyDescent="0.25">
      <c r="B105" s="219">
        <v>41548</v>
      </c>
      <c r="C105" s="399"/>
      <c r="D105" s="400"/>
      <c r="E105" s="399"/>
      <c r="F105" s="400"/>
      <c r="G105" s="399"/>
      <c r="H105" s="400"/>
      <c r="I105" s="399"/>
      <c r="J105" s="400"/>
      <c r="K105" s="399">
        <v>400134</v>
      </c>
      <c r="L105" s="400">
        <v>0.32862354489054751</v>
      </c>
      <c r="M105" s="399">
        <v>51723347.402870618</v>
      </c>
      <c r="N105" s="400">
        <v>0.405617459136694</v>
      </c>
      <c r="O105" s="399">
        <v>187727</v>
      </c>
      <c r="P105" s="400">
        <v>0.15417713119022081</v>
      </c>
      <c r="Q105" s="399">
        <v>24364259.216218606</v>
      </c>
      <c r="R105" s="400">
        <v>0.19106591922706637</v>
      </c>
      <c r="S105" s="399">
        <v>576466</v>
      </c>
      <c r="T105" s="400">
        <v>0.47344214795262179</v>
      </c>
      <c r="U105" s="399">
        <v>44534597.574658692</v>
      </c>
      <c r="V105" s="400">
        <v>0.34924287036584356</v>
      </c>
      <c r="W105" s="399">
        <v>53279</v>
      </c>
      <c r="X105" s="400">
        <v>4.3757175966609892E-2</v>
      </c>
      <c r="Y105" s="399">
        <v>6895352.6514561577</v>
      </c>
      <c r="Z105" s="400">
        <v>5.4073751270396077E-2</v>
      </c>
      <c r="AA105" s="399"/>
      <c r="AB105" s="401"/>
      <c r="AC105" s="399"/>
      <c r="AD105" s="401"/>
      <c r="AE105" s="399">
        <v>1217606</v>
      </c>
      <c r="AF105" s="400">
        <v>1</v>
      </c>
      <c r="AG105" s="399">
        <v>127517556.84520407</v>
      </c>
      <c r="AH105" s="400">
        <v>1</v>
      </c>
    </row>
    <row r="106" spans="2:34" hidden="1" outlineLevel="1" x14ac:dyDescent="0.25">
      <c r="B106" s="219">
        <v>41579</v>
      </c>
      <c r="C106" s="399"/>
      <c r="D106" s="400"/>
      <c r="E106" s="399"/>
      <c r="F106" s="400"/>
      <c r="G106" s="399"/>
      <c r="H106" s="400"/>
      <c r="I106" s="399"/>
      <c r="J106" s="400"/>
      <c r="K106" s="399">
        <v>400749</v>
      </c>
      <c r="L106" s="400">
        <v>0.32741840868128691</v>
      </c>
      <c r="M106" s="399">
        <v>51559762.855553709</v>
      </c>
      <c r="N106" s="400">
        <v>0.40500191152857196</v>
      </c>
      <c r="O106" s="399">
        <v>187169</v>
      </c>
      <c r="P106" s="400">
        <v>0.15292009745368743</v>
      </c>
      <c r="Q106" s="399">
        <v>24151318.295254663</v>
      </c>
      <c r="R106" s="400">
        <v>0.18970859317013952</v>
      </c>
      <c r="S106" s="399">
        <v>582144</v>
      </c>
      <c r="T106" s="400">
        <v>0.47562105483322248</v>
      </c>
      <c r="U106" s="399">
        <v>44879369.659937076</v>
      </c>
      <c r="V106" s="400">
        <v>0.3525274263070835</v>
      </c>
      <c r="W106" s="399">
        <v>53904</v>
      </c>
      <c r="X106" s="400">
        <v>4.4040439031803172E-2</v>
      </c>
      <c r="Y106" s="399">
        <v>6717004.7539828885</v>
      </c>
      <c r="Z106" s="400">
        <v>5.276206899420504E-2</v>
      </c>
      <c r="AA106" s="399"/>
      <c r="AB106" s="401"/>
      <c r="AC106" s="399"/>
      <c r="AD106" s="401"/>
      <c r="AE106" s="399">
        <v>1223966</v>
      </c>
      <c r="AF106" s="400">
        <v>1</v>
      </c>
      <c r="AG106" s="399">
        <v>127307455.56472833</v>
      </c>
      <c r="AH106" s="400">
        <v>1</v>
      </c>
    </row>
    <row r="107" spans="2:34" hidden="1" outlineLevel="1" x14ac:dyDescent="0.25">
      <c r="B107" s="219">
        <v>41609</v>
      </c>
      <c r="C107" s="399"/>
      <c r="D107" s="400"/>
      <c r="E107" s="399"/>
      <c r="F107" s="400"/>
      <c r="G107" s="399"/>
      <c r="H107" s="400"/>
      <c r="I107" s="399"/>
      <c r="J107" s="400"/>
      <c r="K107" s="399">
        <v>400768</v>
      </c>
      <c r="L107" s="400">
        <v>0.32611717069137802</v>
      </c>
      <c r="M107" s="399">
        <v>51238121.704232588</v>
      </c>
      <c r="N107" s="400">
        <v>0.40458654330121441</v>
      </c>
      <c r="O107" s="399">
        <v>186782</v>
      </c>
      <c r="P107" s="400">
        <v>0.15199022221354244</v>
      </c>
      <c r="Q107" s="399">
        <v>23707726.675009158</v>
      </c>
      <c r="R107" s="400">
        <v>0.1872009914871568</v>
      </c>
      <c r="S107" s="399">
        <v>586883</v>
      </c>
      <c r="T107" s="400">
        <v>0.47756463461870213</v>
      </c>
      <c r="U107" s="399">
        <v>44991888.243951768</v>
      </c>
      <c r="V107" s="400">
        <v>0.35526502408286564</v>
      </c>
      <c r="W107" s="399">
        <v>54475</v>
      </c>
      <c r="X107" s="400">
        <v>4.4327972476377403E-2</v>
      </c>
      <c r="Y107" s="399">
        <v>6705431.6991049387</v>
      </c>
      <c r="Z107" s="400">
        <v>5.2947441128763144E-2</v>
      </c>
      <c r="AA107" s="399"/>
      <c r="AB107" s="401"/>
      <c r="AC107" s="399"/>
      <c r="AD107" s="401"/>
      <c r="AE107" s="399">
        <v>1228908</v>
      </c>
      <c r="AF107" s="400">
        <v>1</v>
      </c>
      <c r="AG107" s="399">
        <v>126643168.32229845</v>
      </c>
      <c r="AH107" s="400">
        <v>1</v>
      </c>
    </row>
    <row r="108" spans="2:34" collapsed="1" x14ac:dyDescent="0.25">
      <c r="B108" s="393" t="s">
        <v>754</v>
      </c>
      <c r="C108" s="394"/>
      <c r="D108" s="391"/>
      <c r="E108" s="394"/>
      <c r="F108" s="391"/>
      <c r="G108" s="394"/>
      <c r="H108" s="391"/>
      <c r="I108" s="394"/>
      <c r="J108" s="391"/>
      <c r="K108" s="394">
        <v>403032.25</v>
      </c>
      <c r="L108" s="391">
        <v>0.33364381709034413</v>
      </c>
      <c r="M108" s="394">
        <v>51877787.323615216</v>
      </c>
      <c r="N108" s="391">
        <v>0.41282311609527728</v>
      </c>
      <c r="O108" s="394">
        <v>192418</v>
      </c>
      <c r="P108" s="391">
        <v>0.15929017094014147</v>
      </c>
      <c r="Q108" s="394">
        <v>25056997.553089838</v>
      </c>
      <c r="R108" s="391">
        <v>0.1993937741664159</v>
      </c>
      <c r="S108" s="394">
        <v>564855.41666666663</v>
      </c>
      <c r="T108" s="391">
        <v>0.46760654344862829</v>
      </c>
      <c r="U108" s="394">
        <v>42794615.283491544</v>
      </c>
      <c r="V108" s="391">
        <v>0.34054278998494536</v>
      </c>
      <c r="W108" s="394">
        <v>47665.916666666664</v>
      </c>
      <c r="X108" s="391">
        <v>3.9459468520886151E-2</v>
      </c>
      <c r="Y108" s="394">
        <v>5936497.172069326</v>
      </c>
      <c r="Z108" s="391">
        <v>4.7240319753361383E-2</v>
      </c>
      <c r="AA108" s="394"/>
      <c r="AB108" s="395"/>
      <c r="AC108" s="394"/>
      <c r="AD108" s="395"/>
      <c r="AE108" s="394">
        <v>1207971.5833333333</v>
      </c>
      <c r="AF108" s="391">
        <v>1</v>
      </c>
      <c r="AG108" s="394">
        <v>125665897.33226593</v>
      </c>
      <c r="AH108" s="391">
        <v>0.99999999999999989</v>
      </c>
    </row>
    <row r="109" spans="2:34" hidden="1" outlineLevel="1" x14ac:dyDescent="0.25">
      <c r="B109" s="219">
        <v>41640</v>
      </c>
      <c r="C109" s="399"/>
      <c r="D109" s="400"/>
      <c r="E109" s="399"/>
      <c r="F109" s="400"/>
      <c r="G109" s="399"/>
      <c r="H109" s="400"/>
      <c r="I109" s="399"/>
      <c r="J109" s="400"/>
      <c r="K109" s="399">
        <v>398815</v>
      </c>
      <c r="L109" s="400">
        <v>0.32310345889173525</v>
      </c>
      <c r="M109" s="399">
        <v>50818725.526703484</v>
      </c>
      <c r="N109" s="400">
        <v>0.40037192448340064</v>
      </c>
      <c r="O109" s="399">
        <v>185913</v>
      </c>
      <c r="P109" s="400">
        <v>0.1506190422951473</v>
      </c>
      <c r="Q109" s="399">
        <v>24120946.975080311</v>
      </c>
      <c r="R109" s="400">
        <v>0.19003526477066732</v>
      </c>
      <c r="S109" s="399">
        <v>594176</v>
      </c>
      <c r="T109" s="400">
        <v>0.48137688098606041</v>
      </c>
      <c r="U109" s="399">
        <v>45151372.3489457</v>
      </c>
      <c r="V109" s="400">
        <v>0.35572206215433272</v>
      </c>
      <c r="W109" s="399">
        <v>55422</v>
      </c>
      <c r="X109" s="400">
        <v>4.4900617827057031E-2</v>
      </c>
      <c r="Y109" s="399">
        <v>6837749.1506851017</v>
      </c>
      <c r="Z109" s="400">
        <v>5.3870748591599286E-2</v>
      </c>
      <c r="AA109" s="399"/>
      <c r="AB109" s="401"/>
      <c r="AC109" s="399"/>
      <c r="AD109" s="401"/>
      <c r="AE109" s="399">
        <v>1234326</v>
      </c>
      <c r="AF109" s="400">
        <v>1</v>
      </c>
      <c r="AG109" s="399">
        <v>126928794.0014146</v>
      </c>
      <c r="AH109" s="400">
        <v>1</v>
      </c>
    </row>
    <row r="110" spans="2:34" hidden="1" outlineLevel="1" x14ac:dyDescent="0.25">
      <c r="B110" s="219">
        <v>41671</v>
      </c>
      <c r="C110" s="399"/>
      <c r="D110" s="400"/>
      <c r="E110" s="399"/>
      <c r="F110" s="400"/>
      <c r="G110" s="399"/>
      <c r="H110" s="400"/>
      <c r="I110" s="399"/>
      <c r="J110" s="400"/>
      <c r="K110" s="399">
        <v>397052</v>
      </c>
      <c r="L110" s="400">
        <v>0.32181176558313246</v>
      </c>
      <c r="M110" s="399">
        <v>50243255.788930207</v>
      </c>
      <c r="N110" s="400">
        <v>0.39973542737393591</v>
      </c>
      <c r="O110" s="399">
        <v>183701</v>
      </c>
      <c r="P110" s="400">
        <v>0.14889017848893096</v>
      </c>
      <c r="Q110" s="399">
        <v>23513310.133036237</v>
      </c>
      <c r="R110" s="400">
        <v>0.18707193487799381</v>
      </c>
      <c r="S110" s="399">
        <v>595309</v>
      </c>
      <c r="T110" s="400">
        <v>0.48249962311618882</v>
      </c>
      <c r="U110" s="399">
        <v>44710248.734603055</v>
      </c>
      <c r="V110" s="400">
        <v>0.35571481396432947</v>
      </c>
      <c r="W110" s="399">
        <v>57740</v>
      </c>
      <c r="X110" s="400">
        <v>4.6798432811747753E-2</v>
      </c>
      <c r="Y110" s="399">
        <v>7224460.9929358475</v>
      </c>
      <c r="Z110" s="400">
        <v>5.7477823783740702E-2</v>
      </c>
      <c r="AA110" s="399"/>
      <c r="AB110" s="401"/>
      <c r="AC110" s="399"/>
      <c r="AD110" s="401"/>
      <c r="AE110" s="399">
        <v>1233802</v>
      </c>
      <c r="AF110" s="400">
        <v>1</v>
      </c>
      <c r="AG110" s="399">
        <v>125691275.64950536</v>
      </c>
      <c r="AH110" s="400">
        <v>0.99999999999999989</v>
      </c>
    </row>
    <row r="111" spans="2:34" hidden="1" outlineLevel="1" x14ac:dyDescent="0.25">
      <c r="B111" s="219">
        <v>41699</v>
      </c>
      <c r="C111" s="399"/>
      <c r="D111" s="400"/>
      <c r="E111" s="399"/>
      <c r="F111" s="400"/>
      <c r="G111" s="399"/>
      <c r="H111" s="400"/>
      <c r="I111" s="399"/>
      <c r="J111" s="400"/>
      <c r="K111" s="399">
        <v>397518</v>
      </c>
      <c r="L111" s="400">
        <v>0.32096211607402386</v>
      </c>
      <c r="M111" s="399">
        <v>49983123.71974057</v>
      </c>
      <c r="N111" s="400">
        <v>0.39854143172092432</v>
      </c>
      <c r="O111" s="399">
        <v>183770</v>
      </c>
      <c r="P111" s="400">
        <v>0.1483787100733133</v>
      </c>
      <c r="Q111" s="399">
        <v>23576304.408138033</v>
      </c>
      <c r="R111" s="400">
        <v>0.1879861324032599</v>
      </c>
      <c r="S111" s="399">
        <v>598940</v>
      </c>
      <c r="T111" s="400">
        <v>0.48359332106062075</v>
      </c>
      <c r="U111" s="399">
        <v>44649176.036377355</v>
      </c>
      <c r="V111" s="400">
        <v>0.35601109371380796</v>
      </c>
      <c r="W111" s="399">
        <v>58292</v>
      </c>
      <c r="X111" s="400">
        <v>4.7065852792042118E-2</v>
      </c>
      <c r="Y111" s="399">
        <v>7206521.4449200416</v>
      </c>
      <c r="Z111" s="400">
        <v>5.7461342162007739E-2</v>
      </c>
      <c r="AA111" s="399"/>
      <c r="AB111" s="401"/>
      <c r="AC111" s="399"/>
      <c r="AD111" s="401"/>
      <c r="AE111" s="399">
        <v>1238520</v>
      </c>
      <c r="AF111" s="400">
        <v>1</v>
      </c>
      <c r="AG111" s="399">
        <v>125415125.60917601</v>
      </c>
      <c r="AH111" s="400">
        <v>0.99999999999999989</v>
      </c>
    </row>
    <row r="112" spans="2:34" hidden="1" outlineLevel="1" x14ac:dyDescent="0.25">
      <c r="B112" s="219">
        <v>41730</v>
      </c>
      <c r="C112" s="399"/>
      <c r="D112" s="400"/>
      <c r="E112" s="399"/>
      <c r="F112" s="400"/>
      <c r="G112" s="399"/>
      <c r="H112" s="400"/>
      <c r="I112" s="399"/>
      <c r="J112" s="400"/>
      <c r="K112" s="399">
        <v>398547</v>
      </c>
      <c r="L112" s="400">
        <v>0.32072809971093613</v>
      </c>
      <c r="M112" s="399">
        <v>49737932.714915507</v>
      </c>
      <c r="N112" s="400">
        <v>0.39942317306162328</v>
      </c>
      <c r="O112" s="399">
        <v>183522</v>
      </c>
      <c r="P112" s="400">
        <v>0.14768813293074701</v>
      </c>
      <c r="Q112" s="399">
        <v>23217771.166986737</v>
      </c>
      <c r="R112" s="400">
        <v>0.18645157377350127</v>
      </c>
      <c r="S112" s="399">
        <v>602259</v>
      </c>
      <c r="T112" s="400">
        <v>0.48466400350224365</v>
      </c>
      <c r="U112" s="399">
        <v>44536060.24183996</v>
      </c>
      <c r="V112" s="400">
        <v>0.35764925332581832</v>
      </c>
      <c r="W112" s="399">
        <v>58304</v>
      </c>
      <c r="X112" s="400">
        <v>4.6919763856073236E-2</v>
      </c>
      <c r="Y112" s="399">
        <v>7032640.2408535872</v>
      </c>
      <c r="Z112" s="400">
        <v>5.6475999839057045E-2</v>
      </c>
      <c r="AA112" s="399"/>
      <c r="AB112" s="401"/>
      <c r="AC112" s="399"/>
      <c r="AD112" s="401"/>
      <c r="AE112" s="399">
        <v>1242632</v>
      </c>
      <c r="AF112" s="400">
        <v>1</v>
      </c>
      <c r="AG112" s="399">
        <v>124524404.3645958</v>
      </c>
      <c r="AH112" s="400">
        <v>0.99999999999999989</v>
      </c>
    </row>
    <row r="113" spans="2:34" hidden="1" outlineLevel="1" x14ac:dyDescent="0.25">
      <c r="B113" s="219">
        <v>41760</v>
      </c>
      <c r="C113" s="399"/>
      <c r="D113" s="400"/>
      <c r="E113" s="399"/>
      <c r="F113" s="400"/>
      <c r="G113" s="399"/>
      <c r="H113" s="400"/>
      <c r="I113" s="399"/>
      <c r="J113" s="400"/>
      <c r="K113" s="399">
        <v>398953</v>
      </c>
      <c r="L113" s="400">
        <v>0.31997411032306755</v>
      </c>
      <c r="M113" s="399">
        <v>49644534.173817366</v>
      </c>
      <c r="N113" s="400">
        <v>0.39885789458751864</v>
      </c>
      <c r="O113" s="399">
        <v>183558</v>
      </c>
      <c r="P113" s="400">
        <v>0.14721986735951761</v>
      </c>
      <c r="Q113" s="399">
        <v>23042421.410364214</v>
      </c>
      <c r="R113" s="400">
        <v>0.18512917570658569</v>
      </c>
      <c r="S113" s="399">
        <v>605684</v>
      </c>
      <c r="T113" s="400">
        <v>0.48577952550028913</v>
      </c>
      <c r="U113" s="399">
        <v>44725490.754599236</v>
      </c>
      <c r="V113" s="400">
        <v>0.35933694159187757</v>
      </c>
      <c r="W113" s="399">
        <v>58634</v>
      </c>
      <c r="X113" s="400">
        <v>4.7026496817125688E-2</v>
      </c>
      <c r="Y113" s="399">
        <v>7054274.3842916656</v>
      </c>
      <c r="Z113" s="400">
        <v>5.667598811401809E-2</v>
      </c>
      <c r="AA113" s="399"/>
      <c r="AB113" s="401"/>
      <c r="AC113" s="399"/>
      <c r="AD113" s="401"/>
      <c r="AE113" s="399">
        <v>1246829</v>
      </c>
      <c r="AF113" s="400">
        <v>1</v>
      </c>
      <c r="AG113" s="399">
        <v>124466720.72307248</v>
      </c>
      <c r="AH113" s="400">
        <v>1</v>
      </c>
    </row>
    <row r="114" spans="2:34" hidden="1" outlineLevel="1" x14ac:dyDescent="0.25">
      <c r="B114" s="219">
        <v>41791</v>
      </c>
      <c r="C114" s="399"/>
      <c r="D114" s="400"/>
      <c r="E114" s="399"/>
      <c r="F114" s="400"/>
      <c r="G114" s="399"/>
      <c r="H114" s="400"/>
      <c r="I114" s="399"/>
      <c r="J114" s="400"/>
      <c r="K114" s="399">
        <v>400312</v>
      </c>
      <c r="L114" s="400">
        <v>0.31937910032415651</v>
      </c>
      <c r="M114" s="399">
        <v>50067159.475431792</v>
      </c>
      <c r="N114" s="400">
        <v>0.39677082868932995</v>
      </c>
      <c r="O114" s="399">
        <v>183898</v>
      </c>
      <c r="P114" s="400">
        <v>0.14671850404537393</v>
      </c>
      <c r="Q114" s="399">
        <v>23249889.050945543</v>
      </c>
      <c r="R114" s="400">
        <v>0.18425007214969596</v>
      </c>
      <c r="S114" s="399">
        <v>609869</v>
      </c>
      <c r="T114" s="400">
        <v>0.48656900751312221</v>
      </c>
      <c r="U114" s="399">
        <v>45695005.267399177</v>
      </c>
      <c r="V114" s="400">
        <v>0.36212250299132648</v>
      </c>
      <c r="W114" s="399">
        <v>59328</v>
      </c>
      <c r="X114" s="400">
        <v>4.7333388117347358E-2</v>
      </c>
      <c r="Y114" s="399">
        <v>7174540.2177358242</v>
      </c>
      <c r="Z114" s="400">
        <v>5.6856596169647562E-2</v>
      </c>
      <c r="AA114" s="399"/>
      <c r="AB114" s="401"/>
      <c r="AC114" s="399"/>
      <c r="AD114" s="401"/>
      <c r="AE114" s="399">
        <v>1253407</v>
      </c>
      <c r="AF114" s="400">
        <v>0.99999999999999989</v>
      </c>
      <c r="AG114" s="399">
        <v>126186594.01151234</v>
      </c>
      <c r="AH114" s="400">
        <v>0.99999999999999989</v>
      </c>
    </row>
    <row r="115" spans="2:34" hidden="1" outlineLevel="1" x14ac:dyDescent="0.25">
      <c r="B115" s="219">
        <v>41821</v>
      </c>
      <c r="C115" s="399"/>
      <c r="D115" s="400"/>
      <c r="E115" s="399"/>
      <c r="F115" s="400"/>
      <c r="G115" s="399"/>
      <c r="H115" s="400"/>
      <c r="I115" s="399"/>
      <c r="J115" s="400"/>
      <c r="K115" s="399">
        <v>400926</v>
      </c>
      <c r="L115" s="400">
        <v>0.31831119431602467</v>
      </c>
      <c r="M115" s="399">
        <v>52107377.184514195</v>
      </c>
      <c r="N115" s="400">
        <v>0.39815688110510805</v>
      </c>
      <c r="O115" s="399">
        <v>181885</v>
      </c>
      <c r="P115" s="400">
        <v>0.1444057795657307</v>
      </c>
      <c r="Q115" s="399">
        <v>23828077.865608517</v>
      </c>
      <c r="R115" s="400">
        <v>0.18207236054321851</v>
      </c>
      <c r="S115" s="399">
        <v>615089</v>
      </c>
      <c r="T115" s="400">
        <v>0.48834376967482601</v>
      </c>
      <c r="U115" s="399">
        <v>47199339.246912017</v>
      </c>
      <c r="V115" s="400">
        <v>0.36065414765027609</v>
      </c>
      <c r="W115" s="399">
        <v>61641</v>
      </c>
      <c r="X115" s="400">
        <v>4.8939256443418677E-2</v>
      </c>
      <c r="Y115" s="399">
        <v>7736677.872144104</v>
      </c>
      <c r="Z115" s="400">
        <v>5.9116610701397364E-2</v>
      </c>
      <c r="AA115" s="399"/>
      <c r="AB115" s="401"/>
      <c r="AC115" s="399"/>
      <c r="AD115" s="401"/>
      <c r="AE115" s="399">
        <v>1259541</v>
      </c>
      <c r="AF115" s="400">
        <v>1</v>
      </c>
      <c r="AG115" s="399">
        <v>130871472.16917883</v>
      </c>
      <c r="AH115" s="400">
        <v>1</v>
      </c>
    </row>
    <row r="116" spans="2:34" hidden="1" outlineLevel="1" x14ac:dyDescent="0.25">
      <c r="B116" s="219">
        <v>41852</v>
      </c>
      <c r="C116" s="399"/>
      <c r="D116" s="400"/>
      <c r="E116" s="399"/>
      <c r="F116" s="400"/>
      <c r="G116" s="399"/>
      <c r="H116" s="400"/>
      <c r="I116" s="399"/>
      <c r="J116" s="400"/>
      <c r="K116" s="399">
        <v>400933</v>
      </c>
      <c r="L116" s="400">
        <v>0.31729574531059818</v>
      </c>
      <c r="M116" s="399">
        <v>51778452.706466496</v>
      </c>
      <c r="N116" s="400">
        <v>0.39154771441023173</v>
      </c>
      <c r="O116" s="399">
        <v>181876</v>
      </c>
      <c r="P116" s="400">
        <v>0.14393547294463252</v>
      </c>
      <c r="Q116" s="399">
        <v>23650359.506917894</v>
      </c>
      <c r="R116" s="400">
        <v>0.17884358697256908</v>
      </c>
      <c r="S116" s="399">
        <v>618705</v>
      </c>
      <c r="T116" s="400">
        <v>0.48963907710862825</v>
      </c>
      <c r="U116" s="399">
        <v>49105937.383618772</v>
      </c>
      <c r="V116" s="400">
        <v>0.37133820231222603</v>
      </c>
      <c r="W116" s="399">
        <v>62080</v>
      </c>
      <c r="X116" s="400">
        <v>4.9129704636141039E-2</v>
      </c>
      <c r="Y116" s="399">
        <v>7705717.6585846525</v>
      </c>
      <c r="Z116" s="400">
        <v>5.8270496304973149E-2</v>
      </c>
      <c r="AA116" s="399"/>
      <c r="AB116" s="401"/>
      <c r="AC116" s="399"/>
      <c r="AD116" s="401"/>
      <c r="AE116" s="399">
        <v>1263594</v>
      </c>
      <c r="AF116" s="400">
        <v>1</v>
      </c>
      <c r="AG116" s="399">
        <v>132240467.25558782</v>
      </c>
      <c r="AH116" s="400">
        <v>1</v>
      </c>
    </row>
    <row r="117" spans="2:34" hidden="1" outlineLevel="1" x14ac:dyDescent="0.25">
      <c r="B117" s="219">
        <v>41883</v>
      </c>
      <c r="C117" s="399"/>
      <c r="D117" s="400"/>
      <c r="E117" s="399"/>
      <c r="F117" s="400"/>
      <c r="G117" s="399"/>
      <c r="H117" s="400"/>
      <c r="I117" s="399"/>
      <c r="J117" s="400"/>
      <c r="K117" s="399">
        <v>400274</v>
      </c>
      <c r="L117" s="400">
        <v>0.31579578527647534</v>
      </c>
      <c r="M117" s="399">
        <v>51374530.954833731</v>
      </c>
      <c r="N117" s="400">
        <v>0.38969173880847258</v>
      </c>
      <c r="O117" s="399">
        <v>182362</v>
      </c>
      <c r="P117" s="400">
        <v>0.14387432357482274</v>
      </c>
      <c r="Q117" s="399">
        <v>23580545.296646427</v>
      </c>
      <c r="R117" s="400">
        <v>0.17886574393799906</v>
      </c>
      <c r="S117" s="399">
        <v>622608</v>
      </c>
      <c r="T117" s="400">
        <v>0.49120597960251172</v>
      </c>
      <c r="U117" s="399">
        <v>49303290.500019155</v>
      </c>
      <c r="V117" s="400">
        <v>0.37398073805915671</v>
      </c>
      <c r="W117" s="399">
        <v>62265</v>
      </c>
      <c r="X117" s="400">
        <v>4.9123911546190203E-2</v>
      </c>
      <c r="Y117" s="399">
        <v>7575402.9658605577</v>
      </c>
      <c r="Z117" s="400">
        <v>5.746177919437153E-2</v>
      </c>
      <c r="AA117" s="399"/>
      <c r="AB117" s="401"/>
      <c r="AC117" s="399"/>
      <c r="AD117" s="401"/>
      <c r="AE117" s="399">
        <v>1267509</v>
      </c>
      <c r="AF117" s="400">
        <v>1</v>
      </c>
      <c r="AG117" s="399">
        <v>131833769.71735989</v>
      </c>
      <c r="AH117" s="400">
        <v>0.99999999999999989</v>
      </c>
    </row>
    <row r="118" spans="2:34" hidden="1" outlineLevel="1" x14ac:dyDescent="0.25">
      <c r="B118" s="219">
        <v>41913</v>
      </c>
      <c r="C118" s="399"/>
      <c r="D118" s="400"/>
      <c r="E118" s="399"/>
      <c r="F118" s="400"/>
      <c r="G118" s="399"/>
      <c r="H118" s="400"/>
      <c r="I118" s="399"/>
      <c r="J118" s="400"/>
      <c r="K118" s="399">
        <v>400436</v>
      </c>
      <c r="L118" s="400">
        <v>0.31502388821276206</v>
      </c>
      <c r="M118" s="399">
        <v>50803028.126936622</v>
      </c>
      <c r="N118" s="400">
        <v>0.38861087863556637</v>
      </c>
      <c r="O118" s="399">
        <v>181608</v>
      </c>
      <c r="P118" s="400">
        <v>0.14287141588304569</v>
      </c>
      <c r="Q118" s="399">
        <v>23277283.990824237</v>
      </c>
      <c r="R118" s="400">
        <v>0.17805642926090798</v>
      </c>
      <c r="S118" s="399">
        <v>627020</v>
      </c>
      <c r="T118" s="400">
        <v>0.49327802292292916</v>
      </c>
      <c r="U118" s="399">
        <v>49108669.43488653</v>
      </c>
      <c r="V118" s="400">
        <v>0.37565011144672478</v>
      </c>
      <c r="W118" s="399">
        <v>62065</v>
      </c>
      <c r="X118" s="400">
        <v>4.8826672981263114E-2</v>
      </c>
      <c r="Y118" s="399">
        <v>7540833.076600193</v>
      </c>
      <c r="Z118" s="400">
        <v>5.7682580656800812E-2</v>
      </c>
      <c r="AA118" s="399"/>
      <c r="AB118" s="401"/>
      <c r="AC118" s="399"/>
      <c r="AD118" s="401"/>
      <c r="AE118" s="399">
        <v>1271129</v>
      </c>
      <c r="AF118" s="400">
        <v>1</v>
      </c>
      <c r="AG118" s="399">
        <v>130729814.62924759</v>
      </c>
      <c r="AH118" s="400">
        <v>0.99999999999999989</v>
      </c>
    </row>
    <row r="119" spans="2:34" hidden="1" outlineLevel="1" x14ac:dyDescent="0.25">
      <c r="B119" s="219">
        <v>41944</v>
      </c>
      <c r="C119" s="399"/>
      <c r="D119" s="400"/>
      <c r="E119" s="399"/>
      <c r="F119" s="400"/>
      <c r="G119" s="399"/>
      <c r="H119" s="400"/>
      <c r="I119" s="399"/>
      <c r="J119" s="400"/>
      <c r="K119" s="399">
        <v>400577</v>
      </c>
      <c r="L119" s="400">
        <v>0.31431855810048415</v>
      </c>
      <c r="M119" s="399">
        <v>50903196.868361361</v>
      </c>
      <c r="N119" s="400">
        <v>0.38847796971910781</v>
      </c>
      <c r="O119" s="399">
        <v>181221</v>
      </c>
      <c r="P119" s="400">
        <v>0.14219768837833385</v>
      </c>
      <c r="Q119" s="399">
        <v>23268443.731609207</v>
      </c>
      <c r="R119" s="400">
        <v>0.17757780130695811</v>
      </c>
      <c r="S119" s="399">
        <v>630203</v>
      </c>
      <c r="T119" s="400">
        <v>0.49449793240899853</v>
      </c>
      <c r="U119" s="399">
        <v>49265488.38407243</v>
      </c>
      <c r="V119" s="400">
        <v>0.37597946852254038</v>
      </c>
      <c r="W119" s="399">
        <v>62429</v>
      </c>
      <c r="X119" s="400">
        <v>4.8985821112183484E-2</v>
      </c>
      <c r="Y119" s="399">
        <v>7595261.1027547969</v>
      </c>
      <c r="Z119" s="400">
        <v>5.7964760451393607E-2</v>
      </c>
      <c r="AA119" s="399"/>
      <c r="AB119" s="401"/>
      <c r="AC119" s="399"/>
      <c r="AD119" s="401"/>
      <c r="AE119" s="399">
        <v>1274430</v>
      </c>
      <c r="AF119" s="400">
        <v>1</v>
      </c>
      <c r="AG119" s="399">
        <v>131032390.0867978</v>
      </c>
      <c r="AH119" s="400">
        <v>0.99999999999999989</v>
      </c>
    </row>
    <row r="120" spans="2:34" hidden="1" outlineLevel="1" x14ac:dyDescent="0.25">
      <c r="B120" s="219">
        <v>41974</v>
      </c>
      <c r="C120" s="399"/>
      <c r="D120" s="400"/>
      <c r="E120" s="399"/>
      <c r="F120" s="400"/>
      <c r="G120" s="399"/>
      <c r="H120" s="400"/>
      <c r="I120" s="399"/>
      <c r="J120" s="400"/>
      <c r="K120" s="399">
        <v>401656</v>
      </c>
      <c r="L120" s="400">
        <v>0.31339515054290323</v>
      </c>
      <c r="M120" s="399">
        <v>51297631.690273859</v>
      </c>
      <c r="N120" s="400">
        <v>0.38721997630686911</v>
      </c>
      <c r="O120" s="399">
        <v>181546</v>
      </c>
      <c r="P120" s="400">
        <v>0.14165264803827632</v>
      </c>
      <c r="Q120" s="399">
        <v>23252913.077354182</v>
      </c>
      <c r="R120" s="400">
        <v>0.17552452528887311</v>
      </c>
      <c r="S120" s="399">
        <v>635745</v>
      </c>
      <c r="T120" s="400">
        <v>0.49604487417565785</v>
      </c>
      <c r="U120" s="399">
        <v>50330696.649822854</v>
      </c>
      <c r="V120" s="400">
        <v>0.37992107085808774</v>
      </c>
      <c r="W120" s="399">
        <v>62681</v>
      </c>
      <c r="X120" s="400">
        <v>4.8907327243162602E-2</v>
      </c>
      <c r="Y120" s="399">
        <v>7595476.802326194</v>
      </c>
      <c r="Z120" s="400">
        <v>5.733442754617004E-2</v>
      </c>
      <c r="AA120" s="399"/>
      <c r="AB120" s="401"/>
      <c r="AC120" s="399"/>
      <c r="AD120" s="401"/>
      <c r="AE120" s="399">
        <v>1281628</v>
      </c>
      <c r="AF120" s="400">
        <v>1</v>
      </c>
      <c r="AG120" s="399">
        <v>132476718.21977709</v>
      </c>
      <c r="AH120" s="400">
        <v>1</v>
      </c>
    </row>
    <row r="121" spans="2:34" collapsed="1" x14ac:dyDescent="0.25">
      <c r="B121" s="393" t="s">
        <v>755</v>
      </c>
      <c r="C121" s="394"/>
      <c r="D121" s="391"/>
      <c r="E121" s="394"/>
      <c r="F121" s="391"/>
      <c r="G121" s="394"/>
      <c r="H121" s="391"/>
      <c r="I121" s="394"/>
      <c r="J121" s="391"/>
      <c r="K121" s="394">
        <v>399666.58333333331</v>
      </c>
      <c r="L121" s="391">
        <v>0.31830414471771307</v>
      </c>
      <c r="M121" s="394">
        <v>50729912.410910435</v>
      </c>
      <c r="N121" s="391">
        <v>0.39468355634842245</v>
      </c>
      <c r="O121" s="394">
        <v>182905</v>
      </c>
      <c r="P121" s="391">
        <v>0.14566997096436421</v>
      </c>
      <c r="Q121" s="394">
        <v>23464855.551125959</v>
      </c>
      <c r="R121" s="391">
        <v>0.18255881388292364</v>
      </c>
      <c r="S121" s="394">
        <v>612967.25</v>
      </c>
      <c r="T121" s="391">
        <v>0.48818196063314928</v>
      </c>
      <c r="U121" s="394">
        <v>46981731.248591341</v>
      </c>
      <c r="V121" s="391">
        <v>0.36552234946520101</v>
      </c>
      <c r="W121" s="394">
        <v>60073.416666666664</v>
      </c>
      <c r="X121" s="391">
        <v>4.7843923684773436E-2</v>
      </c>
      <c r="Y121" s="394">
        <v>7356629.6591410479</v>
      </c>
      <c r="Z121" s="391">
        <v>5.723528030345288E-2</v>
      </c>
      <c r="AA121" s="394"/>
      <c r="AB121" s="395"/>
      <c r="AC121" s="394"/>
      <c r="AD121" s="395"/>
      <c r="AE121" s="394">
        <v>1255612.25</v>
      </c>
      <c r="AF121" s="391">
        <v>1</v>
      </c>
      <c r="AG121" s="394">
        <v>128533128.86976878</v>
      </c>
      <c r="AH121" s="391">
        <v>1</v>
      </c>
    </row>
    <row r="122" spans="2:34" hidden="1" outlineLevel="1" x14ac:dyDescent="0.25">
      <c r="B122" s="219">
        <v>42005</v>
      </c>
      <c r="C122" s="399"/>
      <c r="D122" s="400"/>
      <c r="E122" s="399"/>
      <c r="F122" s="400"/>
      <c r="G122" s="399"/>
      <c r="H122" s="400"/>
      <c r="I122" s="399"/>
      <c r="J122" s="400"/>
      <c r="K122" s="399">
        <v>398501</v>
      </c>
      <c r="L122" s="400">
        <v>0.30985395301894963</v>
      </c>
      <c r="M122" s="399">
        <v>50818188.823580392</v>
      </c>
      <c r="N122" s="400">
        <v>0.38335243987502332</v>
      </c>
      <c r="O122" s="399">
        <v>180092</v>
      </c>
      <c r="P122" s="400">
        <v>0.14003030885013759</v>
      </c>
      <c r="Q122" s="399">
        <v>23144903.402630717</v>
      </c>
      <c r="R122" s="400">
        <v>0.17459605301700895</v>
      </c>
      <c r="S122" s="399">
        <v>643828</v>
      </c>
      <c r="T122" s="400">
        <v>0.50060765434537002</v>
      </c>
      <c r="U122" s="399">
        <v>50860317.341026798</v>
      </c>
      <c r="V122" s="400">
        <v>0.38367024084993534</v>
      </c>
      <c r="W122" s="399">
        <v>63672</v>
      </c>
      <c r="X122" s="400">
        <v>4.9508083785542722E-2</v>
      </c>
      <c r="Y122" s="399">
        <v>7739171.3312888583</v>
      </c>
      <c r="Z122" s="400">
        <v>5.8381266258032458E-2</v>
      </c>
      <c r="AA122" s="399"/>
      <c r="AB122" s="401"/>
      <c r="AC122" s="399"/>
      <c r="AD122" s="401"/>
      <c r="AE122" s="399">
        <v>1286093</v>
      </c>
      <c r="AF122" s="400">
        <v>1</v>
      </c>
      <c r="AG122" s="399">
        <v>132562580.89852676</v>
      </c>
      <c r="AH122" s="400">
        <v>1.0000000000000002</v>
      </c>
    </row>
    <row r="123" spans="2:34" hidden="1" outlineLevel="1" x14ac:dyDescent="0.25">
      <c r="B123" s="219">
        <v>42036</v>
      </c>
      <c r="C123" s="399"/>
      <c r="D123" s="400"/>
      <c r="E123" s="399"/>
      <c r="F123" s="400"/>
      <c r="G123" s="399"/>
      <c r="H123" s="400"/>
      <c r="I123" s="399"/>
      <c r="J123" s="400"/>
      <c r="K123" s="399">
        <v>398712</v>
      </c>
      <c r="L123" s="400">
        <v>0.30927614340300563</v>
      </c>
      <c r="M123" s="399">
        <v>50529741.027326688</v>
      </c>
      <c r="N123" s="400">
        <v>0.38633940608582146</v>
      </c>
      <c r="O123" s="399">
        <v>179970</v>
      </c>
      <c r="P123" s="400">
        <v>0.13960058269688128</v>
      </c>
      <c r="Q123" s="399">
        <v>22951776.078704301</v>
      </c>
      <c r="R123" s="400">
        <v>0.17548428625561291</v>
      </c>
      <c r="S123" s="399">
        <v>646800</v>
      </c>
      <c r="T123" s="400">
        <v>0.50171504633184871</v>
      </c>
      <c r="U123" s="399">
        <v>49625717.074667394</v>
      </c>
      <c r="V123" s="400">
        <v>0.37942743563323461</v>
      </c>
      <c r="W123" s="399">
        <v>63696</v>
      </c>
      <c r="X123" s="400">
        <v>4.9408227568264428E-2</v>
      </c>
      <c r="Y123" s="399">
        <v>7683827.3350456534</v>
      </c>
      <c r="Z123" s="400">
        <v>5.8748872025331099E-2</v>
      </c>
      <c r="AA123" s="399"/>
      <c r="AB123" s="401"/>
      <c r="AC123" s="399"/>
      <c r="AD123" s="401"/>
      <c r="AE123" s="399">
        <v>1289178</v>
      </c>
      <c r="AF123" s="400">
        <v>1</v>
      </c>
      <c r="AG123" s="399">
        <v>130791061.51574403</v>
      </c>
      <c r="AH123" s="400">
        <v>1</v>
      </c>
    </row>
    <row r="124" spans="2:34" hidden="1" outlineLevel="1" x14ac:dyDescent="0.25">
      <c r="B124" s="219">
        <v>42064</v>
      </c>
      <c r="C124" s="399"/>
      <c r="D124" s="400"/>
      <c r="E124" s="399"/>
      <c r="F124" s="400"/>
      <c r="G124" s="399"/>
      <c r="H124" s="400"/>
      <c r="I124" s="399"/>
      <c r="J124" s="400"/>
      <c r="K124" s="399">
        <v>398938</v>
      </c>
      <c r="L124" s="400">
        <v>0.30834667262329407</v>
      </c>
      <c r="M124" s="399">
        <v>50268208.377832189</v>
      </c>
      <c r="N124" s="400">
        <v>0.3849983636859951</v>
      </c>
      <c r="O124" s="399">
        <v>180298</v>
      </c>
      <c r="P124" s="400">
        <v>0.13935571036259939</v>
      </c>
      <c r="Q124" s="399">
        <v>22871477.117093399</v>
      </c>
      <c r="R124" s="400">
        <v>0.17516998415733817</v>
      </c>
      <c r="S124" s="399">
        <v>650698</v>
      </c>
      <c r="T124" s="400">
        <v>0.5029367049081116</v>
      </c>
      <c r="U124" s="399">
        <v>49744759.836117297</v>
      </c>
      <c r="V124" s="400">
        <v>0.38098933216214781</v>
      </c>
      <c r="W124" s="399">
        <v>63863</v>
      </c>
      <c r="X124" s="400">
        <v>4.936091210599499E-2</v>
      </c>
      <c r="Y124" s="399">
        <v>7682884.6091720574</v>
      </c>
      <c r="Z124" s="400">
        <v>5.8842319994518909E-2</v>
      </c>
      <c r="AA124" s="399"/>
      <c r="AB124" s="401"/>
      <c r="AC124" s="399"/>
      <c r="AD124" s="401"/>
      <c r="AE124" s="399">
        <v>1293797</v>
      </c>
      <c r="AF124" s="400">
        <v>1</v>
      </c>
      <c r="AG124" s="399">
        <v>130567329.94021495</v>
      </c>
      <c r="AH124" s="400">
        <v>1</v>
      </c>
    </row>
    <row r="125" spans="2:34" hidden="1" outlineLevel="1" x14ac:dyDescent="0.25">
      <c r="B125" s="219">
        <v>42095</v>
      </c>
      <c r="C125" s="399"/>
      <c r="D125" s="400"/>
      <c r="E125" s="399"/>
      <c r="F125" s="400"/>
      <c r="G125" s="399"/>
      <c r="H125" s="400"/>
      <c r="I125" s="399"/>
      <c r="J125" s="400"/>
      <c r="K125" s="399">
        <v>399217</v>
      </c>
      <c r="L125" s="400">
        <v>0.30746865947986712</v>
      </c>
      <c r="M125" s="399">
        <v>49925737.575419076</v>
      </c>
      <c r="N125" s="400">
        <v>0.38342163555207431</v>
      </c>
      <c r="O125" s="399">
        <v>180102</v>
      </c>
      <c r="P125" s="400">
        <v>0.13871082771936824</v>
      </c>
      <c r="Q125" s="399">
        <v>22835779.754209425</v>
      </c>
      <c r="R125" s="400">
        <v>0.17537511607593767</v>
      </c>
      <c r="S125" s="399">
        <v>654785</v>
      </c>
      <c r="T125" s="400">
        <v>0.5043018363384445</v>
      </c>
      <c r="U125" s="399">
        <v>49834895.603602447</v>
      </c>
      <c r="V125" s="400">
        <v>0.38272398381767397</v>
      </c>
      <c r="W125" s="399">
        <v>64295</v>
      </c>
      <c r="X125" s="400">
        <v>4.9518676462320131E-2</v>
      </c>
      <c r="Y125" s="399">
        <v>7614647.0230829464</v>
      </c>
      <c r="Z125" s="400">
        <v>5.8479264554314195E-2</v>
      </c>
      <c r="AA125" s="399"/>
      <c r="AB125" s="401"/>
      <c r="AC125" s="399"/>
      <c r="AD125" s="401"/>
      <c r="AE125" s="399">
        <v>1298399</v>
      </c>
      <c r="AF125" s="400">
        <v>1</v>
      </c>
      <c r="AG125" s="399">
        <v>130211059.95631388</v>
      </c>
      <c r="AH125" s="400">
        <v>1.0000000000000002</v>
      </c>
    </row>
    <row r="126" spans="2:34" hidden="1" outlineLevel="1" x14ac:dyDescent="0.25">
      <c r="B126" s="219">
        <v>42125</v>
      </c>
      <c r="C126" s="399"/>
      <c r="D126" s="400"/>
      <c r="E126" s="399"/>
      <c r="F126" s="400"/>
      <c r="G126" s="399"/>
      <c r="H126" s="400"/>
      <c r="I126" s="399"/>
      <c r="J126" s="400"/>
      <c r="K126" s="399">
        <v>399583</v>
      </c>
      <c r="L126" s="400">
        <v>0.30704795715284661</v>
      </c>
      <c r="M126" s="399">
        <v>49934078.014299639</v>
      </c>
      <c r="N126" s="400">
        <v>0.38335771605815666</v>
      </c>
      <c r="O126" s="399">
        <v>179949</v>
      </c>
      <c r="P126" s="400">
        <v>0.13827658544456994</v>
      </c>
      <c r="Q126" s="399">
        <v>22826313.41747297</v>
      </c>
      <c r="R126" s="400">
        <v>0.17524391609361786</v>
      </c>
      <c r="S126" s="399">
        <v>657398</v>
      </c>
      <c r="T126" s="400">
        <v>0.50515840998332528</v>
      </c>
      <c r="U126" s="399">
        <v>49883916.167605005</v>
      </c>
      <c r="V126" s="400">
        <v>0.38297260969899638</v>
      </c>
      <c r="W126" s="399">
        <v>64440</v>
      </c>
      <c r="X126" s="400">
        <v>4.9517047419258164E-2</v>
      </c>
      <c r="Y126" s="399">
        <v>7610219.4980356907</v>
      </c>
      <c r="Z126" s="400">
        <v>5.8425758149229207E-2</v>
      </c>
      <c r="AA126" s="399"/>
      <c r="AB126" s="401"/>
      <c r="AC126" s="399"/>
      <c r="AD126" s="401"/>
      <c r="AE126" s="399">
        <v>1301370</v>
      </c>
      <c r="AF126" s="400">
        <v>1</v>
      </c>
      <c r="AG126" s="399">
        <v>130254527.09741329</v>
      </c>
      <c r="AH126" s="400">
        <v>1</v>
      </c>
    </row>
    <row r="127" spans="2:34" hidden="1" outlineLevel="1" x14ac:dyDescent="0.25">
      <c r="B127" s="219">
        <v>42156</v>
      </c>
      <c r="C127" s="399"/>
      <c r="D127" s="400"/>
      <c r="E127" s="399"/>
      <c r="F127" s="400"/>
      <c r="G127" s="399"/>
      <c r="H127" s="400"/>
      <c r="I127" s="399"/>
      <c r="J127" s="400"/>
      <c r="K127" s="399">
        <v>399338</v>
      </c>
      <c r="L127" s="400">
        <v>0.3059121296827565</v>
      </c>
      <c r="M127" s="399">
        <v>49625533.176218905</v>
      </c>
      <c r="N127" s="400">
        <v>0.38150052045364147</v>
      </c>
      <c r="O127" s="399">
        <v>179401</v>
      </c>
      <c r="P127" s="400">
        <v>0.13742980126413262</v>
      </c>
      <c r="Q127" s="399">
        <v>22672117.584242851</v>
      </c>
      <c r="R127" s="400">
        <v>0.17429383836463649</v>
      </c>
      <c r="S127" s="399">
        <v>661536</v>
      </c>
      <c r="T127" s="400">
        <v>0.50676841828679464</v>
      </c>
      <c r="U127" s="399">
        <v>50120202.849566638</v>
      </c>
      <c r="V127" s="400">
        <v>0.38530333577382481</v>
      </c>
      <c r="W127" s="399">
        <v>65126</v>
      </c>
      <c r="X127" s="400">
        <v>4.9889650766316254E-2</v>
      </c>
      <c r="Y127" s="399">
        <v>7662003.4690898564</v>
      </c>
      <c r="Z127" s="400">
        <v>5.8902305407897315E-2</v>
      </c>
      <c r="AA127" s="399"/>
      <c r="AB127" s="401"/>
      <c r="AC127" s="399"/>
      <c r="AD127" s="401"/>
      <c r="AE127" s="399">
        <v>1305401</v>
      </c>
      <c r="AF127" s="400">
        <v>1</v>
      </c>
      <c r="AG127" s="399">
        <v>130079857.07911824</v>
      </c>
      <c r="AH127" s="400">
        <v>1</v>
      </c>
    </row>
    <row r="128" spans="2:34" hidden="1" outlineLevel="1" x14ac:dyDescent="0.25">
      <c r="B128" s="219">
        <v>42186</v>
      </c>
      <c r="C128" s="399"/>
      <c r="D128" s="400"/>
      <c r="E128" s="399"/>
      <c r="F128" s="400"/>
      <c r="G128" s="399"/>
      <c r="H128" s="400"/>
      <c r="I128" s="399"/>
      <c r="J128" s="400"/>
      <c r="K128" s="399">
        <v>399884</v>
      </c>
      <c r="L128" s="400">
        <v>0.30448445346318287</v>
      </c>
      <c r="M128" s="399">
        <v>51615899.113998301</v>
      </c>
      <c r="N128" s="400">
        <v>0.37475226226590308</v>
      </c>
      <c r="O128" s="399">
        <v>179707</v>
      </c>
      <c r="P128" s="400">
        <v>0.13683465124513158</v>
      </c>
      <c r="Q128" s="399">
        <v>23832170.167396348</v>
      </c>
      <c r="R128" s="400">
        <v>0.1730311752433584</v>
      </c>
      <c r="S128" s="399">
        <v>668244</v>
      </c>
      <c r="T128" s="400">
        <v>0.50882233127619803</v>
      </c>
      <c r="U128" s="399">
        <v>54219524.225413084</v>
      </c>
      <c r="V128" s="400">
        <v>0.39365563152505423</v>
      </c>
      <c r="W128" s="399">
        <v>65480</v>
      </c>
      <c r="X128" s="400">
        <v>4.9858564015487529E-2</v>
      </c>
      <c r="Y128" s="399">
        <v>8065795.4843828529</v>
      </c>
      <c r="Z128" s="400">
        <v>5.8560930965684294E-2</v>
      </c>
      <c r="AA128" s="399"/>
      <c r="AB128" s="401"/>
      <c r="AC128" s="399"/>
      <c r="AD128" s="401"/>
      <c r="AE128" s="399">
        <v>1313315</v>
      </c>
      <c r="AF128" s="400">
        <v>1</v>
      </c>
      <c r="AG128" s="399">
        <v>137733388.99119058</v>
      </c>
      <c r="AH128" s="400">
        <v>1</v>
      </c>
    </row>
    <row r="129" spans="2:34" hidden="1" outlineLevel="1" x14ac:dyDescent="0.25">
      <c r="B129" s="219">
        <v>42217</v>
      </c>
      <c r="C129" s="399"/>
      <c r="D129" s="400"/>
      <c r="E129" s="399"/>
      <c r="F129" s="400"/>
      <c r="G129" s="399"/>
      <c r="H129" s="400"/>
      <c r="I129" s="399"/>
      <c r="J129" s="400"/>
      <c r="K129" s="399">
        <v>399355</v>
      </c>
      <c r="L129" s="400">
        <v>0.30360058872005086</v>
      </c>
      <c r="M129" s="399">
        <v>51071651.617739066</v>
      </c>
      <c r="N129" s="400">
        <v>0.37509368627352208</v>
      </c>
      <c r="O129" s="399">
        <v>179457</v>
      </c>
      <c r="P129" s="400">
        <v>0.13642811746424652</v>
      </c>
      <c r="Q129" s="399">
        <v>23487109.866383288</v>
      </c>
      <c r="R129" s="400">
        <v>0.17250013149433621</v>
      </c>
      <c r="S129" s="399">
        <v>670971</v>
      </c>
      <c r="T129" s="400">
        <v>0.51009049746236113</v>
      </c>
      <c r="U129" s="399">
        <v>53674308.377634339</v>
      </c>
      <c r="V129" s="400">
        <v>0.39420879391642305</v>
      </c>
      <c r="W129" s="399">
        <v>65613</v>
      </c>
      <c r="X129" s="400">
        <v>4.98807963533415E-2</v>
      </c>
      <c r="Y129" s="399">
        <v>7923984.9933258668</v>
      </c>
      <c r="Z129" s="400">
        <v>5.8197388315718815E-2</v>
      </c>
      <c r="AA129" s="399"/>
      <c r="AB129" s="401"/>
      <c r="AC129" s="399"/>
      <c r="AD129" s="401"/>
      <c r="AE129" s="399">
        <v>1315396</v>
      </c>
      <c r="AF129" s="400">
        <v>1</v>
      </c>
      <c r="AG129" s="399">
        <v>136157054.85508254</v>
      </c>
      <c r="AH129" s="400">
        <v>1.0000000000000002</v>
      </c>
    </row>
    <row r="130" spans="2:34" hidden="1" outlineLevel="1" x14ac:dyDescent="0.25">
      <c r="B130" s="219">
        <v>42248</v>
      </c>
      <c r="C130" s="399"/>
      <c r="D130" s="400"/>
      <c r="E130" s="399"/>
      <c r="F130" s="400"/>
      <c r="G130" s="399"/>
      <c r="H130" s="400"/>
      <c r="I130" s="399"/>
      <c r="J130" s="400"/>
      <c r="K130" s="399">
        <v>399289</v>
      </c>
      <c r="L130" s="400">
        <v>0.30274441238063898</v>
      </c>
      <c r="M130" s="399">
        <v>51033507.503271736</v>
      </c>
      <c r="N130" s="400">
        <v>0.37349786872812074</v>
      </c>
      <c r="O130" s="399">
        <v>179362</v>
      </c>
      <c r="P130" s="400">
        <v>0.13599383727930439</v>
      </c>
      <c r="Q130" s="399">
        <v>23523867.371039506</v>
      </c>
      <c r="R130" s="400">
        <v>0.17216363830690967</v>
      </c>
      <c r="S130" s="399">
        <v>674715</v>
      </c>
      <c r="T130" s="400">
        <v>0.51157481473169264</v>
      </c>
      <c r="U130" s="399">
        <v>54153870.708026044</v>
      </c>
      <c r="V130" s="400">
        <v>0.39633480594155185</v>
      </c>
      <c r="W130" s="399">
        <v>65532</v>
      </c>
      <c r="X130" s="400">
        <v>4.9686935608363951E-2</v>
      </c>
      <c r="Y130" s="399">
        <v>7925431.0259043807</v>
      </c>
      <c r="Z130" s="400">
        <v>5.8003687023417641E-2</v>
      </c>
      <c r="AA130" s="399"/>
      <c r="AB130" s="401"/>
      <c r="AC130" s="399"/>
      <c r="AD130" s="401"/>
      <c r="AE130" s="399">
        <v>1318898</v>
      </c>
      <c r="AF130" s="400">
        <v>0.99999999999999989</v>
      </c>
      <c r="AG130" s="399">
        <v>136636676.60824168</v>
      </c>
      <c r="AH130" s="400">
        <v>0.99999999999999989</v>
      </c>
    </row>
    <row r="131" spans="2:34" hidden="1" outlineLevel="1" x14ac:dyDescent="0.25">
      <c r="B131" s="219">
        <v>42278</v>
      </c>
      <c r="C131" s="399"/>
      <c r="D131" s="400"/>
      <c r="E131" s="399"/>
      <c r="F131" s="400"/>
      <c r="G131" s="399"/>
      <c r="H131" s="400"/>
      <c r="I131" s="399"/>
      <c r="J131" s="400"/>
      <c r="K131" s="399">
        <v>399179</v>
      </c>
      <c r="L131" s="400">
        <v>0.30167767913621329</v>
      </c>
      <c r="M131" s="399">
        <v>50806314.272430316</v>
      </c>
      <c r="N131" s="400">
        <v>0.37219717869381974</v>
      </c>
      <c r="O131" s="399">
        <v>179490</v>
      </c>
      <c r="P131" s="400">
        <v>0.13564873560021676</v>
      </c>
      <c r="Q131" s="399">
        <v>23422717.103788525</v>
      </c>
      <c r="R131" s="400">
        <v>0.17159027078065875</v>
      </c>
      <c r="S131" s="399">
        <v>679171</v>
      </c>
      <c r="T131" s="400">
        <v>0.51328033543002294</v>
      </c>
      <c r="U131" s="399">
        <v>54417158.088385865</v>
      </c>
      <c r="V131" s="400">
        <v>0.39864951833405154</v>
      </c>
      <c r="W131" s="399">
        <v>65357</v>
      </c>
      <c r="X131" s="400">
        <v>4.9393249833547086E-2</v>
      </c>
      <c r="Y131" s="399">
        <v>7857570.3186607966</v>
      </c>
      <c r="Z131" s="400">
        <v>5.7563032191469972E-2</v>
      </c>
      <c r="AA131" s="399"/>
      <c r="AB131" s="401"/>
      <c r="AC131" s="399"/>
      <c r="AD131" s="401"/>
      <c r="AE131" s="399">
        <v>1323197</v>
      </c>
      <c r="AF131" s="400">
        <v>1</v>
      </c>
      <c r="AG131" s="399">
        <v>136503759.7832655</v>
      </c>
      <c r="AH131" s="400">
        <v>1</v>
      </c>
    </row>
    <row r="132" spans="2:34" hidden="1" outlineLevel="1" x14ac:dyDescent="0.25">
      <c r="B132" s="219">
        <v>42309</v>
      </c>
      <c r="C132" s="399"/>
      <c r="D132" s="400"/>
      <c r="E132" s="399"/>
      <c r="F132" s="400"/>
      <c r="G132" s="399"/>
      <c r="H132" s="400"/>
      <c r="I132" s="399"/>
      <c r="J132" s="400"/>
      <c r="K132" s="399">
        <v>399281</v>
      </c>
      <c r="L132" s="400">
        <v>0.30120207449316361</v>
      </c>
      <c r="M132" s="399">
        <v>50807630.247927219</v>
      </c>
      <c r="N132" s="400">
        <v>0.37198648411545793</v>
      </c>
      <c r="O132" s="399">
        <v>179523</v>
      </c>
      <c r="P132" s="400">
        <v>0.13542517680339464</v>
      </c>
      <c r="Q132" s="399">
        <v>23371037.125135172</v>
      </c>
      <c r="R132" s="400">
        <v>0.17111032118380579</v>
      </c>
      <c r="S132" s="399">
        <v>681546</v>
      </c>
      <c r="T132" s="400">
        <v>0.51413182461103257</v>
      </c>
      <c r="U132" s="399">
        <v>54550941.667745225</v>
      </c>
      <c r="V132" s="400">
        <v>0.39939302221244288</v>
      </c>
      <c r="W132" s="399">
        <v>65275</v>
      </c>
      <c r="X132" s="400">
        <v>4.9240924092409238E-2</v>
      </c>
      <c r="Y132" s="399">
        <v>7855004.6952050319</v>
      </c>
      <c r="Z132" s="400">
        <v>5.7510172488293522E-2</v>
      </c>
      <c r="AA132" s="399"/>
      <c r="AB132" s="401"/>
      <c r="AC132" s="399"/>
      <c r="AD132" s="401"/>
      <c r="AE132" s="399">
        <v>1325625</v>
      </c>
      <c r="AF132" s="400">
        <v>1</v>
      </c>
      <c r="AG132" s="399">
        <v>136584613.73601264</v>
      </c>
      <c r="AH132" s="400">
        <v>1.0000000000000002</v>
      </c>
    </row>
    <row r="133" spans="2:34" hidden="1" outlineLevel="1" x14ac:dyDescent="0.25">
      <c r="B133" s="219">
        <v>42339</v>
      </c>
      <c r="C133" s="399"/>
      <c r="D133" s="400"/>
      <c r="E133" s="399"/>
      <c r="F133" s="400"/>
      <c r="G133" s="399"/>
      <c r="H133" s="400"/>
      <c r="I133" s="399"/>
      <c r="J133" s="400"/>
      <c r="K133" s="399">
        <v>399514</v>
      </c>
      <c r="L133" s="400">
        <v>0.30018153020344007</v>
      </c>
      <c r="M133" s="399">
        <v>50821883.660039455</v>
      </c>
      <c r="N133" s="400">
        <v>0.37071823113938573</v>
      </c>
      <c r="O133" s="399">
        <v>179778</v>
      </c>
      <c r="P133" s="400">
        <v>0.13507920908131893</v>
      </c>
      <c r="Q133" s="399">
        <v>23411807.237471443</v>
      </c>
      <c r="R133" s="400">
        <v>0.17077650692581478</v>
      </c>
      <c r="S133" s="399">
        <v>686489</v>
      </c>
      <c r="T133" s="400">
        <v>0.51580499929371526</v>
      </c>
      <c r="U133" s="399">
        <v>55038964.454628862</v>
      </c>
      <c r="V133" s="400">
        <v>0.40147956110503003</v>
      </c>
      <c r="W133" s="399">
        <v>65127</v>
      </c>
      <c r="X133" s="400">
        <v>4.8934261421525758E-2</v>
      </c>
      <c r="Y133" s="399">
        <v>7817671.9938898319</v>
      </c>
      <c r="Z133" s="400">
        <v>5.7025700829769349E-2</v>
      </c>
      <c r="AA133" s="399"/>
      <c r="AB133" s="401"/>
      <c r="AC133" s="399"/>
      <c r="AD133" s="401"/>
      <c r="AE133" s="399">
        <v>1330908</v>
      </c>
      <c r="AF133" s="400">
        <v>1</v>
      </c>
      <c r="AG133" s="399">
        <v>137090327.34602961</v>
      </c>
      <c r="AH133" s="400">
        <v>0.99999999999999989</v>
      </c>
    </row>
    <row r="134" spans="2:34" collapsed="1" x14ac:dyDescent="0.25">
      <c r="B134" s="393" t="s">
        <v>756</v>
      </c>
      <c r="C134" s="394"/>
      <c r="D134" s="391"/>
      <c r="E134" s="394"/>
      <c r="F134" s="391"/>
      <c r="G134" s="394"/>
      <c r="H134" s="391"/>
      <c r="I134" s="394"/>
      <c r="J134" s="391"/>
      <c r="K134" s="394">
        <v>399232.58333333331</v>
      </c>
      <c r="L134" s="391">
        <v>0.30511527600062083</v>
      </c>
      <c r="M134" s="394">
        <v>50604864.450840242</v>
      </c>
      <c r="N134" s="391">
        <v>0.37831352867133211</v>
      </c>
      <c r="O134" s="394">
        <v>179760.75</v>
      </c>
      <c r="P134" s="391">
        <v>0.13738295204360684</v>
      </c>
      <c r="Q134" s="394">
        <v>23195923.018797327</v>
      </c>
      <c r="R134" s="391">
        <v>0.17340885275079695</v>
      </c>
      <c r="S134" s="394">
        <v>664681.75</v>
      </c>
      <c r="T134" s="391">
        <v>0.5079859812807338</v>
      </c>
      <c r="U134" s="394">
        <v>52177048.032868244</v>
      </c>
      <c r="V134" s="391">
        <v>0.39006691098132606</v>
      </c>
      <c r="W134" s="394">
        <v>64789.666666666664</v>
      </c>
      <c r="X134" s="391">
        <v>4.9515790675038564E-2</v>
      </c>
      <c r="Y134" s="394">
        <v>7786517.6480903188</v>
      </c>
      <c r="Z134" s="391">
        <v>5.8210707596544883E-2</v>
      </c>
      <c r="AA134" s="394"/>
      <c r="AB134" s="395"/>
      <c r="AC134" s="394"/>
      <c r="AD134" s="395"/>
      <c r="AE134" s="394">
        <v>1308464.75</v>
      </c>
      <c r="AF134" s="391">
        <v>1</v>
      </c>
      <c r="AG134" s="394">
        <v>133764353.15059613</v>
      </c>
      <c r="AH134" s="391">
        <v>1</v>
      </c>
    </row>
    <row r="135" spans="2:34" hidden="1" outlineLevel="1" x14ac:dyDescent="0.25">
      <c r="B135" s="219">
        <v>42370</v>
      </c>
      <c r="C135" s="399"/>
      <c r="D135" s="400"/>
      <c r="E135" s="399"/>
      <c r="F135" s="400"/>
      <c r="G135" s="399"/>
      <c r="H135" s="400"/>
      <c r="I135" s="399"/>
      <c r="J135" s="400"/>
      <c r="K135" s="399">
        <v>399298</v>
      </c>
      <c r="L135" s="400">
        <v>0.29925676328918782</v>
      </c>
      <c r="M135" s="399">
        <v>50540635.318415865</v>
      </c>
      <c r="N135" s="400">
        <v>0.369512080011213</v>
      </c>
      <c r="O135" s="399">
        <v>179950</v>
      </c>
      <c r="P135" s="400">
        <v>0.13486482415110856</v>
      </c>
      <c r="Q135" s="399">
        <v>23336062.124936271</v>
      </c>
      <c r="R135" s="400">
        <v>0.17061433440101767</v>
      </c>
      <c r="S135" s="399">
        <v>689781</v>
      </c>
      <c r="T135" s="400">
        <v>0.51696134074896261</v>
      </c>
      <c r="U135" s="399">
        <v>55068628.946238786</v>
      </c>
      <c r="V135" s="400">
        <v>0.402617092109957</v>
      </c>
      <c r="W135" s="399">
        <v>65270</v>
      </c>
      <c r="X135" s="400">
        <v>4.8917071810741071E-2</v>
      </c>
      <c r="Y135" s="399">
        <v>7831353.054507874</v>
      </c>
      <c r="Z135" s="400">
        <v>5.7256493477812351E-2</v>
      </c>
      <c r="AA135" s="399"/>
      <c r="AB135" s="401"/>
      <c r="AC135" s="399"/>
      <c r="AD135" s="401"/>
      <c r="AE135" s="399">
        <v>1334299</v>
      </c>
      <c r="AF135" s="400">
        <v>1</v>
      </c>
      <c r="AG135" s="399">
        <v>136776679.4440988</v>
      </c>
      <c r="AH135" s="400">
        <v>1</v>
      </c>
    </row>
    <row r="136" spans="2:34" hidden="1" outlineLevel="1" x14ac:dyDescent="0.25">
      <c r="B136" s="219">
        <v>42401</v>
      </c>
      <c r="C136" s="399"/>
      <c r="D136" s="400"/>
      <c r="E136" s="399"/>
      <c r="F136" s="400"/>
      <c r="G136" s="399"/>
      <c r="H136" s="400"/>
      <c r="I136" s="399"/>
      <c r="J136" s="400"/>
      <c r="K136" s="399">
        <v>399535</v>
      </c>
      <c r="L136" s="400">
        <v>0.29858269717249392</v>
      </c>
      <c r="M136" s="399">
        <v>50514659.169567145</v>
      </c>
      <c r="N136" s="400">
        <v>0.37102686461921613</v>
      </c>
      <c r="O136" s="399">
        <v>180257</v>
      </c>
      <c r="P136" s="400">
        <v>0.13471065424611672</v>
      </c>
      <c r="Q136" s="399">
        <v>23355619.383203741</v>
      </c>
      <c r="R136" s="400">
        <v>0.17154549537593425</v>
      </c>
      <c r="S136" s="399">
        <v>693110</v>
      </c>
      <c r="T136" s="400">
        <v>0.51797878342880421</v>
      </c>
      <c r="U136" s="399">
        <v>54504261.073662005</v>
      </c>
      <c r="V136" s="400">
        <v>0.40033022942241681</v>
      </c>
      <c r="W136" s="399">
        <v>65203</v>
      </c>
      <c r="X136" s="400">
        <v>4.8727865152585183E-2</v>
      </c>
      <c r="Y136" s="399">
        <v>7773712.6609323258</v>
      </c>
      <c r="Z136" s="400">
        <v>5.7097410582432707E-2</v>
      </c>
      <c r="AA136" s="399"/>
      <c r="AB136" s="401"/>
      <c r="AC136" s="399"/>
      <c r="AD136" s="401"/>
      <c r="AE136" s="399">
        <v>1338105</v>
      </c>
      <c r="AF136" s="400">
        <v>1</v>
      </c>
      <c r="AG136" s="399">
        <v>136148252.28736523</v>
      </c>
      <c r="AH136" s="400">
        <v>0.99999999999999989</v>
      </c>
    </row>
    <row r="137" spans="2:34" hidden="1" outlineLevel="1" x14ac:dyDescent="0.25">
      <c r="B137" s="219">
        <v>42430</v>
      </c>
      <c r="C137" s="399"/>
      <c r="D137" s="400"/>
      <c r="E137" s="399"/>
      <c r="F137" s="400"/>
      <c r="G137" s="399"/>
      <c r="H137" s="400"/>
      <c r="I137" s="399"/>
      <c r="J137" s="400"/>
      <c r="K137" s="399">
        <v>398717</v>
      </c>
      <c r="L137" s="400">
        <v>0.29784072811371098</v>
      </c>
      <c r="M137" s="399">
        <v>49986233.477363043</v>
      </c>
      <c r="N137" s="400">
        <v>0.37056776129568919</v>
      </c>
      <c r="O137" s="399">
        <v>180056</v>
      </c>
      <c r="P137" s="400">
        <v>0.13450143871779319</v>
      </c>
      <c r="Q137" s="399">
        <v>23007520.108428188</v>
      </c>
      <c r="R137" s="400">
        <v>0.17056386581731212</v>
      </c>
      <c r="S137" s="399">
        <v>694882</v>
      </c>
      <c r="T137" s="400">
        <v>0.51907533622371693</v>
      </c>
      <c r="U137" s="399">
        <v>54201888.63447585</v>
      </c>
      <c r="V137" s="400">
        <v>0.40182008389113694</v>
      </c>
      <c r="W137" s="399">
        <v>65037</v>
      </c>
      <c r="X137" s="400">
        <v>4.8582496944778931E-2</v>
      </c>
      <c r="Y137" s="399">
        <v>7695297.3007163554</v>
      </c>
      <c r="Z137" s="400">
        <v>5.7048288995861618E-2</v>
      </c>
      <c r="AA137" s="399"/>
      <c r="AB137" s="401"/>
      <c r="AC137" s="399"/>
      <c r="AD137" s="401"/>
      <c r="AE137" s="399">
        <v>1338692</v>
      </c>
      <c r="AF137" s="400">
        <v>1</v>
      </c>
      <c r="AG137" s="399">
        <v>134890939.52098346</v>
      </c>
      <c r="AH137" s="400">
        <v>1</v>
      </c>
    </row>
    <row r="138" spans="2:34" hidden="1" outlineLevel="1" x14ac:dyDescent="0.25">
      <c r="B138" s="219">
        <v>42461</v>
      </c>
      <c r="C138" s="399"/>
      <c r="D138" s="400"/>
      <c r="E138" s="399"/>
      <c r="F138" s="400"/>
      <c r="G138" s="399"/>
      <c r="H138" s="400"/>
      <c r="I138" s="399"/>
      <c r="J138" s="400"/>
      <c r="K138" s="399">
        <v>399208</v>
      </c>
      <c r="L138" s="400">
        <v>0.29716928111337987</v>
      </c>
      <c r="M138" s="399">
        <v>50139842.819645353</v>
      </c>
      <c r="N138" s="400">
        <v>0.36991823816218194</v>
      </c>
      <c r="O138" s="399">
        <v>180600</v>
      </c>
      <c r="P138" s="400">
        <v>0.13443811789612534</v>
      </c>
      <c r="Q138" s="399">
        <v>23274017.674565896</v>
      </c>
      <c r="R138" s="400">
        <v>0.17170942565774472</v>
      </c>
      <c r="S138" s="399">
        <v>698498</v>
      </c>
      <c r="T138" s="400">
        <v>0.5199598918837639</v>
      </c>
      <c r="U138" s="399">
        <v>54394940.589702986</v>
      </c>
      <c r="V138" s="400">
        <v>0.40131120195685155</v>
      </c>
      <c r="W138" s="399">
        <v>65063</v>
      </c>
      <c r="X138" s="400">
        <v>4.8432709106730913E-2</v>
      </c>
      <c r="Y138" s="399">
        <v>7734239.6397570111</v>
      </c>
      <c r="Z138" s="400">
        <v>5.7061134223221704E-2</v>
      </c>
      <c r="AA138" s="399"/>
      <c r="AB138" s="401"/>
      <c r="AC138" s="399"/>
      <c r="AD138" s="401"/>
      <c r="AE138" s="399">
        <v>1343369</v>
      </c>
      <c r="AF138" s="400">
        <v>1</v>
      </c>
      <c r="AG138" s="399">
        <v>135543040.72367126</v>
      </c>
      <c r="AH138" s="400">
        <v>0.99999999999999989</v>
      </c>
    </row>
    <row r="139" spans="2:34" hidden="1" outlineLevel="1" x14ac:dyDescent="0.25">
      <c r="B139" s="219">
        <v>42491</v>
      </c>
      <c r="C139" s="399"/>
      <c r="D139" s="400"/>
      <c r="E139" s="399"/>
      <c r="F139" s="400"/>
      <c r="G139" s="399"/>
      <c r="H139" s="400"/>
      <c r="I139" s="399"/>
      <c r="J139" s="400"/>
      <c r="K139" s="399">
        <v>399462</v>
      </c>
      <c r="L139" s="400">
        <v>0.29632272651743535</v>
      </c>
      <c r="M139" s="399">
        <v>50032218.638309807</v>
      </c>
      <c r="N139" s="400">
        <v>0.36804661406566541</v>
      </c>
      <c r="O139" s="399">
        <v>180821</v>
      </c>
      <c r="P139" s="400">
        <v>0.13413383934293921</v>
      </c>
      <c r="Q139" s="399">
        <v>23018311.671736229</v>
      </c>
      <c r="R139" s="400">
        <v>0.16932712365875008</v>
      </c>
      <c r="S139" s="399">
        <v>702762</v>
      </c>
      <c r="T139" s="400">
        <v>0.5213120445320103</v>
      </c>
      <c r="U139" s="399">
        <v>55204626.701742485</v>
      </c>
      <c r="V139" s="400">
        <v>0.40609584166587193</v>
      </c>
      <c r="W139" s="399">
        <v>65019</v>
      </c>
      <c r="X139" s="400">
        <v>4.8231389607615069E-2</v>
      </c>
      <c r="Y139" s="399">
        <v>7684739.5290970923</v>
      </c>
      <c r="Z139" s="400">
        <v>5.6530420609712709E-2</v>
      </c>
      <c r="AA139" s="399"/>
      <c r="AB139" s="401"/>
      <c r="AC139" s="399"/>
      <c r="AD139" s="401"/>
      <c r="AE139" s="399">
        <v>1348064</v>
      </c>
      <c r="AF139" s="400">
        <v>0.99999999999999989</v>
      </c>
      <c r="AG139" s="399">
        <v>135939896.5408856</v>
      </c>
      <c r="AH139" s="400">
        <v>1.0000000000000002</v>
      </c>
    </row>
    <row r="140" spans="2:34" hidden="1" outlineLevel="1" x14ac:dyDescent="0.25">
      <c r="B140" s="219">
        <v>42522</v>
      </c>
      <c r="C140" s="399"/>
      <c r="D140" s="400"/>
      <c r="E140" s="399"/>
      <c r="F140" s="400"/>
      <c r="G140" s="399"/>
      <c r="H140" s="400"/>
      <c r="I140" s="399"/>
      <c r="J140" s="400"/>
      <c r="K140" s="399">
        <v>399721</v>
      </c>
      <c r="L140" s="400">
        <v>0.29575925558709232</v>
      </c>
      <c r="M140" s="399">
        <v>49696574.532862864</v>
      </c>
      <c r="N140" s="400">
        <v>0.36841563381648235</v>
      </c>
      <c r="O140" s="399">
        <v>181197</v>
      </c>
      <c r="P140" s="400">
        <v>0.13407023857794403</v>
      </c>
      <c r="Q140" s="399">
        <v>23151316.568771981</v>
      </c>
      <c r="R140" s="400">
        <v>0.17162766342637925</v>
      </c>
      <c r="S140" s="399">
        <v>705597</v>
      </c>
      <c r="T140" s="400">
        <v>0.52208126034030133</v>
      </c>
      <c r="U140" s="399">
        <v>54411939.403228097</v>
      </c>
      <c r="V140" s="400">
        <v>0.40337204990191722</v>
      </c>
      <c r="W140" s="399">
        <v>64993</v>
      </c>
      <c r="X140" s="400">
        <v>4.8089245494662258E-2</v>
      </c>
      <c r="Y140" s="399">
        <v>7632855.8289044779</v>
      </c>
      <c r="Z140" s="400">
        <v>5.6584652855221261E-2</v>
      </c>
      <c r="AA140" s="399"/>
      <c r="AB140" s="401"/>
      <c r="AC140" s="399"/>
      <c r="AD140" s="401"/>
      <c r="AE140" s="399">
        <v>1351508</v>
      </c>
      <c r="AF140" s="400">
        <v>1</v>
      </c>
      <c r="AG140" s="399">
        <v>134892686.33376741</v>
      </c>
      <c r="AH140" s="400">
        <v>1</v>
      </c>
    </row>
    <row r="141" spans="2:34" hidden="1" outlineLevel="1" x14ac:dyDescent="0.25">
      <c r="B141" s="219">
        <v>42552</v>
      </c>
      <c r="C141" s="399"/>
      <c r="D141" s="400"/>
      <c r="E141" s="399"/>
      <c r="F141" s="400"/>
      <c r="G141" s="399"/>
      <c r="H141" s="400"/>
      <c r="I141" s="399"/>
      <c r="J141" s="400"/>
      <c r="K141" s="399">
        <v>399646</v>
      </c>
      <c r="L141" s="400">
        <v>0.29512269148090081</v>
      </c>
      <c r="M141" s="399">
        <v>51642608.123723835</v>
      </c>
      <c r="N141" s="400">
        <v>0.36413976180336732</v>
      </c>
      <c r="O141" s="399">
        <v>181484</v>
      </c>
      <c r="P141" s="400">
        <v>0.13401872292158512</v>
      </c>
      <c r="Q141" s="399">
        <v>23938156.691362388</v>
      </c>
      <c r="R141" s="400">
        <v>0.16879152684776974</v>
      </c>
      <c r="S141" s="399">
        <v>708121</v>
      </c>
      <c r="T141" s="400">
        <v>0.52291922204687891</v>
      </c>
      <c r="U141" s="399">
        <v>58285796.457382217</v>
      </c>
      <c r="V141" s="400">
        <v>0.41098187736108249</v>
      </c>
      <c r="W141" s="399">
        <v>64918</v>
      </c>
      <c r="X141" s="400">
        <v>4.7939363550635113E-2</v>
      </c>
      <c r="Y141" s="399">
        <v>7954282.0981339961</v>
      </c>
      <c r="Z141" s="400">
        <v>5.6086833987780478E-2</v>
      </c>
      <c r="AA141" s="399"/>
      <c r="AB141" s="401"/>
      <c r="AC141" s="399"/>
      <c r="AD141" s="401"/>
      <c r="AE141" s="399">
        <v>1354169</v>
      </c>
      <c r="AF141" s="400">
        <v>1</v>
      </c>
      <c r="AG141" s="399">
        <v>141820843.37060243</v>
      </c>
      <c r="AH141" s="400">
        <v>1</v>
      </c>
    </row>
    <row r="142" spans="2:34" hidden="1" outlineLevel="1" x14ac:dyDescent="0.25">
      <c r="B142" s="219">
        <v>42583</v>
      </c>
      <c r="C142" s="399"/>
      <c r="D142" s="400"/>
      <c r="E142" s="399"/>
      <c r="F142" s="400"/>
      <c r="G142" s="399"/>
      <c r="H142" s="400"/>
      <c r="I142" s="399"/>
      <c r="J142" s="400"/>
      <c r="K142" s="399">
        <v>399449</v>
      </c>
      <c r="L142" s="400">
        <v>0.29425860936031284</v>
      </c>
      <c r="M142" s="399">
        <v>51624593.62193194</v>
      </c>
      <c r="N142" s="400">
        <v>0.36295523378433647</v>
      </c>
      <c r="O142" s="399">
        <v>181484</v>
      </c>
      <c r="P142" s="400">
        <v>0.13369223470617528</v>
      </c>
      <c r="Q142" s="399">
        <v>23855147.010133922</v>
      </c>
      <c r="R142" s="400">
        <v>0.16771755189845217</v>
      </c>
      <c r="S142" s="399">
        <v>711670</v>
      </c>
      <c r="T142" s="400">
        <v>0.52425972908544971</v>
      </c>
      <c r="U142" s="399">
        <v>58820290.315022103</v>
      </c>
      <c r="V142" s="400">
        <v>0.41354576810618282</v>
      </c>
      <c r="W142" s="399">
        <v>64873</v>
      </c>
      <c r="X142" s="400">
        <v>4.7789426848062137E-2</v>
      </c>
      <c r="Y142" s="399">
        <v>7934021.1250379002</v>
      </c>
      <c r="Z142" s="400">
        <v>5.5781446211028388E-2</v>
      </c>
      <c r="AA142" s="399"/>
      <c r="AB142" s="401"/>
      <c r="AC142" s="399"/>
      <c r="AD142" s="401"/>
      <c r="AE142" s="399">
        <v>1357476</v>
      </c>
      <c r="AF142" s="400">
        <v>0.99999999999999989</v>
      </c>
      <c r="AG142" s="399">
        <v>142234052.07212588</v>
      </c>
      <c r="AH142" s="400">
        <v>0.99999999999999989</v>
      </c>
    </row>
    <row r="143" spans="2:34" hidden="1" outlineLevel="1" x14ac:dyDescent="0.25">
      <c r="B143" s="219">
        <v>42614</v>
      </c>
      <c r="C143" s="399"/>
      <c r="D143" s="400"/>
      <c r="E143" s="399"/>
      <c r="F143" s="400"/>
      <c r="G143" s="399"/>
      <c r="H143" s="400"/>
      <c r="I143" s="399"/>
      <c r="J143" s="400"/>
      <c r="K143" s="399">
        <v>399070</v>
      </c>
      <c r="L143" s="400">
        <v>0.29345540113243623</v>
      </c>
      <c r="M143" s="399">
        <v>51471767.520007402</v>
      </c>
      <c r="N143" s="400">
        <v>0.36204289080456309</v>
      </c>
      <c r="O143" s="399">
        <v>181431</v>
      </c>
      <c r="P143" s="400">
        <v>0.13341495698213104</v>
      </c>
      <c r="Q143" s="399">
        <v>23846714.525572579</v>
      </c>
      <c r="R143" s="400">
        <v>0.16773337849090869</v>
      </c>
      <c r="S143" s="399">
        <v>714716</v>
      </c>
      <c r="T143" s="400">
        <v>0.52556511508199133</v>
      </c>
      <c r="U143" s="399">
        <v>58978844.364565365</v>
      </c>
      <c r="V143" s="400">
        <v>0.41484628057040518</v>
      </c>
      <c r="W143" s="399">
        <v>64683</v>
      </c>
      <c r="X143" s="400">
        <v>4.7564526803441427E-2</v>
      </c>
      <c r="Y143" s="399">
        <v>7873031.9295043591</v>
      </c>
      <c r="Z143" s="400">
        <v>5.5377450134123068E-2</v>
      </c>
      <c r="AA143" s="399"/>
      <c r="AB143" s="401"/>
      <c r="AC143" s="399"/>
      <c r="AD143" s="401"/>
      <c r="AE143" s="399">
        <v>1359900</v>
      </c>
      <c r="AF143" s="400">
        <v>1</v>
      </c>
      <c r="AG143" s="399">
        <v>142170358.33964971</v>
      </c>
      <c r="AH143" s="400">
        <v>1</v>
      </c>
    </row>
    <row r="144" spans="2:34" hidden="1" outlineLevel="1" x14ac:dyDescent="0.25">
      <c r="B144" s="219">
        <v>42644</v>
      </c>
      <c r="C144" s="399"/>
      <c r="D144" s="400"/>
      <c r="E144" s="399"/>
      <c r="F144" s="400"/>
      <c r="G144" s="399"/>
      <c r="H144" s="400"/>
      <c r="I144" s="399"/>
      <c r="J144" s="400"/>
      <c r="K144" s="399">
        <v>398626</v>
      </c>
      <c r="L144" s="400">
        <v>0.29252982163889674</v>
      </c>
      <c r="M144" s="399">
        <v>51272608.622496247</v>
      </c>
      <c r="N144" s="400">
        <v>0.36109326551902943</v>
      </c>
      <c r="O144" s="399">
        <v>181586</v>
      </c>
      <c r="P144" s="400">
        <v>0.13325603496039071</v>
      </c>
      <c r="Q144" s="399">
        <v>23848416.22584521</v>
      </c>
      <c r="R144" s="400">
        <v>0.16795522451083347</v>
      </c>
      <c r="S144" s="399">
        <v>717878</v>
      </c>
      <c r="T144" s="400">
        <v>0.52681140542385074</v>
      </c>
      <c r="U144" s="399">
        <v>59020663.094785511</v>
      </c>
      <c r="V144" s="400">
        <v>0.41565983363373832</v>
      </c>
      <c r="W144" s="399">
        <v>64595</v>
      </c>
      <c r="X144" s="400">
        <v>4.7402737976861856E-2</v>
      </c>
      <c r="Y144" s="399">
        <v>7851014.5482857488</v>
      </c>
      <c r="Z144" s="400">
        <v>5.5291676336398719E-2</v>
      </c>
      <c r="AA144" s="399"/>
      <c r="AB144" s="401"/>
      <c r="AC144" s="399"/>
      <c r="AD144" s="401"/>
      <c r="AE144" s="399">
        <v>1362685</v>
      </c>
      <c r="AF144" s="400">
        <v>1</v>
      </c>
      <c r="AG144" s="399">
        <v>141992702.49141273</v>
      </c>
      <c r="AH144" s="400">
        <v>0.99999999999999989</v>
      </c>
    </row>
    <row r="145" spans="2:34" hidden="1" outlineLevel="1" x14ac:dyDescent="0.25">
      <c r="B145" s="219">
        <v>42675</v>
      </c>
      <c r="C145" s="399"/>
      <c r="D145" s="400"/>
      <c r="E145" s="399"/>
      <c r="F145" s="400"/>
      <c r="G145" s="399"/>
      <c r="H145" s="400"/>
      <c r="I145" s="399"/>
      <c r="J145" s="400"/>
      <c r="K145" s="399">
        <v>399214</v>
      </c>
      <c r="L145" s="400">
        <v>0.29169793370826991</v>
      </c>
      <c r="M145" s="399">
        <v>51607759.431454614</v>
      </c>
      <c r="N145" s="400">
        <v>0.36011258479024522</v>
      </c>
      <c r="O145" s="399">
        <v>181722</v>
      </c>
      <c r="P145" s="400">
        <v>0.13278074393516817</v>
      </c>
      <c r="Q145" s="399">
        <v>23885770.737641215</v>
      </c>
      <c r="R145" s="400">
        <v>0.16667196434799256</v>
      </c>
      <c r="S145" s="399">
        <v>723119</v>
      </c>
      <c r="T145" s="400">
        <v>0.52836904047751443</v>
      </c>
      <c r="U145" s="399">
        <v>59973841.218343735</v>
      </c>
      <c r="V145" s="400">
        <v>0.41849007240128444</v>
      </c>
      <c r="W145" s="399">
        <v>64532</v>
      </c>
      <c r="X145" s="400">
        <v>4.7152281879047513E-2</v>
      </c>
      <c r="Y145" s="399">
        <v>7842697.7719445508</v>
      </c>
      <c r="Z145" s="400">
        <v>5.4725378460477855E-2</v>
      </c>
      <c r="AA145" s="399"/>
      <c r="AB145" s="401"/>
      <c r="AC145" s="399"/>
      <c r="AD145" s="401"/>
      <c r="AE145" s="399">
        <v>1368587</v>
      </c>
      <c r="AF145" s="400">
        <v>1</v>
      </c>
      <c r="AG145" s="399">
        <v>143310069.1593841</v>
      </c>
      <c r="AH145" s="400">
        <v>1</v>
      </c>
    </row>
    <row r="146" spans="2:34" hidden="1" outlineLevel="1" x14ac:dyDescent="0.25">
      <c r="B146" s="219">
        <v>42705</v>
      </c>
      <c r="C146" s="399"/>
      <c r="D146" s="400"/>
      <c r="E146" s="399"/>
      <c r="F146" s="400"/>
      <c r="G146" s="399"/>
      <c r="H146" s="400"/>
      <c r="I146" s="399"/>
      <c r="J146" s="400"/>
      <c r="K146" s="399">
        <v>398651</v>
      </c>
      <c r="L146" s="400">
        <v>0.29085683809168039</v>
      </c>
      <c r="M146" s="399">
        <v>51286695.981564403</v>
      </c>
      <c r="N146" s="400">
        <v>0.35938110050103422</v>
      </c>
      <c r="O146" s="399">
        <v>181321</v>
      </c>
      <c r="P146" s="400">
        <v>0.13229228758894768</v>
      </c>
      <c r="Q146" s="399">
        <v>23728452.970769595</v>
      </c>
      <c r="R146" s="400">
        <v>0.16627231250941846</v>
      </c>
      <c r="S146" s="399">
        <v>725754</v>
      </c>
      <c r="T146" s="400">
        <v>0.52951206361551695</v>
      </c>
      <c r="U146" s="399">
        <v>59805375.892211661</v>
      </c>
      <c r="V146" s="400">
        <v>0.41907401895702012</v>
      </c>
      <c r="W146" s="399">
        <v>64883</v>
      </c>
      <c r="X146" s="400">
        <v>4.7338810703855004E-2</v>
      </c>
      <c r="Y146" s="399">
        <v>7887858.8463680167</v>
      </c>
      <c r="Z146" s="400">
        <v>5.527256803252717E-2</v>
      </c>
      <c r="AA146" s="399"/>
      <c r="AB146" s="401"/>
      <c r="AC146" s="399"/>
      <c r="AD146" s="401"/>
      <c r="AE146" s="399">
        <v>1370609</v>
      </c>
      <c r="AF146" s="400">
        <v>1</v>
      </c>
      <c r="AG146" s="399">
        <v>142708383.69091368</v>
      </c>
      <c r="AH146" s="400">
        <v>1</v>
      </c>
    </row>
    <row r="147" spans="2:34" collapsed="1" x14ac:dyDescent="0.25">
      <c r="B147" s="393" t="s">
        <v>757</v>
      </c>
      <c r="C147" s="394"/>
      <c r="D147" s="391"/>
      <c r="E147" s="394"/>
      <c r="F147" s="391"/>
      <c r="G147" s="394"/>
      <c r="H147" s="391"/>
      <c r="I147" s="394"/>
      <c r="J147" s="391"/>
      <c r="K147" s="394">
        <v>399216.41666666669</v>
      </c>
      <c r="L147" s="391">
        <v>0.29521540119980549</v>
      </c>
      <c r="M147" s="394">
        <v>50818016.438111871</v>
      </c>
      <c r="N147" s="391">
        <v>0.3655034753401793</v>
      </c>
      <c r="O147" s="394">
        <v>180992.41666666666</v>
      </c>
      <c r="P147" s="391">
        <v>0.13384156229473454</v>
      </c>
      <c r="Q147" s="394">
        <v>23520458.807747271</v>
      </c>
      <c r="R147" s="391">
        <v>0.16916853585374947</v>
      </c>
      <c r="S147" s="394">
        <v>707157.33333333337</v>
      </c>
      <c r="T147" s="391">
        <v>0.52293374509619894</v>
      </c>
      <c r="U147" s="394">
        <v>56889258.057613403</v>
      </c>
      <c r="V147" s="391">
        <v>0.40917027044738707</v>
      </c>
      <c r="W147" s="394">
        <v>64922.416666666664</v>
      </c>
      <c r="X147" s="391">
        <v>4.8009291409260947E-2</v>
      </c>
      <c r="Y147" s="394">
        <v>7807925.3610991426</v>
      </c>
      <c r="Z147" s="391">
        <v>5.6157718358684015E-2</v>
      </c>
      <c r="AA147" s="394"/>
      <c r="AB147" s="395"/>
      <c r="AC147" s="394"/>
      <c r="AD147" s="395"/>
      <c r="AE147" s="394">
        <v>1352288.5833333335</v>
      </c>
      <c r="AF147" s="391">
        <v>0.99999999999999989</v>
      </c>
      <c r="AG147" s="394">
        <v>139035658.6645717</v>
      </c>
      <c r="AH147" s="391">
        <v>0.99999999999999978</v>
      </c>
    </row>
    <row r="148" spans="2:34" hidden="1" outlineLevel="1" x14ac:dyDescent="0.25">
      <c r="B148" s="219">
        <v>42736</v>
      </c>
      <c r="C148" s="399"/>
      <c r="D148" s="400"/>
      <c r="E148" s="399"/>
      <c r="F148" s="400"/>
      <c r="G148" s="399"/>
      <c r="H148" s="400"/>
      <c r="I148" s="399"/>
      <c r="J148" s="400"/>
      <c r="K148" s="399">
        <v>399136</v>
      </c>
      <c r="L148" s="400">
        <v>0.29047106503970965</v>
      </c>
      <c r="M148" s="399">
        <v>56370808.532227881</v>
      </c>
      <c r="N148" s="400">
        <v>0.35963613566129077</v>
      </c>
      <c r="O148" s="399">
        <v>181456</v>
      </c>
      <c r="P148" s="400">
        <v>0.13205453173315751</v>
      </c>
      <c r="Q148" s="399">
        <v>26102447.90899834</v>
      </c>
      <c r="R148" s="400">
        <v>0.16652916184314476</v>
      </c>
      <c r="S148" s="399">
        <v>728656</v>
      </c>
      <c r="T148" s="400">
        <v>0.53027911380475501</v>
      </c>
      <c r="U148" s="399">
        <v>65589102.516936705</v>
      </c>
      <c r="V148" s="400">
        <v>0.41844727767560203</v>
      </c>
      <c r="W148" s="399">
        <v>64851</v>
      </c>
      <c r="X148" s="400">
        <v>4.7195289422377863E-2</v>
      </c>
      <c r="Y148" s="399">
        <v>8681646.8369569927</v>
      </c>
      <c r="Z148" s="400">
        <v>5.5387424819962651E-2</v>
      </c>
      <c r="AA148" s="399"/>
      <c r="AB148" s="401"/>
      <c r="AC148" s="399"/>
      <c r="AD148" s="401"/>
      <c r="AE148" s="399">
        <v>1374099</v>
      </c>
      <c r="AF148" s="400">
        <v>1</v>
      </c>
      <c r="AG148" s="399">
        <v>156744005.79511988</v>
      </c>
      <c r="AH148" s="400">
        <v>1.0000000000000002</v>
      </c>
    </row>
    <row r="149" spans="2:34" hidden="1" outlineLevel="1" x14ac:dyDescent="0.25">
      <c r="B149" s="219">
        <v>42767</v>
      </c>
      <c r="C149" s="399"/>
      <c r="D149" s="400"/>
      <c r="E149" s="399"/>
      <c r="F149" s="400"/>
      <c r="G149" s="399"/>
      <c r="H149" s="400"/>
      <c r="I149" s="399"/>
      <c r="J149" s="400"/>
      <c r="K149" s="399">
        <v>399559</v>
      </c>
      <c r="L149" s="400">
        <v>0.29025631041724631</v>
      </c>
      <c r="M149" s="399">
        <v>56277778.837442003</v>
      </c>
      <c r="N149" s="400">
        <v>0.36057309167696394</v>
      </c>
      <c r="O149" s="399">
        <v>181490</v>
      </c>
      <c r="P149" s="400">
        <v>0.13184190013896829</v>
      </c>
      <c r="Q149" s="399">
        <v>25938729.465067048</v>
      </c>
      <c r="R149" s="400">
        <v>0.16619006774249409</v>
      </c>
      <c r="S149" s="399">
        <v>730826</v>
      </c>
      <c r="T149" s="400">
        <v>0.53090246576098765</v>
      </c>
      <c r="U149" s="399">
        <v>65224847.927036025</v>
      </c>
      <c r="V149" s="400">
        <v>0.41789717997122311</v>
      </c>
      <c r="W149" s="399">
        <v>64698</v>
      </c>
      <c r="X149" s="400">
        <v>4.6999323682797786E-2</v>
      </c>
      <c r="Y149" s="399">
        <v>8637342.1994021609</v>
      </c>
      <c r="Z149" s="400">
        <v>5.533966060931881E-2</v>
      </c>
      <c r="AA149" s="399"/>
      <c r="AB149" s="401"/>
      <c r="AC149" s="399"/>
      <c r="AD149" s="401"/>
      <c r="AE149" s="399">
        <v>1376573</v>
      </c>
      <c r="AF149" s="400">
        <v>1</v>
      </c>
      <c r="AG149" s="399">
        <v>156078698.42894724</v>
      </c>
      <c r="AH149" s="400">
        <v>1</v>
      </c>
    </row>
    <row r="150" spans="2:34" hidden="1" outlineLevel="1" x14ac:dyDescent="0.25">
      <c r="B150" s="219">
        <v>42795</v>
      </c>
      <c r="C150" s="399"/>
      <c r="D150" s="400"/>
      <c r="E150" s="399"/>
      <c r="F150" s="400"/>
      <c r="G150" s="399"/>
      <c r="H150" s="400"/>
      <c r="I150" s="399"/>
      <c r="J150" s="400"/>
      <c r="K150" s="399">
        <v>399302</v>
      </c>
      <c r="L150" s="400">
        <v>0.28970931266029887</v>
      </c>
      <c r="M150" s="399">
        <v>55961951.651223369</v>
      </c>
      <c r="N150" s="400">
        <v>0.36023205079881743</v>
      </c>
      <c r="O150" s="399">
        <v>181740</v>
      </c>
      <c r="P150" s="400">
        <v>0.1318595210714765</v>
      </c>
      <c r="Q150" s="399">
        <v>25929762.499790087</v>
      </c>
      <c r="R150" s="400">
        <v>0.16691218312471878</v>
      </c>
      <c r="S150" s="399">
        <v>732688</v>
      </c>
      <c r="T150" s="400">
        <v>0.53159397367017702</v>
      </c>
      <c r="U150" s="399">
        <v>64884273.869891845</v>
      </c>
      <c r="V150" s="400">
        <v>0.41766583099916427</v>
      </c>
      <c r="W150" s="399">
        <v>64555</v>
      </c>
      <c r="X150" s="400">
        <v>4.6837192598047576E-2</v>
      </c>
      <c r="Y150" s="399">
        <v>8573741.4857482389</v>
      </c>
      <c r="Z150" s="400">
        <v>5.518993507729944E-2</v>
      </c>
      <c r="AA150" s="399"/>
      <c r="AB150" s="401"/>
      <c r="AC150" s="399"/>
      <c r="AD150" s="401"/>
      <c r="AE150" s="399">
        <v>1378285</v>
      </c>
      <c r="AF150" s="400">
        <v>0.99999999999999989</v>
      </c>
      <c r="AG150" s="399">
        <v>155349729.50665355</v>
      </c>
      <c r="AH150" s="400">
        <v>0.99999999999999989</v>
      </c>
    </row>
    <row r="151" spans="2:34" hidden="1" outlineLevel="1" x14ac:dyDescent="0.25">
      <c r="B151" s="219">
        <v>42826</v>
      </c>
      <c r="C151" s="399"/>
      <c r="D151" s="400"/>
      <c r="E151" s="399"/>
      <c r="F151" s="400"/>
      <c r="G151" s="399"/>
      <c r="H151" s="400"/>
      <c r="I151" s="399"/>
      <c r="J151" s="400"/>
      <c r="K151" s="399">
        <v>399802</v>
      </c>
      <c r="L151" s="400">
        <v>0.28894902004998402</v>
      </c>
      <c r="M151" s="399">
        <v>56023073.794426382</v>
      </c>
      <c r="N151" s="400">
        <v>0.35956410699698182</v>
      </c>
      <c r="O151" s="399">
        <v>181857</v>
      </c>
      <c r="P151" s="400">
        <v>0.1314335644624838</v>
      </c>
      <c r="Q151" s="399">
        <v>25801888.928968113</v>
      </c>
      <c r="R151" s="400">
        <v>0.16560021653975587</v>
      </c>
      <c r="S151" s="399">
        <v>737384</v>
      </c>
      <c r="T151" s="400">
        <v>0.53292976073290632</v>
      </c>
      <c r="U151" s="399">
        <v>65426292.385683596</v>
      </c>
      <c r="V151" s="400">
        <v>0.41991530993292625</v>
      </c>
      <c r="W151" s="399">
        <v>64599</v>
      </c>
      <c r="X151" s="400">
        <v>4.6687654754625836E-2</v>
      </c>
      <c r="Y151" s="399">
        <v>8557049.1800278258</v>
      </c>
      <c r="Z151" s="400">
        <v>5.4920366530336037E-2</v>
      </c>
      <c r="AA151" s="399"/>
      <c r="AB151" s="401"/>
      <c r="AC151" s="399"/>
      <c r="AD151" s="401"/>
      <c r="AE151" s="399">
        <v>1383642</v>
      </c>
      <c r="AF151" s="400">
        <v>1</v>
      </c>
      <c r="AG151" s="399">
        <v>155808304.28910592</v>
      </c>
      <c r="AH151" s="400">
        <v>1</v>
      </c>
    </row>
    <row r="152" spans="2:34" hidden="1" outlineLevel="1" x14ac:dyDescent="0.25">
      <c r="B152" s="219">
        <v>42856</v>
      </c>
      <c r="C152" s="399"/>
      <c r="D152" s="400"/>
      <c r="E152" s="399"/>
      <c r="F152" s="400"/>
      <c r="G152" s="399"/>
      <c r="H152" s="400"/>
      <c r="I152" s="399"/>
      <c r="J152" s="400"/>
      <c r="K152" s="399">
        <v>400546</v>
      </c>
      <c r="L152" s="400">
        <v>0.28826524553707977</v>
      </c>
      <c r="M152" s="399">
        <v>56106156.502057023</v>
      </c>
      <c r="N152" s="400">
        <v>0.35874386662098345</v>
      </c>
      <c r="O152" s="399">
        <v>182262</v>
      </c>
      <c r="P152" s="400">
        <v>0.13117045278714362</v>
      </c>
      <c r="Q152" s="399">
        <v>25905338.359393887</v>
      </c>
      <c r="R152" s="400">
        <v>0.16563924226092946</v>
      </c>
      <c r="S152" s="399">
        <v>742094</v>
      </c>
      <c r="T152" s="400">
        <v>0.53407076620811011</v>
      </c>
      <c r="U152" s="399">
        <v>65842468.071229547</v>
      </c>
      <c r="V152" s="400">
        <v>0.42099803401923513</v>
      </c>
      <c r="W152" s="399">
        <v>64603</v>
      </c>
      <c r="X152" s="400">
        <v>4.649353546766654E-2</v>
      </c>
      <c r="Y152" s="399">
        <v>8542178.499707425</v>
      </c>
      <c r="Z152" s="400">
        <v>5.4618857098851899E-2</v>
      </c>
      <c r="AA152" s="399"/>
      <c r="AB152" s="401"/>
      <c r="AC152" s="399"/>
      <c r="AD152" s="401"/>
      <c r="AE152" s="399">
        <v>1389505</v>
      </c>
      <c r="AF152" s="400">
        <v>1</v>
      </c>
      <c r="AG152" s="399">
        <v>156396141.43238789</v>
      </c>
      <c r="AH152" s="400">
        <v>1</v>
      </c>
    </row>
    <row r="153" spans="2:34" hidden="1" outlineLevel="1" x14ac:dyDescent="0.25">
      <c r="B153" s="219">
        <v>42887</v>
      </c>
      <c r="C153" s="399"/>
      <c r="D153" s="400"/>
      <c r="E153" s="399"/>
      <c r="F153" s="400"/>
      <c r="G153" s="399"/>
      <c r="H153" s="400"/>
      <c r="I153" s="399"/>
      <c r="J153" s="400"/>
      <c r="K153" s="399">
        <v>399677</v>
      </c>
      <c r="L153" s="400">
        <v>0.28701129153178201</v>
      </c>
      <c r="M153" s="399">
        <v>55841017.877052553</v>
      </c>
      <c r="N153" s="400">
        <v>0.35686450931130353</v>
      </c>
      <c r="O153" s="399">
        <v>181925</v>
      </c>
      <c r="P153" s="400">
        <v>0.13064181629645799</v>
      </c>
      <c r="Q153" s="399">
        <v>25814869.281551801</v>
      </c>
      <c r="R153" s="400">
        <v>0.16497569366267226</v>
      </c>
      <c r="S153" s="399">
        <v>746120</v>
      </c>
      <c r="T153" s="400">
        <v>0.53579481640848292</v>
      </c>
      <c r="U153" s="399">
        <v>66231201.272590384</v>
      </c>
      <c r="V153" s="400">
        <v>0.42326529926944634</v>
      </c>
      <c r="W153" s="399">
        <v>64826</v>
      </c>
      <c r="X153" s="400">
        <v>4.65520757632771E-2</v>
      </c>
      <c r="Y153" s="399">
        <v>8589715.5659793653</v>
      </c>
      <c r="Z153" s="400">
        <v>5.4894497756577981E-2</v>
      </c>
      <c r="AA153" s="399"/>
      <c r="AB153" s="401"/>
      <c r="AC153" s="399"/>
      <c r="AD153" s="401"/>
      <c r="AE153" s="399">
        <v>1392548</v>
      </c>
      <c r="AF153" s="400">
        <v>1</v>
      </c>
      <c r="AG153" s="399">
        <v>156476803.99717408</v>
      </c>
      <c r="AH153" s="400">
        <v>1.0000000000000002</v>
      </c>
    </row>
    <row r="154" spans="2:34" hidden="1" outlineLevel="1" x14ac:dyDescent="0.25">
      <c r="B154" s="219">
        <v>42917</v>
      </c>
      <c r="C154" s="399"/>
      <c r="D154" s="400"/>
      <c r="E154" s="399"/>
      <c r="F154" s="400"/>
      <c r="G154" s="399"/>
      <c r="H154" s="400"/>
      <c r="I154" s="399"/>
      <c r="J154" s="400"/>
      <c r="K154" s="399">
        <v>399610</v>
      </c>
      <c r="L154" s="400">
        <v>0.28596863726759369</v>
      </c>
      <c r="M154" s="399">
        <v>57199460.167494796</v>
      </c>
      <c r="N154" s="400">
        <v>0.35354722808794925</v>
      </c>
      <c r="O154" s="399">
        <v>182161</v>
      </c>
      <c r="P154" s="400">
        <v>0.1303579313162887</v>
      </c>
      <c r="Q154" s="399">
        <v>26543440.431561626</v>
      </c>
      <c r="R154" s="400">
        <v>0.16406378243809264</v>
      </c>
      <c r="S154" s="399">
        <v>750847</v>
      </c>
      <c r="T154" s="400">
        <v>0.5373206210716972</v>
      </c>
      <c r="U154" s="399">
        <v>69284777.523868695</v>
      </c>
      <c r="V154" s="400">
        <v>0.42824601789116623</v>
      </c>
      <c r="W154" s="399">
        <v>64773</v>
      </c>
      <c r="X154" s="400">
        <v>4.6352810344420424E-2</v>
      </c>
      <c r="Y154" s="399">
        <v>8759646.5206320714</v>
      </c>
      <c r="Z154" s="400">
        <v>5.4142971582792077E-2</v>
      </c>
      <c r="AA154" s="399"/>
      <c r="AB154" s="401"/>
      <c r="AC154" s="399"/>
      <c r="AD154" s="401"/>
      <c r="AE154" s="399">
        <v>1397391</v>
      </c>
      <c r="AF154" s="400">
        <v>1</v>
      </c>
      <c r="AG154" s="399">
        <v>161787324.64355716</v>
      </c>
      <c r="AH154" s="400">
        <v>1.0000000000000002</v>
      </c>
    </row>
    <row r="155" spans="2:34" hidden="1" outlineLevel="1" x14ac:dyDescent="0.25">
      <c r="B155" s="219">
        <v>42948</v>
      </c>
      <c r="C155" s="399"/>
      <c r="D155" s="400"/>
      <c r="E155" s="399"/>
      <c r="F155" s="400"/>
      <c r="G155" s="399"/>
      <c r="H155" s="400"/>
      <c r="I155" s="399"/>
      <c r="J155" s="400"/>
      <c r="K155" s="399">
        <v>399317</v>
      </c>
      <c r="L155" s="400">
        <v>0.28499395493104912</v>
      </c>
      <c r="M155" s="399">
        <v>56729313.343074769</v>
      </c>
      <c r="N155" s="400">
        <v>0.35299224172439869</v>
      </c>
      <c r="O155" s="399">
        <v>182240</v>
      </c>
      <c r="P155" s="400">
        <v>0.13006533242169602</v>
      </c>
      <c r="Q155" s="399">
        <v>26319131.495449517</v>
      </c>
      <c r="R155" s="400">
        <v>0.16376805357458257</v>
      </c>
      <c r="S155" s="399">
        <v>754760</v>
      </c>
      <c r="T155" s="400">
        <v>0.53867488091856497</v>
      </c>
      <c r="U155" s="399">
        <v>68944682.633911386</v>
      </c>
      <c r="V155" s="400">
        <v>0.42900110443329614</v>
      </c>
      <c r="W155" s="399">
        <v>64825</v>
      </c>
      <c r="X155" s="400">
        <v>4.626583172868988E-2</v>
      </c>
      <c r="Y155" s="399">
        <v>8716674.7202329393</v>
      </c>
      <c r="Z155" s="400">
        <v>5.4238600267722717E-2</v>
      </c>
      <c r="AA155" s="399"/>
      <c r="AB155" s="401"/>
      <c r="AC155" s="399"/>
      <c r="AD155" s="401"/>
      <c r="AE155" s="399">
        <v>1401142</v>
      </c>
      <c r="AF155" s="400">
        <v>1</v>
      </c>
      <c r="AG155" s="399">
        <v>160709802.19266859</v>
      </c>
      <c r="AH155" s="400">
        <v>1</v>
      </c>
    </row>
    <row r="156" spans="2:34" hidden="1" outlineLevel="1" x14ac:dyDescent="0.25">
      <c r="B156" s="219">
        <v>42979</v>
      </c>
      <c r="C156" s="399"/>
      <c r="D156" s="400"/>
      <c r="E156" s="399"/>
      <c r="F156" s="400"/>
      <c r="G156" s="399"/>
      <c r="H156" s="400"/>
      <c r="I156" s="399"/>
      <c r="J156" s="400"/>
      <c r="K156" s="399">
        <v>399078</v>
      </c>
      <c r="L156" s="400">
        <v>0.28408778661275513</v>
      </c>
      <c r="M156" s="399">
        <v>56759889.226303995</v>
      </c>
      <c r="N156" s="400">
        <v>0.35202085895742746</v>
      </c>
      <c r="O156" s="399">
        <v>182297</v>
      </c>
      <c r="P156" s="400">
        <v>0.12976999793560512</v>
      </c>
      <c r="Q156" s="399">
        <v>26325438.085253023</v>
      </c>
      <c r="R156" s="400">
        <v>0.16326852383825177</v>
      </c>
      <c r="S156" s="399">
        <v>758672</v>
      </c>
      <c r="T156" s="400">
        <v>0.54006848096129612</v>
      </c>
      <c r="U156" s="399">
        <v>69464132.728572905</v>
      </c>
      <c r="V156" s="400">
        <v>0.43081168767526268</v>
      </c>
      <c r="W156" s="399">
        <v>64723</v>
      </c>
      <c r="X156" s="400">
        <v>4.6073734490343618E-2</v>
      </c>
      <c r="Y156" s="399">
        <v>8690670.4294352103</v>
      </c>
      <c r="Z156" s="400">
        <v>5.3898929529058004E-2</v>
      </c>
      <c r="AA156" s="399"/>
      <c r="AB156" s="401"/>
      <c r="AC156" s="399"/>
      <c r="AD156" s="401"/>
      <c r="AE156" s="399">
        <v>1404770</v>
      </c>
      <c r="AF156" s="400">
        <v>0.99999999999999989</v>
      </c>
      <c r="AG156" s="399">
        <v>161240130.46956515</v>
      </c>
      <c r="AH156" s="400">
        <v>1</v>
      </c>
    </row>
    <row r="157" spans="2:34" hidden="1" outlineLevel="1" x14ac:dyDescent="0.25">
      <c r="B157" s="219">
        <v>43009</v>
      </c>
      <c r="C157" s="399"/>
      <c r="D157" s="400"/>
      <c r="E157" s="399"/>
      <c r="F157" s="400"/>
      <c r="G157" s="399"/>
      <c r="H157" s="400"/>
      <c r="I157" s="399"/>
      <c r="J157" s="400"/>
      <c r="K157" s="399">
        <v>398759</v>
      </c>
      <c r="L157" s="400">
        <v>0.28281161235506008</v>
      </c>
      <c r="M157" s="399">
        <v>56448585.420506187</v>
      </c>
      <c r="N157" s="400">
        <v>0.35027750543288594</v>
      </c>
      <c r="O157" s="399">
        <v>182240</v>
      </c>
      <c r="P157" s="400">
        <v>0.12924996861659838</v>
      </c>
      <c r="Q157" s="399">
        <v>26176778.992087778</v>
      </c>
      <c r="R157" s="400">
        <v>0.1624334210912855</v>
      </c>
      <c r="S157" s="399">
        <v>764318</v>
      </c>
      <c r="T157" s="400">
        <v>0.54207680812720171</v>
      </c>
      <c r="U157" s="399">
        <v>69873331.787348345</v>
      </c>
      <c r="V157" s="400">
        <v>0.43358139397884099</v>
      </c>
      <c r="W157" s="399">
        <v>64664</v>
      </c>
      <c r="X157" s="400">
        <v>4.5861610901139806E-2</v>
      </c>
      <c r="Y157" s="399">
        <v>8655201.9093437605</v>
      </c>
      <c r="Z157" s="400">
        <v>5.3707679496987785E-2</v>
      </c>
      <c r="AA157" s="399"/>
      <c r="AB157" s="401"/>
      <c r="AC157" s="399"/>
      <c r="AD157" s="401"/>
      <c r="AE157" s="399">
        <v>1409981</v>
      </c>
      <c r="AF157" s="400">
        <v>1</v>
      </c>
      <c r="AG157" s="399">
        <v>161153898.10928604</v>
      </c>
      <c r="AH157" s="400">
        <v>1.0000000000000002</v>
      </c>
    </row>
    <row r="158" spans="2:34" hidden="1" outlineLevel="1" x14ac:dyDescent="0.25">
      <c r="B158" s="219">
        <v>43040</v>
      </c>
      <c r="C158" s="399"/>
      <c r="D158" s="400"/>
      <c r="E158" s="399"/>
      <c r="F158" s="400"/>
      <c r="G158" s="399"/>
      <c r="H158" s="400"/>
      <c r="I158" s="399"/>
      <c r="J158" s="400"/>
      <c r="K158" s="399">
        <v>399090</v>
      </c>
      <c r="L158" s="400">
        <v>0.28204638934825932</v>
      </c>
      <c r="M158" s="399">
        <v>56427184.109083347</v>
      </c>
      <c r="N158" s="400">
        <v>0.34950038715995846</v>
      </c>
      <c r="O158" s="399">
        <v>182220</v>
      </c>
      <c r="P158" s="400">
        <v>0.12877920535979306</v>
      </c>
      <c r="Q158" s="399">
        <v>26213673.505578194</v>
      </c>
      <c r="R158" s="400">
        <v>0.16236303802389326</v>
      </c>
      <c r="S158" s="399">
        <v>769106</v>
      </c>
      <c r="T158" s="400">
        <v>0.54354549180907152</v>
      </c>
      <c r="U158" s="399">
        <v>70176931.155271366</v>
      </c>
      <c r="V158" s="400">
        <v>0.43466398325052857</v>
      </c>
      <c r="W158" s="399">
        <v>64564</v>
      </c>
      <c r="X158" s="400">
        <v>4.5628913482876086E-2</v>
      </c>
      <c r="Y158" s="399">
        <v>8633202.9374321569</v>
      </c>
      <c r="Z158" s="400">
        <v>5.3472591565619516E-2</v>
      </c>
      <c r="AA158" s="399"/>
      <c r="AB158" s="401"/>
      <c r="AC158" s="399"/>
      <c r="AD158" s="401"/>
      <c r="AE158" s="399">
        <v>1414980</v>
      </c>
      <c r="AF158" s="400">
        <v>1</v>
      </c>
      <c r="AG158" s="399">
        <v>161450991.7073651</v>
      </c>
      <c r="AH158" s="400">
        <v>0.99999999999999989</v>
      </c>
    </row>
    <row r="159" spans="2:34" hidden="1" outlineLevel="1" x14ac:dyDescent="0.25">
      <c r="B159" s="219">
        <v>43070</v>
      </c>
      <c r="C159" s="399"/>
      <c r="D159" s="400"/>
      <c r="E159" s="399"/>
      <c r="F159" s="400"/>
      <c r="G159" s="399"/>
      <c r="H159" s="400"/>
      <c r="I159" s="399"/>
      <c r="J159" s="400"/>
      <c r="K159" s="399">
        <v>399510</v>
      </c>
      <c r="L159" s="400">
        <v>0.28127811830705085</v>
      </c>
      <c r="M159" s="399">
        <v>56436359.970377579</v>
      </c>
      <c r="N159" s="400">
        <v>0.34881836328481952</v>
      </c>
      <c r="O159" s="399">
        <v>182304</v>
      </c>
      <c r="P159" s="400">
        <v>0.12835254706978197</v>
      </c>
      <c r="Q159" s="399">
        <v>26113700.196036901</v>
      </c>
      <c r="R159" s="400">
        <v>0.16140194311740125</v>
      </c>
      <c r="S159" s="399">
        <v>774083</v>
      </c>
      <c r="T159" s="400">
        <v>0.54499914809010253</v>
      </c>
      <c r="U159" s="399">
        <v>70649689.157673463</v>
      </c>
      <c r="V159" s="400">
        <v>0.4366672292737529</v>
      </c>
      <c r="W159" s="399">
        <v>64441</v>
      </c>
      <c r="X159" s="400">
        <v>4.5370186533064662E-2</v>
      </c>
      <c r="Y159" s="399">
        <v>8593223.4968291335</v>
      </c>
      <c r="Z159" s="400">
        <v>5.3112464324026415E-2</v>
      </c>
      <c r="AA159" s="399"/>
      <c r="AB159" s="401"/>
      <c r="AC159" s="399"/>
      <c r="AD159" s="401"/>
      <c r="AE159" s="399">
        <v>1420338</v>
      </c>
      <c r="AF159" s="400">
        <v>1</v>
      </c>
      <c r="AG159" s="399">
        <v>161792972.82091707</v>
      </c>
      <c r="AH159" s="400">
        <v>1.0000000000000002</v>
      </c>
    </row>
    <row r="160" spans="2:34" collapsed="1" x14ac:dyDescent="0.25">
      <c r="B160" s="393" t="s">
        <v>758</v>
      </c>
      <c r="C160" s="394"/>
      <c r="D160" s="391"/>
      <c r="E160" s="394"/>
      <c r="F160" s="391"/>
      <c r="G160" s="394"/>
      <c r="H160" s="391"/>
      <c r="I160" s="394"/>
      <c r="J160" s="391"/>
      <c r="K160" s="394">
        <v>399448.83333333331</v>
      </c>
      <c r="L160" s="391">
        <v>0.28628759977003276</v>
      </c>
      <c r="M160" s="394">
        <v>56381798.28593915</v>
      </c>
      <c r="N160" s="391">
        <v>0.35516302154967588</v>
      </c>
      <c r="O160" s="394">
        <v>182016</v>
      </c>
      <c r="P160" s="391">
        <v>0.13045206146905494</v>
      </c>
      <c r="Q160" s="394">
        <v>26098766.595811356</v>
      </c>
      <c r="R160" s="391">
        <v>0.16440264561763279</v>
      </c>
      <c r="S160" s="394">
        <v>749129.5</v>
      </c>
      <c r="T160" s="391">
        <v>0.53690602794414999</v>
      </c>
      <c r="U160" s="394">
        <v>67632644.252501205</v>
      </c>
      <c r="V160" s="391">
        <v>0.42603490875357664</v>
      </c>
      <c r="W160" s="394">
        <v>64676.833333333336</v>
      </c>
      <c r="X160" s="391">
        <v>4.635431081676239E-2</v>
      </c>
      <c r="Y160" s="394">
        <v>8635857.815143941</v>
      </c>
      <c r="Z160" s="391">
        <v>5.4399424079114668E-2</v>
      </c>
      <c r="AA160" s="394"/>
      <c r="AB160" s="395"/>
      <c r="AC160" s="394"/>
      <c r="AD160" s="395"/>
      <c r="AE160" s="394">
        <v>1395271.1666666665</v>
      </c>
      <c r="AF160" s="391">
        <v>1</v>
      </c>
      <c r="AG160" s="394">
        <v>158749066.94939566</v>
      </c>
      <c r="AH160" s="391">
        <v>1</v>
      </c>
    </row>
    <row r="161" spans="2:34" hidden="1" outlineLevel="1" x14ac:dyDescent="0.25">
      <c r="B161" s="219">
        <v>43101</v>
      </c>
      <c r="C161" s="399"/>
      <c r="D161" s="400"/>
      <c r="E161" s="399"/>
      <c r="F161" s="400"/>
      <c r="G161" s="399"/>
      <c r="H161" s="400"/>
      <c r="I161" s="399"/>
      <c r="J161" s="400"/>
      <c r="K161" s="399">
        <v>399710</v>
      </c>
      <c r="L161" s="400">
        <v>0.28044117337524294</v>
      </c>
      <c r="M161" s="399">
        <v>56130525.690680563</v>
      </c>
      <c r="N161" s="400">
        <v>0.34759402868734945</v>
      </c>
      <c r="O161" s="399">
        <v>182398</v>
      </c>
      <c r="P161" s="400">
        <v>0.12797255295413565</v>
      </c>
      <c r="Q161" s="399">
        <v>26021144.040063296</v>
      </c>
      <c r="R161" s="400">
        <v>0.16113859930303726</v>
      </c>
      <c r="S161" s="399">
        <v>778728</v>
      </c>
      <c r="T161" s="400">
        <v>0.54636459948501703</v>
      </c>
      <c r="U161" s="399">
        <v>70768931.172008246</v>
      </c>
      <c r="V161" s="400">
        <v>0.4382438537549681</v>
      </c>
      <c r="W161" s="399">
        <v>64454</v>
      </c>
      <c r="X161" s="400">
        <v>4.5221674185604334E-2</v>
      </c>
      <c r="Y161" s="399">
        <v>8562396.6695920359</v>
      </c>
      <c r="Z161" s="400">
        <v>5.3023518254645331E-2</v>
      </c>
      <c r="AA161" s="399"/>
      <c r="AB161" s="401"/>
      <c r="AC161" s="399"/>
      <c r="AD161" s="401"/>
      <c r="AE161" s="399">
        <v>1425290</v>
      </c>
      <c r="AF161" s="400">
        <v>0.99999999999999989</v>
      </c>
      <c r="AG161" s="399">
        <v>161482997.57234412</v>
      </c>
      <c r="AH161" s="400">
        <v>1.0000000000000002</v>
      </c>
    </row>
    <row r="162" spans="2:34" hidden="1" outlineLevel="1" x14ac:dyDescent="0.25">
      <c r="B162" s="219">
        <v>43132</v>
      </c>
      <c r="C162" s="399"/>
      <c r="D162" s="400"/>
      <c r="E162" s="399"/>
      <c r="F162" s="400"/>
      <c r="G162" s="399"/>
      <c r="H162" s="400"/>
      <c r="I162" s="399"/>
      <c r="J162" s="400"/>
      <c r="K162" s="399">
        <v>400174</v>
      </c>
      <c r="L162" s="400">
        <v>0.2797472743491014</v>
      </c>
      <c r="M162" s="399">
        <v>56209618.948513597</v>
      </c>
      <c r="N162" s="400">
        <v>0.34786388153891984</v>
      </c>
      <c r="O162" s="399">
        <v>182540</v>
      </c>
      <c r="P162" s="400">
        <v>0.1276071595348148</v>
      </c>
      <c r="Q162" s="399">
        <v>26048571.496186316</v>
      </c>
      <c r="R162" s="400">
        <v>0.16120652227703919</v>
      </c>
      <c r="S162" s="399">
        <v>783247</v>
      </c>
      <c r="T162" s="400">
        <v>0.54753985364394153</v>
      </c>
      <c r="U162" s="399">
        <v>70764096.377579197</v>
      </c>
      <c r="V162" s="400">
        <v>0.43793702394685718</v>
      </c>
      <c r="W162" s="399">
        <v>64523</v>
      </c>
      <c r="X162" s="400">
        <v>4.5105712472142297E-2</v>
      </c>
      <c r="Y162" s="399">
        <v>8562809.9110957012</v>
      </c>
      <c r="Z162" s="400">
        <v>5.299257223718383E-2</v>
      </c>
      <c r="AA162" s="399"/>
      <c r="AB162" s="401"/>
      <c r="AC162" s="399"/>
      <c r="AD162" s="401"/>
      <c r="AE162" s="399">
        <v>1430484</v>
      </c>
      <c r="AF162" s="400">
        <v>1</v>
      </c>
      <c r="AG162" s="399">
        <v>161585096.7333748</v>
      </c>
      <c r="AH162" s="400">
        <v>1</v>
      </c>
    </row>
    <row r="163" spans="2:34" hidden="1" outlineLevel="1" x14ac:dyDescent="0.25">
      <c r="B163" s="219">
        <v>43160</v>
      </c>
      <c r="C163" s="399"/>
      <c r="D163" s="400"/>
      <c r="E163" s="399"/>
      <c r="F163" s="400"/>
      <c r="G163" s="399"/>
      <c r="H163" s="400"/>
      <c r="I163" s="399"/>
      <c r="J163" s="400"/>
      <c r="K163" s="399">
        <v>400670</v>
      </c>
      <c r="L163" s="400">
        <v>0.27826064008211632</v>
      </c>
      <c r="M163" s="399">
        <v>56275473.548256688</v>
      </c>
      <c r="N163" s="400">
        <v>0.34479091822043401</v>
      </c>
      <c r="O163" s="399">
        <v>182850</v>
      </c>
      <c r="P163" s="400">
        <v>0.12698719155168833</v>
      </c>
      <c r="Q163" s="399">
        <v>26082457.69382482</v>
      </c>
      <c r="R163" s="400">
        <v>0.15980308952865435</v>
      </c>
      <c r="S163" s="399">
        <v>791363</v>
      </c>
      <c r="T163" s="400">
        <v>0.54959237007338657</v>
      </c>
      <c r="U163" s="399">
        <v>72175169.018489897</v>
      </c>
      <c r="V163" s="400">
        <v>0.4422058355006247</v>
      </c>
      <c r="W163" s="399">
        <v>65026</v>
      </c>
      <c r="X163" s="400">
        <v>4.5159798292808778E-2</v>
      </c>
      <c r="Y163" s="399">
        <v>8683128.9797773156</v>
      </c>
      <c r="Z163" s="400">
        <v>5.3200156750286921E-2</v>
      </c>
      <c r="AA163" s="399"/>
      <c r="AB163" s="401"/>
      <c r="AC163" s="399"/>
      <c r="AD163" s="401"/>
      <c r="AE163" s="399">
        <v>1439909</v>
      </c>
      <c r="AF163" s="400">
        <v>1</v>
      </c>
      <c r="AG163" s="399">
        <v>163216229.24034873</v>
      </c>
      <c r="AH163" s="400">
        <v>1</v>
      </c>
    </row>
    <row r="164" spans="2:34" hidden="1" outlineLevel="1" x14ac:dyDescent="0.25">
      <c r="B164" s="219">
        <v>43191</v>
      </c>
      <c r="C164" s="399"/>
      <c r="D164" s="400"/>
      <c r="E164" s="399"/>
      <c r="F164" s="400"/>
      <c r="G164" s="399"/>
      <c r="H164" s="400"/>
      <c r="I164" s="399"/>
      <c r="J164" s="400"/>
      <c r="K164" s="399">
        <v>401455</v>
      </c>
      <c r="L164" s="400">
        <v>0.27670750771283709</v>
      </c>
      <c r="M164" s="399">
        <v>56185575.142889597</v>
      </c>
      <c r="N164" s="400">
        <v>0.34337694172419087</v>
      </c>
      <c r="O164" s="399">
        <v>182960</v>
      </c>
      <c r="P164" s="400">
        <v>0.12610729872872595</v>
      </c>
      <c r="Q164" s="399">
        <v>25894107.713270161</v>
      </c>
      <c r="R164" s="400">
        <v>0.15825128589761744</v>
      </c>
      <c r="S164" s="399">
        <v>800876</v>
      </c>
      <c r="T164" s="400">
        <v>0.55201305737137685</v>
      </c>
      <c r="U164" s="399">
        <v>72875922.258289233</v>
      </c>
      <c r="V164" s="400">
        <v>0.44537964142470965</v>
      </c>
      <c r="W164" s="399">
        <v>65537</v>
      </c>
      <c r="X164" s="400">
        <v>4.5172136187060077E-2</v>
      </c>
      <c r="Y164" s="399">
        <v>8670918.1481971107</v>
      </c>
      <c r="Z164" s="400">
        <v>5.2992130953481993E-2</v>
      </c>
      <c r="AA164" s="399"/>
      <c r="AB164" s="401"/>
      <c r="AC164" s="399"/>
      <c r="AD164" s="401"/>
      <c r="AE164" s="399">
        <v>1450828</v>
      </c>
      <c r="AF164" s="400">
        <v>1</v>
      </c>
      <c r="AG164" s="399">
        <v>163626523.26264611</v>
      </c>
      <c r="AH164" s="400">
        <v>0.99999999999999989</v>
      </c>
    </row>
    <row r="165" spans="2:34" hidden="1" outlineLevel="1" x14ac:dyDescent="0.25">
      <c r="B165" s="219">
        <v>43221</v>
      </c>
      <c r="C165" s="399"/>
      <c r="D165" s="400"/>
      <c r="E165" s="399"/>
      <c r="F165" s="400"/>
      <c r="G165" s="399"/>
      <c r="H165" s="400"/>
      <c r="I165" s="399"/>
      <c r="J165" s="400"/>
      <c r="K165" s="399">
        <v>402013</v>
      </c>
      <c r="L165" s="400">
        <v>0.27551063765628897</v>
      </c>
      <c r="M165" s="399">
        <v>56091250.653537609</v>
      </c>
      <c r="N165" s="400">
        <v>0.34253059651078194</v>
      </c>
      <c r="O165" s="399">
        <v>183081</v>
      </c>
      <c r="P165" s="400">
        <v>0.1254704774540899</v>
      </c>
      <c r="Q165" s="399">
        <v>25856628.426259793</v>
      </c>
      <c r="R165" s="400">
        <v>0.15789782284067913</v>
      </c>
      <c r="S165" s="399">
        <v>807792</v>
      </c>
      <c r="T165" s="400">
        <v>0.55360221936516729</v>
      </c>
      <c r="U165" s="399">
        <v>73048593.573727831</v>
      </c>
      <c r="V165" s="400">
        <v>0.44608344509260106</v>
      </c>
      <c r="W165" s="399">
        <v>66270</v>
      </c>
      <c r="X165" s="400">
        <v>4.5416665524453864E-2</v>
      </c>
      <c r="Y165" s="399">
        <v>8758973.5019892324</v>
      </c>
      <c r="Z165" s="400">
        <v>5.3488135555937802E-2</v>
      </c>
      <c r="AA165" s="399"/>
      <c r="AB165" s="401"/>
      <c r="AC165" s="399"/>
      <c r="AD165" s="401"/>
      <c r="AE165" s="399">
        <v>1459156</v>
      </c>
      <c r="AF165" s="400">
        <v>1</v>
      </c>
      <c r="AG165" s="399">
        <v>163755446.15551448</v>
      </c>
      <c r="AH165" s="400">
        <v>1</v>
      </c>
    </row>
    <row r="166" spans="2:34" hidden="1" outlineLevel="1" x14ac:dyDescent="0.25">
      <c r="B166" s="219">
        <v>43252</v>
      </c>
      <c r="C166" s="399"/>
      <c r="D166" s="400"/>
      <c r="E166" s="399"/>
      <c r="F166" s="400"/>
      <c r="G166" s="399"/>
      <c r="H166" s="400"/>
      <c r="I166" s="399"/>
      <c r="J166" s="400"/>
      <c r="K166" s="399">
        <v>402451</v>
      </c>
      <c r="L166" s="400">
        <v>0.27433306794199924</v>
      </c>
      <c r="M166" s="399">
        <v>56065854.866579257</v>
      </c>
      <c r="N166" s="400">
        <v>0.34123406467540313</v>
      </c>
      <c r="O166" s="399">
        <v>183271</v>
      </c>
      <c r="P166" s="400">
        <v>0.12492774448267777</v>
      </c>
      <c r="Q166" s="399">
        <v>25912658.486837421</v>
      </c>
      <c r="R166" s="400">
        <v>0.15771242234781263</v>
      </c>
      <c r="S166" s="399">
        <v>814687</v>
      </c>
      <c r="T166" s="400">
        <v>0.55533613811982963</v>
      </c>
      <c r="U166" s="399">
        <v>73590626.458454549</v>
      </c>
      <c r="V166" s="400">
        <v>0.44789522336163828</v>
      </c>
      <c r="W166" s="399">
        <v>66607</v>
      </c>
      <c r="X166" s="400">
        <v>4.5403049455493324E-2</v>
      </c>
      <c r="Y166" s="399">
        <v>8734078.0392292123</v>
      </c>
      <c r="Z166" s="400">
        <v>5.3158289615145932E-2</v>
      </c>
      <c r="AA166" s="399"/>
      <c r="AB166" s="401"/>
      <c r="AC166" s="399"/>
      <c r="AD166" s="401"/>
      <c r="AE166" s="399">
        <v>1467016</v>
      </c>
      <c r="AF166" s="400">
        <v>1</v>
      </c>
      <c r="AG166" s="399">
        <v>164303217.85110044</v>
      </c>
      <c r="AH166" s="400">
        <v>1</v>
      </c>
    </row>
    <row r="167" spans="2:34" hidden="1" outlineLevel="1" x14ac:dyDescent="0.25">
      <c r="B167" s="219">
        <v>43282</v>
      </c>
      <c r="C167" s="399"/>
      <c r="D167" s="400"/>
      <c r="E167" s="399"/>
      <c r="F167" s="400"/>
      <c r="G167" s="399"/>
      <c r="H167" s="400"/>
      <c r="I167" s="399"/>
      <c r="J167" s="400"/>
      <c r="K167" s="399">
        <v>402868</v>
      </c>
      <c r="L167" s="400">
        <v>0.27314547694418889</v>
      </c>
      <c r="M167" s="399">
        <v>57270960.461153753</v>
      </c>
      <c r="N167" s="400">
        <v>0.33798067304836188</v>
      </c>
      <c r="O167" s="399">
        <v>183335</v>
      </c>
      <c r="P167" s="400">
        <v>0.12430157276220218</v>
      </c>
      <c r="Q167" s="399">
        <v>26404517.374779116</v>
      </c>
      <c r="R167" s="400">
        <v>0.15582446115773119</v>
      </c>
      <c r="S167" s="399">
        <v>821872</v>
      </c>
      <c r="T167" s="400">
        <v>0.55723120085753741</v>
      </c>
      <c r="U167" s="399">
        <v>76835309.435794592</v>
      </c>
      <c r="V167" s="400">
        <v>0.4534383462034548</v>
      </c>
      <c r="W167" s="399">
        <v>66846</v>
      </c>
      <c r="X167" s="400">
        <v>4.5321749436071493E-2</v>
      </c>
      <c r="Y167" s="399">
        <v>8939613.381681554</v>
      </c>
      <c r="Z167" s="400">
        <v>5.2756519590452244E-2</v>
      </c>
      <c r="AA167" s="399"/>
      <c r="AB167" s="401"/>
      <c r="AC167" s="399"/>
      <c r="AD167" s="401"/>
      <c r="AE167" s="399">
        <v>1474921</v>
      </c>
      <c r="AF167" s="400">
        <v>0.99999999999999989</v>
      </c>
      <c r="AG167" s="399">
        <v>169450400.653409</v>
      </c>
      <c r="AH167" s="400">
        <v>1</v>
      </c>
    </row>
    <row r="168" spans="2:34" hidden="1" outlineLevel="1" x14ac:dyDescent="0.25">
      <c r="B168" s="219">
        <v>43313</v>
      </c>
      <c r="C168" s="399"/>
      <c r="D168" s="400"/>
      <c r="E168" s="399"/>
      <c r="F168" s="400"/>
      <c r="G168" s="399"/>
      <c r="H168" s="400"/>
      <c r="I168" s="399"/>
      <c r="J168" s="400"/>
      <c r="K168" s="399">
        <v>403017</v>
      </c>
      <c r="L168" s="400">
        <v>0.272088171752633</v>
      </c>
      <c r="M168" s="399">
        <v>57212528.174210742</v>
      </c>
      <c r="N168" s="400">
        <v>0.33715840929354546</v>
      </c>
      <c r="O168" s="399">
        <v>183284</v>
      </c>
      <c r="P168" s="400">
        <v>0.12374021064002161</v>
      </c>
      <c r="Q168" s="399">
        <v>26336604.506005242</v>
      </c>
      <c r="R168" s="400">
        <v>0.15520390314512517</v>
      </c>
      <c r="S168" s="399">
        <v>827986</v>
      </c>
      <c r="T168" s="400">
        <v>0.55899675938428306</v>
      </c>
      <c r="U168" s="399">
        <v>77244133.829718754</v>
      </c>
      <c r="V168" s="400">
        <v>0.45520640531709888</v>
      </c>
      <c r="W168" s="399">
        <v>66913</v>
      </c>
      <c r="X168" s="400">
        <v>4.5174858223062379E-2</v>
      </c>
      <c r="Y168" s="399">
        <v>8897082.5876579043</v>
      </c>
      <c r="Z168" s="400">
        <v>5.2431282244230625E-2</v>
      </c>
      <c r="AA168" s="399"/>
      <c r="AB168" s="401"/>
      <c r="AC168" s="399"/>
      <c r="AD168" s="401"/>
      <c r="AE168" s="399">
        <v>1481200</v>
      </c>
      <c r="AF168" s="400">
        <v>1</v>
      </c>
      <c r="AG168" s="399">
        <v>169690349.09759262</v>
      </c>
      <c r="AH168" s="400">
        <v>1</v>
      </c>
    </row>
    <row r="169" spans="2:34" hidden="1" outlineLevel="1" x14ac:dyDescent="0.25">
      <c r="B169" s="219">
        <v>43344</v>
      </c>
      <c r="C169" s="399"/>
      <c r="D169" s="400"/>
      <c r="E169" s="399"/>
      <c r="F169" s="400"/>
      <c r="G169" s="399"/>
      <c r="H169" s="400"/>
      <c r="I169" s="399"/>
      <c r="J169" s="400"/>
      <c r="K169" s="399">
        <v>403054</v>
      </c>
      <c r="L169" s="400">
        <v>0.2712004225584298</v>
      </c>
      <c r="M169" s="399">
        <v>57039156.114196308</v>
      </c>
      <c r="N169" s="400">
        <v>0.33632845295438335</v>
      </c>
      <c r="O169" s="399">
        <v>183113</v>
      </c>
      <c r="P169" s="400">
        <v>0.12321009833903586</v>
      </c>
      <c r="Q169" s="399">
        <v>26238235.416985855</v>
      </c>
      <c r="R169" s="400">
        <v>0.15471240683119813</v>
      </c>
      <c r="S169" s="399">
        <v>833175</v>
      </c>
      <c r="T169" s="400">
        <v>0.56061324801421086</v>
      </c>
      <c r="U169" s="399">
        <v>77483363.276581094</v>
      </c>
      <c r="V169" s="400">
        <v>0.45687666992024512</v>
      </c>
      <c r="W169" s="399">
        <v>66843</v>
      </c>
      <c r="X169" s="400">
        <v>4.4976231088323458E-2</v>
      </c>
      <c r="Y169" s="399">
        <v>8832854.0979114398</v>
      </c>
      <c r="Z169" s="400">
        <v>5.2082470294173247E-2</v>
      </c>
      <c r="AA169" s="399"/>
      <c r="AB169" s="401"/>
      <c r="AC169" s="399"/>
      <c r="AD169" s="401"/>
      <c r="AE169" s="399">
        <v>1486185</v>
      </c>
      <c r="AF169" s="400">
        <v>1</v>
      </c>
      <c r="AG169" s="399">
        <v>169593608.90567473</v>
      </c>
      <c r="AH169" s="400">
        <v>0.99999999999999989</v>
      </c>
    </row>
    <row r="170" spans="2:34" hidden="1" outlineLevel="1" x14ac:dyDescent="0.25">
      <c r="B170" s="219">
        <v>43374</v>
      </c>
      <c r="C170" s="399"/>
      <c r="D170" s="400"/>
      <c r="E170" s="399"/>
      <c r="F170" s="400"/>
      <c r="G170" s="399"/>
      <c r="H170" s="400"/>
      <c r="I170" s="399"/>
      <c r="J170" s="400"/>
      <c r="K170" s="399">
        <v>403364</v>
      </c>
      <c r="L170" s="400">
        <v>0.27008166782614401</v>
      </c>
      <c r="M170" s="399">
        <v>56946223.007991277</v>
      </c>
      <c r="N170" s="400">
        <v>0.33492968794201711</v>
      </c>
      <c r="O170" s="399">
        <v>183057</v>
      </c>
      <c r="P170" s="400">
        <v>0.12257003566815691</v>
      </c>
      <c r="Q170" s="399">
        <v>26156518.399094749</v>
      </c>
      <c r="R170" s="400">
        <v>0.15383978220696143</v>
      </c>
      <c r="S170" s="399">
        <v>840165</v>
      </c>
      <c r="T170" s="400">
        <v>0.56255185006384378</v>
      </c>
      <c r="U170" s="399">
        <v>78089260.645296216</v>
      </c>
      <c r="V170" s="400">
        <v>0.45928264102575594</v>
      </c>
      <c r="W170" s="399">
        <v>66903</v>
      </c>
      <c r="X170" s="400">
        <v>4.4796446441855278E-2</v>
      </c>
      <c r="Y170" s="399">
        <v>8832409.2140498329</v>
      </c>
      <c r="Z170" s="400">
        <v>5.1947888825265499E-2</v>
      </c>
      <c r="AA170" s="399"/>
      <c r="AB170" s="401"/>
      <c r="AC170" s="399"/>
      <c r="AD170" s="401"/>
      <c r="AE170" s="399">
        <v>1493489</v>
      </c>
      <c r="AF170" s="400">
        <v>1</v>
      </c>
      <c r="AG170" s="399">
        <v>170024411.26643208</v>
      </c>
      <c r="AH170" s="400">
        <v>0.99999999999999989</v>
      </c>
    </row>
    <row r="171" spans="2:34" hidden="1" outlineLevel="1" x14ac:dyDescent="0.25">
      <c r="B171" s="219">
        <v>43405</v>
      </c>
      <c r="C171" s="399"/>
      <c r="D171" s="400"/>
      <c r="E171" s="399"/>
      <c r="F171" s="400"/>
      <c r="G171" s="399"/>
      <c r="H171" s="400"/>
      <c r="I171" s="399"/>
      <c r="J171" s="400"/>
      <c r="K171" s="399">
        <v>403867</v>
      </c>
      <c r="L171" s="400">
        <v>0.26913808798382505</v>
      </c>
      <c r="M171" s="399">
        <v>56938610.163111217</v>
      </c>
      <c r="N171" s="400">
        <v>0.3337707751954741</v>
      </c>
      <c r="O171" s="399">
        <v>182917</v>
      </c>
      <c r="P171" s="400">
        <v>0.12189639569397186</v>
      </c>
      <c r="Q171" s="399">
        <v>26124794.251220167</v>
      </c>
      <c r="R171" s="400">
        <v>0.15314200336244321</v>
      </c>
      <c r="S171" s="399">
        <v>846814</v>
      </c>
      <c r="T171" s="400">
        <v>0.56431919626494575</v>
      </c>
      <c r="U171" s="399">
        <v>78684512.653288826</v>
      </c>
      <c r="V171" s="400">
        <v>0.4612439732710763</v>
      </c>
      <c r="W171" s="399">
        <v>66996</v>
      </c>
      <c r="X171" s="400">
        <v>4.4646320057257327E-2</v>
      </c>
      <c r="Y171" s="399">
        <v>8844041.23000158</v>
      </c>
      <c r="Z171" s="400">
        <v>5.1843248171006398E-2</v>
      </c>
      <c r="AA171" s="399"/>
      <c r="AB171" s="401"/>
      <c r="AC171" s="399"/>
      <c r="AD171" s="401"/>
      <c r="AE171" s="399">
        <v>1500594</v>
      </c>
      <c r="AF171" s="400">
        <v>1</v>
      </c>
      <c r="AG171" s="399">
        <v>170591958.29762179</v>
      </c>
      <c r="AH171" s="400">
        <v>1</v>
      </c>
    </row>
    <row r="172" spans="2:34" hidden="1" outlineLevel="1" x14ac:dyDescent="0.25">
      <c r="B172" s="219">
        <v>43435</v>
      </c>
      <c r="C172" s="399"/>
      <c r="D172" s="400"/>
      <c r="E172" s="399"/>
      <c r="F172" s="400"/>
      <c r="G172" s="399"/>
      <c r="H172" s="400"/>
      <c r="I172" s="399"/>
      <c r="J172" s="400"/>
      <c r="K172" s="399">
        <v>404348</v>
      </c>
      <c r="L172" s="400">
        <v>0.26820784403207232</v>
      </c>
      <c r="M172" s="399">
        <v>57103190.852273747</v>
      </c>
      <c r="N172" s="400">
        <v>0.33237553991652663</v>
      </c>
      <c r="O172" s="399">
        <v>182911</v>
      </c>
      <c r="P172" s="400">
        <v>0.12132659234063327</v>
      </c>
      <c r="Q172" s="399">
        <v>26254556.558043089</v>
      </c>
      <c r="R172" s="400">
        <v>0.15281759707305548</v>
      </c>
      <c r="S172" s="399">
        <v>853431</v>
      </c>
      <c r="T172" s="400">
        <v>0.56608883570621227</v>
      </c>
      <c r="U172" s="399">
        <v>79601479.950094432</v>
      </c>
      <c r="V172" s="400">
        <v>0.46332936008800479</v>
      </c>
      <c r="W172" s="399">
        <v>66902</v>
      </c>
      <c r="X172" s="400">
        <v>4.4376727921082097E-2</v>
      </c>
      <c r="Y172" s="399">
        <v>8844001.2003147453</v>
      </c>
      <c r="Z172" s="400">
        <v>5.147750292241289E-2</v>
      </c>
      <c r="AA172" s="399"/>
      <c r="AB172" s="401"/>
      <c r="AC172" s="399"/>
      <c r="AD172" s="401"/>
      <c r="AE172" s="399">
        <v>1507592</v>
      </c>
      <c r="AF172" s="400">
        <v>0.99999999999999989</v>
      </c>
      <c r="AG172" s="399">
        <v>171803228.56072605</v>
      </c>
      <c r="AH172" s="400">
        <v>0.99999999999999989</v>
      </c>
    </row>
    <row r="173" spans="2:34" collapsed="1" x14ac:dyDescent="0.25">
      <c r="B173" s="393" t="s">
        <v>759</v>
      </c>
      <c r="C173" s="394"/>
      <c r="D173" s="391"/>
      <c r="E173" s="394"/>
      <c r="F173" s="391"/>
      <c r="G173" s="394"/>
      <c r="H173" s="391"/>
      <c r="I173" s="394"/>
      <c r="J173" s="391"/>
      <c r="K173" s="394">
        <v>402249.25</v>
      </c>
      <c r="L173" s="391">
        <v>0.27400142274382938</v>
      </c>
      <c r="M173" s="394">
        <v>56622413.968616188</v>
      </c>
      <c r="N173" s="391">
        <v>0.33988344323735414</v>
      </c>
      <c r="O173" s="394">
        <v>182976.41666666666</v>
      </c>
      <c r="P173" s="391">
        <v>0.12463863759903691</v>
      </c>
      <c r="Q173" s="394">
        <v>26110899.530214164</v>
      </c>
      <c r="R173" s="391">
        <v>0.15673408843488582</v>
      </c>
      <c r="S173" s="394">
        <v>816678</v>
      </c>
      <c r="T173" s="391">
        <v>0.55629919489864832</v>
      </c>
      <c r="U173" s="394">
        <v>75096783.220776901</v>
      </c>
      <c r="V173" s="391">
        <v>0.45077826020052686</v>
      </c>
      <c r="W173" s="394">
        <v>66151.666666666672</v>
      </c>
      <c r="X173" s="391">
        <v>4.5060744758485496E-2</v>
      </c>
      <c r="Y173" s="394">
        <v>8763525.5801248066</v>
      </c>
      <c r="Z173" s="391">
        <v>5.2604208127233348E-2</v>
      </c>
      <c r="AA173" s="394"/>
      <c r="AB173" s="395"/>
      <c r="AC173" s="394"/>
      <c r="AD173" s="395"/>
      <c r="AE173" s="394">
        <v>1468055.3333333333</v>
      </c>
      <c r="AF173" s="391">
        <v>1</v>
      </c>
      <c r="AG173" s="394">
        <v>166593622.29973203</v>
      </c>
      <c r="AH173" s="391">
        <v>1.0000000000000002</v>
      </c>
    </row>
    <row r="174" spans="2:34" hidden="1" outlineLevel="1" x14ac:dyDescent="0.25">
      <c r="B174" s="219">
        <v>43466</v>
      </c>
      <c r="C174" s="399"/>
      <c r="D174" s="400"/>
      <c r="E174" s="399"/>
      <c r="F174" s="400"/>
      <c r="G174" s="399"/>
      <c r="H174" s="400"/>
      <c r="I174" s="399"/>
      <c r="J174" s="400"/>
      <c r="K174" s="399">
        <v>404952</v>
      </c>
      <c r="L174" s="400">
        <v>0.26742796914902256</v>
      </c>
      <c r="M174" s="399">
        <v>57175314.300199151</v>
      </c>
      <c r="N174" s="400">
        <v>0.33165858890406491</v>
      </c>
      <c r="O174" s="399">
        <v>182878</v>
      </c>
      <c r="P174" s="400">
        <v>0.12077157821676385</v>
      </c>
      <c r="Q174" s="399">
        <v>26151346.610786851</v>
      </c>
      <c r="R174" s="400">
        <v>0.1516969136249148</v>
      </c>
      <c r="S174" s="399">
        <v>859411</v>
      </c>
      <c r="T174" s="400">
        <v>0.567550076044397</v>
      </c>
      <c r="U174" s="399">
        <v>80187126.734321252</v>
      </c>
      <c r="V174" s="400">
        <v>0.46514391090778434</v>
      </c>
      <c r="W174" s="399">
        <v>67006</v>
      </c>
      <c r="X174" s="400">
        <v>4.4250376589816585E-2</v>
      </c>
      <c r="Y174" s="399">
        <v>8878293.2868636567</v>
      </c>
      <c r="Z174" s="400">
        <v>5.1500586563236021E-2</v>
      </c>
      <c r="AA174" s="399"/>
      <c r="AB174" s="401"/>
      <c r="AC174" s="399"/>
      <c r="AD174" s="401"/>
      <c r="AE174" s="399">
        <v>1514247</v>
      </c>
      <c r="AF174" s="400">
        <v>1</v>
      </c>
      <c r="AG174" s="399">
        <v>172392080.9321709</v>
      </c>
      <c r="AH174" s="400">
        <v>1.0000000000000002</v>
      </c>
    </row>
    <row r="175" spans="2:34" hidden="1" outlineLevel="1" x14ac:dyDescent="0.25">
      <c r="B175" s="219">
        <v>43497</v>
      </c>
      <c r="C175" s="399"/>
      <c r="D175" s="400"/>
      <c r="E175" s="399"/>
      <c r="F175" s="400"/>
      <c r="G175" s="399"/>
      <c r="H175" s="400"/>
      <c r="I175" s="399"/>
      <c r="J175" s="400"/>
      <c r="K175" s="399">
        <v>405530</v>
      </c>
      <c r="L175" s="400">
        <v>0.26675288078376791</v>
      </c>
      <c r="M175" s="399">
        <v>57156231.782947734</v>
      </c>
      <c r="N175" s="400">
        <v>0.3320545645416037</v>
      </c>
      <c r="O175" s="399">
        <v>182940</v>
      </c>
      <c r="P175" s="400">
        <v>0.12033578776066504</v>
      </c>
      <c r="Q175" s="399">
        <v>26150561.339645989</v>
      </c>
      <c r="R175" s="400">
        <v>0.15192417322279278</v>
      </c>
      <c r="S175" s="399">
        <v>864545</v>
      </c>
      <c r="T175" s="400">
        <v>0.5686875676699692</v>
      </c>
      <c r="U175" s="399">
        <v>79925677.32552515</v>
      </c>
      <c r="V175" s="400">
        <v>0.46433582397113105</v>
      </c>
      <c r="W175" s="399">
        <v>67231</v>
      </c>
      <c r="X175" s="400">
        <v>4.4223763785597857E-2</v>
      </c>
      <c r="Y175" s="399">
        <v>8896564.6152932011</v>
      </c>
      <c r="Z175" s="400">
        <v>5.1685438264472465E-2</v>
      </c>
      <c r="AA175" s="399"/>
      <c r="AB175" s="401"/>
      <c r="AC175" s="399"/>
      <c r="AD175" s="401"/>
      <c r="AE175" s="399">
        <v>1520246</v>
      </c>
      <c r="AF175" s="400">
        <v>1</v>
      </c>
      <c r="AG175" s="399">
        <v>172129035.06341207</v>
      </c>
      <c r="AH175" s="400">
        <v>1</v>
      </c>
    </row>
    <row r="176" spans="2:34" hidden="1" outlineLevel="1" x14ac:dyDescent="0.25">
      <c r="B176" s="219">
        <v>43525</v>
      </c>
      <c r="C176" s="399"/>
      <c r="D176" s="400"/>
      <c r="E176" s="399"/>
      <c r="F176" s="400"/>
      <c r="G176" s="399"/>
      <c r="H176" s="400"/>
      <c r="I176" s="399"/>
      <c r="J176" s="400"/>
      <c r="K176" s="399">
        <v>406038</v>
      </c>
      <c r="L176" s="400">
        <v>0.26571237298861144</v>
      </c>
      <c r="M176" s="399">
        <v>56997943.316504724</v>
      </c>
      <c r="N176" s="400">
        <v>0.33060033547456974</v>
      </c>
      <c r="O176" s="399">
        <v>183105</v>
      </c>
      <c r="P176" s="400">
        <v>0.11982441066126741</v>
      </c>
      <c r="Q176" s="399">
        <v>26029931.093326762</v>
      </c>
      <c r="R176" s="400">
        <v>0.1509792011976315</v>
      </c>
      <c r="S176" s="399">
        <v>871259</v>
      </c>
      <c r="T176" s="400">
        <v>0.57015426235397826</v>
      </c>
      <c r="U176" s="399">
        <v>80461365.684054255</v>
      </c>
      <c r="V176" s="400">
        <v>0.46669323382739897</v>
      </c>
      <c r="W176" s="399">
        <v>67709</v>
      </c>
      <c r="X176" s="400">
        <v>4.4308953996142951E-2</v>
      </c>
      <c r="Y176" s="399">
        <v>8918156.9968806263</v>
      </c>
      <c r="Z176" s="400">
        <v>5.1727229500399763E-2</v>
      </c>
      <c r="AA176" s="399"/>
      <c r="AB176" s="401"/>
      <c r="AC176" s="399"/>
      <c r="AD176" s="401"/>
      <c r="AE176" s="399">
        <v>1528111</v>
      </c>
      <c r="AF176" s="400">
        <v>1</v>
      </c>
      <c r="AG176" s="399">
        <v>172407397.09076637</v>
      </c>
      <c r="AH176" s="400">
        <v>0.99999999999999989</v>
      </c>
    </row>
    <row r="177" spans="2:34" hidden="1" outlineLevel="1" x14ac:dyDescent="0.25">
      <c r="B177" s="219">
        <v>43556</v>
      </c>
      <c r="C177" s="399"/>
      <c r="D177" s="400"/>
      <c r="E177" s="399"/>
      <c r="F177" s="400"/>
      <c r="G177" s="399"/>
      <c r="H177" s="400"/>
      <c r="I177" s="399"/>
      <c r="J177" s="400"/>
      <c r="K177" s="399">
        <v>406470</v>
      </c>
      <c r="L177" s="400">
        <v>0.26479561025723874</v>
      </c>
      <c r="M177" s="399">
        <v>56830982.472257905</v>
      </c>
      <c r="N177" s="400">
        <v>0.32959812906610336</v>
      </c>
      <c r="O177" s="399">
        <v>183115</v>
      </c>
      <c r="P177" s="400">
        <v>0.11929059505561118</v>
      </c>
      <c r="Q177" s="399">
        <v>25911035.401448179</v>
      </c>
      <c r="R177" s="400">
        <v>0.15027417121728998</v>
      </c>
      <c r="S177" s="399">
        <v>877406</v>
      </c>
      <c r="T177" s="400">
        <v>0.57158771179512102</v>
      </c>
      <c r="U177" s="399">
        <v>80777122.262566447</v>
      </c>
      <c r="V177" s="400">
        <v>0.46847665148288281</v>
      </c>
      <c r="W177" s="399">
        <v>68042</v>
      </c>
      <c r="X177" s="400">
        <v>4.432608289202903E-2</v>
      </c>
      <c r="Y177" s="399">
        <v>8905935.9200907014</v>
      </c>
      <c r="Z177" s="400">
        <v>5.1651048233723733E-2</v>
      </c>
      <c r="AA177" s="399"/>
      <c r="AB177" s="401"/>
      <c r="AC177" s="399"/>
      <c r="AD177" s="401"/>
      <c r="AE177" s="399">
        <v>1535033</v>
      </c>
      <c r="AF177" s="400">
        <v>0.99999999999999989</v>
      </c>
      <c r="AG177" s="399">
        <v>172425076.05636325</v>
      </c>
      <c r="AH177" s="400">
        <v>0.99999999999999989</v>
      </c>
    </row>
    <row r="178" spans="2:34" hidden="1" outlineLevel="1" x14ac:dyDescent="0.25">
      <c r="B178" s="219">
        <v>43586</v>
      </c>
      <c r="C178" s="399"/>
      <c r="D178" s="400"/>
      <c r="E178" s="399"/>
      <c r="F178" s="400"/>
      <c r="G178" s="399"/>
      <c r="H178" s="400"/>
      <c r="I178" s="399"/>
      <c r="J178" s="400"/>
      <c r="K178" s="399">
        <v>406993</v>
      </c>
      <c r="L178" s="400">
        <v>0.26389047384391939</v>
      </c>
      <c r="M178" s="399">
        <v>56578063.573204383</v>
      </c>
      <c r="N178" s="400">
        <v>0.32873382655854311</v>
      </c>
      <c r="O178" s="399">
        <v>183188</v>
      </c>
      <c r="P178" s="400">
        <v>0.11877739450683404</v>
      </c>
      <c r="Q178" s="399">
        <v>25790026.024722252</v>
      </c>
      <c r="R178" s="400">
        <v>0.14984701502167708</v>
      </c>
      <c r="S178" s="399">
        <v>883647</v>
      </c>
      <c r="T178" s="400">
        <v>0.57294849184324503</v>
      </c>
      <c r="U178" s="399">
        <v>80837517.064909562</v>
      </c>
      <c r="V178" s="400">
        <v>0.46968780187847969</v>
      </c>
      <c r="W178" s="399">
        <v>68452</v>
      </c>
      <c r="X178" s="400">
        <v>4.4383639806001504E-2</v>
      </c>
      <c r="Y178" s="399">
        <v>8903434.1545029711</v>
      </c>
      <c r="Z178" s="400">
        <v>5.1731356541300261E-2</v>
      </c>
      <c r="AA178" s="399"/>
      <c r="AB178" s="401"/>
      <c r="AC178" s="399"/>
      <c r="AD178" s="401"/>
      <c r="AE178" s="399">
        <v>1542280</v>
      </c>
      <c r="AF178" s="400">
        <v>0.99999999999999989</v>
      </c>
      <c r="AG178" s="399">
        <v>172109040.81733915</v>
      </c>
      <c r="AH178" s="400">
        <v>1.0000000000000002</v>
      </c>
    </row>
    <row r="179" spans="2:34" hidden="1" outlineLevel="1" x14ac:dyDescent="0.25">
      <c r="B179" s="219">
        <v>43617</v>
      </c>
      <c r="C179" s="399"/>
      <c r="D179" s="400"/>
      <c r="E179" s="399"/>
      <c r="F179" s="400"/>
      <c r="G179" s="399"/>
      <c r="H179" s="400"/>
      <c r="I179" s="399"/>
      <c r="J179" s="400"/>
      <c r="K179" s="399">
        <v>406862</v>
      </c>
      <c r="L179" s="400">
        <v>0.2630198585934202</v>
      </c>
      <c r="M179" s="399">
        <v>56499868.372781731</v>
      </c>
      <c r="N179" s="400">
        <v>0.32756836601443395</v>
      </c>
      <c r="O179" s="399">
        <v>183151</v>
      </c>
      <c r="P179" s="400">
        <v>0.11839972796978707</v>
      </c>
      <c r="Q179" s="399">
        <v>25761032.238141473</v>
      </c>
      <c r="R179" s="400">
        <v>0.14935431674666211</v>
      </c>
      <c r="S179" s="399">
        <v>888301</v>
      </c>
      <c r="T179" s="400">
        <v>0.57425073712559482</v>
      </c>
      <c r="U179" s="399">
        <v>81334094.315323606</v>
      </c>
      <c r="V179" s="400">
        <v>0.47154935300644302</v>
      </c>
      <c r="W179" s="399">
        <v>68573</v>
      </c>
      <c r="X179" s="400">
        <v>4.4329676311197906E-2</v>
      </c>
      <c r="Y179" s="399">
        <v>8887681.1643135324</v>
      </c>
      <c r="Z179" s="400">
        <v>5.15279642324609E-2</v>
      </c>
      <c r="AA179" s="399"/>
      <c r="AB179" s="401"/>
      <c r="AC179" s="399"/>
      <c r="AD179" s="401"/>
      <c r="AE179" s="399">
        <v>1546887</v>
      </c>
      <c r="AF179" s="400">
        <v>1</v>
      </c>
      <c r="AG179" s="399">
        <v>172482676.09056035</v>
      </c>
      <c r="AH179" s="400">
        <v>1</v>
      </c>
    </row>
    <row r="180" spans="2:34" hidden="1" outlineLevel="1" x14ac:dyDescent="0.25">
      <c r="B180" s="219">
        <v>43647</v>
      </c>
      <c r="C180" s="399"/>
      <c r="D180" s="400"/>
      <c r="E180" s="399"/>
      <c r="F180" s="400"/>
      <c r="G180" s="399"/>
      <c r="H180" s="400"/>
      <c r="I180" s="399"/>
      <c r="J180" s="400"/>
      <c r="K180" s="399">
        <v>407080</v>
      </c>
      <c r="L180" s="400">
        <v>0.26146863827945055</v>
      </c>
      <c r="M180" s="399">
        <v>57943244.489618994</v>
      </c>
      <c r="N180" s="400">
        <v>0.32487821502891184</v>
      </c>
      <c r="O180" s="399">
        <v>183153</v>
      </c>
      <c r="P180" s="400">
        <v>0.11763969123218092</v>
      </c>
      <c r="Q180" s="399">
        <v>26352307.839489777</v>
      </c>
      <c r="R180" s="400">
        <v>0.14775304365843139</v>
      </c>
      <c r="S180" s="399">
        <v>897298</v>
      </c>
      <c r="T180" s="400">
        <v>0.57633704969753963</v>
      </c>
      <c r="U180" s="399">
        <v>84914784.680806443</v>
      </c>
      <c r="V180" s="400">
        <v>0.47610319235070131</v>
      </c>
      <c r="W180" s="399">
        <v>69367</v>
      </c>
      <c r="X180" s="400">
        <v>4.455462079082894E-2</v>
      </c>
      <c r="Y180" s="399">
        <v>9143402.3581198081</v>
      </c>
      <c r="Z180" s="400">
        <v>5.126554896195526E-2</v>
      </c>
      <c r="AA180" s="399"/>
      <c r="AB180" s="401"/>
      <c r="AC180" s="399"/>
      <c r="AD180" s="401"/>
      <c r="AE180" s="399">
        <v>1556898</v>
      </c>
      <c r="AF180" s="400">
        <v>1</v>
      </c>
      <c r="AG180" s="399">
        <v>178353739.36803505</v>
      </c>
      <c r="AH180" s="400">
        <v>0.99999999999999978</v>
      </c>
    </row>
    <row r="181" spans="2:34" hidden="1" outlineLevel="1" x14ac:dyDescent="0.25">
      <c r="B181" s="219">
        <v>43678</v>
      </c>
      <c r="C181" s="399"/>
      <c r="D181" s="400"/>
      <c r="E181" s="399"/>
      <c r="F181" s="400"/>
      <c r="G181" s="399"/>
      <c r="H181" s="400"/>
      <c r="I181" s="399"/>
      <c r="J181" s="400"/>
      <c r="K181" s="399">
        <v>406828</v>
      </c>
      <c r="L181" s="400">
        <v>0.26131248458439532</v>
      </c>
      <c r="M181" s="399">
        <v>57765531.634297855</v>
      </c>
      <c r="N181" s="400">
        <v>0.32440783689136204</v>
      </c>
      <c r="O181" s="399">
        <v>182738</v>
      </c>
      <c r="P181" s="400">
        <v>0.11737569884074653</v>
      </c>
      <c r="Q181" s="399">
        <v>26199015.946631972</v>
      </c>
      <c r="R181" s="400">
        <v>0.14713213661281119</v>
      </c>
      <c r="S181" s="399">
        <v>898613</v>
      </c>
      <c r="T181" s="400">
        <v>0.57719428286606922</v>
      </c>
      <c r="U181" s="399">
        <v>85033240.60631074</v>
      </c>
      <c r="V181" s="400">
        <v>0.47754169084072523</v>
      </c>
      <c r="W181" s="399">
        <v>68685</v>
      </c>
      <c r="X181" s="400">
        <v>4.4117533708788952E-2</v>
      </c>
      <c r="Y181" s="399">
        <v>9066749.9195944425</v>
      </c>
      <c r="Z181" s="400">
        <v>5.0918335655101531E-2</v>
      </c>
      <c r="AA181" s="399"/>
      <c r="AB181" s="401"/>
      <c r="AC181" s="399"/>
      <c r="AD181" s="401"/>
      <c r="AE181" s="399">
        <v>1556864</v>
      </c>
      <c r="AF181" s="400">
        <v>1</v>
      </c>
      <c r="AG181" s="399">
        <v>178064538.10683501</v>
      </c>
      <c r="AH181" s="400">
        <v>1</v>
      </c>
    </row>
    <row r="182" spans="2:34" hidden="1" outlineLevel="1" x14ac:dyDescent="0.25">
      <c r="B182" s="219">
        <v>43709</v>
      </c>
      <c r="C182" s="399"/>
      <c r="D182" s="400"/>
      <c r="E182" s="399"/>
      <c r="F182" s="400"/>
      <c r="G182" s="399"/>
      <c r="H182" s="400"/>
      <c r="I182" s="399"/>
      <c r="J182" s="400"/>
      <c r="K182" s="399">
        <v>406809</v>
      </c>
      <c r="L182" s="400">
        <v>0.26013733003202405</v>
      </c>
      <c r="M182" s="399">
        <v>57800919.063623026</v>
      </c>
      <c r="N182" s="400">
        <v>0.32239022758887476</v>
      </c>
      <c r="O182" s="399">
        <v>182386</v>
      </c>
      <c r="P182" s="400">
        <v>0.11662821391665558</v>
      </c>
      <c r="Q182" s="399">
        <v>26209951.913672123</v>
      </c>
      <c r="R182" s="400">
        <v>0.14618854681603352</v>
      </c>
      <c r="S182" s="399">
        <v>905524</v>
      </c>
      <c r="T182" s="400">
        <v>0.57904470068242975</v>
      </c>
      <c r="U182" s="399">
        <v>86061322.538349539</v>
      </c>
      <c r="V182" s="400">
        <v>0.48001536669681727</v>
      </c>
      <c r="W182" s="399">
        <v>69105</v>
      </c>
      <c r="X182" s="400">
        <v>4.4189755368890617E-2</v>
      </c>
      <c r="Y182" s="399">
        <v>9216488.7000369076</v>
      </c>
      <c r="Z182" s="400">
        <v>5.1405858898274516E-2</v>
      </c>
      <c r="AA182" s="399"/>
      <c r="AB182" s="401"/>
      <c r="AC182" s="399"/>
      <c r="AD182" s="401"/>
      <c r="AE182" s="399">
        <v>1563824</v>
      </c>
      <c r="AF182" s="400">
        <v>1</v>
      </c>
      <c r="AG182" s="399">
        <v>179288682.21568158</v>
      </c>
      <c r="AH182" s="400">
        <v>1</v>
      </c>
    </row>
    <row r="183" spans="2:34" hidden="1" outlineLevel="1" x14ac:dyDescent="0.25">
      <c r="B183" s="219">
        <v>43739</v>
      </c>
      <c r="C183" s="399"/>
      <c r="D183" s="400"/>
      <c r="E183" s="399"/>
      <c r="F183" s="400"/>
      <c r="G183" s="399"/>
      <c r="H183" s="400"/>
      <c r="I183" s="399"/>
      <c r="J183" s="400"/>
      <c r="K183" s="399">
        <v>406611</v>
      </c>
      <c r="L183" s="400">
        <v>0.25908856307227651</v>
      </c>
      <c r="M183" s="399">
        <v>57312645.241028473</v>
      </c>
      <c r="N183" s="400">
        <v>0.32148327168663382</v>
      </c>
      <c r="O183" s="399">
        <v>182277</v>
      </c>
      <c r="P183" s="400">
        <v>0.1161451264504043</v>
      </c>
      <c r="Q183" s="399">
        <v>26066500.326512679</v>
      </c>
      <c r="R183" s="400">
        <v>0.14621457046950337</v>
      </c>
      <c r="S183" s="399">
        <v>911097</v>
      </c>
      <c r="T183" s="400">
        <v>0.58054212146120465</v>
      </c>
      <c r="U183" s="399">
        <v>85821688.19884932</v>
      </c>
      <c r="V183" s="400">
        <v>0.48139877312948021</v>
      </c>
      <c r="W183" s="399">
        <v>69405</v>
      </c>
      <c r="X183" s="400">
        <v>4.4224189016114544E-2</v>
      </c>
      <c r="Y183" s="399">
        <v>9074834.9498780333</v>
      </c>
      <c r="Z183" s="400">
        <v>5.090338471438257E-2</v>
      </c>
      <c r="AA183" s="399"/>
      <c r="AB183" s="401"/>
      <c r="AC183" s="399"/>
      <c r="AD183" s="401"/>
      <c r="AE183" s="399">
        <v>1569390</v>
      </c>
      <c r="AF183" s="400">
        <v>1</v>
      </c>
      <c r="AG183" s="399">
        <v>178275668.71626851</v>
      </c>
      <c r="AH183" s="400">
        <v>1</v>
      </c>
    </row>
    <row r="184" spans="2:34" hidden="1" outlineLevel="1" x14ac:dyDescent="0.25">
      <c r="B184" s="219">
        <v>43770</v>
      </c>
      <c r="C184" s="399"/>
      <c r="D184" s="400"/>
      <c r="E184" s="399"/>
      <c r="F184" s="400"/>
      <c r="G184" s="399"/>
      <c r="H184" s="400"/>
      <c r="I184" s="399"/>
      <c r="J184" s="400"/>
      <c r="K184" s="399">
        <v>407082</v>
      </c>
      <c r="L184" s="400">
        <v>0.25870359048925168</v>
      </c>
      <c r="M184" s="399">
        <v>57328442.899875477</v>
      </c>
      <c r="N184" s="400">
        <v>0.32098277043444429</v>
      </c>
      <c r="O184" s="399">
        <v>182107</v>
      </c>
      <c r="P184" s="400">
        <v>0.11573033136622635</v>
      </c>
      <c r="Q184" s="399">
        <v>26044658.719937719</v>
      </c>
      <c r="R184" s="400">
        <v>0.1458244160851502</v>
      </c>
      <c r="S184" s="399">
        <v>915536</v>
      </c>
      <c r="T184" s="400">
        <v>0.58182982893413981</v>
      </c>
      <c r="U184" s="399">
        <v>86228215.835860416</v>
      </c>
      <c r="V184" s="400">
        <v>0.48279301178567013</v>
      </c>
      <c r="W184" s="399">
        <v>68821</v>
      </c>
      <c r="X184" s="400">
        <v>4.3736249210382154E-2</v>
      </c>
      <c r="Y184" s="399">
        <v>9001549.0542093795</v>
      </c>
      <c r="Z184" s="400">
        <v>5.039980169473527E-2</v>
      </c>
      <c r="AA184" s="399"/>
      <c r="AB184" s="401"/>
      <c r="AC184" s="399"/>
      <c r="AD184" s="401"/>
      <c r="AE184" s="399">
        <v>1573546</v>
      </c>
      <c r="AF184" s="400">
        <v>1</v>
      </c>
      <c r="AG184" s="399">
        <v>178602866.50988302</v>
      </c>
      <c r="AH184" s="400">
        <v>0.99999999999999989</v>
      </c>
    </row>
    <row r="185" spans="2:34" hidden="1" outlineLevel="1" x14ac:dyDescent="0.25">
      <c r="B185" s="219">
        <v>43800</v>
      </c>
      <c r="C185" s="399"/>
      <c r="D185" s="400"/>
      <c r="E185" s="399"/>
      <c r="F185" s="400"/>
      <c r="G185" s="399"/>
      <c r="H185" s="400"/>
      <c r="I185" s="399"/>
      <c r="J185" s="400"/>
      <c r="K185" s="399">
        <v>407066</v>
      </c>
      <c r="L185" s="400">
        <v>0.25904934758149506</v>
      </c>
      <c r="M185" s="399">
        <v>73910311.321156338</v>
      </c>
      <c r="N185" s="400">
        <v>0.30351466915028957</v>
      </c>
      <c r="O185" s="399">
        <v>181957</v>
      </c>
      <c r="P185" s="400">
        <v>0.11579410252363521</v>
      </c>
      <c r="Q185" s="399">
        <v>31905966.821840722</v>
      </c>
      <c r="R185" s="400">
        <v>0.13102270563808519</v>
      </c>
      <c r="S185" s="399">
        <v>914029</v>
      </c>
      <c r="T185" s="400">
        <v>0.58167131649552239</v>
      </c>
      <c r="U185" s="399">
        <v>126444617.42791507</v>
      </c>
      <c r="V185" s="400">
        <v>0.51924820148177608</v>
      </c>
      <c r="W185" s="399">
        <v>68332</v>
      </c>
      <c r="X185" s="400">
        <v>4.3485233399347324E-2</v>
      </c>
      <c r="Y185" s="399">
        <v>11253895.750619056</v>
      </c>
      <c r="Z185" s="400">
        <v>4.6214423729849241E-2</v>
      </c>
      <c r="AA185" s="399"/>
      <c r="AB185" s="401"/>
      <c r="AC185" s="399"/>
      <c r="AD185" s="401"/>
      <c r="AE185" s="399">
        <v>1571384</v>
      </c>
      <c r="AF185" s="400">
        <v>0.99999999999999989</v>
      </c>
      <c r="AG185" s="399">
        <v>243514791.32153118</v>
      </c>
      <c r="AH185" s="400">
        <v>1</v>
      </c>
    </row>
    <row r="186" spans="2:34" collapsed="1" x14ac:dyDescent="0.25">
      <c r="B186" s="393" t="s">
        <v>760</v>
      </c>
      <c r="C186" s="394"/>
      <c r="D186" s="391"/>
      <c r="E186" s="394"/>
      <c r="F186" s="391"/>
      <c r="G186" s="394"/>
      <c r="H186" s="391"/>
      <c r="I186" s="394"/>
      <c r="J186" s="391"/>
      <c r="K186" s="394">
        <v>406526.75</v>
      </c>
      <c r="L186" s="391">
        <v>0.26257587313650943</v>
      </c>
      <c r="M186" s="394">
        <v>58608291.538957991</v>
      </c>
      <c r="N186" s="391">
        <v>0.32409434205743742</v>
      </c>
      <c r="O186" s="394">
        <v>182749.58333333334</v>
      </c>
      <c r="P186" s="391">
        <v>0.1180380661520633</v>
      </c>
      <c r="Q186" s="394">
        <v>26547694.52301304</v>
      </c>
      <c r="R186" s="391">
        <v>0.14680444291501896</v>
      </c>
      <c r="S186" s="394">
        <v>890555.5</v>
      </c>
      <c r="T186" s="391">
        <v>0.5752103348402553</v>
      </c>
      <c r="U186" s="394">
        <v>86502231.056232646</v>
      </c>
      <c r="V186" s="391">
        <v>0.47834330134047426</v>
      </c>
      <c r="W186" s="394">
        <v>68394</v>
      </c>
      <c r="X186" s="391">
        <v>4.4175725871171891E-2</v>
      </c>
      <c r="Y186" s="394">
        <v>9178915.5725335274</v>
      </c>
      <c r="Z186" s="391">
        <v>5.0757913687069244E-2</v>
      </c>
      <c r="AA186" s="394"/>
      <c r="AB186" s="395"/>
      <c r="AC186" s="394"/>
      <c r="AD186" s="395"/>
      <c r="AE186" s="394">
        <v>1548225.8333333335</v>
      </c>
      <c r="AF186" s="391">
        <v>1</v>
      </c>
      <c r="AG186" s="394">
        <v>180837132.69073722</v>
      </c>
      <c r="AH186" s="391">
        <v>1</v>
      </c>
    </row>
    <row r="187" spans="2:34" hidden="1" outlineLevel="1" x14ac:dyDescent="0.25">
      <c r="B187" s="219">
        <v>43831</v>
      </c>
      <c r="C187" s="399"/>
      <c r="D187" s="400"/>
      <c r="E187" s="399"/>
      <c r="F187" s="400"/>
      <c r="G187" s="399"/>
      <c r="H187" s="400"/>
      <c r="I187" s="399"/>
      <c r="J187" s="400"/>
      <c r="K187" s="399">
        <v>407818</v>
      </c>
      <c r="L187" s="400">
        <v>0.25605353404834286</v>
      </c>
      <c r="M187" s="399">
        <v>77324401.805955499</v>
      </c>
      <c r="N187" s="400">
        <v>0.30799613003643972</v>
      </c>
      <c r="O187" s="399">
        <v>182081</v>
      </c>
      <c r="P187" s="400">
        <v>0.11432178945769024</v>
      </c>
      <c r="Q187" s="399">
        <v>32881053.527491812</v>
      </c>
      <c r="R187" s="400">
        <v>0.13097078026419995</v>
      </c>
      <c r="S187" s="399">
        <v>933220</v>
      </c>
      <c r="T187" s="400">
        <v>0.58593362491257017</v>
      </c>
      <c r="U187" s="399">
        <v>129384097.70814906</v>
      </c>
      <c r="V187" s="400">
        <v>0.51535867658399759</v>
      </c>
      <c r="W187" s="399">
        <v>69587</v>
      </c>
      <c r="X187" s="400">
        <v>4.3691051581396689E-2</v>
      </c>
      <c r="Y187" s="399">
        <v>11466854.052892378</v>
      </c>
      <c r="Z187" s="400">
        <v>4.5674413115362793E-2</v>
      </c>
      <c r="AA187" s="399"/>
      <c r="AB187" s="401"/>
      <c r="AC187" s="399"/>
      <c r="AD187" s="401"/>
      <c r="AE187" s="399">
        <v>1592706</v>
      </c>
      <c r="AF187" s="400">
        <v>1</v>
      </c>
      <c r="AG187" s="399">
        <v>251056407.09448874</v>
      </c>
      <c r="AH187" s="400">
        <v>1</v>
      </c>
    </row>
    <row r="188" spans="2:34" hidden="1" outlineLevel="1" x14ac:dyDescent="0.25">
      <c r="B188" s="219">
        <v>43862</v>
      </c>
      <c r="C188" s="399"/>
      <c r="D188" s="400"/>
      <c r="E188" s="399"/>
      <c r="F188" s="400"/>
      <c r="G188" s="399"/>
      <c r="H188" s="400"/>
      <c r="I188" s="399"/>
      <c r="J188" s="400"/>
      <c r="K188" s="399">
        <v>409007</v>
      </c>
      <c r="L188" s="400">
        <v>0.25456148955133218</v>
      </c>
      <c r="M188" s="399">
        <v>74948584.523680881</v>
      </c>
      <c r="N188" s="400">
        <v>0.30519500510482656</v>
      </c>
      <c r="O188" s="399">
        <v>182190</v>
      </c>
      <c r="P188" s="400">
        <v>0.11339306608776184</v>
      </c>
      <c r="Q188" s="399">
        <v>31473799.503826648</v>
      </c>
      <c r="R188" s="400">
        <v>0.12816314625933523</v>
      </c>
      <c r="S188" s="399">
        <v>945855</v>
      </c>
      <c r="T188" s="400">
        <v>0.58868982120006574</v>
      </c>
      <c r="U188" s="399">
        <v>127870156.24506453</v>
      </c>
      <c r="V188" s="400">
        <v>0.52069473007374711</v>
      </c>
      <c r="W188" s="399">
        <v>69659</v>
      </c>
      <c r="X188" s="400">
        <v>4.3355000771762457E-2</v>
      </c>
      <c r="Y188" s="399">
        <v>11283492.340249164</v>
      </c>
      <c r="Z188" s="400">
        <v>4.5947038550068257E-2</v>
      </c>
      <c r="AA188" s="399">
        <v>1</v>
      </c>
      <c r="AB188" s="401">
        <v>6.2238907781855119E-7</v>
      </c>
      <c r="AC188" s="399">
        <v>19.649036721192676</v>
      </c>
      <c r="AD188" s="401">
        <v>8.0012022915984065E-8</v>
      </c>
      <c r="AE188" s="399">
        <v>1606712</v>
      </c>
      <c r="AF188" s="400">
        <v>1</v>
      </c>
      <c r="AG188" s="399">
        <v>245576052.26185793</v>
      </c>
      <c r="AH188" s="400">
        <v>1</v>
      </c>
    </row>
    <row r="189" spans="2:34" hidden="1" outlineLevel="1" x14ac:dyDescent="0.25">
      <c r="B189" s="219">
        <v>43891</v>
      </c>
      <c r="C189" s="399"/>
      <c r="D189" s="400"/>
      <c r="E189" s="399"/>
      <c r="F189" s="400"/>
      <c r="G189" s="399"/>
      <c r="H189" s="400"/>
      <c r="I189" s="399"/>
      <c r="J189" s="400"/>
      <c r="K189" s="399">
        <v>409402</v>
      </c>
      <c r="L189" s="400">
        <v>0.25176291600789846</v>
      </c>
      <c r="M189" s="399">
        <v>74777073.18726258</v>
      </c>
      <c r="N189" s="400">
        <v>0.30284486375512759</v>
      </c>
      <c r="O189" s="399">
        <v>182484</v>
      </c>
      <c r="P189" s="400">
        <v>0.11221905111549367</v>
      </c>
      <c r="Q189" s="399">
        <v>31420462.611558244</v>
      </c>
      <c r="R189" s="400">
        <v>0.12725191443226075</v>
      </c>
      <c r="S189" s="399">
        <v>963962</v>
      </c>
      <c r="T189" s="400">
        <v>0.59279115402661886</v>
      </c>
      <c r="U189" s="399">
        <v>129419064.35377638</v>
      </c>
      <c r="V189" s="400">
        <v>0.52414325997198474</v>
      </c>
      <c r="W189" s="399">
        <v>70292</v>
      </c>
      <c r="X189" s="400">
        <v>4.3226263897165128E-2</v>
      </c>
      <c r="Y189" s="399">
        <v>11298822.410264121</v>
      </c>
      <c r="Z189" s="400">
        <v>4.5759885852455155E-2</v>
      </c>
      <c r="AA189" s="399">
        <v>1</v>
      </c>
      <c r="AB189" s="401">
        <v>6.1495282389411496E-7</v>
      </c>
      <c r="AC189" s="399">
        <v>18.762652964402292</v>
      </c>
      <c r="AD189" s="401">
        <v>7.5988171754989824E-8</v>
      </c>
      <c r="AE189" s="399">
        <v>1626141</v>
      </c>
      <c r="AF189" s="400">
        <v>1</v>
      </c>
      <c r="AG189" s="399">
        <v>246915441.32551429</v>
      </c>
      <c r="AH189" s="400">
        <v>1</v>
      </c>
    </row>
    <row r="190" spans="2:34" hidden="1" outlineLevel="1" x14ac:dyDescent="0.25">
      <c r="B190" s="219">
        <v>43922</v>
      </c>
      <c r="C190" s="399"/>
      <c r="D190" s="400"/>
      <c r="E190" s="399"/>
      <c r="F190" s="400"/>
      <c r="G190" s="399"/>
      <c r="H190" s="400"/>
      <c r="I190" s="399"/>
      <c r="J190" s="400"/>
      <c r="K190" s="399">
        <v>409488</v>
      </c>
      <c r="L190" s="400">
        <v>0.24914727682260071</v>
      </c>
      <c r="M190" s="399">
        <v>74832528.841916144</v>
      </c>
      <c r="N190" s="400">
        <v>0.30091142109817443</v>
      </c>
      <c r="O190" s="399">
        <v>182549</v>
      </c>
      <c r="P190" s="400">
        <v>0.11106939943707493</v>
      </c>
      <c r="Q190" s="399">
        <v>31448893.154207505</v>
      </c>
      <c r="R190" s="400">
        <v>0.12646012739979073</v>
      </c>
      <c r="S190" s="399">
        <v>980826</v>
      </c>
      <c r="T190" s="400">
        <v>0.59676993449577076</v>
      </c>
      <c r="U190" s="399">
        <v>131084997.46870629</v>
      </c>
      <c r="V190" s="400">
        <v>0.52710998122603325</v>
      </c>
      <c r="W190" s="399">
        <v>70693</v>
      </c>
      <c r="X190" s="400">
        <v>4.3012172372377491E-2</v>
      </c>
      <c r="Y190" s="399">
        <v>11319626.251187095</v>
      </c>
      <c r="Z190" s="400">
        <v>4.5517702986364712E-2</v>
      </c>
      <c r="AA190" s="399">
        <v>2</v>
      </c>
      <c r="AB190" s="401">
        <v>1.2168721760960063E-6</v>
      </c>
      <c r="AC190" s="399">
        <v>190.81437215623805</v>
      </c>
      <c r="AD190" s="401">
        <v>7.6728963700779942E-7</v>
      </c>
      <c r="AE190" s="399">
        <v>1643558</v>
      </c>
      <c r="AF190" s="400">
        <v>1</v>
      </c>
      <c r="AG190" s="399">
        <v>248686236.53038916</v>
      </c>
      <c r="AH190" s="400">
        <v>1</v>
      </c>
    </row>
    <row r="191" spans="2:34" hidden="1" outlineLevel="1" x14ac:dyDescent="0.25">
      <c r="B191" s="219">
        <v>43952</v>
      </c>
      <c r="C191" s="399"/>
      <c r="D191" s="400"/>
      <c r="E191" s="399"/>
      <c r="F191" s="400"/>
      <c r="G191" s="399"/>
      <c r="H191" s="400"/>
      <c r="I191" s="399"/>
      <c r="J191" s="400"/>
      <c r="K191" s="399">
        <v>409485</v>
      </c>
      <c r="L191" s="400">
        <v>0.24864017079381964</v>
      </c>
      <c r="M191" s="399">
        <v>74888967.626650915</v>
      </c>
      <c r="N191" s="400">
        <v>0.30037030197778131</v>
      </c>
      <c r="O191" s="399">
        <v>182513</v>
      </c>
      <c r="P191" s="400">
        <v>0.11082228529028514</v>
      </c>
      <c r="Q191" s="399">
        <v>31453751.181852516</v>
      </c>
      <c r="R191" s="400">
        <v>0.12615707012984426</v>
      </c>
      <c r="S191" s="399">
        <v>983844</v>
      </c>
      <c r="T191" s="400">
        <v>0.59739218822295004</v>
      </c>
      <c r="U191" s="399">
        <v>131609818.6572348</v>
      </c>
      <c r="V191" s="400">
        <v>0.52787055591945986</v>
      </c>
      <c r="W191" s="399">
        <v>71054</v>
      </c>
      <c r="X191" s="400">
        <v>4.3144141288652973E-2</v>
      </c>
      <c r="Y191" s="399">
        <v>11369415.934189834</v>
      </c>
      <c r="Z191" s="400">
        <v>4.5601308252622805E-2</v>
      </c>
      <c r="AA191" s="399">
        <v>2</v>
      </c>
      <c r="AB191" s="401">
        <v>1.2144042921905304E-6</v>
      </c>
      <c r="AC191" s="399">
        <v>190.41238041442477</v>
      </c>
      <c r="AD191" s="401">
        <v>7.6372029175943789E-7</v>
      </c>
      <c r="AE191" s="399">
        <v>1646898</v>
      </c>
      <c r="AF191" s="400">
        <v>1</v>
      </c>
      <c r="AG191" s="399">
        <v>249322143.81230849</v>
      </c>
      <c r="AH191" s="400">
        <v>1</v>
      </c>
    </row>
    <row r="192" spans="2:34" hidden="1" outlineLevel="1" x14ac:dyDescent="0.25">
      <c r="B192" s="219">
        <v>43983</v>
      </c>
      <c r="C192" s="399"/>
      <c r="D192" s="400"/>
      <c r="E192" s="399"/>
      <c r="F192" s="400"/>
      <c r="G192" s="399"/>
      <c r="H192" s="400"/>
      <c r="I192" s="399"/>
      <c r="J192" s="400"/>
      <c r="K192" s="399">
        <v>409330</v>
      </c>
      <c r="L192" s="400">
        <v>0.24734021500646253</v>
      </c>
      <c r="M192" s="399">
        <v>74925758.773679972</v>
      </c>
      <c r="N192" s="400">
        <v>0.29893775853080767</v>
      </c>
      <c r="O192" s="399">
        <v>182392</v>
      </c>
      <c r="P192" s="400">
        <v>0.11021150781877388</v>
      </c>
      <c r="Q192" s="399">
        <v>31455211.557470869</v>
      </c>
      <c r="R192" s="400">
        <v>0.12549956905349152</v>
      </c>
      <c r="S192" s="399">
        <v>991698</v>
      </c>
      <c r="T192" s="400">
        <v>0.59923972477335863</v>
      </c>
      <c r="U192" s="399">
        <v>132831898.78070241</v>
      </c>
      <c r="V192" s="400">
        <v>0.52997087694283251</v>
      </c>
      <c r="W192" s="399">
        <v>71502</v>
      </c>
      <c r="X192" s="400">
        <v>4.3205531120103786E-2</v>
      </c>
      <c r="Y192" s="399">
        <v>11426526.947463596</v>
      </c>
      <c r="Z192" s="400">
        <v>4.558939955195427E-2</v>
      </c>
      <c r="AA192" s="399">
        <v>5</v>
      </c>
      <c r="AB192" s="401">
        <v>3.021281301229601E-6</v>
      </c>
      <c r="AC192" s="399">
        <v>600.51360968896211</v>
      </c>
      <c r="AD192" s="401">
        <v>2.3959209140598434E-6</v>
      </c>
      <c r="AE192" s="399">
        <v>1654927</v>
      </c>
      <c r="AF192" s="400">
        <v>1</v>
      </c>
      <c r="AG192" s="399">
        <v>250639996.57292652</v>
      </c>
      <c r="AH192" s="400">
        <v>1</v>
      </c>
    </row>
    <row r="193" spans="2:34" hidden="1" outlineLevel="1" x14ac:dyDescent="0.25">
      <c r="B193" s="219">
        <v>44013</v>
      </c>
      <c r="C193" s="399"/>
      <c r="D193" s="400"/>
      <c r="E193" s="399"/>
      <c r="F193" s="400"/>
      <c r="G193" s="399"/>
      <c r="H193" s="400"/>
      <c r="I193" s="399"/>
      <c r="J193" s="400"/>
      <c r="K193" s="399">
        <v>409166</v>
      </c>
      <c r="L193" s="400">
        <v>0.24686371954144209</v>
      </c>
      <c r="M193" s="399">
        <v>76781287.320424914</v>
      </c>
      <c r="N193" s="400">
        <v>0.29716532188930189</v>
      </c>
      <c r="O193" s="399">
        <v>182185</v>
      </c>
      <c r="P193" s="400">
        <v>0.10991838702301175</v>
      </c>
      <c r="Q193" s="399">
        <v>32206349.319051459</v>
      </c>
      <c r="R193" s="400">
        <v>0.12464769081475544</v>
      </c>
      <c r="S193" s="399">
        <v>994436</v>
      </c>
      <c r="T193" s="400">
        <v>0.59997695264492534</v>
      </c>
      <c r="U193" s="399">
        <v>137650147.89341357</v>
      </c>
      <c r="V193" s="400">
        <v>0.53274504679963841</v>
      </c>
      <c r="W193" s="399">
        <v>71666</v>
      </c>
      <c r="X193" s="400">
        <v>4.3238527455010896E-2</v>
      </c>
      <c r="Y193" s="399">
        <v>11740833.626301315</v>
      </c>
      <c r="Z193" s="400">
        <v>4.5440350449561358E-2</v>
      </c>
      <c r="AA193" s="399">
        <v>4</v>
      </c>
      <c r="AB193" s="401">
        <v>2.4133356099132588E-6</v>
      </c>
      <c r="AC193" s="399">
        <v>410.83473345997311</v>
      </c>
      <c r="AD193" s="401">
        <v>1.5900467428013791E-6</v>
      </c>
      <c r="AE193" s="399">
        <v>1657457</v>
      </c>
      <c r="AF193" s="400">
        <v>1</v>
      </c>
      <c r="AG193" s="399">
        <v>258379028.99392474</v>
      </c>
      <c r="AH193" s="400">
        <v>1</v>
      </c>
    </row>
    <row r="194" spans="2:34" hidden="1" outlineLevel="1" x14ac:dyDescent="0.25">
      <c r="B194" s="219">
        <v>44044</v>
      </c>
      <c r="C194" s="399"/>
      <c r="D194" s="400"/>
      <c r="E194" s="399"/>
      <c r="F194" s="400"/>
      <c r="G194" s="399"/>
      <c r="H194" s="400"/>
      <c r="I194" s="399"/>
      <c r="J194" s="400"/>
      <c r="K194" s="399">
        <v>408248</v>
      </c>
      <c r="L194" s="400">
        <v>0.24574363320724552</v>
      </c>
      <c r="M194" s="399">
        <v>76537279.229913428</v>
      </c>
      <c r="N194" s="400">
        <v>0.29592355196117776</v>
      </c>
      <c r="O194" s="399">
        <v>181973</v>
      </c>
      <c r="P194" s="400">
        <v>0.10953808999829047</v>
      </c>
      <c r="Q194" s="399">
        <v>32135093.717604995</v>
      </c>
      <c r="R194" s="400">
        <v>0.12424704890479492</v>
      </c>
      <c r="S194" s="399">
        <v>999278</v>
      </c>
      <c r="T194" s="400">
        <v>0.60151233148495498</v>
      </c>
      <c r="U194" s="399">
        <v>138236270.38212794</v>
      </c>
      <c r="V194" s="400">
        <v>0.5344763826587271</v>
      </c>
      <c r="W194" s="399">
        <v>71773</v>
      </c>
      <c r="X194" s="400">
        <v>4.3203537521760385E-2</v>
      </c>
      <c r="Y194" s="399">
        <v>11729660.034859641</v>
      </c>
      <c r="Z194" s="400">
        <v>4.5351529290527971E-2</v>
      </c>
      <c r="AA194" s="399">
        <v>4</v>
      </c>
      <c r="AB194" s="401">
        <v>2.4077877486943769E-6</v>
      </c>
      <c r="AC194" s="399">
        <v>384.64351836215496</v>
      </c>
      <c r="AD194" s="401">
        <v>1.4871847724120116E-6</v>
      </c>
      <c r="AE194" s="399">
        <v>1661276</v>
      </c>
      <c r="AF194" s="400">
        <v>1</v>
      </c>
      <c r="AG194" s="399">
        <v>258638688.00802433</v>
      </c>
      <c r="AH194" s="400">
        <v>1.0000000000000002</v>
      </c>
    </row>
    <row r="195" spans="2:34" hidden="1" outlineLevel="1" x14ac:dyDescent="0.25">
      <c r="B195" s="219">
        <v>44075</v>
      </c>
      <c r="C195" s="399"/>
      <c r="D195" s="400"/>
      <c r="E195" s="399"/>
      <c r="F195" s="400"/>
      <c r="G195" s="399"/>
      <c r="H195" s="400"/>
      <c r="I195" s="399"/>
      <c r="J195" s="400"/>
      <c r="K195" s="399">
        <v>407886</v>
      </c>
      <c r="L195" s="400">
        <v>0.24452893441915341</v>
      </c>
      <c r="M195" s="399">
        <v>75998199.124035999</v>
      </c>
      <c r="N195" s="400">
        <v>0.29481665048623651</v>
      </c>
      <c r="O195" s="399">
        <v>181745</v>
      </c>
      <c r="P195" s="400">
        <v>0.10895669668978351</v>
      </c>
      <c r="Q195" s="399">
        <v>31890841.088521171</v>
      </c>
      <c r="R195" s="400">
        <v>0.12371281239917034</v>
      </c>
      <c r="S195" s="399">
        <v>1006541</v>
      </c>
      <c r="T195" s="400">
        <v>0.60342448178949282</v>
      </c>
      <c r="U195" s="399">
        <v>138238193.39107633</v>
      </c>
      <c r="V195" s="400">
        <v>0.53626166954706345</v>
      </c>
      <c r="W195" s="399">
        <v>71871</v>
      </c>
      <c r="X195" s="400">
        <v>4.3086889585911198E-2</v>
      </c>
      <c r="Y195" s="399">
        <v>11653568.639227154</v>
      </c>
      <c r="Z195" s="400">
        <v>4.520720374993463E-2</v>
      </c>
      <c r="AA195" s="399">
        <v>5</v>
      </c>
      <c r="AB195" s="401">
        <v>2.9975156590218029E-6</v>
      </c>
      <c r="AC195" s="399">
        <v>428.90094803536391</v>
      </c>
      <c r="AD195" s="401">
        <v>1.6638175949904301E-6</v>
      </c>
      <c r="AE195" s="399">
        <v>1668048</v>
      </c>
      <c r="AF195" s="400">
        <v>1</v>
      </c>
      <c r="AG195" s="399">
        <v>257781231.14380869</v>
      </c>
      <c r="AH195" s="400">
        <v>0.99999999999999989</v>
      </c>
    </row>
    <row r="196" spans="2:34" hidden="1" outlineLevel="1" x14ac:dyDescent="0.25">
      <c r="B196" s="219">
        <v>44105</v>
      </c>
      <c r="C196" s="399"/>
      <c r="D196" s="400"/>
      <c r="E196" s="399"/>
      <c r="F196" s="400"/>
      <c r="G196" s="399"/>
      <c r="H196" s="400"/>
      <c r="I196" s="399"/>
      <c r="J196" s="400"/>
      <c r="K196" s="399">
        <v>406826</v>
      </c>
      <c r="L196" s="400">
        <v>0.24278176221559408</v>
      </c>
      <c r="M196" s="399">
        <v>75307482.8150253</v>
      </c>
      <c r="N196" s="400">
        <v>0.2933142830478811</v>
      </c>
      <c r="O196" s="399">
        <v>181526</v>
      </c>
      <c r="P196" s="400">
        <v>0.10832936480939746</v>
      </c>
      <c r="Q196" s="399">
        <v>31635141.797813468</v>
      </c>
      <c r="R196" s="400">
        <v>0.12321536437933317</v>
      </c>
      <c r="S196" s="399">
        <v>1015105</v>
      </c>
      <c r="T196" s="400">
        <v>0.60578473532630817</v>
      </c>
      <c r="U196" s="399">
        <v>138216932.99167162</v>
      </c>
      <c r="V196" s="400">
        <v>0.5383396057083516</v>
      </c>
      <c r="W196" s="399">
        <v>72224</v>
      </c>
      <c r="X196" s="400">
        <v>4.3101153796116932E-2</v>
      </c>
      <c r="Y196" s="399">
        <v>11586746.145319331</v>
      </c>
      <c r="Z196" s="400">
        <v>4.5129089586221853E-2</v>
      </c>
      <c r="AA196" s="399">
        <v>5</v>
      </c>
      <c r="AB196" s="401">
        <v>2.9838525833598895E-6</v>
      </c>
      <c r="AC196" s="399">
        <v>425.50076044051667</v>
      </c>
      <c r="AD196" s="401">
        <v>1.6572782121996149E-6</v>
      </c>
      <c r="AE196" s="399">
        <v>1675686</v>
      </c>
      <c r="AF196" s="400">
        <v>1</v>
      </c>
      <c r="AG196" s="399">
        <v>256746729.25059018</v>
      </c>
      <c r="AH196" s="400">
        <v>0.99999999999999989</v>
      </c>
    </row>
    <row r="197" spans="2:34" hidden="1" outlineLevel="1" x14ac:dyDescent="0.25">
      <c r="B197" s="219">
        <v>44136</v>
      </c>
      <c r="C197" s="399"/>
      <c r="D197" s="400"/>
      <c r="E197" s="399"/>
      <c r="F197" s="400"/>
      <c r="G197" s="399"/>
      <c r="H197" s="400"/>
      <c r="I197" s="399"/>
      <c r="J197" s="400"/>
      <c r="K197" s="399">
        <v>406489</v>
      </c>
      <c r="L197" s="400">
        <v>0.24108509614899878</v>
      </c>
      <c r="M197" s="399">
        <v>75364825.540483132</v>
      </c>
      <c r="N197" s="400">
        <v>0.29162810687250468</v>
      </c>
      <c r="O197" s="399">
        <v>181372</v>
      </c>
      <c r="P197" s="400">
        <v>0.10757015825455597</v>
      </c>
      <c r="Q197" s="399">
        <v>31651722.048068911</v>
      </c>
      <c r="R197" s="400">
        <v>0.12247798245316391</v>
      </c>
      <c r="S197" s="399">
        <v>1025590</v>
      </c>
      <c r="T197" s="400">
        <v>0.60826852327972381</v>
      </c>
      <c r="U197" s="399">
        <v>139793964.66935122</v>
      </c>
      <c r="V197" s="400">
        <v>0.54094000717650104</v>
      </c>
      <c r="W197" s="399">
        <v>72626</v>
      </c>
      <c r="X197" s="400">
        <v>4.3073849951455474E-2</v>
      </c>
      <c r="Y197" s="399">
        <v>11616962.60805548</v>
      </c>
      <c r="Z197" s="400">
        <v>4.4952440196071024E-2</v>
      </c>
      <c r="AA197" s="399">
        <v>4</v>
      </c>
      <c r="AB197" s="401">
        <v>2.3723652659629045E-6</v>
      </c>
      <c r="AC197" s="399">
        <v>378.15793198679643</v>
      </c>
      <c r="AD197" s="401">
        <v>1.463301759318633E-6</v>
      </c>
      <c r="AE197" s="399">
        <v>1686081</v>
      </c>
      <c r="AF197" s="400">
        <v>1</v>
      </c>
      <c r="AG197" s="399">
        <v>258427853.02389073</v>
      </c>
      <c r="AH197" s="400">
        <v>1</v>
      </c>
    </row>
    <row r="198" spans="2:34" hidden="1" outlineLevel="1" x14ac:dyDescent="0.25">
      <c r="B198" s="219">
        <v>44166</v>
      </c>
      <c r="C198" s="399"/>
      <c r="D198" s="400"/>
      <c r="E198" s="399"/>
      <c r="F198" s="400"/>
      <c r="G198" s="399"/>
      <c r="H198" s="400"/>
      <c r="I198" s="399"/>
      <c r="J198" s="400"/>
      <c r="K198" s="399">
        <v>407108</v>
      </c>
      <c r="L198" s="400">
        <v>0.24004872816769943</v>
      </c>
      <c r="M198" s="399">
        <v>75272424.697605893</v>
      </c>
      <c r="N198" s="400">
        <v>0.29072688085151255</v>
      </c>
      <c r="O198" s="399">
        <v>181176</v>
      </c>
      <c r="P198" s="400">
        <v>0.10682931402603514</v>
      </c>
      <c r="Q198" s="399">
        <v>31528360.536653955</v>
      </c>
      <c r="R198" s="400">
        <v>0.12177290626689299</v>
      </c>
      <c r="S198" s="399">
        <v>1034956</v>
      </c>
      <c r="T198" s="400">
        <v>0.61025543961191997</v>
      </c>
      <c r="U198" s="399">
        <v>140550601.87130451</v>
      </c>
      <c r="V198" s="400">
        <v>0.54285268805943976</v>
      </c>
      <c r="W198" s="399">
        <v>72694</v>
      </c>
      <c r="X198" s="400">
        <v>4.2863569975099339E-2</v>
      </c>
      <c r="Y198" s="399">
        <v>11559192.251508648</v>
      </c>
      <c r="Z198" s="400">
        <v>4.4645405298747699E-2</v>
      </c>
      <c r="AA198" s="399">
        <v>5</v>
      </c>
      <c r="AB198" s="401">
        <v>2.9482192460931674E-6</v>
      </c>
      <c r="AC198" s="399">
        <v>548.76819641151985</v>
      </c>
      <c r="AD198" s="401">
        <v>2.1195234070665684E-6</v>
      </c>
      <c r="AE198" s="399">
        <v>1695939</v>
      </c>
      <c r="AF198" s="400">
        <v>0.99999999999999989</v>
      </c>
      <c r="AG198" s="399">
        <v>258911128.12526941</v>
      </c>
      <c r="AH198" s="400">
        <v>1</v>
      </c>
    </row>
    <row r="199" spans="2:34" collapsed="1" x14ac:dyDescent="0.25">
      <c r="B199" s="393" t="s">
        <v>761</v>
      </c>
      <c r="C199" s="394"/>
      <c r="D199" s="391"/>
      <c r="E199" s="394"/>
      <c r="F199" s="391"/>
      <c r="G199" s="394"/>
      <c r="H199" s="391"/>
      <c r="I199" s="394"/>
      <c r="J199" s="391"/>
      <c r="K199" s="394">
        <v>408354.41666666669</v>
      </c>
      <c r="L199" s="391">
        <v>0.24729477952301426</v>
      </c>
      <c r="M199" s="394">
        <v>75579901.123886213</v>
      </c>
      <c r="N199" s="391">
        <v>0.29823563890904281</v>
      </c>
      <c r="O199" s="394">
        <v>182015.5</v>
      </c>
      <c r="P199" s="391">
        <v>0.11022651183668566</v>
      </c>
      <c r="Q199" s="394">
        <v>31765056.670343462</v>
      </c>
      <c r="R199" s="391">
        <v>0.12534379947829602</v>
      </c>
      <c r="S199" s="394">
        <v>989609.25</v>
      </c>
      <c r="T199" s="391">
        <v>0.59929608032732717</v>
      </c>
      <c r="U199" s="394">
        <v>134573845.36771488</v>
      </c>
      <c r="V199" s="391">
        <v>0.53102367371320935</v>
      </c>
      <c r="W199" s="394">
        <v>71303.416666666672</v>
      </c>
      <c r="X199" s="391">
        <v>4.3180536279627084E-2</v>
      </c>
      <c r="Y199" s="394">
        <v>11504308.436793147</v>
      </c>
      <c r="Z199" s="391">
        <v>4.5395597583937117E-2</v>
      </c>
      <c r="AA199" s="394">
        <v>3.4545454545454546</v>
      </c>
      <c r="AB199" s="395">
        <v>2.0920333457085975E-6</v>
      </c>
      <c r="AC199" s="394">
        <v>326.99619460377687</v>
      </c>
      <c r="AD199" s="395">
        <v>1.2903155146846617E-6</v>
      </c>
      <c r="AE199" s="394">
        <v>1651286.0378787881</v>
      </c>
      <c r="AF199" s="391">
        <v>0.99999999999999978</v>
      </c>
      <c r="AG199" s="394">
        <v>253423438.59493232</v>
      </c>
      <c r="AH199" s="391">
        <v>0.99999999999999989</v>
      </c>
    </row>
    <row r="200" spans="2:34" x14ac:dyDescent="0.25">
      <c r="B200" s="219">
        <v>44197</v>
      </c>
      <c r="C200" s="399"/>
      <c r="D200" s="400"/>
      <c r="E200" s="399"/>
      <c r="F200" s="400"/>
      <c r="G200" s="399"/>
      <c r="H200" s="400"/>
      <c r="I200" s="399"/>
      <c r="J200" s="400"/>
      <c r="K200" s="399">
        <v>408308</v>
      </c>
      <c r="L200" s="400">
        <v>0.23923310972926701</v>
      </c>
      <c r="M200" s="399">
        <v>81802235.866563603</v>
      </c>
      <c r="N200" s="400">
        <v>0.28375939391942179</v>
      </c>
      <c r="O200" s="399">
        <v>181008</v>
      </c>
      <c r="P200" s="400">
        <v>0.10605500437384319</v>
      </c>
      <c r="Q200" s="399">
        <v>35029867.151795574</v>
      </c>
      <c r="R200" s="400">
        <v>0.12151322964186041</v>
      </c>
      <c r="S200" s="399">
        <v>1044504</v>
      </c>
      <c r="T200" s="400">
        <v>0.61198884186608715</v>
      </c>
      <c r="U200" s="399">
        <v>158457082.42047375</v>
      </c>
      <c r="V200" s="400">
        <v>0.54966328479356708</v>
      </c>
      <c r="W200" s="399">
        <v>72911</v>
      </c>
      <c r="X200" s="400">
        <v>4.271952855067887E-2</v>
      </c>
      <c r="Y200" s="399">
        <v>12990396.50707004</v>
      </c>
      <c r="Z200" s="400">
        <v>4.506169055858128E-2</v>
      </c>
      <c r="AA200" s="399">
        <v>6</v>
      </c>
      <c r="AB200" s="401">
        <v>3.5154801237683369E-6</v>
      </c>
      <c r="AC200" s="399">
        <v>692.18589445321322</v>
      </c>
      <c r="AD200" s="401">
        <v>2.4010865694430279E-6</v>
      </c>
      <c r="AE200" s="399">
        <v>1706737</v>
      </c>
      <c r="AF200" s="400">
        <v>1</v>
      </c>
      <c r="AG200" s="399">
        <v>288280274.13179743</v>
      </c>
      <c r="AH200" s="400">
        <v>0.99999999999999989</v>
      </c>
    </row>
    <row r="201" spans="2:34" x14ac:dyDescent="0.25">
      <c r="B201" s="219">
        <v>44228</v>
      </c>
      <c r="C201" s="399"/>
      <c r="D201" s="400"/>
      <c r="E201" s="399"/>
      <c r="F201" s="400"/>
      <c r="G201" s="399"/>
      <c r="H201" s="400"/>
      <c r="I201" s="399"/>
      <c r="J201" s="400"/>
      <c r="K201" s="399">
        <v>408052</v>
      </c>
      <c r="L201" s="400">
        <v>0.23801210557291488</v>
      </c>
      <c r="M201" s="399">
        <v>81607883.945952937</v>
      </c>
      <c r="N201" s="400">
        <v>0.28327527171594591</v>
      </c>
      <c r="O201" s="399">
        <v>180639</v>
      </c>
      <c r="P201" s="400">
        <v>0.10536468082152708</v>
      </c>
      <c r="Q201" s="399">
        <v>34897005.404621296</v>
      </c>
      <c r="R201" s="400">
        <v>0.12113362349419385</v>
      </c>
      <c r="S201" s="399">
        <v>1052693</v>
      </c>
      <c r="T201" s="400">
        <v>0.61402389267021962</v>
      </c>
      <c r="U201" s="399">
        <v>158616985.67766491</v>
      </c>
      <c r="V201" s="400">
        <v>0.55058736416156129</v>
      </c>
      <c r="W201" s="399">
        <v>73029</v>
      </c>
      <c r="X201" s="400">
        <v>4.2596987780685797E-2</v>
      </c>
      <c r="Y201" s="399">
        <v>12964512.886306951</v>
      </c>
      <c r="Z201" s="400">
        <v>4.5002097015108426E-2</v>
      </c>
      <c r="AA201" s="399">
        <v>4</v>
      </c>
      <c r="AB201" s="401">
        <v>2.3331546525728571E-6</v>
      </c>
      <c r="AC201" s="399">
        <v>473.50336546752857</v>
      </c>
      <c r="AD201" s="401">
        <v>1.6436131906086605E-6</v>
      </c>
      <c r="AE201" s="399">
        <v>1714417</v>
      </c>
      <c r="AF201" s="400">
        <v>1</v>
      </c>
      <c r="AG201" s="399">
        <v>288086861.41791153</v>
      </c>
      <c r="AH201" s="400">
        <v>1</v>
      </c>
    </row>
    <row r="202" spans="2:34" x14ac:dyDescent="0.25">
      <c r="B202" s="219">
        <v>44256</v>
      </c>
      <c r="C202" s="399"/>
      <c r="D202" s="400"/>
      <c r="E202" s="399"/>
      <c r="F202" s="400"/>
      <c r="G202" s="399"/>
      <c r="H202" s="400"/>
      <c r="I202" s="399"/>
      <c r="J202" s="400"/>
      <c r="K202" s="399">
        <v>408360</v>
      </c>
      <c r="L202" s="400">
        <v>0.23711256401621164</v>
      </c>
      <c r="M202" s="399">
        <v>81358014.476955369</v>
      </c>
      <c r="N202" s="400">
        <v>0.28212473428605123</v>
      </c>
      <c r="O202" s="399">
        <v>180566</v>
      </c>
      <c r="P202" s="400">
        <v>0.10484490947730254</v>
      </c>
      <c r="Q202" s="399">
        <v>34748087.97164914</v>
      </c>
      <c r="R202" s="400">
        <v>0.12049575138939295</v>
      </c>
      <c r="S202" s="399">
        <v>1060194</v>
      </c>
      <c r="T202" s="400">
        <v>0.61559731044814248</v>
      </c>
      <c r="U202" s="399">
        <v>159340972.53316319</v>
      </c>
      <c r="V202" s="400">
        <v>0.55254580419403998</v>
      </c>
      <c r="W202" s="399">
        <v>73094</v>
      </c>
      <c r="X202" s="400">
        <v>4.2441732182880235E-2</v>
      </c>
      <c r="Y202" s="399">
        <v>12928484.831690645</v>
      </c>
      <c r="Z202" s="400">
        <v>4.4832034942237982E-2</v>
      </c>
      <c r="AA202" s="399">
        <v>6</v>
      </c>
      <c r="AB202" s="401">
        <v>3.4838754630651138E-6</v>
      </c>
      <c r="AC202" s="399">
        <v>483.08416665312456</v>
      </c>
      <c r="AD202" s="401">
        <v>1.6751882777745928E-6</v>
      </c>
      <c r="AE202" s="399">
        <v>1722220</v>
      </c>
      <c r="AF202" s="400">
        <v>1</v>
      </c>
      <c r="AG202" s="399">
        <v>288376042.89762503</v>
      </c>
      <c r="AH202" s="400">
        <v>0.99999999999999989</v>
      </c>
    </row>
    <row r="203" spans="2:34" x14ac:dyDescent="0.25">
      <c r="B203" s="219">
        <v>44287</v>
      </c>
      <c r="C203" s="399"/>
      <c r="D203" s="400"/>
      <c r="E203" s="399"/>
      <c r="F203" s="400"/>
      <c r="G203" s="399"/>
      <c r="H203" s="400"/>
      <c r="I203" s="399"/>
      <c r="J203" s="400"/>
      <c r="K203" s="399">
        <v>408797</v>
      </c>
      <c r="L203" s="400">
        <v>0.23586909861339339</v>
      </c>
      <c r="M203" s="399">
        <v>81127243.654566199</v>
      </c>
      <c r="N203" s="400">
        <v>0.28078174105248893</v>
      </c>
      <c r="O203" s="399">
        <v>180965</v>
      </c>
      <c r="P203" s="400">
        <v>0.10441380790605786</v>
      </c>
      <c r="Q203" s="399">
        <v>34693678.091458917</v>
      </c>
      <c r="R203" s="400">
        <v>0.12007496987710294</v>
      </c>
      <c r="S203" s="399">
        <v>1068719</v>
      </c>
      <c r="T203" s="400">
        <v>0.61663316316168459</v>
      </c>
      <c r="U203" s="399">
        <v>160067069.72818905</v>
      </c>
      <c r="V203" s="400">
        <v>0.55399282039975273</v>
      </c>
      <c r="W203" s="399">
        <v>74665</v>
      </c>
      <c r="X203" s="400">
        <v>4.308046841823452E-2</v>
      </c>
      <c r="Y203" s="399">
        <v>13044789.898234308</v>
      </c>
      <c r="Z203" s="400">
        <v>4.5148074238609906E-2</v>
      </c>
      <c r="AA203" s="399">
        <v>6</v>
      </c>
      <c r="AB203" s="401">
        <v>3.4619006296043278E-6</v>
      </c>
      <c r="AC203" s="399">
        <v>691.83156723882496</v>
      </c>
      <c r="AD203" s="401">
        <v>2.3944320454360204E-6</v>
      </c>
      <c r="AE203" s="399">
        <v>1733152</v>
      </c>
      <c r="AF203" s="400">
        <v>1</v>
      </c>
      <c r="AG203" s="399">
        <v>288933473.20401573</v>
      </c>
      <c r="AH203" s="400">
        <v>0.99999999999999989</v>
      </c>
    </row>
    <row r="204" spans="2:34" x14ac:dyDescent="0.25">
      <c r="B204" s="219">
        <v>44317</v>
      </c>
      <c r="C204" s="399"/>
      <c r="D204" s="400"/>
      <c r="E204" s="399"/>
      <c r="F204" s="400"/>
      <c r="G204" s="399"/>
      <c r="H204" s="400"/>
      <c r="I204" s="399"/>
      <c r="J204" s="400"/>
      <c r="K204" s="399">
        <v>408904</v>
      </c>
      <c r="L204" s="400">
        <v>0.23449355564794769</v>
      </c>
      <c r="M204" s="399">
        <v>80923822.370021939</v>
      </c>
      <c r="N204" s="400">
        <v>0.27940555047642218</v>
      </c>
      <c r="O204" s="399">
        <v>180572</v>
      </c>
      <c r="P204" s="400">
        <v>0.10355235050393542</v>
      </c>
      <c r="Q204" s="399">
        <v>34525106.006046072</v>
      </c>
      <c r="R204" s="400">
        <v>0.11920477760884489</v>
      </c>
      <c r="S204" s="399">
        <v>1076768</v>
      </c>
      <c r="T204" s="400">
        <v>0.61749250906797037</v>
      </c>
      <c r="U204" s="399">
        <v>160917445.90428177</v>
      </c>
      <c r="V204" s="400">
        <v>0.55559940493865656</v>
      </c>
      <c r="W204" s="399">
        <v>77523</v>
      </c>
      <c r="X204" s="400">
        <v>4.4456997032300612E-2</v>
      </c>
      <c r="Y204" s="399">
        <v>13261416.782525608</v>
      </c>
      <c r="Z204" s="400">
        <v>4.5787672253992003E-2</v>
      </c>
      <c r="AA204" s="399">
        <v>8</v>
      </c>
      <c r="AB204" s="401">
        <v>4.5877478459090196E-6</v>
      </c>
      <c r="AC204" s="399">
        <v>751.50557568660815</v>
      </c>
      <c r="AD204" s="401">
        <v>2.5947220844402678E-6</v>
      </c>
      <c r="AE204" s="399">
        <v>1743775</v>
      </c>
      <c r="AF204" s="400">
        <v>1</v>
      </c>
      <c r="AG204" s="399">
        <v>289628542.56845105</v>
      </c>
      <c r="AH204" s="400">
        <v>1.0000000000000002</v>
      </c>
    </row>
    <row r="205" spans="2:34" x14ac:dyDescent="0.25">
      <c r="B205" s="219">
        <v>44348</v>
      </c>
      <c r="C205" s="399"/>
      <c r="D205" s="400"/>
      <c r="E205" s="399"/>
      <c r="F205" s="400"/>
      <c r="G205" s="399"/>
      <c r="H205" s="400"/>
      <c r="I205" s="399"/>
      <c r="J205" s="400"/>
      <c r="K205" s="399">
        <v>408641</v>
      </c>
      <c r="L205" s="400">
        <v>0.23314477088664287</v>
      </c>
      <c r="M205" s="399">
        <v>80799193.297006413</v>
      </c>
      <c r="N205" s="400">
        <v>0.27771686886511865</v>
      </c>
      <c r="O205" s="399">
        <v>180850</v>
      </c>
      <c r="P205" s="400">
        <v>0.10318159904378015</v>
      </c>
      <c r="Q205" s="399">
        <v>34549843.516939037</v>
      </c>
      <c r="R205" s="400">
        <v>0.1187521059280133</v>
      </c>
      <c r="S205" s="399">
        <v>1083928</v>
      </c>
      <c r="T205" s="400">
        <v>0.61842092501148205</v>
      </c>
      <c r="U205" s="399">
        <v>162155904.76670218</v>
      </c>
      <c r="V205" s="400">
        <v>0.55734999697660803</v>
      </c>
      <c r="W205" s="399">
        <v>79307</v>
      </c>
      <c r="X205" s="400">
        <v>4.524757022596114E-2</v>
      </c>
      <c r="Y205" s="399">
        <v>13434995.930556638</v>
      </c>
      <c r="Z205" s="400">
        <v>4.617775067796423E-2</v>
      </c>
      <c r="AA205" s="399">
        <v>9</v>
      </c>
      <c r="AB205" s="401">
        <v>5.134832133779493E-6</v>
      </c>
      <c r="AC205" s="399">
        <v>953.57398552770201</v>
      </c>
      <c r="AD205" s="401">
        <v>3.2775522958321044E-6</v>
      </c>
      <c r="AE205" s="399">
        <v>1752735</v>
      </c>
      <c r="AF205" s="400">
        <v>1</v>
      </c>
      <c r="AG205" s="399">
        <v>290940891.08518976</v>
      </c>
      <c r="AH205" s="400">
        <v>1</v>
      </c>
    </row>
    <row r="206" spans="2:34" x14ac:dyDescent="0.25">
      <c r="B206" s="219">
        <v>44378</v>
      </c>
      <c r="C206" s="399"/>
      <c r="D206" s="400"/>
      <c r="E206" s="399"/>
      <c r="F206" s="400"/>
      <c r="G206" s="399"/>
      <c r="H206" s="400"/>
      <c r="I206" s="399"/>
      <c r="J206" s="400"/>
      <c r="K206" s="399">
        <v>408548</v>
      </c>
      <c r="L206" s="400">
        <v>0.23197691518875649</v>
      </c>
      <c r="M206" s="399">
        <v>83105309.122953162</v>
      </c>
      <c r="N206" s="400">
        <v>0.27455465223323078</v>
      </c>
      <c r="O206" s="399">
        <v>180980</v>
      </c>
      <c r="P206" s="400">
        <v>0.10276193277377725</v>
      </c>
      <c r="Q206" s="399">
        <v>35571486.217222258</v>
      </c>
      <c r="R206" s="400">
        <v>0.11751736598848922</v>
      </c>
      <c r="S206" s="399">
        <v>1090775</v>
      </c>
      <c r="T206" s="400">
        <v>0.61935101790980707</v>
      </c>
      <c r="U206" s="399">
        <v>169958286.11137068</v>
      </c>
      <c r="V206" s="400">
        <v>0.56149045867125391</v>
      </c>
      <c r="W206" s="399">
        <v>80846</v>
      </c>
      <c r="X206" s="400">
        <v>4.5905023853623585E-2</v>
      </c>
      <c r="Y206" s="399">
        <v>14055309.54632492</v>
      </c>
      <c r="Z206" s="400">
        <v>4.6434465682720492E-2</v>
      </c>
      <c r="AA206" s="399">
        <v>9</v>
      </c>
      <c r="AB206" s="401">
        <v>5.1102740356061181E-6</v>
      </c>
      <c r="AC206" s="399">
        <v>925.45578805318678</v>
      </c>
      <c r="AD206" s="401">
        <v>3.0574243057113621E-6</v>
      </c>
      <c r="AE206" s="399">
        <v>1761158</v>
      </c>
      <c r="AF206" s="400">
        <v>1</v>
      </c>
      <c r="AG206" s="399">
        <v>302691316.45365906</v>
      </c>
      <c r="AH206" s="400">
        <v>1</v>
      </c>
    </row>
    <row r="207" spans="2:34" x14ac:dyDescent="0.25">
      <c r="B207" s="219">
        <v>44409</v>
      </c>
      <c r="C207" s="399"/>
      <c r="D207" s="400"/>
      <c r="E207" s="399"/>
      <c r="F207" s="400"/>
      <c r="G207" s="399"/>
      <c r="H207" s="400"/>
      <c r="I207" s="399"/>
      <c r="J207" s="400"/>
      <c r="K207" s="399">
        <v>409302</v>
      </c>
      <c r="L207" s="400">
        <v>0.23134418624105121</v>
      </c>
      <c r="M207" s="399">
        <v>83014392.006041855</v>
      </c>
      <c r="N207" s="400">
        <v>0.27310070620740484</v>
      </c>
      <c r="O207" s="399">
        <v>181161</v>
      </c>
      <c r="P207" s="400">
        <v>0.10239516084361933</v>
      </c>
      <c r="Q207" s="399">
        <v>35506141.46741017</v>
      </c>
      <c r="R207" s="400">
        <v>0.11680808682841406</v>
      </c>
      <c r="S207" s="399">
        <v>1097020</v>
      </c>
      <c r="T207" s="400">
        <v>0.62005365033681248</v>
      </c>
      <c r="U207" s="399">
        <v>171290519.30560848</v>
      </c>
      <c r="V207" s="400">
        <v>0.56351146660918916</v>
      </c>
      <c r="W207" s="399">
        <v>81743</v>
      </c>
      <c r="X207" s="400">
        <v>4.6202480847643668E-2</v>
      </c>
      <c r="Y207" s="399">
        <v>14157964.996740796</v>
      </c>
      <c r="Z207" s="400">
        <v>4.6576866319616231E-2</v>
      </c>
      <c r="AA207" s="399">
        <v>8</v>
      </c>
      <c r="AB207" s="401">
        <v>4.5217308733610138E-6</v>
      </c>
      <c r="AC207" s="399">
        <v>873.62022098905857</v>
      </c>
      <c r="AD207" s="401">
        <v>2.874035375598685E-6</v>
      </c>
      <c r="AE207" s="399">
        <v>1769234</v>
      </c>
      <c r="AF207" s="400">
        <v>1</v>
      </c>
      <c r="AG207" s="399">
        <v>303969891.39602232</v>
      </c>
      <c r="AH207" s="400">
        <v>0.99999999999999989</v>
      </c>
    </row>
    <row r="208" spans="2:34" x14ac:dyDescent="0.25">
      <c r="B208" s="219">
        <v>44440</v>
      </c>
      <c r="C208" s="399"/>
      <c r="D208" s="400"/>
      <c r="E208" s="399"/>
      <c r="F208" s="400"/>
      <c r="G208" s="399"/>
      <c r="H208" s="400"/>
      <c r="I208" s="399"/>
      <c r="J208" s="400"/>
      <c r="K208" s="399">
        <v>409787</v>
      </c>
      <c r="L208" s="400">
        <v>0.23001763636751452</v>
      </c>
      <c r="M208" s="399">
        <v>82136087.494119257</v>
      </c>
      <c r="N208" s="400">
        <v>0.27124837567998128</v>
      </c>
      <c r="O208" s="399">
        <v>181169</v>
      </c>
      <c r="P208" s="400">
        <v>0.10169201356574571</v>
      </c>
      <c r="Q208" s="399">
        <v>35094995.596829765</v>
      </c>
      <c r="R208" s="400">
        <v>0.11589863652584791</v>
      </c>
      <c r="S208" s="399">
        <v>1108270</v>
      </c>
      <c r="T208" s="400">
        <v>0.62208329170282439</v>
      </c>
      <c r="U208" s="399">
        <v>171509517.25333458</v>
      </c>
      <c r="V208" s="400">
        <v>0.5663975408124422</v>
      </c>
      <c r="W208" s="399">
        <v>82312</v>
      </c>
      <c r="X208" s="400">
        <v>4.6202567882053E-2</v>
      </c>
      <c r="Y208" s="399">
        <v>14066224.084299419</v>
      </c>
      <c r="Z208" s="400">
        <v>4.6452668385136141E-2</v>
      </c>
      <c r="AA208" s="399">
        <v>8</v>
      </c>
      <c r="AB208" s="401">
        <v>4.4904818623824473E-6</v>
      </c>
      <c r="AC208" s="399">
        <v>841.38034836401584</v>
      </c>
      <c r="AD208" s="401">
        <v>2.7785965923825665E-6</v>
      </c>
      <c r="AE208" s="399">
        <v>1781546</v>
      </c>
      <c r="AF208" s="400">
        <v>1</v>
      </c>
      <c r="AG208" s="399">
        <v>302807665.80893141</v>
      </c>
      <c r="AH208" s="400">
        <v>0.99999999999999989</v>
      </c>
    </row>
    <row r="209" spans="2:34" x14ac:dyDescent="0.25">
      <c r="B209" s="219">
        <v>44470</v>
      </c>
      <c r="C209" s="399"/>
      <c r="D209" s="400"/>
      <c r="E209" s="399"/>
      <c r="F209" s="400"/>
      <c r="G209" s="399"/>
      <c r="H209" s="400"/>
      <c r="I209" s="399"/>
      <c r="J209" s="400"/>
      <c r="K209" s="399">
        <v>411102</v>
      </c>
      <c r="L209" s="400">
        <v>0.22884336413138473</v>
      </c>
      <c r="M209" s="399">
        <v>81293291.343181163</v>
      </c>
      <c r="N209" s="400">
        <v>0.26959178405164774</v>
      </c>
      <c r="O209" s="399">
        <v>181504</v>
      </c>
      <c r="P209" s="400">
        <v>0.1010357185401746</v>
      </c>
      <c r="Q209" s="399">
        <v>34694360.411195271</v>
      </c>
      <c r="R209" s="400">
        <v>0.11505641320757698</v>
      </c>
      <c r="S209" s="399">
        <v>1121224</v>
      </c>
      <c r="T209" s="400">
        <v>0.6241387103561834</v>
      </c>
      <c r="U209" s="399">
        <v>171627960.75882089</v>
      </c>
      <c r="V209" s="400">
        <v>0.56916736140980195</v>
      </c>
      <c r="W209" s="399">
        <v>82592</v>
      </c>
      <c r="X209" s="400">
        <v>4.5975527071965908E-2</v>
      </c>
      <c r="Y209" s="399">
        <v>13925403.145835591</v>
      </c>
      <c r="Z209" s="400">
        <v>4.6180616084000432E-2</v>
      </c>
      <c r="AA209" s="399">
        <v>12</v>
      </c>
      <c r="AB209" s="401">
        <v>6.6799002913549844E-6</v>
      </c>
      <c r="AC209" s="399">
        <v>1153.4732696830383</v>
      </c>
      <c r="AD209" s="401">
        <v>3.8252469729265236E-6</v>
      </c>
      <c r="AE209" s="399">
        <v>1796434</v>
      </c>
      <c r="AF209" s="400">
        <v>1</v>
      </c>
      <c r="AG209" s="399">
        <v>301542169.13230258</v>
      </c>
      <c r="AH209" s="400">
        <v>1</v>
      </c>
    </row>
    <row r="210" spans="2:34" x14ac:dyDescent="0.25">
      <c r="B210" s="219">
        <v>44501</v>
      </c>
      <c r="C210" s="399"/>
      <c r="D210" s="400"/>
      <c r="E210" s="399"/>
      <c r="F210" s="400"/>
      <c r="G210" s="399"/>
      <c r="H210" s="400"/>
      <c r="I210" s="399"/>
      <c r="J210" s="400"/>
      <c r="K210" s="399">
        <v>412375</v>
      </c>
      <c r="L210" s="400">
        <v>0.22735993966105658</v>
      </c>
      <c r="M210" s="399">
        <v>81129613.475207418</v>
      </c>
      <c r="N210" s="400">
        <v>0.26786164100864368</v>
      </c>
      <c r="O210" s="399">
        <v>181898</v>
      </c>
      <c r="P210" s="400">
        <v>0.10028813168709759</v>
      </c>
      <c r="Q210" s="399">
        <v>34598196.062789053</v>
      </c>
      <c r="R210" s="400">
        <v>0.11423115649564332</v>
      </c>
      <c r="S210" s="399">
        <v>1135385</v>
      </c>
      <c r="T210" s="400">
        <v>0.62598621422750822</v>
      </c>
      <c r="U210" s="399">
        <v>173154486.86136758</v>
      </c>
      <c r="V210" s="400">
        <v>0.57169562397667983</v>
      </c>
      <c r="W210" s="399">
        <v>84083</v>
      </c>
      <c r="X210" s="400">
        <v>4.6358546969434665E-2</v>
      </c>
      <c r="Y210" s="399">
        <v>13995497.643308004</v>
      </c>
      <c r="Z210" s="400">
        <v>4.6208243881436822E-2</v>
      </c>
      <c r="AA210" s="399">
        <v>13</v>
      </c>
      <c r="AB210" s="401">
        <v>7.1674549029250935E-6</v>
      </c>
      <c r="AC210" s="399">
        <v>1009.9910470799817</v>
      </c>
      <c r="AD210" s="401">
        <v>3.3346375963883585E-6</v>
      </c>
      <c r="AE210" s="399">
        <v>1813754</v>
      </c>
      <c r="AF210" s="400">
        <v>0.99999999999999989</v>
      </c>
      <c r="AG210" s="399">
        <v>302878804.03371912</v>
      </c>
      <c r="AH210" s="400">
        <v>1.0000000000000002</v>
      </c>
    </row>
    <row r="211" spans="2:34" x14ac:dyDescent="0.25">
      <c r="B211" s="219">
        <v>44531</v>
      </c>
      <c r="C211" s="399"/>
      <c r="D211" s="400"/>
      <c r="E211" s="399"/>
      <c r="F211" s="400"/>
      <c r="G211" s="399"/>
      <c r="H211" s="400"/>
      <c r="I211" s="399"/>
      <c r="J211" s="400"/>
      <c r="K211" s="399">
        <v>413523</v>
      </c>
      <c r="L211" s="400">
        <v>0.22621880569678629</v>
      </c>
      <c r="M211" s="399">
        <v>80703829.155005619</v>
      </c>
      <c r="N211" s="400">
        <v>0.26645991864583607</v>
      </c>
      <c r="O211" s="399">
        <v>182087</v>
      </c>
      <c r="P211" s="400">
        <v>9.961115505766481E-2</v>
      </c>
      <c r="Q211" s="399">
        <v>34367299.696678646</v>
      </c>
      <c r="R211" s="400">
        <v>0.11347054999912688</v>
      </c>
      <c r="S211" s="399">
        <v>1147603</v>
      </c>
      <c r="T211" s="400">
        <v>0.62779913106175234</v>
      </c>
      <c r="U211" s="399">
        <v>173880560.62547579</v>
      </c>
      <c r="V211" s="400">
        <v>0.57410163214644583</v>
      </c>
      <c r="W211" s="399">
        <v>84750</v>
      </c>
      <c r="X211" s="400">
        <v>4.6362702395761873E-2</v>
      </c>
      <c r="Y211" s="399">
        <v>13921283.289806182</v>
      </c>
      <c r="Z211" s="400">
        <v>4.5963915859837667E-2</v>
      </c>
      <c r="AA211" s="399">
        <v>15</v>
      </c>
      <c r="AB211" s="401">
        <v>8.205788034648119E-6</v>
      </c>
      <c r="AC211" s="399">
        <v>1206.4534842385751</v>
      </c>
      <c r="AD211" s="401">
        <v>3.9833487534123659E-6</v>
      </c>
      <c r="AE211" s="399">
        <v>1827978</v>
      </c>
      <c r="AF211" s="400">
        <v>0.99999999999999989</v>
      </c>
      <c r="AG211" s="399">
        <v>302874179.22045052</v>
      </c>
      <c r="AH211" s="400">
        <v>0.99999999999999989</v>
      </c>
    </row>
    <row r="212" spans="2:34" x14ac:dyDescent="0.25">
      <c r="B212" s="393" t="s">
        <v>762</v>
      </c>
      <c r="C212" s="394"/>
      <c r="D212" s="391"/>
      <c r="E212" s="394"/>
      <c r="F212" s="391"/>
      <c r="G212" s="394"/>
      <c r="H212" s="391"/>
      <c r="I212" s="394"/>
      <c r="J212" s="391"/>
      <c r="K212" s="394">
        <v>409641.58333333331</v>
      </c>
      <c r="L212" s="391">
        <v>0.23271630070150556</v>
      </c>
      <c r="M212" s="394">
        <v>81583409.68396458</v>
      </c>
      <c r="N212" s="391">
        <v>0.2756964597420884</v>
      </c>
      <c r="O212" s="394">
        <v>181116.58333333334</v>
      </c>
      <c r="P212" s="391">
        <v>0.10289185225302679</v>
      </c>
      <c r="Q212" s="394">
        <v>34856338.966219604</v>
      </c>
      <c r="R212" s="391">
        <v>0.11779072840646147</v>
      </c>
      <c r="S212" s="394">
        <v>1090590.25</v>
      </c>
      <c r="T212" s="391">
        <v>0.61956143830888788</v>
      </c>
      <c r="U212" s="394">
        <v>165914732.66220441</v>
      </c>
      <c r="V212" s="391">
        <v>0.56067899823284195</v>
      </c>
      <c r="W212" s="394">
        <v>78904.583333333328</v>
      </c>
      <c r="X212" s="391">
        <v>4.4825485226154822E-2</v>
      </c>
      <c r="Y212" s="394">
        <v>13562189.961891592</v>
      </c>
      <c r="Z212" s="391">
        <v>4.5830981731793438E-2</v>
      </c>
      <c r="AA212" s="394">
        <v>8.6666666666666661</v>
      </c>
      <c r="AB212" s="395">
        <v>4.923510425059911E-6</v>
      </c>
      <c r="AC212" s="394">
        <v>838.0048927862382</v>
      </c>
      <c r="AD212" s="395">
        <v>2.8318868147665167E-6</v>
      </c>
      <c r="AE212" s="394">
        <v>1760261.6666666665</v>
      </c>
      <c r="AF212" s="391">
        <v>1</v>
      </c>
      <c r="AG212" s="394">
        <v>295917509.27917296</v>
      </c>
      <c r="AH212" s="391">
        <v>1</v>
      </c>
    </row>
    <row r="213" spans="2:34" x14ac:dyDescent="0.25">
      <c r="B213" s="219">
        <v>44562</v>
      </c>
      <c r="C213" s="399"/>
      <c r="D213" s="400"/>
      <c r="E213" s="399"/>
      <c r="F213" s="400"/>
      <c r="G213" s="399"/>
      <c r="H213" s="400"/>
      <c r="I213" s="399"/>
      <c r="J213" s="400"/>
      <c r="K213" s="399">
        <v>414941</v>
      </c>
      <c r="L213" s="400">
        <v>0.22500393135048669</v>
      </c>
      <c r="M213" s="399">
        <v>82802692.945179418</v>
      </c>
      <c r="N213" s="400">
        <v>0.26114788278481932</v>
      </c>
      <c r="O213" s="399">
        <v>182344</v>
      </c>
      <c r="P213" s="400">
        <v>9.887698939891007E-2</v>
      </c>
      <c r="Q213" s="399">
        <v>36432550.869379044</v>
      </c>
      <c r="R213" s="400">
        <v>0.11490306879617573</v>
      </c>
      <c r="S213" s="399">
        <v>1161305</v>
      </c>
      <c r="T213" s="400">
        <v>0.6297237209554537</v>
      </c>
      <c r="U213" s="399">
        <v>182896075.90838555</v>
      </c>
      <c r="V213" s="400">
        <v>0.57682813558670776</v>
      </c>
      <c r="W213" s="399">
        <v>85544</v>
      </c>
      <c r="X213" s="400">
        <v>4.6386682211316865E-2</v>
      </c>
      <c r="Y213" s="399">
        <v>14939549.561367841</v>
      </c>
      <c r="Z213" s="400">
        <v>4.711720837742657E-2</v>
      </c>
      <c r="AA213" s="399">
        <v>16</v>
      </c>
      <c r="AB213" s="401">
        <v>8.6760838326600331E-6</v>
      </c>
      <c r="AC213" s="399">
        <v>1174.5790771859406</v>
      </c>
      <c r="AD213" s="401">
        <v>3.7044548704899686E-6</v>
      </c>
      <c r="AE213" s="399">
        <v>1844150</v>
      </c>
      <c r="AF213" s="400">
        <v>1</v>
      </c>
      <c r="AG213" s="399">
        <v>317072043.86338907</v>
      </c>
      <c r="AH213" s="400">
        <v>1</v>
      </c>
    </row>
    <row r="214" spans="2:34" x14ac:dyDescent="0.25">
      <c r="B214" s="219">
        <v>44593</v>
      </c>
      <c r="C214" s="399">
        <v>415749</v>
      </c>
      <c r="D214" s="400">
        <v>0.22408092911749361</v>
      </c>
      <c r="E214" s="399">
        <v>86933328.771857053</v>
      </c>
      <c r="F214" s="400">
        <v>0.2385732734257181</v>
      </c>
      <c r="G214" s="399">
        <v>857471</v>
      </c>
      <c r="H214" s="400">
        <v>0.46216081907907502</v>
      </c>
      <c r="I214" s="399">
        <v>162252906.10124663</v>
      </c>
      <c r="J214" s="400">
        <v>0.44527464297377067</v>
      </c>
      <c r="K214" s="399"/>
      <c r="L214" s="400"/>
      <c r="M214" s="399"/>
      <c r="N214" s="400"/>
      <c r="O214" s="399">
        <v>182599</v>
      </c>
      <c r="P214" s="400">
        <v>9.8417443159033974E-2</v>
      </c>
      <c r="Q214" s="399">
        <v>38216436.558076769</v>
      </c>
      <c r="R214" s="400">
        <v>0.10487830728596513</v>
      </c>
      <c r="S214" s="399">
        <v>313314</v>
      </c>
      <c r="T214" s="400">
        <v>0.16887038146939234</v>
      </c>
      <c r="U214" s="399">
        <v>61197201.12051475</v>
      </c>
      <c r="V214" s="400">
        <v>0.16794498499106933</v>
      </c>
      <c r="W214" s="399">
        <v>86219</v>
      </c>
      <c r="X214" s="400">
        <v>4.6470427175005068E-2</v>
      </c>
      <c r="Y214" s="399">
        <v>15788508.106226694</v>
      </c>
      <c r="Z214" s="400">
        <v>4.3328791323476702E-2</v>
      </c>
      <c r="AA214" s="399"/>
      <c r="AB214" s="401"/>
      <c r="AC214" s="399"/>
      <c r="AD214" s="401"/>
      <c r="AE214" s="399">
        <v>1855352</v>
      </c>
      <c r="AF214" s="400">
        <v>1</v>
      </c>
      <c r="AG214" s="399">
        <v>364388380.65792191</v>
      </c>
      <c r="AH214" s="400">
        <v>1</v>
      </c>
    </row>
    <row r="215" spans="2:34" x14ac:dyDescent="0.25">
      <c r="B215" s="219">
        <v>44621</v>
      </c>
      <c r="C215" s="399">
        <v>420201</v>
      </c>
      <c r="D215" s="400">
        <v>0.22056047000998871</v>
      </c>
      <c r="E215" s="399">
        <v>86159406.392543808</v>
      </c>
      <c r="F215" s="400">
        <v>0.22413112352385667</v>
      </c>
      <c r="G215" s="399">
        <v>897756</v>
      </c>
      <c r="H215" s="400">
        <v>0.47122564038231091</v>
      </c>
      <c r="I215" s="399">
        <v>184202200.37353134</v>
      </c>
      <c r="J215" s="400">
        <v>0.47917514585916376</v>
      </c>
      <c r="K215" s="399"/>
      <c r="L215" s="400"/>
      <c r="M215" s="399"/>
      <c r="N215" s="400"/>
      <c r="O215" s="399">
        <v>182858</v>
      </c>
      <c r="P215" s="400">
        <v>9.5980843513191347E-2</v>
      </c>
      <c r="Q215" s="399">
        <v>37572780.473099664</v>
      </c>
      <c r="R215" s="400">
        <v>9.7740105856623211E-2</v>
      </c>
      <c r="S215" s="399">
        <v>316664</v>
      </c>
      <c r="T215" s="400">
        <v>0.16621464650308559</v>
      </c>
      <c r="U215" s="399">
        <v>60855953.756373696</v>
      </c>
      <c r="V215" s="400">
        <v>0.15830788371949919</v>
      </c>
      <c r="W215" s="399">
        <v>87672</v>
      </c>
      <c r="X215" s="400">
        <v>4.601839959142346E-2</v>
      </c>
      <c r="Y215" s="399">
        <v>15624839.894636706</v>
      </c>
      <c r="Z215" s="400">
        <v>4.0645741040857095E-2</v>
      </c>
      <c r="AA215" s="399"/>
      <c r="AB215" s="401"/>
      <c r="AC215" s="399"/>
      <c r="AD215" s="401"/>
      <c r="AE215" s="399">
        <v>1905151</v>
      </c>
      <c r="AF215" s="400">
        <v>1</v>
      </c>
      <c r="AG215" s="399">
        <v>384415180.89018524</v>
      </c>
      <c r="AH215" s="400">
        <v>1</v>
      </c>
    </row>
    <row r="216" spans="2:34" x14ac:dyDescent="0.25">
      <c r="B216" s="219">
        <v>44652</v>
      </c>
      <c r="C216" s="399">
        <v>422364</v>
      </c>
      <c r="D216" s="400">
        <v>0.21851921984472639</v>
      </c>
      <c r="E216" s="399">
        <v>85339712.892334506</v>
      </c>
      <c r="F216" s="400">
        <v>0.22168081950708324</v>
      </c>
      <c r="G216" s="399">
        <v>927426</v>
      </c>
      <c r="H216" s="400">
        <v>0.47982405220074442</v>
      </c>
      <c r="I216" s="399">
        <v>187615757.17838982</v>
      </c>
      <c r="J216" s="400">
        <v>0.48735592602964117</v>
      </c>
      <c r="K216" s="399"/>
      <c r="L216" s="400"/>
      <c r="M216" s="399"/>
      <c r="N216" s="400"/>
      <c r="O216" s="399">
        <v>182742</v>
      </c>
      <c r="P216" s="400">
        <v>9.4545556138461107E-2</v>
      </c>
      <c r="Q216" s="399">
        <v>37030962.968187436</v>
      </c>
      <c r="R216" s="400">
        <v>9.6192662708871224E-2</v>
      </c>
      <c r="S216" s="399">
        <v>311879</v>
      </c>
      <c r="T216" s="400">
        <v>0.16135739733015461</v>
      </c>
      <c r="U216" s="399">
        <v>59527284.630401872</v>
      </c>
      <c r="V216" s="400">
        <v>0.15462973559035961</v>
      </c>
      <c r="W216" s="399">
        <v>88435</v>
      </c>
      <c r="X216" s="400">
        <v>4.5753774485913515E-2</v>
      </c>
      <c r="Y216" s="399">
        <v>15452889.194063168</v>
      </c>
      <c r="Z216" s="400">
        <v>4.0140856164044746E-2</v>
      </c>
      <c r="AA216" s="399"/>
      <c r="AB216" s="401"/>
      <c r="AC216" s="399"/>
      <c r="AD216" s="401"/>
      <c r="AE216" s="399">
        <v>1932846</v>
      </c>
      <c r="AF216" s="400">
        <v>1</v>
      </c>
      <c r="AG216" s="399">
        <v>384966606.8633768</v>
      </c>
      <c r="AH216" s="400">
        <v>1</v>
      </c>
    </row>
    <row r="217" spans="2:34" x14ac:dyDescent="0.25">
      <c r="B217" s="219">
        <v>44682</v>
      </c>
      <c r="C217" s="399">
        <v>425810</v>
      </c>
      <c r="D217" s="400">
        <v>0.21732173834934287</v>
      </c>
      <c r="E217" s="399">
        <v>84961009.386457592</v>
      </c>
      <c r="F217" s="400">
        <v>0.21765323912180198</v>
      </c>
      <c r="G217" s="399">
        <v>1083427</v>
      </c>
      <c r="H217" s="400">
        <v>0.55295140793925346</v>
      </c>
      <c r="I217" s="399">
        <v>216557309.868366</v>
      </c>
      <c r="J217" s="400">
        <v>0.55477683573597758</v>
      </c>
      <c r="K217" s="399"/>
      <c r="L217" s="400"/>
      <c r="M217" s="399"/>
      <c r="N217" s="400"/>
      <c r="O217" s="399">
        <v>183254</v>
      </c>
      <c r="P217" s="400">
        <v>9.3527812497288643E-2</v>
      </c>
      <c r="Q217" s="399">
        <v>36693124.796301335</v>
      </c>
      <c r="R217" s="400">
        <v>9.4000501207421969E-2</v>
      </c>
      <c r="S217" s="399">
        <v>177591</v>
      </c>
      <c r="T217" s="400">
        <v>9.0637572708950356E-2</v>
      </c>
      <c r="U217" s="399">
        <v>36846035.423544355</v>
      </c>
      <c r="V217" s="400">
        <v>9.4392227877760873E-2</v>
      </c>
      <c r="W217" s="399">
        <v>89271</v>
      </c>
      <c r="X217" s="400">
        <v>4.5561468505164716E-2</v>
      </c>
      <c r="Y217" s="399">
        <v>15292830.629891815</v>
      </c>
      <c r="Z217" s="400">
        <v>3.9177196057037601E-2</v>
      </c>
      <c r="AA217" s="399"/>
      <c r="AB217" s="401"/>
      <c r="AC217" s="399"/>
      <c r="AD217" s="401"/>
      <c r="AE217" s="399">
        <v>1959353</v>
      </c>
      <c r="AF217" s="400">
        <v>1</v>
      </c>
      <c r="AG217" s="399">
        <v>390350310.10456109</v>
      </c>
      <c r="AH217" s="400">
        <v>1</v>
      </c>
    </row>
    <row r="218" spans="2:34" x14ac:dyDescent="0.25">
      <c r="B218" s="219">
        <v>44713</v>
      </c>
      <c r="C218" s="399">
        <v>426359</v>
      </c>
      <c r="D218" s="400">
        <v>0.2155740970702564</v>
      </c>
      <c r="E218" s="399">
        <v>84262297.929761186</v>
      </c>
      <c r="F218" s="400">
        <v>0.21594644405051638</v>
      </c>
      <c r="G218" s="399">
        <v>1102129</v>
      </c>
      <c r="H218" s="400">
        <v>0.55725448279488554</v>
      </c>
      <c r="I218" s="399">
        <v>218210711.47012895</v>
      </c>
      <c r="J218" s="400">
        <v>0.55922789139915308</v>
      </c>
      <c r="K218" s="399"/>
      <c r="L218" s="400"/>
      <c r="M218" s="399"/>
      <c r="N218" s="400"/>
      <c r="O218" s="399">
        <v>184170</v>
      </c>
      <c r="P218" s="400">
        <v>9.3119369961532708E-2</v>
      </c>
      <c r="Q218" s="399">
        <v>36535144.14185679</v>
      </c>
      <c r="R218" s="400">
        <v>9.3631845488994586E-2</v>
      </c>
      <c r="S218" s="399">
        <v>174924</v>
      </c>
      <c r="T218" s="400">
        <v>8.8444440848950132E-2</v>
      </c>
      <c r="U218" s="399">
        <v>35984481.206712797</v>
      </c>
      <c r="V218" s="400">
        <v>9.2220612878012531E-2</v>
      </c>
      <c r="W218" s="399">
        <v>90202</v>
      </c>
      <c r="X218" s="400">
        <v>4.5607609324375159E-2</v>
      </c>
      <c r="Y218" s="399">
        <v>15207344.233596165</v>
      </c>
      <c r="Z218" s="400">
        <v>3.8973206183323519E-2</v>
      </c>
      <c r="AA218" s="399"/>
      <c r="AB218" s="401"/>
      <c r="AC218" s="399"/>
      <c r="AD218" s="401"/>
      <c r="AE218" s="399">
        <v>1977784</v>
      </c>
      <c r="AF218" s="400">
        <v>1</v>
      </c>
      <c r="AG218" s="399">
        <v>390199978.98205584</v>
      </c>
      <c r="AH218" s="400">
        <v>1</v>
      </c>
    </row>
    <row r="219" spans="2:34" x14ac:dyDescent="0.25">
      <c r="B219" s="219">
        <v>44743</v>
      </c>
      <c r="C219" s="399">
        <v>427515</v>
      </c>
      <c r="D219" s="400">
        <v>0.2140233169596639</v>
      </c>
      <c r="E219" s="399">
        <v>87361670.352315381</v>
      </c>
      <c r="F219" s="400">
        <v>0.21331631981044433</v>
      </c>
      <c r="G219" s="399">
        <v>1120062</v>
      </c>
      <c r="H219" s="400">
        <v>0.5607274234599372</v>
      </c>
      <c r="I219" s="399">
        <v>229319213.87578598</v>
      </c>
      <c r="J219" s="400">
        <v>0.55994271364696224</v>
      </c>
      <c r="K219" s="399"/>
      <c r="L219" s="400"/>
      <c r="M219" s="399"/>
      <c r="N219" s="400"/>
      <c r="O219" s="399">
        <v>184681</v>
      </c>
      <c r="P219" s="400">
        <v>9.2455329519262927E-2</v>
      </c>
      <c r="Q219" s="399">
        <v>37881756.254604675</v>
      </c>
      <c r="R219" s="400">
        <v>9.2498195142103098E-2</v>
      </c>
      <c r="S219" s="399">
        <v>174528</v>
      </c>
      <c r="T219" s="400">
        <v>8.7372516665698799E-2</v>
      </c>
      <c r="U219" s="399">
        <v>39144174.703794397</v>
      </c>
      <c r="V219" s="400">
        <v>9.5580719280617607E-2</v>
      </c>
      <c r="W219" s="399">
        <v>90730</v>
      </c>
      <c r="X219" s="400">
        <v>4.5421413395437135E-2</v>
      </c>
      <c r="Y219" s="399">
        <v>15833675.808028674</v>
      </c>
      <c r="Z219" s="400">
        <v>3.8662052119872531E-2</v>
      </c>
      <c r="AA219" s="399"/>
      <c r="AB219" s="401"/>
      <c r="AC219" s="399"/>
      <c r="AD219" s="401"/>
      <c r="AE219" s="399">
        <v>1997516</v>
      </c>
      <c r="AF219" s="400">
        <v>1</v>
      </c>
      <c r="AG219" s="399">
        <v>409540490.99452919</v>
      </c>
      <c r="AH219" s="400">
        <v>0.99999999999999978</v>
      </c>
    </row>
    <row r="220" spans="2:34" x14ac:dyDescent="0.25">
      <c r="B220" s="219">
        <v>44774</v>
      </c>
      <c r="C220" s="399">
        <v>432035</v>
      </c>
      <c r="D220" s="400">
        <v>0.20757560761394833</v>
      </c>
      <c r="E220" s="399">
        <v>87213386.824873388</v>
      </c>
      <c r="F220" s="400">
        <v>0.20746089589048339</v>
      </c>
      <c r="G220" s="399">
        <v>1198254</v>
      </c>
      <c r="H220" s="400">
        <v>0.57571331518475133</v>
      </c>
      <c r="I220" s="399">
        <v>241246681.28097823</v>
      </c>
      <c r="J220" s="400">
        <v>0.57387121921612527</v>
      </c>
      <c r="K220" s="399"/>
      <c r="L220" s="400"/>
      <c r="M220" s="399"/>
      <c r="N220" s="400"/>
      <c r="O220" s="399">
        <v>185109</v>
      </c>
      <c r="P220" s="400">
        <v>8.8937500780747775E-2</v>
      </c>
      <c r="Q220" s="399">
        <v>37514560.968247443</v>
      </c>
      <c r="R220" s="400">
        <v>8.9238644556240379E-2</v>
      </c>
      <c r="S220" s="399">
        <v>174548</v>
      </c>
      <c r="T220" s="400">
        <v>8.3863360972605119E-2</v>
      </c>
      <c r="U220" s="399">
        <v>38710023.093914308</v>
      </c>
      <c r="V220" s="400">
        <v>9.2082378214835739E-2</v>
      </c>
      <c r="W220" s="399">
        <v>91392</v>
      </c>
      <c r="X220" s="400">
        <v>4.3910215447947425E-2</v>
      </c>
      <c r="Y220" s="399">
        <v>15700049.491197113</v>
      </c>
      <c r="Z220" s="400">
        <v>3.7346862122315125E-2</v>
      </c>
      <c r="AA220" s="399"/>
      <c r="AB220" s="401"/>
      <c r="AC220" s="399"/>
      <c r="AD220" s="401"/>
      <c r="AE220" s="399">
        <v>2081338</v>
      </c>
      <c r="AF220" s="400">
        <v>1</v>
      </c>
      <c r="AG220" s="399">
        <v>420384701.6592105</v>
      </c>
      <c r="AH220" s="400">
        <v>0.99999999999999989</v>
      </c>
    </row>
    <row r="221" spans="2:34" x14ac:dyDescent="0.25">
      <c r="B221" s="219">
        <v>44805</v>
      </c>
      <c r="C221" s="399">
        <v>431499</v>
      </c>
      <c r="D221" s="400">
        <v>0.20403455024581138</v>
      </c>
      <c r="E221" s="399">
        <v>86345160.422898948</v>
      </c>
      <c r="F221" s="400">
        <v>0.20418217154666926</v>
      </c>
      <c r="G221" s="399">
        <v>1232196</v>
      </c>
      <c r="H221" s="400">
        <v>0.58264458706668565</v>
      </c>
      <c r="I221" s="399">
        <v>245458507.57055372</v>
      </c>
      <c r="J221" s="400">
        <v>0.58044076651073928</v>
      </c>
      <c r="K221" s="399"/>
      <c r="L221" s="400"/>
      <c r="M221" s="399"/>
      <c r="N221" s="400"/>
      <c r="O221" s="399">
        <v>185298</v>
      </c>
      <c r="P221" s="400">
        <v>8.7618265839430345E-2</v>
      </c>
      <c r="Q221" s="399">
        <v>37228845.527557492</v>
      </c>
      <c r="R221" s="400">
        <v>8.8035814477174415E-2</v>
      </c>
      <c r="S221" s="399">
        <v>173941</v>
      </c>
      <c r="T221" s="400">
        <v>8.2248101859579453E-2</v>
      </c>
      <c r="U221" s="399">
        <v>38267776.273514353</v>
      </c>
      <c r="V221" s="400">
        <v>9.0492595317665098E-2</v>
      </c>
      <c r="W221" s="399">
        <v>91899</v>
      </c>
      <c r="X221" s="400">
        <v>4.3454494988493179E-2</v>
      </c>
      <c r="Y221" s="399">
        <v>15582666.973144725</v>
      </c>
      <c r="Z221" s="400">
        <v>3.6848652147752084E-2</v>
      </c>
      <c r="AA221" s="399"/>
      <c r="AB221" s="401"/>
      <c r="AC221" s="399"/>
      <c r="AD221" s="401"/>
      <c r="AE221" s="399">
        <v>2114833</v>
      </c>
      <c r="AF221" s="400">
        <v>1</v>
      </c>
      <c r="AG221" s="399">
        <v>422882956.7676692</v>
      </c>
      <c r="AH221" s="400">
        <v>1</v>
      </c>
    </row>
    <row r="222" spans="2:34" x14ac:dyDescent="0.25">
      <c r="B222" s="219">
        <v>44835</v>
      </c>
      <c r="C222" s="399">
        <v>432104</v>
      </c>
      <c r="D222" s="400">
        <v>0.20257005150697879</v>
      </c>
      <c r="E222" s="399">
        <v>86014235.185832873</v>
      </c>
      <c r="F222" s="400">
        <v>0.20286291169445309</v>
      </c>
      <c r="G222" s="399">
        <v>1250284</v>
      </c>
      <c r="H222" s="400">
        <v>0.58613226047051514</v>
      </c>
      <c r="I222" s="399">
        <v>247489754.6977042</v>
      </c>
      <c r="J222" s="400">
        <v>0.58369980438762969</v>
      </c>
      <c r="K222" s="399"/>
      <c r="L222" s="400"/>
      <c r="M222" s="399"/>
      <c r="N222" s="400"/>
      <c r="O222" s="399">
        <v>185393</v>
      </c>
      <c r="P222" s="400">
        <v>8.6912108101367541E-2</v>
      </c>
      <c r="Q222" s="399">
        <v>37056092.966404349</v>
      </c>
      <c r="R222" s="400">
        <v>8.7396079252975573E-2</v>
      </c>
      <c r="S222" s="399">
        <v>173208</v>
      </c>
      <c r="T222" s="400">
        <v>8.1199788665276829E-2</v>
      </c>
      <c r="U222" s="399">
        <v>37934060.628510959</v>
      </c>
      <c r="V222" s="400">
        <v>8.9466749019715006E-2</v>
      </c>
      <c r="W222" s="399">
        <v>92120</v>
      </c>
      <c r="X222" s="400">
        <v>4.318579125586175E-2</v>
      </c>
      <c r="Y222" s="399">
        <v>15507634.211622901</v>
      </c>
      <c r="Z222" s="400">
        <v>3.6574455645226635E-2</v>
      </c>
      <c r="AA222" s="399"/>
      <c r="AB222" s="401"/>
      <c r="AC222" s="399"/>
      <c r="AD222" s="401"/>
      <c r="AE222" s="399">
        <v>2133109</v>
      </c>
      <c r="AF222" s="400">
        <v>1</v>
      </c>
      <c r="AG222" s="399">
        <v>424001777.69007528</v>
      </c>
      <c r="AH222" s="400">
        <v>1</v>
      </c>
    </row>
    <row r="223" spans="2:34" x14ac:dyDescent="0.25">
      <c r="B223" s="219">
        <v>44866</v>
      </c>
      <c r="C223" s="399">
        <v>449028</v>
      </c>
      <c r="D223" s="400">
        <v>0.20524095110679222</v>
      </c>
      <c r="E223" s="399">
        <v>88485806.71656619</v>
      </c>
      <c r="F223" s="400">
        <v>0.2057520939666993</v>
      </c>
      <c r="G223" s="399">
        <v>1288292</v>
      </c>
      <c r="H223" s="400">
        <v>0.58885030640243274</v>
      </c>
      <c r="I223" s="399">
        <v>252015277.77803758</v>
      </c>
      <c r="J223" s="400">
        <v>0.5859998686628104</v>
      </c>
      <c r="K223" s="399"/>
      <c r="L223" s="400"/>
      <c r="M223" s="399"/>
      <c r="N223" s="400"/>
      <c r="O223" s="399">
        <v>185356</v>
      </c>
      <c r="P223" s="400">
        <v>8.4722203812124364E-2</v>
      </c>
      <c r="Q223" s="399">
        <v>36690324.07639052</v>
      </c>
      <c r="R223" s="400">
        <v>8.5314371729865432E-2</v>
      </c>
      <c r="S223" s="399">
        <v>172557</v>
      </c>
      <c r="T223" s="400">
        <v>7.8872058758328534E-2</v>
      </c>
      <c r="U223" s="399">
        <v>37459322.971174538</v>
      </c>
      <c r="V223" s="400">
        <v>8.7102490511069552E-2</v>
      </c>
      <c r="W223" s="399">
        <v>92576</v>
      </c>
      <c r="X223" s="400">
        <v>4.2314479920322112E-2</v>
      </c>
      <c r="Y223" s="399">
        <v>15409565.831463259</v>
      </c>
      <c r="Z223" s="400">
        <v>3.5831175129555339E-2</v>
      </c>
      <c r="AA223" s="399"/>
      <c r="AB223" s="401"/>
      <c r="AC223" s="399"/>
      <c r="AD223" s="401"/>
      <c r="AE223" s="399">
        <v>2187809</v>
      </c>
      <c r="AF223" s="400">
        <v>1</v>
      </c>
      <c r="AG223" s="399">
        <v>430060297.37363207</v>
      </c>
      <c r="AH223" s="400">
        <v>1</v>
      </c>
    </row>
    <row r="224" spans="2:34" x14ac:dyDescent="0.25">
      <c r="B224" s="219">
        <v>44896</v>
      </c>
      <c r="C224" s="399">
        <v>454908</v>
      </c>
      <c r="D224" s="400">
        <v>0.20508182841954073</v>
      </c>
      <c r="E224" s="399">
        <v>89396365.766379818</v>
      </c>
      <c r="F224" s="400">
        <v>0.20588053148810606</v>
      </c>
      <c r="G224" s="399">
        <v>1312809</v>
      </c>
      <c r="H224" s="400">
        <v>0.59184114169376845</v>
      </c>
      <c r="I224" s="399">
        <v>255528373.35089672</v>
      </c>
      <c r="J224" s="400">
        <v>0.58848384791452846</v>
      </c>
      <c r="K224" s="399"/>
      <c r="L224" s="400"/>
      <c r="M224" s="399"/>
      <c r="N224" s="400"/>
      <c r="O224" s="399">
        <v>185584</v>
      </c>
      <c r="P224" s="400">
        <v>8.366506204641827E-2</v>
      </c>
      <c r="Q224" s="399">
        <v>36630184.815840609</v>
      </c>
      <c r="R224" s="400">
        <v>8.4359602918321341E-2</v>
      </c>
      <c r="S224" s="399">
        <v>172179</v>
      </c>
      <c r="T224" s="400">
        <v>7.7621813939187934E-2</v>
      </c>
      <c r="U224" s="399">
        <v>37311464.34409909</v>
      </c>
      <c r="V224" s="400">
        <v>8.592859501511832E-2</v>
      </c>
      <c r="W224" s="399">
        <v>92698</v>
      </c>
      <c r="X224" s="400">
        <v>4.1790153901084585E-2</v>
      </c>
      <c r="Y224" s="399">
        <v>15348372.682560759</v>
      </c>
      <c r="Z224" s="400">
        <v>3.5347422663925834E-2</v>
      </c>
      <c r="AA224" s="399"/>
      <c r="AB224" s="401"/>
      <c r="AC224" s="399"/>
      <c r="AD224" s="401"/>
      <c r="AE224" s="399">
        <v>2218178</v>
      </c>
      <c r="AF224" s="400">
        <v>1</v>
      </c>
      <c r="AG224" s="399">
        <v>434214760.959777</v>
      </c>
      <c r="AH224" s="400">
        <v>1</v>
      </c>
    </row>
    <row r="225" spans="2:34" x14ac:dyDescent="0.25">
      <c r="B225" s="393" t="s">
        <v>763</v>
      </c>
      <c r="C225" s="394">
        <v>430688.36363636365</v>
      </c>
      <c r="D225" s="391">
        <v>0.17046782653232118</v>
      </c>
      <c r="E225" s="394">
        <v>86588398.240165517</v>
      </c>
      <c r="F225" s="391">
        <v>0.17341619122761034</v>
      </c>
      <c r="G225" s="394">
        <v>1115464.1818181819</v>
      </c>
      <c r="H225" s="391">
        <v>0.44150427711519596</v>
      </c>
      <c r="I225" s="394">
        <v>221808790.32232904</v>
      </c>
      <c r="J225" s="391">
        <v>0.44423082514834167</v>
      </c>
      <c r="K225" s="394">
        <v>414941</v>
      </c>
      <c r="L225" s="391">
        <v>0.16423496983278071</v>
      </c>
      <c r="M225" s="394">
        <v>82802692.945179418</v>
      </c>
      <c r="N225" s="391">
        <v>0.16583431413195396</v>
      </c>
      <c r="O225" s="394">
        <v>184115.66666666666</v>
      </c>
      <c r="P225" s="391">
        <v>7.2873567472827E-2</v>
      </c>
      <c r="Q225" s="394">
        <v>37123563.701328844</v>
      </c>
      <c r="R225" s="391">
        <v>7.4349764549562034E-2</v>
      </c>
      <c r="S225" s="394">
        <v>291386.5</v>
      </c>
      <c r="T225" s="391">
        <v>0.11533170507898607</v>
      </c>
      <c r="U225" s="394">
        <v>55511154.505078375</v>
      </c>
      <c r="V225" s="391">
        <v>0.11117578313687598</v>
      </c>
      <c r="W225" s="394">
        <v>89896.5</v>
      </c>
      <c r="X225" s="391">
        <v>3.5581321116911979E-2</v>
      </c>
      <c r="Y225" s="394">
        <v>15473993.884816652</v>
      </c>
      <c r="Z225" s="391">
        <v>3.0990769400091264E-2</v>
      </c>
      <c r="AA225" s="394">
        <v>16</v>
      </c>
      <c r="AB225" s="395">
        <v>6.3328509771858927E-6</v>
      </c>
      <c r="AC225" s="394">
        <v>1174.5790771859406</v>
      </c>
      <c r="AD225" s="395">
        <v>2.3524055647300517E-6</v>
      </c>
      <c r="AE225" s="394">
        <v>2526508.2121212119</v>
      </c>
      <c r="AF225" s="391">
        <v>1.0000000000000002</v>
      </c>
      <c r="AG225" s="394">
        <v>499309768.17797506</v>
      </c>
      <c r="AH225" s="391">
        <v>1</v>
      </c>
    </row>
    <row r="226" spans="2:34" x14ac:dyDescent="0.25">
      <c r="B226" s="219">
        <v>44927</v>
      </c>
      <c r="C226" s="399">
        <v>457306</v>
      </c>
      <c r="D226" s="400">
        <v>0.20381334988895816</v>
      </c>
      <c r="E226" s="399">
        <v>89286548.296873227</v>
      </c>
      <c r="F226" s="400">
        <v>0.20500183171815828</v>
      </c>
      <c r="G226" s="399">
        <v>1335289</v>
      </c>
      <c r="H226" s="400">
        <v>0.59511513988418485</v>
      </c>
      <c r="I226" s="399">
        <v>257582139.12813973</v>
      </c>
      <c r="J226" s="400">
        <v>0.59140835149743753</v>
      </c>
      <c r="K226" s="399"/>
      <c r="L226" s="400"/>
      <c r="M226" s="399"/>
      <c r="N226" s="400"/>
      <c r="O226" s="399">
        <v>186106</v>
      </c>
      <c r="P226" s="400">
        <v>8.2944215239761671E-2</v>
      </c>
      <c r="Q226" s="399">
        <v>36439033.813468903</v>
      </c>
      <c r="R226" s="400">
        <v>8.3663987692338973E-2</v>
      </c>
      <c r="S226" s="399">
        <v>171688</v>
      </c>
      <c r="T226" s="400">
        <v>7.6518362793699293E-2</v>
      </c>
      <c r="U226" s="399">
        <v>36936695.865157701</v>
      </c>
      <c r="V226" s="400">
        <v>8.4806619299438446E-2</v>
      </c>
      <c r="W226" s="399">
        <v>93360</v>
      </c>
      <c r="X226" s="400">
        <v>4.160893219339596E-2</v>
      </c>
      <c r="Y226" s="399">
        <v>15295829.28609333</v>
      </c>
      <c r="Z226" s="400">
        <v>3.5119209792626643E-2</v>
      </c>
      <c r="AA226" s="399"/>
      <c r="AB226" s="401"/>
      <c r="AC226" s="399"/>
      <c r="AD226" s="401"/>
      <c r="AE226" s="399">
        <v>2243749</v>
      </c>
      <c r="AF226" s="400">
        <v>1</v>
      </c>
      <c r="AG226" s="399">
        <v>435540246.38973296</v>
      </c>
      <c r="AH226" s="400">
        <v>1</v>
      </c>
    </row>
    <row r="227" spans="2:34" x14ac:dyDescent="0.25">
      <c r="B227" s="219">
        <v>44958</v>
      </c>
      <c r="C227" s="399">
        <v>459142</v>
      </c>
      <c r="D227" s="400">
        <v>0.20303144068384957</v>
      </c>
      <c r="E227" s="399">
        <v>95330927.081418261</v>
      </c>
      <c r="F227" s="400">
        <v>0.20488689956497977</v>
      </c>
      <c r="G227" s="399">
        <v>1350704</v>
      </c>
      <c r="H227" s="400">
        <v>0.59727792068126717</v>
      </c>
      <c r="I227" s="399">
        <v>277694815.58302391</v>
      </c>
      <c r="J227" s="400">
        <v>0.59682656543853829</v>
      </c>
      <c r="K227" s="399"/>
      <c r="L227" s="400"/>
      <c r="M227" s="399"/>
      <c r="N227" s="400"/>
      <c r="O227" s="399">
        <v>186512</v>
      </c>
      <c r="P227" s="400">
        <v>8.2475138551529048E-2</v>
      </c>
      <c r="Q227" s="399">
        <v>38852836.710967034</v>
      </c>
      <c r="R227" s="400">
        <v>8.3503197721089772E-2</v>
      </c>
      <c r="S227" s="399">
        <v>171323</v>
      </c>
      <c r="T227" s="400">
        <v>7.575860085176081E-2</v>
      </c>
      <c r="U227" s="399">
        <v>36915726.18763455</v>
      </c>
      <c r="V227" s="400">
        <v>7.9339925828209507E-2</v>
      </c>
      <c r="W227" s="399">
        <v>93752</v>
      </c>
      <c r="X227" s="400">
        <v>4.1456899231593416E-2</v>
      </c>
      <c r="Y227" s="399">
        <v>16491309.494956182</v>
      </c>
      <c r="Z227" s="400">
        <v>3.5443411447182757E-2</v>
      </c>
      <c r="AA227" s="399"/>
      <c r="AB227" s="401"/>
      <c r="AC227" s="399"/>
      <c r="AD227" s="401"/>
      <c r="AE227" s="399">
        <v>2261433</v>
      </c>
      <c r="AF227" s="400">
        <v>1</v>
      </c>
      <c r="AG227" s="399">
        <v>465285615.05799991</v>
      </c>
      <c r="AH227" s="400">
        <v>1</v>
      </c>
    </row>
    <row r="228" spans="2:34" x14ac:dyDescent="0.25">
      <c r="B228" s="219">
        <v>44986</v>
      </c>
      <c r="C228" s="399">
        <v>461107</v>
      </c>
      <c r="D228" s="400">
        <v>0.20229376856031409</v>
      </c>
      <c r="E228" s="399">
        <v>94696215.527999997</v>
      </c>
      <c r="F228" s="400">
        <v>0.20416426225602521</v>
      </c>
      <c r="G228" s="399">
        <v>1365633</v>
      </c>
      <c r="H228" s="400">
        <v>0.59912134502475001</v>
      </c>
      <c r="I228" s="399">
        <v>277652944.82599998</v>
      </c>
      <c r="J228" s="400">
        <v>0.59861746668061799</v>
      </c>
      <c r="K228" s="399"/>
      <c r="L228" s="400"/>
      <c r="M228" s="399"/>
      <c r="N228" s="400"/>
      <c r="O228" s="399">
        <v>187117</v>
      </c>
      <c r="P228" s="400">
        <v>8.209071450162389E-2</v>
      </c>
      <c r="Q228" s="399">
        <v>38559257.751999997</v>
      </c>
      <c r="R228" s="400">
        <v>8.3133442748292985E-2</v>
      </c>
      <c r="S228" s="399">
        <v>171191</v>
      </c>
      <c r="T228" s="400">
        <v>7.5103766660685536E-2</v>
      </c>
      <c r="U228" s="399">
        <v>36521476.843999997</v>
      </c>
      <c r="V228" s="400">
        <v>7.8740003861622623E-2</v>
      </c>
      <c r="W228" s="399">
        <v>94345</v>
      </c>
      <c r="X228" s="400">
        <v>4.1390405252626467E-2</v>
      </c>
      <c r="Y228" s="399">
        <v>16393765.869000001</v>
      </c>
      <c r="Z228" s="400">
        <v>3.5344824453441191E-2</v>
      </c>
      <c r="AA228" s="399"/>
      <c r="AB228" s="401"/>
      <c r="AC228" s="399"/>
      <c r="AD228" s="401"/>
      <c r="AE228" s="399">
        <v>2279393</v>
      </c>
      <c r="AF228" s="400">
        <v>1</v>
      </c>
      <c r="AG228" s="399">
        <v>463823660.81899995</v>
      </c>
      <c r="AH228" s="400">
        <v>1</v>
      </c>
    </row>
    <row r="229" spans="2:34" ht="30" x14ac:dyDescent="0.25">
      <c r="B229" s="396" t="s">
        <v>954</v>
      </c>
      <c r="C229" s="394">
        <v>459185</v>
      </c>
      <c r="D229" s="391">
        <v>0.20304219497905174</v>
      </c>
      <c r="E229" s="394">
        <v>93104563.6354305</v>
      </c>
      <c r="F229" s="391">
        <v>0.20467796774833527</v>
      </c>
      <c r="G229" s="394">
        <v>1350542</v>
      </c>
      <c r="H229" s="391">
        <v>0.59718199002885219</v>
      </c>
      <c r="I229" s="394">
        <v>270976633.17905456</v>
      </c>
      <c r="J229" s="391">
        <v>0.59570599357031773</v>
      </c>
      <c r="K229" s="394"/>
      <c r="L229" s="391"/>
      <c r="M229" s="394"/>
      <c r="N229" s="391"/>
      <c r="O229" s="394">
        <v>186578.33333333334</v>
      </c>
      <c r="P229" s="391">
        <v>8.2501114660829905E-2</v>
      </c>
      <c r="Q229" s="394">
        <v>37950376.092145316</v>
      </c>
      <c r="R229" s="391">
        <v>8.3428841192370803E-2</v>
      </c>
      <c r="S229" s="394">
        <v>171400.66666666666</v>
      </c>
      <c r="T229" s="391">
        <v>7.5789861560967342E-2</v>
      </c>
      <c r="U229" s="394">
        <v>36791299.632264085</v>
      </c>
      <c r="V229" s="391">
        <v>8.0880766157054862E-2</v>
      </c>
      <c r="W229" s="394">
        <v>93819</v>
      </c>
      <c r="X229" s="391">
        <v>4.14848387702988E-2</v>
      </c>
      <c r="Y229" s="394">
        <v>16060301.550016506</v>
      </c>
      <c r="Z229" s="391">
        <v>3.5306431331921226E-2</v>
      </c>
      <c r="AA229" s="394"/>
      <c r="AB229" s="395"/>
      <c r="AC229" s="394"/>
      <c r="AD229" s="395"/>
      <c r="AE229" s="394">
        <v>2261525</v>
      </c>
      <c r="AF229" s="391">
        <v>1</v>
      </c>
      <c r="AG229" s="394">
        <v>454883174.088911</v>
      </c>
      <c r="AH229" s="391">
        <v>1</v>
      </c>
    </row>
    <row r="230" spans="2:34" x14ac:dyDescent="0.25">
      <c r="B230" s="4" t="s">
        <v>924</v>
      </c>
      <c r="N230" s="244"/>
      <c r="O230" s="244"/>
      <c r="P230" s="244"/>
      <c r="Q230" s="244"/>
      <c r="R230" s="244"/>
      <c r="S230" s="244"/>
      <c r="T230" s="244"/>
      <c r="U230" s="244"/>
      <c r="V230" s="244"/>
      <c r="W230" s="244"/>
      <c r="X230" s="244"/>
      <c r="Y230" s="244"/>
      <c r="Z230" s="244"/>
    </row>
    <row r="231" spans="2:34" ht="15" customHeight="1" x14ac:dyDescent="0.25">
      <c r="B231" s="287" t="s">
        <v>927</v>
      </c>
      <c r="C231" s="289"/>
      <c r="D231" s="289"/>
      <c r="E231" s="289"/>
      <c r="F231" s="289"/>
      <c r="G231" s="289"/>
      <c r="H231" s="289"/>
      <c r="I231" s="289"/>
      <c r="J231" s="289"/>
      <c r="K231" s="289"/>
      <c r="L231" s="289"/>
      <c r="M231" s="289"/>
      <c r="N231" s="289"/>
      <c r="O231" s="289"/>
      <c r="P231" s="289"/>
    </row>
  </sheetData>
  <mergeCells count="31">
    <mergeCell ref="D7:F7"/>
    <mergeCell ref="G7:I7"/>
    <mergeCell ref="J7:L7"/>
    <mergeCell ref="AA34:AD34"/>
    <mergeCell ref="AA35:AB35"/>
    <mergeCell ref="AC35:AD35"/>
    <mergeCell ref="K34:N34"/>
    <mergeCell ref="K35:L35"/>
    <mergeCell ref="M35:N35"/>
    <mergeCell ref="O34:R34"/>
    <mergeCell ref="O35:P35"/>
    <mergeCell ref="Q35:R35"/>
    <mergeCell ref="S34:V34"/>
    <mergeCell ref="S35:T35"/>
    <mergeCell ref="U35:V35"/>
    <mergeCell ref="AE35:AF35"/>
    <mergeCell ref="AG35:AH35"/>
    <mergeCell ref="AE34:AH34"/>
    <mergeCell ref="C35:D35"/>
    <mergeCell ref="E35:F35"/>
    <mergeCell ref="G34:J34"/>
    <mergeCell ref="G35:H35"/>
    <mergeCell ref="I35:J35"/>
    <mergeCell ref="W34:Z34"/>
    <mergeCell ref="W35:X35"/>
    <mergeCell ref="Y35:Z35"/>
    <mergeCell ref="B9:B14"/>
    <mergeCell ref="B15:B20"/>
    <mergeCell ref="B21:B26"/>
    <mergeCell ref="C34:F34"/>
    <mergeCell ref="B28:L28"/>
  </mergeCells>
  <phoneticPr fontId="28"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T61"/>
  <sheetViews>
    <sheetView showGridLines="0" topLeftCell="A6" workbookViewId="0">
      <selection activeCell="B23" sqref="B23"/>
    </sheetView>
  </sheetViews>
  <sheetFormatPr baseColWidth="10" defaultRowHeight="15" x14ac:dyDescent="0.25"/>
  <cols>
    <col min="2" max="2" width="18.85546875" customWidth="1"/>
    <col min="3" max="3" width="13.85546875" customWidth="1"/>
    <col min="4" max="4" width="14.2851562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20.140625" bestFit="1" customWidth="1"/>
    <col min="14" max="14" width="15.7109375" customWidth="1"/>
    <col min="18" max="18" width="13.5703125" bestFit="1" customWidth="1"/>
    <col min="22" max="23" width="12" bestFit="1" customWidth="1"/>
  </cols>
  <sheetData>
    <row r="2" spans="2:12" ht="23.25" x14ac:dyDescent="0.25">
      <c r="B2" s="1" t="s">
        <v>786</v>
      </c>
      <c r="C2" s="4"/>
      <c r="D2" s="4"/>
      <c r="E2" s="4"/>
    </row>
    <row r="3" spans="2:12" x14ac:dyDescent="0.25">
      <c r="B3" s="4"/>
      <c r="C3" s="4"/>
      <c r="D3" s="4"/>
      <c r="E3" s="4"/>
    </row>
    <row r="4" spans="2:12" ht="15.75" x14ac:dyDescent="0.25">
      <c r="B4" s="266"/>
      <c r="C4" s="266"/>
      <c r="D4" s="266"/>
      <c r="E4" s="266"/>
      <c r="F4" s="266"/>
      <c r="G4" s="266"/>
      <c r="H4" s="266"/>
      <c r="I4" s="266"/>
      <c r="J4" s="266"/>
      <c r="K4" s="266"/>
      <c r="L4" s="266"/>
    </row>
    <row r="5" spans="2:12" ht="18.75" x14ac:dyDescent="0.3">
      <c r="B5" s="2" t="s">
        <v>932</v>
      </c>
      <c r="C5" s="2"/>
      <c r="D5" s="2"/>
      <c r="E5" s="2"/>
      <c r="F5" s="2"/>
      <c r="G5" s="2"/>
      <c r="J5" s="4"/>
      <c r="K5" s="4"/>
    </row>
    <row r="6" spans="2:12" x14ac:dyDescent="0.25">
      <c r="B6" s="3" t="s">
        <v>867</v>
      </c>
      <c r="J6" s="4"/>
      <c r="K6" s="4"/>
    </row>
    <row r="7" spans="2:12" x14ac:dyDescent="0.25">
      <c r="J7" s="4"/>
      <c r="K7" s="4"/>
    </row>
    <row r="8" spans="2:12" x14ac:dyDescent="0.25">
      <c r="D8" s="445" t="s">
        <v>707</v>
      </c>
      <c r="E8" s="445"/>
      <c r="F8" s="445"/>
      <c r="G8" s="445" t="s">
        <v>497</v>
      </c>
      <c r="H8" s="445"/>
      <c r="I8" s="445"/>
      <c r="J8" s="451" t="s">
        <v>708</v>
      </c>
      <c r="K8" s="451"/>
      <c r="L8" s="451"/>
    </row>
    <row r="9" spans="2:12" ht="30" x14ac:dyDescent="0.25">
      <c r="B9" s="152" t="s">
        <v>483</v>
      </c>
      <c r="C9" s="175" t="s">
        <v>604</v>
      </c>
      <c r="D9" s="152" t="s">
        <v>2</v>
      </c>
      <c r="E9" s="175" t="s">
        <v>605</v>
      </c>
      <c r="F9" s="175" t="s">
        <v>606</v>
      </c>
      <c r="G9" s="152" t="s">
        <v>2</v>
      </c>
      <c r="H9" s="175" t="s">
        <v>605</v>
      </c>
      <c r="I9" s="175" t="s">
        <v>606</v>
      </c>
      <c r="J9" s="387" t="s">
        <v>2</v>
      </c>
      <c r="K9" s="373" t="s">
        <v>605</v>
      </c>
      <c r="L9" s="373" t="s">
        <v>606</v>
      </c>
    </row>
    <row r="10" spans="2:12" x14ac:dyDescent="0.25">
      <c r="B10" s="452" t="s">
        <v>868</v>
      </c>
      <c r="C10" s="272" t="s">
        <v>83</v>
      </c>
      <c r="D10" s="282">
        <v>331003</v>
      </c>
      <c r="E10" s="282">
        <v>63933034.277999997</v>
      </c>
      <c r="F10" s="282">
        <v>64586412.276094392</v>
      </c>
      <c r="G10" s="282">
        <v>729835</v>
      </c>
      <c r="H10" s="282">
        <v>139863579.13</v>
      </c>
      <c r="I10" s="282">
        <v>141292946.3791894</v>
      </c>
      <c r="J10" s="367">
        <v>1060838</v>
      </c>
      <c r="K10" s="367">
        <v>203796613.40799999</v>
      </c>
      <c r="L10" s="367">
        <v>205879358.65528378</v>
      </c>
    </row>
    <row r="11" spans="2:12" x14ac:dyDescent="0.25">
      <c r="B11" s="453"/>
      <c r="C11" s="272" t="s">
        <v>84</v>
      </c>
      <c r="D11" s="282">
        <v>126303</v>
      </c>
      <c r="E11" s="282">
        <v>24450261.088</v>
      </c>
      <c r="F11" s="282">
        <v>24700136.020778839</v>
      </c>
      <c r="G11" s="282">
        <v>605454</v>
      </c>
      <c r="H11" s="282">
        <v>115112771.93099999</v>
      </c>
      <c r="I11" s="282">
        <v>116289192.74895035</v>
      </c>
      <c r="J11" s="367">
        <v>731757</v>
      </c>
      <c r="K11" s="367">
        <v>139563033.01899999</v>
      </c>
      <c r="L11" s="367">
        <v>140989328.7697292</v>
      </c>
    </row>
    <row r="12" spans="2:12" x14ac:dyDescent="0.25">
      <c r="B12" s="453"/>
      <c r="C12" s="272" t="s">
        <v>35</v>
      </c>
      <c r="D12" s="282">
        <v>457306</v>
      </c>
      <c r="E12" s="282">
        <v>88383295.365999997</v>
      </c>
      <c r="F12" s="282">
        <v>89286548.296873227</v>
      </c>
      <c r="G12" s="282">
        <v>1335289</v>
      </c>
      <c r="H12" s="282">
        <v>254976351.06099999</v>
      </c>
      <c r="I12" s="282">
        <v>257582139.12813973</v>
      </c>
      <c r="J12" s="367">
        <v>1792595</v>
      </c>
      <c r="K12" s="367">
        <v>343359646.42699999</v>
      </c>
      <c r="L12" s="367">
        <v>346868687.42501295</v>
      </c>
    </row>
    <row r="13" spans="2:12" x14ac:dyDescent="0.25">
      <c r="B13" s="452" t="s">
        <v>869</v>
      </c>
      <c r="C13" s="272" t="s">
        <v>83</v>
      </c>
      <c r="D13" s="282">
        <v>331827</v>
      </c>
      <c r="E13" s="282">
        <v>68143593.652999997</v>
      </c>
      <c r="F13" s="282">
        <v>68884240.706839949</v>
      </c>
      <c r="G13" s="282">
        <v>737271</v>
      </c>
      <c r="H13" s="282">
        <v>150459571.79699999</v>
      </c>
      <c r="I13" s="282">
        <v>152094904.3733964</v>
      </c>
      <c r="J13" s="367">
        <v>1069098</v>
      </c>
      <c r="K13" s="367">
        <v>218603165.44999999</v>
      </c>
      <c r="L13" s="367">
        <v>220979145.08023632</v>
      </c>
    </row>
    <row r="14" spans="2:12" x14ac:dyDescent="0.25">
      <c r="B14" s="453"/>
      <c r="C14" s="272" t="s">
        <v>84</v>
      </c>
      <c r="D14" s="282">
        <v>127315</v>
      </c>
      <c r="E14" s="282">
        <v>26162330.182999998</v>
      </c>
      <c r="F14" s="282">
        <v>26446686.374578312</v>
      </c>
      <c r="G14" s="282">
        <v>613433</v>
      </c>
      <c r="H14" s="282">
        <v>124249454.222</v>
      </c>
      <c r="I14" s="282">
        <v>125599911.20962755</v>
      </c>
      <c r="J14" s="367">
        <v>740748</v>
      </c>
      <c r="K14" s="367">
        <v>150411784.405</v>
      </c>
      <c r="L14" s="367">
        <v>152046597.58420587</v>
      </c>
    </row>
    <row r="15" spans="2:12" x14ac:dyDescent="0.25">
      <c r="B15" s="453"/>
      <c r="C15" s="272" t="s">
        <v>35</v>
      </c>
      <c r="D15" s="282">
        <v>459142</v>
      </c>
      <c r="E15" s="282">
        <v>94305923.835999995</v>
      </c>
      <c r="F15" s="282">
        <v>95330927.081418261</v>
      </c>
      <c r="G15" s="282">
        <v>1350704</v>
      </c>
      <c r="H15" s="282">
        <v>274709026.01899999</v>
      </c>
      <c r="I15" s="282">
        <v>277694815.58302391</v>
      </c>
      <c r="J15" s="367">
        <v>1809846</v>
      </c>
      <c r="K15" s="367">
        <v>369014949.85500002</v>
      </c>
      <c r="L15" s="367">
        <v>373025742.66444218</v>
      </c>
    </row>
    <row r="16" spans="2:12" x14ac:dyDescent="0.25">
      <c r="B16" s="443" t="s">
        <v>870</v>
      </c>
      <c r="C16" s="272" t="s">
        <v>83</v>
      </c>
      <c r="D16" s="282">
        <v>332837</v>
      </c>
      <c r="E16" s="282">
        <v>68328242.839000002</v>
      </c>
      <c r="F16" s="282">
        <v>68328242.839000002</v>
      </c>
      <c r="G16" s="282">
        <v>745051</v>
      </c>
      <c r="H16" s="282">
        <v>151999309.83899999</v>
      </c>
      <c r="I16" s="282">
        <v>151999309.83899999</v>
      </c>
      <c r="J16" s="367">
        <v>1077888</v>
      </c>
      <c r="K16" s="367">
        <v>220327552.678</v>
      </c>
      <c r="L16" s="367">
        <v>220327552.678</v>
      </c>
    </row>
    <row r="17" spans="2:20" x14ac:dyDescent="0.25">
      <c r="B17" s="444"/>
      <c r="C17" s="272" t="s">
        <v>84</v>
      </c>
      <c r="D17" s="282">
        <v>128270</v>
      </c>
      <c r="E17" s="282">
        <v>26367972.688999999</v>
      </c>
      <c r="F17" s="282">
        <v>26367972.688999999</v>
      </c>
      <c r="G17" s="282">
        <v>620582</v>
      </c>
      <c r="H17" s="282">
        <v>125653634.987</v>
      </c>
      <c r="I17" s="282">
        <v>125653634.987</v>
      </c>
      <c r="J17" s="367">
        <v>748852</v>
      </c>
      <c r="K17" s="367">
        <v>152021607.676</v>
      </c>
      <c r="L17" s="367">
        <v>152021607.676</v>
      </c>
    </row>
    <row r="18" spans="2:20" x14ac:dyDescent="0.25">
      <c r="B18" s="444"/>
      <c r="C18" s="273" t="s">
        <v>35</v>
      </c>
      <c r="D18" s="282">
        <v>461107</v>
      </c>
      <c r="E18" s="282">
        <v>94696215.527999997</v>
      </c>
      <c r="F18" s="282">
        <v>94696215.527999997</v>
      </c>
      <c r="G18" s="282">
        <v>1365633</v>
      </c>
      <c r="H18" s="282">
        <v>277652944.82599998</v>
      </c>
      <c r="I18" s="282">
        <v>277652944.82599998</v>
      </c>
      <c r="J18" s="367">
        <v>1826740</v>
      </c>
      <c r="K18" s="367">
        <v>372349160.35399997</v>
      </c>
      <c r="L18" s="367">
        <v>372349160.35399997</v>
      </c>
    </row>
    <row r="19" spans="2:20" x14ac:dyDescent="0.25">
      <c r="B19" s="4" t="s">
        <v>924</v>
      </c>
    </row>
    <row r="20" spans="2:20" ht="75" customHeight="1" x14ac:dyDescent="0.25">
      <c r="B20" s="446" t="s">
        <v>925</v>
      </c>
      <c r="C20" s="446"/>
      <c r="D20" s="446"/>
      <c r="E20" s="446"/>
      <c r="F20" s="446"/>
      <c r="G20" s="446"/>
      <c r="H20" s="446"/>
      <c r="I20" s="446"/>
      <c r="J20" s="446"/>
      <c r="K20" s="446"/>
      <c r="L20" s="446"/>
    </row>
    <row r="21" spans="2:20" ht="15" customHeight="1" x14ac:dyDescent="0.25">
      <c r="B21" s="287" t="s">
        <v>926</v>
      </c>
      <c r="C21" s="265"/>
      <c r="D21" s="265"/>
      <c r="E21" s="265"/>
      <c r="F21" s="265"/>
      <c r="G21" s="265"/>
      <c r="H21" s="265"/>
      <c r="I21" s="265"/>
      <c r="J21" s="265"/>
      <c r="K21" s="265"/>
      <c r="L21" s="265"/>
    </row>
    <row r="22" spans="2:20" x14ac:dyDescent="0.25">
      <c r="B22" s="288"/>
      <c r="C22" s="4"/>
      <c r="D22" s="4"/>
      <c r="E22" s="4"/>
      <c r="F22" s="289"/>
      <c r="G22" s="289"/>
      <c r="H22" s="289"/>
      <c r="I22" s="289"/>
      <c r="J22" s="289"/>
      <c r="K22" s="289"/>
      <c r="L22" s="289"/>
    </row>
    <row r="23" spans="2:20" ht="18.75" x14ac:dyDescent="0.3">
      <c r="B23" s="2" t="s">
        <v>959</v>
      </c>
      <c r="C23" s="2"/>
      <c r="D23" s="2"/>
      <c r="E23" s="2"/>
      <c r="F23" s="2"/>
      <c r="G23" s="22"/>
      <c r="H23" s="22"/>
    </row>
    <row r="24" spans="2:20" x14ac:dyDescent="0.25">
      <c r="B24" s="3" t="s">
        <v>892</v>
      </c>
    </row>
    <row r="26" spans="2:20" x14ac:dyDescent="0.25">
      <c r="C26" s="445" t="s">
        <v>707</v>
      </c>
      <c r="D26" s="445"/>
      <c r="E26" s="445"/>
      <c r="F26" s="445"/>
      <c r="G26" s="445"/>
      <c r="H26" s="445"/>
      <c r="I26" s="445" t="s">
        <v>497</v>
      </c>
      <c r="J26" s="445"/>
      <c r="K26" s="445"/>
      <c r="L26" s="445"/>
      <c r="M26" s="445"/>
      <c r="N26" s="445"/>
      <c r="O26" s="445" t="s">
        <v>708</v>
      </c>
      <c r="P26" s="445"/>
      <c r="Q26" s="445"/>
      <c r="R26" s="445"/>
      <c r="S26" s="445"/>
      <c r="T26" s="445"/>
    </row>
    <row r="27" spans="2:20" x14ac:dyDescent="0.25">
      <c r="C27" s="445" t="s">
        <v>83</v>
      </c>
      <c r="D27" s="445"/>
      <c r="E27" s="445" t="s">
        <v>84</v>
      </c>
      <c r="F27" s="445"/>
      <c r="G27" s="445" t="s">
        <v>35</v>
      </c>
      <c r="H27" s="445"/>
      <c r="I27" s="445" t="s">
        <v>83</v>
      </c>
      <c r="J27" s="445"/>
      <c r="K27" s="445" t="s">
        <v>84</v>
      </c>
      <c r="L27" s="445"/>
      <c r="M27" s="445" t="s">
        <v>35</v>
      </c>
      <c r="N27" s="445"/>
      <c r="O27" s="445" t="s">
        <v>83</v>
      </c>
      <c r="P27" s="445"/>
      <c r="Q27" s="445" t="s">
        <v>84</v>
      </c>
      <c r="R27" s="445"/>
      <c r="S27" s="445" t="s">
        <v>35</v>
      </c>
      <c r="T27" s="445"/>
    </row>
    <row r="28" spans="2:20" ht="45" x14ac:dyDescent="0.25">
      <c r="B28" s="152" t="s">
        <v>483</v>
      </c>
      <c r="C28" s="230" t="s">
        <v>607</v>
      </c>
      <c r="D28" s="175" t="s">
        <v>636</v>
      </c>
      <c r="E28" s="230" t="s">
        <v>607</v>
      </c>
      <c r="F28" s="175" t="s">
        <v>636</v>
      </c>
      <c r="G28" s="175" t="s">
        <v>607</v>
      </c>
      <c r="H28" s="175" t="s">
        <v>636</v>
      </c>
      <c r="I28" s="230" t="s">
        <v>607</v>
      </c>
      <c r="J28" s="175" t="s">
        <v>636</v>
      </c>
      <c r="K28" s="230" t="s">
        <v>607</v>
      </c>
      <c r="L28" s="175" t="s">
        <v>636</v>
      </c>
      <c r="M28" s="175" t="s">
        <v>607</v>
      </c>
      <c r="N28" s="175" t="s">
        <v>636</v>
      </c>
      <c r="O28" s="230" t="s">
        <v>607</v>
      </c>
      <c r="P28" s="175" t="s">
        <v>636</v>
      </c>
      <c r="Q28" s="230" t="s">
        <v>607</v>
      </c>
      <c r="R28" s="175" t="s">
        <v>636</v>
      </c>
      <c r="S28" s="175" t="s">
        <v>607</v>
      </c>
      <c r="T28" s="175" t="s">
        <v>636</v>
      </c>
    </row>
    <row r="29" spans="2:20" x14ac:dyDescent="0.25">
      <c r="B29" s="245">
        <v>44593</v>
      </c>
      <c r="C29" s="299">
        <v>309683</v>
      </c>
      <c r="D29" s="299">
        <v>64734163.800259851</v>
      </c>
      <c r="E29" s="299">
        <v>106066</v>
      </c>
      <c r="F29" s="299">
        <v>22199164.971597206</v>
      </c>
      <c r="G29" s="298">
        <v>415749</v>
      </c>
      <c r="H29" s="298">
        <v>86933328.771857053</v>
      </c>
      <c r="I29" s="299">
        <v>517361</v>
      </c>
      <c r="J29" s="299">
        <v>96275366.248177305</v>
      </c>
      <c r="K29" s="299">
        <v>340110</v>
      </c>
      <c r="L29" s="299">
        <v>65977539.853069298</v>
      </c>
      <c r="M29" s="298">
        <v>857471</v>
      </c>
      <c r="N29" s="298">
        <v>162252906.10124663</v>
      </c>
      <c r="O29" s="304">
        <v>827044</v>
      </c>
      <c r="P29" s="304">
        <v>161009530.04843718</v>
      </c>
      <c r="Q29" s="304">
        <v>446176</v>
      </c>
      <c r="R29" s="304">
        <v>88176704.8246665</v>
      </c>
      <c r="S29" s="298">
        <v>1273220</v>
      </c>
      <c r="T29" s="298">
        <v>249186234.87310368</v>
      </c>
    </row>
    <row r="30" spans="2:20" x14ac:dyDescent="0.25">
      <c r="B30" s="245">
        <v>44621</v>
      </c>
      <c r="C30" s="299">
        <v>312946</v>
      </c>
      <c r="D30" s="299">
        <v>64120559.723412044</v>
      </c>
      <c r="E30" s="299">
        <v>107255</v>
      </c>
      <c r="F30" s="299">
        <v>22038846.66913176</v>
      </c>
      <c r="G30" s="298">
        <v>420201</v>
      </c>
      <c r="H30" s="298">
        <v>86159406.392543808</v>
      </c>
      <c r="I30" s="299">
        <v>536699</v>
      </c>
      <c r="J30" s="299">
        <v>110074923.01406506</v>
      </c>
      <c r="K30" s="299">
        <v>361057</v>
      </c>
      <c r="L30" s="299">
        <v>74127277.359466285</v>
      </c>
      <c r="M30" s="298">
        <v>897756</v>
      </c>
      <c r="N30" s="298">
        <v>184202200.37353134</v>
      </c>
      <c r="O30" s="304">
        <v>849645</v>
      </c>
      <c r="P30" s="304">
        <v>174195482.73747712</v>
      </c>
      <c r="Q30" s="304">
        <v>468312</v>
      </c>
      <c r="R30" s="304">
        <v>96166124.02859804</v>
      </c>
      <c r="S30" s="298">
        <v>1317957</v>
      </c>
      <c r="T30" s="298">
        <v>270361606.76607513</v>
      </c>
    </row>
    <row r="31" spans="2:20" x14ac:dyDescent="0.25">
      <c r="B31" s="245">
        <v>44652</v>
      </c>
      <c r="C31" s="299">
        <v>314601</v>
      </c>
      <c r="D31" s="299">
        <v>63502804.798241854</v>
      </c>
      <c r="E31" s="299">
        <v>107763</v>
      </c>
      <c r="F31" s="299">
        <v>21836908.09409266</v>
      </c>
      <c r="G31" s="298">
        <v>422364</v>
      </c>
      <c r="H31" s="298">
        <v>85339712.892334506</v>
      </c>
      <c r="I31" s="299">
        <v>552501</v>
      </c>
      <c r="J31" s="299">
        <v>111678126.20731331</v>
      </c>
      <c r="K31" s="299">
        <v>374925</v>
      </c>
      <c r="L31" s="299">
        <v>75937630.971076503</v>
      </c>
      <c r="M31" s="298">
        <v>927426</v>
      </c>
      <c r="N31" s="298">
        <v>187615757.17838982</v>
      </c>
      <c r="O31" s="304">
        <v>867102</v>
      </c>
      <c r="P31" s="304">
        <v>175180931.00555518</v>
      </c>
      <c r="Q31" s="304">
        <v>482688</v>
      </c>
      <c r="R31" s="304">
        <v>97774539.06516917</v>
      </c>
      <c r="S31" s="298">
        <v>1349790</v>
      </c>
      <c r="T31" s="298">
        <v>272955470.07072431</v>
      </c>
    </row>
    <row r="32" spans="2:20" x14ac:dyDescent="0.25">
      <c r="B32" s="245">
        <v>44682</v>
      </c>
      <c r="C32" s="299">
        <v>316872</v>
      </c>
      <c r="D32" s="299">
        <v>63149512.134073317</v>
      </c>
      <c r="E32" s="299">
        <v>108938</v>
      </c>
      <c r="F32" s="299">
        <v>21811497.252384286</v>
      </c>
      <c r="G32" s="298">
        <v>425810</v>
      </c>
      <c r="H32" s="298">
        <v>84961009.386457592</v>
      </c>
      <c r="I32" s="299">
        <v>605836</v>
      </c>
      <c r="J32" s="299">
        <v>120958725.42630254</v>
      </c>
      <c r="K32" s="299">
        <v>477591</v>
      </c>
      <c r="L32" s="299">
        <v>95598584.442063481</v>
      </c>
      <c r="M32" s="298">
        <v>1083427</v>
      </c>
      <c r="N32" s="298">
        <v>216557309.868366</v>
      </c>
      <c r="O32" s="304">
        <v>922708</v>
      </c>
      <c r="P32" s="304">
        <v>184108237.56037587</v>
      </c>
      <c r="Q32" s="304">
        <v>586529</v>
      </c>
      <c r="R32" s="304">
        <v>117410081.69444777</v>
      </c>
      <c r="S32" s="298">
        <v>1509237</v>
      </c>
      <c r="T32" s="298">
        <v>301518319.25482363</v>
      </c>
    </row>
    <row r="33" spans="2:20" x14ac:dyDescent="0.25">
      <c r="B33" s="245">
        <v>44713</v>
      </c>
      <c r="C33" s="299">
        <v>317138</v>
      </c>
      <c r="D33" s="299">
        <v>62596927.86866577</v>
      </c>
      <c r="E33" s="299">
        <v>109221</v>
      </c>
      <c r="F33" s="299">
        <v>21665370.061095417</v>
      </c>
      <c r="G33" s="298">
        <v>426359</v>
      </c>
      <c r="H33" s="298">
        <v>84262297.929761186</v>
      </c>
      <c r="I33" s="299">
        <v>615086</v>
      </c>
      <c r="J33" s="299">
        <v>121620888.65972154</v>
      </c>
      <c r="K33" s="299">
        <v>487043</v>
      </c>
      <c r="L33" s="299">
        <v>96589822.810407445</v>
      </c>
      <c r="M33" s="298">
        <v>1102129</v>
      </c>
      <c r="N33" s="298">
        <v>218210711.47012895</v>
      </c>
      <c r="O33" s="304">
        <v>932224</v>
      </c>
      <c r="P33" s="304">
        <v>184217816.52838731</v>
      </c>
      <c r="Q33" s="304">
        <v>596264</v>
      </c>
      <c r="R33" s="304">
        <v>118255192.87150285</v>
      </c>
      <c r="S33" s="298">
        <v>1528488</v>
      </c>
      <c r="T33" s="298">
        <v>302473009.39989018</v>
      </c>
    </row>
    <row r="34" spans="2:20" x14ac:dyDescent="0.25">
      <c r="B34" s="245">
        <v>44743</v>
      </c>
      <c r="C34" s="299">
        <v>317824</v>
      </c>
      <c r="D34" s="299">
        <v>64863680.918928891</v>
      </c>
      <c r="E34" s="299">
        <v>109691</v>
      </c>
      <c r="F34" s="299">
        <v>22497989.433386486</v>
      </c>
      <c r="G34" s="298">
        <v>427515</v>
      </c>
      <c r="H34" s="298">
        <v>87361670.352315381</v>
      </c>
      <c r="I34" s="299">
        <v>621791</v>
      </c>
      <c r="J34" s="299">
        <v>127137356.85038118</v>
      </c>
      <c r="K34" s="299">
        <v>498271</v>
      </c>
      <c r="L34" s="299">
        <v>102181857.02540478</v>
      </c>
      <c r="M34" s="298">
        <v>1120062</v>
      </c>
      <c r="N34" s="298">
        <v>229319213.87578598</v>
      </c>
      <c r="O34" s="304">
        <v>939615</v>
      </c>
      <c r="P34" s="304">
        <v>192001037.76931009</v>
      </c>
      <c r="Q34" s="304">
        <v>607962</v>
      </c>
      <c r="R34" s="304">
        <v>124679846.45879127</v>
      </c>
      <c r="S34" s="298">
        <v>1547577</v>
      </c>
      <c r="T34" s="298">
        <v>316680884.22810137</v>
      </c>
    </row>
    <row r="35" spans="2:20" x14ac:dyDescent="0.25">
      <c r="B35" s="245">
        <v>44774</v>
      </c>
      <c r="C35" s="299">
        <v>322017</v>
      </c>
      <c r="D35" s="299">
        <v>64919166.252683088</v>
      </c>
      <c r="E35" s="299">
        <v>110018</v>
      </c>
      <c r="F35" s="299">
        <v>22294220.572190285</v>
      </c>
      <c r="G35" s="298">
        <v>432035</v>
      </c>
      <c r="H35" s="298">
        <v>87213386.824873388</v>
      </c>
      <c r="I35" s="299">
        <v>660104</v>
      </c>
      <c r="J35" s="299">
        <v>132948913.31717503</v>
      </c>
      <c r="K35" s="299">
        <v>538150</v>
      </c>
      <c r="L35" s="299">
        <v>108297767.9638032</v>
      </c>
      <c r="M35" s="298">
        <v>1198254</v>
      </c>
      <c r="N35" s="298">
        <v>241246681.28097823</v>
      </c>
      <c r="O35" s="304">
        <v>982121</v>
      </c>
      <c r="P35" s="304">
        <v>197868079.56985813</v>
      </c>
      <c r="Q35" s="304">
        <v>648168</v>
      </c>
      <c r="R35" s="304">
        <v>130591988.53599349</v>
      </c>
      <c r="S35" s="298">
        <v>1630289</v>
      </c>
      <c r="T35" s="298">
        <v>328460068.10585165</v>
      </c>
    </row>
    <row r="36" spans="2:20" x14ac:dyDescent="0.25">
      <c r="B36" s="245">
        <v>44805</v>
      </c>
      <c r="C36" s="299">
        <v>321661</v>
      </c>
      <c r="D36" s="299">
        <v>64279097.760101371</v>
      </c>
      <c r="E36" s="299">
        <v>109838</v>
      </c>
      <c r="F36" s="299">
        <v>22066062.662797578</v>
      </c>
      <c r="G36" s="298">
        <v>431499</v>
      </c>
      <c r="H36" s="298">
        <v>86345160.422898948</v>
      </c>
      <c r="I36" s="299">
        <v>679141</v>
      </c>
      <c r="J36" s="299">
        <v>135467709.55873376</v>
      </c>
      <c r="K36" s="299">
        <v>553055</v>
      </c>
      <c r="L36" s="299">
        <v>109990798.01181996</v>
      </c>
      <c r="M36" s="298">
        <v>1232196</v>
      </c>
      <c r="N36" s="298">
        <v>245458507.57055372</v>
      </c>
      <c r="O36" s="304">
        <v>1000802</v>
      </c>
      <c r="P36" s="304">
        <v>199746807.31883514</v>
      </c>
      <c r="Q36" s="304">
        <v>662893</v>
      </c>
      <c r="R36" s="304">
        <v>132056860.67461754</v>
      </c>
      <c r="S36" s="298">
        <v>1663695</v>
      </c>
      <c r="T36" s="298">
        <v>331803667.99345267</v>
      </c>
    </row>
    <row r="37" spans="2:20" x14ac:dyDescent="0.25">
      <c r="B37" s="245">
        <v>44835</v>
      </c>
      <c r="C37" s="299">
        <v>322141</v>
      </c>
      <c r="D37" s="299">
        <v>64036495.365625344</v>
      </c>
      <c r="E37" s="299">
        <v>109963</v>
      </c>
      <c r="F37" s="299">
        <v>21977739.820207525</v>
      </c>
      <c r="G37" s="298">
        <v>432104</v>
      </c>
      <c r="H37" s="298">
        <v>86014235.185832873</v>
      </c>
      <c r="I37" s="299">
        <v>686334</v>
      </c>
      <c r="J37" s="299">
        <v>136104687.7626549</v>
      </c>
      <c r="K37" s="299">
        <v>563950</v>
      </c>
      <c r="L37" s="299">
        <v>111385066.93504928</v>
      </c>
      <c r="M37" s="298">
        <v>1250284</v>
      </c>
      <c r="N37" s="298">
        <v>247489754.6977042</v>
      </c>
      <c r="O37" s="304">
        <v>1008475</v>
      </c>
      <c r="P37" s="304">
        <v>200141183.12828025</v>
      </c>
      <c r="Q37" s="304">
        <v>673913</v>
      </c>
      <c r="R37" s="304">
        <v>133362806.7552568</v>
      </c>
      <c r="S37" s="298">
        <v>1682388</v>
      </c>
      <c r="T37" s="298">
        <v>333503989.88353705</v>
      </c>
    </row>
    <row r="38" spans="2:20" x14ac:dyDescent="0.25">
      <c r="B38" s="245">
        <v>44866</v>
      </c>
      <c r="C38" s="299">
        <v>327443</v>
      </c>
      <c r="D38" s="299">
        <v>64420866.447916374</v>
      </c>
      <c r="E38" s="299">
        <v>121585</v>
      </c>
      <c r="F38" s="299">
        <v>24064940.268649824</v>
      </c>
      <c r="G38" s="298">
        <v>449028</v>
      </c>
      <c r="H38" s="298">
        <v>88485806.71656619</v>
      </c>
      <c r="I38" s="299">
        <v>704099</v>
      </c>
      <c r="J38" s="299">
        <v>138108858.95791662</v>
      </c>
      <c r="K38" s="299">
        <v>584193</v>
      </c>
      <c r="L38" s="299">
        <v>113906418.82012096</v>
      </c>
      <c r="M38" s="298">
        <v>1288292</v>
      </c>
      <c r="N38" s="298">
        <v>252015277.77803758</v>
      </c>
      <c r="O38" s="304">
        <v>1031542</v>
      </c>
      <c r="P38" s="304">
        <v>202529725.40583301</v>
      </c>
      <c r="Q38" s="304">
        <v>705778</v>
      </c>
      <c r="R38" s="304">
        <v>137971359.08877078</v>
      </c>
      <c r="S38" s="298">
        <v>1737320</v>
      </c>
      <c r="T38" s="298">
        <v>340501084.49460375</v>
      </c>
    </row>
    <row r="39" spans="2:20" x14ac:dyDescent="0.25">
      <c r="B39" s="245">
        <v>44896</v>
      </c>
      <c r="C39" s="299">
        <v>329180</v>
      </c>
      <c r="D39" s="299">
        <v>64580931.001339614</v>
      </c>
      <c r="E39" s="299">
        <v>125728</v>
      </c>
      <c r="F39" s="299">
        <v>24815434.765040211</v>
      </c>
      <c r="G39" s="298">
        <v>454908</v>
      </c>
      <c r="H39" s="298">
        <v>89396365.766379818</v>
      </c>
      <c r="I39" s="299">
        <v>717919</v>
      </c>
      <c r="J39" s="299">
        <v>140162268.5944111</v>
      </c>
      <c r="K39" s="299">
        <v>594890</v>
      </c>
      <c r="L39" s="299">
        <v>115366104.75648563</v>
      </c>
      <c r="M39" s="298">
        <v>1312809</v>
      </c>
      <c r="N39" s="298">
        <v>255528373.35089672</v>
      </c>
      <c r="O39" s="304">
        <v>1047099</v>
      </c>
      <c r="P39" s="304">
        <v>204743199.59575069</v>
      </c>
      <c r="Q39" s="304">
        <v>720618</v>
      </c>
      <c r="R39" s="304">
        <v>140181539.52152586</v>
      </c>
      <c r="S39" s="298">
        <v>1767717</v>
      </c>
      <c r="T39" s="298">
        <v>344924739.11727655</v>
      </c>
    </row>
    <row r="40" spans="2:20" x14ac:dyDescent="0.25">
      <c r="B40" s="397" t="s">
        <v>763</v>
      </c>
      <c r="C40" s="390">
        <v>319227.81818181818</v>
      </c>
      <c r="D40" s="390">
        <v>64109473.279204324</v>
      </c>
      <c r="E40" s="390">
        <v>111460.54545454546</v>
      </c>
      <c r="F40" s="390">
        <v>22478924.960961204</v>
      </c>
      <c r="G40" s="390">
        <v>430688.36363636365</v>
      </c>
      <c r="H40" s="390">
        <v>86588398.240165517</v>
      </c>
      <c r="I40" s="390">
        <v>626988.27272727271</v>
      </c>
      <c r="J40" s="390">
        <v>124594347.69062296</v>
      </c>
      <c r="K40" s="390">
        <v>488475.90909090912</v>
      </c>
      <c r="L40" s="390">
        <v>97214442.631706059</v>
      </c>
      <c r="M40" s="390">
        <v>1115464.1818181819</v>
      </c>
      <c r="N40" s="390">
        <v>221808790.32232904</v>
      </c>
      <c r="O40" s="390">
        <v>946216.09090909094</v>
      </c>
      <c r="P40" s="390">
        <v>188703820.96982726</v>
      </c>
      <c r="Q40" s="390">
        <v>599936.45454545459</v>
      </c>
      <c r="R40" s="390">
        <v>119693367.59266728</v>
      </c>
      <c r="S40" s="390">
        <v>1546152.5454545454</v>
      </c>
      <c r="T40" s="390">
        <v>308397188.56249452</v>
      </c>
    </row>
    <row r="41" spans="2:20" x14ac:dyDescent="0.25">
      <c r="B41" s="245">
        <v>44927</v>
      </c>
      <c r="C41" s="299">
        <v>331003</v>
      </c>
      <c r="D41" s="299">
        <v>64586412.276094392</v>
      </c>
      <c r="E41" s="299">
        <v>126303</v>
      </c>
      <c r="F41" s="299">
        <v>24700136.020778839</v>
      </c>
      <c r="G41" s="298">
        <v>457306</v>
      </c>
      <c r="H41" s="298">
        <v>89286548.296873227</v>
      </c>
      <c r="I41" s="299">
        <v>729835</v>
      </c>
      <c r="J41" s="299">
        <v>141292946.3791894</v>
      </c>
      <c r="K41" s="299">
        <v>605454</v>
      </c>
      <c r="L41" s="299">
        <v>116289192.74895035</v>
      </c>
      <c r="M41" s="298">
        <v>1335289</v>
      </c>
      <c r="N41" s="298">
        <v>257582139.12813973</v>
      </c>
      <c r="O41" s="304">
        <v>1060838</v>
      </c>
      <c r="P41" s="304">
        <v>205879358.65528378</v>
      </c>
      <c r="Q41" s="304">
        <v>731757</v>
      </c>
      <c r="R41" s="304">
        <v>140989328.7697292</v>
      </c>
      <c r="S41" s="298">
        <v>1792595</v>
      </c>
      <c r="T41" s="298">
        <v>346868687.42501295</v>
      </c>
    </row>
    <row r="42" spans="2:20" x14ac:dyDescent="0.25">
      <c r="B42" s="245">
        <v>44958</v>
      </c>
      <c r="C42" s="299">
        <v>331827</v>
      </c>
      <c r="D42" s="299">
        <v>68884240.706839949</v>
      </c>
      <c r="E42" s="299">
        <v>127315</v>
      </c>
      <c r="F42" s="299">
        <v>26446686.374578312</v>
      </c>
      <c r="G42" s="298">
        <v>459142</v>
      </c>
      <c r="H42" s="298">
        <v>95330927.081418261</v>
      </c>
      <c r="I42" s="299">
        <v>737271</v>
      </c>
      <c r="J42" s="299">
        <v>152094904.3733964</v>
      </c>
      <c r="K42" s="299">
        <v>613433</v>
      </c>
      <c r="L42" s="299">
        <v>125599911.20962755</v>
      </c>
      <c r="M42" s="298">
        <v>1350704</v>
      </c>
      <c r="N42" s="298">
        <v>277694815.58302391</v>
      </c>
      <c r="O42" s="304">
        <v>1069098</v>
      </c>
      <c r="P42" s="304">
        <v>220979145.08023632</v>
      </c>
      <c r="Q42" s="304">
        <v>740748</v>
      </c>
      <c r="R42" s="304">
        <v>152046597.58420587</v>
      </c>
      <c r="S42" s="298">
        <v>1809846</v>
      </c>
      <c r="T42" s="298">
        <v>373025742.66444218</v>
      </c>
    </row>
    <row r="43" spans="2:20" x14ac:dyDescent="0.25">
      <c r="B43" s="245">
        <v>44986</v>
      </c>
      <c r="C43" s="299">
        <v>332837</v>
      </c>
      <c r="D43" s="299">
        <v>68328242.839000002</v>
      </c>
      <c r="E43" s="299">
        <v>128270</v>
      </c>
      <c r="F43" s="299">
        <v>26367972.688999999</v>
      </c>
      <c r="G43" s="298">
        <v>461107</v>
      </c>
      <c r="H43" s="298">
        <v>94696215.527999997</v>
      </c>
      <c r="I43" s="299">
        <v>745051</v>
      </c>
      <c r="J43" s="299">
        <v>151999309.83899999</v>
      </c>
      <c r="K43" s="299">
        <v>620582</v>
      </c>
      <c r="L43" s="299">
        <v>125653634.987</v>
      </c>
      <c r="M43" s="298">
        <v>1365633</v>
      </c>
      <c r="N43" s="298">
        <v>277652944.82599998</v>
      </c>
      <c r="O43" s="304">
        <v>1077888</v>
      </c>
      <c r="P43" s="304">
        <v>220327552.678</v>
      </c>
      <c r="Q43" s="304">
        <v>748852</v>
      </c>
      <c r="R43" s="304">
        <v>152021607.676</v>
      </c>
      <c r="S43" s="298">
        <v>1826740</v>
      </c>
      <c r="T43" s="298">
        <v>372349160.35399997</v>
      </c>
    </row>
    <row r="44" spans="2:20" ht="30" x14ac:dyDescent="0.25">
      <c r="B44" s="373" t="s">
        <v>948</v>
      </c>
      <c r="C44" s="390">
        <v>331889</v>
      </c>
      <c r="D44" s="390">
        <v>67266298.607311442</v>
      </c>
      <c r="E44" s="390">
        <v>127296</v>
      </c>
      <c r="F44" s="390">
        <v>25838265.028119046</v>
      </c>
      <c r="G44" s="390">
        <v>459185</v>
      </c>
      <c r="H44" s="390">
        <v>93104563.6354305</v>
      </c>
      <c r="I44" s="390">
        <v>737385.66666666663</v>
      </c>
      <c r="J44" s="390">
        <v>148462386.86386192</v>
      </c>
      <c r="K44" s="390">
        <v>613156.33333333337</v>
      </c>
      <c r="L44" s="390">
        <v>122514246.31519264</v>
      </c>
      <c r="M44" s="390">
        <v>1350542</v>
      </c>
      <c r="N44" s="390">
        <v>270976633.17905456</v>
      </c>
      <c r="O44" s="390">
        <v>1069274.6666666667</v>
      </c>
      <c r="P44" s="390">
        <v>215728685.47117338</v>
      </c>
      <c r="Q44" s="390">
        <v>740452.33333333337</v>
      </c>
      <c r="R44" s="390">
        <v>148352511.3433117</v>
      </c>
      <c r="S44" s="390">
        <v>1809727</v>
      </c>
      <c r="T44" s="390">
        <v>364081196.81448507</v>
      </c>
    </row>
    <row r="45" spans="2:20" x14ac:dyDescent="0.25">
      <c r="B45" s="4" t="s">
        <v>924</v>
      </c>
      <c r="C45" s="291"/>
      <c r="D45" s="291"/>
      <c r="E45" s="291"/>
      <c r="F45" s="291"/>
      <c r="G45" s="291"/>
      <c r="H45" s="291"/>
      <c r="I45" s="291"/>
      <c r="J45" s="291"/>
      <c r="K45" s="291"/>
      <c r="L45" s="291"/>
      <c r="M45" s="291"/>
      <c r="N45" s="244"/>
    </row>
    <row r="46" spans="2:20" x14ac:dyDescent="0.25">
      <c r="B46" s="287" t="s">
        <v>927</v>
      </c>
      <c r="C46" s="291"/>
      <c r="D46" s="291"/>
      <c r="E46" s="291"/>
      <c r="F46" s="291"/>
      <c r="G46" s="291"/>
      <c r="H46" s="291"/>
      <c r="I46" s="291"/>
      <c r="J46" s="291"/>
      <c r="K46" s="291"/>
      <c r="L46" s="291"/>
      <c r="M46" s="291"/>
      <c r="N46" s="244"/>
    </row>
    <row r="47" spans="2:20" x14ac:dyDescent="0.25">
      <c r="B47" s="450"/>
      <c r="C47" s="450"/>
      <c r="D47" s="450"/>
      <c r="E47" s="450"/>
      <c r="F47" s="450"/>
      <c r="G47" s="450"/>
      <c r="H47" s="450"/>
      <c r="I47" s="450"/>
      <c r="J47" s="450"/>
      <c r="K47" s="450"/>
      <c r="L47" s="450"/>
      <c r="M47" s="450"/>
      <c r="N47" s="244"/>
    </row>
    <row r="48" spans="2:20" x14ac:dyDescent="0.25">
      <c r="C48" s="291"/>
      <c r="D48" s="291"/>
      <c r="E48" s="291"/>
      <c r="F48" s="291"/>
      <c r="G48" s="291"/>
      <c r="H48" s="291"/>
      <c r="I48" s="291"/>
      <c r="J48" s="291"/>
      <c r="K48" s="291"/>
      <c r="L48" s="291"/>
      <c r="M48" s="291"/>
      <c r="N48" s="244"/>
    </row>
    <row r="49" spans="2:14" x14ac:dyDescent="0.25">
      <c r="B49" s="103"/>
      <c r="C49" s="244"/>
      <c r="D49" s="244"/>
      <c r="E49" s="244"/>
      <c r="F49" s="244"/>
      <c r="G49" s="244"/>
      <c r="H49" s="244"/>
      <c r="I49" s="244"/>
      <c r="J49" s="244"/>
      <c r="K49" s="244"/>
      <c r="L49" s="244"/>
      <c r="M49" s="244"/>
      <c r="N49" s="244"/>
    </row>
    <row r="50" spans="2:14" x14ac:dyDescent="0.25">
      <c r="B50" s="103"/>
      <c r="C50" s="244"/>
      <c r="D50" s="244"/>
      <c r="E50" s="244"/>
      <c r="F50" s="244"/>
      <c r="G50" s="244"/>
      <c r="H50" s="244"/>
      <c r="I50" s="244"/>
      <c r="J50" s="244"/>
      <c r="K50" s="244"/>
      <c r="L50" s="244"/>
      <c r="M50" s="244"/>
      <c r="N50" s="244"/>
    </row>
    <row r="51" spans="2:14" x14ac:dyDescent="0.25">
      <c r="B51" s="103"/>
      <c r="C51" s="244"/>
      <c r="D51" s="244"/>
      <c r="E51" s="244"/>
      <c r="F51" s="244"/>
      <c r="G51" s="244"/>
      <c r="H51" s="244"/>
      <c r="I51" s="244"/>
      <c r="J51" s="244"/>
      <c r="K51" s="244"/>
      <c r="L51" s="244"/>
      <c r="M51" s="244"/>
      <c r="N51" s="244"/>
    </row>
    <row r="52" spans="2:14" x14ac:dyDescent="0.25">
      <c r="B52" s="103"/>
      <c r="C52" s="244"/>
      <c r="D52" s="244"/>
      <c r="E52" s="244"/>
      <c r="F52" s="244"/>
      <c r="G52" s="244"/>
      <c r="H52" s="244"/>
      <c r="I52" s="244"/>
      <c r="J52" s="244"/>
      <c r="K52" s="244"/>
      <c r="L52" s="244"/>
      <c r="M52" s="244"/>
      <c r="N52" s="244"/>
    </row>
    <row r="53" spans="2:14" x14ac:dyDescent="0.25">
      <c r="B53" s="103"/>
      <c r="C53" s="244"/>
      <c r="D53" s="244"/>
      <c r="E53" s="244"/>
      <c r="F53" s="244"/>
      <c r="G53" s="244"/>
      <c r="H53" s="244"/>
      <c r="I53" s="244"/>
      <c r="J53" s="244"/>
      <c r="K53" s="244"/>
      <c r="L53" s="244"/>
      <c r="M53" s="244"/>
      <c r="N53" s="244"/>
    </row>
    <row r="54" spans="2:14" x14ac:dyDescent="0.25">
      <c r="B54" s="103"/>
      <c r="C54" s="244"/>
      <c r="D54" s="244"/>
      <c r="E54" s="244"/>
      <c r="F54" s="244"/>
      <c r="G54" s="244"/>
      <c r="H54" s="244"/>
      <c r="I54" s="244"/>
      <c r="J54" s="244"/>
      <c r="K54" s="244"/>
      <c r="L54" s="244"/>
      <c r="M54" s="244"/>
      <c r="N54" s="244"/>
    </row>
    <row r="55" spans="2:14" x14ac:dyDescent="0.25">
      <c r="B55" s="103"/>
      <c r="C55" s="244"/>
      <c r="D55" s="244"/>
      <c r="E55" s="244"/>
      <c r="F55" s="244"/>
      <c r="G55" s="244"/>
      <c r="H55" s="244"/>
      <c r="I55" s="244"/>
      <c r="J55" s="244"/>
      <c r="K55" s="244"/>
      <c r="L55" s="244"/>
      <c r="M55" s="244"/>
      <c r="N55" s="244"/>
    </row>
    <row r="56" spans="2:14" x14ac:dyDescent="0.25">
      <c r="B56" s="103"/>
      <c r="C56" s="244"/>
      <c r="D56" s="244"/>
      <c r="E56" s="244"/>
      <c r="F56" s="244"/>
      <c r="G56" s="244"/>
      <c r="H56" s="244"/>
      <c r="I56" s="244"/>
      <c r="J56" s="244"/>
      <c r="K56" s="244"/>
      <c r="L56" s="244"/>
      <c r="M56" s="244"/>
      <c r="N56" s="244"/>
    </row>
    <row r="57" spans="2:14" x14ac:dyDescent="0.25">
      <c r="B57" s="103"/>
      <c r="C57" s="244"/>
      <c r="D57" s="244"/>
      <c r="E57" s="244"/>
      <c r="F57" s="244"/>
      <c r="G57" s="244"/>
      <c r="H57" s="244"/>
      <c r="I57" s="244"/>
      <c r="J57" s="244"/>
      <c r="K57" s="244"/>
      <c r="L57" s="244"/>
      <c r="M57" s="244"/>
      <c r="N57" s="244"/>
    </row>
    <row r="58" spans="2:14" x14ac:dyDescent="0.25">
      <c r="B58" s="103"/>
      <c r="C58" s="244"/>
      <c r="D58" s="244"/>
      <c r="E58" s="244"/>
      <c r="F58" s="244"/>
      <c r="G58" s="244"/>
      <c r="H58" s="244"/>
      <c r="I58" s="244"/>
      <c r="J58" s="244"/>
      <c r="K58" s="244"/>
      <c r="L58" s="244"/>
      <c r="M58" s="244"/>
      <c r="N58" s="244"/>
    </row>
    <row r="59" spans="2:14" x14ac:dyDescent="0.25">
      <c r="B59" s="103"/>
      <c r="C59" s="244"/>
      <c r="D59" s="244"/>
      <c r="E59" s="244"/>
      <c r="F59" s="244"/>
      <c r="G59" s="244"/>
      <c r="H59" s="244"/>
      <c r="I59" s="244"/>
      <c r="J59" s="244"/>
      <c r="K59" s="244"/>
      <c r="L59" s="244"/>
      <c r="M59" s="244"/>
      <c r="N59" s="244"/>
    </row>
    <row r="60" spans="2:14" x14ac:dyDescent="0.25">
      <c r="B60" s="4"/>
      <c r="C60" s="4"/>
      <c r="D60" s="4"/>
      <c r="E60" s="4"/>
    </row>
    <row r="61" spans="2:14" x14ac:dyDescent="0.25">
      <c r="B61" s="4"/>
      <c r="C61" s="4"/>
      <c r="D61" s="4"/>
      <c r="E61" s="4"/>
    </row>
  </sheetData>
  <mergeCells count="20">
    <mergeCell ref="S27:T27"/>
    <mergeCell ref="I26:N26"/>
    <mergeCell ref="O26:T26"/>
    <mergeCell ref="O27:P27"/>
    <mergeCell ref="Q27:R27"/>
    <mergeCell ref="B47:M47"/>
    <mergeCell ref="D8:F8"/>
    <mergeCell ref="G8:I8"/>
    <mergeCell ref="J8:L8"/>
    <mergeCell ref="B10:B12"/>
    <mergeCell ref="B13:B15"/>
    <mergeCell ref="B16:B18"/>
    <mergeCell ref="G27:H27"/>
    <mergeCell ref="I27:J27"/>
    <mergeCell ref="K27:L27"/>
    <mergeCell ref="M27:N27"/>
    <mergeCell ref="B20:L20"/>
    <mergeCell ref="C27:D27"/>
    <mergeCell ref="E27:F27"/>
    <mergeCell ref="C26:H2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T229"/>
  <sheetViews>
    <sheetView showGridLines="0" workbookViewId="0">
      <selection activeCell="B22" sqref="B22"/>
    </sheetView>
  </sheetViews>
  <sheetFormatPr baseColWidth="10" defaultRowHeight="15" outlineLevelRow="1" x14ac:dyDescent="0.25"/>
  <cols>
    <col min="2" max="2" width="18.42578125" customWidth="1"/>
    <col min="3" max="3" width="15.28515625" customWidth="1"/>
    <col min="4" max="4" width="15.42578125" customWidth="1"/>
    <col min="5" max="5" width="15" bestFit="1" customWidth="1"/>
    <col min="6" max="6" width="16" customWidth="1"/>
    <col min="7" max="7" width="15.855468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105"/>
    </row>
    <row r="2" spans="1:14" ht="23.25" x14ac:dyDescent="0.25">
      <c r="B2" s="1" t="s">
        <v>785</v>
      </c>
      <c r="C2" s="4"/>
      <c r="D2" s="4"/>
      <c r="E2" s="4"/>
      <c r="F2" s="4"/>
      <c r="G2" s="4"/>
      <c r="H2" s="4"/>
      <c r="I2" s="4"/>
      <c r="J2" s="4"/>
      <c r="K2" s="4"/>
    </row>
    <row r="3" spans="1:14" x14ac:dyDescent="0.25">
      <c r="B3" s="4"/>
      <c r="C3" s="4"/>
      <c r="D3" s="4"/>
      <c r="E3" s="4"/>
      <c r="F3" s="4"/>
      <c r="G3" s="4"/>
      <c r="H3" s="4"/>
      <c r="I3" s="4"/>
      <c r="J3" s="4"/>
      <c r="K3" s="4"/>
    </row>
    <row r="4" spans="1:14" ht="18.75" x14ac:dyDescent="0.3">
      <c r="B4" s="2" t="s">
        <v>932</v>
      </c>
      <c r="C4" s="2"/>
      <c r="D4" s="2"/>
      <c r="E4" s="2"/>
      <c r="F4" s="2"/>
      <c r="G4" s="2"/>
      <c r="J4" s="4"/>
      <c r="K4" s="4"/>
    </row>
    <row r="5" spans="1:14" x14ac:dyDescent="0.25">
      <c r="B5" s="3" t="s">
        <v>867</v>
      </c>
      <c r="J5" s="4"/>
      <c r="K5" s="4"/>
    </row>
    <row r="6" spans="1:14" x14ac:dyDescent="0.25">
      <c r="J6" s="4"/>
      <c r="K6" s="4"/>
    </row>
    <row r="7" spans="1:14" x14ac:dyDescent="0.25">
      <c r="D7" s="445" t="s">
        <v>4</v>
      </c>
      <c r="E7" s="445"/>
      <c r="F7" s="445"/>
      <c r="G7" s="454"/>
      <c r="H7" s="454"/>
      <c r="I7" s="454"/>
      <c r="J7" s="454"/>
      <c r="K7" s="454"/>
      <c r="L7" s="454"/>
      <c r="N7" s="4"/>
    </row>
    <row r="8" spans="1:14" ht="30" x14ac:dyDescent="0.25">
      <c r="B8" s="152" t="s">
        <v>483</v>
      </c>
      <c r="C8" s="175" t="s">
        <v>604</v>
      </c>
      <c r="D8" s="152" t="s">
        <v>2</v>
      </c>
      <c r="E8" s="175" t="s">
        <v>605</v>
      </c>
      <c r="F8" s="152" t="s">
        <v>606</v>
      </c>
      <c r="G8" s="103"/>
      <c r="H8" s="244"/>
      <c r="I8" s="103"/>
      <c r="J8" s="103"/>
      <c r="K8" s="244"/>
      <c r="L8" s="103"/>
      <c r="M8" s="4"/>
    </row>
    <row r="9" spans="1:14" x14ac:dyDescent="0.25">
      <c r="B9" s="452" t="s">
        <v>868</v>
      </c>
      <c r="C9" s="272" t="s">
        <v>83</v>
      </c>
      <c r="D9" s="303">
        <v>104230</v>
      </c>
      <c r="E9" s="303">
        <v>20201881.583999999</v>
      </c>
      <c r="F9" s="303">
        <v>20408339.248588521</v>
      </c>
      <c r="G9" s="385"/>
      <c r="H9" s="385"/>
      <c r="I9" s="386"/>
      <c r="J9" s="386"/>
      <c r="K9" s="386"/>
      <c r="L9" s="386"/>
    </row>
    <row r="10" spans="1:14" x14ac:dyDescent="0.25">
      <c r="B10" s="453"/>
      <c r="C10" s="272" t="s">
        <v>84</v>
      </c>
      <c r="D10" s="303">
        <v>81876</v>
      </c>
      <c r="E10" s="303">
        <v>15868522.635</v>
      </c>
      <c r="F10" s="303">
        <v>16030694.56488038</v>
      </c>
      <c r="G10" s="385"/>
      <c r="H10" s="385"/>
      <c r="I10" s="386"/>
      <c r="J10" s="386"/>
      <c r="K10" s="386"/>
      <c r="L10" s="386"/>
      <c r="M10" s="4"/>
    </row>
    <row r="11" spans="1:14" x14ac:dyDescent="0.25">
      <c r="B11" s="453"/>
      <c r="C11" s="272" t="s">
        <v>35</v>
      </c>
      <c r="D11" s="303">
        <v>186106</v>
      </c>
      <c r="E11" s="303">
        <v>36070404.218999997</v>
      </c>
      <c r="F11" s="303">
        <v>36439033.813468903</v>
      </c>
      <c r="G11" s="385"/>
      <c r="H11" s="385"/>
      <c r="I11" s="386"/>
      <c r="J11" s="386"/>
      <c r="K11" s="386"/>
      <c r="L11" s="386"/>
      <c r="M11" s="4"/>
    </row>
    <row r="12" spans="1:14" x14ac:dyDescent="0.25">
      <c r="B12" s="452" t="s">
        <v>869</v>
      </c>
      <c r="C12" s="272" t="s">
        <v>83</v>
      </c>
      <c r="D12" s="303">
        <v>104475</v>
      </c>
      <c r="E12" s="303">
        <v>21529706.804000001</v>
      </c>
      <c r="F12" s="303">
        <v>21763711.397236161</v>
      </c>
      <c r="G12" s="385"/>
      <c r="H12" s="385"/>
      <c r="I12" s="386"/>
      <c r="J12" s="386"/>
      <c r="K12" s="386"/>
      <c r="L12" s="386"/>
      <c r="M12" s="4"/>
    </row>
    <row r="13" spans="1:14" x14ac:dyDescent="0.25">
      <c r="B13" s="453"/>
      <c r="C13" s="272" t="s">
        <v>84</v>
      </c>
      <c r="D13" s="303">
        <v>82037</v>
      </c>
      <c r="E13" s="303">
        <v>16905382.120999999</v>
      </c>
      <c r="F13" s="303">
        <v>17089125.313730869</v>
      </c>
      <c r="G13" s="385"/>
      <c r="H13" s="385"/>
      <c r="I13" s="386"/>
      <c r="J13" s="386"/>
      <c r="K13" s="386"/>
      <c r="L13" s="386"/>
      <c r="M13" s="4"/>
    </row>
    <row r="14" spans="1:14" x14ac:dyDescent="0.25">
      <c r="B14" s="453"/>
      <c r="C14" s="272" t="s">
        <v>35</v>
      </c>
      <c r="D14" s="303">
        <v>186512</v>
      </c>
      <c r="E14" s="303">
        <v>38435088.924999997</v>
      </c>
      <c r="F14" s="303">
        <v>38852836.710967034</v>
      </c>
      <c r="G14" s="385"/>
      <c r="H14" s="385"/>
      <c r="I14" s="386"/>
      <c r="J14" s="386"/>
      <c r="K14" s="386"/>
      <c r="L14" s="386"/>
      <c r="M14" s="4"/>
    </row>
    <row r="15" spans="1:14" x14ac:dyDescent="0.25">
      <c r="B15" s="443" t="s">
        <v>870</v>
      </c>
      <c r="C15" s="272" t="s">
        <v>83</v>
      </c>
      <c r="D15" s="303">
        <v>104804</v>
      </c>
      <c r="E15" s="303">
        <v>21596971.883000001</v>
      </c>
      <c r="F15" s="303">
        <v>21596971.883000001</v>
      </c>
      <c r="G15" s="385"/>
      <c r="H15" s="385"/>
      <c r="I15" s="386"/>
      <c r="J15" s="386"/>
      <c r="K15" s="386"/>
      <c r="L15" s="386"/>
      <c r="M15" s="4"/>
    </row>
    <row r="16" spans="1:14" x14ac:dyDescent="0.25">
      <c r="B16" s="444"/>
      <c r="C16" s="272" t="s">
        <v>84</v>
      </c>
      <c r="D16" s="303">
        <v>82313</v>
      </c>
      <c r="E16" s="303">
        <v>16962285.868999999</v>
      </c>
      <c r="F16" s="303">
        <v>16962285.868999999</v>
      </c>
      <c r="G16" s="385"/>
      <c r="H16" s="385"/>
      <c r="I16" s="386"/>
      <c r="J16" s="386"/>
      <c r="K16" s="386"/>
      <c r="L16" s="386"/>
      <c r="M16" s="4"/>
    </row>
    <row r="17" spans="2:20" x14ac:dyDescent="0.25">
      <c r="B17" s="444"/>
      <c r="C17" s="273" t="s">
        <v>35</v>
      </c>
      <c r="D17" s="303">
        <v>187117</v>
      </c>
      <c r="E17" s="303">
        <v>38559257.751999997</v>
      </c>
      <c r="F17" s="303">
        <v>38559257.751999997</v>
      </c>
      <c r="G17" s="385"/>
      <c r="H17" s="385"/>
      <c r="I17" s="386"/>
      <c r="J17" s="386"/>
      <c r="K17" s="386"/>
      <c r="L17" s="386"/>
    </row>
    <row r="18" spans="2:20" x14ac:dyDescent="0.25">
      <c r="B18" s="4" t="s">
        <v>924</v>
      </c>
    </row>
    <row r="19" spans="2:20" ht="63.75" customHeight="1" x14ac:dyDescent="0.25">
      <c r="B19" s="446" t="s">
        <v>925</v>
      </c>
      <c r="C19" s="446"/>
      <c r="D19" s="446"/>
      <c r="E19" s="446"/>
      <c r="F19" s="446"/>
      <c r="G19" s="446"/>
      <c r="H19" s="446"/>
      <c r="I19" s="446"/>
      <c r="J19" s="446"/>
      <c r="K19" s="446"/>
      <c r="L19" s="446"/>
    </row>
    <row r="20" spans="2:20" x14ac:dyDescent="0.25">
      <c r="B20" s="287" t="s">
        <v>926</v>
      </c>
      <c r="C20" s="265"/>
      <c r="D20" s="265"/>
      <c r="E20" s="265"/>
      <c r="F20" s="265"/>
      <c r="G20" s="265"/>
      <c r="H20" s="265"/>
      <c r="I20" s="265"/>
      <c r="J20" s="265"/>
      <c r="K20" s="265"/>
      <c r="L20" s="265"/>
    </row>
    <row r="21" spans="2:20" x14ac:dyDescent="0.25">
      <c r="B21" s="288"/>
      <c r="D21" s="228"/>
      <c r="E21" s="228"/>
      <c r="F21" s="228"/>
      <c r="G21" s="228"/>
      <c r="H21" s="228"/>
      <c r="I21" s="228"/>
      <c r="J21" s="228"/>
      <c r="K21" s="228"/>
    </row>
    <row r="22" spans="2:20" ht="18.75" x14ac:dyDescent="0.3">
      <c r="B22" s="2" t="s">
        <v>959</v>
      </c>
      <c r="C22" s="2"/>
      <c r="D22" s="2"/>
      <c r="E22" s="2"/>
      <c r="F22" s="2"/>
    </row>
    <row r="23" spans="2:20" x14ac:dyDescent="0.25">
      <c r="B23" s="3" t="s">
        <v>871</v>
      </c>
    </row>
    <row r="25" spans="2:20" x14ac:dyDescent="0.25">
      <c r="C25" s="447" t="s">
        <v>3</v>
      </c>
      <c r="D25" s="448"/>
      <c r="E25" s="448"/>
      <c r="F25" s="448"/>
      <c r="G25" s="448"/>
      <c r="H25" s="449"/>
      <c r="I25" s="447" t="s">
        <v>4</v>
      </c>
      <c r="J25" s="448"/>
      <c r="K25" s="448"/>
      <c r="L25" s="448"/>
      <c r="M25" s="448"/>
      <c r="N25" s="449"/>
      <c r="O25" s="447" t="s">
        <v>602</v>
      </c>
      <c r="P25" s="448"/>
      <c r="Q25" s="448"/>
      <c r="R25" s="448"/>
      <c r="S25" s="448"/>
      <c r="T25" s="449"/>
    </row>
    <row r="26" spans="2:20" x14ac:dyDescent="0.25">
      <c r="C26" s="445" t="s">
        <v>83</v>
      </c>
      <c r="D26" s="445"/>
      <c r="E26" s="445" t="s">
        <v>84</v>
      </c>
      <c r="F26" s="445"/>
      <c r="G26" s="447" t="s">
        <v>35</v>
      </c>
      <c r="H26" s="449"/>
      <c r="I26" s="445" t="s">
        <v>83</v>
      </c>
      <c r="J26" s="445"/>
      <c r="K26" s="445" t="s">
        <v>84</v>
      </c>
      <c r="L26" s="445"/>
      <c r="M26" s="447" t="s">
        <v>35</v>
      </c>
      <c r="N26" s="449"/>
      <c r="O26" s="445" t="s">
        <v>83</v>
      </c>
      <c r="P26" s="445"/>
      <c r="Q26" s="445" t="s">
        <v>84</v>
      </c>
      <c r="R26" s="445"/>
      <c r="S26" s="447" t="s">
        <v>35</v>
      </c>
      <c r="T26" s="449"/>
    </row>
    <row r="27" spans="2:20" ht="45" x14ac:dyDescent="0.25">
      <c r="B27" s="152" t="s">
        <v>483</v>
      </c>
      <c r="C27" s="230" t="s">
        <v>607</v>
      </c>
      <c r="D27" s="175" t="s">
        <v>636</v>
      </c>
      <c r="E27" s="230" t="s">
        <v>607</v>
      </c>
      <c r="F27" s="175" t="s">
        <v>636</v>
      </c>
      <c r="G27" s="230" t="s">
        <v>607</v>
      </c>
      <c r="H27" s="175" t="s">
        <v>636</v>
      </c>
      <c r="I27" s="230" t="s">
        <v>607</v>
      </c>
      <c r="J27" s="175" t="s">
        <v>636</v>
      </c>
      <c r="K27" s="230" t="s">
        <v>607</v>
      </c>
      <c r="L27" s="175" t="s">
        <v>636</v>
      </c>
      <c r="M27" s="230" t="s">
        <v>607</v>
      </c>
      <c r="N27" s="175" t="s">
        <v>636</v>
      </c>
      <c r="O27" s="230" t="s">
        <v>607</v>
      </c>
      <c r="P27" s="175" t="s">
        <v>636</v>
      </c>
      <c r="Q27" s="230" t="s">
        <v>607</v>
      </c>
      <c r="R27" s="175" t="s">
        <v>636</v>
      </c>
      <c r="S27" s="230" t="s">
        <v>607</v>
      </c>
      <c r="T27" s="175" t="s">
        <v>636</v>
      </c>
    </row>
    <row r="28" spans="2:20" hidden="1" outlineLevel="1" x14ac:dyDescent="0.25">
      <c r="B28" s="219">
        <v>39630</v>
      </c>
      <c r="C28" s="399">
        <v>189150</v>
      </c>
      <c r="D28" s="402">
        <v>19635367.745234665</v>
      </c>
      <c r="E28" s="399">
        <v>101420</v>
      </c>
      <c r="F28" s="402">
        <v>10528252.692158073</v>
      </c>
      <c r="G28" s="399">
        <v>290570</v>
      </c>
      <c r="H28" s="402">
        <v>30163620.437392738</v>
      </c>
      <c r="I28" s="399">
        <v>108433</v>
      </c>
      <c r="J28" s="402">
        <v>11256261.330790538</v>
      </c>
      <c r="K28" s="399">
        <v>84278</v>
      </c>
      <c r="L28" s="402">
        <v>8748768.2941204719</v>
      </c>
      <c r="M28" s="399">
        <v>192711</v>
      </c>
      <c r="N28" s="402">
        <v>20005029.62491101</v>
      </c>
      <c r="O28" s="399">
        <v>297583</v>
      </c>
      <c r="P28" s="402">
        <v>30891629.076025203</v>
      </c>
      <c r="Q28" s="399">
        <v>185698</v>
      </c>
      <c r="R28" s="399">
        <v>19277020.986278545</v>
      </c>
      <c r="S28" s="399">
        <v>483281</v>
      </c>
      <c r="T28" s="399">
        <v>50168650.062303752</v>
      </c>
    </row>
    <row r="29" spans="2:20" hidden="1" outlineLevel="1" x14ac:dyDescent="0.25">
      <c r="B29" s="219">
        <v>39661</v>
      </c>
      <c r="C29" s="399">
        <v>190466</v>
      </c>
      <c r="D29" s="402">
        <v>19589343.876570482</v>
      </c>
      <c r="E29" s="399">
        <v>101671</v>
      </c>
      <c r="F29" s="402">
        <v>10456817.391423129</v>
      </c>
      <c r="G29" s="399">
        <v>292137</v>
      </c>
      <c r="H29" s="402">
        <v>30046161.26799361</v>
      </c>
      <c r="I29" s="399">
        <v>109472</v>
      </c>
      <c r="J29" s="402">
        <v>11259146.791846965</v>
      </c>
      <c r="K29" s="399">
        <v>84832</v>
      </c>
      <c r="L29" s="402">
        <v>8724933.687572727</v>
      </c>
      <c r="M29" s="399">
        <v>194304</v>
      </c>
      <c r="N29" s="402">
        <v>19984080.479419693</v>
      </c>
      <c r="O29" s="399">
        <v>299938</v>
      </c>
      <c r="P29" s="402">
        <v>30848490.668417446</v>
      </c>
      <c r="Q29" s="399">
        <v>186503</v>
      </c>
      <c r="R29" s="399">
        <v>19181751.078995857</v>
      </c>
      <c r="S29" s="399">
        <v>486441</v>
      </c>
      <c r="T29" s="402">
        <v>50030241.7474133</v>
      </c>
    </row>
    <row r="30" spans="2:20" hidden="1" outlineLevel="1" x14ac:dyDescent="0.25">
      <c r="B30" s="219">
        <v>39692</v>
      </c>
      <c r="C30" s="399">
        <v>221382</v>
      </c>
      <c r="D30" s="402">
        <v>22524476.223846637</v>
      </c>
      <c r="E30" s="399">
        <v>108164</v>
      </c>
      <c r="F30" s="402">
        <v>11005466.832861084</v>
      </c>
      <c r="G30" s="399">
        <v>329546</v>
      </c>
      <c r="H30" s="402">
        <v>33529943.056707721</v>
      </c>
      <c r="I30" s="399">
        <v>108958</v>
      </c>
      <c r="J30" s="402">
        <v>11088453.703522218</v>
      </c>
      <c r="K30" s="399">
        <v>84560</v>
      </c>
      <c r="L30" s="402">
        <v>8605514.4658477474</v>
      </c>
      <c r="M30" s="399">
        <v>193518</v>
      </c>
      <c r="N30" s="402">
        <v>19693968.169369966</v>
      </c>
      <c r="O30" s="399">
        <v>330340</v>
      </c>
      <c r="P30" s="402">
        <v>33612929.927368857</v>
      </c>
      <c r="Q30" s="399">
        <v>192724</v>
      </c>
      <c r="R30" s="399">
        <v>19610981.29870883</v>
      </c>
      <c r="S30" s="399">
        <v>523064</v>
      </c>
      <c r="T30" s="402">
        <v>53223911.226077691</v>
      </c>
    </row>
    <row r="31" spans="2:20" hidden="1" outlineLevel="1" x14ac:dyDescent="0.25">
      <c r="B31" s="219">
        <v>39722</v>
      </c>
      <c r="C31" s="399">
        <v>230808</v>
      </c>
      <c r="D31" s="402">
        <v>25597524.983918022</v>
      </c>
      <c r="E31" s="399">
        <v>110075</v>
      </c>
      <c r="F31" s="402">
        <v>11630142.233240852</v>
      </c>
      <c r="G31" s="399">
        <v>340883</v>
      </c>
      <c r="H31" s="402">
        <v>37227667.217158876</v>
      </c>
      <c r="I31" s="399">
        <v>108604</v>
      </c>
      <c r="J31" s="402">
        <v>10998872.906703766</v>
      </c>
      <c r="K31" s="399">
        <v>84437</v>
      </c>
      <c r="L31" s="402">
        <v>8564523.6403473951</v>
      </c>
      <c r="M31" s="399">
        <v>193041</v>
      </c>
      <c r="N31" s="402">
        <v>19563396.547051162</v>
      </c>
      <c r="O31" s="399">
        <v>339412</v>
      </c>
      <c r="P31" s="402">
        <v>36596397.890621789</v>
      </c>
      <c r="Q31" s="399">
        <v>194512</v>
      </c>
      <c r="R31" s="399">
        <v>20194665.873588249</v>
      </c>
      <c r="S31" s="399">
        <v>533924</v>
      </c>
      <c r="T31" s="402">
        <v>56791063.764210038</v>
      </c>
    </row>
    <row r="32" spans="2:20" hidden="1" outlineLevel="1" x14ac:dyDescent="0.25">
      <c r="B32" s="219">
        <v>39753</v>
      </c>
      <c r="C32" s="399">
        <v>236178</v>
      </c>
      <c r="D32" s="402">
        <v>25474217.501831681</v>
      </c>
      <c r="E32" s="399">
        <v>111136</v>
      </c>
      <c r="F32" s="402">
        <v>11633591.792750511</v>
      </c>
      <c r="G32" s="399">
        <v>347314</v>
      </c>
      <c r="H32" s="402">
        <v>37107809.294582188</v>
      </c>
      <c r="I32" s="399">
        <v>108404</v>
      </c>
      <c r="J32" s="402">
        <v>11066806.001435731</v>
      </c>
      <c r="K32" s="399">
        <v>84286</v>
      </c>
      <c r="L32" s="402">
        <v>8566330.0356395282</v>
      </c>
      <c r="M32" s="399">
        <v>192690</v>
      </c>
      <c r="N32" s="402">
        <v>19633136.037075255</v>
      </c>
      <c r="O32" s="399">
        <v>344582</v>
      </c>
      <c r="P32" s="402">
        <v>36541023.503267407</v>
      </c>
      <c r="Q32" s="399">
        <v>195422</v>
      </c>
      <c r="R32" s="399">
        <v>20199921.828390036</v>
      </c>
      <c r="S32" s="399">
        <v>540004</v>
      </c>
      <c r="T32" s="402">
        <v>56740945.331657447</v>
      </c>
    </row>
    <row r="33" spans="2:20" hidden="1" outlineLevel="1" x14ac:dyDescent="0.25">
      <c r="B33" s="219">
        <v>39783</v>
      </c>
      <c r="C33" s="399">
        <v>244815</v>
      </c>
      <c r="D33" s="402">
        <v>27531672.898801155</v>
      </c>
      <c r="E33" s="399">
        <v>113630</v>
      </c>
      <c r="F33" s="402">
        <v>12442977.531701008</v>
      </c>
      <c r="G33" s="399">
        <v>358445</v>
      </c>
      <c r="H33" s="402">
        <v>39974650.430502169</v>
      </c>
      <c r="I33" s="399">
        <v>109628</v>
      </c>
      <c r="J33" s="402">
        <v>12028953.441684745</v>
      </c>
      <c r="K33" s="399">
        <v>84823</v>
      </c>
      <c r="L33" s="402">
        <v>9053168.0935675278</v>
      </c>
      <c r="M33" s="399">
        <v>194451</v>
      </c>
      <c r="N33" s="402">
        <v>21082121.535252273</v>
      </c>
      <c r="O33" s="399">
        <v>354443</v>
      </c>
      <c r="P33" s="402">
        <v>39560626.340485901</v>
      </c>
      <c r="Q33" s="399">
        <v>198453</v>
      </c>
      <c r="R33" s="399">
        <v>21496145.625268534</v>
      </c>
      <c r="S33" s="399">
        <v>552896</v>
      </c>
      <c r="T33" s="402">
        <v>61056771.965754442</v>
      </c>
    </row>
    <row r="34" spans="2:20" collapsed="1" x14ac:dyDescent="0.25">
      <c r="B34" s="393" t="s">
        <v>749</v>
      </c>
      <c r="C34" s="394">
        <v>218799.83333333334</v>
      </c>
      <c r="D34" s="403">
        <v>23392100.538367108</v>
      </c>
      <c r="E34" s="394">
        <v>107682.66666666667</v>
      </c>
      <c r="F34" s="403">
        <v>11282874.745689111</v>
      </c>
      <c r="G34" s="394">
        <v>326482.5</v>
      </c>
      <c r="H34" s="403">
        <v>34674975.284056216</v>
      </c>
      <c r="I34" s="394">
        <v>108916.5</v>
      </c>
      <c r="J34" s="403">
        <v>11283082.362663994</v>
      </c>
      <c r="K34" s="394">
        <v>84536</v>
      </c>
      <c r="L34" s="403">
        <v>8710539.7028492335</v>
      </c>
      <c r="M34" s="394">
        <v>193452.5</v>
      </c>
      <c r="N34" s="403">
        <v>19993622.065513227</v>
      </c>
      <c r="O34" s="394">
        <v>327716.33333333331</v>
      </c>
      <c r="P34" s="403">
        <v>34675182.901031099</v>
      </c>
      <c r="Q34" s="394">
        <v>192218.66666666666</v>
      </c>
      <c r="R34" s="394">
        <v>19993414.448538341</v>
      </c>
      <c r="S34" s="394">
        <v>519935</v>
      </c>
      <c r="T34" s="403">
        <v>54668597.34956944</v>
      </c>
    </row>
    <row r="35" spans="2:20" hidden="1" outlineLevel="1" x14ac:dyDescent="0.25">
      <c r="B35" s="219">
        <v>39814</v>
      </c>
      <c r="C35" s="399">
        <v>249383</v>
      </c>
      <c r="D35" s="402">
        <v>26841913.015813146</v>
      </c>
      <c r="E35" s="399">
        <v>114748</v>
      </c>
      <c r="F35" s="402">
        <v>12173747.348661451</v>
      </c>
      <c r="G35" s="399">
        <v>364131</v>
      </c>
      <c r="H35" s="402">
        <v>39015660.364474595</v>
      </c>
      <c r="I35" s="399">
        <v>110901</v>
      </c>
      <c r="J35" s="402">
        <v>12410036.91282871</v>
      </c>
      <c r="K35" s="399">
        <v>85291</v>
      </c>
      <c r="L35" s="402">
        <v>9185370.8885322865</v>
      </c>
      <c r="M35" s="399">
        <v>196192</v>
      </c>
      <c r="N35" s="402">
        <v>21595407.801360995</v>
      </c>
      <c r="O35" s="399">
        <v>360284</v>
      </c>
      <c r="P35" s="402">
        <v>39251949.928641856</v>
      </c>
      <c r="Q35" s="399">
        <v>200039</v>
      </c>
      <c r="R35" s="399">
        <v>21359118.237193737</v>
      </c>
      <c r="S35" s="399">
        <v>560323</v>
      </c>
      <c r="T35" s="402">
        <v>60611068.165835597</v>
      </c>
    </row>
    <row r="36" spans="2:20" hidden="1" outlineLevel="1" x14ac:dyDescent="0.25">
      <c r="B36" s="219">
        <v>39845</v>
      </c>
      <c r="C36" s="399">
        <v>251808</v>
      </c>
      <c r="D36" s="402">
        <v>26885931.811040632</v>
      </c>
      <c r="E36" s="399">
        <v>115183</v>
      </c>
      <c r="F36" s="402">
        <v>12165232.062204331</v>
      </c>
      <c r="G36" s="399">
        <v>366991</v>
      </c>
      <c r="H36" s="402">
        <v>39051163.873244964</v>
      </c>
      <c r="I36" s="399">
        <v>111775</v>
      </c>
      <c r="J36" s="402">
        <v>12462440.103101069</v>
      </c>
      <c r="K36" s="399">
        <v>85481</v>
      </c>
      <c r="L36" s="402">
        <v>9162964.767973192</v>
      </c>
      <c r="M36" s="399">
        <v>197256</v>
      </c>
      <c r="N36" s="402">
        <v>21625404.871074259</v>
      </c>
      <c r="O36" s="399">
        <v>363583</v>
      </c>
      <c r="P36" s="402">
        <v>39348371.9141417</v>
      </c>
      <c r="Q36" s="399">
        <v>200664</v>
      </c>
      <c r="R36" s="399">
        <v>21328196.830177519</v>
      </c>
      <c r="S36" s="399">
        <v>564247</v>
      </c>
      <c r="T36" s="402">
        <v>60676568.74431923</v>
      </c>
    </row>
    <row r="37" spans="2:20" hidden="1" outlineLevel="1" x14ac:dyDescent="0.25">
      <c r="B37" s="219">
        <v>39873</v>
      </c>
      <c r="C37" s="399">
        <v>254074</v>
      </c>
      <c r="D37" s="402">
        <v>26841951.537849788</v>
      </c>
      <c r="E37" s="399">
        <v>115759</v>
      </c>
      <c r="F37" s="402">
        <v>12202346.531604206</v>
      </c>
      <c r="G37" s="399">
        <v>369833</v>
      </c>
      <c r="H37" s="402">
        <v>39044298.069453992</v>
      </c>
      <c r="I37" s="399">
        <v>112459</v>
      </c>
      <c r="J37" s="402">
        <v>12404002.465774393</v>
      </c>
      <c r="K37" s="399">
        <v>85609</v>
      </c>
      <c r="L37" s="402">
        <v>9113141.9966157842</v>
      </c>
      <c r="M37" s="399">
        <v>198068</v>
      </c>
      <c r="N37" s="402">
        <v>21517144.462390177</v>
      </c>
      <c r="O37" s="399">
        <v>366533</v>
      </c>
      <c r="P37" s="402">
        <v>39245954.003624186</v>
      </c>
      <c r="Q37" s="399">
        <v>201368</v>
      </c>
      <c r="R37" s="399">
        <v>21315488.52821999</v>
      </c>
      <c r="S37" s="399">
        <v>567901</v>
      </c>
      <c r="T37" s="402">
        <v>60561442.531844176</v>
      </c>
    </row>
    <row r="38" spans="2:20" hidden="1" outlineLevel="1" x14ac:dyDescent="0.25">
      <c r="B38" s="219">
        <v>39904</v>
      </c>
      <c r="C38" s="399">
        <v>255795</v>
      </c>
      <c r="D38" s="402">
        <v>26914408.358874932</v>
      </c>
      <c r="E38" s="399">
        <v>116177</v>
      </c>
      <c r="F38" s="402">
        <v>12172629.170525666</v>
      </c>
      <c r="G38" s="399">
        <v>371972</v>
      </c>
      <c r="H38" s="402">
        <v>39087037.529400595</v>
      </c>
      <c r="I38" s="399">
        <v>113104</v>
      </c>
      <c r="J38" s="402">
        <v>12544501.536990909</v>
      </c>
      <c r="K38" s="399">
        <v>85787</v>
      </c>
      <c r="L38" s="402">
        <v>9193916.5836879741</v>
      </c>
      <c r="M38" s="399">
        <v>198891</v>
      </c>
      <c r="N38" s="402">
        <v>21738418.120678887</v>
      </c>
      <c r="O38" s="399">
        <v>368899</v>
      </c>
      <c r="P38" s="402">
        <v>39458909.895865835</v>
      </c>
      <c r="Q38" s="399">
        <v>201964</v>
      </c>
      <c r="R38" s="399">
        <v>21366545.754213642</v>
      </c>
      <c r="S38" s="399">
        <v>570863</v>
      </c>
      <c r="T38" s="402">
        <v>60825455.650079481</v>
      </c>
    </row>
    <row r="39" spans="2:20" hidden="1" outlineLevel="1" x14ac:dyDescent="0.25">
      <c r="B39" s="219">
        <v>39934</v>
      </c>
      <c r="C39" s="399">
        <v>258094</v>
      </c>
      <c r="D39" s="402">
        <v>27276181.852487687</v>
      </c>
      <c r="E39" s="399">
        <v>116638</v>
      </c>
      <c r="F39" s="402">
        <v>12261874.458468983</v>
      </c>
      <c r="G39" s="399">
        <v>374732</v>
      </c>
      <c r="H39" s="402">
        <v>39538056.310956672</v>
      </c>
      <c r="I39" s="399">
        <v>114003</v>
      </c>
      <c r="J39" s="402">
        <v>12829343.15770302</v>
      </c>
      <c r="K39" s="399">
        <v>86085</v>
      </c>
      <c r="L39" s="402">
        <v>9360151.8132733554</v>
      </c>
      <c r="M39" s="399">
        <v>200088</v>
      </c>
      <c r="N39" s="402">
        <v>22189494.970976375</v>
      </c>
      <c r="O39" s="399">
        <v>372097</v>
      </c>
      <c r="P39" s="402">
        <v>40105525.010190703</v>
      </c>
      <c r="Q39" s="399">
        <v>202723</v>
      </c>
      <c r="R39" s="399">
        <v>21622026.27174234</v>
      </c>
      <c r="S39" s="399">
        <v>574820</v>
      </c>
      <c r="T39" s="402">
        <v>61727551.281933047</v>
      </c>
    </row>
    <row r="40" spans="2:20" hidden="1" outlineLevel="1" x14ac:dyDescent="0.25">
      <c r="B40" s="219">
        <v>39965</v>
      </c>
      <c r="C40" s="399">
        <v>260086</v>
      </c>
      <c r="D40" s="402">
        <v>27433126.3977939</v>
      </c>
      <c r="E40" s="399">
        <v>116982</v>
      </c>
      <c r="F40" s="402">
        <v>12272099.705196582</v>
      </c>
      <c r="G40" s="399">
        <v>377068</v>
      </c>
      <c r="H40" s="402">
        <v>39705226.102990478</v>
      </c>
      <c r="I40" s="399">
        <v>114983</v>
      </c>
      <c r="J40" s="402">
        <v>13105935.513729349</v>
      </c>
      <c r="K40" s="399">
        <v>86441</v>
      </c>
      <c r="L40" s="402">
        <v>9424726.307737641</v>
      </c>
      <c r="M40" s="399">
        <v>201424</v>
      </c>
      <c r="N40" s="402">
        <v>22530661.821466986</v>
      </c>
      <c r="O40" s="399">
        <v>375069</v>
      </c>
      <c r="P40" s="402">
        <v>40539061.911523245</v>
      </c>
      <c r="Q40" s="399">
        <v>203423</v>
      </c>
      <c r="R40" s="399">
        <v>21696826.012934219</v>
      </c>
      <c r="S40" s="399">
        <v>578492</v>
      </c>
      <c r="T40" s="402">
        <v>62235887.924457468</v>
      </c>
    </row>
    <row r="41" spans="2:20" hidden="1" outlineLevel="1" x14ac:dyDescent="0.25">
      <c r="B41" s="219">
        <v>39995</v>
      </c>
      <c r="C41" s="399">
        <v>261334</v>
      </c>
      <c r="D41" s="402">
        <v>34344288.782619767</v>
      </c>
      <c r="E41" s="399">
        <v>117124</v>
      </c>
      <c r="F41" s="402">
        <v>15354691.952469697</v>
      </c>
      <c r="G41" s="399">
        <v>378458</v>
      </c>
      <c r="H41" s="402">
        <v>49698980.735089473</v>
      </c>
      <c r="I41" s="399">
        <v>116028</v>
      </c>
      <c r="J41" s="402">
        <v>16404134.467516067</v>
      </c>
      <c r="K41" s="399">
        <v>86710</v>
      </c>
      <c r="L41" s="402">
        <v>11725016.510682579</v>
      </c>
      <c r="M41" s="399">
        <v>202738</v>
      </c>
      <c r="N41" s="402">
        <v>28129150.978198647</v>
      </c>
      <c r="O41" s="399">
        <v>377362</v>
      </c>
      <c r="P41" s="402">
        <v>50748423.250135832</v>
      </c>
      <c r="Q41" s="399">
        <v>203834</v>
      </c>
      <c r="R41" s="399">
        <v>27079708.463152278</v>
      </c>
      <c r="S41" s="399">
        <v>581196</v>
      </c>
      <c r="T41" s="402">
        <v>77828131.713288113</v>
      </c>
    </row>
    <row r="42" spans="2:20" hidden="1" outlineLevel="1" x14ac:dyDescent="0.25">
      <c r="B42" s="219">
        <v>40026</v>
      </c>
      <c r="C42" s="399">
        <v>261917</v>
      </c>
      <c r="D42" s="402">
        <v>34536698.058832712</v>
      </c>
      <c r="E42" s="399">
        <v>117348</v>
      </c>
      <c r="F42" s="402">
        <v>15606063.121137518</v>
      </c>
      <c r="G42" s="399">
        <v>379265</v>
      </c>
      <c r="H42" s="402">
        <v>50142761.179970227</v>
      </c>
      <c r="I42" s="399">
        <v>117514</v>
      </c>
      <c r="J42" s="402">
        <v>17090232.11408658</v>
      </c>
      <c r="K42" s="399">
        <v>87229</v>
      </c>
      <c r="L42" s="402">
        <v>12035009.837293189</v>
      </c>
      <c r="M42" s="399">
        <v>204743</v>
      </c>
      <c r="N42" s="402">
        <v>29125241.951379769</v>
      </c>
      <c r="O42" s="399">
        <v>379431</v>
      </c>
      <c r="P42" s="402">
        <v>51626930.172919288</v>
      </c>
      <c r="Q42" s="399">
        <v>204577</v>
      </c>
      <c r="R42" s="399">
        <v>27641072.958430707</v>
      </c>
      <c r="S42" s="399">
        <v>584008</v>
      </c>
      <c r="T42" s="402">
        <v>79268003.131349996</v>
      </c>
    </row>
    <row r="43" spans="2:20" hidden="1" outlineLevel="1" x14ac:dyDescent="0.25">
      <c r="B43" s="219">
        <v>40057</v>
      </c>
      <c r="C43" s="399">
        <v>267244</v>
      </c>
      <c r="D43" s="402">
        <v>36150043.795774646</v>
      </c>
      <c r="E43" s="399">
        <v>117430</v>
      </c>
      <c r="F43" s="402">
        <v>15325646.665396007</v>
      </c>
      <c r="G43" s="399">
        <v>384674</v>
      </c>
      <c r="H43" s="402">
        <v>51475690.461170651</v>
      </c>
      <c r="I43" s="399">
        <v>118761</v>
      </c>
      <c r="J43" s="402">
        <v>16944156.496021926</v>
      </c>
      <c r="K43" s="399">
        <v>87678</v>
      </c>
      <c r="L43" s="402">
        <v>11920564.248306889</v>
      </c>
      <c r="M43" s="399">
        <v>206439</v>
      </c>
      <c r="N43" s="402">
        <v>28864720.744328815</v>
      </c>
      <c r="O43" s="399">
        <v>386005</v>
      </c>
      <c r="P43" s="402">
        <v>53094200.291796573</v>
      </c>
      <c r="Q43" s="399">
        <v>205108</v>
      </c>
      <c r="R43" s="399">
        <v>27246210.913702898</v>
      </c>
      <c r="S43" s="399">
        <v>591113</v>
      </c>
      <c r="T43" s="402">
        <v>80340411.20549947</v>
      </c>
    </row>
    <row r="44" spans="2:20" hidden="1" outlineLevel="1" x14ac:dyDescent="0.25">
      <c r="B44" s="219">
        <v>40087</v>
      </c>
      <c r="C44" s="399">
        <v>273548</v>
      </c>
      <c r="D44" s="402">
        <v>36878014.824865289</v>
      </c>
      <c r="E44" s="399">
        <v>118419</v>
      </c>
      <c r="F44" s="402">
        <v>15687710.876374345</v>
      </c>
      <c r="G44" s="399">
        <v>391967</v>
      </c>
      <c r="H44" s="402">
        <v>52565725.701239631</v>
      </c>
      <c r="I44" s="399">
        <v>120250</v>
      </c>
      <c r="J44" s="402">
        <v>17507428.90016786</v>
      </c>
      <c r="K44" s="399">
        <v>88090</v>
      </c>
      <c r="L44" s="402">
        <v>12043872.44511399</v>
      </c>
      <c r="M44" s="399">
        <v>208340</v>
      </c>
      <c r="N44" s="402">
        <v>29551301.345281854</v>
      </c>
      <c r="O44" s="399">
        <v>393798</v>
      </c>
      <c r="P44" s="402">
        <v>54385443.725033149</v>
      </c>
      <c r="Q44" s="399">
        <v>206509</v>
      </c>
      <c r="R44" s="399">
        <v>27731583.321488339</v>
      </c>
      <c r="S44" s="399">
        <v>600307</v>
      </c>
      <c r="T44" s="402">
        <v>82117027.046521485</v>
      </c>
    </row>
    <row r="45" spans="2:20" hidden="1" outlineLevel="1" x14ac:dyDescent="0.25">
      <c r="B45" s="219">
        <v>40118</v>
      </c>
      <c r="C45" s="399">
        <v>275060</v>
      </c>
      <c r="D45" s="402">
        <v>36136308.796310537</v>
      </c>
      <c r="E45" s="399">
        <v>118547</v>
      </c>
      <c r="F45" s="402">
        <v>15510428.510453595</v>
      </c>
      <c r="G45" s="399">
        <v>393607</v>
      </c>
      <c r="H45" s="402">
        <v>51646737.306764141</v>
      </c>
      <c r="I45" s="399">
        <v>121468</v>
      </c>
      <c r="J45" s="402">
        <v>17416794.993627582</v>
      </c>
      <c r="K45" s="399">
        <v>88421</v>
      </c>
      <c r="L45" s="402">
        <v>12008037.227319594</v>
      </c>
      <c r="M45" s="399">
        <v>209889</v>
      </c>
      <c r="N45" s="402">
        <v>29424832.220947176</v>
      </c>
      <c r="O45" s="399">
        <v>396528</v>
      </c>
      <c r="P45" s="402">
        <v>53553103.789938115</v>
      </c>
      <c r="Q45" s="399">
        <v>206968</v>
      </c>
      <c r="R45" s="399">
        <v>27518465.737773191</v>
      </c>
      <c r="S45" s="399">
        <v>603496</v>
      </c>
      <c r="T45" s="402">
        <v>81071569.527711302</v>
      </c>
    </row>
    <row r="46" spans="2:20" hidden="1" outlineLevel="1" x14ac:dyDescent="0.25">
      <c r="B46" s="219">
        <v>40148</v>
      </c>
      <c r="C46" s="399">
        <v>278864</v>
      </c>
      <c r="D46" s="402">
        <v>37709883.068122737</v>
      </c>
      <c r="E46" s="399">
        <v>119964</v>
      </c>
      <c r="F46" s="402">
        <v>16004512.868754089</v>
      </c>
      <c r="G46" s="399">
        <v>398828</v>
      </c>
      <c r="H46" s="402">
        <v>53714395.936876833</v>
      </c>
      <c r="I46" s="399">
        <v>123215</v>
      </c>
      <c r="J46" s="402">
        <v>18562052.278577667</v>
      </c>
      <c r="K46" s="399">
        <v>88990</v>
      </c>
      <c r="L46" s="402">
        <v>12384616.017150305</v>
      </c>
      <c r="M46" s="399">
        <v>212205</v>
      </c>
      <c r="N46" s="402">
        <v>30946668.295727972</v>
      </c>
      <c r="O46" s="399">
        <v>402079</v>
      </c>
      <c r="P46" s="402">
        <v>56271935.3467004</v>
      </c>
      <c r="Q46" s="399">
        <v>208954</v>
      </c>
      <c r="R46" s="399">
        <v>28389128.885904394</v>
      </c>
      <c r="S46" s="399">
        <v>611033</v>
      </c>
      <c r="T46" s="402">
        <v>84661064.232604802</v>
      </c>
    </row>
    <row r="47" spans="2:20" collapsed="1" x14ac:dyDescent="0.25">
      <c r="B47" s="393" t="s">
        <v>750</v>
      </c>
      <c r="C47" s="394">
        <v>262267.25</v>
      </c>
      <c r="D47" s="403">
        <v>31495729.191698816</v>
      </c>
      <c r="E47" s="394">
        <v>117026.58333333333</v>
      </c>
      <c r="F47" s="403">
        <v>13894748.605937203</v>
      </c>
      <c r="G47" s="394">
        <v>379293.83333333331</v>
      </c>
      <c r="H47" s="403">
        <v>45390477.79763601</v>
      </c>
      <c r="I47" s="394">
        <v>116205.08333333333</v>
      </c>
      <c r="J47" s="403">
        <v>14973421.578343762</v>
      </c>
      <c r="K47" s="394">
        <v>86817.666666666672</v>
      </c>
      <c r="L47" s="403">
        <v>10629782.386973897</v>
      </c>
      <c r="M47" s="394">
        <v>203022.75</v>
      </c>
      <c r="N47" s="403">
        <v>25603203.965317655</v>
      </c>
      <c r="O47" s="394">
        <v>378472.33333333331</v>
      </c>
      <c r="P47" s="403">
        <v>46469150.770042568</v>
      </c>
      <c r="Q47" s="394">
        <v>203844.25</v>
      </c>
      <c r="R47" s="394">
        <v>24524530.992911104</v>
      </c>
      <c r="S47" s="394">
        <v>582316.58333333337</v>
      </c>
      <c r="T47" s="403">
        <v>70993681.762953684</v>
      </c>
    </row>
    <row r="48" spans="2:20" hidden="1" outlineLevel="1" x14ac:dyDescent="0.25">
      <c r="B48" s="219">
        <v>40179</v>
      </c>
      <c r="C48" s="399">
        <v>281175</v>
      </c>
      <c r="D48" s="402">
        <v>36647210.952821709</v>
      </c>
      <c r="E48" s="399">
        <v>120328</v>
      </c>
      <c r="F48" s="402">
        <v>15626488.715961454</v>
      </c>
      <c r="G48" s="399">
        <v>401503</v>
      </c>
      <c r="H48" s="402">
        <v>52273699.668783158</v>
      </c>
      <c r="I48" s="399">
        <v>124307</v>
      </c>
      <c r="J48" s="402">
        <v>17317270.170432899</v>
      </c>
      <c r="K48" s="399">
        <v>89382</v>
      </c>
      <c r="L48" s="402">
        <v>11987501.99036927</v>
      </c>
      <c r="M48" s="399">
        <v>213689</v>
      </c>
      <c r="N48" s="402">
        <v>29304772.160802171</v>
      </c>
      <c r="O48" s="399">
        <v>405482</v>
      </c>
      <c r="P48" s="402">
        <v>53964481.123254597</v>
      </c>
      <c r="Q48" s="399">
        <v>209710</v>
      </c>
      <c r="R48" s="399">
        <v>27613990.706330728</v>
      </c>
      <c r="S48" s="399">
        <v>615192</v>
      </c>
      <c r="T48" s="402">
        <v>81578471.829585329</v>
      </c>
    </row>
    <row r="49" spans="2:20" hidden="1" outlineLevel="1" x14ac:dyDescent="0.25">
      <c r="B49" s="219">
        <v>40210</v>
      </c>
      <c r="C49" s="399">
        <v>280040</v>
      </c>
      <c r="D49" s="402">
        <v>35973856.208024971</v>
      </c>
      <c r="E49" s="399">
        <v>119616</v>
      </c>
      <c r="F49" s="402">
        <v>15368827.728481149</v>
      </c>
      <c r="G49" s="399">
        <v>399656</v>
      </c>
      <c r="H49" s="402">
        <v>51342683.93650613</v>
      </c>
      <c r="I49" s="399">
        <v>123693</v>
      </c>
      <c r="J49" s="402">
        <v>15896252.502892649</v>
      </c>
      <c r="K49" s="399">
        <v>89028</v>
      </c>
      <c r="L49" s="402">
        <v>11442453.436875353</v>
      </c>
      <c r="M49" s="399">
        <v>212721</v>
      </c>
      <c r="N49" s="402">
        <v>27338705.939768001</v>
      </c>
      <c r="O49" s="399">
        <v>403733</v>
      </c>
      <c r="P49" s="402">
        <v>51870108.710917622</v>
      </c>
      <c r="Q49" s="399">
        <v>208644</v>
      </c>
      <c r="R49" s="399">
        <v>26811281.165356502</v>
      </c>
      <c r="S49" s="399">
        <v>612377</v>
      </c>
      <c r="T49" s="402">
        <v>78681389.876274124</v>
      </c>
    </row>
    <row r="50" spans="2:20" hidden="1" outlineLevel="1" x14ac:dyDescent="0.25">
      <c r="B50" s="219">
        <v>40238</v>
      </c>
      <c r="C50" s="399">
        <v>282275</v>
      </c>
      <c r="D50" s="402">
        <v>37533824.172805779</v>
      </c>
      <c r="E50" s="399">
        <v>120019</v>
      </c>
      <c r="F50" s="402">
        <v>15676610.743839649</v>
      </c>
      <c r="G50" s="399">
        <v>402294</v>
      </c>
      <c r="H50" s="402">
        <v>53210434.916645423</v>
      </c>
      <c r="I50" s="399">
        <v>124927</v>
      </c>
      <c r="J50" s="402">
        <v>17551334.326542847</v>
      </c>
      <c r="K50" s="399">
        <v>89480</v>
      </c>
      <c r="L50" s="402">
        <v>12043250.469239984</v>
      </c>
      <c r="M50" s="399">
        <v>214407</v>
      </c>
      <c r="N50" s="402">
        <v>29594584.795782834</v>
      </c>
      <c r="O50" s="399">
        <v>407202</v>
      </c>
      <c r="P50" s="402">
        <v>55085158.499348626</v>
      </c>
      <c r="Q50" s="399">
        <v>209499</v>
      </c>
      <c r="R50" s="399">
        <v>27719861.213079631</v>
      </c>
      <c r="S50" s="399">
        <v>616701</v>
      </c>
      <c r="T50" s="402">
        <v>82805019.712428257</v>
      </c>
    </row>
    <row r="51" spans="2:20" hidden="1" outlineLevel="1" x14ac:dyDescent="0.25">
      <c r="B51" s="219">
        <v>40269</v>
      </c>
      <c r="C51" s="399">
        <v>283343</v>
      </c>
      <c r="D51" s="402">
        <v>36698707.44749745</v>
      </c>
      <c r="E51" s="399">
        <v>120234</v>
      </c>
      <c r="F51" s="402">
        <v>15615758.171229945</v>
      </c>
      <c r="G51" s="399">
        <v>403577</v>
      </c>
      <c r="H51" s="402">
        <v>52314465.618727401</v>
      </c>
      <c r="I51" s="399">
        <v>125111</v>
      </c>
      <c r="J51" s="402">
        <v>16649493.335930241</v>
      </c>
      <c r="K51" s="399">
        <v>89554</v>
      </c>
      <c r="L51" s="402">
        <v>11762631.586339658</v>
      </c>
      <c r="M51" s="399">
        <v>214665</v>
      </c>
      <c r="N51" s="402">
        <v>28412124.922269896</v>
      </c>
      <c r="O51" s="399">
        <v>408454</v>
      </c>
      <c r="P51" s="402">
        <v>53348200.783427693</v>
      </c>
      <c r="Q51" s="399">
        <v>209788</v>
      </c>
      <c r="R51" s="399">
        <v>27378389.757569607</v>
      </c>
      <c r="S51" s="399">
        <v>618242</v>
      </c>
      <c r="T51" s="402">
        <v>80726590.540997297</v>
      </c>
    </row>
    <row r="52" spans="2:20" hidden="1" outlineLevel="1" x14ac:dyDescent="0.25">
      <c r="B52" s="219">
        <v>40299</v>
      </c>
      <c r="C52" s="399">
        <v>283931</v>
      </c>
      <c r="D52" s="402">
        <v>36833055.555908404</v>
      </c>
      <c r="E52" s="399">
        <v>120295</v>
      </c>
      <c r="F52" s="402">
        <v>15522142.445153557</v>
      </c>
      <c r="G52" s="399">
        <v>404226</v>
      </c>
      <c r="H52" s="402">
        <v>52355198.001061961</v>
      </c>
      <c r="I52" s="399">
        <v>125246</v>
      </c>
      <c r="J52" s="402">
        <v>16657918.866987996</v>
      </c>
      <c r="K52" s="399">
        <v>89604</v>
      </c>
      <c r="L52" s="402">
        <v>11693919.171220312</v>
      </c>
      <c r="M52" s="399">
        <v>214850</v>
      </c>
      <c r="N52" s="402">
        <v>28351838.03820831</v>
      </c>
      <c r="O52" s="399">
        <v>409177</v>
      </c>
      <c r="P52" s="402">
        <v>53490974.4228964</v>
      </c>
      <c r="Q52" s="399">
        <v>209899</v>
      </c>
      <c r="R52" s="399">
        <v>27216061.616373871</v>
      </c>
      <c r="S52" s="399">
        <v>619076</v>
      </c>
      <c r="T52" s="402">
        <v>80707036.039270267</v>
      </c>
    </row>
    <row r="53" spans="2:20" hidden="1" outlineLevel="1" x14ac:dyDescent="0.25">
      <c r="B53" s="219">
        <v>40330</v>
      </c>
      <c r="C53" s="399">
        <v>284810</v>
      </c>
      <c r="D53" s="402">
        <v>36809778.066514157</v>
      </c>
      <c r="E53" s="399">
        <v>120331</v>
      </c>
      <c r="F53" s="402">
        <v>15502449.303197226</v>
      </c>
      <c r="G53" s="399">
        <v>405141</v>
      </c>
      <c r="H53" s="402">
        <v>52312227.369711384</v>
      </c>
      <c r="I53" s="399">
        <v>125671</v>
      </c>
      <c r="J53" s="402">
        <v>16904237.479847264</v>
      </c>
      <c r="K53" s="399">
        <v>89759</v>
      </c>
      <c r="L53" s="402">
        <v>11784354.958890231</v>
      </c>
      <c r="M53" s="399">
        <v>215430</v>
      </c>
      <c r="N53" s="402">
        <v>28688592.4387375</v>
      </c>
      <c r="O53" s="399">
        <v>410481</v>
      </c>
      <c r="P53" s="402">
        <v>53714015.546361424</v>
      </c>
      <c r="Q53" s="399">
        <v>210090</v>
      </c>
      <c r="R53" s="399">
        <v>27286804.262087461</v>
      </c>
      <c r="S53" s="399">
        <v>620571</v>
      </c>
      <c r="T53" s="402">
        <v>81000819.808448881</v>
      </c>
    </row>
    <row r="54" spans="2:20" hidden="1" outlineLevel="1" x14ac:dyDescent="0.25">
      <c r="B54" s="219">
        <v>40360</v>
      </c>
      <c r="C54" s="399">
        <v>285566</v>
      </c>
      <c r="D54" s="402">
        <v>37105682.026622005</v>
      </c>
      <c r="E54" s="399">
        <v>120293</v>
      </c>
      <c r="F54" s="402">
        <v>15619070.258041339</v>
      </c>
      <c r="G54" s="399">
        <v>405859</v>
      </c>
      <c r="H54" s="402">
        <v>52724752.284663334</v>
      </c>
      <c r="I54" s="399">
        <v>125791</v>
      </c>
      <c r="J54" s="402">
        <v>16975317.122210618</v>
      </c>
      <c r="K54" s="399">
        <v>89862</v>
      </c>
      <c r="L54" s="402">
        <v>11879453.447582105</v>
      </c>
      <c r="M54" s="399">
        <v>215653</v>
      </c>
      <c r="N54" s="402">
        <v>28854770.569792725</v>
      </c>
      <c r="O54" s="399">
        <v>411357</v>
      </c>
      <c r="P54" s="402">
        <v>54080999.148832619</v>
      </c>
      <c r="Q54" s="399">
        <v>210155</v>
      </c>
      <c r="R54" s="399">
        <v>27498523.705623444</v>
      </c>
      <c r="S54" s="399">
        <v>621512</v>
      </c>
      <c r="T54" s="402">
        <v>81579522.854456052</v>
      </c>
    </row>
    <row r="55" spans="2:20" hidden="1" outlineLevel="1" x14ac:dyDescent="0.25">
      <c r="B55" s="219">
        <v>40391</v>
      </c>
      <c r="C55" s="399">
        <v>286679</v>
      </c>
      <c r="D55" s="402">
        <v>37384626.375455678</v>
      </c>
      <c r="E55" s="399">
        <v>120325</v>
      </c>
      <c r="F55" s="402">
        <v>15607521.133394614</v>
      </c>
      <c r="G55" s="399">
        <v>407004</v>
      </c>
      <c r="H55" s="402">
        <v>52992147.508850299</v>
      </c>
      <c r="I55" s="399">
        <v>126047</v>
      </c>
      <c r="J55" s="402">
        <v>16894261.961152732</v>
      </c>
      <c r="K55" s="399">
        <v>89942</v>
      </c>
      <c r="L55" s="402">
        <v>11821078.250259943</v>
      </c>
      <c r="M55" s="399">
        <v>215989</v>
      </c>
      <c r="N55" s="402">
        <v>28715340.211412676</v>
      </c>
      <c r="O55" s="399">
        <v>412726</v>
      </c>
      <c r="P55" s="402">
        <v>54278888.336608417</v>
      </c>
      <c r="Q55" s="399">
        <v>210267</v>
      </c>
      <c r="R55" s="399">
        <v>27428599.383654557</v>
      </c>
      <c r="S55" s="399">
        <v>622993</v>
      </c>
      <c r="T55" s="402">
        <v>81707487.720262975</v>
      </c>
    </row>
    <row r="56" spans="2:20" hidden="1" outlineLevel="1" x14ac:dyDescent="0.25">
      <c r="B56" s="219">
        <v>40422</v>
      </c>
      <c r="C56" s="399">
        <v>286024</v>
      </c>
      <c r="D56" s="402">
        <v>36623538.152757846</v>
      </c>
      <c r="E56" s="399">
        <v>119687</v>
      </c>
      <c r="F56" s="402">
        <v>15302242.016542841</v>
      </c>
      <c r="G56" s="399">
        <v>405711</v>
      </c>
      <c r="H56" s="402">
        <v>51925780.169300683</v>
      </c>
      <c r="I56" s="399">
        <v>126265</v>
      </c>
      <c r="J56" s="402">
        <v>16881818.366144493</v>
      </c>
      <c r="K56" s="399">
        <v>90028</v>
      </c>
      <c r="L56" s="402">
        <v>11832158.826949634</v>
      </c>
      <c r="M56" s="399">
        <v>216293</v>
      </c>
      <c r="N56" s="402">
        <v>28713977.193094127</v>
      </c>
      <c r="O56" s="399">
        <v>412289</v>
      </c>
      <c r="P56" s="402">
        <v>53505356.518902339</v>
      </c>
      <c r="Q56" s="399">
        <v>209715</v>
      </c>
      <c r="R56" s="399">
        <v>27134400.843492478</v>
      </c>
      <c r="S56" s="399">
        <v>622004</v>
      </c>
      <c r="T56" s="402">
        <v>80639757.36239481</v>
      </c>
    </row>
    <row r="57" spans="2:20" hidden="1" outlineLevel="1" x14ac:dyDescent="0.25">
      <c r="B57" s="219">
        <v>40452</v>
      </c>
      <c r="C57" s="399">
        <v>286401</v>
      </c>
      <c r="D57" s="402">
        <v>37022910.711137913</v>
      </c>
      <c r="E57" s="399">
        <v>119515</v>
      </c>
      <c r="F57" s="402">
        <v>15465288.453728465</v>
      </c>
      <c r="G57" s="399">
        <v>405916</v>
      </c>
      <c r="H57" s="402">
        <v>52488199.16486638</v>
      </c>
      <c r="I57" s="399">
        <v>126450</v>
      </c>
      <c r="J57" s="402">
        <v>16859031.83673365</v>
      </c>
      <c r="K57" s="399">
        <v>90089</v>
      </c>
      <c r="L57" s="402">
        <v>11798572.831543123</v>
      </c>
      <c r="M57" s="399">
        <v>216539</v>
      </c>
      <c r="N57" s="402">
        <v>28657604.668276776</v>
      </c>
      <c r="O57" s="399">
        <v>412851</v>
      </c>
      <c r="P57" s="402">
        <v>53881942.547871567</v>
      </c>
      <c r="Q57" s="399">
        <v>209604</v>
      </c>
      <c r="R57" s="399">
        <v>27263861.285271589</v>
      </c>
      <c r="S57" s="399">
        <v>622455</v>
      </c>
      <c r="T57" s="402">
        <v>81145803.83314316</v>
      </c>
    </row>
    <row r="58" spans="2:20" hidden="1" outlineLevel="1" x14ac:dyDescent="0.25">
      <c r="B58" s="219">
        <v>40483</v>
      </c>
      <c r="C58" s="399">
        <v>286938</v>
      </c>
      <c r="D58" s="402">
        <v>37255955.317689158</v>
      </c>
      <c r="E58" s="399">
        <v>119528</v>
      </c>
      <c r="F58" s="402">
        <v>15516354.597688677</v>
      </c>
      <c r="G58" s="399">
        <v>406466</v>
      </c>
      <c r="H58" s="402">
        <v>52772309.915377833</v>
      </c>
      <c r="I58" s="399">
        <v>126434</v>
      </c>
      <c r="J58" s="402">
        <v>16857227.171702906</v>
      </c>
      <c r="K58" s="399">
        <v>90074</v>
      </c>
      <c r="L58" s="402">
        <v>11774151.511105807</v>
      </c>
      <c r="M58" s="399">
        <v>216508</v>
      </c>
      <c r="N58" s="402">
        <v>28631378.682808716</v>
      </c>
      <c r="O58" s="399">
        <v>413372</v>
      </c>
      <c r="P58" s="402">
        <v>54113182.489392065</v>
      </c>
      <c r="Q58" s="399">
        <v>209602</v>
      </c>
      <c r="R58" s="399">
        <v>27290506.108794484</v>
      </c>
      <c r="S58" s="399">
        <v>622974</v>
      </c>
      <c r="T58" s="402">
        <v>81403688.598186553</v>
      </c>
    </row>
    <row r="59" spans="2:20" hidden="1" outlineLevel="1" x14ac:dyDescent="0.25">
      <c r="B59" s="219">
        <v>40513</v>
      </c>
      <c r="C59" s="399">
        <v>287654</v>
      </c>
      <c r="D59" s="402">
        <v>37339626.101643264</v>
      </c>
      <c r="E59" s="399">
        <v>119464</v>
      </c>
      <c r="F59" s="402">
        <v>15452129.489098011</v>
      </c>
      <c r="G59" s="399">
        <v>407118</v>
      </c>
      <c r="H59" s="402">
        <v>52791755.590741277</v>
      </c>
      <c r="I59" s="399">
        <v>126415</v>
      </c>
      <c r="J59" s="402">
        <v>16747135.350476159</v>
      </c>
      <c r="K59" s="399">
        <v>89975</v>
      </c>
      <c r="L59" s="402">
        <v>11734291.614436302</v>
      </c>
      <c r="M59" s="399">
        <v>216390</v>
      </c>
      <c r="N59" s="402">
        <v>28481426.964912459</v>
      </c>
      <c r="O59" s="399">
        <v>414069</v>
      </c>
      <c r="P59" s="402">
        <v>54086761.452119425</v>
      </c>
      <c r="Q59" s="399">
        <v>209439</v>
      </c>
      <c r="R59" s="399">
        <v>27186421.103534315</v>
      </c>
      <c r="S59" s="399">
        <v>623508</v>
      </c>
      <c r="T59" s="402">
        <v>81273182.555653736</v>
      </c>
    </row>
    <row r="60" spans="2:20" collapsed="1" x14ac:dyDescent="0.25">
      <c r="B60" s="393" t="s">
        <v>751</v>
      </c>
      <c r="C60" s="394">
        <v>284569.66666666669</v>
      </c>
      <c r="D60" s="403">
        <v>36935730.924073197</v>
      </c>
      <c r="E60" s="394">
        <v>119969.58333333333</v>
      </c>
      <c r="F60" s="403">
        <v>15522906.921363076</v>
      </c>
      <c r="G60" s="394">
        <v>404539.25</v>
      </c>
      <c r="H60" s="403">
        <v>52458637.845436268</v>
      </c>
      <c r="I60" s="394">
        <v>125529.75</v>
      </c>
      <c r="J60" s="403">
        <v>16849274.874254536</v>
      </c>
      <c r="K60" s="394">
        <v>89731.416666666672</v>
      </c>
      <c r="L60" s="403">
        <v>11796151.507900976</v>
      </c>
      <c r="M60" s="394">
        <v>215261.16666666666</v>
      </c>
      <c r="N60" s="403">
        <v>28645426.382155519</v>
      </c>
      <c r="O60" s="394">
        <v>410099.41666666669</v>
      </c>
      <c r="P60" s="403">
        <v>53785005.798327737</v>
      </c>
      <c r="Q60" s="394">
        <v>209701</v>
      </c>
      <c r="R60" s="394">
        <v>27319058.429264065</v>
      </c>
      <c r="S60" s="394">
        <v>619800.41666666663</v>
      </c>
      <c r="T60" s="403">
        <v>81104064.227591783</v>
      </c>
    </row>
    <row r="61" spans="2:20" hidden="1" outlineLevel="1" x14ac:dyDescent="0.25">
      <c r="B61" s="219">
        <v>40544</v>
      </c>
      <c r="C61" s="399">
        <v>288408</v>
      </c>
      <c r="D61" s="402">
        <v>37717780.527257927</v>
      </c>
      <c r="E61" s="399">
        <v>119753</v>
      </c>
      <c r="F61" s="402">
        <v>15582936.578096379</v>
      </c>
      <c r="G61" s="399">
        <v>408161</v>
      </c>
      <c r="H61" s="402">
        <v>53300717.105354302</v>
      </c>
      <c r="I61" s="399">
        <v>126319</v>
      </c>
      <c r="J61" s="402">
        <v>16545100.360665381</v>
      </c>
      <c r="K61" s="399">
        <v>89864</v>
      </c>
      <c r="L61" s="402">
        <v>11605601.044429488</v>
      </c>
      <c r="M61" s="399">
        <v>216183</v>
      </c>
      <c r="N61" s="402">
        <v>28150701.405094869</v>
      </c>
      <c r="O61" s="399">
        <v>414727</v>
      </c>
      <c r="P61" s="402">
        <v>54262880.8879233</v>
      </c>
      <c r="Q61" s="399">
        <v>209617</v>
      </c>
      <c r="R61" s="399">
        <v>27188537.622525867</v>
      </c>
      <c r="S61" s="399">
        <v>624344</v>
      </c>
      <c r="T61" s="402">
        <v>81451418.510449171</v>
      </c>
    </row>
    <row r="62" spans="2:20" hidden="1" outlineLevel="1" x14ac:dyDescent="0.25">
      <c r="B62" s="219">
        <v>40575</v>
      </c>
      <c r="C62" s="399">
        <v>288069</v>
      </c>
      <c r="D62" s="402">
        <v>36905981.670826271</v>
      </c>
      <c r="E62" s="399">
        <v>119558</v>
      </c>
      <c r="F62" s="402">
        <v>15301310.457998168</v>
      </c>
      <c r="G62" s="399">
        <v>407627</v>
      </c>
      <c r="H62" s="402">
        <v>52207292.128824443</v>
      </c>
      <c r="I62" s="399">
        <v>126149</v>
      </c>
      <c r="J62" s="402">
        <v>16407302.155486932</v>
      </c>
      <c r="K62" s="399">
        <v>89724</v>
      </c>
      <c r="L62" s="402">
        <v>11535586.846147005</v>
      </c>
      <c r="M62" s="399">
        <v>215873</v>
      </c>
      <c r="N62" s="402">
        <v>27942889.001633938</v>
      </c>
      <c r="O62" s="399">
        <v>414218</v>
      </c>
      <c r="P62" s="402">
        <v>53313283.826313213</v>
      </c>
      <c r="Q62" s="399">
        <v>209282</v>
      </c>
      <c r="R62" s="399">
        <v>26836897.304145172</v>
      </c>
      <c r="S62" s="399">
        <v>623500</v>
      </c>
      <c r="T62" s="402">
        <v>80150181.13045837</v>
      </c>
    </row>
    <row r="63" spans="2:20" hidden="1" outlineLevel="1" x14ac:dyDescent="0.25">
      <c r="B63" s="219">
        <v>40603</v>
      </c>
      <c r="C63" s="399">
        <v>288568</v>
      </c>
      <c r="D63" s="402">
        <v>36913636.34989538</v>
      </c>
      <c r="E63" s="399">
        <v>119590</v>
      </c>
      <c r="F63" s="402">
        <v>15275355.93034978</v>
      </c>
      <c r="G63" s="399">
        <v>408158</v>
      </c>
      <c r="H63" s="402">
        <v>52188992.280245163</v>
      </c>
      <c r="I63" s="399">
        <v>126230</v>
      </c>
      <c r="J63" s="402">
        <v>16464640.950739807</v>
      </c>
      <c r="K63" s="399">
        <v>89738</v>
      </c>
      <c r="L63" s="402">
        <v>11534576.996370314</v>
      </c>
      <c r="M63" s="399">
        <v>215968</v>
      </c>
      <c r="N63" s="402">
        <v>27999217.94711012</v>
      </c>
      <c r="O63" s="399">
        <v>414798</v>
      </c>
      <c r="P63" s="402">
        <v>53378277.300635189</v>
      </c>
      <c r="Q63" s="399">
        <v>209328</v>
      </c>
      <c r="R63" s="399">
        <v>26809932.926720094</v>
      </c>
      <c r="S63" s="399">
        <v>624126</v>
      </c>
      <c r="T63" s="402">
        <v>80188210.227355286</v>
      </c>
    </row>
    <row r="64" spans="2:20" hidden="1" outlineLevel="1" x14ac:dyDescent="0.25">
      <c r="B64" s="219">
        <v>40634</v>
      </c>
      <c r="C64" s="399">
        <v>285145</v>
      </c>
      <c r="D64" s="402">
        <v>35683976.321399182</v>
      </c>
      <c r="E64" s="399">
        <v>118210</v>
      </c>
      <c r="F64" s="402">
        <v>14794584.51004611</v>
      </c>
      <c r="G64" s="399">
        <v>403355</v>
      </c>
      <c r="H64" s="402">
        <v>50478560.831445299</v>
      </c>
      <c r="I64" s="399">
        <v>126017</v>
      </c>
      <c r="J64" s="402">
        <v>16447857.544613456</v>
      </c>
      <c r="K64" s="399">
        <v>89436</v>
      </c>
      <c r="L64" s="402">
        <v>11476504.338565316</v>
      </c>
      <c r="M64" s="399">
        <v>215453</v>
      </c>
      <c r="N64" s="402">
        <v>27924361.883178771</v>
      </c>
      <c r="O64" s="399">
        <v>411162</v>
      </c>
      <c r="P64" s="402">
        <v>52131833.86601264</v>
      </c>
      <c r="Q64" s="399">
        <v>207646</v>
      </c>
      <c r="R64" s="399">
        <v>26271088.848611426</v>
      </c>
      <c r="S64" s="399">
        <v>618808</v>
      </c>
      <c r="T64" s="402">
        <v>78402922.714624062</v>
      </c>
    </row>
    <row r="65" spans="2:20" hidden="1" outlineLevel="1" x14ac:dyDescent="0.25">
      <c r="B65" s="219">
        <v>40664</v>
      </c>
      <c r="C65" s="399">
        <v>287109</v>
      </c>
      <c r="D65" s="402">
        <v>37115159.16388683</v>
      </c>
      <c r="E65" s="399">
        <v>119022</v>
      </c>
      <c r="F65" s="402">
        <v>15418457.901302256</v>
      </c>
      <c r="G65" s="399">
        <v>406131</v>
      </c>
      <c r="H65" s="402">
        <v>52533617.065189086</v>
      </c>
      <c r="I65" s="399">
        <v>125967</v>
      </c>
      <c r="J65" s="402">
        <v>16204804.444495823</v>
      </c>
      <c r="K65" s="399">
        <v>89387</v>
      </c>
      <c r="L65" s="402">
        <v>11369206.517577337</v>
      </c>
      <c r="M65" s="399">
        <v>215354</v>
      </c>
      <c r="N65" s="402">
        <v>27574010.962073158</v>
      </c>
      <c r="O65" s="399">
        <v>413076</v>
      </c>
      <c r="P65" s="402">
        <v>53319963.60838265</v>
      </c>
      <c r="Q65" s="399">
        <v>208409</v>
      </c>
      <c r="R65" s="399">
        <v>26787664.418879595</v>
      </c>
      <c r="S65" s="399">
        <v>621485</v>
      </c>
      <c r="T65" s="402">
        <v>80107628.027262256</v>
      </c>
    </row>
    <row r="66" spans="2:20" hidden="1" outlineLevel="1" x14ac:dyDescent="0.25">
      <c r="B66" s="219">
        <v>40695</v>
      </c>
      <c r="C66" s="399">
        <v>287551</v>
      </c>
      <c r="D66" s="402">
        <v>36412861.222169235</v>
      </c>
      <c r="E66" s="399">
        <v>119061</v>
      </c>
      <c r="F66" s="402">
        <v>15062264.824785974</v>
      </c>
      <c r="G66" s="399">
        <v>406612</v>
      </c>
      <c r="H66" s="402">
        <v>51475126.046955213</v>
      </c>
      <c r="I66" s="399">
        <v>126043</v>
      </c>
      <c r="J66" s="402">
        <v>16267099.992733177</v>
      </c>
      <c r="K66" s="399">
        <v>89400</v>
      </c>
      <c r="L66" s="402">
        <v>11365743.976702806</v>
      </c>
      <c r="M66" s="399">
        <v>215443</v>
      </c>
      <c r="N66" s="402">
        <v>27632843.969435982</v>
      </c>
      <c r="O66" s="399">
        <v>413594</v>
      </c>
      <c r="P66" s="402">
        <v>52679961.214902416</v>
      </c>
      <c r="Q66" s="399">
        <v>208461</v>
      </c>
      <c r="R66" s="399">
        <v>26428008.801488779</v>
      </c>
      <c r="S66" s="399">
        <v>622055</v>
      </c>
      <c r="T66" s="402">
        <v>79107970.016391188</v>
      </c>
    </row>
    <row r="67" spans="2:20" hidden="1" outlineLevel="1" x14ac:dyDescent="0.25">
      <c r="B67" s="219">
        <v>40725</v>
      </c>
      <c r="C67" s="399">
        <v>286810</v>
      </c>
      <c r="D67" s="402">
        <v>37422728.683495633</v>
      </c>
      <c r="E67" s="399">
        <v>118793</v>
      </c>
      <c r="F67" s="402">
        <v>15505606.496176269</v>
      </c>
      <c r="G67" s="399">
        <v>405603</v>
      </c>
      <c r="H67" s="402">
        <v>52928335.179671906</v>
      </c>
      <c r="I67" s="399">
        <v>125405</v>
      </c>
      <c r="J67" s="402">
        <v>16541039.563258361</v>
      </c>
      <c r="K67" s="399">
        <v>88825</v>
      </c>
      <c r="L67" s="402">
        <v>11617917.984427914</v>
      </c>
      <c r="M67" s="399">
        <v>214230</v>
      </c>
      <c r="N67" s="402">
        <v>28158957.547686275</v>
      </c>
      <c r="O67" s="399">
        <v>412215</v>
      </c>
      <c r="P67" s="402">
        <v>53963768.246753998</v>
      </c>
      <c r="Q67" s="399">
        <v>207618</v>
      </c>
      <c r="R67" s="399">
        <v>27123524.480604183</v>
      </c>
      <c r="S67" s="399">
        <v>619833</v>
      </c>
      <c r="T67" s="402">
        <v>81087292.727358192</v>
      </c>
    </row>
    <row r="68" spans="2:20" hidden="1" outlineLevel="1" x14ac:dyDescent="0.25">
      <c r="B68" s="219">
        <v>40756</v>
      </c>
      <c r="C68" s="399">
        <v>287169</v>
      </c>
      <c r="D68" s="402">
        <v>37435454.402688213</v>
      </c>
      <c r="E68" s="399">
        <v>118828</v>
      </c>
      <c r="F68" s="402">
        <v>15496387.703876756</v>
      </c>
      <c r="G68" s="399">
        <v>405997</v>
      </c>
      <c r="H68" s="402">
        <v>52931842.106564961</v>
      </c>
      <c r="I68" s="399">
        <v>125477</v>
      </c>
      <c r="J68" s="402">
        <v>16567953.627238831</v>
      </c>
      <c r="K68" s="399">
        <v>89066</v>
      </c>
      <c r="L68" s="402">
        <v>11684885.727385167</v>
      </c>
      <c r="M68" s="399">
        <v>214543</v>
      </c>
      <c r="N68" s="402">
        <v>28252839.354623996</v>
      </c>
      <c r="O68" s="399">
        <v>412646</v>
      </c>
      <c r="P68" s="402">
        <v>54003408.029927038</v>
      </c>
      <c r="Q68" s="399">
        <v>207894</v>
      </c>
      <c r="R68" s="399">
        <v>27181273.431261923</v>
      </c>
      <c r="S68" s="399">
        <v>620540</v>
      </c>
      <c r="T68" s="402">
        <v>81184681.461188972</v>
      </c>
    </row>
    <row r="69" spans="2:20" hidden="1" outlineLevel="1" x14ac:dyDescent="0.25">
      <c r="B69" s="219">
        <v>40787</v>
      </c>
      <c r="C69" s="399">
        <v>287346</v>
      </c>
      <c r="D69" s="402">
        <v>37319580.6461467</v>
      </c>
      <c r="E69" s="399">
        <v>118398</v>
      </c>
      <c r="F69" s="402">
        <v>15388149.409399318</v>
      </c>
      <c r="G69" s="399">
        <v>405744</v>
      </c>
      <c r="H69" s="402">
        <v>52707730.055546016</v>
      </c>
      <c r="I69" s="399">
        <v>125589</v>
      </c>
      <c r="J69" s="402">
        <v>16803198.541158181</v>
      </c>
      <c r="K69" s="399">
        <v>89260</v>
      </c>
      <c r="L69" s="402">
        <v>11840760.765689587</v>
      </c>
      <c r="M69" s="399">
        <v>214849</v>
      </c>
      <c r="N69" s="402">
        <v>28643959.306847766</v>
      </c>
      <c r="O69" s="399">
        <v>412935</v>
      </c>
      <c r="P69" s="402">
        <v>54122779.187304877</v>
      </c>
      <c r="Q69" s="399">
        <v>207658</v>
      </c>
      <c r="R69" s="399">
        <v>27228910.175088901</v>
      </c>
      <c r="S69" s="399">
        <v>620593</v>
      </c>
      <c r="T69" s="402">
        <v>81351689.362393782</v>
      </c>
    </row>
    <row r="70" spans="2:20" hidden="1" outlineLevel="1" x14ac:dyDescent="0.25">
      <c r="B70" s="219">
        <v>40817</v>
      </c>
      <c r="C70" s="399">
        <v>285805</v>
      </c>
      <c r="D70" s="402">
        <v>36761198.058331206</v>
      </c>
      <c r="E70" s="399">
        <v>117820</v>
      </c>
      <c r="F70" s="402">
        <v>15116070.68147783</v>
      </c>
      <c r="G70" s="399">
        <v>403625</v>
      </c>
      <c r="H70" s="402">
        <v>51877268.739809036</v>
      </c>
      <c r="I70" s="399">
        <v>125210</v>
      </c>
      <c r="J70" s="402">
        <v>16434915.674366033</v>
      </c>
      <c r="K70" s="399">
        <v>89136</v>
      </c>
      <c r="L70" s="402">
        <v>11617671.165201133</v>
      </c>
      <c r="M70" s="399">
        <v>214346</v>
      </c>
      <c r="N70" s="402">
        <v>28052586.839567166</v>
      </c>
      <c r="O70" s="399">
        <v>411015</v>
      </c>
      <c r="P70" s="402">
        <v>53196113.732697241</v>
      </c>
      <c r="Q70" s="399">
        <v>206956</v>
      </c>
      <c r="R70" s="399">
        <v>26733741.846678961</v>
      </c>
      <c r="S70" s="399">
        <v>617971</v>
      </c>
      <c r="T70" s="402">
        <v>79929855.579376206</v>
      </c>
    </row>
    <row r="71" spans="2:20" hidden="1" outlineLevel="1" x14ac:dyDescent="0.25">
      <c r="B71" s="219">
        <v>40848</v>
      </c>
      <c r="C71" s="399">
        <v>284570</v>
      </c>
      <c r="D71" s="402">
        <v>36049795.608360402</v>
      </c>
      <c r="E71" s="399">
        <v>117123</v>
      </c>
      <c r="F71" s="402">
        <v>14844037.961546574</v>
      </c>
      <c r="G71" s="399">
        <v>401693</v>
      </c>
      <c r="H71" s="402">
        <v>50893833.56990698</v>
      </c>
      <c r="I71" s="399">
        <v>124897</v>
      </c>
      <c r="J71" s="402">
        <v>16234153.835348893</v>
      </c>
      <c r="K71" s="399">
        <v>88970</v>
      </c>
      <c r="L71" s="402">
        <v>11461150.967893498</v>
      </c>
      <c r="M71" s="399">
        <v>213867</v>
      </c>
      <c r="N71" s="402">
        <v>27695304.803242389</v>
      </c>
      <c r="O71" s="399">
        <v>409467</v>
      </c>
      <c r="P71" s="402">
        <v>52283949.443709299</v>
      </c>
      <c r="Q71" s="399">
        <v>206093</v>
      </c>
      <c r="R71" s="399">
        <v>26305188.92944007</v>
      </c>
      <c r="S71" s="399">
        <v>615560</v>
      </c>
      <c r="T71" s="402">
        <v>78589138.373149365</v>
      </c>
    </row>
    <row r="72" spans="2:20" hidden="1" outlineLevel="1" x14ac:dyDescent="0.25">
      <c r="B72" s="219">
        <v>40878</v>
      </c>
      <c r="C72" s="399">
        <v>287245</v>
      </c>
      <c r="D72" s="402">
        <v>37808727.669323243</v>
      </c>
      <c r="E72" s="399">
        <v>117871</v>
      </c>
      <c r="F72" s="402">
        <v>15420772.972940441</v>
      </c>
      <c r="G72" s="399">
        <v>405116</v>
      </c>
      <c r="H72" s="402">
        <v>53229500.642263688</v>
      </c>
      <c r="I72" s="399">
        <v>124792</v>
      </c>
      <c r="J72" s="402">
        <v>16275201.457002532</v>
      </c>
      <c r="K72" s="399">
        <v>89009</v>
      </c>
      <c r="L72" s="402">
        <v>11498945.394262392</v>
      </c>
      <c r="M72" s="399">
        <v>213801</v>
      </c>
      <c r="N72" s="402">
        <v>27774146.851264924</v>
      </c>
      <c r="O72" s="399">
        <v>412037</v>
      </c>
      <c r="P72" s="402">
        <v>54083929.126325779</v>
      </c>
      <c r="Q72" s="399">
        <v>206880</v>
      </c>
      <c r="R72" s="399">
        <v>26919718.36720283</v>
      </c>
      <c r="S72" s="399">
        <v>618917</v>
      </c>
      <c r="T72" s="402">
        <v>81003647.493528605</v>
      </c>
    </row>
    <row r="73" spans="2:20" collapsed="1" x14ac:dyDescent="0.25">
      <c r="B73" s="393" t="s">
        <v>752</v>
      </c>
      <c r="C73" s="394">
        <v>286982.91666666669</v>
      </c>
      <c r="D73" s="403">
        <v>36962240.026981689</v>
      </c>
      <c r="E73" s="394">
        <v>118668.91666666667</v>
      </c>
      <c r="F73" s="403">
        <v>15267161.285666324</v>
      </c>
      <c r="G73" s="394">
        <v>405651.83333333331</v>
      </c>
      <c r="H73" s="403">
        <v>52229401.312647998</v>
      </c>
      <c r="I73" s="394">
        <v>125674.58333333333</v>
      </c>
      <c r="J73" s="403">
        <v>16432772.345592283</v>
      </c>
      <c r="K73" s="394">
        <v>89317.916666666672</v>
      </c>
      <c r="L73" s="403">
        <v>11550712.643720994</v>
      </c>
      <c r="M73" s="394">
        <v>214992.5</v>
      </c>
      <c r="N73" s="403">
        <v>27983484.989313286</v>
      </c>
      <c r="O73" s="394">
        <v>412657.5</v>
      </c>
      <c r="P73" s="403">
        <v>53395012.372573964</v>
      </c>
      <c r="Q73" s="394">
        <v>207986.83333333334</v>
      </c>
      <c r="R73" s="394">
        <v>26817873.929387316</v>
      </c>
      <c r="S73" s="394">
        <v>620644.33333333337</v>
      </c>
      <c r="T73" s="403">
        <v>80212886.301961288</v>
      </c>
    </row>
    <row r="74" spans="2:20" hidden="1" outlineLevel="1" x14ac:dyDescent="0.25">
      <c r="B74" s="219">
        <v>40909</v>
      </c>
      <c r="C74" s="399">
        <v>287462</v>
      </c>
      <c r="D74" s="402">
        <v>36735896.052541472</v>
      </c>
      <c r="E74" s="399">
        <v>117685</v>
      </c>
      <c r="F74" s="402">
        <v>15027205.433139818</v>
      </c>
      <c r="G74" s="399">
        <v>405147</v>
      </c>
      <c r="H74" s="402">
        <v>51763101.485681288</v>
      </c>
      <c r="I74" s="399">
        <v>123692</v>
      </c>
      <c r="J74" s="402">
        <v>16000491.719772309</v>
      </c>
      <c r="K74" s="399">
        <v>88526</v>
      </c>
      <c r="L74" s="402">
        <v>11336580.47040458</v>
      </c>
      <c r="M74" s="399">
        <v>212218</v>
      </c>
      <c r="N74" s="402">
        <v>27337072.190176889</v>
      </c>
      <c r="O74" s="399">
        <v>411154</v>
      </c>
      <c r="P74" s="402">
        <v>52736387.772313781</v>
      </c>
      <c r="Q74" s="399">
        <v>206211</v>
      </c>
      <c r="R74" s="399">
        <v>26363785.9035444</v>
      </c>
      <c r="S74" s="399">
        <v>617365</v>
      </c>
      <c r="T74" s="402">
        <v>79100173.675858185</v>
      </c>
    </row>
    <row r="75" spans="2:20" hidden="1" outlineLevel="1" x14ac:dyDescent="0.25">
      <c r="B75" s="219">
        <v>40940</v>
      </c>
      <c r="C75" s="399">
        <v>288141</v>
      </c>
      <c r="D75" s="402">
        <v>36834448.713163726</v>
      </c>
      <c r="E75" s="399">
        <v>117647</v>
      </c>
      <c r="F75" s="402">
        <v>15010714.391477292</v>
      </c>
      <c r="G75" s="399">
        <v>405788</v>
      </c>
      <c r="H75" s="402">
        <v>51845163.10464102</v>
      </c>
      <c r="I75" s="399">
        <v>123321</v>
      </c>
      <c r="J75" s="402">
        <v>15777963.413554648</v>
      </c>
      <c r="K75" s="399">
        <v>88158</v>
      </c>
      <c r="L75" s="402">
        <v>11209685.271450488</v>
      </c>
      <c r="M75" s="399">
        <v>211479</v>
      </c>
      <c r="N75" s="402">
        <v>26987648.685005136</v>
      </c>
      <c r="O75" s="399">
        <v>411462</v>
      </c>
      <c r="P75" s="402">
        <v>52612412.12671838</v>
      </c>
      <c r="Q75" s="399">
        <v>205805</v>
      </c>
      <c r="R75" s="399">
        <v>26220399.66292778</v>
      </c>
      <c r="S75" s="399">
        <v>617267</v>
      </c>
      <c r="T75" s="402">
        <v>78832811.789646149</v>
      </c>
    </row>
    <row r="76" spans="2:20" hidden="1" outlineLevel="1" x14ac:dyDescent="0.25">
      <c r="B76" s="219">
        <v>40969</v>
      </c>
      <c r="C76" s="399">
        <v>288041</v>
      </c>
      <c r="D76" s="402">
        <v>36729249.402942598</v>
      </c>
      <c r="E76" s="399">
        <v>117683</v>
      </c>
      <c r="F76" s="402">
        <v>15002309.809119234</v>
      </c>
      <c r="G76" s="399">
        <v>405724</v>
      </c>
      <c r="H76" s="402">
        <v>51731559.21206183</v>
      </c>
      <c r="I76" s="399">
        <v>123408</v>
      </c>
      <c r="J76" s="402">
        <v>15929737.980805544</v>
      </c>
      <c r="K76" s="399">
        <v>88567</v>
      </c>
      <c r="L76" s="402">
        <v>11405213.862875529</v>
      </c>
      <c r="M76" s="399">
        <v>211975</v>
      </c>
      <c r="N76" s="402">
        <v>27334951.843681071</v>
      </c>
      <c r="O76" s="399">
        <v>411449</v>
      </c>
      <c r="P76" s="402">
        <v>52658987.383748136</v>
      </c>
      <c r="Q76" s="399">
        <v>206250</v>
      </c>
      <c r="R76" s="399">
        <v>26407523.671994761</v>
      </c>
      <c r="S76" s="399">
        <v>617699</v>
      </c>
      <c r="T76" s="402">
        <v>79066511.055742905</v>
      </c>
    </row>
    <row r="77" spans="2:20" hidden="1" outlineLevel="1" x14ac:dyDescent="0.25">
      <c r="B77" s="219">
        <v>41000</v>
      </c>
      <c r="C77" s="399">
        <v>288120</v>
      </c>
      <c r="D77" s="402">
        <v>36671323.417105474</v>
      </c>
      <c r="E77" s="399">
        <v>117158</v>
      </c>
      <c r="F77" s="402">
        <v>14900811.770394014</v>
      </c>
      <c r="G77" s="399">
        <v>405278</v>
      </c>
      <c r="H77" s="402">
        <v>51572135.187499493</v>
      </c>
      <c r="I77" s="399">
        <v>122653</v>
      </c>
      <c r="J77" s="402">
        <v>15894816.627677374</v>
      </c>
      <c r="K77" s="399">
        <v>88182</v>
      </c>
      <c r="L77" s="402">
        <v>11350952.297485204</v>
      </c>
      <c r="M77" s="399">
        <v>210835</v>
      </c>
      <c r="N77" s="402">
        <v>27245768.92516258</v>
      </c>
      <c r="O77" s="399">
        <v>410773</v>
      </c>
      <c r="P77" s="402">
        <v>52566140.044782855</v>
      </c>
      <c r="Q77" s="399">
        <v>205340</v>
      </c>
      <c r="R77" s="399">
        <v>26251764.067879219</v>
      </c>
      <c r="S77" s="399">
        <v>616113</v>
      </c>
      <c r="T77" s="402">
        <v>78817904.112662077</v>
      </c>
    </row>
    <row r="78" spans="2:20" hidden="1" outlineLevel="1" x14ac:dyDescent="0.25">
      <c r="B78" s="219">
        <v>41030</v>
      </c>
      <c r="C78" s="399">
        <v>288068</v>
      </c>
      <c r="D78" s="402">
        <v>36523354.98325599</v>
      </c>
      <c r="E78" s="399">
        <v>117009</v>
      </c>
      <c r="F78" s="402">
        <v>14834858.127093351</v>
      </c>
      <c r="G78" s="399">
        <v>405077</v>
      </c>
      <c r="H78" s="402">
        <v>51358213.110349342</v>
      </c>
      <c r="I78" s="399">
        <v>122948</v>
      </c>
      <c r="J78" s="402">
        <v>16017492.210189404</v>
      </c>
      <c r="K78" s="399">
        <v>88223</v>
      </c>
      <c r="L78" s="402">
        <v>11332516.193591891</v>
      </c>
      <c r="M78" s="399">
        <v>211171</v>
      </c>
      <c r="N78" s="402">
        <v>27350008.403781295</v>
      </c>
      <c r="O78" s="399">
        <v>411016</v>
      </c>
      <c r="P78" s="402">
        <v>52540847.193445392</v>
      </c>
      <c r="Q78" s="399">
        <v>205232</v>
      </c>
      <c r="R78" s="399">
        <v>26167374.320685241</v>
      </c>
      <c r="S78" s="399">
        <v>616248</v>
      </c>
      <c r="T78" s="402">
        <v>78708221.514130637</v>
      </c>
    </row>
    <row r="79" spans="2:20" hidden="1" outlineLevel="1" x14ac:dyDescent="0.25">
      <c r="B79" s="219">
        <v>41061</v>
      </c>
      <c r="C79" s="399">
        <v>288374</v>
      </c>
      <c r="D79" s="402">
        <v>36756569.81422063</v>
      </c>
      <c r="E79" s="399">
        <v>117073</v>
      </c>
      <c r="F79" s="402">
        <v>14908086.605425045</v>
      </c>
      <c r="G79" s="399">
        <v>405447</v>
      </c>
      <c r="H79" s="402">
        <v>51664656.419645667</v>
      </c>
      <c r="I79" s="399">
        <v>123076</v>
      </c>
      <c r="J79" s="402">
        <v>16081767.3374021</v>
      </c>
      <c r="K79" s="399">
        <v>88439</v>
      </c>
      <c r="L79" s="402">
        <v>11428346.125189124</v>
      </c>
      <c r="M79" s="399">
        <v>211515</v>
      </c>
      <c r="N79" s="402">
        <v>27510113.46259122</v>
      </c>
      <c r="O79" s="399">
        <v>411450</v>
      </c>
      <c r="P79" s="402">
        <v>52838337.151622728</v>
      </c>
      <c r="Q79" s="399">
        <v>205512</v>
      </c>
      <c r="R79" s="399">
        <v>26336432.730614167</v>
      </c>
      <c r="S79" s="399">
        <v>616962</v>
      </c>
      <c r="T79" s="402">
        <v>79174769.882236898</v>
      </c>
    </row>
    <row r="80" spans="2:20" hidden="1" outlineLevel="1" x14ac:dyDescent="0.25">
      <c r="B80" s="219">
        <v>41091</v>
      </c>
      <c r="C80" s="399">
        <v>288929</v>
      </c>
      <c r="D80" s="402">
        <v>37789406.322632127</v>
      </c>
      <c r="E80" s="399">
        <v>117059</v>
      </c>
      <c r="F80" s="402">
        <v>15322317.309616484</v>
      </c>
      <c r="G80" s="399">
        <v>405988</v>
      </c>
      <c r="H80" s="402">
        <v>53111723.632248603</v>
      </c>
      <c r="I80" s="399">
        <v>122827</v>
      </c>
      <c r="J80" s="402">
        <v>16455888.048524741</v>
      </c>
      <c r="K80" s="399">
        <v>88350</v>
      </c>
      <c r="L80" s="402">
        <v>11724638.53885396</v>
      </c>
      <c r="M80" s="399">
        <v>211177</v>
      </c>
      <c r="N80" s="402">
        <v>28180526.587378699</v>
      </c>
      <c r="O80" s="399">
        <v>411756</v>
      </c>
      <c r="P80" s="402">
        <v>54245294.371156864</v>
      </c>
      <c r="Q80" s="399">
        <v>205409</v>
      </c>
      <c r="R80" s="399">
        <v>27046955.848470442</v>
      </c>
      <c r="S80" s="399">
        <v>617165</v>
      </c>
      <c r="T80" s="402">
        <v>81292250.219627306</v>
      </c>
    </row>
    <row r="81" spans="2:20" hidden="1" outlineLevel="1" x14ac:dyDescent="0.25">
      <c r="B81" s="219">
        <v>41122</v>
      </c>
      <c r="C81" s="399">
        <v>287830</v>
      </c>
      <c r="D81" s="402">
        <v>37619268.110360064</v>
      </c>
      <c r="E81" s="399">
        <v>116045</v>
      </c>
      <c r="F81" s="402">
        <v>15170598.05408068</v>
      </c>
      <c r="G81" s="399">
        <v>403875</v>
      </c>
      <c r="H81" s="402">
        <v>52789866.164440744</v>
      </c>
      <c r="I81" s="399">
        <v>116667</v>
      </c>
      <c r="J81" s="402">
        <v>15384792.702105988</v>
      </c>
      <c r="K81" s="399">
        <v>81780</v>
      </c>
      <c r="L81" s="402">
        <v>10706733.786978208</v>
      </c>
      <c r="M81" s="399">
        <v>198447</v>
      </c>
      <c r="N81" s="402">
        <v>26091526.489084195</v>
      </c>
      <c r="O81" s="399">
        <v>404497</v>
      </c>
      <c r="P81" s="402">
        <v>53004060.812466048</v>
      </c>
      <c r="Q81" s="399">
        <v>197825</v>
      </c>
      <c r="R81" s="399">
        <v>25877331.841058888</v>
      </c>
      <c r="S81" s="399">
        <v>602322</v>
      </c>
      <c r="T81" s="402">
        <v>78881392.653524935</v>
      </c>
    </row>
    <row r="82" spans="2:20" hidden="1" outlineLevel="1" x14ac:dyDescent="0.25">
      <c r="B82" s="219">
        <v>41153</v>
      </c>
      <c r="C82" s="399">
        <v>287533</v>
      </c>
      <c r="D82" s="402">
        <v>37086886.202370107</v>
      </c>
      <c r="E82" s="399">
        <v>115611</v>
      </c>
      <c r="F82" s="402">
        <v>14892059.226955662</v>
      </c>
      <c r="G82" s="399">
        <v>403144</v>
      </c>
      <c r="H82" s="402">
        <v>51978945.429325774</v>
      </c>
      <c r="I82" s="399">
        <v>116640</v>
      </c>
      <c r="J82" s="402">
        <v>15491648.34377946</v>
      </c>
      <c r="K82" s="399">
        <v>81736</v>
      </c>
      <c r="L82" s="402">
        <v>10711750.470146833</v>
      </c>
      <c r="M82" s="399">
        <v>198376</v>
      </c>
      <c r="N82" s="402">
        <v>26203398.813926291</v>
      </c>
      <c r="O82" s="399">
        <v>404173</v>
      </c>
      <c r="P82" s="402">
        <v>52578534.546149567</v>
      </c>
      <c r="Q82" s="399">
        <v>197347</v>
      </c>
      <c r="R82" s="399">
        <v>25603809.697102498</v>
      </c>
      <c r="S82" s="399">
        <v>601520</v>
      </c>
      <c r="T82" s="402">
        <v>78182344.243252054</v>
      </c>
    </row>
    <row r="83" spans="2:20" hidden="1" outlineLevel="1" x14ac:dyDescent="0.25">
      <c r="B83" s="219">
        <v>41183</v>
      </c>
      <c r="C83" s="399">
        <v>288146</v>
      </c>
      <c r="D83" s="402">
        <v>37283762.332576178</v>
      </c>
      <c r="E83" s="399">
        <v>115666</v>
      </c>
      <c r="F83" s="402">
        <v>14971825.055854453</v>
      </c>
      <c r="G83" s="399">
        <v>403812</v>
      </c>
      <c r="H83" s="402">
        <v>52255587.388430625</v>
      </c>
      <c r="I83" s="399">
        <v>115891</v>
      </c>
      <c r="J83" s="402">
        <v>14942012.02912817</v>
      </c>
      <c r="K83" s="399">
        <v>81467</v>
      </c>
      <c r="L83" s="402">
        <v>10460835.890781306</v>
      </c>
      <c r="M83" s="399">
        <v>197358</v>
      </c>
      <c r="N83" s="402">
        <v>25402847.919909477</v>
      </c>
      <c r="O83" s="399">
        <v>404037</v>
      </c>
      <c r="P83" s="402">
        <v>52225774.361704342</v>
      </c>
      <c r="Q83" s="399">
        <v>197133</v>
      </c>
      <c r="R83" s="399">
        <v>25432660.946635757</v>
      </c>
      <c r="S83" s="399">
        <v>601170</v>
      </c>
      <c r="T83" s="402">
        <v>77658435.308340102</v>
      </c>
    </row>
    <row r="84" spans="2:20" hidden="1" outlineLevel="1" x14ac:dyDescent="0.25">
      <c r="B84" s="219">
        <v>41214</v>
      </c>
      <c r="C84" s="399">
        <v>288062</v>
      </c>
      <c r="D84" s="402">
        <v>37161114.818121336</v>
      </c>
      <c r="E84" s="399">
        <v>115528</v>
      </c>
      <c r="F84" s="402">
        <v>14897569.834126789</v>
      </c>
      <c r="G84" s="399">
        <v>403590</v>
      </c>
      <c r="H84" s="402">
        <v>52058684.652248122</v>
      </c>
      <c r="I84" s="399">
        <v>115087</v>
      </c>
      <c r="J84" s="402">
        <v>15393320.521520352</v>
      </c>
      <c r="K84" s="399">
        <v>81174</v>
      </c>
      <c r="L84" s="402">
        <v>10721980.818706412</v>
      </c>
      <c r="M84" s="399">
        <v>196261</v>
      </c>
      <c r="N84" s="402">
        <v>26115301.340226762</v>
      </c>
      <c r="O84" s="399">
        <v>403149</v>
      </c>
      <c r="P84" s="402">
        <v>52554435.339641683</v>
      </c>
      <c r="Q84" s="399">
        <v>196702</v>
      </c>
      <c r="R84" s="399">
        <v>25619550.652833197</v>
      </c>
      <c r="S84" s="399">
        <v>599851</v>
      </c>
      <c r="T84" s="402">
        <v>78173985.992474884</v>
      </c>
    </row>
    <row r="85" spans="2:20" hidden="1" outlineLevel="1" x14ac:dyDescent="0.25">
      <c r="B85" s="219">
        <v>41244</v>
      </c>
      <c r="C85" s="399">
        <v>290081</v>
      </c>
      <c r="D85" s="402">
        <v>37910697.581628665</v>
      </c>
      <c r="E85" s="399">
        <v>116042</v>
      </c>
      <c r="F85" s="402">
        <v>15128736.441230642</v>
      </c>
      <c r="G85" s="399">
        <v>406123</v>
      </c>
      <c r="H85" s="402">
        <v>53039434.022859298</v>
      </c>
      <c r="I85" s="399">
        <v>114101</v>
      </c>
      <c r="J85" s="402">
        <v>15036163.955823373</v>
      </c>
      <c r="K85" s="399">
        <v>80753</v>
      </c>
      <c r="L85" s="402">
        <v>10534847.743354483</v>
      </c>
      <c r="M85" s="399">
        <v>194854</v>
      </c>
      <c r="N85" s="402">
        <v>25571011.699177857</v>
      </c>
      <c r="O85" s="399">
        <v>404182</v>
      </c>
      <c r="P85" s="402">
        <v>52946861.537452035</v>
      </c>
      <c r="Q85" s="399">
        <v>196795</v>
      </c>
      <c r="R85" s="399">
        <v>25663584.184585124</v>
      </c>
      <c r="S85" s="399">
        <v>600977</v>
      </c>
      <c r="T85" s="402">
        <v>78610445.722037151</v>
      </c>
    </row>
    <row r="86" spans="2:20" collapsed="1" x14ac:dyDescent="0.25">
      <c r="B86" s="393" t="s">
        <v>753</v>
      </c>
      <c r="C86" s="394">
        <v>288232.25</v>
      </c>
      <c r="D86" s="403">
        <v>37091831.479243197</v>
      </c>
      <c r="E86" s="394">
        <v>116683.83333333333</v>
      </c>
      <c r="F86" s="403">
        <v>15005591.004876122</v>
      </c>
      <c r="G86" s="394">
        <v>404916.08333333331</v>
      </c>
      <c r="H86" s="403">
        <v>52097422.484119318</v>
      </c>
      <c r="I86" s="394">
        <v>120025.91666666667</v>
      </c>
      <c r="J86" s="403">
        <v>15700507.907523619</v>
      </c>
      <c r="K86" s="394">
        <v>85446.25</v>
      </c>
      <c r="L86" s="403">
        <v>11077006.789151503</v>
      </c>
      <c r="M86" s="394">
        <v>205472.16666666666</v>
      </c>
      <c r="N86" s="403">
        <v>26777514.696675122</v>
      </c>
      <c r="O86" s="394">
        <v>408258.16666666669</v>
      </c>
      <c r="P86" s="403">
        <v>52792339.386766814</v>
      </c>
      <c r="Q86" s="394">
        <v>202130.08333333334</v>
      </c>
      <c r="R86" s="394">
        <v>26082597.794027627</v>
      </c>
      <c r="S86" s="394">
        <v>610388.25</v>
      </c>
      <c r="T86" s="403">
        <v>78874937.180794433</v>
      </c>
    </row>
    <row r="87" spans="2:20" hidden="1" outlineLevel="1" x14ac:dyDescent="0.25">
      <c r="B87" s="219">
        <v>41275</v>
      </c>
      <c r="C87" s="399">
        <v>291117</v>
      </c>
      <c r="D87" s="402">
        <v>37638502.848113827</v>
      </c>
      <c r="E87" s="399">
        <v>116175</v>
      </c>
      <c r="F87" s="402">
        <v>14993582.779331906</v>
      </c>
      <c r="G87" s="399">
        <v>407292</v>
      </c>
      <c r="H87" s="402">
        <v>52632085.627445742</v>
      </c>
      <c r="I87" s="399">
        <v>114577</v>
      </c>
      <c r="J87" s="402">
        <v>15214162.376097841</v>
      </c>
      <c r="K87" s="399">
        <v>80974</v>
      </c>
      <c r="L87" s="402">
        <v>10612049.790329816</v>
      </c>
      <c r="M87" s="399">
        <v>195551</v>
      </c>
      <c r="N87" s="402">
        <v>25826212.166427653</v>
      </c>
      <c r="O87" s="399">
        <v>405694</v>
      </c>
      <c r="P87" s="402">
        <v>52852665.22421167</v>
      </c>
      <c r="Q87" s="399">
        <v>197149</v>
      </c>
      <c r="R87" s="399">
        <v>25605632.569661722</v>
      </c>
      <c r="S87" s="399">
        <v>602843</v>
      </c>
      <c r="T87" s="402">
        <v>78458297.793873399</v>
      </c>
    </row>
    <row r="88" spans="2:20" hidden="1" outlineLevel="1" x14ac:dyDescent="0.25">
      <c r="B88" s="219">
        <v>41306</v>
      </c>
      <c r="C88" s="399">
        <v>291221</v>
      </c>
      <c r="D88" s="402">
        <v>37358331.950183548</v>
      </c>
      <c r="E88" s="399">
        <v>116163</v>
      </c>
      <c r="F88" s="402">
        <v>14913319.396290079</v>
      </c>
      <c r="G88" s="399">
        <v>407384</v>
      </c>
      <c r="H88" s="402">
        <v>52271651.346473627</v>
      </c>
      <c r="I88" s="399">
        <v>114575</v>
      </c>
      <c r="J88" s="402">
        <v>15098264.587474145</v>
      </c>
      <c r="K88" s="399">
        <v>81066</v>
      </c>
      <c r="L88" s="402">
        <v>10600972.411737567</v>
      </c>
      <c r="M88" s="399">
        <v>195641</v>
      </c>
      <c r="N88" s="402">
        <v>25699236.999211714</v>
      </c>
      <c r="O88" s="399">
        <v>405796</v>
      </c>
      <c r="P88" s="402">
        <v>52456596.537657693</v>
      </c>
      <c r="Q88" s="399">
        <v>197229</v>
      </c>
      <c r="R88" s="399">
        <v>25514291.808027644</v>
      </c>
      <c r="S88" s="399">
        <v>603025</v>
      </c>
      <c r="T88" s="402">
        <v>77970888.345685333</v>
      </c>
    </row>
    <row r="89" spans="2:20" hidden="1" outlineLevel="1" x14ac:dyDescent="0.25">
      <c r="B89" s="219">
        <v>41334</v>
      </c>
      <c r="C89" s="399">
        <v>290983</v>
      </c>
      <c r="D89" s="402">
        <v>37224778.075362943</v>
      </c>
      <c r="E89" s="399">
        <v>116050</v>
      </c>
      <c r="F89" s="402">
        <v>14845822.346986849</v>
      </c>
      <c r="G89" s="399">
        <v>407033</v>
      </c>
      <c r="H89" s="402">
        <v>52070600.422349796</v>
      </c>
      <c r="I89" s="399">
        <v>114606</v>
      </c>
      <c r="J89" s="402">
        <v>15078317.064927049</v>
      </c>
      <c r="K89" s="399">
        <v>81057</v>
      </c>
      <c r="L89" s="402">
        <v>10552295.4610334</v>
      </c>
      <c r="M89" s="399">
        <v>195663</v>
      </c>
      <c r="N89" s="402">
        <v>25630612.525960449</v>
      </c>
      <c r="O89" s="399">
        <v>405589</v>
      </c>
      <c r="P89" s="402">
        <v>52303095.140289992</v>
      </c>
      <c r="Q89" s="399">
        <v>197107</v>
      </c>
      <c r="R89" s="399">
        <v>25398117.808020249</v>
      </c>
      <c r="S89" s="399">
        <v>602696</v>
      </c>
      <c r="T89" s="402">
        <v>77701212.948310241</v>
      </c>
    </row>
    <row r="90" spans="2:20" hidden="1" outlineLevel="1" x14ac:dyDescent="0.25">
      <c r="B90" s="219">
        <v>41365</v>
      </c>
      <c r="C90" s="399">
        <v>291102</v>
      </c>
      <c r="D90" s="402">
        <v>37454961.962529764</v>
      </c>
      <c r="E90" s="399">
        <v>116061</v>
      </c>
      <c r="F90" s="402">
        <v>14952634.699157454</v>
      </c>
      <c r="G90" s="399">
        <v>407163</v>
      </c>
      <c r="H90" s="402">
        <v>52407596.66168721</v>
      </c>
      <c r="I90" s="399">
        <v>114367</v>
      </c>
      <c r="J90" s="402">
        <v>14972601.903266519</v>
      </c>
      <c r="K90" s="399">
        <v>81062</v>
      </c>
      <c r="L90" s="402">
        <v>10524205.658936551</v>
      </c>
      <c r="M90" s="399">
        <v>195429</v>
      </c>
      <c r="N90" s="402">
        <v>25496807.562203072</v>
      </c>
      <c r="O90" s="399">
        <v>405469</v>
      </c>
      <c r="P90" s="402">
        <v>52427563.865796283</v>
      </c>
      <c r="Q90" s="399">
        <v>197123</v>
      </c>
      <c r="R90" s="399">
        <v>25476840.358094007</v>
      </c>
      <c r="S90" s="399">
        <v>602592</v>
      </c>
      <c r="T90" s="402">
        <v>77904404.22389029</v>
      </c>
    </row>
    <row r="91" spans="2:20" hidden="1" outlineLevel="1" x14ac:dyDescent="0.25">
      <c r="B91" s="219">
        <v>41395</v>
      </c>
      <c r="C91" s="399">
        <v>287944</v>
      </c>
      <c r="D91" s="402">
        <v>36883796.065467231</v>
      </c>
      <c r="E91" s="399">
        <v>115158</v>
      </c>
      <c r="F91" s="402">
        <v>14712304.109842595</v>
      </c>
      <c r="G91" s="399">
        <v>403102</v>
      </c>
      <c r="H91" s="402">
        <v>51596100.175309822</v>
      </c>
      <c r="I91" s="399">
        <v>113862</v>
      </c>
      <c r="J91" s="402">
        <v>14926371.684308905</v>
      </c>
      <c r="K91" s="399">
        <v>80923</v>
      </c>
      <c r="L91" s="402">
        <v>10493388.676586151</v>
      </c>
      <c r="M91" s="399">
        <v>194785</v>
      </c>
      <c r="N91" s="402">
        <v>25419760.360895053</v>
      </c>
      <c r="O91" s="399">
        <v>401806</v>
      </c>
      <c r="P91" s="402">
        <v>51810167.74977614</v>
      </c>
      <c r="Q91" s="399">
        <v>196081</v>
      </c>
      <c r="R91" s="399">
        <v>25205692.786428746</v>
      </c>
      <c r="S91" s="399">
        <v>597887</v>
      </c>
      <c r="T91" s="402">
        <v>77015860.536204875</v>
      </c>
    </row>
    <row r="92" spans="2:20" hidden="1" outlineLevel="1" x14ac:dyDescent="0.25">
      <c r="B92" s="219">
        <v>41426</v>
      </c>
      <c r="C92" s="399">
        <v>287746</v>
      </c>
      <c r="D92" s="402">
        <v>36605386.444228105</v>
      </c>
      <c r="E92" s="399">
        <v>114755</v>
      </c>
      <c r="F92" s="402">
        <v>14562833.013017433</v>
      </c>
      <c r="G92" s="399">
        <v>402501</v>
      </c>
      <c r="H92" s="402">
        <v>51168219.457245536</v>
      </c>
      <c r="I92" s="399">
        <v>113747</v>
      </c>
      <c r="J92" s="402">
        <v>14817712.393054375</v>
      </c>
      <c r="K92" s="399">
        <v>80780</v>
      </c>
      <c r="L92" s="402">
        <v>10427431.963797286</v>
      </c>
      <c r="M92" s="399">
        <v>194527</v>
      </c>
      <c r="N92" s="402">
        <v>25245144.356851663</v>
      </c>
      <c r="O92" s="399">
        <v>401493</v>
      </c>
      <c r="P92" s="402">
        <v>51423098.837282479</v>
      </c>
      <c r="Q92" s="399">
        <v>195535</v>
      </c>
      <c r="R92" s="399">
        <v>24990264.976814721</v>
      </c>
      <c r="S92" s="399">
        <v>597028</v>
      </c>
      <c r="T92" s="402">
        <v>76413363.814097196</v>
      </c>
    </row>
    <row r="93" spans="2:20" hidden="1" outlineLevel="1" x14ac:dyDescent="0.25">
      <c r="B93" s="219">
        <v>41456</v>
      </c>
      <c r="C93" s="399">
        <v>286900</v>
      </c>
      <c r="D93" s="402">
        <v>36816188.035768896</v>
      </c>
      <c r="E93" s="399">
        <v>113823</v>
      </c>
      <c r="F93" s="402">
        <v>14574581.413700907</v>
      </c>
      <c r="G93" s="399">
        <v>400723</v>
      </c>
      <c r="H93" s="402">
        <v>51390769.449469805</v>
      </c>
      <c r="I93" s="399">
        <v>113259</v>
      </c>
      <c r="J93" s="402">
        <v>14939760.257603878</v>
      </c>
      <c r="K93" s="399">
        <v>80448</v>
      </c>
      <c r="L93" s="402">
        <v>10522962.605501037</v>
      </c>
      <c r="M93" s="399">
        <v>193707</v>
      </c>
      <c r="N93" s="402">
        <v>25462722.863104917</v>
      </c>
      <c r="O93" s="399">
        <v>400159</v>
      </c>
      <c r="P93" s="402">
        <v>51755948.293372773</v>
      </c>
      <c r="Q93" s="399">
        <v>194271</v>
      </c>
      <c r="R93" s="399">
        <v>25097544.019201942</v>
      </c>
      <c r="S93" s="399">
        <v>594430</v>
      </c>
      <c r="T93" s="402">
        <v>76853492.312574729</v>
      </c>
    </row>
    <row r="94" spans="2:20" hidden="1" outlineLevel="1" x14ac:dyDescent="0.25">
      <c r="B94" s="219">
        <v>41487</v>
      </c>
      <c r="C94" s="399">
        <v>286299</v>
      </c>
      <c r="D94" s="402">
        <v>36868041.977548204</v>
      </c>
      <c r="E94" s="399">
        <v>112889</v>
      </c>
      <c r="F94" s="402">
        <v>14514323.658272233</v>
      </c>
      <c r="G94" s="399">
        <v>399188</v>
      </c>
      <c r="H94" s="402">
        <v>51382365.635820433</v>
      </c>
      <c r="I94" s="399">
        <v>112410</v>
      </c>
      <c r="J94" s="402">
        <v>14658560.39342254</v>
      </c>
      <c r="K94" s="399">
        <v>79869</v>
      </c>
      <c r="L94" s="402">
        <v>10344061.603003167</v>
      </c>
      <c r="M94" s="399">
        <v>192279</v>
      </c>
      <c r="N94" s="402">
        <v>25002621.996425703</v>
      </c>
      <c r="O94" s="399">
        <v>398709</v>
      </c>
      <c r="P94" s="402">
        <v>51526602.370970741</v>
      </c>
      <c r="Q94" s="399">
        <v>192758</v>
      </c>
      <c r="R94" s="399">
        <v>24858385.261275399</v>
      </c>
      <c r="S94" s="399">
        <v>591467</v>
      </c>
      <c r="T94" s="402">
        <v>76384987.632246137</v>
      </c>
    </row>
    <row r="95" spans="2:20" hidden="1" outlineLevel="1" x14ac:dyDescent="0.25">
      <c r="B95" s="219">
        <v>41518</v>
      </c>
      <c r="C95" s="399">
        <v>287419</v>
      </c>
      <c r="D95" s="402">
        <v>37934459.458684459</v>
      </c>
      <c r="E95" s="399">
        <v>112931</v>
      </c>
      <c r="F95" s="402">
        <v>15158367.686239297</v>
      </c>
      <c r="G95" s="399">
        <v>400350</v>
      </c>
      <c r="H95" s="402">
        <v>53092827.144923754</v>
      </c>
      <c r="I95" s="399">
        <v>110949</v>
      </c>
      <c r="J95" s="402">
        <v>14561214.276526436</v>
      </c>
      <c r="K95" s="399">
        <v>78807</v>
      </c>
      <c r="L95" s="402">
        <v>10116333.342989024</v>
      </c>
      <c r="M95" s="399">
        <v>189756</v>
      </c>
      <c r="N95" s="402">
        <v>24677547.619515456</v>
      </c>
      <c r="O95" s="399">
        <v>398368</v>
      </c>
      <c r="P95" s="402">
        <v>52495673.735210888</v>
      </c>
      <c r="Q95" s="399">
        <v>191738</v>
      </c>
      <c r="R95" s="399">
        <v>25274701.029228318</v>
      </c>
      <c r="S95" s="399">
        <v>590106</v>
      </c>
      <c r="T95" s="402">
        <v>77770374.76443921</v>
      </c>
    </row>
    <row r="96" spans="2:20" hidden="1" outlineLevel="1" x14ac:dyDescent="0.25">
      <c r="B96" s="219">
        <v>41548</v>
      </c>
      <c r="C96" s="399">
        <v>287421</v>
      </c>
      <c r="D96" s="402">
        <v>37125159.490656078</v>
      </c>
      <c r="E96" s="399">
        <v>112713</v>
      </c>
      <c r="F96" s="402">
        <v>14598187.912214546</v>
      </c>
      <c r="G96" s="399">
        <v>400134</v>
      </c>
      <c r="H96" s="402">
        <v>51723347.402870618</v>
      </c>
      <c r="I96" s="399">
        <v>110059</v>
      </c>
      <c r="J96" s="402">
        <v>14369283.708200699</v>
      </c>
      <c r="K96" s="399">
        <v>77668</v>
      </c>
      <c r="L96" s="402">
        <v>9994975.5080179069</v>
      </c>
      <c r="M96" s="399">
        <v>187727</v>
      </c>
      <c r="N96" s="402">
        <v>24364259.216218606</v>
      </c>
      <c r="O96" s="399">
        <v>397480</v>
      </c>
      <c r="P96" s="402">
        <v>51494443.198856771</v>
      </c>
      <c r="Q96" s="399">
        <v>190381</v>
      </c>
      <c r="R96" s="399">
        <v>24593163.420232452</v>
      </c>
      <c r="S96" s="399">
        <v>587861</v>
      </c>
      <c r="T96" s="402">
        <v>76087606.619089231</v>
      </c>
    </row>
    <row r="97" spans="2:20" hidden="1" outlineLevel="1" x14ac:dyDescent="0.25">
      <c r="B97" s="219">
        <v>41579</v>
      </c>
      <c r="C97" s="399">
        <v>288032</v>
      </c>
      <c r="D97" s="402">
        <v>37062744.750890262</v>
      </c>
      <c r="E97" s="399">
        <v>112717</v>
      </c>
      <c r="F97" s="402">
        <v>14497018.104663448</v>
      </c>
      <c r="G97" s="399">
        <v>400749</v>
      </c>
      <c r="H97" s="402">
        <v>51559762.855553709</v>
      </c>
      <c r="I97" s="399">
        <v>109706</v>
      </c>
      <c r="J97" s="402">
        <v>14263575.627635146</v>
      </c>
      <c r="K97" s="399">
        <v>77463</v>
      </c>
      <c r="L97" s="402">
        <v>9887742.6676195171</v>
      </c>
      <c r="M97" s="399">
        <v>187169</v>
      </c>
      <c r="N97" s="402">
        <v>24151318.295254663</v>
      </c>
      <c r="O97" s="399">
        <v>397738</v>
      </c>
      <c r="P97" s="402">
        <v>51326320.378525406</v>
      </c>
      <c r="Q97" s="399">
        <v>190180</v>
      </c>
      <c r="R97" s="399">
        <v>24384760.772282965</v>
      </c>
      <c r="S97" s="399">
        <v>587918</v>
      </c>
      <c r="T97" s="402">
        <v>75711081.150808364</v>
      </c>
    </row>
    <row r="98" spans="2:20" hidden="1" outlineLevel="1" x14ac:dyDescent="0.25">
      <c r="B98" s="219">
        <v>41609</v>
      </c>
      <c r="C98" s="399">
        <v>288459</v>
      </c>
      <c r="D98" s="402">
        <v>36875790.135835178</v>
      </c>
      <c r="E98" s="399">
        <v>112309</v>
      </c>
      <c r="F98" s="402">
        <v>14362331.568397416</v>
      </c>
      <c r="G98" s="399">
        <v>400768</v>
      </c>
      <c r="H98" s="402">
        <v>51238121.704232588</v>
      </c>
      <c r="I98" s="399">
        <v>109144</v>
      </c>
      <c r="J98" s="402">
        <v>13996294.716310732</v>
      </c>
      <c r="K98" s="399">
        <v>77638</v>
      </c>
      <c r="L98" s="402">
        <v>9711431.9586984273</v>
      </c>
      <c r="M98" s="399">
        <v>186782</v>
      </c>
      <c r="N98" s="402">
        <v>23707726.675009158</v>
      </c>
      <c r="O98" s="399">
        <v>397603</v>
      </c>
      <c r="P98" s="402">
        <v>50872084.85214591</v>
      </c>
      <c r="Q98" s="399">
        <v>189947</v>
      </c>
      <c r="R98" s="399">
        <v>24073763.527095839</v>
      </c>
      <c r="S98" s="399">
        <v>587550</v>
      </c>
      <c r="T98" s="402">
        <v>74945848.37924175</v>
      </c>
    </row>
    <row r="99" spans="2:20" collapsed="1" x14ac:dyDescent="0.25">
      <c r="B99" s="393" t="s">
        <v>754</v>
      </c>
      <c r="C99" s="394">
        <v>288720.25</v>
      </c>
      <c r="D99" s="403">
        <v>37154011.766272373</v>
      </c>
      <c r="E99" s="394">
        <v>114312</v>
      </c>
      <c r="F99" s="403">
        <v>14723775.557342848</v>
      </c>
      <c r="G99" s="394">
        <v>403032.25</v>
      </c>
      <c r="H99" s="403">
        <v>51877787.323615216</v>
      </c>
      <c r="I99" s="394">
        <v>112605.08333333333</v>
      </c>
      <c r="J99" s="403">
        <v>14741343.249069022</v>
      </c>
      <c r="K99" s="394">
        <v>79812.916666666672</v>
      </c>
      <c r="L99" s="403">
        <v>10315654.30402082</v>
      </c>
      <c r="M99" s="394">
        <v>192418</v>
      </c>
      <c r="N99" s="403">
        <v>25056997.553089838</v>
      </c>
      <c r="O99" s="394">
        <v>401325.33333333331</v>
      </c>
      <c r="P99" s="403">
        <v>51895355.015341394</v>
      </c>
      <c r="Q99" s="394">
        <v>194124.91666666666</v>
      </c>
      <c r="R99" s="394">
        <v>25039429.861363668</v>
      </c>
      <c r="S99" s="394">
        <v>595450.25</v>
      </c>
      <c r="T99" s="403">
        <v>76934784.876705065</v>
      </c>
    </row>
    <row r="100" spans="2:20" hidden="1" outlineLevel="1" x14ac:dyDescent="0.25">
      <c r="B100" s="219">
        <v>41640</v>
      </c>
      <c r="C100" s="399">
        <v>287495</v>
      </c>
      <c r="D100" s="402">
        <v>36640915.377995931</v>
      </c>
      <c r="E100" s="399">
        <v>111320</v>
      </c>
      <c r="F100" s="402">
        <v>14177810.148707552</v>
      </c>
      <c r="G100" s="399">
        <v>398815</v>
      </c>
      <c r="H100" s="402">
        <v>50818725.526703484</v>
      </c>
      <c r="I100" s="399">
        <v>108852</v>
      </c>
      <c r="J100" s="402">
        <v>14226760.547548961</v>
      </c>
      <c r="K100" s="399">
        <v>77061</v>
      </c>
      <c r="L100" s="402">
        <v>9894186.4275313504</v>
      </c>
      <c r="M100" s="399">
        <v>185913</v>
      </c>
      <c r="N100" s="402">
        <v>24120946.975080311</v>
      </c>
      <c r="O100" s="399">
        <v>396347</v>
      </c>
      <c r="P100" s="402">
        <v>50867675.925544903</v>
      </c>
      <c r="Q100" s="399">
        <v>188381</v>
      </c>
      <c r="R100" s="399">
        <v>24071996.576238904</v>
      </c>
      <c r="S100" s="399">
        <v>584728</v>
      </c>
      <c r="T100" s="402">
        <v>74939672.501783803</v>
      </c>
    </row>
    <row r="101" spans="2:20" hidden="1" outlineLevel="1" x14ac:dyDescent="0.25">
      <c r="B101" s="219">
        <v>41671</v>
      </c>
      <c r="C101" s="399">
        <v>285935</v>
      </c>
      <c r="D101" s="402">
        <v>36176788.419933237</v>
      </c>
      <c r="E101" s="399">
        <v>111117</v>
      </c>
      <c r="F101" s="402">
        <v>14066467.368996967</v>
      </c>
      <c r="G101" s="399">
        <v>397052</v>
      </c>
      <c r="H101" s="402">
        <v>50243255.788930207</v>
      </c>
      <c r="I101" s="399">
        <v>107883</v>
      </c>
      <c r="J101" s="402">
        <v>13914184.321043761</v>
      </c>
      <c r="K101" s="399">
        <v>75818</v>
      </c>
      <c r="L101" s="402">
        <v>9599125.8119924739</v>
      </c>
      <c r="M101" s="399">
        <v>183701</v>
      </c>
      <c r="N101" s="402">
        <v>23513310.133036237</v>
      </c>
      <c r="O101" s="399">
        <v>393818</v>
      </c>
      <c r="P101" s="402">
        <v>50090972.740976997</v>
      </c>
      <c r="Q101" s="399">
        <v>186935</v>
      </c>
      <c r="R101" s="399">
        <v>23665593.180989441</v>
      </c>
      <c r="S101" s="399">
        <v>580753</v>
      </c>
      <c r="T101" s="402">
        <v>73756565.921966448</v>
      </c>
    </row>
    <row r="102" spans="2:20" hidden="1" outlineLevel="1" x14ac:dyDescent="0.25">
      <c r="B102" s="219">
        <v>41699</v>
      </c>
      <c r="C102" s="399">
        <v>286445</v>
      </c>
      <c r="D102" s="402">
        <v>36019750.904020146</v>
      </c>
      <c r="E102" s="399">
        <v>111073</v>
      </c>
      <c r="F102" s="402">
        <v>13963372.815720417</v>
      </c>
      <c r="G102" s="399">
        <v>397518</v>
      </c>
      <c r="H102" s="402">
        <v>49983123.71974057</v>
      </c>
      <c r="I102" s="399">
        <v>107894</v>
      </c>
      <c r="J102" s="402">
        <v>13931516.014841694</v>
      </c>
      <c r="K102" s="399">
        <v>75876</v>
      </c>
      <c r="L102" s="402">
        <v>9644788.3932963423</v>
      </c>
      <c r="M102" s="399">
        <v>183770</v>
      </c>
      <c r="N102" s="402">
        <v>23576304.408138033</v>
      </c>
      <c r="O102" s="399">
        <v>394339</v>
      </c>
      <c r="P102" s="402">
        <v>49951266.918861844</v>
      </c>
      <c r="Q102" s="399">
        <v>186949</v>
      </c>
      <c r="R102" s="399">
        <v>23608161.209016759</v>
      </c>
      <c r="S102" s="399">
        <v>581288</v>
      </c>
      <c r="T102" s="402">
        <v>73559428.127878606</v>
      </c>
    </row>
    <row r="103" spans="2:20" hidden="1" outlineLevel="1" x14ac:dyDescent="0.25">
      <c r="B103" s="219">
        <v>41730</v>
      </c>
      <c r="C103" s="399">
        <v>287373</v>
      </c>
      <c r="D103" s="402">
        <v>35846839.946632057</v>
      </c>
      <c r="E103" s="399">
        <v>111174</v>
      </c>
      <c r="F103" s="402">
        <v>13891092.768283449</v>
      </c>
      <c r="G103" s="399">
        <v>398547</v>
      </c>
      <c r="H103" s="402">
        <v>49737932.714915507</v>
      </c>
      <c r="I103" s="399">
        <v>107871</v>
      </c>
      <c r="J103" s="402">
        <v>13797252.703988429</v>
      </c>
      <c r="K103" s="399">
        <v>75651</v>
      </c>
      <c r="L103" s="402">
        <v>9420518.4629983064</v>
      </c>
      <c r="M103" s="399">
        <v>183522</v>
      </c>
      <c r="N103" s="402">
        <v>23217771.166986737</v>
      </c>
      <c r="O103" s="399">
        <v>395244</v>
      </c>
      <c r="P103" s="402">
        <v>49644092.65062049</v>
      </c>
      <c r="Q103" s="399">
        <v>186825</v>
      </c>
      <c r="R103" s="399">
        <v>23311611.231281757</v>
      </c>
      <c r="S103" s="399">
        <v>582069</v>
      </c>
      <c r="T103" s="402">
        <v>72955703.881902233</v>
      </c>
    </row>
    <row r="104" spans="2:20" hidden="1" outlineLevel="1" x14ac:dyDescent="0.25">
      <c r="B104" s="219">
        <v>41760</v>
      </c>
      <c r="C104" s="399">
        <v>287751</v>
      </c>
      <c r="D104" s="402">
        <v>35796948.123131171</v>
      </c>
      <c r="E104" s="399">
        <v>111202</v>
      </c>
      <c r="F104" s="402">
        <v>13847586.050686194</v>
      </c>
      <c r="G104" s="399">
        <v>398953</v>
      </c>
      <c r="H104" s="402">
        <v>49644534.173817366</v>
      </c>
      <c r="I104" s="399">
        <v>107839</v>
      </c>
      <c r="J104" s="402">
        <v>13624886.22161573</v>
      </c>
      <c r="K104" s="399">
        <v>75719</v>
      </c>
      <c r="L104" s="402">
        <v>9417535.1887484863</v>
      </c>
      <c r="M104" s="399">
        <v>183558</v>
      </c>
      <c r="N104" s="402">
        <v>23042421.410364214</v>
      </c>
      <c r="O104" s="399">
        <v>395590</v>
      </c>
      <c r="P104" s="402">
        <v>49421834.344746903</v>
      </c>
      <c r="Q104" s="399">
        <v>186921</v>
      </c>
      <c r="R104" s="399">
        <v>23265121.239434678</v>
      </c>
      <c r="S104" s="399">
        <v>582511</v>
      </c>
      <c r="T104" s="402">
        <v>72686955.584181577</v>
      </c>
    </row>
    <row r="105" spans="2:20" hidden="1" outlineLevel="1" x14ac:dyDescent="0.25">
      <c r="B105" s="219">
        <v>41791</v>
      </c>
      <c r="C105" s="399">
        <v>288957</v>
      </c>
      <c r="D105" s="402">
        <v>36141804.770407692</v>
      </c>
      <c r="E105" s="399">
        <v>111355</v>
      </c>
      <c r="F105" s="402">
        <v>13925354.705024101</v>
      </c>
      <c r="G105" s="399">
        <v>400312</v>
      </c>
      <c r="H105" s="402">
        <v>50067159.475431792</v>
      </c>
      <c r="I105" s="399">
        <v>107906</v>
      </c>
      <c r="J105" s="402">
        <v>13698839.793656822</v>
      </c>
      <c r="K105" s="399">
        <v>75992</v>
      </c>
      <c r="L105" s="402">
        <v>9551049.2572887186</v>
      </c>
      <c r="M105" s="399">
        <v>183898</v>
      </c>
      <c r="N105" s="402">
        <v>23249889.050945543</v>
      </c>
      <c r="O105" s="399">
        <v>396863</v>
      </c>
      <c r="P105" s="402">
        <v>49840644.564064518</v>
      </c>
      <c r="Q105" s="399">
        <v>187347</v>
      </c>
      <c r="R105" s="399">
        <v>23476403.962312821</v>
      </c>
      <c r="S105" s="399">
        <v>584210</v>
      </c>
      <c r="T105" s="402">
        <v>73317048.526377335</v>
      </c>
    </row>
    <row r="106" spans="2:20" hidden="1" outlineLevel="1" x14ac:dyDescent="0.25">
      <c r="B106" s="219">
        <v>41821</v>
      </c>
      <c r="C106" s="399">
        <v>289553</v>
      </c>
      <c r="D106" s="402">
        <v>37622936.793764658</v>
      </c>
      <c r="E106" s="399">
        <v>111373</v>
      </c>
      <c r="F106" s="402">
        <v>14484440.390749536</v>
      </c>
      <c r="G106" s="399">
        <v>400926</v>
      </c>
      <c r="H106" s="402">
        <v>52107377.184514195</v>
      </c>
      <c r="I106" s="399">
        <v>107060</v>
      </c>
      <c r="J106" s="402">
        <v>14123930.548443167</v>
      </c>
      <c r="K106" s="399">
        <v>74825</v>
      </c>
      <c r="L106" s="402">
        <v>9704147.3171653487</v>
      </c>
      <c r="M106" s="399">
        <v>181885</v>
      </c>
      <c r="N106" s="402">
        <v>23828077.865608517</v>
      </c>
      <c r="O106" s="399">
        <v>396613</v>
      </c>
      <c r="P106" s="402">
        <v>51746867.342207827</v>
      </c>
      <c r="Q106" s="399">
        <v>186198</v>
      </c>
      <c r="R106" s="399">
        <v>24188587.707914881</v>
      </c>
      <c r="S106" s="399">
        <v>582811</v>
      </c>
      <c r="T106" s="402">
        <v>75935455.050122708</v>
      </c>
    </row>
    <row r="107" spans="2:20" hidden="1" outlineLevel="1" x14ac:dyDescent="0.25">
      <c r="B107" s="219">
        <v>41852</v>
      </c>
      <c r="C107" s="399">
        <v>289755</v>
      </c>
      <c r="D107" s="402">
        <v>37402534.37687777</v>
      </c>
      <c r="E107" s="399">
        <v>111178</v>
      </c>
      <c r="F107" s="402">
        <v>14375918.329588732</v>
      </c>
      <c r="G107" s="399">
        <v>400933</v>
      </c>
      <c r="H107" s="402">
        <v>51778452.706466496</v>
      </c>
      <c r="I107" s="399">
        <v>106935</v>
      </c>
      <c r="J107" s="402">
        <v>13982503.818372302</v>
      </c>
      <c r="K107" s="399">
        <v>74941</v>
      </c>
      <c r="L107" s="402">
        <v>9667855.6885455903</v>
      </c>
      <c r="M107" s="399">
        <v>181876</v>
      </c>
      <c r="N107" s="402">
        <v>23650359.506917894</v>
      </c>
      <c r="O107" s="399">
        <v>396690</v>
      </c>
      <c r="P107" s="402">
        <v>51385038.195250072</v>
      </c>
      <c r="Q107" s="399">
        <v>186119</v>
      </c>
      <c r="R107" s="399">
        <v>24043774.018134318</v>
      </c>
      <c r="S107" s="399">
        <v>582809</v>
      </c>
      <c r="T107" s="402">
        <v>75428812.21338439</v>
      </c>
    </row>
    <row r="108" spans="2:20" hidden="1" outlineLevel="1" x14ac:dyDescent="0.25">
      <c r="B108" s="219">
        <v>41883</v>
      </c>
      <c r="C108" s="399">
        <v>289334</v>
      </c>
      <c r="D108" s="402">
        <v>37134307.173456103</v>
      </c>
      <c r="E108" s="399">
        <v>110940</v>
      </c>
      <c r="F108" s="402">
        <v>14240223.781377634</v>
      </c>
      <c r="G108" s="399">
        <v>400274</v>
      </c>
      <c r="H108" s="402">
        <v>51374530.954833731</v>
      </c>
      <c r="I108" s="399">
        <v>106925</v>
      </c>
      <c r="J108" s="402">
        <v>13971481.176991973</v>
      </c>
      <c r="K108" s="399">
        <v>75437</v>
      </c>
      <c r="L108" s="402">
        <v>9609064.1196544524</v>
      </c>
      <c r="M108" s="399">
        <v>182362</v>
      </c>
      <c r="N108" s="402">
        <v>23580545.296646427</v>
      </c>
      <c r="O108" s="399">
        <v>396259</v>
      </c>
      <c r="P108" s="402">
        <v>51105788.350448072</v>
      </c>
      <c r="Q108" s="399">
        <v>186377</v>
      </c>
      <c r="R108" s="399">
        <v>23849287.90103209</v>
      </c>
      <c r="S108" s="399">
        <v>582636</v>
      </c>
      <c r="T108" s="402">
        <v>74955076.251480162</v>
      </c>
    </row>
    <row r="109" spans="2:20" hidden="1" outlineLevel="1" x14ac:dyDescent="0.25">
      <c r="B109" s="219">
        <v>41913</v>
      </c>
      <c r="C109" s="399">
        <v>289527</v>
      </c>
      <c r="D109" s="402">
        <v>36727829.042158321</v>
      </c>
      <c r="E109" s="399">
        <v>110909</v>
      </c>
      <c r="F109" s="402">
        <v>14075199.084778311</v>
      </c>
      <c r="G109" s="399">
        <v>400436</v>
      </c>
      <c r="H109" s="402">
        <v>50803028.126936622</v>
      </c>
      <c r="I109" s="399">
        <v>106689</v>
      </c>
      <c r="J109" s="402">
        <v>13767718.116680689</v>
      </c>
      <c r="K109" s="399">
        <v>74919</v>
      </c>
      <c r="L109" s="402">
        <v>9509565.8741435483</v>
      </c>
      <c r="M109" s="399">
        <v>181608</v>
      </c>
      <c r="N109" s="402">
        <v>23277283.990824237</v>
      </c>
      <c r="O109" s="399">
        <v>396216</v>
      </c>
      <c r="P109" s="402">
        <v>50495547.158839002</v>
      </c>
      <c r="Q109" s="399">
        <v>185828</v>
      </c>
      <c r="R109" s="399">
        <v>23584764.958921861</v>
      </c>
      <c r="S109" s="399">
        <v>582044</v>
      </c>
      <c r="T109" s="402">
        <v>74080312.117760867</v>
      </c>
    </row>
    <row r="110" spans="2:20" hidden="1" outlineLevel="1" x14ac:dyDescent="0.25">
      <c r="B110" s="219">
        <v>41944</v>
      </c>
      <c r="C110" s="399">
        <v>289642</v>
      </c>
      <c r="D110" s="402">
        <v>36766950.531979561</v>
      </c>
      <c r="E110" s="399">
        <v>110935</v>
      </c>
      <c r="F110" s="402">
        <v>14136246.336381804</v>
      </c>
      <c r="G110" s="399">
        <v>400577</v>
      </c>
      <c r="H110" s="402">
        <v>50903196.868361361</v>
      </c>
      <c r="I110" s="399">
        <v>106361</v>
      </c>
      <c r="J110" s="402">
        <v>13730760.21499889</v>
      </c>
      <c r="K110" s="399">
        <v>74860</v>
      </c>
      <c r="L110" s="402">
        <v>9537683.5166103151</v>
      </c>
      <c r="M110" s="399">
        <v>181221</v>
      </c>
      <c r="N110" s="402">
        <v>23268443.731609207</v>
      </c>
      <c r="O110" s="399">
        <v>396003</v>
      </c>
      <c r="P110" s="402">
        <v>50497710.746978447</v>
      </c>
      <c r="Q110" s="399">
        <v>185795</v>
      </c>
      <c r="R110" s="399">
        <v>23673929.852992117</v>
      </c>
      <c r="S110" s="399">
        <v>581798</v>
      </c>
      <c r="T110" s="402">
        <v>74171640.599970564</v>
      </c>
    </row>
    <row r="111" spans="2:20" hidden="1" outlineLevel="1" x14ac:dyDescent="0.25">
      <c r="B111" s="219">
        <v>41974</v>
      </c>
      <c r="C111" s="399">
        <v>290598</v>
      </c>
      <c r="D111" s="402">
        <v>37126620.66991125</v>
      </c>
      <c r="E111" s="399">
        <v>111058</v>
      </c>
      <c r="F111" s="402">
        <v>14171011.020362608</v>
      </c>
      <c r="G111" s="399">
        <v>401656</v>
      </c>
      <c r="H111" s="402">
        <v>51297631.690273859</v>
      </c>
      <c r="I111" s="399">
        <v>106311</v>
      </c>
      <c r="J111" s="402">
        <v>13733618.982559297</v>
      </c>
      <c r="K111" s="399">
        <v>75235</v>
      </c>
      <c r="L111" s="402">
        <v>9519294.0947948843</v>
      </c>
      <c r="M111" s="399">
        <v>181546</v>
      </c>
      <c r="N111" s="402">
        <v>23252913.077354182</v>
      </c>
      <c r="O111" s="399">
        <v>396909</v>
      </c>
      <c r="P111" s="402">
        <v>50860239.652470544</v>
      </c>
      <c r="Q111" s="399">
        <v>186293</v>
      </c>
      <c r="R111" s="399">
        <v>23690305.115157492</v>
      </c>
      <c r="S111" s="399">
        <v>583202</v>
      </c>
      <c r="T111" s="402">
        <v>74550544.767628044</v>
      </c>
    </row>
    <row r="112" spans="2:20" collapsed="1" x14ac:dyDescent="0.25">
      <c r="B112" s="393" t="s">
        <v>755</v>
      </c>
      <c r="C112" s="394">
        <v>288530.41666666669</v>
      </c>
      <c r="D112" s="403">
        <v>36617018.844188996</v>
      </c>
      <c r="E112" s="394">
        <v>111136.16666666667</v>
      </c>
      <c r="F112" s="403">
        <v>14112893.566721441</v>
      </c>
      <c r="G112" s="394">
        <v>399666.58333333331</v>
      </c>
      <c r="H112" s="403">
        <v>50729912.410910435</v>
      </c>
      <c r="I112" s="394">
        <v>107377.16666666667</v>
      </c>
      <c r="J112" s="403">
        <v>13875287.70506181</v>
      </c>
      <c r="K112" s="394">
        <v>75527.833333333328</v>
      </c>
      <c r="L112" s="403">
        <v>9589567.8460641503</v>
      </c>
      <c r="M112" s="394">
        <v>182905</v>
      </c>
      <c r="N112" s="403">
        <v>23464855.551125959</v>
      </c>
      <c r="O112" s="394">
        <v>395907.58333333331</v>
      </c>
      <c r="P112" s="403">
        <v>50492306.549250804</v>
      </c>
      <c r="Q112" s="394">
        <v>186664</v>
      </c>
      <c r="R112" s="394">
        <v>23702461.412785593</v>
      </c>
      <c r="S112" s="394">
        <v>582571.58333333337</v>
      </c>
      <c r="T112" s="403">
        <v>74194767.962036401</v>
      </c>
    </row>
    <row r="113" spans="2:20" hidden="1" outlineLevel="1" x14ac:dyDescent="0.25">
      <c r="B113" s="219">
        <v>42005</v>
      </c>
      <c r="C113" s="399">
        <v>288077</v>
      </c>
      <c r="D113" s="402">
        <v>36734411.046422154</v>
      </c>
      <c r="E113" s="399">
        <v>110424</v>
      </c>
      <c r="F113" s="402">
        <v>14083777.777158232</v>
      </c>
      <c r="G113" s="399">
        <v>398501</v>
      </c>
      <c r="H113" s="402">
        <v>50818188.823580392</v>
      </c>
      <c r="I113" s="399">
        <v>105707</v>
      </c>
      <c r="J113" s="402">
        <v>13659543.552592784</v>
      </c>
      <c r="K113" s="399">
        <v>74385</v>
      </c>
      <c r="L113" s="402">
        <v>9485359.8500379305</v>
      </c>
      <c r="M113" s="399">
        <v>180092</v>
      </c>
      <c r="N113" s="402">
        <v>23144903.402630717</v>
      </c>
      <c r="O113" s="399">
        <v>393784</v>
      </c>
      <c r="P113" s="402">
        <v>50393954.599014938</v>
      </c>
      <c r="Q113" s="399">
        <v>184809</v>
      </c>
      <c r="R113" s="399">
        <v>23569137.627196163</v>
      </c>
      <c r="S113" s="399">
        <v>578593</v>
      </c>
      <c r="T113" s="402">
        <v>73963092.226211101</v>
      </c>
    </row>
    <row r="114" spans="2:20" hidden="1" outlineLevel="1" x14ac:dyDescent="0.25">
      <c r="B114" s="219">
        <v>42036</v>
      </c>
      <c r="C114" s="399">
        <v>288289</v>
      </c>
      <c r="D114" s="402">
        <v>36520828.255740941</v>
      </c>
      <c r="E114" s="399">
        <v>110423</v>
      </c>
      <c r="F114" s="402">
        <v>14008912.771585748</v>
      </c>
      <c r="G114" s="399">
        <v>398712</v>
      </c>
      <c r="H114" s="402">
        <v>50529741.027326688</v>
      </c>
      <c r="I114" s="399">
        <v>105538</v>
      </c>
      <c r="J114" s="402">
        <v>13530812.325260542</v>
      </c>
      <c r="K114" s="399">
        <v>74432</v>
      </c>
      <c r="L114" s="402">
        <v>9420963.7534437552</v>
      </c>
      <c r="M114" s="399">
        <v>179970</v>
      </c>
      <c r="N114" s="402">
        <v>22951776.078704301</v>
      </c>
      <c r="O114" s="399">
        <v>393827</v>
      </c>
      <c r="P114" s="402">
        <v>50051640.58100149</v>
      </c>
      <c r="Q114" s="399">
        <v>184855</v>
      </c>
      <c r="R114" s="399">
        <v>23429876.525029503</v>
      </c>
      <c r="S114" s="399">
        <v>578682</v>
      </c>
      <c r="T114" s="402">
        <v>73481517.106030986</v>
      </c>
    </row>
    <row r="115" spans="2:20" hidden="1" outlineLevel="1" x14ac:dyDescent="0.25">
      <c r="B115" s="219">
        <v>42064</v>
      </c>
      <c r="C115" s="399">
        <v>288568</v>
      </c>
      <c r="D115" s="402">
        <v>36367789.228089049</v>
      </c>
      <c r="E115" s="399">
        <v>110370</v>
      </c>
      <c r="F115" s="402">
        <v>13900419.149743143</v>
      </c>
      <c r="G115" s="399">
        <v>398938</v>
      </c>
      <c r="H115" s="402">
        <v>50268208.377832189</v>
      </c>
      <c r="I115" s="399">
        <v>105402</v>
      </c>
      <c r="J115" s="402">
        <v>13375540.680160502</v>
      </c>
      <c r="K115" s="399">
        <v>74896</v>
      </c>
      <c r="L115" s="402">
        <v>9495936.4369328991</v>
      </c>
      <c r="M115" s="399">
        <v>180298</v>
      </c>
      <c r="N115" s="402">
        <v>22871477.117093399</v>
      </c>
      <c r="O115" s="399">
        <v>393970</v>
      </c>
      <c r="P115" s="402">
        <v>49743329.90824955</v>
      </c>
      <c r="Q115" s="399">
        <v>185266</v>
      </c>
      <c r="R115" s="399">
        <v>23396355.586676039</v>
      </c>
      <c r="S115" s="399">
        <v>579236</v>
      </c>
      <c r="T115" s="402">
        <v>73139685.494925588</v>
      </c>
    </row>
    <row r="116" spans="2:20" hidden="1" outlineLevel="1" x14ac:dyDescent="0.25">
      <c r="B116" s="219">
        <v>42095</v>
      </c>
      <c r="C116" s="399">
        <v>288868</v>
      </c>
      <c r="D116" s="402">
        <v>36124298.408884466</v>
      </c>
      <c r="E116" s="399">
        <v>110349</v>
      </c>
      <c r="F116" s="402">
        <v>13801439.166534603</v>
      </c>
      <c r="G116" s="399">
        <v>399217</v>
      </c>
      <c r="H116" s="402">
        <v>49925737.575419076</v>
      </c>
      <c r="I116" s="399">
        <v>105285</v>
      </c>
      <c r="J116" s="402">
        <v>13363417.799808597</v>
      </c>
      <c r="K116" s="399">
        <v>74817</v>
      </c>
      <c r="L116" s="402">
        <v>9472361.9544008281</v>
      </c>
      <c r="M116" s="399">
        <v>180102</v>
      </c>
      <c r="N116" s="402">
        <v>22835779.754209425</v>
      </c>
      <c r="O116" s="399">
        <v>394153</v>
      </c>
      <c r="P116" s="402">
        <v>49487716.208693072</v>
      </c>
      <c r="Q116" s="399">
        <v>185166</v>
      </c>
      <c r="R116" s="399">
        <v>23273801.120935429</v>
      </c>
      <c r="S116" s="399">
        <v>579319</v>
      </c>
      <c r="T116" s="402">
        <v>72761517.329628497</v>
      </c>
    </row>
    <row r="117" spans="2:20" hidden="1" outlineLevel="1" x14ac:dyDescent="0.25">
      <c r="B117" s="219">
        <v>42125</v>
      </c>
      <c r="C117" s="399">
        <v>289236</v>
      </c>
      <c r="D117" s="402">
        <v>36127524.973647043</v>
      </c>
      <c r="E117" s="399">
        <v>110347</v>
      </c>
      <c r="F117" s="402">
        <v>13806553.040652592</v>
      </c>
      <c r="G117" s="399">
        <v>399583</v>
      </c>
      <c r="H117" s="402">
        <v>49934078.014299639</v>
      </c>
      <c r="I117" s="399">
        <v>105163</v>
      </c>
      <c r="J117" s="402">
        <v>13346196.882125827</v>
      </c>
      <c r="K117" s="399">
        <v>74786</v>
      </c>
      <c r="L117" s="402">
        <v>9480116.5353471413</v>
      </c>
      <c r="M117" s="399">
        <v>179949</v>
      </c>
      <c r="N117" s="402">
        <v>22826313.41747297</v>
      </c>
      <c r="O117" s="399">
        <v>394399</v>
      </c>
      <c r="P117" s="402">
        <v>49473721.855772868</v>
      </c>
      <c r="Q117" s="399">
        <v>185133</v>
      </c>
      <c r="R117" s="399">
        <v>23286669.575999733</v>
      </c>
      <c r="S117" s="399">
        <v>579532</v>
      </c>
      <c r="T117" s="402">
        <v>72760391.431772605</v>
      </c>
    </row>
    <row r="118" spans="2:20" hidden="1" outlineLevel="1" x14ac:dyDescent="0.25">
      <c r="B118" s="219">
        <v>42156</v>
      </c>
      <c r="C118" s="399">
        <v>289051</v>
      </c>
      <c r="D118" s="402">
        <v>35911819.419852391</v>
      </c>
      <c r="E118" s="399">
        <v>110287</v>
      </c>
      <c r="F118" s="402">
        <v>13713713.756366508</v>
      </c>
      <c r="G118" s="399">
        <v>399338</v>
      </c>
      <c r="H118" s="402">
        <v>49625533.176218905</v>
      </c>
      <c r="I118" s="399">
        <v>104884</v>
      </c>
      <c r="J118" s="402">
        <v>13279713.434852278</v>
      </c>
      <c r="K118" s="399">
        <v>74517</v>
      </c>
      <c r="L118" s="402">
        <v>9392404.1493905708</v>
      </c>
      <c r="M118" s="399">
        <v>179401</v>
      </c>
      <c r="N118" s="402">
        <v>22672117.584242851</v>
      </c>
      <c r="O118" s="399">
        <v>393935</v>
      </c>
      <c r="P118" s="402">
        <v>49191532.854704663</v>
      </c>
      <c r="Q118" s="399">
        <v>184804</v>
      </c>
      <c r="R118" s="399">
        <v>23106117.905757081</v>
      </c>
      <c r="S118" s="399">
        <v>578739</v>
      </c>
      <c r="T118" s="402">
        <v>72297650.760461748</v>
      </c>
    </row>
    <row r="119" spans="2:20" hidden="1" outlineLevel="1" x14ac:dyDescent="0.25">
      <c r="B119" s="219">
        <v>42186</v>
      </c>
      <c r="C119" s="399">
        <v>289446</v>
      </c>
      <c r="D119" s="402">
        <v>37350261.781156786</v>
      </c>
      <c r="E119" s="399">
        <v>110438</v>
      </c>
      <c r="F119" s="402">
        <v>14265637.332841519</v>
      </c>
      <c r="G119" s="399">
        <v>399884</v>
      </c>
      <c r="H119" s="402">
        <v>51615899.113998301</v>
      </c>
      <c r="I119" s="399">
        <v>105035</v>
      </c>
      <c r="J119" s="402">
        <v>13931545.31773649</v>
      </c>
      <c r="K119" s="399">
        <v>74672</v>
      </c>
      <c r="L119" s="402">
        <v>9900624.8496598564</v>
      </c>
      <c r="M119" s="399">
        <v>179707</v>
      </c>
      <c r="N119" s="402">
        <v>23832170.167396348</v>
      </c>
      <c r="O119" s="399">
        <v>394481</v>
      </c>
      <c r="P119" s="402">
        <v>51281807.09889327</v>
      </c>
      <c r="Q119" s="399">
        <v>185110</v>
      </c>
      <c r="R119" s="399">
        <v>24166262.182501376</v>
      </c>
      <c r="S119" s="399">
        <v>579591</v>
      </c>
      <c r="T119" s="402">
        <v>75448069.28139466</v>
      </c>
    </row>
    <row r="120" spans="2:20" hidden="1" outlineLevel="1" x14ac:dyDescent="0.25">
      <c r="B120" s="219">
        <v>42217</v>
      </c>
      <c r="C120" s="399">
        <v>289186</v>
      </c>
      <c r="D120" s="402">
        <v>36975885.9494818</v>
      </c>
      <c r="E120" s="399">
        <v>110169</v>
      </c>
      <c r="F120" s="402">
        <v>14095765.668257268</v>
      </c>
      <c r="G120" s="399">
        <v>399355</v>
      </c>
      <c r="H120" s="402">
        <v>51071651.617739066</v>
      </c>
      <c r="I120" s="399">
        <v>104933</v>
      </c>
      <c r="J120" s="402">
        <v>13790641.968078898</v>
      </c>
      <c r="K120" s="399">
        <v>74524</v>
      </c>
      <c r="L120" s="402">
        <v>9696467.8983043917</v>
      </c>
      <c r="M120" s="399">
        <v>179457</v>
      </c>
      <c r="N120" s="402">
        <v>23487109.866383288</v>
      </c>
      <c r="O120" s="399">
        <v>394119</v>
      </c>
      <c r="P120" s="402">
        <v>50766527.917560697</v>
      </c>
      <c r="Q120" s="399">
        <v>184693</v>
      </c>
      <c r="R120" s="399">
        <v>23792233.566561662</v>
      </c>
      <c r="S120" s="399">
        <v>578812</v>
      </c>
      <c r="T120" s="402">
        <v>74558761.484122366</v>
      </c>
    </row>
    <row r="121" spans="2:20" hidden="1" outlineLevel="1" x14ac:dyDescent="0.25">
      <c r="B121" s="219">
        <v>42248</v>
      </c>
      <c r="C121" s="399">
        <v>289306</v>
      </c>
      <c r="D121" s="402">
        <v>36966147.415217906</v>
      </c>
      <c r="E121" s="399">
        <v>109983</v>
      </c>
      <c r="F121" s="402">
        <v>14067360.088053832</v>
      </c>
      <c r="G121" s="399">
        <v>399289</v>
      </c>
      <c r="H121" s="402">
        <v>51033507.503271736</v>
      </c>
      <c r="I121" s="399">
        <v>104826</v>
      </c>
      <c r="J121" s="402">
        <v>13791301.357715314</v>
      </c>
      <c r="K121" s="399">
        <v>74536</v>
      </c>
      <c r="L121" s="402">
        <v>9732566.0133241899</v>
      </c>
      <c r="M121" s="399">
        <v>179362</v>
      </c>
      <c r="N121" s="402">
        <v>23523867.371039506</v>
      </c>
      <c r="O121" s="399">
        <v>394132</v>
      </c>
      <c r="P121" s="402">
        <v>50757448.772933222</v>
      </c>
      <c r="Q121" s="399">
        <v>184519</v>
      </c>
      <c r="R121" s="399">
        <v>23799926.10137802</v>
      </c>
      <c r="S121" s="399">
        <v>578651</v>
      </c>
      <c r="T121" s="402">
        <v>74557374.874311239</v>
      </c>
    </row>
    <row r="122" spans="2:20" hidden="1" outlineLevel="1" x14ac:dyDescent="0.25">
      <c r="B122" s="219">
        <v>42278</v>
      </c>
      <c r="C122" s="399">
        <v>289406</v>
      </c>
      <c r="D122" s="402">
        <v>36819570.007464804</v>
      </c>
      <c r="E122" s="399">
        <v>109773</v>
      </c>
      <c r="F122" s="402">
        <v>13986744.264965504</v>
      </c>
      <c r="G122" s="399">
        <v>399179</v>
      </c>
      <c r="H122" s="402">
        <v>50806314.272430316</v>
      </c>
      <c r="I122" s="399">
        <v>104834</v>
      </c>
      <c r="J122" s="402">
        <v>13728575.257035615</v>
      </c>
      <c r="K122" s="399">
        <v>74656</v>
      </c>
      <c r="L122" s="402">
        <v>9694141.8467529118</v>
      </c>
      <c r="M122" s="399">
        <v>179490</v>
      </c>
      <c r="N122" s="402">
        <v>23422717.103788525</v>
      </c>
      <c r="O122" s="399">
        <v>394240</v>
      </c>
      <c r="P122" s="402">
        <v>50548145.264500417</v>
      </c>
      <c r="Q122" s="399">
        <v>184429</v>
      </c>
      <c r="R122" s="399">
        <v>23680886.111718412</v>
      </c>
      <c r="S122" s="399">
        <v>578669</v>
      </c>
      <c r="T122" s="402">
        <v>74229031.37621884</v>
      </c>
    </row>
    <row r="123" spans="2:20" hidden="1" outlineLevel="1" x14ac:dyDescent="0.25">
      <c r="B123" s="219">
        <v>42309</v>
      </c>
      <c r="C123" s="399">
        <v>289596</v>
      </c>
      <c r="D123" s="402">
        <v>36822375.298147112</v>
      </c>
      <c r="E123" s="399">
        <v>109685</v>
      </c>
      <c r="F123" s="402">
        <v>13985254.949780099</v>
      </c>
      <c r="G123" s="399">
        <v>399281</v>
      </c>
      <c r="H123" s="402">
        <v>50807630.247927219</v>
      </c>
      <c r="I123" s="399">
        <v>104776</v>
      </c>
      <c r="J123" s="402">
        <v>13689140.480981363</v>
      </c>
      <c r="K123" s="399">
        <v>74747</v>
      </c>
      <c r="L123" s="402">
        <v>9681896.6441538129</v>
      </c>
      <c r="M123" s="399">
        <v>179523</v>
      </c>
      <c r="N123" s="402">
        <v>23371037.125135172</v>
      </c>
      <c r="O123" s="399">
        <v>394372</v>
      </c>
      <c r="P123" s="402">
        <v>50511515.779128477</v>
      </c>
      <c r="Q123" s="399">
        <v>184432</v>
      </c>
      <c r="R123" s="399">
        <v>23667151.59393391</v>
      </c>
      <c r="S123" s="399">
        <v>578804</v>
      </c>
      <c r="T123" s="402">
        <v>74178667.373062387</v>
      </c>
    </row>
    <row r="124" spans="2:20" hidden="1" outlineLevel="1" x14ac:dyDescent="0.25">
      <c r="B124" s="219">
        <v>42339</v>
      </c>
      <c r="C124" s="399">
        <v>289818</v>
      </c>
      <c r="D124" s="402">
        <v>36854184.462795645</v>
      </c>
      <c r="E124" s="399">
        <v>109696</v>
      </c>
      <c r="F124" s="402">
        <v>13967699.197243808</v>
      </c>
      <c r="G124" s="399">
        <v>399514</v>
      </c>
      <c r="H124" s="402">
        <v>50821883.660039455</v>
      </c>
      <c r="I124" s="399">
        <v>104882</v>
      </c>
      <c r="J124" s="402">
        <v>13710341.040623309</v>
      </c>
      <c r="K124" s="399">
        <v>74896</v>
      </c>
      <c r="L124" s="402">
        <v>9701466.1968481354</v>
      </c>
      <c r="M124" s="399">
        <v>179778</v>
      </c>
      <c r="N124" s="402">
        <v>23411807.237471443</v>
      </c>
      <c r="O124" s="399">
        <v>394700</v>
      </c>
      <c r="P124" s="402">
        <v>50564525.503418952</v>
      </c>
      <c r="Q124" s="399">
        <v>184592</v>
      </c>
      <c r="R124" s="399">
        <v>23669165.394091941</v>
      </c>
      <c r="S124" s="399">
        <v>579292</v>
      </c>
      <c r="T124" s="402">
        <v>74233690.897510901</v>
      </c>
    </row>
    <row r="125" spans="2:20" collapsed="1" x14ac:dyDescent="0.25">
      <c r="B125" s="393" t="s">
        <v>756</v>
      </c>
      <c r="C125" s="394">
        <v>289070.58333333331</v>
      </c>
      <c r="D125" s="403">
        <v>36631258.020575009</v>
      </c>
      <c r="E125" s="394">
        <v>110162</v>
      </c>
      <c r="F125" s="403">
        <v>13973606.430265239</v>
      </c>
      <c r="G125" s="394">
        <v>399232.58333333331</v>
      </c>
      <c r="H125" s="403">
        <v>50604864.450840242</v>
      </c>
      <c r="I125" s="394">
        <v>105105.41666666667</v>
      </c>
      <c r="J125" s="403">
        <v>13599730.841414293</v>
      </c>
      <c r="K125" s="394">
        <v>74655.333333333328</v>
      </c>
      <c r="L125" s="403">
        <v>9596192.1773830354</v>
      </c>
      <c r="M125" s="394">
        <v>179760.75</v>
      </c>
      <c r="N125" s="403">
        <v>23195923.018797327</v>
      </c>
      <c r="O125" s="394">
        <v>394176</v>
      </c>
      <c r="P125" s="403">
        <v>50230988.861989297</v>
      </c>
      <c r="Q125" s="394">
        <v>184817.33333333334</v>
      </c>
      <c r="R125" s="394">
        <v>23569798.607648272</v>
      </c>
      <c r="S125" s="394">
        <v>578993.33333333337</v>
      </c>
      <c r="T125" s="403">
        <v>73800787.469637558</v>
      </c>
    </row>
    <row r="126" spans="2:20" hidden="1" outlineLevel="1" x14ac:dyDescent="0.25">
      <c r="B126" s="219">
        <v>42370</v>
      </c>
      <c r="C126" s="399">
        <v>289772</v>
      </c>
      <c r="D126" s="402">
        <v>36658331.289194919</v>
      </c>
      <c r="E126" s="399">
        <v>109526</v>
      </c>
      <c r="F126" s="402">
        <v>13882304.029220948</v>
      </c>
      <c r="G126" s="399">
        <v>399298</v>
      </c>
      <c r="H126" s="402">
        <v>50540635.318415865</v>
      </c>
      <c r="I126" s="399">
        <v>104970</v>
      </c>
      <c r="J126" s="402">
        <v>13691027.799225882</v>
      </c>
      <c r="K126" s="399">
        <v>74980</v>
      </c>
      <c r="L126" s="402">
        <v>9645034.3257103898</v>
      </c>
      <c r="M126" s="399">
        <v>179950</v>
      </c>
      <c r="N126" s="402">
        <v>23336062.124936271</v>
      </c>
      <c r="O126" s="399">
        <v>394742</v>
      </c>
      <c r="P126" s="402">
        <v>50349359.088420801</v>
      </c>
      <c r="Q126" s="399">
        <v>184506</v>
      </c>
      <c r="R126" s="399">
        <v>23527338.354931336</v>
      </c>
      <c r="S126" s="399">
        <v>579248</v>
      </c>
      <c r="T126" s="402">
        <v>73876697.443352133</v>
      </c>
    </row>
    <row r="127" spans="2:20" hidden="1" outlineLevel="1" x14ac:dyDescent="0.25">
      <c r="B127" s="219">
        <v>42401</v>
      </c>
      <c r="C127" s="399">
        <v>290041</v>
      </c>
      <c r="D127" s="402">
        <v>36640053.529201917</v>
      </c>
      <c r="E127" s="399">
        <v>109494</v>
      </c>
      <c r="F127" s="402">
        <v>13874605.640365221</v>
      </c>
      <c r="G127" s="399">
        <v>399535</v>
      </c>
      <c r="H127" s="402">
        <v>50514659.169567145</v>
      </c>
      <c r="I127" s="399">
        <v>105124</v>
      </c>
      <c r="J127" s="402">
        <v>13676112.33633917</v>
      </c>
      <c r="K127" s="399">
        <v>75133</v>
      </c>
      <c r="L127" s="402">
        <v>9679507.0468645748</v>
      </c>
      <c r="M127" s="399">
        <v>180257</v>
      </c>
      <c r="N127" s="402">
        <v>23355619.383203741</v>
      </c>
      <c r="O127" s="399">
        <v>395165</v>
      </c>
      <c r="P127" s="402">
        <v>50316165.865541093</v>
      </c>
      <c r="Q127" s="399">
        <v>184627</v>
      </c>
      <c r="R127" s="399">
        <v>23554112.687229797</v>
      </c>
      <c r="S127" s="399">
        <v>579792</v>
      </c>
      <c r="T127" s="402">
        <v>73870278.552770883</v>
      </c>
    </row>
    <row r="128" spans="2:20" hidden="1" outlineLevel="1" x14ac:dyDescent="0.25">
      <c r="B128" s="219">
        <v>42430</v>
      </c>
      <c r="C128" s="399">
        <v>289522</v>
      </c>
      <c r="D128" s="402">
        <v>36283985.710368849</v>
      </c>
      <c r="E128" s="399">
        <v>109195</v>
      </c>
      <c r="F128" s="402">
        <v>13702247.766994191</v>
      </c>
      <c r="G128" s="399">
        <v>398717</v>
      </c>
      <c r="H128" s="402">
        <v>49986233.477363043</v>
      </c>
      <c r="I128" s="399">
        <v>105070</v>
      </c>
      <c r="J128" s="402">
        <v>13485955.586387431</v>
      </c>
      <c r="K128" s="399">
        <v>74986</v>
      </c>
      <c r="L128" s="402">
        <v>9521564.5220407564</v>
      </c>
      <c r="M128" s="399">
        <v>180056</v>
      </c>
      <c r="N128" s="402">
        <v>23007520.108428188</v>
      </c>
      <c r="O128" s="399">
        <v>394592</v>
      </c>
      <c r="P128" s="402">
        <v>49769941.296756282</v>
      </c>
      <c r="Q128" s="399">
        <v>184181</v>
      </c>
      <c r="R128" s="399">
        <v>23223812.289034948</v>
      </c>
      <c r="S128" s="399">
        <v>578773</v>
      </c>
      <c r="T128" s="402">
        <v>72993753.58579123</v>
      </c>
    </row>
    <row r="129" spans="2:20" hidden="1" outlineLevel="1" x14ac:dyDescent="0.25">
      <c r="B129" s="219">
        <v>42461</v>
      </c>
      <c r="C129" s="399">
        <v>290006</v>
      </c>
      <c r="D129" s="402">
        <v>36425714.147800677</v>
      </c>
      <c r="E129" s="399">
        <v>109202</v>
      </c>
      <c r="F129" s="402">
        <v>13714128.671844684</v>
      </c>
      <c r="G129" s="399">
        <v>399208</v>
      </c>
      <c r="H129" s="402">
        <v>50139842.819645353</v>
      </c>
      <c r="I129" s="399">
        <v>105346</v>
      </c>
      <c r="J129" s="402">
        <v>13608206.811260389</v>
      </c>
      <c r="K129" s="399">
        <v>75254</v>
      </c>
      <c r="L129" s="402">
        <v>9665810.8633055054</v>
      </c>
      <c r="M129" s="399">
        <v>180600</v>
      </c>
      <c r="N129" s="402">
        <v>23274017.674565896</v>
      </c>
      <c r="O129" s="399">
        <v>395352</v>
      </c>
      <c r="P129" s="402">
        <v>50033920.959061064</v>
      </c>
      <c r="Q129" s="399">
        <v>184456</v>
      </c>
      <c r="R129" s="399">
        <v>23379939.535150189</v>
      </c>
      <c r="S129" s="399">
        <v>579808</v>
      </c>
      <c r="T129" s="402">
        <v>73413860.494211242</v>
      </c>
    </row>
    <row r="130" spans="2:20" hidden="1" outlineLevel="1" x14ac:dyDescent="0.25">
      <c r="B130" s="219">
        <v>42491</v>
      </c>
      <c r="C130" s="399">
        <v>290387</v>
      </c>
      <c r="D130" s="402">
        <v>36352749.023948006</v>
      </c>
      <c r="E130" s="399">
        <v>109075</v>
      </c>
      <c r="F130" s="402">
        <v>13679469.6143618</v>
      </c>
      <c r="G130" s="399">
        <v>399462</v>
      </c>
      <c r="H130" s="402">
        <v>50032218.638309807</v>
      </c>
      <c r="I130" s="399">
        <v>105384</v>
      </c>
      <c r="J130" s="402">
        <v>13432189.747895267</v>
      </c>
      <c r="K130" s="399">
        <v>75437</v>
      </c>
      <c r="L130" s="402">
        <v>9586121.9238409642</v>
      </c>
      <c r="M130" s="399">
        <v>180821</v>
      </c>
      <c r="N130" s="402">
        <v>23018311.671736229</v>
      </c>
      <c r="O130" s="399">
        <v>395771</v>
      </c>
      <c r="P130" s="402">
        <v>49784938.771843277</v>
      </c>
      <c r="Q130" s="399">
        <v>184512</v>
      </c>
      <c r="R130" s="399">
        <v>23265591.538202763</v>
      </c>
      <c r="S130" s="399">
        <v>580283</v>
      </c>
      <c r="T130" s="402">
        <v>73050530.310046032</v>
      </c>
    </row>
    <row r="131" spans="2:20" hidden="1" outlineLevel="1" x14ac:dyDescent="0.25">
      <c r="B131" s="219">
        <v>42522</v>
      </c>
      <c r="C131" s="399">
        <v>290710</v>
      </c>
      <c r="D131" s="402">
        <v>36141475.100629941</v>
      </c>
      <c r="E131" s="399">
        <v>109011</v>
      </c>
      <c r="F131" s="402">
        <v>13555099.43223292</v>
      </c>
      <c r="G131" s="399">
        <v>399721</v>
      </c>
      <c r="H131" s="402">
        <v>49696574.532862864</v>
      </c>
      <c r="I131" s="399">
        <v>105613</v>
      </c>
      <c r="J131" s="402">
        <v>13542442.171750434</v>
      </c>
      <c r="K131" s="399">
        <v>75584</v>
      </c>
      <c r="L131" s="402">
        <v>9608874.397021547</v>
      </c>
      <c r="M131" s="399">
        <v>181197</v>
      </c>
      <c r="N131" s="402">
        <v>23151316.568771981</v>
      </c>
      <c r="O131" s="399">
        <v>396323</v>
      </c>
      <c r="P131" s="402">
        <v>49683917.272380382</v>
      </c>
      <c r="Q131" s="399">
        <v>184595</v>
      </c>
      <c r="R131" s="399">
        <v>23163973.829254467</v>
      </c>
      <c r="S131" s="399">
        <v>580918</v>
      </c>
      <c r="T131" s="402">
        <v>72847891.101634845</v>
      </c>
    </row>
    <row r="132" spans="2:20" hidden="1" outlineLevel="1" x14ac:dyDescent="0.25">
      <c r="B132" s="219">
        <v>42552</v>
      </c>
      <c r="C132" s="399">
        <v>290754</v>
      </c>
      <c r="D132" s="402">
        <v>37546647.962010287</v>
      </c>
      <c r="E132" s="399">
        <v>108892</v>
      </c>
      <c r="F132" s="402">
        <v>14095960.161713546</v>
      </c>
      <c r="G132" s="399">
        <v>399646</v>
      </c>
      <c r="H132" s="402">
        <v>51642608.123723835</v>
      </c>
      <c r="I132" s="399">
        <v>105761</v>
      </c>
      <c r="J132" s="402">
        <v>13993599.549945498</v>
      </c>
      <c r="K132" s="399">
        <v>75723</v>
      </c>
      <c r="L132" s="402">
        <v>9944557.1414168905</v>
      </c>
      <c r="M132" s="399">
        <v>181484</v>
      </c>
      <c r="N132" s="402">
        <v>23938156.691362388</v>
      </c>
      <c r="O132" s="399">
        <v>396515</v>
      </c>
      <c r="P132" s="402">
        <v>51540247.51195579</v>
      </c>
      <c r="Q132" s="399">
        <v>184615</v>
      </c>
      <c r="R132" s="399">
        <v>24040517.30313044</v>
      </c>
      <c r="S132" s="399">
        <v>581130</v>
      </c>
      <c r="T132" s="402">
        <v>75580764.815086231</v>
      </c>
    </row>
    <row r="133" spans="2:20" hidden="1" outlineLevel="1" x14ac:dyDescent="0.25">
      <c r="B133" s="219">
        <v>42583</v>
      </c>
      <c r="C133" s="399">
        <v>290722</v>
      </c>
      <c r="D133" s="402">
        <v>37558775.441236496</v>
      </c>
      <c r="E133" s="399">
        <v>108727</v>
      </c>
      <c r="F133" s="402">
        <v>14065818.180695444</v>
      </c>
      <c r="G133" s="399">
        <v>399449</v>
      </c>
      <c r="H133" s="402">
        <v>51624593.62193194</v>
      </c>
      <c r="I133" s="399">
        <v>105741</v>
      </c>
      <c r="J133" s="402">
        <v>13953665.864825955</v>
      </c>
      <c r="K133" s="399">
        <v>75743</v>
      </c>
      <c r="L133" s="402">
        <v>9901481.1453079693</v>
      </c>
      <c r="M133" s="399">
        <v>181484</v>
      </c>
      <c r="N133" s="402">
        <v>23855147.010133922</v>
      </c>
      <c r="O133" s="399">
        <v>396463</v>
      </c>
      <c r="P133" s="402">
        <v>51512441.306062445</v>
      </c>
      <c r="Q133" s="399">
        <v>184470</v>
      </c>
      <c r="R133" s="399">
        <v>23967299.326003414</v>
      </c>
      <c r="S133" s="399">
        <v>580933</v>
      </c>
      <c r="T133" s="402">
        <v>75479740.632065862</v>
      </c>
    </row>
    <row r="134" spans="2:20" hidden="1" outlineLevel="1" x14ac:dyDescent="0.25">
      <c r="B134" s="219">
        <v>42614</v>
      </c>
      <c r="C134" s="399">
        <v>290590</v>
      </c>
      <c r="D134" s="402">
        <v>37449512.424494416</v>
      </c>
      <c r="E134" s="399">
        <v>108480</v>
      </c>
      <c r="F134" s="402">
        <v>14022255.095512988</v>
      </c>
      <c r="G134" s="399">
        <v>399070</v>
      </c>
      <c r="H134" s="402">
        <v>51471767.520007402</v>
      </c>
      <c r="I134" s="399">
        <v>105661</v>
      </c>
      <c r="J134" s="402">
        <v>13938115.368115297</v>
      </c>
      <c r="K134" s="399">
        <v>75770</v>
      </c>
      <c r="L134" s="402">
        <v>9908599.1574572809</v>
      </c>
      <c r="M134" s="399">
        <v>181431</v>
      </c>
      <c r="N134" s="402">
        <v>23846714.525572579</v>
      </c>
      <c r="O134" s="399">
        <v>396251</v>
      </c>
      <c r="P134" s="402">
        <v>51387627.792609714</v>
      </c>
      <c r="Q134" s="399">
        <v>184250</v>
      </c>
      <c r="R134" s="399">
        <v>23930854.252970267</v>
      </c>
      <c r="S134" s="399">
        <v>580501</v>
      </c>
      <c r="T134" s="402">
        <v>75318482.04557997</v>
      </c>
    </row>
    <row r="135" spans="2:20" hidden="1" outlineLevel="1" x14ac:dyDescent="0.25">
      <c r="B135" s="219">
        <v>42644</v>
      </c>
      <c r="C135" s="399">
        <v>290392</v>
      </c>
      <c r="D135" s="402">
        <v>37344986.627783693</v>
      </c>
      <c r="E135" s="399">
        <v>108234</v>
      </c>
      <c r="F135" s="402">
        <v>13927621.994712561</v>
      </c>
      <c r="G135" s="399">
        <v>398626</v>
      </c>
      <c r="H135" s="402">
        <v>51272608.622496247</v>
      </c>
      <c r="I135" s="399">
        <v>105680</v>
      </c>
      <c r="J135" s="402">
        <v>13915119.490530837</v>
      </c>
      <c r="K135" s="399">
        <v>75906</v>
      </c>
      <c r="L135" s="402">
        <v>9933296.7353143748</v>
      </c>
      <c r="M135" s="399">
        <v>181586</v>
      </c>
      <c r="N135" s="402">
        <v>23848416.22584521</v>
      </c>
      <c r="O135" s="399">
        <v>396072</v>
      </c>
      <c r="P135" s="402">
        <v>51260106.118314527</v>
      </c>
      <c r="Q135" s="399">
        <v>184140</v>
      </c>
      <c r="R135" s="399">
        <v>23860918.730026934</v>
      </c>
      <c r="S135" s="399">
        <v>580212</v>
      </c>
      <c r="T135" s="402">
        <v>75121024.848341465</v>
      </c>
    </row>
    <row r="136" spans="2:20" hidden="1" outlineLevel="1" x14ac:dyDescent="0.25">
      <c r="B136" s="219">
        <v>42675</v>
      </c>
      <c r="C136" s="399">
        <v>290974</v>
      </c>
      <c r="D136" s="402">
        <v>37601460.533160113</v>
      </c>
      <c r="E136" s="399">
        <v>108240</v>
      </c>
      <c r="F136" s="402">
        <v>14006298.898294501</v>
      </c>
      <c r="G136" s="399">
        <v>399214</v>
      </c>
      <c r="H136" s="402">
        <v>51607759.431454614</v>
      </c>
      <c r="I136" s="399">
        <v>105692</v>
      </c>
      <c r="J136" s="402">
        <v>13931887.984964103</v>
      </c>
      <c r="K136" s="399">
        <v>76030</v>
      </c>
      <c r="L136" s="402">
        <v>9953882.7526771147</v>
      </c>
      <c r="M136" s="399">
        <v>181722</v>
      </c>
      <c r="N136" s="402">
        <v>23885770.737641215</v>
      </c>
      <c r="O136" s="399">
        <v>396666</v>
      </c>
      <c r="P136" s="402">
        <v>51533348.518124215</v>
      </c>
      <c r="Q136" s="399">
        <v>184270</v>
      </c>
      <c r="R136" s="399">
        <v>23960181.650971614</v>
      </c>
      <c r="S136" s="399">
        <v>580936</v>
      </c>
      <c r="T136" s="402">
        <v>75493530.169095829</v>
      </c>
    </row>
    <row r="137" spans="2:20" hidden="1" outlineLevel="1" x14ac:dyDescent="0.25">
      <c r="B137" s="219">
        <v>42705</v>
      </c>
      <c r="C137" s="399">
        <v>290606</v>
      </c>
      <c r="D137" s="402">
        <v>37376215.371628091</v>
      </c>
      <c r="E137" s="399">
        <v>108045</v>
      </c>
      <c r="F137" s="402">
        <v>13910480.609936314</v>
      </c>
      <c r="G137" s="399">
        <v>398651</v>
      </c>
      <c r="H137" s="402">
        <v>51286695.981564403</v>
      </c>
      <c r="I137" s="399">
        <v>105476</v>
      </c>
      <c r="J137" s="402">
        <v>13831604.270301934</v>
      </c>
      <c r="K137" s="399">
        <v>75845</v>
      </c>
      <c r="L137" s="402">
        <v>9896848.700467661</v>
      </c>
      <c r="M137" s="399">
        <v>181321</v>
      </c>
      <c r="N137" s="402">
        <v>23728452.970769595</v>
      </c>
      <c r="O137" s="399">
        <v>396082</v>
      </c>
      <c r="P137" s="402">
        <v>51207819.641930021</v>
      </c>
      <c r="Q137" s="399">
        <v>183890</v>
      </c>
      <c r="R137" s="399">
        <v>23807329.310403977</v>
      </c>
      <c r="S137" s="399">
        <v>579972</v>
      </c>
      <c r="T137" s="402">
        <v>75015148.952334002</v>
      </c>
    </row>
    <row r="138" spans="2:20" collapsed="1" x14ac:dyDescent="0.25">
      <c r="B138" s="393" t="s">
        <v>757</v>
      </c>
      <c r="C138" s="394">
        <v>290373</v>
      </c>
      <c r="D138" s="403">
        <v>36948325.596788116</v>
      </c>
      <c r="E138" s="394">
        <v>108843.41666666667</v>
      </c>
      <c r="F138" s="403">
        <v>13869690.841323761</v>
      </c>
      <c r="G138" s="394">
        <v>399216.41666666669</v>
      </c>
      <c r="H138" s="403">
        <v>50818016.438111871</v>
      </c>
      <c r="I138" s="394">
        <v>105459.83333333333</v>
      </c>
      <c r="J138" s="403">
        <v>13749993.915128516</v>
      </c>
      <c r="K138" s="394">
        <v>75532.583333333328</v>
      </c>
      <c r="L138" s="403">
        <v>9770464.8926187512</v>
      </c>
      <c r="M138" s="394">
        <v>180992.41666666666</v>
      </c>
      <c r="N138" s="403">
        <v>23520458.807747271</v>
      </c>
      <c r="O138" s="394">
        <v>395832.83333333331</v>
      </c>
      <c r="P138" s="403">
        <v>50698319.51191663</v>
      </c>
      <c r="Q138" s="394">
        <v>184376</v>
      </c>
      <c r="R138" s="394">
        <v>23640155.733942512</v>
      </c>
      <c r="S138" s="394">
        <v>580208.83333333337</v>
      </c>
      <c r="T138" s="403">
        <v>74338475.245859146</v>
      </c>
    </row>
    <row r="139" spans="2:20" hidden="1" outlineLevel="1" x14ac:dyDescent="0.25">
      <c r="B139" s="219">
        <v>42736</v>
      </c>
      <c r="C139" s="399">
        <v>291095</v>
      </c>
      <c r="D139" s="402">
        <v>41108477.692015342</v>
      </c>
      <c r="E139" s="399">
        <v>108041</v>
      </c>
      <c r="F139" s="402">
        <v>15262330.840212537</v>
      </c>
      <c r="G139" s="399">
        <v>399136</v>
      </c>
      <c r="H139" s="402">
        <v>56370808.532227881</v>
      </c>
      <c r="I139" s="399">
        <v>105535</v>
      </c>
      <c r="J139" s="402">
        <v>15227120.256036744</v>
      </c>
      <c r="K139" s="399">
        <v>75921</v>
      </c>
      <c r="L139" s="402">
        <v>10875327.652961597</v>
      </c>
      <c r="M139" s="399">
        <v>181456</v>
      </c>
      <c r="N139" s="402">
        <v>26102447.90899834</v>
      </c>
      <c r="O139" s="399">
        <v>396630</v>
      </c>
      <c r="P139" s="402">
        <v>56335597.948052086</v>
      </c>
      <c r="Q139" s="399">
        <v>183962</v>
      </c>
      <c r="R139" s="399">
        <v>26137658.493174132</v>
      </c>
      <c r="S139" s="399">
        <v>580592</v>
      </c>
      <c r="T139" s="402">
        <v>82473256.441226229</v>
      </c>
    </row>
    <row r="140" spans="2:20" hidden="1" outlineLevel="1" x14ac:dyDescent="0.25">
      <c r="B140" s="219">
        <v>42767</v>
      </c>
      <c r="C140" s="399">
        <v>291502</v>
      </c>
      <c r="D140" s="402">
        <v>41058540.214256428</v>
      </c>
      <c r="E140" s="399">
        <v>108057</v>
      </c>
      <c r="F140" s="402">
        <v>15219238.623185571</v>
      </c>
      <c r="G140" s="399">
        <v>399559</v>
      </c>
      <c r="H140" s="402">
        <v>56277778.837442003</v>
      </c>
      <c r="I140" s="399">
        <v>105511</v>
      </c>
      <c r="J140" s="402">
        <v>15114251.275325716</v>
      </c>
      <c r="K140" s="399">
        <v>75979</v>
      </c>
      <c r="L140" s="402">
        <v>10824478.189741332</v>
      </c>
      <c r="M140" s="399">
        <v>181490</v>
      </c>
      <c r="N140" s="402">
        <v>25938729.465067048</v>
      </c>
      <c r="O140" s="399">
        <v>397013</v>
      </c>
      <c r="P140" s="402">
        <v>56172791.489582144</v>
      </c>
      <c r="Q140" s="399">
        <v>184036</v>
      </c>
      <c r="R140" s="399">
        <v>26043716.812926903</v>
      </c>
      <c r="S140" s="399">
        <v>581049</v>
      </c>
      <c r="T140" s="402">
        <v>82216508.302509055</v>
      </c>
    </row>
    <row r="141" spans="2:20" hidden="1" outlineLevel="1" x14ac:dyDescent="0.25">
      <c r="B141" s="219">
        <v>42795</v>
      </c>
      <c r="C141" s="399">
        <v>291371</v>
      </c>
      <c r="D141" s="402">
        <v>40824200.657993786</v>
      </c>
      <c r="E141" s="399">
        <v>107931</v>
      </c>
      <c r="F141" s="402">
        <v>15137750.993229572</v>
      </c>
      <c r="G141" s="399">
        <v>399302</v>
      </c>
      <c r="H141" s="402">
        <v>55961951.651223369</v>
      </c>
      <c r="I141" s="399">
        <v>105627</v>
      </c>
      <c r="J141" s="402">
        <v>15093275.491545133</v>
      </c>
      <c r="K141" s="399">
        <v>76113</v>
      </c>
      <c r="L141" s="402">
        <v>10836487.008244958</v>
      </c>
      <c r="M141" s="399">
        <v>181740</v>
      </c>
      <c r="N141" s="402">
        <v>25929762.499790087</v>
      </c>
      <c r="O141" s="399">
        <v>396998</v>
      </c>
      <c r="P141" s="402">
        <v>55917476.149538927</v>
      </c>
      <c r="Q141" s="399">
        <v>184044</v>
      </c>
      <c r="R141" s="399">
        <v>25974238.00147453</v>
      </c>
      <c r="S141" s="399">
        <v>581042</v>
      </c>
      <c r="T141" s="402">
        <v>81891714.151013464</v>
      </c>
    </row>
    <row r="142" spans="2:20" hidden="1" outlineLevel="1" x14ac:dyDescent="0.25">
      <c r="B142" s="219">
        <v>42826</v>
      </c>
      <c r="C142" s="399">
        <v>291764</v>
      </c>
      <c r="D142" s="402">
        <v>40869198.636530057</v>
      </c>
      <c r="E142" s="399">
        <v>108038</v>
      </c>
      <c r="F142" s="402">
        <v>15153875.157896325</v>
      </c>
      <c r="G142" s="399">
        <v>399802</v>
      </c>
      <c r="H142" s="402">
        <v>56023073.794426382</v>
      </c>
      <c r="I142" s="399">
        <v>105610</v>
      </c>
      <c r="J142" s="402">
        <v>14999650.213199485</v>
      </c>
      <c r="K142" s="399">
        <v>76247</v>
      </c>
      <c r="L142" s="402">
        <v>10802238.71576863</v>
      </c>
      <c r="M142" s="399">
        <v>181857</v>
      </c>
      <c r="N142" s="402">
        <v>25801888.928968113</v>
      </c>
      <c r="O142" s="399">
        <v>397374</v>
      </c>
      <c r="P142" s="402">
        <v>55868848.849729545</v>
      </c>
      <c r="Q142" s="399">
        <v>184285</v>
      </c>
      <c r="R142" s="399">
        <v>25956113.873664957</v>
      </c>
      <c r="S142" s="399">
        <v>581659</v>
      </c>
      <c r="T142" s="402">
        <v>81824962.723394498</v>
      </c>
    </row>
    <row r="143" spans="2:20" hidden="1" outlineLevel="1" x14ac:dyDescent="0.25">
      <c r="B143" s="219">
        <v>42856</v>
      </c>
      <c r="C143" s="399">
        <v>292373</v>
      </c>
      <c r="D143" s="402">
        <v>40943569.494597316</v>
      </c>
      <c r="E143" s="399">
        <v>108173</v>
      </c>
      <c r="F143" s="402">
        <v>15162587.007459711</v>
      </c>
      <c r="G143" s="399">
        <v>400546</v>
      </c>
      <c r="H143" s="402">
        <v>56106156.502057023</v>
      </c>
      <c r="I143" s="399">
        <v>105793</v>
      </c>
      <c r="J143" s="402">
        <v>15074270.668469701</v>
      </c>
      <c r="K143" s="399">
        <v>76469</v>
      </c>
      <c r="L143" s="402">
        <v>10831067.690924184</v>
      </c>
      <c r="M143" s="399">
        <v>182262</v>
      </c>
      <c r="N143" s="402">
        <v>25905338.359393887</v>
      </c>
      <c r="O143" s="399">
        <v>398166</v>
      </c>
      <c r="P143" s="402">
        <v>56017840.163067013</v>
      </c>
      <c r="Q143" s="399">
        <v>184642</v>
      </c>
      <c r="R143" s="399">
        <v>25993654.698383898</v>
      </c>
      <c r="S143" s="399">
        <v>582808</v>
      </c>
      <c r="T143" s="402">
        <v>82011494.861450911</v>
      </c>
    </row>
    <row r="144" spans="2:20" hidden="1" outlineLevel="1" x14ac:dyDescent="0.25">
      <c r="B144" s="219">
        <v>42887</v>
      </c>
      <c r="C144" s="399">
        <v>291766</v>
      </c>
      <c r="D144" s="402">
        <v>40765484.300732628</v>
      </c>
      <c r="E144" s="399">
        <v>107911</v>
      </c>
      <c r="F144" s="402">
        <v>15075533.576319929</v>
      </c>
      <c r="G144" s="399">
        <v>399677</v>
      </c>
      <c r="H144" s="402">
        <v>55841017.877052553</v>
      </c>
      <c r="I144" s="399">
        <v>105559</v>
      </c>
      <c r="J144" s="402">
        <v>15010214.968988894</v>
      </c>
      <c r="K144" s="399">
        <v>76366</v>
      </c>
      <c r="L144" s="402">
        <v>10804654.312562909</v>
      </c>
      <c r="M144" s="399">
        <v>181925</v>
      </c>
      <c r="N144" s="402">
        <v>25814869.281551801</v>
      </c>
      <c r="O144" s="399">
        <v>397325</v>
      </c>
      <c r="P144" s="402">
        <v>55775699.269721523</v>
      </c>
      <c r="Q144" s="399">
        <v>184277</v>
      </c>
      <c r="R144" s="399">
        <v>25880187.888882838</v>
      </c>
      <c r="S144" s="399">
        <v>581602</v>
      </c>
      <c r="T144" s="402">
        <v>81655887.158604354</v>
      </c>
    </row>
    <row r="145" spans="2:20" hidden="1" outlineLevel="1" x14ac:dyDescent="0.25">
      <c r="B145" s="219">
        <v>42917</v>
      </c>
      <c r="C145" s="399">
        <v>291786</v>
      </c>
      <c r="D145" s="402">
        <v>41749032.628712609</v>
      </c>
      <c r="E145" s="399">
        <v>107824</v>
      </c>
      <c r="F145" s="402">
        <v>15450427.538782192</v>
      </c>
      <c r="G145" s="399">
        <v>399610</v>
      </c>
      <c r="H145" s="402">
        <v>57199460.167494796</v>
      </c>
      <c r="I145" s="399">
        <v>105652</v>
      </c>
      <c r="J145" s="402">
        <v>15438179.849856121</v>
      </c>
      <c r="K145" s="399">
        <v>76509</v>
      </c>
      <c r="L145" s="402">
        <v>11105260.581705507</v>
      </c>
      <c r="M145" s="399">
        <v>182161</v>
      </c>
      <c r="N145" s="402">
        <v>26543440.431561626</v>
      </c>
      <c r="O145" s="399">
        <v>397438</v>
      </c>
      <c r="P145" s="402">
        <v>57187212.478568725</v>
      </c>
      <c r="Q145" s="399">
        <v>184333</v>
      </c>
      <c r="R145" s="399">
        <v>26555688.120487697</v>
      </c>
      <c r="S145" s="399">
        <v>581771</v>
      </c>
      <c r="T145" s="402">
        <v>83742900.599056423</v>
      </c>
    </row>
    <row r="146" spans="2:20" hidden="1" outlineLevel="1" x14ac:dyDescent="0.25">
      <c r="B146" s="219">
        <v>42948</v>
      </c>
      <c r="C146" s="399">
        <v>291749</v>
      </c>
      <c r="D146" s="402">
        <v>41441007.266093843</v>
      </c>
      <c r="E146" s="399">
        <v>107568</v>
      </c>
      <c r="F146" s="402">
        <v>15288306.076980934</v>
      </c>
      <c r="G146" s="399">
        <v>399317</v>
      </c>
      <c r="H146" s="402">
        <v>56729313.343074769</v>
      </c>
      <c r="I146" s="399">
        <v>105661</v>
      </c>
      <c r="J146" s="402">
        <v>15310896.41875245</v>
      </c>
      <c r="K146" s="399">
        <v>76579</v>
      </c>
      <c r="L146" s="402">
        <v>11008235.076697065</v>
      </c>
      <c r="M146" s="399">
        <v>182240</v>
      </c>
      <c r="N146" s="402">
        <v>26319131.495449517</v>
      </c>
      <c r="O146" s="399">
        <v>397410</v>
      </c>
      <c r="P146" s="402">
        <v>56751903.684846289</v>
      </c>
      <c r="Q146" s="399">
        <v>184147</v>
      </c>
      <c r="R146" s="399">
        <v>26296541.153677996</v>
      </c>
      <c r="S146" s="399">
        <v>581557</v>
      </c>
      <c r="T146" s="402">
        <v>83048444.838524297</v>
      </c>
    </row>
    <row r="147" spans="2:20" hidden="1" outlineLevel="1" x14ac:dyDescent="0.25">
      <c r="B147" s="219">
        <v>42979</v>
      </c>
      <c r="C147" s="399">
        <v>291749</v>
      </c>
      <c r="D147" s="402">
        <v>41476905.03216701</v>
      </c>
      <c r="E147" s="399">
        <v>107329</v>
      </c>
      <c r="F147" s="402">
        <v>15282984.19413699</v>
      </c>
      <c r="G147" s="399">
        <v>399078</v>
      </c>
      <c r="H147" s="402">
        <v>56759889.226303995</v>
      </c>
      <c r="I147" s="399">
        <v>105608</v>
      </c>
      <c r="J147" s="402">
        <v>15289131.66772644</v>
      </c>
      <c r="K147" s="399">
        <v>76689</v>
      </c>
      <c r="L147" s="402">
        <v>11036306.417526579</v>
      </c>
      <c r="M147" s="399">
        <v>182297</v>
      </c>
      <c r="N147" s="402">
        <v>26325438.085253023</v>
      </c>
      <c r="O147" s="399">
        <v>397357</v>
      </c>
      <c r="P147" s="402">
        <v>56766036.699893445</v>
      </c>
      <c r="Q147" s="399">
        <v>184018</v>
      </c>
      <c r="R147" s="399">
        <v>26319290.611663569</v>
      </c>
      <c r="S147" s="399">
        <v>581375</v>
      </c>
      <c r="T147" s="402">
        <v>83085327.311557025</v>
      </c>
    </row>
    <row r="148" spans="2:20" hidden="1" outlineLevel="1" x14ac:dyDescent="0.25">
      <c r="B148" s="219">
        <v>43009</v>
      </c>
      <c r="C148" s="399">
        <v>291575</v>
      </c>
      <c r="D148" s="402">
        <v>41264456.604485601</v>
      </c>
      <c r="E148" s="399">
        <v>107184</v>
      </c>
      <c r="F148" s="402">
        <v>15184128.816020586</v>
      </c>
      <c r="G148" s="399">
        <v>398759</v>
      </c>
      <c r="H148" s="402">
        <v>56448585.420506187</v>
      </c>
      <c r="I148" s="399">
        <v>105489</v>
      </c>
      <c r="J148" s="402">
        <v>15189850.378051817</v>
      </c>
      <c r="K148" s="399">
        <v>76751</v>
      </c>
      <c r="L148" s="402">
        <v>10986928.614035958</v>
      </c>
      <c r="M148" s="399">
        <v>182240</v>
      </c>
      <c r="N148" s="402">
        <v>26176778.992087778</v>
      </c>
      <c r="O148" s="399">
        <v>397064</v>
      </c>
      <c r="P148" s="402">
        <v>56454306.982537419</v>
      </c>
      <c r="Q148" s="399">
        <v>183935</v>
      </c>
      <c r="R148" s="399">
        <v>26171057.430056546</v>
      </c>
      <c r="S148" s="399">
        <v>580999</v>
      </c>
      <c r="T148" s="402">
        <v>82625364.412593961</v>
      </c>
    </row>
    <row r="149" spans="2:20" hidden="1" outlineLevel="1" x14ac:dyDescent="0.25">
      <c r="B149" s="219">
        <v>43040</v>
      </c>
      <c r="C149" s="399">
        <v>291941</v>
      </c>
      <c r="D149" s="402">
        <v>41265412.594709374</v>
      </c>
      <c r="E149" s="399">
        <v>107149</v>
      </c>
      <c r="F149" s="402">
        <v>15161771.514373973</v>
      </c>
      <c r="G149" s="399">
        <v>399090</v>
      </c>
      <c r="H149" s="402">
        <v>56427184.109083347</v>
      </c>
      <c r="I149" s="399">
        <v>105467</v>
      </c>
      <c r="J149" s="402">
        <v>15234012.773782661</v>
      </c>
      <c r="K149" s="399">
        <v>76753</v>
      </c>
      <c r="L149" s="402">
        <v>10979660.731795533</v>
      </c>
      <c r="M149" s="399">
        <v>182220</v>
      </c>
      <c r="N149" s="402">
        <v>26213673.505578194</v>
      </c>
      <c r="O149" s="399">
        <v>397408</v>
      </c>
      <c r="P149" s="402">
        <v>56499425.368492037</v>
      </c>
      <c r="Q149" s="399">
        <v>183902</v>
      </c>
      <c r="R149" s="399">
        <v>26141432.246169508</v>
      </c>
      <c r="S149" s="399">
        <v>581310</v>
      </c>
      <c r="T149" s="402">
        <v>82640857.614661545</v>
      </c>
    </row>
    <row r="150" spans="2:20" hidden="1" outlineLevel="1" x14ac:dyDescent="0.25">
      <c r="B150" s="219">
        <v>43070</v>
      </c>
      <c r="C150" s="399">
        <v>292377</v>
      </c>
      <c r="D150" s="402">
        <v>41297853.955969974</v>
      </c>
      <c r="E150" s="399">
        <v>107133</v>
      </c>
      <c r="F150" s="402">
        <v>15138506.014407612</v>
      </c>
      <c r="G150" s="399">
        <v>399510</v>
      </c>
      <c r="H150" s="402">
        <v>56436359.970377579</v>
      </c>
      <c r="I150" s="399">
        <v>105470</v>
      </c>
      <c r="J150" s="402">
        <v>15154016.429257652</v>
      </c>
      <c r="K150" s="399">
        <v>76834</v>
      </c>
      <c r="L150" s="402">
        <v>10959683.766779248</v>
      </c>
      <c r="M150" s="399">
        <v>182304</v>
      </c>
      <c r="N150" s="402">
        <v>26113700.196036901</v>
      </c>
      <c r="O150" s="399">
        <v>397847</v>
      </c>
      <c r="P150" s="402">
        <v>56451870.385227621</v>
      </c>
      <c r="Q150" s="399">
        <v>183967</v>
      </c>
      <c r="R150" s="399">
        <v>26098189.78118686</v>
      </c>
      <c r="S150" s="399">
        <v>581814</v>
      </c>
      <c r="T150" s="402">
        <v>82550060.166414469</v>
      </c>
    </row>
    <row r="151" spans="2:20" collapsed="1" x14ac:dyDescent="0.25">
      <c r="B151" s="393" t="s">
        <v>758</v>
      </c>
      <c r="C151" s="394">
        <v>291754</v>
      </c>
      <c r="D151" s="403">
        <v>41172011.589855328</v>
      </c>
      <c r="E151" s="394">
        <v>107694.83333333333</v>
      </c>
      <c r="F151" s="403">
        <v>15209786.696083827</v>
      </c>
      <c r="G151" s="394">
        <v>399448.83333333331</v>
      </c>
      <c r="H151" s="403">
        <v>56381798.28593915</v>
      </c>
      <c r="I151" s="394">
        <v>105581.83333333333</v>
      </c>
      <c r="J151" s="403">
        <v>15177905.865916068</v>
      </c>
      <c r="K151" s="394">
        <v>76434.166666666672</v>
      </c>
      <c r="L151" s="403">
        <v>10920860.729895292</v>
      </c>
      <c r="M151" s="394">
        <v>182016</v>
      </c>
      <c r="N151" s="403">
        <v>26098766.595811356</v>
      </c>
      <c r="O151" s="394">
        <v>397335.83333333331</v>
      </c>
      <c r="P151" s="403">
        <v>56349917.455771387</v>
      </c>
      <c r="Q151" s="394">
        <v>184129</v>
      </c>
      <c r="R151" s="394">
        <v>26130647.425979123</v>
      </c>
      <c r="S151" s="394">
        <v>581464.83333333337</v>
      </c>
      <c r="T151" s="403">
        <v>82480564.881750524</v>
      </c>
    </row>
    <row r="152" spans="2:20" hidden="1" outlineLevel="1" x14ac:dyDescent="0.25">
      <c r="B152" s="219">
        <v>43101</v>
      </c>
      <c r="C152" s="399">
        <v>292583</v>
      </c>
      <c r="D152" s="402">
        <v>41080752.451092854</v>
      </c>
      <c r="E152" s="399">
        <v>107127</v>
      </c>
      <c r="F152" s="402">
        <v>15049773.239587704</v>
      </c>
      <c r="G152" s="399">
        <v>399710</v>
      </c>
      <c r="H152" s="402">
        <v>56130525.690680563</v>
      </c>
      <c r="I152" s="399">
        <v>105437</v>
      </c>
      <c r="J152" s="402">
        <v>15081017.260466484</v>
      </c>
      <c r="K152" s="399">
        <v>76961</v>
      </c>
      <c r="L152" s="402">
        <v>10940126.779596813</v>
      </c>
      <c r="M152" s="399">
        <v>182398</v>
      </c>
      <c r="N152" s="402">
        <v>26021144.040063296</v>
      </c>
      <c r="O152" s="399">
        <v>398020</v>
      </c>
      <c r="P152" s="402">
        <v>56161769.71155934</v>
      </c>
      <c r="Q152" s="399">
        <v>184088</v>
      </c>
      <c r="R152" s="399">
        <v>25989900.019184519</v>
      </c>
      <c r="S152" s="399">
        <v>582108</v>
      </c>
      <c r="T152" s="402">
        <v>82151669.73074387</v>
      </c>
    </row>
    <row r="153" spans="2:20" hidden="1" outlineLevel="1" x14ac:dyDescent="0.25">
      <c r="B153" s="219">
        <v>43132</v>
      </c>
      <c r="C153" s="399">
        <v>293042</v>
      </c>
      <c r="D153" s="402">
        <v>41149993.38150125</v>
      </c>
      <c r="E153" s="399">
        <v>107132</v>
      </c>
      <c r="F153" s="402">
        <v>15059625.567012344</v>
      </c>
      <c r="G153" s="399">
        <v>400174</v>
      </c>
      <c r="H153" s="402">
        <v>56209618.948513597</v>
      </c>
      <c r="I153" s="399">
        <v>105456</v>
      </c>
      <c r="J153" s="402">
        <v>15110220.197905373</v>
      </c>
      <c r="K153" s="399">
        <v>77084</v>
      </c>
      <c r="L153" s="402">
        <v>10938351.298280943</v>
      </c>
      <c r="M153" s="399">
        <v>182540</v>
      </c>
      <c r="N153" s="402">
        <v>26048571.496186316</v>
      </c>
      <c r="O153" s="399">
        <v>398498</v>
      </c>
      <c r="P153" s="402">
        <v>56260213.579406627</v>
      </c>
      <c r="Q153" s="399">
        <v>184216</v>
      </c>
      <c r="R153" s="399">
        <v>25997976.86529329</v>
      </c>
      <c r="S153" s="399">
        <v>582714</v>
      </c>
      <c r="T153" s="402">
        <v>82258190.444699913</v>
      </c>
    </row>
    <row r="154" spans="2:20" hidden="1" outlineLevel="1" x14ac:dyDescent="0.25">
      <c r="B154" s="219">
        <v>43160</v>
      </c>
      <c r="C154" s="399">
        <v>293567</v>
      </c>
      <c r="D154" s="402">
        <v>41231032.417532824</v>
      </c>
      <c r="E154" s="399">
        <v>107103</v>
      </c>
      <c r="F154" s="402">
        <v>15044441.130723868</v>
      </c>
      <c r="G154" s="399">
        <v>400670</v>
      </c>
      <c r="H154" s="402">
        <v>56275473.548256688</v>
      </c>
      <c r="I154" s="399">
        <v>105616</v>
      </c>
      <c r="J154" s="402">
        <v>15107654.762032142</v>
      </c>
      <c r="K154" s="399">
        <v>77234</v>
      </c>
      <c r="L154" s="402">
        <v>10974802.93179268</v>
      </c>
      <c r="M154" s="399">
        <v>182850</v>
      </c>
      <c r="N154" s="402">
        <v>26082457.69382482</v>
      </c>
      <c r="O154" s="399">
        <v>399183</v>
      </c>
      <c r="P154" s="402">
        <v>56338687.179564968</v>
      </c>
      <c r="Q154" s="399">
        <v>184337</v>
      </c>
      <c r="R154" s="399">
        <v>26019244.062516548</v>
      </c>
      <c r="S154" s="399">
        <v>583520</v>
      </c>
      <c r="T154" s="402">
        <v>82357931.242081508</v>
      </c>
    </row>
    <row r="155" spans="2:20" hidden="1" outlineLevel="1" x14ac:dyDescent="0.25">
      <c r="B155" s="219">
        <v>43191</v>
      </c>
      <c r="C155" s="399">
        <v>294247</v>
      </c>
      <c r="D155" s="402">
        <v>41173964.189059421</v>
      </c>
      <c r="E155" s="399">
        <v>107208</v>
      </c>
      <c r="F155" s="402">
        <v>15011610.953830177</v>
      </c>
      <c r="G155" s="399">
        <v>401455</v>
      </c>
      <c r="H155" s="402">
        <v>56185575.142889597</v>
      </c>
      <c r="I155" s="399">
        <v>105655</v>
      </c>
      <c r="J155" s="402">
        <v>15001960.66905093</v>
      </c>
      <c r="K155" s="399">
        <v>77305</v>
      </c>
      <c r="L155" s="402">
        <v>10892147.044219229</v>
      </c>
      <c r="M155" s="399">
        <v>182960</v>
      </c>
      <c r="N155" s="402">
        <v>25894107.713270161</v>
      </c>
      <c r="O155" s="399">
        <v>399902</v>
      </c>
      <c r="P155" s="402">
        <v>56175924.858110346</v>
      </c>
      <c r="Q155" s="399">
        <v>184513</v>
      </c>
      <c r="R155" s="399">
        <v>25903757.998049404</v>
      </c>
      <c r="S155" s="399">
        <v>584415</v>
      </c>
      <c r="T155" s="402">
        <v>82079682.856159762</v>
      </c>
    </row>
    <row r="156" spans="2:20" hidden="1" outlineLevel="1" x14ac:dyDescent="0.25">
      <c r="B156" s="219">
        <v>43221</v>
      </c>
      <c r="C156" s="399">
        <v>294732</v>
      </c>
      <c r="D156" s="402">
        <v>41110519.550002903</v>
      </c>
      <c r="E156" s="399">
        <v>107281</v>
      </c>
      <c r="F156" s="402">
        <v>14980731.103534712</v>
      </c>
      <c r="G156" s="399">
        <v>402013</v>
      </c>
      <c r="H156" s="402">
        <v>56091250.653537609</v>
      </c>
      <c r="I156" s="399">
        <v>105715</v>
      </c>
      <c r="J156" s="402">
        <v>14975228.98994945</v>
      </c>
      <c r="K156" s="399">
        <v>77366</v>
      </c>
      <c r="L156" s="402">
        <v>10881399.436310345</v>
      </c>
      <c r="M156" s="399">
        <v>183081</v>
      </c>
      <c r="N156" s="402">
        <v>25856628.426259793</v>
      </c>
      <c r="O156" s="399">
        <v>400447</v>
      </c>
      <c r="P156" s="402">
        <v>56085748.539952345</v>
      </c>
      <c r="Q156" s="399">
        <v>184647</v>
      </c>
      <c r="R156" s="399">
        <v>25862130.539845053</v>
      </c>
      <c r="S156" s="399">
        <v>585094</v>
      </c>
      <c r="T156" s="402">
        <v>81947879.079797387</v>
      </c>
    </row>
    <row r="157" spans="2:20" hidden="1" outlineLevel="1" x14ac:dyDescent="0.25">
      <c r="B157" s="219">
        <v>43252</v>
      </c>
      <c r="C157" s="399">
        <v>295169</v>
      </c>
      <c r="D157" s="402">
        <v>41112168.211115532</v>
      </c>
      <c r="E157" s="399">
        <v>107282</v>
      </c>
      <c r="F157" s="402">
        <v>14953686.655463722</v>
      </c>
      <c r="G157" s="399">
        <v>402451</v>
      </c>
      <c r="H157" s="402">
        <v>56065854.866579257</v>
      </c>
      <c r="I157" s="399">
        <v>105807</v>
      </c>
      <c r="J157" s="402">
        <v>15018580.012830161</v>
      </c>
      <c r="K157" s="399">
        <v>77464</v>
      </c>
      <c r="L157" s="402">
        <v>10894078.474007262</v>
      </c>
      <c r="M157" s="399">
        <v>183271</v>
      </c>
      <c r="N157" s="402">
        <v>25912658.486837421</v>
      </c>
      <c r="O157" s="399">
        <v>400976</v>
      </c>
      <c r="P157" s="402">
        <v>56130748.223945685</v>
      </c>
      <c r="Q157" s="399">
        <v>184746</v>
      </c>
      <c r="R157" s="399">
        <v>25847765.129470985</v>
      </c>
      <c r="S157" s="399">
        <v>585722</v>
      </c>
      <c r="T157" s="402">
        <v>81978513.353416666</v>
      </c>
    </row>
    <row r="158" spans="2:20" hidden="1" outlineLevel="1" x14ac:dyDescent="0.25">
      <c r="B158" s="219">
        <v>43282</v>
      </c>
      <c r="C158" s="399">
        <v>295634</v>
      </c>
      <c r="D158" s="402">
        <v>42027938.635763042</v>
      </c>
      <c r="E158" s="399">
        <v>107234</v>
      </c>
      <c r="F158" s="402">
        <v>15243021.825390719</v>
      </c>
      <c r="G158" s="399">
        <v>402868</v>
      </c>
      <c r="H158" s="402">
        <v>57270960.461153753</v>
      </c>
      <c r="I158" s="399">
        <v>105788</v>
      </c>
      <c r="J158" s="402">
        <v>15277729.187631318</v>
      </c>
      <c r="K158" s="399">
        <v>77547</v>
      </c>
      <c r="L158" s="402">
        <v>11126788.187147796</v>
      </c>
      <c r="M158" s="399">
        <v>183335</v>
      </c>
      <c r="N158" s="402">
        <v>26404517.374779116</v>
      </c>
      <c r="O158" s="399">
        <v>401422</v>
      </c>
      <c r="P158" s="402">
        <v>57305667.823394358</v>
      </c>
      <c r="Q158" s="399">
        <v>184781</v>
      </c>
      <c r="R158" s="399">
        <v>26369810.012538519</v>
      </c>
      <c r="S158" s="399">
        <v>586203</v>
      </c>
      <c r="T158" s="402">
        <v>83675477.835932881</v>
      </c>
    </row>
    <row r="159" spans="2:20" hidden="1" outlineLevel="1" x14ac:dyDescent="0.25">
      <c r="B159" s="219">
        <v>43313</v>
      </c>
      <c r="C159" s="399">
        <v>295924</v>
      </c>
      <c r="D159" s="402">
        <v>42006994.645625651</v>
      </c>
      <c r="E159" s="399">
        <v>107093</v>
      </c>
      <c r="F159" s="402">
        <v>15205533.528585088</v>
      </c>
      <c r="G159" s="399">
        <v>403017</v>
      </c>
      <c r="H159" s="402">
        <v>57212528.174210742</v>
      </c>
      <c r="I159" s="399">
        <v>105679</v>
      </c>
      <c r="J159" s="402">
        <v>15227817.321168203</v>
      </c>
      <c r="K159" s="399">
        <v>77605</v>
      </c>
      <c r="L159" s="402">
        <v>11108787.184837038</v>
      </c>
      <c r="M159" s="399">
        <v>183284</v>
      </c>
      <c r="N159" s="402">
        <v>26336604.506005242</v>
      </c>
      <c r="O159" s="399">
        <v>401603</v>
      </c>
      <c r="P159" s="402">
        <v>57234811.96679385</v>
      </c>
      <c r="Q159" s="399">
        <v>184698</v>
      </c>
      <c r="R159" s="399">
        <v>26314320.713422127</v>
      </c>
      <c r="S159" s="399">
        <v>586301</v>
      </c>
      <c r="T159" s="402">
        <v>83549132.68021597</v>
      </c>
    </row>
    <row r="160" spans="2:20" hidden="1" outlineLevel="1" x14ac:dyDescent="0.25">
      <c r="B160" s="219">
        <v>43344</v>
      </c>
      <c r="C160" s="399">
        <v>296093</v>
      </c>
      <c r="D160" s="402">
        <v>41899866.329061359</v>
      </c>
      <c r="E160" s="399">
        <v>106961</v>
      </c>
      <c r="F160" s="402">
        <v>15139289.785134954</v>
      </c>
      <c r="G160" s="399">
        <v>403054</v>
      </c>
      <c r="H160" s="402">
        <v>57039156.114196308</v>
      </c>
      <c r="I160" s="399">
        <v>105529</v>
      </c>
      <c r="J160" s="402">
        <v>15175605.757200144</v>
      </c>
      <c r="K160" s="399">
        <v>77584</v>
      </c>
      <c r="L160" s="402">
        <v>11062629.659785714</v>
      </c>
      <c r="M160" s="399">
        <v>183113</v>
      </c>
      <c r="N160" s="402">
        <v>26238235.416985855</v>
      </c>
      <c r="O160" s="399">
        <v>401622</v>
      </c>
      <c r="P160" s="402">
        <v>57075472.086261496</v>
      </c>
      <c r="Q160" s="399">
        <v>184545</v>
      </c>
      <c r="R160" s="399">
        <v>26201919.444920667</v>
      </c>
      <c r="S160" s="399">
        <v>586167</v>
      </c>
      <c r="T160" s="402">
        <v>83277391.531182155</v>
      </c>
    </row>
    <row r="161" spans="2:20" hidden="1" outlineLevel="1" x14ac:dyDescent="0.25">
      <c r="B161" s="219">
        <v>43374</v>
      </c>
      <c r="C161" s="399">
        <v>296516</v>
      </c>
      <c r="D161" s="402">
        <v>41866614.050938673</v>
      </c>
      <c r="E161" s="399">
        <v>106848</v>
      </c>
      <c r="F161" s="402">
        <v>15079608.957052605</v>
      </c>
      <c r="G161" s="399">
        <v>403364</v>
      </c>
      <c r="H161" s="402">
        <v>56946223.007991277</v>
      </c>
      <c r="I161" s="399">
        <v>105419</v>
      </c>
      <c r="J161" s="402">
        <v>15103684.264875734</v>
      </c>
      <c r="K161" s="399">
        <v>77638</v>
      </c>
      <c r="L161" s="402">
        <v>11052834.134219017</v>
      </c>
      <c r="M161" s="399">
        <v>183057</v>
      </c>
      <c r="N161" s="402">
        <v>26156518.399094749</v>
      </c>
      <c r="O161" s="399">
        <v>401935</v>
      </c>
      <c r="P161" s="402">
        <v>56970298.315814406</v>
      </c>
      <c r="Q161" s="399">
        <v>184486</v>
      </c>
      <c r="R161" s="399">
        <v>26132443.09127162</v>
      </c>
      <c r="S161" s="399">
        <v>586421</v>
      </c>
      <c r="T161" s="402">
        <v>83102741.40708603</v>
      </c>
    </row>
    <row r="162" spans="2:20" hidden="1" outlineLevel="1" x14ac:dyDescent="0.25">
      <c r="B162" s="219">
        <v>43405</v>
      </c>
      <c r="C162" s="399">
        <v>297058</v>
      </c>
      <c r="D162" s="402">
        <v>41889102.92180638</v>
      </c>
      <c r="E162" s="399">
        <v>106809</v>
      </c>
      <c r="F162" s="402">
        <v>15049507.24130483</v>
      </c>
      <c r="G162" s="399">
        <v>403867</v>
      </c>
      <c r="H162" s="402">
        <v>56938610.163111217</v>
      </c>
      <c r="I162" s="399">
        <v>105310</v>
      </c>
      <c r="J162" s="402">
        <v>15085462.410978824</v>
      </c>
      <c r="K162" s="399">
        <v>77607</v>
      </c>
      <c r="L162" s="402">
        <v>11039331.840241341</v>
      </c>
      <c r="M162" s="399">
        <v>182917</v>
      </c>
      <c r="N162" s="402">
        <v>26124794.251220167</v>
      </c>
      <c r="O162" s="399">
        <v>402368</v>
      </c>
      <c r="P162" s="402">
        <v>56974565.332785212</v>
      </c>
      <c r="Q162" s="399">
        <v>184416</v>
      </c>
      <c r="R162" s="399">
        <v>26088839.081546169</v>
      </c>
      <c r="S162" s="399">
        <v>586784</v>
      </c>
      <c r="T162" s="402">
        <v>83063404.414331377</v>
      </c>
    </row>
    <row r="163" spans="2:20" hidden="1" outlineLevel="1" x14ac:dyDescent="0.25">
      <c r="B163" s="219">
        <v>43435</v>
      </c>
      <c r="C163" s="399">
        <v>297497</v>
      </c>
      <c r="D163" s="402">
        <v>42009386.334086291</v>
      </c>
      <c r="E163" s="399">
        <v>106851</v>
      </c>
      <c r="F163" s="402">
        <v>15093804.518187461</v>
      </c>
      <c r="G163" s="399">
        <v>404348</v>
      </c>
      <c r="H163" s="402">
        <v>57103190.852273747</v>
      </c>
      <c r="I163" s="399">
        <v>105302</v>
      </c>
      <c r="J163" s="402">
        <v>15170038.177395072</v>
      </c>
      <c r="K163" s="399">
        <v>77609</v>
      </c>
      <c r="L163" s="402">
        <v>11084518.380648019</v>
      </c>
      <c r="M163" s="399">
        <v>182911</v>
      </c>
      <c r="N163" s="402">
        <v>26254556.558043089</v>
      </c>
      <c r="O163" s="399">
        <v>402799</v>
      </c>
      <c r="P163" s="402">
        <v>57179424.51148136</v>
      </c>
      <c r="Q163" s="399">
        <v>184460</v>
      </c>
      <c r="R163" s="399">
        <v>26178322.89883548</v>
      </c>
      <c r="S163" s="399">
        <v>587259</v>
      </c>
      <c r="T163" s="402">
        <v>83357747.41031684</v>
      </c>
    </row>
    <row r="164" spans="2:20" collapsed="1" x14ac:dyDescent="0.25">
      <c r="B164" s="393" t="s">
        <v>759</v>
      </c>
      <c r="C164" s="394">
        <v>295171.83333333331</v>
      </c>
      <c r="D164" s="403">
        <v>41546527.759798847</v>
      </c>
      <c r="E164" s="394">
        <v>107077.41666666667</v>
      </c>
      <c r="F164" s="403">
        <v>15075886.208817348</v>
      </c>
      <c r="G164" s="394">
        <v>402249.25</v>
      </c>
      <c r="H164" s="403">
        <v>56622413.968616188</v>
      </c>
      <c r="I164" s="394">
        <v>105559.41666666667</v>
      </c>
      <c r="J164" s="403">
        <v>15111249.917623654</v>
      </c>
      <c r="K164" s="394">
        <v>77417</v>
      </c>
      <c r="L164" s="403">
        <v>10999649.612590516</v>
      </c>
      <c r="M164" s="394">
        <v>182976.41666666666</v>
      </c>
      <c r="N164" s="403">
        <v>26110899.530214164</v>
      </c>
      <c r="O164" s="394">
        <v>400731.25</v>
      </c>
      <c r="P164" s="403">
        <v>56657777.677422501</v>
      </c>
      <c r="Q164" s="394">
        <v>184494.41666666666</v>
      </c>
      <c r="R164" s="394">
        <v>26075535.821407866</v>
      </c>
      <c r="S164" s="394">
        <v>585225.66666666663</v>
      </c>
      <c r="T164" s="403">
        <v>82733313.498830363</v>
      </c>
    </row>
    <row r="165" spans="2:20" hidden="1" outlineLevel="1" x14ac:dyDescent="0.25">
      <c r="B165" s="219">
        <v>43466</v>
      </c>
      <c r="C165" s="399">
        <v>298080</v>
      </c>
      <c r="D165" s="402">
        <v>42088616.556992941</v>
      </c>
      <c r="E165" s="399">
        <v>106872</v>
      </c>
      <c r="F165" s="402">
        <v>15086697.743206207</v>
      </c>
      <c r="G165" s="399">
        <v>404952</v>
      </c>
      <c r="H165" s="402">
        <v>57175314.300199151</v>
      </c>
      <c r="I165" s="399">
        <v>105208</v>
      </c>
      <c r="J165" s="402">
        <v>15092920.729687864</v>
      </c>
      <c r="K165" s="399">
        <v>77670</v>
      </c>
      <c r="L165" s="402">
        <v>11058425.881098988</v>
      </c>
      <c r="M165" s="399">
        <v>182878</v>
      </c>
      <c r="N165" s="402">
        <v>26151346.610786851</v>
      </c>
      <c r="O165" s="399">
        <v>403288</v>
      </c>
      <c r="P165" s="402">
        <v>57181537.28668081</v>
      </c>
      <c r="Q165" s="399">
        <v>184542</v>
      </c>
      <c r="R165" s="399">
        <v>26145123.624305196</v>
      </c>
      <c r="S165" s="399">
        <v>587830</v>
      </c>
      <c r="T165" s="402">
        <v>83326660.910986006</v>
      </c>
    </row>
    <row r="166" spans="2:20" hidden="1" outlineLevel="1" x14ac:dyDescent="0.25">
      <c r="B166" s="219">
        <v>43497</v>
      </c>
      <c r="C166" s="399">
        <v>298635</v>
      </c>
      <c r="D166" s="402">
        <v>42082828.840206489</v>
      </c>
      <c r="E166" s="399">
        <v>106895</v>
      </c>
      <c r="F166" s="402">
        <v>15073402.942741241</v>
      </c>
      <c r="G166" s="399">
        <v>405530</v>
      </c>
      <c r="H166" s="402">
        <v>57156231.782947734</v>
      </c>
      <c r="I166" s="399">
        <v>105188</v>
      </c>
      <c r="J166" s="402">
        <v>15077729.947542408</v>
      </c>
      <c r="K166" s="399">
        <v>77752</v>
      </c>
      <c r="L166" s="402">
        <v>11072831.392103581</v>
      </c>
      <c r="M166" s="399">
        <v>182940</v>
      </c>
      <c r="N166" s="402">
        <v>26150561.339645989</v>
      </c>
      <c r="O166" s="399">
        <v>403823</v>
      </c>
      <c r="P166" s="402">
        <v>57160558.787748903</v>
      </c>
      <c r="Q166" s="399">
        <v>184647</v>
      </c>
      <c r="R166" s="399">
        <v>26146234.33484482</v>
      </c>
      <c r="S166" s="399">
        <v>588470</v>
      </c>
      <c r="T166" s="402">
        <v>83306793.122593716</v>
      </c>
    </row>
    <row r="167" spans="2:20" hidden="1" outlineLevel="1" x14ac:dyDescent="0.25">
      <c r="B167" s="219">
        <v>43525</v>
      </c>
      <c r="C167" s="399">
        <v>299080</v>
      </c>
      <c r="D167" s="402">
        <v>41974635.414145567</v>
      </c>
      <c r="E167" s="399">
        <v>106958</v>
      </c>
      <c r="F167" s="402">
        <v>15023307.90235916</v>
      </c>
      <c r="G167" s="399">
        <v>406038</v>
      </c>
      <c r="H167" s="402">
        <v>56997943.316504724</v>
      </c>
      <c r="I167" s="399">
        <v>105239</v>
      </c>
      <c r="J167" s="402">
        <v>14986923.00104768</v>
      </c>
      <c r="K167" s="399">
        <v>77866</v>
      </c>
      <c r="L167" s="402">
        <v>11043008.092279086</v>
      </c>
      <c r="M167" s="399">
        <v>183105</v>
      </c>
      <c r="N167" s="402">
        <v>26029931.093326762</v>
      </c>
      <c r="O167" s="399">
        <v>404319</v>
      </c>
      <c r="P167" s="402">
        <v>56961558.415193245</v>
      </c>
      <c r="Q167" s="399">
        <v>184824</v>
      </c>
      <c r="R167" s="399">
        <v>26066315.994638246</v>
      </c>
      <c r="S167" s="399">
        <v>589143</v>
      </c>
      <c r="T167" s="402">
        <v>83027874.409831494</v>
      </c>
    </row>
    <row r="168" spans="2:20" hidden="1" outlineLevel="1" x14ac:dyDescent="0.25">
      <c r="B168" s="219">
        <v>43556</v>
      </c>
      <c r="C168" s="399">
        <v>299513</v>
      </c>
      <c r="D168" s="402">
        <v>41874529.893952034</v>
      </c>
      <c r="E168" s="399">
        <v>106957</v>
      </c>
      <c r="F168" s="402">
        <v>14956452.578305865</v>
      </c>
      <c r="G168" s="399">
        <v>406470</v>
      </c>
      <c r="H168" s="402">
        <v>56830982.472257905</v>
      </c>
      <c r="I168" s="399">
        <v>105215</v>
      </c>
      <c r="J168" s="402">
        <v>14946914.762838241</v>
      </c>
      <c r="K168" s="399">
        <v>77900</v>
      </c>
      <c r="L168" s="402">
        <v>10964120.638609938</v>
      </c>
      <c r="M168" s="399">
        <v>183115</v>
      </c>
      <c r="N168" s="402">
        <v>25911035.401448179</v>
      </c>
      <c r="O168" s="399">
        <v>404728</v>
      </c>
      <c r="P168" s="402">
        <v>56821444.656790279</v>
      </c>
      <c r="Q168" s="399">
        <v>184857</v>
      </c>
      <c r="R168" s="399">
        <v>25920573.216915801</v>
      </c>
      <c r="S168" s="399">
        <v>589585</v>
      </c>
      <c r="T168" s="402">
        <v>82742017.873706087</v>
      </c>
    </row>
    <row r="169" spans="2:20" hidden="1" outlineLevel="1" x14ac:dyDescent="0.25">
      <c r="B169" s="219">
        <v>43586</v>
      </c>
      <c r="C169" s="399">
        <v>299970</v>
      </c>
      <c r="D169" s="402">
        <v>41697949.847554527</v>
      </c>
      <c r="E169" s="399">
        <v>107023</v>
      </c>
      <c r="F169" s="402">
        <v>14880113.725649856</v>
      </c>
      <c r="G169" s="399">
        <v>406993</v>
      </c>
      <c r="H169" s="402">
        <v>56578063.573204383</v>
      </c>
      <c r="I169" s="399">
        <v>105207</v>
      </c>
      <c r="J169" s="402">
        <v>14833900.303281486</v>
      </c>
      <c r="K169" s="399">
        <v>77981</v>
      </c>
      <c r="L169" s="402">
        <v>10956125.721440766</v>
      </c>
      <c r="M169" s="399">
        <v>183188</v>
      </c>
      <c r="N169" s="402">
        <v>25790026.024722252</v>
      </c>
      <c r="O169" s="399">
        <v>405177</v>
      </c>
      <c r="P169" s="402">
        <v>56531850.150836013</v>
      </c>
      <c r="Q169" s="399">
        <v>185004</v>
      </c>
      <c r="R169" s="399">
        <v>25836239.447090622</v>
      </c>
      <c r="S169" s="399">
        <v>590181</v>
      </c>
      <c r="T169" s="402">
        <v>82368089.597926632</v>
      </c>
    </row>
    <row r="170" spans="2:20" hidden="1" outlineLevel="1" x14ac:dyDescent="0.25">
      <c r="B170" s="219">
        <v>43617</v>
      </c>
      <c r="C170" s="399">
        <v>299952</v>
      </c>
      <c r="D170" s="402">
        <v>41640050.191654481</v>
      </c>
      <c r="E170" s="399">
        <v>106910</v>
      </c>
      <c r="F170" s="402">
        <v>14859818.18112725</v>
      </c>
      <c r="G170" s="399">
        <v>406862</v>
      </c>
      <c r="H170" s="402">
        <v>56499868.372781731</v>
      </c>
      <c r="I170" s="399">
        <v>105150</v>
      </c>
      <c r="J170" s="402">
        <v>14839825.783822173</v>
      </c>
      <c r="K170" s="399">
        <v>78001</v>
      </c>
      <c r="L170" s="402">
        <v>10921206.454319296</v>
      </c>
      <c r="M170" s="399">
        <v>183151</v>
      </c>
      <c r="N170" s="402">
        <v>25761032.238141473</v>
      </c>
      <c r="O170" s="399">
        <v>405102</v>
      </c>
      <c r="P170" s="402">
        <v>56479875.975476652</v>
      </c>
      <c r="Q170" s="399">
        <v>184911</v>
      </c>
      <c r="R170" s="399">
        <v>25781024.635446548</v>
      </c>
      <c r="S170" s="399">
        <v>590013</v>
      </c>
      <c r="T170" s="402">
        <v>82260900.610923201</v>
      </c>
    </row>
    <row r="171" spans="2:20" hidden="1" outlineLevel="1" x14ac:dyDescent="0.25">
      <c r="B171" s="219">
        <v>43647</v>
      </c>
      <c r="C171" s="399">
        <v>300192</v>
      </c>
      <c r="D171" s="402">
        <v>42728641.356922068</v>
      </c>
      <c r="E171" s="399">
        <v>106888</v>
      </c>
      <c r="F171" s="402">
        <v>15214603.132696932</v>
      </c>
      <c r="G171" s="399">
        <v>407080</v>
      </c>
      <c r="H171" s="402">
        <v>57943244.489618994</v>
      </c>
      <c r="I171" s="399">
        <v>105129</v>
      </c>
      <c r="J171" s="402">
        <v>15167310.785198105</v>
      </c>
      <c r="K171" s="399">
        <v>78024</v>
      </c>
      <c r="L171" s="402">
        <v>11184997.054291673</v>
      </c>
      <c r="M171" s="399">
        <v>183153</v>
      </c>
      <c r="N171" s="402">
        <v>26352307.839489777</v>
      </c>
      <c r="O171" s="399">
        <v>405321</v>
      </c>
      <c r="P171" s="402">
        <v>57895952.142120168</v>
      </c>
      <c r="Q171" s="399">
        <v>184912</v>
      </c>
      <c r="R171" s="399">
        <v>26399600.186988607</v>
      </c>
      <c r="S171" s="399">
        <v>590233</v>
      </c>
      <c r="T171" s="402">
        <v>84295552.329108775</v>
      </c>
    </row>
    <row r="172" spans="2:20" hidden="1" outlineLevel="1" x14ac:dyDescent="0.25">
      <c r="B172" s="219">
        <v>43678</v>
      </c>
      <c r="C172" s="399">
        <v>300148</v>
      </c>
      <c r="D172" s="402">
        <v>42620690.179928415</v>
      </c>
      <c r="E172" s="399">
        <v>106680</v>
      </c>
      <c r="F172" s="402">
        <v>15144841.454369441</v>
      </c>
      <c r="G172" s="399">
        <v>406828</v>
      </c>
      <c r="H172" s="402">
        <v>57765531.634297855</v>
      </c>
      <c r="I172" s="399">
        <v>104843</v>
      </c>
      <c r="J172" s="402">
        <v>15068606.714369299</v>
      </c>
      <c r="K172" s="399">
        <v>77895</v>
      </c>
      <c r="L172" s="402">
        <v>11130409.232262677</v>
      </c>
      <c r="M172" s="399">
        <v>182738</v>
      </c>
      <c r="N172" s="402">
        <v>26199015.946631972</v>
      </c>
      <c r="O172" s="399">
        <v>404991</v>
      </c>
      <c r="P172" s="402">
        <v>57689296.894297704</v>
      </c>
      <c r="Q172" s="399">
        <v>184575</v>
      </c>
      <c r="R172" s="399">
        <v>26275250.686632115</v>
      </c>
      <c r="S172" s="399">
        <v>589566</v>
      </c>
      <c r="T172" s="402">
        <v>83964547.580929831</v>
      </c>
    </row>
    <row r="173" spans="2:20" hidden="1" outlineLevel="1" x14ac:dyDescent="0.25">
      <c r="B173" s="219">
        <v>43709</v>
      </c>
      <c r="C173" s="399">
        <v>300285</v>
      </c>
      <c r="D173" s="402">
        <v>42663014.640729263</v>
      </c>
      <c r="E173" s="399">
        <v>106524</v>
      </c>
      <c r="F173" s="402">
        <v>15137904.422893757</v>
      </c>
      <c r="G173" s="399">
        <v>406809</v>
      </c>
      <c r="H173" s="402">
        <v>57800919.063623026</v>
      </c>
      <c r="I173" s="399">
        <v>104591</v>
      </c>
      <c r="J173" s="402">
        <v>15064797.534108115</v>
      </c>
      <c r="K173" s="399">
        <v>77795</v>
      </c>
      <c r="L173" s="402">
        <v>11145154.379564006</v>
      </c>
      <c r="M173" s="399">
        <v>182386</v>
      </c>
      <c r="N173" s="402">
        <v>26209951.913672123</v>
      </c>
      <c r="O173" s="399">
        <v>404876</v>
      </c>
      <c r="P173" s="402">
        <v>57727812.174837381</v>
      </c>
      <c r="Q173" s="399">
        <v>184319</v>
      </c>
      <c r="R173" s="399">
        <v>26283058.802457765</v>
      </c>
      <c r="S173" s="399">
        <v>589195</v>
      </c>
      <c r="T173" s="402">
        <v>84010870.977295145</v>
      </c>
    </row>
    <row r="174" spans="2:20" hidden="1" outlineLevel="1" x14ac:dyDescent="0.25">
      <c r="B174" s="219">
        <v>43739</v>
      </c>
      <c r="C174" s="399">
        <v>300301</v>
      </c>
      <c r="D174" s="402">
        <v>42329639.220820159</v>
      </c>
      <c r="E174" s="399">
        <v>106310</v>
      </c>
      <c r="F174" s="402">
        <v>14983006.020208308</v>
      </c>
      <c r="G174" s="399">
        <v>406611</v>
      </c>
      <c r="H174" s="402">
        <v>57312645.241028473</v>
      </c>
      <c r="I174" s="399">
        <v>104481</v>
      </c>
      <c r="J174" s="402">
        <v>14987101.012074402</v>
      </c>
      <c r="K174" s="399">
        <v>77796</v>
      </c>
      <c r="L174" s="402">
        <v>11079399.314438278</v>
      </c>
      <c r="M174" s="399">
        <v>182277</v>
      </c>
      <c r="N174" s="402">
        <v>26066500.326512679</v>
      </c>
      <c r="O174" s="399">
        <v>404782</v>
      </c>
      <c r="P174" s="402">
        <v>57316740.232894562</v>
      </c>
      <c r="Q174" s="399">
        <v>184106</v>
      </c>
      <c r="R174" s="399">
        <v>26062405.334646586</v>
      </c>
      <c r="S174" s="399">
        <v>588888</v>
      </c>
      <c r="T174" s="402">
        <v>83379145.567541152</v>
      </c>
    </row>
    <row r="175" spans="2:20" hidden="1" outlineLevel="1" x14ac:dyDescent="0.25">
      <c r="B175" s="219">
        <v>43770</v>
      </c>
      <c r="C175" s="399">
        <v>300782</v>
      </c>
      <c r="D175" s="402">
        <v>42365031.308312058</v>
      </c>
      <c r="E175" s="399">
        <v>106300</v>
      </c>
      <c r="F175" s="402">
        <v>14963411.591563422</v>
      </c>
      <c r="G175" s="399">
        <v>407082</v>
      </c>
      <c r="H175" s="402">
        <v>57328442.899875477</v>
      </c>
      <c r="I175" s="399">
        <v>104343</v>
      </c>
      <c r="J175" s="402">
        <v>14964153.285121908</v>
      </c>
      <c r="K175" s="399">
        <v>77764</v>
      </c>
      <c r="L175" s="402">
        <v>11080505.434815813</v>
      </c>
      <c r="M175" s="399">
        <v>182107</v>
      </c>
      <c r="N175" s="402">
        <v>26044658.719937719</v>
      </c>
      <c r="O175" s="399">
        <v>405125</v>
      </c>
      <c r="P175" s="402">
        <v>57329184.593433969</v>
      </c>
      <c r="Q175" s="399">
        <v>184064</v>
      </c>
      <c r="R175" s="399">
        <v>26043917.026379239</v>
      </c>
      <c r="S175" s="399">
        <v>589189</v>
      </c>
      <c r="T175" s="402">
        <v>83373101.619813204</v>
      </c>
    </row>
    <row r="176" spans="2:20" hidden="1" outlineLevel="1" x14ac:dyDescent="0.25">
      <c r="B176" s="219">
        <v>43800</v>
      </c>
      <c r="C176" s="399">
        <v>300920</v>
      </c>
      <c r="D176" s="402">
        <v>54708501.108015291</v>
      </c>
      <c r="E176" s="399">
        <v>106146</v>
      </c>
      <c r="F176" s="402">
        <v>19201810.213141061</v>
      </c>
      <c r="G176" s="399">
        <v>407066</v>
      </c>
      <c r="H176" s="402">
        <v>73910311.321156338</v>
      </c>
      <c r="I176" s="399">
        <v>104196</v>
      </c>
      <c r="J176" s="402">
        <v>18302938.75597832</v>
      </c>
      <c r="K176" s="399">
        <v>77761</v>
      </c>
      <c r="L176" s="402">
        <v>13603028.065862397</v>
      </c>
      <c r="M176" s="399">
        <v>181957</v>
      </c>
      <c r="N176" s="402">
        <v>31905966.821840722</v>
      </c>
      <c r="O176" s="399">
        <v>405116</v>
      </c>
      <c r="P176" s="402">
        <v>73011439.8639936</v>
      </c>
      <c r="Q176" s="399">
        <v>183907</v>
      </c>
      <c r="R176" s="399">
        <v>32804838.27900346</v>
      </c>
      <c r="S176" s="399">
        <v>589023</v>
      </c>
      <c r="T176" s="402">
        <v>105816278.14299707</v>
      </c>
    </row>
    <row r="177" spans="2:20" collapsed="1" x14ac:dyDescent="0.25">
      <c r="B177" s="393" t="s">
        <v>760</v>
      </c>
      <c r="C177" s="394">
        <v>299821.5</v>
      </c>
      <c r="D177" s="403">
        <v>43231177.379936107</v>
      </c>
      <c r="E177" s="394">
        <v>106705.25</v>
      </c>
      <c r="F177" s="403">
        <v>15377114.159021875</v>
      </c>
      <c r="G177" s="394">
        <v>406526.75</v>
      </c>
      <c r="H177" s="403">
        <v>58608291.538957991</v>
      </c>
      <c r="I177" s="394">
        <v>104899.16666666667</v>
      </c>
      <c r="J177" s="403">
        <v>15277760.217922501</v>
      </c>
      <c r="K177" s="394">
        <v>77850.416666666672</v>
      </c>
      <c r="L177" s="403">
        <v>11269934.305090539</v>
      </c>
      <c r="M177" s="394">
        <v>182749.58333333334</v>
      </c>
      <c r="N177" s="403">
        <v>26547694.52301304</v>
      </c>
      <c r="O177" s="394">
        <v>404720.66666666669</v>
      </c>
      <c r="P177" s="403">
        <v>58508937.597858615</v>
      </c>
      <c r="Q177" s="394">
        <v>184555.66666666666</v>
      </c>
      <c r="R177" s="394">
        <v>26647048.464112416</v>
      </c>
      <c r="S177" s="394">
        <v>589276.33333333337</v>
      </c>
      <c r="T177" s="403">
        <v>85155986.061971024</v>
      </c>
    </row>
    <row r="178" spans="2:20" hidden="1" outlineLevel="1" x14ac:dyDescent="0.25">
      <c r="B178" s="219">
        <v>43831</v>
      </c>
      <c r="C178" s="399">
        <v>301556</v>
      </c>
      <c r="D178" s="402">
        <v>56860189.192920759</v>
      </c>
      <c r="E178" s="399">
        <v>106262</v>
      </c>
      <c r="F178" s="402">
        <v>20464212.613034736</v>
      </c>
      <c r="G178" s="399">
        <v>407818</v>
      </c>
      <c r="H178" s="402">
        <v>77324401.805955499</v>
      </c>
      <c r="I178" s="399">
        <v>104225</v>
      </c>
      <c r="J178" s="402">
        <v>18876797.420474898</v>
      </c>
      <c r="K178" s="399">
        <v>77856</v>
      </c>
      <c r="L178" s="402">
        <v>14004256.107016908</v>
      </c>
      <c r="M178" s="399">
        <v>182081</v>
      </c>
      <c r="N178" s="402">
        <v>32881053.527491812</v>
      </c>
      <c r="O178" s="399">
        <v>405781</v>
      </c>
      <c r="P178" s="402">
        <v>75736986.613395661</v>
      </c>
      <c r="Q178" s="399">
        <v>184118</v>
      </c>
      <c r="R178" s="399">
        <v>34468468.720051646</v>
      </c>
      <c r="S178" s="399">
        <v>589899</v>
      </c>
      <c r="T178" s="402">
        <v>110205455.33344731</v>
      </c>
    </row>
    <row r="179" spans="2:20" hidden="1" outlineLevel="1" x14ac:dyDescent="0.25">
      <c r="B179" s="219">
        <v>43862</v>
      </c>
      <c r="C179" s="399">
        <v>302529</v>
      </c>
      <c r="D179" s="402">
        <v>55302055.278047755</v>
      </c>
      <c r="E179" s="399">
        <v>106478</v>
      </c>
      <c r="F179" s="402">
        <v>19646529.245633133</v>
      </c>
      <c r="G179" s="399">
        <v>409007</v>
      </c>
      <c r="H179" s="402">
        <v>74948584.523680881</v>
      </c>
      <c r="I179" s="399">
        <v>104288</v>
      </c>
      <c r="J179" s="402">
        <v>18017282.642343115</v>
      </c>
      <c r="K179" s="399">
        <v>77902</v>
      </c>
      <c r="L179" s="402">
        <v>13456516.861483533</v>
      </c>
      <c r="M179" s="399">
        <v>182190</v>
      </c>
      <c r="N179" s="402">
        <v>31473799.503826648</v>
      </c>
      <c r="O179" s="399">
        <v>406817</v>
      </c>
      <c r="P179" s="402">
        <v>73319337.920390874</v>
      </c>
      <c r="Q179" s="399">
        <v>184380</v>
      </c>
      <c r="R179" s="399">
        <v>33103046.107116666</v>
      </c>
      <c r="S179" s="399">
        <v>591197</v>
      </c>
      <c r="T179" s="402">
        <v>106422384.02750754</v>
      </c>
    </row>
    <row r="180" spans="2:20" hidden="1" outlineLevel="1" x14ac:dyDescent="0.25">
      <c r="B180" s="219">
        <v>43891</v>
      </c>
      <c r="C180" s="399">
        <v>302939</v>
      </c>
      <c r="D180" s="402">
        <v>55196864.737804003</v>
      </c>
      <c r="E180" s="399">
        <v>106463</v>
      </c>
      <c r="F180" s="402">
        <v>19580208.449458573</v>
      </c>
      <c r="G180" s="399">
        <v>409402</v>
      </c>
      <c r="H180" s="402">
        <v>74777073.18726258</v>
      </c>
      <c r="I180" s="399">
        <v>104495</v>
      </c>
      <c r="J180" s="402">
        <v>17993574.510668468</v>
      </c>
      <c r="K180" s="399">
        <v>77989</v>
      </c>
      <c r="L180" s="402">
        <v>13426888.100889776</v>
      </c>
      <c r="M180" s="399">
        <v>182484</v>
      </c>
      <c r="N180" s="402">
        <v>31420462.611558244</v>
      </c>
      <c r="O180" s="399">
        <v>407434</v>
      </c>
      <c r="P180" s="402">
        <v>73190439.248472452</v>
      </c>
      <c r="Q180" s="399">
        <v>184452</v>
      </c>
      <c r="R180" s="399">
        <v>33007096.550348345</v>
      </c>
      <c r="S180" s="399">
        <v>591886</v>
      </c>
      <c r="T180" s="402">
        <v>106197535.79882082</v>
      </c>
    </row>
    <row r="181" spans="2:20" hidden="1" outlineLevel="1" x14ac:dyDescent="0.25">
      <c r="B181" s="219">
        <v>43922</v>
      </c>
      <c r="C181" s="399">
        <v>303117</v>
      </c>
      <c r="D181" s="402">
        <v>55258446.047599502</v>
      </c>
      <c r="E181" s="399">
        <v>106371</v>
      </c>
      <c r="F181" s="402">
        <v>19574082.794316631</v>
      </c>
      <c r="G181" s="399">
        <v>409488</v>
      </c>
      <c r="H181" s="402">
        <v>74832528.841916144</v>
      </c>
      <c r="I181" s="399">
        <v>104476</v>
      </c>
      <c r="J181" s="402">
        <v>17997620.869959977</v>
      </c>
      <c r="K181" s="399">
        <v>78073</v>
      </c>
      <c r="L181" s="402">
        <v>13451272.284247531</v>
      </c>
      <c r="M181" s="399">
        <v>182549</v>
      </c>
      <c r="N181" s="402">
        <v>31448893.154207505</v>
      </c>
      <c r="O181" s="399">
        <v>407593</v>
      </c>
      <c r="P181" s="402">
        <v>73256066.917559475</v>
      </c>
      <c r="Q181" s="399">
        <v>184444</v>
      </c>
      <c r="R181" s="399">
        <v>33025355.07856416</v>
      </c>
      <c r="S181" s="399">
        <v>592037</v>
      </c>
      <c r="T181" s="402">
        <v>106281421.99612364</v>
      </c>
    </row>
    <row r="182" spans="2:20" hidden="1" outlineLevel="1" x14ac:dyDescent="0.25">
      <c r="B182" s="219">
        <v>43952</v>
      </c>
      <c r="C182" s="399">
        <v>303106</v>
      </c>
      <c r="D182" s="402">
        <v>55298238.860881612</v>
      </c>
      <c r="E182" s="399">
        <v>106379</v>
      </c>
      <c r="F182" s="402">
        <v>19590728.765769284</v>
      </c>
      <c r="G182" s="399">
        <v>409485</v>
      </c>
      <c r="H182" s="402">
        <v>74888967.626650915</v>
      </c>
      <c r="I182" s="399">
        <v>104421</v>
      </c>
      <c r="J182" s="402">
        <v>17996955.849861272</v>
      </c>
      <c r="K182" s="399">
        <v>78092</v>
      </c>
      <c r="L182" s="402">
        <v>13456795.331991246</v>
      </c>
      <c r="M182" s="399">
        <v>182513</v>
      </c>
      <c r="N182" s="402">
        <v>31453751.181852516</v>
      </c>
      <c r="O182" s="399">
        <v>407527</v>
      </c>
      <c r="P182" s="402">
        <v>73295194.710742891</v>
      </c>
      <c r="Q182" s="399">
        <v>184471</v>
      </c>
      <c r="R182" s="399">
        <v>33047524.097760528</v>
      </c>
      <c r="S182" s="399">
        <v>591998</v>
      </c>
      <c r="T182" s="402">
        <v>106342718.80850342</v>
      </c>
    </row>
    <row r="183" spans="2:20" hidden="1" outlineLevel="1" x14ac:dyDescent="0.25">
      <c r="B183" s="219">
        <v>43983</v>
      </c>
      <c r="C183" s="399">
        <v>303034</v>
      </c>
      <c r="D183" s="402">
        <v>55334577.280261129</v>
      </c>
      <c r="E183" s="399">
        <v>106296</v>
      </c>
      <c r="F183" s="402">
        <v>19591181.493418843</v>
      </c>
      <c r="G183" s="399">
        <v>409330</v>
      </c>
      <c r="H183" s="402">
        <v>74925758.773679972</v>
      </c>
      <c r="I183" s="399">
        <v>104307</v>
      </c>
      <c r="J183" s="402">
        <v>17990529.814401571</v>
      </c>
      <c r="K183" s="399">
        <v>78085</v>
      </c>
      <c r="L183" s="402">
        <v>13464681.7430693</v>
      </c>
      <c r="M183" s="399">
        <v>182392</v>
      </c>
      <c r="N183" s="402">
        <v>31455211.557470869</v>
      </c>
      <c r="O183" s="399">
        <v>407341</v>
      </c>
      <c r="P183" s="402">
        <v>73325107.094662711</v>
      </c>
      <c r="Q183" s="399">
        <v>184381</v>
      </c>
      <c r="R183" s="399">
        <v>33055863.236488145</v>
      </c>
      <c r="S183" s="399">
        <v>591722</v>
      </c>
      <c r="T183" s="402">
        <v>106380970.33115084</v>
      </c>
    </row>
    <row r="184" spans="2:20" hidden="1" outlineLevel="1" x14ac:dyDescent="0.25">
      <c r="B184" s="219">
        <v>44013</v>
      </c>
      <c r="C184" s="399">
        <v>303114</v>
      </c>
      <c r="D184" s="402">
        <v>56744536.446379468</v>
      </c>
      <c r="E184" s="399">
        <v>106052</v>
      </c>
      <c r="F184" s="402">
        <v>20036750.874045439</v>
      </c>
      <c r="G184" s="399">
        <v>409166</v>
      </c>
      <c r="H184" s="402">
        <v>76781287.320424914</v>
      </c>
      <c r="I184" s="399">
        <v>104212</v>
      </c>
      <c r="J184" s="402">
        <v>18423857.748689432</v>
      </c>
      <c r="K184" s="399">
        <v>77973</v>
      </c>
      <c r="L184" s="402">
        <v>13782491.570362031</v>
      </c>
      <c r="M184" s="399">
        <v>182185</v>
      </c>
      <c r="N184" s="402">
        <v>32206349.319051459</v>
      </c>
      <c r="O184" s="399">
        <v>407326</v>
      </c>
      <c r="P184" s="402">
        <v>75168394.195068911</v>
      </c>
      <c r="Q184" s="399">
        <v>184025</v>
      </c>
      <c r="R184" s="399">
        <v>33819242.444407478</v>
      </c>
      <c r="S184" s="399">
        <v>591351</v>
      </c>
      <c r="T184" s="402">
        <v>108987636.63947637</v>
      </c>
    </row>
    <row r="185" spans="2:20" hidden="1" outlineLevel="1" x14ac:dyDescent="0.25">
      <c r="B185" s="219">
        <v>44044</v>
      </c>
      <c r="C185" s="399">
        <v>302726</v>
      </c>
      <c r="D185" s="402">
        <v>56619898.175459005</v>
      </c>
      <c r="E185" s="399">
        <v>105522</v>
      </c>
      <c r="F185" s="402">
        <v>19917381.054454416</v>
      </c>
      <c r="G185" s="399">
        <v>408248</v>
      </c>
      <c r="H185" s="402">
        <v>76537279.229913428</v>
      </c>
      <c r="I185" s="399">
        <v>104019</v>
      </c>
      <c r="J185" s="402">
        <v>18370382.871297345</v>
      </c>
      <c r="K185" s="399">
        <v>77954</v>
      </c>
      <c r="L185" s="402">
        <v>13764710.84630765</v>
      </c>
      <c r="M185" s="399">
        <v>181973</v>
      </c>
      <c r="N185" s="402">
        <v>32135093.717604995</v>
      </c>
      <c r="O185" s="399">
        <v>406745</v>
      </c>
      <c r="P185" s="402">
        <v>74990281.046756342</v>
      </c>
      <c r="Q185" s="399">
        <v>183476</v>
      </c>
      <c r="R185" s="399">
        <v>33682091.900762066</v>
      </c>
      <c r="S185" s="399">
        <v>590221</v>
      </c>
      <c r="T185" s="402">
        <v>108672372.94751842</v>
      </c>
    </row>
    <row r="186" spans="2:20" hidden="1" outlineLevel="1" x14ac:dyDescent="0.25">
      <c r="B186" s="219">
        <v>44075</v>
      </c>
      <c r="C186" s="399">
        <v>302786</v>
      </c>
      <c r="D186" s="402">
        <v>56282006.289598107</v>
      </c>
      <c r="E186" s="399">
        <v>105100</v>
      </c>
      <c r="F186" s="402">
        <v>19716192.834437888</v>
      </c>
      <c r="G186" s="399">
        <v>407886</v>
      </c>
      <c r="H186" s="402">
        <v>75998199.124035999</v>
      </c>
      <c r="I186" s="399">
        <v>103817</v>
      </c>
      <c r="J186" s="402">
        <v>18218345.837968372</v>
      </c>
      <c r="K186" s="399">
        <v>77928</v>
      </c>
      <c r="L186" s="402">
        <v>13672495.250552798</v>
      </c>
      <c r="M186" s="399">
        <v>181745</v>
      </c>
      <c r="N186" s="402">
        <v>31890841.088521171</v>
      </c>
      <c r="O186" s="399">
        <v>406603</v>
      </c>
      <c r="P186" s="402">
        <v>74500352.127566487</v>
      </c>
      <c r="Q186" s="399">
        <v>183028</v>
      </c>
      <c r="R186" s="399">
        <v>33388688.084990684</v>
      </c>
      <c r="S186" s="399">
        <v>589631</v>
      </c>
      <c r="T186" s="402">
        <v>107889040.21255718</v>
      </c>
    </row>
    <row r="187" spans="2:20" hidden="1" outlineLevel="1" x14ac:dyDescent="0.25">
      <c r="B187" s="219">
        <v>44105</v>
      </c>
      <c r="C187" s="399">
        <v>302124</v>
      </c>
      <c r="D187" s="402">
        <v>55792864.879833758</v>
      </c>
      <c r="E187" s="399">
        <v>104702</v>
      </c>
      <c r="F187" s="402">
        <v>19514617.935191546</v>
      </c>
      <c r="G187" s="399">
        <v>406826</v>
      </c>
      <c r="H187" s="402">
        <v>75307482.8150253</v>
      </c>
      <c r="I187" s="399">
        <v>103576</v>
      </c>
      <c r="J187" s="402">
        <v>18052064.561122838</v>
      </c>
      <c r="K187" s="399">
        <v>77950</v>
      </c>
      <c r="L187" s="402">
        <v>13583077.236690629</v>
      </c>
      <c r="M187" s="399">
        <v>181526</v>
      </c>
      <c r="N187" s="402">
        <v>31635141.797813468</v>
      </c>
      <c r="O187" s="399">
        <v>405700</v>
      </c>
      <c r="P187" s="402">
        <v>73844929.440956593</v>
      </c>
      <c r="Q187" s="399">
        <v>182652</v>
      </c>
      <c r="R187" s="399">
        <v>33097695.171882179</v>
      </c>
      <c r="S187" s="399">
        <v>588352</v>
      </c>
      <c r="T187" s="402">
        <v>106942624.61283877</v>
      </c>
    </row>
    <row r="188" spans="2:20" hidden="1" outlineLevel="1" x14ac:dyDescent="0.25">
      <c r="B188" s="219">
        <v>44136</v>
      </c>
      <c r="C188" s="399">
        <v>302029</v>
      </c>
      <c r="D188" s="402">
        <v>55864769.554826207</v>
      </c>
      <c r="E188" s="399">
        <v>104460</v>
      </c>
      <c r="F188" s="402">
        <v>19500055.985656925</v>
      </c>
      <c r="G188" s="399">
        <v>406489</v>
      </c>
      <c r="H188" s="402">
        <v>75364825.540483132</v>
      </c>
      <c r="I188" s="399">
        <v>103373</v>
      </c>
      <c r="J188" s="402">
        <v>18041427.427816059</v>
      </c>
      <c r="K188" s="399">
        <v>77999</v>
      </c>
      <c r="L188" s="402">
        <v>13610294.620252851</v>
      </c>
      <c r="M188" s="399">
        <v>181372</v>
      </c>
      <c r="N188" s="402">
        <v>31651722.048068911</v>
      </c>
      <c r="O188" s="399">
        <v>405402</v>
      </c>
      <c r="P188" s="402">
        <v>73906196.982642278</v>
      </c>
      <c r="Q188" s="399">
        <v>182459</v>
      </c>
      <c r="R188" s="399">
        <v>33110350.605909776</v>
      </c>
      <c r="S188" s="399">
        <v>587861</v>
      </c>
      <c r="T188" s="402">
        <v>107016547.58855204</v>
      </c>
    </row>
    <row r="189" spans="2:20" hidden="1" outlineLevel="1" x14ac:dyDescent="0.25">
      <c r="B189" s="219">
        <v>44166</v>
      </c>
      <c r="C189" s="399">
        <v>302560</v>
      </c>
      <c r="D189" s="402">
        <v>55811088.778332449</v>
      </c>
      <c r="E189" s="399">
        <v>104548</v>
      </c>
      <c r="F189" s="402">
        <v>19461335.91927344</v>
      </c>
      <c r="G189" s="399">
        <v>407108</v>
      </c>
      <c r="H189" s="402">
        <v>75272424.697605893</v>
      </c>
      <c r="I189" s="399">
        <v>103131</v>
      </c>
      <c r="J189" s="402">
        <v>17945506.37360296</v>
      </c>
      <c r="K189" s="399">
        <v>78045</v>
      </c>
      <c r="L189" s="402">
        <v>13582854.163050994</v>
      </c>
      <c r="M189" s="399">
        <v>181176</v>
      </c>
      <c r="N189" s="402">
        <v>31528360.536653955</v>
      </c>
      <c r="O189" s="399">
        <v>405691</v>
      </c>
      <c r="P189" s="402">
        <v>73756595.151935413</v>
      </c>
      <c r="Q189" s="399">
        <v>182593</v>
      </c>
      <c r="R189" s="399">
        <v>33044190.082324442</v>
      </c>
      <c r="S189" s="399">
        <v>588284</v>
      </c>
      <c r="T189" s="402">
        <v>106800785.23425986</v>
      </c>
    </row>
    <row r="190" spans="2:20" collapsed="1" x14ac:dyDescent="0.25">
      <c r="B190" s="393" t="s">
        <v>761</v>
      </c>
      <c r="C190" s="394">
        <v>302635</v>
      </c>
      <c r="D190" s="403">
        <v>55863794.626828648</v>
      </c>
      <c r="E190" s="394">
        <v>105719.41666666667</v>
      </c>
      <c r="F190" s="403">
        <v>19716106.497057568</v>
      </c>
      <c r="G190" s="394">
        <v>408354.41666666669</v>
      </c>
      <c r="H190" s="403">
        <v>75579901.123886213</v>
      </c>
      <c r="I190" s="394">
        <v>104028.33333333333</v>
      </c>
      <c r="J190" s="403">
        <v>18160362.160683859</v>
      </c>
      <c r="K190" s="394">
        <v>77987.166666666672</v>
      </c>
      <c r="L190" s="403">
        <v>13604694.509659603</v>
      </c>
      <c r="M190" s="394">
        <v>182015.5</v>
      </c>
      <c r="N190" s="403">
        <v>31765056.670343462</v>
      </c>
      <c r="O190" s="394">
        <v>406663.33333333331</v>
      </c>
      <c r="P190" s="403">
        <v>74024156.787512511</v>
      </c>
      <c r="Q190" s="394">
        <v>183706.58333333334</v>
      </c>
      <c r="R190" s="394">
        <v>33320801.006717175</v>
      </c>
      <c r="S190" s="394">
        <v>590369.91666666663</v>
      </c>
      <c r="T190" s="403">
        <v>107344957.79422969</v>
      </c>
    </row>
    <row r="191" spans="2:20" x14ac:dyDescent="0.25">
      <c r="B191" s="219">
        <v>44197</v>
      </c>
      <c r="C191" s="399">
        <v>303535</v>
      </c>
      <c r="D191" s="402">
        <v>60757580.899198413</v>
      </c>
      <c r="E191" s="399">
        <v>104773</v>
      </c>
      <c r="F191" s="402">
        <v>21044654.967365194</v>
      </c>
      <c r="G191" s="399">
        <v>408308</v>
      </c>
      <c r="H191" s="402">
        <v>81802235.866563603</v>
      </c>
      <c r="I191" s="399">
        <v>102915</v>
      </c>
      <c r="J191" s="402">
        <v>19916842.199505921</v>
      </c>
      <c r="K191" s="399">
        <v>78093</v>
      </c>
      <c r="L191" s="402">
        <v>15113024.95228965</v>
      </c>
      <c r="M191" s="399">
        <v>181008</v>
      </c>
      <c r="N191" s="402">
        <v>35029867.151795574</v>
      </c>
      <c r="O191" s="399">
        <v>406450</v>
      </c>
      <c r="P191" s="402">
        <v>80674423.098704323</v>
      </c>
      <c r="Q191" s="399">
        <v>182866</v>
      </c>
      <c r="R191" s="399">
        <v>36157679.919654839</v>
      </c>
      <c r="S191" s="399">
        <v>589316</v>
      </c>
      <c r="T191" s="402">
        <v>116832103.01835917</v>
      </c>
    </row>
    <row r="192" spans="2:20" x14ac:dyDescent="0.25">
      <c r="B192" s="219">
        <v>44228</v>
      </c>
      <c r="C192" s="399">
        <v>303509</v>
      </c>
      <c r="D192" s="402">
        <v>60649048.146472409</v>
      </c>
      <c r="E192" s="399">
        <v>104543</v>
      </c>
      <c r="F192" s="402">
        <v>20958835.799480528</v>
      </c>
      <c r="G192" s="399">
        <v>408052</v>
      </c>
      <c r="H192" s="402">
        <v>81607883.945952937</v>
      </c>
      <c r="I192" s="399">
        <v>102585</v>
      </c>
      <c r="J192" s="402">
        <v>19816119.729461346</v>
      </c>
      <c r="K192" s="399">
        <v>78054</v>
      </c>
      <c r="L192" s="402">
        <v>15080885.675159944</v>
      </c>
      <c r="M192" s="399">
        <v>180639</v>
      </c>
      <c r="N192" s="402">
        <v>34897005.404621296</v>
      </c>
      <c r="O192" s="399">
        <v>406094</v>
      </c>
      <c r="P192" s="402">
        <v>80465167.875933751</v>
      </c>
      <c r="Q192" s="399">
        <v>182597</v>
      </c>
      <c r="R192" s="399">
        <v>36039721.474640474</v>
      </c>
      <c r="S192" s="399">
        <v>588691</v>
      </c>
      <c r="T192" s="402">
        <v>116504889.35057423</v>
      </c>
    </row>
    <row r="193" spans="2:20" x14ac:dyDescent="0.25">
      <c r="B193" s="219">
        <v>44256</v>
      </c>
      <c r="C193" s="399">
        <v>303836</v>
      </c>
      <c r="D193" s="402">
        <v>60482464.469999969</v>
      </c>
      <c r="E193" s="399">
        <v>104524</v>
      </c>
      <c r="F193" s="402">
        <v>20875550.0069554</v>
      </c>
      <c r="G193" s="399">
        <v>408360</v>
      </c>
      <c r="H193" s="402">
        <v>81358014.476955369</v>
      </c>
      <c r="I193" s="399">
        <v>102435</v>
      </c>
      <c r="J193" s="402">
        <v>19712561.606616706</v>
      </c>
      <c r="K193" s="399">
        <v>78131</v>
      </c>
      <c r="L193" s="402">
        <v>15035526.365032431</v>
      </c>
      <c r="M193" s="399">
        <v>180566</v>
      </c>
      <c r="N193" s="402">
        <v>34748087.97164914</v>
      </c>
      <c r="O193" s="399">
        <v>406271</v>
      </c>
      <c r="P193" s="402">
        <v>80195026.07661669</v>
      </c>
      <c r="Q193" s="399">
        <v>182655</v>
      </c>
      <c r="R193" s="399">
        <v>35911076.371987835</v>
      </c>
      <c r="S193" s="399">
        <v>588926</v>
      </c>
      <c r="T193" s="402">
        <v>116106102.44860451</v>
      </c>
    </row>
    <row r="194" spans="2:20" x14ac:dyDescent="0.25">
      <c r="B194" s="219">
        <v>44287</v>
      </c>
      <c r="C194" s="399">
        <v>304229</v>
      </c>
      <c r="D194" s="402">
        <v>60323225.567134194</v>
      </c>
      <c r="E194" s="399">
        <v>104568</v>
      </c>
      <c r="F194" s="402">
        <v>20804018.087431993</v>
      </c>
      <c r="G194" s="399">
        <v>408797</v>
      </c>
      <c r="H194" s="402">
        <v>81127243.654566199</v>
      </c>
      <c r="I194" s="399">
        <v>102581</v>
      </c>
      <c r="J194" s="402">
        <v>19666547.745922931</v>
      </c>
      <c r="K194" s="399">
        <v>78384</v>
      </c>
      <c r="L194" s="402">
        <v>15027130.345535982</v>
      </c>
      <c r="M194" s="399">
        <v>180965</v>
      </c>
      <c r="N194" s="402">
        <v>34693678.091458917</v>
      </c>
      <c r="O194" s="399">
        <v>406810</v>
      </c>
      <c r="P194" s="402">
        <v>79989773.313057125</v>
      </c>
      <c r="Q194" s="399">
        <v>182952</v>
      </c>
      <c r="R194" s="399">
        <v>35831148.432967968</v>
      </c>
      <c r="S194" s="399">
        <v>589762</v>
      </c>
      <c r="T194" s="402">
        <v>115820921.7460251</v>
      </c>
    </row>
    <row r="195" spans="2:20" x14ac:dyDescent="0.25">
      <c r="B195" s="219">
        <v>44317</v>
      </c>
      <c r="C195" s="399">
        <v>304427</v>
      </c>
      <c r="D195" s="402">
        <v>60193782.01502268</v>
      </c>
      <c r="E195" s="399">
        <v>104477</v>
      </c>
      <c r="F195" s="402">
        <v>20730040.354999255</v>
      </c>
      <c r="G195" s="399">
        <v>408904</v>
      </c>
      <c r="H195" s="402">
        <v>80923822.370021939</v>
      </c>
      <c r="I195" s="399">
        <v>102248</v>
      </c>
      <c r="J195" s="402">
        <v>19549985.779245343</v>
      </c>
      <c r="K195" s="399">
        <v>78324</v>
      </c>
      <c r="L195" s="402">
        <v>14975120.226800729</v>
      </c>
      <c r="M195" s="399">
        <v>180572</v>
      </c>
      <c r="N195" s="402">
        <v>34525106.006046072</v>
      </c>
      <c r="O195" s="399">
        <v>406675</v>
      </c>
      <c r="P195" s="402">
        <v>79743767.794268027</v>
      </c>
      <c r="Q195" s="399">
        <v>182801</v>
      </c>
      <c r="R195" s="399">
        <v>35705160.581799991</v>
      </c>
      <c r="S195" s="399">
        <v>589476</v>
      </c>
      <c r="T195" s="402">
        <v>115448928.37606801</v>
      </c>
    </row>
    <row r="196" spans="2:20" x14ac:dyDescent="0.25">
      <c r="B196" s="219">
        <v>44348</v>
      </c>
      <c r="C196" s="399">
        <v>304385</v>
      </c>
      <c r="D196" s="402">
        <v>60130483.468208984</v>
      </c>
      <c r="E196" s="399">
        <v>104256</v>
      </c>
      <c r="F196" s="402">
        <v>20668709.828797422</v>
      </c>
      <c r="G196" s="399">
        <v>408641</v>
      </c>
      <c r="H196" s="402">
        <v>80799193.297006413</v>
      </c>
      <c r="I196" s="399">
        <v>102342</v>
      </c>
      <c r="J196" s="402">
        <v>19551857.945865817</v>
      </c>
      <c r="K196" s="399">
        <v>78508</v>
      </c>
      <c r="L196" s="402">
        <v>14997985.571073221</v>
      </c>
      <c r="M196" s="399">
        <v>180850</v>
      </c>
      <c r="N196" s="402">
        <v>34549843.516939037</v>
      </c>
      <c r="O196" s="399">
        <v>406727</v>
      </c>
      <c r="P196" s="402">
        <v>79682341.414074793</v>
      </c>
      <c r="Q196" s="399">
        <v>182764</v>
      </c>
      <c r="R196" s="399">
        <v>35666695.399870642</v>
      </c>
      <c r="S196" s="399">
        <v>589491</v>
      </c>
      <c r="T196" s="402">
        <v>115349036.81394544</v>
      </c>
    </row>
    <row r="197" spans="2:20" x14ac:dyDescent="0.25">
      <c r="B197" s="219">
        <v>44378</v>
      </c>
      <c r="C197" s="399">
        <v>304412</v>
      </c>
      <c r="D197" s="402">
        <v>61865994.731352672</v>
      </c>
      <c r="E197" s="399">
        <v>104136</v>
      </c>
      <c r="F197" s="402">
        <v>21239314.39160049</v>
      </c>
      <c r="G197" s="399">
        <v>408548</v>
      </c>
      <c r="H197" s="402">
        <v>83105309.122953162</v>
      </c>
      <c r="I197" s="399">
        <v>102344</v>
      </c>
      <c r="J197" s="402">
        <v>20115706.401030745</v>
      </c>
      <c r="K197" s="399">
        <v>78636</v>
      </c>
      <c r="L197" s="402">
        <v>15455779.816191511</v>
      </c>
      <c r="M197" s="399">
        <v>180980</v>
      </c>
      <c r="N197" s="402">
        <v>35571486.217222258</v>
      </c>
      <c r="O197" s="399">
        <v>406756</v>
      </c>
      <c r="P197" s="402">
        <v>81981701.132383421</v>
      </c>
      <c r="Q197" s="399">
        <v>182772</v>
      </c>
      <c r="R197" s="399">
        <v>36695094.207791999</v>
      </c>
      <c r="S197" s="399">
        <v>589528</v>
      </c>
      <c r="T197" s="402">
        <v>118676795.34017542</v>
      </c>
    </row>
    <row r="198" spans="2:20" x14ac:dyDescent="0.25">
      <c r="B198" s="219">
        <v>44409</v>
      </c>
      <c r="C198" s="399">
        <v>304998</v>
      </c>
      <c r="D198" s="402">
        <v>61803206.726101883</v>
      </c>
      <c r="E198" s="399">
        <v>104304</v>
      </c>
      <c r="F198" s="402">
        <v>21211185.279939964</v>
      </c>
      <c r="G198" s="399">
        <v>409302</v>
      </c>
      <c r="H198" s="402">
        <v>83014392.006041855</v>
      </c>
      <c r="I198" s="399">
        <v>102353</v>
      </c>
      <c r="J198" s="402">
        <v>20060570.173118901</v>
      </c>
      <c r="K198" s="399">
        <v>78808</v>
      </c>
      <c r="L198" s="402">
        <v>15445571.294291267</v>
      </c>
      <c r="M198" s="399">
        <v>181161</v>
      </c>
      <c r="N198" s="402">
        <v>35506141.46741017</v>
      </c>
      <c r="O198" s="399">
        <v>407351</v>
      </c>
      <c r="P198" s="402">
        <v>81863776.89922078</v>
      </c>
      <c r="Q198" s="399">
        <v>183112</v>
      </c>
      <c r="R198" s="399">
        <v>36656756.57423123</v>
      </c>
      <c r="S198" s="399">
        <v>590463</v>
      </c>
      <c r="T198" s="402">
        <v>118520533.47345203</v>
      </c>
    </row>
    <row r="199" spans="2:20" x14ac:dyDescent="0.25">
      <c r="B199" s="219">
        <v>44440</v>
      </c>
      <c r="C199" s="399">
        <v>305471</v>
      </c>
      <c r="D199" s="402">
        <v>61172435.122695319</v>
      </c>
      <c r="E199" s="399">
        <v>104316</v>
      </c>
      <c r="F199" s="402">
        <v>20963652.371423941</v>
      </c>
      <c r="G199" s="399">
        <v>409787</v>
      </c>
      <c r="H199" s="402">
        <v>82136087.494119257</v>
      </c>
      <c r="I199" s="399">
        <v>102289</v>
      </c>
      <c r="J199" s="402">
        <v>19815198.439633384</v>
      </c>
      <c r="K199" s="399">
        <v>78880</v>
      </c>
      <c r="L199" s="402">
        <v>15279797.157196378</v>
      </c>
      <c r="M199" s="399">
        <v>181169</v>
      </c>
      <c r="N199" s="402">
        <v>35094995.596829765</v>
      </c>
      <c r="O199" s="399">
        <v>407760</v>
      </c>
      <c r="P199" s="402">
        <v>80987633.562328711</v>
      </c>
      <c r="Q199" s="399">
        <v>183196</v>
      </c>
      <c r="R199" s="399">
        <v>36243449.528620325</v>
      </c>
      <c r="S199" s="399">
        <v>590956</v>
      </c>
      <c r="T199" s="402">
        <v>117231083.09094901</v>
      </c>
    </row>
    <row r="200" spans="2:20" x14ac:dyDescent="0.25">
      <c r="B200" s="219">
        <v>44470</v>
      </c>
      <c r="C200" s="399">
        <v>306429</v>
      </c>
      <c r="D200" s="402">
        <v>60537820.125366837</v>
      </c>
      <c r="E200" s="399">
        <v>104673</v>
      </c>
      <c r="F200" s="402">
        <v>20755471.217814326</v>
      </c>
      <c r="G200" s="399">
        <v>411102</v>
      </c>
      <c r="H200" s="402">
        <v>81293291.343181163</v>
      </c>
      <c r="I200" s="399">
        <v>102399</v>
      </c>
      <c r="J200" s="402">
        <v>19574467.26912944</v>
      </c>
      <c r="K200" s="399">
        <v>79105</v>
      </c>
      <c r="L200" s="402">
        <v>15119893.142065834</v>
      </c>
      <c r="M200" s="399">
        <v>181504</v>
      </c>
      <c r="N200" s="402">
        <v>34694360.411195271</v>
      </c>
      <c r="O200" s="399">
        <v>408828</v>
      </c>
      <c r="P200" s="402">
        <v>80112287.394496277</v>
      </c>
      <c r="Q200" s="399">
        <v>183778</v>
      </c>
      <c r="R200" s="399">
        <v>35875364.359880164</v>
      </c>
      <c r="S200" s="399">
        <v>592606</v>
      </c>
      <c r="T200" s="402">
        <v>115987651.75437644</v>
      </c>
    </row>
    <row r="201" spans="2:20" x14ac:dyDescent="0.25">
      <c r="B201" s="219">
        <v>44501</v>
      </c>
      <c r="C201" s="399">
        <v>307296</v>
      </c>
      <c r="D201" s="402">
        <v>60398011.736597419</v>
      </c>
      <c r="E201" s="399">
        <v>105079</v>
      </c>
      <c r="F201" s="402">
        <v>20731601.738609999</v>
      </c>
      <c r="G201" s="399">
        <v>412375</v>
      </c>
      <c r="H201" s="402">
        <v>81129613.475207418</v>
      </c>
      <c r="I201" s="399">
        <v>102500</v>
      </c>
      <c r="J201" s="402">
        <v>19497663.966953907</v>
      </c>
      <c r="K201" s="399">
        <v>79398</v>
      </c>
      <c r="L201" s="402">
        <v>15100532.095835144</v>
      </c>
      <c r="M201" s="399">
        <v>181898</v>
      </c>
      <c r="N201" s="402">
        <v>34598196.062789053</v>
      </c>
      <c r="O201" s="399">
        <v>409796</v>
      </c>
      <c r="P201" s="402">
        <v>79895675.703551337</v>
      </c>
      <c r="Q201" s="399">
        <v>184477</v>
      </c>
      <c r="R201" s="399">
        <v>35832133.834445141</v>
      </c>
      <c r="S201" s="399">
        <v>594273</v>
      </c>
      <c r="T201" s="402">
        <v>115727809.53799647</v>
      </c>
    </row>
    <row r="202" spans="2:20" x14ac:dyDescent="0.25">
      <c r="B202" s="219">
        <v>44531</v>
      </c>
      <c r="C202" s="399">
        <v>308126</v>
      </c>
      <c r="D202" s="402">
        <v>60074718.726882093</v>
      </c>
      <c r="E202" s="399">
        <v>105397</v>
      </c>
      <c r="F202" s="402">
        <v>20629110.428123523</v>
      </c>
      <c r="G202" s="399">
        <v>413523</v>
      </c>
      <c r="H202" s="402">
        <v>80703829.155005619</v>
      </c>
      <c r="I202" s="399">
        <v>102539</v>
      </c>
      <c r="J202" s="402">
        <v>19352814.164048467</v>
      </c>
      <c r="K202" s="399">
        <v>79548</v>
      </c>
      <c r="L202" s="402">
        <v>15014485.532630179</v>
      </c>
      <c r="M202" s="399">
        <v>182087</v>
      </c>
      <c r="N202" s="402">
        <v>34367299.696678646</v>
      </c>
      <c r="O202" s="399">
        <v>410665</v>
      </c>
      <c r="P202" s="402">
        <v>79427532.890930563</v>
      </c>
      <c r="Q202" s="399">
        <v>184945</v>
      </c>
      <c r="R202" s="399">
        <v>35643595.960753702</v>
      </c>
      <c r="S202" s="399">
        <v>595610</v>
      </c>
      <c r="T202" s="402">
        <v>115071128.85168427</v>
      </c>
    </row>
    <row r="203" spans="2:20" x14ac:dyDescent="0.25">
      <c r="B203" s="393" t="s">
        <v>762</v>
      </c>
      <c r="C203" s="394">
        <v>305054.41666666669</v>
      </c>
      <c r="D203" s="403">
        <v>60699064.311252736</v>
      </c>
      <c r="E203" s="394">
        <v>104587.16666666667</v>
      </c>
      <c r="F203" s="403">
        <v>20884345.372711837</v>
      </c>
      <c r="G203" s="394">
        <v>409641.58333333331</v>
      </c>
      <c r="H203" s="403">
        <v>81583409.68396458</v>
      </c>
      <c r="I203" s="394">
        <v>102460.83333333333</v>
      </c>
      <c r="J203" s="403">
        <v>19719194.618377741</v>
      </c>
      <c r="K203" s="394">
        <v>78655.75</v>
      </c>
      <c r="L203" s="403">
        <v>15137144.347841853</v>
      </c>
      <c r="M203" s="394">
        <v>181116.58333333334</v>
      </c>
      <c r="N203" s="403">
        <v>34856338.966219604</v>
      </c>
      <c r="O203" s="394">
        <v>407515.25</v>
      </c>
      <c r="P203" s="403">
        <v>80418258.929630473</v>
      </c>
      <c r="Q203" s="394">
        <v>183242.91666666666</v>
      </c>
      <c r="R203" s="394">
        <v>36021489.720553681</v>
      </c>
      <c r="S203" s="394">
        <v>590758.16666666663</v>
      </c>
      <c r="T203" s="403">
        <v>116439748.65018417</v>
      </c>
    </row>
    <row r="204" spans="2:20" x14ac:dyDescent="0.25">
      <c r="B204" s="219">
        <v>44562</v>
      </c>
      <c r="C204" s="399">
        <v>309032</v>
      </c>
      <c r="D204" s="402">
        <v>61641326.174920678</v>
      </c>
      <c r="E204" s="399">
        <v>105909</v>
      </c>
      <c r="F204" s="402">
        <v>21161366.770258732</v>
      </c>
      <c r="G204" s="399">
        <v>414941</v>
      </c>
      <c r="H204" s="402">
        <v>82802692.945179418</v>
      </c>
      <c r="I204" s="399">
        <v>102612</v>
      </c>
      <c r="J204" s="402">
        <v>20502285.283651404</v>
      </c>
      <c r="K204" s="399">
        <v>79732</v>
      </c>
      <c r="L204" s="402">
        <v>15930265.585727639</v>
      </c>
      <c r="M204" s="399">
        <v>182344</v>
      </c>
      <c r="N204" s="402">
        <v>36432550.869379044</v>
      </c>
      <c r="O204" s="399">
        <v>411644</v>
      </c>
      <c r="P204" s="402">
        <v>82143611.45857209</v>
      </c>
      <c r="Q204" s="399">
        <v>185641</v>
      </c>
      <c r="R204" s="399">
        <v>37091632.355986372</v>
      </c>
      <c r="S204" s="399">
        <v>597285</v>
      </c>
      <c r="T204" s="402">
        <v>119235243.81455846</v>
      </c>
    </row>
    <row r="205" spans="2:20" x14ac:dyDescent="0.25">
      <c r="B205" s="219">
        <v>44593</v>
      </c>
      <c r="C205" s="392"/>
      <c r="D205" s="398"/>
      <c r="E205" s="392"/>
      <c r="F205" s="398"/>
      <c r="G205" s="392"/>
      <c r="H205" s="398"/>
      <c r="I205" s="392">
        <v>102691</v>
      </c>
      <c r="J205" s="398">
        <v>21492525.498180084</v>
      </c>
      <c r="K205" s="392">
        <v>79908</v>
      </c>
      <c r="L205" s="398">
        <v>16723911.059896681</v>
      </c>
      <c r="M205" s="392">
        <v>182599</v>
      </c>
      <c r="N205" s="398">
        <v>38216436.558076769</v>
      </c>
      <c r="O205" s="392">
        <v>102691</v>
      </c>
      <c r="P205" s="398">
        <v>21492525.498180084</v>
      </c>
      <c r="Q205" s="392">
        <v>79908</v>
      </c>
      <c r="R205" s="392">
        <v>16723911.059896681</v>
      </c>
      <c r="S205" s="392">
        <v>182599</v>
      </c>
      <c r="T205" s="398">
        <v>38216436.558076769</v>
      </c>
    </row>
    <row r="206" spans="2:20" x14ac:dyDescent="0.25">
      <c r="B206" s="219">
        <v>44621</v>
      </c>
      <c r="C206" s="392"/>
      <c r="D206" s="398"/>
      <c r="E206" s="392"/>
      <c r="F206" s="398"/>
      <c r="G206" s="392"/>
      <c r="H206" s="398"/>
      <c r="I206" s="392">
        <v>102784</v>
      </c>
      <c r="J206" s="398">
        <v>21120184.887242761</v>
      </c>
      <c r="K206" s="392">
        <v>80074</v>
      </c>
      <c r="L206" s="398">
        <v>16452595.585856901</v>
      </c>
      <c r="M206" s="392">
        <v>182858</v>
      </c>
      <c r="N206" s="398">
        <v>37572780.473099664</v>
      </c>
      <c r="O206" s="392">
        <v>102784</v>
      </c>
      <c r="P206" s="398">
        <v>21120184.887242761</v>
      </c>
      <c r="Q206" s="392">
        <v>80074</v>
      </c>
      <c r="R206" s="392">
        <v>16452595.585856901</v>
      </c>
      <c r="S206" s="392">
        <v>182858</v>
      </c>
      <c r="T206" s="398">
        <v>37572780.473099664</v>
      </c>
    </row>
    <row r="207" spans="2:20" x14ac:dyDescent="0.25">
      <c r="B207" s="219">
        <v>44652</v>
      </c>
      <c r="C207" s="392"/>
      <c r="D207" s="398"/>
      <c r="E207" s="392"/>
      <c r="F207" s="398"/>
      <c r="G207" s="392"/>
      <c r="H207" s="398"/>
      <c r="I207" s="392">
        <v>102632</v>
      </c>
      <c r="J207" s="398">
        <v>20797968.480231836</v>
      </c>
      <c r="K207" s="392">
        <v>80110</v>
      </c>
      <c r="L207" s="398">
        <v>16232994.487955602</v>
      </c>
      <c r="M207" s="392">
        <v>182742</v>
      </c>
      <c r="N207" s="398">
        <v>37030962.968187436</v>
      </c>
      <c r="O207" s="392">
        <v>102632</v>
      </c>
      <c r="P207" s="398">
        <v>20797968.480231836</v>
      </c>
      <c r="Q207" s="392">
        <v>80110</v>
      </c>
      <c r="R207" s="392">
        <v>16232994.487955602</v>
      </c>
      <c r="S207" s="392">
        <v>182742</v>
      </c>
      <c r="T207" s="398">
        <v>37030962.968187436</v>
      </c>
    </row>
    <row r="208" spans="2:20" x14ac:dyDescent="0.25">
      <c r="B208" s="219">
        <v>44682</v>
      </c>
      <c r="C208" s="392"/>
      <c r="D208" s="398"/>
      <c r="E208" s="392"/>
      <c r="F208" s="398"/>
      <c r="G208" s="392"/>
      <c r="H208" s="398"/>
      <c r="I208" s="392">
        <v>102856</v>
      </c>
      <c r="J208" s="398">
        <v>20595500.81259767</v>
      </c>
      <c r="K208" s="392">
        <v>80398</v>
      </c>
      <c r="L208" s="398">
        <v>16097623.983703669</v>
      </c>
      <c r="M208" s="392">
        <v>183254</v>
      </c>
      <c r="N208" s="398">
        <v>36693124.796301335</v>
      </c>
      <c r="O208" s="392">
        <v>102856</v>
      </c>
      <c r="P208" s="398">
        <v>20595500.81259767</v>
      </c>
      <c r="Q208" s="392">
        <v>80398</v>
      </c>
      <c r="R208" s="392">
        <v>16097623.983703669</v>
      </c>
      <c r="S208" s="392">
        <v>183254</v>
      </c>
      <c r="T208" s="398">
        <v>36693124.796301335</v>
      </c>
    </row>
    <row r="209" spans="2:20" x14ac:dyDescent="0.25">
      <c r="B209" s="219">
        <v>44713</v>
      </c>
      <c r="C209" s="392"/>
      <c r="D209" s="398"/>
      <c r="E209" s="392"/>
      <c r="F209" s="398"/>
      <c r="G209" s="392"/>
      <c r="H209" s="398"/>
      <c r="I209" s="392">
        <v>103404</v>
      </c>
      <c r="J209" s="398">
        <v>20513687.798160423</v>
      </c>
      <c r="K209" s="392">
        <v>80766</v>
      </c>
      <c r="L209" s="398">
        <v>16021456.343696365</v>
      </c>
      <c r="M209" s="392">
        <v>184170</v>
      </c>
      <c r="N209" s="398">
        <v>36535144.14185679</v>
      </c>
      <c r="O209" s="392">
        <v>103404</v>
      </c>
      <c r="P209" s="398">
        <v>20513687.798160423</v>
      </c>
      <c r="Q209" s="392">
        <v>80766</v>
      </c>
      <c r="R209" s="392">
        <v>16021456.343696365</v>
      </c>
      <c r="S209" s="392">
        <v>184170</v>
      </c>
      <c r="T209" s="398">
        <v>36535144.14185679</v>
      </c>
    </row>
    <row r="210" spans="2:20" x14ac:dyDescent="0.25">
      <c r="B210" s="219">
        <v>44743</v>
      </c>
      <c r="C210" s="392"/>
      <c r="D210" s="398"/>
      <c r="E210" s="392"/>
      <c r="F210" s="398"/>
      <c r="G210" s="392"/>
      <c r="H210" s="398"/>
      <c r="I210" s="392">
        <v>103650</v>
      </c>
      <c r="J210" s="398">
        <v>21261491.228458118</v>
      </c>
      <c r="K210" s="392">
        <v>81031</v>
      </c>
      <c r="L210" s="398">
        <v>16620265.026146555</v>
      </c>
      <c r="M210" s="392">
        <v>184681</v>
      </c>
      <c r="N210" s="398">
        <v>37881756.254604675</v>
      </c>
      <c r="O210" s="392">
        <v>103650</v>
      </c>
      <c r="P210" s="398">
        <v>21261491.228458118</v>
      </c>
      <c r="Q210" s="392">
        <v>81031</v>
      </c>
      <c r="R210" s="392">
        <v>16620265.026146555</v>
      </c>
      <c r="S210" s="392">
        <v>184681</v>
      </c>
      <c r="T210" s="398">
        <v>37881756.254604675</v>
      </c>
    </row>
    <row r="211" spans="2:20" x14ac:dyDescent="0.25">
      <c r="B211" s="219">
        <v>44774</v>
      </c>
      <c r="C211" s="392"/>
      <c r="D211" s="398"/>
      <c r="E211" s="392"/>
      <c r="F211" s="398"/>
      <c r="G211" s="392"/>
      <c r="H211" s="398"/>
      <c r="I211" s="392">
        <v>103890</v>
      </c>
      <c r="J211" s="398">
        <v>21054994.342735499</v>
      </c>
      <c r="K211" s="392">
        <v>81219</v>
      </c>
      <c r="L211" s="398">
        <v>16459566.625511946</v>
      </c>
      <c r="M211" s="392">
        <v>185109</v>
      </c>
      <c r="N211" s="398">
        <v>37514560.968247443</v>
      </c>
      <c r="O211" s="392">
        <v>103890</v>
      </c>
      <c r="P211" s="398">
        <v>21054994.342735499</v>
      </c>
      <c r="Q211" s="392">
        <v>81219</v>
      </c>
      <c r="R211" s="392">
        <v>16459566.625511946</v>
      </c>
      <c r="S211" s="392">
        <v>185109</v>
      </c>
      <c r="T211" s="398">
        <v>37514560.968247443</v>
      </c>
    </row>
    <row r="212" spans="2:20" x14ac:dyDescent="0.25">
      <c r="B212" s="219">
        <v>44805</v>
      </c>
      <c r="C212" s="392"/>
      <c r="D212" s="398"/>
      <c r="E212" s="392"/>
      <c r="F212" s="398"/>
      <c r="G212" s="392"/>
      <c r="H212" s="398"/>
      <c r="I212" s="392">
        <v>103948</v>
      </c>
      <c r="J212" s="398">
        <v>20885004.173256036</v>
      </c>
      <c r="K212" s="392">
        <v>81350</v>
      </c>
      <c r="L212" s="398">
        <v>16343841.35430146</v>
      </c>
      <c r="M212" s="392">
        <v>185298</v>
      </c>
      <c r="N212" s="398">
        <v>37228845.527557492</v>
      </c>
      <c r="O212" s="392">
        <v>103948</v>
      </c>
      <c r="P212" s="398">
        <v>20885004.173256036</v>
      </c>
      <c r="Q212" s="392">
        <v>81350</v>
      </c>
      <c r="R212" s="392">
        <v>16343841.35430146</v>
      </c>
      <c r="S212" s="392">
        <v>185298</v>
      </c>
      <c r="T212" s="398">
        <v>37228845.527557492</v>
      </c>
    </row>
    <row r="213" spans="2:20" x14ac:dyDescent="0.25">
      <c r="B213" s="219">
        <v>44835</v>
      </c>
      <c r="C213" s="392"/>
      <c r="D213" s="398"/>
      <c r="E213" s="392"/>
      <c r="F213" s="398"/>
      <c r="G213" s="392"/>
      <c r="H213" s="398"/>
      <c r="I213" s="392">
        <v>103979</v>
      </c>
      <c r="J213" s="398">
        <v>20783653.240158346</v>
      </c>
      <c r="K213" s="392">
        <v>81414</v>
      </c>
      <c r="L213" s="398">
        <v>16272439.726246005</v>
      </c>
      <c r="M213" s="392">
        <v>185393</v>
      </c>
      <c r="N213" s="398">
        <v>37056092.966404349</v>
      </c>
      <c r="O213" s="392">
        <v>103979</v>
      </c>
      <c r="P213" s="398">
        <v>20783653.240158346</v>
      </c>
      <c r="Q213" s="392">
        <v>81414</v>
      </c>
      <c r="R213" s="392">
        <v>16272439.726246005</v>
      </c>
      <c r="S213" s="392">
        <v>185393</v>
      </c>
      <c r="T213" s="398">
        <v>37056092.966404349</v>
      </c>
    </row>
    <row r="214" spans="2:20" x14ac:dyDescent="0.25">
      <c r="B214" s="219">
        <v>44866</v>
      </c>
      <c r="C214" s="392"/>
      <c r="D214" s="398"/>
      <c r="E214" s="392"/>
      <c r="F214" s="398"/>
      <c r="G214" s="392"/>
      <c r="H214" s="398"/>
      <c r="I214" s="392">
        <v>103866</v>
      </c>
      <c r="J214" s="398">
        <v>20560380.105604984</v>
      </c>
      <c r="K214" s="392">
        <v>81490</v>
      </c>
      <c r="L214" s="398">
        <v>16129943.970785536</v>
      </c>
      <c r="M214" s="392">
        <v>185356</v>
      </c>
      <c r="N214" s="398">
        <v>36690324.07639052</v>
      </c>
      <c r="O214" s="392">
        <v>103866</v>
      </c>
      <c r="P214" s="398">
        <v>20560380.105604984</v>
      </c>
      <c r="Q214" s="392">
        <v>81490</v>
      </c>
      <c r="R214" s="392">
        <v>16129943.970785536</v>
      </c>
      <c r="S214" s="392">
        <v>185356</v>
      </c>
      <c r="T214" s="398">
        <v>36690324.07639052</v>
      </c>
    </row>
    <row r="215" spans="2:20" x14ac:dyDescent="0.25">
      <c r="B215" s="219">
        <v>44896</v>
      </c>
      <c r="C215" s="392"/>
      <c r="D215" s="398"/>
      <c r="E215" s="392"/>
      <c r="F215" s="398"/>
      <c r="G215" s="392"/>
      <c r="H215" s="398"/>
      <c r="I215" s="392">
        <v>103979</v>
      </c>
      <c r="J215" s="398">
        <v>20523722.573866654</v>
      </c>
      <c r="K215" s="392">
        <v>81605</v>
      </c>
      <c r="L215" s="398">
        <v>16106462.241973957</v>
      </c>
      <c r="M215" s="392">
        <v>185584</v>
      </c>
      <c r="N215" s="398">
        <v>36630184.815840609</v>
      </c>
      <c r="O215" s="392">
        <v>103979</v>
      </c>
      <c r="P215" s="398">
        <v>20523722.573866654</v>
      </c>
      <c r="Q215" s="392">
        <v>81605</v>
      </c>
      <c r="R215" s="392">
        <v>16106462.241973957</v>
      </c>
      <c r="S215" s="392">
        <v>185584</v>
      </c>
      <c r="T215" s="398">
        <v>36630184.815840609</v>
      </c>
    </row>
    <row r="216" spans="2:20" x14ac:dyDescent="0.25">
      <c r="B216" s="393" t="s">
        <v>763</v>
      </c>
      <c r="C216" s="394">
        <v>309032</v>
      </c>
      <c r="D216" s="403">
        <v>61641326.174920678</v>
      </c>
      <c r="E216" s="394">
        <v>105909</v>
      </c>
      <c r="F216" s="403">
        <v>21161366.770258732</v>
      </c>
      <c r="G216" s="394">
        <v>414941</v>
      </c>
      <c r="H216" s="403">
        <v>82802692.945179418</v>
      </c>
      <c r="I216" s="394">
        <v>103357.58333333333</v>
      </c>
      <c r="J216" s="403">
        <v>20840949.868678652</v>
      </c>
      <c r="K216" s="394">
        <v>80758.083333333328</v>
      </c>
      <c r="L216" s="403">
        <v>16282613.832650194</v>
      </c>
      <c r="M216" s="394">
        <v>184115.66666666666</v>
      </c>
      <c r="N216" s="403">
        <v>37123563.701328844</v>
      </c>
      <c r="O216" s="394">
        <v>129110.25</v>
      </c>
      <c r="P216" s="403">
        <v>25977727.049922045</v>
      </c>
      <c r="Q216" s="394">
        <v>89583.833333333328</v>
      </c>
      <c r="R216" s="394">
        <v>18046061.063505087</v>
      </c>
      <c r="S216" s="394">
        <v>218694.08333333334</v>
      </c>
      <c r="T216" s="403">
        <v>44023788.113427125</v>
      </c>
    </row>
    <row r="217" spans="2:20" x14ac:dyDescent="0.25">
      <c r="B217" s="219">
        <v>44927</v>
      </c>
      <c r="C217" s="392"/>
      <c r="D217" s="398"/>
      <c r="E217" s="392"/>
      <c r="F217" s="398"/>
      <c r="G217" s="392"/>
      <c r="H217" s="398"/>
      <c r="I217" s="392">
        <v>104230</v>
      </c>
      <c r="J217" s="398">
        <v>20408339.248588521</v>
      </c>
      <c r="K217" s="392">
        <v>81876</v>
      </c>
      <c r="L217" s="398">
        <v>16030694.56488038</v>
      </c>
      <c r="M217" s="392">
        <v>186106</v>
      </c>
      <c r="N217" s="398">
        <v>36439033.813468903</v>
      </c>
      <c r="O217" s="392">
        <v>104230</v>
      </c>
      <c r="P217" s="398">
        <v>20408339.248588521</v>
      </c>
      <c r="Q217" s="392">
        <v>81876</v>
      </c>
      <c r="R217" s="392">
        <v>16030694.56488038</v>
      </c>
      <c r="S217" s="392">
        <v>186106</v>
      </c>
      <c r="T217" s="398">
        <v>36439033.813468903</v>
      </c>
    </row>
    <row r="218" spans="2:20" x14ac:dyDescent="0.25">
      <c r="B218" s="219">
        <v>44958</v>
      </c>
      <c r="C218" s="392"/>
      <c r="D218" s="398"/>
      <c r="E218" s="392"/>
      <c r="F218" s="398"/>
      <c r="G218" s="392"/>
      <c r="H218" s="398"/>
      <c r="I218" s="392">
        <v>104475</v>
      </c>
      <c r="J218" s="398">
        <v>21763711.397236161</v>
      </c>
      <c r="K218" s="392">
        <v>82037</v>
      </c>
      <c r="L218" s="398">
        <v>17089125.313730869</v>
      </c>
      <c r="M218" s="392">
        <v>186512</v>
      </c>
      <c r="N218" s="398">
        <v>38852836.710967034</v>
      </c>
      <c r="O218" s="392">
        <v>104475</v>
      </c>
      <c r="P218" s="398">
        <v>21763711.397236161</v>
      </c>
      <c r="Q218" s="392">
        <v>82037</v>
      </c>
      <c r="R218" s="392">
        <v>17089125.313730869</v>
      </c>
      <c r="S218" s="392">
        <v>186512</v>
      </c>
      <c r="T218" s="398">
        <v>38852836.710967034</v>
      </c>
    </row>
    <row r="219" spans="2:20" x14ac:dyDescent="0.25">
      <c r="B219" s="219">
        <v>44986</v>
      </c>
      <c r="C219" s="392"/>
      <c r="D219" s="398"/>
      <c r="E219" s="392"/>
      <c r="F219" s="398"/>
      <c r="G219" s="392"/>
      <c r="H219" s="398"/>
      <c r="I219" s="392">
        <v>104804</v>
      </c>
      <c r="J219" s="398">
        <v>21596971.883000001</v>
      </c>
      <c r="K219" s="392">
        <v>82313</v>
      </c>
      <c r="L219" s="398">
        <v>16962285.868999999</v>
      </c>
      <c r="M219" s="392">
        <v>187117</v>
      </c>
      <c r="N219" s="398">
        <v>38559257.751999997</v>
      </c>
      <c r="O219" s="392">
        <v>104804</v>
      </c>
      <c r="P219" s="398">
        <v>21596971.883000001</v>
      </c>
      <c r="Q219" s="392">
        <v>82313</v>
      </c>
      <c r="R219" s="392">
        <v>16962285.868999999</v>
      </c>
      <c r="S219" s="392">
        <v>187117</v>
      </c>
      <c r="T219" s="398">
        <v>38559257.751999997</v>
      </c>
    </row>
    <row r="220" spans="2:20" ht="30" x14ac:dyDescent="0.25">
      <c r="B220" s="396" t="s">
        <v>954</v>
      </c>
      <c r="C220" s="394"/>
      <c r="D220" s="403"/>
      <c r="E220" s="394"/>
      <c r="F220" s="403"/>
      <c r="G220" s="394"/>
      <c r="H220" s="403"/>
      <c r="I220" s="394">
        <v>104503</v>
      </c>
      <c r="J220" s="403">
        <v>21256340.842941564</v>
      </c>
      <c r="K220" s="394">
        <v>82075.333333333328</v>
      </c>
      <c r="L220" s="403">
        <v>16694035.249203751</v>
      </c>
      <c r="M220" s="394">
        <v>186578.33333333334</v>
      </c>
      <c r="N220" s="403">
        <v>37950376.092145316</v>
      </c>
      <c r="O220" s="394">
        <v>104503</v>
      </c>
      <c r="P220" s="403">
        <v>21256340.842941564</v>
      </c>
      <c r="Q220" s="394">
        <v>82075.333333333328</v>
      </c>
      <c r="R220" s="394">
        <v>16694035.249203751</v>
      </c>
      <c r="S220" s="394">
        <v>186578.33333333334</v>
      </c>
      <c r="T220" s="403">
        <v>37950376.092145316</v>
      </c>
    </row>
    <row r="221" spans="2:20" x14ac:dyDescent="0.25">
      <c r="B221" s="4" t="s">
        <v>924</v>
      </c>
      <c r="C221" s="6"/>
      <c r="D221" s="6"/>
      <c r="E221" s="6"/>
      <c r="F221" s="6"/>
      <c r="G221" s="6"/>
      <c r="H221" s="6"/>
      <c r="I221" s="6"/>
      <c r="J221" s="6"/>
      <c r="K221" s="6"/>
      <c r="L221" s="6"/>
      <c r="M221" s="6"/>
    </row>
    <row r="222" spans="2:20" x14ac:dyDescent="0.25">
      <c r="B222" s="287" t="s">
        <v>927</v>
      </c>
      <c r="C222" s="6"/>
      <c r="D222" s="6"/>
      <c r="E222" s="6"/>
      <c r="F222" s="6"/>
      <c r="G222" s="6"/>
      <c r="H222" s="6"/>
      <c r="I222" s="6"/>
      <c r="J222" s="6"/>
      <c r="K222" s="6"/>
      <c r="L222" s="6"/>
      <c r="M222" s="6"/>
    </row>
    <row r="223" spans="2:20" x14ac:dyDescent="0.25">
      <c r="C223" s="4"/>
      <c r="D223" s="4"/>
      <c r="E223" s="4"/>
      <c r="F223" s="4"/>
      <c r="G223" s="4"/>
      <c r="H223" s="4"/>
      <c r="I223" s="4"/>
      <c r="J223" s="4"/>
      <c r="K223" s="4"/>
      <c r="L223" s="289"/>
      <c r="M223" s="289"/>
    </row>
    <row r="224" spans="2:20" x14ac:dyDescent="0.25">
      <c r="B224" s="231"/>
      <c r="C224" s="4"/>
      <c r="D224" s="4"/>
      <c r="E224" s="4"/>
      <c r="F224" s="4"/>
      <c r="G224" s="4"/>
      <c r="H224" s="4"/>
      <c r="I224" s="4"/>
      <c r="J224" s="4"/>
      <c r="K224" s="4"/>
    </row>
    <row r="225" spans="2:11" x14ac:dyDescent="0.25">
      <c r="B225" s="231"/>
      <c r="C225" s="4"/>
      <c r="D225" s="4"/>
      <c r="E225" s="4"/>
      <c r="F225" s="4"/>
      <c r="G225" s="4"/>
      <c r="H225" s="4"/>
      <c r="I225" s="4"/>
      <c r="J225" s="4"/>
      <c r="K225" s="4"/>
    </row>
    <row r="226" spans="2:11" x14ac:dyDescent="0.25">
      <c r="B226" s="231"/>
      <c r="C226" s="4"/>
      <c r="D226" s="4"/>
      <c r="E226" s="4"/>
      <c r="F226" s="4"/>
      <c r="G226" s="4"/>
      <c r="H226" s="4"/>
      <c r="I226" s="4"/>
      <c r="J226" s="4"/>
      <c r="K226" s="4"/>
    </row>
    <row r="227" spans="2:11" x14ac:dyDescent="0.25">
      <c r="B227" s="231"/>
      <c r="C227" s="4"/>
      <c r="D227" s="4"/>
      <c r="E227" s="4"/>
      <c r="F227" s="4"/>
      <c r="G227" s="4"/>
      <c r="H227" s="4"/>
      <c r="I227" s="4"/>
      <c r="J227" s="4"/>
      <c r="K227" s="4"/>
    </row>
    <row r="228" spans="2:11" x14ac:dyDescent="0.25">
      <c r="B228" s="231"/>
      <c r="C228" s="4"/>
      <c r="D228" s="4"/>
      <c r="E228" s="4"/>
      <c r="F228" s="4"/>
      <c r="G228" s="4"/>
      <c r="H228" s="4"/>
      <c r="I228" s="4"/>
      <c r="J228" s="4"/>
      <c r="K228" s="4"/>
    </row>
    <row r="229" spans="2:11" x14ac:dyDescent="0.25">
      <c r="B229" s="231"/>
      <c r="C229" s="4"/>
      <c r="D229" s="4"/>
      <c r="E229" s="4"/>
      <c r="F229" s="4"/>
      <c r="G229" s="4"/>
      <c r="H229" s="4"/>
      <c r="I229" s="4"/>
      <c r="J229" s="4"/>
      <c r="K229" s="4"/>
    </row>
  </sheetData>
  <mergeCells count="19">
    <mergeCell ref="B19:L19"/>
    <mergeCell ref="O26:P26"/>
    <mergeCell ref="Q26:R26"/>
    <mergeCell ref="S26:T26"/>
    <mergeCell ref="C25:H25"/>
    <mergeCell ref="I25:N25"/>
    <mergeCell ref="O25:T25"/>
    <mergeCell ref="K26:L26"/>
    <mergeCell ref="G26:H26"/>
    <mergeCell ref="C26:D26"/>
    <mergeCell ref="M26:N26"/>
    <mergeCell ref="I26:J26"/>
    <mergeCell ref="E26:F26"/>
    <mergeCell ref="B15:B17"/>
    <mergeCell ref="B9:B11"/>
    <mergeCell ref="B12:B14"/>
    <mergeCell ref="D7:F7"/>
    <mergeCell ref="J7:L7"/>
    <mergeCell ref="G7:I7"/>
  </mergeCells>
  <phoneticPr fontId="28"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22" t="s">
        <v>11</v>
      </c>
      <c r="B1" t="s">
        <v>614</v>
      </c>
      <c r="I1" s="222" t="s">
        <v>11</v>
      </c>
      <c r="J1" t="s">
        <v>614</v>
      </c>
      <c r="O1" s="222" t="s">
        <v>11</v>
      </c>
      <c r="P1" t="s">
        <v>614</v>
      </c>
    </row>
    <row r="3" spans="1:19" x14ac:dyDescent="0.25">
      <c r="A3" s="222" t="s">
        <v>558</v>
      </c>
      <c r="B3" t="s">
        <v>675</v>
      </c>
      <c r="C3" t="s">
        <v>676</v>
      </c>
      <c r="D3" t="s">
        <v>677</v>
      </c>
      <c r="E3" t="s">
        <v>678</v>
      </c>
      <c r="F3" t="s">
        <v>679</v>
      </c>
      <c r="G3" t="s">
        <v>680</v>
      </c>
      <c r="I3" s="222" t="s">
        <v>558</v>
      </c>
      <c r="J3" t="s">
        <v>687</v>
      </c>
      <c r="K3" t="s">
        <v>688</v>
      </c>
      <c r="L3" t="s">
        <v>689</v>
      </c>
      <c r="M3" t="s">
        <v>690</v>
      </c>
      <c r="O3" s="222" t="s">
        <v>558</v>
      </c>
      <c r="P3" t="s">
        <v>699</v>
      </c>
      <c r="Q3" t="s">
        <v>700</v>
      </c>
      <c r="R3" t="s">
        <v>701</v>
      </c>
      <c r="S3" t="s">
        <v>702</v>
      </c>
    </row>
    <row r="4" spans="1:19" x14ac:dyDescent="0.25">
      <c r="A4" s="223" t="s">
        <v>574</v>
      </c>
      <c r="B4">
        <v>327413</v>
      </c>
      <c r="C4">
        <v>190531</v>
      </c>
      <c r="D4">
        <v>137530</v>
      </c>
      <c r="E4">
        <v>139864</v>
      </c>
      <c r="F4">
        <v>464943</v>
      </c>
      <c r="G4">
        <v>330395</v>
      </c>
      <c r="I4" s="223" t="s">
        <v>574</v>
      </c>
      <c r="J4" s="224">
        <v>69469277.144999996</v>
      </c>
      <c r="K4" s="224">
        <v>40636215.887999997</v>
      </c>
      <c r="L4" s="224">
        <v>22985156.960000001</v>
      </c>
      <c r="M4" s="224">
        <v>22214072.743999999</v>
      </c>
      <c r="O4" s="223" t="s">
        <v>574</v>
      </c>
      <c r="P4" s="224">
        <v>69114843.282755256</v>
      </c>
      <c r="Q4" s="224">
        <v>40428576.18180979</v>
      </c>
      <c r="R4" s="224">
        <v>22868011.248085368</v>
      </c>
      <c r="S4" s="224">
        <v>22101174.072249502</v>
      </c>
    </row>
    <row r="5" spans="1:19" x14ac:dyDescent="0.25">
      <c r="A5" s="226" t="s">
        <v>599</v>
      </c>
      <c r="B5">
        <v>109393</v>
      </c>
      <c r="C5">
        <v>63815</v>
      </c>
      <c r="D5">
        <v>45739</v>
      </c>
      <c r="E5">
        <v>46381</v>
      </c>
      <c r="F5">
        <v>155132</v>
      </c>
      <c r="G5">
        <v>110196</v>
      </c>
      <c r="I5" s="226" t="s">
        <v>599</v>
      </c>
      <c r="J5" s="224">
        <v>23196045.528999999</v>
      </c>
      <c r="K5" s="224">
        <v>13590242.085999999</v>
      </c>
      <c r="L5" s="224">
        <v>7659976.4989999998</v>
      </c>
      <c r="M5" s="224">
        <v>7378442.3490000004</v>
      </c>
      <c r="O5" s="226" t="s">
        <v>599</v>
      </c>
      <c r="P5" s="224">
        <v>22907039.828335743</v>
      </c>
      <c r="Q5" s="224">
        <v>13420917.645273631</v>
      </c>
      <c r="R5" s="224">
        <v>7564538.8144861665</v>
      </c>
      <c r="S5" s="224">
        <v>7286512.3733402435</v>
      </c>
    </row>
    <row r="6" spans="1:19" x14ac:dyDescent="0.25">
      <c r="A6" s="226" t="s">
        <v>600</v>
      </c>
      <c r="B6">
        <v>109031</v>
      </c>
      <c r="C6">
        <v>63526</v>
      </c>
      <c r="D6">
        <v>45910</v>
      </c>
      <c r="E6">
        <v>46666</v>
      </c>
      <c r="F6">
        <v>154941</v>
      </c>
      <c r="G6">
        <v>110192</v>
      </c>
      <c r="I6" s="226" t="s">
        <v>600</v>
      </c>
      <c r="J6" s="224">
        <v>23133193.734000001</v>
      </c>
      <c r="K6" s="224">
        <v>13546987.07</v>
      </c>
      <c r="L6" s="224">
        <v>7675227.1699999999</v>
      </c>
      <c r="M6" s="224">
        <v>7413824.5259999996</v>
      </c>
      <c r="O6" s="226" t="s">
        <v>600</v>
      </c>
      <c r="P6" s="224">
        <v>23067765.572419517</v>
      </c>
      <c r="Q6" s="224">
        <v>13508671.80453616</v>
      </c>
      <c r="R6" s="224">
        <v>7653519.1425991999</v>
      </c>
      <c r="S6" s="224">
        <v>7392855.8299092585</v>
      </c>
    </row>
    <row r="7" spans="1:19" x14ac:dyDescent="0.25">
      <c r="A7" s="226" t="s">
        <v>601</v>
      </c>
      <c r="B7">
        <v>108989</v>
      </c>
      <c r="C7">
        <v>63190</v>
      </c>
      <c r="D7">
        <v>45881</v>
      </c>
      <c r="E7">
        <v>46817</v>
      </c>
      <c r="F7">
        <v>154870</v>
      </c>
      <c r="G7">
        <v>110007</v>
      </c>
      <c r="I7" s="226" t="s">
        <v>601</v>
      </c>
      <c r="J7" s="224">
        <v>23140037.881999999</v>
      </c>
      <c r="K7" s="224">
        <v>13498986.732000001</v>
      </c>
      <c r="L7" s="224">
        <v>7649953.2910000002</v>
      </c>
      <c r="M7" s="224">
        <v>7421805.8689999999</v>
      </c>
      <c r="O7" s="226" t="s">
        <v>601</v>
      </c>
      <c r="P7" s="224">
        <v>23140037.881999999</v>
      </c>
      <c r="Q7" s="224">
        <v>13498986.732000001</v>
      </c>
      <c r="R7" s="224">
        <v>7649953.2910000002</v>
      </c>
      <c r="S7" s="224">
        <v>7421805.8689999999</v>
      </c>
    </row>
    <row r="11" spans="1:19" x14ac:dyDescent="0.25">
      <c r="A11" s="222" t="s">
        <v>11</v>
      </c>
      <c r="B11" t="s">
        <v>614</v>
      </c>
    </row>
    <row r="13" spans="1:19" x14ac:dyDescent="0.25">
      <c r="A13" s="222" t="s">
        <v>558</v>
      </c>
      <c r="B13" t="s">
        <v>675</v>
      </c>
      <c r="C13" t="s">
        <v>676</v>
      </c>
      <c r="D13" t="s">
        <v>677</v>
      </c>
      <c r="E13" t="s">
        <v>678</v>
      </c>
      <c r="F13" t="s">
        <v>679</v>
      </c>
      <c r="G13" t="s">
        <v>680</v>
      </c>
    </row>
    <row r="14" spans="1:19" x14ac:dyDescent="0.25">
      <c r="A14" s="223" t="s">
        <v>574</v>
      </c>
      <c r="B14" s="224">
        <v>2017877</v>
      </c>
      <c r="C14" s="224">
        <v>1478761</v>
      </c>
      <c r="D14" s="224">
        <v>540602</v>
      </c>
      <c r="E14" s="224">
        <v>538156</v>
      </c>
      <c r="F14" s="224">
        <v>2558479</v>
      </c>
      <c r="G14" s="224">
        <v>2016917</v>
      </c>
    </row>
    <row r="17" spans="1:7" x14ac:dyDescent="0.25">
      <c r="A17" s="222" t="s">
        <v>11</v>
      </c>
      <c r="B17" t="s">
        <v>614</v>
      </c>
    </row>
    <row r="19" spans="1:7" x14ac:dyDescent="0.25">
      <c r="A19" s="222" t="s">
        <v>558</v>
      </c>
      <c r="B19" t="s">
        <v>681</v>
      </c>
      <c r="C19" t="s">
        <v>682</v>
      </c>
      <c r="D19" t="s">
        <v>683</v>
      </c>
      <c r="E19" t="s">
        <v>684</v>
      </c>
      <c r="F19" t="s">
        <v>685</v>
      </c>
      <c r="G19" t="s">
        <v>686</v>
      </c>
    </row>
    <row r="20" spans="1:7" x14ac:dyDescent="0.25">
      <c r="A20" s="223" t="s">
        <v>574</v>
      </c>
      <c r="B20" s="224">
        <v>168156.41666666666</v>
      </c>
      <c r="C20" s="224">
        <v>123230.08333333333</v>
      </c>
      <c r="D20" s="224">
        <v>45050.166666666664</v>
      </c>
      <c r="E20" s="224">
        <v>44846.333333333336</v>
      </c>
      <c r="F20" s="224">
        <v>213206.58333333334</v>
      </c>
      <c r="G20" s="224">
        <v>168076.41666666666</v>
      </c>
    </row>
    <row r="23" spans="1:7" x14ac:dyDescent="0.25">
      <c r="A23" s="222" t="s">
        <v>11</v>
      </c>
      <c r="B23" t="s">
        <v>614</v>
      </c>
    </row>
    <row r="25" spans="1:7" x14ac:dyDescent="0.25">
      <c r="A25" s="222" t="s">
        <v>558</v>
      </c>
      <c r="B25" t="s">
        <v>687</v>
      </c>
      <c r="C25" t="s">
        <v>688</v>
      </c>
      <c r="D25" t="s">
        <v>689</v>
      </c>
      <c r="E25" t="s">
        <v>690</v>
      </c>
      <c r="F25" t="s">
        <v>691</v>
      </c>
      <c r="G25" t="s">
        <v>692</v>
      </c>
    </row>
    <row r="26" spans="1:7" x14ac:dyDescent="0.25">
      <c r="A26" s="223" t="s">
        <v>574</v>
      </c>
      <c r="B26" s="224">
        <v>362446009.15000004</v>
      </c>
      <c r="C26" s="224">
        <v>250516499.96700001</v>
      </c>
      <c r="D26" s="224">
        <v>89129736.667999998</v>
      </c>
      <c r="E26" s="224">
        <v>84667893.447999999</v>
      </c>
      <c r="F26" s="224">
        <v>451575745.81799996</v>
      </c>
      <c r="G26" s="224">
        <v>335184393.41500002</v>
      </c>
    </row>
    <row r="29" spans="1:7" x14ac:dyDescent="0.25">
      <c r="A29" s="222" t="s">
        <v>11</v>
      </c>
      <c r="B29" t="s">
        <v>614</v>
      </c>
    </row>
    <row r="31" spans="1:7" x14ac:dyDescent="0.25">
      <c r="A31" s="222" t="s">
        <v>558</v>
      </c>
      <c r="B31" t="s">
        <v>693</v>
      </c>
      <c r="C31" t="s">
        <v>694</v>
      </c>
      <c r="D31" t="s">
        <v>695</v>
      </c>
      <c r="E31" t="s">
        <v>696</v>
      </c>
      <c r="F31" t="s">
        <v>697</v>
      </c>
      <c r="G31" t="s">
        <v>698</v>
      </c>
    </row>
    <row r="32" spans="1:7" x14ac:dyDescent="0.25">
      <c r="A32" s="223" t="s">
        <v>574</v>
      </c>
      <c r="B32" s="224">
        <v>30203834.095833335</v>
      </c>
      <c r="C32" s="224">
        <v>20876374.997250002</v>
      </c>
      <c r="D32" s="224">
        <v>7427478.0556666665</v>
      </c>
      <c r="E32" s="224">
        <v>7055657.7873333329</v>
      </c>
      <c r="F32" s="224">
        <v>37631312.151499994</v>
      </c>
      <c r="G32" s="224">
        <v>27932032.784583334</v>
      </c>
    </row>
    <row r="35" spans="1:5" x14ac:dyDescent="0.25">
      <c r="A35" s="222" t="s">
        <v>11</v>
      </c>
      <c r="B35" t="s">
        <v>614</v>
      </c>
    </row>
    <row r="37" spans="1:5" x14ac:dyDescent="0.25">
      <c r="A37" s="222" t="s">
        <v>558</v>
      </c>
      <c r="B37" t="s">
        <v>699</v>
      </c>
      <c r="C37" t="s">
        <v>700</v>
      </c>
      <c r="D37" t="s">
        <v>701</v>
      </c>
      <c r="E37" t="s">
        <v>702</v>
      </c>
    </row>
    <row r="38" spans="1:5" x14ac:dyDescent="0.25">
      <c r="A38" s="223" t="s">
        <v>574</v>
      </c>
      <c r="B38" s="224">
        <v>340851773.50069964</v>
      </c>
      <c r="C38" s="224">
        <v>234463200.48189491</v>
      </c>
      <c r="D38" s="224">
        <v>85046489.557917848</v>
      </c>
      <c r="E38" s="224">
        <v>80830615.958772197</v>
      </c>
    </row>
    <row r="42" spans="1:5" x14ac:dyDescent="0.25">
      <c r="A42" s="222" t="s">
        <v>11</v>
      </c>
      <c r="B42" t="s">
        <v>614</v>
      </c>
    </row>
    <row r="44" spans="1:5" x14ac:dyDescent="0.25">
      <c r="A44" s="222" t="s">
        <v>558</v>
      </c>
      <c r="B44" t="s">
        <v>703</v>
      </c>
      <c r="C44" t="s">
        <v>704</v>
      </c>
      <c r="D44" t="s">
        <v>705</v>
      </c>
      <c r="E44" t="s">
        <v>706</v>
      </c>
    </row>
    <row r="45" spans="1:5" x14ac:dyDescent="0.25">
      <c r="A45" s="223" t="s">
        <v>574</v>
      </c>
      <c r="B45" s="224">
        <v>28404314.458391637</v>
      </c>
      <c r="C45" s="224">
        <v>19538600.04015791</v>
      </c>
      <c r="D45" s="224">
        <v>7087207.463159821</v>
      </c>
      <c r="E45" s="224">
        <v>6735884.6632310161</v>
      </c>
    </row>
    <row r="51" spans="1:5" x14ac:dyDescent="0.25">
      <c r="A51" s="222" t="s">
        <v>558</v>
      </c>
      <c r="B51" t="s">
        <v>681</v>
      </c>
      <c r="C51" t="s">
        <v>682</v>
      </c>
      <c r="D51" t="s">
        <v>683</v>
      </c>
      <c r="E51" t="s">
        <v>684</v>
      </c>
    </row>
    <row r="52" spans="1:5" x14ac:dyDescent="0.25">
      <c r="A52" s="223" t="s">
        <v>560</v>
      </c>
      <c r="B52" s="224">
        <v>2920.6666666666665</v>
      </c>
      <c r="C52" s="224">
        <v>1116</v>
      </c>
      <c r="D52" s="224">
        <v>286.33333333333331</v>
      </c>
      <c r="E52" s="224">
        <v>290.33333333333331</v>
      </c>
    </row>
    <row r="53" spans="1:5" x14ac:dyDescent="0.25">
      <c r="A53" s="223" t="s">
        <v>561</v>
      </c>
      <c r="B53" s="224">
        <v>35080.083333333336</v>
      </c>
      <c r="C53" s="224">
        <v>24939.75</v>
      </c>
      <c r="D53" s="224">
        <v>2213.8333333333335</v>
      </c>
      <c r="E53" s="224">
        <v>1769.75</v>
      </c>
    </row>
    <row r="54" spans="1:5" x14ac:dyDescent="0.25">
      <c r="A54" s="223" t="s">
        <v>562</v>
      </c>
      <c r="B54" s="224">
        <v>184671.58333333334</v>
      </c>
      <c r="C54" s="224">
        <v>128661.83333333333</v>
      </c>
      <c r="D54" s="224">
        <v>8050.916666666667</v>
      </c>
      <c r="E54" s="224">
        <v>5922.916666666667</v>
      </c>
    </row>
    <row r="55" spans="1:5" x14ac:dyDescent="0.25">
      <c r="A55" s="223" t="s">
        <v>563</v>
      </c>
      <c r="B55" s="224">
        <v>232153.66666666666</v>
      </c>
      <c r="C55" s="224">
        <v>168868.75</v>
      </c>
      <c r="D55" s="224">
        <v>12883.083333333334</v>
      </c>
      <c r="E55" s="224">
        <v>9283.4166666666661</v>
      </c>
    </row>
    <row r="56" spans="1:5" x14ac:dyDescent="0.25">
      <c r="A56" s="223" t="s">
        <v>564</v>
      </c>
      <c r="B56" s="224">
        <v>279628</v>
      </c>
      <c r="C56" s="224">
        <v>203893.75</v>
      </c>
      <c r="D56" s="224">
        <v>19231.416666666668</v>
      </c>
      <c r="E56" s="224">
        <v>14584.75</v>
      </c>
    </row>
    <row r="57" spans="1:5" x14ac:dyDescent="0.25">
      <c r="A57" s="223" t="s">
        <v>565</v>
      </c>
      <c r="B57" s="224">
        <v>327092.08333333331</v>
      </c>
      <c r="C57" s="224">
        <v>237763.33333333334</v>
      </c>
      <c r="D57" s="224">
        <v>26607.083333333332</v>
      </c>
      <c r="E57" s="224">
        <v>21058.833333333332</v>
      </c>
    </row>
    <row r="58" spans="1:5" x14ac:dyDescent="0.25">
      <c r="A58" s="223" t="s">
        <v>566</v>
      </c>
      <c r="B58" s="224">
        <v>354831.83333333331</v>
      </c>
      <c r="C58" s="224">
        <v>258135.41666666666</v>
      </c>
      <c r="D58" s="224">
        <v>33075.25</v>
      </c>
      <c r="E58" s="224">
        <v>26998.166666666668</v>
      </c>
    </row>
    <row r="59" spans="1:5" x14ac:dyDescent="0.25">
      <c r="A59" s="223" t="s">
        <v>567</v>
      </c>
      <c r="B59" s="224">
        <v>385388.58333333331</v>
      </c>
      <c r="C59" s="224">
        <v>279293.16666666669</v>
      </c>
      <c r="D59" s="224">
        <v>35497.583333333336</v>
      </c>
      <c r="E59" s="224">
        <v>29292.083333333332</v>
      </c>
    </row>
    <row r="60" spans="1:5" x14ac:dyDescent="0.25">
      <c r="A60" s="223" t="s">
        <v>568</v>
      </c>
      <c r="B60" s="224">
        <v>409696.25</v>
      </c>
      <c r="C60" s="224">
        <v>297461.08333333331</v>
      </c>
      <c r="D60" s="224">
        <v>35477.75</v>
      </c>
      <c r="E60" s="224">
        <v>29444.666666666668</v>
      </c>
    </row>
    <row r="61" spans="1:5" x14ac:dyDescent="0.25">
      <c r="A61" s="223" t="s">
        <v>569</v>
      </c>
      <c r="B61" s="224">
        <v>434014.41666666669</v>
      </c>
      <c r="C61" s="224">
        <v>315115.08333333331</v>
      </c>
      <c r="D61" s="224">
        <v>35236.416666666664</v>
      </c>
      <c r="E61" s="224">
        <v>29440.416666666668</v>
      </c>
    </row>
    <row r="62" spans="1:5" x14ac:dyDescent="0.25">
      <c r="A62" s="223" t="s">
        <v>570</v>
      </c>
      <c r="B62" s="224">
        <v>472783.58333333331</v>
      </c>
      <c r="C62" s="224">
        <v>343894.41666666669</v>
      </c>
      <c r="D62" s="224">
        <v>35802.166666666664</v>
      </c>
      <c r="E62" s="224">
        <v>30349.5</v>
      </c>
    </row>
    <row r="63" spans="1:5" x14ac:dyDescent="0.25">
      <c r="A63" s="223" t="s">
        <v>571</v>
      </c>
      <c r="B63" s="224">
        <v>513930.5</v>
      </c>
      <c r="C63" s="224">
        <v>376625</v>
      </c>
      <c r="D63" s="224">
        <v>36751.75</v>
      </c>
      <c r="E63" s="224">
        <v>31642.25</v>
      </c>
    </row>
    <row r="64" spans="1:5" x14ac:dyDescent="0.25">
      <c r="A64" s="223" t="s">
        <v>572</v>
      </c>
      <c r="B64" s="224">
        <v>569814.16666666663</v>
      </c>
      <c r="C64" s="224">
        <v>419795.08333333331</v>
      </c>
      <c r="D64" s="224">
        <v>38063.25</v>
      </c>
      <c r="E64" s="224">
        <v>33240.166666666664</v>
      </c>
    </row>
    <row r="65" spans="1:5" s="243" customFormat="1" x14ac:dyDescent="0.25">
      <c r="A65" s="241" t="s">
        <v>573</v>
      </c>
      <c r="B65" s="242">
        <v>627987.08333333337</v>
      </c>
      <c r="C65" s="242">
        <v>462603.16666666669</v>
      </c>
      <c r="D65" s="242">
        <v>41110.25</v>
      </c>
      <c r="E65" s="242">
        <v>37794.333333333336</v>
      </c>
    </row>
    <row r="66" spans="1:5" x14ac:dyDescent="0.25">
      <c r="A66" s="226" t="s">
        <v>590</v>
      </c>
      <c r="B66" s="224">
        <v>600842</v>
      </c>
      <c r="C66" s="224">
        <v>443662</v>
      </c>
      <c r="D66" s="224">
        <v>38683</v>
      </c>
      <c r="E66" s="224">
        <v>34228</v>
      </c>
    </row>
    <row r="67" spans="1:5" x14ac:dyDescent="0.25">
      <c r="A67" s="226" t="s">
        <v>591</v>
      </c>
      <c r="B67" s="224">
        <v>605436</v>
      </c>
      <c r="C67" s="224">
        <v>447257</v>
      </c>
      <c r="D67" s="224">
        <v>38750</v>
      </c>
      <c r="E67" s="224">
        <v>34279</v>
      </c>
    </row>
    <row r="68" spans="1:5" x14ac:dyDescent="0.25">
      <c r="A68" s="226" t="s">
        <v>592</v>
      </c>
      <c r="B68" s="224">
        <v>610095</v>
      </c>
      <c r="C68" s="224">
        <v>450099</v>
      </c>
      <c r="D68" s="224">
        <v>38777</v>
      </c>
      <c r="E68" s="224">
        <v>34317</v>
      </c>
    </row>
    <row r="69" spans="1:5" x14ac:dyDescent="0.25">
      <c r="A69" s="226" t="s">
        <v>593</v>
      </c>
      <c r="B69" s="224">
        <v>615165</v>
      </c>
      <c r="C69" s="224">
        <v>453554</v>
      </c>
      <c r="D69" s="224">
        <v>39434</v>
      </c>
      <c r="E69" s="224">
        <v>35231</v>
      </c>
    </row>
    <row r="70" spans="1:5" x14ac:dyDescent="0.25">
      <c r="A70" s="226" t="s">
        <v>594</v>
      </c>
      <c r="B70" s="224">
        <v>619925</v>
      </c>
      <c r="C70" s="224">
        <v>456843</v>
      </c>
      <c r="D70" s="224">
        <v>40665</v>
      </c>
      <c r="E70" s="224">
        <v>36858</v>
      </c>
    </row>
    <row r="71" spans="1:5" x14ac:dyDescent="0.25">
      <c r="A71" s="226" t="s">
        <v>595</v>
      </c>
      <c r="B71" s="224">
        <v>624280</v>
      </c>
      <c r="C71" s="224">
        <v>459648</v>
      </c>
      <c r="D71" s="224">
        <v>41406</v>
      </c>
      <c r="E71" s="224">
        <v>37901</v>
      </c>
    </row>
    <row r="72" spans="1:5" x14ac:dyDescent="0.25">
      <c r="A72" s="226" t="s">
        <v>596</v>
      </c>
      <c r="B72" s="224">
        <v>628233</v>
      </c>
      <c r="C72" s="224">
        <v>462542</v>
      </c>
      <c r="D72" s="224">
        <v>41969</v>
      </c>
      <c r="E72" s="224">
        <v>38877</v>
      </c>
    </row>
    <row r="73" spans="1:5" x14ac:dyDescent="0.25">
      <c r="A73" s="226" t="s">
        <v>597</v>
      </c>
      <c r="B73" s="224">
        <v>632311</v>
      </c>
      <c r="C73" s="224">
        <v>464709</v>
      </c>
      <c r="D73" s="224">
        <v>42296</v>
      </c>
      <c r="E73" s="224">
        <v>39447</v>
      </c>
    </row>
    <row r="74" spans="1:5" x14ac:dyDescent="0.25">
      <c r="A74" s="226" t="s">
        <v>598</v>
      </c>
      <c r="B74" s="224">
        <v>638396</v>
      </c>
      <c r="C74" s="224">
        <v>469874</v>
      </c>
      <c r="D74" s="224">
        <v>42481</v>
      </c>
      <c r="E74" s="224">
        <v>39831</v>
      </c>
    </row>
    <row r="75" spans="1:5" x14ac:dyDescent="0.25">
      <c r="A75" s="226" t="s">
        <v>599</v>
      </c>
      <c r="B75" s="224">
        <v>645913</v>
      </c>
      <c r="C75" s="224">
        <v>475311</v>
      </c>
      <c r="D75" s="224">
        <v>42530</v>
      </c>
      <c r="E75" s="224">
        <v>40062</v>
      </c>
    </row>
    <row r="76" spans="1:5" x14ac:dyDescent="0.25">
      <c r="A76" s="226" t="s">
        <v>600</v>
      </c>
      <c r="B76" s="224">
        <v>654021</v>
      </c>
      <c r="C76" s="224">
        <v>481364</v>
      </c>
      <c r="D76" s="224">
        <v>43059</v>
      </c>
      <c r="E76" s="224">
        <v>41024</v>
      </c>
    </row>
    <row r="77" spans="1:5" x14ac:dyDescent="0.25">
      <c r="A77" s="226" t="s">
        <v>601</v>
      </c>
      <c r="B77" s="224">
        <v>661228</v>
      </c>
      <c r="C77" s="224">
        <v>486375</v>
      </c>
      <c r="D77" s="224">
        <v>43273</v>
      </c>
      <c r="E77" s="224">
        <v>41477</v>
      </c>
    </row>
    <row r="78" spans="1:5" s="243" customFormat="1" x14ac:dyDescent="0.25">
      <c r="A78" s="241" t="s">
        <v>574</v>
      </c>
      <c r="B78" s="242">
        <v>168156.41666666666</v>
      </c>
      <c r="C78" s="242">
        <v>123230.08333333333</v>
      </c>
      <c r="D78" s="242">
        <v>45050.166666666664</v>
      </c>
      <c r="E78" s="242">
        <v>44846.333333333336</v>
      </c>
    </row>
    <row r="79" spans="1:5" x14ac:dyDescent="0.25">
      <c r="A79" s="226" t="s">
        <v>590</v>
      </c>
      <c r="B79" s="224">
        <v>669074</v>
      </c>
      <c r="C79" s="224">
        <v>492231</v>
      </c>
      <c r="D79" s="224">
        <v>43561</v>
      </c>
      <c r="E79" s="224">
        <v>41983</v>
      </c>
    </row>
    <row r="80" spans="1:5" x14ac:dyDescent="0.25">
      <c r="A80" s="226" t="s">
        <v>591</v>
      </c>
      <c r="B80" s="224">
        <v>157011</v>
      </c>
      <c r="C80" s="224">
        <v>156303</v>
      </c>
      <c r="D80" s="224">
        <v>43796</v>
      </c>
      <c r="E80" s="224">
        <v>42423</v>
      </c>
    </row>
    <row r="81" spans="1:5" x14ac:dyDescent="0.25">
      <c r="A81" s="226" t="s">
        <v>592</v>
      </c>
      <c r="B81" s="224">
        <v>158373</v>
      </c>
      <c r="C81" s="224">
        <v>158291</v>
      </c>
      <c r="D81" s="224">
        <v>44375</v>
      </c>
      <c r="E81" s="224">
        <v>43297</v>
      </c>
    </row>
    <row r="82" spans="1:5" x14ac:dyDescent="0.25">
      <c r="A82" s="226" t="s">
        <v>593</v>
      </c>
      <c r="B82" s="224">
        <v>154818</v>
      </c>
      <c r="C82" s="224">
        <v>157061</v>
      </c>
      <c r="D82" s="224">
        <v>44630</v>
      </c>
      <c r="E82" s="224">
        <v>43805</v>
      </c>
    </row>
    <row r="83" spans="1:5" x14ac:dyDescent="0.25">
      <c r="A83" s="226" t="s">
        <v>594</v>
      </c>
      <c r="B83" s="224">
        <v>111871</v>
      </c>
      <c r="C83" s="224">
        <v>65720</v>
      </c>
      <c r="D83" s="224">
        <v>44880</v>
      </c>
      <c r="E83" s="224">
        <v>44391</v>
      </c>
    </row>
    <row r="84" spans="1:5" x14ac:dyDescent="0.25">
      <c r="A84" s="226" t="s">
        <v>595</v>
      </c>
      <c r="B84" s="224">
        <v>109948</v>
      </c>
      <c r="C84" s="224">
        <v>64976</v>
      </c>
      <c r="D84" s="224">
        <v>45192</v>
      </c>
      <c r="E84" s="224">
        <v>45010</v>
      </c>
    </row>
    <row r="85" spans="1:5" x14ac:dyDescent="0.25">
      <c r="A85" s="226" t="s">
        <v>596</v>
      </c>
      <c r="B85" s="224">
        <v>109799</v>
      </c>
      <c r="C85" s="224">
        <v>64729</v>
      </c>
      <c r="D85" s="224">
        <v>45366</v>
      </c>
      <c r="E85" s="224">
        <v>45364</v>
      </c>
    </row>
    <row r="86" spans="1:5" x14ac:dyDescent="0.25">
      <c r="A86" s="226" t="s">
        <v>597</v>
      </c>
      <c r="B86" s="224">
        <v>109904</v>
      </c>
      <c r="C86" s="224">
        <v>64644</v>
      </c>
      <c r="D86" s="224">
        <v>45575</v>
      </c>
      <c r="E86" s="224">
        <v>45817</v>
      </c>
    </row>
    <row r="87" spans="1:5" x14ac:dyDescent="0.25">
      <c r="A87" s="226" t="s">
        <v>598</v>
      </c>
      <c r="B87" s="224">
        <v>109666</v>
      </c>
      <c r="C87" s="224">
        <v>64275</v>
      </c>
      <c r="D87" s="224">
        <v>45697</v>
      </c>
      <c r="E87" s="224">
        <v>46202</v>
      </c>
    </row>
    <row r="88" spans="1:5" x14ac:dyDescent="0.25">
      <c r="A88" s="226" t="s">
        <v>599</v>
      </c>
      <c r="B88" s="224">
        <v>109393</v>
      </c>
      <c r="C88" s="224">
        <v>63815</v>
      </c>
      <c r="D88" s="224">
        <v>45739</v>
      </c>
      <c r="E88" s="224">
        <v>46381</v>
      </c>
    </row>
    <row r="89" spans="1:5" x14ac:dyDescent="0.25">
      <c r="A89" s="226" t="s">
        <v>600</v>
      </c>
      <c r="B89" s="224">
        <v>109031</v>
      </c>
      <c r="C89" s="224">
        <v>63526</v>
      </c>
      <c r="D89" s="224">
        <v>45910</v>
      </c>
      <c r="E89" s="224">
        <v>46666</v>
      </c>
    </row>
    <row r="90" spans="1:5" x14ac:dyDescent="0.25">
      <c r="A90" s="226" t="s">
        <v>601</v>
      </c>
      <c r="B90" s="224">
        <v>108989</v>
      </c>
      <c r="C90" s="224">
        <v>63190</v>
      </c>
      <c r="D90" s="224">
        <v>45881</v>
      </c>
      <c r="E90" s="224">
        <v>46817</v>
      </c>
    </row>
    <row r="94" spans="1:5" x14ac:dyDescent="0.25">
      <c r="A94" s="222" t="s">
        <v>558</v>
      </c>
      <c r="B94" t="s">
        <v>703</v>
      </c>
      <c r="C94" t="s">
        <v>704</v>
      </c>
      <c r="D94" t="s">
        <v>705</v>
      </c>
      <c r="E94" t="s">
        <v>706</v>
      </c>
    </row>
    <row r="95" spans="1:5" x14ac:dyDescent="0.25">
      <c r="A95" s="223" t="s">
        <v>560</v>
      </c>
      <c r="B95" s="224">
        <v>156325.61370400709</v>
      </c>
      <c r="C95" s="224">
        <v>77435.603686702554</v>
      </c>
      <c r="D95" s="224">
        <v>15483.202248388579</v>
      </c>
      <c r="E95" s="224">
        <v>15243.679179104918</v>
      </c>
    </row>
    <row r="96" spans="1:5" x14ac:dyDescent="0.25">
      <c r="A96" s="223" t="s">
        <v>561</v>
      </c>
      <c r="B96" s="224">
        <v>772303.7687463793</v>
      </c>
      <c r="C96" s="224">
        <v>553043.39554315945</v>
      </c>
      <c r="D96" s="224">
        <v>120809.2661856684</v>
      </c>
      <c r="E96" s="224">
        <v>93245.041899224161</v>
      </c>
    </row>
    <row r="97" spans="1:5" x14ac:dyDescent="0.25">
      <c r="A97" s="223" t="s">
        <v>562</v>
      </c>
      <c r="B97" s="224">
        <v>3418827.2571331747</v>
      </c>
      <c r="C97" s="224">
        <v>2476323.6803078842</v>
      </c>
      <c r="D97" s="224">
        <v>396627.09478933923</v>
      </c>
      <c r="E97" s="224">
        <v>287837.12706121668</v>
      </c>
    </row>
    <row r="98" spans="1:5" x14ac:dyDescent="0.25">
      <c r="A98" s="223" t="s">
        <v>563</v>
      </c>
      <c r="B98" s="224">
        <v>6247614.1601618873</v>
      </c>
      <c r="C98" s="224">
        <v>4603741.038574772</v>
      </c>
      <c r="D98" s="224">
        <v>662081.86303150852</v>
      </c>
      <c r="E98" s="224">
        <v>475799.91798954178</v>
      </c>
    </row>
    <row r="99" spans="1:5" x14ac:dyDescent="0.25">
      <c r="A99" s="223" t="s">
        <v>564</v>
      </c>
      <c r="B99" s="224">
        <v>8655068.6755060498</v>
      </c>
      <c r="C99" s="224">
        <v>6361345.5984722832</v>
      </c>
      <c r="D99" s="224">
        <v>999427.57781844714</v>
      </c>
      <c r="E99" s="224">
        <v>752510.08723908092</v>
      </c>
    </row>
    <row r="100" spans="1:5" x14ac:dyDescent="0.25">
      <c r="A100" s="223" t="s">
        <v>565</v>
      </c>
      <c r="B100" s="224">
        <v>10274152.252564007</v>
      </c>
      <c r="C100" s="224">
        <v>7549289.2571261423</v>
      </c>
      <c r="D100" s="224">
        <v>1394976.8004118858</v>
      </c>
      <c r="E100" s="224">
        <v>1080341.7336039112</v>
      </c>
    </row>
    <row r="101" spans="1:5" x14ac:dyDescent="0.25">
      <c r="A101" s="223" t="s">
        <v>566</v>
      </c>
      <c r="B101" s="224">
        <v>12384536.661468254</v>
      </c>
      <c r="C101" s="224">
        <v>9088379.0428815652</v>
      </c>
      <c r="D101" s="224">
        <v>1873609.1069966659</v>
      </c>
      <c r="E101" s="224">
        <v>1487596.9449784867</v>
      </c>
    </row>
    <row r="102" spans="1:5" x14ac:dyDescent="0.25">
      <c r="A102" s="223" t="s">
        <v>567</v>
      </c>
      <c r="B102" s="224">
        <v>15028398.368320284</v>
      </c>
      <c r="C102" s="224">
        <v>10934864.934245305</v>
      </c>
      <c r="D102" s="224">
        <v>2145117.4776902464</v>
      </c>
      <c r="E102" s="224">
        <v>1726456.0997398666</v>
      </c>
    </row>
    <row r="103" spans="1:5" x14ac:dyDescent="0.25">
      <c r="A103" s="223" t="s">
        <v>568</v>
      </c>
      <c r="B103" s="224">
        <v>17693062.052085578</v>
      </c>
      <c r="C103" s="224">
        <v>12778832.993547233</v>
      </c>
      <c r="D103" s="224">
        <v>2309466.3017106852</v>
      </c>
      <c r="E103" s="224">
        <v>1870817.0617767142</v>
      </c>
    </row>
    <row r="104" spans="1:5" x14ac:dyDescent="0.25">
      <c r="A104" s="223" t="s">
        <v>569</v>
      </c>
      <c r="B104" s="224">
        <v>22026093.42393636</v>
      </c>
      <c r="C104" s="224">
        <v>15785831.809762007</v>
      </c>
      <c r="D104" s="224">
        <v>2656108.6514058975</v>
      </c>
      <c r="E104" s="224">
        <v>2170783.9154642965</v>
      </c>
    </row>
    <row r="105" spans="1:5" x14ac:dyDescent="0.25">
      <c r="A105" s="223" t="s">
        <v>570</v>
      </c>
      <c r="B105" s="224">
        <v>25758208.861809745</v>
      </c>
      <c r="C105" s="224">
        <v>18313834.917808082</v>
      </c>
      <c r="D105" s="224">
        <v>2811976.0036181766</v>
      </c>
      <c r="E105" s="224">
        <v>2328781.0642876038</v>
      </c>
    </row>
    <row r="106" spans="1:5" x14ac:dyDescent="0.25">
      <c r="A106" s="223" t="s">
        <v>571</v>
      </c>
      <c r="B106" s="224">
        <v>31325043.761277139</v>
      </c>
      <c r="C106" s="224">
        <v>22124351.396135092</v>
      </c>
      <c r="D106" s="224">
        <v>3077999.2799660643</v>
      </c>
      <c r="E106" s="224">
        <v>2588562.3438297664</v>
      </c>
    </row>
    <row r="107" spans="1:5" x14ac:dyDescent="0.25">
      <c r="A107" s="223" t="s">
        <v>572</v>
      </c>
      <c r="B107" s="224">
        <v>52124871.761183031</v>
      </c>
      <c r="C107" s="224">
        <v>36060454.038666867</v>
      </c>
      <c r="D107" s="224">
        <v>4073396.1219694219</v>
      </c>
      <c r="E107" s="224">
        <v>3463066.8552737548</v>
      </c>
    </row>
    <row r="108" spans="1:5" x14ac:dyDescent="0.25">
      <c r="A108" s="241" t="s">
        <v>573</v>
      </c>
      <c r="B108" s="242">
        <v>70325409.227225527</v>
      </c>
      <c r="C108" s="242">
        <v>48621672.881336205</v>
      </c>
      <c r="D108" s="242">
        <v>5150957.0731636398</v>
      </c>
      <c r="E108" s="242">
        <v>4569506.209414009</v>
      </c>
    </row>
    <row r="109" spans="1:5" x14ac:dyDescent="0.25">
      <c r="A109" s="226" t="s">
        <v>590</v>
      </c>
      <c r="B109" s="224">
        <v>63696362.958414577</v>
      </c>
      <c r="C109" s="224">
        <v>44309021.858175702</v>
      </c>
      <c r="D109" s="224">
        <v>4762977.5698647648</v>
      </c>
      <c r="E109" s="224">
        <v>4091361.7391424058</v>
      </c>
    </row>
    <row r="110" spans="1:5" x14ac:dyDescent="0.25">
      <c r="A110" s="226" t="s">
        <v>591</v>
      </c>
      <c r="B110" s="224">
        <v>63994907.637665316</v>
      </c>
      <c r="C110" s="224">
        <v>44520514.941822201</v>
      </c>
      <c r="D110" s="224">
        <v>4770319.8015366821</v>
      </c>
      <c r="E110" s="224">
        <v>4099156.4931002227</v>
      </c>
    </row>
    <row r="111" spans="1:5" x14ac:dyDescent="0.25">
      <c r="A111" s="226" t="s">
        <v>592</v>
      </c>
      <c r="B111" s="224">
        <v>64860053.544890635</v>
      </c>
      <c r="C111" s="224">
        <v>44970556.341564067</v>
      </c>
      <c r="D111" s="224">
        <v>4790436.5807098188</v>
      </c>
      <c r="E111" s="224">
        <v>4120914.664349474</v>
      </c>
    </row>
    <row r="112" spans="1:5" x14ac:dyDescent="0.25">
      <c r="A112" s="226" t="s">
        <v>593</v>
      </c>
      <c r="B112" s="224">
        <v>65728334.705676571</v>
      </c>
      <c r="C112" s="224">
        <v>45436158.618098512</v>
      </c>
      <c r="D112" s="224">
        <v>4853879.4257550761</v>
      </c>
      <c r="E112" s="224">
        <v>4205557.1092847055</v>
      </c>
    </row>
    <row r="113" spans="1:5" x14ac:dyDescent="0.25">
      <c r="A113" s="226" t="s">
        <v>594</v>
      </c>
      <c r="B113" s="224">
        <v>66487237.463731125</v>
      </c>
      <c r="C113" s="224">
        <v>45869113.586396888</v>
      </c>
      <c r="D113" s="224">
        <v>4942107.9733611783</v>
      </c>
      <c r="E113" s="224">
        <v>4317325.5893974723</v>
      </c>
    </row>
    <row r="114" spans="1:5" x14ac:dyDescent="0.25">
      <c r="A114" s="226" t="s">
        <v>595</v>
      </c>
      <c r="B114" s="224">
        <v>67158507.375148997</v>
      </c>
      <c r="C114" s="224">
        <v>46243176.301030934</v>
      </c>
      <c r="D114" s="224">
        <v>4996697.9239287786</v>
      </c>
      <c r="E114" s="224">
        <v>4398896.771803827</v>
      </c>
    </row>
    <row r="115" spans="1:5" x14ac:dyDescent="0.25">
      <c r="A115" s="226" t="s">
        <v>596</v>
      </c>
      <c r="B115" s="224">
        <v>71495305.011722028</v>
      </c>
      <c r="C115" s="224">
        <v>49293780.097641803</v>
      </c>
      <c r="D115" s="224">
        <v>5285358.0406123968</v>
      </c>
      <c r="E115" s="224">
        <v>4703728.2221015217</v>
      </c>
    </row>
    <row r="116" spans="1:5" x14ac:dyDescent="0.25">
      <c r="A116" s="226" t="s">
        <v>597</v>
      </c>
      <c r="B116" s="224">
        <v>72562820.255994841</v>
      </c>
      <c r="C116" s="224">
        <v>50049476.158138156</v>
      </c>
      <c r="D116" s="224">
        <v>5343223.9759224355</v>
      </c>
      <c r="E116" s="224">
        <v>4791257.5344296834</v>
      </c>
    </row>
    <row r="117" spans="1:5" x14ac:dyDescent="0.25">
      <c r="A117" s="226" t="s">
        <v>598</v>
      </c>
      <c r="B117" s="224">
        <v>74341706.803722784</v>
      </c>
      <c r="C117" s="224">
        <v>51336522.716239899</v>
      </c>
      <c r="D117" s="224">
        <v>5419614.7033567168</v>
      </c>
      <c r="E117" s="224">
        <v>4887790.7821044028</v>
      </c>
    </row>
    <row r="118" spans="1:5" x14ac:dyDescent="0.25">
      <c r="A118" s="226" t="s">
        <v>599</v>
      </c>
      <c r="B118" s="224">
        <v>76383252.740311757</v>
      </c>
      <c r="C118" s="224">
        <v>52777445.495826118</v>
      </c>
      <c r="D118" s="224">
        <v>5494279.9203069536</v>
      </c>
      <c r="E118" s="224">
        <v>4985450.6875939816</v>
      </c>
    </row>
    <row r="119" spans="1:5" x14ac:dyDescent="0.25">
      <c r="A119" s="226" t="s">
        <v>600</v>
      </c>
      <c r="B119" s="224">
        <v>77822215.433380589</v>
      </c>
      <c r="C119" s="224">
        <v>53790438.48087886</v>
      </c>
      <c r="D119" s="224">
        <v>5553125.5563144684</v>
      </c>
      <c r="E119" s="224">
        <v>5084684.765986192</v>
      </c>
    </row>
    <row r="120" spans="1:5" x14ac:dyDescent="0.25">
      <c r="A120" s="226" t="s">
        <v>601</v>
      </c>
      <c r="B120" s="224">
        <v>79374206.796047181</v>
      </c>
      <c r="C120" s="224">
        <v>54863869.980221249</v>
      </c>
      <c r="D120" s="224">
        <v>5599463.4062944036</v>
      </c>
      <c r="E120" s="224">
        <v>5147950.1536742188</v>
      </c>
    </row>
    <row r="121" spans="1:5" x14ac:dyDescent="0.25">
      <c r="A121" s="241" t="s">
        <v>574</v>
      </c>
      <c r="B121" s="242">
        <v>28404314.458391637</v>
      </c>
      <c r="C121" s="242">
        <v>19538600.04015791</v>
      </c>
      <c r="D121" s="242">
        <v>7087207.4631598182</v>
      </c>
      <c r="E121" s="242">
        <v>6735884.6632310161</v>
      </c>
    </row>
    <row r="122" spans="1:5" x14ac:dyDescent="0.25">
      <c r="A122" s="226" t="s">
        <v>590</v>
      </c>
      <c r="B122" s="224">
        <v>85329225.032237858</v>
      </c>
      <c r="C122" s="224">
        <v>59281217.267202884</v>
      </c>
      <c r="D122" s="224">
        <v>6132700.1791782491</v>
      </c>
      <c r="E122" s="224">
        <v>5679553.632685883</v>
      </c>
    </row>
    <row r="123" spans="1:5" x14ac:dyDescent="0.25">
      <c r="A123" s="226" t="s">
        <v>591</v>
      </c>
      <c r="B123" s="224">
        <v>25600211.370473564</v>
      </c>
      <c r="C123" s="224">
        <v>23066984.063865762</v>
      </c>
      <c r="D123" s="224">
        <v>6498751.6686510267</v>
      </c>
      <c r="E123" s="224">
        <v>6057090.6828516349</v>
      </c>
    </row>
    <row r="124" spans="1:5" x14ac:dyDescent="0.25">
      <c r="A124" s="226" t="s">
        <v>592</v>
      </c>
      <c r="B124" s="224">
        <v>26343023.491362132</v>
      </c>
      <c r="C124" s="224">
        <v>23864446.290870335</v>
      </c>
      <c r="D124" s="224">
        <v>6658569.4005818935</v>
      </c>
      <c r="E124" s="224">
        <v>6232259.3259341298</v>
      </c>
    </row>
    <row r="125" spans="1:5" x14ac:dyDescent="0.25">
      <c r="A125" s="226" t="s">
        <v>593</v>
      </c>
      <c r="B125" s="224">
        <v>26307696.940407004</v>
      </c>
      <c r="C125" s="224">
        <v>24186619.725794081</v>
      </c>
      <c r="D125" s="224">
        <v>6756216.970998928</v>
      </c>
      <c r="E125" s="224">
        <v>6351773.5113056358</v>
      </c>
    </row>
    <row r="126" spans="1:5" x14ac:dyDescent="0.25">
      <c r="A126" s="226" t="s">
        <v>594</v>
      </c>
      <c r="B126" s="224">
        <v>20202999.442572609</v>
      </c>
      <c r="C126" s="224">
        <v>11805726.360177547</v>
      </c>
      <c r="D126" s="224">
        <v>6834328.4957676977</v>
      </c>
      <c r="E126" s="224">
        <v>6450792.0539269475</v>
      </c>
    </row>
    <row r="127" spans="1:5" x14ac:dyDescent="0.25">
      <c r="A127" s="226" t="s">
        <v>595</v>
      </c>
      <c r="B127" s="224">
        <v>20053029.638470855</v>
      </c>
      <c r="C127" s="224">
        <v>11793055.343836</v>
      </c>
      <c r="D127" s="224">
        <v>6907765.9940315234</v>
      </c>
      <c r="E127" s="224">
        <v>6550657.2089116909</v>
      </c>
    </row>
    <row r="128" spans="1:5" x14ac:dyDescent="0.25">
      <c r="A128" s="226" t="s">
        <v>596</v>
      </c>
      <c r="B128" s="224">
        <v>22377324.760191623</v>
      </c>
      <c r="C128" s="224">
        <v>13224117.54782065</v>
      </c>
      <c r="D128" s="224">
        <v>7376892.1677712034</v>
      </c>
      <c r="E128" s="224">
        <v>7023761.3156361412</v>
      </c>
    </row>
    <row r="129" spans="1:5" x14ac:dyDescent="0.25">
      <c r="A129" s="226" t="s">
        <v>597</v>
      </c>
      <c r="B129" s="224">
        <v>22684708.714051336</v>
      </c>
      <c r="C129" s="224">
        <v>13379686.190742709</v>
      </c>
      <c r="D129" s="224">
        <v>7478883.8662241418</v>
      </c>
      <c r="E129" s="224">
        <v>7148149.1247316077</v>
      </c>
    </row>
    <row r="130" spans="1:5" x14ac:dyDescent="0.25">
      <c r="A130" s="226" t="s">
        <v>598</v>
      </c>
      <c r="B130" s="224">
        <v>22838710.828177366</v>
      </c>
      <c r="C130" s="224">
        <v>13432771.509775188</v>
      </c>
      <c r="D130" s="224">
        <v>7534369.5666278116</v>
      </c>
      <c r="E130" s="224">
        <v>7235405.0305390116</v>
      </c>
    </row>
    <row r="131" spans="1:5" x14ac:dyDescent="0.25">
      <c r="A131" s="226" t="s">
        <v>599</v>
      </c>
      <c r="B131" s="224">
        <v>22907039.828335743</v>
      </c>
      <c r="C131" s="224">
        <v>13420917.645273631</v>
      </c>
      <c r="D131" s="224">
        <v>7564538.8144861665</v>
      </c>
      <c r="E131" s="224">
        <v>7286512.3733402435</v>
      </c>
    </row>
    <row r="132" spans="1:5" x14ac:dyDescent="0.25">
      <c r="A132" s="226" t="s">
        <v>600</v>
      </c>
      <c r="B132" s="224">
        <v>23067765.572419517</v>
      </c>
      <c r="C132" s="224">
        <v>13508671.80453616</v>
      </c>
      <c r="D132" s="224">
        <v>7653519.1425991999</v>
      </c>
      <c r="E132" s="224">
        <v>7392855.8299092585</v>
      </c>
    </row>
    <row r="133" spans="1:5" x14ac:dyDescent="0.25">
      <c r="A133" s="226" t="s">
        <v>601</v>
      </c>
      <c r="B133" s="224">
        <v>23140037.881999999</v>
      </c>
      <c r="C133" s="224">
        <v>13498986.732000001</v>
      </c>
      <c r="D133" s="224">
        <v>7649953.2910000002</v>
      </c>
      <c r="E133" s="224">
        <v>7421805.8689999999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A2:AR415"/>
  <sheetViews>
    <sheetView showGridLines="0" workbookViewId="0">
      <selection activeCell="G86" sqref="G86"/>
    </sheetView>
  </sheetViews>
  <sheetFormatPr baseColWidth="10" defaultRowHeight="15" outlineLevelRow="1" x14ac:dyDescent="0.25"/>
  <cols>
    <col min="2" max="2" width="18.570312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3.140625" customWidth="1"/>
    <col min="10" max="10" width="15.42578125" customWidth="1"/>
    <col min="11" max="11" width="13.28515625" customWidth="1"/>
    <col min="12" max="12" width="14.5703125" customWidth="1"/>
    <col min="13" max="13" width="13.5703125" customWidth="1"/>
    <col min="14" max="14" width="15.28515625" customWidth="1"/>
    <col min="15" max="16" width="12.85546875" bestFit="1" customWidth="1"/>
    <col min="17" max="17" width="13.7109375" bestFit="1" customWidth="1"/>
    <col min="18" max="19" width="12" bestFit="1" customWidth="1"/>
    <col min="20" max="21" width="12.85546875" bestFit="1" customWidth="1"/>
    <col min="22" max="23" width="13.7109375" bestFit="1"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787</v>
      </c>
      <c r="C2" s="4"/>
      <c r="D2" s="4"/>
      <c r="E2" s="4"/>
      <c r="F2" s="4"/>
      <c r="G2" s="4"/>
      <c r="H2" s="4"/>
      <c r="I2" s="4"/>
      <c r="J2" s="4"/>
      <c r="K2" s="4"/>
    </row>
    <row r="3" spans="2:14" x14ac:dyDescent="0.25">
      <c r="B3" s="4"/>
      <c r="C3" s="4"/>
      <c r="D3" s="4"/>
      <c r="E3" s="4"/>
      <c r="F3" s="4"/>
      <c r="G3" s="4"/>
      <c r="H3" s="4"/>
      <c r="I3" s="4"/>
      <c r="J3" s="4"/>
      <c r="K3" s="4"/>
    </row>
    <row r="4" spans="2:14" ht="18.75" x14ac:dyDescent="0.3">
      <c r="B4" s="2" t="s">
        <v>795</v>
      </c>
      <c r="C4" s="2"/>
      <c r="D4" s="2"/>
      <c r="E4" s="2"/>
      <c r="F4" s="2"/>
      <c r="G4" s="2"/>
      <c r="J4" s="4"/>
      <c r="K4" s="4"/>
    </row>
    <row r="5" spans="2:14" x14ac:dyDescent="0.25">
      <c r="B5" s="3" t="s">
        <v>867</v>
      </c>
      <c r="J5" s="4"/>
      <c r="K5" s="4"/>
    </row>
    <row r="6" spans="2:14" x14ac:dyDescent="0.25">
      <c r="J6" s="4"/>
      <c r="K6" s="4"/>
    </row>
    <row r="7" spans="2:14" x14ac:dyDescent="0.25">
      <c r="D7" s="445" t="s">
        <v>5</v>
      </c>
      <c r="E7" s="445"/>
      <c r="F7" s="445"/>
      <c r="G7" s="445" t="s">
        <v>6</v>
      </c>
      <c r="H7" s="445"/>
      <c r="I7" s="445"/>
      <c r="J7" s="451" t="s">
        <v>638</v>
      </c>
      <c r="K7" s="451"/>
      <c r="L7" s="451"/>
      <c r="N7" s="4"/>
    </row>
    <row r="8" spans="2:14" ht="30" x14ac:dyDescent="0.25">
      <c r="B8" s="152" t="s">
        <v>483</v>
      </c>
      <c r="C8" s="175" t="s">
        <v>604</v>
      </c>
      <c r="D8" s="152" t="s">
        <v>2</v>
      </c>
      <c r="E8" s="253" t="s">
        <v>605</v>
      </c>
      <c r="F8" s="253" t="s">
        <v>606</v>
      </c>
      <c r="G8" s="152" t="s">
        <v>2</v>
      </c>
      <c r="H8" s="253" t="s">
        <v>605</v>
      </c>
      <c r="I8" s="253" t="s">
        <v>606</v>
      </c>
      <c r="J8" s="387" t="s">
        <v>2</v>
      </c>
      <c r="K8" s="388" t="s">
        <v>605</v>
      </c>
      <c r="L8" s="388" t="s">
        <v>606</v>
      </c>
      <c r="M8" s="4"/>
    </row>
    <row r="9" spans="2:14" x14ac:dyDescent="0.25">
      <c r="B9" s="457">
        <v>44927</v>
      </c>
      <c r="C9" s="272" t="s">
        <v>83</v>
      </c>
      <c r="D9" s="282">
        <v>108797</v>
      </c>
      <c r="E9" s="282">
        <v>23112169.975000001</v>
      </c>
      <c r="F9" s="303">
        <v>23348369.985220369</v>
      </c>
      <c r="G9" s="282">
        <v>46104</v>
      </c>
      <c r="H9" s="282">
        <v>7667276.8150000004</v>
      </c>
      <c r="I9" s="303">
        <v>7745634.2718733409</v>
      </c>
      <c r="J9" s="367">
        <v>154901</v>
      </c>
      <c r="K9" s="367">
        <v>30779446.789999999</v>
      </c>
      <c r="L9" s="367">
        <v>31094004.257093709</v>
      </c>
    </row>
    <row r="10" spans="2:14" x14ac:dyDescent="0.25">
      <c r="B10" s="458"/>
      <c r="C10" s="272" t="s">
        <v>84</v>
      </c>
      <c r="D10" s="282">
        <v>62891</v>
      </c>
      <c r="E10" s="282">
        <v>13450861.778000001</v>
      </c>
      <c r="F10" s="303">
        <v>13588325.879937332</v>
      </c>
      <c r="G10" s="282">
        <v>47256</v>
      </c>
      <c r="H10" s="282">
        <v>7473814.6869999999</v>
      </c>
      <c r="I10" s="303">
        <v>7550195.01421999</v>
      </c>
      <c r="J10" s="367">
        <v>110147</v>
      </c>
      <c r="K10" s="367">
        <v>20924676.465</v>
      </c>
      <c r="L10" s="367">
        <v>21138520.89415732</v>
      </c>
      <c r="M10" s="4"/>
    </row>
    <row r="11" spans="2:14" x14ac:dyDescent="0.25">
      <c r="B11" s="458"/>
      <c r="C11" s="272" t="s">
        <v>35</v>
      </c>
      <c r="D11" s="282">
        <v>171688</v>
      </c>
      <c r="E11" s="282">
        <v>36563031.752999999</v>
      </c>
      <c r="F11" s="303">
        <v>36936695.865157701</v>
      </c>
      <c r="G11" s="282">
        <v>93360</v>
      </c>
      <c r="H11" s="282">
        <v>15141091.502</v>
      </c>
      <c r="I11" s="303">
        <v>15295829.28609333</v>
      </c>
      <c r="J11" s="367">
        <v>265048</v>
      </c>
      <c r="K11" s="367">
        <v>51704123.255000003</v>
      </c>
      <c r="L11" s="367">
        <v>52232525.151251033</v>
      </c>
      <c r="M11" s="4"/>
    </row>
    <row r="12" spans="2:14" x14ac:dyDescent="0.25">
      <c r="B12" s="457">
        <v>44958</v>
      </c>
      <c r="C12" s="272" t="s">
        <v>83</v>
      </c>
      <c r="D12" s="282">
        <v>108645</v>
      </c>
      <c r="E12" s="282">
        <v>23098112.738000002</v>
      </c>
      <c r="F12" s="303">
        <v>23349164.204932865</v>
      </c>
      <c r="G12" s="282">
        <v>46210</v>
      </c>
      <c r="H12" s="282">
        <v>8237673.3859999999</v>
      </c>
      <c r="I12" s="303">
        <v>8327207.9731382299</v>
      </c>
      <c r="J12" s="367">
        <v>154855</v>
      </c>
      <c r="K12" s="367">
        <v>31335786.124000002</v>
      </c>
      <c r="L12" s="367">
        <v>31676372.178071093</v>
      </c>
      <c r="M12" s="4"/>
    </row>
    <row r="13" spans="2:14" x14ac:dyDescent="0.25">
      <c r="B13" s="458"/>
      <c r="C13" s="272" t="s">
        <v>84</v>
      </c>
      <c r="D13" s="282">
        <v>62678</v>
      </c>
      <c r="E13" s="282">
        <v>13420693.58</v>
      </c>
      <c r="F13" s="303">
        <v>13566561.982701685</v>
      </c>
      <c r="G13" s="282">
        <v>47542</v>
      </c>
      <c r="H13" s="282">
        <v>8076320.6639999999</v>
      </c>
      <c r="I13" s="303">
        <v>8164101.5218179524</v>
      </c>
      <c r="J13" s="367">
        <v>110220</v>
      </c>
      <c r="K13" s="367">
        <v>21497014.243999999</v>
      </c>
      <c r="L13" s="367">
        <v>21730663.504519638</v>
      </c>
      <c r="M13" s="4"/>
    </row>
    <row r="14" spans="2:14" x14ac:dyDescent="0.25">
      <c r="B14" s="458"/>
      <c r="C14" s="272" t="s">
        <v>35</v>
      </c>
      <c r="D14" s="282">
        <v>171323</v>
      </c>
      <c r="E14" s="282">
        <v>36518806.318000004</v>
      </c>
      <c r="F14" s="303">
        <v>36915726.18763455</v>
      </c>
      <c r="G14" s="282">
        <v>93752</v>
      </c>
      <c r="H14" s="282">
        <v>16313994.050000001</v>
      </c>
      <c r="I14" s="303">
        <v>16491309.494956182</v>
      </c>
      <c r="J14" s="367">
        <v>265075</v>
      </c>
      <c r="K14" s="367">
        <v>52832800.368000001</v>
      </c>
      <c r="L14" s="367">
        <v>53407035.682590738</v>
      </c>
      <c r="M14" s="4"/>
    </row>
    <row r="15" spans="2:14" x14ac:dyDescent="0.25">
      <c r="B15" s="459">
        <v>44986</v>
      </c>
      <c r="C15" s="272" t="s">
        <v>83</v>
      </c>
      <c r="D15" s="282">
        <v>108598</v>
      </c>
      <c r="E15" s="282">
        <v>23099681.600000001</v>
      </c>
      <c r="F15" s="303">
        <v>23099681.600000001</v>
      </c>
      <c r="G15" s="282">
        <v>46381</v>
      </c>
      <c r="H15" s="282">
        <v>8260461.9170000004</v>
      </c>
      <c r="I15" s="303">
        <v>8260461.9170000004</v>
      </c>
      <c r="J15" s="367">
        <v>154979</v>
      </c>
      <c r="K15" s="367">
        <v>31360143.517000001</v>
      </c>
      <c r="L15" s="367">
        <v>31360143.517000001</v>
      </c>
      <c r="M15" s="4"/>
    </row>
    <row r="16" spans="2:14" x14ac:dyDescent="0.25">
      <c r="B16" s="460"/>
      <c r="C16" s="272" t="s">
        <v>84</v>
      </c>
      <c r="D16" s="282">
        <v>62593</v>
      </c>
      <c r="E16" s="282">
        <v>13421795.244000001</v>
      </c>
      <c r="F16" s="303">
        <v>13421795.244000001</v>
      </c>
      <c r="G16" s="282">
        <v>47964</v>
      </c>
      <c r="H16" s="282">
        <v>8133303.9519999996</v>
      </c>
      <c r="I16" s="303">
        <v>8133303.9519999996</v>
      </c>
      <c r="J16" s="367">
        <v>110557</v>
      </c>
      <c r="K16" s="367">
        <v>21555099.195999999</v>
      </c>
      <c r="L16" s="367">
        <v>21555099.195999999</v>
      </c>
      <c r="M16" s="4"/>
    </row>
    <row r="17" spans="2:20" x14ac:dyDescent="0.25">
      <c r="B17" s="460"/>
      <c r="C17" s="273" t="s">
        <v>35</v>
      </c>
      <c r="D17" s="282">
        <v>171191</v>
      </c>
      <c r="E17" s="282">
        <v>36521476.843999997</v>
      </c>
      <c r="F17" s="303">
        <v>36521476.843999997</v>
      </c>
      <c r="G17" s="282">
        <v>94345</v>
      </c>
      <c r="H17" s="282">
        <v>16393765.869000001</v>
      </c>
      <c r="I17" s="303">
        <v>16393765.869000001</v>
      </c>
      <c r="J17" s="367">
        <v>265536</v>
      </c>
      <c r="K17" s="367">
        <v>52915242.713</v>
      </c>
      <c r="L17" s="367">
        <v>52915242.713</v>
      </c>
    </row>
    <row r="18" spans="2:20" x14ac:dyDescent="0.25">
      <c r="B18" s="4" t="s">
        <v>924</v>
      </c>
      <c r="M18" s="290"/>
    </row>
    <row r="19" spans="2:20" ht="74.25" customHeight="1" x14ac:dyDescent="0.25">
      <c r="B19" s="446" t="s">
        <v>925</v>
      </c>
      <c r="C19" s="446"/>
      <c r="D19" s="446"/>
      <c r="E19" s="446"/>
      <c r="F19" s="446"/>
      <c r="G19" s="446"/>
      <c r="H19" s="446"/>
      <c r="I19" s="446"/>
      <c r="J19" s="446"/>
      <c r="K19" s="446"/>
      <c r="L19" s="446"/>
      <c r="M19" s="290"/>
    </row>
    <row r="20" spans="2:20" x14ac:dyDescent="0.25">
      <c r="B20" s="287" t="s">
        <v>926</v>
      </c>
      <c r="C20" s="265"/>
      <c r="D20" s="265"/>
      <c r="E20" s="265"/>
      <c r="F20" s="265"/>
      <c r="G20" s="265"/>
      <c r="H20" s="265"/>
      <c r="I20" s="265"/>
      <c r="J20" s="265"/>
      <c r="K20" s="265"/>
      <c r="L20" s="265"/>
      <c r="M20" s="292"/>
    </row>
    <row r="21" spans="2:20" x14ac:dyDescent="0.25">
      <c r="B21" s="288"/>
      <c r="D21" s="228"/>
      <c r="E21" s="228"/>
      <c r="F21" s="228"/>
      <c r="G21" s="228"/>
      <c r="H21" s="228"/>
      <c r="I21" s="228"/>
      <c r="J21" s="228"/>
      <c r="K21" s="228"/>
    </row>
    <row r="22" spans="2:20" ht="18.75" x14ac:dyDescent="0.3">
      <c r="B22" s="2" t="s">
        <v>960</v>
      </c>
      <c r="C22" s="2"/>
      <c r="D22" s="2"/>
      <c r="E22" s="2"/>
      <c r="F22" s="2"/>
    </row>
    <row r="23" spans="2:20" x14ac:dyDescent="0.25">
      <c r="B23" s="3" t="s">
        <v>871</v>
      </c>
    </row>
    <row r="25" spans="2:20" x14ac:dyDescent="0.25">
      <c r="C25" s="447" t="s">
        <v>5</v>
      </c>
      <c r="D25" s="448"/>
      <c r="E25" s="448"/>
      <c r="F25" s="448"/>
      <c r="G25" s="448"/>
      <c r="H25" s="449"/>
      <c r="I25" s="447" t="s">
        <v>6</v>
      </c>
      <c r="J25" s="448"/>
      <c r="K25" s="448"/>
      <c r="L25" s="448"/>
      <c r="M25" s="448"/>
      <c r="N25" s="449"/>
      <c r="O25" s="445" t="s">
        <v>638</v>
      </c>
      <c r="P25" s="445"/>
      <c r="Q25" s="445"/>
      <c r="R25" s="445"/>
      <c r="S25" s="445"/>
      <c r="T25" s="445"/>
    </row>
    <row r="26" spans="2:20" x14ac:dyDescent="0.25">
      <c r="C26" s="445" t="s">
        <v>83</v>
      </c>
      <c r="D26" s="445"/>
      <c r="E26" s="445" t="s">
        <v>84</v>
      </c>
      <c r="F26" s="445"/>
      <c r="G26" s="447" t="s">
        <v>35</v>
      </c>
      <c r="H26" s="449"/>
      <c r="I26" s="445" t="s">
        <v>83</v>
      </c>
      <c r="J26" s="445"/>
      <c r="K26" s="445" t="s">
        <v>84</v>
      </c>
      <c r="L26" s="445"/>
      <c r="M26" s="447" t="s">
        <v>35</v>
      </c>
      <c r="N26" s="449"/>
      <c r="O26" s="445" t="s">
        <v>83</v>
      </c>
      <c r="P26" s="445"/>
      <c r="Q26" s="445" t="s">
        <v>84</v>
      </c>
      <c r="R26" s="445"/>
      <c r="S26" s="445" t="s">
        <v>35</v>
      </c>
      <c r="T26" s="445"/>
    </row>
    <row r="27" spans="2:20" ht="45" x14ac:dyDescent="0.25">
      <c r="B27" s="152" t="s">
        <v>483</v>
      </c>
      <c r="C27" s="230" t="s">
        <v>607</v>
      </c>
      <c r="D27" s="175" t="s">
        <v>636</v>
      </c>
      <c r="E27" s="230" t="s">
        <v>607</v>
      </c>
      <c r="F27" s="175" t="s">
        <v>636</v>
      </c>
      <c r="G27" s="230" t="s">
        <v>607</v>
      </c>
      <c r="H27" s="175" t="s">
        <v>636</v>
      </c>
      <c r="I27" s="230" t="s">
        <v>607</v>
      </c>
      <c r="J27" s="175" t="s">
        <v>636</v>
      </c>
      <c r="K27" s="230" t="s">
        <v>607</v>
      </c>
      <c r="L27" s="175" t="s">
        <v>636</v>
      </c>
      <c r="M27" s="230" t="s">
        <v>607</v>
      </c>
      <c r="N27" s="175" t="s">
        <v>636</v>
      </c>
      <c r="O27" s="175" t="s">
        <v>607</v>
      </c>
      <c r="P27" s="175" t="s">
        <v>636</v>
      </c>
      <c r="Q27" s="175" t="s">
        <v>607</v>
      </c>
      <c r="R27" s="175" t="s">
        <v>636</v>
      </c>
      <c r="S27" s="175" t="s">
        <v>607</v>
      </c>
      <c r="T27" s="175" t="s">
        <v>636</v>
      </c>
    </row>
    <row r="28" spans="2:20" hidden="1" outlineLevel="1" x14ac:dyDescent="0.25">
      <c r="B28" s="219">
        <v>39630</v>
      </c>
      <c r="C28" s="230"/>
      <c r="D28" s="175"/>
      <c r="E28" s="230"/>
      <c r="F28" s="175"/>
      <c r="G28" s="230"/>
      <c r="H28" s="175"/>
      <c r="I28" s="230"/>
      <c r="J28" s="175"/>
      <c r="K28" s="230"/>
      <c r="L28" s="175"/>
      <c r="M28" s="230"/>
      <c r="N28" s="175"/>
      <c r="O28" s="175"/>
      <c r="P28" s="175"/>
      <c r="Q28" s="175"/>
      <c r="R28" s="175"/>
      <c r="S28" s="175"/>
      <c r="T28" s="175"/>
    </row>
    <row r="29" spans="2:20" hidden="1" outlineLevel="1" x14ac:dyDescent="0.25">
      <c r="B29" s="219">
        <v>39661</v>
      </c>
      <c r="C29" s="230"/>
      <c r="D29" s="175"/>
      <c r="E29" s="230"/>
      <c r="F29" s="175"/>
      <c r="G29" s="230"/>
      <c r="H29" s="175"/>
      <c r="I29" s="230"/>
      <c r="J29" s="175"/>
      <c r="K29" s="230"/>
      <c r="L29" s="175"/>
      <c r="M29" s="230"/>
      <c r="N29" s="175"/>
      <c r="O29" s="175"/>
      <c r="P29" s="175"/>
      <c r="Q29" s="175"/>
      <c r="R29" s="175"/>
      <c r="S29" s="175"/>
      <c r="T29" s="175"/>
    </row>
    <row r="30" spans="2:20" hidden="1" outlineLevel="1" x14ac:dyDescent="0.25">
      <c r="B30" s="219">
        <v>39692</v>
      </c>
      <c r="C30" s="230"/>
      <c r="D30" s="175"/>
      <c r="E30" s="230"/>
      <c r="F30" s="175"/>
      <c r="G30" s="230"/>
      <c r="H30" s="175"/>
      <c r="I30" s="230"/>
      <c r="J30" s="175"/>
      <c r="K30" s="230"/>
      <c r="L30" s="175"/>
      <c r="M30" s="230"/>
      <c r="N30" s="175"/>
      <c r="O30" s="175"/>
      <c r="P30" s="175"/>
      <c r="Q30" s="175"/>
      <c r="R30" s="175"/>
      <c r="S30" s="175"/>
      <c r="T30" s="175"/>
    </row>
    <row r="31" spans="2:20" hidden="1" outlineLevel="1" x14ac:dyDescent="0.25">
      <c r="B31" s="219">
        <v>39722</v>
      </c>
      <c r="C31" s="399">
        <v>2444</v>
      </c>
      <c r="D31" s="402">
        <v>648222.49330618209</v>
      </c>
      <c r="E31" s="399">
        <v>955</v>
      </c>
      <c r="F31" s="402">
        <v>322292.67110505258</v>
      </c>
      <c r="G31" s="399">
        <v>3399</v>
      </c>
      <c r="H31" s="402">
        <v>970515.16441123479</v>
      </c>
      <c r="I31" s="399">
        <v>217</v>
      </c>
      <c r="J31" s="402">
        <v>59396.344821062099</v>
      </c>
      <c r="K31" s="399">
        <v>229</v>
      </c>
      <c r="L31" s="402">
        <v>60396.670319157565</v>
      </c>
      <c r="M31" s="399">
        <v>446</v>
      </c>
      <c r="N31" s="402">
        <v>119793.01514021966</v>
      </c>
      <c r="O31" s="402">
        <v>2661</v>
      </c>
      <c r="P31" s="402">
        <v>707618.83812724426</v>
      </c>
      <c r="Q31" s="402">
        <v>1184</v>
      </c>
      <c r="R31" s="402">
        <v>382689.34142421011</v>
      </c>
      <c r="S31" s="402">
        <v>3845</v>
      </c>
      <c r="T31" s="402">
        <v>1090308.1795514543</v>
      </c>
    </row>
    <row r="32" spans="2:20" hidden="1" outlineLevel="1" x14ac:dyDescent="0.25">
      <c r="B32" s="219">
        <v>39753</v>
      </c>
      <c r="C32" s="399">
        <v>3067</v>
      </c>
      <c r="D32" s="402">
        <v>324830.44783597236</v>
      </c>
      <c r="E32" s="399">
        <v>1159</v>
      </c>
      <c r="F32" s="402">
        <v>144184.78910715907</v>
      </c>
      <c r="G32" s="399">
        <v>4226</v>
      </c>
      <c r="H32" s="402">
        <v>469015.23694313143</v>
      </c>
      <c r="I32" s="399">
        <v>290</v>
      </c>
      <c r="J32" s="402">
        <v>34543.371997039125</v>
      </c>
      <c r="K32" s="399">
        <v>294</v>
      </c>
      <c r="L32" s="402">
        <v>33054.560089509556</v>
      </c>
      <c r="M32" s="399">
        <v>584</v>
      </c>
      <c r="N32" s="402">
        <v>67597.932086548666</v>
      </c>
      <c r="O32" s="402">
        <v>3357</v>
      </c>
      <c r="P32" s="402">
        <v>359373.81983301148</v>
      </c>
      <c r="Q32" s="402">
        <v>1453</v>
      </c>
      <c r="R32" s="402">
        <v>177239.34919666863</v>
      </c>
      <c r="S32" s="402">
        <v>4810</v>
      </c>
      <c r="T32" s="402">
        <v>536613.16902968008</v>
      </c>
    </row>
    <row r="33" spans="2:20" hidden="1" outlineLevel="1" x14ac:dyDescent="0.25">
      <c r="B33" s="219">
        <v>39783</v>
      </c>
      <c r="C33" s="399">
        <v>3251</v>
      </c>
      <c r="D33" s="402">
        <v>338240.48582793173</v>
      </c>
      <c r="E33" s="399">
        <v>1234</v>
      </c>
      <c r="F33" s="402">
        <v>183438.90649516881</v>
      </c>
      <c r="G33" s="399">
        <v>4485</v>
      </c>
      <c r="H33" s="402">
        <v>521679.39232310053</v>
      </c>
      <c r="I33" s="399">
        <v>352</v>
      </c>
      <c r="J33" s="402">
        <v>36007.324141660698</v>
      </c>
      <c r="K33" s="399">
        <v>348</v>
      </c>
      <c r="L33" s="402">
        <v>34457.564367781371</v>
      </c>
      <c r="M33" s="399">
        <v>700</v>
      </c>
      <c r="N33" s="402">
        <v>70464.888509442069</v>
      </c>
      <c r="O33" s="402">
        <v>3603</v>
      </c>
      <c r="P33" s="402">
        <v>374247.80996959237</v>
      </c>
      <c r="Q33" s="402">
        <v>1582</v>
      </c>
      <c r="R33" s="402">
        <v>217896.47086295017</v>
      </c>
      <c r="S33" s="402">
        <v>5185</v>
      </c>
      <c r="T33" s="402">
        <v>592144.28083254257</v>
      </c>
    </row>
    <row r="34" spans="2:20" collapsed="1" x14ac:dyDescent="0.25">
      <c r="B34" s="393" t="s">
        <v>749</v>
      </c>
      <c r="C34" s="394">
        <v>2920.6666666666665</v>
      </c>
      <c r="D34" s="403">
        <v>437097.80899002869</v>
      </c>
      <c r="E34" s="394">
        <v>1116</v>
      </c>
      <c r="F34" s="403">
        <v>216638.78890246013</v>
      </c>
      <c r="G34" s="394">
        <v>4036.6666666666665</v>
      </c>
      <c r="H34" s="403">
        <v>653736.59789248894</v>
      </c>
      <c r="I34" s="394">
        <v>286.33333333333331</v>
      </c>
      <c r="J34" s="403">
        <v>43315.680319920641</v>
      </c>
      <c r="K34" s="394">
        <v>290.33333333333331</v>
      </c>
      <c r="L34" s="403">
        <v>42636.264925482828</v>
      </c>
      <c r="M34" s="394">
        <v>576.66666666666663</v>
      </c>
      <c r="N34" s="403">
        <v>85951.945245403462</v>
      </c>
      <c r="O34" s="403">
        <v>3207</v>
      </c>
      <c r="P34" s="403">
        <v>480413.48930994933</v>
      </c>
      <c r="Q34" s="403">
        <v>1406.3333333333333</v>
      </c>
      <c r="R34" s="403">
        <v>259275.05382794296</v>
      </c>
      <c r="S34" s="403">
        <v>4613.333333333333</v>
      </c>
      <c r="T34" s="403">
        <v>739688.54313789227</v>
      </c>
    </row>
    <row r="35" spans="2:20" hidden="1" outlineLevel="1" x14ac:dyDescent="0.25">
      <c r="B35" s="219">
        <v>39814</v>
      </c>
      <c r="C35" s="399">
        <v>4434</v>
      </c>
      <c r="D35" s="402">
        <v>663520.99533245945</v>
      </c>
      <c r="E35" s="399">
        <v>1765</v>
      </c>
      <c r="F35" s="402">
        <v>334527.25486591476</v>
      </c>
      <c r="G35" s="399">
        <v>6199</v>
      </c>
      <c r="H35" s="402">
        <v>998048.25019837415</v>
      </c>
      <c r="I35" s="399">
        <v>468</v>
      </c>
      <c r="J35" s="402">
        <v>65293.92505086046</v>
      </c>
      <c r="K35" s="399">
        <v>481</v>
      </c>
      <c r="L35" s="402">
        <v>74990.814285455897</v>
      </c>
      <c r="M35" s="399">
        <v>949</v>
      </c>
      <c r="N35" s="402">
        <v>140284.73933631636</v>
      </c>
      <c r="O35" s="402">
        <v>4902</v>
      </c>
      <c r="P35" s="402">
        <v>728814.92038331984</v>
      </c>
      <c r="Q35" s="402">
        <v>2246</v>
      </c>
      <c r="R35" s="402">
        <v>409518.06915137067</v>
      </c>
      <c r="S35" s="402">
        <v>7148</v>
      </c>
      <c r="T35" s="402">
        <v>1138332.9895346905</v>
      </c>
    </row>
    <row r="36" spans="2:20" hidden="1" outlineLevel="1" x14ac:dyDescent="0.25">
      <c r="B36" s="219">
        <v>39845</v>
      </c>
      <c r="C36" s="399">
        <v>5048</v>
      </c>
      <c r="D36" s="402">
        <v>512980.23623997543</v>
      </c>
      <c r="E36" s="399">
        <v>2132</v>
      </c>
      <c r="F36" s="402">
        <v>269343.23698243604</v>
      </c>
      <c r="G36" s="399">
        <v>7180</v>
      </c>
      <c r="H36" s="402">
        <v>782323.47322241147</v>
      </c>
      <c r="I36" s="399">
        <v>596</v>
      </c>
      <c r="J36" s="402">
        <v>81174.641313630957</v>
      </c>
      <c r="K36" s="399">
        <v>584</v>
      </c>
      <c r="L36" s="402">
        <v>75433.657518621083</v>
      </c>
      <c r="M36" s="399">
        <v>1180</v>
      </c>
      <c r="N36" s="402">
        <v>156608.29883225204</v>
      </c>
      <c r="O36" s="402">
        <v>5644</v>
      </c>
      <c r="P36" s="402">
        <v>594154.87755360641</v>
      </c>
      <c r="Q36" s="402">
        <v>2716</v>
      </c>
      <c r="R36" s="402">
        <v>344776.89450105716</v>
      </c>
      <c r="S36" s="402">
        <v>8360</v>
      </c>
      <c r="T36" s="402">
        <v>938931.77205466351</v>
      </c>
    </row>
    <row r="37" spans="2:20" hidden="1" outlineLevel="1" x14ac:dyDescent="0.25">
      <c r="B37" s="219">
        <v>39873</v>
      </c>
      <c r="C37" s="399">
        <v>5703</v>
      </c>
      <c r="D37" s="402">
        <v>567469.50080530869</v>
      </c>
      <c r="E37" s="399">
        <v>2584</v>
      </c>
      <c r="F37" s="402">
        <v>346679.29575546639</v>
      </c>
      <c r="G37" s="399">
        <v>8287</v>
      </c>
      <c r="H37" s="402">
        <v>914148.79656077502</v>
      </c>
      <c r="I37" s="399">
        <v>787</v>
      </c>
      <c r="J37" s="402">
        <v>106349.65449553015</v>
      </c>
      <c r="K37" s="399">
        <v>703</v>
      </c>
      <c r="L37" s="402">
        <v>81413.262736833683</v>
      </c>
      <c r="M37" s="399">
        <v>1490</v>
      </c>
      <c r="N37" s="402">
        <v>187762.91723236383</v>
      </c>
      <c r="O37" s="402">
        <v>6490</v>
      </c>
      <c r="P37" s="402">
        <v>673819.15530083887</v>
      </c>
      <c r="Q37" s="402">
        <v>3287</v>
      </c>
      <c r="R37" s="402">
        <v>428092.5584923001</v>
      </c>
      <c r="S37" s="402">
        <v>9777</v>
      </c>
      <c r="T37" s="402">
        <v>1101911.713793139</v>
      </c>
    </row>
    <row r="38" spans="2:20" hidden="1" outlineLevel="1" x14ac:dyDescent="0.25">
      <c r="B38" s="219">
        <v>39904</v>
      </c>
      <c r="C38" s="399">
        <v>6499</v>
      </c>
      <c r="D38" s="402">
        <v>815091.05402572104</v>
      </c>
      <c r="E38" s="399">
        <v>3131</v>
      </c>
      <c r="F38" s="402">
        <v>483912.05663921247</v>
      </c>
      <c r="G38" s="399">
        <v>9630</v>
      </c>
      <c r="H38" s="402">
        <v>1299003.1106649337</v>
      </c>
      <c r="I38" s="399">
        <v>1119</v>
      </c>
      <c r="J38" s="402">
        <v>187820.69748503971</v>
      </c>
      <c r="K38" s="399">
        <v>922</v>
      </c>
      <c r="L38" s="402">
        <v>136991.06924237244</v>
      </c>
      <c r="M38" s="399">
        <v>2041</v>
      </c>
      <c r="N38" s="402">
        <v>324811.76672741218</v>
      </c>
      <c r="O38" s="402">
        <v>7618</v>
      </c>
      <c r="P38" s="402">
        <v>1002911.7515107607</v>
      </c>
      <c r="Q38" s="402">
        <v>4053</v>
      </c>
      <c r="R38" s="402">
        <v>620903.12588158506</v>
      </c>
      <c r="S38" s="402">
        <v>11671</v>
      </c>
      <c r="T38" s="402">
        <v>1623814.8773923456</v>
      </c>
    </row>
    <row r="39" spans="2:20" hidden="1" outlineLevel="1" x14ac:dyDescent="0.25">
      <c r="B39" s="219">
        <v>39934</v>
      </c>
      <c r="C39" s="399">
        <v>7208</v>
      </c>
      <c r="D39" s="402">
        <v>749849.28365293029</v>
      </c>
      <c r="E39" s="399">
        <v>3842</v>
      </c>
      <c r="F39" s="402">
        <v>570615.26768940256</v>
      </c>
      <c r="G39" s="399">
        <v>11050</v>
      </c>
      <c r="H39" s="402">
        <v>1320464.5513423327</v>
      </c>
      <c r="I39" s="399">
        <v>1372</v>
      </c>
      <c r="J39" s="402">
        <v>178067.4617759948</v>
      </c>
      <c r="K39" s="399">
        <v>1125</v>
      </c>
      <c r="L39" s="402">
        <v>143887.49248633164</v>
      </c>
      <c r="M39" s="399">
        <v>2497</v>
      </c>
      <c r="N39" s="402">
        <v>321954.95426232641</v>
      </c>
      <c r="O39" s="402">
        <v>8580</v>
      </c>
      <c r="P39" s="402">
        <v>927916.74542892503</v>
      </c>
      <c r="Q39" s="402">
        <v>4967</v>
      </c>
      <c r="R39" s="402">
        <v>714502.76017573429</v>
      </c>
      <c r="S39" s="402">
        <v>13547</v>
      </c>
      <c r="T39" s="402">
        <v>1642419.5056046592</v>
      </c>
    </row>
    <row r="40" spans="2:20" hidden="1" outlineLevel="1" x14ac:dyDescent="0.25">
      <c r="B40" s="219">
        <v>39965</v>
      </c>
      <c r="C40" s="399">
        <v>7817</v>
      </c>
      <c r="D40" s="402">
        <v>755293.27175957663</v>
      </c>
      <c r="E40" s="399">
        <v>4373</v>
      </c>
      <c r="F40" s="402">
        <v>525001.0859372057</v>
      </c>
      <c r="G40" s="399">
        <v>12190</v>
      </c>
      <c r="H40" s="402">
        <v>1280294.3576967823</v>
      </c>
      <c r="I40" s="399">
        <v>1674</v>
      </c>
      <c r="J40" s="402">
        <v>211125.77835907153</v>
      </c>
      <c r="K40" s="399">
        <v>1346</v>
      </c>
      <c r="L40" s="402">
        <v>162185.76898908865</v>
      </c>
      <c r="M40" s="399">
        <v>3020</v>
      </c>
      <c r="N40" s="402">
        <v>373311.54734816012</v>
      </c>
      <c r="O40" s="402">
        <v>9491</v>
      </c>
      <c r="P40" s="402">
        <v>966419.05011864821</v>
      </c>
      <c r="Q40" s="402">
        <v>5719</v>
      </c>
      <c r="R40" s="402">
        <v>687186.8549262943</v>
      </c>
      <c r="S40" s="402">
        <v>15210</v>
      </c>
      <c r="T40" s="402">
        <v>1653605.9050449426</v>
      </c>
    </row>
    <row r="41" spans="2:20" hidden="1" outlineLevel="1" x14ac:dyDescent="0.25">
      <c r="B41" s="219">
        <v>39995</v>
      </c>
      <c r="C41" s="399">
        <v>8395</v>
      </c>
      <c r="D41" s="402">
        <v>1095393.80184667</v>
      </c>
      <c r="E41" s="399">
        <v>4882</v>
      </c>
      <c r="F41" s="402">
        <v>731647.92958924803</v>
      </c>
      <c r="G41" s="399">
        <v>13277</v>
      </c>
      <c r="H41" s="402">
        <v>1827041.731435918</v>
      </c>
      <c r="I41" s="399">
        <v>2118</v>
      </c>
      <c r="J41" s="402">
        <v>383541.09052177711</v>
      </c>
      <c r="K41" s="399">
        <v>1670</v>
      </c>
      <c r="L41" s="402">
        <v>298361.58902074577</v>
      </c>
      <c r="M41" s="399">
        <v>3788</v>
      </c>
      <c r="N41" s="402">
        <v>681902.67954252288</v>
      </c>
      <c r="O41" s="402">
        <v>10513</v>
      </c>
      <c r="P41" s="402">
        <v>1478934.892368447</v>
      </c>
      <c r="Q41" s="402">
        <v>6552</v>
      </c>
      <c r="R41" s="402">
        <v>1030009.518609994</v>
      </c>
      <c r="S41" s="402">
        <v>17065</v>
      </c>
      <c r="T41" s="402">
        <v>2508944.4109784407</v>
      </c>
    </row>
    <row r="42" spans="2:20" hidden="1" outlineLevel="1" x14ac:dyDescent="0.25">
      <c r="B42" s="219">
        <v>40026</v>
      </c>
      <c r="C42" s="399">
        <v>9052</v>
      </c>
      <c r="D42" s="402">
        <v>1275761.2422286947</v>
      </c>
      <c r="E42" s="399">
        <v>5603</v>
      </c>
      <c r="F42" s="402">
        <v>1002673.6967097503</v>
      </c>
      <c r="G42" s="399">
        <v>14655</v>
      </c>
      <c r="H42" s="402">
        <v>2278434.9389384449</v>
      </c>
      <c r="I42" s="399">
        <v>2469</v>
      </c>
      <c r="J42" s="402">
        <v>398970.95372261404</v>
      </c>
      <c r="K42" s="399">
        <v>1969</v>
      </c>
      <c r="L42" s="402">
        <v>311285.01293673582</v>
      </c>
      <c r="M42" s="399">
        <v>4438</v>
      </c>
      <c r="N42" s="402">
        <v>710255.96665934997</v>
      </c>
      <c r="O42" s="402">
        <v>11521</v>
      </c>
      <c r="P42" s="402">
        <v>1674732.1959513088</v>
      </c>
      <c r="Q42" s="402">
        <v>7572</v>
      </c>
      <c r="R42" s="402">
        <v>1313958.709646486</v>
      </c>
      <c r="S42" s="402">
        <v>19093</v>
      </c>
      <c r="T42" s="402">
        <v>2988690.9055977948</v>
      </c>
    </row>
    <row r="43" spans="2:20" hidden="1" outlineLevel="1" x14ac:dyDescent="0.25">
      <c r="B43" s="219">
        <v>40057</v>
      </c>
      <c r="C43" s="399">
        <v>12193</v>
      </c>
      <c r="D43" s="402">
        <v>1641568.9568168991</v>
      </c>
      <c r="E43" s="399">
        <v>15010</v>
      </c>
      <c r="F43" s="402">
        <v>1696568.3124303329</v>
      </c>
      <c r="G43" s="399">
        <v>27203</v>
      </c>
      <c r="H43" s="402">
        <v>3338137.269247232</v>
      </c>
      <c r="I43" s="399">
        <v>2777</v>
      </c>
      <c r="J43" s="402">
        <v>412814.86723531957</v>
      </c>
      <c r="K43" s="399">
        <v>2203</v>
      </c>
      <c r="L43" s="402">
        <v>319529.10777133942</v>
      </c>
      <c r="M43" s="399">
        <v>4980</v>
      </c>
      <c r="N43" s="402">
        <v>732343.97500665905</v>
      </c>
      <c r="O43" s="402">
        <v>14970</v>
      </c>
      <c r="P43" s="402">
        <v>2054383.8240522186</v>
      </c>
      <c r="Q43" s="402">
        <v>17213</v>
      </c>
      <c r="R43" s="402">
        <v>2016097.4202016722</v>
      </c>
      <c r="S43" s="402">
        <v>32183</v>
      </c>
      <c r="T43" s="402">
        <v>4070481.2442538911</v>
      </c>
    </row>
    <row r="44" spans="2:20" hidden="1" outlineLevel="1" x14ac:dyDescent="0.25">
      <c r="B44" s="219">
        <v>40087</v>
      </c>
      <c r="C44" s="399">
        <v>98877</v>
      </c>
      <c r="D44" s="402">
        <v>8075439.1626693578</v>
      </c>
      <c r="E44" s="399">
        <v>70157</v>
      </c>
      <c r="F44" s="402">
        <v>5101603.2467957046</v>
      </c>
      <c r="G44" s="399">
        <v>169034</v>
      </c>
      <c r="H44" s="402">
        <v>13177042.409465063</v>
      </c>
      <c r="I44" s="399">
        <v>3876</v>
      </c>
      <c r="J44" s="402">
        <v>741073.66925458005</v>
      </c>
      <c r="K44" s="399">
        <v>3042</v>
      </c>
      <c r="L44" s="402">
        <v>556305.69738162635</v>
      </c>
      <c r="M44" s="399">
        <v>6918</v>
      </c>
      <c r="N44" s="402">
        <v>1297379.3666362064</v>
      </c>
      <c r="O44" s="402">
        <v>102753</v>
      </c>
      <c r="P44" s="402">
        <v>8816512.8319239393</v>
      </c>
      <c r="Q44" s="402">
        <v>73199</v>
      </c>
      <c r="R44" s="402">
        <v>5657908.9441773323</v>
      </c>
      <c r="S44" s="402">
        <v>175952</v>
      </c>
      <c r="T44" s="402">
        <v>14474421.776101269</v>
      </c>
    </row>
    <row r="45" spans="2:20" hidden="1" outlineLevel="1" x14ac:dyDescent="0.25">
      <c r="B45" s="219">
        <v>40118</v>
      </c>
      <c r="C45" s="399">
        <v>118191</v>
      </c>
      <c r="D45" s="402">
        <v>4889824.5526029188</v>
      </c>
      <c r="E45" s="399">
        <v>85364</v>
      </c>
      <c r="F45" s="402">
        <v>3650599.8795024487</v>
      </c>
      <c r="G45" s="399">
        <v>203555</v>
      </c>
      <c r="H45" s="402">
        <v>8540424.432105368</v>
      </c>
      <c r="I45" s="399">
        <v>4342</v>
      </c>
      <c r="J45" s="402">
        <v>652977.73715444026</v>
      </c>
      <c r="K45" s="399">
        <v>3394</v>
      </c>
      <c r="L45" s="402">
        <v>498331.52413235529</v>
      </c>
      <c r="M45" s="399">
        <v>7736</v>
      </c>
      <c r="N45" s="402">
        <v>1151309.2612867956</v>
      </c>
      <c r="O45" s="402">
        <v>122533</v>
      </c>
      <c r="P45" s="402">
        <v>5542802.2897573598</v>
      </c>
      <c r="Q45" s="402">
        <v>88758</v>
      </c>
      <c r="R45" s="402">
        <v>4148931.4036348038</v>
      </c>
      <c r="S45" s="402">
        <v>211291</v>
      </c>
      <c r="T45" s="402">
        <v>9691733.6933921631</v>
      </c>
    </row>
    <row r="46" spans="2:20" hidden="1" outlineLevel="1" x14ac:dyDescent="0.25">
      <c r="B46" s="219">
        <v>40148</v>
      </c>
      <c r="C46" s="399">
        <v>137544</v>
      </c>
      <c r="D46" s="402">
        <v>5892247.8779328316</v>
      </c>
      <c r="E46" s="399">
        <v>100434</v>
      </c>
      <c r="F46" s="402">
        <v>4580590.6643635482</v>
      </c>
      <c r="G46" s="399">
        <v>237978</v>
      </c>
      <c r="H46" s="402">
        <v>10472838.542296382</v>
      </c>
      <c r="I46" s="399">
        <v>4968</v>
      </c>
      <c r="J46" s="402">
        <v>798836.75149298599</v>
      </c>
      <c r="K46" s="399">
        <v>3798</v>
      </c>
      <c r="L46" s="402">
        <v>596888.8357518703</v>
      </c>
      <c r="M46" s="399">
        <v>8766</v>
      </c>
      <c r="N46" s="402">
        <v>1395725.5872448564</v>
      </c>
      <c r="O46" s="402">
        <v>142512</v>
      </c>
      <c r="P46" s="402">
        <v>6691084.6294258181</v>
      </c>
      <c r="Q46" s="402">
        <v>104232</v>
      </c>
      <c r="R46" s="402">
        <v>5177479.5001154188</v>
      </c>
      <c r="S46" s="402">
        <v>246744</v>
      </c>
      <c r="T46" s="402">
        <v>11868564.129541237</v>
      </c>
    </row>
    <row r="47" spans="2:20" collapsed="1" x14ac:dyDescent="0.25">
      <c r="B47" s="393" t="s">
        <v>750</v>
      </c>
      <c r="C47" s="394">
        <v>35080.083333333336</v>
      </c>
      <c r="D47" s="403">
        <v>2244536.6613261118</v>
      </c>
      <c r="E47" s="394">
        <v>24939.75</v>
      </c>
      <c r="F47" s="403">
        <v>1607813.4939383892</v>
      </c>
      <c r="G47" s="394">
        <v>60019.833333333336</v>
      </c>
      <c r="H47" s="403">
        <v>3852350.155264501</v>
      </c>
      <c r="I47" s="394">
        <v>2213.8333333333335</v>
      </c>
      <c r="J47" s="403">
        <v>351503.93565515365</v>
      </c>
      <c r="K47" s="394">
        <v>1769.75</v>
      </c>
      <c r="L47" s="403">
        <v>271300.319354448</v>
      </c>
      <c r="M47" s="394">
        <v>3983.5833333333335</v>
      </c>
      <c r="N47" s="403">
        <v>622804.25500960171</v>
      </c>
      <c r="O47" s="403">
        <v>37293.916666666664</v>
      </c>
      <c r="P47" s="403">
        <v>2596040.596981266</v>
      </c>
      <c r="Q47" s="403">
        <v>26709.5</v>
      </c>
      <c r="R47" s="403">
        <v>1879113.8132928375</v>
      </c>
      <c r="S47" s="403">
        <v>64003.416666666664</v>
      </c>
      <c r="T47" s="403">
        <v>4475154.4102741033</v>
      </c>
    </row>
    <row r="48" spans="2:20" hidden="1" outlineLevel="1" x14ac:dyDescent="0.25">
      <c r="B48" s="219">
        <v>40179</v>
      </c>
      <c r="C48" s="399">
        <v>147468</v>
      </c>
      <c r="D48" s="402">
        <v>5553700.2832507994</v>
      </c>
      <c r="E48" s="399">
        <v>103465</v>
      </c>
      <c r="F48" s="402">
        <v>4089512.8524746951</v>
      </c>
      <c r="G48" s="399">
        <v>250933</v>
      </c>
      <c r="H48" s="402">
        <v>9643213.1357254945</v>
      </c>
      <c r="I48" s="399">
        <v>5495</v>
      </c>
      <c r="J48" s="402">
        <v>810207.53956321476</v>
      </c>
      <c r="K48" s="399">
        <v>4172</v>
      </c>
      <c r="L48" s="402">
        <v>604753.10642393911</v>
      </c>
      <c r="M48" s="399">
        <v>9667</v>
      </c>
      <c r="N48" s="402">
        <v>1414960.6459871538</v>
      </c>
      <c r="O48" s="402">
        <v>152963</v>
      </c>
      <c r="P48" s="402">
        <v>6363907.8228140138</v>
      </c>
      <c r="Q48" s="402">
        <v>107637</v>
      </c>
      <c r="R48" s="402">
        <v>4694265.9588986337</v>
      </c>
      <c r="S48" s="402">
        <v>260600</v>
      </c>
      <c r="T48" s="402">
        <v>11058173.781712648</v>
      </c>
    </row>
    <row r="49" spans="2:20" hidden="1" outlineLevel="1" x14ac:dyDescent="0.25">
      <c r="B49" s="219">
        <v>40210</v>
      </c>
      <c r="C49" s="399">
        <v>157189</v>
      </c>
      <c r="D49" s="402">
        <v>5970844.3238027869</v>
      </c>
      <c r="E49" s="399">
        <v>108163</v>
      </c>
      <c r="F49" s="402">
        <v>4295671.9225670164</v>
      </c>
      <c r="G49" s="399">
        <v>265352</v>
      </c>
      <c r="H49" s="402">
        <v>10266516.246369805</v>
      </c>
      <c r="I49" s="399">
        <v>5997</v>
      </c>
      <c r="J49" s="402">
        <v>818924.94008202082</v>
      </c>
      <c r="K49" s="399">
        <v>4576</v>
      </c>
      <c r="L49" s="402">
        <v>625773.53274978104</v>
      </c>
      <c r="M49" s="399">
        <v>10573</v>
      </c>
      <c r="N49" s="402">
        <v>1444698.472831802</v>
      </c>
      <c r="O49" s="402">
        <v>163186</v>
      </c>
      <c r="P49" s="402">
        <v>6789769.2638848079</v>
      </c>
      <c r="Q49" s="402">
        <v>112739</v>
      </c>
      <c r="R49" s="402">
        <v>4921445.4553167969</v>
      </c>
      <c r="S49" s="402">
        <v>275925</v>
      </c>
      <c r="T49" s="402">
        <v>11711214.719201606</v>
      </c>
    </row>
    <row r="50" spans="2:20" hidden="1" outlineLevel="1" x14ac:dyDescent="0.25">
      <c r="B50" s="219">
        <v>40238</v>
      </c>
      <c r="C50" s="399">
        <v>167854</v>
      </c>
      <c r="D50" s="402">
        <v>6835034.0653991373</v>
      </c>
      <c r="E50" s="399">
        <v>115920</v>
      </c>
      <c r="F50" s="402">
        <v>5283734.9250651179</v>
      </c>
      <c r="G50" s="399">
        <v>283774</v>
      </c>
      <c r="H50" s="402">
        <v>12118768.990464255</v>
      </c>
      <c r="I50" s="399">
        <v>6477</v>
      </c>
      <c r="J50" s="402">
        <v>942075.34620103973</v>
      </c>
      <c r="K50" s="399">
        <v>4862</v>
      </c>
      <c r="L50" s="402">
        <v>691200.10169573221</v>
      </c>
      <c r="M50" s="399">
        <v>11339</v>
      </c>
      <c r="N50" s="402">
        <v>1633275.4478967721</v>
      </c>
      <c r="O50" s="402">
        <v>174331</v>
      </c>
      <c r="P50" s="402">
        <v>7777109.4116001781</v>
      </c>
      <c r="Q50" s="402">
        <v>120782</v>
      </c>
      <c r="R50" s="402">
        <v>5974935.0267608501</v>
      </c>
      <c r="S50" s="402">
        <v>295113</v>
      </c>
      <c r="T50" s="402">
        <v>13752044.438361026</v>
      </c>
    </row>
    <row r="51" spans="2:20" hidden="1" outlineLevel="1" x14ac:dyDescent="0.25">
      <c r="B51" s="219">
        <v>40269</v>
      </c>
      <c r="C51" s="399">
        <v>172340</v>
      </c>
      <c r="D51" s="402">
        <v>6021648.7788693458</v>
      </c>
      <c r="E51" s="399">
        <v>118241</v>
      </c>
      <c r="F51" s="402">
        <v>4413063.906673668</v>
      </c>
      <c r="G51" s="399">
        <v>290581</v>
      </c>
      <c r="H51" s="402">
        <v>10434712.685543014</v>
      </c>
      <c r="I51" s="399">
        <v>6887</v>
      </c>
      <c r="J51" s="402">
        <v>939967.12328413269</v>
      </c>
      <c r="K51" s="399">
        <v>5130</v>
      </c>
      <c r="L51" s="402">
        <v>686708.93014969281</v>
      </c>
      <c r="M51" s="399">
        <v>12017</v>
      </c>
      <c r="N51" s="402">
        <v>1626676.0534338255</v>
      </c>
      <c r="O51" s="402">
        <v>179227</v>
      </c>
      <c r="P51" s="402">
        <v>6961615.9021534789</v>
      </c>
      <c r="Q51" s="402">
        <v>123371</v>
      </c>
      <c r="R51" s="402">
        <v>5099772.8368233601</v>
      </c>
      <c r="S51" s="402">
        <v>302598</v>
      </c>
      <c r="T51" s="402">
        <v>12061388.73897684</v>
      </c>
    </row>
    <row r="52" spans="2:20" hidden="1" outlineLevel="1" x14ac:dyDescent="0.25">
      <c r="B52" s="219">
        <v>40299</v>
      </c>
      <c r="C52" s="399">
        <v>177041</v>
      </c>
      <c r="D52" s="402">
        <v>6244772.2165081222</v>
      </c>
      <c r="E52" s="399">
        <v>120927</v>
      </c>
      <c r="F52" s="402">
        <v>4714578.6824153541</v>
      </c>
      <c r="G52" s="399">
        <v>297968</v>
      </c>
      <c r="H52" s="402">
        <v>10959350.898923477</v>
      </c>
      <c r="I52" s="399">
        <v>7424</v>
      </c>
      <c r="J52" s="402">
        <v>1032236.3724916609</v>
      </c>
      <c r="K52" s="399">
        <v>5506</v>
      </c>
      <c r="L52" s="402">
        <v>742813.5789693821</v>
      </c>
      <c r="M52" s="399">
        <v>12930</v>
      </c>
      <c r="N52" s="402">
        <v>1775049.951461043</v>
      </c>
      <c r="O52" s="402">
        <v>184465</v>
      </c>
      <c r="P52" s="402">
        <v>7277008.5889997836</v>
      </c>
      <c r="Q52" s="402">
        <v>126433</v>
      </c>
      <c r="R52" s="402">
        <v>5457392.2613847358</v>
      </c>
      <c r="S52" s="402">
        <v>310898</v>
      </c>
      <c r="T52" s="402">
        <v>12734400.85038452</v>
      </c>
    </row>
    <row r="53" spans="2:20" hidden="1" outlineLevel="1" x14ac:dyDescent="0.25">
      <c r="B53" s="219">
        <v>40330</v>
      </c>
      <c r="C53" s="399">
        <v>183571</v>
      </c>
      <c r="D53" s="402">
        <v>6628800.7444886817</v>
      </c>
      <c r="E53" s="399">
        <v>125869</v>
      </c>
      <c r="F53" s="402">
        <v>4775372.7370635234</v>
      </c>
      <c r="G53" s="399">
        <v>309440</v>
      </c>
      <c r="H53" s="402">
        <v>11404173.481552204</v>
      </c>
      <c r="I53" s="399">
        <v>8152</v>
      </c>
      <c r="J53" s="402">
        <v>1252573.3107773596</v>
      </c>
      <c r="K53" s="399">
        <v>6003</v>
      </c>
      <c r="L53" s="402">
        <v>881987.44353266573</v>
      </c>
      <c r="M53" s="399">
        <v>14155</v>
      </c>
      <c r="N53" s="402">
        <v>2134560.7543100254</v>
      </c>
      <c r="O53" s="402">
        <v>191723</v>
      </c>
      <c r="P53" s="402">
        <v>7881374.0552660404</v>
      </c>
      <c r="Q53" s="402">
        <v>131872</v>
      </c>
      <c r="R53" s="402">
        <v>5657360.1805961896</v>
      </c>
      <c r="S53" s="402">
        <v>323595</v>
      </c>
      <c r="T53" s="402">
        <v>13538734.235862231</v>
      </c>
    </row>
    <row r="54" spans="2:20" hidden="1" outlineLevel="1" x14ac:dyDescent="0.25">
      <c r="B54" s="219">
        <v>40360</v>
      </c>
      <c r="C54" s="399">
        <v>187484</v>
      </c>
      <c r="D54" s="402">
        <v>11773723.853341453</v>
      </c>
      <c r="E54" s="399">
        <v>129748</v>
      </c>
      <c r="F54" s="402">
        <v>8463867.6199771259</v>
      </c>
      <c r="G54" s="399">
        <v>317232</v>
      </c>
      <c r="H54" s="402">
        <v>20237591.473318577</v>
      </c>
      <c r="I54" s="399">
        <v>8702</v>
      </c>
      <c r="J54" s="402">
        <v>1224166.0708732416</v>
      </c>
      <c r="K54" s="399">
        <v>6395</v>
      </c>
      <c r="L54" s="402">
        <v>895652.08909101307</v>
      </c>
      <c r="M54" s="399">
        <v>15097</v>
      </c>
      <c r="N54" s="402">
        <v>2119818.1599642551</v>
      </c>
      <c r="O54" s="402">
        <v>196186</v>
      </c>
      <c r="P54" s="402">
        <v>12997889.924214695</v>
      </c>
      <c r="Q54" s="402">
        <v>136143</v>
      </c>
      <c r="R54" s="402">
        <v>9359519.7090681382</v>
      </c>
      <c r="S54" s="402">
        <v>332329</v>
      </c>
      <c r="T54" s="402">
        <v>22357409.633282833</v>
      </c>
    </row>
    <row r="55" spans="2:20" hidden="1" outlineLevel="1" x14ac:dyDescent="0.25">
      <c r="B55" s="219">
        <v>40391</v>
      </c>
      <c r="C55" s="399">
        <v>192848</v>
      </c>
      <c r="D55" s="402">
        <v>12562011.187577946</v>
      </c>
      <c r="E55" s="399">
        <v>133983</v>
      </c>
      <c r="F55" s="402">
        <v>8840904.065910751</v>
      </c>
      <c r="G55" s="399">
        <v>326831</v>
      </c>
      <c r="H55" s="402">
        <v>21402915.253488697</v>
      </c>
      <c r="I55" s="399">
        <v>9142</v>
      </c>
      <c r="J55" s="402">
        <v>1252164.0217879778</v>
      </c>
      <c r="K55" s="399">
        <v>6680</v>
      </c>
      <c r="L55" s="402">
        <v>920223.60016385932</v>
      </c>
      <c r="M55" s="399">
        <v>15822</v>
      </c>
      <c r="N55" s="402">
        <v>2172387.6219518371</v>
      </c>
      <c r="O55" s="402">
        <v>201990</v>
      </c>
      <c r="P55" s="402">
        <v>13814175.209365925</v>
      </c>
      <c r="Q55" s="402">
        <v>140663</v>
      </c>
      <c r="R55" s="402">
        <v>9761127.6660746112</v>
      </c>
      <c r="S55" s="402">
        <v>342653</v>
      </c>
      <c r="T55" s="402">
        <v>23575302.875440538</v>
      </c>
    </row>
    <row r="56" spans="2:20" hidden="1" outlineLevel="1" x14ac:dyDescent="0.25">
      <c r="B56" s="219">
        <v>40422</v>
      </c>
      <c r="C56" s="399">
        <v>198415</v>
      </c>
      <c r="D56" s="402">
        <v>12212313.973527955</v>
      </c>
      <c r="E56" s="399">
        <v>138718</v>
      </c>
      <c r="F56" s="402">
        <v>8695086.6715246215</v>
      </c>
      <c r="G56" s="399">
        <v>337133</v>
      </c>
      <c r="H56" s="402">
        <v>20907400.645052578</v>
      </c>
      <c r="I56" s="399">
        <v>9139</v>
      </c>
      <c r="J56" s="402">
        <v>1172145.2248104743</v>
      </c>
      <c r="K56" s="399">
        <v>6646</v>
      </c>
      <c r="L56" s="402">
        <v>842165.37674246437</v>
      </c>
      <c r="M56" s="399">
        <v>15785</v>
      </c>
      <c r="N56" s="402">
        <v>2014310.601552939</v>
      </c>
      <c r="O56" s="402">
        <v>207554</v>
      </c>
      <c r="P56" s="402">
        <v>13384459.198338429</v>
      </c>
      <c r="Q56" s="402">
        <v>145364</v>
      </c>
      <c r="R56" s="402">
        <v>9537252.0482670851</v>
      </c>
      <c r="S56" s="402">
        <v>352918</v>
      </c>
      <c r="T56" s="402">
        <v>22921711.246605515</v>
      </c>
    </row>
    <row r="57" spans="2:20" hidden="1" outlineLevel="1" x14ac:dyDescent="0.25">
      <c r="B57" s="219">
        <v>40452</v>
      </c>
      <c r="C57" s="399">
        <v>204343</v>
      </c>
      <c r="D57" s="402">
        <v>13288662.943922488</v>
      </c>
      <c r="E57" s="399">
        <v>143664</v>
      </c>
      <c r="F57" s="402">
        <v>9522581.6654444356</v>
      </c>
      <c r="G57" s="399">
        <v>348007</v>
      </c>
      <c r="H57" s="402">
        <v>22811244.609366924</v>
      </c>
      <c r="I57" s="399">
        <v>9374</v>
      </c>
      <c r="J57" s="402">
        <v>1236281.4187451582</v>
      </c>
      <c r="K57" s="399">
        <v>6792</v>
      </c>
      <c r="L57" s="402">
        <v>883373.83218784572</v>
      </c>
      <c r="M57" s="399">
        <v>16166</v>
      </c>
      <c r="N57" s="402">
        <v>2119655.2509330041</v>
      </c>
      <c r="O57" s="402">
        <v>213717</v>
      </c>
      <c r="P57" s="402">
        <v>14524944.362667646</v>
      </c>
      <c r="Q57" s="402">
        <v>150456</v>
      </c>
      <c r="R57" s="402">
        <v>10405955.49763228</v>
      </c>
      <c r="S57" s="402">
        <v>364173</v>
      </c>
      <c r="T57" s="402">
        <v>24930899.860299926</v>
      </c>
    </row>
    <row r="58" spans="2:20" hidden="1" outlineLevel="1" x14ac:dyDescent="0.25">
      <c r="B58" s="219">
        <v>40483</v>
      </c>
      <c r="C58" s="399">
        <v>211646</v>
      </c>
      <c r="D58" s="402">
        <v>14082082.818863796</v>
      </c>
      <c r="E58" s="399">
        <v>150888</v>
      </c>
      <c r="F58" s="402">
        <v>10193730.064162036</v>
      </c>
      <c r="G58" s="399">
        <v>362534</v>
      </c>
      <c r="H58" s="402">
        <v>24275812.883025832</v>
      </c>
      <c r="I58" s="399">
        <v>9728</v>
      </c>
      <c r="J58" s="402">
        <v>1333968.4645135035</v>
      </c>
      <c r="K58" s="399">
        <v>7036</v>
      </c>
      <c r="L58" s="402">
        <v>956502.67295346258</v>
      </c>
      <c r="M58" s="399">
        <v>16764</v>
      </c>
      <c r="N58" s="402">
        <v>2290471.1374669662</v>
      </c>
      <c r="O58" s="402">
        <v>221374</v>
      </c>
      <c r="P58" s="402">
        <v>15416051.283377299</v>
      </c>
      <c r="Q58" s="402">
        <v>157924</v>
      </c>
      <c r="R58" s="402">
        <v>11150232.737115499</v>
      </c>
      <c r="S58" s="402">
        <v>379298</v>
      </c>
      <c r="T58" s="402">
        <v>26566284.0204928</v>
      </c>
    </row>
    <row r="59" spans="2:20" hidden="1" outlineLevel="1" x14ac:dyDescent="0.25">
      <c r="B59" s="219">
        <v>40513</v>
      </c>
      <c r="C59" s="399">
        <v>215860</v>
      </c>
      <c r="D59" s="402">
        <v>13924483.196839407</v>
      </c>
      <c r="E59" s="399">
        <v>154356</v>
      </c>
      <c r="F59" s="402">
        <v>10095088.473542243</v>
      </c>
      <c r="G59" s="399">
        <v>370216</v>
      </c>
      <c r="H59" s="402">
        <v>24019571.670381654</v>
      </c>
      <c r="I59" s="399">
        <v>10094</v>
      </c>
      <c r="J59" s="402">
        <v>1376222.3856850825</v>
      </c>
      <c r="K59" s="399">
        <v>7277</v>
      </c>
      <c r="L59" s="402">
        <v>988663.41494633618</v>
      </c>
      <c r="M59" s="399">
        <v>17371</v>
      </c>
      <c r="N59" s="402">
        <v>2364885.8006314188</v>
      </c>
      <c r="O59" s="402">
        <v>225954</v>
      </c>
      <c r="P59" s="402">
        <v>15300705.58252449</v>
      </c>
      <c r="Q59" s="402">
        <v>161633</v>
      </c>
      <c r="R59" s="402">
        <v>11083751.888488581</v>
      </c>
      <c r="S59" s="402">
        <v>387587</v>
      </c>
      <c r="T59" s="402">
        <v>26384457.471013069</v>
      </c>
    </row>
    <row r="60" spans="2:20" collapsed="1" x14ac:dyDescent="0.25">
      <c r="B60" s="393" t="s">
        <v>751</v>
      </c>
      <c r="C60" s="394">
        <v>184671.58333333334</v>
      </c>
      <c r="D60" s="403">
        <v>9591506.5321993269</v>
      </c>
      <c r="E60" s="394">
        <v>128661.83333333333</v>
      </c>
      <c r="F60" s="403">
        <v>6948599.4655683823</v>
      </c>
      <c r="G60" s="394">
        <v>313333.41666666669</v>
      </c>
      <c r="H60" s="403">
        <v>16540105.997767709</v>
      </c>
      <c r="I60" s="394">
        <v>8050.916666666667</v>
      </c>
      <c r="J60" s="403">
        <v>1115911.0182345721</v>
      </c>
      <c r="K60" s="394">
        <v>5922.916666666667</v>
      </c>
      <c r="L60" s="403">
        <v>809984.80663384788</v>
      </c>
      <c r="M60" s="394">
        <v>13973.833333333334</v>
      </c>
      <c r="N60" s="403">
        <v>1925895.8248684201</v>
      </c>
      <c r="O60" s="403">
        <v>192722.5</v>
      </c>
      <c r="P60" s="403">
        <v>10707417.5504339</v>
      </c>
      <c r="Q60" s="403">
        <v>134584.75</v>
      </c>
      <c r="R60" s="403">
        <v>7758584.2722022301</v>
      </c>
      <c r="S60" s="403">
        <v>327307.25</v>
      </c>
      <c r="T60" s="403">
        <v>18466001.822636127</v>
      </c>
    </row>
    <row r="61" spans="2:20" hidden="1" outlineLevel="1" x14ac:dyDescent="0.25">
      <c r="B61" s="219">
        <v>40544</v>
      </c>
      <c r="C61" s="399">
        <v>216052</v>
      </c>
      <c r="D61" s="402">
        <v>13599519.032795379</v>
      </c>
      <c r="E61" s="399">
        <v>156801</v>
      </c>
      <c r="F61" s="402">
        <v>10309563.425749745</v>
      </c>
      <c r="G61" s="399">
        <v>372853</v>
      </c>
      <c r="H61" s="402">
        <v>23909082.458545122</v>
      </c>
      <c r="I61" s="399">
        <v>10664</v>
      </c>
      <c r="J61" s="402">
        <v>1578404.5207040794</v>
      </c>
      <c r="K61" s="399">
        <v>7665</v>
      </c>
      <c r="L61" s="402">
        <v>1132408.3799536885</v>
      </c>
      <c r="M61" s="399">
        <v>18329</v>
      </c>
      <c r="N61" s="402">
        <v>2710812.9006577679</v>
      </c>
      <c r="O61" s="402">
        <v>226716</v>
      </c>
      <c r="P61" s="402">
        <v>15177923.55349946</v>
      </c>
      <c r="Q61" s="402">
        <v>164466</v>
      </c>
      <c r="R61" s="402">
        <v>11441971.805703433</v>
      </c>
      <c r="S61" s="402">
        <v>391182</v>
      </c>
      <c r="T61" s="402">
        <v>26619895.359202892</v>
      </c>
    </row>
    <row r="62" spans="2:20" hidden="1" outlineLevel="1" x14ac:dyDescent="0.25">
      <c r="B62" s="219">
        <v>40575</v>
      </c>
      <c r="C62" s="399">
        <v>221369</v>
      </c>
      <c r="D62" s="402">
        <v>14725824.571301011</v>
      </c>
      <c r="E62" s="399">
        <v>159862</v>
      </c>
      <c r="F62" s="402">
        <v>10495076.918752184</v>
      </c>
      <c r="G62" s="399">
        <v>381231</v>
      </c>
      <c r="H62" s="402">
        <v>25220901.490053196</v>
      </c>
      <c r="I62" s="399">
        <v>10862</v>
      </c>
      <c r="J62" s="402">
        <v>1408228.0694527428</v>
      </c>
      <c r="K62" s="399">
        <v>7770</v>
      </c>
      <c r="L62" s="402">
        <v>994228.50533926988</v>
      </c>
      <c r="M62" s="399">
        <v>18632</v>
      </c>
      <c r="N62" s="402">
        <v>2402456.5747920126</v>
      </c>
      <c r="O62" s="402">
        <v>232231</v>
      </c>
      <c r="P62" s="402">
        <v>16134052.640753755</v>
      </c>
      <c r="Q62" s="402">
        <v>167632</v>
      </c>
      <c r="R62" s="402">
        <v>11489305.424091453</v>
      </c>
      <c r="S62" s="402">
        <v>399863</v>
      </c>
      <c r="T62" s="402">
        <v>27623358.064845208</v>
      </c>
    </row>
    <row r="63" spans="2:20" hidden="1" outlineLevel="1" x14ac:dyDescent="0.25">
      <c r="B63" s="219">
        <v>40603</v>
      </c>
      <c r="C63" s="399">
        <v>222893</v>
      </c>
      <c r="D63" s="402">
        <v>13568377.842661813</v>
      </c>
      <c r="E63" s="399">
        <v>161524</v>
      </c>
      <c r="F63" s="402">
        <v>10007074.476076487</v>
      </c>
      <c r="G63" s="399">
        <v>384417</v>
      </c>
      <c r="H63" s="402">
        <v>23575452.3187383</v>
      </c>
      <c r="I63" s="399">
        <v>11369</v>
      </c>
      <c r="J63" s="402">
        <v>1637173.438975184</v>
      </c>
      <c r="K63" s="399">
        <v>8148</v>
      </c>
      <c r="L63" s="402">
        <v>1155282.0081850395</v>
      </c>
      <c r="M63" s="399">
        <v>19517</v>
      </c>
      <c r="N63" s="402">
        <v>2792455.4471602235</v>
      </c>
      <c r="O63" s="402">
        <v>234262</v>
      </c>
      <c r="P63" s="402">
        <v>15205551.281636998</v>
      </c>
      <c r="Q63" s="402">
        <v>169672</v>
      </c>
      <c r="R63" s="402">
        <v>11162356.484261526</v>
      </c>
      <c r="S63" s="402">
        <v>403934</v>
      </c>
      <c r="T63" s="402">
        <v>26367907.765898522</v>
      </c>
    </row>
    <row r="64" spans="2:20" hidden="1" outlineLevel="1" x14ac:dyDescent="0.25">
      <c r="B64" s="219">
        <v>40634</v>
      </c>
      <c r="C64" s="399">
        <v>222010</v>
      </c>
      <c r="D64" s="402">
        <v>12825845.806019526</v>
      </c>
      <c r="E64" s="399">
        <v>161901</v>
      </c>
      <c r="F64" s="402">
        <v>9516133.8448389191</v>
      </c>
      <c r="G64" s="399">
        <v>383911</v>
      </c>
      <c r="H64" s="402">
        <v>22341979.650858443</v>
      </c>
      <c r="I64" s="399">
        <v>11684</v>
      </c>
      <c r="J64" s="402">
        <v>1394264.454867115</v>
      </c>
      <c r="K64" s="399">
        <v>8406</v>
      </c>
      <c r="L64" s="402">
        <v>993266.90830545977</v>
      </c>
      <c r="M64" s="399">
        <v>20090</v>
      </c>
      <c r="N64" s="402">
        <v>2387531.3631725749</v>
      </c>
      <c r="O64" s="402">
        <v>233694</v>
      </c>
      <c r="P64" s="402">
        <v>14220110.260886641</v>
      </c>
      <c r="Q64" s="402">
        <v>170307</v>
      </c>
      <c r="R64" s="402">
        <v>10509400.753144378</v>
      </c>
      <c r="S64" s="402">
        <v>404001</v>
      </c>
      <c r="T64" s="402">
        <v>24729511.014031019</v>
      </c>
    </row>
    <row r="65" spans="2:20" hidden="1" outlineLevel="1" x14ac:dyDescent="0.25">
      <c r="B65" s="219">
        <v>40664</v>
      </c>
      <c r="C65" s="399">
        <v>223751</v>
      </c>
      <c r="D65" s="402">
        <v>13790503.322214935</v>
      </c>
      <c r="E65" s="399">
        <v>165419</v>
      </c>
      <c r="F65" s="402">
        <v>10594883.238390397</v>
      </c>
      <c r="G65" s="399">
        <v>389170</v>
      </c>
      <c r="H65" s="402">
        <v>24385386.560605336</v>
      </c>
      <c r="I65" s="399">
        <v>12497</v>
      </c>
      <c r="J65" s="402">
        <v>1868277.3195177144</v>
      </c>
      <c r="K65" s="399">
        <v>9044</v>
      </c>
      <c r="L65" s="402">
        <v>1372052.3212361166</v>
      </c>
      <c r="M65" s="399">
        <v>21541</v>
      </c>
      <c r="N65" s="402">
        <v>3240329.6407538308</v>
      </c>
      <c r="O65" s="402">
        <v>236248</v>
      </c>
      <c r="P65" s="402">
        <v>15658780.641732648</v>
      </c>
      <c r="Q65" s="402">
        <v>174463</v>
      </c>
      <c r="R65" s="402">
        <v>11966935.559626514</v>
      </c>
      <c r="S65" s="402">
        <v>410711</v>
      </c>
      <c r="T65" s="402">
        <v>27625716.201359164</v>
      </c>
    </row>
    <row r="66" spans="2:20" hidden="1" outlineLevel="1" x14ac:dyDescent="0.25">
      <c r="B66" s="219">
        <v>40695</v>
      </c>
      <c r="C66" s="399">
        <v>229420</v>
      </c>
      <c r="D66" s="402">
        <v>14778729.855182366</v>
      </c>
      <c r="E66" s="399">
        <v>168072</v>
      </c>
      <c r="F66" s="402">
        <v>10572184.247449169</v>
      </c>
      <c r="G66" s="399">
        <v>397492</v>
      </c>
      <c r="H66" s="402">
        <v>25350914.102631539</v>
      </c>
      <c r="I66" s="399">
        <v>13001</v>
      </c>
      <c r="J66" s="402">
        <v>1781662.0469490262</v>
      </c>
      <c r="K66" s="399">
        <v>9368</v>
      </c>
      <c r="L66" s="402">
        <v>1258164.4935454833</v>
      </c>
      <c r="M66" s="399">
        <v>22369</v>
      </c>
      <c r="N66" s="402">
        <v>3039826.540494509</v>
      </c>
      <c r="O66" s="402">
        <v>242421</v>
      </c>
      <c r="P66" s="402">
        <v>16560391.902131394</v>
      </c>
      <c r="Q66" s="402">
        <v>177440</v>
      </c>
      <c r="R66" s="402">
        <v>11830348.740994655</v>
      </c>
      <c r="S66" s="402">
        <v>419861</v>
      </c>
      <c r="T66" s="402">
        <v>28390740.643126044</v>
      </c>
    </row>
    <row r="67" spans="2:20" hidden="1" outlineLevel="1" x14ac:dyDescent="0.25">
      <c r="B67" s="219">
        <v>40725</v>
      </c>
      <c r="C67" s="399">
        <v>232716</v>
      </c>
      <c r="D67" s="402">
        <v>18252412.136865173</v>
      </c>
      <c r="E67" s="399">
        <v>169626</v>
      </c>
      <c r="F67" s="402">
        <v>13239619.362223899</v>
      </c>
      <c r="G67" s="399">
        <v>402342</v>
      </c>
      <c r="H67" s="402">
        <v>31492031.499089073</v>
      </c>
      <c r="I67" s="399">
        <v>13322</v>
      </c>
      <c r="J67" s="402">
        <v>1773243.7298810582</v>
      </c>
      <c r="K67" s="399">
        <v>9629</v>
      </c>
      <c r="L67" s="402">
        <v>1288622.9184286634</v>
      </c>
      <c r="M67" s="399">
        <v>22951</v>
      </c>
      <c r="N67" s="402">
        <v>3061866.6483097221</v>
      </c>
      <c r="O67" s="402">
        <v>246038</v>
      </c>
      <c r="P67" s="402">
        <v>20025655.866746232</v>
      </c>
      <c r="Q67" s="402">
        <v>179255</v>
      </c>
      <c r="R67" s="402">
        <v>14528242.280652564</v>
      </c>
      <c r="S67" s="402">
        <v>425293</v>
      </c>
      <c r="T67" s="402">
        <v>34553898.1473988</v>
      </c>
    </row>
    <row r="68" spans="2:20" hidden="1" outlineLevel="1" x14ac:dyDescent="0.25">
      <c r="B68" s="219">
        <v>40756</v>
      </c>
      <c r="C68" s="399">
        <v>237643</v>
      </c>
      <c r="D68" s="402">
        <v>19097464.915856</v>
      </c>
      <c r="E68" s="399">
        <v>172104</v>
      </c>
      <c r="F68" s="402">
        <v>13785018.427700276</v>
      </c>
      <c r="G68" s="399">
        <v>409747</v>
      </c>
      <c r="H68" s="402">
        <v>32882483.343556274</v>
      </c>
      <c r="I68" s="399">
        <v>13665</v>
      </c>
      <c r="J68" s="402">
        <v>1836684.286149838</v>
      </c>
      <c r="K68" s="399">
        <v>9887</v>
      </c>
      <c r="L68" s="402">
        <v>1342008.9417404239</v>
      </c>
      <c r="M68" s="399">
        <v>23552</v>
      </c>
      <c r="N68" s="402">
        <v>3178693.2278902614</v>
      </c>
      <c r="O68" s="402">
        <v>251308</v>
      </c>
      <c r="P68" s="402">
        <v>20934149.202005837</v>
      </c>
      <c r="Q68" s="402">
        <v>181991</v>
      </c>
      <c r="R68" s="402">
        <v>15127027.369440699</v>
      </c>
      <c r="S68" s="402">
        <v>433299</v>
      </c>
      <c r="T68" s="402">
        <v>36061176.571446531</v>
      </c>
    </row>
    <row r="69" spans="2:20" hidden="1" outlineLevel="1" x14ac:dyDescent="0.25">
      <c r="B69" s="219">
        <v>40787</v>
      </c>
      <c r="C69" s="399">
        <v>237602</v>
      </c>
      <c r="D69" s="402">
        <v>17593805.044188403</v>
      </c>
      <c r="E69" s="399">
        <v>171862</v>
      </c>
      <c r="F69" s="402">
        <v>12826512.25074357</v>
      </c>
      <c r="G69" s="399">
        <v>409464</v>
      </c>
      <c r="H69" s="402">
        <v>30420317.294931978</v>
      </c>
      <c r="I69" s="399">
        <v>13650</v>
      </c>
      <c r="J69" s="402">
        <v>1678693.2104747223</v>
      </c>
      <c r="K69" s="399">
        <v>9861</v>
      </c>
      <c r="L69" s="402">
        <v>1199497.1390121491</v>
      </c>
      <c r="M69" s="399">
        <v>23511</v>
      </c>
      <c r="N69" s="402">
        <v>2878190.3494868712</v>
      </c>
      <c r="O69" s="402">
        <v>251252</v>
      </c>
      <c r="P69" s="402">
        <v>19272498.254663128</v>
      </c>
      <c r="Q69" s="402">
        <v>181723</v>
      </c>
      <c r="R69" s="402">
        <v>14026009.38975572</v>
      </c>
      <c r="S69" s="402">
        <v>432975</v>
      </c>
      <c r="T69" s="402">
        <v>33298507.644418847</v>
      </c>
    </row>
    <row r="70" spans="2:20" hidden="1" outlineLevel="1" x14ac:dyDescent="0.25">
      <c r="B70" s="219">
        <v>40817</v>
      </c>
      <c r="C70" s="399">
        <v>244518</v>
      </c>
      <c r="D70" s="402">
        <v>19989388.021537684</v>
      </c>
      <c r="E70" s="399">
        <v>177646</v>
      </c>
      <c r="F70" s="402">
        <v>15092268.662873162</v>
      </c>
      <c r="G70" s="399">
        <v>422164</v>
      </c>
      <c r="H70" s="402">
        <v>35081656.68441084</v>
      </c>
      <c r="I70" s="399">
        <v>14421</v>
      </c>
      <c r="J70" s="402">
        <v>2081838.1332914804</v>
      </c>
      <c r="K70" s="399">
        <v>10422</v>
      </c>
      <c r="L70" s="402">
        <v>1511821.6041560746</v>
      </c>
      <c r="M70" s="399">
        <v>24843</v>
      </c>
      <c r="N70" s="402">
        <v>3593659.7374475547</v>
      </c>
      <c r="O70" s="402">
        <v>258939</v>
      </c>
      <c r="P70" s="402">
        <v>22071226.154829167</v>
      </c>
      <c r="Q70" s="402">
        <v>188068</v>
      </c>
      <c r="R70" s="402">
        <v>16604090.267029235</v>
      </c>
      <c r="S70" s="402">
        <v>447007</v>
      </c>
      <c r="T70" s="402">
        <v>38675316.4218584</v>
      </c>
    </row>
    <row r="71" spans="2:20" hidden="1" outlineLevel="1" x14ac:dyDescent="0.25">
      <c r="B71" s="219">
        <v>40848</v>
      </c>
      <c r="C71" s="399">
        <v>244805</v>
      </c>
      <c r="D71" s="402">
        <v>18546296.036300264</v>
      </c>
      <c r="E71" s="399">
        <v>177882</v>
      </c>
      <c r="F71" s="402">
        <v>13773577.245253691</v>
      </c>
      <c r="G71" s="399">
        <v>422687</v>
      </c>
      <c r="H71" s="402">
        <v>32319873.28155395</v>
      </c>
      <c r="I71" s="399">
        <v>14395</v>
      </c>
      <c r="J71" s="402">
        <v>1763849.9569781797</v>
      </c>
      <c r="K71" s="399">
        <v>10364</v>
      </c>
      <c r="L71" s="402">
        <v>1260409.7326550782</v>
      </c>
      <c r="M71" s="399">
        <v>24759</v>
      </c>
      <c r="N71" s="402">
        <v>3024259.6896332577</v>
      </c>
      <c r="O71" s="402">
        <v>259200</v>
      </c>
      <c r="P71" s="402">
        <v>20310145.993278444</v>
      </c>
      <c r="Q71" s="402">
        <v>188246</v>
      </c>
      <c r="R71" s="402">
        <v>15033986.97790877</v>
      </c>
      <c r="S71" s="402">
        <v>447446</v>
      </c>
      <c r="T71" s="402">
        <v>35344132.971187212</v>
      </c>
    </row>
    <row r="72" spans="2:20" hidden="1" outlineLevel="1" x14ac:dyDescent="0.25">
      <c r="B72" s="219">
        <v>40878</v>
      </c>
      <c r="C72" s="399">
        <v>253065</v>
      </c>
      <c r="D72" s="402">
        <v>20596907.606099557</v>
      </c>
      <c r="E72" s="399">
        <v>183726</v>
      </c>
      <c r="F72" s="402">
        <v>15213853.70288408</v>
      </c>
      <c r="G72" s="399">
        <v>436791</v>
      </c>
      <c r="H72" s="402">
        <v>35810761.308983631</v>
      </c>
      <c r="I72" s="399">
        <v>15067</v>
      </c>
      <c r="J72" s="402">
        <v>2132666.2272857539</v>
      </c>
      <c r="K72" s="399">
        <v>10837</v>
      </c>
      <c r="L72" s="402">
        <v>1535616.9258221672</v>
      </c>
      <c r="M72" s="399">
        <v>25904</v>
      </c>
      <c r="N72" s="402">
        <v>3668283.1531079211</v>
      </c>
      <c r="O72" s="402">
        <v>268132</v>
      </c>
      <c r="P72" s="402">
        <v>22729573.833385307</v>
      </c>
      <c r="Q72" s="402">
        <v>194563</v>
      </c>
      <c r="R72" s="402">
        <v>16749470.628706247</v>
      </c>
      <c r="S72" s="402">
        <v>462695</v>
      </c>
      <c r="T72" s="402">
        <v>39479044.46209155</v>
      </c>
    </row>
    <row r="73" spans="2:20" collapsed="1" x14ac:dyDescent="0.25">
      <c r="B73" s="393" t="s">
        <v>752</v>
      </c>
      <c r="C73" s="394">
        <v>232153.66666666666</v>
      </c>
      <c r="D73" s="403">
        <v>16447089.515918508</v>
      </c>
      <c r="E73" s="394">
        <v>168868.75</v>
      </c>
      <c r="F73" s="403">
        <v>12118813.816911301</v>
      </c>
      <c r="G73" s="394">
        <v>401022.41666666669</v>
      </c>
      <c r="H73" s="403">
        <v>28565903.332829803</v>
      </c>
      <c r="I73" s="394">
        <v>12883.083333333334</v>
      </c>
      <c r="J73" s="403">
        <v>1744582.1162105745</v>
      </c>
      <c r="K73" s="394">
        <v>9283.4166666666661</v>
      </c>
      <c r="L73" s="403">
        <v>1253614.9898649678</v>
      </c>
      <c r="M73" s="394">
        <v>22166.5</v>
      </c>
      <c r="N73" s="403">
        <v>2998197.1060755425</v>
      </c>
      <c r="O73" s="403">
        <v>245036.75</v>
      </c>
      <c r="P73" s="403">
        <v>18191671.632129084</v>
      </c>
      <c r="Q73" s="403">
        <v>178152.16666666666</v>
      </c>
      <c r="R73" s="403">
        <v>13372428.806776268</v>
      </c>
      <c r="S73" s="403">
        <v>423188.91666666669</v>
      </c>
      <c r="T73" s="403">
        <v>31564100.438905355</v>
      </c>
    </row>
    <row r="74" spans="2:20" hidden="1" outlineLevel="1" x14ac:dyDescent="0.25">
      <c r="B74" s="219">
        <v>40909</v>
      </c>
      <c r="C74" s="399">
        <v>252071</v>
      </c>
      <c r="D74" s="402">
        <v>18090032.533353027</v>
      </c>
      <c r="E74" s="399">
        <v>182814</v>
      </c>
      <c r="F74" s="402">
        <v>13727688.155197324</v>
      </c>
      <c r="G74" s="399">
        <v>434885</v>
      </c>
      <c r="H74" s="402">
        <v>31817720.688550353</v>
      </c>
      <c r="I74" s="399">
        <v>15016</v>
      </c>
      <c r="J74" s="402">
        <v>1820368.3562567346</v>
      </c>
      <c r="K74" s="399">
        <v>10786</v>
      </c>
      <c r="L74" s="402">
        <v>1294104.0193959521</v>
      </c>
      <c r="M74" s="399">
        <v>25802</v>
      </c>
      <c r="N74" s="402">
        <v>3114472.3756526867</v>
      </c>
      <c r="O74" s="402">
        <v>267087</v>
      </c>
      <c r="P74" s="402">
        <v>19910400.889609765</v>
      </c>
      <c r="Q74" s="402">
        <v>193600</v>
      </c>
      <c r="R74" s="402">
        <v>15021792.174593277</v>
      </c>
      <c r="S74" s="402">
        <v>460687</v>
      </c>
      <c r="T74" s="402">
        <v>34932193.064203039</v>
      </c>
    </row>
    <row r="75" spans="2:20" hidden="1" outlineLevel="1" x14ac:dyDescent="0.25">
      <c r="B75" s="219">
        <v>40940</v>
      </c>
      <c r="C75" s="399">
        <v>257841</v>
      </c>
      <c r="D75" s="402">
        <v>20281074.74110819</v>
      </c>
      <c r="E75" s="399">
        <v>187623</v>
      </c>
      <c r="F75" s="402">
        <v>15067177.553782169</v>
      </c>
      <c r="G75" s="399">
        <v>445464</v>
      </c>
      <c r="H75" s="402">
        <v>35348252.294890359</v>
      </c>
      <c r="I75" s="399">
        <v>15866</v>
      </c>
      <c r="J75" s="402">
        <v>2288299.2459595227</v>
      </c>
      <c r="K75" s="399">
        <v>11407</v>
      </c>
      <c r="L75" s="402">
        <v>1658139.5075751343</v>
      </c>
      <c r="M75" s="399">
        <v>27273</v>
      </c>
      <c r="N75" s="402">
        <v>3946438.7535346565</v>
      </c>
      <c r="O75" s="402">
        <v>273707</v>
      </c>
      <c r="P75" s="402">
        <v>22569373.987067711</v>
      </c>
      <c r="Q75" s="402">
        <v>199030</v>
      </c>
      <c r="R75" s="402">
        <v>16725317.061357304</v>
      </c>
      <c r="S75" s="402">
        <v>472737</v>
      </c>
      <c r="T75" s="402">
        <v>39294691.048425011</v>
      </c>
    </row>
    <row r="76" spans="2:20" hidden="1" outlineLevel="1" x14ac:dyDescent="0.25">
      <c r="B76" s="219">
        <v>40969</v>
      </c>
      <c r="C76" s="399">
        <v>266227</v>
      </c>
      <c r="D76" s="402">
        <v>20892029.117322966</v>
      </c>
      <c r="E76" s="399">
        <v>193233</v>
      </c>
      <c r="F76" s="402">
        <v>15149946.241617724</v>
      </c>
      <c r="G76" s="399">
        <v>459460</v>
      </c>
      <c r="H76" s="402">
        <v>36041975.358940691</v>
      </c>
      <c r="I76" s="399">
        <v>16203</v>
      </c>
      <c r="J76" s="402">
        <v>2118267.1445548018</v>
      </c>
      <c r="K76" s="399">
        <v>11662</v>
      </c>
      <c r="L76" s="402">
        <v>1536721.5349322679</v>
      </c>
      <c r="M76" s="399">
        <v>27865</v>
      </c>
      <c r="N76" s="402">
        <v>3654988.6794870701</v>
      </c>
      <c r="O76" s="402">
        <v>282430</v>
      </c>
      <c r="P76" s="402">
        <v>23010296.261877768</v>
      </c>
      <c r="Q76" s="402">
        <v>204895</v>
      </c>
      <c r="R76" s="402">
        <v>16686667.776549991</v>
      </c>
      <c r="S76" s="402">
        <v>487325</v>
      </c>
      <c r="T76" s="402">
        <v>39696964.038427755</v>
      </c>
    </row>
    <row r="77" spans="2:20" hidden="1" outlineLevel="1" x14ac:dyDescent="0.25">
      <c r="B77" s="219">
        <v>41000</v>
      </c>
      <c r="C77" s="399">
        <v>268907</v>
      </c>
      <c r="D77" s="402">
        <v>19742266.457034919</v>
      </c>
      <c r="E77" s="399">
        <v>195360</v>
      </c>
      <c r="F77" s="402">
        <v>14576775.450381974</v>
      </c>
      <c r="G77" s="399">
        <v>464267</v>
      </c>
      <c r="H77" s="402">
        <v>34319041.907416895</v>
      </c>
      <c r="I77" s="399">
        <v>16729</v>
      </c>
      <c r="J77" s="402">
        <v>2158782.6032315083</v>
      </c>
      <c r="K77" s="399">
        <v>12056</v>
      </c>
      <c r="L77" s="402">
        <v>1542131.4357280601</v>
      </c>
      <c r="M77" s="399">
        <v>28785</v>
      </c>
      <c r="N77" s="402">
        <v>3700914.0389595684</v>
      </c>
      <c r="O77" s="402">
        <v>285636</v>
      </c>
      <c r="P77" s="402">
        <v>21901049.060266428</v>
      </c>
      <c r="Q77" s="402">
        <v>207416</v>
      </c>
      <c r="R77" s="402">
        <v>16118906.886110034</v>
      </c>
      <c r="S77" s="402">
        <v>493052</v>
      </c>
      <c r="T77" s="402">
        <v>38019955.946376458</v>
      </c>
    </row>
    <row r="78" spans="2:20" hidden="1" outlineLevel="1" x14ac:dyDescent="0.25">
      <c r="B78" s="219">
        <v>41030</v>
      </c>
      <c r="C78" s="399">
        <v>273881</v>
      </c>
      <c r="D78" s="402">
        <v>20851650.751524359</v>
      </c>
      <c r="E78" s="399">
        <v>198501</v>
      </c>
      <c r="F78" s="402">
        <v>15259014.035778042</v>
      </c>
      <c r="G78" s="399">
        <v>472382</v>
      </c>
      <c r="H78" s="402">
        <v>36110664.787302397</v>
      </c>
      <c r="I78" s="399">
        <v>17101</v>
      </c>
      <c r="J78" s="402">
        <v>2211023.3722741897</v>
      </c>
      <c r="K78" s="399">
        <v>12311</v>
      </c>
      <c r="L78" s="402">
        <v>1586258.2389420918</v>
      </c>
      <c r="M78" s="399">
        <v>29412</v>
      </c>
      <c r="N78" s="402">
        <v>3797281.611216282</v>
      </c>
      <c r="O78" s="402">
        <v>290982</v>
      </c>
      <c r="P78" s="402">
        <v>23062674.123798549</v>
      </c>
      <c r="Q78" s="402">
        <v>210812</v>
      </c>
      <c r="R78" s="402">
        <v>16845272.274720132</v>
      </c>
      <c r="S78" s="402">
        <v>501794</v>
      </c>
      <c r="T78" s="402">
        <v>39907946.398518682</v>
      </c>
    </row>
    <row r="79" spans="2:20" hidden="1" outlineLevel="1" x14ac:dyDescent="0.25">
      <c r="B79" s="219">
        <v>41061</v>
      </c>
      <c r="C79" s="399">
        <v>279232</v>
      </c>
      <c r="D79" s="402">
        <v>21218021.921121992</v>
      </c>
      <c r="E79" s="399">
        <v>201334</v>
      </c>
      <c r="F79" s="402">
        <v>15264191.409909744</v>
      </c>
      <c r="G79" s="399">
        <v>480566</v>
      </c>
      <c r="H79" s="402">
        <v>36482213.33103174</v>
      </c>
      <c r="I79" s="399">
        <v>17619</v>
      </c>
      <c r="J79" s="402">
        <v>2259127.9344363995</v>
      </c>
      <c r="K79" s="399">
        <v>12603</v>
      </c>
      <c r="L79" s="402">
        <v>1631414.4041801356</v>
      </c>
      <c r="M79" s="399">
        <v>30222</v>
      </c>
      <c r="N79" s="402">
        <v>3890542.3386165346</v>
      </c>
      <c r="O79" s="402">
        <v>296851</v>
      </c>
      <c r="P79" s="402">
        <v>23477149.855558392</v>
      </c>
      <c r="Q79" s="402">
        <v>213937</v>
      </c>
      <c r="R79" s="402">
        <v>16895605.814089879</v>
      </c>
      <c r="S79" s="402">
        <v>510788</v>
      </c>
      <c r="T79" s="402">
        <v>40372755.669648267</v>
      </c>
    </row>
    <row r="80" spans="2:20" hidden="1" outlineLevel="1" x14ac:dyDescent="0.25">
      <c r="B80" s="219">
        <v>41091</v>
      </c>
      <c r="C80" s="399">
        <v>276215</v>
      </c>
      <c r="D80" s="402">
        <v>21407051.458303466</v>
      </c>
      <c r="E80" s="399">
        <v>202381</v>
      </c>
      <c r="F80" s="402">
        <v>15812134.039357699</v>
      </c>
      <c r="G80" s="399">
        <v>478596</v>
      </c>
      <c r="H80" s="402">
        <v>37219185.497661173</v>
      </c>
      <c r="I80" s="399">
        <v>17698</v>
      </c>
      <c r="J80" s="402">
        <v>2307483.6592170154</v>
      </c>
      <c r="K80" s="399">
        <v>12634</v>
      </c>
      <c r="L80" s="402">
        <v>1657586.0162327234</v>
      </c>
      <c r="M80" s="399">
        <v>30332</v>
      </c>
      <c r="N80" s="402">
        <v>3965069.6754497392</v>
      </c>
      <c r="O80" s="402">
        <v>293913</v>
      </c>
      <c r="P80" s="402">
        <v>23714535.117520485</v>
      </c>
      <c r="Q80" s="402">
        <v>215015</v>
      </c>
      <c r="R80" s="402">
        <v>17469720.055590425</v>
      </c>
      <c r="S80" s="402">
        <v>508928</v>
      </c>
      <c r="T80" s="402">
        <v>41184255.17311091</v>
      </c>
    </row>
    <row r="81" spans="2:20" hidden="1" outlineLevel="1" x14ac:dyDescent="0.25">
      <c r="B81" s="219">
        <v>41122</v>
      </c>
      <c r="C81" s="399">
        <v>282810</v>
      </c>
      <c r="D81" s="402">
        <v>22329213.162228178</v>
      </c>
      <c r="E81" s="399">
        <v>207070</v>
      </c>
      <c r="F81" s="402">
        <v>16443923.166378388</v>
      </c>
      <c r="G81" s="399">
        <v>489880</v>
      </c>
      <c r="H81" s="402">
        <v>38773136.328606568</v>
      </c>
      <c r="I81" s="399">
        <v>23663</v>
      </c>
      <c r="J81" s="402">
        <v>3052096.8676798739</v>
      </c>
      <c r="K81" s="399">
        <v>19160</v>
      </c>
      <c r="L81" s="402">
        <v>2420742.4865127709</v>
      </c>
      <c r="M81" s="399">
        <v>42823</v>
      </c>
      <c r="N81" s="402">
        <v>5472839.3541926444</v>
      </c>
      <c r="O81" s="402">
        <v>306473</v>
      </c>
      <c r="P81" s="402">
        <v>25381310.029908054</v>
      </c>
      <c r="Q81" s="402">
        <v>226230</v>
      </c>
      <c r="R81" s="402">
        <v>18864665.652891155</v>
      </c>
      <c r="S81" s="402">
        <v>532703</v>
      </c>
      <c r="T81" s="402">
        <v>44245975.682799213</v>
      </c>
    </row>
    <row r="82" spans="2:20" hidden="1" outlineLevel="1" x14ac:dyDescent="0.25">
      <c r="B82" s="219">
        <v>41153</v>
      </c>
      <c r="C82" s="399">
        <v>287696</v>
      </c>
      <c r="D82" s="402">
        <v>22283296.759257153</v>
      </c>
      <c r="E82" s="399">
        <v>211511</v>
      </c>
      <c r="F82" s="402">
        <v>16539513.346613074</v>
      </c>
      <c r="G82" s="399">
        <v>499207</v>
      </c>
      <c r="H82" s="402">
        <v>38822810.105870225</v>
      </c>
      <c r="I82" s="399">
        <v>23918</v>
      </c>
      <c r="J82" s="402">
        <v>3031496.5871879035</v>
      </c>
      <c r="K82" s="399">
        <v>19316</v>
      </c>
      <c r="L82" s="402">
        <v>2459367.8474796172</v>
      </c>
      <c r="M82" s="399">
        <v>43234</v>
      </c>
      <c r="N82" s="402">
        <v>5490864.4346675202</v>
      </c>
      <c r="O82" s="402">
        <v>311614</v>
      </c>
      <c r="P82" s="402">
        <v>25314793.346445054</v>
      </c>
      <c r="Q82" s="402">
        <v>230827</v>
      </c>
      <c r="R82" s="402">
        <v>18998881.194092691</v>
      </c>
      <c r="S82" s="402">
        <v>542441</v>
      </c>
      <c r="T82" s="402">
        <v>44313674.540537745</v>
      </c>
    </row>
    <row r="83" spans="2:20" hidden="1" outlineLevel="1" x14ac:dyDescent="0.25">
      <c r="B83" s="219">
        <v>41183</v>
      </c>
      <c r="C83" s="399">
        <v>294781</v>
      </c>
      <c r="D83" s="402">
        <v>23128477.524549484</v>
      </c>
      <c r="E83" s="399">
        <v>216179</v>
      </c>
      <c r="F83" s="402">
        <v>16888399.03641399</v>
      </c>
      <c r="G83" s="399">
        <v>510960</v>
      </c>
      <c r="H83" s="402">
        <v>40016876.560963467</v>
      </c>
      <c r="I83" s="399">
        <v>22975</v>
      </c>
      <c r="J83" s="402">
        <v>2935810.4252061062</v>
      </c>
      <c r="K83" s="399">
        <v>18437</v>
      </c>
      <c r="L83" s="402">
        <v>2320577.0265771379</v>
      </c>
      <c r="M83" s="399">
        <v>41412</v>
      </c>
      <c r="N83" s="402">
        <v>5256387.4517832445</v>
      </c>
      <c r="O83" s="402">
        <v>317756</v>
      </c>
      <c r="P83" s="402">
        <v>26064287.949755587</v>
      </c>
      <c r="Q83" s="402">
        <v>234616</v>
      </c>
      <c r="R83" s="402">
        <v>19208976.062991127</v>
      </c>
      <c r="S83" s="402">
        <v>552372</v>
      </c>
      <c r="T83" s="402">
        <v>45273264.012746714</v>
      </c>
    </row>
    <row r="84" spans="2:20" hidden="1" outlineLevel="1" x14ac:dyDescent="0.25">
      <c r="B84" s="219">
        <v>41214</v>
      </c>
      <c r="C84" s="399">
        <v>303521</v>
      </c>
      <c r="D84" s="402">
        <v>23807933.260752272</v>
      </c>
      <c r="E84" s="399">
        <v>223185</v>
      </c>
      <c r="F84" s="402">
        <v>17594963.194143664</v>
      </c>
      <c r="G84" s="399">
        <v>526706</v>
      </c>
      <c r="H84" s="402">
        <v>41402896.454895943</v>
      </c>
      <c r="I84" s="399">
        <v>21524</v>
      </c>
      <c r="J84" s="402">
        <v>2705036.9449587394</v>
      </c>
      <c r="K84" s="399">
        <v>16946</v>
      </c>
      <c r="L84" s="402">
        <v>2084128.8966279393</v>
      </c>
      <c r="M84" s="399">
        <v>38470</v>
      </c>
      <c r="N84" s="402">
        <v>4789165.8415866783</v>
      </c>
      <c r="O84" s="402">
        <v>325045</v>
      </c>
      <c r="P84" s="402">
        <v>26512970.205711015</v>
      </c>
      <c r="Q84" s="402">
        <v>240131</v>
      </c>
      <c r="R84" s="402">
        <v>19679092.090771604</v>
      </c>
      <c r="S84" s="402">
        <v>565176</v>
      </c>
      <c r="T84" s="402">
        <v>46192062.296482623</v>
      </c>
    </row>
    <row r="85" spans="2:20" hidden="1" outlineLevel="1" x14ac:dyDescent="0.25">
      <c r="B85" s="219">
        <v>41244</v>
      </c>
      <c r="C85" s="399">
        <v>312354</v>
      </c>
      <c r="D85" s="402">
        <v>24339751.893388286</v>
      </c>
      <c r="E85" s="399">
        <v>227534</v>
      </c>
      <c r="F85" s="402">
        <v>17583140.894446321</v>
      </c>
      <c r="G85" s="399">
        <v>539888</v>
      </c>
      <c r="H85" s="402">
        <v>41922892.787834607</v>
      </c>
      <c r="I85" s="399">
        <v>22465</v>
      </c>
      <c r="J85" s="402">
        <v>2927634.2185573266</v>
      </c>
      <c r="K85" s="399">
        <v>17699</v>
      </c>
      <c r="L85" s="402">
        <v>2249384.9557529152</v>
      </c>
      <c r="M85" s="399">
        <v>40164</v>
      </c>
      <c r="N85" s="402">
        <v>5177019.1743102428</v>
      </c>
      <c r="O85" s="402">
        <v>334819</v>
      </c>
      <c r="P85" s="402">
        <v>27267386.111945614</v>
      </c>
      <c r="Q85" s="402">
        <v>245233</v>
      </c>
      <c r="R85" s="402">
        <v>19832525.850199237</v>
      </c>
      <c r="S85" s="402">
        <v>580052</v>
      </c>
      <c r="T85" s="402">
        <v>47099911.962144852</v>
      </c>
    </row>
    <row r="86" spans="2:20" collapsed="1" x14ac:dyDescent="0.25">
      <c r="B86" s="393" t="s">
        <v>753</v>
      </c>
      <c r="C86" s="394">
        <v>279628</v>
      </c>
      <c r="D86" s="403">
        <v>21530899.964995354</v>
      </c>
      <c r="E86" s="394">
        <v>203893.75</v>
      </c>
      <c r="F86" s="403">
        <v>15825572.210335009</v>
      </c>
      <c r="G86" s="394">
        <v>483521.75</v>
      </c>
      <c r="H86" s="403">
        <v>37356472.175330363</v>
      </c>
      <c r="I86" s="394">
        <v>19231.416666666668</v>
      </c>
      <c r="J86" s="403">
        <v>2484618.9466266767</v>
      </c>
      <c r="K86" s="394">
        <v>14584.75</v>
      </c>
      <c r="L86" s="403">
        <v>1870046.3641613957</v>
      </c>
      <c r="M86" s="394">
        <v>33816.166666666664</v>
      </c>
      <c r="N86" s="403">
        <v>4354665.3107880726</v>
      </c>
      <c r="O86" s="403">
        <v>298859.41666666669</v>
      </c>
      <c r="P86" s="403">
        <v>24015518.911622033</v>
      </c>
      <c r="Q86" s="403">
        <v>218478.5</v>
      </c>
      <c r="R86" s="403">
        <v>17695618.574496403</v>
      </c>
      <c r="S86" s="403">
        <v>517337.91666666669</v>
      </c>
      <c r="T86" s="403">
        <v>41711137.486118443</v>
      </c>
    </row>
    <row r="87" spans="2:20" hidden="1" outlineLevel="1" x14ac:dyDescent="0.25">
      <c r="B87" s="219">
        <v>41275</v>
      </c>
      <c r="C87" s="399">
        <v>316102</v>
      </c>
      <c r="D87" s="402">
        <v>23941464.50225646</v>
      </c>
      <c r="E87" s="399">
        <v>230222</v>
      </c>
      <c r="F87" s="402">
        <v>17563191.996854424</v>
      </c>
      <c r="G87" s="399">
        <v>546324</v>
      </c>
      <c r="H87" s="402">
        <v>41504656.499110885</v>
      </c>
      <c r="I87" s="399">
        <v>22998</v>
      </c>
      <c r="J87" s="402">
        <v>2910613.1090508671</v>
      </c>
      <c r="K87" s="399">
        <v>18080</v>
      </c>
      <c r="L87" s="402">
        <v>2247279.683898312</v>
      </c>
      <c r="M87" s="399">
        <v>41078</v>
      </c>
      <c r="N87" s="402">
        <v>5157892.7929491783</v>
      </c>
      <c r="O87" s="402">
        <v>339100</v>
      </c>
      <c r="P87" s="402">
        <v>26852077.611307327</v>
      </c>
      <c r="Q87" s="402">
        <v>248302</v>
      </c>
      <c r="R87" s="402">
        <v>19810471.680752736</v>
      </c>
      <c r="S87" s="402">
        <v>587402</v>
      </c>
      <c r="T87" s="402">
        <v>46662549.29206007</v>
      </c>
    </row>
    <row r="88" spans="2:20" hidden="1" outlineLevel="1" x14ac:dyDescent="0.25">
      <c r="B88" s="219">
        <v>41306</v>
      </c>
      <c r="C88" s="399">
        <v>318370</v>
      </c>
      <c r="D88" s="402">
        <v>23569827.630893242</v>
      </c>
      <c r="E88" s="399">
        <v>231652</v>
      </c>
      <c r="F88" s="402">
        <v>17376680.088447336</v>
      </c>
      <c r="G88" s="399">
        <v>550022</v>
      </c>
      <c r="H88" s="402">
        <v>40946507.719340578</v>
      </c>
      <c r="I88" s="399">
        <v>23375</v>
      </c>
      <c r="J88" s="402">
        <v>2939798.4902138696</v>
      </c>
      <c r="K88" s="399">
        <v>18243</v>
      </c>
      <c r="L88" s="402">
        <v>2239958.972522466</v>
      </c>
      <c r="M88" s="399">
        <v>41618</v>
      </c>
      <c r="N88" s="402">
        <v>5179757.4627363356</v>
      </c>
      <c r="O88" s="402">
        <v>341745</v>
      </c>
      <c r="P88" s="402">
        <v>26509626.121107109</v>
      </c>
      <c r="Q88" s="402">
        <v>249895</v>
      </c>
      <c r="R88" s="402">
        <v>19616639.060969803</v>
      </c>
      <c r="S88" s="402">
        <v>591640</v>
      </c>
      <c r="T88" s="402">
        <v>46126265.182076909</v>
      </c>
    </row>
    <row r="89" spans="2:20" hidden="1" outlineLevel="1" x14ac:dyDescent="0.25">
      <c r="B89" s="219">
        <v>41334</v>
      </c>
      <c r="C89" s="399">
        <v>320652</v>
      </c>
      <c r="D89" s="402">
        <v>23782389.656810023</v>
      </c>
      <c r="E89" s="399">
        <v>233004</v>
      </c>
      <c r="F89" s="402">
        <v>17503112.274729293</v>
      </c>
      <c r="G89" s="399">
        <v>553656</v>
      </c>
      <c r="H89" s="402">
        <v>41285501.931539319</v>
      </c>
      <c r="I89" s="399">
        <v>23775</v>
      </c>
      <c r="J89" s="402">
        <v>2966608.8816182925</v>
      </c>
      <c r="K89" s="399">
        <v>18581</v>
      </c>
      <c r="L89" s="402">
        <v>2260183.9328867123</v>
      </c>
      <c r="M89" s="399">
        <v>42356</v>
      </c>
      <c r="N89" s="402">
        <v>5226792.8145050043</v>
      </c>
      <c r="O89" s="402">
        <v>344427</v>
      </c>
      <c r="P89" s="402">
        <v>26748998.538428318</v>
      </c>
      <c r="Q89" s="402">
        <v>251585</v>
      </c>
      <c r="R89" s="402">
        <v>19763296.207616009</v>
      </c>
      <c r="S89" s="402">
        <v>596012</v>
      </c>
      <c r="T89" s="402">
        <v>46512294.74604433</v>
      </c>
    </row>
    <row r="90" spans="2:20" hidden="1" outlineLevel="1" x14ac:dyDescent="0.25">
      <c r="B90" s="219">
        <v>41365</v>
      </c>
      <c r="C90" s="399">
        <v>322878</v>
      </c>
      <c r="D90" s="402">
        <v>24106447.468754075</v>
      </c>
      <c r="E90" s="399">
        <v>234782</v>
      </c>
      <c r="F90" s="402">
        <v>17652555.913177982</v>
      </c>
      <c r="G90" s="399">
        <v>557660</v>
      </c>
      <c r="H90" s="402">
        <v>41759003.38193205</v>
      </c>
      <c r="I90" s="399">
        <v>24167</v>
      </c>
      <c r="J90" s="402">
        <v>3016880.5358134364</v>
      </c>
      <c r="K90" s="399">
        <v>18856</v>
      </c>
      <c r="L90" s="402">
        <v>2300540.9148092419</v>
      </c>
      <c r="M90" s="399">
        <v>43023</v>
      </c>
      <c r="N90" s="402">
        <v>5317421.4506226787</v>
      </c>
      <c r="O90" s="402">
        <v>347045</v>
      </c>
      <c r="P90" s="402">
        <v>27123328.004567508</v>
      </c>
      <c r="Q90" s="402">
        <v>253638</v>
      </c>
      <c r="R90" s="402">
        <v>19953096.827987224</v>
      </c>
      <c r="S90" s="402">
        <v>600683</v>
      </c>
      <c r="T90" s="402">
        <v>47076424.832554735</v>
      </c>
    </row>
    <row r="91" spans="2:20" hidden="1" outlineLevel="1" x14ac:dyDescent="0.25">
      <c r="B91" s="219">
        <v>41395</v>
      </c>
      <c r="C91" s="399">
        <v>323526</v>
      </c>
      <c r="D91" s="402">
        <v>24060523.02755668</v>
      </c>
      <c r="E91" s="399">
        <v>234339</v>
      </c>
      <c r="F91" s="402">
        <v>17639028.369527806</v>
      </c>
      <c r="G91" s="399">
        <v>557865</v>
      </c>
      <c r="H91" s="402">
        <v>41699551.397084482</v>
      </c>
      <c r="I91" s="399">
        <v>25946</v>
      </c>
      <c r="J91" s="402">
        <v>3231152.0383424768</v>
      </c>
      <c r="K91" s="399">
        <v>20403</v>
      </c>
      <c r="L91" s="402">
        <v>2490438.1118570166</v>
      </c>
      <c r="M91" s="399">
        <v>46349</v>
      </c>
      <c r="N91" s="402">
        <v>5721590.1501994934</v>
      </c>
      <c r="O91" s="402">
        <v>349472</v>
      </c>
      <c r="P91" s="402">
        <v>27291675.065899156</v>
      </c>
      <c r="Q91" s="402">
        <v>254742</v>
      </c>
      <c r="R91" s="402">
        <v>20129466.481384821</v>
      </c>
      <c r="S91" s="402">
        <v>604214</v>
      </c>
      <c r="T91" s="402">
        <v>47421141.547283977</v>
      </c>
    </row>
    <row r="92" spans="2:20" hidden="1" outlineLevel="1" x14ac:dyDescent="0.25">
      <c r="B92" s="219">
        <v>41426</v>
      </c>
      <c r="C92" s="399">
        <v>325229</v>
      </c>
      <c r="D92" s="402">
        <v>23988761.106513053</v>
      </c>
      <c r="E92" s="399">
        <v>235609</v>
      </c>
      <c r="F92" s="402">
        <v>17592258.690710191</v>
      </c>
      <c r="G92" s="399">
        <v>560838</v>
      </c>
      <c r="H92" s="402">
        <v>41581019.79722324</v>
      </c>
      <c r="I92" s="399">
        <v>26338</v>
      </c>
      <c r="J92" s="402">
        <v>3267626.2647086387</v>
      </c>
      <c r="K92" s="399">
        <v>20883</v>
      </c>
      <c r="L92" s="402">
        <v>2547304.1246009772</v>
      </c>
      <c r="M92" s="399">
        <v>47221</v>
      </c>
      <c r="N92" s="402">
        <v>5814930.3893096158</v>
      </c>
      <c r="O92" s="402">
        <v>351567</v>
      </c>
      <c r="P92" s="402">
        <v>27256387.371221691</v>
      </c>
      <c r="Q92" s="402">
        <v>256492</v>
      </c>
      <c r="R92" s="402">
        <v>20139562.815311167</v>
      </c>
      <c r="S92" s="402">
        <v>608059</v>
      </c>
      <c r="T92" s="402">
        <v>47395950.186532862</v>
      </c>
    </row>
    <row r="93" spans="2:20" hidden="1" outlineLevel="1" x14ac:dyDescent="0.25">
      <c r="B93" s="219">
        <v>41456</v>
      </c>
      <c r="C93" s="399">
        <v>327498</v>
      </c>
      <c r="D93" s="402">
        <v>24485433.461330485</v>
      </c>
      <c r="E93" s="399">
        <v>237441</v>
      </c>
      <c r="F93" s="402">
        <v>17992928.634317465</v>
      </c>
      <c r="G93" s="399">
        <v>564939</v>
      </c>
      <c r="H93" s="402">
        <v>42478362.095647953</v>
      </c>
      <c r="I93" s="399">
        <v>26760</v>
      </c>
      <c r="J93" s="402">
        <v>3324365.2107507302</v>
      </c>
      <c r="K93" s="399">
        <v>21252</v>
      </c>
      <c r="L93" s="402">
        <v>2582920.1769469432</v>
      </c>
      <c r="M93" s="399">
        <v>48012</v>
      </c>
      <c r="N93" s="402">
        <v>5907285.3876976734</v>
      </c>
      <c r="O93" s="402">
        <v>354258</v>
      </c>
      <c r="P93" s="402">
        <v>27809798.672081217</v>
      </c>
      <c r="Q93" s="402">
        <v>258693</v>
      </c>
      <c r="R93" s="402">
        <v>20575848.811264411</v>
      </c>
      <c r="S93" s="402">
        <v>612951</v>
      </c>
      <c r="T93" s="402">
        <v>48385647.483345628</v>
      </c>
    </row>
    <row r="94" spans="2:20" hidden="1" outlineLevel="1" x14ac:dyDescent="0.25">
      <c r="B94" s="219">
        <v>41487</v>
      </c>
      <c r="C94" s="399">
        <v>329632</v>
      </c>
      <c r="D94" s="402">
        <v>25077007.304177094</v>
      </c>
      <c r="E94" s="399">
        <v>239444</v>
      </c>
      <c r="F94" s="402">
        <v>18446805.102469154</v>
      </c>
      <c r="G94" s="399">
        <v>569076</v>
      </c>
      <c r="H94" s="402">
        <v>43523812.406646244</v>
      </c>
      <c r="I94" s="399">
        <v>27306</v>
      </c>
      <c r="J94" s="402">
        <v>3395672.8816314484</v>
      </c>
      <c r="K94" s="399">
        <v>21757</v>
      </c>
      <c r="L94" s="402">
        <v>2661328.2398555614</v>
      </c>
      <c r="M94" s="399">
        <v>49063</v>
      </c>
      <c r="N94" s="402">
        <v>6057001.1214870093</v>
      </c>
      <c r="O94" s="402">
        <v>356938</v>
      </c>
      <c r="P94" s="402">
        <v>28472680.185808543</v>
      </c>
      <c r="Q94" s="402">
        <v>261201</v>
      </c>
      <c r="R94" s="402">
        <v>21108133.342324715</v>
      </c>
      <c r="S94" s="402">
        <v>618139</v>
      </c>
      <c r="T94" s="402">
        <v>49580813.528133266</v>
      </c>
    </row>
    <row r="95" spans="2:20" hidden="1" outlineLevel="1" x14ac:dyDescent="0.25">
      <c r="B95" s="219">
        <v>41518</v>
      </c>
      <c r="C95" s="399">
        <v>331319</v>
      </c>
      <c r="D95" s="402">
        <v>25514830.027716428</v>
      </c>
      <c r="E95" s="399">
        <v>241073</v>
      </c>
      <c r="F95" s="402">
        <v>18836282.667109832</v>
      </c>
      <c r="G95" s="399">
        <v>572392</v>
      </c>
      <c r="H95" s="402">
        <v>44351112.69482626</v>
      </c>
      <c r="I95" s="399">
        <v>28726</v>
      </c>
      <c r="J95" s="402">
        <v>3665362.6969677149</v>
      </c>
      <c r="K95" s="399">
        <v>22887</v>
      </c>
      <c r="L95" s="402">
        <v>2872142.6938132322</v>
      </c>
      <c r="M95" s="399">
        <v>51613</v>
      </c>
      <c r="N95" s="402">
        <v>6537505.3907809472</v>
      </c>
      <c r="O95" s="402">
        <v>360045</v>
      </c>
      <c r="P95" s="402">
        <v>29180192.724684142</v>
      </c>
      <c r="Q95" s="402">
        <v>263960</v>
      </c>
      <c r="R95" s="402">
        <v>21708425.360923067</v>
      </c>
      <c r="S95" s="402">
        <v>624005</v>
      </c>
      <c r="T95" s="402">
        <v>50888618.085607208</v>
      </c>
    </row>
    <row r="96" spans="2:20" hidden="1" outlineLevel="1" x14ac:dyDescent="0.25">
      <c r="B96" s="219">
        <v>41548</v>
      </c>
      <c r="C96" s="399">
        <v>333585</v>
      </c>
      <c r="D96" s="402">
        <v>25647193.302491177</v>
      </c>
      <c r="E96" s="399">
        <v>242881</v>
      </c>
      <c r="F96" s="402">
        <v>18887404.272167515</v>
      </c>
      <c r="G96" s="399">
        <v>576466</v>
      </c>
      <c r="H96" s="402">
        <v>44534597.574658692</v>
      </c>
      <c r="I96" s="399">
        <v>29640</v>
      </c>
      <c r="J96" s="402">
        <v>3903061.9955278602</v>
      </c>
      <c r="K96" s="399">
        <v>23639</v>
      </c>
      <c r="L96" s="402">
        <v>2992290.6559282974</v>
      </c>
      <c r="M96" s="399">
        <v>53279</v>
      </c>
      <c r="N96" s="402">
        <v>6895352.6514561577</v>
      </c>
      <c r="O96" s="402">
        <v>363225</v>
      </c>
      <c r="P96" s="402">
        <v>29550255.298019037</v>
      </c>
      <c r="Q96" s="402">
        <v>266520</v>
      </c>
      <c r="R96" s="402">
        <v>21879694.92809581</v>
      </c>
      <c r="S96" s="402">
        <v>629745</v>
      </c>
      <c r="T96" s="402">
        <v>51429950.226114847</v>
      </c>
    </row>
    <row r="97" spans="2:20" hidden="1" outlineLevel="1" x14ac:dyDescent="0.25">
      <c r="B97" s="219">
        <v>41579</v>
      </c>
      <c r="C97" s="399">
        <v>336778</v>
      </c>
      <c r="D97" s="402">
        <v>25883436.591652703</v>
      </c>
      <c r="E97" s="399">
        <v>245366</v>
      </c>
      <c r="F97" s="402">
        <v>18995933.06828437</v>
      </c>
      <c r="G97" s="399">
        <v>582144</v>
      </c>
      <c r="H97" s="402">
        <v>44879369.659937076</v>
      </c>
      <c r="I97" s="399">
        <v>30000</v>
      </c>
      <c r="J97" s="402">
        <v>3773559.0847334606</v>
      </c>
      <c r="K97" s="399">
        <v>23904</v>
      </c>
      <c r="L97" s="402">
        <v>2943445.669249428</v>
      </c>
      <c r="M97" s="399">
        <v>53904</v>
      </c>
      <c r="N97" s="402">
        <v>6717004.7539828885</v>
      </c>
      <c r="O97" s="402">
        <v>366778</v>
      </c>
      <c r="P97" s="402">
        <v>29656995.676386163</v>
      </c>
      <c r="Q97" s="402">
        <v>269270</v>
      </c>
      <c r="R97" s="402">
        <v>21939378.737533797</v>
      </c>
      <c r="S97" s="402">
        <v>636048</v>
      </c>
      <c r="T97" s="402">
        <v>51596374.413919963</v>
      </c>
    </row>
    <row r="98" spans="2:20" hidden="1" outlineLevel="1" x14ac:dyDescent="0.25">
      <c r="B98" s="219">
        <v>41609</v>
      </c>
      <c r="C98" s="399">
        <v>339536</v>
      </c>
      <c r="D98" s="402">
        <v>25965798.670379061</v>
      </c>
      <c r="E98" s="399">
        <v>247347</v>
      </c>
      <c r="F98" s="402">
        <v>19026089.573572706</v>
      </c>
      <c r="G98" s="399">
        <v>586883</v>
      </c>
      <c r="H98" s="402">
        <v>44991888.243951768</v>
      </c>
      <c r="I98" s="399">
        <v>30254</v>
      </c>
      <c r="J98" s="402">
        <v>3754088.6493339399</v>
      </c>
      <c r="K98" s="399">
        <v>24221</v>
      </c>
      <c r="L98" s="402">
        <v>2951343.0497709983</v>
      </c>
      <c r="M98" s="399">
        <v>54475</v>
      </c>
      <c r="N98" s="402">
        <v>6705431.6991049387</v>
      </c>
      <c r="O98" s="402">
        <v>369790</v>
      </c>
      <c r="P98" s="402">
        <v>29719887.319713</v>
      </c>
      <c r="Q98" s="402">
        <v>271568</v>
      </c>
      <c r="R98" s="402">
        <v>21977432.623343702</v>
      </c>
      <c r="S98" s="402">
        <v>641358</v>
      </c>
      <c r="T98" s="402">
        <v>51697319.94305671</v>
      </c>
    </row>
    <row r="99" spans="2:20" collapsed="1" x14ac:dyDescent="0.25">
      <c r="B99" s="393" t="s">
        <v>754</v>
      </c>
      <c r="C99" s="394">
        <v>327092.08333333331</v>
      </c>
      <c r="D99" s="403">
        <v>24668592.729210872</v>
      </c>
      <c r="E99" s="394">
        <v>237763.33333333334</v>
      </c>
      <c r="F99" s="403">
        <v>18126022.554280672</v>
      </c>
      <c r="G99" s="394">
        <v>564855.41666666663</v>
      </c>
      <c r="H99" s="403">
        <v>42794615.283491544</v>
      </c>
      <c r="I99" s="394">
        <v>26607.083333333332</v>
      </c>
      <c r="J99" s="403">
        <v>3345732.4865577277</v>
      </c>
      <c r="K99" s="394">
        <v>21058.833333333332</v>
      </c>
      <c r="L99" s="403">
        <v>2590764.6855115988</v>
      </c>
      <c r="M99" s="394">
        <v>47665.916666666664</v>
      </c>
      <c r="N99" s="403">
        <v>5936497.172069326</v>
      </c>
      <c r="O99" s="403">
        <v>353699.16666666669</v>
      </c>
      <c r="P99" s="403">
        <v>28014325.215768602</v>
      </c>
      <c r="Q99" s="403">
        <v>258822.16666666666</v>
      </c>
      <c r="R99" s="403">
        <v>20716787.239792272</v>
      </c>
      <c r="S99" s="403">
        <v>612521.33333333337</v>
      </c>
      <c r="T99" s="403">
        <v>48731112.455560885</v>
      </c>
    </row>
    <row r="100" spans="2:20" hidden="1" outlineLevel="1" x14ac:dyDescent="0.25">
      <c r="B100" s="219">
        <v>41640</v>
      </c>
      <c r="C100" s="399">
        <v>343977</v>
      </c>
      <c r="D100" s="402">
        <v>26097019.673905946</v>
      </c>
      <c r="E100" s="399">
        <v>250199</v>
      </c>
      <c r="F100" s="402">
        <v>19054352.675039757</v>
      </c>
      <c r="G100" s="399">
        <v>594176</v>
      </c>
      <c r="H100" s="402">
        <v>45151372.3489457</v>
      </c>
      <c r="I100" s="399">
        <v>30730</v>
      </c>
      <c r="J100" s="402">
        <v>3821088.4022325869</v>
      </c>
      <c r="K100" s="399">
        <v>24692</v>
      </c>
      <c r="L100" s="402">
        <v>3016660.7484525139</v>
      </c>
      <c r="M100" s="399">
        <v>55422</v>
      </c>
      <c r="N100" s="402">
        <v>6837749.1506851017</v>
      </c>
      <c r="O100" s="402">
        <v>374707</v>
      </c>
      <c r="P100" s="402">
        <v>29918108.07613853</v>
      </c>
      <c r="Q100" s="402">
        <v>274891</v>
      </c>
      <c r="R100" s="402">
        <v>22071013.423492271</v>
      </c>
      <c r="S100" s="402">
        <v>649598</v>
      </c>
      <c r="T100" s="402">
        <v>51989121.499630809</v>
      </c>
    </row>
    <row r="101" spans="2:20" hidden="1" outlineLevel="1" x14ac:dyDescent="0.25">
      <c r="B101" s="219">
        <v>41671</v>
      </c>
      <c r="C101" s="399">
        <v>345030</v>
      </c>
      <c r="D101" s="402">
        <v>25774909.688069884</v>
      </c>
      <c r="E101" s="399">
        <v>250279</v>
      </c>
      <c r="F101" s="402">
        <v>18935339.046533171</v>
      </c>
      <c r="G101" s="399">
        <v>595309</v>
      </c>
      <c r="H101" s="402">
        <v>44710248.734603055</v>
      </c>
      <c r="I101" s="399">
        <v>31813</v>
      </c>
      <c r="J101" s="402">
        <v>4038389.9183863276</v>
      </c>
      <c r="K101" s="399">
        <v>25927</v>
      </c>
      <c r="L101" s="402">
        <v>3186071.074549519</v>
      </c>
      <c r="M101" s="399">
        <v>57740</v>
      </c>
      <c r="N101" s="402">
        <v>7224460.9929358475</v>
      </c>
      <c r="O101" s="402">
        <v>376843</v>
      </c>
      <c r="P101" s="402">
        <v>29813299.606456216</v>
      </c>
      <c r="Q101" s="402">
        <v>276206</v>
      </c>
      <c r="R101" s="402">
        <v>22121410.12108269</v>
      </c>
      <c r="S101" s="402">
        <v>653049</v>
      </c>
      <c r="T101" s="402">
        <v>51934709.727538899</v>
      </c>
    </row>
    <row r="102" spans="2:20" hidden="1" outlineLevel="1" x14ac:dyDescent="0.25">
      <c r="B102" s="219">
        <v>41699</v>
      </c>
      <c r="C102" s="399">
        <v>347209</v>
      </c>
      <c r="D102" s="402">
        <v>25744243.953512698</v>
      </c>
      <c r="E102" s="399">
        <v>251731</v>
      </c>
      <c r="F102" s="402">
        <v>18904932.082864661</v>
      </c>
      <c r="G102" s="399">
        <v>598940</v>
      </c>
      <c r="H102" s="402">
        <v>44649176.036377355</v>
      </c>
      <c r="I102" s="399">
        <v>32148</v>
      </c>
      <c r="J102" s="402">
        <v>4037314.4193202727</v>
      </c>
      <c r="K102" s="399">
        <v>26144</v>
      </c>
      <c r="L102" s="402">
        <v>3169207.0255997689</v>
      </c>
      <c r="M102" s="399">
        <v>58292</v>
      </c>
      <c r="N102" s="402">
        <v>7206521.4449200416</v>
      </c>
      <c r="O102" s="402">
        <v>379357</v>
      </c>
      <c r="P102" s="402">
        <v>29781558.372832973</v>
      </c>
      <c r="Q102" s="402">
        <v>277875</v>
      </c>
      <c r="R102" s="402">
        <v>22074139.108464427</v>
      </c>
      <c r="S102" s="402">
        <v>657232</v>
      </c>
      <c r="T102" s="402">
        <v>51855697.481297404</v>
      </c>
    </row>
    <row r="103" spans="2:20" hidden="1" outlineLevel="1" x14ac:dyDescent="0.25">
      <c r="B103" s="219">
        <v>41730</v>
      </c>
      <c r="C103" s="399">
        <v>348949</v>
      </c>
      <c r="D103" s="402">
        <v>25643340.340903927</v>
      </c>
      <c r="E103" s="399">
        <v>253310</v>
      </c>
      <c r="F103" s="402">
        <v>18892719.900936034</v>
      </c>
      <c r="G103" s="399">
        <v>602259</v>
      </c>
      <c r="H103" s="402">
        <v>44536060.24183996</v>
      </c>
      <c r="I103" s="399">
        <v>32204</v>
      </c>
      <c r="J103" s="402">
        <v>3929770.8802616266</v>
      </c>
      <c r="K103" s="399">
        <v>26100</v>
      </c>
      <c r="L103" s="402">
        <v>3102869.3605919606</v>
      </c>
      <c r="M103" s="399">
        <v>58304</v>
      </c>
      <c r="N103" s="402">
        <v>7032640.2408535872</v>
      </c>
      <c r="O103" s="402">
        <v>381153</v>
      </c>
      <c r="P103" s="402">
        <v>29573111.221165553</v>
      </c>
      <c r="Q103" s="402">
        <v>279410</v>
      </c>
      <c r="R103" s="402">
        <v>21995589.261527993</v>
      </c>
      <c r="S103" s="402">
        <v>660563</v>
      </c>
      <c r="T103" s="402">
        <v>51568700.482693553</v>
      </c>
    </row>
    <row r="104" spans="2:20" hidden="1" outlineLevel="1" x14ac:dyDescent="0.25">
      <c r="B104" s="219">
        <v>41760</v>
      </c>
      <c r="C104" s="399">
        <v>350968</v>
      </c>
      <c r="D104" s="402">
        <v>25781372.815209854</v>
      </c>
      <c r="E104" s="399">
        <v>254716</v>
      </c>
      <c r="F104" s="402">
        <v>18944117.939389378</v>
      </c>
      <c r="G104" s="399">
        <v>605684</v>
      </c>
      <c r="H104" s="402">
        <v>44725490.754599236</v>
      </c>
      <c r="I104" s="399">
        <v>32394</v>
      </c>
      <c r="J104" s="402">
        <v>3945275.7681632014</v>
      </c>
      <c r="K104" s="399">
        <v>26240</v>
      </c>
      <c r="L104" s="402">
        <v>3108998.6161284647</v>
      </c>
      <c r="M104" s="399">
        <v>58634</v>
      </c>
      <c r="N104" s="402">
        <v>7054274.3842916656</v>
      </c>
      <c r="O104" s="402">
        <v>383362</v>
      </c>
      <c r="P104" s="402">
        <v>29726648.583373059</v>
      </c>
      <c r="Q104" s="402">
        <v>280956</v>
      </c>
      <c r="R104" s="402">
        <v>22053116.555517841</v>
      </c>
      <c r="S104" s="402">
        <v>664318</v>
      </c>
      <c r="T104" s="402">
        <v>51779765.1388909</v>
      </c>
    </row>
    <row r="105" spans="2:20" hidden="1" outlineLevel="1" x14ac:dyDescent="0.25">
      <c r="B105" s="219">
        <v>41791</v>
      </c>
      <c r="C105" s="399">
        <v>353222</v>
      </c>
      <c r="D105" s="402">
        <v>26307721.377626933</v>
      </c>
      <c r="E105" s="399">
        <v>256647</v>
      </c>
      <c r="F105" s="402">
        <v>19387283.889772244</v>
      </c>
      <c r="G105" s="399">
        <v>609869</v>
      </c>
      <c r="H105" s="402">
        <v>45695005.267399177</v>
      </c>
      <c r="I105" s="399">
        <v>32788</v>
      </c>
      <c r="J105" s="402">
        <v>4030081.6280400055</v>
      </c>
      <c r="K105" s="399">
        <v>26540</v>
      </c>
      <c r="L105" s="402">
        <v>3144458.5896958187</v>
      </c>
      <c r="M105" s="399">
        <v>59328</v>
      </c>
      <c r="N105" s="402">
        <v>7174540.2177358242</v>
      </c>
      <c r="O105" s="402">
        <v>386010</v>
      </c>
      <c r="P105" s="402">
        <v>30337803.005666941</v>
      </c>
      <c r="Q105" s="402">
        <v>283187</v>
      </c>
      <c r="R105" s="402">
        <v>22531742.479468063</v>
      </c>
      <c r="S105" s="402">
        <v>669197</v>
      </c>
      <c r="T105" s="402">
        <v>52869545.485135004</v>
      </c>
    </row>
    <row r="106" spans="2:20" hidden="1" outlineLevel="1" x14ac:dyDescent="0.25">
      <c r="B106" s="219">
        <v>41821</v>
      </c>
      <c r="C106" s="399">
        <v>355536</v>
      </c>
      <c r="D106" s="402">
        <v>26953156.773396954</v>
      </c>
      <c r="E106" s="399">
        <v>259553</v>
      </c>
      <c r="F106" s="402">
        <v>20246182.473515064</v>
      </c>
      <c r="G106" s="399">
        <v>615089</v>
      </c>
      <c r="H106" s="402">
        <v>47199339.246912017</v>
      </c>
      <c r="I106" s="399">
        <v>33848</v>
      </c>
      <c r="J106" s="402">
        <v>4307450.4224061854</v>
      </c>
      <c r="K106" s="399">
        <v>27793</v>
      </c>
      <c r="L106" s="402">
        <v>3429227.449737919</v>
      </c>
      <c r="M106" s="399">
        <v>61641</v>
      </c>
      <c r="N106" s="402">
        <v>7736677.872144104</v>
      </c>
      <c r="O106" s="402">
        <v>389384</v>
      </c>
      <c r="P106" s="402">
        <v>31260607.195803139</v>
      </c>
      <c r="Q106" s="402">
        <v>287346</v>
      </c>
      <c r="R106" s="402">
        <v>23675409.923252985</v>
      </c>
      <c r="S106" s="402">
        <v>676730</v>
      </c>
      <c r="T106" s="402">
        <v>54936017.119056121</v>
      </c>
    </row>
    <row r="107" spans="2:20" hidden="1" outlineLevel="1" x14ac:dyDescent="0.25">
      <c r="B107" s="219">
        <v>41852</v>
      </c>
      <c r="C107" s="399">
        <v>357619</v>
      </c>
      <c r="D107" s="402">
        <v>28331086.467128616</v>
      </c>
      <c r="E107" s="399">
        <v>261086</v>
      </c>
      <c r="F107" s="402">
        <v>20774850.91649016</v>
      </c>
      <c r="G107" s="399">
        <v>618705</v>
      </c>
      <c r="H107" s="402">
        <v>49105937.383618772</v>
      </c>
      <c r="I107" s="399">
        <v>34057</v>
      </c>
      <c r="J107" s="402">
        <v>4276768.8007085379</v>
      </c>
      <c r="K107" s="399">
        <v>28023</v>
      </c>
      <c r="L107" s="402">
        <v>3428948.8578761159</v>
      </c>
      <c r="M107" s="399">
        <v>62080</v>
      </c>
      <c r="N107" s="402">
        <v>7705717.6585846525</v>
      </c>
      <c r="O107" s="402">
        <v>391676</v>
      </c>
      <c r="P107" s="402">
        <v>32607855.267837156</v>
      </c>
      <c r="Q107" s="402">
        <v>289109</v>
      </c>
      <c r="R107" s="402">
        <v>24203799.774366271</v>
      </c>
      <c r="S107" s="402">
        <v>680785</v>
      </c>
      <c r="T107" s="402">
        <v>56811655.042203419</v>
      </c>
    </row>
    <row r="108" spans="2:20" hidden="1" outlineLevel="1" x14ac:dyDescent="0.25">
      <c r="B108" s="219">
        <v>41883</v>
      </c>
      <c r="C108" s="399">
        <v>360197</v>
      </c>
      <c r="D108" s="402">
        <v>28488111.366101421</v>
      </c>
      <c r="E108" s="399">
        <v>262411</v>
      </c>
      <c r="F108" s="402">
        <v>20815179.133917738</v>
      </c>
      <c r="G108" s="399">
        <v>622608</v>
      </c>
      <c r="H108" s="402">
        <v>49303290.500019155</v>
      </c>
      <c r="I108" s="399">
        <v>34152</v>
      </c>
      <c r="J108" s="402">
        <v>4209912.782812912</v>
      </c>
      <c r="K108" s="399">
        <v>28113</v>
      </c>
      <c r="L108" s="402">
        <v>3365490.1830476448</v>
      </c>
      <c r="M108" s="399">
        <v>62265</v>
      </c>
      <c r="N108" s="402">
        <v>7575402.9658605577</v>
      </c>
      <c r="O108" s="402">
        <v>394349</v>
      </c>
      <c r="P108" s="402">
        <v>32698024.148914333</v>
      </c>
      <c r="Q108" s="402">
        <v>290524</v>
      </c>
      <c r="R108" s="402">
        <v>24180669.316965383</v>
      </c>
      <c r="S108" s="402">
        <v>684873</v>
      </c>
      <c r="T108" s="402">
        <v>56878693.465879716</v>
      </c>
    </row>
    <row r="109" spans="2:20" hidden="1" outlineLevel="1" x14ac:dyDescent="0.25">
      <c r="B109" s="219">
        <v>41913</v>
      </c>
      <c r="C109" s="399">
        <v>362823</v>
      </c>
      <c r="D109" s="402">
        <v>28415091.746479344</v>
      </c>
      <c r="E109" s="399">
        <v>264197</v>
      </c>
      <c r="F109" s="402">
        <v>20693577.68840719</v>
      </c>
      <c r="G109" s="399">
        <v>627020</v>
      </c>
      <c r="H109" s="402">
        <v>49108669.43488653</v>
      </c>
      <c r="I109" s="399">
        <v>34073</v>
      </c>
      <c r="J109" s="402">
        <v>4186519.5749076516</v>
      </c>
      <c r="K109" s="399">
        <v>27992</v>
      </c>
      <c r="L109" s="402">
        <v>3354313.5016925409</v>
      </c>
      <c r="M109" s="399">
        <v>62065</v>
      </c>
      <c r="N109" s="402">
        <v>7540833.076600193</v>
      </c>
      <c r="O109" s="402">
        <v>396896</v>
      </c>
      <c r="P109" s="402">
        <v>32601611.321386993</v>
      </c>
      <c r="Q109" s="402">
        <v>292189</v>
      </c>
      <c r="R109" s="402">
        <v>24047891.190099727</v>
      </c>
      <c r="S109" s="402">
        <v>689085</v>
      </c>
      <c r="T109" s="402">
        <v>56649502.511486724</v>
      </c>
    </row>
    <row r="110" spans="2:20" hidden="1" outlineLevel="1" x14ac:dyDescent="0.25">
      <c r="B110" s="219">
        <v>41944</v>
      </c>
      <c r="C110" s="399">
        <v>364650</v>
      </c>
      <c r="D110" s="402">
        <v>28486622.866170999</v>
      </c>
      <c r="E110" s="399">
        <v>265553</v>
      </c>
      <c r="F110" s="402">
        <v>20778865.517901432</v>
      </c>
      <c r="G110" s="399">
        <v>630203</v>
      </c>
      <c r="H110" s="402">
        <v>49265488.38407243</v>
      </c>
      <c r="I110" s="399">
        <v>34283</v>
      </c>
      <c r="J110" s="402">
        <v>4205065.5143022547</v>
      </c>
      <c r="K110" s="399">
        <v>28146</v>
      </c>
      <c r="L110" s="402">
        <v>3390195.5884525422</v>
      </c>
      <c r="M110" s="399">
        <v>62429</v>
      </c>
      <c r="N110" s="402">
        <v>7595261.1027547969</v>
      </c>
      <c r="O110" s="402">
        <v>398933</v>
      </c>
      <c r="P110" s="402">
        <v>32691688.380473252</v>
      </c>
      <c r="Q110" s="402">
        <v>293699</v>
      </c>
      <c r="R110" s="402">
        <v>24169061.106353972</v>
      </c>
      <c r="S110" s="402">
        <v>692632</v>
      </c>
      <c r="T110" s="402">
        <v>56860749.486827224</v>
      </c>
    </row>
    <row r="111" spans="2:20" hidden="1" outlineLevel="1" x14ac:dyDescent="0.25">
      <c r="B111" s="219">
        <v>41974</v>
      </c>
      <c r="C111" s="399">
        <v>367802</v>
      </c>
      <c r="D111" s="402">
        <v>29127704.843519751</v>
      </c>
      <c r="E111" s="399">
        <v>267943</v>
      </c>
      <c r="F111" s="402">
        <v>21202991.806303095</v>
      </c>
      <c r="G111" s="399">
        <v>635745</v>
      </c>
      <c r="H111" s="402">
        <v>50330696.649822854</v>
      </c>
      <c r="I111" s="399">
        <v>34413</v>
      </c>
      <c r="J111" s="402">
        <v>4225843.7756196577</v>
      </c>
      <c r="K111" s="399">
        <v>28268</v>
      </c>
      <c r="L111" s="402">
        <v>3369633.0267065354</v>
      </c>
      <c r="M111" s="399">
        <v>62681</v>
      </c>
      <c r="N111" s="402">
        <v>7595476.802326194</v>
      </c>
      <c r="O111" s="402">
        <v>402215</v>
      </c>
      <c r="P111" s="402">
        <v>33353548.619139411</v>
      </c>
      <c r="Q111" s="402">
        <v>296211</v>
      </c>
      <c r="R111" s="402">
        <v>24572624.83300963</v>
      </c>
      <c r="S111" s="402">
        <v>698426</v>
      </c>
      <c r="T111" s="402">
        <v>57926173.452149048</v>
      </c>
    </row>
    <row r="112" spans="2:20" collapsed="1" x14ac:dyDescent="0.25">
      <c r="B112" s="393" t="s">
        <v>755</v>
      </c>
      <c r="C112" s="394">
        <v>354831.83333333331</v>
      </c>
      <c r="D112" s="403">
        <v>27095865.159335524</v>
      </c>
      <c r="E112" s="394">
        <v>258135.41666666666</v>
      </c>
      <c r="F112" s="403">
        <v>19885866.089255828</v>
      </c>
      <c r="G112" s="394">
        <v>612967.25</v>
      </c>
      <c r="H112" s="403">
        <v>46981731.248591341</v>
      </c>
      <c r="I112" s="394">
        <v>33075.25</v>
      </c>
      <c r="J112" s="403">
        <v>4101123.490596768</v>
      </c>
      <c r="K112" s="394">
        <v>26998.166666666668</v>
      </c>
      <c r="L112" s="403">
        <v>3255506.1685442789</v>
      </c>
      <c r="M112" s="394">
        <v>60073.416666666664</v>
      </c>
      <c r="N112" s="403">
        <v>7356629.6591410479</v>
      </c>
      <c r="O112" s="403">
        <v>387907.08333333331</v>
      </c>
      <c r="P112" s="403">
        <v>31196988.649932299</v>
      </c>
      <c r="Q112" s="403">
        <v>285133.58333333331</v>
      </c>
      <c r="R112" s="403">
        <v>23141372.257800102</v>
      </c>
      <c r="S112" s="403">
        <v>673040.66666666663</v>
      </c>
      <c r="T112" s="403">
        <v>54338360.907732405</v>
      </c>
    </row>
    <row r="113" spans="2:20" hidden="1" outlineLevel="1" x14ac:dyDescent="0.25">
      <c r="B113" s="219">
        <v>42005</v>
      </c>
      <c r="C113" s="399">
        <v>373408</v>
      </c>
      <c r="D113" s="402">
        <v>29176795.796471696</v>
      </c>
      <c r="E113" s="399">
        <v>270420</v>
      </c>
      <c r="F113" s="402">
        <v>21683521.544555102</v>
      </c>
      <c r="G113" s="399">
        <v>643828</v>
      </c>
      <c r="H113" s="402">
        <v>50860317.341026798</v>
      </c>
      <c r="I113" s="399">
        <v>34985</v>
      </c>
      <c r="J113" s="402">
        <v>4310641.8583818087</v>
      </c>
      <c r="K113" s="399">
        <v>28687</v>
      </c>
      <c r="L113" s="402">
        <v>3428529.47290705</v>
      </c>
      <c r="M113" s="399">
        <v>63672</v>
      </c>
      <c r="N113" s="402">
        <v>7739171.3312888583</v>
      </c>
      <c r="O113" s="402">
        <v>408393</v>
      </c>
      <c r="P113" s="402">
        <v>33487437.654853504</v>
      </c>
      <c r="Q113" s="402">
        <v>299107</v>
      </c>
      <c r="R113" s="402">
        <v>25112051.017462149</v>
      </c>
      <c r="S113" s="402">
        <v>707500</v>
      </c>
      <c r="T113" s="402">
        <v>58599488.672315657</v>
      </c>
    </row>
    <row r="114" spans="2:20" hidden="1" outlineLevel="1" x14ac:dyDescent="0.25">
      <c r="B114" s="219">
        <v>42036</v>
      </c>
      <c r="C114" s="399">
        <v>375153</v>
      </c>
      <c r="D114" s="402">
        <v>28714550.505861167</v>
      </c>
      <c r="E114" s="399">
        <v>271647</v>
      </c>
      <c r="F114" s="402">
        <v>20911166.568806227</v>
      </c>
      <c r="G114" s="399">
        <v>646800</v>
      </c>
      <c r="H114" s="402">
        <v>49625717.074667394</v>
      </c>
      <c r="I114" s="399">
        <v>35009</v>
      </c>
      <c r="J114" s="402">
        <v>4282135.8688089484</v>
      </c>
      <c r="K114" s="399">
        <v>28687</v>
      </c>
      <c r="L114" s="402">
        <v>3401691.4662367054</v>
      </c>
      <c r="M114" s="399">
        <v>63696</v>
      </c>
      <c r="N114" s="402">
        <v>7683827.3350456534</v>
      </c>
      <c r="O114" s="402">
        <v>410162</v>
      </c>
      <c r="P114" s="402">
        <v>32996686.374670118</v>
      </c>
      <c r="Q114" s="402">
        <v>300334</v>
      </c>
      <c r="R114" s="402">
        <v>24312858.035042934</v>
      </c>
      <c r="S114" s="402">
        <v>710496</v>
      </c>
      <c r="T114" s="402">
        <v>57309544.409713052</v>
      </c>
    </row>
    <row r="115" spans="2:20" hidden="1" outlineLevel="1" x14ac:dyDescent="0.25">
      <c r="B115" s="219">
        <v>42064</v>
      </c>
      <c r="C115" s="399">
        <v>377612</v>
      </c>
      <c r="D115" s="402">
        <v>28809220.798170339</v>
      </c>
      <c r="E115" s="399">
        <v>273086</v>
      </c>
      <c r="F115" s="402">
        <v>20935539.037946954</v>
      </c>
      <c r="G115" s="399">
        <v>650698</v>
      </c>
      <c r="H115" s="402">
        <v>49744759.836117297</v>
      </c>
      <c r="I115" s="399">
        <v>35086</v>
      </c>
      <c r="J115" s="402">
        <v>4267042.4654061534</v>
      </c>
      <c r="K115" s="399">
        <v>28777</v>
      </c>
      <c r="L115" s="402">
        <v>3415842.1437659031</v>
      </c>
      <c r="M115" s="399">
        <v>63863</v>
      </c>
      <c r="N115" s="402">
        <v>7682884.6091720574</v>
      </c>
      <c r="O115" s="402">
        <v>412698</v>
      </c>
      <c r="P115" s="402">
        <v>33076263.263576493</v>
      </c>
      <c r="Q115" s="402">
        <v>301863</v>
      </c>
      <c r="R115" s="402">
        <v>24351381.181712855</v>
      </c>
      <c r="S115" s="402">
        <v>714561</v>
      </c>
      <c r="T115" s="402">
        <v>57427644.445289351</v>
      </c>
    </row>
    <row r="116" spans="2:20" hidden="1" outlineLevel="1" x14ac:dyDescent="0.25">
      <c r="B116" s="219">
        <v>42095</v>
      </c>
      <c r="C116" s="399">
        <v>379874</v>
      </c>
      <c r="D116" s="402">
        <v>28814484.424464557</v>
      </c>
      <c r="E116" s="399">
        <v>274911</v>
      </c>
      <c r="F116" s="402">
        <v>21020411.179137893</v>
      </c>
      <c r="G116" s="399">
        <v>654785</v>
      </c>
      <c r="H116" s="402">
        <v>49834895.603602447</v>
      </c>
      <c r="I116" s="399">
        <v>35272</v>
      </c>
      <c r="J116" s="402">
        <v>4224805.9717718912</v>
      </c>
      <c r="K116" s="399">
        <v>29023</v>
      </c>
      <c r="L116" s="402">
        <v>3389841.0513110547</v>
      </c>
      <c r="M116" s="399">
        <v>64295</v>
      </c>
      <c r="N116" s="402">
        <v>7614647.0230829464</v>
      </c>
      <c r="O116" s="402">
        <v>415146</v>
      </c>
      <c r="P116" s="402">
        <v>33039290.396236449</v>
      </c>
      <c r="Q116" s="402">
        <v>303934</v>
      </c>
      <c r="R116" s="402">
        <v>24410252.230448946</v>
      </c>
      <c r="S116" s="402">
        <v>719080</v>
      </c>
      <c r="T116" s="402">
        <v>57449542.626685396</v>
      </c>
    </row>
    <row r="117" spans="2:20" hidden="1" outlineLevel="1" x14ac:dyDescent="0.25">
      <c r="B117" s="219">
        <v>42125</v>
      </c>
      <c r="C117" s="399">
        <v>381450</v>
      </c>
      <c r="D117" s="402">
        <v>28873205.966074985</v>
      </c>
      <c r="E117" s="399">
        <v>275948</v>
      </c>
      <c r="F117" s="402">
        <v>21010710.201530017</v>
      </c>
      <c r="G117" s="399">
        <v>657398</v>
      </c>
      <c r="H117" s="402">
        <v>49883916.167605005</v>
      </c>
      <c r="I117" s="399">
        <v>35349</v>
      </c>
      <c r="J117" s="402">
        <v>4220448.4835813846</v>
      </c>
      <c r="K117" s="399">
        <v>29091</v>
      </c>
      <c r="L117" s="402">
        <v>3389771.0144543056</v>
      </c>
      <c r="M117" s="399">
        <v>64440</v>
      </c>
      <c r="N117" s="402">
        <v>7610219.4980356907</v>
      </c>
      <c r="O117" s="402">
        <v>416799</v>
      </c>
      <c r="P117" s="402">
        <v>33093654.449656367</v>
      </c>
      <c r="Q117" s="402">
        <v>305039</v>
      </c>
      <c r="R117" s="402">
        <v>24400481.215984326</v>
      </c>
      <c r="S117" s="402">
        <v>721838</v>
      </c>
      <c r="T117" s="402">
        <v>57494135.665640697</v>
      </c>
    </row>
    <row r="118" spans="2:20" hidden="1" outlineLevel="1" x14ac:dyDescent="0.25">
      <c r="B118" s="219">
        <v>42156</v>
      </c>
      <c r="C118" s="399">
        <v>383881</v>
      </c>
      <c r="D118" s="402">
        <v>29019284.260939591</v>
      </c>
      <c r="E118" s="399">
        <v>277655</v>
      </c>
      <c r="F118" s="402">
        <v>21100918.588627048</v>
      </c>
      <c r="G118" s="399">
        <v>661536</v>
      </c>
      <c r="H118" s="402">
        <v>50120202.849566638</v>
      </c>
      <c r="I118" s="399">
        <v>35662</v>
      </c>
      <c r="J118" s="402">
        <v>4246262.0629200982</v>
      </c>
      <c r="K118" s="399">
        <v>29464</v>
      </c>
      <c r="L118" s="402">
        <v>3415741.4061697582</v>
      </c>
      <c r="M118" s="399">
        <v>65126</v>
      </c>
      <c r="N118" s="402">
        <v>7662003.4690898564</v>
      </c>
      <c r="O118" s="402">
        <v>419543</v>
      </c>
      <c r="P118" s="402">
        <v>33265546.323859688</v>
      </c>
      <c r="Q118" s="402">
        <v>307119</v>
      </c>
      <c r="R118" s="402">
        <v>24516659.994796805</v>
      </c>
      <c r="S118" s="402">
        <v>726662</v>
      </c>
      <c r="T118" s="402">
        <v>57782206.318656497</v>
      </c>
    </row>
    <row r="119" spans="2:20" hidden="1" outlineLevel="1" x14ac:dyDescent="0.25">
      <c r="B119" s="219">
        <v>42186</v>
      </c>
      <c r="C119" s="399">
        <v>387145</v>
      </c>
      <c r="D119" s="402">
        <v>31299738.942273352</v>
      </c>
      <c r="E119" s="399">
        <v>281099</v>
      </c>
      <c r="F119" s="402">
        <v>22919785.283139728</v>
      </c>
      <c r="G119" s="399">
        <v>668244</v>
      </c>
      <c r="H119" s="402">
        <v>54219524.225413084</v>
      </c>
      <c r="I119" s="399">
        <v>35854</v>
      </c>
      <c r="J119" s="402">
        <v>4457040.9538158355</v>
      </c>
      <c r="K119" s="399">
        <v>29626</v>
      </c>
      <c r="L119" s="402">
        <v>3608754.5305670165</v>
      </c>
      <c r="M119" s="399">
        <v>65480</v>
      </c>
      <c r="N119" s="402">
        <v>8065795.4843828529</v>
      </c>
      <c r="O119" s="402">
        <v>422999</v>
      </c>
      <c r="P119" s="402">
        <v>35756779.896089189</v>
      </c>
      <c r="Q119" s="402">
        <v>310725</v>
      </c>
      <c r="R119" s="402">
        <v>26528539.813706744</v>
      </c>
      <c r="S119" s="402">
        <v>733724</v>
      </c>
      <c r="T119" s="402">
        <v>62285319.709795937</v>
      </c>
    </row>
    <row r="120" spans="2:20" hidden="1" outlineLevel="1" x14ac:dyDescent="0.25">
      <c r="B120" s="219">
        <v>42217</v>
      </c>
      <c r="C120" s="399">
        <v>388790</v>
      </c>
      <c r="D120" s="402">
        <v>31118731.386915404</v>
      </c>
      <c r="E120" s="399">
        <v>282181</v>
      </c>
      <c r="F120" s="402">
        <v>22555576.990718935</v>
      </c>
      <c r="G120" s="399">
        <v>670971</v>
      </c>
      <c r="H120" s="402">
        <v>53674308.377634339</v>
      </c>
      <c r="I120" s="399">
        <v>35902</v>
      </c>
      <c r="J120" s="402">
        <v>4388561.3832834875</v>
      </c>
      <c r="K120" s="399">
        <v>29711</v>
      </c>
      <c r="L120" s="402">
        <v>3535423.6100423788</v>
      </c>
      <c r="M120" s="399">
        <v>65613</v>
      </c>
      <c r="N120" s="402">
        <v>7923984.9933258668</v>
      </c>
      <c r="O120" s="402">
        <v>424692</v>
      </c>
      <c r="P120" s="402">
        <v>35507292.770198889</v>
      </c>
      <c r="Q120" s="402">
        <v>311892</v>
      </c>
      <c r="R120" s="402">
        <v>26091000.600761313</v>
      </c>
      <c r="S120" s="402">
        <v>736584</v>
      </c>
      <c r="T120" s="402">
        <v>61598293.370960206</v>
      </c>
    </row>
    <row r="121" spans="2:20" hidden="1" outlineLevel="1" x14ac:dyDescent="0.25">
      <c r="B121" s="219">
        <v>42248</v>
      </c>
      <c r="C121" s="399">
        <v>391060</v>
      </c>
      <c r="D121" s="402">
        <v>31414024.511035923</v>
      </c>
      <c r="E121" s="399">
        <v>283655</v>
      </c>
      <c r="F121" s="402">
        <v>22739846.196990129</v>
      </c>
      <c r="G121" s="399">
        <v>674715</v>
      </c>
      <c r="H121" s="402">
        <v>54153870.708026044</v>
      </c>
      <c r="I121" s="399">
        <v>35845</v>
      </c>
      <c r="J121" s="402">
        <v>4379043.3251656294</v>
      </c>
      <c r="K121" s="399">
        <v>29687</v>
      </c>
      <c r="L121" s="402">
        <v>3546387.7007387513</v>
      </c>
      <c r="M121" s="399">
        <v>65532</v>
      </c>
      <c r="N121" s="402">
        <v>7925431.0259043807</v>
      </c>
      <c r="O121" s="402">
        <v>426905</v>
      </c>
      <c r="P121" s="402">
        <v>35793067.836201556</v>
      </c>
      <c r="Q121" s="402">
        <v>313342</v>
      </c>
      <c r="R121" s="402">
        <v>26286233.897728879</v>
      </c>
      <c r="S121" s="402">
        <v>740247</v>
      </c>
      <c r="T121" s="402">
        <v>62079301.733930424</v>
      </c>
    </row>
    <row r="122" spans="2:20" hidden="1" outlineLevel="1" x14ac:dyDescent="0.25">
      <c r="B122" s="219">
        <v>42278</v>
      </c>
      <c r="C122" s="399">
        <v>393767</v>
      </c>
      <c r="D122" s="402">
        <v>31582555.477828894</v>
      </c>
      <c r="E122" s="399">
        <v>285404</v>
      </c>
      <c r="F122" s="402">
        <v>22834602.610556968</v>
      </c>
      <c r="G122" s="399">
        <v>679171</v>
      </c>
      <c r="H122" s="402">
        <v>54417158.088385865</v>
      </c>
      <c r="I122" s="399">
        <v>35726</v>
      </c>
      <c r="J122" s="402">
        <v>4340818.6277433997</v>
      </c>
      <c r="K122" s="399">
        <v>29631</v>
      </c>
      <c r="L122" s="402">
        <v>3516751.6909173965</v>
      </c>
      <c r="M122" s="399">
        <v>65357</v>
      </c>
      <c r="N122" s="402">
        <v>7857570.3186607966</v>
      </c>
      <c r="O122" s="402">
        <v>429493</v>
      </c>
      <c r="P122" s="402">
        <v>35923374.105572298</v>
      </c>
      <c r="Q122" s="402">
        <v>315035</v>
      </c>
      <c r="R122" s="402">
        <v>26351354.301474366</v>
      </c>
      <c r="S122" s="402">
        <v>744528</v>
      </c>
      <c r="T122" s="402">
        <v>62274728.407046661</v>
      </c>
    </row>
    <row r="123" spans="2:20" hidden="1" outlineLevel="1" x14ac:dyDescent="0.25">
      <c r="B123" s="219">
        <v>42309</v>
      </c>
      <c r="C123" s="399">
        <v>394851</v>
      </c>
      <c r="D123" s="402">
        <v>31629246.980804995</v>
      </c>
      <c r="E123" s="399">
        <v>286695</v>
      </c>
      <c r="F123" s="402">
        <v>22921694.686940223</v>
      </c>
      <c r="G123" s="399">
        <v>681546</v>
      </c>
      <c r="H123" s="402">
        <v>54550941.667745225</v>
      </c>
      <c r="I123" s="399">
        <v>35684</v>
      </c>
      <c r="J123" s="402">
        <v>4340548.1104804063</v>
      </c>
      <c r="K123" s="399">
        <v>29591</v>
      </c>
      <c r="L123" s="402">
        <v>3514456.5847246251</v>
      </c>
      <c r="M123" s="399">
        <v>65275</v>
      </c>
      <c r="N123" s="402">
        <v>7855004.6952050319</v>
      </c>
      <c r="O123" s="402">
        <v>430535</v>
      </c>
      <c r="P123" s="402">
        <v>35969795.0912854</v>
      </c>
      <c r="Q123" s="402">
        <v>316286</v>
      </c>
      <c r="R123" s="402">
        <v>26436151.27166485</v>
      </c>
      <c r="S123" s="402">
        <v>746821</v>
      </c>
      <c r="T123" s="402">
        <v>62405946.362950258</v>
      </c>
    </row>
    <row r="124" spans="2:20" hidden="1" outlineLevel="1" x14ac:dyDescent="0.25">
      <c r="B124" s="219">
        <v>42339</v>
      </c>
      <c r="C124" s="399">
        <v>397672</v>
      </c>
      <c r="D124" s="402">
        <v>31946224.392527189</v>
      </c>
      <c r="E124" s="399">
        <v>288817</v>
      </c>
      <c r="F124" s="402">
        <v>23092740.062101677</v>
      </c>
      <c r="G124" s="399">
        <v>686489</v>
      </c>
      <c r="H124" s="402">
        <v>55038964.454628862</v>
      </c>
      <c r="I124" s="399">
        <v>35597</v>
      </c>
      <c r="J124" s="402">
        <v>4318161.1056484031</v>
      </c>
      <c r="K124" s="399">
        <v>29530</v>
      </c>
      <c r="L124" s="402">
        <v>3499510.8882414284</v>
      </c>
      <c r="M124" s="399">
        <v>65127</v>
      </c>
      <c r="N124" s="402">
        <v>7817671.9938898319</v>
      </c>
      <c r="O124" s="402">
        <v>433269</v>
      </c>
      <c r="P124" s="402">
        <v>36264385.498175591</v>
      </c>
      <c r="Q124" s="402">
        <v>318347</v>
      </c>
      <c r="R124" s="402">
        <v>26592250.950343106</v>
      </c>
      <c r="S124" s="402">
        <v>751616</v>
      </c>
      <c r="T124" s="402">
        <v>62856636.448518693</v>
      </c>
    </row>
    <row r="125" spans="2:20" collapsed="1" x14ac:dyDescent="0.25">
      <c r="B125" s="393" t="s">
        <v>756</v>
      </c>
      <c r="C125" s="394">
        <v>385388.58333333331</v>
      </c>
      <c r="D125" s="403">
        <v>30199838.620280672</v>
      </c>
      <c r="E125" s="394">
        <v>279293.16666666669</v>
      </c>
      <c r="F125" s="403">
        <v>21977209.412587572</v>
      </c>
      <c r="G125" s="394">
        <v>664681.75</v>
      </c>
      <c r="H125" s="403">
        <v>52177048.032868244</v>
      </c>
      <c r="I125" s="394">
        <v>35497.583333333336</v>
      </c>
      <c r="J125" s="403">
        <v>4314625.8514172873</v>
      </c>
      <c r="K125" s="394">
        <v>29292.083333333332</v>
      </c>
      <c r="L125" s="403">
        <v>3471891.7966730311</v>
      </c>
      <c r="M125" s="394">
        <v>64789.666666666664</v>
      </c>
      <c r="N125" s="403">
        <v>7786517.6480903188</v>
      </c>
      <c r="O125" s="403">
        <v>420886.16666666669</v>
      </c>
      <c r="P125" s="403">
        <v>34514464.471697964</v>
      </c>
      <c r="Q125" s="403">
        <v>308585.25</v>
      </c>
      <c r="R125" s="403">
        <v>25449101.209260613</v>
      </c>
      <c r="S125" s="403">
        <v>729471.41666666663</v>
      </c>
      <c r="T125" s="403">
        <v>59963565.680958569</v>
      </c>
    </row>
    <row r="126" spans="2:20" hidden="1" outlineLevel="1" x14ac:dyDescent="0.25">
      <c r="B126" s="219">
        <v>42370</v>
      </c>
      <c r="C126" s="399">
        <v>399583</v>
      </c>
      <c r="D126" s="402">
        <v>31902868.336057037</v>
      </c>
      <c r="E126" s="399">
        <v>290198</v>
      </c>
      <c r="F126" s="402">
        <v>23165760.610181749</v>
      </c>
      <c r="G126" s="399">
        <v>689781</v>
      </c>
      <c r="H126" s="402">
        <v>55068628.946238786</v>
      </c>
      <c r="I126" s="399">
        <v>35653</v>
      </c>
      <c r="J126" s="402">
        <v>4326904.8098464329</v>
      </c>
      <c r="K126" s="399">
        <v>29617</v>
      </c>
      <c r="L126" s="402">
        <v>3504448.2446614415</v>
      </c>
      <c r="M126" s="399">
        <v>65270</v>
      </c>
      <c r="N126" s="402">
        <v>7831353.054507874</v>
      </c>
      <c r="O126" s="402">
        <v>435236</v>
      </c>
      <c r="P126" s="402">
        <v>36229773.145903476</v>
      </c>
      <c r="Q126" s="402">
        <v>319815</v>
      </c>
      <c r="R126" s="402">
        <v>26670208.854843188</v>
      </c>
      <c r="S126" s="402">
        <v>755051</v>
      </c>
      <c r="T126" s="402">
        <v>62899982.00074666</v>
      </c>
    </row>
    <row r="127" spans="2:20" hidden="1" outlineLevel="1" x14ac:dyDescent="0.25">
      <c r="B127" s="219">
        <v>42401</v>
      </c>
      <c r="C127" s="399">
        <v>401765</v>
      </c>
      <c r="D127" s="402">
        <v>31598874.373363007</v>
      </c>
      <c r="E127" s="399">
        <v>291345</v>
      </c>
      <c r="F127" s="402">
        <v>22905386.700298995</v>
      </c>
      <c r="G127" s="399">
        <v>693110</v>
      </c>
      <c r="H127" s="402">
        <v>54504261.073662005</v>
      </c>
      <c r="I127" s="399">
        <v>35604</v>
      </c>
      <c r="J127" s="402">
        <v>4296650.6759421686</v>
      </c>
      <c r="K127" s="399">
        <v>29599</v>
      </c>
      <c r="L127" s="402">
        <v>3477061.9849901577</v>
      </c>
      <c r="M127" s="399">
        <v>65203</v>
      </c>
      <c r="N127" s="402">
        <v>7773712.6609323258</v>
      </c>
      <c r="O127" s="402">
        <v>437369</v>
      </c>
      <c r="P127" s="402">
        <v>35895525.049305178</v>
      </c>
      <c r="Q127" s="402">
        <v>320944</v>
      </c>
      <c r="R127" s="402">
        <v>26382448.685289156</v>
      </c>
      <c r="S127" s="402">
        <v>758313</v>
      </c>
      <c r="T127" s="402">
        <v>62277973.73459433</v>
      </c>
    </row>
    <row r="128" spans="2:20" hidden="1" outlineLevel="1" x14ac:dyDescent="0.25">
      <c r="B128" s="219">
        <v>42430</v>
      </c>
      <c r="C128" s="399">
        <v>402760</v>
      </c>
      <c r="D128" s="402">
        <v>31459707.939178191</v>
      </c>
      <c r="E128" s="399">
        <v>292122</v>
      </c>
      <c r="F128" s="402">
        <v>22742180.695297666</v>
      </c>
      <c r="G128" s="399">
        <v>694882</v>
      </c>
      <c r="H128" s="402">
        <v>54201888.63447585</v>
      </c>
      <c r="I128" s="399">
        <v>35532</v>
      </c>
      <c r="J128" s="402">
        <v>4251162.7511569737</v>
      </c>
      <c r="K128" s="399">
        <v>29505</v>
      </c>
      <c r="L128" s="402">
        <v>3444134.5495593818</v>
      </c>
      <c r="M128" s="399">
        <v>65037</v>
      </c>
      <c r="N128" s="402">
        <v>7695297.3007163554</v>
      </c>
      <c r="O128" s="402">
        <v>438292</v>
      </c>
      <c r="P128" s="402">
        <v>35710870.690335169</v>
      </c>
      <c r="Q128" s="402">
        <v>321627</v>
      </c>
      <c r="R128" s="402">
        <v>26186315.244857043</v>
      </c>
      <c r="S128" s="402">
        <v>759919</v>
      </c>
      <c r="T128" s="402">
        <v>61897185.935192205</v>
      </c>
    </row>
    <row r="129" spans="2:20" hidden="1" outlineLevel="1" x14ac:dyDescent="0.25">
      <c r="B129" s="219">
        <v>42461</v>
      </c>
      <c r="C129" s="399">
        <v>405007</v>
      </c>
      <c r="D129" s="402">
        <v>31529242.050813388</v>
      </c>
      <c r="E129" s="399">
        <v>293491</v>
      </c>
      <c r="F129" s="402">
        <v>22865698.538889598</v>
      </c>
      <c r="G129" s="399">
        <v>698498</v>
      </c>
      <c r="H129" s="402">
        <v>54394940.589702986</v>
      </c>
      <c r="I129" s="399">
        <v>35542</v>
      </c>
      <c r="J129" s="402">
        <v>4273152.1914477013</v>
      </c>
      <c r="K129" s="399">
        <v>29521</v>
      </c>
      <c r="L129" s="402">
        <v>3461087.4483093098</v>
      </c>
      <c r="M129" s="399">
        <v>65063</v>
      </c>
      <c r="N129" s="402">
        <v>7734239.6397570111</v>
      </c>
      <c r="O129" s="402">
        <v>440549</v>
      </c>
      <c r="P129" s="402">
        <v>35802394.242261097</v>
      </c>
      <c r="Q129" s="402">
        <v>323012</v>
      </c>
      <c r="R129" s="402">
        <v>26326785.987198912</v>
      </c>
      <c r="S129" s="402">
        <v>763561</v>
      </c>
      <c r="T129" s="402">
        <v>62129180.229460001</v>
      </c>
    </row>
    <row r="130" spans="2:20" hidden="1" outlineLevel="1" x14ac:dyDescent="0.25">
      <c r="B130" s="219">
        <v>42491</v>
      </c>
      <c r="C130" s="399">
        <v>407494</v>
      </c>
      <c r="D130" s="402">
        <v>32021246.362389781</v>
      </c>
      <c r="E130" s="399">
        <v>295268</v>
      </c>
      <c r="F130" s="402">
        <v>23183380.339352705</v>
      </c>
      <c r="G130" s="399">
        <v>702762</v>
      </c>
      <c r="H130" s="402">
        <v>55204626.701742485</v>
      </c>
      <c r="I130" s="399">
        <v>35521</v>
      </c>
      <c r="J130" s="402">
        <v>4248207.412657761</v>
      </c>
      <c r="K130" s="399">
        <v>29498</v>
      </c>
      <c r="L130" s="402">
        <v>3436532.1164393318</v>
      </c>
      <c r="M130" s="399">
        <v>65019</v>
      </c>
      <c r="N130" s="402">
        <v>7684739.5290970923</v>
      </c>
      <c r="O130" s="402">
        <v>443015</v>
      </c>
      <c r="P130" s="402">
        <v>36269453.775047541</v>
      </c>
      <c r="Q130" s="402">
        <v>324766</v>
      </c>
      <c r="R130" s="402">
        <v>26619912.45579204</v>
      </c>
      <c r="S130" s="402">
        <v>767781</v>
      </c>
      <c r="T130" s="402">
        <v>62889366.23083958</v>
      </c>
    </row>
    <row r="131" spans="2:20" hidden="1" outlineLevel="1" x14ac:dyDescent="0.25">
      <c r="B131" s="219">
        <v>42522</v>
      </c>
      <c r="C131" s="399">
        <v>409023</v>
      </c>
      <c r="D131" s="402">
        <v>31519110.729829844</v>
      </c>
      <c r="E131" s="399">
        <v>296574</v>
      </c>
      <c r="F131" s="402">
        <v>22892828.673398245</v>
      </c>
      <c r="G131" s="399">
        <v>705597</v>
      </c>
      <c r="H131" s="402">
        <v>54411939.403228097</v>
      </c>
      <c r="I131" s="399">
        <v>35515</v>
      </c>
      <c r="J131" s="402">
        <v>4219177.5497080348</v>
      </c>
      <c r="K131" s="399">
        <v>29478</v>
      </c>
      <c r="L131" s="402">
        <v>3413678.279196443</v>
      </c>
      <c r="M131" s="399">
        <v>64993</v>
      </c>
      <c r="N131" s="402">
        <v>7632855.8289044779</v>
      </c>
      <c r="O131" s="402">
        <v>444538</v>
      </c>
      <c r="P131" s="402">
        <v>35738288.279537879</v>
      </c>
      <c r="Q131" s="402">
        <v>326052</v>
      </c>
      <c r="R131" s="402">
        <v>26306506.952594694</v>
      </c>
      <c r="S131" s="402">
        <v>770590</v>
      </c>
      <c r="T131" s="402">
        <v>62044795.232132569</v>
      </c>
    </row>
    <row r="132" spans="2:20" hidden="1" outlineLevel="1" x14ac:dyDescent="0.25">
      <c r="B132" s="219">
        <v>42552</v>
      </c>
      <c r="C132" s="399">
        <v>409755</v>
      </c>
      <c r="D132" s="402">
        <v>33774613.884521753</v>
      </c>
      <c r="E132" s="399">
        <v>298366</v>
      </c>
      <c r="F132" s="402">
        <v>24511182.572860461</v>
      </c>
      <c r="G132" s="399">
        <v>708121</v>
      </c>
      <c r="H132" s="402">
        <v>58285796.457382217</v>
      </c>
      <c r="I132" s="399">
        <v>35484</v>
      </c>
      <c r="J132" s="402">
        <v>4389382.7753230296</v>
      </c>
      <c r="K132" s="399">
        <v>29434</v>
      </c>
      <c r="L132" s="402">
        <v>3564899.322810967</v>
      </c>
      <c r="M132" s="399">
        <v>64918</v>
      </c>
      <c r="N132" s="402">
        <v>7954282.0981339961</v>
      </c>
      <c r="O132" s="402">
        <v>445239</v>
      </c>
      <c r="P132" s="402">
        <v>38163996.659844786</v>
      </c>
      <c r="Q132" s="402">
        <v>327800</v>
      </c>
      <c r="R132" s="402">
        <v>28076081.895671427</v>
      </c>
      <c r="S132" s="402">
        <v>773039</v>
      </c>
      <c r="T132" s="402">
        <v>66240078.555516213</v>
      </c>
    </row>
    <row r="133" spans="2:20" hidden="1" outlineLevel="1" x14ac:dyDescent="0.25">
      <c r="B133" s="219">
        <v>42583</v>
      </c>
      <c r="C133" s="399">
        <v>411971</v>
      </c>
      <c r="D133" s="402">
        <v>34141719.831245862</v>
      </c>
      <c r="E133" s="399">
        <v>299699</v>
      </c>
      <c r="F133" s="402">
        <v>24678570.483776238</v>
      </c>
      <c r="G133" s="399">
        <v>711670</v>
      </c>
      <c r="H133" s="402">
        <v>58820290.315022103</v>
      </c>
      <c r="I133" s="399">
        <v>35469</v>
      </c>
      <c r="J133" s="402">
        <v>4383283.7637960818</v>
      </c>
      <c r="K133" s="399">
        <v>29404</v>
      </c>
      <c r="L133" s="402">
        <v>3550737.3612418179</v>
      </c>
      <c r="M133" s="399">
        <v>64873</v>
      </c>
      <c r="N133" s="402">
        <v>7934021.1250379002</v>
      </c>
      <c r="O133" s="402">
        <v>447440</v>
      </c>
      <c r="P133" s="402">
        <v>38525003.595041946</v>
      </c>
      <c r="Q133" s="402">
        <v>329103</v>
      </c>
      <c r="R133" s="402">
        <v>28229307.845018055</v>
      </c>
      <c r="S133" s="402">
        <v>776543</v>
      </c>
      <c r="T133" s="402">
        <v>66754311.440059997</v>
      </c>
    </row>
    <row r="134" spans="2:20" hidden="1" outlineLevel="1" x14ac:dyDescent="0.25">
      <c r="B134" s="219">
        <v>42614</v>
      </c>
      <c r="C134" s="399">
        <v>413826</v>
      </c>
      <c r="D134" s="402">
        <v>34286265.054318666</v>
      </c>
      <c r="E134" s="399">
        <v>300890</v>
      </c>
      <c r="F134" s="402">
        <v>24692579.310246702</v>
      </c>
      <c r="G134" s="399">
        <v>714716</v>
      </c>
      <c r="H134" s="402">
        <v>58978844.364565365</v>
      </c>
      <c r="I134" s="399">
        <v>35378</v>
      </c>
      <c r="J134" s="402">
        <v>4348485.8856013725</v>
      </c>
      <c r="K134" s="399">
        <v>29305</v>
      </c>
      <c r="L134" s="402">
        <v>3524546.0439029862</v>
      </c>
      <c r="M134" s="399">
        <v>64683</v>
      </c>
      <c r="N134" s="402">
        <v>7873031.9295043591</v>
      </c>
      <c r="O134" s="402">
        <v>449204</v>
      </c>
      <c r="P134" s="402">
        <v>38634750.939920038</v>
      </c>
      <c r="Q134" s="402">
        <v>330195</v>
      </c>
      <c r="R134" s="402">
        <v>28217125.354149692</v>
      </c>
      <c r="S134" s="402">
        <v>779399</v>
      </c>
      <c r="T134" s="402">
        <v>66851876.294069722</v>
      </c>
    </row>
    <row r="135" spans="2:20" hidden="1" outlineLevel="1" x14ac:dyDescent="0.25">
      <c r="B135" s="219">
        <v>42644</v>
      </c>
      <c r="C135" s="399">
        <v>415563</v>
      </c>
      <c r="D135" s="402">
        <v>34314834.121997401</v>
      </c>
      <c r="E135" s="399">
        <v>302315</v>
      </c>
      <c r="F135" s="402">
        <v>24705828.972788114</v>
      </c>
      <c r="G135" s="399">
        <v>717878</v>
      </c>
      <c r="H135" s="402">
        <v>59020663.094785511</v>
      </c>
      <c r="I135" s="399">
        <v>35331</v>
      </c>
      <c r="J135" s="402">
        <v>4340229.6940861819</v>
      </c>
      <c r="K135" s="399">
        <v>29264</v>
      </c>
      <c r="L135" s="402">
        <v>3510784.8541995669</v>
      </c>
      <c r="M135" s="399">
        <v>64595</v>
      </c>
      <c r="N135" s="402">
        <v>7851014.5482857488</v>
      </c>
      <c r="O135" s="402">
        <v>450894</v>
      </c>
      <c r="P135" s="402">
        <v>38655063.81608358</v>
      </c>
      <c r="Q135" s="402">
        <v>331579</v>
      </c>
      <c r="R135" s="402">
        <v>28216613.826987684</v>
      </c>
      <c r="S135" s="402">
        <v>782473</v>
      </c>
      <c r="T135" s="402">
        <v>66871677.643071257</v>
      </c>
    </row>
    <row r="136" spans="2:20" hidden="1" outlineLevel="1" x14ac:dyDescent="0.25">
      <c r="B136" s="219">
        <v>42675</v>
      </c>
      <c r="C136" s="399">
        <v>418973</v>
      </c>
      <c r="D136" s="402">
        <v>34956153.418517984</v>
      </c>
      <c r="E136" s="399">
        <v>304146</v>
      </c>
      <c r="F136" s="402">
        <v>25017687.79982575</v>
      </c>
      <c r="G136" s="399">
        <v>723119</v>
      </c>
      <c r="H136" s="402">
        <v>59973841.218343735</v>
      </c>
      <c r="I136" s="399">
        <v>35297</v>
      </c>
      <c r="J136" s="402">
        <v>4337745.6743968017</v>
      </c>
      <c r="K136" s="399">
        <v>29235</v>
      </c>
      <c r="L136" s="402">
        <v>3504952.0975477486</v>
      </c>
      <c r="M136" s="399">
        <v>64532</v>
      </c>
      <c r="N136" s="402">
        <v>7842697.7719445508</v>
      </c>
      <c r="O136" s="402">
        <v>454270</v>
      </c>
      <c r="P136" s="402">
        <v>39293899.09291479</v>
      </c>
      <c r="Q136" s="402">
        <v>333381</v>
      </c>
      <c r="R136" s="402">
        <v>28522639.897373497</v>
      </c>
      <c r="S136" s="402">
        <v>787651</v>
      </c>
      <c r="T136" s="402">
        <v>67816538.990288287</v>
      </c>
    </row>
    <row r="137" spans="2:20" hidden="1" outlineLevel="1" x14ac:dyDescent="0.25">
      <c r="B137" s="219">
        <v>42705</v>
      </c>
      <c r="C137" s="399">
        <v>420635</v>
      </c>
      <c r="D137" s="402">
        <v>34869197.744150102</v>
      </c>
      <c r="E137" s="399">
        <v>305119</v>
      </c>
      <c r="F137" s="402">
        <v>24936178.148061559</v>
      </c>
      <c r="G137" s="399">
        <v>725754</v>
      </c>
      <c r="H137" s="402">
        <v>59805375.892211661</v>
      </c>
      <c r="I137" s="399">
        <v>35407</v>
      </c>
      <c r="J137" s="402">
        <v>4349122.2153369943</v>
      </c>
      <c r="K137" s="399">
        <v>29476</v>
      </c>
      <c r="L137" s="402">
        <v>3538736.6310310219</v>
      </c>
      <c r="M137" s="399">
        <v>64883</v>
      </c>
      <c r="N137" s="402">
        <v>7887858.8463680167</v>
      </c>
      <c r="O137" s="402">
        <v>456042</v>
      </c>
      <c r="P137" s="402">
        <v>39218319.959487095</v>
      </c>
      <c r="Q137" s="402">
        <v>334595</v>
      </c>
      <c r="R137" s="402">
        <v>28474914.779092584</v>
      </c>
      <c r="S137" s="402">
        <v>790637</v>
      </c>
      <c r="T137" s="402">
        <v>67693234.738579676</v>
      </c>
    </row>
    <row r="138" spans="2:20" collapsed="1" x14ac:dyDescent="0.25">
      <c r="B138" s="393" t="s">
        <v>757</v>
      </c>
      <c r="C138" s="394">
        <v>409696.25</v>
      </c>
      <c r="D138" s="403">
        <v>33031152.82053192</v>
      </c>
      <c r="E138" s="394">
        <v>297461.08333333331</v>
      </c>
      <c r="F138" s="403">
        <v>23858105.237081483</v>
      </c>
      <c r="G138" s="394">
        <v>707157.33333333337</v>
      </c>
      <c r="H138" s="403">
        <v>56889258.057613403</v>
      </c>
      <c r="I138" s="394">
        <v>35477.75</v>
      </c>
      <c r="J138" s="403">
        <v>4313625.4499416277</v>
      </c>
      <c r="K138" s="394">
        <v>29444.666666666668</v>
      </c>
      <c r="L138" s="403">
        <v>3494299.9111575144</v>
      </c>
      <c r="M138" s="394">
        <v>64922.416666666664</v>
      </c>
      <c r="N138" s="403">
        <v>7807925.3610991426</v>
      </c>
      <c r="O138" s="403">
        <v>445174</v>
      </c>
      <c r="P138" s="403">
        <v>37344778.270473547</v>
      </c>
      <c r="Q138" s="403">
        <v>326905.75</v>
      </c>
      <c r="R138" s="403">
        <v>27352405.148239002</v>
      </c>
      <c r="S138" s="403">
        <v>772079.75</v>
      </c>
      <c r="T138" s="403">
        <v>64697183.418712549</v>
      </c>
    </row>
    <row r="139" spans="2:20" hidden="1" outlineLevel="1" x14ac:dyDescent="0.25">
      <c r="B139" s="219">
        <v>42736</v>
      </c>
      <c r="C139" s="399">
        <v>422492</v>
      </c>
      <c r="D139" s="402">
        <v>38263232.116747253</v>
      </c>
      <c r="E139" s="399">
        <v>306164</v>
      </c>
      <c r="F139" s="402">
        <v>27325870.400189456</v>
      </c>
      <c r="G139" s="399">
        <v>728656</v>
      </c>
      <c r="H139" s="402">
        <v>65589102.516936705</v>
      </c>
      <c r="I139" s="399">
        <v>35386</v>
      </c>
      <c r="J139" s="402">
        <v>4780879.5404388113</v>
      </c>
      <c r="K139" s="399">
        <v>29465</v>
      </c>
      <c r="L139" s="402">
        <v>3900767.2965181815</v>
      </c>
      <c r="M139" s="399">
        <v>64851</v>
      </c>
      <c r="N139" s="402">
        <v>8681646.8369569927</v>
      </c>
      <c r="O139" s="402">
        <v>457878</v>
      </c>
      <c r="P139" s="402">
        <v>43044111.657186069</v>
      </c>
      <c r="Q139" s="402">
        <v>335629</v>
      </c>
      <c r="R139" s="402">
        <v>31226637.696707636</v>
      </c>
      <c r="S139" s="402">
        <v>793507</v>
      </c>
      <c r="T139" s="402">
        <v>74270749.353893712</v>
      </c>
    </row>
    <row r="140" spans="2:20" hidden="1" outlineLevel="1" x14ac:dyDescent="0.25">
      <c r="B140" s="219">
        <v>42767</v>
      </c>
      <c r="C140" s="399">
        <v>424127</v>
      </c>
      <c r="D140" s="402">
        <v>38017034.779528834</v>
      </c>
      <c r="E140" s="399">
        <v>306699</v>
      </c>
      <c r="F140" s="402">
        <v>27207813.147507202</v>
      </c>
      <c r="G140" s="399">
        <v>730826</v>
      </c>
      <c r="H140" s="402">
        <v>65224847.927036025</v>
      </c>
      <c r="I140" s="399">
        <v>35320</v>
      </c>
      <c r="J140" s="402">
        <v>4762298.8514114488</v>
      </c>
      <c r="K140" s="399">
        <v>29378</v>
      </c>
      <c r="L140" s="402">
        <v>3875043.3479907108</v>
      </c>
      <c r="M140" s="399">
        <v>64698</v>
      </c>
      <c r="N140" s="402">
        <v>8637342.1994021609</v>
      </c>
      <c r="O140" s="402">
        <v>459447</v>
      </c>
      <c r="P140" s="402">
        <v>42779333.630940273</v>
      </c>
      <c r="Q140" s="402">
        <v>336077</v>
      </c>
      <c r="R140" s="402">
        <v>31082856.495497908</v>
      </c>
      <c r="S140" s="402">
        <v>795524</v>
      </c>
      <c r="T140" s="402">
        <v>73862190.126438186</v>
      </c>
    </row>
    <row r="141" spans="2:20" hidden="1" outlineLevel="1" x14ac:dyDescent="0.25">
      <c r="B141" s="219">
        <v>42795</v>
      </c>
      <c r="C141" s="399">
        <v>424388</v>
      </c>
      <c r="D141" s="402">
        <v>37738306.359326169</v>
      </c>
      <c r="E141" s="399">
        <v>308300</v>
      </c>
      <c r="F141" s="402">
        <v>27145967.510565672</v>
      </c>
      <c r="G141" s="399">
        <v>732688</v>
      </c>
      <c r="H141" s="402">
        <v>64884273.869891845</v>
      </c>
      <c r="I141" s="399">
        <v>35219</v>
      </c>
      <c r="J141" s="402">
        <v>4722855.9818061069</v>
      </c>
      <c r="K141" s="399">
        <v>29336</v>
      </c>
      <c r="L141" s="402">
        <v>3850885.503942132</v>
      </c>
      <c r="M141" s="399">
        <v>64555</v>
      </c>
      <c r="N141" s="402">
        <v>8573741.4857482389</v>
      </c>
      <c r="O141" s="402">
        <v>459607</v>
      </c>
      <c r="P141" s="402">
        <v>42461162.341132276</v>
      </c>
      <c r="Q141" s="402">
        <v>337636</v>
      </c>
      <c r="R141" s="402">
        <v>30996853.014507804</v>
      </c>
      <c r="S141" s="402">
        <v>797243</v>
      </c>
      <c r="T141" s="402">
        <v>73458015.355640069</v>
      </c>
    </row>
    <row r="142" spans="2:20" hidden="1" outlineLevel="1" x14ac:dyDescent="0.25">
      <c r="B142" s="219">
        <v>42826</v>
      </c>
      <c r="C142" s="399">
        <v>427169</v>
      </c>
      <c r="D142" s="402">
        <v>38076123.957370542</v>
      </c>
      <c r="E142" s="399">
        <v>310215</v>
      </c>
      <c r="F142" s="402">
        <v>27350168.428313054</v>
      </c>
      <c r="G142" s="399">
        <v>737384</v>
      </c>
      <c r="H142" s="402">
        <v>65426292.385683596</v>
      </c>
      <c r="I142" s="399">
        <v>35233</v>
      </c>
      <c r="J142" s="402">
        <v>4717231.0573421866</v>
      </c>
      <c r="K142" s="399">
        <v>29366</v>
      </c>
      <c r="L142" s="402">
        <v>3839818.1226856397</v>
      </c>
      <c r="M142" s="399">
        <v>64599</v>
      </c>
      <c r="N142" s="402">
        <v>8557049.1800278258</v>
      </c>
      <c r="O142" s="402">
        <v>462402</v>
      </c>
      <c r="P142" s="402">
        <v>42793355.014712729</v>
      </c>
      <c r="Q142" s="402">
        <v>339581</v>
      </c>
      <c r="R142" s="402">
        <v>31189986.550998695</v>
      </c>
      <c r="S142" s="402">
        <v>801983</v>
      </c>
      <c r="T142" s="402">
        <v>73983341.565711424</v>
      </c>
    </row>
    <row r="143" spans="2:20" hidden="1" outlineLevel="1" x14ac:dyDescent="0.25">
      <c r="B143" s="219">
        <v>42856</v>
      </c>
      <c r="C143" s="399">
        <v>429990</v>
      </c>
      <c r="D143" s="402">
        <v>38300336.37702018</v>
      </c>
      <c r="E143" s="399">
        <v>312104</v>
      </c>
      <c r="F143" s="402">
        <v>27542131.694209371</v>
      </c>
      <c r="G143" s="399">
        <v>742094</v>
      </c>
      <c r="H143" s="402">
        <v>65842468.071229547</v>
      </c>
      <c r="I143" s="399">
        <v>35231</v>
      </c>
      <c r="J143" s="402">
        <v>4705920.0248323958</v>
      </c>
      <c r="K143" s="399">
        <v>29372</v>
      </c>
      <c r="L143" s="402">
        <v>3836258.4748750292</v>
      </c>
      <c r="M143" s="399">
        <v>64603</v>
      </c>
      <c r="N143" s="402">
        <v>8542178.499707425</v>
      </c>
      <c r="O143" s="402">
        <v>465221</v>
      </c>
      <c r="P143" s="402">
        <v>43006256.401852578</v>
      </c>
      <c r="Q143" s="402">
        <v>341476</v>
      </c>
      <c r="R143" s="402">
        <v>31378390.1690844</v>
      </c>
      <c r="S143" s="402">
        <v>806697</v>
      </c>
      <c r="T143" s="402">
        <v>74384646.570936978</v>
      </c>
    </row>
    <row r="144" spans="2:20" hidden="1" outlineLevel="1" x14ac:dyDescent="0.25">
      <c r="B144" s="219">
        <v>42887</v>
      </c>
      <c r="C144" s="399">
        <v>432504</v>
      </c>
      <c r="D144" s="402">
        <v>38596607.142634518</v>
      </c>
      <c r="E144" s="399">
        <v>313616</v>
      </c>
      <c r="F144" s="402">
        <v>27634594.129955865</v>
      </c>
      <c r="G144" s="399">
        <v>746120</v>
      </c>
      <c r="H144" s="402">
        <v>66231201.272590384</v>
      </c>
      <c r="I144" s="399">
        <v>35330</v>
      </c>
      <c r="J144" s="402">
        <v>4730732.9214386679</v>
      </c>
      <c r="K144" s="399">
        <v>29496</v>
      </c>
      <c r="L144" s="402">
        <v>3858982.6445406959</v>
      </c>
      <c r="M144" s="399">
        <v>64826</v>
      </c>
      <c r="N144" s="402">
        <v>8589715.5659793653</v>
      </c>
      <c r="O144" s="402">
        <v>467834</v>
      </c>
      <c r="P144" s="402">
        <v>43327340.06407319</v>
      </c>
      <c r="Q144" s="402">
        <v>343112</v>
      </c>
      <c r="R144" s="402">
        <v>31493576.774496559</v>
      </c>
      <c r="S144" s="402">
        <v>810946</v>
      </c>
      <c r="T144" s="402">
        <v>74820916.838569745</v>
      </c>
    </row>
    <row r="145" spans="2:20" hidden="1" outlineLevel="1" x14ac:dyDescent="0.25">
      <c r="B145" s="219">
        <v>42917</v>
      </c>
      <c r="C145" s="399">
        <v>434836</v>
      </c>
      <c r="D145" s="402">
        <v>40278494.235946037</v>
      </c>
      <c r="E145" s="399">
        <v>316011</v>
      </c>
      <c r="F145" s="402">
        <v>29006283.287922665</v>
      </c>
      <c r="G145" s="399">
        <v>750847</v>
      </c>
      <c r="H145" s="402">
        <v>69284777.523868695</v>
      </c>
      <c r="I145" s="399">
        <v>35288</v>
      </c>
      <c r="J145" s="402">
        <v>4821509.0863067601</v>
      </c>
      <c r="K145" s="399">
        <v>29485</v>
      </c>
      <c r="L145" s="402">
        <v>3938137.4343253113</v>
      </c>
      <c r="M145" s="399">
        <v>64773</v>
      </c>
      <c r="N145" s="402">
        <v>8759646.5206320714</v>
      </c>
      <c r="O145" s="402">
        <v>470124</v>
      </c>
      <c r="P145" s="402">
        <v>45100003.322252803</v>
      </c>
      <c r="Q145" s="402">
        <v>345496</v>
      </c>
      <c r="R145" s="402">
        <v>32944420.722247973</v>
      </c>
      <c r="S145" s="402">
        <v>815620</v>
      </c>
      <c r="T145" s="402">
        <v>78044424.044500783</v>
      </c>
    </row>
    <row r="146" spans="2:20" hidden="1" outlineLevel="1" x14ac:dyDescent="0.25">
      <c r="B146" s="219">
        <v>42948</v>
      </c>
      <c r="C146" s="399">
        <v>436895</v>
      </c>
      <c r="D146" s="402">
        <v>40094165.979450345</v>
      </c>
      <c r="E146" s="399">
        <v>317865</v>
      </c>
      <c r="F146" s="402">
        <v>28850516.654461045</v>
      </c>
      <c r="G146" s="399">
        <v>754760</v>
      </c>
      <c r="H146" s="402">
        <v>68944682.633911386</v>
      </c>
      <c r="I146" s="399">
        <v>35290</v>
      </c>
      <c r="J146" s="402">
        <v>4785565.0518738478</v>
      </c>
      <c r="K146" s="399">
        <v>29535</v>
      </c>
      <c r="L146" s="402">
        <v>3931109.668359092</v>
      </c>
      <c r="M146" s="399">
        <v>64825</v>
      </c>
      <c r="N146" s="402">
        <v>8716674.7202329393</v>
      </c>
      <c r="O146" s="402">
        <v>472185</v>
      </c>
      <c r="P146" s="402">
        <v>44879731.031324193</v>
      </c>
      <c r="Q146" s="402">
        <v>347400</v>
      </c>
      <c r="R146" s="402">
        <v>32781626.322820134</v>
      </c>
      <c r="S146" s="402">
        <v>819585</v>
      </c>
      <c r="T146" s="402">
        <v>77661357.354144335</v>
      </c>
    </row>
    <row r="147" spans="2:20" hidden="1" outlineLevel="1" x14ac:dyDescent="0.25">
      <c r="B147" s="219">
        <v>42979</v>
      </c>
      <c r="C147" s="399">
        <v>439139</v>
      </c>
      <c r="D147" s="402">
        <v>40467653.740244269</v>
      </c>
      <c r="E147" s="399">
        <v>319533</v>
      </c>
      <c r="F147" s="402">
        <v>28996478.988328628</v>
      </c>
      <c r="G147" s="399">
        <v>758672</v>
      </c>
      <c r="H147" s="402">
        <v>69464132.728572905</v>
      </c>
      <c r="I147" s="399">
        <v>35214</v>
      </c>
      <c r="J147" s="402">
        <v>4772993.729375354</v>
      </c>
      <c r="K147" s="399">
        <v>29509</v>
      </c>
      <c r="L147" s="402">
        <v>3917676.7000598572</v>
      </c>
      <c r="M147" s="399">
        <v>64723</v>
      </c>
      <c r="N147" s="402">
        <v>8690670.4294352103</v>
      </c>
      <c r="O147" s="402">
        <v>474353</v>
      </c>
      <c r="P147" s="402">
        <v>45240647.469619632</v>
      </c>
      <c r="Q147" s="402">
        <v>349042</v>
      </c>
      <c r="R147" s="402">
        <v>32914155.688388489</v>
      </c>
      <c r="S147" s="402">
        <v>823395</v>
      </c>
      <c r="T147" s="402">
        <v>78154803.158008114</v>
      </c>
    </row>
    <row r="148" spans="2:20" hidden="1" outlineLevel="1" x14ac:dyDescent="0.25">
      <c r="B148" s="219">
        <v>43009</v>
      </c>
      <c r="C148" s="399">
        <v>442652</v>
      </c>
      <c r="D148" s="402">
        <v>40722726.76709199</v>
      </c>
      <c r="E148" s="399">
        <v>321666</v>
      </c>
      <c r="F148" s="402">
        <v>29150605.020256352</v>
      </c>
      <c r="G148" s="399">
        <v>764318</v>
      </c>
      <c r="H148" s="402">
        <v>69873331.787348345</v>
      </c>
      <c r="I148" s="399">
        <v>35178</v>
      </c>
      <c r="J148" s="402">
        <v>4760379.4320065938</v>
      </c>
      <c r="K148" s="399">
        <v>29486</v>
      </c>
      <c r="L148" s="402">
        <v>3894822.4773371653</v>
      </c>
      <c r="M148" s="399">
        <v>64664</v>
      </c>
      <c r="N148" s="402">
        <v>8655201.9093437605</v>
      </c>
      <c r="O148" s="402">
        <v>477830</v>
      </c>
      <c r="P148" s="402">
        <v>45483106.19909858</v>
      </c>
      <c r="Q148" s="402">
        <v>351152</v>
      </c>
      <c r="R148" s="402">
        <v>33045427.497593518</v>
      </c>
      <c r="S148" s="402">
        <v>828982</v>
      </c>
      <c r="T148" s="402">
        <v>78528533.696692094</v>
      </c>
    </row>
    <row r="149" spans="2:20" hidden="1" outlineLevel="1" x14ac:dyDescent="0.25">
      <c r="B149" s="219">
        <v>43040</v>
      </c>
      <c r="C149" s="399">
        <v>445509</v>
      </c>
      <c r="D149" s="402">
        <v>40954104.94435823</v>
      </c>
      <c r="E149" s="399">
        <v>323597</v>
      </c>
      <c r="F149" s="402">
        <v>29222826.210913129</v>
      </c>
      <c r="G149" s="399">
        <v>769106</v>
      </c>
      <c r="H149" s="402">
        <v>70176931.155271366</v>
      </c>
      <c r="I149" s="399">
        <v>35101</v>
      </c>
      <c r="J149" s="402">
        <v>4741620.3630582606</v>
      </c>
      <c r="K149" s="399">
        <v>29463</v>
      </c>
      <c r="L149" s="402">
        <v>3891582.5743738962</v>
      </c>
      <c r="M149" s="399">
        <v>64564</v>
      </c>
      <c r="N149" s="402">
        <v>8633202.9374321569</v>
      </c>
      <c r="O149" s="402">
        <v>480610</v>
      </c>
      <c r="P149" s="402">
        <v>45695725.307416499</v>
      </c>
      <c r="Q149" s="402">
        <v>353060</v>
      </c>
      <c r="R149" s="402">
        <v>33114408.785287023</v>
      </c>
      <c r="S149" s="402">
        <v>833670</v>
      </c>
      <c r="T149" s="402">
        <v>78810134.092703521</v>
      </c>
    </row>
    <row r="150" spans="2:20" hidden="1" outlineLevel="1" x14ac:dyDescent="0.25">
      <c r="B150" s="219">
        <v>43070</v>
      </c>
      <c r="C150" s="399">
        <v>448472</v>
      </c>
      <c r="D150" s="402">
        <v>41255643.165632486</v>
      </c>
      <c r="E150" s="399">
        <v>325611</v>
      </c>
      <c r="F150" s="402">
        <v>29394045.992040977</v>
      </c>
      <c r="G150" s="399">
        <v>774083</v>
      </c>
      <c r="H150" s="402">
        <v>70649689.157673463</v>
      </c>
      <c r="I150" s="399">
        <v>35047</v>
      </c>
      <c r="J150" s="402">
        <v>4723463.7422732878</v>
      </c>
      <c r="K150" s="399">
        <v>29394</v>
      </c>
      <c r="L150" s="402">
        <v>3869759.7545558461</v>
      </c>
      <c r="M150" s="399">
        <v>64441</v>
      </c>
      <c r="N150" s="402">
        <v>8593223.4968291335</v>
      </c>
      <c r="O150" s="402">
        <v>483519</v>
      </c>
      <c r="P150" s="402">
        <v>45979106.90790578</v>
      </c>
      <c r="Q150" s="402">
        <v>355005</v>
      </c>
      <c r="R150" s="402">
        <v>33263805.746596824</v>
      </c>
      <c r="S150" s="402">
        <v>838524</v>
      </c>
      <c r="T150" s="402">
        <v>79242912.6545026</v>
      </c>
    </row>
    <row r="151" spans="2:20" collapsed="1" x14ac:dyDescent="0.25">
      <c r="B151" s="393" t="s">
        <v>758</v>
      </c>
      <c r="C151" s="394">
        <v>434014.41666666669</v>
      </c>
      <c r="D151" s="403">
        <v>39397035.797112569</v>
      </c>
      <c r="E151" s="394">
        <v>315115.08333333331</v>
      </c>
      <c r="F151" s="403">
        <v>28235608.45538862</v>
      </c>
      <c r="G151" s="394">
        <v>749129.5</v>
      </c>
      <c r="H151" s="403">
        <v>67632644.252501205</v>
      </c>
      <c r="I151" s="394">
        <v>35236.416666666664</v>
      </c>
      <c r="J151" s="403">
        <v>4752120.81518031</v>
      </c>
      <c r="K151" s="394">
        <v>29440.416666666668</v>
      </c>
      <c r="L151" s="403">
        <v>3883736.99996363</v>
      </c>
      <c r="M151" s="394">
        <v>64676.833333333336</v>
      </c>
      <c r="N151" s="403">
        <v>8635857.815143941</v>
      </c>
      <c r="O151" s="403">
        <v>469250.83333333331</v>
      </c>
      <c r="P151" s="403">
        <v>44149156.612292886</v>
      </c>
      <c r="Q151" s="403">
        <v>344555.5</v>
      </c>
      <c r="R151" s="403">
        <v>32119345.455352243</v>
      </c>
      <c r="S151" s="403">
        <v>813806.33333333337</v>
      </c>
      <c r="T151" s="403">
        <v>76268502.067645133</v>
      </c>
    </row>
    <row r="152" spans="2:20" hidden="1" outlineLevel="1" x14ac:dyDescent="0.25">
      <c r="B152" s="219">
        <v>43101</v>
      </c>
      <c r="C152" s="399">
        <v>451178</v>
      </c>
      <c r="D152" s="402">
        <v>41339864.945978872</v>
      </c>
      <c r="E152" s="399">
        <v>327550</v>
      </c>
      <c r="F152" s="402">
        <v>29429066.226029366</v>
      </c>
      <c r="G152" s="399">
        <v>778728</v>
      </c>
      <c r="H152" s="402">
        <v>70768931.172008246</v>
      </c>
      <c r="I152" s="399">
        <v>35049</v>
      </c>
      <c r="J152" s="402">
        <v>4701143.980224519</v>
      </c>
      <c r="K152" s="399">
        <v>29405</v>
      </c>
      <c r="L152" s="402">
        <v>3861252.6893675169</v>
      </c>
      <c r="M152" s="399">
        <v>64454</v>
      </c>
      <c r="N152" s="402">
        <v>8562396.6695920359</v>
      </c>
      <c r="O152" s="402">
        <v>486227</v>
      </c>
      <c r="P152" s="402">
        <v>46041008.926203392</v>
      </c>
      <c r="Q152" s="402">
        <v>356955</v>
      </c>
      <c r="R152" s="402">
        <v>33290318.915396884</v>
      </c>
      <c r="S152" s="402">
        <v>843182</v>
      </c>
      <c r="T152" s="402">
        <v>79331327.841600284</v>
      </c>
    </row>
    <row r="153" spans="2:20" hidden="1" outlineLevel="1" x14ac:dyDescent="0.25">
      <c r="B153" s="219">
        <v>43132</v>
      </c>
      <c r="C153" s="399">
        <v>453700</v>
      </c>
      <c r="D153" s="402">
        <v>41266421.544454455</v>
      </c>
      <c r="E153" s="399">
        <v>329547</v>
      </c>
      <c r="F153" s="402">
        <v>29497674.833124746</v>
      </c>
      <c r="G153" s="399">
        <v>783247</v>
      </c>
      <c r="H153" s="402">
        <v>70764096.377579197</v>
      </c>
      <c r="I153" s="399">
        <v>35033</v>
      </c>
      <c r="J153" s="402">
        <v>4691189.401959396</v>
      </c>
      <c r="K153" s="399">
        <v>29490</v>
      </c>
      <c r="L153" s="402">
        <v>3871620.5091363043</v>
      </c>
      <c r="M153" s="399">
        <v>64523</v>
      </c>
      <c r="N153" s="402">
        <v>8562809.9110957012</v>
      </c>
      <c r="O153" s="402">
        <v>488733</v>
      </c>
      <c r="P153" s="402">
        <v>45957610.946413852</v>
      </c>
      <c r="Q153" s="402">
        <v>359037</v>
      </c>
      <c r="R153" s="402">
        <v>33369295.34226105</v>
      </c>
      <c r="S153" s="402">
        <v>847770</v>
      </c>
      <c r="T153" s="402">
        <v>79326906.288674891</v>
      </c>
    </row>
    <row r="154" spans="2:20" hidden="1" outlineLevel="1" x14ac:dyDescent="0.25">
      <c r="B154" s="219">
        <v>43160</v>
      </c>
      <c r="C154" s="399">
        <v>458631</v>
      </c>
      <c r="D154" s="402">
        <v>42169694.377554759</v>
      </c>
      <c r="E154" s="399">
        <v>332732</v>
      </c>
      <c r="F154" s="402">
        <v>30005474.640935153</v>
      </c>
      <c r="G154" s="399">
        <v>791363</v>
      </c>
      <c r="H154" s="402">
        <v>72175169.018489897</v>
      </c>
      <c r="I154" s="399">
        <v>35283</v>
      </c>
      <c r="J154" s="402">
        <v>4757600.6441199891</v>
      </c>
      <c r="K154" s="399">
        <v>29743</v>
      </c>
      <c r="L154" s="402">
        <v>3925528.335657326</v>
      </c>
      <c r="M154" s="399">
        <v>65026</v>
      </c>
      <c r="N154" s="402">
        <v>8683128.9797773156</v>
      </c>
      <c r="O154" s="402">
        <v>493914</v>
      </c>
      <c r="P154" s="402">
        <v>46927295.021674745</v>
      </c>
      <c r="Q154" s="402">
        <v>362475</v>
      </c>
      <c r="R154" s="402">
        <v>33931002.976592481</v>
      </c>
      <c r="S154" s="402">
        <v>856389</v>
      </c>
      <c r="T154" s="402">
        <v>80858297.998267233</v>
      </c>
    </row>
    <row r="155" spans="2:20" hidden="1" outlineLevel="1" x14ac:dyDescent="0.25">
      <c r="B155" s="219">
        <v>43191</v>
      </c>
      <c r="C155" s="399">
        <v>464449</v>
      </c>
      <c r="D155" s="402">
        <v>42654496.645091288</v>
      </c>
      <c r="E155" s="399">
        <v>336427</v>
      </c>
      <c r="F155" s="402">
        <v>30221425.613197945</v>
      </c>
      <c r="G155" s="399">
        <v>800876</v>
      </c>
      <c r="H155" s="402">
        <v>72875922.258289233</v>
      </c>
      <c r="I155" s="399">
        <v>35549</v>
      </c>
      <c r="J155" s="402">
        <v>4754088.4276101729</v>
      </c>
      <c r="K155" s="399">
        <v>29988</v>
      </c>
      <c r="L155" s="402">
        <v>3916829.7205869374</v>
      </c>
      <c r="M155" s="399">
        <v>65537</v>
      </c>
      <c r="N155" s="402">
        <v>8670918.1481971107</v>
      </c>
      <c r="O155" s="402">
        <v>499998</v>
      </c>
      <c r="P155" s="402">
        <v>47408585.072701462</v>
      </c>
      <c r="Q155" s="402">
        <v>366415</v>
      </c>
      <c r="R155" s="402">
        <v>34138255.333784878</v>
      </c>
      <c r="S155" s="402">
        <v>866413</v>
      </c>
      <c r="T155" s="402">
        <v>81546840.406486347</v>
      </c>
    </row>
    <row r="156" spans="2:20" hidden="1" outlineLevel="1" x14ac:dyDescent="0.25">
      <c r="B156" s="219">
        <v>43221</v>
      </c>
      <c r="C156" s="399">
        <v>468409</v>
      </c>
      <c r="D156" s="402">
        <v>42688850.35022679</v>
      </c>
      <c r="E156" s="399">
        <v>339383</v>
      </c>
      <c r="F156" s="402">
        <v>30359743.223501034</v>
      </c>
      <c r="G156" s="399">
        <v>807792</v>
      </c>
      <c r="H156" s="402">
        <v>73048593.573727831</v>
      </c>
      <c r="I156" s="399">
        <v>35884</v>
      </c>
      <c r="J156" s="402">
        <v>4795537.679356087</v>
      </c>
      <c r="K156" s="399">
        <v>30386</v>
      </c>
      <c r="L156" s="402">
        <v>3963435.8226331458</v>
      </c>
      <c r="M156" s="399">
        <v>66270</v>
      </c>
      <c r="N156" s="402">
        <v>8758973.5019892324</v>
      </c>
      <c r="O156" s="402">
        <v>504293</v>
      </c>
      <c r="P156" s="402">
        <v>47484388.02958288</v>
      </c>
      <c r="Q156" s="402">
        <v>369769</v>
      </c>
      <c r="R156" s="402">
        <v>34323179.046134181</v>
      </c>
      <c r="S156" s="402">
        <v>874062</v>
      </c>
      <c r="T156" s="402">
        <v>81807567.075717062</v>
      </c>
    </row>
    <row r="157" spans="2:20" hidden="1" outlineLevel="1" x14ac:dyDescent="0.25">
      <c r="B157" s="219">
        <v>43252</v>
      </c>
      <c r="C157" s="399">
        <v>471975</v>
      </c>
      <c r="D157" s="402">
        <v>42961523.300068706</v>
      </c>
      <c r="E157" s="399">
        <v>342712</v>
      </c>
      <c r="F157" s="402">
        <v>30629103.158385843</v>
      </c>
      <c r="G157" s="399">
        <v>814687</v>
      </c>
      <c r="H157" s="402">
        <v>73590626.458454549</v>
      </c>
      <c r="I157" s="399">
        <v>36044</v>
      </c>
      <c r="J157" s="402">
        <v>4785424.1730288956</v>
      </c>
      <c r="K157" s="399">
        <v>30563</v>
      </c>
      <c r="L157" s="402">
        <v>3948653.8662003172</v>
      </c>
      <c r="M157" s="399">
        <v>66607</v>
      </c>
      <c r="N157" s="402">
        <v>8734078.0392292123</v>
      </c>
      <c r="O157" s="402">
        <v>508019</v>
      </c>
      <c r="P157" s="402">
        <v>47746947.4730976</v>
      </c>
      <c r="Q157" s="402">
        <v>373275</v>
      </c>
      <c r="R157" s="402">
        <v>34577757.024586156</v>
      </c>
      <c r="S157" s="402">
        <v>881294</v>
      </c>
      <c r="T157" s="402">
        <v>82324704.497683764</v>
      </c>
    </row>
    <row r="158" spans="2:20" hidden="1" outlineLevel="1" x14ac:dyDescent="0.25">
      <c r="B158" s="219">
        <v>43282</v>
      </c>
      <c r="C158" s="399">
        <v>475671</v>
      </c>
      <c r="D158" s="402">
        <v>44854841.427174829</v>
      </c>
      <c r="E158" s="399">
        <v>346201</v>
      </c>
      <c r="F158" s="402">
        <v>31980468.008619763</v>
      </c>
      <c r="G158" s="399">
        <v>821872</v>
      </c>
      <c r="H158" s="402">
        <v>76835309.435794592</v>
      </c>
      <c r="I158" s="399">
        <v>36149</v>
      </c>
      <c r="J158" s="402">
        <v>4887404.839174578</v>
      </c>
      <c r="K158" s="399">
        <v>30697</v>
      </c>
      <c r="L158" s="402">
        <v>4052208.5425069765</v>
      </c>
      <c r="M158" s="399">
        <v>66846</v>
      </c>
      <c r="N158" s="402">
        <v>8939613.381681554</v>
      </c>
      <c r="O158" s="402">
        <v>511820</v>
      </c>
      <c r="P158" s="402">
        <v>49742246.266349405</v>
      </c>
      <c r="Q158" s="402">
        <v>376898</v>
      </c>
      <c r="R158" s="402">
        <v>36032676.551126741</v>
      </c>
      <c r="S158" s="402">
        <v>888718</v>
      </c>
      <c r="T158" s="402">
        <v>85774922.817476153</v>
      </c>
    </row>
    <row r="159" spans="2:20" hidden="1" outlineLevel="1" x14ac:dyDescent="0.25">
      <c r="B159" s="219">
        <v>43313</v>
      </c>
      <c r="C159" s="399">
        <v>478874</v>
      </c>
      <c r="D159" s="402">
        <v>45096987.066096708</v>
      </c>
      <c r="E159" s="399">
        <v>349112</v>
      </c>
      <c r="F159" s="402">
        <v>32147146.763622042</v>
      </c>
      <c r="G159" s="399">
        <v>827986</v>
      </c>
      <c r="H159" s="402">
        <v>77244133.829718754</v>
      </c>
      <c r="I159" s="399">
        <v>36176</v>
      </c>
      <c r="J159" s="402">
        <v>4862405.1022336986</v>
      </c>
      <c r="K159" s="399">
        <v>30737</v>
      </c>
      <c r="L159" s="402">
        <v>4034677.4854242047</v>
      </c>
      <c r="M159" s="399">
        <v>66913</v>
      </c>
      <c r="N159" s="402">
        <v>8897082.5876579043</v>
      </c>
      <c r="O159" s="402">
        <v>515050</v>
      </c>
      <c r="P159" s="402">
        <v>49959392.168330416</v>
      </c>
      <c r="Q159" s="402">
        <v>379849</v>
      </c>
      <c r="R159" s="402">
        <v>36181824.249046251</v>
      </c>
      <c r="S159" s="402">
        <v>894899</v>
      </c>
      <c r="T159" s="402">
        <v>86141216.417376667</v>
      </c>
    </row>
    <row r="160" spans="2:20" hidden="1" outlineLevel="1" x14ac:dyDescent="0.25">
      <c r="B160" s="219">
        <v>43344</v>
      </c>
      <c r="C160" s="399">
        <v>481641</v>
      </c>
      <c r="D160" s="402">
        <v>45282490.906737797</v>
      </c>
      <c r="E160" s="399">
        <v>351534</v>
      </c>
      <c r="F160" s="402">
        <v>32200872.369843293</v>
      </c>
      <c r="G160" s="399">
        <v>833175</v>
      </c>
      <c r="H160" s="402">
        <v>77483363.276581094</v>
      </c>
      <c r="I160" s="399">
        <v>36125</v>
      </c>
      <c r="J160" s="402">
        <v>4823580.5865267999</v>
      </c>
      <c r="K160" s="399">
        <v>30718</v>
      </c>
      <c r="L160" s="402">
        <v>4009273.511384639</v>
      </c>
      <c r="M160" s="399">
        <v>66843</v>
      </c>
      <c r="N160" s="402">
        <v>8832854.0979114398</v>
      </c>
      <c r="O160" s="402">
        <v>517766</v>
      </c>
      <c r="P160" s="402">
        <v>50106071.493264601</v>
      </c>
      <c r="Q160" s="402">
        <v>382252</v>
      </c>
      <c r="R160" s="402">
        <v>36210145.881227933</v>
      </c>
      <c r="S160" s="402">
        <v>900018</v>
      </c>
      <c r="T160" s="402">
        <v>86316217.374492541</v>
      </c>
    </row>
    <row r="161" spans="2:20" hidden="1" outlineLevel="1" x14ac:dyDescent="0.25">
      <c r="B161" s="219">
        <v>43374</v>
      </c>
      <c r="C161" s="399">
        <v>485731</v>
      </c>
      <c r="D161" s="402">
        <v>45671330.636724457</v>
      </c>
      <c r="E161" s="399">
        <v>354434</v>
      </c>
      <c r="F161" s="402">
        <v>32417930.008571759</v>
      </c>
      <c r="G161" s="399">
        <v>840165</v>
      </c>
      <c r="H161" s="402">
        <v>78089260.645296216</v>
      </c>
      <c r="I161" s="399">
        <v>36113</v>
      </c>
      <c r="J161" s="402">
        <v>4818117.7446184307</v>
      </c>
      <c r="K161" s="399">
        <v>30790</v>
      </c>
      <c r="L161" s="402">
        <v>4014291.4694314026</v>
      </c>
      <c r="M161" s="399">
        <v>66903</v>
      </c>
      <c r="N161" s="402">
        <v>8832409.2140498329</v>
      </c>
      <c r="O161" s="402">
        <v>521844</v>
      </c>
      <c r="P161" s="402">
        <v>50489448.381342888</v>
      </c>
      <c r="Q161" s="402">
        <v>385224</v>
      </c>
      <c r="R161" s="402">
        <v>36432221.478003167</v>
      </c>
      <c r="S161" s="402">
        <v>907068</v>
      </c>
      <c r="T161" s="402">
        <v>86921669.859346047</v>
      </c>
    </row>
    <row r="162" spans="2:20" hidden="1" outlineLevel="1" x14ac:dyDescent="0.25">
      <c r="B162" s="219">
        <v>43405</v>
      </c>
      <c r="C162" s="399">
        <v>489744</v>
      </c>
      <c r="D162" s="402">
        <v>46124686.9527248</v>
      </c>
      <c r="E162" s="399">
        <v>357070</v>
      </c>
      <c r="F162" s="402">
        <v>32559825.700564034</v>
      </c>
      <c r="G162" s="399">
        <v>846814</v>
      </c>
      <c r="H162" s="402">
        <v>78684512.653288826</v>
      </c>
      <c r="I162" s="399">
        <v>36146</v>
      </c>
      <c r="J162" s="402">
        <v>4828742.8055823511</v>
      </c>
      <c r="K162" s="399">
        <v>30850</v>
      </c>
      <c r="L162" s="402">
        <v>4015298.4244192294</v>
      </c>
      <c r="M162" s="399">
        <v>66996</v>
      </c>
      <c r="N162" s="402">
        <v>8844041.23000158</v>
      </c>
      <c r="O162" s="402">
        <v>525890</v>
      </c>
      <c r="P162" s="402">
        <v>50953429.758307151</v>
      </c>
      <c r="Q162" s="402">
        <v>387920</v>
      </c>
      <c r="R162" s="402">
        <v>36575124.124983259</v>
      </c>
      <c r="S162" s="402">
        <v>913810</v>
      </c>
      <c r="T162" s="402">
        <v>87528553.88329041</v>
      </c>
    </row>
    <row r="163" spans="2:20" hidden="1" outlineLevel="1" x14ac:dyDescent="0.25">
      <c r="B163" s="219">
        <v>43435</v>
      </c>
      <c r="C163" s="399">
        <v>493400</v>
      </c>
      <c r="D163" s="402">
        <v>46572647.149439476</v>
      </c>
      <c r="E163" s="399">
        <v>360031</v>
      </c>
      <c r="F163" s="402">
        <v>33028832.800654955</v>
      </c>
      <c r="G163" s="399">
        <v>853431</v>
      </c>
      <c r="H163" s="402">
        <v>79601479.950094432</v>
      </c>
      <c r="I163" s="399">
        <v>36075</v>
      </c>
      <c r="J163" s="402">
        <v>4819993.733000542</v>
      </c>
      <c r="K163" s="399">
        <v>30827</v>
      </c>
      <c r="L163" s="402">
        <v>4024007.4673142037</v>
      </c>
      <c r="M163" s="399">
        <v>66902</v>
      </c>
      <c r="N163" s="402">
        <v>8844001.2003147453</v>
      </c>
      <c r="O163" s="402">
        <v>529475</v>
      </c>
      <c r="P163" s="402">
        <v>51392640.882440016</v>
      </c>
      <c r="Q163" s="402">
        <v>390858</v>
      </c>
      <c r="R163" s="402">
        <v>37052840.267969161</v>
      </c>
      <c r="S163" s="402">
        <v>920333</v>
      </c>
      <c r="T163" s="402">
        <v>88445481.150409177</v>
      </c>
    </row>
    <row r="164" spans="2:20" collapsed="1" x14ac:dyDescent="0.25">
      <c r="B164" s="393" t="s">
        <v>759</v>
      </c>
      <c r="C164" s="394">
        <v>472783.58333333331</v>
      </c>
      <c r="D164" s="403">
        <v>43890319.60852275</v>
      </c>
      <c r="E164" s="394">
        <v>343894.41666666669</v>
      </c>
      <c r="F164" s="403">
        <v>31206463.612254158</v>
      </c>
      <c r="G164" s="394">
        <v>816678</v>
      </c>
      <c r="H164" s="403">
        <v>75096783.220776901</v>
      </c>
      <c r="I164" s="394">
        <v>35802.166666666664</v>
      </c>
      <c r="J164" s="403">
        <v>4793769.0931196213</v>
      </c>
      <c r="K164" s="394">
        <v>30349.5</v>
      </c>
      <c r="L164" s="403">
        <v>3969756.4870051839</v>
      </c>
      <c r="M164" s="394">
        <v>66151.666666666672</v>
      </c>
      <c r="N164" s="403">
        <v>8763525.5801248066</v>
      </c>
      <c r="O164" s="403">
        <v>508585.75</v>
      </c>
      <c r="P164" s="403">
        <v>48684088.701642364</v>
      </c>
      <c r="Q164" s="403">
        <v>374243.91666666669</v>
      </c>
      <c r="R164" s="403">
        <v>35176220.099259339</v>
      </c>
      <c r="S164" s="403">
        <v>882829.66666666663</v>
      </c>
      <c r="T164" s="403">
        <v>83860308.800901711</v>
      </c>
    </row>
    <row r="165" spans="2:20" hidden="1" outlineLevel="1" x14ac:dyDescent="0.25">
      <c r="B165" s="219">
        <v>43466</v>
      </c>
      <c r="C165" s="399">
        <v>496897</v>
      </c>
      <c r="D165" s="402">
        <v>47022913.153259769</v>
      </c>
      <c r="E165" s="399">
        <v>362514</v>
      </c>
      <c r="F165" s="402">
        <v>33164213.581061497</v>
      </c>
      <c r="G165" s="399">
        <v>859411</v>
      </c>
      <c r="H165" s="402">
        <v>80187126.734321252</v>
      </c>
      <c r="I165" s="399">
        <v>36096</v>
      </c>
      <c r="J165" s="402">
        <v>4833664.641877328</v>
      </c>
      <c r="K165" s="399">
        <v>30910</v>
      </c>
      <c r="L165" s="402">
        <v>4044628.6449863287</v>
      </c>
      <c r="M165" s="399">
        <v>67006</v>
      </c>
      <c r="N165" s="402">
        <v>8878293.2868636567</v>
      </c>
      <c r="O165" s="402">
        <v>532993</v>
      </c>
      <c r="P165" s="402">
        <v>51856577.795137092</v>
      </c>
      <c r="Q165" s="402">
        <v>393424</v>
      </c>
      <c r="R165" s="402">
        <v>37208842.226047821</v>
      </c>
      <c r="S165" s="402">
        <v>926417</v>
      </c>
      <c r="T165" s="402">
        <v>89065420.021184921</v>
      </c>
    </row>
    <row r="166" spans="2:20" hidden="1" outlineLevel="1" x14ac:dyDescent="0.25">
      <c r="B166" s="219">
        <v>43497</v>
      </c>
      <c r="C166" s="399">
        <v>499418</v>
      </c>
      <c r="D166" s="402">
        <v>46662485.358626395</v>
      </c>
      <c r="E166" s="399">
        <v>365127</v>
      </c>
      <c r="F166" s="402">
        <v>33263191.966898754</v>
      </c>
      <c r="G166" s="399">
        <v>864545</v>
      </c>
      <c r="H166" s="402">
        <v>79925677.32552515</v>
      </c>
      <c r="I166" s="399">
        <v>36240</v>
      </c>
      <c r="J166" s="402">
        <v>4850258.5571371196</v>
      </c>
      <c r="K166" s="399">
        <v>30991</v>
      </c>
      <c r="L166" s="402">
        <v>4046306.0581560819</v>
      </c>
      <c r="M166" s="399">
        <v>67231</v>
      </c>
      <c r="N166" s="402">
        <v>8896564.6152932011</v>
      </c>
      <c r="O166" s="402">
        <v>535658</v>
      </c>
      <c r="P166" s="402">
        <v>51512743.91576352</v>
      </c>
      <c r="Q166" s="402">
        <v>396118</v>
      </c>
      <c r="R166" s="402">
        <v>37309498.025054835</v>
      </c>
      <c r="S166" s="402">
        <v>931776</v>
      </c>
      <c r="T166" s="402">
        <v>88822241.940818354</v>
      </c>
    </row>
    <row r="167" spans="2:20" hidden="1" outlineLevel="1" x14ac:dyDescent="0.25">
      <c r="B167" s="219">
        <v>43525</v>
      </c>
      <c r="C167" s="399">
        <v>503074</v>
      </c>
      <c r="D167" s="402">
        <v>47020260.431613423</v>
      </c>
      <c r="E167" s="399">
        <v>368185</v>
      </c>
      <c r="F167" s="402">
        <v>33441105.252440825</v>
      </c>
      <c r="G167" s="399">
        <v>871259</v>
      </c>
      <c r="H167" s="402">
        <v>80461365.684054255</v>
      </c>
      <c r="I167" s="399">
        <v>36473</v>
      </c>
      <c r="J167" s="402">
        <v>4856110.7952547157</v>
      </c>
      <c r="K167" s="399">
        <v>31236</v>
      </c>
      <c r="L167" s="402">
        <v>4062046.2016259115</v>
      </c>
      <c r="M167" s="399">
        <v>67709</v>
      </c>
      <c r="N167" s="402">
        <v>8918156.9968806263</v>
      </c>
      <c r="O167" s="402">
        <v>539547</v>
      </c>
      <c r="P167" s="402">
        <v>51876371.226868138</v>
      </c>
      <c r="Q167" s="402">
        <v>399421</v>
      </c>
      <c r="R167" s="402">
        <v>37503151.454066731</v>
      </c>
      <c r="S167" s="402">
        <v>938968</v>
      </c>
      <c r="T167" s="402">
        <v>89379522.680934876</v>
      </c>
    </row>
    <row r="168" spans="2:20" hidden="1" outlineLevel="1" x14ac:dyDescent="0.25">
      <c r="B168" s="219">
        <v>43556</v>
      </c>
      <c r="C168" s="399">
        <v>506604</v>
      </c>
      <c r="D168" s="402">
        <v>47223356.16510915</v>
      </c>
      <c r="E168" s="399">
        <v>370802</v>
      </c>
      <c r="F168" s="402">
        <v>33553766.097457293</v>
      </c>
      <c r="G168" s="399">
        <v>877406</v>
      </c>
      <c r="H168" s="402">
        <v>80777122.262566447</v>
      </c>
      <c r="I168" s="399">
        <v>36631</v>
      </c>
      <c r="J168" s="402">
        <v>4844969.7259367611</v>
      </c>
      <c r="K168" s="399">
        <v>31411</v>
      </c>
      <c r="L168" s="402">
        <v>4060966.1941539408</v>
      </c>
      <c r="M168" s="399">
        <v>68042</v>
      </c>
      <c r="N168" s="402">
        <v>8905935.9200907014</v>
      </c>
      <c r="O168" s="402">
        <v>543235</v>
      </c>
      <c r="P168" s="402">
        <v>52068325.891045913</v>
      </c>
      <c r="Q168" s="402">
        <v>402213</v>
      </c>
      <c r="R168" s="402">
        <v>37614732.291611239</v>
      </c>
      <c r="S168" s="402">
        <v>945448</v>
      </c>
      <c r="T168" s="402">
        <v>89683058.182657152</v>
      </c>
    </row>
    <row r="169" spans="2:20" hidden="1" outlineLevel="1" x14ac:dyDescent="0.25">
      <c r="B169" s="219">
        <v>43586</v>
      </c>
      <c r="C169" s="399">
        <v>510020</v>
      </c>
      <c r="D169" s="402">
        <v>47258988.937252395</v>
      </c>
      <c r="E169" s="399">
        <v>373627</v>
      </c>
      <c r="F169" s="402">
        <v>33578528.12765716</v>
      </c>
      <c r="G169" s="399">
        <v>883647</v>
      </c>
      <c r="H169" s="402">
        <v>80837517.064909562</v>
      </c>
      <c r="I169" s="399">
        <v>36814</v>
      </c>
      <c r="J169" s="402">
        <v>4840422.2271321705</v>
      </c>
      <c r="K169" s="399">
        <v>31638</v>
      </c>
      <c r="L169" s="402">
        <v>4063011.9273708016</v>
      </c>
      <c r="M169" s="399">
        <v>68452</v>
      </c>
      <c r="N169" s="402">
        <v>8903434.1545029711</v>
      </c>
      <c r="O169" s="402">
        <v>546834</v>
      </c>
      <c r="P169" s="402">
        <v>52099411.164384559</v>
      </c>
      <c r="Q169" s="402">
        <v>405265</v>
      </c>
      <c r="R169" s="402">
        <v>37641540.055027962</v>
      </c>
      <c r="S169" s="402">
        <v>952099</v>
      </c>
      <c r="T169" s="402">
        <v>89740951.219412521</v>
      </c>
    </row>
    <row r="170" spans="2:20" hidden="1" outlineLevel="1" x14ac:dyDescent="0.25">
      <c r="B170" s="219">
        <v>43617</v>
      </c>
      <c r="C170" s="399">
        <v>512725</v>
      </c>
      <c r="D170" s="402">
        <v>47561808.20348011</v>
      </c>
      <c r="E170" s="399">
        <v>375576</v>
      </c>
      <c r="F170" s="402">
        <v>33772286.111843497</v>
      </c>
      <c r="G170" s="399">
        <v>888301</v>
      </c>
      <c r="H170" s="402">
        <v>81334094.315323606</v>
      </c>
      <c r="I170" s="399">
        <v>36850</v>
      </c>
      <c r="J170" s="402">
        <v>4827388.5529335504</v>
      </c>
      <c r="K170" s="399">
        <v>31723</v>
      </c>
      <c r="L170" s="402">
        <v>4060292.6113799806</v>
      </c>
      <c r="M170" s="399">
        <v>68573</v>
      </c>
      <c r="N170" s="402">
        <v>8887681.1643135324</v>
      </c>
      <c r="O170" s="402">
        <v>549575</v>
      </c>
      <c r="P170" s="402">
        <v>52389196.756413661</v>
      </c>
      <c r="Q170" s="402">
        <v>407299</v>
      </c>
      <c r="R170" s="402">
        <v>37832578.723223478</v>
      </c>
      <c r="S170" s="402">
        <v>956874</v>
      </c>
      <c r="T170" s="402">
        <v>90221775.479637131</v>
      </c>
    </row>
    <row r="171" spans="2:20" hidden="1" outlineLevel="1" x14ac:dyDescent="0.25">
      <c r="B171" s="219">
        <v>43647</v>
      </c>
      <c r="C171" s="399">
        <v>517325</v>
      </c>
      <c r="D171" s="402">
        <v>49753187.187846147</v>
      </c>
      <c r="E171" s="399">
        <v>379973</v>
      </c>
      <c r="F171" s="402">
        <v>35161597.492960289</v>
      </c>
      <c r="G171" s="399">
        <v>897298</v>
      </c>
      <c r="H171" s="402">
        <v>84914784.680806443</v>
      </c>
      <c r="I171" s="399">
        <v>37208</v>
      </c>
      <c r="J171" s="402">
        <v>4961618.2371237893</v>
      </c>
      <c r="K171" s="399">
        <v>32159</v>
      </c>
      <c r="L171" s="402">
        <v>4181784.1209960198</v>
      </c>
      <c r="M171" s="399">
        <v>69367</v>
      </c>
      <c r="N171" s="402">
        <v>9143402.3581198081</v>
      </c>
      <c r="O171" s="402">
        <v>554533</v>
      </c>
      <c r="P171" s="402">
        <v>54714805.424969941</v>
      </c>
      <c r="Q171" s="402">
        <v>412132</v>
      </c>
      <c r="R171" s="402">
        <v>39343381.61395631</v>
      </c>
      <c r="S171" s="402">
        <v>966665</v>
      </c>
      <c r="T171" s="402">
        <v>94058187.038926244</v>
      </c>
    </row>
    <row r="172" spans="2:20" hidden="1" outlineLevel="1" x14ac:dyDescent="0.25">
      <c r="B172" s="219">
        <v>43678</v>
      </c>
      <c r="C172" s="399">
        <v>518553</v>
      </c>
      <c r="D172" s="402">
        <v>49860395.515017591</v>
      </c>
      <c r="E172" s="399">
        <v>380060</v>
      </c>
      <c r="F172" s="402">
        <v>35172845.091293141</v>
      </c>
      <c r="G172" s="399">
        <v>898613</v>
      </c>
      <c r="H172" s="402">
        <v>85033240.60631074</v>
      </c>
      <c r="I172" s="399">
        <v>36864</v>
      </c>
      <c r="J172" s="402">
        <v>4920412.928475216</v>
      </c>
      <c r="K172" s="399">
        <v>31821</v>
      </c>
      <c r="L172" s="402">
        <v>4146336.9911192269</v>
      </c>
      <c r="M172" s="399">
        <v>68685</v>
      </c>
      <c r="N172" s="402">
        <v>9066749.9195944425</v>
      </c>
      <c r="O172" s="402">
        <v>555417</v>
      </c>
      <c r="P172" s="402">
        <v>54780808.443492815</v>
      </c>
      <c r="Q172" s="402">
        <v>411881</v>
      </c>
      <c r="R172" s="402">
        <v>39319182.08241237</v>
      </c>
      <c r="S172" s="402">
        <v>967298</v>
      </c>
      <c r="T172" s="402">
        <v>94099990.525905177</v>
      </c>
    </row>
    <row r="173" spans="2:20" hidden="1" outlineLevel="1" x14ac:dyDescent="0.25">
      <c r="B173" s="219">
        <v>43709</v>
      </c>
      <c r="C173" s="399">
        <v>522483</v>
      </c>
      <c r="D173" s="402">
        <v>50522488.874663167</v>
      </c>
      <c r="E173" s="399">
        <v>383041</v>
      </c>
      <c r="F173" s="402">
        <v>35538833.663686372</v>
      </c>
      <c r="G173" s="399">
        <v>905524</v>
      </c>
      <c r="H173" s="402">
        <v>86061322.538349539</v>
      </c>
      <c r="I173" s="399">
        <v>37036</v>
      </c>
      <c r="J173" s="402">
        <v>4986687.1131413914</v>
      </c>
      <c r="K173" s="399">
        <v>32069</v>
      </c>
      <c r="L173" s="402">
        <v>4229801.5868955143</v>
      </c>
      <c r="M173" s="399">
        <v>69105</v>
      </c>
      <c r="N173" s="402">
        <v>9216488.7000369076</v>
      </c>
      <c r="O173" s="402">
        <v>559519</v>
      </c>
      <c r="P173" s="402">
        <v>55509175.987804562</v>
      </c>
      <c r="Q173" s="402">
        <v>415110</v>
      </c>
      <c r="R173" s="402">
        <v>39768635.250581875</v>
      </c>
      <c r="S173" s="402">
        <v>974629</v>
      </c>
      <c r="T173" s="402">
        <v>95277811.238386437</v>
      </c>
    </row>
    <row r="174" spans="2:20" hidden="1" outlineLevel="1" x14ac:dyDescent="0.25">
      <c r="B174" s="219">
        <v>43739</v>
      </c>
      <c r="C174" s="399">
        <v>525564</v>
      </c>
      <c r="D174" s="402">
        <v>50392175.820728958</v>
      </c>
      <c r="E174" s="399">
        <v>385533</v>
      </c>
      <c r="F174" s="402">
        <v>35429512.378120363</v>
      </c>
      <c r="G174" s="399">
        <v>911097</v>
      </c>
      <c r="H174" s="402">
        <v>85821688.19884932</v>
      </c>
      <c r="I174" s="399">
        <v>37173</v>
      </c>
      <c r="J174" s="402">
        <v>4924285.3175747544</v>
      </c>
      <c r="K174" s="399">
        <v>32232</v>
      </c>
      <c r="L174" s="402">
        <v>4150549.632303278</v>
      </c>
      <c r="M174" s="399">
        <v>69405</v>
      </c>
      <c r="N174" s="402">
        <v>9074834.9498780333</v>
      </c>
      <c r="O174" s="402">
        <v>562737</v>
      </c>
      <c r="P174" s="402">
        <v>55316461.138303712</v>
      </c>
      <c r="Q174" s="402">
        <v>417765</v>
      </c>
      <c r="R174" s="402">
        <v>39580062.010423638</v>
      </c>
      <c r="S174" s="402">
        <v>980502</v>
      </c>
      <c r="T174" s="402">
        <v>94896523.148727357</v>
      </c>
    </row>
    <row r="175" spans="2:20" hidden="1" outlineLevel="1" x14ac:dyDescent="0.25">
      <c r="B175" s="219">
        <v>43770</v>
      </c>
      <c r="C175" s="399">
        <v>528588</v>
      </c>
      <c r="D175" s="402">
        <v>50760935.896548904</v>
      </c>
      <c r="E175" s="399">
        <v>386948</v>
      </c>
      <c r="F175" s="402">
        <v>35467279.939311497</v>
      </c>
      <c r="G175" s="399">
        <v>915536</v>
      </c>
      <c r="H175" s="402">
        <v>86228215.835860416</v>
      </c>
      <c r="I175" s="399">
        <v>36934</v>
      </c>
      <c r="J175" s="402">
        <v>4885050.8067534752</v>
      </c>
      <c r="K175" s="399">
        <v>31887</v>
      </c>
      <c r="L175" s="402">
        <v>4116498.2474559043</v>
      </c>
      <c r="M175" s="399">
        <v>68821</v>
      </c>
      <c r="N175" s="402">
        <v>9001549.0542093795</v>
      </c>
      <c r="O175" s="402">
        <v>565522</v>
      </c>
      <c r="P175" s="402">
        <v>55645986.703302383</v>
      </c>
      <c r="Q175" s="402">
        <v>418835</v>
      </c>
      <c r="R175" s="402">
        <v>39583778.186767399</v>
      </c>
      <c r="S175" s="402">
        <v>984357</v>
      </c>
      <c r="T175" s="402">
        <v>95229764.890069783</v>
      </c>
    </row>
    <row r="176" spans="2:20" hidden="1" outlineLevel="1" x14ac:dyDescent="0.25">
      <c r="B176" s="219">
        <v>43800</v>
      </c>
      <c r="C176" s="399">
        <v>525915</v>
      </c>
      <c r="D176" s="402">
        <v>74293670.384953722</v>
      </c>
      <c r="E176" s="399">
        <v>388114</v>
      </c>
      <c r="F176" s="402">
        <v>52150947.042961359</v>
      </c>
      <c r="G176" s="399">
        <v>914029</v>
      </c>
      <c r="H176" s="402">
        <v>126444617.42791507</v>
      </c>
      <c r="I176" s="399">
        <v>36702</v>
      </c>
      <c r="J176" s="402">
        <v>6101392.9310165634</v>
      </c>
      <c r="K176" s="399">
        <v>31630</v>
      </c>
      <c r="L176" s="402">
        <v>5152502.8196024913</v>
      </c>
      <c r="M176" s="399">
        <v>68332</v>
      </c>
      <c r="N176" s="402">
        <v>11253895.750619056</v>
      </c>
      <c r="O176" s="402">
        <v>562617</v>
      </c>
      <c r="P176" s="402">
        <v>80395063.315970272</v>
      </c>
      <c r="Q176" s="402">
        <v>419744</v>
      </c>
      <c r="R176" s="402">
        <v>57303449.862563848</v>
      </c>
      <c r="S176" s="402">
        <v>982361</v>
      </c>
      <c r="T176" s="402">
        <v>137698513.17853412</v>
      </c>
    </row>
    <row r="177" spans="2:20" collapsed="1" x14ac:dyDescent="0.25">
      <c r="B177" s="393" t="s">
        <v>760</v>
      </c>
      <c r="C177" s="394">
        <v>513930.5</v>
      </c>
      <c r="D177" s="403">
        <v>50694388.827424973</v>
      </c>
      <c r="E177" s="394">
        <v>376625</v>
      </c>
      <c r="F177" s="403">
        <v>35807842.228807673</v>
      </c>
      <c r="G177" s="394">
        <v>890555.5</v>
      </c>
      <c r="H177" s="403">
        <v>86502231.056232646</v>
      </c>
      <c r="I177" s="394">
        <v>36751.75</v>
      </c>
      <c r="J177" s="403">
        <v>4986021.8195297355</v>
      </c>
      <c r="K177" s="394">
        <v>31642.25</v>
      </c>
      <c r="L177" s="403">
        <v>4192893.7530037896</v>
      </c>
      <c r="M177" s="394">
        <v>68394</v>
      </c>
      <c r="N177" s="403">
        <v>9178915.5725335274</v>
      </c>
      <c r="O177" s="403">
        <v>550682.25</v>
      </c>
      <c r="P177" s="403">
        <v>55680410.646954723</v>
      </c>
      <c r="Q177" s="403">
        <v>408267.25</v>
      </c>
      <c r="R177" s="403">
        <v>40000735.981811456</v>
      </c>
      <c r="S177" s="403">
        <v>958949.5</v>
      </c>
      <c r="T177" s="403">
        <v>95681146.628766164</v>
      </c>
    </row>
    <row r="178" spans="2:20" hidden="1" outlineLevel="1" x14ac:dyDescent="0.25">
      <c r="B178" s="219">
        <v>43831</v>
      </c>
      <c r="C178" s="399">
        <v>540610</v>
      </c>
      <c r="D178" s="402">
        <v>76631983.851394624</v>
      </c>
      <c r="E178" s="399">
        <v>392610</v>
      </c>
      <c r="F178" s="402">
        <v>52752113.856754437</v>
      </c>
      <c r="G178" s="399">
        <v>933220</v>
      </c>
      <c r="H178" s="402">
        <v>129384097.70814906</v>
      </c>
      <c r="I178" s="399">
        <v>37278</v>
      </c>
      <c r="J178" s="402">
        <v>6207750.9101452967</v>
      </c>
      <c r="K178" s="399">
        <v>32309</v>
      </c>
      <c r="L178" s="402">
        <v>5259103.1427470809</v>
      </c>
      <c r="M178" s="399">
        <v>69587</v>
      </c>
      <c r="N178" s="402">
        <v>11466854.052892378</v>
      </c>
      <c r="O178" s="402">
        <v>577888</v>
      </c>
      <c r="P178" s="402">
        <v>82839734.761539921</v>
      </c>
      <c r="Q178" s="402">
        <v>424919</v>
      </c>
      <c r="R178" s="402">
        <v>58011216.999501526</v>
      </c>
      <c r="S178" s="402">
        <v>1002807</v>
      </c>
      <c r="T178" s="402">
        <v>140850951.76104143</v>
      </c>
    </row>
    <row r="179" spans="2:20" hidden="1" outlineLevel="1" x14ac:dyDescent="0.25">
      <c r="B179" s="219">
        <v>43862</v>
      </c>
      <c r="C179" s="399">
        <v>546952</v>
      </c>
      <c r="D179" s="402">
        <v>75558220.183249503</v>
      </c>
      <c r="E179" s="399">
        <v>398903</v>
      </c>
      <c r="F179" s="402">
        <v>52311936.061815023</v>
      </c>
      <c r="G179" s="399">
        <v>945855</v>
      </c>
      <c r="H179" s="402">
        <v>127870156.24506453</v>
      </c>
      <c r="I179" s="399">
        <v>37310</v>
      </c>
      <c r="J179" s="402">
        <v>6104285.71727366</v>
      </c>
      <c r="K179" s="399">
        <v>32349</v>
      </c>
      <c r="L179" s="402">
        <v>5179206.622975504</v>
      </c>
      <c r="M179" s="399">
        <v>69659</v>
      </c>
      <c r="N179" s="402">
        <v>11283492.340249164</v>
      </c>
      <c r="O179" s="402">
        <v>584262</v>
      </c>
      <c r="P179" s="402">
        <v>81662505.900523156</v>
      </c>
      <c r="Q179" s="402">
        <v>431252</v>
      </c>
      <c r="R179" s="402">
        <v>57491142.684790529</v>
      </c>
      <c r="S179" s="402">
        <v>1015514</v>
      </c>
      <c r="T179" s="402">
        <v>139153648.58531368</v>
      </c>
    </row>
    <row r="180" spans="2:20" hidden="1" outlineLevel="1" x14ac:dyDescent="0.25">
      <c r="B180" s="219">
        <v>43891</v>
      </c>
      <c r="C180" s="399">
        <v>555640</v>
      </c>
      <c r="D180" s="402">
        <v>76379668.686135724</v>
      </c>
      <c r="E180" s="399">
        <v>408322</v>
      </c>
      <c r="F180" s="402">
        <v>53039395.667640656</v>
      </c>
      <c r="G180" s="399">
        <v>963962</v>
      </c>
      <c r="H180" s="402">
        <v>129419064.35377638</v>
      </c>
      <c r="I180" s="399">
        <v>37607</v>
      </c>
      <c r="J180" s="402">
        <v>6113116.7305186745</v>
      </c>
      <c r="K180" s="399">
        <v>32685</v>
      </c>
      <c r="L180" s="402">
        <v>5185705.679745446</v>
      </c>
      <c r="M180" s="399">
        <v>70292</v>
      </c>
      <c r="N180" s="402">
        <v>11298822.410264121</v>
      </c>
      <c r="O180" s="402">
        <v>593247</v>
      </c>
      <c r="P180" s="402">
        <v>82492785.416654408</v>
      </c>
      <c r="Q180" s="402">
        <v>441007</v>
      </c>
      <c r="R180" s="402">
        <v>58225101.347386099</v>
      </c>
      <c r="S180" s="402">
        <v>1034254</v>
      </c>
      <c r="T180" s="402">
        <v>140717886.7640405</v>
      </c>
    </row>
    <row r="181" spans="2:20" hidden="1" outlineLevel="1" x14ac:dyDescent="0.25">
      <c r="B181" s="219">
        <v>43922</v>
      </c>
      <c r="C181" s="399">
        <v>565082</v>
      </c>
      <c r="D181" s="402">
        <v>77367596.898346156</v>
      </c>
      <c r="E181" s="399">
        <v>415744</v>
      </c>
      <c r="F181" s="402">
        <v>53717400.570360132</v>
      </c>
      <c r="G181" s="399">
        <v>980826</v>
      </c>
      <c r="H181" s="402">
        <v>131084997.46870629</v>
      </c>
      <c r="I181" s="399">
        <v>37780</v>
      </c>
      <c r="J181" s="402">
        <v>6123352.9067123123</v>
      </c>
      <c r="K181" s="399">
        <v>32913</v>
      </c>
      <c r="L181" s="402">
        <v>5196273.3444747822</v>
      </c>
      <c r="M181" s="399">
        <v>70693</v>
      </c>
      <c r="N181" s="402">
        <v>11319626.251187095</v>
      </c>
      <c r="O181" s="402">
        <v>602862</v>
      </c>
      <c r="P181" s="402">
        <v>83490949.805058464</v>
      </c>
      <c r="Q181" s="402">
        <v>448657</v>
      </c>
      <c r="R181" s="402">
        <v>58913673.914834917</v>
      </c>
      <c r="S181" s="402">
        <v>1051519</v>
      </c>
      <c r="T181" s="402">
        <v>142404623.7198934</v>
      </c>
    </row>
    <row r="182" spans="2:20" hidden="1" outlineLevel="1" x14ac:dyDescent="0.25">
      <c r="B182" s="219">
        <v>43952</v>
      </c>
      <c r="C182" s="399">
        <v>566670</v>
      </c>
      <c r="D182" s="402">
        <v>77700439.808222696</v>
      </c>
      <c r="E182" s="399">
        <v>417174</v>
      </c>
      <c r="F182" s="402">
        <v>53909378.849012099</v>
      </c>
      <c r="G182" s="399">
        <v>983844</v>
      </c>
      <c r="H182" s="402">
        <v>131609818.6572348</v>
      </c>
      <c r="I182" s="399">
        <v>37953</v>
      </c>
      <c r="J182" s="402">
        <v>6146827.2121233214</v>
      </c>
      <c r="K182" s="399">
        <v>33101</v>
      </c>
      <c r="L182" s="402">
        <v>5222588.7220665133</v>
      </c>
      <c r="M182" s="399">
        <v>71054</v>
      </c>
      <c r="N182" s="402">
        <v>11369415.934189834</v>
      </c>
      <c r="O182" s="402">
        <v>604623</v>
      </c>
      <c r="P182" s="402">
        <v>83847267.020346031</v>
      </c>
      <c r="Q182" s="402">
        <v>450275</v>
      </c>
      <c r="R182" s="402">
        <v>59131967.571078613</v>
      </c>
      <c r="S182" s="402">
        <v>1054898</v>
      </c>
      <c r="T182" s="402">
        <v>142979234.59142461</v>
      </c>
    </row>
    <row r="183" spans="2:20" hidden="1" outlineLevel="1" x14ac:dyDescent="0.25">
      <c r="B183" s="219">
        <v>43983</v>
      </c>
      <c r="C183" s="399">
        <v>570289</v>
      </c>
      <c r="D183" s="402">
        <v>78345167.417368203</v>
      </c>
      <c r="E183" s="399">
        <v>421409</v>
      </c>
      <c r="F183" s="402">
        <v>54486731.363334201</v>
      </c>
      <c r="G183" s="399">
        <v>991698</v>
      </c>
      <c r="H183" s="402">
        <v>132831898.78070241</v>
      </c>
      <c r="I183" s="399">
        <v>38176</v>
      </c>
      <c r="J183" s="402">
        <v>6179023.8312271507</v>
      </c>
      <c r="K183" s="399">
        <v>33326</v>
      </c>
      <c r="L183" s="402">
        <v>5247503.1162364464</v>
      </c>
      <c r="M183" s="399">
        <v>71502</v>
      </c>
      <c r="N183" s="402">
        <v>11426526.947463596</v>
      </c>
      <c r="O183" s="402">
        <v>608465</v>
      </c>
      <c r="P183" s="402">
        <v>84524191.248595357</v>
      </c>
      <c r="Q183" s="402">
        <v>454735</v>
      </c>
      <c r="R183" s="402">
        <v>59734234.479570642</v>
      </c>
      <c r="S183" s="402">
        <v>1063200</v>
      </c>
      <c r="T183" s="402">
        <v>144258425.72816601</v>
      </c>
    </row>
    <row r="184" spans="2:20" hidden="1" outlineLevel="1" x14ac:dyDescent="0.25">
      <c r="B184" s="219">
        <v>44013</v>
      </c>
      <c r="C184" s="399">
        <v>572080</v>
      </c>
      <c r="D184" s="402">
        <v>81262410.666279778</v>
      </c>
      <c r="E184" s="399">
        <v>422356</v>
      </c>
      <c r="F184" s="402">
        <v>56387737.227133781</v>
      </c>
      <c r="G184" s="399">
        <v>994436</v>
      </c>
      <c r="H184" s="402">
        <v>137650147.89341357</v>
      </c>
      <c r="I184" s="399">
        <v>38270</v>
      </c>
      <c r="J184" s="402">
        <v>6347900.4159399318</v>
      </c>
      <c r="K184" s="399">
        <v>33396</v>
      </c>
      <c r="L184" s="402">
        <v>5392933.2103613839</v>
      </c>
      <c r="M184" s="399">
        <v>71666</v>
      </c>
      <c r="N184" s="402">
        <v>11740833.626301315</v>
      </c>
      <c r="O184" s="402">
        <v>610350</v>
      </c>
      <c r="P184" s="402">
        <v>87610311.082219705</v>
      </c>
      <c r="Q184" s="402">
        <v>455752</v>
      </c>
      <c r="R184" s="402">
        <v>61780670.437495165</v>
      </c>
      <c r="S184" s="402">
        <v>1066102</v>
      </c>
      <c r="T184" s="402">
        <v>149390981.51971486</v>
      </c>
    </row>
    <row r="185" spans="2:20" hidden="1" outlineLevel="1" x14ac:dyDescent="0.25">
      <c r="B185" s="219">
        <v>44044</v>
      </c>
      <c r="C185" s="399">
        <v>574464</v>
      </c>
      <c r="D185" s="402">
        <v>81622108.654410049</v>
      </c>
      <c r="E185" s="399">
        <v>424814</v>
      </c>
      <c r="F185" s="402">
        <v>56614161.727717891</v>
      </c>
      <c r="G185" s="399">
        <v>999278</v>
      </c>
      <c r="H185" s="402">
        <v>138236270.38212794</v>
      </c>
      <c r="I185" s="399">
        <v>38301</v>
      </c>
      <c r="J185" s="402">
        <v>6338336.0138245551</v>
      </c>
      <c r="K185" s="399">
        <v>33472</v>
      </c>
      <c r="L185" s="402">
        <v>5391324.0210350845</v>
      </c>
      <c r="M185" s="399">
        <v>71773</v>
      </c>
      <c r="N185" s="402">
        <v>11729660.034859641</v>
      </c>
      <c r="O185" s="402">
        <v>612765</v>
      </c>
      <c r="P185" s="402">
        <v>87960444.668234602</v>
      </c>
      <c r="Q185" s="402">
        <v>458286</v>
      </c>
      <c r="R185" s="402">
        <v>62005485.748752974</v>
      </c>
      <c r="S185" s="402">
        <v>1071051</v>
      </c>
      <c r="T185" s="402">
        <v>149965930.41698757</v>
      </c>
    </row>
    <row r="186" spans="2:20" hidden="1" outlineLevel="1" x14ac:dyDescent="0.25">
      <c r="B186" s="219">
        <v>44075</v>
      </c>
      <c r="C186" s="399">
        <v>578357</v>
      </c>
      <c r="D186" s="402">
        <v>81673726.212022215</v>
      </c>
      <c r="E186" s="399">
        <v>428184</v>
      </c>
      <c r="F186" s="402">
        <v>56564467.179054096</v>
      </c>
      <c r="G186" s="399">
        <v>1006541</v>
      </c>
      <c r="H186" s="402">
        <v>138238193.39107633</v>
      </c>
      <c r="I186" s="399">
        <v>38339</v>
      </c>
      <c r="J186" s="402">
        <v>6295728.6590455621</v>
      </c>
      <c r="K186" s="399">
        <v>33532</v>
      </c>
      <c r="L186" s="402">
        <v>5357839.9801815916</v>
      </c>
      <c r="M186" s="399">
        <v>71871</v>
      </c>
      <c r="N186" s="402">
        <v>11653568.639227154</v>
      </c>
      <c r="O186" s="402">
        <v>616696</v>
      </c>
      <c r="P186" s="402">
        <v>87969454.871067777</v>
      </c>
      <c r="Q186" s="402">
        <v>461716</v>
      </c>
      <c r="R186" s="402">
        <v>61922307.159235694</v>
      </c>
      <c r="S186" s="402">
        <v>1078412</v>
      </c>
      <c r="T186" s="402">
        <v>149891762.03030348</v>
      </c>
    </row>
    <row r="187" spans="2:20" hidden="1" outlineLevel="1" x14ac:dyDescent="0.25">
      <c r="B187" s="219">
        <v>44105</v>
      </c>
      <c r="C187" s="399">
        <v>583043</v>
      </c>
      <c r="D187" s="402">
        <v>81741572.647462502</v>
      </c>
      <c r="E187" s="399">
        <v>432062</v>
      </c>
      <c r="F187" s="402">
        <v>56475360.344209127</v>
      </c>
      <c r="G187" s="399">
        <v>1015105</v>
      </c>
      <c r="H187" s="402">
        <v>138216932.99167162</v>
      </c>
      <c r="I187" s="399">
        <v>38500</v>
      </c>
      <c r="J187" s="402">
        <v>6259872.4852434723</v>
      </c>
      <c r="K187" s="399">
        <v>33724</v>
      </c>
      <c r="L187" s="402">
        <v>5326873.6600758601</v>
      </c>
      <c r="M187" s="399">
        <v>72224</v>
      </c>
      <c r="N187" s="402">
        <v>11586746.145319331</v>
      </c>
      <c r="O187" s="402">
        <v>621543</v>
      </c>
      <c r="P187" s="402">
        <v>88001445.132705972</v>
      </c>
      <c r="Q187" s="402">
        <v>465786</v>
      </c>
      <c r="R187" s="402">
        <v>61802234.004284985</v>
      </c>
      <c r="S187" s="402">
        <v>1087329</v>
      </c>
      <c r="T187" s="402">
        <v>149803679.13699096</v>
      </c>
    </row>
    <row r="188" spans="2:20" hidden="1" outlineLevel="1" x14ac:dyDescent="0.25">
      <c r="B188" s="219">
        <v>44136</v>
      </c>
      <c r="C188" s="399">
        <v>589403</v>
      </c>
      <c r="D188" s="402">
        <v>82819873.81128341</v>
      </c>
      <c r="E188" s="399">
        <v>436187</v>
      </c>
      <c r="F188" s="402">
        <v>56974090.858067818</v>
      </c>
      <c r="G188" s="399">
        <v>1025590</v>
      </c>
      <c r="H188" s="402">
        <v>139793964.66935122</v>
      </c>
      <c r="I188" s="399">
        <v>38626</v>
      </c>
      <c r="J188" s="402">
        <v>6267494.8075876394</v>
      </c>
      <c r="K188" s="399">
        <v>34000</v>
      </c>
      <c r="L188" s="402">
        <v>5349467.8004678395</v>
      </c>
      <c r="M188" s="399">
        <v>72626</v>
      </c>
      <c r="N188" s="402">
        <v>11616962.60805548</v>
      </c>
      <c r="O188" s="402">
        <v>628029</v>
      </c>
      <c r="P188" s="402">
        <v>89087368.618871048</v>
      </c>
      <c r="Q188" s="402">
        <v>470187</v>
      </c>
      <c r="R188" s="402">
        <v>62323558.658535652</v>
      </c>
      <c r="S188" s="402">
        <v>1098216</v>
      </c>
      <c r="T188" s="402">
        <v>151410927.27740672</v>
      </c>
    </row>
    <row r="189" spans="2:20" hidden="1" outlineLevel="1" x14ac:dyDescent="0.25">
      <c r="B189" s="219">
        <v>44166</v>
      </c>
      <c r="C189" s="399">
        <v>595180</v>
      </c>
      <c r="D189" s="402">
        <v>83414450.416639373</v>
      </c>
      <c r="E189" s="399">
        <v>439776</v>
      </c>
      <c r="F189" s="402">
        <v>57136151.454665124</v>
      </c>
      <c r="G189" s="399">
        <v>1034956</v>
      </c>
      <c r="H189" s="402">
        <v>140550601.87130451</v>
      </c>
      <c r="I189" s="399">
        <v>38619</v>
      </c>
      <c r="J189" s="402">
        <v>6233201.2850830583</v>
      </c>
      <c r="K189" s="399">
        <v>34075</v>
      </c>
      <c r="L189" s="402">
        <v>5325990.9664255893</v>
      </c>
      <c r="M189" s="399">
        <v>72694</v>
      </c>
      <c r="N189" s="402">
        <v>11559192.251508648</v>
      </c>
      <c r="O189" s="402">
        <v>633799</v>
      </c>
      <c r="P189" s="402">
        <v>89647651.701722428</v>
      </c>
      <c r="Q189" s="402">
        <v>473851</v>
      </c>
      <c r="R189" s="402">
        <v>62462142.421090715</v>
      </c>
      <c r="S189" s="402">
        <v>1107650</v>
      </c>
      <c r="T189" s="402">
        <v>152109794.12281314</v>
      </c>
    </row>
    <row r="190" spans="2:20" collapsed="1" x14ac:dyDescent="0.25">
      <c r="B190" s="393" t="s">
        <v>761</v>
      </c>
      <c r="C190" s="394">
        <v>569814.16666666663</v>
      </c>
      <c r="D190" s="403">
        <v>79543101.604401171</v>
      </c>
      <c r="E190" s="394">
        <v>419795.08333333331</v>
      </c>
      <c r="F190" s="403">
        <v>55030743.763313711</v>
      </c>
      <c r="G190" s="394">
        <v>989609.25</v>
      </c>
      <c r="H190" s="403">
        <v>134573845.36771488</v>
      </c>
      <c r="I190" s="394">
        <v>38063.25</v>
      </c>
      <c r="J190" s="403">
        <v>6218074.2478937199</v>
      </c>
      <c r="K190" s="394">
        <v>33240.166666666664</v>
      </c>
      <c r="L190" s="403">
        <v>5286234.1888994267</v>
      </c>
      <c r="M190" s="394">
        <v>71303.416666666672</v>
      </c>
      <c r="N190" s="403">
        <v>11504308.436793147</v>
      </c>
      <c r="O190" s="403">
        <v>607877.41666666663</v>
      </c>
      <c r="P190" s="403">
        <v>85761175.852294907</v>
      </c>
      <c r="Q190" s="403">
        <v>453035.25</v>
      </c>
      <c r="R190" s="403">
        <v>60316977.952213116</v>
      </c>
      <c r="S190" s="403">
        <v>1060912.6666666667</v>
      </c>
      <c r="T190" s="403">
        <v>146078153.80450803</v>
      </c>
    </row>
    <row r="191" spans="2:20" x14ac:dyDescent="0.25">
      <c r="B191" s="219">
        <v>44197</v>
      </c>
      <c r="C191" s="399">
        <v>600842</v>
      </c>
      <c r="D191" s="402">
        <v>93450339.094903544</v>
      </c>
      <c r="E191" s="399">
        <v>443662</v>
      </c>
      <c r="F191" s="402">
        <v>65006743.325570196</v>
      </c>
      <c r="G191" s="399">
        <v>1044504</v>
      </c>
      <c r="H191" s="402">
        <v>158457082.42047375</v>
      </c>
      <c r="I191" s="399">
        <v>38683</v>
      </c>
      <c r="J191" s="402">
        <v>6987869.4533293135</v>
      </c>
      <c r="K191" s="399">
        <v>34228</v>
      </c>
      <c r="L191" s="402">
        <v>6002527.0537407268</v>
      </c>
      <c r="M191" s="399">
        <v>72911</v>
      </c>
      <c r="N191" s="402">
        <v>12990396.50707004</v>
      </c>
      <c r="O191" s="402">
        <v>639525</v>
      </c>
      <c r="P191" s="402">
        <v>100438208.54823287</v>
      </c>
      <c r="Q191" s="402">
        <v>477890</v>
      </c>
      <c r="R191" s="402">
        <v>71009270.379310936</v>
      </c>
      <c r="S191" s="402">
        <v>1117415</v>
      </c>
      <c r="T191" s="402">
        <v>171447478.92754379</v>
      </c>
    </row>
    <row r="192" spans="2:20" x14ac:dyDescent="0.25">
      <c r="B192" s="219">
        <v>44228</v>
      </c>
      <c r="C192" s="399">
        <v>605436</v>
      </c>
      <c r="D192" s="402">
        <v>93541352.066999301</v>
      </c>
      <c r="E192" s="399">
        <v>447257</v>
      </c>
      <c r="F192" s="402">
        <v>65075633.610665604</v>
      </c>
      <c r="G192" s="399">
        <v>1052693</v>
      </c>
      <c r="H192" s="402">
        <v>158616985.67766491</v>
      </c>
      <c r="I192" s="399">
        <v>38750</v>
      </c>
      <c r="J192" s="402">
        <v>6972776.1239097277</v>
      </c>
      <c r="K192" s="399">
        <v>34279</v>
      </c>
      <c r="L192" s="402">
        <v>5991736.7623972232</v>
      </c>
      <c r="M192" s="399">
        <v>73029</v>
      </c>
      <c r="N192" s="402">
        <v>12964512.886306951</v>
      </c>
      <c r="O192" s="402">
        <v>644186</v>
      </c>
      <c r="P192" s="402">
        <v>100514128.19090903</v>
      </c>
      <c r="Q192" s="402">
        <v>481536</v>
      </c>
      <c r="R192" s="402">
        <v>71067370.373062819</v>
      </c>
      <c r="S192" s="402">
        <v>1125722</v>
      </c>
      <c r="T192" s="402">
        <v>171581498.56397188</v>
      </c>
    </row>
    <row r="193" spans="2:20" x14ac:dyDescent="0.25">
      <c r="B193" s="219">
        <v>44256</v>
      </c>
      <c r="C193" s="399">
        <v>610095</v>
      </c>
      <c r="D193" s="402">
        <v>94098211.97460635</v>
      </c>
      <c r="E193" s="399">
        <v>450099</v>
      </c>
      <c r="F193" s="402">
        <v>65242760.558556817</v>
      </c>
      <c r="G193" s="399">
        <v>1060194</v>
      </c>
      <c r="H193" s="402">
        <v>159340972.53316319</v>
      </c>
      <c r="I193" s="399">
        <v>38777</v>
      </c>
      <c r="J193" s="402">
        <v>6949909.7238727259</v>
      </c>
      <c r="K193" s="399">
        <v>34317</v>
      </c>
      <c r="L193" s="402">
        <v>5978575.1078179209</v>
      </c>
      <c r="M193" s="399">
        <v>73094</v>
      </c>
      <c r="N193" s="402">
        <v>12928484.831690645</v>
      </c>
      <c r="O193" s="402">
        <v>648872</v>
      </c>
      <c r="P193" s="402">
        <v>101048121.69847909</v>
      </c>
      <c r="Q193" s="402">
        <v>484416</v>
      </c>
      <c r="R193" s="402">
        <v>71221335.666374743</v>
      </c>
      <c r="S193" s="402">
        <v>1133288</v>
      </c>
      <c r="T193" s="402">
        <v>172269457.36485383</v>
      </c>
    </row>
    <row r="194" spans="2:20" x14ac:dyDescent="0.25">
      <c r="B194" s="219">
        <v>44287</v>
      </c>
      <c r="C194" s="399">
        <v>615165</v>
      </c>
      <c r="D194" s="402">
        <v>94643007.131856695</v>
      </c>
      <c r="E194" s="399">
        <v>453554</v>
      </c>
      <c r="F194" s="402">
        <v>65424062.596332371</v>
      </c>
      <c r="G194" s="399">
        <v>1068719</v>
      </c>
      <c r="H194" s="402">
        <v>160067069.72818905</v>
      </c>
      <c r="I194" s="399">
        <v>39434</v>
      </c>
      <c r="J194" s="402">
        <v>6989158.4377724351</v>
      </c>
      <c r="K194" s="399">
        <v>35231</v>
      </c>
      <c r="L194" s="402">
        <v>6055631.4604618726</v>
      </c>
      <c r="M194" s="399">
        <v>74665</v>
      </c>
      <c r="N194" s="402">
        <v>13044789.898234308</v>
      </c>
      <c r="O194" s="402">
        <v>654599</v>
      </c>
      <c r="P194" s="402">
        <v>101632165.56962912</v>
      </c>
      <c r="Q194" s="402">
        <v>488785</v>
      </c>
      <c r="R194" s="402">
        <v>71479694.056794256</v>
      </c>
      <c r="S194" s="402">
        <v>1143384</v>
      </c>
      <c r="T194" s="402">
        <v>173111859.62642336</v>
      </c>
    </row>
    <row r="195" spans="2:20" x14ac:dyDescent="0.25">
      <c r="B195" s="219">
        <v>44317</v>
      </c>
      <c r="C195" s="399">
        <v>619925</v>
      </c>
      <c r="D195" s="402">
        <v>95223423.846523181</v>
      </c>
      <c r="E195" s="399">
        <v>456843</v>
      </c>
      <c r="F195" s="402">
        <v>65694022.057758592</v>
      </c>
      <c r="G195" s="399">
        <v>1076768</v>
      </c>
      <c r="H195" s="402">
        <v>160917445.90428177</v>
      </c>
      <c r="I195" s="399">
        <v>40665</v>
      </c>
      <c r="J195" s="402">
        <v>7078116.9468707209</v>
      </c>
      <c r="K195" s="399">
        <v>36858</v>
      </c>
      <c r="L195" s="402">
        <v>6183299.8356548864</v>
      </c>
      <c r="M195" s="399">
        <v>77523</v>
      </c>
      <c r="N195" s="402">
        <v>13261416.782525608</v>
      </c>
      <c r="O195" s="402">
        <v>660590</v>
      </c>
      <c r="P195" s="402">
        <v>102301540.79339391</v>
      </c>
      <c r="Q195" s="402">
        <v>493701</v>
      </c>
      <c r="R195" s="402">
        <v>71877321.893413484</v>
      </c>
      <c r="S195" s="402">
        <v>1154291</v>
      </c>
      <c r="T195" s="402">
        <v>174178862.68680736</v>
      </c>
    </row>
    <row r="196" spans="2:20" x14ac:dyDescent="0.25">
      <c r="B196" s="219">
        <v>44348</v>
      </c>
      <c r="C196" s="399">
        <v>624280</v>
      </c>
      <c r="D196" s="402">
        <v>96031629.982633188</v>
      </c>
      <c r="E196" s="399">
        <v>459648</v>
      </c>
      <c r="F196" s="402">
        <v>66124274.784068987</v>
      </c>
      <c r="G196" s="399">
        <v>1083928</v>
      </c>
      <c r="H196" s="402">
        <v>162155904.76670218</v>
      </c>
      <c r="I196" s="399">
        <v>41406</v>
      </c>
      <c r="J196" s="402">
        <v>7144903.3773981398</v>
      </c>
      <c r="K196" s="399">
        <v>37901</v>
      </c>
      <c r="L196" s="402">
        <v>6290092.5531584984</v>
      </c>
      <c r="M196" s="399">
        <v>79307</v>
      </c>
      <c r="N196" s="402">
        <v>13434995.930556638</v>
      </c>
      <c r="O196" s="402">
        <v>665686</v>
      </c>
      <c r="P196" s="402">
        <v>103176533.36003132</v>
      </c>
      <c r="Q196" s="402">
        <v>497549</v>
      </c>
      <c r="R196" s="402">
        <v>72414367.337227479</v>
      </c>
      <c r="S196" s="402">
        <v>1163235</v>
      </c>
      <c r="T196" s="402">
        <v>175590900.69725883</v>
      </c>
    </row>
    <row r="197" spans="2:20" x14ac:dyDescent="0.25">
      <c r="B197" s="219">
        <v>44378</v>
      </c>
      <c r="C197" s="399">
        <v>628233</v>
      </c>
      <c r="D197" s="402">
        <v>100598655.03410441</v>
      </c>
      <c r="E197" s="399">
        <v>462542</v>
      </c>
      <c r="F197" s="402">
        <v>69359631.077266291</v>
      </c>
      <c r="G197" s="399">
        <v>1090775</v>
      </c>
      <c r="H197" s="402">
        <v>169958286.11137068</v>
      </c>
      <c r="I197" s="399">
        <v>41969</v>
      </c>
      <c r="J197" s="402">
        <v>7436850.715891365</v>
      </c>
      <c r="K197" s="399">
        <v>38877</v>
      </c>
      <c r="L197" s="402">
        <v>6618458.8304335568</v>
      </c>
      <c r="M197" s="399">
        <v>80846</v>
      </c>
      <c r="N197" s="402">
        <v>14055309.54632492</v>
      </c>
      <c r="O197" s="402">
        <v>670202</v>
      </c>
      <c r="P197" s="402">
        <v>108035505.74999575</v>
      </c>
      <c r="Q197" s="402">
        <v>501419</v>
      </c>
      <c r="R197" s="402">
        <v>75978089.907699853</v>
      </c>
      <c r="S197" s="402">
        <v>1171621</v>
      </c>
      <c r="T197" s="402">
        <v>184013595.65769562</v>
      </c>
    </row>
    <row r="198" spans="2:20" x14ac:dyDescent="0.25">
      <c r="B198" s="219">
        <v>44409</v>
      </c>
      <c r="C198" s="399">
        <v>632311</v>
      </c>
      <c r="D198" s="402">
        <v>101370935.27673468</v>
      </c>
      <c r="E198" s="399">
        <v>464709</v>
      </c>
      <c r="F198" s="402">
        <v>69919584.028873816</v>
      </c>
      <c r="G198" s="399">
        <v>1097020</v>
      </c>
      <c r="H198" s="402">
        <v>171290519.30560848</v>
      </c>
      <c r="I198" s="399">
        <v>42296</v>
      </c>
      <c r="J198" s="402">
        <v>7464533.6264694231</v>
      </c>
      <c r="K198" s="399">
        <v>39447</v>
      </c>
      <c r="L198" s="402">
        <v>6693431.3702713717</v>
      </c>
      <c r="M198" s="399">
        <v>81743</v>
      </c>
      <c r="N198" s="402">
        <v>14157964.996740796</v>
      </c>
      <c r="O198" s="402">
        <v>674607</v>
      </c>
      <c r="P198" s="402">
        <v>108835468.9032041</v>
      </c>
      <c r="Q198" s="402">
        <v>504156</v>
      </c>
      <c r="R198" s="402">
        <v>76613015.399145186</v>
      </c>
      <c r="S198" s="402">
        <v>1178763</v>
      </c>
      <c r="T198" s="402">
        <v>185448484.3023493</v>
      </c>
    </row>
    <row r="199" spans="2:20" x14ac:dyDescent="0.25">
      <c r="B199" s="219">
        <v>44440</v>
      </c>
      <c r="C199" s="399">
        <v>638396</v>
      </c>
      <c r="D199" s="402">
        <v>101452019.92736681</v>
      </c>
      <c r="E199" s="399">
        <v>469874</v>
      </c>
      <c r="F199" s="402">
        <v>70057497.325967789</v>
      </c>
      <c r="G199" s="399">
        <v>1108270</v>
      </c>
      <c r="H199" s="402">
        <v>171509517.25333458</v>
      </c>
      <c r="I199" s="399">
        <v>42481</v>
      </c>
      <c r="J199" s="402">
        <v>7395994.5570695745</v>
      </c>
      <c r="K199" s="399">
        <v>39831</v>
      </c>
      <c r="L199" s="402">
        <v>6670229.5272298465</v>
      </c>
      <c r="M199" s="399">
        <v>82312</v>
      </c>
      <c r="N199" s="402">
        <v>14066224.084299419</v>
      </c>
      <c r="O199" s="402">
        <v>680877</v>
      </c>
      <c r="P199" s="402">
        <v>108848014.48443638</v>
      </c>
      <c r="Q199" s="402">
        <v>509705</v>
      </c>
      <c r="R199" s="402">
        <v>76727726.853197634</v>
      </c>
      <c r="S199" s="402">
        <v>1190582</v>
      </c>
      <c r="T199" s="402">
        <v>185575741.337634</v>
      </c>
    </row>
    <row r="200" spans="2:20" x14ac:dyDescent="0.25">
      <c r="B200" s="219">
        <v>44470</v>
      </c>
      <c r="C200" s="399">
        <v>645913</v>
      </c>
      <c r="D200" s="402">
        <v>101497607.88671097</v>
      </c>
      <c r="E200" s="399">
        <v>475311</v>
      </c>
      <c r="F200" s="402">
        <v>70130352.87210992</v>
      </c>
      <c r="G200" s="399">
        <v>1121224</v>
      </c>
      <c r="H200" s="402">
        <v>171627960.75882089</v>
      </c>
      <c r="I200" s="399">
        <v>42530</v>
      </c>
      <c r="J200" s="402">
        <v>7300766.1884610755</v>
      </c>
      <c r="K200" s="399">
        <v>40062</v>
      </c>
      <c r="L200" s="402">
        <v>6624636.9573745178</v>
      </c>
      <c r="M200" s="399">
        <v>82592</v>
      </c>
      <c r="N200" s="402">
        <v>13925403.145835591</v>
      </c>
      <c r="O200" s="402">
        <v>688443</v>
      </c>
      <c r="P200" s="402">
        <v>108798374.07517204</v>
      </c>
      <c r="Q200" s="402">
        <v>515373</v>
      </c>
      <c r="R200" s="402">
        <v>76754989.829484433</v>
      </c>
      <c r="S200" s="402">
        <v>1203816</v>
      </c>
      <c r="T200" s="402">
        <v>185553363.9046565</v>
      </c>
    </row>
    <row r="201" spans="2:20" x14ac:dyDescent="0.25">
      <c r="B201" s="219">
        <v>44501</v>
      </c>
      <c r="C201" s="399">
        <v>654021</v>
      </c>
      <c r="D201" s="402">
        <v>102385791.7838237</v>
      </c>
      <c r="E201" s="399">
        <v>481364</v>
      </c>
      <c r="F201" s="402">
        <v>70768695.077543885</v>
      </c>
      <c r="G201" s="399">
        <v>1135385</v>
      </c>
      <c r="H201" s="402">
        <v>173154486.86136758</v>
      </c>
      <c r="I201" s="399">
        <v>43059</v>
      </c>
      <c r="J201" s="402">
        <v>7305897.8569552274</v>
      </c>
      <c r="K201" s="399">
        <v>41024</v>
      </c>
      <c r="L201" s="402">
        <v>6689599.7863527769</v>
      </c>
      <c r="M201" s="399">
        <v>84083</v>
      </c>
      <c r="N201" s="402">
        <v>13995497.643308004</v>
      </c>
      <c r="O201" s="402">
        <v>697080</v>
      </c>
      <c r="P201" s="402">
        <v>109691689.64077893</v>
      </c>
      <c r="Q201" s="402">
        <v>522388</v>
      </c>
      <c r="R201" s="402">
        <v>77458294.863896668</v>
      </c>
      <c r="S201" s="402">
        <v>1219468</v>
      </c>
      <c r="T201" s="402">
        <v>187149984.5046756</v>
      </c>
    </row>
    <row r="202" spans="2:20" x14ac:dyDescent="0.25">
      <c r="B202" s="219">
        <v>44531</v>
      </c>
      <c r="C202" s="399">
        <v>661228</v>
      </c>
      <c r="D202" s="402">
        <v>102814580.69383697</v>
      </c>
      <c r="E202" s="399">
        <v>486375</v>
      </c>
      <c r="F202" s="402">
        <v>71065979.931638822</v>
      </c>
      <c r="G202" s="399">
        <v>1147603</v>
      </c>
      <c r="H202" s="402">
        <v>173880560.62547579</v>
      </c>
      <c r="I202" s="399">
        <v>43273</v>
      </c>
      <c r="J202" s="402">
        <v>7253067.5324784899</v>
      </c>
      <c r="K202" s="399">
        <v>41477</v>
      </c>
      <c r="L202" s="402">
        <v>6668215.7573276917</v>
      </c>
      <c r="M202" s="399">
        <v>84750</v>
      </c>
      <c r="N202" s="402">
        <v>13921283.289806182</v>
      </c>
      <c r="O202" s="402">
        <v>704501</v>
      </c>
      <c r="P202" s="402">
        <v>110067648.22631545</v>
      </c>
      <c r="Q202" s="402">
        <v>527852</v>
      </c>
      <c r="R202" s="402">
        <v>77734195.688966513</v>
      </c>
      <c r="S202" s="402">
        <v>1232353</v>
      </c>
      <c r="T202" s="402">
        <v>187801843.91528198</v>
      </c>
    </row>
    <row r="203" spans="2:20" x14ac:dyDescent="0.25">
      <c r="B203" s="393" t="s">
        <v>762</v>
      </c>
      <c r="C203" s="394">
        <v>627987.08333333337</v>
      </c>
      <c r="D203" s="403">
        <v>98092296.225008309</v>
      </c>
      <c r="E203" s="394">
        <v>462603.16666666669</v>
      </c>
      <c r="F203" s="403">
        <v>67822436.437196091</v>
      </c>
      <c r="G203" s="394">
        <v>1090590.25</v>
      </c>
      <c r="H203" s="403">
        <v>165914732.66220441</v>
      </c>
      <c r="I203" s="394">
        <v>41110.25</v>
      </c>
      <c r="J203" s="403">
        <v>7189987.0450398521</v>
      </c>
      <c r="K203" s="394">
        <v>37794.333333333336</v>
      </c>
      <c r="L203" s="403">
        <v>6372202.9168517413</v>
      </c>
      <c r="M203" s="394">
        <v>78904.583333333328</v>
      </c>
      <c r="N203" s="403">
        <v>13562189.961891592</v>
      </c>
      <c r="O203" s="403">
        <v>669097.33333333337</v>
      </c>
      <c r="P203" s="403">
        <v>105282283.27004819</v>
      </c>
      <c r="Q203" s="403">
        <v>500397.5</v>
      </c>
      <c r="R203" s="403">
        <v>74194639.354047835</v>
      </c>
      <c r="S203" s="403">
        <v>1169494.8333333333</v>
      </c>
      <c r="T203" s="403">
        <v>179476922.62409601</v>
      </c>
    </row>
    <row r="204" spans="2:20" x14ac:dyDescent="0.25">
      <c r="B204" s="219">
        <v>44562</v>
      </c>
      <c r="C204" s="399">
        <v>669074</v>
      </c>
      <c r="D204" s="402">
        <v>107920148.57671343</v>
      </c>
      <c r="E204" s="399">
        <v>492231</v>
      </c>
      <c r="F204" s="402">
        <v>74975927.331672147</v>
      </c>
      <c r="G204" s="399">
        <v>1161305</v>
      </c>
      <c r="H204" s="402">
        <v>182896075.90838555</v>
      </c>
      <c r="I204" s="399">
        <v>43561</v>
      </c>
      <c r="J204" s="402">
        <v>7756333.3578068502</v>
      </c>
      <c r="K204" s="399">
        <v>41983</v>
      </c>
      <c r="L204" s="402">
        <v>7183216.2035609903</v>
      </c>
      <c r="M204" s="399">
        <v>85544</v>
      </c>
      <c r="N204" s="402">
        <v>14939549.561367841</v>
      </c>
      <c r="O204" s="402">
        <v>712635</v>
      </c>
      <c r="P204" s="402">
        <v>115676481.93452027</v>
      </c>
      <c r="Q204" s="402">
        <v>534214</v>
      </c>
      <c r="R204" s="402">
        <v>82159143.53523314</v>
      </c>
      <c r="S204" s="402">
        <v>1246849</v>
      </c>
      <c r="T204" s="402">
        <v>197835625.46975341</v>
      </c>
    </row>
    <row r="205" spans="2:20" x14ac:dyDescent="0.25">
      <c r="B205" s="219">
        <v>44593</v>
      </c>
      <c r="C205" s="399">
        <v>157011</v>
      </c>
      <c r="D205" s="402">
        <v>32191320.456923865</v>
      </c>
      <c r="E205" s="399">
        <v>156303</v>
      </c>
      <c r="F205" s="402">
        <v>29005880.663590886</v>
      </c>
      <c r="G205" s="399">
        <v>313314</v>
      </c>
      <c r="H205" s="402">
        <v>61197201.12051475</v>
      </c>
      <c r="I205" s="399">
        <v>43796</v>
      </c>
      <c r="J205" s="402">
        <v>8171940.2433060436</v>
      </c>
      <c r="K205" s="399">
        <v>42423</v>
      </c>
      <c r="L205" s="402">
        <v>7616567.8629206503</v>
      </c>
      <c r="M205" s="399">
        <v>86219</v>
      </c>
      <c r="N205" s="402">
        <v>15788508.106226694</v>
      </c>
      <c r="O205" s="402">
        <v>200807</v>
      </c>
      <c r="P205" s="402">
        <v>40363260.700229913</v>
      </c>
      <c r="Q205" s="402">
        <v>198726</v>
      </c>
      <c r="R205" s="402">
        <v>36622448.526511535</v>
      </c>
      <c r="S205" s="402">
        <v>399533</v>
      </c>
      <c r="T205" s="402">
        <v>76985709.226741433</v>
      </c>
    </row>
    <row r="206" spans="2:20" x14ac:dyDescent="0.25">
      <c r="B206" s="219">
        <v>44621</v>
      </c>
      <c r="C206" s="399">
        <v>158373</v>
      </c>
      <c r="D206" s="402">
        <v>31930105.746151727</v>
      </c>
      <c r="E206" s="399">
        <v>158291</v>
      </c>
      <c r="F206" s="402">
        <v>28925848.010221973</v>
      </c>
      <c r="G206" s="399">
        <v>316664</v>
      </c>
      <c r="H206" s="402">
        <v>60855953.756373696</v>
      </c>
      <c r="I206" s="399">
        <v>44375</v>
      </c>
      <c r="J206" s="402">
        <v>8070782.9588499703</v>
      </c>
      <c r="K206" s="399">
        <v>43297</v>
      </c>
      <c r="L206" s="402">
        <v>7554056.9357867353</v>
      </c>
      <c r="M206" s="399">
        <v>87672</v>
      </c>
      <c r="N206" s="402">
        <v>15624839.894636706</v>
      </c>
      <c r="O206" s="402">
        <v>202748</v>
      </c>
      <c r="P206" s="402">
        <v>40000888.705001697</v>
      </c>
      <c r="Q206" s="402">
        <v>201588</v>
      </c>
      <c r="R206" s="402">
        <v>36479904.946008705</v>
      </c>
      <c r="S206" s="402">
        <v>404336</v>
      </c>
      <c r="T206" s="402">
        <v>76480793.651010409</v>
      </c>
    </row>
    <row r="207" spans="2:20" x14ac:dyDescent="0.25">
      <c r="B207" s="219">
        <v>44652</v>
      </c>
      <c r="C207" s="399">
        <v>154818</v>
      </c>
      <c r="D207" s="402">
        <v>31013901.506863967</v>
      </c>
      <c r="E207" s="399">
        <v>157061</v>
      </c>
      <c r="F207" s="402">
        <v>28513383.123537902</v>
      </c>
      <c r="G207" s="399">
        <v>311879</v>
      </c>
      <c r="H207" s="402">
        <v>59527284.630401872</v>
      </c>
      <c r="I207" s="399">
        <v>44630</v>
      </c>
      <c r="J207" s="402">
        <v>7964841.9309456227</v>
      </c>
      <c r="K207" s="399">
        <v>43805</v>
      </c>
      <c r="L207" s="402">
        <v>7488047.2631175453</v>
      </c>
      <c r="M207" s="399">
        <v>88435</v>
      </c>
      <c r="N207" s="402">
        <v>15452889.194063168</v>
      </c>
      <c r="O207" s="402">
        <v>199448</v>
      </c>
      <c r="P207" s="402">
        <v>38978743.437809594</v>
      </c>
      <c r="Q207" s="402">
        <v>200866</v>
      </c>
      <c r="R207" s="402">
        <v>36001430.38665545</v>
      </c>
      <c r="S207" s="402">
        <v>400314</v>
      </c>
      <c r="T207" s="402">
        <v>74980173.824465036</v>
      </c>
    </row>
    <row r="208" spans="2:20" x14ac:dyDescent="0.25">
      <c r="B208" s="219">
        <v>44682</v>
      </c>
      <c r="C208" s="399">
        <v>111871</v>
      </c>
      <c r="D208" s="402">
        <v>23256172.011037041</v>
      </c>
      <c r="E208" s="399">
        <v>65720</v>
      </c>
      <c r="F208" s="402">
        <v>13589863.412507318</v>
      </c>
      <c r="G208" s="399">
        <v>177591</v>
      </c>
      <c r="H208" s="402">
        <v>36846035.423544355</v>
      </c>
      <c r="I208" s="399">
        <v>44880</v>
      </c>
      <c r="J208" s="402">
        <v>7867164.4539364725</v>
      </c>
      <c r="K208" s="399">
        <v>44391</v>
      </c>
      <c r="L208" s="402">
        <v>7425666.1759553412</v>
      </c>
      <c r="M208" s="399">
        <v>89271</v>
      </c>
      <c r="N208" s="402">
        <v>15292830.629891815</v>
      </c>
      <c r="O208" s="402">
        <v>156751</v>
      </c>
      <c r="P208" s="402">
        <v>31123336.464973513</v>
      </c>
      <c r="Q208" s="402">
        <v>110111</v>
      </c>
      <c r="R208" s="402">
        <v>21015529.588462662</v>
      </c>
      <c r="S208" s="402">
        <v>266862</v>
      </c>
      <c r="T208" s="402">
        <v>52138866.053436175</v>
      </c>
    </row>
    <row r="209" spans="2:20" x14ac:dyDescent="0.25">
      <c r="B209" s="219">
        <v>44713</v>
      </c>
      <c r="C209" s="399">
        <v>109948</v>
      </c>
      <c r="D209" s="402">
        <v>22658919.253783215</v>
      </c>
      <c r="E209" s="399">
        <v>64976</v>
      </c>
      <c r="F209" s="402">
        <v>13325561.952929586</v>
      </c>
      <c r="G209" s="399">
        <v>174924</v>
      </c>
      <c r="H209" s="402">
        <v>35984481.206712797</v>
      </c>
      <c r="I209" s="399">
        <v>45192</v>
      </c>
      <c r="J209" s="402">
        <v>7805429.6385473972</v>
      </c>
      <c r="K209" s="399">
        <v>45010</v>
      </c>
      <c r="L209" s="402">
        <v>7401914.5950487666</v>
      </c>
      <c r="M209" s="399">
        <v>90202</v>
      </c>
      <c r="N209" s="402">
        <v>15207344.233596165</v>
      </c>
      <c r="O209" s="402">
        <v>155140</v>
      </c>
      <c r="P209" s="402">
        <v>30464348.892330613</v>
      </c>
      <c r="Q209" s="402">
        <v>109986</v>
      </c>
      <c r="R209" s="402">
        <v>20727476.547978356</v>
      </c>
      <c r="S209" s="402">
        <v>265126</v>
      </c>
      <c r="T209" s="402">
        <v>51191825.440308966</v>
      </c>
    </row>
    <row r="210" spans="2:20" x14ac:dyDescent="0.25">
      <c r="B210" s="219">
        <v>44743</v>
      </c>
      <c r="C210" s="399">
        <v>109799</v>
      </c>
      <c r="D210" s="402">
        <v>24604113.008628026</v>
      </c>
      <c r="E210" s="399">
        <v>64729</v>
      </c>
      <c r="F210" s="402">
        <v>14540061.695166368</v>
      </c>
      <c r="G210" s="399">
        <v>174528</v>
      </c>
      <c r="H210" s="402">
        <v>39144174.703794397</v>
      </c>
      <c r="I210" s="399">
        <v>45366</v>
      </c>
      <c r="J210" s="402">
        <v>8110973.5186571693</v>
      </c>
      <c r="K210" s="399">
        <v>45364</v>
      </c>
      <c r="L210" s="402">
        <v>7722702.2893715026</v>
      </c>
      <c r="M210" s="399">
        <v>90730</v>
      </c>
      <c r="N210" s="402">
        <v>15833675.808028674</v>
      </c>
      <c r="O210" s="402">
        <v>155165</v>
      </c>
      <c r="P210" s="402">
        <v>32715086.527285196</v>
      </c>
      <c r="Q210" s="402">
        <v>110093</v>
      </c>
      <c r="R210" s="402">
        <v>22262763.984537873</v>
      </c>
      <c r="S210" s="402">
        <v>265258</v>
      </c>
      <c r="T210" s="402">
        <v>54977850.511823066</v>
      </c>
    </row>
    <row r="211" spans="2:20" x14ac:dyDescent="0.25">
      <c r="B211" s="219">
        <v>44774</v>
      </c>
      <c r="C211" s="399">
        <v>109904</v>
      </c>
      <c r="D211" s="402">
        <v>24348823.833528869</v>
      </c>
      <c r="E211" s="399">
        <v>64644</v>
      </c>
      <c r="F211" s="402">
        <v>14361199.260385437</v>
      </c>
      <c r="G211" s="399">
        <v>174548</v>
      </c>
      <c r="H211" s="402">
        <v>38710023.093914308</v>
      </c>
      <c r="I211" s="399">
        <v>45575</v>
      </c>
      <c r="J211" s="402">
        <v>8027523.2107042875</v>
      </c>
      <c r="K211" s="399">
        <v>45817</v>
      </c>
      <c r="L211" s="402">
        <v>7672526.2804928254</v>
      </c>
      <c r="M211" s="399">
        <v>91392</v>
      </c>
      <c r="N211" s="402">
        <v>15700049.491197113</v>
      </c>
      <c r="O211" s="402">
        <v>155479</v>
      </c>
      <c r="P211" s="402">
        <v>32376347.044233155</v>
      </c>
      <c r="Q211" s="402">
        <v>110461</v>
      </c>
      <c r="R211" s="402">
        <v>22033725.540878262</v>
      </c>
      <c r="S211" s="402">
        <v>265940</v>
      </c>
      <c r="T211" s="402">
        <v>54410072.585111417</v>
      </c>
    </row>
    <row r="212" spans="2:20" x14ac:dyDescent="0.25">
      <c r="B212" s="219">
        <v>44805</v>
      </c>
      <c r="C212" s="399">
        <v>109666</v>
      </c>
      <c r="D212" s="402">
        <v>24095697.777250417</v>
      </c>
      <c r="E212" s="399">
        <v>64275</v>
      </c>
      <c r="F212" s="402">
        <v>14172078.496263932</v>
      </c>
      <c r="G212" s="399">
        <v>173941</v>
      </c>
      <c r="H212" s="402">
        <v>38267776.273514353</v>
      </c>
      <c r="I212" s="399">
        <v>45697</v>
      </c>
      <c r="J212" s="402">
        <v>7949042.8941196557</v>
      </c>
      <c r="K212" s="399">
        <v>46202</v>
      </c>
      <c r="L212" s="402">
        <v>7633624.0790250702</v>
      </c>
      <c r="M212" s="399">
        <v>91899</v>
      </c>
      <c r="N212" s="402">
        <v>15582666.973144725</v>
      </c>
      <c r="O212" s="402">
        <v>155363</v>
      </c>
      <c r="P212" s="402">
        <v>32044740.67137007</v>
      </c>
      <c r="Q212" s="402">
        <v>110477</v>
      </c>
      <c r="R212" s="402">
        <v>21805702.575289</v>
      </c>
      <c r="S212" s="402">
        <v>265840</v>
      </c>
      <c r="T212" s="402">
        <v>53850443.24665907</v>
      </c>
    </row>
    <row r="213" spans="2:20" x14ac:dyDescent="0.25">
      <c r="B213" s="219">
        <v>44835</v>
      </c>
      <c r="C213" s="399">
        <v>109393</v>
      </c>
      <c r="D213" s="402">
        <v>23919787.901619885</v>
      </c>
      <c r="E213" s="399">
        <v>63815</v>
      </c>
      <c r="F213" s="402">
        <v>14014272.726891067</v>
      </c>
      <c r="G213" s="399">
        <v>173208</v>
      </c>
      <c r="H213" s="402">
        <v>37934060.628510959</v>
      </c>
      <c r="I213" s="399">
        <v>45739</v>
      </c>
      <c r="J213" s="402">
        <v>7898976.2698302399</v>
      </c>
      <c r="K213" s="399">
        <v>46381</v>
      </c>
      <c r="L213" s="402">
        <v>7608657.9417926613</v>
      </c>
      <c r="M213" s="399">
        <v>92120</v>
      </c>
      <c r="N213" s="402">
        <v>15507634.211622901</v>
      </c>
      <c r="O213" s="402">
        <v>155132</v>
      </c>
      <c r="P213" s="402">
        <v>31818764.171450127</v>
      </c>
      <c r="Q213" s="402">
        <v>110196</v>
      </c>
      <c r="R213" s="402">
        <v>21622930.66868373</v>
      </c>
      <c r="S213" s="402">
        <v>265328</v>
      </c>
      <c r="T213" s="402">
        <v>53441694.840133861</v>
      </c>
    </row>
    <row r="214" spans="2:20" x14ac:dyDescent="0.25">
      <c r="B214" s="219">
        <v>44866</v>
      </c>
      <c r="C214" s="399">
        <v>109031</v>
      </c>
      <c r="D214" s="402">
        <v>23624577.535947122</v>
      </c>
      <c r="E214" s="399">
        <v>63526</v>
      </c>
      <c r="F214" s="402">
        <v>13834745.43522742</v>
      </c>
      <c r="G214" s="399">
        <v>172557</v>
      </c>
      <c r="H214" s="402">
        <v>37459322.971174538</v>
      </c>
      <c r="I214" s="399">
        <v>45910</v>
      </c>
      <c r="J214" s="402">
        <v>7838260.5302428314</v>
      </c>
      <c r="K214" s="399">
        <v>46666</v>
      </c>
      <c r="L214" s="402">
        <v>7571305.3012204282</v>
      </c>
      <c r="M214" s="399">
        <v>92576</v>
      </c>
      <c r="N214" s="402">
        <v>15409565.831463259</v>
      </c>
      <c r="O214" s="402">
        <v>154941</v>
      </c>
      <c r="P214" s="402">
        <v>31462838.066189948</v>
      </c>
      <c r="Q214" s="402">
        <v>110192</v>
      </c>
      <c r="R214" s="402">
        <v>21406050.736447848</v>
      </c>
      <c r="S214" s="402">
        <v>265133</v>
      </c>
      <c r="T214" s="402">
        <v>52868888.802637801</v>
      </c>
    </row>
    <row r="215" spans="2:20" x14ac:dyDescent="0.25">
      <c r="B215" s="219">
        <v>44896</v>
      </c>
      <c r="C215" s="399">
        <v>108989</v>
      </c>
      <c r="D215" s="402">
        <v>23564729.341223754</v>
      </c>
      <c r="E215" s="399">
        <v>63190</v>
      </c>
      <c r="F215" s="402">
        <v>13746735.002875332</v>
      </c>
      <c r="G215" s="399">
        <v>172179</v>
      </c>
      <c r="H215" s="402">
        <v>37311464.34409909</v>
      </c>
      <c r="I215" s="399">
        <v>45881</v>
      </c>
      <c r="J215" s="402">
        <v>7790353.6586534847</v>
      </c>
      <c r="K215" s="399">
        <v>46817</v>
      </c>
      <c r="L215" s="402">
        <v>7558019.0239072731</v>
      </c>
      <c r="M215" s="399">
        <v>92698</v>
      </c>
      <c r="N215" s="402">
        <v>15348372.682560759</v>
      </c>
      <c r="O215" s="402">
        <v>154870</v>
      </c>
      <c r="P215" s="402">
        <v>31355082.999877241</v>
      </c>
      <c r="Q215" s="402">
        <v>110007</v>
      </c>
      <c r="R215" s="402">
        <v>21304754.026782606</v>
      </c>
      <c r="S215" s="402">
        <v>264877</v>
      </c>
      <c r="T215" s="402">
        <v>52659837.026659846</v>
      </c>
    </row>
    <row r="216" spans="2:20" x14ac:dyDescent="0.25">
      <c r="B216" s="393" t="s">
        <v>763</v>
      </c>
      <c r="C216" s="394">
        <v>168156.41666666666</v>
      </c>
      <c r="D216" s="403">
        <v>32760691.412472617</v>
      </c>
      <c r="E216" s="394">
        <v>123230.08333333333</v>
      </c>
      <c r="F216" s="403">
        <v>22750463.092605785</v>
      </c>
      <c r="G216" s="394">
        <v>291386.5</v>
      </c>
      <c r="H216" s="403">
        <v>55511154.505078375</v>
      </c>
      <c r="I216" s="394">
        <v>45050.166666666664</v>
      </c>
      <c r="J216" s="403">
        <v>7937635.2221333357</v>
      </c>
      <c r="K216" s="394">
        <v>44846.333333333336</v>
      </c>
      <c r="L216" s="403">
        <v>7536358.6626833165</v>
      </c>
      <c r="M216" s="394">
        <v>89896.5</v>
      </c>
      <c r="N216" s="403">
        <v>15473993.884816652</v>
      </c>
      <c r="O216" s="403">
        <v>213206.58333333334</v>
      </c>
      <c r="P216" s="403">
        <v>40698326.634605944</v>
      </c>
      <c r="Q216" s="403">
        <v>168076.41666666666</v>
      </c>
      <c r="R216" s="403">
        <v>30286821.755289096</v>
      </c>
      <c r="S216" s="403">
        <v>381283</v>
      </c>
      <c r="T216" s="403">
        <v>70985148.389895037</v>
      </c>
    </row>
    <row r="217" spans="2:20" x14ac:dyDescent="0.25">
      <c r="B217" s="219">
        <v>44927</v>
      </c>
      <c r="C217" s="399">
        <v>108797</v>
      </c>
      <c r="D217" s="402">
        <v>23348369.985220369</v>
      </c>
      <c r="E217" s="399">
        <v>62891</v>
      </c>
      <c r="F217" s="402">
        <v>13588325.879937332</v>
      </c>
      <c r="G217" s="399">
        <v>171688</v>
      </c>
      <c r="H217" s="402">
        <v>36936695.865157701</v>
      </c>
      <c r="I217" s="399">
        <v>46104</v>
      </c>
      <c r="J217" s="402">
        <v>7745634.2718733409</v>
      </c>
      <c r="K217" s="399">
        <v>47256</v>
      </c>
      <c r="L217" s="402">
        <v>7550195.01421999</v>
      </c>
      <c r="M217" s="399">
        <v>93360</v>
      </c>
      <c r="N217" s="402">
        <v>15295829.28609333</v>
      </c>
      <c r="O217" s="402">
        <v>154901</v>
      </c>
      <c r="P217" s="402">
        <v>31094004.257093709</v>
      </c>
      <c r="Q217" s="402">
        <v>110147</v>
      </c>
      <c r="R217" s="402">
        <v>21138520.89415732</v>
      </c>
      <c r="S217" s="402">
        <v>265048</v>
      </c>
      <c r="T217" s="402">
        <v>52232525.151251033</v>
      </c>
    </row>
    <row r="218" spans="2:20" x14ac:dyDescent="0.25">
      <c r="B218" s="219">
        <v>44958</v>
      </c>
      <c r="C218" s="399">
        <v>108645</v>
      </c>
      <c r="D218" s="402">
        <v>23349164.204932865</v>
      </c>
      <c r="E218" s="399">
        <v>62678</v>
      </c>
      <c r="F218" s="402">
        <v>13566561.982701685</v>
      </c>
      <c r="G218" s="399">
        <v>171323</v>
      </c>
      <c r="H218" s="402">
        <v>36915726.18763455</v>
      </c>
      <c r="I218" s="399">
        <v>46210</v>
      </c>
      <c r="J218" s="402">
        <v>8327207.9731382299</v>
      </c>
      <c r="K218" s="399">
        <v>47542</v>
      </c>
      <c r="L218" s="402">
        <v>8164101.5218179524</v>
      </c>
      <c r="M218" s="399">
        <v>93752</v>
      </c>
      <c r="N218" s="402">
        <v>16491309.494956182</v>
      </c>
      <c r="O218" s="402">
        <v>154855</v>
      </c>
      <c r="P218" s="402">
        <v>31676372.178071093</v>
      </c>
      <c r="Q218" s="402">
        <v>110220</v>
      </c>
      <c r="R218" s="402">
        <v>21730663.504519638</v>
      </c>
      <c r="S218" s="402">
        <v>265075</v>
      </c>
      <c r="T218" s="402">
        <v>53407035.682590738</v>
      </c>
    </row>
    <row r="219" spans="2:20" x14ac:dyDescent="0.25">
      <c r="B219" s="219">
        <v>44986</v>
      </c>
      <c r="C219" s="399">
        <v>108598</v>
      </c>
      <c r="D219" s="402">
        <v>23099681.600000001</v>
      </c>
      <c r="E219" s="399">
        <v>62593</v>
      </c>
      <c r="F219" s="402">
        <v>13421795.244000001</v>
      </c>
      <c r="G219" s="399">
        <v>171191</v>
      </c>
      <c r="H219" s="402">
        <v>36521476.843999997</v>
      </c>
      <c r="I219" s="399">
        <v>46381</v>
      </c>
      <c r="J219" s="402">
        <v>8260461.9170000004</v>
      </c>
      <c r="K219" s="399">
        <v>47964</v>
      </c>
      <c r="L219" s="402">
        <v>8133303.9519999996</v>
      </c>
      <c r="M219" s="399">
        <v>94345</v>
      </c>
      <c r="N219" s="402">
        <v>16393765.869000001</v>
      </c>
      <c r="O219" s="402">
        <v>154979</v>
      </c>
      <c r="P219" s="402">
        <v>31360143.517000001</v>
      </c>
      <c r="Q219" s="402">
        <v>110557</v>
      </c>
      <c r="R219" s="402">
        <v>21555099.195999999</v>
      </c>
      <c r="S219" s="402">
        <v>265536</v>
      </c>
      <c r="T219" s="402">
        <v>52915242.713</v>
      </c>
    </row>
    <row r="220" spans="2:20" ht="30" x14ac:dyDescent="0.25">
      <c r="B220" s="396" t="s">
        <v>954</v>
      </c>
      <c r="C220" s="394">
        <v>108680</v>
      </c>
      <c r="D220" s="403">
        <v>23265738.596717745</v>
      </c>
      <c r="E220" s="394">
        <v>62720.666666666664</v>
      </c>
      <c r="F220" s="403">
        <v>13525561.03554634</v>
      </c>
      <c r="G220" s="394">
        <v>171400.66666666666</v>
      </c>
      <c r="H220" s="403">
        <v>36791299.632264085</v>
      </c>
      <c r="I220" s="394">
        <v>46231.666666666664</v>
      </c>
      <c r="J220" s="403">
        <v>8111101.3873371901</v>
      </c>
      <c r="K220" s="394">
        <v>47587.333333333336</v>
      </c>
      <c r="L220" s="403">
        <v>7949200.1626793146</v>
      </c>
      <c r="M220" s="394">
        <v>93819</v>
      </c>
      <c r="N220" s="403">
        <v>16060301.550016506</v>
      </c>
      <c r="O220" s="403">
        <v>154911.66666666666</v>
      </c>
      <c r="P220" s="403">
        <v>31376839.984054934</v>
      </c>
      <c r="Q220" s="403">
        <v>110308</v>
      </c>
      <c r="R220" s="403">
        <v>21474761.198225651</v>
      </c>
      <c r="S220" s="403">
        <v>265219.66666666669</v>
      </c>
      <c r="T220" s="403">
        <v>52851601.182280593</v>
      </c>
    </row>
    <row r="221" spans="2:20" x14ac:dyDescent="0.25">
      <c r="B221" s="4" t="s">
        <v>924</v>
      </c>
      <c r="C221" s="293"/>
      <c r="D221" s="293"/>
      <c r="E221" s="293"/>
      <c r="F221" s="293"/>
      <c r="G221" s="293"/>
      <c r="H221" s="293"/>
      <c r="I221" s="293"/>
      <c r="J221" s="293"/>
      <c r="K221" s="293"/>
      <c r="L221" s="293"/>
      <c r="M221" s="293"/>
    </row>
    <row r="222" spans="2:20" x14ac:dyDescent="0.25">
      <c r="B222" s="287" t="s">
        <v>927</v>
      </c>
      <c r="C222" s="293"/>
      <c r="D222" s="293"/>
      <c r="E222" s="293"/>
      <c r="F222" s="293"/>
      <c r="G222" s="293"/>
      <c r="H222" s="293"/>
      <c r="I222" s="293"/>
      <c r="J222" s="293"/>
      <c r="K222" s="293"/>
      <c r="L222" s="293"/>
      <c r="M222" s="293"/>
    </row>
    <row r="223" spans="2:20" x14ac:dyDescent="0.25">
      <c r="C223" s="294"/>
      <c r="D223" s="294"/>
      <c r="E223" s="294"/>
      <c r="F223" s="294"/>
      <c r="G223" s="294"/>
      <c r="H223" s="294"/>
      <c r="I223" s="294"/>
      <c r="J223" s="294"/>
      <c r="K223" s="294"/>
      <c r="L223" s="290"/>
      <c r="M223" s="290"/>
    </row>
    <row r="224" spans="2:20" x14ac:dyDescent="0.25">
      <c r="B224" s="4"/>
      <c r="C224" s="4"/>
      <c r="D224" s="4"/>
      <c r="E224" s="4"/>
      <c r="F224" s="4"/>
      <c r="G224" s="4"/>
      <c r="H224" s="4"/>
      <c r="I224" s="4"/>
      <c r="J224" s="4"/>
      <c r="K224" s="4"/>
    </row>
    <row r="225" spans="1:41" x14ac:dyDescent="0.25">
      <c r="B225" s="4"/>
      <c r="C225" s="4"/>
      <c r="D225" s="4"/>
      <c r="E225" s="4"/>
      <c r="F225" s="4"/>
      <c r="G225" s="4"/>
      <c r="H225" s="4"/>
      <c r="I225" s="4"/>
      <c r="J225" s="4"/>
      <c r="K225" s="4"/>
    </row>
    <row r="226" spans="1:41" x14ac:dyDescent="0.25">
      <c r="B226" s="4"/>
      <c r="C226" s="4"/>
      <c r="D226" s="4"/>
      <c r="E226" s="4"/>
      <c r="F226" s="4"/>
      <c r="G226" s="4"/>
      <c r="H226" s="4"/>
      <c r="I226" s="4"/>
      <c r="J226" s="4"/>
      <c r="K226" s="4"/>
    </row>
    <row r="227" spans="1:41" x14ac:dyDescent="0.25">
      <c r="B227" s="4"/>
      <c r="C227" s="4"/>
      <c r="D227" s="4"/>
      <c r="E227" s="4"/>
      <c r="F227" s="4"/>
      <c r="G227" s="4"/>
      <c r="H227" s="4"/>
      <c r="I227" s="4"/>
      <c r="J227" s="4"/>
      <c r="K227" s="4"/>
    </row>
    <row r="228" spans="1:41" x14ac:dyDescent="0.25">
      <c r="B228" s="4"/>
      <c r="C228" s="4"/>
      <c r="D228" s="4"/>
      <c r="E228" s="4"/>
      <c r="F228" s="4"/>
      <c r="G228" s="4"/>
      <c r="H228" s="4"/>
      <c r="I228" s="4"/>
      <c r="J228" s="4"/>
      <c r="K228" s="4"/>
    </row>
    <row r="229" spans="1:41" x14ac:dyDescent="0.25">
      <c r="B229" s="4"/>
      <c r="C229" s="4"/>
      <c r="D229" s="4"/>
      <c r="E229" s="4"/>
      <c r="F229" s="4"/>
      <c r="G229" s="4"/>
      <c r="H229" s="4"/>
      <c r="I229" s="4"/>
      <c r="J229" s="4"/>
      <c r="K229" s="4"/>
    </row>
    <row r="230" spans="1:41" x14ac:dyDescent="0.25">
      <c r="B230" s="4"/>
      <c r="C230" s="4"/>
      <c r="D230" s="4"/>
      <c r="E230" s="4"/>
      <c r="F230" s="4"/>
      <c r="G230" s="4"/>
      <c r="H230" s="4"/>
      <c r="I230" s="4"/>
      <c r="J230" s="4"/>
      <c r="K230" s="4"/>
    </row>
    <row r="231" spans="1:41" x14ac:dyDescent="0.25">
      <c r="B231" s="4"/>
      <c r="C231" s="4"/>
      <c r="D231" s="4"/>
      <c r="E231" s="4"/>
      <c r="F231" s="4"/>
      <c r="G231" s="4"/>
      <c r="H231" s="4"/>
      <c r="I231" s="4"/>
      <c r="J231" s="4"/>
      <c r="K231" s="4"/>
    </row>
    <row r="232" spans="1:41" hidden="1" x14ac:dyDescent="0.25">
      <c r="A232" s="153" t="s">
        <v>637</v>
      </c>
      <c r="B232" s="4"/>
      <c r="C232" s="4"/>
      <c r="D232" s="4"/>
      <c r="E232" s="4"/>
      <c r="F232" s="4"/>
      <c r="G232" s="4"/>
      <c r="H232" s="4"/>
      <c r="I232" s="4"/>
      <c r="J232" s="4"/>
      <c r="K232" s="4"/>
    </row>
    <row r="233" spans="1:41" ht="18.75" hidden="1" x14ac:dyDescent="0.3">
      <c r="B233" s="2" t="s">
        <v>18</v>
      </c>
      <c r="C233" s="5"/>
      <c r="D233" s="2"/>
      <c r="E233" s="2"/>
      <c r="F233" s="2"/>
      <c r="G233" s="2"/>
      <c r="H233" s="2"/>
      <c r="I233" s="18"/>
      <c r="J233" s="18"/>
      <c r="K233" s="18"/>
    </row>
    <row r="234" spans="1:41" hidden="1" x14ac:dyDescent="0.25">
      <c r="B234" s="8" t="s">
        <v>12</v>
      </c>
      <c r="C234" s="4"/>
      <c r="D234" s="9"/>
      <c r="E234" s="9"/>
      <c r="F234" s="9"/>
      <c r="G234" s="9"/>
      <c r="H234" s="9"/>
      <c r="I234" s="9"/>
      <c r="J234" s="9"/>
      <c r="K234" s="9"/>
    </row>
    <row r="235" spans="1:41" hidden="1" x14ac:dyDescent="0.25">
      <c r="B235" s="4"/>
      <c r="C235" s="4"/>
      <c r="D235" s="4"/>
      <c r="E235" s="4"/>
      <c r="F235" s="4"/>
      <c r="G235" s="4"/>
      <c r="H235" s="4"/>
      <c r="I235" s="4"/>
      <c r="J235" s="4"/>
      <c r="K235" s="4"/>
    </row>
    <row r="236" spans="1:41" hidden="1" x14ac:dyDescent="0.25">
      <c r="B236" s="4"/>
      <c r="C236" s="4"/>
      <c r="D236" s="4"/>
      <c r="E236" s="4"/>
      <c r="F236" s="4"/>
      <c r="G236" s="4"/>
      <c r="H236" s="4"/>
      <c r="I236" s="4"/>
      <c r="J236" s="4"/>
      <c r="K236" s="4"/>
    </row>
    <row r="237" spans="1:41" hidden="1" x14ac:dyDescent="0.25">
      <c r="B237" s="4"/>
      <c r="C237" s="455" t="s">
        <v>13</v>
      </c>
      <c r="D237" s="455"/>
      <c r="E237" s="455"/>
      <c r="F237" s="455"/>
      <c r="G237" s="455"/>
      <c r="H237" s="455"/>
      <c r="I237" s="455"/>
      <c r="J237" s="455"/>
      <c r="K237" s="455"/>
      <c r="N237" s="4"/>
      <c r="O237" s="455" t="s">
        <v>17</v>
      </c>
      <c r="P237" s="455"/>
      <c r="Q237" s="455"/>
      <c r="R237" s="455"/>
      <c r="S237" s="455"/>
      <c r="T237" s="455"/>
      <c r="U237" s="455"/>
      <c r="V237" s="455"/>
      <c r="W237" s="455"/>
    </row>
    <row r="238" spans="1:41" hidden="1" x14ac:dyDescent="0.25">
      <c r="B238" s="19"/>
      <c r="C238" s="456" t="s">
        <v>14</v>
      </c>
      <c r="D238" s="456"/>
      <c r="E238" s="456"/>
      <c r="F238" s="456" t="s">
        <v>15</v>
      </c>
      <c r="G238" s="456"/>
      <c r="H238" s="456"/>
      <c r="I238" s="455" t="s">
        <v>16</v>
      </c>
      <c r="J238" s="455"/>
      <c r="K238" s="455"/>
      <c r="N238" s="19"/>
      <c r="O238" s="456" t="s">
        <v>14</v>
      </c>
      <c r="P238" s="456"/>
      <c r="Q238" s="456"/>
      <c r="R238" s="456" t="s">
        <v>15</v>
      </c>
      <c r="S238" s="456"/>
      <c r="T238" s="456"/>
      <c r="U238" s="455" t="s">
        <v>16</v>
      </c>
      <c r="V238" s="455"/>
      <c r="W238" s="455"/>
      <c r="AA238">
        <v>1000</v>
      </c>
    </row>
    <row r="239" spans="1:41" hidden="1" x14ac:dyDescent="0.25">
      <c r="B239" s="10" t="s">
        <v>11</v>
      </c>
      <c r="C239" s="20" t="s">
        <v>666</v>
      </c>
      <c r="D239" s="20" t="s">
        <v>667</v>
      </c>
      <c r="E239" s="20" t="s">
        <v>668</v>
      </c>
      <c r="F239" s="20" t="s">
        <v>669</v>
      </c>
      <c r="G239" s="20" t="s">
        <v>670</v>
      </c>
      <c r="H239" s="20" t="s">
        <v>671</v>
      </c>
      <c r="I239" s="20" t="s">
        <v>672</v>
      </c>
      <c r="J239" s="20" t="s">
        <v>673</v>
      </c>
      <c r="K239" s="20" t="s">
        <v>674</v>
      </c>
      <c r="L239" s="20" t="s">
        <v>639</v>
      </c>
      <c r="M239" s="20" t="s">
        <v>640</v>
      </c>
      <c r="N239" s="20" t="s">
        <v>647</v>
      </c>
      <c r="O239" s="20" t="s">
        <v>641</v>
      </c>
      <c r="P239" s="20" t="s">
        <v>642</v>
      </c>
      <c r="Q239" s="20" t="s">
        <v>646</v>
      </c>
      <c r="R239" s="20" t="s">
        <v>643</v>
      </c>
      <c r="S239" s="20" t="s">
        <v>644</v>
      </c>
      <c r="T239" s="20" t="s">
        <v>645</v>
      </c>
      <c r="U239" s="220" t="s">
        <v>555</v>
      </c>
      <c r="V239" s="220" t="s">
        <v>556</v>
      </c>
      <c r="W239" s="220" t="s">
        <v>557</v>
      </c>
      <c r="X239" s="11" t="s">
        <v>648</v>
      </c>
      <c r="Y239" s="11" t="s">
        <v>649</v>
      </c>
      <c r="Z239" s="11" t="s">
        <v>650</v>
      </c>
      <c r="AA239" s="11" t="s">
        <v>651</v>
      </c>
      <c r="AB239" s="11" t="s">
        <v>652</v>
      </c>
      <c r="AC239" s="11" t="s">
        <v>653</v>
      </c>
      <c r="AD239" s="11" t="s">
        <v>654</v>
      </c>
      <c r="AE239" s="11" t="s">
        <v>655</v>
      </c>
      <c r="AF239" s="240" t="s">
        <v>656</v>
      </c>
      <c r="AG239" s="20" t="s">
        <v>657</v>
      </c>
      <c r="AH239" s="20" t="s">
        <v>658</v>
      </c>
      <c r="AI239" s="20" t="s">
        <v>659</v>
      </c>
      <c r="AJ239" s="20" t="s">
        <v>660</v>
      </c>
      <c r="AK239" s="20" t="s">
        <v>661</v>
      </c>
      <c r="AL239" s="20" t="s">
        <v>662</v>
      </c>
      <c r="AM239" s="20" t="s">
        <v>663</v>
      </c>
      <c r="AN239" s="20" t="s">
        <v>664</v>
      </c>
      <c r="AO239" s="20" t="s">
        <v>665</v>
      </c>
    </row>
    <row r="240" spans="1:41" hidden="1" x14ac:dyDescent="0.25">
      <c r="B240" s="12">
        <v>39630</v>
      </c>
      <c r="C240" s="20"/>
      <c r="D240" s="20"/>
      <c r="E240" s="20"/>
      <c r="F240" s="20"/>
      <c r="G240" s="20"/>
      <c r="H240" s="20"/>
      <c r="I240" s="20"/>
      <c r="J240" s="20"/>
      <c r="K240" s="20"/>
      <c r="L240" s="20"/>
      <c r="M240" s="20"/>
      <c r="N240" s="20"/>
      <c r="O240" s="20"/>
      <c r="P240" s="20"/>
      <c r="Q240" s="20"/>
      <c r="R240" s="20"/>
      <c r="S240" s="20"/>
      <c r="T240" s="20"/>
      <c r="U240">
        <v>75.937682870000003</v>
      </c>
      <c r="V240">
        <v>129.01505570699999</v>
      </c>
      <c r="W240" s="221">
        <f>+V240/U240</f>
        <v>1.6989596051786928</v>
      </c>
      <c r="X240" s="236"/>
      <c r="Y240" s="236"/>
      <c r="Z240" s="236"/>
      <c r="AA240" s="236"/>
      <c r="AB240" s="236"/>
      <c r="AC240" s="236"/>
      <c r="AD240" s="236"/>
      <c r="AE240" s="236"/>
      <c r="AF240" s="236"/>
      <c r="AG240" s="236"/>
      <c r="AH240" s="236"/>
      <c r="AI240" s="236"/>
      <c r="AJ240" s="236"/>
      <c r="AK240" s="236"/>
      <c r="AL240" s="236"/>
      <c r="AM240" s="236"/>
      <c r="AN240" s="236"/>
      <c r="AO240" s="236"/>
    </row>
    <row r="241" spans="2:41" hidden="1" x14ac:dyDescent="0.25">
      <c r="B241" s="12">
        <v>39661</v>
      </c>
      <c r="C241" s="20"/>
      <c r="D241" s="20"/>
      <c r="E241" s="20"/>
      <c r="F241" s="20"/>
      <c r="G241" s="20"/>
      <c r="H241" s="20"/>
      <c r="I241" s="20"/>
      <c r="J241" s="20"/>
      <c r="K241" s="20"/>
      <c r="L241" s="20"/>
      <c r="M241" s="20"/>
      <c r="N241" s="20"/>
      <c r="O241" s="20"/>
      <c r="P241" s="20"/>
      <c r="Q241" s="20"/>
      <c r="R241" s="20"/>
      <c r="S241" s="20"/>
      <c r="T241" s="20"/>
      <c r="U241">
        <v>76.645666680000005</v>
      </c>
      <c r="V241">
        <v>129.01505570699999</v>
      </c>
      <c r="W241" s="221">
        <f t="shared" ref="W241:W304" si="0">+V241/U241</f>
        <v>1.6832661426985187</v>
      </c>
      <c r="X241" s="236"/>
      <c r="Y241" s="236"/>
      <c r="Z241" s="236"/>
      <c r="AA241" s="236"/>
      <c r="AB241" s="236"/>
      <c r="AC241" s="236"/>
      <c r="AD241" s="236"/>
      <c r="AE241" s="236"/>
      <c r="AF241" s="236"/>
      <c r="AG241" s="236"/>
      <c r="AH241" s="236"/>
      <c r="AI241" s="236"/>
      <c r="AJ241" s="236"/>
      <c r="AK241" s="236"/>
      <c r="AL241" s="236"/>
      <c r="AM241" s="236"/>
      <c r="AN241" s="236"/>
      <c r="AO241" s="236"/>
    </row>
    <row r="242" spans="2:41" hidden="1" x14ac:dyDescent="0.25">
      <c r="B242" s="12">
        <v>39692</v>
      </c>
      <c r="C242" s="20"/>
      <c r="D242" s="20"/>
      <c r="E242" s="20"/>
      <c r="F242" s="20"/>
      <c r="G242" s="20"/>
      <c r="H242" s="20"/>
      <c r="I242" s="20"/>
      <c r="J242" s="20"/>
      <c r="K242" s="20"/>
      <c r="L242" s="20"/>
      <c r="M242" s="20"/>
      <c r="N242" s="20"/>
      <c r="O242" s="20"/>
      <c r="P242" s="20"/>
      <c r="Q242" s="20"/>
      <c r="R242" s="20"/>
      <c r="S242" s="20"/>
      <c r="T242" s="20"/>
      <c r="U242">
        <v>77.460120860000004</v>
      </c>
      <c r="V242">
        <v>129.01505570699999</v>
      </c>
      <c r="W242" s="221">
        <f t="shared" si="0"/>
        <v>1.6655674465081125</v>
      </c>
      <c r="X242" s="236"/>
      <c r="Y242" s="236"/>
      <c r="Z242" s="236"/>
      <c r="AA242" s="236"/>
      <c r="AB242" s="236"/>
      <c r="AC242" s="236"/>
      <c r="AD242" s="236"/>
      <c r="AE242" s="236"/>
      <c r="AF242" s="236"/>
      <c r="AG242" s="236"/>
      <c r="AH242" s="236"/>
      <c r="AI242" s="236"/>
      <c r="AJ242" s="236"/>
      <c r="AK242" s="236"/>
      <c r="AL242" s="236"/>
      <c r="AM242" s="236"/>
      <c r="AN242" s="236"/>
      <c r="AO242" s="236"/>
    </row>
    <row r="243" spans="2:41" hidden="1" x14ac:dyDescent="0.25">
      <c r="B243" s="12">
        <v>39722</v>
      </c>
      <c r="C243" s="13">
        <v>955</v>
      </c>
      <c r="D243" s="13">
        <v>2444</v>
      </c>
      <c r="E243" s="13">
        <v>3399</v>
      </c>
      <c r="F243" s="13">
        <v>229</v>
      </c>
      <c r="G243" s="13">
        <v>217</v>
      </c>
      <c r="H243" s="13">
        <v>446</v>
      </c>
      <c r="I243" s="13">
        <v>1184</v>
      </c>
      <c r="J243" s="13">
        <v>2661</v>
      </c>
      <c r="K243" s="14">
        <v>3845</v>
      </c>
      <c r="L243" s="13">
        <v>191695297</v>
      </c>
      <c r="M243" s="13">
        <v>385553922</v>
      </c>
      <c r="N243" s="13">
        <f>+L243+M243</f>
        <v>577249219</v>
      </c>
      <c r="O243" s="13">
        <v>35923118</v>
      </c>
      <c r="P243" s="13">
        <v>35328138</v>
      </c>
      <c r="Q243" s="13">
        <f>+O243+P243</f>
        <v>71251256</v>
      </c>
      <c r="R243" s="13">
        <f>+L243+O243</f>
        <v>227618415</v>
      </c>
      <c r="S243" s="13">
        <f>+M243+P243</f>
        <v>420882060</v>
      </c>
      <c r="T243" s="14">
        <f>+R243+S243</f>
        <v>648500475</v>
      </c>
      <c r="U243">
        <v>78.144751220000003</v>
      </c>
      <c r="V243">
        <v>129.01505570699999</v>
      </c>
      <c r="W243" s="221">
        <f t="shared" si="0"/>
        <v>1.6509753207068945</v>
      </c>
      <c r="X243" s="236">
        <f t="shared" ref="X243:X274" si="1">+L243/$W243/$AA$238</f>
        <v>116110.33465837772</v>
      </c>
      <c r="Y243" s="236">
        <f t="shared" ref="Y243:Y274" si="2">+M243/$W243/$AA$238</f>
        <v>233531.0026529762</v>
      </c>
      <c r="Z243" s="236">
        <f t="shared" ref="Z243:Z274" si="3">+N243/$W243/$AA$238</f>
        <v>349641.33731135394</v>
      </c>
      <c r="AA243" s="236">
        <f t="shared" ref="AA243:AA274" si="4">+O243/$W243/$AA$238</f>
        <v>21758.72500905639</v>
      </c>
      <c r="AB243" s="236">
        <f t="shared" ref="AB243:AB274" si="5">+P243/$W243/$AA$238</f>
        <v>21398.344092068939</v>
      </c>
      <c r="AC243" s="236">
        <f t="shared" ref="AC243:AC274" si="6">+Q243/$W243/$AA$238</f>
        <v>43157.069101125329</v>
      </c>
      <c r="AD243" s="236">
        <f t="shared" ref="AD243:AD274" si="7">+R243/$W243/$AA$238</f>
        <v>137869.05966743414</v>
      </c>
      <c r="AE243" s="236">
        <f t="shared" ref="AE243:AE274" si="8">+S243/$W243/$AA$238</f>
        <v>254929.34674504513</v>
      </c>
      <c r="AF243" s="236">
        <f t="shared" ref="AF243:AF274" si="9">+T243/$W243/$AA$238</f>
        <v>392798.40641247923</v>
      </c>
      <c r="AG243" s="236">
        <f t="shared" ref="AG243:AG304" si="10">+L243/$AA$238</f>
        <v>191695.29699999999</v>
      </c>
      <c r="AH243" s="236">
        <f t="shared" ref="AH243:AH304" si="11">+M243/$AA$238</f>
        <v>385553.92200000002</v>
      </c>
      <c r="AI243" s="236">
        <f t="shared" ref="AI243:AI304" si="12">+N243/$AA$238</f>
        <v>577249.21900000004</v>
      </c>
      <c r="AJ243" s="236">
        <f t="shared" ref="AJ243:AJ304" si="13">+O243/$AA$238</f>
        <v>35923.118000000002</v>
      </c>
      <c r="AK243" s="236">
        <f t="shared" ref="AK243:AK304" si="14">+P243/$AA$238</f>
        <v>35328.137999999999</v>
      </c>
      <c r="AL243" s="236">
        <f t="shared" ref="AL243:AL304" si="15">+Q243/$AA$238</f>
        <v>71251.255999999994</v>
      </c>
      <c r="AM243" s="236">
        <f t="shared" ref="AM243:AM304" si="16">+R243/$AA$238</f>
        <v>227618.41500000001</v>
      </c>
      <c r="AN243" s="236">
        <f t="shared" ref="AN243:AN304" si="17">+S243/$AA$238</f>
        <v>420882.06</v>
      </c>
      <c r="AO243" s="236">
        <f t="shared" ref="AO243:AO304" si="18">+T243/$AA$238</f>
        <v>648500.47499999998</v>
      </c>
    </row>
    <row r="244" spans="2:41" hidden="1" x14ac:dyDescent="0.25">
      <c r="B244" s="12">
        <v>39753</v>
      </c>
      <c r="C244" s="13">
        <v>1159</v>
      </c>
      <c r="D244" s="13">
        <v>3067</v>
      </c>
      <c r="E244" s="13">
        <v>4226</v>
      </c>
      <c r="F244" s="13">
        <v>294</v>
      </c>
      <c r="G244" s="13">
        <v>290</v>
      </c>
      <c r="H244" s="13">
        <v>584</v>
      </c>
      <c r="I244" s="13">
        <v>1453</v>
      </c>
      <c r="J244" s="13">
        <v>3357</v>
      </c>
      <c r="K244" s="14">
        <v>4810</v>
      </c>
      <c r="L244" s="13">
        <v>85654067</v>
      </c>
      <c r="M244" s="13">
        <v>192967990</v>
      </c>
      <c r="N244" s="13">
        <f t="shared" ref="N244:N307" si="19">+L244+M244</f>
        <v>278622057</v>
      </c>
      <c r="O244" s="13">
        <v>19636312</v>
      </c>
      <c r="P244" s="13">
        <v>20520752</v>
      </c>
      <c r="Q244" s="13">
        <f t="shared" ref="Q244:Q307" si="20">+O244+P244</f>
        <v>40157064</v>
      </c>
      <c r="R244" s="13">
        <f t="shared" ref="R244:R307" si="21">+L244+O244</f>
        <v>105290379</v>
      </c>
      <c r="S244" s="13">
        <f t="shared" ref="S244:S307" si="22">+M244+P244</f>
        <v>213488742</v>
      </c>
      <c r="T244" s="14">
        <f t="shared" ref="T244:T307" si="23">+R244+S244</f>
        <v>318779121</v>
      </c>
      <c r="U244">
        <v>78.04899709</v>
      </c>
      <c r="V244">
        <v>129.01505570699999</v>
      </c>
      <c r="W244" s="221">
        <f t="shared" si="0"/>
        <v>1.6530008138122507</v>
      </c>
      <c r="X244" s="236">
        <f t="shared" si="1"/>
        <v>51817.3168968135</v>
      </c>
      <c r="Y244" s="236">
        <f t="shared" si="2"/>
        <v>116737.98850405011</v>
      </c>
      <c r="Z244" s="236">
        <f t="shared" si="3"/>
        <v>168555.30540086361</v>
      </c>
      <c r="AA244" s="236">
        <f t="shared" si="4"/>
        <v>11879.190763804614</v>
      </c>
      <c r="AB244" s="236">
        <f t="shared" si="5"/>
        <v>12414.241922043462</v>
      </c>
      <c r="AC244" s="236">
        <f t="shared" si="6"/>
        <v>24293.432685848074</v>
      </c>
      <c r="AD244" s="236">
        <f t="shared" si="7"/>
        <v>63696.50766061811</v>
      </c>
      <c r="AE244" s="236">
        <f t="shared" si="8"/>
        <v>129152.23042609356</v>
      </c>
      <c r="AF244" s="236">
        <f t="shared" si="9"/>
        <v>192848.73808671167</v>
      </c>
      <c r="AG244" s="236">
        <f t="shared" si="10"/>
        <v>85654.066999999995</v>
      </c>
      <c r="AH244" s="236">
        <f t="shared" si="11"/>
        <v>192967.99</v>
      </c>
      <c r="AI244" s="236">
        <f t="shared" si="12"/>
        <v>278622.05699999997</v>
      </c>
      <c r="AJ244" s="236">
        <f t="shared" si="13"/>
        <v>19636.312000000002</v>
      </c>
      <c r="AK244" s="236">
        <f t="shared" si="14"/>
        <v>20520.752</v>
      </c>
      <c r="AL244" s="236">
        <f t="shared" si="15"/>
        <v>40157.063999999998</v>
      </c>
      <c r="AM244" s="236">
        <f t="shared" si="16"/>
        <v>105290.379</v>
      </c>
      <c r="AN244" s="236">
        <f t="shared" si="17"/>
        <v>213488.742</v>
      </c>
      <c r="AO244" s="236">
        <f t="shared" si="18"/>
        <v>318779.12099999998</v>
      </c>
    </row>
    <row r="245" spans="2:41" hidden="1" x14ac:dyDescent="0.25">
      <c r="B245" s="15">
        <v>39783</v>
      </c>
      <c r="C245" s="16">
        <v>1234</v>
      </c>
      <c r="D245" s="16">
        <v>3251</v>
      </c>
      <c r="E245" s="16">
        <v>4485</v>
      </c>
      <c r="F245" s="16">
        <v>348</v>
      </c>
      <c r="G245" s="16">
        <v>352</v>
      </c>
      <c r="H245" s="16">
        <v>700</v>
      </c>
      <c r="I245" s="17">
        <v>1582</v>
      </c>
      <c r="J245" s="17">
        <v>3603</v>
      </c>
      <c r="K245" s="17">
        <v>5185</v>
      </c>
      <c r="L245" s="16">
        <v>107688464</v>
      </c>
      <c r="M245" s="16">
        <v>198565283</v>
      </c>
      <c r="N245" s="16">
        <f t="shared" si="19"/>
        <v>306253747</v>
      </c>
      <c r="O245" s="16">
        <v>20228436</v>
      </c>
      <c r="P245" s="16">
        <v>21138228</v>
      </c>
      <c r="Q245" s="16">
        <f t="shared" si="20"/>
        <v>41366664</v>
      </c>
      <c r="R245" s="16">
        <f t="shared" si="21"/>
        <v>127916900</v>
      </c>
      <c r="S245" s="16">
        <f t="shared" si="22"/>
        <v>219703511</v>
      </c>
      <c r="T245" s="16">
        <f t="shared" si="23"/>
        <v>347620411</v>
      </c>
      <c r="U245">
        <v>77.128789299999994</v>
      </c>
      <c r="V245">
        <v>129.01505570699999</v>
      </c>
      <c r="W245" s="221">
        <f t="shared" si="0"/>
        <v>1.6727224280052324</v>
      </c>
      <c r="X245" s="236">
        <f t="shared" si="1"/>
        <v>64379.159504916461</v>
      </c>
      <c r="Y245" s="236">
        <f t="shared" si="2"/>
        <v>118707.84995499496</v>
      </c>
      <c r="Z245" s="236">
        <f t="shared" si="3"/>
        <v>183087.00945991144</v>
      </c>
      <c r="AA245" s="236">
        <f t="shared" si="4"/>
        <v>12093.121764453752</v>
      </c>
      <c r="AB245" s="236">
        <f t="shared" si="5"/>
        <v>12637.020731053339</v>
      </c>
      <c r="AC245" s="236">
        <f t="shared" si="6"/>
        <v>24730.142495507091</v>
      </c>
      <c r="AD245" s="236">
        <f t="shared" si="7"/>
        <v>76472.281269370214</v>
      </c>
      <c r="AE245" s="236">
        <f t="shared" si="8"/>
        <v>131344.87068604832</v>
      </c>
      <c r="AF245" s="236">
        <f t="shared" si="9"/>
        <v>207817.15195541852</v>
      </c>
      <c r="AG245" s="236">
        <f t="shared" si="10"/>
        <v>107688.46400000001</v>
      </c>
      <c r="AH245" s="236">
        <f t="shared" si="11"/>
        <v>198565.283</v>
      </c>
      <c r="AI245" s="236">
        <f t="shared" si="12"/>
        <v>306253.74699999997</v>
      </c>
      <c r="AJ245" s="236">
        <f t="shared" si="13"/>
        <v>20228.436000000002</v>
      </c>
      <c r="AK245" s="236">
        <f t="shared" si="14"/>
        <v>21138.227999999999</v>
      </c>
      <c r="AL245" s="236">
        <f t="shared" si="15"/>
        <v>41366.663999999997</v>
      </c>
      <c r="AM245" s="236">
        <f t="shared" si="16"/>
        <v>127916.9</v>
      </c>
      <c r="AN245" s="236">
        <f t="shared" si="17"/>
        <v>219703.511</v>
      </c>
      <c r="AO245" s="236">
        <f t="shared" si="18"/>
        <v>347620.41100000002</v>
      </c>
    </row>
    <row r="246" spans="2:41" hidden="1" x14ac:dyDescent="0.25">
      <c r="B246" s="12">
        <v>39814</v>
      </c>
      <c r="C246" s="13">
        <v>1765</v>
      </c>
      <c r="D246" s="13">
        <v>4434</v>
      </c>
      <c r="E246" s="13">
        <v>6199</v>
      </c>
      <c r="F246" s="13">
        <v>481</v>
      </c>
      <c r="G246" s="13">
        <v>468</v>
      </c>
      <c r="H246" s="13">
        <v>949</v>
      </c>
      <c r="I246" s="13">
        <v>2246</v>
      </c>
      <c r="J246" s="13">
        <v>4902</v>
      </c>
      <c r="K246" s="14">
        <v>7148</v>
      </c>
      <c r="L246" s="13">
        <v>194887690</v>
      </c>
      <c r="M246" s="13">
        <v>386551685</v>
      </c>
      <c r="N246" s="13">
        <f t="shared" si="19"/>
        <v>581439375</v>
      </c>
      <c r="O246" s="13">
        <v>43687880</v>
      </c>
      <c r="P246" s="13">
        <v>38038701</v>
      </c>
      <c r="Q246" s="13">
        <f t="shared" si="20"/>
        <v>81726581</v>
      </c>
      <c r="R246" s="13">
        <f t="shared" si="21"/>
        <v>238575570</v>
      </c>
      <c r="S246" s="13">
        <f t="shared" si="22"/>
        <v>424590386</v>
      </c>
      <c r="T246" s="14">
        <f t="shared" si="23"/>
        <v>663165956</v>
      </c>
      <c r="U246">
        <v>76.540568890000003</v>
      </c>
      <c r="V246">
        <v>129.01505570699999</v>
      </c>
      <c r="W246" s="221">
        <f t="shared" si="0"/>
        <v>1.6855774340064482</v>
      </c>
      <c r="X246" s="236">
        <f t="shared" si="1"/>
        <v>115620.72798801746</v>
      </c>
      <c r="Y246" s="236">
        <f t="shared" si="2"/>
        <v>229328.9392710992</v>
      </c>
      <c r="Z246" s="236">
        <f t="shared" si="3"/>
        <v>344949.66725911666</v>
      </c>
      <c r="AA246" s="236">
        <f t="shared" si="4"/>
        <v>25918.643141868779</v>
      </c>
      <c r="AB246" s="236">
        <f t="shared" si="5"/>
        <v>22567.163176589183</v>
      </c>
      <c r="AC246" s="236">
        <f t="shared" si="6"/>
        <v>48485.806318457959</v>
      </c>
      <c r="AD246" s="236">
        <f t="shared" si="7"/>
        <v>141539.37112988625</v>
      </c>
      <c r="AE246" s="236">
        <f t="shared" si="8"/>
        <v>251896.1024476884</v>
      </c>
      <c r="AF246" s="236">
        <f t="shared" si="9"/>
        <v>393435.47357757459</v>
      </c>
      <c r="AG246" s="236">
        <f t="shared" si="10"/>
        <v>194887.69</v>
      </c>
      <c r="AH246" s="236">
        <f t="shared" si="11"/>
        <v>386551.685</v>
      </c>
      <c r="AI246" s="236">
        <f t="shared" si="12"/>
        <v>581439.375</v>
      </c>
      <c r="AJ246" s="236">
        <f t="shared" si="13"/>
        <v>43687.88</v>
      </c>
      <c r="AK246" s="236">
        <f t="shared" si="14"/>
        <v>38038.701000000001</v>
      </c>
      <c r="AL246" s="236">
        <f t="shared" si="15"/>
        <v>81726.581000000006</v>
      </c>
      <c r="AM246" s="236">
        <f t="shared" si="16"/>
        <v>238575.57</v>
      </c>
      <c r="AN246" s="236">
        <f t="shared" si="17"/>
        <v>424590.386</v>
      </c>
      <c r="AO246" s="236">
        <f t="shared" si="18"/>
        <v>663165.95600000001</v>
      </c>
    </row>
    <row r="247" spans="2:41" hidden="1" x14ac:dyDescent="0.25">
      <c r="B247" s="12">
        <v>39845</v>
      </c>
      <c r="C247" s="13">
        <v>2132</v>
      </c>
      <c r="D247" s="13">
        <v>5048</v>
      </c>
      <c r="E247" s="13">
        <v>7180</v>
      </c>
      <c r="F247" s="13">
        <v>584</v>
      </c>
      <c r="G247" s="13">
        <v>596</v>
      </c>
      <c r="H247" s="13">
        <v>1180</v>
      </c>
      <c r="I247" s="13">
        <v>2716</v>
      </c>
      <c r="J247" s="13">
        <v>5644</v>
      </c>
      <c r="K247" s="14">
        <v>8360</v>
      </c>
      <c r="L247" s="13">
        <v>156341312</v>
      </c>
      <c r="M247" s="13">
        <v>297761340</v>
      </c>
      <c r="N247" s="13">
        <f t="shared" si="19"/>
        <v>454102652</v>
      </c>
      <c r="O247" s="13">
        <v>43785755</v>
      </c>
      <c r="P247" s="13">
        <v>47118131</v>
      </c>
      <c r="Q247" s="13">
        <f t="shared" si="20"/>
        <v>90903886</v>
      </c>
      <c r="R247" s="13">
        <f t="shared" si="21"/>
        <v>200127067</v>
      </c>
      <c r="S247" s="13">
        <f t="shared" si="22"/>
        <v>344879471</v>
      </c>
      <c r="T247" s="14">
        <f t="shared" si="23"/>
        <v>545006538</v>
      </c>
      <c r="U247">
        <v>76.261696380000004</v>
      </c>
      <c r="V247">
        <v>129.01505570699999</v>
      </c>
      <c r="W247" s="221">
        <f t="shared" si="0"/>
        <v>1.6917412256886906</v>
      </c>
      <c r="X247" s="236">
        <f t="shared" si="1"/>
        <v>92414.436455170653</v>
      </c>
      <c r="Y247" s="236">
        <f t="shared" si="2"/>
        <v>176008.79820067305</v>
      </c>
      <c r="Z247" s="236">
        <f t="shared" si="3"/>
        <v>268423.2346558437</v>
      </c>
      <c r="AA247" s="236">
        <f t="shared" si="4"/>
        <v>25882.064192279329</v>
      </c>
      <c r="AB247" s="236">
        <f t="shared" si="5"/>
        <v>27851.854813562688</v>
      </c>
      <c r="AC247" s="236">
        <f t="shared" si="6"/>
        <v>53733.919005842014</v>
      </c>
      <c r="AD247" s="236">
        <f t="shared" si="7"/>
        <v>118296.50064744997</v>
      </c>
      <c r="AE247" s="236">
        <f t="shared" si="8"/>
        <v>203860.65301423572</v>
      </c>
      <c r="AF247" s="236">
        <f t="shared" si="9"/>
        <v>322157.1536616857</v>
      </c>
      <c r="AG247" s="236">
        <f t="shared" si="10"/>
        <v>156341.31200000001</v>
      </c>
      <c r="AH247" s="236">
        <f t="shared" si="11"/>
        <v>297761.34000000003</v>
      </c>
      <c r="AI247" s="236">
        <f t="shared" si="12"/>
        <v>454102.652</v>
      </c>
      <c r="AJ247" s="236">
        <f t="shared" si="13"/>
        <v>43785.754999999997</v>
      </c>
      <c r="AK247" s="236">
        <f t="shared" si="14"/>
        <v>47118.131000000001</v>
      </c>
      <c r="AL247" s="236">
        <f t="shared" si="15"/>
        <v>90903.885999999999</v>
      </c>
      <c r="AM247" s="236">
        <f t="shared" si="16"/>
        <v>200127.06700000001</v>
      </c>
      <c r="AN247" s="236">
        <f t="shared" si="17"/>
        <v>344879.47100000002</v>
      </c>
      <c r="AO247" s="236">
        <f t="shared" si="18"/>
        <v>545006.53799999994</v>
      </c>
    </row>
    <row r="248" spans="2:41" hidden="1" x14ac:dyDescent="0.25">
      <c r="B248" s="12">
        <v>39873</v>
      </c>
      <c r="C248" s="13">
        <v>2584</v>
      </c>
      <c r="D248" s="13">
        <v>5703</v>
      </c>
      <c r="E248" s="13">
        <v>8287</v>
      </c>
      <c r="F248" s="13">
        <v>703</v>
      </c>
      <c r="G248" s="13">
        <v>787</v>
      </c>
      <c r="H248" s="13">
        <v>1490</v>
      </c>
      <c r="I248" s="13">
        <v>3287</v>
      </c>
      <c r="J248" s="13">
        <v>6490</v>
      </c>
      <c r="K248" s="14">
        <v>9777</v>
      </c>
      <c r="L248" s="13">
        <v>202020432</v>
      </c>
      <c r="M248" s="13">
        <v>330681512</v>
      </c>
      <c r="N248" s="13">
        <f t="shared" si="19"/>
        <v>532701944</v>
      </c>
      <c r="O248" s="13">
        <v>47441952</v>
      </c>
      <c r="P248" s="13">
        <v>61973136</v>
      </c>
      <c r="Q248" s="13">
        <f t="shared" si="20"/>
        <v>109415088</v>
      </c>
      <c r="R248" s="13">
        <f t="shared" si="21"/>
        <v>249462384</v>
      </c>
      <c r="S248" s="13">
        <f t="shared" si="22"/>
        <v>392654648</v>
      </c>
      <c r="T248" s="14">
        <f t="shared" si="23"/>
        <v>642117032</v>
      </c>
      <c r="U248">
        <v>76.560749150000007</v>
      </c>
      <c r="V248">
        <v>129.01505570699999</v>
      </c>
      <c r="W248" s="221">
        <f t="shared" si="0"/>
        <v>1.6851331411900112</v>
      </c>
      <c r="X248" s="236">
        <f t="shared" si="1"/>
        <v>119883.95875790369</v>
      </c>
      <c r="Y248" s="236">
        <f t="shared" si="2"/>
        <v>196234.64990219026</v>
      </c>
      <c r="Z248" s="236">
        <f t="shared" si="3"/>
        <v>316118.60866009397</v>
      </c>
      <c r="AA248" s="236">
        <f t="shared" si="4"/>
        <v>28153.23658431958</v>
      </c>
      <c r="AB248" s="236">
        <f t="shared" si="5"/>
        <v>36776.403291336181</v>
      </c>
      <c r="AC248" s="236">
        <f t="shared" si="6"/>
        <v>64929.639875655761</v>
      </c>
      <c r="AD248" s="236">
        <f t="shared" si="7"/>
        <v>148037.19534222325</v>
      </c>
      <c r="AE248" s="236">
        <f t="shared" si="8"/>
        <v>233011.05319352646</v>
      </c>
      <c r="AF248" s="236">
        <f t="shared" si="9"/>
        <v>381048.24853574974</v>
      </c>
      <c r="AG248" s="236">
        <f t="shared" si="10"/>
        <v>202020.432</v>
      </c>
      <c r="AH248" s="236">
        <f t="shared" si="11"/>
        <v>330681.51199999999</v>
      </c>
      <c r="AI248" s="236">
        <f t="shared" si="12"/>
        <v>532701.94400000002</v>
      </c>
      <c r="AJ248" s="236">
        <f t="shared" si="13"/>
        <v>47441.951999999997</v>
      </c>
      <c r="AK248" s="236">
        <f t="shared" si="14"/>
        <v>61973.135999999999</v>
      </c>
      <c r="AL248" s="236">
        <f t="shared" si="15"/>
        <v>109415.088</v>
      </c>
      <c r="AM248" s="236">
        <f t="shared" si="16"/>
        <v>249462.38399999999</v>
      </c>
      <c r="AN248" s="236">
        <f t="shared" si="17"/>
        <v>392654.64799999999</v>
      </c>
      <c r="AO248" s="236">
        <f t="shared" si="18"/>
        <v>642117.03200000001</v>
      </c>
    </row>
    <row r="249" spans="2:41" hidden="1" x14ac:dyDescent="0.25">
      <c r="B249" s="12">
        <v>39904</v>
      </c>
      <c r="C249" s="13">
        <v>3131</v>
      </c>
      <c r="D249" s="13">
        <v>6499</v>
      </c>
      <c r="E249" s="13">
        <v>9630</v>
      </c>
      <c r="F249" s="13">
        <v>922</v>
      </c>
      <c r="G249" s="13">
        <v>1119</v>
      </c>
      <c r="H249" s="13">
        <v>2041</v>
      </c>
      <c r="I249" s="13">
        <v>4053</v>
      </c>
      <c r="J249" s="13">
        <v>7618</v>
      </c>
      <c r="K249" s="14">
        <v>11671</v>
      </c>
      <c r="L249" s="13">
        <v>281550462</v>
      </c>
      <c r="M249" s="13">
        <v>474237539</v>
      </c>
      <c r="N249" s="13">
        <f t="shared" si="19"/>
        <v>755788001</v>
      </c>
      <c r="O249" s="13">
        <v>79704356</v>
      </c>
      <c r="P249" s="13">
        <v>109278129</v>
      </c>
      <c r="Q249" s="13">
        <f t="shared" si="20"/>
        <v>188982485</v>
      </c>
      <c r="R249" s="13">
        <f t="shared" si="21"/>
        <v>361254818</v>
      </c>
      <c r="S249" s="13">
        <f t="shared" si="22"/>
        <v>583515668</v>
      </c>
      <c r="T249" s="14">
        <f t="shared" si="23"/>
        <v>944770486</v>
      </c>
      <c r="U249">
        <v>76.441391870000004</v>
      </c>
      <c r="V249">
        <v>129.01505570699999</v>
      </c>
      <c r="W249" s="221">
        <f t="shared" si="0"/>
        <v>1.6877643453485167</v>
      </c>
      <c r="X249" s="236">
        <f t="shared" si="1"/>
        <v>166818.58624158869</v>
      </c>
      <c r="Y249" s="236">
        <f t="shared" si="2"/>
        <v>280985.63659494289</v>
      </c>
      <c r="Z249" s="236">
        <f t="shared" si="3"/>
        <v>447804.22283653158</v>
      </c>
      <c r="AA249" s="236">
        <f t="shared" si="4"/>
        <v>47224.813238687871</v>
      </c>
      <c r="AB249" s="236">
        <f t="shared" si="5"/>
        <v>64747.267176943766</v>
      </c>
      <c r="AC249" s="236">
        <f t="shared" si="6"/>
        <v>111972.08041563163</v>
      </c>
      <c r="AD249" s="236">
        <f t="shared" si="7"/>
        <v>214043.39948027657</v>
      </c>
      <c r="AE249" s="236">
        <f t="shared" si="8"/>
        <v>345732.90377188666</v>
      </c>
      <c r="AF249" s="236">
        <f t="shared" si="9"/>
        <v>559776.30325216323</v>
      </c>
      <c r="AG249" s="236">
        <f t="shared" si="10"/>
        <v>281550.462</v>
      </c>
      <c r="AH249" s="236">
        <f t="shared" si="11"/>
        <v>474237.53899999999</v>
      </c>
      <c r="AI249" s="236">
        <f t="shared" si="12"/>
        <v>755788.00100000005</v>
      </c>
      <c r="AJ249" s="236">
        <f t="shared" si="13"/>
        <v>79704.356</v>
      </c>
      <c r="AK249" s="236">
        <f t="shared" si="14"/>
        <v>109278.129</v>
      </c>
      <c r="AL249" s="236">
        <f t="shared" si="15"/>
        <v>188982.48499999999</v>
      </c>
      <c r="AM249" s="236">
        <f t="shared" si="16"/>
        <v>361254.81800000003</v>
      </c>
      <c r="AN249" s="236">
        <f t="shared" si="17"/>
        <v>583515.66799999995</v>
      </c>
      <c r="AO249" s="236">
        <f t="shared" si="18"/>
        <v>944770.48600000003</v>
      </c>
    </row>
    <row r="250" spans="2:41" hidden="1" x14ac:dyDescent="0.25">
      <c r="B250" s="12">
        <v>39934</v>
      </c>
      <c r="C250" s="13">
        <v>3842</v>
      </c>
      <c r="D250" s="13">
        <v>7208</v>
      </c>
      <c r="E250" s="13">
        <v>11050</v>
      </c>
      <c r="F250" s="13">
        <v>1125</v>
      </c>
      <c r="G250" s="13">
        <v>1372</v>
      </c>
      <c r="H250" s="13">
        <v>2497</v>
      </c>
      <c r="I250" s="13">
        <v>4967</v>
      </c>
      <c r="J250" s="13">
        <v>8580</v>
      </c>
      <c r="K250" s="14">
        <v>13547</v>
      </c>
      <c r="L250" s="13">
        <v>331166000</v>
      </c>
      <c r="M250" s="13">
        <v>435187423</v>
      </c>
      <c r="N250" s="13">
        <f t="shared" si="19"/>
        <v>766353423</v>
      </c>
      <c r="O250" s="13">
        <v>83507484</v>
      </c>
      <c r="P250" s="13">
        <v>103344394</v>
      </c>
      <c r="Q250" s="13">
        <f t="shared" si="20"/>
        <v>186851878</v>
      </c>
      <c r="R250" s="13">
        <f t="shared" si="21"/>
        <v>414673484</v>
      </c>
      <c r="S250" s="13">
        <f t="shared" si="22"/>
        <v>538531817</v>
      </c>
      <c r="T250" s="14">
        <f t="shared" si="23"/>
        <v>953205301</v>
      </c>
      <c r="U250">
        <v>76.250226720000001</v>
      </c>
      <c r="V250">
        <v>129.01505570699999</v>
      </c>
      <c r="W250" s="221">
        <f t="shared" si="0"/>
        <v>1.6919956996424257</v>
      </c>
      <c r="X250" s="236">
        <f t="shared" si="1"/>
        <v>195725.0837398619</v>
      </c>
      <c r="Y250" s="236">
        <f t="shared" si="2"/>
        <v>257203.62238034612</v>
      </c>
      <c r="Z250" s="236">
        <f t="shared" si="3"/>
        <v>452928.70612020802</v>
      </c>
      <c r="AA250" s="236">
        <f t="shared" si="4"/>
        <v>49354.430402895159</v>
      </c>
      <c r="AB250" s="236">
        <f t="shared" si="5"/>
        <v>61078.402280715054</v>
      </c>
      <c r="AC250" s="236">
        <f t="shared" si="6"/>
        <v>110432.83268361022</v>
      </c>
      <c r="AD250" s="236">
        <f t="shared" si="7"/>
        <v>245079.51414275705</v>
      </c>
      <c r="AE250" s="236">
        <f t="shared" si="8"/>
        <v>318282.02466106118</v>
      </c>
      <c r="AF250" s="236">
        <f t="shared" si="9"/>
        <v>563361.53880381817</v>
      </c>
      <c r="AG250" s="236">
        <f t="shared" si="10"/>
        <v>331166</v>
      </c>
      <c r="AH250" s="236">
        <f t="shared" si="11"/>
        <v>435187.42300000001</v>
      </c>
      <c r="AI250" s="236">
        <f t="shared" si="12"/>
        <v>766353.42299999995</v>
      </c>
      <c r="AJ250" s="236">
        <f t="shared" si="13"/>
        <v>83507.483999999997</v>
      </c>
      <c r="AK250" s="236">
        <f t="shared" si="14"/>
        <v>103344.394</v>
      </c>
      <c r="AL250" s="236">
        <f t="shared" si="15"/>
        <v>186851.878</v>
      </c>
      <c r="AM250" s="236">
        <f t="shared" si="16"/>
        <v>414673.484</v>
      </c>
      <c r="AN250" s="236">
        <f t="shared" si="17"/>
        <v>538531.81700000004</v>
      </c>
      <c r="AO250" s="236">
        <f t="shared" si="18"/>
        <v>953205.30099999998</v>
      </c>
    </row>
    <row r="251" spans="2:41" hidden="1" x14ac:dyDescent="0.25">
      <c r="B251" s="12">
        <v>39965</v>
      </c>
      <c r="C251" s="13">
        <v>4373</v>
      </c>
      <c r="D251" s="13">
        <v>7817</v>
      </c>
      <c r="E251" s="13">
        <v>12190</v>
      </c>
      <c r="F251" s="13">
        <v>1346</v>
      </c>
      <c r="G251" s="13">
        <v>1674</v>
      </c>
      <c r="H251" s="13">
        <v>3020</v>
      </c>
      <c r="I251" s="13">
        <v>5719</v>
      </c>
      <c r="J251" s="13">
        <v>9491</v>
      </c>
      <c r="K251" s="14">
        <v>15210</v>
      </c>
      <c r="L251" s="13">
        <v>305748999</v>
      </c>
      <c r="M251" s="13">
        <v>439866065</v>
      </c>
      <c r="N251" s="13">
        <f t="shared" si="19"/>
        <v>745615064</v>
      </c>
      <c r="O251" s="13">
        <v>94453398</v>
      </c>
      <c r="P251" s="13">
        <v>122954975</v>
      </c>
      <c r="Q251" s="13">
        <f t="shared" si="20"/>
        <v>217408373</v>
      </c>
      <c r="R251" s="13">
        <f t="shared" si="21"/>
        <v>400202397</v>
      </c>
      <c r="S251" s="13">
        <f t="shared" si="22"/>
        <v>562821040</v>
      </c>
      <c r="T251" s="14">
        <f t="shared" si="23"/>
        <v>963023437</v>
      </c>
      <c r="U251">
        <v>76.514479230000006</v>
      </c>
      <c r="V251">
        <v>129.01505570699999</v>
      </c>
      <c r="W251" s="221">
        <f t="shared" si="0"/>
        <v>1.6861521767557872</v>
      </c>
      <c r="X251" s="236">
        <f t="shared" si="1"/>
        <v>181329.42163516418</v>
      </c>
      <c r="Y251" s="236">
        <f t="shared" si="2"/>
        <v>260869.73113323431</v>
      </c>
      <c r="Z251" s="236">
        <f t="shared" si="3"/>
        <v>442199.15276839846</v>
      </c>
      <c r="AA251" s="236">
        <f t="shared" si="4"/>
        <v>56017.125442219265</v>
      </c>
      <c r="AB251" s="236">
        <f t="shared" si="5"/>
        <v>72920.449704942672</v>
      </c>
      <c r="AC251" s="236">
        <f t="shared" si="6"/>
        <v>128937.57514716194</v>
      </c>
      <c r="AD251" s="236">
        <f t="shared" si="7"/>
        <v>237346.54707738344</v>
      </c>
      <c r="AE251" s="236">
        <f t="shared" si="8"/>
        <v>333790.18083817704</v>
      </c>
      <c r="AF251" s="236">
        <f t="shared" si="9"/>
        <v>571136.72791556048</v>
      </c>
      <c r="AG251" s="236">
        <f t="shared" si="10"/>
        <v>305748.99900000001</v>
      </c>
      <c r="AH251" s="236">
        <f t="shared" si="11"/>
        <v>439866.065</v>
      </c>
      <c r="AI251" s="236">
        <f t="shared" si="12"/>
        <v>745615.06400000001</v>
      </c>
      <c r="AJ251" s="236">
        <f t="shared" si="13"/>
        <v>94453.398000000001</v>
      </c>
      <c r="AK251" s="236">
        <f t="shared" si="14"/>
        <v>122954.97500000001</v>
      </c>
      <c r="AL251" s="236">
        <f t="shared" si="15"/>
        <v>217408.37299999999</v>
      </c>
      <c r="AM251" s="236">
        <f t="shared" si="16"/>
        <v>400202.397</v>
      </c>
      <c r="AN251" s="236">
        <f t="shared" si="17"/>
        <v>562821.04</v>
      </c>
      <c r="AO251" s="236">
        <f t="shared" si="18"/>
        <v>963023.43700000003</v>
      </c>
    </row>
    <row r="252" spans="2:41" hidden="1" x14ac:dyDescent="0.25">
      <c r="B252" s="12">
        <v>39995</v>
      </c>
      <c r="C252" s="13">
        <v>4882</v>
      </c>
      <c r="D252" s="13">
        <v>8395</v>
      </c>
      <c r="E252" s="13">
        <v>13277</v>
      </c>
      <c r="F252" s="13">
        <v>1670</v>
      </c>
      <c r="G252" s="13">
        <v>2118</v>
      </c>
      <c r="H252" s="13">
        <v>3788</v>
      </c>
      <c r="I252" s="13">
        <v>6552</v>
      </c>
      <c r="J252" s="13">
        <v>10513</v>
      </c>
      <c r="K252" s="14">
        <v>17065</v>
      </c>
      <c r="L252" s="13">
        <v>424219133</v>
      </c>
      <c r="M252" s="13">
        <v>635123794</v>
      </c>
      <c r="N252" s="13">
        <f t="shared" si="19"/>
        <v>1059342927</v>
      </c>
      <c r="O252" s="13">
        <v>172993990</v>
      </c>
      <c r="P252" s="13">
        <v>222382190</v>
      </c>
      <c r="Q252" s="13">
        <f t="shared" si="20"/>
        <v>395376180</v>
      </c>
      <c r="R252" s="13">
        <f t="shared" si="21"/>
        <v>597213123</v>
      </c>
      <c r="S252" s="13">
        <f t="shared" si="22"/>
        <v>857505984</v>
      </c>
      <c r="T252" s="14">
        <f t="shared" si="23"/>
        <v>1454719107</v>
      </c>
      <c r="U252">
        <v>76.177530309999995</v>
      </c>
      <c r="V252">
        <v>129.01505570699999</v>
      </c>
      <c r="W252" s="221">
        <f t="shared" si="0"/>
        <v>1.6936103754214764</v>
      </c>
      <c r="X252" s="236">
        <f t="shared" si="1"/>
        <v>250482.12927629691</v>
      </c>
      <c r="Y252" s="236">
        <f t="shared" si="2"/>
        <v>375011.75194556854</v>
      </c>
      <c r="Z252" s="236">
        <f t="shared" si="3"/>
        <v>625493.88122186554</v>
      </c>
      <c r="AA252" s="236">
        <f t="shared" si="4"/>
        <v>102145.0934114337</v>
      </c>
      <c r="AB252" s="236">
        <f t="shared" si="5"/>
        <v>131306.58221473009</v>
      </c>
      <c r="AC252" s="236">
        <f t="shared" si="6"/>
        <v>233451.67562616381</v>
      </c>
      <c r="AD252" s="236">
        <f t="shared" si="7"/>
        <v>352627.22268773062</v>
      </c>
      <c r="AE252" s="236">
        <f t="shared" si="8"/>
        <v>506318.33416029869</v>
      </c>
      <c r="AF252" s="236">
        <f t="shared" si="9"/>
        <v>858945.55684802926</v>
      </c>
      <c r="AG252" s="236">
        <f t="shared" si="10"/>
        <v>424219.13299999997</v>
      </c>
      <c r="AH252" s="236">
        <f t="shared" si="11"/>
        <v>635123.79399999999</v>
      </c>
      <c r="AI252" s="236">
        <f t="shared" si="12"/>
        <v>1059342.9269999999</v>
      </c>
      <c r="AJ252" s="236">
        <f t="shared" si="13"/>
        <v>172993.99</v>
      </c>
      <c r="AK252" s="236">
        <f t="shared" si="14"/>
        <v>222382.19</v>
      </c>
      <c r="AL252" s="236">
        <f t="shared" si="15"/>
        <v>395376.18</v>
      </c>
      <c r="AM252" s="236">
        <f t="shared" si="16"/>
        <v>597213.12300000002</v>
      </c>
      <c r="AN252" s="236">
        <f t="shared" si="17"/>
        <v>857505.98400000005</v>
      </c>
      <c r="AO252" s="236">
        <f t="shared" si="18"/>
        <v>1454719.1070000001</v>
      </c>
    </row>
    <row r="253" spans="2:41" hidden="1" x14ac:dyDescent="0.25">
      <c r="B253" s="12">
        <v>40026</v>
      </c>
      <c r="C253" s="13">
        <v>5603</v>
      </c>
      <c r="D253" s="13">
        <v>9052</v>
      </c>
      <c r="E253" s="13">
        <v>14655</v>
      </c>
      <c r="F253" s="13">
        <v>1969</v>
      </c>
      <c r="G253" s="13">
        <v>2469</v>
      </c>
      <c r="H253" s="13">
        <v>4438</v>
      </c>
      <c r="I253" s="13">
        <v>7572</v>
      </c>
      <c r="J253" s="13">
        <v>11521</v>
      </c>
      <c r="K253" s="14">
        <v>19093</v>
      </c>
      <c r="L253" s="13">
        <v>579269980</v>
      </c>
      <c r="M253" s="13">
        <v>737039569</v>
      </c>
      <c r="N253" s="13">
        <f t="shared" si="19"/>
        <v>1316309549</v>
      </c>
      <c r="O253" s="13">
        <v>179837233</v>
      </c>
      <c r="P253" s="13">
        <v>230495621</v>
      </c>
      <c r="Q253" s="13">
        <f t="shared" si="20"/>
        <v>410332854</v>
      </c>
      <c r="R253" s="13">
        <f t="shared" si="21"/>
        <v>759107213</v>
      </c>
      <c r="S253" s="13">
        <f t="shared" si="22"/>
        <v>967535190</v>
      </c>
      <c r="T253" s="14">
        <f t="shared" si="23"/>
        <v>1726642403</v>
      </c>
      <c r="U253">
        <v>75.903217299999994</v>
      </c>
      <c r="V253">
        <v>129.01505570699999</v>
      </c>
      <c r="W253" s="221">
        <f t="shared" si="0"/>
        <v>1.6997310561564298</v>
      </c>
      <c r="X253" s="236">
        <f t="shared" si="1"/>
        <v>340800.96254162258</v>
      </c>
      <c r="Y253" s="236">
        <f t="shared" si="2"/>
        <v>433621.28751512832</v>
      </c>
      <c r="Z253" s="236">
        <f t="shared" si="3"/>
        <v>774422.25005675084</v>
      </c>
      <c r="AA253" s="236">
        <f t="shared" si="4"/>
        <v>105803.34597560544</v>
      </c>
      <c r="AB253" s="236">
        <f t="shared" si="5"/>
        <v>135607.11276360124</v>
      </c>
      <c r="AC253" s="236">
        <f t="shared" si="6"/>
        <v>241410.45873920666</v>
      </c>
      <c r="AD253" s="236">
        <f t="shared" si="7"/>
        <v>446604.308517228</v>
      </c>
      <c r="AE253" s="236">
        <f t="shared" si="8"/>
        <v>569228.4002787295</v>
      </c>
      <c r="AF253" s="236">
        <f t="shared" si="9"/>
        <v>1015832.7087959576</v>
      </c>
      <c r="AG253" s="236">
        <f t="shared" si="10"/>
        <v>579269.98</v>
      </c>
      <c r="AH253" s="236">
        <f t="shared" si="11"/>
        <v>737039.56900000002</v>
      </c>
      <c r="AI253" s="236">
        <f t="shared" si="12"/>
        <v>1316309.5490000001</v>
      </c>
      <c r="AJ253" s="236">
        <f t="shared" si="13"/>
        <v>179837.23300000001</v>
      </c>
      <c r="AK253" s="236">
        <f t="shared" si="14"/>
        <v>230495.62100000001</v>
      </c>
      <c r="AL253" s="236">
        <f t="shared" si="15"/>
        <v>410332.85399999999</v>
      </c>
      <c r="AM253" s="236">
        <f t="shared" si="16"/>
        <v>759107.21299999999</v>
      </c>
      <c r="AN253" s="236">
        <f t="shared" si="17"/>
        <v>967535.19</v>
      </c>
      <c r="AO253" s="236">
        <f t="shared" si="18"/>
        <v>1726642.4029999999</v>
      </c>
    </row>
    <row r="254" spans="2:41" hidden="1" x14ac:dyDescent="0.25">
      <c r="B254" s="12">
        <v>40057</v>
      </c>
      <c r="C254" s="13">
        <v>15010</v>
      </c>
      <c r="D254" s="13">
        <v>12193</v>
      </c>
      <c r="E254" s="13">
        <v>27203</v>
      </c>
      <c r="F254" s="13">
        <v>2203</v>
      </c>
      <c r="G254" s="13">
        <v>2777</v>
      </c>
      <c r="H254" s="13">
        <v>4980</v>
      </c>
      <c r="I254" s="13">
        <v>17213</v>
      </c>
      <c r="J254" s="13">
        <v>14970</v>
      </c>
      <c r="K254" s="14">
        <v>32183</v>
      </c>
      <c r="L254" s="13">
        <v>989777643</v>
      </c>
      <c r="M254" s="13">
        <v>957691029</v>
      </c>
      <c r="N254" s="13">
        <f t="shared" si="19"/>
        <v>1947468672</v>
      </c>
      <c r="O254" s="13">
        <v>186413223</v>
      </c>
      <c r="P254" s="13">
        <v>240836118</v>
      </c>
      <c r="Q254" s="13">
        <f t="shared" si="20"/>
        <v>427249341</v>
      </c>
      <c r="R254" s="13">
        <f t="shared" si="21"/>
        <v>1176190866</v>
      </c>
      <c r="S254" s="13">
        <f t="shared" si="22"/>
        <v>1198527147</v>
      </c>
      <c r="T254" s="14">
        <f t="shared" si="23"/>
        <v>2374718013</v>
      </c>
      <c r="U254">
        <v>76.648749370000004</v>
      </c>
      <c r="V254">
        <v>129.01505570699999</v>
      </c>
      <c r="W254" s="221">
        <f t="shared" si="0"/>
        <v>1.6831984444288393</v>
      </c>
      <c r="X254" s="236">
        <f t="shared" si="1"/>
        <v>588033.8389546586</v>
      </c>
      <c r="Y254" s="236">
        <f t="shared" si="2"/>
        <v>568970.95655585278</v>
      </c>
      <c r="Z254" s="236">
        <f t="shared" si="3"/>
        <v>1157004.7955105114</v>
      </c>
      <c r="AA254" s="236">
        <f t="shared" si="4"/>
        <v>110749.40308850851</v>
      </c>
      <c r="AB254" s="236">
        <f t="shared" si="5"/>
        <v>143082.42667234823</v>
      </c>
      <c r="AC254" s="236">
        <f t="shared" si="6"/>
        <v>253831.82976085675</v>
      </c>
      <c r="AD254" s="236">
        <f t="shared" si="7"/>
        <v>698783.24204316712</v>
      </c>
      <c r="AE254" s="236">
        <f t="shared" si="8"/>
        <v>712053.38322820095</v>
      </c>
      <c r="AF254" s="236">
        <f t="shared" si="9"/>
        <v>1410836.6252713681</v>
      </c>
      <c r="AG254" s="236">
        <f t="shared" si="10"/>
        <v>989777.64300000004</v>
      </c>
      <c r="AH254" s="236">
        <f t="shared" si="11"/>
        <v>957691.02899999998</v>
      </c>
      <c r="AI254" s="236">
        <f t="shared" si="12"/>
        <v>1947468.672</v>
      </c>
      <c r="AJ254" s="236">
        <f t="shared" si="13"/>
        <v>186413.223</v>
      </c>
      <c r="AK254" s="236">
        <f t="shared" si="14"/>
        <v>240836.11799999999</v>
      </c>
      <c r="AL254" s="236">
        <f t="shared" si="15"/>
        <v>427249.34100000001</v>
      </c>
      <c r="AM254" s="236">
        <f t="shared" si="16"/>
        <v>1176190.8659999999</v>
      </c>
      <c r="AN254" s="236">
        <f t="shared" si="17"/>
        <v>1198527.1470000001</v>
      </c>
      <c r="AO254" s="236">
        <f t="shared" si="18"/>
        <v>2374718.0129999998</v>
      </c>
    </row>
    <row r="255" spans="2:41" hidden="1" x14ac:dyDescent="0.25">
      <c r="B255" s="12">
        <v>40087</v>
      </c>
      <c r="C255" s="13">
        <v>70157</v>
      </c>
      <c r="D255" s="13">
        <v>98877</v>
      </c>
      <c r="E255" s="13">
        <v>169034</v>
      </c>
      <c r="F255" s="13">
        <v>3042</v>
      </c>
      <c r="G255" s="13">
        <v>3876</v>
      </c>
      <c r="H255" s="13">
        <v>6918</v>
      </c>
      <c r="I255" s="13">
        <v>73199</v>
      </c>
      <c r="J255" s="13">
        <v>102753</v>
      </c>
      <c r="K255" s="14">
        <v>175952</v>
      </c>
      <c r="L255" s="13">
        <v>2976202751</v>
      </c>
      <c r="M255" s="13">
        <v>4711096314</v>
      </c>
      <c r="N255" s="13">
        <f t="shared" si="19"/>
        <v>7687299065</v>
      </c>
      <c r="O255" s="13">
        <v>324540829</v>
      </c>
      <c r="P255" s="13">
        <v>432331835</v>
      </c>
      <c r="Q255" s="13">
        <f t="shared" si="20"/>
        <v>756872664</v>
      </c>
      <c r="R255" s="13">
        <f t="shared" si="21"/>
        <v>3300743580</v>
      </c>
      <c r="S255" s="13">
        <f t="shared" si="22"/>
        <v>5143428149</v>
      </c>
      <c r="T255" s="14">
        <f t="shared" si="23"/>
        <v>8444171729</v>
      </c>
      <c r="U255">
        <v>76.646904160000005</v>
      </c>
      <c r="V255">
        <v>129.01505570699999</v>
      </c>
      <c r="W255" s="221">
        <f t="shared" si="0"/>
        <v>1.6832389660211422</v>
      </c>
      <c r="X255" s="236">
        <f t="shared" si="1"/>
        <v>1768140.3597940577</v>
      </c>
      <c r="Y255" s="236">
        <f t="shared" si="2"/>
        <v>2798827.979330908</v>
      </c>
      <c r="Z255" s="236">
        <f t="shared" si="3"/>
        <v>4566968.3391249655</v>
      </c>
      <c r="AA255" s="236">
        <f t="shared" si="4"/>
        <v>192807.34081813291</v>
      </c>
      <c r="AB255" s="236">
        <f t="shared" si="5"/>
        <v>256845.19175667048</v>
      </c>
      <c r="AC255" s="236">
        <f t="shared" si="6"/>
        <v>449652.53257480334</v>
      </c>
      <c r="AD255" s="236">
        <f t="shared" si="7"/>
        <v>1960947.7006121904</v>
      </c>
      <c r="AE255" s="236">
        <f t="shared" si="8"/>
        <v>3055673.1710875784</v>
      </c>
      <c r="AF255" s="236">
        <f t="shared" si="9"/>
        <v>5016620.871699769</v>
      </c>
      <c r="AG255" s="236">
        <f t="shared" si="10"/>
        <v>2976202.7510000002</v>
      </c>
      <c r="AH255" s="236">
        <f t="shared" si="11"/>
        <v>4711096.3140000002</v>
      </c>
      <c r="AI255" s="236">
        <f t="shared" si="12"/>
        <v>7687299.0650000004</v>
      </c>
      <c r="AJ255" s="236">
        <f t="shared" si="13"/>
        <v>324540.82900000003</v>
      </c>
      <c r="AK255" s="236">
        <f t="shared" si="14"/>
        <v>432331.83500000002</v>
      </c>
      <c r="AL255" s="236">
        <f t="shared" si="15"/>
        <v>756872.66399999999</v>
      </c>
      <c r="AM255" s="236">
        <f t="shared" si="16"/>
        <v>3300743.58</v>
      </c>
      <c r="AN255" s="236">
        <f t="shared" si="17"/>
        <v>5143428.1490000002</v>
      </c>
      <c r="AO255" s="236">
        <f t="shared" si="18"/>
        <v>8444171.7290000003</v>
      </c>
    </row>
    <row r="256" spans="2:41" hidden="1" x14ac:dyDescent="0.25">
      <c r="B256" s="12">
        <v>40118</v>
      </c>
      <c r="C256" s="13">
        <v>85364</v>
      </c>
      <c r="D256" s="13">
        <v>118191</v>
      </c>
      <c r="E256" s="13">
        <v>203555</v>
      </c>
      <c r="F256" s="13">
        <v>3394</v>
      </c>
      <c r="G256" s="13">
        <v>4342</v>
      </c>
      <c r="H256" s="13">
        <v>7736</v>
      </c>
      <c r="I256" s="13">
        <v>88758</v>
      </c>
      <c r="J256" s="13">
        <v>122533</v>
      </c>
      <c r="K256" s="14">
        <v>211291</v>
      </c>
      <c r="L256" s="13">
        <v>2120002026</v>
      </c>
      <c r="M256" s="13">
        <v>2839653290</v>
      </c>
      <c r="N256" s="13">
        <f t="shared" si="19"/>
        <v>4959655316</v>
      </c>
      <c r="O256" s="13">
        <v>289394586</v>
      </c>
      <c r="P256" s="13">
        <v>379201822</v>
      </c>
      <c r="Q256" s="13">
        <f t="shared" si="20"/>
        <v>668596408</v>
      </c>
      <c r="R256" s="13">
        <f t="shared" si="21"/>
        <v>2409396612</v>
      </c>
      <c r="S256" s="13">
        <f t="shared" si="22"/>
        <v>3218855112</v>
      </c>
      <c r="T256" s="14">
        <f t="shared" si="23"/>
        <v>5628251724</v>
      </c>
      <c r="U256">
        <v>76.297590920000005</v>
      </c>
      <c r="V256">
        <v>129.01505570699999</v>
      </c>
      <c r="W256" s="221">
        <f t="shared" si="0"/>
        <v>1.6909453385268167</v>
      </c>
      <c r="X256" s="236">
        <f t="shared" si="1"/>
        <v>1253737.762952755</v>
      </c>
      <c r="Y256" s="236">
        <f t="shared" si="2"/>
        <v>1679328.849549897</v>
      </c>
      <c r="Z256" s="236">
        <f t="shared" si="3"/>
        <v>2933066.6125026518</v>
      </c>
      <c r="AA256" s="236">
        <f t="shared" si="4"/>
        <v>171143.66704019302</v>
      </c>
      <c r="AB256" s="236">
        <f t="shared" si="5"/>
        <v>224254.33475594647</v>
      </c>
      <c r="AC256" s="236">
        <f t="shared" si="6"/>
        <v>395398.00179613946</v>
      </c>
      <c r="AD256" s="236">
        <f t="shared" si="7"/>
        <v>1424881.4299929477</v>
      </c>
      <c r="AE256" s="236">
        <f t="shared" si="8"/>
        <v>1903583.1843058434</v>
      </c>
      <c r="AF256" s="236">
        <f t="shared" si="9"/>
        <v>3328464.6142987916</v>
      </c>
      <c r="AG256" s="236">
        <f t="shared" si="10"/>
        <v>2120002.0260000001</v>
      </c>
      <c r="AH256" s="236">
        <f t="shared" si="11"/>
        <v>2839653.29</v>
      </c>
      <c r="AI256" s="236">
        <f t="shared" si="12"/>
        <v>4959655.3159999996</v>
      </c>
      <c r="AJ256" s="236">
        <f t="shared" si="13"/>
        <v>289394.58600000001</v>
      </c>
      <c r="AK256" s="236">
        <f t="shared" si="14"/>
        <v>379201.82199999999</v>
      </c>
      <c r="AL256" s="236">
        <f t="shared" si="15"/>
        <v>668596.40800000005</v>
      </c>
      <c r="AM256" s="236">
        <f t="shared" si="16"/>
        <v>2409396.6120000002</v>
      </c>
      <c r="AN256" s="236">
        <f t="shared" si="17"/>
        <v>3218855.1120000002</v>
      </c>
      <c r="AO256" s="236">
        <f t="shared" si="18"/>
        <v>5628251.7240000004</v>
      </c>
    </row>
    <row r="257" spans="2:41" hidden="1" x14ac:dyDescent="0.25">
      <c r="B257" s="15">
        <v>40148</v>
      </c>
      <c r="C257" s="16">
        <v>100434</v>
      </c>
      <c r="D257" s="16">
        <v>137544</v>
      </c>
      <c r="E257" s="16">
        <v>237978</v>
      </c>
      <c r="F257" s="16">
        <v>3798</v>
      </c>
      <c r="G257" s="16">
        <v>4968</v>
      </c>
      <c r="H257" s="16">
        <v>8766</v>
      </c>
      <c r="I257" s="17">
        <v>104232</v>
      </c>
      <c r="J257" s="17">
        <v>142512</v>
      </c>
      <c r="K257" s="17">
        <v>246744</v>
      </c>
      <c r="L257" s="16">
        <v>2651948824</v>
      </c>
      <c r="M257" s="16">
        <v>3411337309</v>
      </c>
      <c r="N257" s="16">
        <f t="shared" si="19"/>
        <v>6063286133</v>
      </c>
      <c r="O257" s="16">
        <v>345570858</v>
      </c>
      <c r="P257" s="16">
        <v>462489303</v>
      </c>
      <c r="Q257" s="16">
        <f t="shared" si="20"/>
        <v>808060161</v>
      </c>
      <c r="R257" s="16">
        <f t="shared" si="21"/>
        <v>2997519682</v>
      </c>
      <c r="S257" s="16">
        <f t="shared" si="22"/>
        <v>3873826612</v>
      </c>
      <c r="T257" s="16">
        <f t="shared" si="23"/>
        <v>6871346294</v>
      </c>
      <c r="U257">
        <v>76.064574460000003</v>
      </c>
      <c r="V257">
        <v>129.01505570699999</v>
      </c>
      <c r="W257" s="221">
        <f t="shared" si="0"/>
        <v>1.6961253858699361</v>
      </c>
      <c r="X257" s="236">
        <f t="shared" si="1"/>
        <v>1563533.4781808162</v>
      </c>
      <c r="Y257" s="236">
        <f t="shared" si="2"/>
        <v>2011253.0225767114</v>
      </c>
      <c r="Z257" s="236">
        <f t="shared" si="3"/>
        <v>3574786.5007575275</v>
      </c>
      <c r="AA257" s="236">
        <f t="shared" si="4"/>
        <v>203741.33945454631</v>
      </c>
      <c r="AB257" s="236">
        <f t="shared" si="5"/>
        <v>272674.00562063459</v>
      </c>
      <c r="AC257" s="236">
        <f t="shared" si="6"/>
        <v>476415.34507518093</v>
      </c>
      <c r="AD257" s="236">
        <f t="shared" si="7"/>
        <v>1767274.8176353625</v>
      </c>
      <c r="AE257" s="236">
        <f t="shared" si="8"/>
        <v>2283927.0281973463</v>
      </c>
      <c r="AF257" s="236">
        <f t="shared" si="9"/>
        <v>4051201.8458327083</v>
      </c>
      <c r="AG257" s="236">
        <f t="shared" si="10"/>
        <v>2651948.824</v>
      </c>
      <c r="AH257" s="236">
        <f t="shared" si="11"/>
        <v>3411337.3089999999</v>
      </c>
      <c r="AI257" s="236">
        <f t="shared" si="12"/>
        <v>6063286.1330000004</v>
      </c>
      <c r="AJ257" s="236">
        <f t="shared" si="13"/>
        <v>345570.85800000001</v>
      </c>
      <c r="AK257" s="236">
        <f t="shared" si="14"/>
        <v>462489.30300000001</v>
      </c>
      <c r="AL257" s="236">
        <f t="shared" si="15"/>
        <v>808060.16099999996</v>
      </c>
      <c r="AM257" s="236">
        <f t="shared" si="16"/>
        <v>2997519.682</v>
      </c>
      <c r="AN257" s="236">
        <f t="shared" si="17"/>
        <v>3873826.6120000002</v>
      </c>
      <c r="AO257" s="236">
        <f t="shared" si="18"/>
        <v>6871346.2939999998</v>
      </c>
    </row>
    <row r="258" spans="2:41" hidden="1" x14ac:dyDescent="0.25">
      <c r="B258" s="12">
        <v>40179</v>
      </c>
      <c r="C258" s="13">
        <v>103465</v>
      </c>
      <c r="D258" s="13">
        <v>147468</v>
      </c>
      <c r="E258" s="13">
        <v>250933</v>
      </c>
      <c r="F258" s="13">
        <v>4172</v>
      </c>
      <c r="G258" s="13">
        <v>5495</v>
      </c>
      <c r="H258" s="13">
        <v>9667</v>
      </c>
      <c r="I258" s="13">
        <v>107637</v>
      </c>
      <c r="J258" s="13">
        <v>152963</v>
      </c>
      <c r="K258" s="14">
        <v>260600</v>
      </c>
      <c r="L258" s="13">
        <v>2379907921</v>
      </c>
      <c r="M258" s="13">
        <v>3231997495</v>
      </c>
      <c r="N258" s="13">
        <f t="shared" si="19"/>
        <v>5611905416</v>
      </c>
      <c r="O258" s="13">
        <v>351938424</v>
      </c>
      <c r="P258" s="13">
        <v>471503431</v>
      </c>
      <c r="Q258" s="13">
        <f t="shared" si="20"/>
        <v>823441855</v>
      </c>
      <c r="R258" s="13">
        <f t="shared" si="21"/>
        <v>2731846345</v>
      </c>
      <c r="S258" s="13">
        <f t="shared" si="22"/>
        <v>3703500926</v>
      </c>
      <c r="T258" s="14">
        <f t="shared" si="23"/>
        <v>6435347271</v>
      </c>
      <c r="U258">
        <v>76.458779579999998</v>
      </c>
      <c r="V258">
        <v>129.01505570699999</v>
      </c>
      <c r="W258" s="221">
        <f t="shared" si="0"/>
        <v>1.6873805260259163</v>
      </c>
      <c r="X258" s="236">
        <f t="shared" si="1"/>
        <v>1410415.6616084161</v>
      </c>
      <c r="Y258" s="236">
        <f t="shared" si="2"/>
        <v>1915393.3835019027</v>
      </c>
      <c r="Z258" s="236">
        <f t="shared" si="3"/>
        <v>3325809.0451103188</v>
      </c>
      <c r="AA258" s="236">
        <f t="shared" si="4"/>
        <v>208570.86980189235</v>
      </c>
      <c r="AB258" s="236">
        <f t="shared" si="5"/>
        <v>279429.22401177353</v>
      </c>
      <c r="AC258" s="236">
        <f t="shared" si="6"/>
        <v>488000.09381366585</v>
      </c>
      <c r="AD258" s="236">
        <f t="shared" si="7"/>
        <v>1618986.5314103086</v>
      </c>
      <c r="AE258" s="236">
        <f t="shared" si="8"/>
        <v>2194822.6075136764</v>
      </c>
      <c r="AF258" s="236">
        <f t="shared" si="9"/>
        <v>3813809.1389239845</v>
      </c>
      <c r="AG258" s="236">
        <f t="shared" si="10"/>
        <v>2379907.9210000001</v>
      </c>
      <c r="AH258" s="236">
        <f t="shared" si="11"/>
        <v>3231997.4950000001</v>
      </c>
      <c r="AI258" s="236">
        <f t="shared" si="12"/>
        <v>5611905.4160000002</v>
      </c>
      <c r="AJ258" s="236">
        <f t="shared" si="13"/>
        <v>351938.424</v>
      </c>
      <c r="AK258" s="236">
        <f t="shared" si="14"/>
        <v>471503.43099999998</v>
      </c>
      <c r="AL258" s="236">
        <f t="shared" si="15"/>
        <v>823441.85499999998</v>
      </c>
      <c r="AM258" s="236">
        <f t="shared" si="16"/>
        <v>2731846.3450000002</v>
      </c>
      <c r="AN258" s="236">
        <f t="shared" si="17"/>
        <v>3703500.926</v>
      </c>
      <c r="AO258" s="236">
        <f t="shared" si="18"/>
        <v>6435347.2709999997</v>
      </c>
    </row>
    <row r="259" spans="2:41" hidden="1" x14ac:dyDescent="0.25">
      <c r="B259" s="12">
        <v>40210</v>
      </c>
      <c r="C259" s="13">
        <v>108163</v>
      </c>
      <c r="D259" s="13">
        <v>157189</v>
      </c>
      <c r="E259" s="13">
        <v>265352</v>
      </c>
      <c r="F259" s="13">
        <v>4576</v>
      </c>
      <c r="G259" s="13">
        <v>5997</v>
      </c>
      <c r="H259" s="13">
        <v>10573</v>
      </c>
      <c r="I259" s="13">
        <v>112739</v>
      </c>
      <c r="J259" s="13">
        <v>163186</v>
      </c>
      <c r="K259" s="14">
        <v>275925</v>
      </c>
      <c r="L259" s="13">
        <v>2506907601</v>
      </c>
      <c r="M259" s="13">
        <v>3484520068</v>
      </c>
      <c r="N259" s="13">
        <f t="shared" si="19"/>
        <v>5991427669</v>
      </c>
      <c r="O259" s="13">
        <v>365194655</v>
      </c>
      <c r="P259" s="13">
        <v>477915724</v>
      </c>
      <c r="Q259" s="13">
        <f t="shared" si="20"/>
        <v>843110379</v>
      </c>
      <c r="R259" s="13">
        <f t="shared" si="21"/>
        <v>2872102256</v>
      </c>
      <c r="S259" s="13">
        <f t="shared" si="22"/>
        <v>3962435792</v>
      </c>
      <c r="T259" s="14">
        <f t="shared" si="23"/>
        <v>6834538048</v>
      </c>
      <c r="U259">
        <v>76.673626780000006</v>
      </c>
      <c r="V259">
        <v>129.01505570699999</v>
      </c>
      <c r="W259" s="221">
        <f t="shared" si="0"/>
        <v>1.6826523163849219</v>
      </c>
      <c r="X259" s="236">
        <f t="shared" si="1"/>
        <v>1489854.7825886819</v>
      </c>
      <c r="Y259" s="236">
        <f t="shared" si="2"/>
        <v>2070849.7139125471</v>
      </c>
      <c r="Z259" s="236">
        <f t="shared" si="3"/>
        <v>3560704.4965012292</v>
      </c>
      <c r="AA259" s="236">
        <f t="shared" si="4"/>
        <v>217035.12451377889</v>
      </c>
      <c r="AB259" s="236">
        <f t="shared" si="5"/>
        <v>284025.23762411799</v>
      </c>
      <c r="AC259" s="236">
        <f t="shared" si="6"/>
        <v>501060.36213789688</v>
      </c>
      <c r="AD259" s="236">
        <f t="shared" si="7"/>
        <v>1706889.907102461</v>
      </c>
      <c r="AE259" s="236">
        <f t="shared" si="8"/>
        <v>2354874.9515366647</v>
      </c>
      <c r="AF259" s="236">
        <f t="shared" si="9"/>
        <v>4061764.8586391257</v>
      </c>
      <c r="AG259" s="236">
        <f t="shared" si="10"/>
        <v>2506907.6009999998</v>
      </c>
      <c r="AH259" s="236">
        <f t="shared" si="11"/>
        <v>3484520.068</v>
      </c>
      <c r="AI259" s="236">
        <f t="shared" si="12"/>
        <v>5991427.6689999998</v>
      </c>
      <c r="AJ259" s="236">
        <f t="shared" si="13"/>
        <v>365194.65500000003</v>
      </c>
      <c r="AK259" s="236">
        <f t="shared" si="14"/>
        <v>477915.72399999999</v>
      </c>
      <c r="AL259" s="236">
        <f t="shared" si="15"/>
        <v>843110.37899999996</v>
      </c>
      <c r="AM259" s="236">
        <f t="shared" si="16"/>
        <v>2872102.2560000001</v>
      </c>
      <c r="AN259" s="236">
        <f t="shared" si="17"/>
        <v>3962435.7919999999</v>
      </c>
      <c r="AO259" s="236">
        <f t="shared" si="18"/>
        <v>6834538.0480000004</v>
      </c>
    </row>
    <row r="260" spans="2:41" hidden="1" x14ac:dyDescent="0.25">
      <c r="B260" s="12">
        <v>40238</v>
      </c>
      <c r="C260" s="13">
        <v>115920</v>
      </c>
      <c r="D260" s="13">
        <v>167854</v>
      </c>
      <c r="E260" s="13">
        <v>283774</v>
      </c>
      <c r="F260" s="13">
        <v>4862</v>
      </c>
      <c r="G260" s="13">
        <v>6477</v>
      </c>
      <c r="H260" s="13">
        <v>11339</v>
      </c>
      <c r="I260" s="13">
        <v>120782</v>
      </c>
      <c r="J260" s="13">
        <v>174331</v>
      </c>
      <c r="K260" s="14">
        <v>295113</v>
      </c>
      <c r="L260" s="13">
        <v>3086123204</v>
      </c>
      <c r="M260" s="13">
        <v>3992205803</v>
      </c>
      <c r="N260" s="13">
        <f t="shared" si="19"/>
        <v>7078329007</v>
      </c>
      <c r="O260" s="13">
        <v>403716065</v>
      </c>
      <c r="P260" s="13">
        <v>550247245</v>
      </c>
      <c r="Q260" s="13">
        <f t="shared" si="20"/>
        <v>953963310</v>
      </c>
      <c r="R260" s="13">
        <f t="shared" si="21"/>
        <v>3489839269</v>
      </c>
      <c r="S260" s="13">
        <f t="shared" si="22"/>
        <v>4542453048</v>
      </c>
      <c r="T260" s="14">
        <f t="shared" si="23"/>
        <v>8032292317</v>
      </c>
      <c r="U260">
        <v>76.738096589999998</v>
      </c>
      <c r="V260">
        <v>129.01505570699999</v>
      </c>
      <c r="W260" s="221">
        <f t="shared" si="0"/>
        <v>1.6812386733581346</v>
      </c>
      <c r="X260" s="236">
        <f t="shared" si="1"/>
        <v>1835624.6813164994</v>
      </c>
      <c r="Y260" s="236">
        <f t="shared" si="2"/>
        <v>2374562.2000390347</v>
      </c>
      <c r="Z260" s="236">
        <f t="shared" si="3"/>
        <v>4210186.8813555343</v>
      </c>
      <c r="AA260" s="236">
        <f t="shared" si="4"/>
        <v>240130.13226349992</v>
      </c>
      <c r="AB260" s="236">
        <f t="shared" si="5"/>
        <v>327286.81163449975</v>
      </c>
      <c r="AC260" s="236">
        <f t="shared" si="6"/>
        <v>567416.94389799959</v>
      </c>
      <c r="AD260" s="236">
        <f t="shared" si="7"/>
        <v>2075754.8135799991</v>
      </c>
      <c r="AE260" s="236">
        <f t="shared" si="8"/>
        <v>2701849.0116735343</v>
      </c>
      <c r="AF260" s="236">
        <f t="shared" si="9"/>
        <v>4777603.8252535332</v>
      </c>
      <c r="AG260" s="236">
        <f t="shared" si="10"/>
        <v>3086123.2039999999</v>
      </c>
      <c r="AH260" s="236">
        <f t="shared" si="11"/>
        <v>3992205.8029999998</v>
      </c>
      <c r="AI260" s="236">
        <f t="shared" si="12"/>
        <v>7078329.0070000002</v>
      </c>
      <c r="AJ260" s="236">
        <f t="shared" si="13"/>
        <v>403716.065</v>
      </c>
      <c r="AK260" s="236">
        <f t="shared" si="14"/>
        <v>550247.245</v>
      </c>
      <c r="AL260" s="236">
        <f t="shared" si="15"/>
        <v>953963.31</v>
      </c>
      <c r="AM260" s="236">
        <f t="shared" si="16"/>
        <v>3489839.2689999999</v>
      </c>
      <c r="AN260" s="236">
        <f t="shared" si="17"/>
        <v>4542453.0480000004</v>
      </c>
      <c r="AO260" s="236">
        <f t="shared" si="18"/>
        <v>8032292.3169999998</v>
      </c>
    </row>
    <row r="261" spans="2:41" hidden="1" x14ac:dyDescent="0.25">
      <c r="B261" s="12">
        <v>40269</v>
      </c>
      <c r="C261" s="13">
        <v>118241</v>
      </c>
      <c r="D261" s="13">
        <v>172340</v>
      </c>
      <c r="E261" s="13">
        <v>290581</v>
      </c>
      <c r="F261" s="13">
        <v>5130</v>
      </c>
      <c r="G261" s="13">
        <v>6887</v>
      </c>
      <c r="H261" s="13">
        <v>12017</v>
      </c>
      <c r="I261" s="13">
        <v>123371</v>
      </c>
      <c r="J261" s="13">
        <v>179227</v>
      </c>
      <c r="K261" s="14">
        <v>302598</v>
      </c>
      <c r="L261" s="13">
        <v>2589495364</v>
      </c>
      <c r="M261" s="13">
        <v>3533379966</v>
      </c>
      <c r="N261" s="13">
        <f t="shared" si="19"/>
        <v>6122875330</v>
      </c>
      <c r="O261" s="13">
        <v>402946712</v>
      </c>
      <c r="P261" s="13">
        <v>551553424</v>
      </c>
      <c r="Q261" s="13">
        <f t="shared" si="20"/>
        <v>954500136</v>
      </c>
      <c r="R261" s="13">
        <f t="shared" si="21"/>
        <v>2992442076</v>
      </c>
      <c r="S261" s="13">
        <f t="shared" si="22"/>
        <v>4084933390</v>
      </c>
      <c r="T261" s="14">
        <f t="shared" si="23"/>
        <v>7077375466</v>
      </c>
      <c r="U261">
        <v>77.092779820000004</v>
      </c>
      <c r="V261">
        <v>129.01505570699999</v>
      </c>
      <c r="W261" s="221">
        <f t="shared" si="0"/>
        <v>1.6735037445559837</v>
      </c>
      <c r="X261" s="236">
        <f t="shared" si="1"/>
        <v>1547349.6085227155</v>
      </c>
      <c r="Y261" s="236">
        <f t="shared" si="2"/>
        <v>2111366.6327274824</v>
      </c>
      <c r="Z261" s="236">
        <f t="shared" si="3"/>
        <v>3658716.2412501979</v>
      </c>
      <c r="AA261" s="236">
        <f t="shared" si="4"/>
        <v>240780.28705392015</v>
      </c>
      <c r="AB261" s="236">
        <f t="shared" si="5"/>
        <v>329580.03577478637</v>
      </c>
      <c r="AC261" s="236">
        <f t="shared" si="6"/>
        <v>570360.32282870647</v>
      </c>
      <c r="AD261" s="236">
        <f t="shared" si="7"/>
        <v>1788129.8955766356</v>
      </c>
      <c r="AE261" s="236">
        <f t="shared" si="8"/>
        <v>2440946.6685022688</v>
      </c>
      <c r="AF261" s="236">
        <f t="shared" si="9"/>
        <v>4229076.5640789038</v>
      </c>
      <c r="AG261" s="236">
        <f t="shared" si="10"/>
        <v>2589495.3640000001</v>
      </c>
      <c r="AH261" s="236">
        <f t="shared" si="11"/>
        <v>3533379.966</v>
      </c>
      <c r="AI261" s="236">
        <f t="shared" si="12"/>
        <v>6122875.3300000001</v>
      </c>
      <c r="AJ261" s="236">
        <f t="shared" si="13"/>
        <v>402946.712</v>
      </c>
      <c r="AK261" s="236">
        <f t="shared" si="14"/>
        <v>551553.424</v>
      </c>
      <c r="AL261" s="236">
        <f t="shared" si="15"/>
        <v>954500.13600000006</v>
      </c>
      <c r="AM261" s="236">
        <f t="shared" si="16"/>
        <v>2992442.0759999999</v>
      </c>
      <c r="AN261" s="236">
        <f t="shared" si="17"/>
        <v>4084933.39</v>
      </c>
      <c r="AO261" s="236">
        <f t="shared" si="18"/>
        <v>7077375.466</v>
      </c>
    </row>
    <row r="262" spans="2:41" hidden="1" x14ac:dyDescent="0.25">
      <c r="B262" s="12">
        <v>40299</v>
      </c>
      <c r="C262" s="13">
        <v>120927</v>
      </c>
      <c r="D262" s="13">
        <v>177041</v>
      </c>
      <c r="E262" s="13">
        <v>297968</v>
      </c>
      <c r="F262" s="13">
        <v>5506</v>
      </c>
      <c r="G262" s="13">
        <v>7424</v>
      </c>
      <c r="H262" s="13">
        <v>12930</v>
      </c>
      <c r="I262" s="13">
        <v>126433</v>
      </c>
      <c r="J262" s="13">
        <v>184465</v>
      </c>
      <c r="K262" s="14">
        <v>310898</v>
      </c>
      <c r="L262" s="13">
        <v>2776372445</v>
      </c>
      <c r="M262" s="13">
        <v>3677489480</v>
      </c>
      <c r="N262" s="13">
        <f t="shared" si="19"/>
        <v>6453861925</v>
      </c>
      <c r="O262" s="13">
        <v>437436151</v>
      </c>
      <c r="P262" s="13">
        <v>607874598</v>
      </c>
      <c r="Q262" s="13">
        <f t="shared" si="20"/>
        <v>1045310749</v>
      </c>
      <c r="R262" s="13">
        <f t="shared" si="21"/>
        <v>3213808596</v>
      </c>
      <c r="S262" s="13">
        <f t="shared" si="22"/>
        <v>4285364078</v>
      </c>
      <c r="T262" s="14">
        <f t="shared" si="23"/>
        <v>7499172674</v>
      </c>
      <c r="U262">
        <v>77.370182610000001</v>
      </c>
      <c r="V262">
        <v>129.01505570699999</v>
      </c>
      <c r="W262" s="221">
        <f t="shared" si="0"/>
        <v>1.6675035699130552</v>
      </c>
      <c r="X262" s="236">
        <f t="shared" si="1"/>
        <v>1664987.4069803415</v>
      </c>
      <c r="Y262" s="236">
        <f t="shared" si="2"/>
        <v>2205386.2710421346</v>
      </c>
      <c r="Z262" s="236">
        <f t="shared" si="3"/>
        <v>3870373.6780224759</v>
      </c>
      <c r="AA262" s="236">
        <f t="shared" si="4"/>
        <v>262329.96372104215</v>
      </c>
      <c r="AB262" s="236">
        <f t="shared" si="5"/>
        <v>364541.70711712184</v>
      </c>
      <c r="AC262" s="236">
        <f t="shared" si="6"/>
        <v>626871.67083816393</v>
      </c>
      <c r="AD262" s="236">
        <f t="shared" si="7"/>
        <v>1927317.3707013833</v>
      </c>
      <c r="AE262" s="236">
        <f t="shared" si="8"/>
        <v>2569927.9781592563</v>
      </c>
      <c r="AF262" s="236">
        <f t="shared" si="9"/>
        <v>4497245.3488606391</v>
      </c>
      <c r="AG262" s="236">
        <f t="shared" si="10"/>
        <v>2776372.4449999998</v>
      </c>
      <c r="AH262" s="236">
        <f t="shared" si="11"/>
        <v>3677489.48</v>
      </c>
      <c r="AI262" s="236">
        <f t="shared" si="12"/>
        <v>6453861.9249999998</v>
      </c>
      <c r="AJ262" s="236">
        <f t="shared" si="13"/>
        <v>437436.15100000001</v>
      </c>
      <c r="AK262" s="236">
        <f t="shared" si="14"/>
        <v>607874.598</v>
      </c>
      <c r="AL262" s="236">
        <f t="shared" si="15"/>
        <v>1045310.749</v>
      </c>
      <c r="AM262" s="236">
        <f t="shared" si="16"/>
        <v>3213808.5959999999</v>
      </c>
      <c r="AN262" s="236">
        <f t="shared" si="17"/>
        <v>4285364.0779999997</v>
      </c>
      <c r="AO262" s="236">
        <f t="shared" si="18"/>
        <v>7499172.6739999996</v>
      </c>
    </row>
    <row r="263" spans="2:41" hidden="1" x14ac:dyDescent="0.25">
      <c r="B263" s="12">
        <v>40330</v>
      </c>
      <c r="C263" s="13">
        <v>125869</v>
      </c>
      <c r="D263" s="13">
        <v>183571</v>
      </c>
      <c r="E263" s="13">
        <v>309440</v>
      </c>
      <c r="F263" s="13">
        <v>6003</v>
      </c>
      <c r="G263" s="13">
        <v>8152</v>
      </c>
      <c r="H263" s="13">
        <v>14155</v>
      </c>
      <c r="I263" s="13">
        <v>131872</v>
      </c>
      <c r="J263" s="13">
        <v>191723</v>
      </c>
      <c r="K263" s="14">
        <v>323595</v>
      </c>
      <c r="L263" s="13">
        <v>2812183769</v>
      </c>
      <c r="M263" s="13">
        <v>3903654623</v>
      </c>
      <c r="N263" s="13">
        <f t="shared" si="19"/>
        <v>6715838392</v>
      </c>
      <c r="O263" s="13">
        <v>519396267</v>
      </c>
      <c r="P263" s="13">
        <v>737631705</v>
      </c>
      <c r="Q263" s="13">
        <f t="shared" si="20"/>
        <v>1257027972</v>
      </c>
      <c r="R263" s="13">
        <f t="shared" si="21"/>
        <v>3331580036</v>
      </c>
      <c r="S263" s="13">
        <f t="shared" si="22"/>
        <v>4641286328</v>
      </c>
      <c r="T263" s="14">
        <f t="shared" si="23"/>
        <v>7972866364</v>
      </c>
      <c r="U263">
        <v>77.370464859999998</v>
      </c>
      <c r="V263">
        <v>129.01505570699999</v>
      </c>
      <c r="W263" s="221">
        <f t="shared" si="0"/>
        <v>1.6674974868051993</v>
      </c>
      <c r="X263" s="236">
        <f t="shared" si="1"/>
        <v>1686469.5696710967</v>
      </c>
      <c r="Y263" s="236">
        <f t="shared" si="2"/>
        <v>2341025.7909768196</v>
      </c>
      <c r="Z263" s="236">
        <f t="shared" si="3"/>
        <v>4027495.3606479163</v>
      </c>
      <c r="AA263" s="236">
        <f t="shared" si="4"/>
        <v>311482.4886453799</v>
      </c>
      <c r="AB263" s="236">
        <f t="shared" si="5"/>
        <v>442358.51078447339</v>
      </c>
      <c r="AC263" s="236">
        <f t="shared" si="6"/>
        <v>753840.99942985328</v>
      </c>
      <c r="AD263" s="236">
        <f t="shared" si="7"/>
        <v>1997952.0583164769</v>
      </c>
      <c r="AE263" s="236">
        <f t="shared" si="8"/>
        <v>2783384.3017612929</v>
      </c>
      <c r="AF263" s="236">
        <f t="shared" si="9"/>
        <v>4781336.3600777695</v>
      </c>
      <c r="AG263" s="236">
        <f t="shared" si="10"/>
        <v>2812183.7689999999</v>
      </c>
      <c r="AH263" s="236">
        <f t="shared" si="11"/>
        <v>3903654.6230000001</v>
      </c>
      <c r="AI263" s="236">
        <f t="shared" si="12"/>
        <v>6715838.392</v>
      </c>
      <c r="AJ263" s="236">
        <f t="shared" si="13"/>
        <v>519396.26699999999</v>
      </c>
      <c r="AK263" s="236">
        <f t="shared" si="14"/>
        <v>737631.70499999996</v>
      </c>
      <c r="AL263" s="236">
        <f t="shared" si="15"/>
        <v>1257027.9720000001</v>
      </c>
      <c r="AM263" s="236">
        <f t="shared" si="16"/>
        <v>3331580.0359999998</v>
      </c>
      <c r="AN263" s="236">
        <f t="shared" si="17"/>
        <v>4641286.3279999997</v>
      </c>
      <c r="AO263" s="236">
        <f t="shared" si="18"/>
        <v>7972866.3640000001</v>
      </c>
    </row>
    <row r="264" spans="2:41" hidden="1" x14ac:dyDescent="0.25">
      <c r="B264" s="12">
        <v>40360</v>
      </c>
      <c r="C264" s="13">
        <v>129748</v>
      </c>
      <c r="D264" s="13">
        <v>187484</v>
      </c>
      <c r="E264" s="13">
        <v>317232</v>
      </c>
      <c r="F264" s="13">
        <v>6395</v>
      </c>
      <c r="G264" s="13">
        <v>8702</v>
      </c>
      <c r="H264" s="13">
        <v>15097</v>
      </c>
      <c r="I264" s="13">
        <v>136143</v>
      </c>
      <c r="J264" s="13">
        <v>196186</v>
      </c>
      <c r="K264" s="14">
        <v>332329</v>
      </c>
      <c r="L264" s="13">
        <v>5016331446</v>
      </c>
      <c r="M264" s="13">
        <v>6978003893</v>
      </c>
      <c r="N264" s="13">
        <f t="shared" si="19"/>
        <v>11994335339</v>
      </c>
      <c r="O264" s="13">
        <v>530831523</v>
      </c>
      <c r="P264" s="13">
        <v>725533885</v>
      </c>
      <c r="Q264" s="13">
        <f t="shared" si="20"/>
        <v>1256365408</v>
      </c>
      <c r="R264" s="13">
        <f t="shared" si="21"/>
        <v>5547162969</v>
      </c>
      <c r="S264" s="13">
        <f t="shared" si="22"/>
        <v>7703537778</v>
      </c>
      <c r="T264" s="14">
        <f t="shared" si="23"/>
        <v>13250700747</v>
      </c>
      <c r="U264">
        <v>77.867484759999996</v>
      </c>
      <c r="V264">
        <v>129.01505570699999</v>
      </c>
      <c r="W264" s="221">
        <f t="shared" si="0"/>
        <v>1.6568540271288454</v>
      </c>
      <c r="X264" s="236">
        <f t="shared" si="1"/>
        <v>3027624.2589051593</v>
      </c>
      <c r="Y264" s="236">
        <f t="shared" si="2"/>
        <v>4211598.4744245391</v>
      </c>
      <c r="Z264" s="236">
        <f t="shared" si="3"/>
        <v>7239222.7333296994</v>
      </c>
      <c r="AA264" s="236">
        <f t="shared" si="4"/>
        <v>320385.20853878447</v>
      </c>
      <c r="AB264" s="236">
        <f t="shared" si="5"/>
        <v>437898.49505165778</v>
      </c>
      <c r="AC264" s="236">
        <f t="shared" si="6"/>
        <v>758283.70359044231</v>
      </c>
      <c r="AD264" s="236">
        <f t="shared" si="7"/>
        <v>3348009.467443944</v>
      </c>
      <c r="AE264" s="236">
        <f t="shared" si="8"/>
        <v>4649496.9694761969</v>
      </c>
      <c r="AF264" s="236">
        <f t="shared" si="9"/>
        <v>7997506.4369201409</v>
      </c>
      <c r="AG264" s="236">
        <f t="shared" si="10"/>
        <v>5016331.4460000005</v>
      </c>
      <c r="AH264" s="236">
        <f t="shared" si="11"/>
        <v>6978003.8930000002</v>
      </c>
      <c r="AI264" s="236">
        <f t="shared" si="12"/>
        <v>11994335.339</v>
      </c>
      <c r="AJ264" s="236">
        <f t="shared" si="13"/>
        <v>530831.52300000004</v>
      </c>
      <c r="AK264" s="236">
        <f t="shared" si="14"/>
        <v>725533.88500000001</v>
      </c>
      <c r="AL264" s="236">
        <f t="shared" si="15"/>
        <v>1256365.4080000001</v>
      </c>
      <c r="AM264" s="236">
        <f t="shared" si="16"/>
        <v>5547162.9689999996</v>
      </c>
      <c r="AN264" s="236">
        <f t="shared" si="17"/>
        <v>7703537.7779999999</v>
      </c>
      <c r="AO264" s="236">
        <f t="shared" si="18"/>
        <v>13250700.747</v>
      </c>
    </row>
    <row r="265" spans="2:41" hidden="1" x14ac:dyDescent="0.25">
      <c r="B265" s="12">
        <v>40391</v>
      </c>
      <c r="C265" s="13">
        <v>133983</v>
      </c>
      <c r="D265" s="13">
        <v>192848</v>
      </c>
      <c r="E265" s="13">
        <v>326831</v>
      </c>
      <c r="F265" s="13">
        <v>6680</v>
      </c>
      <c r="G265" s="13">
        <v>9142</v>
      </c>
      <c r="H265" s="13">
        <v>15822</v>
      </c>
      <c r="I265" s="13">
        <v>140663</v>
      </c>
      <c r="J265" s="13">
        <v>201990</v>
      </c>
      <c r="K265" s="14">
        <v>342653</v>
      </c>
      <c r="L265" s="13">
        <v>5234640792</v>
      </c>
      <c r="M265" s="13">
        <v>7437883694</v>
      </c>
      <c r="N265" s="13">
        <f t="shared" si="19"/>
        <v>12672524486</v>
      </c>
      <c r="O265" s="13">
        <v>544858304</v>
      </c>
      <c r="P265" s="13">
        <v>741398031</v>
      </c>
      <c r="Q265" s="13">
        <f t="shared" si="20"/>
        <v>1286256335</v>
      </c>
      <c r="R265" s="13">
        <f t="shared" si="21"/>
        <v>5779499096</v>
      </c>
      <c r="S265" s="13">
        <f t="shared" si="22"/>
        <v>8179281725</v>
      </c>
      <c r="T265" s="14">
        <f t="shared" si="23"/>
        <v>13958780821</v>
      </c>
      <c r="U265">
        <v>77.790935050000002</v>
      </c>
      <c r="V265">
        <v>129.01505570699999</v>
      </c>
      <c r="W265" s="221">
        <f t="shared" si="0"/>
        <v>1.6584844445445444</v>
      </c>
      <c r="X265" s="236">
        <f t="shared" si="1"/>
        <v>3156279.7041714462</v>
      </c>
      <c r="Y265" s="236">
        <f t="shared" si="2"/>
        <v>4484747.335717462</v>
      </c>
      <c r="Z265" s="236">
        <f t="shared" si="3"/>
        <v>7641027.0398889082</v>
      </c>
      <c r="AA265" s="236">
        <f t="shared" si="4"/>
        <v>328527.83503171767</v>
      </c>
      <c r="AB265" s="236">
        <f t="shared" si="5"/>
        <v>447033.45481398463</v>
      </c>
      <c r="AC265" s="236">
        <f t="shared" si="6"/>
        <v>775561.28984570224</v>
      </c>
      <c r="AD265" s="236">
        <f t="shared" si="7"/>
        <v>3484807.5392031642</v>
      </c>
      <c r="AE265" s="236">
        <f t="shared" si="8"/>
        <v>4931780.7905314462</v>
      </c>
      <c r="AF265" s="236">
        <f t="shared" si="9"/>
        <v>8416588.3297346104</v>
      </c>
      <c r="AG265" s="236">
        <f t="shared" si="10"/>
        <v>5234640.7920000004</v>
      </c>
      <c r="AH265" s="236">
        <f t="shared" si="11"/>
        <v>7437883.6940000001</v>
      </c>
      <c r="AI265" s="236">
        <f t="shared" si="12"/>
        <v>12672524.486</v>
      </c>
      <c r="AJ265" s="236">
        <f t="shared" si="13"/>
        <v>544858.304</v>
      </c>
      <c r="AK265" s="236">
        <f t="shared" si="14"/>
        <v>741398.03099999996</v>
      </c>
      <c r="AL265" s="236">
        <f t="shared" si="15"/>
        <v>1286256.335</v>
      </c>
      <c r="AM265" s="236">
        <f t="shared" si="16"/>
        <v>5779499.0959999999</v>
      </c>
      <c r="AN265" s="236">
        <f t="shared" si="17"/>
        <v>8179281.7249999996</v>
      </c>
      <c r="AO265" s="236">
        <f t="shared" si="18"/>
        <v>13958780.821</v>
      </c>
    </row>
    <row r="266" spans="2:41" hidden="1" x14ac:dyDescent="0.25">
      <c r="B266" s="12">
        <v>40422</v>
      </c>
      <c r="C266" s="13">
        <v>138718</v>
      </c>
      <c r="D266" s="13">
        <v>198415</v>
      </c>
      <c r="E266" s="13">
        <v>337133</v>
      </c>
      <c r="F266" s="13">
        <v>6646</v>
      </c>
      <c r="G266" s="13">
        <v>9139</v>
      </c>
      <c r="H266" s="13">
        <v>15785</v>
      </c>
      <c r="I266" s="13">
        <v>145364</v>
      </c>
      <c r="J266" s="13">
        <v>207554</v>
      </c>
      <c r="K266" s="14">
        <v>352918</v>
      </c>
      <c r="L266" s="13">
        <v>5168893015</v>
      </c>
      <c r="M266" s="13">
        <v>7259748727</v>
      </c>
      <c r="N266" s="13">
        <f t="shared" si="19"/>
        <v>12428641742</v>
      </c>
      <c r="O266" s="13">
        <v>500634772</v>
      </c>
      <c r="P266" s="13">
        <v>696795040</v>
      </c>
      <c r="Q266" s="13">
        <f t="shared" si="20"/>
        <v>1197429812</v>
      </c>
      <c r="R266" s="13">
        <f t="shared" si="21"/>
        <v>5669527787</v>
      </c>
      <c r="S266" s="13">
        <f t="shared" si="22"/>
        <v>7956543767</v>
      </c>
      <c r="T266" s="14">
        <f t="shared" si="23"/>
        <v>13626071554</v>
      </c>
      <c r="U266">
        <v>78.102046270000002</v>
      </c>
      <c r="V266">
        <v>129.01505570699999</v>
      </c>
      <c r="W266" s="221">
        <f t="shared" si="0"/>
        <v>1.6518780476121318</v>
      </c>
      <c r="X266" s="236">
        <f t="shared" si="1"/>
        <v>3129100.8573374292</v>
      </c>
      <c r="Y266" s="236">
        <f t="shared" si="2"/>
        <v>4394845.4533276912</v>
      </c>
      <c r="Z266" s="236">
        <f t="shared" si="3"/>
        <v>7523946.3106651204</v>
      </c>
      <c r="AA266" s="236">
        <f t="shared" si="4"/>
        <v>303070.05576089065</v>
      </c>
      <c r="AB266" s="236">
        <f t="shared" si="5"/>
        <v>421819.90432480793</v>
      </c>
      <c r="AC266" s="236">
        <f t="shared" si="6"/>
        <v>724889.96008569864</v>
      </c>
      <c r="AD266" s="236">
        <f t="shared" si="7"/>
        <v>3432170.9130983199</v>
      </c>
      <c r="AE266" s="236">
        <f t="shared" si="8"/>
        <v>4816665.3576524993</v>
      </c>
      <c r="AF266" s="236">
        <f t="shared" si="9"/>
        <v>8248836.2707508178</v>
      </c>
      <c r="AG266" s="236">
        <f t="shared" si="10"/>
        <v>5168893.0149999997</v>
      </c>
      <c r="AH266" s="236">
        <f t="shared" si="11"/>
        <v>7259748.727</v>
      </c>
      <c r="AI266" s="236">
        <f t="shared" si="12"/>
        <v>12428641.742000001</v>
      </c>
      <c r="AJ266" s="236">
        <f t="shared" si="13"/>
        <v>500634.772</v>
      </c>
      <c r="AK266" s="236">
        <f t="shared" si="14"/>
        <v>696795.04</v>
      </c>
      <c r="AL266" s="236">
        <f t="shared" si="15"/>
        <v>1197429.8119999999</v>
      </c>
      <c r="AM266" s="236">
        <f t="shared" si="16"/>
        <v>5669527.7869999995</v>
      </c>
      <c r="AN266" s="236">
        <f t="shared" si="17"/>
        <v>7956543.767</v>
      </c>
      <c r="AO266" s="236">
        <f t="shared" si="18"/>
        <v>13626071.554</v>
      </c>
    </row>
    <row r="267" spans="2:41" hidden="1" x14ac:dyDescent="0.25">
      <c r="B267" s="12">
        <v>40452</v>
      </c>
      <c r="C267" s="13">
        <v>143664</v>
      </c>
      <c r="D267" s="13">
        <v>204343</v>
      </c>
      <c r="E267" s="13">
        <v>348007</v>
      </c>
      <c r="F267" s="13">
        <v>6792</v>
      </c>
      <c r="G267" s="13">
        <v>9374</v>
      </c>
      <c r="H267" s="13">
        <v>16166</v>
      </c>
      <c r="I267" s="13">
        <v>150456</v>
      </c>
      <c r="J267" s="13">
        <v>213717</v>
      </c>
      <c r="K267" s="14">
        <v>364173</v>
      </c>
      <c r="L267" s="13">
        <v>5666357137</v>
      </c>
      <c r="M267" s="13">
        <v>7907342017</v>
      </c>
      <c r="N267" s="13">
        <f t="shared" si="19"/>
        <v>13573699154</v>
      </c>
      <c r="O267" s="13">
        <v>525646489</v>
      </c>
      <c r="P267" s="13">
        <v>735642107</v>
      </c>
      <c r="Q267" s="13">
        <f t="shared" si="20"/>
        <v>1261288596</v>
      </c>
      <c r="R267" s="13">
        <f t="shared" si="21"/>
        <v>6192003626</v>
      </c>
      <c r="S267" s="13">
        <f t="shared" si="22"/>
        <v>8642984124</v>
      </c>
      <c r="T267" s="14">
        <f t="shared" si="23"/>
        <v>14834987750</v>
      </c>
      <c r="U267">
        <v>78.178624009999993</v>
      </c>
      <c r="V267">
        <v>129.01505570699999</v>
      </c>
      <c r="W267" s="221">
        <f t="shared" si="0"/>
        <v>1.6502599955007828</v>
      </c>
      <c r="X267" s="236">
        <f t="shared" si="1"/>
        <v>3433614.7955162087</v>
      </c>
      <c r="Y267" s="236">
        <f t="shared" si="2"/>
        <v>4791573.4723972771</v>
      </c>
      <c r="Z267" s="236">
        <f t="shared" si="3"/>
        <v>8225188.2679134859</v>
      </c>
      <c r="AA267" s="236">
        <f t="shared" si="4"/>
        <v>318523.43899331387</v>
      </c>
      <c r="AB267" s="236">
        <f t="shared" si="5"/>
        <v>445773.45933709329</v>
      </c>
      <c r="AC267" s="236">
        <f t="shared" si="6"/>
        <v>764296.8983304071</v>
      </c>
      <c r="AD267" s="236">
        <f t="shared" si="7"/>
        <v>3752138.2345095226</v>
      </c>
      <c r="AE267" s="236">
        <f t="shared" si="8"/>
        <v>5237346.9317343701</v>
      </c>
      <c r="AF267" s="236">
        <f t="shared" si="9"/>
        <v>8989485.1662438922</v>
      </c>
      <c r="AG267" s="236">
        <f t="shared" si="10"/>
        <v>5666357.1370000001</v>
      </c>
      <c r="AH267" s="236">
        <f t="shared" si="11"/>
        <v>7907342.017</v>
      </c>
      <c r="AI267" s="236">
        <f t="shared" si="12"/>
        <v>13573699.153999999</v>
      </c>
      <c r="AJ267" s="236">
        <f t="shared" si="13"/>
        <v>525646.48899999994</v>
      </c>
      <c r="AK267" s="236">
        <f t="shared" si="14"/>
        <v>735642.10699999996</v>
      </c>
      <c r="AL267" s="236">
        <f t="shared" si="15"/>
        <v>1261288.5959999999</v>
      </c>
      <c r="AM267" s="236">
        <f t="shared" si="16"/>
        <v>6192003.6260000002</v>
      </c>
      <c r="AN267" s="236">
        <f t="shared" si="17"/>
        <v>8642984.1239999998</v>
      </c>
      <c r="AO267" s="236">
        <f t="shared" si="18"/>
        <v>14834987.75</v>
      </c>
    </row>
    <row r="268" spans="2:41" hidden="1" x14ac:dyDescent="0.25">
      <c r="B268" s="12">
        <v>40483</v>
      </c>
      <c r="C268" s="13">
        <v>150888</v>
      </c>
      <c r="D268" s="13">
        <v>211646</v>
      </c>
      <c r="E268" s="13">
        <v>362534</v>
      </c>
      <c r="F268" s="13">
        <v>7036</v>
      </c>
      <c r="G268" s="13">
        <v>9728</v>
      </c>
      <c r="H268" s="13">
        <v>16764</v>
      </c>
      <c r="I268" s="13">
        <v>157924</v>
      </c>
      <c r="J268" s="13">
        <v>221374</v>
      </c>
      <c r="K268" s="14">
        <v>379298</v>
      </c>
      <c r="L268" s="13">
        <v>6069989446</v>
      </c>
      <c r="M268" s="13">
        <v>8385359780</v>
      </c>
      <c r="N268" s="13">
        <f t="shared" si="19"/>
        <v>14455349226</v>
      </c>
      <c r="O268" s="13">
        <v>569561985</v>
      </c>
      <c r="P268" s="13">
        <v>794328911</v>
      </c>
      <c r="Q268" s="13">
        <f t="shared" si="20"/>
        <v>1363890896</v>
      </c>
      <c r="R268" s="13">
        <f t="shared" si="21"/>
        <v>6639551431</v>
      </c>
      <c r="S268" s="13">
        <f t="shared" si="22"/>
        <v>9179688691</v>
      </c>
      <c r="T268" s="14">
        <f t="shared" si="23"/>
        <v>15819240122</v>
      </c>
      <c r="U268">
        <v>78.23364977</v>
      </c>
      <c r="V268">
        <v>129.01505570699999</v>
      </c>
      <c r="W268" s="221">
        <f t="shared" si="0"/>
        <v>1.6490992825503197</v>
      </c>
      <c r="X268" s="236">
        <f t="shared" si="1"/>
        <v>3680790.7869639033</v>
      </c>
      <c r="Y268" s="236">
        <f t="shared" si="2"/>
        <v>5084811.9750753297</v>
      </c>
      <c r="Z268" s="236">
        <f t="shared" si="3"/>
        <v>8765602.762039233</v>
      </c>
      <c r="AA268" s="236">
        <f t="shared" si="4"/>
        <v>345377.61978719477</v>
      </c>
      <c r="AB268" s="236">
        <f t="shared" si="5"/>
        <v>481674.4021448947</v>
      </c>
      <c r="AC268" s="236">
        <f t="shared" si="6"/>
        <v>827052.02193208947</v>
      </c>
      <c r="AD268" s="236">
        <f t="shared" si="7"/>
        <v>4026168.4067510981</v>
      </c>
      <c r="AE268" s="236">
        <f t="shared" si="8"/>
        <v>5566486.3772202246</v>
      </c>
      <c r="AF268" s="236">
        <f t="shared" si="9"/>
        <v>9592654.7839713227</v>
      </c>
      <c r="AG268" s="236">
        <f t="shared" si="10"/>
        <v>6069989.4460000005</v>
      </c>
      <c r="AH268" s="236">
        <f t="shared" si="11"/>
        <v>8385359.7800000003</v>
      </c>
      <c r="AI268" s="236">
        <f t="shared" si="12"/>
        <v>14455349.226</v>
      </c>
      <c r="AJ268" s="236">
        <f t="shared" si="13"/>
        <v>569561.98499999999</v>
      </c>
      <c r="AK268" s="236">
        <f t="shared" si="14"/>
        <v>794328.91099999996</v>
      </c>
      <c r="AL268" s="236">
        <f t="shared" si="15"/>
        <v>1363890.8959999999</v>
      </c>
      <c r="AM268" s="236">
        <f t="shared" si="16"/>
        <v>6639551.4309999999</v>
      </c>
      <c r="AN268" s="236">
        <f t="shared" si="17"/>
        <v>9179688.6909999996</v>
      </c>
      <c r="AO268" s="236">
        <f t="shared" si="18"/>
        <v>15819240.122</v>
      </c>
    </row>
    <row r="269" spans="2:41" hidden="1" x14ac:dyDescent="0.25">
      <c r="B269" s="15">
        <v>40513</v>
      </c>
      <c r="C269" s="16">
        <v>154356</v>
      </c>
      <c r="D269" s="16">
        <v>215860</v>
      </c>
      <c r="E269" s="16">
        <v>370216</v>
      </c>
      <c r="F269" s="16">
        <v>7277</v>
      </c>
      <c r="G269" s="16">
        <v>10094</v>
      </c>
      <c r="H269" s="16">
        <v>17371</v>
      </c>
      <c r="I269" s="17">
        <v>161633</v>
      </c>
      <c r="J269" s="17">
        <v>225954</v>
      </c>
      <c r="K269" s="17">
        <v>387587</v>
      </c>
      <c r="L269" s="16">
        <v>6018338269</v>
      </c>
      <c r="M269" s="16">
        <v>8301289317</v>
      </c>
      <c r="N269" s="16">
        <f t="shared" si="19"/>
        <v>14319627586</v>
      </c>
      <c r="O269" s="16">
        <v>589406510</v>
      </c>
      <c r="P269" s="16">
        <v>820455598</v>
      </c>
      <c r="Q269" s="16">
        <f t="shared" si="20"/>
        <v>1409862108</v>
      </c>
      <c r="R269" s="16">
        <f t="shared" si="21"/>
        <v>6607744779</v>
      </c>
      <c r="S269" s="16">
        <f t="shared" si="22"/>
        <v>9121744915</v>
      </c>
      <c r="T269" s="16">
        <f t="shared" si="23"/>
        <v>15729489694</v>
      </c>
      <c r="U269">
        <v>78.325873939999994</v>
      </c>
      <c r="V269">
        <v>129.01505570699999</v>
      </c>
      <c r="W269" s="221">
        <f t="shared" si="0"/>
        <v>1.6471575638700113</v>
      </c>
      <c r="X269" s="236">
        <f t="shared" si="1"/>
        <v>3653772.0501127173</v>
      </c>
      <c r="Y269" s="236">
        <f t="shared" si="2"/>
        <v>5039766.3824558752</v>
      </c>
      <c r="Z269" s="236">
        <f t="shared" si="3"/>
        <v>8693538.432568593</v>
      </c>
      <c r="AA269" s="236">
        <f t="shared" si="4"/>
        <v>357832.50062318513</v>
      </c>
      <c r="AB269" s="236">
        <f t="shared" si="5"/>
        <v>498103.89485285932</v>
      </c>
      <c r="AC269" s="236">
        <f t="shared" si="6"/>
        <v>855936.39547604439</v>
      </c>
      <c r="AD269" s="236">
        <f t="shared" si="7"/>
        <v>4011604.5507359025</v>
      </c>
      <c r="AE269" s="236">
        <f t="shared" si="8"/>
        <v>5537870.2773087351</v>
      </c>
      <c r="AF269" s="236">
        <f t="shared" si="9"/>
        <v>9549474.828044638</v>
      </c>
      <c r="AG269" s="236">
        <f t="shared" si="10"/>
        <v>6018338.2690000003</v>
      </c>
      <c r="AH269" s="236">
        <f t="shared" si="11"/>
        <v>8301289.3169999998</v>
      </c>
      <c r="AI269" s="236">
        <f t="shared" si="12"/>
        <v>14319627.585999999</v>
      </c>
      <c r="AJ269" s="236">
        <f t="shared" si="13"/>
        <v>589406.51</v>
      </c>
      <c r="AK269" s="236">
        <f t="shared" si="14"/>
        <v>820455.598</v>
      </c>
      <c r="AL269" s="236">
        <f t="shared" si="15"/>
        <v>1409862.108</v>
      </c>
      <c r="AM269" s="236">
        <f t="shared" si="16"/>
        <v>6607744.7790000001</v>
      </c>
      <c r="AN269" s="236">
        <f t="shared" si="17"/>
        <v>9121744.9149999991</v>
      </c>
      <c r="AO269" s="236">
        <f t="shared" si="18"/>
        <v>15729489.694</v>
      </c>
    </row>
    <row r="270" spans="2:41" hidden="1" x14ac:dyDescent="0.25">
      <c r="B270" s="12">
        <v>40544</v>
      </c>
      <c r="C270" s="13">
        <v>156801</v>
      </c>
      <c r="D270" s="13">
        <v>216052</v>
      </c>
      <c r="E270" s="13">
        <v>372853</v>
      </c>
      <c r="F270" s="13">
        <v>7665</v>
      </c>
      <c r="G270" s="13">
        <v>10664</v>
      </c>
      <c r="H270" s="13">
        <v>18329</v>
      </c>
      <c r="I270" s="13">
        <v>164466</v>
      </c>
      <c r="J270" s="13">
        <v>226716</v>
      </c>
      <c r="K270" s="14">
        <v>391182</v>
      </c>
      <c r="L270" s="13">
        <v>6162838203</v>
      </c>
      <c r="M270" s="13">
        <v>8129503838</v>
      </c>
      <c r="N270" s="13">
        <f t="shared" si="19"/>
        <v>14292342041</v>
      </c>
      <c r="O270" s="13">
        <v>676929695</v>
      </c>
      <c r="P270" s="13">
        <v>943536722</v>
      </c>
      <c r="Q270" s="13">
        <f t="shared" si="20"/>
        <v>1620466417</v>
      </c>
      <c r="R270" s="13">
        <f t="shared" si="21"/>
        <v>6839767898</v>
      </c>
      <c r="S270" s="13">
        <f t="shared" si="22"/>
        <v>9073040560</v>
      </c>
      <c r="T270" s="14">
        <f t="shared" si="23"/>
        <v>15912808458</v>
      </c>
      <c r="U270">
        <v>78.537898409999997</v>
      </c>
      <c r="V270">
        <v>129.01505570699999</v>
      </c>
      <c r="W270" s="221">
        <f t="shared" si="0"/>
        <v>1.642710822658999</v>
      </c>
      <c r="X270" s="236">
        <f t="shared" si="1"/>
        <v>3751626.9558779844</v>
      </c>
      <c r="Y270" s="236">
        <f t="shared" si="2"/>
        <v>4948834.4058274692</v>
      </c>
      <c r="Z270" s="236">
        <f t="shared" si="3"/>
        <v>8700461.3617054541</v>
      </c>
      <c r="AA270" s="236">
        <f t="shared" si="4"/>
        <v>412080.86393701198</v>
      </c>
      <c r="AB270" s="236">
        <f t="shared" si="5"/>
        <v>574377.85700634145</v>
      </c>
      <c r="AC270" s="236">
        <f t="shared" si="6"/>
        <v>986458.72094335337</v>
      </c>
      <c r="AD270" s="236">
        <f t="shared" si="7"/>
        <v>4163707.8198149963</v>
      </c>
      <c r="AE270" s="236">
        <f t="shared" si="8"/>
        <v>5523212.2628338095</v>
      </c>
      <c r="AF270" s="236">
        <f t="shared" si="9"/>
        <v>9686920.0826488081</v>
      </c>
      <c r="AG270" s="236">
        <f t="shared" si="10"/>
        <v>6162838.2029999997</v>
      </c>
      <c r="AH270" s="236">
        <f t="shared" si="11"/>
        <v>8129503.8380000005</v>
      </c>
      <c r="AI270" s="236">
        <f t="shared" si="12"/>
        <v>14292342.040999999</v>
      </c>
      <c r="AJ270" s="236">
        <f t="shared" si="13"/>
        <v>676929.69499999995</v>
      </c>
      <c r="AK270" s="236">
        <f t="shared" si="14"/>
        <v>943536.72199999995</v>
      </c>
      <c r="AL270" s="236">
        <f t="shared" si="15"/>
        <v>1620466.4169999999</v>
      </c>
      <c r="AM270" s="236">
        <f t="shared" si="16"/>
        <v>6839767.898</v>
      </c>
      <c r="AN270" s="236">
        <f t="shared" si="17"/>
        <v>9073040.5600000005</v>
      </c>
      <c r="AO270" s="236">
        <f t="shared" si="18"/>
        <v>15912808.458000001</v>
      </c>
    </row>
    <row r="271" spans="2:41" hidden="1" x14ac:dyDescent="0.25">
      <c r="B271" s="12">
        <v>40575</v>
      </c>
      <c r="C271" s="13">
        <v>159862</v>
      </c>
      <c r="D271" s="13">
        <v>221369</v>
      </c>
      <c r="E271" s="13">
        <v>381231</v>
      </c>
      <c r="F271" s="13">
        <v>7770</v>
      </c>
      <c r="G271" s="13">
        <v>10862</v>
      </c>
      <c r="H271" s="13">
        <v>18632</v>
      </c>
      <c r="I271" s="13">
        <v>167632</v>
      </c>
      <c r="J271" s="13">
        <v>232231</v>
      </c>
      <c r="K271" s="14">
        <v>399863</v>
      </c>
      <c r="L271" s="13">
        <v>6288169323</v>
      </c>
      <c r="M271" s="13">
        <v>8823039511</v>
      </c>
      <c r="N271" s="13">
        <f t="shared" si="19"/>
        <v>15111208834</v>
      </c>
      <c r="O271" s="13">
        <v>595696176</v>
      </c>
      <c r="P271" s="13">
        <v>843745750</v>
      </c>
      <c r="Q271" s="13">
        <f t="shared" si="20"/>
        <v>1439441926</v>
      </c>
      <c r="R271" s="13">
        <f t="shared" si="21"/>
        <v>6883865499</v>
      </c>
      <c r="S271" s="13">
        <f t="shared" si="22"/>
        <v>9666785261</v>
      </c>
      <c r="T271" s="14">
        <f t="shared" si="23"/>
        <v>16550650760</v>
      </c>
      <c r="U271">
        <v>78.718604459999995</v>
      </c>
      <c r="V271">
        <v>129.01505570699999</v>
      </c>
      <c r="W271" s="221">
        <f t="shared" si="0"/>
        <v>1.6389398235909731</v>
      </c>
      <c r="X271" s="236">
        <f t="shared" si="1"/>
        <v>3836729.8374765259</v>
      </c>
      <c r="Y271" s="236">
        <f t="shared" si="2"/>
        <v>5383382.223069313</v>
      </c>
      <c r="Z271" s="236">
        <f t="shared" si="3"/>
        <v>9220112.0605458375</v>
      </c>
      <c r="AA271" s="236">
        <f t="shared" si="4"/>
        <v>363464.33677766722</v>
      </c>
      <c r="AB271" s="236">
        <f t="shared" si="5"/>
        <v>514811.9155170226</v>
      </c>
      <c r="AC271" s="236">
        <f t="shared" si="6"/>
        <v>878276.25229468988</v>
      </c>
      <c r="AD271" s="236">
        <f t="shared" si="7"/>
        <v>4200194.174254193</v>
      </c>
      <c r="AE271" s="236">
        <f t="shared" si="8"/>
        <v>5898194.1385863349</v>
      </c>
      <c r="AF271" s="236">
        <f t="shared" si="9"/>
        <v>10098388.312840529</v>
      </c>
      <c r="AG271" s="236">
        <f t="shared" si="10"/>
        <v>6288169.3229999999</v>
      </c>
      <c r="AH271" s="236">
        <f t="shared" si="11"/>
        <v>8823039.5109999999</v>
      </c>
      <c r="AI271" s="236">
        <f t="shared" si="12"/>
        <v>15111208.834000001</v>
      </c>
      <c r="AJ271" s="236">
        <f t="shared" si="13"/>
        <v>595696.17599999998</v>
      </c>
      <c r="AK271" s="236">
        <f t="shared" si="14"/>
        <v>843745.75</v>
      </c>
      <c r="AL271" s="236">
        <f t="shared" si="15"/>
        <v>1439441.926</v>
      </c>
      <c r="AM271" s="236">
        <f t="shared" si="16"/>
        <v>6883865.4989999998</v>
      </c>
      <c r="AN271" s="236">
        <f t="shared" si="17"/>
        <v>9666785.2609999999</v>
      </c>
      <c r="AO271" s="236">
        <f t="shared" si="18"/>
        <v>16550650.76</v>
      </c>
    </row>
    <row r="272" spans="2:41" hidden="1" x14ac:dyDescent="0.25">
      <c r="B272" s="12">
        <v>40603</v>
      </c>
      <c r="C272" s="13">
        <v>161524</v>
      </c>
      <c r="D272" s="13">
        <v>222893</v>
      </c>
      <c r="E272" s="13">
        <v>384417</v>
      </c>
      <c r="F272" s="13">
        <v>8148</v>
      </c>
      <c r="G272" s="13">
        <v>11369</v>
      </c>
      <c r="H272" s="13">
        <v>19517</v>
      </c>
      <c r="I272" s="13">
        <v>169672</v>
      </c>
      <c r="J272" s="13">
        <v>234262</v>
      </c>
      <c r="K272" s="14">
        <v>403934</v>
      </c>
      <c r="L272" s="13">
        <v>6041629769</v>
      </c>
      <c r="M272" s="13">
        <v>8191716339</v>
      </c>
      <c r="N272" s="13">
        <f t="shared" si="19"/>
        <v>14233346108</v>
      </c>
      <c r="O272" s="13">
        <v>697485183</v>
      </c>
      <c r="P272" s="13">
        <v>988420323</v>
      </c>
      <c r="Q272" s="13">
        <f t="shared" si="20"/>
        <v>1685905506</v>
      </c>
      <c r="R272" s="13">
        <f t="shared" si="21"/>
        <v>6739114952</v>
      </c>
      <c r="S272" s="13">
        <f t="shared" si="22"/>
        <v>9180136662</v>
      </c>
      <c r="T272" s="14">
        <f t="shared" si="23"/>
        <v>15919251614</v>
      </c>
      <c r="U272">
        <v>79.320558019999993</v>
      </c>
      <c r="V272">
        <v>129.01505570699999</v>
      </c>
      <c r="W272" s="221">
        <f t="shared" si="0"/>
        <v>1.6265021190908662</v>
      </c>
      <c r="X272" s="236">
        <f t="shared" si="1"/>
        <v>3714492.4055659827</v>
      </c>
      <c r="Y272" s="236">
        <f t="shared" si="2"/>
        <v>5036400.6556467097</v>
      </c>
      <c r="Z272" s="236">
        <f t="shared" si="3"/>
        <v>8750893.0612126924</v>
      </c>
      <c r="AA272" s="236">
        <f t="shared" si="4"/>
        <v>428825.2531695806</v>
      </c>
      <c r="AB272" s="236">
        <f t="shared" si="5"/>
        <v>607696.91683677468</v>
      </c>
      <c r="AC272" s="236">
        <f t="shared" si="6"/>
        <v>1036522.1700063553</v>
      </c>
      <c r="AD272" s="236">
        <f t="shared" si="7"/>
        <v>4143317.658735563</v>
      </c>
      <c r="AE272" s="236">
        <f t="shared" si="8"/>
        <v>5644097.5724834837</v>
      </c>
      <c r="AF272" s="236">
        <f t="shared" si="9"/>
        <v>9787415.2312190477</v>
      </c>
      <c r="AG272" s="236">
        <f t="shared" si="10"/>
        <v>6041629.7690000003</v>
      </c>
      <c r="AH272" s="236">
        <f t="shared" si="11"/>
        <v>8191716.3389999997</v>
      </c>
      <c r="AI272" s="236">
        <f t="shared" si="12"/>
        <v>14233346.107999999</v>
      </c>
      <c r="AJ272" s="236">
        <f t="shared" si="13"/>
        <v>697485.18299999996</v>
      </c>
      <c r="AK272" s="236">
        <f t="shared" si="14"/>
        <v>988420.32299999997</v>
      </c>
      <c r="AL272" s="236">
        <f t="shared" si="15"/>
        <v>1685905.5060000001</v>
      </c>
      <c r="AM272" s="236">
        <f t="shared" si="16"/>
        <v>6739114.9519999996</v>
      </c>
      <c r="AN272" s="236">
        <f t="shared" si="17"/>
        <v>9180136.6620000005</v>
      </c>
      <c r="AO272" s="236">
        <f t="shared" si="18"/>
        <v>15919251.614</v>
      </c>
    </row>
    <row r="273" spans="2:41" hidden="1" x14ac:dyDescent="0.25">
      <c r="B273" s="12">
        <v>40634</v>
      </c>
      <c r="C273" s="13">
        <v>161901</v>
      </c>
      <c r="D273" s="13">
        <v>222010</v>
      </c>
      <c r="E273" s="13">
        <v>383911</v>
      </c>
      <c r="F273" s="13">
        <v>8406</v>
      </c>
      <c r="G273" s="13">
        <v>11684</v>
      </c>
      <c r="H273" s="13">
        <v>20090</v>
      </c>
      <c r="I273" s="13">
        <v>170307</v>
      </c>
      <c r="J273" s="13">
        <v>233694</v>
      </c>
      <c r="K273" s="14">
        <v>404001</v>
      </c>
      <c r="L273" s="13">
        <v>5763556123</v>
      </c>
      <c r="M273" s="13">
        <v>7768121312</v>
      </c>
      <c r="N273" s="13">
        <f t="shared" si="19"/>
        <v>13531677435</v>
      </c>
      <c r="O273" s="13">
        <v>601583549</v>
      </c>
      <c r="P273" s="13">
        <v>844452334</v>
      </c>
      <c r="Q273" s="13">
        <f t="shared" si="20"/>
        <v>1446035883</v>
      </c>
      <c r="R273" s="13">
        <f t="shared" si="21"/>
        <v>6365139672</v>
      </c>
      <c r="S273" s="13">
        <f t="shared" si="22"/>
        <v>8612573646</v>
      </c>
      <c r="T273" s="14">
        <f t="shared" si="23"/>
        <v>14977713318</v>
      </c>
      <c r="U273">
        <v>79.573556539999998</v>
      </c>
      <c r="V273">
        <v>129.01505570699999</v>
      </c>
      <c r="W273" s="221">
        <f t="shared" si="0"/>
        <v>1.6213307701302349</v>
      </c>
      <c r="X273" s="236">
        <f t="shared" si="1"/>
        <v>3554830.5313030216</v>
      </c>
      <c r="Y273" s="236">
        <f t="shared" si="2"/>
        <v>4791200.8179404493</v>
      </c>
      <c r="Z273" s="236">
        <f t="shared" si="3"/>
        <v>8346031.3492434714</v>
      </c>
      <c r="AA273" s="236">
        <f t="shared" si="4"/>
        <v>371043.07158228866</v>
      </c>
      <c r="AB273" s="236">
        <f t="shared" si="5"/>
        <v>520839.02283071371</v>
      </c>
      <c r="AC273" s="236">
        <f t="shared" si="6"/>
        <v>891882.09441300237</v>
      </c>
      <c r="AD273" s="236">
        <f t="shared" si="7"/>
        <v>3925873.6028853101</v>
      </c>
      <c r="AE273" s="236">
        <f t="shared" si="8"/>
        <v>5312039.8407711629</v>
      </c>
      <c r="AF273" s="236">
        <f t="shared" si="9"/>
        <v>9237913.4436564725</v>
      </c>
      <c r="AG273" s="236">
        <f t="shared" si="10"/>
        <v>5763556.1229999997</v>
      </c>
      <c r="AH273" s="236">
        <f t="shared" si="11"/>
        <v>7768121.3119999999</v>
      </c>
      <c r="AI273" s="236">
        <f t="shared" si="12"/>
        <v>13531677.435000001</v>
      </c>
      <c r="AJ273" s="236">
        <f t="shared" si="13"/>
        <v>601583.549</v>
      </c>
      <c r="AK273" s="236">
        <f t="shared" si="14"/>
        <v>844452.33400000003</v>
      </c>
      <c r="AL273" s="236">
        <f t="shared" si="15"/>
        <v>1446035.8829999999</v>
      </c>
      <c r="AM273" s="236">
        <f t="shared" si="16"/>
        <v>6365139.6720000003</v>
      </c>
      <c r="AN273" s="236">
        <f t="shared" si="17"/>
        <v>8612573.6459999997</v>
      </c>
      <c r="AO273" s="236">
        <f t="shared" si="18"/>
        <v>14977713.318</v>
      </c>
    </row>
    <row r="274" spans="2:41" hidden="1" x14ac:dyDescent="0.25">
      <c r="B274" s="12">
        <v>40664</v>
      </c>
      <c r="C274" s="13">
        <v>165419</v>
      </c>
      <c r="D274" s="13">
        <v>223751</v>
      </c>
      <c r="E274" s="13">
        <v>389170</v>
      </c>
      <c r="F274" s="13">
        <v>9044</v>
      </c>
      <c r="G274" s="13">
        <v>12497</v>
      </c>
      <c r="H274" s="13">
        <v>21541</v>
      </c>
      <c r="I274" s="13">
        <v>174463</v>
      </c>
      <c r="J274" s="13">
        <v>236248</v>
      </c>
      <c r="K274" s="13">
        <v>410711</v>
      </c>
      <c r="L274" s="13">
        <v>6442570634</v>
      </c>
      <c r="M274" s="13">
        <v>8385773560</v>
      </c>
      <c r="N274" s="13">
        <f t="shared" si="19"/>
        <v>14828344194</v>
      </c>
      <c r="O274" s="13">
        <v>834321983</v>
      </c>
      <c r="P274" s="13">
        <v>1136068074</v>
      </c>
      <c r="Q274" s="13">
        <f t="shared" si="20"/>
        <v>1970390057</v>
      </c>
      <c r="R274" s="13">
        <f t="shared" si="21"/>
        <v>7276892617</v>
      </c>
      <c r="S274" s="13">
        <f t="shared" si="22"/>
        <v>9521841634</v>
      </c>
      <c r="T274" s="14">
        <f t="shared" si="23"/>
        <v>16798734251</v>
      </c>
      <c r="U274">
        <v>79.89172499</v>
      </c>
      <c r="V274">
        <v>129.01505570699999</v>
      </c>
      <c r="W274" s="221">
        <f t="shared" si="0"/>
        <v>1.6148738273350429</v>
      </c>
      <c r="X274" s="236">
        <f t="shared" si="1"/>
        <v>3989519.5060730525</v>
      </c>
      <c r="Y274" s="236">
        <f t="shared" si="2"/>
        <v>5192835.1417018641</v>
      </c>
      <c r="Z274" s="236">
        <f t="shared" si="3"/>
        <v>9182354.647774918</v>
      </c>
      <c r="AA274" s="236">
        <f t="shared" si="4"/>
        <v>516648.40241843899</v>
      </c>
      <c r="AB274" s="236">
        <f t="shared" si="5"/>
        <v>703502.68533041026</v>
      </c>
      <c r="AC274" s="236">
        <f t="shared" si="6"/>
        <v>1220151.0877488491</v>
      </c>
      <c r="AD274" s="236">
        <f t="shared" si="7"/>
        <v>4506167.9084914913</v>
      </c>
      <c r="AE274" s="236">
        <f t="shared" si="8"/>
        <v>5896337.8270322755</v>
      </c>
      <c r="AF274" s="236">
        <f t="shared" si="9"/>
        <v>10402505.735523766</v>
      </c>
      <c r="AG274" s="236">
        <f t="shared" si="10"/>
        <v>6442570.6339999996</v>
      </c>
      <c r="AH274" s="236">
        <f t="shared" si="11"/>
        <v>8385773.5599999996</v>
      </c>
      <c r="AI274" s="236">
        <f t="shared" si="12"/>
        <v>14828344.194</v>
      </c>
      <c r="AJ274" s="236">
        <f t="shared" si="13"/>
        <v>834321.98300000001</v>
      </c>
      <c r="AK274" s="236">
        <f t="shared" si="14"/>
        <v>1136068.074</v>
      </c>
      <c r="AL274" s="236">
        <f t="shared" si="15"/>
        <v>1970390.057</v>
      </c>
      <c r="AM274" s="236">
        <f t="shared" si="16"/>
        <v>7276892.6169999996</v>
      </c>
      <c r="AN274" s="236">
        <f t="shared" si="17"/>
        <v>9521841.6339999996</v>
      </c>
      <c r="AO274" s="236">
        <f t="shared" si="18"/>
        <v>16798734.250999998</v>
      </c>
    </row>
    <row r="275" spans="2:41" hidden="1" x14ac:dyDescent="0.25">
      <c r="B275" s="12">
        <v>40695</v>
      </c>
      <c r="C275" s="13">
        <v>168072</v>
      </c>
      <c r="D275" s="13">
        <v>229420</v>
      </c>
      <c r="E275" s="13">
        <v>397492</v>
      </c>
      <c r="F275" s="13">
        <v>9368</v>
      </c>
      <c r="G275" s="13">
        <v>13001</v>
      </c>
      <c r="H275" s="13">
        <v>22369</v>
      </c>
      <c r="I275" s="13">
        <v>177440</v>
      </c>
      <c r="J275" s="13">
        <v>242421</v>
      </c>
      <c r="K275" s="13">
        <v>419861</v>
      </c>
      <c r="L275" s="13">
        <v>6439677760</v>
      </c>
      <c r="M275" s="13">
        <v>9001948485</v>
      </c>
      <c r="N275" s="13">
        <f t="shared" si="19"/>
        <v>15441626245</v>
      </c>
      <c r="O275" s="13">
        <v>766367074</v>
      </c>
      <c r="P275" s="13">
        <v>1085237373</v>
      </c>
      <c r="Q275" s="13">
        <f t="shared" si="20"/>
        <v>1851604447</v>
      </c>
      <c r="R275" s="13">
        <f t="shared" si="21"/>
        <v>7206044834</v>
      </c>
      <c r="S275" s="13">
        <f t="shared" si="22"/>
        <v>10087185858</v>
      </c>
      <c r="T275" s="14">
        <f t="shared" si="23"/>
        <v>17293230692</v>
      </c>
      <c r="U275">
        <v>80.027305999999996</v>
      </c>
      <c r="V275">
        <v>129.01505570699999</v>
      </c>
      <c r="W275" s="221">
        <f t="shared" si="0"/>
        <v>1.6121379333573966</v>
      </c>
      <c r="X275" s="236">
        <f t="shared" ref="X275:X306" si="24">+L275/$W275/$AA$238</f>
        <v>3994495.5247029602</v>
      </c>
      <c r="Y275" s="236">
        <f t="shared" ref="Y275:Y306" si="25">+M275/$W275/$AA$238</f>
        <v>5583857.4967669016</v>
      </c>
      <c r="Z275" s="236">
        <f t="shared" ref="Z275:Z306" si="26">+N275/$W275/$AA$238</f>
        <v>9578353.0214698613</v>
      </c>
      <c r="AA275" s="236">
        <f t="shared" ref="AA275:AA306" si="27">+O275/$W275/$AA$238</f>
        <v>475373.14155494364</v>
      </c>
      <c r="AB275" s="236">
        <f t="shared" ref="AB275:AB306" si="28">+P275/$W275/$AA$238</f>
        <v>673166.57622459938</v>
      </c>
      <c r="AC275" s="236">
        <f t="shared" ref="AC275:AC306" si="29">+Q275/$W275/$AA$238</f>
        <v>1148539.717779543</v>
      </c>
      <c r="AD275" s="236">
        <f t="shared" ref="AD275:AD306" si="30">+R275/$W275/$AA$238</f>
        <v>4469868.6662579039</v>
      </c>
      <c r="AE275" s="236">
        <f t="shared" ref="AE275:AE306" si="31">+S275/$W275/$AA$238</f>
        <v>6257024.0729915015</v>
      </c>
      <c r="AF275" s="236">
        <f t="shared" ref="AF275:AF306" si="32">+T275/$W275/$AA$238</f>
        <v>10726892.739249405</v>
      </c>
      <c r="AG275" s="236">
        <f t="shared" si="10"/>
        <v>6439677.7599999998</v>
      </c>
      <c r="AH275" s="236">
        <f t="shared" si="11"/>
        <v>9001948.4849999994</v>
      </c>
      <c r="AI275" s="236">
        <f t="shared" si="12"/>
        <v>15441626.244999999</v>
      </c>
      <c r="AJ275" s="236">
        <f t="shared" si="13"/>
        <v>766367.07400000002</v>
      </c>
      <c r="AK275" s="236">
        <f t="shared" si="14"/>
        <v>1085237.3729999999</v>
      </c>
      <c r="AL275" s="236">
        <f t="shared" si="15"/>
        <v>1851604.4469999999</v>
      </c>
      <c r="AM275" s="236">
        <f t="shared" si="16"/>
        <v>7206044.8339999998</v>
      </c>
      <c r="AN275" s="236">
        <f t="shared" si="17"/>
        <v>10087185.857999999</v>
      </c>
      <c r="AO275" s="236">
        <f t="shared" si="18"/>
        <v>17293230.692000002</v>
      </c>
    </row>
    <row r="276" spans="2:41" hidden="1" x14ac:dyDescent="0.25">
      <c r="B276" s="12">
        <v>40725</v>
      </c>
      <c r="C276" s="13">
        <v>169626</v>
      </c>
      <c r="D276" s="13">
        <v>232716</v>
      </c>
      <c r="E276" s="13">
        <v>402342</v>
      </c>
      <c r="F276" s="13">
        <v>9629</v>
      </c>
      <c r="G276" s="13">
        <v>13322</v>
      </c>
      <c r="H276" s="13">
        <v>22951</v>
      </c>
      <c r="I276" s="13">
        <v>179255</v>
      </c>
      <c r="J276" s="13">
        <v>246038</v>
      </c>
      <c r="K276" s="13">
        <v>425293</v>
      </c>
      <c r="L276" s="13">
        <v>8074691873</v>
      </c>
      <c r="M276" s="13">
        <v>11131936645</v>
      </c>
      <c r="N276" s="13">
        <f t="shared" si="19"/>
        <v>19206628518</v>
      </c>
      <c r="O276" s="13">
        <v>785916326</v>
      </c>
      <c r="P276" s="13">
        <v>1081480996</v>
      </c>
      <c r="Q276" s="13">
        <f t="shared" si="20"/>
        <v>1867397322</v>
      </c>
      <c r="R276" s="13">
        <f t="shared" si="21"/>
        <v>8860608199</v>
      </c>
      <c r="S276" s="13">
        <f t="shared" si="22"/>
        <v>12213417641</v>
      </c>
      <c r="T276" s="14">
        <f t="shared" si="23"/>
        <v>21074025840</v>
      </c>
      <c r="U276">
        <v>80.12891166</v>
      </c>
      <c r="V276">
        <v>129.01505570699999</v>
      </c>
      <c r="W276" s="221">
        <f t="shared" si="0"/>
        <v>1.6100936981951264</v>
      </c>
      <c r="X276" s="236">
        <f t="shared" si="24"/>
        <v>5015044.7033309443</v>
      </c>
      <c r="Y276" s="236">
        <f t="shared" si="25"/>
        <v>6913843.9939729059</v>
      </c>
      <c r="Z276" s="236">
        <f t="shared" si="26"/>
        <v>11928888.69730385</v>
      </c>
      <c r="AA276" s="236">
        <f t="shared" si="27"/>
        <v>488118.3789993042</v>
      </c>
      <c r="AB276" s="236">
        <f t="shared" si="28"/>
        <v>671688.23604012141</v>
      </c>
      <c r="AC276" s="236">
        <f t="shared" si="29"/>
        <v>1159806.6150394257</v>
      </c>
      <c r="AD276" s="236">
        <f t="shared" si="30"/>
        <v>5503163.0823302483</v>
      </c>
      <c r="AE276" s="236">
        <f t="shared" si="31"/>
        <v>7585532.2300130278</v>
      </c>
      <c r="AF276" s="236">
        <f t="shared" si="32"/>
        <v>13088695.312343275</v>
      </c>
      <c r="AG276" s="236">
        <f t="shared" si="10"/>
        <v>8074691.8729999997</v>
      </c>
      <c r="AH276" s="236">
        <f t="shared" si="11"/>
        <v>11131936.645</v>
      </c>
      <c r="AI276" s="236">
        <f t="shared" si="12"/>
        <v>19206628.517999999</v>
      </c>
      <c r="AJ276" s="236">
        <f t="shared" si="13"/>
        <v>785916.326</v>
      </c>
      <c r="AK276" s="236">
        <f t="shared" si="14"/>
        <v>1081480.996</v>
      </c>
      <c r="AL276" s="236">
        <f t="shared" si="15"/>
        <v>1867397.3219999999</v>
      </c>
      <c r="AM276" s="236">
        <f t="shared" si="16"/>
        <v>8860608.1989999991</v>
      </c>
      <c r="AN276" s="236">
        <f t="shared" si="17"/>
        <v>12213417.641000001</v>
      </c>
      <c r="AO276" s="236">
        <f t="shared" si="18"/>
        <v>21074025.84</v>
      </c>
    </row>
    <row r="277" spans="2:41" hidden="1" x14ac:dyDescent="0.25">
      <c r="B277" s="12">
        <v>40756</v>
      </c>
      <c r="C277" s="13">
        <v>172104</v>
      </c>
      <c r="D277" s="13">
        <v>237643</v>
      </c>
      <c r="E277" s="13">
        <v>409747</v>
      </c>
      <c r="F277" s="13">
        <v>9887</v>
      </c>
      <c r="G277" s="13">
        <v>13665</v>
      </c>
      <c r="H277" s="13">
        <v>23552</v>
      </c>
      <c r="I277" s="13">
        <v>181991</v>
      </c>
      <c r="J277" s="13">
        <v>251308</v>
      </c>
      <c r="K277" s="13">
        <v>433299</v>
      </c>
      <c r="L277" s="13">
        <v>8420956934</v>
      </c>
      <c r="M277" s="13">
        <v>11666210709</v>
      </c>
      <c r="N277" s="13">
        <f t="shared" si="19"/>
        <v>20087167643</v>
      </c>
      <c r="O277" s="13">
        <v>819803003</v>
      </c>
      <c r="P277" s="13">
        <v>1121989017</v>
      </c>
      <c r="Q277" s="13">
        <f t="shared" si="20"/>
        <v>1941792020</v>
      </c>
      <c r="R277" s="13">
        <f t="shared" si="21"/>
        <v>9240759937</v>
      </c>
      <c r="S277" s="13">
        <f t="shared" si="22"/>
        <v>12788199726</v>
      </c>
      <c r="T277" s="14">
        <f t="shared" si="23"/>
        <v>22028959663</v>
      </c>
      <c r="U277">
        <v>80.258840259999999</v>
      </c>
      <c r="V277">
        <v>129.01505570699999</v>
      </c>
      <c r="W277" s="221">
        <f t="shared" si="0"/>
        <v>1.6074871663863237</v>
      </c>
      <c r="X277" s="236">
        <f t="shared" si="24"/>
        <v>5238584.2388593042</v>
      </c>
      <c r="Y277" s="236">
        <f t="shared" si="25"/>
        <v>7257420.745215633</v>
      </c>
      <c r="Z277" s="236">
        <f t="shared" si="26"/>
        <v>12496004.984074937</v>
      </c>
      <c r="AA277" s="236">
        <f t="shared" si="27"/>
        <v>509990.3875705211</v>
      </c>
      <c r="AB277" s="236">
        <f t="shared" si="28"/>
        <v>697976.96707107325</v>
      </c>
      <c r="AC277" s="236">
        <f t="shared" si="29"/>
        <v>1207967.3546415945</v>
      </c>
      <c r="AD277" s="236">
        <f t="shared" si="30"/>
        <v>5748574.626429826</v>
      </c>
      <c r="AE277" s="236">
        <f t="shared" si="31"/>
        <v>7955397.712286707</v>
      </c>
      <c r="AF277" s="236">
        <f t="shared" si="32"/>
        <v>13703972.338716531</v>
      </c>
      <c r="AG277" s="236">
        <f t="shared" si="10"/>
        <v>8420956.9340000004</v>
      </c>
      <c r="AH277" s="236">
        <f t="shared" si="11"/>
        <v>11666210.709000001</v>
      </c>
      <c r="AI277" s="236">
        <f t="shared" si="12"/>
        <v>20087167.642999999</v>
      </c>
      <c r="AJ277" s="236">
        <f t="shared" si="13"/>
        <v>819803.00300000003</v>
      </c>
      <c r="AK277" s="236">
        <f t="shared" si="14"/>
        <v>1121989.017</v>
      </c>
      <c r="AL277" s="236">
        <f t="shared" si="15"/>
        <v>1941792.02</v>
      </c>
      <c r="AM277" s="236">
        <f t="shared" si="16"/>
        <v>9240759.9370000008</v>
      </c>
      <c r="AN277" s="236">
        <f t="shared" si="17"/>
        <v>12788199.726</v>
      </c>
      <c r="AO277" s="236">
        <f t="shared" si="18"/>
        <v>22028959.662999999</v>
      </c>
    </row>
    <row r="278" spans="2:41" hidden="1" x14ac:dyDescent="0.25">
      <c r="B278" s="12">
        <v>40787</v>
      </c>
      <c r="C278" s="13">
        <v>171862</v>
      </c>
      <c r="D278" s="13">
        <v>237602</v>
      </c>
      <c r="E278" s="13">
        <v>409464</v>
      </c>
      <c r="F278" s="13">
        <v>9861</v>
      </c>
      <c r="G278" s="13">
        <v>13650</v>
      </c>
      <c r="H278" s="13">
        <v>23511</v>
      </c>
      <c r="I278" s="13">
        <v>181723</v>
      </c>
      <c r="J278" s="13">
        <v>251252</v>
      </c>
      <c r="K278" s="13">
        <v>432975</v>
      </c>
      <c r="L278" s="13">
        <v>7874370677</v>
      </c>
      <c r="M278" s="13">
        <v>10801076694</v>
      </c>
      <c r="N278" s="13">
        <f t="shared" si="19"/>
        <v>18675447371</v>
      </c>
      <c r="O278" s="13">
        <v>736387641</v>
      </c>
      <c r="P278" s="13">
        <v>1030572640</v>
      </c>
      <c r="Q278" s="13">
        <f t="shared" si="20"/>
        <v>1766960281</v>
      </c>
      <c r="R278" s="13">
        <f t="shared" si="21"/>
        <v>8610758318</v>
      </c>
      <c r="S278" s="13">
        <f t="shared" si="22"/>
        <v>11831649334</v>
      </c>
      <c r="T278" s="14">
        <f t="shared" si="23"/>
        <v>20442407652</v>
      </c>
      <c r="U278">
        <v>80.657741869999995</v>
      </c>
      <c r="V278">
        <v>129.01505570699999</v>
      </c>
      <c r="W278" s="221">
        <f t="shared" si="0"/>
        <v>1.5995371642679983</v>
      </c>
      <c r="X278" s="236">
        <f t="shared" si="24"/>
        <v>4922905.733549227</v>
      </c>
      <c r="Y278" s="236">
        <f t="shared" si="25"/>
        <v>6752626.2817050172</v>
      </c>
      <c r="Z278" s="236">
        <f t="shared" si="26"/>
        <v>11675532.015254244</v>
      </c>
      <c r="AA278" s="236">
        <f t="shared" si="27"/>
        <v>460375.44950510457</v>
      </c>
      <c r="AB278" s="236">
        <f t="shared" si="28"/>
        <v>644294.27650818264</v>
      </c>
      <c r="AC278" s="236">
        <f t="shared" si="29"/>
        <v>1104669.726013287</v>
      </c>
      <c r="AD278" s="236">
        <f t="shared" si="30"/>
        <v>5383281.1830543308</v>
      </c>
      <c r="AE278" s="236">
        <f t="shared" si="31"/>
        <v>7396920.5582131995</v>
      </c>
      <c r="AF278" s="236">
        <f t="shared" si="32"/>
        <v>12780201.74126753</v>
      </c>
      <c r="AG278" s="236">
        <f t="shared" si="10"/>
        <v>7874370.6770000001</v>
      </c>
      <c r="AH278" s="236">
        <f t="shared" si="11"/>
        <v>10801076.694</v>
      </c>
      <c r="AI278" s="236">
        <f t="shared" si="12"/>
        <v>18675447.370999999</v>
      </c>
      <c r="AJ278" s="236">
        <f t="shared" si="13"/>
        <v>736387.64099999995</v>
      </c>
      <c r="AK278" s="236">
        <f t="shared" si="14"/>
        <v>1030572.64</v>
      </c>
      <c r="AL278" s="236">
        <f t="shared" si="15"/>
        <v>1766960.281</v>
      </c>
      <c r="AM278" s="236">
        <f t="shared" si="16"/>
        <v>8610758.318</v>
      </c>
      <c r="AN278" s="236">
        <f t="shared" si="17"/>
        <v>11831649.334000001</v>
      </c>
      <c r="AO278" s="236">
        <f t="shared" si="18"/>
        <v>20442407.651999999</v>
      </c>
    </row>
    <row r="279" spans="2:41" hidden="1" x14ac:dyDescent="0.25">
      <c r="B279" s="12">
        <v>40817</v>
      </c>
      <c r="C279" s="13">
        <v>177646</v>
      </c>
      <c r="D279" s="13">
        <v>244518</v>
      </c>
      <c r="E279" s="13">
        <v>422164</v>
      </c>
      <c r="F279" s="13">
        <v>10422</v>
      </c>
      <c r="G279" s="13">
        <v>14421</v>
      </c>
      <c r="H279" s="13">
        <v>24843</v>
      </c>
      <c r="I279" s="13">
        <v>188068</v>
      </c>
      <c r="J279" s="13">
        <v>258939</v>
      </c>
      <c r="K279" s="13">
        <v>447007</v>
      </c>
      <c r="L279" s="13">
        <v>9310324617</v>
      </c>
      <c r="M279" s="13">
        <v>12331326425</v>
      </c>
      <c r="N279" s="13">
        <f t="shared" si="19"/>
        <v>21641651042</v>
      </c>
      <c r="O279" s="13">
        <v>932633139</v>
      </c>
      <c r="P279" s="13">
        <v>1284272713</v>
      </c>
      <c r="Q279" s="13">
        <f t="shared" si="20"/>
        <v>2216905852</v>
      </c>
      <c r="R279" s="13">
        <f t="shared" si="21"/>
        <v>10242957756</v>
      </c>
      <c r="S279" s="13">
        <f t="shared" si="22"/>
        <v>13615599138</v>
      </c>
      <c r="T279" s="14">
        <f t="shared" si="23"/>
        <v>23858556894</v>
      </c>
      <c r="U279">
        <v>81.04926494</v>
      </c>
      <c r="V279">
        <v>129.01505570699999</v>
      </c>
      <c r="W279" s="221">
        <f t="shared" si="0"/>
        <v>1.5918103119443292</v>
      </c>
      <c r="X279" s="236">
        <f t="shared" si="24"/>
        <v>5848890.7548461789</v>
      </c>
      <c r="Y279" s="236">
        <f t="shared" si="25"/>
        <v>7746731.0850234441</v>
      </c>
      <c r="Z279" s="236">
        <f t="shared" si="26"/>
        <v>13595621.839869624</v>
      </c>
      <c r="AA279" s="236">
        <f t="shared" si="27"/>
        <v>585894.64586444839</v>
      </c>
      <c r="AB279" s="236">
        <f t="shared" si="28"/>
        <v>806800.09632009175</v>
      </c>
      <c r="AC279" s="236">
        <f t="shared" si="29"/>
        <v>1392694.7421845403</v>
      </c>
      <c r="AD279" s="236">
        <f t="shared" si="30"/>
        <v>6434785.4007106274</v>
      </c>
      <c r="AE279" s="236">
        <f t="shared" si="31"/>
        <v>8553531.181343535</v>
      </c>
      <c r="AF279" s="236">
        <f t="shared" si="32"/>
        <v>14988316.582054162</v>
      </c>
      <c r="AG279" s="236">
        <f t="shared" si="10"/>
        <v>9310324.6170000006</v>
      </c>
      <c r="AH279" s="236">
        <f t="shared" si="11"/>
        <v>12331326.425000001</v>
      </c>
      <c r="AI279" s="236">
        <f t="shared" si="12"/>
        <v>21641651.041999999</v>
      </c>
      <c r="AJ279" s="236">
        <f t="shared" si="13"/>
        <v>932633.13899999997</v>
      </c>
      <c r="AK279" s="236">
        <f t="shared" si="14"/>
        <v>1284272.713</v>
      </c>
      <c r="AL279" s="236">
        <f t="shared" si="15"/>
        <v>2216905.852</v>
      </c>
      <c r="AM279" s="236">
        <f t="shared" si="16"/>
        <v>10242957.755999999</v>
      </c>
      <c r="AN279" s="236">
        <f t="shared" si="17"/>
        <v>13615599.138</v>
      </c>
      <c r="AO279" s="236">
        <f t="shared" si="18"/>
        <v>23858556.894000001</v>
      </c>
    </row>
    <row r="280" spans="2:41" hidden="1" x14ac:dyDescent="0.25">
      <c r="B280" s="12">
        <v>40848</v>
      </c>
      <c r="C280" s="13">
        <v>177882</v>
      </c>
      <c r="D280" s="13">
        <v>244805</v>
      </c>
      <c r="E280" s="13">
        <v>422687</v>
      </c>
      <c r="F280" s="13">
        <v>10364</v>
      </c>
      <c r="G280" s="13">
        <v>14395</v>
      </c>
      <c r="H280" s="13">
        <v>24759</v>
      </c>
      <c r="I280" s="13">
        <v>188246</v>
      </c>
      <c r="J280" s="13">
        <v>259200</v>
      </c>
      <c r="K280" s="13">
        <v>447446</v>
      </c>
      <c r="L280" s="13">
        <v>8523793522</v>
      </c>
      <c r="M280" s="13">
        <v>11477395828</v>
      </c>
      <c r="N280" s="13">
        <f t="shared" si="19"/>
        <v>20001189350</v>
      </c>
      <c r="O280" s="13">
        <v>780005958</v>
      </c>
      <c r="P280" s="13">
        <v>1091560498</v>
      </c>
      <c r="Q280" s="13">
        <f t="shared" si="20"/>
        <v>1871566456</v>
      </c>
      <c r="R280" s="13">
        <f t="shared" si="21"/>
        <v>9303799480</v>
      </c>
      <c r="S280" s="13">
        <f t="shared" si="22"/>
        <v>12568956326</v>
      </c>
      <c r="T280" s="14">
        <f t="shared" si="23"/>
        <v>21872755806</v>
      </c>
      <c r="U280">
        <v>81.306441989999996</v>
      </c>
      <c r="V280">
        <v>129.01505570699999</v>
      </c>
      <c r="W280" s="221">
        <f t="shared" si="0"/>
        <v>1.5867753224629821</v>
      </c>
      <c r="X280" s="236">
        <f t="shared" si="24"/>
        <v>5371770.9125759685</v>
      </c>
      <c r="Y280" s="236">
        <f t="shared" si="25"/>
        <v>7233157.5022132704</v>
      </c>
      <c r="Z280" s="236">
        <f t="shared" si="26"/>
        <v>12604928.414789237</v>
      </c>
      <c r="AA280" s="236">
        <f t="shared" si="27"/>
        <v>491566.73094038281</v>
      </c>
      <c r="AB280" s="236">
        <f t="shared" si="28"/>
        <v>687911.18852648092</v>
      </c>
      <c r="AC280" s="236">
        <f t="shared" si="29"/>
        <v>1179477.9194668636</v>
      </c>
      <c r="AD280" s="236">
        <f t="shared" si="30"/>
        <v>5863337.6435163505</v>
      </c>
      <c r="AE280" s="236">
        <f t="shared" si="31"/>
        <v>7921068.6907397509</v>
      </c>
      <c r="AF280" s="236">
        <f t="shared" si="32"/>
        <v>13784406.334256101</v>
      </c>
      <c r="AG280" s="236">
        <f t="shared" si="10"/>
        <v>8523793.5219999999</v>
      </c>
      <c r="AH280" s="236">
        <f t="shared" si="11"/>
        <v>11477395.828</v>
      </c>
      <c r="AI280" s="236">
        <f t="shared" si="12"/>
        <v>20001189.350000001</v>
      </c>
      <c r="AJ280" s="236">
        <f t="shared" si="13"/>
        <v>780005.95799999998</v>
      </c>
      <c r="AK280" s="236">
        <f t="shared" si="14"/>
        <v>1091560.4979999999</v>
      </c>
      <c r="AL280" s="236">
        <f t="shared" si="15"/>
        <v>1871566.456</v>
      </c>
      <c r="AM280" s="236">
        <f t="shared" si="16"/>
        <v>9303799.4800000004</v>
      </c>
      <c r="AN280" s="236">
        <f t="shared" si="17"/>
        <v>12568956.325999999</v>
      </c>
      <c r="AO280" s="236">
        <f t="shared" si="18"/>
        <v>21872755.806000002</v>
      </c>
    </row>
    <row r="281" spans="2:41" hidden="1" x14ac:dyDescent="0.25">
      <c r="B281" s="15">
        <v>40878</v>
      </c>
      <c r="C281" s="16">
        <v>183726</v>
      </c>
      <c r="D281" s="16">
        <v>253065</v>
      </c>
      <c r="E281" s="16">
        <v>436791</v>
      </c>
      <c r="F281" s="16">
        <v>10837</v>
      </c>
      <c r="G281" s="16">
        <v>15067</v>
      </c>
      <c r="H281" s="16">
        <v>25904</v>
      </c>
      <c r="I281" s="17">
        <v>194563</v>
      </c>
      <c r="J281" s="17">
        <v>268132</v>
      </c>
      <c r="K281" s="17">
        <v>462695</v>
      </c>
      <c r="L281" s="16">
        <v>9472467759</v>
      </c>
      <c r="M281" s="16">
        <v>12824071208</v>
      </c>
      <c r="N281" s="16">
        <f t="shared" si="19"/>
        <v>22296538967</v>
      </c>
      <c r="O281" s="16">
        <v>956107644</v>
      </c>
      <c r="P281" s="16">
        <v>1327843193</v>
      </c>
      <c r="Q281" s="16">
        <f t="shared" si="20"/>
        <v>2283950837</v>
      </c>
      <c r="R281" s="16">
        <f t="shared" si="21"/>
        <v>10428575403</v>
      </c>
      <c r="S281" s="16">
        <f t="shared" si="22"/>
        <v>14151914401</v>
      </c>
      <c r="T281" s="16">
        <f t="shared" si="23"/>
        <v>24580489804</v>
      </c>
      <c r="U281">
        <v>81.801766929999999</v>
      </c>
      <c r="V281">
        <v>129.01505570699999</v>
      </c>
      <c r="W281" s="221">
        <f t="shared" si="0"/>
        <v>1.5771671022387779</v>
      </c>
      <c r="X281" s="236">
        <f t="shared" si="24"/>
        <v>6006001.3587361146</v>
      </c>
      <c r="Y281" s="236">
        <f t="shared" si="25"/>
        <v>8131079.5728596672</v>
      </c>
      <c r="Z281" s="236">
        <f t="shared" si="26"/>
        <v>14137080.931595782</v>
      </c>
      <c r="AA281" s="236">
        <f t="shared" si="27"/>
        <v>606218.35355480842</v>
      </c>
      <c r="AB281" s="236">
        <f t="shared" si="28"/>
        <v>841916.61816629057</v>
      </c>
      <c r="AC281" s="236">
        <f t="shared" si="29"/>
        <v>1448134.971721099</v>
      </c>
      <c r="AD281" s="236">
        <f t="shared" si="30"/>
        <v>6612219.7122909222</v>
      </c>
      <c r="AE281" s="236">
        <f t="shared" si="31"/>
        <v>8972996.1910259575</v>
      </c>
      <c r="AF281" s="236">
        <f t="shared" si="32"/>
        <v>15585215.90331688</v>
      </c>
      <c r="AG281" s="236">
        <f t="shared" si="10"/>
        <v>9472467.7589999996</v>
      </c>
      <c r="AH281" s="236">
        <f t="shared" si="11"/>
        <v>12824071.208000001</v>
      </c>
      <c r="AI281" s="236">
        <f t="shared" si="12"/>
        <v>22296538.967</v>
      </c>
      <c r="AJ281" s="236">
        <f t="shared" si="13"/>
        <v>956107.64399999997</v>
      </c>
      <c r="AK281" s="236">
        <f t="shared" si="14"/>
        <v>1327843.193</v>
      </c>
      <c r="AL281" s="236">
        <f t="shared" si="15"/>
        <v>2283950.8369999998</v>
      </c>
      <c r="AM281" s="236">
        <f t="shared" si="16"/>
        <v>10428575.403000001</v>
      </c>
      <c r="AN281" s="236">
        <f t="shared" si="17"/>
        <v>14151914.401000001</v>
      </c>
      <c r="AO281" s="236">
        <f t="shared" si="18"/>
        <v>24580489.804000001</v>
      </c>
    </row>
    <row r="282" spans="2:41" hidden="1" x14ac:dyDescent="0.25">
      <c r="B282" s="12">
        <v>40909</v>
      </c>
      <c r="C282" s="13">
        <v>182814</v>
      </c>
      <c r="D282" s="13">
        <v>252071</v>
      </c>
      <c r="E282" s="13">
        <v>434885</v>
      </c>
      <c r="F282" s="13">
        <v>10786</v>
      </c>
      <c r="G282" s="13">
        <v>15016</v>
      </c>
      <c r="H282" s="13">
        <v>25802</v>
      </c>
      <c r="I282" s="13">
        <v>193600</v>
      </c>
      <c r="J282" s="13">
        <v>267087</v>
      </c>
      <c r="K282" s="13">
        <v>460687</v>
      </c>
      <c r="L282" s="13">
        <v>8554672451</v>
      </c>
      <c r="M282" s="13">
        <v>11273151109</v>
      </c>
      <c r="N282" s="13">
        <f t="shared" si="19"/>
        <v>19827823560</v>
      </c>
      <c r="O282" s="13">
        <v>806445767</v>
      </c>
      <c r="P282" s="13">
        <v>1134397493</v>
      </c>
      <c r="Q282" s="13">
        <f t="shared" si="20"/>
        <v>1940843260</v>
      </c>
      <c r="R282" s="13">
        <f t="shared" si="21"/>
        <v>9361118218</v>
      </c>
      <c r="S282" s="13">
        <f t="shared" si="22"/>
        <v>12407548602</v>
      </c>
      <c r="T282" s="14">
        <f t="shared" si="23"/>
        <v>21768666820</v>
      </c>
      <c r="U282">
        <v>81.873765579999997</v>
      </c>
      <c r="V282">
        <v>129.01505570699999</v>
      </c>
      <c r="W282" s="221">
        <f t="shared" si="0"/>
        <v>1.5757801634387707</v>
      </c>
      <c r="X282" s="236">
        <f t="shared" si="24"/>
        <v>5428848.9279693896</v>
      </c>
      <c r="Y282" s="236">
        <f t="shared" si="25"/>
        <v>7154012.5777437063</v>
      </c>
      <c r="Z282" s="236">
        <f t="shared" si="26"/>
        <v>12582861.505713096</v>
      </c>
      <c r="AA282" s="236">
        <f t="shared" si="27"/>
        <v>511775.55455459043</v>
      </c>
      <c r="AB282" s="236">
        <f t="shared" si="28"/>
        <v>719895.78198804299</v>
      </c>
      <c r="AC282" s="236">
        <f t="shared" si="29"/>
        <v>1231671.3365426334</v>
      </c>
      <c r="AD282" s="236">
        <f t="shared" si="30"/>
        <v>5940624.4825239806</v>
      </c>
      <c r="AE282" s="236">
        <f t="shared" si="31"/>
        <v>7873908.3597317506</v>
      </c>
      <c r="AF282" s="236">
        <f t="shared" si="32"/>
        <v>13814532.84225573</v>
      </c>
      <c r="AG282" s="236">
        <f t="shared" si="10"/>
        <v>8554672.4509999994</v>
      </c>
      <c r="AH282" s="236">
        <f t="shared" si="11"/>
        <v>11273151.108999999</v>
      </c>
      <c r="AI282" s="236">
        <f t="shared" si="12"/>
        <v>19827823.559999999</v>
      </c>
      <c r="AJ282" s="236">
        <f t="shared" si="13"/>
        <v>806445.76699999999</v>
      </c>
      <c r="AK282" s="236">
        <f t="shared" si="14"/>
        <v>1134397.493</v>
      </c>
      <c r="AL282" s="236">
        <f t="shared" si="15"/>
        <v>1940843.26</v>
      </c>
      <c r="AM282" s="236">
        <f t="shared" si="16"/>
        <v>9361118.2180000003</v>
      </c>
      <c r="AN282" s="236">
        <f t="shared" si="17"/>
        <v>12407548.602</v>
      </c>
      <c r="AO282" s="236">
        <f t="shared" si="18"/>
        <v>21768666.82</v>
      </c>
    </row>
    <row r="283" spans="2:41" hidden="1" x14ac:dyDescent="0.25">
      <c r="B283" s="12">
        <v>40940</v>
      </c>
      <c r="C283" s="13">
        <v>187623</v>
      </c>
      <c r="D283" s="13">
        <v>257841</v>
      </c>
      <c r="E283" s="13">
        <v>445464</v>
      </c>
      <c r="F283" s="13">
        <v>11407</v>
      </c>
      <c r="G283" s="13">
        <v>15866</v>
      </c>
      <c r="H283" s="13">
        <v>27273</v>
      </c>
      <c r="I283" s="13">
        <v>199030</v>
      </c>
      <c r="J283" s="13">
        <v>273707</v>
      </c>
      <c r="K283" s="13">
        <v>472737</v>
      </c>
      <c r="L283" s="13">
        <v>9425869013</v>
      </c>
      <c r="M283" s="13">
        <v>12687628673</v>
      </c>
      <c r="N283" s="13">
        <f t="shared" si="19"/>
        <v>22113497686</v>
      </c>
      <c r="O283" s="13">
        <v>1037314769</v>
      </c>
      <c r="P283" s="13">
        <v>1431536124</v>
      </c>
      <c r="Q283" s="13">
        <f t="shared" si="20"/>
        <v>2468850893</v>
      </c>
      <c r="R283" s="13">
        <f t="shared" si="21"/>
        <v>10463183782</v>
      </c>
      <c r="S283" s="13">
        <f t="shared" si="22"/>
        <v>14119164797</v>
      </c>
      <c r="T283" s="14">
        <f t="shared" si="23"/>
        <v>24582348579</v>
      </c>
      <c r="U283">
        <v>82.191759719999993</v>
      </c>
      <c r="V283">
        <v>129.01505570699999</v>
      </c>
      <c r="W283" s="221">
        <f t="shared" si="0"/>
        <v>1.5696835807690626</v>
      </c>
      <c r="X283" s="236">
        <f t="shared" si="24"/>
        <v>6004948.467627991</v>
      </c>
      <c r="Y283" s="236">
        <f t="shared" si="25"/>
        <v>8082921.1877107918</v>
      </c>
      <c r="Z283" s="236">
        <f t="shared" si="26"/>
        <v>14087869.655338783</v>
      </c>
      <c r="AA283" s="236">
        <f t="shared" si="27"/>
        <v>660843.23089610855</v>
      </c>
      <c r="AB283" s="236">
        <f t="shared" si="28"/>
        <v>911990.25175419275</v>
      </c>
      <c r="AC283" s="236">
        <f t="shared" si="29"/>
        <v>1572833.4826503012</v>
      </c>
      <c r="AD283" s="236">
        <f t="shared" si="30"/>
        <v>6665791.6985240998</v>
      </c>
      <c r="AE283" s="236">
        <f t="shared" si="31"/>
        <v>8994911.4394649845</v>
      </c>
      <c r="AF283" s="236">
        <f t="shared" si="32"/>
        <v>15660703.137989085</v>
      </c>
      <c r="AG283" s="236">
        <f t="shared" si="10"/>
        <v>9425869.0130000003</v>
      </c>
      <c r="AH283" s="236">
        <f t="shared" si="11"/>
        <v>12687628.673</v>
      </c>
      <c r="AI283" s="236">
        <f t="shared" si="12"/>
        <v>22113497.686000001</v>
      </c>
      <c r="AJ283" s="236">
        <f t="shared" si="13"/>
        <v>1037314.769</v>
      </c>
      <c r="AK283" s="236">
        <f t="shared" si="14"/>
        <v>1431536.1240000001</v>
      </c>
      <c r="AL283" s="236">
        <f t="shared" si="15"/>
        <v>2468850.8930000002</v>
      </c>
      <c r="AM283" s="236">
        <f t="shared" si="16"/>
        <v>10463183.782</v>
      </c>
      <c r="AN283" s="236">
        <f t="shared" si="17"/>
        <v>14119164.797</v>
      </c>
      <c r="AO283" s="236">
        <f t="shared" si="18"/>
        <v>24582348.579</v>
      </c>
    </row>
    <row r="284" spans="2:41" hidden="1" x14ac:dyDescent="0.25">
      <c r="B284" s="12">
        <v>40969</v>
      </c>
      <c r="C284" s="13">
        <v>193233</v>
      </c>
      <c r="D284" s="13">
        <v>266227</v>
      </c>
      <c r="E284" s="13">
        <v>459460</v>
      </c>
      <c r="F284" s="13">
        <v>11662</v>
      </c>
      <c r="G284" s="13">
        <v>16203</v>
      </c>
      <c r="H284" s="13">
        <v>27865</v>
      </c>
      <c r="I284" s="13">
        <v>204895</v>
      </c>
      <c r="J284" s="13">
        <v>282430</v>
      </c>
      <c r="K284" s="13">
        <v>487325</v>
      </c>
      <c r="L284" s="13">
        <v>9493115514</v>
      </c>
      <c r="M284" s="13">
        <v>13091164983</v>
      </c>
      <c r="N284" s="13">
        <f t="shared" si="19"/>
        <v>22584280497</v>
      </c>
      <c r="O284" s="13">
        <v>962925862</v>
      </c>
      <c r="P284" s="13">
        <v>1327328452</v>
      </c>
      <c r="Q284" s="13">
        <f t="shared" si="20"/>
        <v>2290254314</v>
      </c>
      <c r="R284" s="13">
        <f t="shared" si="21"/>
        <v>10456041376</v>
      </c>
      <c r="S284" s="13">
        <f t="shared" si="22"/>
        <v>14418493435</v>
      </c>
      <c r="T284" s="14">
        <f t="shared" si="23"/>
        <v>24874534811</v>
      </c>
      <c r="U284">
        <v>82.325894520000006</v>
      </c>
      <c r="V284">
        <v>129.01505570699999</v>
      </c>
      <c r="W284" s="221">
        <f t="shared" si="0"/>
        <v>1.5671260720484179</v>
      </c>
      <c r="X284" s="236">
        <f t="shared" si="24"/>
        <v>6057659.1017922265</v>
      </c>
      <c r="Y284" s="236">
        <f t="shared" si="25"/>
        <v>8353613.1626527719</v>
      </c>
      <c r="Z284" s="236">
        <f t="shared" si="26"/>
        <v>14411272.264444999</v>
      </c>
      <c r="AA284" s="236">
        <f t="shared" si="27"/>
        <v>614453.34818617546</v>
      </c>
      <c r="AB284" s="236">
        <f t="shared" si="28"/>
        <v>846982.55977901362</v>
      </c>
      <c r="AC284" s="236">
        <f t="shared" si="29"/>
        <v>1461435.9079651893</v>
      </c>
      <c r="AD284" s="236">
        <f t="shared" si="30"/>
        <v>6672112.4499784019</v>
      </c>
      <c r="AE284" s="236">
        <f t="shared" si="31"/>
        <v>9200595.7224317864</v>
      </c>
      <c r="AF284" s="236">
        <f t="shared" si="32"/>
        <v>15872708.172410188</v>
      </c>
      <c r="AG284" s="236">
        <f t="shared" si="10"/>
        <v>9493115.5140000004</v>
      </c>
      <c r="AH284" s="236">
        <f t="shared" si="11"/>
        <v>13091164.982999999</v>
      </c>
      <c r="AI284" s="236">
        <f t="shared" si="12"/>
        <v>22584280.497000001</v>
      </c>
      <c r="AJ284" s="236">
        <f t="shared" si="13"/>
        <v>962925.86199999996</v>
      </c>
      <c r="AK284" s="236">
        <f t="shared" si="14"/>
        <v>1327328.452</v>
      </c>
      <c r="AL284" s="236">
        <f t="shared" si="15"/>
        <v>2290254.3139999998</v>
      </c>
      <c r="AM284" s="236">
        <f t="shared" si="16"/>
        <v>10456041.376</v>
      </c>
      <c r="AN284" s="236">
        <f t="shared" si="17"/>
        <v>14418493.435000001</v>
      </c>
      <c r="AO284" s="236">
        <f t="shared" si="18"/>
        <v>24874534.811000001</v>
      </c>
    </row>
    <row r="285" spans="2:41" hidden="1" x14ac:dyDescent="0.25">
      <c r="B285" s="12">
        <v>41000</v>
      </c>
      <c r="C285" s="13">
        <v>195360</v>
      </c>
      <c r="D285" s="13">
        <v>268907</v>
      </c>
      <c r="E285" s="13">
        <v>464267</v>
      </c>
      <c r="F285" s="13">
        <v>12056</v>
      </c>
      <c r="G285" s="13">
        <v>16729</v>
      </c>
      <c r="H285" s="13">
        <v>28785</v>
      </c>
      <c r="I285" s="13">
        <v>207416</v>
      </c>
      <c r="J285" s="13">
        <v>285636</v>
      </c>
      <c r="K285" s="13">
        <v>493052</v>
      </c>
      <c r="L285" s="13">
        <v>9138591962</v>
      </c>
      <c r="M285" s="13">
        <v>12376984071</v>
      </c>
      <c r="N285" s="13">
        <f t="shared" si="19"/>
        <v>21515576033</v>
      </c>
      <c r="O285" s="13">
        <v>966805724</v>
      </c>
      <c r="P285" s="13">
        <v>1353401746</v>
      </c>
      <c r="Q285" s="13">
        <f t="shared" si="20"/>
        <v>2320207470</v>
      </c>
      <c r="R285" s="13">
        <f t="shared" si="21"/>
        <v>10105397686</v>
      </c>
      <c r="S285" s="13">
        <f t="shared" si="22"/>
        <v>13730385817</v>
      </c>
      <c r="T285" s="14">
        <f t="shared" si="23"/>
        <v>23835783503</v>
      </c>
      <c r="U285">
        <v>82.367637090000002</v>
      </c>
      <c r="V285">
        <v>129.01505570699999</v>
      </c>
      <c r="W285" s="221">
        <f t="shared" si="0"/>
        <v>1.5663318782112217</v>
      </c>
      <c r="X285" s="236">
        <f t="shared" si="24"/>
        <v>5834390.5842205239</v>
      </c>
      <c r="Y285" s="236">
        <f t="shared" si="25"/>
        <v>7901891.1912427731</v>
      </c>
      <c r="Z285" s="236">
        <f t="shared" si="26"/>
        <v>13736281.775463296</v>
      </c>
      <c r="AA285" s="236">
        <f t="shared" si="27"/>
        <v>617241.93796279561</v>
      </c>
      <c r="AB285" s="236">
        <f t="shared" si="28"/>
        <v>864058.09958079143</v>
      </c>
      <c r="AC285" s="236">
        <f t="shared" si="29"/>
        <v>1481300.0375435872</v>
      </c>
      <c r="AD285" s="236">
        <f t="shared" si="30"/>
        <v>6451632.5221833196</v>
      </c>
      <c r="AE285" s="236">
        <f t="shared" si="31"/>
        <v>8765949.2908235639</v>
      </c>
      <c r="AF285" s="236">
        <f t="shared" si="32"/>
        <v>15217581.813006883</v>
      </c>
      <c r="AG285" s="236">
        <f t="shared" si="10"/>
        <v>9138591.9619999994</v>
      </c>
      <c r="AH285" s="236">
        <f t="shared" si="11"/>
        <v>12376984.071</v>
      </c>
      <c r="AI285" s="236">
        <f t="shared" si="12"/>
        <v>21515576.033</v>
      </c>
      <c r="AJ285" s="236">
        <f t="shared" si="13"/>
        <v>966805.72400000005</v>
      </c>
      <c r="AK285" s="236">
        <f t="shared" si="14"/>
        <v>1353401.746</v>
      </c>
      <c r="AL285" s="236">
        <f t="shared" si="15"/>
        <v>2320207.4700000002</v>
      </c>
      <c r="AM285" s="236">
        <f t="shared" si="16"/>
        <v>10105397.686000001</v>
      </c>
      <c r="AN285" s="236">
        <f t="shared" si="17"/>
        <v>13730385.817</v>
      </c>
      <c r="AO285" s="236">
        <f t="shared" si="18"/>
        <v>23835783.502999999</v>
      </c>
    </row>
    <row r="286" spans="2:41" hidden="1" x14ac:dyDescent="0.25">
      <c r="B286" s="12">
        <v>41030</v>
      </c>
      <c r="C286" s="13">
        <v>198501</v>
      </c>
      <c r="D286" s="13">
        <v>273881</v>
      </c>
      <c r="E286" s="13">
        <v>472382</v>
      </c>
      <c r="F286" s="13">
        <v>12311</v>
      </c>
      <c r="G286" s="13">
        <v>17101</v>
      </c>
      <c r="H286" s="13">
        <v>29412</v>
      </c>
      <c r="I286" s="13">
        <v>210812</v>
      </c>
      <c r="J286" s="13">
        <v>290982</v>
      </c>
      <c r="K286" s="13">
        <v>501794</v>
      </c>
      <c r="L286" s="13">
        <v>9569241176</v>
      </c>
      <c r="M286" s="13">
        <v>13076498553</v>
      </c>
      <c r="N286" s="13">
        <f t="shared" si="19"/>
        <v>22645739729</v>
      </c>
      <c r="O286" s="13">
        <v>994775129</v>
      </c>
      <c r="P286" s="13">
        <v>1386578179</v>
      </c>
      <c r="Q286" s="13">
        <f t="shared" si="20"/>
        <v>2381353308</v>
      </c>
      <c r="R286" s="13">
        <f t="shared" si="21"/>
        <v>10564016305</v>
      </c>
      <c r="S286" s="13">
        <f t="shared" si="22"/>
        <v>14463076732</v>
      </c>
      <c r="T286" s="14">
        <f t="shared" si="23"/>
        <v>25027093037</v>
      </c>
      <c r="U286">
        <v>82.392904430000002</v>
      </c>
      <c r="V286">
        <v>129.01505570699999</v>
      </c>
      <c r="W286" s="221">
        <f t="shared" si="0"/>
        <v>1.5658515329631277</v>
      </c>
      <c r="X286" s="236">
        <f t="shared" si="24"/>
        <v>6111205.9314408405</v>
      </c>
      <c r="Y286" s="236">
        <f t="shared" si="25"/>
        <v>8351046.2376051601</v>
      </c>
      <c r="Z286" s="236">
        <f t="shared" si="26"/>
        <v>14462252.169046002</v>
      </c>
      <c r="AA286" s="236">
        <f t="shared" si="27"/>
        <v>635293.39024725067</v>
      </c>
      <c r="AB286" s="236">
        <f t="shared" si="28"/>
        <v>885510.63099585113</v>
      </c>
      <c r="AC286" s="236">
        <f t="shared" si="29"/>
        <v>1520804.0212431019</v>
      </c>
      <c r="AD286" s="236">
        <f t="shared" si="30"/>
        <v>6746499.3216880923</v>
      </c>
      <c r="AE286" s="236">
        <f t="shared" si="31"/>
        <v>9236556.8686010111</v>
      </c>
      <c r="AF286" s="236">
        <f t="shared" si="32"/>
        <v>15983056.190289102</v>
      </c>
      <c r="AG286" s="236">
        <f t="shared" si="10"/>
        <v>9569241.1760000009</v>
      </c>
      <c r="AH286" s="236">
        <f t="shared" si="11"/>
        <v>13076498.552999999</v>
      </c>
      <c r="AI286" s="236">
        <f t="shared" si="12"/>
        <v>22645739.728999998</v>
      </c>
      <c r="AJ286" s="236">
        <f t="shared" si="13"/>
        <v>994775.12899999996</v>
      </c>
      <c r="AK286" s="236">
        <f t="shared" si="14"/>
        <v>1386578.179</v>
      </c>
      <c r="AL286" s="236">
        <f t="shared" si="15"/>
        <v>2381353.3080000002</v>
      </c>
      <c r="AM286" s="236">
        <f t="shared" si="16"/>
        <v>10564016.305</v>
      </c>
      <c r="AN286" s="236">
        <f t="shared" si="17"/>
        <v>14463076.732000001</v>
      </c>
      <c r="AO286" s="236">
        <f t="shared" si="18"/>
        <v>25027093.037</v>
      </c>
    </row>
    <row r="287" spans="2:41" hidden="1" x14ac:dyDescent="0.25">
      <c r="B287" s="12">
        <v>41061</v>
      </c>
      <c r="C287" s="13">
        <v>201334</v>
      </c>
      <c r="D287" s="13">
        <v>279232</v>
      </c>
      <c r="E287" s="13">
        <v>480566</v>
      </c>
      <c r="F287" s="13">
        <v>12603</v>
      </c>
      <c r="G287" s="13">
        <v>17619</v>
      </c>
      <c r="H287" s="13">
        <v>30222</v>
      </c>
      <c r="I287" s="13">
        <v>213937</v>
      </c>
      <c r="J287" s="13">
        <v>296851</v>
      </c>
      <c r="K287" s="13">
        <v>510788</v>
      </c>
      <c r="L287" s="13">
        <v>9544139413</v>
      </c>
      <c r="M287" s="13">
        <v>13266851407</v>
      </c>
      <c r="N287" s="13">
        <f t="shared" si="19"/>
        <v>22810990820</v>
      </c>
      <c r="O287" s="13">
        <v>1020063631</v>
      </c>
      <c r="P287" s="13">
        <v>1412549894</v>
      </c>
      <c r="Q287" s="13">
        <f t="shared" si="20"/>
        <v>2432613525</v>
      </c>
      <c r="R287" s="13">
        <f t="shared" si="21"/>
        <v>10564203044</v>
      </c>
      <c r="S287" s="13">
        <f t="shared" si="22"/>
        <v>14679401301</v>
      </c>
      <c r="T287" s="14">
        <f t="shared" si="23"/>
        <v>25243604345</v>
      </c>
      <c r="U287">
        <v>82.148900620000006</v>
      </c>
      <c r="V287">
        <v>129.01505570699999</v>
      </c>
      <c r="W287" s="221">
        <f t="shared" si="0"/>
        <v>1.570502523263104</v>
      </c>
      <c r="X287" s="236">
        <f t="shared" si="24"/>
        <v>6077124.5328340577</v>
      </c>
      <c r="Y287" s="236">
        <f t="shared" si="25"/>
        <v>8447519.9565008432</v>
      </c>
      <c r="Z287" s="236">
        <f t="shared" si="26"/>
        <v>14524644.4893349</v>
      </c>
      <c r="AA287" s="236">
        <f t="shared" si="27"/>
        <v>649514.16243545269</v>
      </c>
      <c r="AB287" s="236">
        <f t="shared" si="28"/>
        <v>899425.42153009807</v>
      </c>
      <c r="AC287" s="236">
        <f t="shared" si="29"/>
        <v>1548939.5839655506</v>
      </c>
      <c r="AD287" s="236">
        <f t="shared" si="30"/>
        <v>6726638.6952695101</v>
      </c>
      <c r="AE287" s="236">
        <f t="shared" si="31"/>
        <v>9346945.3780309409</v>
      </c>
      <c r="AF287" s="236">
        <f t="shared" si="32"/>
        <v>16073584.073300451</v>
      </c>
      <c r="AG287" s="236">
        <f t="shared" si="10"/>
        <v>9544139.4130000006</v>
      </c>
      <c r="AH287" s="236">
        <f t="shared" si="11"/>
        <v>13266851.407</v>
      </c>
      <c r="AI287" s="236">
        <f t="shared" si="12"/>
        <v>22810990.82</v>
      </c>
      <c r="AJ287" s="236">
        <f t="shared" si="13"/>
        <v>1020063.6310000001</v>
      </c>
      <c r="AK287" s="236">
        <f t="shared" si="14"/>
        <v>1412549.8940000001</v>
      </c>
      <c r="AL287" s="236">
        <f t="shared" si="15"/>
        <v>2432613.5249999999</v>
      </c>
      <c r="AM287" s="236">
        <f t="shared" si="16"/>
        <v>10564203.044</v>
      </c>
      <c r="AN287" s="236">
        <f t="shared" si="17"/>
        <v>14679401.301000001</v>
      </c>
      <c r="AO287" s="236">
        <f t="shared" si="18"/>
        <v>25243604.344999999</v>
      </c>
    </row>
    <row r="288" spans="2:41" hidden="1" x14ac:dyDescent="0.25">
      <c r="B288" s="12">
        <v>41091</v>
      </c>
      <c r="C288" s="13">
        <v>202381</v>
      </c>
      <c r="D288" s="13">
        <v>276215</v>
      </c>
      <c r="E288" s="13">
        <v>478596</v>
      </c>
      <c r="F288" s="13">
        <v>12634</v>
      </c>
      <c r="G288" s="13">
        <v>17698</v>
      </c>
      <c r="H288" s="13">
        <v>30332</v>
      </c>
      <c r="I288" s="13">
        <v>215015</v>
      </c>
      <c r="J288" s="13">
        <v>293913</v>
      </c>
      <c r="K288" s="13">
        <v>508928</v>
      </c>
      <c r="L288" s="13">
        <v>9885448001</v>
      </c>
      <c r="M288" s="13">
        <v>13383284857</v>
      </c>
      <c r="N288" s="13">
        <f t="shared" si="19"/>
        <v>23268732858</v>
      </c>
      <c r="O288" s="13">
        <v>1036291517</v>
      </c>
      <c r="P288" s="13">
        <v>1442595267</v>
      </c>
      <c r="Q288" s="13">
        <f t="shared" si="20"/>
        <v>2478886784</v>
      </c>
      <c r="R288" s="13">
        <f t="shared" si="21"/>
        <v>10921739518</v>
      </c>
      <c r="S288" s="13">
        <f t="shared" si="22"/>
        <v>14825880124</v>
      </c>
      <c r="T288" s="14">
        <f t="shared" si="23"/>
        <v>25747619642</v>
      </c>
      <c r="U288">
        <v>82.138100140000006</v>
      </c>
      <c r="V288">
        <v>129.01505570699999</v>
      </c>
      <c r="W288" s="221">
        <f t="shared" si="0"/>
        <v>1.5707090313399106</v>
      </c>
      <c r="X288" s="236">
        <f t="shared" si="24"/>
        <v>6293621.4179446781</v>
      </c>
      <c r="Y288" s="236">
        <f t="shared" si="25"/>
        <v>8520537.2796406727</v>
      </c>
      <c r="Z288" s="236">
        <f t="shared" si="26"/>
        <v>14814158.697585352</v>
      </c>
      <c r="AA288" s="236">
        <f t="shared" si="27"/>
        <v>659760.33518823038</v>
      </c>
      <c r="AB288" s="236">
        <f t="shared" si="28"/>
        <v>918435.71165397728</v>
      </c>
      <c r="AC288" s="236">
        <f t="shared" si="29"/>
        <v>1578196.0468422077</v>
      </c>
      <c r="AD288" s="236">
        <f t="shared" si="30"/>
        <v>6953381.7531329086</v>
      </c>
      <c r="AE288" s="236">
        <f t="shared" si="31"/>
        <v>9438972.9912946504</v>
      </c>
      <c r="AF288" s="236">
        <f t="shared" si="32"/>
        <v>16392354.74442756</v>
      </c>
      <c r="AG288" s="236">
        <f t="shared" si="10"/>
        <v>9885448.0010000002</v>
      </c>
      <c r="AH288" s="236">
        <f t="shared" si="11"/>
        <v>13383284.857000001</v>
      </c>
      <c r="AI288" s="236">
        <f t="shared" si="12"/>
        <v>23268732.857999999</v>
      </c>
      <c r="AJ288" s="236">
        <f t="shared" si="13"/>
        <v>1036291.517</v>
      </c>
      <c r="AK288" s="236">
        <f t="shared" si="14"/>
        <v>1442595.267</v>
      </c>
      <c r="AL288" s="236">
        <f t="shared" si="15"/>
        <v>2478886.784</v>
      </c>
      <c r="AM288" s="236">
        <f t="shared" si="16"/>
        <v>10921739.517999999</v>
      </c>
      <c r="AN288" s="236">
        <f t="shared" si="17"/>
        <v>14825880.124</v>
      </c>
      <c r="AO288" s="236">
        <f t="shared" si="18"/>
        <v>25747619.642000001</v>
      </c>
    </row>
    <row r="289" spans="2:41" hidden="1" x14ac:dyDescent="0.25">
      <c r="B289" s="12">
        <v>41122</v>
      </c>
      <c r="C289" s="13">
        <v>207070</v>
      </c>
      <c r="D289" s="13">
        <v>282810</v>
      </c>
      <c r="E289" s="13">
        <v>489880</v>
      </c>
      <c r="F289" s="13">
        <v>19160</v>
      </c>
      <c r="G289" s="13">
        <v>23663</v>
      </c>
      <c r="H289" s="13">
        <v>42823</v>
      </c>
      <c r="I289" s="13">
        <v>226230</v>
      </c>
      <c r="J289" s="13">
        <v>306473</v>
      </c>
      <c r="K289" s="13">
        <v>532703</v>
      </c>
      <c r="L289" s="13">
        <v>10303166095</v>
      </c>
      <c r="M289" s="13">
        <v>13990675440</v>
      </c>
      <c r="N289" s="13">
        <f t="shared" si="19"/>
        <v>24293841535</v>
      </c>
      <c r="O289" s="13">
        <v>1516749480</v>
      </c>
      <c r="P289" s="13">
        <v>1912333246</v>
      </c>
      <c r="Q289" s="13">
        <f t="shared" si="20"/>
        <v>3429082726</v>
      </c>
      <c r="R289" s="13">
        <f t="shared" si="21"/>
        <v>11819915575</v>
      </c>
      <c r="S289" s="13">
        <f t="shared" si="22"/>
        <v>15903008686</v>
      </c>
      <c r="T289" s="14">
        <f t="shared" si="23"/>
        <v>27722924261</v>
      </c>
      <c r="U289">
        <v>82.319750740000003</v>
      </c>
      <c r="V289">
        <v>129.01505570699999</v>
      </c>
      <c r="W289" s="221">
        <f t="shared" si="0"/>
        <v>1.5672430315597428</v>
      </c>
      <c r="X289" s="236">
        <f t="shared" si="24"/>
        <v>6574070.4456960587</v>
      </c>
      <c r="Y289" s="236">
        <f t="shared" si="25"/>
        <v>8926934.2139465623</v>
      </c>
      <c r="Z289" s="236">
        <f t="shared" si="26"/>
        <v>15501004.659642622</v>
      </c>
      <c r="AA289" s="236">
        <f t="shared" si="27"/>
        <v>967781.9262597129</v>
      </c>
      <c r="AB289" s="236">
        <f t="shared" si="28"/>
        <v>1220189.3436379288</v>
      </c>
      <c r="AC289" s="236">
        <f t="shared" si="29"/>
        <v>2187971.2698976416</v>
      </c>
      <c r="AD289" s="236">
        <f t="shared" si="30"/>
        <v>7541852.371955771</v>
      </c>
      <c r="AE289" s="236">
        <f t="shared" si="31"/>
        <v>10147123.557584492</v>
      </c>
      <c r="AF289" s="236">
        <f t="shared" si="32"/>
        <v>17688975.929540265</v>
      </c>
      <c r="AG289" s="236">
        <f t="shared" si="10"/>
        <v>10303166.095000001</v>
      </c>
      <c r="AH289" s="236">
        <f t="shared" si="11"/>
        <v>13990675.439999999</v>
      </c>
      <c r="AI289" s="236">
        <f t="shared" si="12"/>
        <v>24293841.535</v>
      </c>
      <c r="AJ289" s="236">
        <f t="shared" si="13"/>
        <v>1516749.48</v>
      </c>
      <c r="AK289" s="236">
        <f t="shared" si="14"/>
        <v>1912333.246</v>
      </c>
      <c r="AL289" s="236">
        <f t="shared" si="15"/>
        <v>3429082.7259999998</v>
      </c>
      <c r="AM289" s="236">
        <f t="shared" si="16"/>
        <v>11819915.574999999</v>
      </c>
      <c r="AN289" s="236">
        <f t="shared" si="17"/>
        <v>15903008.686000001</v>
      </c>
      <c r="AO289" s="236">
        <f t="shared" si="18"/>
        <v>27722924.261</v>
      </c>
    </row>
    <row r="290" spans="2:41" hidden="1" x14ac:dyDescent="0.25">
      <c r="B290" s="12">
        <v>41153</v>
      </c>
      <c r="C290" s="13">
        <v>211511</v>
      </c>
      <c r="D290" s="13">
        <v>287696</v>
      </c>
      <c r="E290" s="13">
        <v>499207</v>
      </c>
      <c r="F290" s="13">
        <v>19316</v>
      </c>
      <c r="G290" s="13">
        <v>23918</v>
      </c>
      <c r="H290" s="13">
        <v>43234</v>
      </c>
      <c r="I290" s="13">
        <v>230827</v>
      </c>
      <c r="J290" s="13">
        <v>311614</v>
      </c>
      <c r="K290" s="13">
        <v>542441</v>
      </c>
      <c r="L290" s="13">
        <v>10442705949</v>
      </c>
      <c r="M290" s="13">
        <v>14069211757</v>
      </c>
      <c r="N290" s="13">
        <f t="shared" si="19"/>
        <v>24511917706</v>
      </c>
      <c r="O290" s="13">
        <v>1552793889</v>
      </c>
      <c r="P290" s="13">
        <v>1914024118</v>
      </c>
      <c r="Q290" s="13">
        <f t="shared" si="20"/>
        <v>3466818007</v>
      </c>
      <c r="R290" s="13">
        <f t="shared" si="21"/>
        <v>11995499838</v>
      </c>
      <c r="S290" s="13">
        <f t="shared" si="22"/>
        <v>15983235875</v>
      </c>
      <c r="T290" s="14">
        <f t="shared" si="23"/>
        <v>27978735713</v>
      </c>
      <c r="U290">
        <v>82.952428870000006</v>
      </c>
      <c r="V290">
        <v>129.01505570699999</v>
      </c>
      <c r="W290" s="221">
        <f t="shared" si="0"/>
        <v>1.5552896698080731</v>
      </c>
      <c r="X290" s="236">
        <f t="shared" si="24"/>
        <v>6714315.7649138486</v>
      </c>
      <c r="Y290" s="236">
        <f t="shared" si="25"/>
        <v>9046039.4806944076</v>
      </c>
      <c r="Z290" s="236">
        <f t="shared" si="26"/>
        <v>15760355.245608257</v>
      </c>
      <c r="AA290" s="236">
        <f t="shared" si="27"/>
        <v>998395.29519386496</v>
      </c>
      <c r="AB290" s="236">
        <f t="shared" si="28"/>
        <v>1230654.4273750598</v>
      </c>
      <c r="AC290" s="236">
        <f t="shared" si="29"/>
        <v>2229049.722568925</v>
      </c>
      <c r="AD290" s="236">
        <f t="shared" si="30"/>
        <v>7712711.0601077136</v>
      </c>
      <c r="AE290" s="236">
        <f t="shared" si="31"/>
        <v>10276693.908069467</v>
      </c>
      <c r="AF290" s="236">
        <f t="shared" si="32"/>
        <v>17989404.968177181</v>
      </c>
      <c r="AG290" s="236">
        <f t="shared" si="10"/>
        <v>10442705.948999999</v>
      </c>
      <c r="AH290" s="236">
        <f t="shared" si="11"/>
        <v>14069211.756999999</v>
      </c>
      <c r="AI290" s="236">
        <f t="shared" si="12"/>
        <v>24511917.706</v>
      </c>
      <c r="AJ290" s="236">
        <f t="shared" si="13"/>
        <v>1552793.889</v>
      </c>
      <c r="AK290" s="236">
        <f t="shared" si="14"/>
        <v>1914024.118</v>
      </c>
      <c r="AL290" s="236">
        <f t="shared" si="15"/>
        <v>3466818.0070000002</v>
      </c>
      <c r="AM290" s="236">
        <f t="shared" si="16"/>
        <v>11995499.838</v>
      </c>
      <c r="AN290" s="236">
        <f t="shared" si="17"/>
        <v>15983235.875</v>
      </c>
      <c r="AO290" s="236">
        <f t="shared" si="18"/>
        <v>27978735.713</v>
      </c>
    </row>
    <row r="291" spans="2:41" hidden="1" x14ac:dyDescent="0.25">
      <c r="B291" s="12">
        <v>41183</v>
      </c>
      <c r="C291" s="13">
        <v>216179</v>
      </c>
      <c r="D291" s="13">
        <v>294781</v>
      </c>
      <c r="E291" s="13">
        <v>510960</v>
      </c>
      <c r="F291" s="13">
        <v>18437</v>
      </c>
      <c r="G291" s="13">
        <v>22975</v>
      </c>
      <c r="H291" s="13">
        <v>41412</v>
      </c>
      <c r="I291" s="13">
        <v>234616</v>
      </c>
      <c r="J291" s="13">
        <v>317756</v>
      </c>
      <c r="K291" s="13">
        <v>552372</v>
      </c>
      <c r="L291" s="13">
        <v>10722556332</v>
      </c>
      <c r="M291" s="13">
        <v>14684423467</v>
      </c>
      <c r="N291" s="13">
        <f t="shared" si="19"/>
        <v>25406979799</v>
      </c>
      <c r="O291" s="13">
        <v>1473349714</v>
      </c>
      <c r="P291" s="13">
        <v>1863965471</v>
      </c>
      <c r="Q291" s="13">
        <f t="shared" si="20"/>
        <v>3337315185</v>
      </c>
      <c r="R291" s="13">
        <f t="shared" si="21"/>
        <v>12195906046</v>
      </c>
      <c r="S291" s="13">
        <f t="shared" si="22"/>
        <v>16548388938</v>
      </c>
      <c r="T291" s="14">
        <f t="shared" si="23"/>
        <v>28744294984</v>
      </c>
      <c r="U291">
        <v>83.415861460000002</v>
      </c>
      <c r="V291">
        <v>129.01505570699999</v>
      </c>
      <c r="W291" s="221">
        <f t="shared" si="0"/>
        <v>1.5466489639846965</v>
      </c>
      <c r="X291" s="236">
        <f t="shared" si="24"/>
        <v>6932766.6339846309</v>
      </c>
      <c r="Y291" s="236">
        <f t="shared" si="25"/>
        <v>9494347.9800147433</v>
      </c>
      <c r="Z291" s="236">
        <f t="shared" si="26"/>
        <v>16427114.613999374</v>
      </c>
      <c r="AA291" s="236">
        <f t="shared" si="27"/>
        <v>952607.70110636321</v>
      </c>
      <c r="AB291" s="236">
        <f t="shared" si="28"/>
        <v>1205163.882952333</v>
      </c>
      <c r="AC291" s="236">
        <f t="shared" si="29"/>
        <v>2157771.5840586964</v>
      </c>
      <c r="AD291" s="236">
        <f t="shared" si="30"/>
        <v>7885374.335090993</v>
      </c>
      <c r="AE291" s="236">
        <f t="shared" si="31"/>
        <v>10699511.862967078</v>
      </c>
      <c r="AF291" s="236">
        <f t="shared" si="32"/>
        <v>18584886.198058072</v>
      </c>
      <c r="AG291" s="236">
        <f t="shared" si="10"/>
        <v>10722556.332</v>
      </c>
      <c r="AH291" s="236">
        <f t="shared" si="11"/>
        <v>14684423.467</v>
      </c>
      <c r="AI291" s="236">
        <f t="shared" si="12"/>
        <v>25406979.798999999</v>
      </c>
      <c r="AJ291" s="236">
        <f t="shared" si="13"/>
        <v>1473349.7139999999</v>
      </c>
      <c r="AK291" s="236">
        <f t="shared" si="14"/>
        <v>1863965.4709999999</v>
      </c>
      <c r="AL291" s="236">
        <f t="shared" si="15"/>
        <v>3337315.1850000001</v>
      </c>
      <c r="AM291" s="236">
        <f t="shared" si="16"/>
        <v>12195906.046</v>
      </c>
      <c r="AN291" s="236">
        <f t="shared" si="17"/>
        <v>16548388.937999999</v>
      </c>
      <c r="AO291" s="236">
        <f t="shared" si="18"/>
        <v>28744294.984000001</v>
      </c>
    </row>
    <row r="292" spans="2:41" hidden="1" x14ac:dyDescent="0.25">
      <c r="B292" s="12">
        <v>41214</v>
      </c>
      <c r="C292" s="13">
        <v>223185</v>
      </c>
      <c r="D292" s="13">
        <v>303521</v>
      </c>
      <c r="E292" s="13">
        <v>526706</v>
      </c>
      <c r="F292" s="13">
        <v>16946</v>
      </c>
      <c r="G292" s="13">
        <v>21524</v>
      </c>
      <c r="H292" s="13">
        <v>38470</v>
      </c>
      <c r="I292" s="13">
        <v>240131</v>
      </c>
      <c r="J292" s="13">
        <v>325045</v>
      </c>
      <c r="K292" s="13">
        <v>565176</v>
      </c>
      <c r="L292" s="13">
        <v>11120846161</v>
      </c>
      <c r="M292" s="13">
        <v>15047736121</v>
      </c>
      <c r="N292" s="13">
        <f t="shared" si="19"/>
        <v>26168582282</v>
      </c>
      <c r="O292" s="13">
        <v>1317267708</v>
      </c>
      <c r="P292" s="13">
        <v>1709710864</v>
      </c>
      <c r="Q292" s="13">
        <f t="shared" si="20"/>
        <v>3026978572</v>
      </c>
      <c r="R292" s="13">
        <f t="shared" si="21"/>
        <v>12438113869</v>
      </c>
      <c r="S292" s="13">
        <f t="shared" si="22"/>
        <v>16757446985</v>
      </c>
      <c r="T292" s="14">
        <f t="shared" si="23"/>
        <v>29195560854</v>
      </c>
      <c r="U292">
        <v>83.040174840000006</v>
      </c>
      <c r="V292">
        <v>129.01505570699999</v>
      </c>
      <c r="W292" s="221">
        <f t="shared" si="0"/>
        <v>1.5536462435873164</v>
      </c>
      <c r="X292" s="236">
        <f t="shared" si="24"/>
        <v>7157901.1032281993</v>
      </c>
      <c r="Y292" s="236">
        <f t="shared" si="25"/>
        <v>9685432.6930017788</v>
      </c>
      <c r="Z292" s="236">
        <f t="shared" si="26"/>
        <v>16843333.796229977</v>
      </c>
      <c r="AA292" s="236">
        <f t="shared" si="27"/>
        <v>847855.62571726344</v>
      </c>
      <c r="AB292" s="236">
        <f t="shared" si="28"/>
        <v>1100450.5504755934</v>
      </c>
      <c r="AC292" s="236">
        <f t="shared" si="29"/>
        <v>1948306.1761928569</v>
      </c>
      <c r="AD292" s="236">
        <f t="shared" si="30"/>
        <v>8005756.728945463</v>
      </c>
      <c r="AE292" s="236">
        <f t="shared" si="31"/>
        <v>10785883.243477372</v>
      </c>
      <c r="AF292" s="236">
        <f t="shared" si="32"/>
        <v>18791639.972422834</v>
      </c>
      <c r="AG292" s="236">
        <f t="shared" si="10"/>
        <v>11120846.161</v>
      </c>
      <c r="AH292" s="236">
        <f t="shared" si="11"/>
        <v>15047736.120999999</v>
      </c>
      <c r="AI292" s="236">
        <f t="shared" si="12"/>
        <v>26168582.282000002</v>
      </c>
      <c r="AJ292" s="236">
        <f t="shared" si="13"/>
        <v>1317267.7080000001</v>
      </c>
      <c r="AK292" s="236">
        <f t="shared" si="14"/>
        <v>1709710.8640000001</v>
      </c>
      <c r="AL292" s="236">
        <f t="shared" si="15"/>
        <v>3026978.5720000002</v>
      </c>
      <c r="AM292" s="236">
        <f t="shared" si="16"/>
        <v>12438113.869000001</v>
      </c>
      <c r="AN292" s="236">
        <f t="shared" si="17"/>
        <v>16757446.984999999</v>
      </c>
      <c r="AO292" s="236">
        <f t="shared" si="18"/>
        <v>29195560.853999998</v>
      </c>
    </row>
    <row r="293" spans="2:41" hidden="1" x14ac:dyDescent="0.25">
      <c r="B293" s="15">
        <v>41244</v>
      </c>
      <c r="C293" s="16">
        <v>227534</v>
      </c>
      <c r="D293" s="16">
        <v>312354</v>
      </c>
      <c r="E293" s="16">
        <v>539888</v>
      </c>
      <c r="F293" s="16">
        <v>17699</v>
      </c>
      <c r="G293" s="16">
        <v>22465</v>
      </c>
      <c r="H293" s="16">
        <v>40164</v>
      </c>
      <c r="I293" s="17">
        <v>245233</v>
      </c>
      <c r="J293" s="17">
        <v>334819</v>
      </c>
      <c r="K293" s="17">
        <v>580052</v>
      </c>
      <c r="L293" s="16">
        <v>11110423657</v>
      </c>
      <c r="M293" s="16">
        <v>15379786630</v>
      </c>
      <c r="N293" s="16">
        <f t="shared" si="19"/>
        <v>26490210287</v>
      </c>
      <c r="O293" s="16">
        <v>1421339906</v>
      </c>
      <c r="P293" s="16">
        <v>1849911610</v>
      </c>
      <c r="Q293" s="16">
        <f t="shared" si="20"/>
        <v>3271251516</v>
      </c>
      <c r="R293" s="16">
        <f t="shared" si="21"/>
        <v>12531763563</v>
      </c>
      <c r="S293" s="16">
        <f t="shared" si="22"/>
        <v>17229698240</v>
      </c>
      <c r="T293" s="16">
        <f t="shared" si="23"/>
        <v>29761461803</v>
      </c>
      <c r="U293">
        <v>83.01813027</v>
      </c>
      <c r="V293">
        <v>129.01505570699999</v>
      </c>
      <c r="W293" s="221">
        <f t="shared" si="0"/>
        <v>1.5540587976072711</v>
      </c>
      <c r="X293" s="236">
        <f t="shared" si="24"/>
        <v>7149294.2700149594</v>
      </c>
      <c r="Y293" s="236">
        <f t="shared" si="25"/>
        <v>9896528.1453183815</v>
      </c>
      <c r="Z293" s="236">
        <f t="shared" si="26"/>
        <v>17045822.415333338</v>
      </c>
      <c r="AA293" s="236">
        <f t="shared" si="27"/>
        <v>914598.53912116215</v>
      </c>
      <c r="AB293" s="236">
        <f t="shared" si="28"/>
        <v>1190374.2720984835</v>
      </c>
      <c r="AC293" s="236">
        <f t="shared" si="29"/>
        <v>2104972.8112196457</v>
      </c>
      <c r="AD293" s="236">
        <f t="shared" si="30"/>
        <v>8063892.8091361215</v>
      </c>
      <c r="AE293" s="236">
        <f t="shared" si="31"/>
        <v>11086902.417416865</v>
      </c>
      <c r="AF293" s="236">
        <f t="shared" si="32"/>
        <v>19150795.226552986</v>
      </c>
      <c r="AG293" s="236">
        <f t="shared" si="10"/>
        <v>11110423.657</v>
      </c>
      <c r="AH293" s="236">
        <f t="shared" si="11"/>
        <v>15379786.630000001</v>
      </c>
      <c r="AI293" s="236">
        <f t="shared" si="12"/>
        <v>26490210.287</v>
      </c>
      <c r="AJ293" s="236">
        <f t="shared" si="13"/>
        <v>1421339.906</v>
      </c>
      <c r="AK293" s="236">
        <f t="shared" si="14"/>
        <v>1849911.61</v>
      </c>
      <c r="AL293" s="236">
        <f t="shared" si="15"/>
        <v>3271251.5159999998</v>
      </c>
      <c r="AM293" s="236">
        <f t="shared" si="16"/>
        <v>12531763.562999999</v>
      </c>
      <c r="AN293" s="236">
        <f t="shared" si="17"/>
        <v>17229698.239999998</v>
      </c>
      <c r="AO293" s="236">
        <f t="shared" si="18"/>
        <v>29761461.802999999</v>
      </c>
    </row>
    <row r="294" spans="2:41" hidden="1" x14ac:dyDescent="0.25">
      <c r="B294" s="12">
        <v>41275</v>
      </c>
      <c r="C294" s="13">
        <v>230222</v>
      </c>
      <c r="D294" s="13">
        <v>316102</v>
      </c>
      <c r="E294" s="13">
        <v>546324</v>
      </c>
      <c r="F294" s="13">
        <v>18080</v>
      </c>
      <c r="G294" s="13">
        <v>22998</v>
      </c>
      <c r="H294" s="13">
        <v>41078</v>
      </c>
      <c r="I294" s="13">
        <v>248302</v>
      </c>
      <c r="J294" s="13">
        <v>339100</v>
      </c>
      <c r="K294" s="13">
        <v>587402</v>
      </c>
      <c r="L294" s="13">
        <v>11117546098</v>
      </c>
      <c r="M294" s="13">
        <v>15155009141</v>
      </c>
      <c r="N294" s="13">
        <f t="shared" si="19"/>
        <v>26272555239</v>
      </c>
      <c r="O294" s="13">
        <v>1422533870</v>
      </c>
      <c r="P294" s="13">
        <v>1842425649</v>
      </c>
      <c r="Q294" s="13">
        <f t="shared" si="20"/>
        <v>3264959519</v>
      </c>
      <c r="R294" s="13">
        <f t="shared" si="21"/>
        <v>12540079968</v>
      </c>
      <c r="S294" s="13">
        <f t="shared" si="22"/>
        <v>16997434790</v>
      </c>
      <c r="T294" s="14">
        <f t="shared" si="23"/>
        <v>29537514758</v>
      </c>
      <c r="U294">
        <v>83.165705209999999</v>
      </c>
      <c r="V294">
        <v>129.01505570699999</v>
      </c>
      <c r="W294" s="221">
        <f t="shared" si="0"/>
        <v>1.5513011689280665</v>
      </c>
      <c r="X294" s="236">
        <f t="shared" si="24"/>
        <v>7166594.2891554143</v>
      </c>
      <c r="Y294" s="236">
        <f t="shared" si="25"/>
        <v>9769224.3418290969</v>
      </c>
      <c r="Z294" s="236">
        <f t="shared" si="26"/>
        <v>16935818.630984511</v>
      </c>
      <c r="AA294" s="236">
        <f t="shared" si="27"/>
        <v>916994.00380324386</v>
      </c>
      <c r="AB294" s="236">
        <f t="shared" si="28"/>
        <v>1187664.7074746278</v>
      </c>
      <c r="AC294" s="236">
        <f t="shared" si="29"/>
        <v>2104658.7112778714</v>
      </c>
      <c r="AD294" s="236">
        <f t="shared" si="30"/>
        <v>8083588.2929586582</v>
      </c>
      <c r="AE294" s="236">
        <f t="shared" si="31"/>
        <v>10956889.049303725</v>
      </c>
      <c r="AF294" s="236">
        <f t="shared" si="32"/>
        <v>19040477.342262384</v>
      </c>
      <c r="AG294" s="236">
        <f t="shared" si="10"/>
        <v>11117546.097999999</v>
      </c>
      <c r="AH294" s="236">
        <f t="shared" si="11"/>
        <v>15155009.141000001</v>
      </c>
      <c r="AI294" s="236">
        <f t="shared" si="12"/>
        <v>26272555.239</v>
      </c>
      <c r="AJ294" s="236">
        <f t="shared" si="13"/>
        <v>1422533.87</v>
      </c>
      <c r="AK294" s="236">
        <f t="shared" si="14"/>
        <v>1842425.649</v>
      </c>
      <c r="AL294" s="236">
        <f t="shared" si="15"/>
        <v>3264959.5189999999</v>
      </c>
      <c r="AM294" s="236">
        <f t="shared" si="16"/>
        <v>12540079.968</v>
      </c>
      <c r="AN294" s="236">
        <f t="shared" si="17"/>
        <v>16997434.789999999</v>
      </c>
      <c r="AO294" s="236">
        <f t="shared" si="18"/>
        <v>29537514.758000001</v>
      </c>
    </row>
    <row r="295" spans="2:41" hidden="1" x14ac:dyDescent="0.25">
      <c r="B295" s="12">
        <v>41306</v>
      </c>
      <c r="C295" s="13">
        <v>231652</v>
      </c>
      <c r="D295" s="13">
        <v>318370</v>
      </c>
      <c r="E295" s="13">
        <v>550022</v>
      </c>
      <c r="F295" s="13">
        <v>18243</v>
      </c>
      <c r="G295" s="13">
        <v>23375</v>
      </c>
      <c r="H295" s="13">
        <v>41618</v>
      </c>
      <c r="I295" s="13">
        <v>249895</v>
      </c>
      <c r="J295" s="13">
        <v>341745</v>
      </c>
      <c r="K295" s="13">
        <v>591640</v>
      </c>
      <c r="L295" s="13">
        <v>11012384293</v>
      </c>
      <c r="M295" s="13">
        <v>14937260643</v>
      </c>
      <c r="N295" s="13">
        <f t="shared" si="19"/>
        <v>25949644936</v>
      </c>
      <c r="O295" s="13">
        <v>1419562821</v>
      </c>
      <c r="P295" s="13">
        <v>1863082623</v>
      </c>
      <c r="Q295" s="13">
        <f t="shared" si="20"/>
        <v>3282645444</v>
      </c>
      <c r="R295" s="13">
        <f t="shared" si="21"/>
        <v>12431947114</v>
      </c>
      <c r="S295" s="13">
        <f t="shared" si="22"/>
        <v>16800343266</v>
      </c>
      <c r="T295" s="14">
        <f t="shared" si="23"/>
        <v>29232290380</v>
      </c>
      <c r="U295">
        <v>83.263245900000001</v>
      </c>
      <c r="V295">
        <v>129.01505570699999</v>
      </c>
      <c r="W295" s="221">
        <f t="shared" si="0"/>
        <v>1.5494838606454087</v>
      </c>
      <c r="X295" s="236">
        <f t="shared" si="24"/>
        <v>7107130.685706527</v>
      </c>
      <c r="Y295" s="236">
        <f t="shared" si="25"/>
        <v>9640152.4548814353</v>
      </c>
      <c r="Z295" s="236">
        <f t="shared" si="26"/>
        <v>16747283.140587963</v>
      </c>
      <c r="AA295" s="236">
        <f t="shared" si="27"/>
        <v>916152.0536320447</v>
      </c>
      <c r="AB295" s="236">
        <f t="shared" si="28"/>
        <v>1202389.1763699737</v>
      </c>
      <c r="AC295" s="236">
        <f t="shared" si="29"/>
        <v>2118541.2300020182</v>
      </c>
      <c r="AD295" s="236">
        <f t="shared" si="30"/>
        <v>8023282.7393385712</v>
      </c>
      <c r="AE295" s="236">
        <f t="shared" si="31"/>
        <v>10842541.63125141</v>
      </c>
      <c r="AF295" s="236">
        <f t="shared" si="32"/>
        <v>18865824.370589983</v>
      </c>
      <c r="AG295" s="236">
        <f t="shared" si="10"/>
        <v>11012384.293</v>
      </c>
      <c r="AH295" s="236">
        <f t="shared" si="11"/>
        <v>14937260.642999999</v>
      </c>
      <c r="AI295" s="236">
        <f t="shared" si="12"/>
        <v>25949644.936000001</v>
      </c>
      <c r="AJ295" s="236">
        <f t="shared" si="13"/>
        <v>1419562.821</v>
      </c>
      <c r="AK295" s="236">
        <f t="shared" si="14"/>
        <v>1863082.6229999999</v>
      </c>
      <c r="AL295" s="236">
        <f t="shared" si="15"/>
        <v>3282645.4440000001</v>
      </c>
      <c r="AM295" s="236">
        <f t="shared" si="16"/>
        <v>12431947.114</v>
      </c>
      <c r="AN295" s="236">
        <f t="shared" si="17"/>
        <v>16800343.265999999</v>
      </c>
      <c r="AO295" s="236">
        <f t="shared" si="18"/>
        <v>29232290.379999999</v>
      </c>
    </row>
    <row r="296" spans="2:41" hidden="1" x14ac:dyDescent="0.25">
      <c r="B296" s="12">
        <v>41334</v>
      </c>
      <c r="C296" s="13">
        <v>233004</v>
      </c>
      <c r="D296" s="13">
        <v>320652</v>
      </c>
      <c r="E296" s="13">
        <v>553656</v>
      </c>
      <c r="F296" s="13">
        <v>18581</v>
      </c>
      <c r="G296" s="13">
        <v>23775</v>
      </c>
      <c r="H296" s="13">
        <v>42356</v>
      </c>
      <c r="I296" s="13">
        <v>251585</v>
      </c>
      <c r="J296" s="13">
        <v>344427</v>
      </c>
      <c r="K296" s="13">
        <v>596012</v>
      </c>
      <c r="L296" s="13">
        <v>11135083166</v>
      </c>
      <c r="M296" s="13">
        <v>15129817061</v>
      </c>
      <c r="N296" s="13">
        <f t="shared" si="19"/>
        <v>26264900227</v>
      </c>
      <c r="O296" s="13">
        <v>1437877771</v>
      </c>
      <c r="P296" s="13">
        <v>1887289306</v>
      </c>
      <c r="Q296" s="13">
        <f t="shared" si="20"/>
        <v>3325167077</v>
      </c>
      <c r="R296" s="13">
        <f t="shared" si="21"/>
        <v>12572960937</v>
      </c>
      <c r="S296" s="13">
        <f t="shared" si="22"/>
        <v>17017106367</v>
      </c>
      <c r="T296" s="14">
        <f t="shared" si="23"/>
        <v>29590067304</v>
      </c>
      <c r="U296">
        <v>83.582810629999997</v>
      </c>
      <c r="V296">
        <v>129.01505570699999</v>
      </c>
      <c r="W296" s="221">
        <f t="shared" si="0"/>
        <v>1.5435596713553588</v>
      </c>
      <c r="X296" s="236">
        <f t="shared" si="24"/>
        <v>7213898.7385065453</v>
      </c>
      <c r="Y296" s="236">
        <f t="shared" si="25"/>
        <v>9801899.6879562866</v>
      </c>
      <c r="Z296" s="236">
        <f t="shared" si="26"/>
        <v>17015798.426462833</v>
      </c>
      <c r="AA296" s="236">
        <f t="shared" si="27"/>
        <v>931533.64763503941</v>
      </c>
      <c r="AB296" s="236">
        <f t="shared" si="28"/>
        <v>1222686.3275993867</v>
      </c>
      <c r="AC296" s="236">
        <f t="shared" si="29"/>
        <v>2154219.9752344261</v>
      </c>
      <c r="AD296" s="236">
        <f t="shared" si="30"/>
        <v>8145432.3861415843</v>
      </c>
      <c r="AE296" s="236">
        <f t="shared" si="31"/>
        <v>11024586.015555674</v>
      </c>
      <c r="AF296" s="236">
        <f t="shared" si="32"/>
        <v>19170018.401697259</v>
      </c>
      <c r="AG296" s="236">
        <f t="shared" si="10"/>
        <v>11135083.165999999</v>
      </c>
      <c r="AH296" s="236">
        <f t="shared" si="11"/>
        <v>15129817.061000001</v>
      </c>
      <c r="AI296" s="236">
        <f t="shared" si="12"/>
        <v>26264900.227000002</v>
      </c>
      <c r="AJ296" s="236">
        <f t="shared" si="13"/>
        <v>1437877.7709999999</v>
      </c>
      <c r="AK296" s="236">
        <f t="shared" si="14"/>
        <v>1887289.3060000001</v>
      </c>
      <c r="AL296" s="236">
        <f t="shared" si="15"/>
        <v>3325167.077</v>
      </c>
      <c r="AM296" s="236">
        <f t="shared" si="16"/>
        <v>12572960.937000001</v>
      </c>
      <c r="AN296" s="236">
        <f t="shared" si="17"/>
        <v>17017106.366999999</v>
      </c>
      <c r="AO296" s="236">
        <f t="shared" si="18"/>
        <v>29590067.304000001</v>
      </c>
    </row>
    <row r="297" spans="2:41" hidden="1" x14ac:dyDescent="0.25">
      <c r="B297" s="12">
        <v>41365</v>
      </c>
      <c r="C297" s="13">
        <v>234782</v>
      </c>
      <c r="D297" s="13">
        <v>322878</v>
      </c>
      <c r="E297" s="13">
        <v>557660</v>
      </c>
      <c r="F297" s="13">
        <v>18856</v>
      </c>
      <c r="G297" s="13">
        <v>24167</v>
      </c>
      <c r="H297" s="13">
        <v>43023</v>
      </c>
      <c r="I297" s="13">
        <v>253638</v>
      </c>
      <c r="J297" s="13">
        <v>347045</v>
      </c>
      <c r="K297" s="13">
        <v>600683</v>
      </c>
      <c r="L297" s="13">
        <v>11175832334</v>
      </c>
      <c r="M297" s="13">
        <v>15261790780</v>
      </c>
      <c r="N297" s="13">
        <f t="shared" si="19"/>
        <v>26437623114</v>
      </c>
      <c r="O297" s="13">
        <v>1456472347</v>
      </c>
      <c r="P297" s="13">
        <v>1909986928</v>
      </c>
      <c r="Q297" s="13">
        <f t="shared" si="20"/>
        <v>3366459275</v>
      </c>
      <c r="R297" s="13">
        <f t="shared" si="21"/>
        <v>12632304681</v>
      </c>
      <c r="S297" s="13">
        <f t="shared" si="22"/>
        <v>17171777708</v>
      </c>
      <c r="T297" s="14">
        <f t="shared" si="23"/>
        <v>29804082389</v>
      </c>
      <c r="U297">
        <v>83.178496589999995</v>
      </c>
      <c r="V297">
        <v>129.01505570699999</v>
      </c>
      <c r="W297" s="221">
        <f t="shared" si="0"/>
        <v>1.5510626062759425</v>
      </c>
      <c r="X297" s="236">
        <f t="shared" si="24"/>
        <v>7205274.8153298972</v>
      </c>
      <c r="Y297" s="236">
        <f t="shared" si="25"/>
        <v>9839571.0903269909</v>
      </c>
      <c r="Z297" s="236">
        <f t="shared" si="26"/>
        <v>17044845.905656885</v>
      </c>
      <c r="AA297" s="236">
        <f t="shared" si="27"/>
        <v>939015.83411706961</v>
      </c>
      <c r="AB297" s="236">
        <f t="shared" si="28"/>
        <v>1231405.4379699246</v>
      </c>
      <c r="AC297" s="236">
        <f t="shared" si="29"/>
        <v>2170421.2720869943</v>
      </c>
      <c r="AD297" s="236">
        <f t="shared" si="30"/>
        <v>8144290.6494469661</v>
      </c>
      <c r="AE297" s="236">
        <f t="shared" si="31"/>
        <v>11070976.528296916</v>
      </c>
      <c r="AF297" s="236">
        <f t="shared" si="32"/>
        <v>19215267.177743882</v>
      </c>
      <c r="AG297" s="236">
        <f t="shared" si="10"/>
        <v>11175832.334000001</v>
      </c>
      <c r="AH297" s="236">
        <f t="shared" si="11"/>
        <v>15261790.779999999</v>
      </c>
      <c r="AI297" s="236">
        <f t="shared" si="12"/>
        <v>26437623.114</v>
      </c>
      <c r="AJ297" s="236">
        <f t="shared" si="13"/>
        <v>1456472.3470000001</v>
      </c>
      <c r="AK297" s="236">
        <f t="shared" si="14"/>
        <v>1909986.9280000001</v>
      </c>
      <c r="AL297" s="236">
        <f t="shared" si="15"/>
        <v>3366459.2749999999</v>
      </c>
      <c r="AM297" s="236">
        <f t="shared" si="16"/>
        <v>12632304.681</v>
      </c>
      <c r="AN297" s="236">
        <f t="shared" si="17"/>
        <v>17171777.708000001</v>
      </c>
      <c r="AO297" s="236">
        <f t="shared" si="18"/>
        <v>29804082.388999999</v>
      </c>
    </row>
    <row r="298" spans="2:41" hidden="1" x14ac:dyDescent="0.25">
      <c r="B298" s="12">
        <v>41395</v>
      </c>
      <c r="C298" s="13">
        <v>234339</v>
      </c>
      <c r="D298" s="13">
        <v>323526</v>
      </c>
      <c r="E298" s="13">
        <v>557865</v>
      </c>
      <c r="F298" s="13">
        <v>20403</v>
      </c>
      <c r="G298" s="13">
        <v>25946</v>
      </c>
      <c r="H298" s="13">
        <v>46349</v>
      </c>
      <c r="I298" s="13">
        <v>254742</v>
      </c>
      <c r="J298" s="13">
        <v>349472</v>
      </c>
      <c r="K298" s="13">
        <v>604214</v>
      </c>
      <c r="L298" s="13">
        <v>11166313655</v>
      </c>
      <c r="M298" s="13">
        <v>15231414180</v>
      </c>
      <c r="N298" s="13">
        <f t="shared" si="19"/>
        <v>26397727835</v>
      </c>
      <c r="O298" s="13">
        <v>1576561504</v>
      </c>
      <c r="P298" s="13">
        <v>2045467379</v>
      </c>
      <c r="Q298" s="13">
        <f t="shared" si="20"/>
        <v>3622028883</v>
      </c>
      <c r="R298" s="13">
        <f t="shared" si="21"/>
        <v>12742875159</v>
      </c>
      <c r="S298" s="13">
        <f t="shared" si="22"/>
        <v>17276881559</v>
      </c>
      <c r="T298" s="14">
        <f t="shared" si="23"/>
        <v>30019756718</v>
      </c>
      <c r="U298">
        <v>83.171387879999997</v>
      </c>
      <c r="V298">
        <v>129.01505570699999</v>
      </c>
      <c r="W298" s="221">
        <f t="shared" si="0"/>
        <v>1.5511951765569119</v>
      </c>
      <c r="X298" s="236">
        <f t="shared" si="24"/>
        <v>7198522.6770657888</v>
      </c>
      <c r="Y298" s="236">
        <f t="shared" si="25"/>
        <v>9819147.4613840599</v>
      </c>
      <c r="Z298" s="236">
        <f t="shared" si="26"/>
        <v>17017670.138449848</v>
      </c>
      <c r="AA298" s="236">
        <f t="shared" si="27"/>
        <v>1016352.7632282819</v>
      </c>
      <c r="AB298" s="236">
        <f t="shared" si="28"/>
        <v>1318639.5947544088</v>
      </c>
      <c r="AC298" s="236">
        <f t="shared" si="29"/>
        <v>2334992.3579826909</v>
      </c>
      <c r="AD298" s="236">
        <f t="shared" si="30"/>
        <v>8214875.4402940702</v>
      </c>
      <c r="AE298" s="236">
        <f t="shared" si="31"/>
        <v>11137787.056138469</v>
      </c>
      <c r="AF298" s="236">
        <f t="shared" si="32"/>
        <v>19352662.496432539</v>
      </c>
      <c r="AG298" s="236">
        <f t="shared" si="10"/>
        <v>11166313.654999999</v>
      </c>
      <c r="AH298" s="236">
        <f t="shared" si="11"/>
        <v>15231414.18</v>
      </c>
      <c r="AI298" s="236">
        <f t="shared" si="12"/>
        <v>26397727.835000001</v>
      </c>
      <c r="AJ298" s="236">
        <f t="shared" si="13"/>
        <v>1576561.504</v>
      </c>
      <c r="AK298" s="236">
        <f t="shared" si="14"/>
        <v>2045467.379</v>
      </c>
      <c r="AL298" s="236">
        <f t="shared" si="15"/>
        <v>3622028.8829999999</v>
      </c>
      <c r="AM298" s="236">
        <f t="shared" si="16"/>
        <v>12742875.159</v>
      </c>
      <c r="AN298" s="236">
        <f t="shared" si="17"/>
        <v>17276881.559</v>
      </c>
      <c r="AO298" s="236">
        <f t="shared" si="18"/>
        <v>30019756.717999998</v>
      </c>
    </row>
    <row r="299" spans="2:41" hidden="1" x14ac:dyDescent="0.25">
      <c r="B299" s="12">
        <v>41426</v>
      </c>
      <c r="C299" s="13">
        <v>235609</v>
      </c>
      <c r="D299" s="13">
        <v>325229</v>
      </c>
      <c r="E299" s="13">
        <v>560838</v>
      </c>
      <c r="F299" s="13">
        <v>20883</v>
      </c>
      <c r="G299" s="13">
        <v>26338</v>
      </c>
      <c r="H299" s="13">
        <v>47221</v>
      </c>
      <c r="I299" s="13">
        <v>256492</v>
      </c>
      <c r="J299" s="13">
        <v>351567</v>
      </c>
      <c r="K299" s="13">
        <v>608059</v>
      </c>
      <c r="L299" s="13">
        <v>11208011100</v>
      </c>
      <c r="M299" s="13">
        <v>15283216640</v>
      </c>
      <c r="N299" s="13">
        <f t="shared" si="19"/>
        <v>26491227740</v>
      </c>
      <c r="O299" s="13">
        <v>1622885009</v>
      </c>
      <c r="P299" s="13">
        <v>2081801552</v>
      </c>
      <c r="Q299" s="13">
        <f t="shared" si="20"/>
        <v>3704686561</v>
      </c>
      <c r="R299" s="13">
        <f t="shared" si="21"/>
        <v>12830896109</v>
      </c>
      <c r="S299" s="13">
        <f t="shared" si="22"/>
        <v>17365018192</v>
      </c>
      <c r="T299" s="14">
        <f t="shared" si="23"/>
        <v>30195914301</v>
      </c>
      <c r="U299">
        <v>83.703907880000003</v>
      </c>
      <c r="V299">
        <v>129.01505570699999</v>
      </c>
      <c r="W299" s="221">
        <f t="shared" si="0"/>
        <v>1.5413265518255035</v>
      </c>
      <c r="X299" s="236">
        <f t="shared" si="24"/>
        <v>7271665.4927702043</v>
      </c>
      <c r="Y299" s="236">
        <f t="shared" si="25"/>
        <v>9915625.3565469254</v>
      </c>
      <c r="Z299" s="236">
        <f t="shared" si="26"/>
        <v>17187290.84931713</v>
      </c>
      <c r="AA299" s="236">
        <f t="shared" si="27"/>
        <v>1052914.4567566821</v>
      </c>
      <c r="AB299" s="236">
        <f t="shared" si="28"/>
        <v>1350655.7384185547</v>
      </c>
      <c r="AC299" s="236">
        <f t="shared" si="29"/>
        <v>2403570.1951752366</v>
      </c>
      <c r="AD299" s="236">
        <f t="shared" si="30"/>
        <v>8324579.9495268874</v>
      </c>
      <c r="AE299" s="236">
        <f t="shared" si="31"/>
        <v>11266281.094965478</v>
      </c>
      <c r="AF299" s="236">
        <f t="shared" si="32"/>
        <v>19590861.044492368</v>
      </c>
      <c r="AG299" s="236">
        <f t="shared" si="10"/>
        <v>11208011.1</v>
      </c>
      <c r="AH299" s="236">
        <f t="shared" si="11"/>
        <v>15283216.640000001</v>
      </c>
      <c r="AI299" s="236">
        <f t="shared" si="12"/>
        <v>26491227.739999998</v>
      </c>
      <c r="AJ299" s="236">
        <f t="shared" si="13"/>
        <v>1622885.0090000001</v>
      </c>
      <c r="AK299" s="236">
        <f t="shared" si="14"/>
        <v>2081801.5519999999</v>
      </c>
      <c r="AL299" s="236">
        <f t="shared" si="15"/>
        <v>3704686.5610000002</v>
      </c>
      <c r="AM299" s="236">
        <f t="shared" si="16"/>
        <v>12830896.108999999</v>
      </c>
      <c r="AN299" s="236">
        <f t="shared" si="17"/>
        <v>17365018.192000002</v>
      </c>
      <c r="AO299" s="236">
        <f t="shared" si="18"/>
        <v>30195914.300999999</v>
      </c>
    </row>
    <row r="300" spans="2:41" hidden="1" x14ac:dyDescent="0.25">
      <c r="B300" s="12">
        <v>41456</v>
      </c>
      <c r="C300" s="13">
        <v>237441</v>
      </c>
      <c r="D300" s="13">
        <v>327498</v>
      </c>
      <c r="E300" s="13">
        <v>564939</v>
      </c>
      <c r="F300" s="13">
        <v>21252</v>
      </c>
      <c r="G300" s="13">
        <v>26760</v>
      </c>
      <c r="H300" s="13">
        <v>48012</v>
      </c>
      <c r="I300" s="13">
        <v>258693</v>
      </c>
      <c r="J300" s="13">
        <v>354258</v>
      </c>
      <c r="K300" s="13">
        <v>612951</v>
      </c>
      <c r="L300" s="13">
        <v>11493164507</v>
      </c>
      <c r="M300" s="13">
        <v>15640317400</v>
      </c>
      <c r="N300" s="13">
        <f t="shared" si="19"/>
        <v>27133481907</v>
      </c>
      <c r="O300" s="13">
        <v>1649866295</v>
      </c>
      <c r="P300" s="13">
        <v>2123471783</v>
      </c>
      <c r="Q300" s="13">
        <f t="shared" si="20"/>
        <v>3773338078</v>
      </c>
      <c r="R300" s="13">
        <f t="shared" si="21"/>
        <v>13143030802</v>
      </c>
      <c r="S300" s="13">
        <f t="shared" si="22"/>
        <v>17763789183</v>
      </c>
      <c r="T300" s="14">
        <f t="shared" si="23"/>
        <v>30906819985</v>
      </c>
      <c r="U300">
        <v>83.922140080000005</v>
      </c>
      <c r="V300">
        <v>129.01505570699999</v>
      </c>
      <c r="W300" s="221">
        <f t="shared" si="0"/>
        <v>1.5373184666646311</v>
      </c>
      <c r="X300" s="236">
        <f t="shared" si="24"/>
        <v>7476111.6555996304</v>
      </c>
      <c r="Y300" s="236">
        <f t="shared" si="25"/>
        <v>10173765.383781059</v>
      </c>
      <c r="Z300" s="236">
        <f t="shared" si="26"/>
        <v>17649877.039380688</v>
      </c>
      <c r="AA300" s="236">
        <f t="shared" si="27"/>
        <v>1073210.4835633393</v>
      </c>
      <c r="AB300" s="236">
        <f t="shared" si="28"/>
        <v>1381282.9475776013</v>
      </c>
      <c r="AC300" s="236">
        <f t="shared" si="29"/>
        <v>2454493.4311409406</v>
      </c>
      <c r="AD300" s="236">
        <f t="shared" si="30"/>
        <v>8549322.1391629688</v>
      </c>
      <c r="AE300" s="236">
        <f t="shared" si="31"/>
        <v>11555048.33135866</v>
      </c>
      <c r="AF300" s="236">
        <f t="shared" si="32"/>
        <v>20104370.470521629</v>
      </c>
      <c r="AG300" s="236">
        <f t="shared" si="10"/>
        <v>11493164.506999999</v>
      </c>
      <c r="AH300" s="236">
        <f t="shared" si="11"/>
        <v>15640317.4</v>
      </c>
      <c r="AI300" s="236">
        <f t="shared" si="12"/>
        <v>27133481.907000002</v>
      </c>
      <c r="AJ300" s="236">
        <f t="shared" si="13"/>
        <v>1649866.2949999999</v>
      </c>
      <c r="AK300" s="236">
        <f t="shared" si="14"/>
        <v>2123471.7829999998</v>
      </c>
      <c r="AL300" s="236">
        <f t="shared" si="15"/>
        <v>3773338.0780000002</v>
      </c>
      <c r="AM300" s="236">
        <f t="shared" si="16"/>
        <v>13143030.801999999</v>
      </c>
      <c r="AN300" s="236">
        <f t="shared" si="17"/>
        <v>17763789.182999998</v>
      </c>
      <c r="AO300" s="236">
        <f t="shared" si="18"/>
        <v>30906819.984999999</v>
      </c>
    </row>
    <row r="301" spans="2:41" hidden="1" x14ac:dyDescent="0.25">
      <c r="B301" s="12">
        <v>41487</v>
      </c>
      <c r="C301" s="13">
        <v>239444</v>
      </c>
      <c r="D301" s="13">
        <v>329632</v>
      </c>
      <c r="E301" s="13">
        <v>569076</v>
      </c>
      <c r="F301" s="13">
        <v>21757</v>
      </c>
      <c r="G301" s="13">
        <v>27306</v>
      </c>
      <c r="H301" s="13">
        <v>49063</v>
      </c>
      <c r="I301" s="13">
        <v>261201</v>
      </c>
      <c r="J301" s="13">
        <v>356938</v>
      </c>
      <c r="K301" s="13">
        <v>618139</v>
      </c>
      <c r="L301" s="13">
        <v>11811438084</v>
      </c>
      <c r="M301" s="13">
        <v>16056738143</v>
      </c>
      <c r="N301" s="13">
        <f t="shared" si="19"/>
        <v>27868176227</v>
      </c>
      <c r="O301" s="13">
        <v>1704041082</v>
      </c>
      <c r="P301" s="13">
        <v>2174239917</v>
      </c>
      <c r="Q301" s="13">
        <f t="shared" si="20"/>
        <v>3878280999</v>
      </c>
      <c r="R301" s="13">
        <f t="shared" si="21"/>
        <v>13515479166</v>
      </c>
      <c r="S301" s="13">
        <f t="shared" si="22"/>
        <v>18230978060</v>
      </c>
      <c r="T301" s="14">
        <f t="shared" si="23"/>
        <v>31746457226</v>
      </c>
      <c r="U301">
        <v>84.124094580000005</v>
      </c>
      <c r="V301">
        <v>129.01505570699999</v>
      </c>
      <c r="W301" s="221">
        <f t="shared" si="0"/>
        <v>1.5336278666786689</v>
      </c>
      <c r="X301" s="236">
        <f t="shared" si="24"/>
        <v>7701632.4107227335</v>
      </c>
      <c r="Y301" s="236">
        <f t="shared" si="25"/>
        <v>10469774.638207108</v>
      </c>
      <c r="Z301" s="236">
        <f t="shared" si="26"/>
        <v>18171407.04892984</v>
      </c>
      <c r="AA301" s="236">
        <f t="shared" si="27"/>
        <v>1111117.7092069862</v>
      </c>
      <c r="AB301" s="236">
        <f t="shared" si="28"/>
        <v>1417710.2309106349</v>
      </c>
      <c r="AC301" s="236">
        <f t="shared" si="29"/>
        <v>2528827.9401176209</v>
      </c>
      <c r="AD301" s="236">
        <f t="shared" si="30"/>
        <v>8812750.1199297197</v>
      </c>
      <c r="AE301" s="236">
        <f t="shared" si="31"/>
        <v>11887484.869117742</v>
      </c>
      <c r="AF301" s="236">
        <f t="shared" si="32"/>
        <v>20700234.989047464</v>
      </c>
      <c r="AG301" s="236">
        <f t="shared" si="10"/>
        <v>11811438.084000001</v>
      </c>
      <c r="AH301" s="236">
        <f t="shared" si="11"/>
        <v>16056738.142999999</v>
      </c>
      <c r="AI301" s="236">
        <f t="shared" si="12"/>
        <v>27868176.227000002</v>
      </c>
      <c r="AJ301" s="236">
        <f t="shared" si="13"/>
        <v>1704041.0819999999</v>
      </c>
      <c r="AK301" s="236">
        <f t="shared" si="14"/>
        <v>2174239.9169999999</v>
      </c>
      <c r="AL301" s="236">
        <f t="shared" si="15"/>
        <v>3878280.9989999998</v>
      </c>
      <c r="AM301" s="236">
        <f t="shared" si="16"/>
        <v>13515479.165999999</v>
      </c>
      <c r="AN301" s="236">
        <f t="shared" si="17"/>
        <v>18230978.059999999</v>
      </c>
      <c r="AO301" s="236">
        <f t="shared" si="18"/>
        <v>31746457.226</v>
      </c>
    </row>
    <row r="302" spans="2:41" hidden="1" x14ac:dyDescent="0.25">
      <c r="B302" s="12">
        <v>41518</v>
      </c>
      <c r="C302" s="13">
        <v>241073</v>
      </c>
      <c r="D302" s="13">
        <v>331319</v>
      </c>
      <c r="E302" s="13">
        <v>572392</v>
      </c>
      <c r="F302" s="13">
        <v>22887</v>
      </c>
      <c r="G302" s="13">
        <v>28726</v>
      </c>
      <c r="H302" s="13">
        <v>51613</v>
      </c>
      <c r="I302" s="13">
        <v>263960</v>
      </c>
      <c r="J302" s="13">
        <v>360045</v>
      </c>
      <c r="K302" s="13">
        <v>624005</v>
      </c>
      <c r="L302" s="13">
        <v>12125554197</v>
      </c>
      <c r="M302" s="13">
        <v>16424761711</v>
      </c>
      <c r="N302" s="13">
        <f t="shared" si="19"/>
        <v>28550315908</v>
      </c>
      <c r="O302" s="13">
        <v>1848895693</v>
      </c>
      <c r="P302" s="13">
        <v>2359518320</v>
      </c>
      <c r="Q302" s="13">
        <f t="shared" si="20"/>
        <v>4208414013</v>
      </c>
      <c r="R302" s="13">
        <f t="shared" si="21"/>
        <v>13974449890</v>
      </c>
      <c r="S302" s="13">
        <f t="shared" si="22"/>
        <v>18784280031</v>
      </c>
      <c r="T302" s="14">
        <f t="shared" si="23"/>
        <v>32758729921</v>
      </c>
      <c r="U302">
        <v>84.57561853</v>
      </c>
      <c r="V302">
        <v>129.01505570699999</v>
      </c>
      <c r="W302" s="221">
        <f t="shared" si="0"/>
        <v>1.5254402858577591</v>
      </c>
      <c r="X302" s="236">
        <f t="shared" si="24"/>
        <v>7948888.1403061729</v>
      </c>
      <c r="Y302" s="236">
        <f t="shared" si="25"/>
        <v>10767226.920170337</v>
      </c>
      <c r="Z302" s="236">
        <f t="shared" si="26"/>
        <v>18716115.060476508</v>
      </c>
      <c r="AA302" s="236">
        <f t="shared" si="27"/>
        <v>1212040.6876237448</v>
      </c>
      <c r="AB302" s="236">
        <f t="shared" si="28"/>
        <v>1546778.554280305</v>
      </c>
      <c r="AC302" s="236">
        <f t="shared" si="29"/>
        <v>2758819.2419040496</v>
      </c>
      <c r="AD302" s="236">
        <f t="shared" si="30"/>
        <v>9160928.8279299177</v>
      </c>
      <c r="AE302" s="236">
        <f t="shared" si="31"/>
        <v>12314005.474450644</v>
      </c>
      <c r="AF302" s="236">
        <f t="shared" si="32"/>
        <v>21474934.302380562</v>
      </c>
      <c r="AG302" s="236">
        <f t="shared" si="10"/>
        <v>12125554.197000001</v>
      </c>
      <c r="AH302" s="236">
        <f t="shared" si="11"/>
        <v>16424761.710999999</v>
      </c>
      <c r="AI302" s="236">
        <f t="shared" si="12"/>
        <v>28550315.908</v>
      </c>
      <c r="AJ302" s="236">
        <f t="shared" si="13"/>
        <v>1848895.693</v>
      </c>
      <c r="AK302" s="236">
        <f t="shared" si="14"/>
        <v>2359518.3199999998</v>
      </c>
      <c r="AL302" s="236">
        <f t="shared" si="15"/>
        <v>4208414.0130000003</v>
      </c>
      <c r="AM302" s="236">
        <f t="shared" si="16"/>
        <v>13974449.890000001</v>
      </c>
      <c r="AN302" s="236">
        <f t="shared" si="17"/>
        <v>18784280.030999999</v>
      </c>
      <c r="AO302" s="236">
        <f t="shared" si="18"/>
        <v>32758729.921</v>
      </c>
    </row>
    <row r="303" spans="2:41" hidden="1" x14ac:dyDescent="0.25">
      <c r="B303" s="12">
        <v>41548</v>
      </c>
      <c r="C303" s="13">
        <v>242881</v>
      </c>
      <c r="D303" s="13">
        <v>333585</v>
      </c>
      <c r="E303" s="13">
        <v>576466</v>
      </c>
      <c r="F303" s="13">
        <v>23639</v>
      </c>
      <c r="G303" s="13">
        <v>29640</v>
      </c>
      <c r="H303" s="13">
        <v>53279</v>
      </c>
      <c r="I303" s="13">
        <v>266520</v>
      </c>
      <c r="J303" s="13">
        <v>363225</v>
      </c>
      <c r="K303" s="13">
        <v>629745</v>
      </c>
      <c r="L303" s="13">
        <v>12175806493</v>
      </c>
      <c r="M303" s="13">
        <v>16533519283</v>
      </c>
      <c r="N303" s="13">
        <f t="shared" si="19"/>
        <v>28709325776</v>
      </c>
      <c r="O303" s="13">
        <v>1928986719</v>
      </c>
      <c r="P303" s="13">
        <v>2516117456</v>
      </c>
      <c r="Q303" s="13">
        <f t="shared" si="20"/>
        <v>4445104175</v>
      </c>
      <c r="R303" s="13">
        <f t="shared" si="21"/>
        <v>14104793212</v>
      </c>
      <c r="S303" s="13">
        <f t="shared" si="22"/>
        <v>19049636739</v>
      </c>
      <c r="T303" s="14">
        <f t="shared" si="23"/>
        <v>33154429951</v>
      </c>
      <c r="U303">
        <v>84.696262430000004</v>
      </c>
      <c r="V303">
        <v>129.01505570699999</v>
      </c>
      <c r="W303" s="221">
        <f t="shared" si="0"/>
        <v>1.5232674028990205</v>
      </c>
      <c r="X303" s="236">
        <f t="shared" si="24"/>
        <v>7993216.7325497158</v>
      </c>
      <c r="Y303" s="236">
        <f t="shared" si="25"/>
        <v>10853983.516967593</v>
      </c>
      <c r="Z303" s="236">
        <f t="shared" si="26"/>
        <v>18847200.249517307</v>
      </c>
      <c r="AA303" s="236">
        <f t="shared" si="27"/>
        <v>1266348.059000561</v>
      </c>
      <c r="AB303" s="236">
        <f t="shared" si="28"/>
        <v>1651789.732525903</v>
      </c>
      <c r="AC303" s="236">
        <f t="shared" si="29"/>
        <v>2918137.7915264638</v>
      </c>
      <c r="AD303" s="236">
        <f t="shared" si="30"/>
        <v>9259564.7915502749</v>
      </c>
      <c r="AE303" s="236">
        <f t="shared" si="31"/>
        <v>12505773.249493495</v>
      </c>
      <c r="AF303" s="236">
        <f t="shared" si="32"/>
        <v>21765338.04104377</v>
      </c>
      <c r="AG303" s="236">
        <f t="shared" si="10"/>
        <v>12175806.493000001</v>
      </c>
      <c r="AH303" s="236">
        <f t="shared" si="11"/>
        <v>16533519.283</v>
      </c>
      <c r="AI303" s="236">
        <f t="shared" si="12"/>
        <v>28709325.776000001</v>
      </c>
      <c r="AJ303" s="236">
        <f t="shared" si="13"/>
        <v>1928986.719</v>
      </c>
      <c r="AK303" s="236">
        <f t="shared" si="14"/>
        <v>2516117.4559999998</v>
      </c>
      <c r="AL303" s="236">
        <f t="shared" si="15"/>
        <v>4445104.1749999998</v>
      </c>
      <c r="AM303" s="236">
        <f t="shared" si="16"/>
        <v>14104793.211999999</v>
      </c>
      <c r="AN303" s="236">
        <f t="shared" si="17"/>
        <v>19049636.739</v>
      </c>
      <c r="AO303" s="236">
        <f t="shared" si="18"/>
        <v>33154429.951000001</v>
      </c>
    </row>
    <row r="304" spans="2:41" hidden="1" x14ac:dyDescent="0.25">
      <c r="B304" s="12">
        <v>41579</v>
      </c>
      <c r="C304" s="13">
        <v>245366</v>
      </c>
      <c r="D304" s="13">
        <v>336778</v>
      </c>
      <c r="E304" s="13">
        <v>582144</v>
      </c>
      <c r="F304" s="13">
        <v>23904</v>
      </c>
      <c r="G304" s="13">
        <v>30000</v>
      </c>
      <c r="H304" s="13">
        <v>53904</v>
      </c>
      <c r="I304" s="13">
        <v>269270</v>
      </c>
      <c r="J304" s="13">
        <v>366778</v>
      </c>
      <c r="K304" s="13">
        <v>636048</v>
      </c>
      <c r="L304" s="13">
        <v>12291361639</v>
      </c>
      <c r="M304" s="13">
        <v>16747936438</v>
      </c>
      <c r="N304" s="13">
        <f t="shared" si="19"/>
        <v>29039298077</v>
      </c>
      <c r="O304" s="13">
        <v>1904563206</v>
      </c>
      <c r="P304" s="13">
        <v>2441689977</v>
      </c>
      <c r="Q304" s="13">
        <f t="shared" si="20"/>
        <v>4346253183</v>
      </c>
      <c r="R304" s="13">
        <f t="shared" si="21"/>
        <v>14195924845</v>
      </c>
      <c r="S304" s="13">
        <f t="shared" si="22"/>
        <v>19189626415</v>
      </c>
      <c r="T304" s="14">
        <f t="shared" si="23"/>
        <v>33385551260</v>
      </c>
      <c r="U304">
        <v>85.011592280000002</v>
      </c>
      <c r="V304">
        <v>129.01505570699999</v>
      </c>
      <c r="W304" s="221">
        <f t="shared" si="0"/>
        <v>1.5176172125098795</v>
      </c>
      <c r="X304" s="236">
        <f t="shared" si="24"/>
        <v>8099118.4981832076</v>
      </c>
      <c r="Y304" s="236">
        <f t="shared" si="25"/>
        <v>11035679.023633223</v>
      </c>
      <c r="Z304" s="236">
        <f t="shared" si="26"/>
        <v>19134797.521816429</v>
      </c>
      <c r="AA304" s="236">
        <f t="shared" si="27"/>
        <v>1254969.4285887666</v>
      </c>
      <c r="AB304" s="236">
        <f t="shared" si="28"/>
        <v>1608897.1295745005</v>
      </c>
      <c r="AC304" s="236">
        <f t="shared" si="29"/>
        <v>2863866.5581632671</v>
      </c>
      <c r="AD304" s="236">
        <f t="shared" si="30"/>
        <v>9354087.9267719723</v>
      </c>
      <c r="AE304" s="236">
        <f t="shared" si="31"/>
        <v>12644576.153207723</v>
      </c>
      <c r="AF304" s="236">
        <f t="shared" si="32"/>
        <v>21998664.079979699</v>
      </c>
      <c r="AG304" s="236">
        <f t="shared" si="10"/>
        <v>12291361.639</v>
      </c>
      <c r="AH304" s="236">
        <f t="shared" si="11"/>
        <v>16747936.437999999</v>
      </c>
      <c r="AI304" s="236">
        <f t="shared" si="12"/>
        <v>29039298.077</v>
      </c>
      <c r="AJ304" s="236">
        <f t="shared" si="13"/>
        <v>1904563.206</v>
      </c>
      <c r="AK304" s="236">
        <f t="shared" si="14"/>
        <v>2441689.977</v>
      </c>
      <c r="AL304" s="236">
        <f t="shared" si="15"/>
        <v>4346253.1830000002</v>
      </c>
      <c r="AM304" s="236">
        <f t="shared" si="16"/>
        <v>14195924.845000001</v>
      </c>
      <c r="AN304" s="236">
        <f t="shared" si="17"/>
        <v>19189626.414999999</v>
      </c>
      <c r="AO304" s="236">
        <f t="shared" si="18"/>
        <v>33385551.260000002</v>
      </c>
    </row>
    <row r="305" spans="2:41" hidden="1" x14ac:dyDescent="0.25">
      <c r="B305" s="15">
        <v>41609</v>
      </c>
      <c r="C305" s="16">
        <v>247347</v>
      </c>
      <c r="D305" s="16">
        <v>339536</v>
      </c>
      <c r="E305" s="16">
        <v>586883</v>
      </c>
      <c r="F305" s="16">
        <v>24221</v>
      </c>
      <c r="G305" s="16">
        <v>30254</v>
      </c>
      <c r="H305" s="16">
        <v>54475</v>
      </c>
      <c r="I305" s="17">
        <v>271568</v>
      </c>
      <c r="J305" s="17">
        <v>369790</v>
      </c>
      <c r="K305" s="17">
        <v>641358</v>
      </c>
      <c r="L305" s="16">
        <v>12384592756</v>
      </c>
      <c r="M305" s="16">
        <v>16901835812</v>
      </c>
      <c r="N305" s="16">
        <f t="shared" si="19"/>
        <v>29286428568</v>
      </c>
      <c r="O305" s="16">
        <v>1921108466</v>
      </c>
      <c r="P305" s="16">
        <v>2443637139</v>
      </c>
      <c r="Q305" s="16">
        <f t="shared" si="20"/>
        <v>4364745605</v>
      </c>
      <c r="R305" s="16">
        <f t="shared" si="21"/>
        <v>14305701222</v>
      </c>
      <c r="S305" s="16">
        <f t="shared" si="22"/>
        <v>19345472951</v>
      </c>
      <c r="T305" s="16">
        <f t="shared" si="23"/>
        <v>33651174173</v>
      </c>
      <c r="U305">
        <v>85.520646979999995</v>
      </c>
      <c r="V305">
        <v>129.01505570699999</v>
      </c>
      <c r="W305" s="221">
        <f t="shared" ref="W305:W368" si="33">+V305/U305</f>
        <v>1.5085837194048786</v>
      </c>
      <c r="X305" s="236">
        <f t="shared" si="24"/>
        <v>8209416.9496178841</v>
      </c>
      <c r="Y305" s="236">
        <f t="shared" si="25"/>
        <v>11203777.15508398</v>
      </c>
      <c r="Z305" s="236">
        <f t="shared" si="26"/>
        <v>19413194.104701865</v>
      </c>
      <c r="AA305" s="236">
        <f t="shared" si="27"/>
        <v>1273451.6760911741</v>
      </c>
      <c r="AB305" s="236">
        <f t="shared" si="28"/>
        <v>1619822.0274868079</v>
      </c>
      <c r="AC305" s="236">
        <f t="shared" si="29"/>
        <v>2893273.7035779818</v>
      </c>
      <c r="AD305" s="236">
        <f t="shared" si="30"/>
        <v>9482868.6257090587</v>
      </c>
      <c r="AE305" s="236">
        <f t="shared" si="31"/>
        <v>12823599.182570787</v>
      </c>
      <c r="AF305" s="236">
        <f t="shared" si="32"/>
        <v>22306467.808279846</v>
      </c>
      <c r="AG305" s="236">
        <f t="shared" ref="AG305:AG368" si="34">+L305/$AA$238</f>
        <v>12384592.755999999</v>
      </c>
      <c r="AH305" s="236">
        <f t="shared" ref="AH305:AH368" si="35">+M305/$AA$238</f>
        <v>16901835.811999999</v>
      </c>
      <c r="AI305" s="236">
        <f t="shared" ref="AI305:AI368" si="36">+N305/$AA$238</f>
        <v>29286428.568</v>
      </c>
      <c r="AJ305" s="236">
        <f t="shared" ref="AJ305:AJ368" si="37">+O305/$AA$238</f>
        <v>1921108.466</v>
      </c>
      <c r="AK305" s="236">
        <f t="shared" ref="AK305:AK368" si="38">+P305/$AA$238</f>
        <v>2443637.139</v>
      </c>
      <c r="AL305" s="236">
        <f t="shared" ref="AL305:AL368" si="39">+Q305/$AA$238</f>
        <v>4364745.6050000004</v>
      </c>
      <c r="AM305" s="236">
        <f t="shared" ref="AM305:AM368" si="40">+R305/$AA$238</f>
        <v>14305701.221999999</v>
      </c>
      <c r="AN305" s="236">
        <f t="shared" ref="AN305:AN368" si="41">+S305/$AA$238</f>
        <v>19345472.951000001</v>
      </c>
      <c r="AO305" s="236">
        <f t="shared" ref="AO305:AO368" si="42">+T305/$AA$238</f>
        <v>33651174.173</v>
      </c>
    </row>
    <row r="306" spans="2:41" hidden="1" x14ac:dyDescent="0.25">
      <c r="B306" s="12">
        <v>41640</v>
      </c>
      <c r="C306" s="13">
        <v>250199</v>
      </c>
      <c r="D306" s="13">
        <v>343977</v>
      </c>
      <c r="E306" s="13">
        <v>594176</v>
      </c>
      <c r="F306" s="13">
        <v>24692</v>
      </c>
      <c r="G306" s="13">
        <v>30730</v>
      </c>
      <c r="H306" s="13">
        <v>55422</v>
      </c>
      <c r="I306" s="13">
        <v>274891</v>
      </c>
      <c r="J306" s="13">
        <v>374707</v>
      </c>
      <c r="K306" s="13">
        <v>649598</v>
      </c>
      <c r="L306" s="13">
        <v>12425191925</v>
      </c>
      <c r="M306" s="13">
        <v>17017659096</v>
      </c>
      <c r="N306" s="13">
        <f t="shared" si="19"/>
        <v>29442851021</v>
      </c>
      <c r="O306" s="13">
        <v>1967140496</v>
      </c>
      <c r="P306" s="13">
        <v>2491701375</v>
      </c>
      <c r="Q306" s="13">
        <f t="shared" si="20"/>
        <v>4458841871</v>
      </c>
      <c r="R306" s="13">
        <f t="shared" si="21"/>
        <v>14392332421</v>
      </c>
      <c r="S306" s="13">
        <f t="shared" si="22"/>
        <v>19509360471</v>
      </c>
      <c r="T306" s="14">
        <f t="shared" si="23"/>
        <v>33901692892</v>
      </c>
      <c r="U306">
        <v>85.673733110000001</v>
      </c>
      <c r="V306">
        <v>129.01505570699999</v>
      </c>
      <c r="W306" s="221">
        <f t="shared" si="33"/>
        <v>1.5058881062338243</v>
      </c>
      <c r="X306" s="236">
        <f t="shared" si="24"/>
        <v>8251072.4890941521</v>
      </c>
      <c r="Y306" s="236">
        <f t="shared" si="25"/>
        <v>11300746.068418453</v>
      </c>
      <c r="Z306" s="236">
        <f t="shared" si="26"/>
        <v>19551818.557512604</v>
      </c>
      <c r="AA306" s="236">
        <f t="shared" si="27"/>
        <v>1306299.2448487773</v>
      </c>
      <c r="AB306" s="236">
        <f t="shared" si="28"/>
        <v>1654639.1227112229</v>
      </c>
      <c r="AC306" s="236">
        <f t="shared" si="29"/>
        <v>2960938.3675600006</v>
      </c>
      <c r="AD306" s="236">
        <f t="shared" si="30"/>
        <v>9557371.7339429297</v>
      </c>
      <c r="AE306" s="236">
        <f t="shared" si="31"/>
        <v>12955385.191129677</v>
      </c>
      <c r="AF306" s="236">
        <f t="shared" si="32"/>
        <v>22512756.925072607</v>
      </c>
      <c r="AG306" s="236">
        <f t="shared" si="34"/>
        <v>12425191.925000001</v>
      </c>
      <c r="AH306" s="236">
        <f t="shared" si="35"/>
        <v>17017659.096000001</v>
      </c>
      <c r="AI306" s="236">
        <f t="shared" si="36"/>
        <v>29442851.021000002</v>
      </c>
      <c r="AJ306" s="236">
        <f t="shared" si="37"/>
        <v>1967140.496</v>
      </c>
      <c r="AK306" s="236">
        <f t="shared" si="38"/>
        <v>2491701.375</v>
      </c>
      <c r="AL306" s="236">
        <f t="shared" si="39"/>
        <v>4458841.8710000003</v>
      </c>
      <c r="AM306" s="236">
        <f t="shared" si="40"/>
        <v>14392332.421</v>
      </c>
      <c r="AN306" s="236">
        <f t="shared" si="41"/>
        <v>19509360.471000001</v>
      </c>
      <c r="AO306" s="236">
        <f t="shared" si="42"/>
        <v>33901692.891999997</v>
      </c>
    </row>
    <row r="307" spans="2:41" hidden="1" x14ac:dyDescent="0.25">
      <c r="B307" s="12">
        <v>41671</v>
      </c>
      <c r="C307" s="13">
        <v>250279</v>
      </c>
      <c r="D307" s="13">
        <v>345030</v>
      </c>
      <c r="E307" s="13">
        <v>595309</v>
      </c>
      <c r="F307" s="13">
        <v>25927</v>
      </c>
      <c r="G307" s="13">
        <v>31813</v>
      </c>
      <c r="H307" s="13">
        <v>57740</v>
      </c>
      <c r="I307" s="13">
        <v>276206</v>
      </c>
      <c r="J307" s="13">
        <v>376843</v>
      </c>
      <c r="K307" s="13">
        <v>653049</v>
      </c>
      <c r="L307" s="13">
        <v>12407675955</v>
      </c>
      <c r="M307" s="13">
        <v>16889411190</v>
      </c>
      <c r="N307" s="13">
        <f t="shared" si="19"/>
        <v>29297087145</v>
      </c>
      <c r="O307" s="13">
        <v>2087722716</v>
      </c>
      <c r="P307" s="13">
        <v>2646217919</v>
      </c>
      <c r="Q307" s="13">
        <f t="shared" si="20"/>
        <v>4733940635</v>
      </c>
      <c r="R307" s="13">
        <f t="shared" si="21"/>
        <v>14495398671</v>
      </c>
      <c r="S307" s="13">
        <f t="shared" si="22"/>
        <v>19535629109</v>
      </c>
      <c r="T307" s="14">
        <f t="shared" si="23"/>
        <v>34031027780</v>
      </c>
      <c r="U307">
        <v>86.090680660000004</v>
      </c>
      <c r="V307">
        <v>129.01505570699999</v>
      </c>
      <c r="W307" s="221">
        <f t="shared" si="33"/>
        <v>1.4985949085072547</v>
      </c>
      <c r="X307" s="236">
        <f t="shared" ref="X307:X338" si="43">+L307/$W307/$AA$238</f>
        <v>8279539.6438115779</v>
      </c>
      <c r="Y307" s="236">
        <f t="shared" ref="Y307:Y338" si="44">+M307/$W307/$AA$238</f>
        <v>11270164.534873193</v>
      </c>
      <c r="Z307" s="236">
        <f t="shared" ref="Z307:Z338" si="45">+N307/$W307/$AA$238</f>
        <v>19549704.178684771</v>
      </c>
      <c r="AA307" s="236">
        <f t="shared" ref="AA307:AA338" si="46">+O307/$W307/$AA$238</f>
        <v>1393120.1181509241</v>
      </c>
      <c r="AB307" s="236">
        <f t="shared" ref="AB307:AB338" si="47">+P307/$W307/$AA$238</f>
        <v>1765799.3524319984</v>
      </c>
      <c r="AC307" s="236">
        <f t="shared" ref="AC307:AC338" si="48">+Q307/$W307/$AA$238</f>
        <v>3158919.4705829225</v>
      </c>
      <c r="AD307" s="236">
        <f t="shared" ref="AD307:AD338" si="49">+R307/$W307/$AA$238</f>
        <v>9672659.7619625013</v>
      </c>
      <c r="AE307" s="236">
        <f t="shared" ref="AE307:AE338" si="50">+S307/$W307/$AA$238</f>
        <v>13035963.887305191</v>
      </c>
      <c r="AF307" s="236">
        <f t="shared" ref="AF307:AF338" si="51">+T307/$W307/$AA$238</f>
        <v>22708623.649267692</v>
      </c>
      <c r="AG307" s="236">
        <f t="shared" si="34"/>
        <v>12407675.955</v>
      </c>
      <c r="AH307" s="236">
        <f t="shared" si="35"/>
        <v>16889411.190000001</v>
      </c>
      <c r="AI307" s="236">
        <f t="shared" si="36"/>
        <v>29297087.145</v>
      </c>
      <c r="AJ307" s="236">
        <f t="shared" si="37"/>
        <v>2087722.716</v>
      </c>
      <c r="AK307" s="236">
        <f t="shared" si="38"/>
        <v>2646217.9190000002</v>
      </c>
      <c r="AL307" s="236">
        <f t="shared" si="39"/>
        <v>4733940.6349999998</v>
      </c>
      <c r="AM307" s="236">
        <f t="shared" si="40"/>
        <v>14495398.671</v>
      </c>
      <c r="AN307" s="236">
        <f t="shared" si="41"/>
        <v>19535629.109000001</v>
      </c>
      <c r="AO307" s="236">
        <f t="shared" si="42"/>
        <v>34031027.780000001</v>
      </c>
    </row>
    <row r="308" spans="2:41" hidden="1" x14ac:dyDescent="0.25">
      <c r="B308" s="12">
        <v>41699</v>
      </c>
      <c r="C308" s="13">
        <v>251731</v>
      </c>
      <c r="D308" s="13">
        <v>347209</v>
      </c>
      <c r="E308" s="13">
        <v>598940</v>
      </c>
      <c r="F308" s="13">
        <v>26144</v>
      </c>
      <c r="G308" s="13">
        <v>32148</v>
      </c>
      <c r="H308" s="13">
        <v>58292</v>
      </c>
      <c r="I308" s="13">
        <v>277875</v>
      </c>
      <c r="J308" s="13">
        <v>379357</v>
      </c>
      <c r="K308" s="13">
        <v>657232</v>
      </c>
      <c r="L308" s="13">
        <v>12491475307</v>
      </c>
      <c r="M308" s="13">
        <v>17010565615</v>
      </c>
      <c r="N308" s="13">
        <f t="shared" ref="N308:N371" si="52">+L308+M308</f>
        <v>29502040922</v>
      </c>
      <c r="O308" s="13">
        <v>2094060488</v>
      </c>
      <c r="P308" s="13">
        <v>2667664351</v>
      </c>
      <c r="Q308" s="13">
        <f t="shared" ref="Q308:Q371" si="53">+O308+P308</f>
        <v>4761724839</v>
      </c>
      <c r="R308" s="13">
        <f t="shared" ref="R308:R371" si="54">+L308+O308</f>
        <v>14585535795</v>
      </c>
      <c r="S308" s="13">
        <f t="shared" ref="S308:S371" si="55">+M308+P308</f>
        <v>19678229966</v>
      </c>
      <c r="T308" s="14">
        <f t="shared" ref="T308:T371" si="56">+R308+S308</f>
        <v>34263765761</v>
      </c>
      <c r="U308">
        <v>86.811527290000001</v>
      </c>
      <c r="V308">
        <v>129.01505570699999</v>
      </c>
      <c r="W308" s="221">
        <f t="shared" si="33"/>
        <v>1.4861512028928616</v>
      </c>
      <c r="X308" s="236">
        <f t="shared" si="43"/>
        <v>8405251.9573276062</v>
      </c>
      <c r="Y308" s="236">
        <f t="shared" si="44"/>
        <v>11446053.12157212</v>
      </c>
      <c r="Z308" s="236">
        <f t="shared" si="45"/>
        <v>19851305.078899726</v>
      </c>
      <c r="AA308" s="236">
        <f t="shared" si="46"/>
        <v>1409049.4183390054</v>
      </c>
      <c r="AB308" s="236">
        <f t="shared" si="47"/>
        <v>1795015.4370613627</v>
      </c>
      <c r="AC308" s="236">
        <f t="shared" si="48"/>
        <v>3204064.8554003681</v>
      </c>
      <c r="AD308" s="236">
        <f t="shared" si="49"/>
        <v>9814301.3756666109</v>
      </c>
      <c r="AE308" s="236">
        <f t="shared" si="50"/>
        <v>13241068.558633482</v>
      </c>
      <c r="AF308" s="236">
        <f t="shared" si="51"/>
        <v>23055369.934300095</v>
      </c>
      <c r="AG308" s="236">
        <f t="shared" si="34"/>
        <v>12491475.307</v>
      </c>
      <c r="AH308" s="236">
        <f t="shared" si="35"/>
        <v>17010565.614999998</v>
      </c>
      <c r="AI308" s="236">
        <f t="shared" si="36"/>
        <v>29502040.921999998</v>
      </c>
      <c r="AJ308" s="236">
        <f t="shared" si="37"/>
        <v>2094060.4879999999</v>
      </c>
      <c r="AK308" s="236">
        <f t="shared" si="38"/>
        <v>2667664.3509999998</v>
      </c>
      <c r="AL308" s="236">
        <f t="shared" si="39"/>
        <v>4761724.8389999997</v>
      </c>
      <c r="AM308" s="236">
        <f t="shared" si="40"/>
        <v>14585535.795</v>
      </c>
      <c r="AN308" s="236">
        <f t="shared" si="41"/>
        <v>19678229.965999998</v>
      </c>
      <c r="AO308" s="236">
        <f t="shared" si="42"/>
        <v>34263765.761</v>
      </c>
    </row>
    <row r="309" spans="2:41" hidden="1" x14ac:dyDescent="0.25">
      <c r="B309" s="12">
        <v>41730</v>
      </c>
      <c r="C309" s="13">
        <v>253310</v>
      </c>
      <c r="D309" s="13">
        <v>348949</v>
      </c>
      <c r="E309" s="13">
        <v>602259</v>
      </c>
      <c r="F309" s="13">
        <v>26100</v>
      </c>
      <c r="G309" s="13">
        <v>32204</v>
      </c>
      <c r="H309" s="13">
        <v>58304</v>
      </c>
      <c r="I309" s="13">
        <v>279410</v>
      </c>
      <c r="J309" s="13">
        <v>381153</v>
      </c>
      <c r="K309" s="13">
        <v>660563</v>
      </c>
      <c r="L309" s="13">
        <v>12560923931</v>
      </c>
      <c r="M309" s="13">
        <v>17049109342</v>
      </c>
      <c r="N309" s="13">
        <f t="shared" si="52"/>
        <v>29610033273</v>
      </c>
      <c r="O309" s="13">
        <v>2062958971</v>
      </c>
      <c r="P309" s="13">
        <v>2612728784</v>
      </c>
      <c r="Q309" s="13">
        <f t="shared" si="53"/>
        <v>4675687755</v>
      </c>
      <c r="R309" s="13">
        <f t="shared" si="54"/>
        <v>14623882902</v>
      </c>
      <c r="S309" s="13">
        <f t="shared" si="55"/>
        <v>19661838126</v>
      </c>
      <c r="T309" s="14">
        <f t="shared" si="56"/>
        <v>34285721028</v>
      </c>
      <c r="U309">
        <v>87.350598349999999</v>
      </c>
      <c r="V309">
        <v>129.01505570699999</v>
      </c>
      <c r="W309" s="221">
        <f t="shared" si="33"/>
        <v>1.476979644604804</v>
      </c>
      <c r="X309" s="236">
        <f t="shared" si="43"/>
        <v>8504466.5150824953</v>
      </c>
      <c r="Y309" s="236">
        <f t="shared" si="44"/>
        <v>11543225.666161321</v>
      </c>
      <c r="Z309" s="236">
        <f t="shared" si="45"/>
        <v>20047692.181243815</v>
      </c>
      <c r="AA309" s="236">
        <f t="shared" si="46"/>
        <v>1396741.6399648397</v>
      </c>
      <c r="AB309" s="236">
        <f t="shared" si="47"/>
        <v>1768967.3608867431</v>
      </c>
      <c r="AC309" s="236">
        <f t="shared" si="48"/>
        <v>3165709.0008515832</v>
      </c>
      <c r="AD309" s="236">
        <f t="shared" si="49"/>
        <v>9901208.1550473347</v>
      </c>
      <c r="AE309" s="236">
        <f t="shared" si="50"/>
        <v>13312193.027048063</v>
      </c>
      <c r="AF309" s="236">
        <f t="shared" si="51"/>
        <v>23213401.182095397</v>
      </c>
      <c r="AG309" s="236">
        <f t="shared" si="34"/>
        <v>12560923.931</v>
      </c>
      <c r="AH309" s="236">
        <f t="shared" si="35"/>
        <v>17049109.342</v>
      </c>
      <c r="AI309" s="236">
        <f t="shared" si="36"/>
        <v>29610033.272999998</v>
      </c>
      <c r="AJ309" s="236">
        <f t="shared" si="37"/>
        <v>2062958.9709999999</v>
      </c>
      <c r="AK309" s="236">
        <f t="shared" si="38"/>
        <v>2612728.784</v>
      </c>
      <c r="AL309" s="236">
        <f t="shared" si="39"/>
        <v>4675687.7549999999</v>
      </c>
      <c r="AM309" s="236">
        <f t="shared" si="40"/>
        <v>14623882.902000001</v>
      </c>
      <c r="AN309" s="236">
        <f t="shared" si="41"/>
        <v>19661838.125999998</v>
      </c>
      <c r="AO309" s="236">
        <f t="shared" si="42"/>
        <v>34285721.027999997</v>
      </c>
    </row>
    <row r="310" spans="2:41" hidden="1" x14ac:dyDescent="0.25">
      <c r="B310" s="12">
        <v>41760</v>
      </c>
      <c r="C310" s="13">
        <v>254716</v>
      </c>
      <c r="D310" s="13">
        <v>350968</v>
      </c>
      <c r="E310" s="13">
        <v>605684</v>
      </c>
      <c r="F310" s="13">
        <v>26240</v>
      </c>
      <c r="G310" s="13">
        <v>32394</v>
      </c>
      <c r="H310" s="13">
        <v>58634</v>
      </c>
      <c r="I310" s="13">
        <v>280956</v>
      </c>
      <c r="J310" s="13">
        <v>383362</v>
      </c>
      <c r="K310" s="13">
        <v>664318</v>
      </c>
      <c r="L310" s="13">
        <v>12637621505</v>
      </c>
      <c r="M310" s="13">
        <v>17198754387</v>
      </c>
      <c r="N310" s="13">
        <f t="shared" si="52"/>
        <v>29836375892</v>
      </c>
      <c r="O310" s="13">
        <v>2074013047</v>
      </c>
      <c r="P310" s="13">
        <v>2631893554</v>
      </c>
      <c r="Q310" s="13">
        <f t="shared" si="53"/>
        <v>4705906601</v>
      </c>
      <c r="R310" s="13">
        <f t="shared" si="54"/>
        <v>14711634552</v>
      </c>
      <c r="S310" s="13">
        <f t="shared" si="55"/>
        <v>19830647941</v>
      </c>
      <c r="T310" s="14">
        <f t="shared" si="56"/>
        <v>34542282493</v>
      </c>
      <c r="U310">
        <v>87.645523609999998</v>
      </c>
      <c r="V310">
        <v>129.01505570699999</v>
      </c>
      <c r="W310" s="221">
        <f t="shared" si="33"/>
        <v>1.4720096405731313</v>
      </c>
      <c r="X310" s="236">
        <f t="shared" si="43"/>
        <v>8585284.4687073547</v>
      </c>
      <c r="Y310" s="236">
        <f t="shared" si="44"/>
        <v>11683859.883080395</v>
      </c>
      <c r="Z310" s="236">
        <f t="shared" si="45"/>
        <v>20269144.35178775</v>
      </c>
      <c r="AA310" s="236">
        <f t="shared" si="46"/>
        <v>1408967.0270043046</v>
      </c>
      <c r="AB310" s="236">
        <f t="shared" si="47"/>
        <v>1787959.4545150292</v>
      </c>
      <c r="AC310" s="236">
        <f t="shared" si="48"/>
        <v>3196926.481519334</v>
      </c>
      <c r="AD310" s="236">
        <f t="shared" si="49"/>
        <v>9994251.49571166</v>
      </c>
      <c r="AE310" s="236">
        <f t="shared" si="50"/>
        <v>13471819.337595426</v>
      </c>
      <c r="AF310" s="236">
        <f t="shared" si="51"/>
        <v>23466070.833307084</v>
      </c>
      <c r="AG310" s="236">
        <f t="shared" si="34"/>
        <v>12637621.505000001</v>
      </c>
      <c r="AH310" s="236">
        <f t="shared" si="35"/>
        <v>17198754.386999998</v>
      </c>
      <c r="AI310" s="236">
        <f t="shared" si="36"/>
        <v>29836375.892000001</v>
      </c>
      <c r="AJ310" s="236">
        <f t="shared" si="37"/>
        <v>2074013.047</v>
      </c>
      <c r="AK310" s="236">
        <f t="shared" si="38"/>
        <v>2631893.554</v>
      </c>
      <c r="AL310" s="236">
        <f t="shared" si="39"/>
        <v>4705906.6009999998</v>
      </c>
      <c r="AM310" s="236">
        <f t="shared" si="40"/>
        <v>14711634.551999999</v>
      </c>
      <c r="AN310" s="236">
        <f t="shared" si="41"/>
        <v>19830647.941</v>
      </c>
      <c r="AO310" s="236">
        <f t="shared" si="42"/>
        <v>34542282.493000001</v>
      </c>
    </row>
    <row r="311" spans="2:41" hidden="1" x14ac:dyDescent="0.25">
      <c r="B311" s="12">
        <v>41791</v>
      </c>
      <c r="C311" s="13">
        <v>256647</v>
      </c>
      <c r="D311" s="13">
        <v>353222</v>
      </c>
      <c r="E311" s="13">
        <v>609869</v>
      </c>
      <c r="F311" s="13">
        <v>26540</v>
      </c>
      <c r="G311" s="13">
        <v>32788</v>
      </c>
      <c r="H311" s="13">
        <v>59328</v>
      </c>
      <c r="I311" s="13">
        <v>283187</v>
      </c>
      <c r="J311" s="13">
        <v>386010</v>
      </c>
      <c r="K311" s="13">
        <v>669197</v>
      </c>
      <c r="L311" s="13">
        <v>12939953055</v>
      </c>
      <c r="M311" s="13">
        <v>17558967081</v>
      </c>
      <c r="N311" s="13">
        <f t="shared" si="52"/>
        <v>30498920136</v>
      </c>
      <c r="O311" s="13">
        <v>2098754357</v>
      </c>
      <c r="P311" s="13">
        <v>2689859362</v>
      </c>
      <c r="Q311" s="13">
        <f t="shared" si="53"/>
        <v>4788613719</v>
      </c>
      <c r="R311" s="13">
        <f t="shared" si="54"/>
        <v>15038707412</v>
      </c>
      <c r="S311" s="13">
        <f t="shared" si="55"/>
        <v>20248826443</v>
      </c>
      <c r="T311" s="14">
        <f t="shared" si="56"/>
        <v>35287533855</v>
      </c>
      <c r="U311">
        <v>87.690897609999993</v>
      </c>
      <c r="V311">
        <v>129.01505570699999</v>
      </c>
      <c r="W311" s="221">
        <f t="shared" si="33"/>
        <v>1.4712479769654851</v>
      </c>
      <c r="X311" s="236">
        <f t="shared" si="43"/>
        <v>8795222.3266190868</v>
      </c>
      <c r="Y311" s="236">
        <f t="shared" si="44"/>
        <v>11934743.398741085</v>
      </c>
      <c r="Z311" s="236">
        <f t="shared" si="45"/>
        <v>20729965.725360174</v>
      </c>
      <c r="AA311" s="236">
        <f t="shared" si="46"/>
        <v>1426512.9943143744</v>
      </c>
      <c r="AB311" s="236">
        <f t="shared" si="47"/>
        <v>1828284.1533946954</v>
      </c>
      <c r="AC311" s="236">
        <f t="shared" si="48"/>
        <v>3254797.1477090698</v>
      </c>
      <c r="AD311" s="236">
        <f t="shared" si="49"/>
        <v>10221735.320933463</v>
      </c>
      <c r="AE311" s="236">
        <f t="shared" si="50"/>
        <v>13763027.55213578</v>
      </c>
      <c r="AF311" s="236">
        <f t="shared" si="51"/>
        <v>23984762.873069242</v>
      </c>
      <c r="AG311" s="236">
        <f t="shared" si="34"/>
        <v>12939953.055</v>
      </c>
      <c r="AH311" s="236">
        <f t="shared" si="35"/>
        <v>17558967.081</v>
      </c>
      <c r="AI311" s="236">
        <f t="shared" si="36"/>
        <v>30498920.136</v>
      </c>
      <c r="AJ311" s="236">
        <f t="shared" si="37"/>
        <v>2098754.3569999998</v>
      </c>
      <c r="AK311" s="236">
        <f t="shared" si="38"/>
        <v>2689859.3620000002</v>
      </c>
      <c r="AL311" s="236">
        <f t="shared" si="39"/>
        <v>4788613.7189999996</v>
      </c>
      <c r="AM311" s="236">
        <f t="shared" si="40"/>
        <v>15038707.412</v>
      </c>
      <c r="AN311" s="236">
        <f t="shared" si="41"/>
        <v>20248826.443</v>
      </c>
      <c r="AO311" s="236">
        <f t="shared" si="42"/>
        <v>35287533.854999997</v>
      </c>
    </row>
    <row r="312" spans="2:41" hidden="1" x14ac:dyDescent="0.25">
      <c r="B312" s="12">
        <v>41821</v>
      </c>
      <c r="C312" s="13">
        <v>259553</v>
      </c>
      <c r="D312" s="13">
        <v>355536</v>
      </c>
      <c r="E312" s="13">
        <v>615089</v>
      </c>
      <c r="F312" s="13">
        <v>27793</v>
      </c>
      <c r="G312" s="13">
        <v>33848</v>
      </c>
      <c r="H312" s="13">
        <v>61641</v>
      </c>
      <c r="I312" s="13">
        <v>287346</v>
      </c>
      <c r="J312" s="13">
        <v>389384</v>
      </c>
      <c r="K312" s="13">
        <v>676730</v>
      </c>
      <c r="L312" s="13">
        <v>13544605573</v>
      </c>
      <c r="M312" s="13">
        <v>18031541399</v>
      </c>
      <c r="N312" s="13">
        <f t="shared" si="52"/>
        <v>31576146972</v>
      </c>
      <c r="O312" s="13">
        <v>2294137835</v>
      </c>
      <c r="P312" s="13">
        <v>2881665078</v>
      </c>
      <c r="Q312" s="13">
        <f t="shared" si="53"/>
        <v>5175802913</v>
      </c>
      <c r="R312" s="13">
        <f t="shared" si="54"/>
        <v>15838743408</v>
      </c>
      <c r="S312" s="13">
        <f t="shared" si="55"/>
        <v>20913206477</v>
      </c>
      <c r="T312" s="14">
        <f t="shared" si="56"/>
        <v>36751949885</v>
      </c>
      <c r="U312">
        <v>87.894560830000003</v>
      </c>
      <c r="V312">
        <v>129.01505570699999</v>
      </c>
      <c r="W312" s="221">
        <f t="shared" si="33"/>
        <v>1.4678389025292771</v>
      </c>
      <c r="X312" s="236">
        <f t="shared" si="43"/>
        <v>9227583.1834548637</v>
      </c>
      <c r="Y312" s="236">
        <f t="shared" si="44"/>
        <v>12284414.432625618</v>
      </c>
      <c r="Z312" s="236">
        <f t="shared" si="45"/>
        <v>21511997.616080482</v>
      </c>
      <c r="AA312" s="236">
        <f t="shared" si="46"/>
        <v>1562935.7084397359</v>
      </c>
      <c r="AB312" s="236">
        <f t="shared" si="47"/>
        <v>1963202.5510664124</v>
      </c>
      <c r="AC312" s="236">
        <f t="shared" si="48"/>
        <v>3526138.2595061483</v>
      </c>
      <c r="AD312" s="236">
        <f t="shared" si="49"/>
        <v>10790518.891894599</v>
      </c>
      <c r="AE312" s="236">
        <f t="shared" si="50"/>
        <v>14247616.983692031</v>
      </c>
      <c r="AF312" s="236">
        <f t="shared" si="51"/>
        <v>25038135.875586633</v>
      </c>
      <c r="AG312" s="236">
        <f t="shared" si="34"/>
        <v>13544605.573000001</v>
      </c>
      <c r="AH312" s="236">
        <f t="shared" si="35"/>
        <v>18031541.399</v>
      </c>
      <c r="AI312" s="236">
        <f t="shared" si="36"/>
        <v>31576146.971999999</v>
      </c>
      <c r="AJ312" s="236">
        <f t="shared" si="37"/>
        <v>2294137.835</v>
      </c>
      <c r="AK312" s="236">
        <f t="shared" si="38"/>
        <v>2881665.0780000002</v>
      </c>
      <c r="AL312" s="236">
        <f t="shared" si="39"/>
        <v>5175802.9129999997</v>
      </c>
      <c r="AM312" s="236">
        <f t="shared" si="40"/>
        <v>15838743.408</v>
      </c>
      <c r="AN312" s="236">
        <f t="shared" si="41"/>
        <v>20913206.477000002</v>
      </c>
      <c r="AO312" s="236">
        <f t="shared" si="42"/>
        <v>36751949.884999998</v>
      </c>
    </row>
    <row r="313" spans="2:41" hidden="1" x14ac:dyDescent="0.25">
      <c r="B313" s="12">
        <v>41852</v>
      </c>
      <c r="C313" s="13">
        <v>261086</v>
      </c>
      <c r="D313" s="13">
        <v>357619</v>
      </c>
      <c r="E313" s="13">
        <v>618705</v>
      </c>
      <c r="F313" s="13">
        <v>28023</v>
      </c>
      <c r="G313" s="13">
        <v>34057</v>
      </c>
      <c r="H313" s="13">
        <v>62080</v>
      </c>
      <c r="I313" s="13">
        <v>289109</v>
      </c>
      <c r="J313" s="13">
        <v>391676</v>
      </c>
      <c r="K313" s="13">
        <v>680785</v>
      </c>
      <c r="L313" s="13">
        <v>13943406603</v>
      </c>
      <c r="M313" s="13">
        <v>19014907000</v>
      </c>
      <c r="N313" s="13">
        <f t="shared" si="52"/>
        <v>32958313603</v>
      </c>
      <c r="O313" s="13">
        <v>2301399338</v>
      </c>
      <c r="P313" s="13">
        <v>2870428605</v>
      </c>
      <c r="Q313" s="13">
        <f t="shared" si="53"/>
        <v>5171827943</v>
      </c>
      <c r="R313" s="13">
        <f t="shared" si="54"/>
        <v>16244805941</v>
      </c>
      <c r="S313" s="13">
        <f t="shared" si="55"/>
        <v>21885335605</v>
      </c>
      <c r="T313" s="14">
        <f t="shared" si="56"/>
        <v>38130141546</v>
      </c>
      <c r="U313">
        <v>88.179932219999998</v>
      </c>
      <c r="V313">
        <v>129.01505570699999</v>
      </c>
      <c r="W313" s="221">
        <f t="shared" si="33"/>
        <v>1.4630886241227823</v>
      </c>
      <c r="X313" s="236">
        <f t="shared" si="43"/>
        <v>9530117.5698498711</v>
      </c>
      <c r="Y313" s="236">
        <f t="shared" si="44"/>
        <v>12996415.040408563</v>
      </c>
      <c r="Z313" s="236">
        <f t="shared" si="45"/>
        <v>22526532.610258434</v>
      </c>
      <c r="AA313" s="236">
        <f t="shared" si="46"/>
        <v>1572973.2977589378</v>
      </c>
      <c r="AB313" s="236">
        <f t="shared" si="47"/>
        <v>1961896.6053549971</v>
      </c>
      <c r="AC313" s="236">
        <f t="shared" si="48"/>
        <v>3534869.9031139351</v>
      </c>
      <c r="AD313" s="236">
        <f t="shared" si="49"/>
        <v>11103090.867608808</v>
      </c>
      <c r="AE313" s="236">
        <f t="shared" si="50"/>
        <v>14958311.645763561</v>
      </c>
      <c r="AF313" s="236">
        <f t="shared" si="51"/>
        <v>26061402.513372369</v>
      </c>
      <c r="AG313" s="236">
        <f t="shared" si="34"/>
        <v>13943406.603</v>
      </c>
      <c r="AH313" s="236">
        <f t="shared" si="35"/>
        <v>19014907</v>
      </c>
      <c r="AI313" s="236">
        <f t="shared" si="36"/>
        <v>32958313.603</v>
      </c>
      <c r="AJ313" s="236">
        <f t="shared" si="37"/>
        <v>2301399.338</v>
      </c>
      <c r="AK313" s="236">
        <f t="shared" si="38"/>
        <v>2870428.605</v>
      </c>
      <c r="AL313" s="236">
        <f t="shared" si="39"/>
        <v>5171827.943</v>
      </c>
      <c r="AM313" s="236">
        <f t="shared" si="40"/>
        <v>16244805.941</v>
      </c>
      <c r="AN313" s="236">
        <f t="shared" si="41"/>
        <v>21885335.605</v>
      </c>
      <c r="AO313" s="236">
        <f t="shared" si="42"/>
        <v>38130141.545999996</v>
      </c>
    </row>
    <row r="314" spans="2:41" hidden="1" x14ac:dyDescent="0.25">
      <c r="B314" s="12">
        <v>41883</v>
      </c>
      <c r="C314" s="13">
        <v>262411</v>
      </c>
      <c r="D314" s="13">
        <v>360197</v>
      </c>
      <c r="E314" s="13">
        <v>622608</v>
      </c>
      <c r="F314" s="13">
        <v>28113</v>
      </c>
      <c r="G314" s="13">
        <v>34152</v>
      </c>
      <c r="H314" s="13">
        <v>62265</v>
      </c>
      <c r="I314" s="13">
        <v>290524</v>
      </c>
      <c r="J314" s="13">
        <v>394349</v>
      </c>
      <c r="K314" s="13">
        <v>684873</v>
      </c>
      <c r="L314" s="13">
        <v>14087387029</v>
      </c>
      <c r="M314" s="13">
        <v>19280307316</v>
      </c>
      <c r="N314" s="13">
        <f t="shared" si="52"/>
        <v>33367694345</v>
      </c>
      <c r="O314" s="13">
        <v>2277711013</v>
      </c>
      <c r="P314" s="13">
        <v>2849202995</v>
      </c>
      <c r="Q314" s="13">
        <f t="shared" si="53"/>
        <v>5126914008</v>
      </c>
      <c r="R314" s="13">
        <f t="shared" si="54"/>
        <v>16365098042</v>
      </c>
      <c r="S314" s="13">
        <f t="shared" si="55"/>
        <v>22129510311</v>
      </c>
      <c r="T314" s="14">
        <f t="shared" si="56"/>
        <v>38494608353</v>
      </c>
      <c r="U314">
        <v>88.917875609999996</v>
      </c>
      <c r="V314">
        <v>129.01505570699999</v>
      </c>
      <c r="W314" s="221">
        <f t="shared" si="33"/>
        <v>1.4509462222519689</v>
      </c>
      <c r="X314" s="236">
        <f t="shared" si="43"/>
        <v>9709103.4891254622</v>
      </c>
      <c r="Y314" s="236">
        <f t="shared" si="44"/>
        <v>13288092.294747926</v>
      </c>
      <c r="Z314" s="236">
        <f t="shared" si="45"/>
        <v>22997195.78387339</v>
      </c>
      <c r="AA314" s="236">
        <f t="shared" si="46"/>
        <v>1569810.7745611931</v>
      </c>
      <c r="AB314" s="236">
        <f t="shared" si="47"/>
        <v>1963686.1458433932</v>
      </c>
      <c r="AC314" s="236">
        <f t="shared" si="48"/>
        <v>3533496.920404586</v>
      </c>
      <c r="AD314" s="236">
        <f t="shared" si="49"/>
        <v>11278914.263686655</v>
      </c>
      <c r="AE314" s="236">
        <f t="shared" si="50"/>
        <v>15251778.44059132</v>
      </c>
      <c r="AF314" s="236">
        <f t="shared" si="51"/>
        <v>26530692.704277974</v>
      </c>
      <c r="AG314" s="236">
        <f t="shared" si="34"/>
        <v>14087387.028999999</v>
      </c>
      <c r="AH314" s="236">
        <f t="shared" si="35"/>
        <v>19280307.316</v>
      </c>
      <c r="AI314" s="236">
        <f t="shared" si="36"/>
        <v>33367694.344999999</v>
      </c>
      <c r="AJ314" s="236">
        <f t="shared" si="37"/>
        <v>2277711.0129999998</v>
      </c>
      <c r="AK314" s="236">
        <f t="shared" si="38"/>
        <v>2849202.9950000001</v>
      </c>
      <c r="AL314" s="236">
        <f t="shared" si="39"/>
        <v>5126914.0080000004</v>
      </c>
      <c r="AM314" s="236">
        <f t="shared" si="40"/>
        <v>16365098.041999999</v>
      </c>
      <c r="AN314" s="236">
        <f t="shared" si="41"/>
        <v>22129510.311000001</v>
      </c>
      <c r="AO314" s="236">
        <f t="shared" si="42"/>
        <v>38494608.353</v>
      </c>
    </row>
    <row r="315" spans="2:41" hidden="1" x14ac:dyDescent="0.25">
      <c r="B315" s="12">
        <v>41913</v>
      </c>
      <c r="C315" s="13">
        <v>264197</v>
      </c>
      <c r="D315" s="13">
        <v>362823</v>
      </c>
      <c r="E315" s="13">
        <v>627020</v>
      </c>
      <c r="F315" s="13">
        <v>27992</v>
      </c>
      <c r="G315" s="13">
        <v>34073</v>
      </c>
      <c r="H315" s="13">
        <v>62065</v>
      </c>
      <c r="I315" s="13">
        <v>292189</v>
      </c>
      <c r="J315" s="13">
        <v>396896</v>
      </c>
      <c r="K315" s="13">
        <v>689085</v>
      </c>
      <c r="L315" s="13">
        <v>14150872445</v>
      </c>
      <c r="M315" s="13">
        <v>19431069140</v>
      </c>
      <c r="N315" s="13">
        <f t="shared" si="52"/>
        <v>33581941585</v>
      </c>
      <c r="O315" s="13">
        <v>2293777481</v>
      </c>
      <c r="P315" s="13">
        <v>2862864285</v>
      </c>
      <c r="Q315" s="13">
        <f t="shared" si="53"/>
        <v>5156641766</v>
      </c>
      <c r="R315" s="13">
        <f t="shared" si="54"/>
        <v>16444649926</v>
      </c>
      <c r="S315" s="13">
        <f t="shared" si="55"/>
        <v>22293933425</v>
      </c>
      <c r="T315" s="14">
        <f t="shared" si="56"/>
        <v>38738583351</v>
      </c>
      <c r="U315">
        <v>89.84344969</v>
      </c>
      <c r="V315">
        <v>129.01505570699999</v>
      </c>
      <c r="W315" s="221">
        <f t="shared" si="33"/>
        <v>1.4359984634623839</v>
      </c>
      <c r="X315" s="236">
        <f t="shared" si="43"/>
        <v>9854378.5422167908</v>
      </c>
      <c r="Y315" s="236">
        <f t="shared" si="44"/>
        <v>13531399.673749719</v>
      </c>
      <c r="Z315" s="236">
        <f t="shared" si="45"/>
        <v>23385778.215966512</v>
      </c>
      <c r="AA315" s="236">
        <f t="shared" si="46"/>
        <v>1597339.7878639763</v>
      </c>
      <c r="AB315" s="236">
        <f t="shared" si="47"/>
        <v>1993640.2146958099</v>
      </c>
      <c r="AC315" s="236">
        <f t="shared" si="48"/>
        <v>3590980.0025597857</v>
      </c>
      <c r="AD315" s="236">
        <f t="shared" si="49"/>
        <v>11451718.330080768</v>
      </c>
      <c r="AE315" s="236">
        <f t="shared" si="50"/>
        <v>15525039.88844553</v>
      </c>
      <c r="AF315" s="236">
        <f t="shared" si="51"/>
        <v>26976758.2185263</v>
      </c>
      <c r="AG315" s="236">
        <f t="shared" si="34"/>
        <v>14150872.445</v>
      </c>
      <c r="AH315" s="236">
        <f t="shared" si="35"/>
        <v>19431069.140000001</v>
      </c>
      <c r="AI315" s="236">
        <f t="shared" si="36"/>
        <v>33581941.585000001</v>
      </c>
      <c r="AJ315" s="236">
        <f t="shared" si="37"/>
        <v>2293777.4810000001</v>
      </c>
      <c r="AK315" s="236">
        <f t="shared" si="38"/>
        <v>2862864.2850000001</v>
      </c>
      <c r="AL315" s="236">
        <f t="shared" si="39"/>
        <v>5156641.7659999998</v>
      </c>
      <c r="AM315" s="236">
        <f t="shared" si="40"/>
        <v>16444649.926000001</v>
      </c>
      <c r="AN315" s="236">
        <f t="shared" si="41"/>
        <v>22293933.425000001</v>
      </c>
      <c r="AO315" s="236">
        <f t="shared" si="42"/>
        <v>38738583.351000004</v>
      </c>
    </row>
    <row r="316" spans="2:41" hidden="1" x14ac:dyDescent="0.25">
      <c r="B316" s="12">
        <v>41944</v>
      </c>
      <c r="C316" s="13">
        <v>265553</v>
      </c>
      <c r="D316" s="13">
        <v>364650</v>
      </c>
      <c r="E316" s="13">
        <v>630203</v>
      </c>
      <c r="F316" s="13">
        <v>28146</v>
      </c>
      <c r="G316" s="13">
        <v>34283</v>
      </c>
      <c r="H316" s="13">
        <v>62429</v>
      </c>
      <c r="I316" s="13">
        <v>293699</v>
      </c>
      <c r="J316" s="13">
        <v>398933</v>
      </c>
      <c r="K316" s="13">
        <v>692632</v>
      </c>
      <c r="L316" s="13">
        <v>14212716136</v>
      </c>
      <c r="M316" s="13">
        <v>19484811821</v>
      </c>
      <c r="N316" s="13">
        <f t="shared" si="52"/>
        <v>33697527957</v>
      </c>
      <c r="O316" s="13">
        <v>2318889234</v>
      </c>
      <c r="P316" s="13">
        <v>2876259170</v>
      </c>
      <c r="Q316" s="13">
        <f t="shared" si="53"/>
        <v>5195148404</v>
      </c>
      <c r="R316" s="13">
        <f t="shared" si="54"/>
        <v>16531605370</v>
      </c>
      <c r="S316" s="13">
        <f t="shared" si="55"/>
        <v>22361070991</v>
      </c>
      <c r="T316" s="14">
        <f t="shared" si="56"/>
        <v>38892676361</v>
      </c>
      <c r="U316">
        <v>89.865715080000001</v>
      </c>
      <c r="V316">
        <v>129.01505570699999</v>
      </c>
      <c r="W316" s="221">
        <f t="shared" si="33"/>
        <v>1.435642676321538</v>
      </c>
      <c r="X316" s="236">
        <f t="shared" si="43"/>
        <v>9899898.0529168993</v>
      </c>
      <c r="Y316" s="236">
        <f t="shared" si="44"/>
        <v>13572187.66366348</v>
      </c>
      <c r="Z316" s="236">
        <f t="shared" si="45"/>
        <v>23472085.71658038</v>
      </c>
      <c r="AA316" s="236">
        <f t="shared" si="46"/>
        <v>1615227.2931461972</v>
      </c>
      <c r="AB316" s="236">
        <f t="shared" si="47"/>
        <v>2003464.5231985359</v>
      </c>
      <c r="AC316" s="236">
        <f t="shared" si="48"/>
        <v>3618691.8163447333</v>
      </c>
      <c r="AD316" s="236">
        <f t="shared" si="49"/>
        <v>11515125.346063096</v>
      </c>
      <c r="AE316" s="236">
        <f t="shared" si="50"/>
        <v>15575652.186862016</v>
      </c>
      <c r="AF316" s="236">
        <f t="shared" si="51"/>
        <v>27090777.532925114</v>
      </c>
      <c r="AG316" s="236">
        <f t="shared" si="34"/>
        <v>14212716.136</v>
      </c>
      <c r="AH316" s="236">
        <f t="shared" si="35"/>
        <v>19484811.820999999</v>
      </c>
      <c r="AI316" s="236">
        <f t="shared" si="36"/>
        <v>33697527.957000002</v>
      </c>
      <c r="AJ316" s="236">
        <f t="shared" si="37"/>
        <v>2318889.2340000002</v>
      </c>
      <c r="AK316" s="236">
        <f t="shared" si="38"/>
        <v>2876259.17</v>
      </c>
      <c r="AL316" s="236">
        <f t="shared" si="39"/>
        <v>5195148.4040000001</v>
      </c>
      <c r="AM316" s="236">
        <f t="shared" si="40"/>
        <v>16531605.369999999</v>
      </c>
      <c r="AN316" s="236">
        <f t="shared" si="41"/>
        <v>22361070.991</v>
      </c>
      <c r="AO316" s="236">
        <f t="shared" si="42"/>
        <v>38892676.361000001</v>
      </c>
    </row>
    <row r="317" spans="2:41" hidden="1" x14ac:dyDescent="0.25">
      <c r="B317" s="15">
        <v>41974</v>
      </c>
      <c r="C317" s="16">
        <v>267943</v>
      </c>
      <c r="D317" s="16">
        <v>367802</v>
      </c>
      <c r="E317" s="16">
        <v>635745</v>
      </c>
      <c r="F317" s="16">
        <v>28268</v>
      </c>
      <c r="G317" s="16">
        <v>34413</v>
      </c>
      <c r="H317" s="16">
        <v>62681</v>
      </c>
      <c r="I317" s="17">
        <v>296211</v>
      </c>
      <c r="J317" s="17">
        <v>402215</v>
      </c>
      <c r="K317" s="17">
        <v>698426</v>
      </c>
      <c r="L317" s="16">
        <v>14442871674</v>
      </c>
      <c r="M317" s="16">
        <v>19840959571</v>
      </c>
      <c r="N317" s="16">
        <f t="shared" si="52"/>
        <v>34283831245</v>
      </c>
      <c r="O317" s="16">
        <v>2295297656</v>
      </c>
      <c r="P317" s="16">
        <v>2878523933</v>
      </c>
      <c r="Q317" s="16">
        <f t="shared" si="53"/>
        <v>5173821589</v>
      </c>
      <c r="R317" s="16">
        <f t="shared" si="54"/>
        <v>16738169330</v>
      </c>
      <c r="S317" s="16">
        <f t="shared" si="55"/>
        <v>22719483504</v>
      </c>
      <c r="T317" s="16">
        <f t="shared" si="56"/>
        <v>39457652834</v>
      </c>
      <c r="U317">
        <v>89.494262109999994</v>
      </c>
      <c r="V317">
        <v>129.01505570699999</v>
      </c>
      <c r="W317" s="221">
        <f t="shared" si="33"/>
        <v>1.4416014241049759</v>
      </c>
      <c r="X317" s="236">
        <f t="shared" si="43"/>
        <v>10018630.276372621</v>
      </c>
      <c r="Y317" s="236">
        <f t="shared" si="44"/>
        <v>13763138.15957718</v>
      </c>
      <c r="Z317" s="236">
        <f t="shared" si="45"/>
        <v>23781768.435949802</v>
      </c>
      <c r="AA317" s="236">
        <f t="shared" si="46"/>
        <v>1592186.035349573</v>
      </c>
      <c r="AB317" s="236">
        <f t="shared" si="47"/>
        <v>1996754.3627997893</v>
      </c>
      <c r="AC317" s="236">
        <f t="shared" si="48"/>
        <v>3588940.3981493623</v>
      </c>
      <c r="AD317" s="236">
        <f t="shared" si="49"/>
        <v>11610816.311722195</v>
      </c>
      <c r="AE317" s="236">
        <f t="shared" si="50"/>
        <v>15759892.522376968</v>
      </c>
      <c r="AF317" s="236">
        <f t="shared" si="51"/>
        <v>27370708.834099162</v>
      </c>
      <c r="AG317" s="236">
        <f t="shared" si="34"/>
        <v>14442871.674000001</v>
      </c>
      <c r="AH317" s="236">
        <f t="shared" si="35"/>
        <v>19840959.570999999</v>
      </c>
      <c r="AI317" s="236">
        <f t="shared" si="36"/>
        <v>34283831.244999997</v>
      </c>
      <c r="AJ317" s="236">
        <f t="shared" si="37"/>
        <v>2295297.656</v>
      </c>
      <c r="AK317" s="236">
        <f t="shared" si="38"/>
        <v>2878523.9330000002</v>
      </c>
      <c r="AL317" s="236">
        <f t="shared" si="39"/>
        <v>5173821.5889999997</v>
      </c>
      <c r="AM317" s="236">
        <f t="shared" si="40"/>
        <v>16738169.33</v>
      </c>
      <c r="AN317" s="236">
        <f t="shared" si="41"/>
        <v>22719483.504000001</v>
      </c>
      <c r="AO317" s="236">
        <f t="shared" si="42"/>
        <v>39457652.833999999</v>
      </c>
    </row>
    <row r="318" spans="2:41" hidden="1" x14ac:dyDescent="0.25">
      <c r="B318" s="12">
        <v>42005</v>
      </c>
      <c r="C318" s="13">
        <v>270420</v>
      </c>
      <c r="D318" s="13">
        <v>373408</v>
      </c>
      <c r="E318" s="13">
        <v>643828</v>
      </c>
      <c r="F318" s="13">
        <v>28687</v>
      </c>
      <c r="G318" s="13">
        <v>34985</v>
      </c>
      <c r="H318" s="13">
        <v>63672</v>
      </c>
      <c r="I318" s="13">
        <v>299107</v>
      </c>
      <c r="J318" s="13">
        <v>408393</v>
      </c>
      <c r="K318" s="13">
        <v>707500</v>
      </c>
      <c r="L318" s="13">
        <v>14781631240</v>
      </c>
      <c r="M318" s="13">
        <v>19889787521</v>
      </c>
      <c r="N318" s="13">
        <f t="shared" si="52"/>
        <v>34671418761</v>
      </c>
      <c r="O318" s="13">
        <v>2337224526</v>
      </c>
      <c r="P318" s="13">
        <v>2938559506</v>
      </c>
      <c r="Q318" s="13">
        <f t="shared" si="53"/>
        <v>5275784032</v>
      </c>
      <c r="R318" s="13">
        <f t="shared" si="54"/>
        <v>17118855766</v>
      </c>
      <c r="S318" s="13">
        <f t="shared" si="55"/>
        <v>22828347027</v>
      </c>
      <c r="T318" s="14">
        <f t="shared" si="56"/>
        <v>39947202793</v>
      </c>
      <c r="U318">
        <v>89.563556840000004</v>
      </c>
      <c r="V318">
        <v>129.01505570699999</v>
      </c>
      <c r="W318" s="221">
        <f t="shared" si="33"/>
        <v>1.4404860666429065</v>
      </c>
      <c r="X318" s="236">
        <f t="shared" si="43"/>
        <v>10261557.943735624</v>
      </c>
      <c r="Y318" s="236">
        <f t="shared" si="44"/>
        <v>13807691.710169548</v>
      </c>
      <c r="Z318" s="236">
        <f t="shared" si="45"/>
        <v>24069249.653905176</v>
      </c>
      <c r="AA318" s="236">
        <f t="shared" si="46"/>
        <v>1622524.9102526677</v>
      </c>
      <c r="AB318" s="236">
        <f t="shared" si="47"/>
        <v>2039977.736715216</v>
      </c>
      <c r="AC318" s="236">
        <f t="shared" si="48"/>
        <v>3662502.6469678837</v>
      </c>
      <c r="AD318" s="236">
        <f t="shared" si="49"/>
        <v>11884082.853988292</v>
      </c>
      <c r="AE318" s="236">
        <f t="shared" si="50"/>
        <v>15847669.446884766</v>
      </c>
      <c r="AF318" s="236">
        <f t="shared" si="51"/>
        <v>27731752.300873056</v>
      </c>
      <c r="AG318" s="236">
        <f t="shared" si="34"/>
        <v>14781631.24</v>
      </c>
      <c r="AH318" s="236">
        <f t="shared" si="35"/>
        <v>19889787.521000002</v>
      </c>
      <c r="AI318" s="236">
        <f t="shared" si="36"/>
        <v>34671418.761</v>
      </c>
      <c r="AJ318" s="236">
        <f t="shared" si="37"/>
        <v>2337224.5260000001</v>
      </c>
      <c r="AK318" s="236">
        <f t="shared" si="38"/>
        <v>2938559.5060000001</v>
      </c>
      <c r="AL318" s="236">
        <f t="shared" si="39"/>
        <v>5275784.0319999997</v>
      </c>
      <c r="AM318" s="236">
        <f t="shared" si="40"/>
        <v>17118855.765999999</v>
      </c>
      <c r="AN318" s="236">
        <f t="shared" si="41"/>
        <v>22828347.026999999</v>
      </c>
      <c r="AO318" s="236">
        <f t="shared" si="42"/>
        <v>39947202.792999998</v>
      </c>
    </row>
    <row r="319" spans="2:41" hidden="1" x14ac:dyDescent="0.25">
      <c r="B319" s="12">
        <v>42036</v>
      </c>
      <c r="C319" s="13">
        <v>271647</v>
      </c>
      <c r="D319" s="13">
        <v>375153</v>
      </c>
      <c r="E319" s="13">
        <v>646800</v>
      </c>
      <c r="F319" s="13">
        <v>28687</v>
      </c>
      <c r="G319" s="13">
        <v>35009</v>
      </c>
      <c r="H319" s="13">
        <v>63696</v>
      </c>
      <c r="I319" s="13">
        <v>300334</v>
      </c>
      <c r="J319" s="13">
        <v>410162</v>
      </c>
      <c r="K319" s="13">
        <v>710496</v>
      </c>
      <c r="L319" s="13">
        <v>14305261460</v>
      </c>
      <c r="M319" s="13">
        <v>19643531189</v>
      </c>
      <c r="N319" s="13">
        <f t="shared" si="52"/>
        <v>33948792649</v>
      </c>
      <c r="O319" s="13">
        <v>2327086137</v>
      </c>
      <c r="P319" s="13">
        <v>2929395307</v>
      </c>
      <c r="Q319" s="13">
        <f t="shared" si="53"/>
        <v>5256481444</v>
      </c>
      <c r="R319" s="13">
        <f t="shared" si="54"/>
        <v>16632347597</v>
      </c>
      <c r="S319" s="13">
        <f t="shared" si="55"/>
        <v>22572926496</v>
      </c>
      <c r="T319" s="14">
        <f t="shared" si="56"/>
        <v>39205274093</v>
      </c>
      <c r="U319">
        <v>89.878604980000006</v>
      </c>
      <c r="V319">
        <v>129.01505570699999</v>
      </c>
      <c r="W319" s="221">
        <f t="shared" si="33"/>
        <v>1.4354367842681661</v>
      </c>
      <c r="X319" s="236">
        <f t="shared" si="43"/>
        <v>9965789.9370979983</v>
      </c>
      <c r="Y319" s="236">
        <f t="shared" si="44"/>
        <v>13684706.567565728</v>
      </c>
      <c r="Z319" s="236">
        <f t="shared" si="45"/>
        <v>23650496.504663724</v>
      </c>
      <c r="AA319" s="236">
        <f t="shared" si="46"/>
        <v>1621169.3628754446</v>
      </c>
      <c r="AB319" s="236">
        <f t="shared" si="47"/>
        <v>2040769.2899506572</v>
      </c>
      <c r="AC319" s="236">
        <f t="shared" si="48"/>
        <v>3661938.652826102</v>
      </c>
      <c r="AD319" s="236">
        <f t="shared" si="49"/>
        <v>11586959.299973441</v>
      </c>
      <c r="AE319" s="236">
        <f t="shared" si="50"/>
        <v>15725475.857516384</v>
      </c>
      <c r="AF319" s="236">
        <f t="shared" si="51"/>
        <v>27312435.157489825</v>
      </c>
      <c r="AG319" s="236">
        <f t="shared" si="34"/>
        <v>14305261.460000001</v>
      </c>
      <c r="AH319" s="236">
        <f t="shared" si="35"/>
        <v>19643531.188999999</v>
      </c>
      <c r="AI319" s="236">
        <f t="shared" si="36"/>
        <v>33948792.648999996</v>
      </c>
      <c r="AJ319" s="236">
        <f t="shared" si="37"/>
        <v>2327086.1370000001</v>
      </c>
      <c r="AK319" s="236">
        <f t="shared" si="38"/>
        <v>2929395.307</v>
      </c>
      <c r="AL319" s="236">
        <f t="shared" si="39"/>
        <v>5256481.4440000001</v>
      </c>
      <c r="AM319" s="236">
        <f t="shared" si="40"/>
        <v>16632347.596999999</v>
      </c>
      <c r="AN319" s="236">
        <f t="shared" si="41"/>
        <v>22572926.495999999</v>
      </c>
      <c r="AO319" s="236">
        <f t="shared" si="42"/>
        <v>39205274.093000002</v>
      </c>
    </row>
    <row r="320" spans="2:41" hidden="1" x14ac:dyDescent="0.25">
      <c r="B320" s="12">
        <v>42064</v>
      </c>
      <c r="C320" s="13">
        <v>273086</v>
      </c>
      <c r="D320" s="13">
        <v>377612</v>
      </c>
      <c r="E320" s="13">
        <v>650698</v>
      </c>
      <c r="F320" s="13">
        <v>28777</v>
      </c>
      <c r="G320" s="13">
        <v>35086</v>
      </c>
      <c r="H320" s="13">
        <v>63863</v>
      </c>
      <c r="I320" s="13">
        <v>301863</v>
      </c>
      <c r="J320" s="13">
        <v>412698</v>
      </c>
      <c r="K320" s="13">
        <v>714561</v>
      </c>
      <c r="L320" s="13">
        <v>14411990753</v>
      </c>
      <c r="M320" s="13">
        <v>19832220369</v>
      </c>
      <c r="N320" s="13">
        <f t="shared" si="52"/>
        <v>34244211122</v>
      </c>
      <c r="O320" s="13">
        <v>2351460132</v>
      </c>
      <c r="P320" s="13">
        <v>2937425038</v>
      </c>
      <c r="Q320" s="13">
        <f t="shared" si="53"/>
        <v>5288885170</v>
      </c>
      <c r="R320" s="13">
        <f t="shared" si="54"/>
        <v>16763450885</v>
      </c>
      <c r="S320" s="13">
        <f t="shared" si="55"/>
        <v>22769645407</v>
      </c>
      <c r="T320" s="14">
        <f t="shared" si="56"/>
        <v>39533096292</v>
      </c>
      <c r="U320">
        <v>90.443760650000002</v>
      </c>
      <c r="V320">
        <v>129.01505570699999</v>
      </c>
      <c r="W320" s="221">
        <f t="shared" si="33"/>
        <v>1.4264671745159236</v>
      </c>
      <c r="X320" s="236">
        <f t="shared" si="43"/>
        <v>10103275.427905137</v>
      </c>
      <c r="Y320" s="236">
        <f t="shared" si="44"/>
        <v>13903033.117975624</v>
      </c>
      <c r="Z320" s="236">
        <f t="shared" si="45"/>
        <v>24006308.545880761</v>
      </c>
      <c r="AA320" s="236">
        <f t="shared" si="46"/>
        <v>1648450.2230470013</v>
      </c>
      <c r="AB320" s="236">
        <f t="shared" si="47"/>
        <v>2059230.7278271753</v>
      </c>
      <c r="AC320" s="236">
        <f t="shared" si="48"/>
        <v>3707680.9508741768</v>
      </c>
      <c r="AD320" s="236">
        <f t="shared" si="49"/>
        <v>11751725.650952138</v>
      </c>
      <c r="AE320" s="236">
        <f t="shared" si="50"/>
        <v>15962263.845802799</v>
      </c>
      <c r="AF320" s="236">
        <f t="shared" si="51"/>
        <v>27713989.496754937</v>
      </c>
      <c r="AG320" s="236">
        <f t="shared" si="34"/>
        <v>14411990.753</v>
      </c>
      <c r="AH320" s="236">
        <f t="shared" si="35"/>
        <v>19832220.368999999</v>
      </c>
      <c r="AI320" s="236">
        <f t="shared" si="36"/>
        <v>34244211.122000001</v>
      </c>
      <c r="AJ320" s="236">
        <f t="shared" si="37"/>
        <v>2351460.1320000002</v>
      </c>
      <c r="AK320" s="236">
        <f t="shared" si="38"/>
        <v>2937425.0380000002</v>
      </c>
      <c r="AL320" s="236">
        <f t="shared" si="39"/>
        <v>5288885.17</v>
      </c>
      <c r="AM320" s="236">
        <f t="shared" si="40"/>
        <v>16763450.885</v>
      </c>
      <c r="AN320" s="236">
        <f t="shared" si="41"/>
        <v>22769645.407000002</v>
      </c>
      <c r="AO320" s="236">
        <f t="shared" si="42"/>
        <v>39533096.292000003</v>
      </c>
    </row>
    <row r="321" spans="2:41" hidden="1" x14ac:dyDescent="0.25">
      <c r="B321" s="12">
        <v>42095</v>
      </c>
      <c r="C321" s="13">
        <v>274911</v>
      </c>
      <c r="D321" s="13">
        <v>379874</v>
      </c>
      <c r="E321" s="13">
        <v>654785</v>
      </c>
      <c r="F321" s="13">
        <v>29023</v>
      </c>
      <c r="G321" s="13">
        <v>35272</v>
      </c>
      <c r="H321" s="13">
        <v>64295</v>
      </c>
      <c r="I321" s="13">
        <v>303934</v>
      </c>
      <c r="J321" s="13">
        <v>415146</v>
      </c>
      <c r="K321" s="13">
        <v>719080</v>
      </c>
      <c r="L321" s="13">
        <v>14553598954</v>
      </c>
      <c r="M321" s="13">
        <v>19949869049</v>
      </c>
      <c r="N321" s="13">
        <f t="shared" si="52"/>
        <v>34503468003</v>
      </c>
      <c r="O321" s="13">
        <v>2346975364</v>
      </c>
      <c r="P321" s="13">
        <v>2925067985</v>
      </c>
      <c r="Q321" s="13">
        <f t="shared" si="53"/>
        <v>5272043349</v>
      </c>
      <c r="R321" s="13">
        <f t="shared" si="54"/>
        <v>16900574318</v>
      </c>
      <c r="S321" s="13">
        <f t="shared" si="55"/>
        <v>22874937034</v>
      </c>
      <c r="T321" s="14">
        <f t="shared" si="56"/>
        <v>39775511352</v>
      </c>
      <c r="U321">
        <v>90.963671410000003</v>
      </c>
      <c r="V321">
        <v>129.01505570699999</v>
      </c>
      <c r="W321" s="221">
        <f t="shared" si="33"/>
        <v>1.418314077556206</v>
      </c>
      <c r="X321" s="236">
        <f t="shared" si="43"/>
        <v>10261196.151332187</v>
      </c>
      <c r="Y321" s="236">
        <f t="shared" si="44"/>
        <v>14065903.571495371</v>
      </c>
      <c r="Z321" s="236">
        <f t="shared" si="45"/>
        <v>24327099.722827557</v>
      </c>
      <c r="AA321" s="236">
        <f t="shared" si="46"/>
        <v>1654764.2028935531</v>
      </c>
      <c r="AB321" s="236">
        <f t="shared" si="47"/>
        <v>2062355.6032384397</v>
      </c>
      <c r="AC321" s="236">
        <f t="shared" si="48"/>
        <v>3717119.8061319925</v>
      </c>
      <c r="AD321" s="236">
        <f t="shared" si="49"/>
        <v>11915960.354225738</v>
      </c>
      <c r="AE321" s="236">
        <f t="shared" si="50"/>
        <v>16128259.17473381</v>
      </c>
      <c r="AF321" s="236">
        <f t="shared" si="51"/>
        <v>28044219.52895955</v>
      </c>
      <c r="AG321" s="236">
        <f t="shared" si="34"/>
        <v>14553598.954</v>
      </c>
      <c r="AH321" s="236">
        <f t="shared" si="35"/>
        <v>19949869.048999999</v>
      </c>
      <c r="AI321" s="236">
        <f t="shared" si="36"/>
        <v>34503468.002999999</v>
      </c>
      <c r="AJ321" s="236">
        <f t="shared" si="37"/>
        <v>2346975.3640000001</v>
      </c>
      <c r="AK321" s="236">
        <f t="shared" si="38"/>
        <v>2925067.9849999999</v>
      </c>
      <c r="AL321" s="236">
        <f t="shared" si="39"/>
        <v>5272043.3490000004</v>
      </c>
      <c r="AM321" s="236">
        <f t="shared" si="40"/>
        <v>16900574.318</v>
      </c>
      <c r="AN321" s="236">
        <f t="shared" si="41"/>
        <v>22874937.034000002</v>
      </c>
      <c r="AO321" s="236">
        <f t="shared" si="42"/>
        <v>39775511.351999998</v>
      </c>
    </row>
    <row r="322" spans="2:41" hidden="1" x14ac:dyDescent="0.25">
      <c r="B322" s="12">
        <v>42125</v>
      </c>
      <c r="C322" s="13">
        <v>275948</v>
      </c>
      <c r="D322" s="13">
        <v>381450</v>
      </c>
      <c r="E322" s="13">
        <v>657398</v>
      </c>
      <c r="F322" s="13">
        <v>29091</v>
      </c>
      <c r="G322" s="13">
        <v>35349</v>
      </c>
      <c r="H322" s="13">
        <v>64440</v>
      </c>
      <c r="I322" s="13">
        <v>305039</v>
      </c>
      <c r="J322" s="13">
        <v>416799</v>
      </c>
      <c r="K322" s="13">
        <v>721838</v>
      </c>
      <c r="L322" s="13">
        <v>14572582986</v>
      </c>
      <c r="M322" s="13">
        <v>20025843295</v>
      </c>
      <c r="N322" s="13">
        <f t="shared" si="52"/>
        <v>34598426281</v>
      </c>
      <c r="O322" s="13">
        <v>2351073283</v>
      </c>
      <c r="P322" s="13">
        <v>2927213558</v>
      </c>
      <c r="Q322" s="13">
        <f t="shared" si="53"/>
        <v>5278286841</v>
      </c>
      <c r="R322" s="13">
        <f t="shared" si="54"/>
        <v>16923656269</v>
      </c>
      <c r="S322" s="13">
        <f t="shared" si="55"/>
        <v>22953056853</v>
      </c>
      <c r="T322" s="14">
        <f t="shared" si="56"/>
        <v>39876713122</v>
      </c>
      <c r="U322">
        <v>91.124380560000006</v>
      </c>
      <c r="V322">
        <v>129.01505570699999</v>
      </c>
      <c r="W322" s="221">
        <f t="shared" si="33"/>
        <v>1.415812704724519</v>
      </c>
      <c r="X322" s="236">
        <f t="shared" si="43"/>
        <v>10292733.592071738</v>
      </c>
      <c r="Y322" s="236">
        <f t="shared" si="44"/>
        <v>14144415.591253305</v>
      </c>
      <c r="Z322" s="236">
        <f t="shared" si="45"/>
        <v>24437149.183325041</v>
      </c>
      <c r="AA322" s="236">
        <f t="shared" si="46"/>
        <v>1660582.1343137748</v>
      </c>
      <c r="AB322" s="236">
        <f t="shared" si="47"/>
        <v>2067514.6848393064</v>
      </c>
      <c r="AC322" s="236">
        <f t="shared" si="48"/>
        <v>3728096.8191530816</v>
      </c>
      <c r="AD322" s="236">
        <f t="shared" si="49"/>
        <v>11953315.726385511</v>
      </c>
      <c r="AE322" s="236">
        <f t="shared" si="50"/>
        <v>16211930.276092613</v>
      </c>
      <c r="AF322" s="236">
        <f t="shared" si="51"/>
        <v>28165246.002478123</v>
      </c>
      <c r="AG322" s="236">
        <f t="shared" si="34"/>
        <v>14572582.986</v>
      </c>
      <c r="AH322" s="236">
        <f t="shared" si="35"/>
        <v>20025843.295000002</v>
      </c>
      <c r="AI322" s="236">
        <f t="shared" si="36"/>
        <v>34598426.281000003</v>
      </c>
      <c r="AJ322" s="236">
        <f t="shared" si="37"/>
        <v>2351073.2829999998</v>
      </c>
      <c r="AK322" s="236">
        <f t="shared" si="38"/>
        <v>2927213.5580000002</v>
      </c>
      <c r="AL322" s="236">
        <f t="shared" si="39"/>
        <v>5278286.841</v>
      </c>
      <c r="AM322" s="236">
        <f t="shared" si="40"/>
        <v>16923656.269000001</v>
      </c>
      <c r="AN322" s="236">
        <f t="shared" si="41"/>
        <v>22953056.853</v>
      </c>
      <c r="AO322" s="236">
        <f t="shared" si="42"/>
        <v>39876713.122000001</v>
      </c>
    </row>
    <row r="323" spans="2:41" hidden="1" x14ac:dyDescent="0.25">
      <c r="B323" s="12">
        <v>42156</v>
      </c>
      <c r="C323" s="13">
        <v>277655</v>
      </c>
      <c r="D323" s="13">
        <v>383881</v>
      </c>
      <c r="E323" s="13">
        <v>661536</v>
      </c>
      <c r="F323" s="13">
        <v>29464</v>
      </c>
      <c r="G323" s="13">
        <v>35662</v>
      </c>
      <c r="H323" s="13">
        <v>65126</v>
      </c>
      <c r="I323" s="13">
        <v>307119</v>
      </c>
      <c r="J323" s="13">
        <v>419543</v>
      </c>
      <c r="K323" s="13">
        <v>726662</v>
      </c>
      <c r="L323" s="13">
        <v>14706054701</v>
      </c>
      <c r="M323" s="13">
        <v>20224673155</v>
      </c>
      <c r="N323" s="13">
        <f t="shared" si="52"/>
        <v>34930727856</v>
      </c>
      <c r="O323" s="13">
        <v>2380563659</v>
      </c>
      <c r="P323" s="13">
        <v>2959385958</v>
      </c>
      <c r="Q323" s="13">
        <f t="shared" si="53"/>
        <v>5339949617</v>
      </c>
      <c r="R323" s="13">
        <f t="shared" si="54"/>
        <v>17086618360</v>
      </c>
      <c r="S323" s="13">
        <f t="shared" si="55"/>
        <v>23184059113</v>
      </c>
      <c r="T323" s="14">
        <f t="shared" si="56"/>
        <v>40270677473</v>
      </c>
      <c r="U323">
        <v>91.565864430000005</v>
      </c>
      <c r="V323">
        <v>129.01505570699999</v>
      </c>
      <c r="W323" s="221">
        <f t="shared" si="33"/>
        <v>1.4089863783858998</v>
      </c>
      <c r="X323" s="236">
        <f t="shared" si="43"/>
        <v>10437329.222335631</v>
      </c>
      <c r="Y323" s="236">
        <f t="shared" si="44"/>
        <v>14354058.680232869</v>
      </c>
      <c r="Z323" s="236">
        <f t="shared" si="45"/>
        <v>24791387.9025685</v>
      </c>
      <c r="AA323" s="236">
        <f t="shared" si="46"/>
        <v>1689557.6107180789</v>
      </c>
      <c r="AB323" s="236">
        <f t="shared" si="47"/>
        <v>2100365.2011101767</v>
      </c>
      <c r="AC323" s="236">
        <f t="shared" si="48"/>
        <v>3789922.8118282557</v>
      </c>
      <c r="AD323" s="236">
        <f t="shared" si="49"/>
        <v>12126886.83305371</v>
      </c>
      <c r="AE323" s="236">
        <f t="shared" si="50"/>
        <v>16454423.881343046</v>
      </c>
      <c r="AF323" s="236">
        <f t="shared" si="51"/>
        <v>28581310.714396756</v>
      </c>
      <c r="AG323" s="236">
        <f t="shared" si="34"/>
        <v>14706054.700999999</v>
      </c>
      <c r="AH323" s="236">
        <f t="shared" si="35"/>
        <v>20224673.155000001</v>
      </c>
      <c r="AI323" s="236">
        <f t="shared" si="36"/>
        <v>34930727.855999999</v>
      </c>
      <c r="AJ323" s="236">
        <f t="shared" si="37"/>
        <v>2380563.659</v>
      </c>
      <c r="AK323" s="236">
        <f t="shared" si="38"/>
        <v>2959385.9580000001</v>
      </c>
      <c r="AL323" s="236">
        <f t="shared" si="39"/>
        <v>5339949.6169999996</v>
      </c>
      <c r="AM323" s="236">
        <f t="shared" si="40"/>
        <v>17086618.359999999</v>
      </c>
      <c r="AN323" s="236">
        <f t="shared" si="41"/>
        <v>23184059.113000002</v>
      </c>
      <c r="AO323" s="236">
        <f t="shared" si="42"/>
        <v>40270677.472999997</v>
      </c>
    </row>
    <row r="324" spans="2:41" hidden="1" x14ac:dyDescent="0.25">
      <c r="B324" s="12">
        <v>42186</v>
      </c>
      <c r="C324" s="13">
        <v>281099</v>
      </c>
      <c r="D324" s="13">
        <v>387145</v>
      </c>
      <c r="E324" s="13">
        <v>668244</v>
      </c>
      <c r="F324" s="13">
        <v>29626</v>
      </c>
      <c r="G324" s="13">
        <v>35854</v>
      </c>
      <c r="H324" s="13">
        <v>65480</v>
      </c>
      <c r="I324" s="13">
        <v>310725</v>
      </c>
      <c r="J324" s="13">
        <v>422999</v>
      </c>
      <c r="K324" s="13">
        <v>733724</v>
      </c>
      <c r="L324" s="13">
        <v>16041225586</v>
      </c>
      <c r="M324" s="13">
        <v>21906233717</v>
      </c>
      <c r="N324" s="13">
        <f t="shared" si="52"/>
        <v>37947459303</v>
      </c>
      <c r="O324" s="13">
        <v>2525715001</v>
      </c>
      <c r="P324" s="13">
        <v>3119418376</v>
      </c>
      <c r="Q324" s="13">
        <f t="shared" si="53"/>
        <v>5645133377</v>
      </c>
      <c r="R324" s="13">
        <f t="shared" si="54"/>
        <v>18566940587</v>
      </c>
      <c r="S324" s="13">
        <f t="shared" si="55"/>
        <v>25025652093</v>
      </c>
      <c r="T324" s="14">
        <f t="shared" si="56"/>
        <v>43592592680</v>
      </c>
      <c r="U324">
        <v>91.952975289999998</v>
      </c>
      <c r="V324">
        <v>129.01505570699999</v>
      </c>
      <c r="W324" s="221">
        <f t="shared" si="33"/>
        <v>1.403054716827967</v>
      </c>
      <c r="X324" s="236">
        <f t="shared" si="43"/>
        <v>11433071.99185081</v>
      </c>
      <c r="Y324" s="236">
        <f t="shared" si="44"/>
        <v>15613242.629999293</v>
      </c>
      <c r="Z324" s="236">
        <f t="shared" si="45"/>
        <v>27046314.621850103</v>
      </c>
      <c r="AA324" s="236">
        <f t="shared" si="46"/>
        <v>1800154.3138033482</v>
      </c>
      <c r="AB324" s="236">
        <f t="shared" si="47"/>
        <v>2223304.8637279067</v>
      </c>
      <c r="AC324" s="236">
        <f t="shared" si="48"/>
        <v>4023459.1775312549</v>
      </c>
      <c r="AD324" s="236">
        <f t="shared" si="49"/>
        <v>13233226.305654159</v>
      </c>
      <c r="AE324" s="236">
        <f t="shared" si="50"/>
        <v>17836547.4937272</v>
      </c>
      <c r="AF324" s="236">
        <f t="shared" si="51"/>
        <v>31069773.79938136</v>
      </c>
      <c r="AG324" s="236">
        <f t="shared" si="34"/>
        <v>16041225.585999999</v>
      </c>
      <c r="AH324" s="236">
        <f t="shared" si="35"/>
        <v>21906233.717</v>
      </c>
      <c r="AI324" s="236">
        <f t="shared" si="36"/>
        <v>37947459.303000003</v>
      </c>
      <c r="AJ324" s="236">
        <f t="shared" si="37"/>
        <v>2525715.0010000002</v>
      </c>
      <c r="AK324" s="236">
        <f t="shared" si="38"/>
        <v>3119418.3760000002</v>
      </c>
      <c r="AL324" s="236">
        <f t="shared" si="39"/>
        <v>5645133.3770000003</v>
      </c>
      <c r="AM324" s="236">
        <f t="shared" si="40"/>
        <v>18566940.587000001</v>
      </c>
      <c r="AN324" s="236">
        <f t="shared" si="41"/>
        <v>25025652.092999998</v>
      </c>
      <c r="AO324" s="236">
        <f t="shared" si="42"/>
        <v>43592592.68</v>
      </c>
    </row>
    <row r="325" spans="2:41" hidden="1" x14ac:dyDescent="0.25">
      <c r="B325" s="12">
        <v>42217</v>
      </c>
      <c r="C325" s="13">
        <v>282181</v>
      </c>
      <c r="D325" s="13">
        <v>388790</v>
      </c>
      <c r="E325" s="13">
        <v>670971</v>
      </c>
      <c r="F325" s="13">
        <v>29711</v>
      </c>
      <c r="G325" s="13">
        <v>35902</v>
      </c>
      <c r="H325" s="13">
        <v>65613</v>
      </c>
      <c r="I325" s="13">
        <v>311892</v>
      </c>
      <c r="J325" s="13">
        <v>424692</v>
      </c>
      <c r="K325" s="13">
        <v>736584</v>
      </c>
      <c r="L325" s="13">
        <v>15892980879</v>
      </c>
      <c r="M325" s="13">
        <v>21926701459</v>
      </c>
      <c r="N325" s="13">
        <f t="shared" si="52"/>
        <v>37819682338</v>
      </c>
      <c r="O325" s="13">
        <v>2491109842</v>
      </c>
      <c r="P325" s="13">
        <v>3092242871</v>
      </c>
      <c r="Q325" s="13">
        <f t="shared" si="53"/>
        <v>5583352713</v>
      </c>
      <c r="R325" s="13">
        <f t="shared" si="54"/>
        <v>18384090721</v>
      </c>
      <c r="S325" s="13">
        <f t="shared" si="55"/>
        <v>25018944330</v>
      </c>
      <c r="T325" s="14">
        <f t="shared" si="56"/>
        <v>43403035051</v>
      </c>
      <c r="U325">
        <v>92.574250430000006</v>
      </c>
      <c r="V325">
        <v>129.01505570699999</v>
      </c>
      <c r="W325" s="221">
        <f t="shared" si="33"/>
        <v>1.3936386749850562</v>
      </c>
      <c r="X325" s="236">
        <f t="shared" si="43"/>
        <v>11403946.492207114</v>
      </c>
      <c r="Y325" s="236">
        <f t="shared" si="44"/>
        <v>15733419.180000236</v>
      </c>
      <c r="Z325" s="236">
        <f t="shared" si="45"/>
        <v>27137365.672207348</v>
      </c>
      <c r="AA325" s="236">
        <f t="shared" si="46"/>
        <v>1787486.1588687696</v>
      </c>
      <c r="AB325" s="236">
        <f t="shared" si="47"/>
        <v>2218826.8211149909</v>
      </c>
      <c r="AC325" s="236">
        <f t="shared" si="48"/>
        <v>4006312.9799837605</v>
      </c>
      <c r="AD325" s="236">
        <f t="shared" si="49"/>
        <v>13191432.651075883</v>
      </c>
      <c r="AE325" s="236">
        <f t="shared" si="50"/>
        <v>17952246.001115225</v>
      </c>
      <c r="AF325" s="236">
        <f t="shared" si="51"/>
        <v>31143678.65219111</v>
      </c>
      <c r="AG325" s="236">
        <f t="shared" si="34"/>
        <v>15892980.879000001</v>
      </c>
      <c r="AH325" s="236">
        <f t="shared" si="35"/>
        <v>21926701.458999999</v>
      </c>
      <c r="AI325" s="236">
        <f t="shared" si="36"/>
        <v>37819682.338</v>
      </c>
      <c r="AJ325" s="236">
        <f t="shared" si="37"/>
        <v>2491109.8420000002</v>
      </c>
      <c r="AK325" s="236">
        <f t="shared" si="38"/>
        <v>3092242.8709999998</v>
      </c>
      <c r="AL325" s="236">
        <f t="shared" si="39"/>
        <v>5583352.7130000005</v>
      </c>
      <c r="AM325" s="236">
        <f t="shared" si="40"/>
        <v>18384090.721000001</v>
      </c>
      <c r="AN325" s="236">
        <f t="shared" si="41"/>
        <v>25018944.329999998</v>
      </c>
      <c r="AO325" s="236">
        <f t="shared" si="42"/>
        <v>43403035.050999999</v>
      </c>
    </row>
    <row r="326" spans="2:41" hidden="1" x14ac:dyDescent="0.25">
      <c r="B326" s="12">
        <v>42248</v>
      </c>
      <c r="C326" s="13">
        <v>283655</v>
      </c>
      <c r="D326" s="13">
        <v>391060</v>
      </c>
      <c r="E326" s="13">
        <v>674715</v>
      </c>
      <c r="F326" s="13">
        <v>29687</v>
      </c>
      <c r="G326" s="13">
        <v>35845</v>
      </c>
      <c r="H326" s="13">
        <v>65532</v>
      </c>
      <c r="I326" s="13">
        <v>313342</v>
      </c>
      <c r="J326" s="13">
        <v>426905</v>
      </c>
      <c r="K326" s="13">
        <v>740247</v>
      </c>
      <c r="L326" s="13">
        <v>16104807119</v>
      </c>
      <c r="M326" s="13">
        <v>22248031108</v>
      </c>
      <c r="N326" s="13">
        <f t="shared" si="52"/>
        <v>38352838227</v>
      </c>
      <c r="O326" s="13">
        <v>2511621644</v>
      </c>
      <c r="P326" s="13">
        <v>3101324763</v>
      </c>
      <c r="Q326" s="13">
        <f t="shared" si="53"/>
        <v>5612946407</v>
      </c>
      <c r="R326" s="13">
        <f t="shared" si="54"/>
        <v>18616428763</v>
      </c>
      <c r="S326" s="13">
        <f t="shared" si="55"/>
        <v>25349355871</v>
      </c>
      <c r="T326" s="14">
        <f t="shared" si="56"/>
        <v>43965784634</v>
      </c>
      <c r="U326">
        <v>93.047945729999995</v>
      </c>
      <c r="V326">
        <v>129.01505570699999</v>
      </c>
      <c r="W326" s="221">
        <f t="shared" si="33"/>
        <v>1.3865438371027214</v>
      </c>
      <c r="X326" s="236">
        <f t="shared" si="43"/>
        <v>11615072.447079713</v>
      </c>
      <c r="Y326" s="236">
        <f t="shared" si="44"/>
        <v>16045674.51288723</v>
      </c>
      <c r="Z326" s="236">
        <f t="shared" si="45"/>
        <v>27660746.959966943</v>
      </c>
      <c r="AA326" s="236">
        <f t="shared" si="46"/>
        <v>1811426.0629856505</v>
      </c>
      <c r="AB326" s="236">
        <f t="shared" si="47"/>
        <v>2236730.4083803301</v>
      </c>
      <c r="AC326" s="236">
        <f t="shared" si="48"/>
        <v>4048156.4713659808</v>
      </c>
      <c r="AD326" s="236">
        <f t="shared" si="49"/>
        <v>13426498.510065364</v>
      </c>
      <c r="AE326" s="236">
        <f t="shared" si="50"/>
        <v>18282404.921267558</v>
      </c>
      <c r="AF326" s="236">
        <f t="shared" si="51"/>
        <v>31708903.43133292</v>
      </c>
      <c r="AG326" s="236">
        <f t="shared" si="34"/>
        <v>16104807.119000001</v>
      </c>
      <c r="AH326" s="236">
        <f t="shared" si="35"/>
        <v>22248031.107999999</v>
      </c>
      <c r="AI326" s="236">
        <f t="shared" si="36"/>
        <v>38352838.226999998</v>
      </c>
      <c r="AJ326" s="236">
        <f t="shared" si="37"/>
        <v>2511621.6439999999</v>
      </c>
      <c r="AK326" s="236">
        <f t="shared" si="38"/>
        <v>3101324.7629999998</v>
      </c>
      <c r="AL326" s="236">
        <f t="shared" si="39"/>
        <v>5612946.4069999997</v>
      </c>
      <c r="AM326" s="236">
        <f t="shared" si="40"/>
        <v>18616428.763</v>
      </c>
      <c r="AN326" s="236">
        <f t="shared" si="41"/>
        <v>25349355.870999999</v>
      </c>
      <c r="AO326" s="236">
        <f t="shared" si="42"/>
        <v>43965784.634000003</v>
      </c>
    </row>
    <row r="327" spans="2:41" hidden="1" x14ac:dyDescent="0.25">
      <c r="B327" s="12">
        <v>42278</v>
      </c>
      <c r="C327" s="13">
        <v>285404</v>
      </c>
      <c r="D327" s="13">
        <v>393767</v>
      </c>
      <c r="E327" s="13">
        <v>679171</v>
      </c>
      <c r="F327" s="13">
        <v>29631</v>
      </c>
      <c r="G327" s="13">
        <v>35726</v>
      </c>
      <c r="H327" s="13">
        <v>65357</v>
      </c>
      <c r="I327" s="13">
        <v>315035</v>
      </c>
      <c r="J327" s="13">
        <v>429493</v>
      </c>
      <c r="K327" s="13">
        <v>744528</v>
      </c>
      <c r="L327" s="13">
        <v>16237880278</v>
      </c>
      <c r="M327" s="13">
        <v>22458624022</v>
      </c>
      <c r="N327" s="13">
        <f t="shared" si="52"/>
        <v>38696504300</v>
      </c>
      <c r="O327" s="13">
        <v>2500792061</v>
      </c>
      <c r="P327" s="13">
        <v>3086793074</v>
      </c>
      <c r="Q327" s="13">
        <f t="shared" si="53"/>
        <v>5587585135</v>
      </c>
      <c r="R327" s="13">
        <f t="shared" si="54"/>
        <v>18738672339</v>
      </c>
      <c r="S327" s="13">
        <f t="shared" si="55"/>
        <v>25545417096</v>
      </c>
      <c r="T327" s="14">
        <f t="shared" si="56"/>
        <v>44284089435</v>
      </c>
      <c r="U327">
        <v>93.427485750000002</v>
      </c>
      <c r="V327">
        <v>129.01505570699999</v>
      </c>
      <c r="W327" s="221">
        <f t="shared" si="33"/>
        <v>1.3809111384226669</v>
      </c>
      <c r="X327" s="236">
        <f t="shared" si="43"/>
        <v>11758816.209236728</v>
      </c>
      <c r="Y327" s="236">
        <f t="shared" si="44"/>
        <v>16263627.250956319</v>
      </c>
      <c r="Z327" s="236">
        <f t="shared" si="45"/>
        <v>28022443.460193049</v>
      </c>
      <c r="AA327" s="236">
        <f t="shared" si="46"/>
        <v>1810972.4742002639</v>
      </c>
      <c r="AB327" s="236">
        <f t="shared" si="47"/>
        <v>2235330.7089157533</v>
      </c>
      <c r="AC327" s="236">
        <f t="shared" si="48"/>
        <v>4046303.1831160174</v>
      </c>
      <c r="AD327" s="236">
        <f t="shared" si="49"/>
        <v>13569788.683436994</v>
      </c>
      <c r="AE327" s="236">
        <f t="shared" si="50"/>
        <v>18498957.959872074</v>
      </c>
      <c r="AF327" s="236">
        <f t="shared" si="51"/>
        <v>32068746.643309068</v>
      </c>
      <c r="AG327" s="236">
        <f t="shared" si="34"/>
        <v>16237880.278000001</v>
      </c>
      <c r="AH327" s="236">
        <f t="shared" si="35"/>
        <v>22458624.022</v>
      </c>
      <c r="AI327" s="236">
        <f t="shared" si="36"/>
        <v>38696504.299999997</v>
      </c>
      <c r="AJ327" s="236">
        <f t="shared" si="37"/>
        <v>2500792.0610000002</v>
      </c>
      <c r="AK327" s="236">
        <f t="shared" si="38"/>
        <v>3086793.074</v>
      </c>
      <c r="AL327" s="236">
        <f t="shared" si="39"/>
        <v>5587585.1349999998</v>
      </c>
      <c r="AM327" s="236">
        <f t="shared" si="40"/>
        <v>18738672.339000002</v>
      </c>
      <c r="AN327" s="236">
        <f t="shared" si="41"/>
        <v>25545417.096000001</v>
      </c>
      <c r="AO327" s="236">
        <f t="shared" si="42"/>
        <v>44284089.435000002</v>
      </c>
    </row>
    <row r="328" spans="2:41" hidden="1" x14ac:dyDescent="0.25">
      <c r="B328" s="12">
        <v>42309</v>
      </c>
      <c r="C328" s="13">
        <v>286695</v>
      </c>
      <c r="D328" s="13">
        <v>394851</v>
      </c>
      <c r="E328" s="13">
        <v>681546</v>
      </c>
      <c r="F328" s="13">
        <v>29591</v>
      </c>
      <c r="G328" s="13">
        <v>35684</v>
      </c>
      <c r="H328" s="13">
        <v>65275</v>
      </c>
      <c r="I328" s="13">
        <f>C328+F328</f>
        <v>316286</v>
      </c>
      <c r="J328" s="13">
        <f t="shared" ref="J328:K341" si="57">D328+G328</f>
        <v>430535</v>
      </c>
      <c r="K328" s="13">
        <f t="shared" si="57"/>
        <v>746821</v>
      </c>
      <c r="L328" s="13">
        <v>16295615647</v>
      </c>
      <c r="M328" s="13">
        <v>22486036004</v>
      </c>
      <c r="N328" s="13">
        <f t="shared" si="52"/>
        <v>38781651651</v>
      </c>
      <c r="O328" s="13">
        <v>2498516558</v>
      </c>
      <c r="P328" s="13">
        <v>3085806031</v>
      </c>
      <c r="Q328" s="13">
        <f t="shared" si="53"/>
        <v>5584322589</v>
      </c>
      <c r="R328" s="13">
        <f t="shared" si="54"/>
        <v>18794132205</v>
      </c>
      <c r="S328" s="13">
        <f t="shared" si="55"/>
        <v>25571842035</v>
      </c>
      <c r="T328" s="14">
        <f t="shared" si="56"/>
        <v>44365974240</v>
      </c>
      <c r="U328">
        <v>93.403431920000003</v>
      </c>
      <c r="V328">
        <v>129.01505570699999</v>
      </c>
      <c r="W328" s="221">
        <f t="shared" si="33"/>
        <v>1.3812667592075345</v>
      </c>
      <c r="X328" s="236">
        <f t="shared" si="43"/>
        <v>11797587.640745936</v>
      </c>
      <c r="Y328" s="236">
        <f t="shared" si="44"/>
        <v>16279285.557339245</v>
      </c>
      <c r="Z328" s="236">
        <f t="shared" si="45"/>
        <v>28076873.198085178</v>
      </c>
      <c r="AA328" s="236">
        <f t="shared" si="46"/>
        <v>1808858.8184323339</v>
      </c>
      <c r="AB328" s="236">
        <f t="shared" si="47"/>
        <v>2234040.60832565</v>
      </c>
      <c r="AC328" s="236">
        <f t="shared" si="48"/>
        <v>4042899.4267579843</v>
      </c>
      <c r="AD328" s="236">
        <f t="shared" si="49"/>
        <v>13606446.459178269</v>
      </c>
      <c r="AE328" s="236">
        <f t="shared" si="50"/>
        <v>18513326.165664893</v>
      </c>
      <c r="AF328" s="236">
        <f t="shared" si="51"/>
        <v>32119772.624843162</v>
      </c>
      <c r="AG328" s="236">
        <f t="shared" si="34"/>
        <v>16295615.647</v>
      </c>
      <c r="AH328" s="236">
        <f t="shared" si="35"/>
        <v>22486036.004000001</v>
      </c>
      <c r="AI328" s="236">
        <f t="shared" si="36"/>
        <v>38781651.651000001</v>
      </c>
      <c r="AJ328" s="236">
        <f t="shared" si="37"/>
        <v>2498516.5580000002</v>
      </c>
      <c r="AK328" s="236">
        <f t="shared" si="38"/>
        <v>3085806.031</v>
      </c>
      <c r="AL328" s="236">
        <f t="shared" si="39"/>
        <v>5584322.5889999997</v>
      </c>
      <c r="AM328" s="236">
        <f t="shared" si="40"/>
        <v>18794132.204999998</v>
      </c>
      <c r="AN328" s="236">
        <f t="shared" si="41"/>
        <v>25571842.035</v>
      </c>
      <c r="AO328" s="236">
        <f t="shared" si="42"/>
        <v>44365974.240000002</v>
      </c>
    </row>
    <row r="329" spans="2:41" hidden="1" x14ac:dyDescent="0.25">
      <c r="B329" s="15">
        <v>42339</v>
      </c>
      <c r="C329" s="16">
        <v>288817</v>
      </c>
      <c r="D329" s="16">
        <v>397672</v>
      </c>
      <c r="E329" s="16">
        <v>686489</v>
      </c>
      <c r="F329" s="16">
        <v>29530</v>
      </c>
      <c r="G329" s="16">
        <v>35597</v>
      </c>
      <c r="H329" s="16">
        <v>65127</v>
      </c>
      <c r="I329" s="17">
        <f>C329+F329</f>
        <v>318347</v>
      </c>
      <c r="J329" s="17">
        <f t="shared" si="57"/>
        <v>433269</v>
      </c>
      <c r="K329" s="17">
        <f t="shared" si="57"/>
        <v>751616</v>
      </c>
      <c r="L329" s="16">
        <v>16418859100</v>
      </c>
      <c r="M329" s="16">
        <v>22713656139</v>
      </c>
      <c r="N329" s="16">
        <f t="shared" si="52"/>
        <v>39132515239</v>
      </c>
      <c r="O329" s="16">
        <v>2488140257</v>
      </c>
      <c r="P329" s="16">
        <v>3070197758</v>
      </c>
      <c r="Q329" s="16">
        <f t="shared" si="53"/>
        <v>5558338015</v>
      </c>
      <c r="R329" s="16">
        <f t="shared" si="54"/>
        <v>18906999357</v>
      </c>
      <c r="S329" s="16">
        <f t="shared" si="55"/>
        <v>25783853897</v>
      </c>
      <c r="T329" s="16">
        <f t="shared" si="56"/>
        <v>44690853254</v>
      </c>
      <c r="U329">
        <v>93.412779229999998</v>
      </c>
      <c r="V329">
        <v>129.01505570699999</v>
      </c>
      <c r="W329" s="221">
        <f t="shared" si="33"/>
        <v>1.3811285433370999</v>
      </c>
      <c r="X329" s="236">
        <f t="shared" si="43"/>
        <v>11888002.155345041</v>
      </c>
      <c r="Y329" s="236">
        <f t="shared" si="44"/>
        <v>16445722.049968632</v>
      </c>
      <c r="Z329" s="236">
        <f t="shared" si="45"/>
        <v>28333724.205313671</v>
      </c>
      <c r="AA329" s="236">
        <f t="shared" si="46"/>
        <v>1801526.9244875098</v>
      </c>
      <c r="AB329" s="236">
        <f t="shared" si="47"/>
        <v>2222963.0781373545</v>
      </c>
      <c r="AC329" s="236">
        <f t="shared" si="48"/>
        <v>4024490.0026248642</v>
      </c>
      <c r="AD329" s="236">
        <f t="shared" si="49"/>
        <v>13689529.07983255</v>
      </c>
      <c r="AE329" s="236">
        <f t="shared" si="50"/>
        <v>18668685.128105987</v>
      </c>
      <c r="AF329" s="236">
        <f t="shared" si="51"/>
        <v>32358214.207938537</v>
      </c>
      <c r="AG329" s="236">
        <f t="shared" si="34"/>
        <v>16418859.1</v>
      </c>
      <c r="AH329" s="236">
        <f t="shared" si="35"/>
        <v>22713656.138999999</v>
      </c>
      <c r="AI329" s="236">
        <f t="shared" si="36"/>
        <v>39132515.239</v>
      </c>
      <c r="AJ329" s="236">
        <f t="shared" si="37"/>
        <v>2488140.2570000002</v>
      </c>
      <c r="AK329" s="236">
        <f t="shared" si="38"/>
        <v>3070197.7579999999</v>
      </c>
      <c r="AL329" s="236">
        <f t="shared" si="39"/>
        <v>5558338.0149999997</v>
      </c>
      <c r="AM329" s="236">
        <f t="shared" si="40"/>
        <v>18906999.357000001</v>
      </c>
      <c r="AN329" s="236">
        <f t="shared" si="41"/>
        <v>25783853.897</v>
      </c>
      <c r="AO329" s="236">
        <f t="shared" si="42"/>
        <v>44690853.254000001</v>
      </c>
    </row>
    <row r="330" spans="2:41" hidden="1" x14ac:dyDescent="0.25">
      <c r="B330" s="12">
        <v>42370</v>
      </c>
      <c r="C330" s="13">
        <v>290198</v>
      </c>
      <c r="D330" s="13">
        <v>399583</v>
      </c>
      <c r="E330" s="13">
        <f>C330+D330</f>
        <v>689781</v>
      </c>
      <c r="F330" s="13">
        <v>29617</v>
      </c>
      <c r="G330" s="13">
        <v>35653</v>
      </c>
      <c r="H330" s="13">
        <f>F330+G330</f>
        <v>65270</v>
      </c>
      <c r="I330" s="13">
        <f>C330+F330</f>
        <v>319815</v>
      </c>
      <c r="J330" s="13">
        <f t="shared" si="57"/>
        <v>435236</v>
      </c>
      <c r="K330" s="13">
        <f t="shared" si="57"/>
        <v>755051</v>
      </c>
      <c r="L330" s="13">
        <v>16548300026</v>
      </c>
      <c r="M330" s="13">
        <v>22789592183</v>
      </c>
      <c r="N330" s="13">
        <f t="shared" si="52"/>
        <v>39337892209</v>
      </c>
      <c r="O330" s="13">
        <v>2503378238</v>
      </c>
      <c r="P330" s="13">
        <v>3090894367</v>
      </c>
      <c r="Q330" s="13">
        <f t="shared" si="53"/>
        <v>5594272605</v>
      </c>
      <c r="R330" s="13">
        <f t="shared" si="54"/>
        <v>19051678264</v>
      </c>
      <c r="S330" s="13">
        <f t="shared" si="55"/>
        <v>25880486550</v>
      </c>
      <c r="T330" s="14">
        <f t="shared" si="56"/>
        <v>44932164814</v>
      </c>
      <c r="U330">
        <v>93.852448350000003</v>
      </c>
      <c r="V330">
        <v>129.01505570699999</v>
      </c>
      <c r="W330" s="221">
        <f t="shared" si="33"/>
        <v>1.3746583917115252</v>
      </c>
      <c r="X330" s="236">
        <f t="shared" si="43"/>
        <v>12038118.070480375</v>
      </c>
      <c r="Y330" s="236">
        <f t="shared" si="44"/>
        <v>16578367.629666673</v>
      </c>
      <c r="Z330" s="236">
        <f t="shared" si="45"/>
        <v>28616485.700147048</v>
      </c>
      <c r="AA330" s="236">
        <f t="shared" si="46"/>
        <v>1821091.1547873043</v>
      </c>
      <c r="AB330" s="236">
        <f t="shared" si="47"/>
        <v>2248481.7941944594</v>
      </c>
      <c r="AC330" s="236">
        <f t="shared" si="48"/>
        <v>4069572.9489817638</v>
      </c>
      <c r="AD330" s="236">
        <f t="shared" si="49"/>
        <v>13859209.225267678</v>
      </c>
      <c r="AE330" s="236">
        <f t="shared" si="50"/>
        <v>18826849.423861135</v>
      </c>
      <c r="AF330" s="236">
        <f t="shared" si="51"/>
        <v>32686058.64912881</v>
      </c>
      <c r="AG330" s="236">
        <f t="shared" si="34"/>
        <v>16548300.026000001</v>
      </c>
      <c r="AH330" s="236">
        <f t="shared" si="35"/>
        <v>22789592.182999998</v>
      </c>
      <c r="AI330" s="236">
        <f t="shared" si="36"/>
        <v>39337892.208999999</v>
      </c>
      <c r="AJ330" s="236">
        <f t="shared" si="37"/>
        <v>2503378.2379999999</v>
      </c>
      <c r="AK330" s="236">
        <f t="shared" si="38"/>
        <v>3090894.3670000001</v>
      </c>
      <c r="AL330" s="236">
        <f t="shared" si="39"/>
        <v>5594272.6050000004</v>
      </c>
      <c r="AM330" s="236">
        <f t="shared" si="40"/>
        <v>19051678.263999999</v>
      </c>
      <c r="AN330" s="236">
        <f t="shared" si="41"/>
        <v>25880486.550000001</v>
      </c>
      <c r="AO330" s="236">
        <f t="shared" si="42"/>
        <v>44932164.814000003</v>
      </c>
    </row>
    <row r="331" spans="2:41" hidden="1" x14ac:dyDescent="0.25">
      <c r="B331" s="12">
        <v>42401</v>
      </c>
      <c r="C331" s="13">
        <v>291345</v>
      </c>
      <c r="D331" s="13">
        <v>401765</v>
      </c>
      <c r="E331" s="13">
        <f t="shared" ref="E331:E341" si="58">C331+D331</f>
        <v>693110</v>
      </c>
      <c r="F331" s="13">
        <v>29599</v>
      </c>
      <c r="G331" s="13">
        <v>35604</v>
      </c>
      <c r="H331" s="13">
        <f t="shared" ref="H331:H341" si="59">F331+G331</f>
        <v>65203</v>
      </c>
      <c r="I331" s="13">
        <f t="shared" ref="I331:I341" si="60">C331+F331</f>
        <v>320944</v>
      </c>
      <c r="J331" s="13">
        <f t="shared" si="57"/>
        <v>437369</v>
      </c>
      <c r="K331" s="13">
        <f t="shared" si="57"/>
        <v>758313</v>
      </c>
      <c r="L331" s="13">
        <v>16407786059</v>
      </c>
      <c r="M331" s="13">
        <v>22635180851</v>
      </c>
      <c r="N331" s="13">
        <f t="shared" si="52"/>
        <v>39042966910</v>
      </c>
      <c r="O331" s="13">
        <v>2490719319</v>
      </c>
      <c r="P331" s="13">
        <v>3077814227</v>
      </c>
      <c r="Q331" s="13">
        <f t="shared" si="53"/>
        <v>5568533546</v>
      </c>
      <c r="R331" s="13">
        <f t="shared" si="54"/>
        <v>18898505378</v>
      </c>
      <c r="S331" s="13">
        <f t="shared" si="55"/>
        <v>25712995078</v>
      </c>
      <c r="T331" s="14">
        <f t="shared" si="56"/>
        <v>44611500456</v>
      </c>
      <c r="U331">
        <v>94.113330169999998</v>
      </c>
      <c r="V331">
        <v>129.01505570699999</v>
      </c>
      <c r="W331" s="221">
        <f t="shared" si="33"/>
        <v>1.370847843487802</v>
      </c>
      <c r="X331" s="236">
        <f t="shared" si="43"/>
        <v>11969078.944060067</v>
      </c>
      <c r="Y331" s="236">
        <f t="shared" si="44"/>
        <v>16511811.255004108</v>
      </c>
      <c r="Z331" s="236">
        <f t="shared" si="45"/>
        <v>28480890.199064173</v>
      </c>
      <c r="AA331" s="236">
        <f t="shared" si="46"/>
        <v>1816918.8731135519</v>
      </c>
      <c r="AB331" s="236">
        <f t="shared" si="47"/>
        <v>2245190.2606267529</v>
      </c>
      <c r="AC331" s="236">
        <f t="shared" si="48"/>
        <v>4062109.1337403045</v>
      </c>
      <c r="AD331" s="236">
        <f t="shared" si="49"/>
        <v>13785997.817173619</v>
      </c>
      <c r="AE331" s="236">
        <f t="shared" si="50"/>
        <v>18757001.515630864</v>
      </c>
      <c r="AF331" s="236">
        <f t="shared" si="51"/>
        <v>32542999.332804482</v>
      </c>
      <c r="AG331" s="236">
        <f t="shared" si="34"/>
        <v>16407786.059</v>
      </c>
      <c r="AH331" s="236">
        <f t="shared" si="35"/>
        <v>22635180.851</v>
      </c>
      <c r="AI331" s="236">
        <f t="shared" si="36"/>
        <v>39042966.909999996</v>
      </c>
      <c r="AJ331" s="236">
        <f t="shared" si="37"/>
        <v>2490719.3190000001</v>
      </c>
      <c r="AK331" s="236">
        <f t="shared" si="38"/>
        <v>3077814.227</v>
      </c>
      <c r="AL331" s="236">
        <f t="shared" si="39"/>
        <v>5568533.5460000001</v>
      </c>
      <c r="AM331" s="236">
        <f t="shared" si="40"/>
        <v>18898505.377999999</v>
      </c>
      <c r="AN331" s="236">
        <f t="shared" si="41"/>
        <v>25712995.078000002</v>
      </c>
      <c r="AO331" s="236">
        <f t="shared" si="42"/>
        <v>44611500.456</v>
      </c>
    </row>
    <row r="332" spans="2:41" hidden="1" x14ac:dyDescent="0.25">
      <c r="B332" s="12">
        <v>42430</v>
      </c>
      <c r="C332" s="13">
        <v>292122</v>
      </c>
      <c r="D332" s="13">
        <v>402760</v>
      </c>
      <c r="E332" s="13">
        <f t="shared" si="58"/>
        <v>694882</v>
      </c>
      <c r="F332" s="13">
        <v>29505</v>
      </c>
      <c r="G332" s="13">
        <v>35532</v>
      </c>
      <c r="H332" s="13">
        <f t="shared" si="59"/>
        <v>65037</v>
      </c>
      <c r="I332" s="13">
        <f t="shared" si="60"/>
        <v>321627</v>
      </c>
      <c r="J332" s="13">
        <f t="shared" si="57"/>
        <v>438292</v>
      </c>
      <c r="K332" s="13">
        <f t="shared" si="57"/>
        <v>759919</v>
      </c>
      <c r="L332" s="13">
        <v>16352677604</v>
      </c>
      <c r="M332" s="13">
        <v>22620982057</v>
      </c>
      <c r="N332" s="13">
        <f t="shared" si="52"/>
        <v>38973659661</v>
      </c>
      <c r="O332" s="13">
        <v>2476491708</v>
      </c>
      <c r="P332" s="13">
        <v>3056782234</v>
      </c>
      <c r="Q332" s="13">
        <f t="shared" si="53"/>
        <v>5533273942</v>
      </c>
      <c r="R332" s="13">
        <f t="shared" si="54"/>
        <v>18829169312</v>
      </c>
      <c r="S332" s="13">
        <f t="shared" si="55"/>
        <v>25677764291</v>
      </c>
      <c r="T332" s="14">
        <f t="shared" si="56"/>
        <v>44506933603</v>
      </c>
      <c r="U332">
        <v>94.47035631</v>
      </c>
      <c r="V332">
        <v>129.01505570699999</v>
      </c>
      <c r="W332" s="221">
        <f t="shared" si="33"/>
        <v>1.3656670806199056</v>
      </c>
      <c r="X332" s="236">
        <f t="shared" si="43"/>
        <v>11974131.789555306</v>
      </c>
      <c r="Y332" s="236">
        <f t="shared" si="44"/>
        <v>16564053.112221062</v>
      </c>
      <c r="Z332" s="236">
        <f t="shared" si="45"/>
        <v>28538184.901776366</v>
      </c>
      <c r="AA332" s="236">
        <f t="shared" si="46"/>
        <v>1813393.4273907132</v>
      </c>
      <c r="AB332" s="236">
        <f t="shared" si="47"/>
        <v>2238307.0349857602</v>
      </c>
      <c r="AC332" s="236">
        <f t="shared" si="48"/>
        <v>4051700.4623764735</v>
      </c>
      <c r="AD332" s="236">
        <f t="shared" si="49"/>
        <v>13787525.216946019</v>
      </c>
      <c r="AE332" s="236">
        <f t="shared" si="50"/>
        <v>18802360.147206821</v>
      </c>
      <c r="AF332" s="236">
        <f t="shared" si="51"/>
        <v>32589885.364152841</v>
      </c>
      <c r="AG332" s="236">
        <f t="shared" si="34"/>
        <v>16352677.604</v>
      </c>
      <c r="AH332" s="236">
        <f t="shared" si="35"/>
        <v>22620982.057</v>
      </c>
      <c r="AI332" s="236">
        <f t="shared" si="36"/>
        <v>38973659.660999998</v>
      </c>
      <c r="AJ332" s="236">
        <f t="shared" si="37"/>
        <v>2476491.7080000001</v>
      </c>
      <c r="AK332" s="236">
        <f t="shared" si="38"/>
        <v>3056782.2340000002</v>
      </c>
      <c r="AL332" s="236">
        <f t="shared" si="39"/>
        <v>5533273.9419999998</v>
      </c>
      <c r="AM332" s="236">
        <f t="shared" si="40"/>
        <v>18829169.311999999</v>
      </c>
      <c r="AN332" s="236">
        <f t="shared" si="41"/>
        <v>25677764.291000001</v>
      </c>
      <c r="AO332" s="236">
        <f t="shared" si="42"/>
        <v>44506933.603</v>
      </c>
    </row>
    <row r="333" spans="2:41" hidden="1" x14ac:dyDescent="0.25">
      <c r="B333" s="12">
        <v>42461</v>
      </c>
      <c r="C333" s="13">
        <v>293491</v>
      </c>
      <c r="D333" s="13">
        <v>405007</v>
      </c>
      <c r="E333" s="13">
        <f t="shared" si="58"/>
        <v>698498</v>
      </c>
      <c r="F333" s="13">
        <v>29521</v>
      </c>
      <c r="G333" s="13">
        <v>35542</v>
      </c>
      <c r="H333" s="13">
        <f t="shared" si="59"/>
        <v>65063</v>
      </c>
      <c r="I333" s="13">
        <f t="shared" si="60"/>
        <v>323012</v>
      </c>
      <c r="J333" s="13">
        <f t="shared" si="57"/>
        <v>440549</v>
      </c>
      <c r="K333" s="13">
        <f t="shared" si="57"/>
        <v>763561</v>
      </c>
      <c r="L333" s="13">
        <v>16495083677</v>
      </c>
      <c r="M333" s="13">
        <v>22744876349</v>
      </c>
      <c r="N333" s="13">
        <f t="shared" si="52"/>
        <v>39239960026</v>
      </c>
      <c r="O333" s="13">
        <v>2496793482</v>
      </c>
      <c r="P333" s="13">
        <v>3082608775</v>
      </c>
      <c r="Q333" s="13">
        <f t="shared" si="53"/>
        <v>5579402257</v>
      </c>
      <c r="R333" s="13">
        <f t="shared" si="54"/>
        <v>18991877159</v>
      </c>
      <c r="S333" s="13">
        <f t="shared" si="55"/>
        <v>25827485124</v>
      </c>
      <c r="T333" s="14">
        <f t="shared" si="56"/>
        <v>44819362283</v>
      </c>
      <c r="U333">
        <v>94.778282419999996</v>
      </c>
      <c r="V333">
        <v>129.01505570699999</v>
      </c>
      <c r="W333" s="221">
        <f t="shared" si="33"/>
        <v>1.3612301511783398</v>
      </c>
      <c r="X333" s="236">
        <f t="shared" si="43"/>
        <v>12117777.19052222</v>
      </c>
      <c r="Y333" s="236">
        <f t="shared" si="44"/>
        <v>16709060.058147442</v>
      </c>
      <c r="Z333" s="236">
        <f t="shared" si="45"/>
        <v>28826837.248669662</v>
      </c>
      <c r="AA333" s="236">
        <f t="shared" si="46"/>
        <v>1834218.4676402204</v>
      </c>
      <c r="AB333" s="236">
        <f t="shared" si="47"/>
        <v>2264575.7385931835</v>
      </c>
      <c r="AC333" s="236">
        <f t="shared" si="48"/>
        <v>4098794.2062334041</v>
      </c>
      <c r="AD333" s="236">
        <f t="shared" si="49"/>
        <v>13951995.658162441</v>
      </c>
      <c r="AE333" s="236">
        <f t="shared" si="50"/>
        <v>18973635.796740625</v>
      </c>
      <c r="AF333" s="236">
        <f t="shared" si="51"/>
        <v>32925631.454903066</v>
      </c>
      <c r="AG333" s="236">
        <f t="shared" si="34"/>
        <v>16495083.676999999</v>
      </c>
      <c r="AH333" s="236">
        <f t="shared" si="35"/>
        <v>22744876.348999999</v>
      </c>
      <c r="AI333" s="236">
        <f t="shared" si="36"/>
        <v>39239960.026000001</v>
      </c>
      <c r="AJ333" s="236">
        <f t="shared" si="37"/>
        <v>2496793.4819999998</v>
      </c>
      <c r="AK333" s="236">
        <f t="shared" si="38"/>
        <v>3082608.7749999999</v>
      </c>
      <c r="AL333" s="236">
        <f t="shared" si="39"/>
        <v>5579402.2570000002</v>
      </c>
      <c r="AM333" s="236">
        <f t="shared" si="40"/>
        <v>18991877.159000002</v>
      </c>
      <c r="AN333" s="236">
        <f t="shared" si="41"/>
        <v>25827485.124000002</v>
      </c>
      <c r="AO333" s="236">
        <f t="shared" si="42"/>
        <v>44819362.283</v>
      </c>
    </row>
    <row r="334" spans="2:41" hidden="1" x14ac:dyDescent="0.25">
      <c r="B334" s="12">
        <v>42491</v>
      </c>
      <c r="C334" s="13">
        <v>295268</v>
      </c>
      <c r="D334" s="13">
        <v>407494</v>
      </c>
      <c r="E334" s="13">
        <f t="shared" si="58"/>
        <v>702762</v>
      </c>
      <c r="F334" s="13">
        <v>29498</v>
      </c>
      <c r="G334" s="13">
        <v>35521</v>
      </c>
      <c r="H334" s="13">
        <f t="shared" si="59"/>
        <v>65019</v>
      </c>
      <c r="I334" s="13">
        <f t="shared" si="60"/>
        <v>324766</v>
      </c>
      <c r="J334" s="13">
        <f t="shared" si="57"/>
        <v>443015</v>
      </c>
      <c r="K334" s="13">
        <f t="shared" si="57"/>
        <v>767781</v>
      </c>
      <c r="L334" s="13">
        <v>16761793857</v>
      </c>
      <c r="M334" s="13">
        <v>23151650998</v>
      </c>
      <c r="N334" s="13">
        <f t="shared" si="52"/>
        <v>39913444855</v>
      </c>
      <c r="O334" s="13">
        <v>2484643830</v>
      </c>
      <c r="P334" s="13">
        <v>3071492417</v>
      </c>
      <c r="Q334" s="13">
        <f t="shared" si="53"/>
        <v>5556136247</v>
      </c>
      <c r="R334" s="13">
        <f t="shared" si="54"/>
        <v>19246437687</v>
      </c>
      <c r="S334" s="13">
        <f t="shared" si="55"/>
        <v>26223143415</v>
      </c>
      <c r="T334" s="14">
        <f t="shared" si="56"/>
        <v>45469581102</v>
      </c>
      <c r="U334">
        <v>94.991013120000005</v>
      </c>
      <c r="V334">
        <v>129.01505570699999</v>
      </c>
      <c r="W334" s="221">
        <f t="shared" si="33"/>
        <v>1.3581817002416658</v>
      </c>
      <c r="X334" s="236">
        <f t="shared" si="43"/>
        <v>12341348.623691158</v>
      </c>
      <c r="Y334" s="236">
        <f t="shared" si="44"/>
        <v>17046063.125339229</v>
      </c>
      <c r="Z334" s="236">
        <f t="shared" si="45"/>
        <v>29387411.749030389</v>
      </c>
      <c r="AA334" s="236">
        <f t="shared" si="46"/>
        <v>1829389.85966156</v>
      </c>
      <c r="AB334" s="236">
        <f t="shared" si="47"/>
        <v>2261473.8635143433</v>
      </c>
      <c r="AC334" s="236">
        <f t="shared" si="48"/>
        <v>4090863.7231759033</v>
      </c>
      <c r="AD334" s="236">
        <f t="shared" si="49"/>
        <v>14170738.483352719</v>
      </c>
      <c r="AE334" s="236">
        <f t="shared" si="50"/>
        <v>19307536.988853574</v>
      </c>
      <c r="AF334" s="236">
        <f t="shared" si="51"/>
        <v>33478275.472206291</v>
      </c>
      <c r="AG334" s="236">
        <f t="shared" si="34"/>
        <v>16761793.857000001</v>
      </c>
      <c r="AH334" s="236">
        <f t="shared" si="35"/>
        <v>23151650.998</v>
      </c>
      <c r="AI334" s="236">
        <f t="shared" si="36"/>
        <v>39913444.854999997</v>
      </c>
      <c r="AJ334" s="236">
        <f t="shared" si="37"/>
        <v>2484643.83</v>
      </c>
      <c r="AK334" s="236">
        <f t="shared" si="38"/>
        <v>3071492.4169999999</v>
      </c>
      <c r="AL334" s="236">
        <f t="shared" si="39"/>
        <v>5556136.2470000004</v>
      </c>
      <c r="AM334" s="236">
        <f t="shared" si="40"/>
        <v>19246437.686999999</v>
      </c>
      <c r="AN334" s="236">
        <f t="shared" si="41"/>
        <v>26223143.414999999</v>
      </c>
      <c r="AO334" s="236">
        <f t="shared" si="42"/>
        <v>45469581.101999998</v>
      </c>
    </row>
    <row r="335" spans="2:41" hidden="1" x14ac:dyDescent="0.25">
      <c r="B335" s="12">
        <v>42522</v>
      </c>
      <c r="C335" s="13">
        <v>296574</v>
      </c>
      <c r="D335" s="13">
        <v>409023</v>
      </c>
      <c r="E335" s="13">
        <f t="shared" si="58"/>
        <v>705597</v>
      </c>
      <c r="F335" s="13">
        <v>29478</v>
      </c>
      <c r="G335" s="13">
        <v>35515</v>
      </c>
      <c r="H335" s="13">
        <f t="shared" si="59"/>
        <v>64993</v>
      </c>
      <c r="I335" s="13">
        <f t="shared" si="60"/>
        <v>326052</v>
      </c>
      <c r="J335" s="13">
        <f t="shared" si="57"/>
        <v>444538</v>
      </c>
      <c r="K335" s="13">
        <f t="shared" si="57"/>
        <v>770590</v>
      </c>
      <c r="L335" s="13">
        <v>16626167460</v>
      </c>
      <c r="M335" s="13">
        <v>22891099246</v>
      </c>
      <c r="N335" s="13">
        <f t="shared" si="52"/>
        <v>39517266706</v>
      </c>
      <c r="O335" s="13">
        <v>2479221224</v>
      </c>
      <c r="P335" s="13">
        <v>3064223888</v>
      </c>
      <c r="Q335" s="13">
        <f t="shared" si="53"/>
        <v>5543445112</v>
      </c>
      <c r="R335" s="13">
        <f t="shared" si="54"/>
        <v>19105388684</v>
      </c>
      <c r="S335" s="13">
        <f t="shared" si="55"/>
        <v>25955323134</v>
      </c>
      <c r="T335" s="14">
        <f t="shared" si="56"/>
        <v>45060711818</v>
      </c>
      <c r="U335">
        <v>95.418256529999994</v>
      </c>
      <c r="V335">
        <v>129.01505570699999</v>
      </c>
      <c r="W335" s="221">
        <f t="shared" si="33"/>
        <v>1.3521003254386332</v>
      </c>
      <c r="X335" s="236">
        <f t="shared" si="43"/>
        <v>12296548.671124922</v>
      </c>
      <c r="Y335" s="236">
        <f t="shared" si="44"/>
        <v>16930030.128181446</v>
      </c>
      <c r="Z335" s="236">
        <f t="shared" si="45"/>
        <v>29226578.79930637</v>
      </c>
      <c r="AA335" s="236">
        <f t="shared" si="46"/>
        <v>1833607.4456573471</v>
      </c>
      <c r="AB335" s="236">
        <f t="shared" si="47"/>
        <v>2266269.6179781919</v>
      </c>
      <c r="AC335" s="236">
        <f t="shared" si="48"/>
        <v>4099877.0636355388</v>
      </c>
      <c r="AD335" s="236">
        <f t="shared" si="49"/>
        <v>14130156.116782269</v>
      </c>
      <c r="AE335" s="236">
        <f t="shared" si="50"/>
        <v>19196299.746159639</v>
      </c>
      <c r="AF335" s="236">
        <f t="shared" si="51"/>
        <v>33326455.862941906</v>
      </c>
      <c r="AG335" s="236">
        <f t="shared" si="34"/>
        <v>16626167.460000001</v>
      </c>
      <c r="AH335" s="236">
        <f t="shared" si="35"/>
        <v>22891099.245999999</v>
      </c>
      <c r="AI335" s="236">
        <f t="shared" si="36"/>
        <v>39517266.706</v>
      </c>
      <c r="AJ335" s="236">
        <f t="shared" si="37"/>
        <v>2479221.2239999999</v>
      </c>
      <c r="AK335" s="236">
        <f t="shared" si="38"/>
        <v>3064223.8879999998</v>
      </c>
      <c r="AL335" s="236">
        <f t="shared" si="39"/>
        <v>5543445.1119999997</v>
      </c>
      <c r="AM335" s="236">
        <f t="shared" si="40"/>
        <v>19105388.684</v>
      </c>
      <c r="AN335" s="236">
        <f t="shared" si="41"/>
        <v>25955323.134</v>
      </c>
      <c r="AO335" s="236">
        <f t="shared" si="42"/>
        <v>45060711.818000004</v>
      </c>
    </row>
    <row r="336" spans="2:41" hidden="1" x14ac:dyDescent="0.25">
      <c r="B336" s="12">
        <v>42552</v>
      </c>
      <c r="C336" s="13">
        <v>298366</v>
      </c>
      <c r="D336" s="13">
        <v>409755</v>
      </c>
      <c r="E336" s="13">
        <f t="shared" si="58"/>
        <v>708121</v>
      </c>
      <c r="F336" s="13">
        <v>29434</v>
      </c>
      <c r="G336" s="13">
        <v>35484</v>
      </c>
      <c r="H336" s="13">
        <f t="shared" si="59"/>
        <v>64918</v>
      </c>
      <c r="I336" s="13">
        <f t="shared" si="60"/>
        <v>327800</v>
      </c>
      <c r="J336" s="13">
        <f t="shared" si="57"/>
        <v>445239</v>
      </c>
      <c r="K336" s="13">
        <f t="shared" si="57"/>
        <v>773039</v>
      </c>
      <c r="L336" s="13">
        <v>17844580951</v>
      </c>
      <c r="M336" s="13">
        <v>24588525248</v>
      </c>
      <c r="N336" s="13">
        <f t="shared" si="52"/>
        <v>42433106199</v>
      </c>
      <c r="O336" s="13">
        <v>2595310706</v>
      </c>
      <c r="P336" s="13">
        <v>3195549461</v>
      </c>
      <c r="Q336" s="13">
        <f t="shared" si="53"/>
        <v>5790860167</v>
      </c>
      <c r="R336" s="13">
        <f t="shared" si="54"/>
        <v>20439891657</v>
      </c>
      <c r="S336" s="13">
        <f t="shared" si="55"/>
        <v>27784074709</v>
      </c>
      <c r="T336" s="14">
        <f t="shared" si="56"/>
        <v>48223966366</v>
      </c>
      <c r="U336">
        <v>95.649096819999997</v>
      </c>
      <c r="V336">
        <v>129.01505570699999</v>
      </c>
      <c r="W336" s="221">
        <f t="shared" si="33"/>
        <v>1.3488371557735739</v>
      </c>
      <c r="X336" s="236">
        <f t="shared" si="43"/>
        <v>13229603.643863091</v>
      </c>
      <c r="Y336" s="236">
        <f t="shared" si="44"/>
        <v>18229424.614195324</v>
      </c>
      <c r="Z336" s="236">
        <f t="shared" si="45"/>
        <v>31459028.258058414</v>
      </c>
      <c r="AA336" s="236">
        <f t="shared" si="46"/>
        <v>1924109.7377033322</v>
      </c>
      <c r="AB336" s="236">
        <f t="shared" si="47"/>
        <v>2369114.3495875266</v>
      </c>
      <c r="AC336" s="236">
        <f t="shared" si="48"/>
        <v>4293224.0872908588</v>
      </c>
      <c r="AD336" s="236">
        <f t="shared" si="49"/>
        <v>15153713.381566424</v>
      </c>
      <c r="AE336" s="236">
        <f t="shared" si="50"/>
        <v>20598538.963782851</v>
      </c>
      <c r="AF336" s="236">
        <f t="shared" si="51"/>
        <v>35752252.345349275</v>
      </c>
      <c r="AG336" s="236">
        <f t="shared" si="34"/>
        <v>17844580.951000001</v>
      </c>
      <c r="AH336" s="236">
        <f t="shared" si="35"/>
        <v>24588525.248</v>
      </c>
      <c r="AI336" s="236">
        <f t="shared" si="36"/>
        <v>42433106.199000001</v>
      </c>
      <c r="AJ336" s="236">
        <f t="shared" si="37"/>
        <v>2595310.7059999998</v>
      </c>
      <c r="AK336" s="236">
        <f t="shared" si="38"/>
        <v>3195549.4610000001</v>
      </c>
      <c r="AL336" s="236">
        <f t="shared" si="39"/>
        <v>5790860.1670000004</v>
      </c>
      <c r="AM336" s="236">
        <f t="shared" si="40"/>
        <v>20439891.657000002</v>
      </c>
      <c r="AN336" s="236">
        <f t="shared" si="41"/>
        <v>27784074.708999999</v>
      </c>
      <c r="AO336" s="236">
        <f t="shared" si="42"/>
        <v>48223966.365999997</v>
      </c>
    </row>
    <row r="337" spans="2:41" hidden="1" x14ac:dyDescent="0.25">
      <c r="B337" s="12">
        <v>42583</v>
      </c>
      <c r="C337" s="13">
        <v>299699</v>
      </c>
      <c r="D337" s="13">
        <v>411971</v>
      </c>
      <c r="E337" s="13">
        <f t="shared" si="58"/>
        <v>711670</v>
      </c>
      <c r="F337" s="13">
        <v>29404</v>
      </c>
      <c r="G337" s="13">
        <v>35469</v>
      </c>
      <c r="H337" s="13">
        <f t="shared" si="59"/>
        <v>64873</v>
      </c>
      <c r="I337" s="13">
        <f t="shared" si="60"/>
        <v>329103</v>
      </c>
      <c r="J337" s="13">
        <f t="shared" si="57"/>
        <v>447440</v>
      </c>
      <c r="K337" s="13">
        <f t="shared" si="57"/>
        <v>776543</v>
      </c>
      <c r="L337" s="13">
        <v>17975217673</v>
      </c>
      <c r="M337" s="13">
        <v>24867925235</v>
      </c>
      <c r="N337" s="13">
        <f t="shared" si="52"/>
        <v>42843142908</v>
      </c>
      <c r="O337" s="13">
        <v>2586263131</v>
      </c>
      <c r="P337" s="13">
        <v>3192667899</v>
      </c>
      <c r="Q337" s="13">
        <f t="shared" si="53"/>
        <v>5778931030</v>
      </c>
      <c r="R337" s="13">
        <f t="shared" si="54"/>
        <v>20561480804</v>
      </c>
      <c r="S337" s="13">
        <f t="shared" si="55"/>
        <v>28060593134</v>
      </c>
      <c r="T337" s="14">
        <f t="shared" si="56"/>
        <v>48622073938</v>
      </c>
      <c r="U337">
        <v>95.695814540000001</v>
      </c>
      <c r="V337">
        <v>129.01505570699999</v>
      </c>
      <c r="W337" s="221">
        <f t="shared" si="33"/>
        <v>1.3481786672401732</v>
      </c>
      <c r="X337" s="236">
        <f t="shared" si="43"/>
        <v>13332964.027532546</v>
      </c>
      <c r="Y337" s="236">
        <f t="shared" si="44"/>
        <v>18445570.931563977</v>
      </c>
      <c r="Z337" s="236">
        <f t="shared" si="45"/>
        <v>31778534.959096521</v>
      </c>
      <c r="AA337" s="236">
        <f t="shared" si="46"/>
        <v>1918338.565832882</v>
      </c>
      <c r="AB337" s="236">
        <f t="shared" si="47"/>
        <v>2368134.1179620055</v>
      </c>
      <c r="AC337" s="236">
        <f t="shared" si="48"/>
        <v>4286472.6837948877</v>
      </c>
      <c r="AD337" s="236">
        <f t="shared" si="49"/>
        <v>15251302.593365427</v>
      </c>
      <c r="AE337" s="236">
        <f t="shared" si="50"/>
        <v>20813705.049525984</v>
      </c>
      <c r="AF337" s="236">
        <f t="shared" si="51"/>
        <v>36065007.642891414</v>
      </c>
      <c r="AG337" s="236">
        <f t="shared" si="34"/>
        <v>17975217.673</v>
      </c>
      <c r="AH337" s="236">
        <f t="shared" si="35"/>
        <v>24867925.234999999</v>
      </c>
      <c r="AI337" s="236">
        <f t="shared" si="36"/>
        <v>42843142.908</v>
      </c>
      <c r="AJ337" s="236">
        <f t="shared" si="37"/>
        <v>2586263.1310000001</v>
      </c>
      <c r="AK337" s="236">
        <f t="shared" si="38"/>
        <v>3192667.8990000002</v>
      </c>
      <c r="AL337" s="236">
        <f t="shared" si="39"/>
        <v>5778931.0300000003</v>
      </c>
      <c r="AM337" s="236">
        <f t="shared" si="40"/>
        <v>20561480.804000001</v>
      </c>
      <c r="AN337" s="236">
        <f t="shared" si="41"/>
        <v>28060593.134</v>
      </c>
      <c r="AO337" s="236">
        <f t="shared" si="42"/>
        <v>48622073.938000001</v>
      </c>
    </row>
    <row r="338" spans="2:41" hidden="1" x14ac:dyDescent="0.25">
      <c r="B338" s="12">
        <v>42614</v>
      </c>
      <c r="C338" s="13">
        <v>300890</v>
      </c>
      <c r="D338" s="13">
        <v>413826</v>
      </c>
      <c r="E338" s="13">
        <f t="shared" si="58"/>
        <v>714716</v>
      </c>
      <c r="F338" s="13">
        <v>29305</v>
      </c>
      <c r="G338" s="13">
        <v>35378</v>
      </c>
      <c r="H338" s="13">
        <f t="shared" si="59"/>
        <v>64683</v>
      </c>
      <c r="I338" s="13">
        <f t="shared" si="60"/>
        <v>330195</v>
      </c>
      <c r="J338" s="13">
        <f t="shared" si="57"/>
        <v>449204</v>
      </c>
      <c r="K338" s="13">
        <f t="shared" si="57"/>
        <v>779399</v>
      </c>
      <c r="L338" s="13">
        <v>18029193178</v>
      </c>
      <c r="M338" s="13">
        <v>25033986456</v>
      </c>
      <c r="N338" s="13">
        <f t="shared" si="52"/>
        <v>43063179634</v>
      </c>
      <c r="O338" s="13">
        <v>2573433933</v>
      </c>
      <c r="P338" s="13">
        <v>3175030485</v>
      </c>
      <c r="Q338" s="13">
        <f t="shared" si="53"/>
        <v>5748464418</v>
      </c>
      <c r="R338" s="13">
        <f t="shared" si="54"/>
        <v>20602627111</v>
      </c>
      <c r="S338" s="13">
        <f t="shared" si="55"/>
        <v>28209016941</v>
      </c>
      <c r="T338" s="14">
        <f t="shared" si="56"/>
        <v>48811644052</v>
      </c>
      <c r="U338">
        <v>95.928713310000006</v>
      </c>
      <c r="V338">
        <v>129.01505570699999</v>
      </c>
      <c r="W338" s="221">
        <f t="shared" si="33"/>
        <v>1.344905516350243</v>
      </c>
      <c r="X338" s="236">
        <f t="shared" si="43"/>
        <v>13405546.307020128</v>
      </c>
      <c r="Y338" s="236">
        <f t="shared" si="44"/>
        <v>18613936.928399511</v>
      </c>
      <c r="Z338" s="236">
        <f t="shared" si="45"/>
        <v>32019483.235419638</v>
      </c>
      <c r="AA338" s="236">
        <f t="shared" si="46"/>
        <v>1913468.1966237256</v>
      </c>
      <c r="AB338" s="236">
        <f t="shared" si="47"/>
        <v>2360783.3014294459</v>
      </c>
      <c r="AC338" s="236">
        <f t="shared" si="48"/>
        <v>4274251.4980531707</v>
      </c>
      <c r="AD338" s="236">
        <f t="shared" si="49"/>
        <v>15319014.503643854</v>
      </c>
      <c r="AE338" s="236">
        <f t="shared" si="50"/>
        <v>20974720.229828957</v>
      </c>
      <c r="AF338" s="236">
        <f t="shared" si="51"/>
        <v>36293734.733472809</v>
      </c>
      <c r="AG338" s="236">
        <f t="shared" si="34"/>
        <v>18029193.177999999</v>
      </c>
      <c r="AH338" s="236">
        <f t="shared" si="35"/>
        <v>25033986.456</v>
      </c>
      <c r="AI338" s="236">
        <f t="shared" si="36"/>
        <v>43063179.634000003</v>
      </c>
      <c r="AJ338" s="236">
        <f t="shared" si="37"/>
        <v>2573433.9330000002</v>
      </c>
      <c r="AK338" s="236">
        <f t="shared" si="38"/>
        <v>3175030.4849999999</v>
      </c>
      <c r="AL338" s="236">
        <f t="shared" si="39"/>
        <v>5748464.4179999996</v>
      </c>
      <c r="AM338" s="236">
        <f t="shared" si="40"/>
        <v>20602627.111000001</v>
      </c>
      <c r="AN338" s="236">
        <f t="shared" si="41"/>
        <v>28209016.941</v>
      </c>
      <c r="AO338" s="236">
        <f t="shared" si="42"/>
        <v>48811644.052000001</v>
      </c>
    </row>
    <row r="339" spans="2:41" hidden="1" x14ac:dyDescent="0.25">
      <c r="B339" s="12">
        <v>42644</v>
      </c>
      <c r="C339" s="13">
        <v>302315</v>
      </c>
      <c r="D339" s="13">
        <v>415563</v>
      </c>
      <c r="E339" s="13">
        <f t="shared" si="58"/>
        <v>717878</v>
      </c>
      <c r="F339" s="13">
        <v>29264</v>
      </c>
      <c r="G339" s="13">
        <v>35331</v>
      </c>
      <c r="H339" s="13">
        <f t="shared" si="59"/>
        <v>64595</v>
      </c>
      <c r="I339" s="13">
        <f t="shared" si="60"/>
        <v>331579</v>
      </c>
      <c r="J339" s="13">
        <f t="shared" si="57"/>
        <v>450894</v>
      </c>
      <c r="K339" s="13">
        <f t="shared" si="57"/>
        <v>782473</v>
      </c>
      <c r="L339" s="13">
        <v>18068775129</v>
      </c>
      <c r="M339" s="13">
        <v>25096386040</v>
      </c>
      <c r="N339" s="13">
        <f t="shared" si="52"/>
        <v>43165161169</v>
      </c>
      <c r="O339" s="13">
        <v>2567636250</v>
      </c>
      <c r="P339" s="13">
        <v>3174256344</v>
      </c>
      <c r="Q339" s="13">
        <f t="shared" si="53"/>
        <v>5741892594</v>
      </c>
      <c r="R339" s="13">
        <f t="shared" si="54"/>
        <v>20636411379</v>
      </c>
      <c r="S339" s="13">
        <f t="shared" si="55"/>
        <v>28270642384</v>
      </c>
      <c r="T339" s="14">
        <f t="shared" si="56"/>
        <v>48907053763</v>
      </c>
      <c r="U339">
        <v>96.087759489999996</v>
      </c>
      <c r="V339">
        <v>129.01505570699999</v>
      </c>
      <c r="W339" s="221">
        <f t="shared" si="33"/>
        <v>1.3426794046584756</v>
      </c>
      <c r="X339" s="236">
        <f t="shared" ref="X339:X370" si="61">+L339/$W339/$AA$238</f>
        <v>13457252.018843604</v>
      </c>
      <c r="Y339" s="236">
        <f t="shared" ref="Y339:Y370" si="62">+M339/$W339/$AA$238</f>
        <v>18691272.058636758</v>
      </c>
      <c r="Z339" s="236">
        <f t="shared" ref="Z339:Z370" si="63">+N339/$W339/$AA$238</f>
        <v>32148524.077480361</v>
      </c>
      <c r="AA339" s="236">
        <f t="shared" ref="AA339:AA370" si="64">+O339/$W339/$AA$238</f>
        <v>1912322.6595205762</v>
      </c>
      <c r="AB339" s="236">
        <f t="shared" ref="AB339:AB370" si="65">+P339/$W339/$AA$238</f>
        <v>2364120.8266000068</v>
      </c>
      <c r="AC339" s="236">
        <f t="shared" ref="AC339:AC370" si="66">+Q339/$W339/$AA$238</f>
        <v>4276443.4861205835</v>
      </c>
      <c r="AD339" s="236">
        <f t="shared" ref="AD339:AD370" si="67">+R339/$W339/$AA$238</f>
        <v>15369574.678364182</v>
      </c>
      <c r="AE339" s="236">
        <f t="shared" ref="AE339:AE370" si="68">+S339/$W339/$AA$238</f>
        <v>21055392.885236762</v>
      </c>
      <c r="AF339" s="236">
        <f t="shared" ref="AF339:AF370" si="69">+T339/$W339/$AA$238</f>
        <v>36424967.563600942</v>
      </c>
      <c r="AG339" s="236">
        <f t="shared" si="34"/>
        <v>18068775.129000001</v>
      </c>
      <c r="AH339" s="236">
        <f t="shared" si="35"/>
        <v>25096386.039999999</v>
      </c>
      <c r="AI339" s="236">
        <f t="shared" si="36"/>
        <v>43165161.169</v>
      </c>
      <c r="AJ339" s="236">
        <f t="shared" si="37"/>
        <v>2567636.25</v>
      </c>
      <c r="AK339" s="236">
        <f t="shared" si="38"/>
        <v>3174256.344</v>
      </c>
      <c r="AL339" s="236">
        <f t="shared" si="39"/>
        <v>5741892.5939999996</v>
      </c>
      <c r="AM339" s="236">
        <f t="shared" si="40"/>
        <v>20636411.379000001</v>
      </c>
      <c r="AN339" s="236">
        <f t="shared" si="41"/>
        <v>28270642.384</v>
      </c>
      <c r="AO339" s="236">
        <f t="shared" si="42"/>
        <v>48907053.762999997</v>
      </c>
    </row>
    <row r="340" spans="2:41" hidden="1" x14ac:dyDescent="0.25">
      <c r="B340" s="12">
        <v>42675</v>
      </c>
      <c r="C340" s="13">
        <v>304146</v>
      </c>
      <c r="D340" s="13">
        <v>418973</v>
      </c>
      <c r="E340" s="13">
        <f t="shared" si="58"/>
        <v>723119</v>
      </c>
      <c r="F340" s="13">
        <v>29235</v>
      </c>
      <c r="G340" s="13">
        <v>35297</v>
      </c>
      <c r="H340" s="13">
        <f t="shared" si="59"/>
        <v>64532</v>
      </c>
      <c r="I340" s="13">
        <f t="shared" si="60"/>
        <v>333381</v>
      </c>
      <c r="J340" s="13">
        <f t="shared" si="57"/>
        <v>454270</v>
      </c>
      <c r="K340" s="13">
        <f t="shared" si="57"/>
        <v>787651</v>
      </c>
      <c r="L340" s="13">
        <v>18306691760</v>
      </c>
      <c r="M340" s="13">
        <v>25579163465</v>
      </c>
      <c r="N340" s="13">
        <f t="shared" si="52"/>
        <v>43885855225</v>
      </c>
      <c r="O340" s="13">
        <v>2564748517</v>
      </c>
      <c r="P340" s="13">
        <v>3174145174</v>
      </c>
      <c r="Q340" s="13">
        <f t="shared" si="53"/>
        <v>5738893691</v>
      </c>
      <c r="R340" s="13">
        <f t="shared" si="54"/>
        <v>20871440277</v>
      </c>
      <c r="S340" s="13">
        <f t="shared" si="55"/>
        <v>28753308639</v>
      </c>
      <c r="T340" s="14">
        <f t="shared" si="56"/>
        <v>49624748916</v>
      </c>
      <c r="U340">
        <v>96.139417210000005</v>
      </c>
      <c r="V340">
        <v>129.01505570699999</v>
      </c>
      <c r="W340" s="221">
        <f t="shared" si="33"/>
        <v>1.3419579549269454</v>
      </c>
      <c r="X340" s="236">
        <f t="shared" si="61"/>
        <v>13641777.443762457</v>
      </c>
      <c r="Y340" s="236">
        <f t="shared" si="62"/>
        <v>19061076.668674394</v>
      </c>
      <c r="Z340" s="236">
        <f t="shared" si="63"/>
        <v>32702854.112436853</v>
      </c>
      <c r="AA340" s="236">
        <f t="shared" si="64"/>
        <v>1911198.8625154966</v>
      </c>
      <c r="AB340" s="236">
        <f t="shared" si="65"/>
        <v>2365308.959454543</v>
      </c>
      <c r="AC340" s="236">
        <f t="shared" si="66"/>
        <v>4276507.82197004</v>
      </c>
      <c r="AD340" s="236">
        <f t="shared" si="67"/>
        <v>15552976.306277955</v>
      </c>
      <c r="AE340" s="236">
        <f t="shared" si="68"/>
        <v>21426385.628128938</v>
      </c>
      <c r="AF340" s="236">
        <f t="shared" si="69"/>
        <v>36979361.934406891</v>
      </c>
      <c r="AG340" s="236">
        <f t="shared" si="34"/>
        <v>18306691.760000002</v>
      </c>
      <c r="AH340" s="236">
        <f t="shared" si="35"/>
        <v>25579163.465</v>
      </c>
      <c r="AI340" s="236">
        <f t="shared" si="36"/>
        <v>43885855.225000001</v>
      </c>
      <c r="AJ340" s="236">
        <f t="shared" si="37"/>
        <v>2564748.517</v>
      </c>
      <c r="AK340" s="236">
        <f t="shared" si="38"/>
        <v>3174145.1740000001</v>
      </c>
      <c r="AL340" s="236">
        <f t="shared" si="39"/>
        <v>5738893.6909999996</v>
      </c>
      <c r="AM340" s="236">
        <f t="shared" si="40"/>
        <v>20871440.276999999</v>
      </c>
      <c r="AN340" s="236">
        <f t="shared" si="41"/>
        <v>28753308.638999999</v>
      </c>
      <c r="AO340" s="236">
        <f t="shared" si="42"/>
        <v>49624748.916000001</v>
      </c>
    </row>
    <row r="341" spans="2:41" hidden="1" x14ac:dyDescent="0.25">
      <c r="B341" s="15">
        <v>42705</v>
      </c>
      <c r="C341" s="16">
        <v>305119</v>
      </c>
      <c r="D341" s="16">
        <v>420635</v>
      </c>
      <c r="E341" s="16">
        <f t="shared" si="58"/>
        <v>725754</v>
      </c>
      <c r="F341" s="16">
        <v>29476</v>
      </c>
      <c r="G341" s="16">
        <v>35407</v>
      </c>
      <c r="H341" s="16">
        <f t="shared" si="59"/>
        <v>64883</v>
      </c>
      <c r="I341" s="17">
        <f t="shared" si="60"/>
        <v>334595</v>
      </c>
      <c r="J341" s="17">
        <f t="shared" si="57"/>
        <v>456042</v>
      </c>
      <c r="K341" s="17">
        <f t="shared" si="57"/>
        <v>790637</v>
      </c>
      <c r="L341" s="16">
        <v>18209781609</v>
      </c>
      <c r="M341" s="16">
        <v>25463423947</v>
      </c>
      <c r="N341" s="16">
        <f t="shared" si="52"/>
        <v>43673205556</v>
      </c>
      <c r="O341" s="16">
        <v>2584181940</v>
      </c>
      <c r="P341" s="16">
        <v>3175970482</v>
      </c>
      <c r="Q341" s="16">
        <f t="shared" si="53"/>
        <v>5760152422</v>
      </c>
      <c r="R341" s="16">
        <f t="shared" si="54"/>
        <v>20793963549</v>
      </c>
      <c r="S341" s="16">
        <f t="shared" si="55"/>
        <v>28639394429</v>
      </c>
      <c r="T341" s="16">
        <f t="shared" si="56"/>
        <v>49433357978</v>
      </c>
      <c r="U341">
        <v>95.943074190000004</v>
      </c>
      <c r="V341">
        <v>129.01505570699999</v>
      </c>
      <c r="W341" s="221">
        <f t="shared" si="33"/>
        <v>1.3447042092012413</v>
      </c>
      <c r="X341" s="236">
        <f t="shared" si="61"/>
        <v>13541849.192110932</v>
      </c>
      <c r="Y341" s="236">
        <f t="shared" si="62"/>
        <v>18936078.114997022</v>
      </c>
      <c r="Z341" s="236">
        <f t="shared" si="63"/>
        <v>32477927.307107951</v>
      </c>
      <c r="AA341" s="236">
        <f t="shared" si="64"/>
        <v>1921747.4908738572</v>
      </c>
      <c r="AB341" s="236">
        <f t="shared" si="65"/>
        <v>2361835.7556019975</v>
      </c>
      <c r="AC341" s="236">
        <f t="shared" si="66"/>
        <v>4283583.246475854</v>
      </c>
      <c r="AD341" s="236">
        <f t="shared" si="67"/>
        <v>15463596.682984788</v>
      </c>
      <c r="AE341" s="236">
        <f t="shared" si="68"/>
        <v>21297913.870599017</v>
      </c>
      <c r="AF341" s="236">
        <f t="shared" si="69"/>
        <v>36761510.553583808</v>
      </c>
      <c r="AG341" s="236">
        <f t="shared" si="34"/>
        <v>18209781.609000001</v>
      </c>
      <c r="AH341" s="236">
        <f t="shared" si="35"/>
        <v>25463423.947000001</v>
      </c>
      <c r="AI341" s="236">
        <f t="shared" si="36"/>
        <v>43673205.556000002</v>
      </c>
      <c r="AJ341" s="236">
        <f t="shared" si="37"/>
        <v>2584181.94</v>
      </c>
      <c r="AK341" s="236">
        <f t="shared" si="38"/>
        <v>3175970.4819999998</v>
      </c>
      <c r="AL341" s="236">
        <f t="shared" si="39"/>
        <v>5760152.4220000003</v>
      </c>
      <c r="AM341" s="236">
        <f t="shared" si="40"/>
        <v>20793963.548999999</v>
      </c>
      <c r="AN341" s="236">
        <f t="shared" si="41"/>
        <v>28639394.429000001</v>
      </c>
      <c r="AO341" s="236">
        <f t="shared" si="42"/>
        <v>49433357.978</v>
      </c>
    </row>
    <row r="342" spans="2:41" hidden="1" x14ac:dyDescent="0.25">
      <c r="B342" s="12">
        <v>42736</v>
      </c>
      <c r="C342" s="13">
        <v>306164</v>
      </c>
      <c r="D342" s="13">
        <v>422492</v>
      </c>
      <c r="E342" s="13">
        <v>728656</v>
      </c>
      <c r="F342" s="13">
        <v>29465</v>
      </c>
      <c r="G342" s="13">
        <v>35386</v>
      </c>
      <c r="H342" s="13">
        <v>64851</v>
      </c>
      <c r="I342" s="13">
        <v>335629</v>
      </c>
      <c r="J342" s="13">
        <v>457878</v>
      </c>
      <c r="K342" s="13">
        <v>793507</v>
      </c>
      <c r="L342" s="13">
        <v>20062643259</v>
      </c>
      <c r="M342" s="13">
        <v>28092849913</v>
      </c>
      <c r="N342" s="13">
        <f t="shared" si="52"/>
        <v>48155493172</v>
      </c>
      <c r="O342" s="13">
        <v>2863941809</v>
      </c>
      <c r="P342" s="13">
        <v>3510119871</v>
      </c>
      <c r="Q342" s="13">
        <f t="shared" si="53"/>
        <v>6374061680</v>
      </c>
      <c r="R342" s="13">
        <f t="shared" si="54"/>
        <v>22926585068</v>
      </c>
      <c r="S342" s="13">
        <f t="shared" si="55"/>
        <v>31602969784</v>
      </c>
      <c r="T342" s="14">
        <f t="shared" si="56"/>
        <v>54529554852</v>
      </c>
      <c r="U342">
        <v>96.461260159999995</v>
      </c>
      <c r="V342">
        <v>129.01505570699999</v>
      </c>
      <c r="W342" s="221">
        <f t="shared" si="33"/>
        <v>1.3374805128297425</v>
      </c>
      <c r="X342" s="236">
        <f t="shared" si="61"/>
        <v>15000325.661981378</v>
      </c>
      <c r="Y342" s="236">
        <f t="shared" si="62"/>
        <v>21004305.964475866</v>
      </c>
      <c r="Z342" s="236">
        <f t="shared" si="63"/>
        <v>36004631.626457244</v>
      </c>
      <c r="AA342" s="236">
        <f t="shared" si="64"/>
        <v>2141296.1022816575</v>
      </c>
      <c r="AB342" s="236">
        <f t="shared" si="65"/>
        <v>2624426.9260967006</v>
      </c>
      <c r="AC342" s="236">
        <f t="shared" si="66"/>
        <v>4765723.028378359</v>
      </c>
      <c r="AD342" s="236">
        <f t="shared" si="67"/>
        <v>17141621.764263038</v>
      </c>
      <c r="AE342" s="236">
        <f t="shared" si="68"/>
        <v>23628732.890572567</v>
      </c>
      <c r="AF342" s="236">
        <f t="shared" si="69"/>
        <v>40770354.654835604</v>
      </c>
      <c r="AG342" s="236">
        <f t="shared" si="34"/>
        <v>20062643.259</v>
      </c>
      <c r="AH342" s="236">
        <f t="shared" si="35"/>
        <v>28092849.912999999</v>
      </c>
      <c r="AI342" s="236">
        <f t="shared" si="36"/>
        <v>48155493.171999998</v>
      </c>
      <c r="AJ342" s="236">
        <f t="shared" si="37"/>
        <v>2863941.8089999999</v>
      </c>
      <c r="AK342" s="236">
        <f t="shared" si="38"/>
        <v>3510119.8709999998</v>
      </c>
      <c r="AL342" s="236">
        <f t="shared" si="39"/>
        <v>6374061.6799999997</v>
      </c>
      <c r="AM342" s="236">
        <f t="shared" si="40"/>
        <v>22926585.068</v>
      </c>
      <c r="AN342" s="236">
        <f t="shared" si="41"/>
        <v>31602969.784000002</v>
      </c>
      <c r="AO342" s="236">
        <f t="shared" si="42"/>
        <v>54529554.851999998</v>
      </c>
    </row>
    <row r="343" spans="2:41" hidden="1" x14ac:dyDescent="0.25">
      <c r="B343" s="12">
        <v>42767</v>
      </c>
      <c r="C343" s="13">
        <v>306699</v>
      </c>
      <c r="D343" s="13">
        <v>424127</v>
      </c>
      <c r="E343" s="13">
        <v>730826</v>
      </c>
      <c r="F343" s="13">
        <v>29378</v>
      </c>
      <c r="G343" s="13">
        <v>35320</v>
      </c>
      <c r="H343" s="13">
        <v>64698</v>
      </c>
      <c r="I343" s="13">
        <v>336077</v>
      </c>
      <c r="J343" s="13">
        <v>459447</v>
      </c>
      <c r="K343" s="13">
        <v>795524</v>
      </c>
      <c r="L343" s="13">
        <v>20023786872</v>
      </c>
      <c r="M343" s="13">
        <v>27978911712</v>
      </c>
      <c r="N343" s="13">
        <f t="shared" si="52"/>
        <v>48002698584</v>
      </c>
      <c r="O343" s="13">
        <v>2851866179</v>
      </c>
      <c r="P343" s="13">
        <v>3504848284</v>
      </c>
      <c r="Q343" s="13">
        <f t="shared" si="53"/>
        <v>6356714463</v>
      </c>
      <c r="R343" s="13">
        <f t="shared" si="54"/>
        <v>22875653051</v>
      </c>
      <c r="S343" s="13">
        <f t="shared" si="55"/>
        <v>31483759996</v>
      </c>
      <c r="T343" s="14">
        <f t="shared" si="56"/>
        <v>54359413047</v>
      </c>
      <c r="U343">
        <v>96.692182329999994</v>
      </c>
      <c r="V343">
        <v>129.01505570699999</v>
      </c>
      <c r="W343" s="221">
        <f t="shared" si="33"/>
        <v>1.3342863155853233</v>
      </c>
      <c r="X343" s="236">
        <f t="shared" si="61"/>
        <v>15007114.019014718</v>
      </c>
      <c r="Y343" s="236">
        <f t="shared" si="62"/>
        <v>20969196.330044232</v>
      </c>
      <c r="Z343" s="236">
        <f t="shared" si="63"/>
        <v>35976310.349058941</v>
      </c>
      <c r="AA343" s="236">
        <f t="shared" si="64"/>
        <v>2137371.976080671</v>
      </c>
      <c r="AB343" s="236">
        <f t="shared" si="65"/>
        <v>2626758.7721324242</v>
      </c>
      <c r="AC343" s="236">
        <f t="shared" si="66"/>
        <v>4764130.7482130947</v>
      </c>
      <c r="AD343" s="236">
        <f t="shared" si="67"/>
        <v>17144485.995095387</v>
      </c>
      <c r="AE343" s="236">
        <f t="shared" si="68"/>
        <v>23595955.102176655</v>
      </c>
      <c r="AF343" s="236">
        <f t="shared" si="69"/>
        <v>40740441.097272038</v>
      </c>
      <c r="AG343" s="236">
        <f t="shared" si="34"/>
        <v>20023786.872000001</v>
      </c>
      <c r="AH343" s="236">
        <f t="shared" si="35"/>
        <v>27978911.712000001</v>
      </c>
      <c r="AI343" s="236">
        <f t="shared" si="36"/>
        <v>48002698.583999999</v>
      </c>
      <c r="AJ343" s="236">
        <f t="shared" si="37"/>
        <v>2851866.179</v>
      </c>
      <c r="AK343" s="236">
        <f t="shared" si="38"/>
        <v>3504848.284</v>
      </c>
      <c r="AL343" s="236">
        <f t="shared" si="39"/>
        <v>6356714.4630000005</v>
      </c>
      <c r="AM343" s="236">
        <f t="shared" si="40"/>
        <v>22875653.050999999</v>
      </c>
      <c r="AN343" s="236">
        <f t="shared" si="41"/>
        <v>31483759.995999999</v>
      </c>
      <c r="AO343" s="236">
        <f t="shared" si="42"/>
        <v>54359413.046999998</v>
      </c>
    </row>
    <row r="344" spans="2:41" hidden="1" x14ac:dyDescent="0.25">
      <c r="B344" s="12">
        <v>42795</v>
      </c>
      <c r="C344" s="13">
        <v>308300</v>
      </c>
      <c r="D344" s="13">
        <v>424388</v>
      </c>
      <c r="E344" s="13">
        <v>732688</v>
      </c>
      <c r="F344" s="13">
        <v>29336</v>
      </c>
      <c r="G344" s="13">
        <v>35219</v>
      </c>
      <c r="H344" s="13">
        <v>64555</v>
      </c>
      <c r="I344" s="13">
        <v>337636</v>
      </c>
      <c r="J344" s="13">
        <v>459607</v>
      </c>
      <c r="K344" s="13">
        <v>797243</v>
      </c>
      <c r="L344" s="13">
        <v>20054637783</v>
      </c>
      <c r="M344" s="13">
        <v>27879944389</v>
      </c>
      <c r="N344" s="13">
        <f t="shared" si="52"/>
        <v>47934582172</v>
      </c>
      <c r="O344" s="13">
        <v>2844920296</v>
      </c>
      <c r="P344" s="13">
        <v>3489106291</v>
      </c>
      <c r="Q344" s="13">
        <f t="shared" si="53"/>
        <v>6334026587</v>
      </c>
      <c r="R344" s="13">
        <f t="shared" si="54"/>
        <v>22899558079</v>
      </c>
      <c r="S344" s="13">
        <f t="shared" si="55"/>
        <v>31369050680</v>
      </c>
      <c r="T344" s="14">
        <f t="shared" si="56"/>
        <v>54268608759</v>
      </c>
      <c r="U344">
        <v>97.061786810000001</v>
      </c>
      <c r="V344">
        <v>129.01505570699999</v>
      </c>
      <c r="W344" s="221">
        <f t="shared" si="33"/>
        <v>1.3292054468309864</v>
      </c>
      <c r="X344" s="236">
        <f t="shared" si="61"/>
        <v>15087688.536646528</v>
      </c>
      <c r="Y344" s="236">
        <f t="shared" si="62"/>
        <v>20974894.78053955</v>
      </c>
      <c r="Z344" s="236">
        <f t="shared" si="63"/>
        <v>36062583.31718608</v>
      </c>
      <c r="AA344" s="236">
        <f t="shared" si="64"/>
        <v>2140316.4595681517</v>
      </c>
      <c r="AB344" s="236">
        <f t="shared" si="65"/>
        <v>2624956.3596948255</v>
      </c>
      <c r="AC344" s="236">
        <f t="shared" si="66"/>
        <v>4765272.8192629777</v>
      </c>
      <c r="AD344" s="236">
        <f t="shared" si="67"/>
        <v>17228004.99621468</v>
      </c>
      <c r="AE344" s="236">
        <f t="shared" si="68"/>
        <v>23599851.140234377</v>
      </c>
      <c r="AF344" s="236">
        <f t="shared" si="69"/>
        <v>40827856.136449061</v>
      </c>
      <c r="AG344" s="236">
        <f t="shared" si="34"/>
        <v>20054637.783</v>
      </c>
      <c r="AH344" s="236">
        <f t="shared" si="35"/>
        <v>27879944.388999999</v>
      </c>
      <c r="AI344" s="236">
        <f t="shared" si="36"/>
        <v>47934582.171999998</v>
      </c>
      <c r="AJ344" s="236">
        <f t="shared" si="37"/>
        <v>2844920.2960000001</v>
      </c>
      <c r="AK344" s="236">
        <f t="shared" si="38"/>
        <v>3489106.2910000002</v>
      </c>
      <c r="AL344" s="236">
        <f t="shared" si="39"/>
        <v>6334026.5870000003</v>
      </c>
      <c r="AM344" s="236">
        <f t="shared" si="40"/>
        <v>22899558.079</v>
      </c>
      <c r="AN344" s="236">
        <f t="shared" si="41"/>
        <v>31369050.68</v>
      </c>
      <c r="AO344" s="236">
        <f t="shared" si="42"/>
        <v>54268608.759000003</v>
      </c>
    </row>
    <row r="345" spans="2:41" hidden="1" x14ac:dyDescent="0.25">
      <c r="B345" s="12">
        <v>42826</v>
      </c>
      <c r="C345" s="13">
        <v>310215</v>
      </c>
      <c r="D345" s="13">
        <v>427169</v>
      </c>
      <c r="E345" s="13">
        <v>737384</v>
      </c>
      <c r="F345" s="13">
        <v>29366</v>
      </c>
      <c r="G345" s="13">
        <v>35233</v>
      </c>
      <c r="H345" s="13">
        <v>64599</v>
      </c>
      <c r="I345" s="13">
        <v>339581</v>
      </c>
      <c r="J345" s="13">
        <v>462402</v>
      </c>
      <c r="K345" s="13">
        <v>801983</v>
      </c>
      <c r="L345" s="13">
        <v>20253871109</v>
      </c>
      <c r="M345" s="13">
        <v>28196861346</v>
      </c>
      <c r="N345" s="13">
        <f t="shared" si="52"/>
        <v>48450732455</v>
      </c>
      <c r="O345" s="13">
        <v>2843535737</v>
      </c>
      <c r="P345" s="13">
        <v>3493294386</v>
      </c>
      <c r="Q345" s="13">
        <f t="shared" si="53"/>
        <v>6336830123</v>
      </c>
      <c r="R345" s="13">
        <f t="shared" si="54"/>
        <v>23097406846</v>
      </c>
      <c r="S345" s="13">
        <f t="shared" si="55"/>
        <v>31690155732</v>
      </c>
      <c r="T345" s="14">
        <f t="shared" si="56"/>
        <v>54787562578</v>
      </c>
      <c r="U345">
        <v>97.29417085</v>
      </c>
      <c r="V345">
        <v>129.01505570699999</v>
      </c>
      <c r="W345" s="221">
        <f t="shared" si="33"/>
        <v>1.3260306817959793</v>
      </c>
      <c r="X345" s="236">
        <f t="shared" si="61"/>
        <v>15274059.180567455</v>
      </c>
      <c r="Y345" s="236">
        <f t="shared" si="62"/>
        <v>21264109.294824235</v>
      </c>
      <c r="Z345" s="236">
        <f t="shared" si="63"/>
        <v>36538168.475391693</v>
      </c>
      <c r="AA345" s="236">
        <f t="shared" si="64"/>
        <v>2144396.6388083179</v>
      </c>
      <c r="AB345" s="236">
        <f t="shared" si="65"/>
        <v>2634399.3649292286</v>
      </c>
      <c r="AC345" s="236">
        <f t="shared" si="66"/>
        <v>4778796.0037375465</v>
      </c>
      <c r="AD345" s="236">
        <f t="shared" si="67"/>
        <v>17418455.819375776</v>
      </c>
      <c r="AE345" s="236">
        <f t="shared" si="68"/>
        <v>23898508.659753464</v>
      </c>
      <c r="AF345" s="236">
        <f t="shared" si="69"/>
        <v>41316964.479129232</v>
      </c>
      <c r="AG345" s="236">
        <f t="shared" si="34"/>
        <v>20253871.109000001</v>
      </c>
      <c r="AH345" s="236">
        <f t="shared" si="35"/>
        <v>28196861.346000001</v>
      </c>
      <c r="AI345" s="236">
        <f t="shared" si="36"/>
        <v>48450732.454999998</v>
      </c>
      <c r="AJ345" s="236">
        <f t="shared" si="37"/>
        <v>2843535.7370000002</v>
      </c>
      <c r="AK345" s="236">
        <f t="shared" si="38"/>
        <v>3493294.3859999999</v>
      </c>
      <c r="AL345" s="236">
        <f t="shared" si="39"/>
        <v>6336830.1229999997</v>
      </c>
      <c r="AM345" s="236">
        <f t="shared" si="40"/>
        <v>23097406.846000001</v>
      </c>
      <c r="AN345" s="236">
        <f t="shared" si="41"/>
        <v>31690155.732000001</v>
      </c>
      <c r="AO345" s="236">
        <f t="shared" si="42"/>
        <v>54787562.578000002</v>
      </c>
    </row>
    <row r="346" spans="2:41" hidden="1" x14ac:dyDescent="0.25">
      <c r="B346" s="12">
        <v>42856</v>
      </c>
      <c r="C346" s="13">
        <v>312104</v>
      </c>
      <c r="D346" s="13">
        <v>429990</v>
      </c>
      <c r="E346" s="13">
        <v>742094</v>
      </c>
      <c r="F346" s="13">
        <v>29372</v>
      </c>
      <c r="G346" s="13">
        <v>35231</v>
      </c>
      <c r="H346" s="13">
        <v>64603</v>
      </c>
      <c r="I346" s="13">
        <v>341476</v>
      </c>
      <c r="J346" s="13">
        <v>465221</v>
      </c>
      <c r="K346" s="13">
        <v>806697</v>
      </c>
      <c r="L346" s="13">
        <v>20421904558</v>
      </c>
      <c r="M346" s="13">
        <v>28398884397</v>
      </c>
      <c r="N346" s="13">
        <f t="shared" si="52"/>
        <v>48820788955</v>
      </c>
      <c r="O346" s="13">
        <v>2844504024</v>
      </c>
      <c r="P346" s="13">
        <v>3489339557</v>
      </c>
      <c r="Q346" s="13">
        <f t="shared" si="53"/>
        <v>6333843581</v>
      </c>
      <c r="R346" s="13">
        <f t="shared" si="54"/>
        <v>23266408582</v>
      </c>
      <c r="S346" s="13">
        <f t="shared" si="55"/>
        <v>31888223954</v>
      </c>
      <c r="T346" s="14">
        <f t="shared" si="56"/>
        <v>55154632536</v>
      </c>
      <c r="U346">
        <v>97.417611260000001</v>
      </c>
      <c r="V346">
        <v>129.01505570699999</v>
      </c>
      <c r="W346" s="221">
        <f t="shared" si="33"/>
        <v>1.3243504335439809</v>
      </c>
      <c r="X346" s="236">
        <f t="shared" si="61"/>
        <v>15420317.79560844</v>
      </c>
      <c r="Y346" s="236">
        <f t="shared" si="62"/>
        <v>21443632.801179502</v>
      </c>
      <c r="Z346" s="236">
        <f t="shared" si="63"/>
        <v>36863950.596787944</v>
      </c>
      <c r="AA346" s="236">
        <f t="shared" si="64"/>
        <v>2147848.4485319084</v>
      </c>
      <c r="AB346" s="236">
        <f t="shared" si="65"/>
        <v>2634755.4760581586</v>
      </c>
      <c r="AC346" s="236">
        <f t="shared" si="66"/>
        <v>4782603.924590067</v>
      </c>
      <c r="AD346" s="236">
        <f t="shared" si="67"/>
        <v>17568166.244140346</v>
      </c>
      <c r="AE346" s="236">
        <f t="shared" si="68"/>
        <v>24078388.277237661</v>
      </c>
      <c r="AF346" s="236">
        <f t="shared" si="69"/>
        <v>41646554.521378003</v>
      </c>
      <c r="AG346" s="236">
        <f t="shared" si="34"/>
        <v>20421904.557999998</v>
      </c>
      <c r="AH346" s="236">
        <f t="shared" si="35"/>
        <v>28398884.397</v>
      </c>
      <c r="AI346" s="236">
        <f t="shared" si="36"/>
        <v>48820788.954999998</v>
      </c>
      <c r="AJ346" s="236">
        <f t="shared" si="37"/>
        <v>2844504.0240000002</v>
      </c>
      <c r="AK346" s="236">
        <f t="shared" si="38"/>
        <v>3489339.557</v>
      </c>
      <c r="AL346" s="236">
        <f t="shared" si="39"/>
        <v>6333843.5810000002</v>
      </c>
      <c r="AM346" s="236">
        <f t="shared" si="40"/>
        <v>23266408.581999999</v>
      </c>
      <c r="AN346" s="236">
        <f t="shared" si="41"/>
        <v>31888223.954</v>
      </c>
      <c r="AO346" s="236">
        <f t="shared" si="42"/>
        <v>55154632.535999998</v>
      </c>
    </row>
    <row r="347" spans="2:41" hidden="1" x14ac:dyDescent="0.25">
      <c r="B347" s="12">
        <v>42887</v>
      </c>
      <c r="C347" s="13">
        <v>313616</v>
      </c>
      <c r="D347" s="13">
        <v>432504</v>
      </c>
      <c r="E347" s="13">
        <v>746120</v>
      </c>
      <c r="F347" s="13">
        <v>29496</v>
      </c>
      <c r="G347" s="13">
        <v>35330</v>
      </c>
      <c r="H347" s="13">
        <v>64826</v>
      </c>
      <c r="I347" s="13">
        <v>343112</v>
      </c>
      <c r="J347" s="13">
        <v>467834</v>
      </c>
      <c r="K347" s="13">
        <v>810946</v>
      </c>
      <c r="L347" s="13">
        <v>20410585299</v>
      </c>
      <c r="M347" s="13">
        <v>28506998823</v>
      </c>
      <c r="N347" s="13">
        <f t="shared" si="52"/>
        <v>48917584122</v>
      </c>
      <c r="O347" s="13">
        <v>2850199068</v>
      </c>
      <c r="P347" s="13">
        <v>3494063541</v>
      </c>
      <c r="Q347" s="13">
        <f t="shared" si="53"/>
        <v>6344262609</v>
      </c>
      <c r="R347" s="13">
        <f t="shared" si="54"/>
        <v>23260784367</v>
      </c>
      <c r="S347" s="13">
        <f t="shared" si="55"/>
        <v>32001062364</v>
      </c>
      <c r="T347" s="14">
        <f t="shared" si="56"/>
        <v>55261846731</v>
      </c>
      <c r="U347">
        <v>97.037847170000006</v>
      </c>
      <c r="V347">
        <v>129.01505570699999</v>
      </c>
      <c r="W347" s="221">
        <f t="shared" si="33"/>
        <v>1.3295333673363476</v>
      </c>
      <c r="X347" s="236">
        <f t="shared" si="61"/>
        <v>15351690.901817355</v>
      </c>
      <c r="Y347" s="236">
        <f t="shared" si="62"/>
        <v>21441356.436290368</v>
      </c>
      <c r="Z347" s="236">
        <f t="shared" si="63"/>
        <v>36793047.33810772</v>
      </c>
      <c r="AA347" s="236">
        <f t="shared" si="64"/>
        <v>2143758.9593634862</v>
      </c>
      <c r="AB347" s="236">
        <f t="shared" si="65"/>
        <v>2628037.4955915385</v>
      </c>
      <c r="AC347" s="236">
        <f t="shared" si="66"/>
        <v>4771796.4549550246</v>
      </c>
      <c r="AD347" s="236">
        <f t="shared" si="67"/>
        <v>17495449.861180842</v>
      </c>
      <c r="AE347" s="236">
        <f t="shared" si="68"/>
        <v>24069393.931881905</v>
      </c>
      <c r="AF347" s="236">
        <f t="shared" si="69"/>
        <v>41564843.793062747</v>
      </c>
      <c r="AG347" s="236">
        <f t="shared" si="34"/>
        <v>20410585.298999999</v>
      </c>
      <c r="AH347" s="236">
        <f t="shared" si="35"/>
        <v>28506998.822999999</v>
      </c>
      <c r="AI347" s="236">
        <f t="shared" si="36"/>
        <v>48917584.122000001</v>
      </c>
      <c r="AJ347" s="236">
        <f t="shared" si="37"/>
        <v>2850199.068</v>
      </c>
      <c r="AK347" s="236">
        <f t="shared" si="38"/>
        <v>3494063.5410000002</v>
      </c>
      <c r="AL347" s="236">
        <f t="shared" si="39"/>
        <v>6344262.6090000002</v>
      </c>
      <c r="AM347" s="236">
        <f t="shared" si="40"/>
        <v>23260784.366999999</v>
      </c>
      <c r="AN347" s="236">
        <f t="shared" si="41"/>
        <v>32001062.364</v>
      </c>
      <c r="AO347" s="236">
        <f t="shared" si="42"/>
        <v>55261846.730999999</v>
      </c>
    </row>
    <row r="348" spans="2:41" hidden="1" x14ac:dyDescent="0.25">
      <c r="B348" s="12">
        <v>42917</v>
      </c>
      <c r="C348" s="13">
        <v>316011</v>
      </c>
      <c r="D348" s="13">
        <v>434836</v>
      </c>
      <c r="E348" s="13">
        <v>750847</v>
      </c>
      <c r="F348" s="13">
        <v>29485</v>
      </c>
      <c r="G348" s="13">
        <v>35288</v>
      </c>
      <c r="H348" s="13">
        <v>64773</v>
      </c>
      <c r="I348" s="13">
        <v>345496</v>
      </c>
      <c r="J348" s="13">
        <v>470124</v>
      </c>
      <c r="K348" s="13">
        <v>815620</v>
      </c>
      <c r="L348" s="13">
        <v>21475352472</v>
      </c>
      <c r="M348" s="13">
        <v>29820947833</v>
      </c>
      <c r="N348" s="13">
        <f t="shared" si="52"/>
        <v>51296300305</v>
      </c>
      <c r="O348" s="13">
        <v>2915674809</v>
      </c>
      <c r="P348" s="13">
        <v>3569695781</v>
      </c>
      <c r="Q348" s="13">
        <f t="shared" si="53"/>
        <v>6485370590</v>
      </c>
      <c r="R348" s="13">
        <f t="shared" si="54"/>
        <v>24391027281</v>
      </c>
      <c r="S348" s="13">
        <f t="shared" si="55"/>
        <v>33390643614</v>
      </c>
      <c r="T348" s="14">
        <f t="shared" si="56"/>
        <v>57781670895</v>
      </c>
      <c r="U348">
        <v>97.271810860000002</v>
      </c>
      <c r="V348">
        <v>129.01505570699999</v>
      </c>
      <c r="W348" s="221">
        <f t="shared" si="33"/>
        <v>1.326335498088824</v>
      </c>
      <c r="X348" s="236">
        <f t="shared" si="61"/>
        <v>16191493.40641549</v>
      </c>
      <c r="Y348" s="236">
        <f t="shared" si="62"/>
        <v>22483713.868753668</v>
      </c>
      <c r="Z348" s="236">
        <f t="shared" si="63"/>
        <v>38675207.275169156</v>
      </c>
      <c r="AA348" s="236">
        <f t="shared" si="64"/>
        <v>2198293.5789634869</v>
      </c>
      <c r="AB348" s="236">
        <f t="shared" si="65"/>
        <v>2691397.3019222771</v>
      </c>
      <c r="AC348" s="236">
        <f t="shared" si="66"/>
        <v>4889690.880885764</v>
      </c>
      <c r="AD348" s="236">
        <f t="shared" si="67"/>
        <v>18389786.985378977</v>
      </c>
      <c r="AE348" s="236">
        <f t="shared" si="68"/>
        <v>25175111.170675948</v>
      </c>
      <c r="AF348" s="236">
        <f t="shared" si="69"/>
        <v>43564898.156054921</v>
      </c>
      <c r="AG348" s="236">
        <f t="shared" si="34"/>
        <v>21475352.471999999</v>
      </c>
      <c r="AH348" s="236">
        <f t="shared" si="35"/>
        <v>29820947.833000001</v>
      </c>
      <c r="AI348" s="236">
        <f t="shared" si="36"/>
        <v>51296300.305</v>
      </c>
      <c r="AJ348" s="236">
        <f t="shared" si="37"/>
        <v>2915674.8089999999</v>
      </c>
      <c r="AK348" s="236">
        <f t="shared" si="38"/>
        <v>3569695.781</v>
      </c>
      <c r="AL348" s="236">
        <f t="shared" si="39"/>
        <v>6485370.5899999999</v>
      </c>
      <c r="AM348" s="236">
        <f t="shared" si="40"/>
        <v>24391027.280999999</v>
      </c>
      <c r="AN348" s="236">
        <f t="shared" si="41"/>
        <v>33390643.614</v>
      </c>
      <c r="AO348" s="236">
        <f t="shared" si="42"/>
        <v>57781670.895000003</v>
      </c>
    </row>
    <row r="349" spans="2:41" hidden="1" x14ac:dyDescent="0.25">
      <c r="B349" s="12">
        <v>42948</v>
      </c>
      <c r="C349" s="13">
        <v>317865</v>
      </c>
      <c r="D349" s="13">
        <v>436895</v>
      </c>
      <c r="E349" s="13">
        <v>754760</v>
      </c>
      <c r="F349" s="13">
        <v>29535</v>
      </c>
      <c r="G349" s="13">
        <v>35290</v>
      </c>
      <c r="H349" s="13">
        <v>64825</v>
      </c>
      <c r="I349" s="13">
        <v>347400</v>
      </c>
      <c r="J349" s="13">
        <v>472185</v>
      </c>
      <c r="K349" s="13">
        <v>819585</v>
      </c>
      <c r="L349" s="13">
        <v>21403202716</v>
      </c>
      <c r="M349" s="13">
        <v>29744478148</v>
      </c>
      <c r="N349" s="13">
        <f t="shared" si="52"/>
        <v>51147680864</v>
      </c>
      <c r="O349" s="13">
        <v>2916354606</v>
      </c>
      <c r="P349" s="13">
        <v>3550245569</v>
      </c>
      <c r="Q349" s="13">
        <f t="shared" si="53"/>
        <v>6466600175</v>
      </c>
      <c r="R349" s="13">
        <f t="shared" si="54"/>
        <v>24319557322</v>
      </c>
      <c r="S349" s="13">
        <f t="shared" si="55"/>
        <v>33294723717</v>
      </c>
      <c r="T349" s="14">
        <f t="shared" si="56"/>
        <v>57614281039</v>
      </c>
      <c r="U349">
        <v>97.468426390000005</v>
      </c>
      <c r="V349">
        <v>129.01505570699999</v>
      </c>
      <c r="W349" s="221">
        <f t="shared" si="33"/>
        <v>1.3236599839087644</v>
      </c>
      <c r="X349" s="236">
        <f t="shared" si="61"/>
        <v>16169713.503611706</v>
      </c>
      <c r="Y349" s="236">
        <f t="shared" si="62"/>
        <v>22471388.807996321</v>
      </c>
      <c r="Z349" s="236">
        <f t="shared" si="63"/>
        <v>38641102.311608024</v>
      </c>
      <c r="AA349" s="236">
        <f t="shared" si="64"/>
        <v>2203250.563931088</v>
      </c>
      <c r="AB349" s="236">
        <f t="shared" si="65"/>
        <v>2682143.1577285691</v>
      </c>
      <c r="AC349" s="236">
        <f t="shared" si="66"/>
        <v>4885393.7216596566</v>
      </c>
      <c r="AD349" s="236">
        <f t="shared" si="67"/>
        <v>18372964.067542795</v>
      </c>
      <c r="AE349" s="236">
        <f t="shared" si="68"/>
        <v>25153531.965724893</v>
      </c>
      <c r="AF349" s="236">
        <f t="shared" si="69"/>
        <v>43526496.033267684</v>
      </c>
      <c r="AG349" s="236">
        <f t="shared" si="34"/>
        <v>21403202.715999998</v>
      </c>
      <c r="AH349" s="236">
        <f t="shared" si="35"/>
        <v>29744478.147999998</v>
      </c>
      <c r="AI349" s="236">
        <f t="shared" si="36"/>
        <v>51147680.864</v>
      </c>
      <c r="AJ349" s="236">
        <f t="shared" si="37"/>
        <v>2916354.6060000001</v>
      </c>
      <c r="AK349" s="236">
        <f t="shared" si="38"/>
        <v>3550245.5690000001</v>
      </c>
      <c r="AL349" s="236">
        <f t="shared" si="39"/>
        <v>6466600.1749999998</v>
      </c>
      <c r="AM349" s="236">
        <f t="shared" si="40"/>
        <v>24319557.322000001</v>
      </c>
      <c r="AN349" s="236">
        <f t="shared" si="41"/>
        <v>33294723.717</v>
      </c>
      <c r="AO349" s="236">
        <f t="shared" si="42"/>
        <v>57614281.038999997</v>
      </c>
    </row>
    <row r="350" spans="2:41" hidden="1" x14ac:dyDescent="0.25">
      <c r="B350" s="12">
        <v>42979</v>
      </c>
      <c r="C350" s="13">
        <v>319533</v>
      </c>
      <c r="D350" s="13">
        <v>439139</v>
      </c>
      <c r="E350" s="13">
        <v>758672</v>
      </c>
      <c r="F350" s="13">
        <v>29509</v>
      </c>
      <c r="G350" s="13">
        <v>35214</v>
      </c>
      <c r="H350" s="13">
        <v>64723</v>
      </c>
      <c r="I350" s="13">
        <v>349042</v>
      </c>
      <c r="J350" s="13">
        <v>474353</v>
      </c>
      <c r="K350" s="13">
        <v>823395</v>
      </c>
      <c r="L350" s="13">
        <v>21478966999</v>
      </c>
      <c r="M350" s="13">
        <v>29976170540</v>
      </c>
      <c r="N350" s="13">
        <f t="shared" si="52"/>
        <v>51455137539</v>
      </c>
      <c r="O350" s="13">
        <v>2901995397</v>
      </c>
      <c r="P350" s="13">
        <v>3535566330</v>
      </c>
      <c r="Q350" s="13">
        <f t="shared" si="53"/>
        <v>6437561727</v>
      </c>
      <c r="R350" s="13">
        <f t="shared" si="54"/>
        <v>24380962396</v>
      </c>
      <c r="S350" s="13">
        <f t="shared" si="55"/>
        <v>33511736870</v>
      </c>
      <c r="T350" s="14">
        <f t="shared" si="56"/>
        <v>57892699266</v>
      </c>
      <c r="U350">
        <v>97.321077840000001</v>
      </c>
      <c r="V350">
        <v>129.01505570699999</v>
      </c>
      <c r="W350" s="221">
        <f t="shared" si="33"/>
        <v>1.3256640654875014</v>
      </c>
      <c r="X350" s="236">
        <f t="shared" si="61"/>
        <v>16202420.777771704</v>
      </c>
      <c r="Y350" s="236">
        <f t="shared" si="62"/>
        <v>22612192.123482298</v>
      </c>
      <c r="Z350" s="236">
        <f t="shared" si="63"/>
        <v>38814612.901253998</v>
      </c>
      <c r="AA350" s="236">
        <f t="shared" si="64"/>
        <v>2189088.0748380371</v>
      </c>
      <c r="AB350" s="236">
        <f t="shared" si="65"/>
        <v>2667015.288447022</v>
      </c>
      <c r="AC350" s="236">
        <f t="shared" si="66"/>
        <v>4856103.3632850591</v>
      </c>
      <c r="AD350" s="236">
        <f t="shared" si="67"/>
        <v>18391508.852609742</v>
      </c>
      <c r="AE350" s="236">
        <f t="shared" si="68"/>
        <v>25279207.411929321</v>
      </c>
      <c r="AF350" s="236">
        <f t="shared" si="69"/>
        <v>43670716.264539063</v>
      </c>
      <c r="AG350" s="236">
        <f t="shared" si="34"/>
        <v>21478966.999000002</v>
      </c>
      <c r="AH350" s="236">
        <f t="shared" si="35"/>
        <v>29976170.539999999</v>
      </c>
      <c r="AI350" s="236">
        <f t="shared" si="36"/>
        <v>51455137.538999997</v>
      </c>
      <c r="AJ350" s="236">
        <f t="shared" si="37"/>
        <v>2901995.3969999999</v>
      </c>
      <c r="AK350" s="236">
        <f t="shared" si="38"/>
        <v>3535566.33</v>
      </c>
      <c r="AL350" s="236">
        <f t="shared" si="39"/>
        <v>6437561.727</v>
      </c>
      <c r="AM350" s="236">
        <f t="shared" si="40"/>
        <v>24380962.396000002</v>
      </c>
      <c r="AN350" s="236">
        <f t="shared" si="41"/>
        <v>33511736.870000001</v>
      </c>
      <c r="AO350" s="236">
        <f t="shared" si="42"/>
        <v>57892699.266000003</v>
      </c>
    </row>
    <row r="351" spans="2:41" hidden="1" x14ac:dyDescent="0.25">
      <c r="B351" s="12">
        <v>43009</v>
      </c>
      <c r="C351" s="13">
        <v>321666</v>
      </c>
      <c r="D351" s="13">
        <v>442652</v>
      </c>
      <c r="E351" s="13">
        <v>764318</v>
      </c>
      <c r="F351" s="13">
        <v>29486</v>
      </c>
      <c r="G351" s="13">
        <v>35178</v>
      </c>
      <c r="H351" s="13">
        <v>64664</v>
      </c>
      <c r="I351" s="13">
        <v>351152</v>
      </c>
      <c r="J351" s="13">
        <v>477830</v>
      </c>
      <c r="K351" s="13">
        <v>828982</v>
      </c>
      <c r="L351" s="13">
        <v>21719831153</v>
      </c>
      <c r="M351" s="13">
        <v>30342106068</v>
      </c>
      <c r="N351" s="13">
        <f t="shared" si="52"/>
        <v>52061937221</v>
      </c>
      <c r="O351" s="13">
        <v>2901994196</v>
      </c>
      <c r="P351" s="13">
        <v>3546912231</v>
      </c>
      <c r="Q351" s="13">
        <f t="shared" si="53"/>
        <v>6448906427</v>
      </c>
      <c r="R351" s="13">
        <f t="shared" si="54"/>
        <v>24621825349</v>
      </c>
      <c r="S351" s="13">
        <f t="shared" si="55"/>
        <v>33889018299</v>
      </c>
      <c r="T351" s="14">
        <f t="shared" si="56"/>
        <v>58510843648</v>
      </c>
      <c r="U351">
        <v>97.892102530000003</v>
      </c>
      <c r="V351">
        <v>129.01505570699999</v>
      </c>
      <c r="W351" s="221">
        <f t="shared" si="33"/>
        <v>1.3179311953940518</v>
      </c>
      <c r="X351" s="236">
        <f t="shared" si="61"/>
        <v>16480246.638752587</v>
      </c>
      <c r="Y351" s="236">
        <f t="shared" si="62"/>
        <v>23022526.649373326</v>
      </c>
      <c r="Z351" s="236">
        <f t="shared" si="63"/>
        <v>39502773.28812591</v>
      </c>
      <c r="AA351" s="236">
        <f t="shared" si="64"/>
        <v>2201931.4863643735</v>
      </c>
      <c r="AB351" s="236">
        <f t="shared" si="65"/>
        <v>2691272.6881311121</v>
      </c>
      <c r="AC351" s="236">
        <f t="shared" si="66"/>
        <v>4893204.1744954865</v>
      </c>
      <c r="AD351" s="236">
        <f t="shared" si="67"/>
        <v>18682178.125116959</v>
      </c>
      <c r="AE351" s="236">
        <f t="shared" si="68"/>
        <v>25713799.337504435</v>
      </c>
      <c r="AF351" s="236">
        <f t="shared" si="69"/>
        <v>44395977.462621398</v>
      </c>
      <c r="AG351" s="236">
        <f t="shared" si="34"/>
        <v>21719831.153000001</v>
      </c>
      <c r="AH351" s="236">
        <f t="shared" si="35"/>
        <v>30342106.068</v>
      </c>
      <c r="AI351" s="236">
        <f t="shared" si="36"/>
        <v>52061937.221000001</v>
      </c>
      <c r="AJ351" s="236">
        <f t="shared" si="37"/>
        <v>2901994.196</v>
      </c>
      <c r="AK351" s="236">
        <f t="shared" si="38"/>
        <v>3546912.2310000001</v>
      </c>
      <c r="AL351" s="236">
        <f t="shared" si="39"/>
        <v>6448906.4270000001</v>
      </c>
      <c r="AM351" s="236">
        <f t="shared" si="40"/>
        <v>24621825.348999999</v>
      </c>
      <c r="AN351" s="236">
        <f t="shared" si="41"/>
        <v>33889018.299000002</v>
      </c>
      <c r="AO351" s="236">
        <f t="shared" si="42"/>
        <v>58510843.648000002</v>
      </c>
    </row>
    <row r="352" spans="2:41" hidden="1" x14ac:dyDescent="0.25">
      <c r="B352" s="12">
        <v>43040</v>
      </c>
      <c r="C352" s="13">
        <v>323597</v>
      </c>
      <c r="D352" s="13">
        <v>445509</v>
      </c>
      <c r="E352" s="13">
        <v>769106</v>
      </c>
      <c r="F352" s="13">
        <v>29463</v>
      </c>
      <c r="G352" s="13">
        <v>35101</v>
      </c>
      <c r="H352" s="13">
        <v>64564</v>
      </c>
      <c r="I352" s="13">
        <v>353060</v>
      </c>
      <c r="J352" s="13">
        <v>480610</v>
      </c>
      <c r="K352" s="13">
        <v>833670</v>
      </c>
      <c r="L352" s="13">
        <v>21792278573</v>
      </c>
      <c r="M352" s="13">
        <v>30540621130</v>
      </c>
      <c r="N352" s="13">
        <f t="shared" si="52"/>
        <v>52332899703</v>
      </c>
      <c r="O352" s="13">
        <v>2902061934</v>
      </c>
      <c r="P352" s="13">
        <v>3535958880</v>
      </c>
      <c r="Q352" s="13">
        <f t="shared" si="53"/>
        <v>6438020814</v>
      </c>
      <c r="R352" s="13">
        <f t="shared" si="54"/>
        <v>24694340507</v>
      </c>
      <c r="S352" s="13">
        <f t="shared" si="55"/>
        <v>34076580010</v>
      </c>
      <c r="T352" s="14">
        <f t="shared" si="56"/>
        <v>58770920517</v>
      </c>
      <c r="U352">
        <v>97.97588863</v>
      </c>
      <c r="V352">
        <v>129.01505570699999</v>
      </c>
      <c r="W352" s="221">
        <f t="shared" si="33"/>
        <v>1.3168041393757348</v>
      </c>
      <c r="X352" s="236">
        <f t="shared" si="61"/>
        <v>16549369.736437185</v>
      </c>
      <c r="Y352" s="236">
        <f t="shared" si="62"/>
        <v>23192986.881464828</v>
      </c>
      <c r="Z352" s="236">
        <f t="shared" si="63"/>
        <v>39742356.617902018</v>
      </c>
      <c r="AA352" s="236">
        <f t="shared" si="64"/>
        <v>2203867.5663457424</v>
      </c>
      <c r="AB352" s="236">
        <f t="shared" si="65"/>
        <v>2685258.0230164775</v>
      </c>
      <c r="AC352" s="236">
        <f t="shared" si="66"/>
        <v>4889125.5893622199</v>
      </c>
      <c r="AD352" s="236">
        <f t="shared" si="67"/>
        <v>18753237.302782927</v>
      </c>
      <c r="AE352" s="236">
        <f t="shared" si="68"/>
        <v>25878244.904481303</v>
      </c>
      <c r="AF352" s="236">
        <f t="shared" si="69"/>
        <v>44631482.207264237</v>
      </c>
      <c r="AG352" s="236">
        <f t="shared" si="34"/>
        <v>21792278.572999999</v>
      </c>
      <c r="AH352" s="236">
        <f t="shared" si="35"/>
        <v>30540621.129999999</v>
      </c>
      <c r="AI352" s="236">
        <f t="shared" si="36"/>
        <v>52332899.703000002</v>
      </c>
      <c r="AJ352" s="236">
        <f t="shared" si="37"/>
        <v>2902061.9339999999</v>
      </c>
      <c r="AK352" s="236">
        <f t="shared" si="38"/>
        <v>3535958.88</v>
      </c>
      <c r="AL352" s="236">
        <f t="shared" si="39"/>
        <v>6438020.8140000002</v>
      </c>
      <c r="AM352" s="236">
        <f t="shared" si="40"/>
        <v>24694340.506999999</v>
      </c>
      <c r="AN352" s="236">
        <f t="shared" si="41"/>
        <v>34076580.009999998</v>
      </c>
      <c r="AO352" s="236">
        <f t="shared" si="42"/>
        <v>58770920.516999997</v>
      </c>
    </row>
    <row r="353" spans="2:41" hidden="1" x14ac:dyDescent="0.25">
      <c r="B353" s="15">
        <v>43070</v>
      </c>
      <c r="C353" s="16">
        <v>325611</v>
      </c>
      <c r="D353" s="16">
        <v>448472</v>
      </c>
      <c r="E353" s="16">
        <v>774083</v>
      </c>
      <c r="F353" s="16">
        <v>29394</v>
      </c>
      <c r="G353" s="16">
        <v>35047</v>
      </c>
      <c r="H353" s="16">
        <v>64441</v>
      </c>
      <c r="I353" s="17">
        <v>355005</v>
      </c>
      <c r="J353" s="17">
        <v>483519</v>
      </c>
      <c r="K353" s="17">
        <v>838524</v>
      </c>
      <c r="L353" s="16">
        <v>21952336185</v>
      </c>
      <c r="M353" s="16">
        <v>30810925061</v>
      </c>
      <c r="N353" s="16">
        <f t="shared" si="52"/>
        <v>52763261246</v>
      </c>
      <c r="O353" s="16">
        <v>2890050152</v>
      </c>
      <c r="P353" s="16">
        <v>3527621344</v>
      </c>
      <c r="Q353" s="16">
        <f t="shared" si="53"/>
        <v>6417671496</v>
      </c>
      <c r="R353" s="16">
        <f t="shared" si="54"/>
        <v>24842386337</v>
      </c>
      <c r="S353" s="16">
        <f t="shared" si="55"/>
        <v>34338546405</v>
      </c>
      <c r="T353" s="16">
        <f t="shared" si="56"/>
        <v>59180932742</v>
      </c>
      <c r="U353">
        <v>98.120592090000002</v>
      </c>
      <c r="V353">
        <v>129.01505570699999</v>
      </c>
      <c r="W353" s="221">
        <f t="shared" si="33"/>
        <v>1.3148621809034986</v>
      </c>
      <c r="X353" s="236">
        <f t="shared" si="61"/>
        <v>16695541.55851954</v>
      </c>
      <c r="Y353" s="236">
        <f t="shared" si="62"/>
        <v>23432817.148812115</v>
      </c>
      <c r="Z353" s="236">
        <f t="shared" si="63"/>
        <v>40128358.707331657</v>
      </c>
      <c r="AA353" s="236">
        <f t="shared" si="64"/>
        <v>2197987.130494636</v>
      </c>
      <c r="AB353" s="236">
        <f t="shared" si="65"/>
        <v>2682882.9631224307</v>
      </c>
      <c r="AC353" s="236">
        <f t="shared" si="66"/>
        <v>4880870.0936170677</v>
      </c>
      <c r="AD353" s="236">
        <f t="shared" si="67"/>
        <v>18893528.689014178</v>
      </c>
      <c r="AE353" s="236">
        <f t="shared" si="68"/>
        <v>26115700.111934546</v>
      </c>
      <c r="AF353" s="236">
        <f t="shared" si="69"/>
        <v>45009228.800948724</v>
      </c>
      <c r="AG353" s="236">
        <f t="shared" si="34"/>
        <v>21952336.184999999</v>
      </c>
      <c r="AH353" s="236">
        <f t="shared" si="35"/>
        <v>30810925.061000001</v>
      </c>
      <c r="AI353" s="236">
        <f t="shared" si="36"/>
        <v>52763261.245999999</v>
      </c>
      <c r="AJ353" s="236">
        <f t="shared" si="37"/>
        <v>2890050.1519999998</v>
      </c>
      <c r="AK353" s="236">
        <f t="shared" si="38"/>
        <v>3527621.344</v>
      </c>
      <c r="AL353" s="236">
        <f t="shared" si="39"/>
        <v>6417671.4960000003</v>
      </c>
      <c r="AM353" s="236">
        <f t="shared" si="40"/>
        <v>24842386.337000001</v>
      </c>
      <c r="AN353" s="236">
        <f t="shared" si="41"/>
        <v>34338546.405000001</v>
      </c>
      <c r="AO353" s="236">
        <f t="shared" si="42"/>
        <v>59180932.741999999</v>
      </c>
    </row>
    <row r="354" spans="2:41" hidden="1" x14ac:dyDescent="0.25">
      <c r="B354" s="12">
        <v>43101</v>
      </c>
      <c r="C354" s="13">
        <v>327550</v>
      </c>
      <c r="D354" s="13">
        <v>451178</v>
      </c>
      <c r="E354" s="13">
        <v>778728</v>
      </c>
      <c r="F354" s="13">
        <v>29405</v>
      </c>
      <c r="G354" s="13">
        <v>35049</v>
      </c>
      <c r="H354" s="13">
        <v>64454</v>
      </c>
      <c r="I354" s="13">
        <v>356955</v>
      </c>
      <c r="J354" s="13">
        <v>486227</v>
      </c>
      <c r="K354" s="13">
        <v>843182</v>
      </c>
      <c r="L354" s="13">
        <v>22079706386</v>
      </c>
      <c r="M354" s="13">
        <v>31016005504</v>
      </c>
      <c r="N354" s="13">
        <f t="shared" si="52"/>
        <v>53095711890</v>
      </c>
      <c r="O354" s="13">
        <v>2896976921</v>
      </c>
      <c r="P354" s="13">
        <v>3527121043</v>
      </c>
      <c r="Q354" s="13">
        <f t="shared" si="53"/>
        <v>6424097964</v>
      </c>
      <c r="R354" s="13">
        <f t="shared" si="54"/>
        <v>24976683307</v>
      </c>
      <c r="S354" s="13">
        <f t="shared" si="55"/>
        <v>34543126547</v>
      </c>
      <c r="T354" s="14">
        <f t="shared" si="56"/>
        <v>59519809854</v>
      </c>
      <c r="U354">
        <v>98.572460250000006</v>
      </c>
      <c r="V354">
        <v>129.01505570699999</v>
      </c>
      <c r="W354" s="221">
        <f t="shared" si="33"/>
        <v>1.3088346925682011</v>
      </c>
      <c r="X354" s="236">
        <f t="shared" si="61"/>
        <v>16869744.140625663</v>
      </c>
      <c r="Y354" s="236">
        <f t="shared" si="62"/>
        <v>23697420.063904528</v>
      </c>
      <c r="Z354" s="236">
        <f t="shared" si="63"/>
        <v>40567164.204530187</v>
      </c>
      <c r="AA354" s="236">
        <f t="shared" si="64"/>
        <v>2213401.6904117502</v>
      </c>
      <c r="AB354" s="236">
        <f t="shared" si="65"/>
        <v>2694856.0143061825</v>
      </c>
      <c r="AC354" s="236">
        <f t="shared" si="66"/>
        <v>4908257.7047179323</v>
      </c>
      <c r="AD354" s="236">
        <f t="shared" si="67"/>
        <v>19083145.831037413</v>
      </c>
      <c r="AE354" s="236">
        <f t="shared" si="68"/>
        <v>26392276.078210708</v>
      </c>
      <c r="AF354" s="236">
        <f t="shared" si="69"/>
        <v>45475421.909248121</v>
      </c>
      <c r="AG354" s="236">
        <f t="shared" si="34"/>
        <v>22079706.386</v>
      </c>
      <c r="AH354" s="236">
        <f t="shared" si="35"/>
        <v>31016005.504000001</v>
      </c>
      <c r="AI354" s="236">
        <f t="shared" si="36"/>
        <v>53095711.890000001</v>
      </c>
      <c r="AJ354" s="236">
        <f t="shared" si="37"/>
        <v>2896976.9210000001</v>
      </c>
      <c r="AK354" s="236">
        <f t="shared" si="38"/>
        <v>3527121.0430000001</v>
      </c>
      <c r="AL354" s="236">
        <f t="shared" si="39"/>
        <v>6424097.9639999997</v>
      </c>
      <c r="AM354" s="236">
        <f t="shared" si="40"/>
        <v>24976683.307</v>
      </c>
      <c r="AN354" s="236">
        <f t="shared" si="41"/>
        <v>34543126.546999998</v>
      </c>
      <c r="AO354" s="236">
        <f t="shared" si="42"/>
        <v>59519809.854000002</v>
      </c>
    </row>
    <row r="355" spans="2:41" hidden="1" x14ac:dyDescent="0.25">
      <c r="B355" s="12">
        <v>43132</v>
      </c>
      <c r="C355" s="13">
        <v>329547</v>
      </c>
      <c r="D355" s="13">
        <v>453700</v>
      </c>
      <c r="E355" s="13">
        <v>783247</v>
      </c>
      <c r="F355" s="13">
        <v>29490</v>
      </c>
      <c r="G355" s="13">
        <v>35033</v>
      </c>
      <c r="H355" s="13">
        <v>64523</v>
      </c>
      <c r="I355" s="13">
        <v>359037</v>
      </c>
      <c r="J355" s="13">
        <v>488733</v>
      </c>
      <c r="K355" s="13">
        <v>847770</v>
      </c>
      <c r="L355" s="13">
        <v>22141134330</v>
      </c>
      <c r="M355" s="13">
        <v>30974827267</v>
      </c>
      <c r="N355" s="13">
        <f t="shared" si="52"/>
        <v>53115961597</v>
      </c>
      <c r="O355" s="13">
        <v>2906061927</v>
      </c>
      <c r="P355" s="13">
        <v>3521235328</v>
      </c>
      <c r="Q355" s="13">
        <f t="shared" si="53"/>
        <v>6427297255</v>
      </c>
      <c r="R355" s="13">
        <f t="shared" si="54"/>
        <v>25047196257</v>
      </c>
      <c r="S355" s="13">
        <f t="shared" si="55"/>
        <v>34496062595</v>
      </c>
      <c r="T355" s="14">
        <f t="shared" si="56"/>
        <v>59543258852</v>
      </c>
      <c r="U355">
        <v>98.616791239999998</v>
      </c>
      <c r="V355">
        <v>129.01505570699999</v>
      </c>
      <c r="W355" s="221">
        <f t="shared" si="33"/>
        <v>1.3082463349777917</v>
      </c>
      <c r="X355" s="236">
        <f t="shared" si="61"/>
        <v>16924285.387259163</v>
      </c>
      <c r="Y355" s="236">
        <f t="shared" si="62"/>
        <v>23676601.599289645</v>
      </c>
      <c r="Z355" s="236">
        <f t="shared" si="63"/>
        <v>40600886.986548811</v>
      </c>
      <c r="AA355" s="236">
        <f t="shared" si="64"/>
        <v>2221341.5389001127</v>
      </c>
      <c r="AB355" s="236">
        <f t="shared" si="65"/>
        <v>2691569.0370038566</v>
      </c>
      <c r="AC355" s="236">
        <f t="shared" si="66"/>
        <v>4912910.5759039698</v>
      </c>
      <c r="AD355" s="236">
        <f t="shared" si="67"/>
        <v>19145626.926159278</v>
      </c>
      <c r="AE355" s="236">
        <f t="shared" si="68"/>
        <v>26368170.636293504</v>
      </c>
      <c r="AF355" s="236">
        <f t="shared" si="69"/>
        <v>45513797.562452778</v>
      </c>
      <c r="AG355" s="236">
        <f t="shared" si="34"/>
        <v>22141134.329999998</v>
      </c>
      <c r="AH355" s="236">
        <f t="shared" si="35"/>
        <v>30974827.267000001</v>
      </c>
      <c r="AI355" s="236">
        <f t="shared" si="36"/>
        <v>53115961.597000003</v>
      </c>
      <c r="AJ355" s="236">
        <f t="shared" si="37"/>
        <v>2906061.9270000001</v>
      </c>
      <c r="AK355" s="236">
        <f t="shared" si="38"/>
        <v>3521235.3280000002</v>
      </c>
      <c r="AL355" s="236">
        <f t="shared" si="39"/>
        <v>6427297.2549999999</v>
      </c>
      <c r="AM355" s="236">
        <f t="shared" si="40"/>
        <v>25047196.256999999</v>
      </c>
      <c r="AN355" s="236">
        <f t="shared" si="41"/>
        <v>34496062.594999999</v>
      </c>
      <c r="AO355" s="236">
        <f t="shared" si="42"/>
        <v>59543258.851999998</v>
      </c>
    </row>
    <row r="356" spans="2:41" hidden="1" x14ac:dyDescent="0.25">
      <c r="B356" s="12">
        <v>43160</v>
      </c>
      <c r="C356" s="13">
        <v>332732</v>
      </c>
      <c r="D356" s="13">
        <v>458631</v>
      </c>
      <c r="E356" s="13">
        <v>791363</v>
      </c>
      <c r="F356" s="13">
        <v>29743</v>
      </c>
      <c r="G356" s="13">
        <v>35283</v>
      </c>
      <c r="H356" s="13">
        <v>65026</v>
      </c>
      <c r="I356" s="13">
        <v>362475</v>
      </c>
      <c r="J356" s="13">
        <v>493914</v>
      </c>
      <c r="K356" s="13">
        <v>856389</v>
      </c>
      <c r="L356" s="13">
        <v>22568380043</v>
      </c>
      <c r="M356" s="13">
        <v>31717601551</v>
      </c>
      <c r="N356" s="13">
        <f t="shared" si="52"/>
        <v>54285981594</v>
      </c>
      <c r="O356" s="13">
        <v>2952555039</v>
      </c>
      <c r="P356" s="13">
        <v>3578391634</v>
      </c>
      <c r="Q356" s="13">
        <f t="shared" si="53"/>
        <v>6530946673</v>
      </c>
      <c r="R356" s="13">
        <f t="shared" si="54"/>
        <v>25520935082</v>
      </c>
      <c r="S356" s="13">
        <f t="shared" si="55"/>
        <v>35295993185</v>
      </c>
      <c r="T356" s="14">
        <f t="shared" si="56"/>
        <v>60816928267</v>
      </c>
      <c r="U356">
        <v>98.818593930000006</v>
      </c>
      <c r="V356">
        <v>129.01505570699999</v>
      </c>
      <c r="W356" s="221">
        <f t="shared" si="33"/>
        <v>1.3055746957742609</v>
      </c>
      <c r="X356" s="236">
        <f t="shared" si="61"/>
        <v>17286165.330905098</v>
      </c>
      <c r="Y356" s="236">
        <f t="shared" si="62"/>
        <v>24293976.93878413</v>
      </c>
      <c r="Z356" s="236">
        <f t="shared" si="63"/>
        <v>41580142.269689232</v>
      </c>
      <c r="AA356" s="236">
        <f t="shared" si="64"/>
        <v>2261498.3643268379</v>
      </c>
      <c r="AB356" s="236">
        <f t="shared" si="65"/>
        <v>2740855.5370919337</v>
      </c>
      <c r="AC356" s="236">
        <f t="shared" si="66"/>
        <v>5002353.9014187716</v>
      </c>
      <c r="AD356" s="236">
        <f t="shared" si="67"/>
        <v>19547663.695231937</v>
      </c>
      <c r="AE356" s="236">
        <f t="shared" si="68"/>
        <v>27034832.475876063</v>
      </c>
      <c r="AF356" s="236">
        <f t="shared" si="69"/>
        <v>46582496.171108</v>
      </c>
      <c r="AG356" s="236">
        <f t="shared" si="34"/>
        <v>22568380.043000001</v>
      </c>
      <c r="AH356" s="236">
        <f t="shared" si="35"/>
        <v>31717601.550999999</v>
      </c>
      <c r="AI356" s="236">
        <f t="shared" si="36"/>
        <v>54285981.593999997</v>
      </c>
      <c r="AJ356" s="236">
        <f t="shared" si="37"/>
        <v>2952555.0389999999</v>
      </c>
      <c r="AK356" s="236">
        <f t="shared" si="38"/>
        <v>3578391.6340000001</v>
      </c>
      <c r="AL356" s="236">
        <f t="shared" si="39"/>
        <v>6530946.6730000004</v>
      </c>
      <c r="AM356" s="236">
        <f t="shared" si="40"/>
        <v>25520935.081999999</v>
      </c>
      <c r="AN356" s="236">
        <f t="shared" si="41"/>
        <v>35295993.185000002</v>
      </c>
      <c r="AO356" s="236">
        <f t="shared" si="42"/>
        <v>60816928.266999997</v>
      </c>
    </row>
    <row r="357" spans="2:41" hidden="1" x14ac:dyDescent="0.25">
      <c r="B357" s="12">
        <v>43191</v>
      </c>
      <c r="C357" s="13">
        <v>336427</v>
      </c>
      <c r="D357" s="13">
        <v>464449</v>
      </c>
      <c r="E357" s="13">
        <v>800876</v>
      </c>
      <c r="F357" s="13">
        <v>29988</v>
      </c>
      <c r="G357" s="13">
        <v>35549</v>
      </c>
      <c r="H357" s="13">
        <v>65537</v>
      </c>
      <c r="I357" s="13">
        <v>366415</v>
      </c>
      <c r="J357" s="13">
        <v>499998</v>
      </c>
      <c r="K357" s="13">
        <v>866413</v>
      </c>
      <c r="L357" s="13">
        <v>22802667324</v>
      </c>
      <c r="M357" s="13">
        <v>32183666956</v>
      </c>
      <c r="N357" s="13">
        <f t="shared" si="52"/>
        <v>54986334280</v>
      </c>
      <c r="O357" s="13">
        <v>2955326007</v>
      </c>
      <c r="P357" s="13">
        <v>3587054371</v>
      </c>
      <c r="Q357" s="13">
        <f t="shared" si="53"/>
        <v>6542380378</v>
      </c>
      <c r="R357" s="13">
        <f t="shared" si="54"/>
        <v>25757993331</v>
      </c>
      <c r="S357" s="13">
        <f t="shared" si="55"/>
        <v>35770721327</v>
      </c>
      <c r="T357" s="14">
        <f t="shared" si="56"/>
        <v>61528714658</v>
      </c>
      <c r="U357">
        <v>99.131000330000006</v>
      </c>
      <c r="V357">
        <v>129.01505570699999</v>
      </c>
      <c r="W357" s="221">
        <f t="shared" si="33"/>
        <v>1.3014602422805994</v>
      </c>
      <c r="X357" s="236">
        <f t="shared" si="61"/>
        <v>17520832.817790881</v>
      </c>
      <c r="Y357" s="236">
        <f t="shared" si="62"/>
        <v>24728889.835008182</v>
      </c>
      <c r="Z357" s="236">
        <f t="shared" si="63"/>
        <v>42249722.652799062</v>
      </c>
      <c r="AA357" s="236">
        <f t="shared" si="64"/>
        <v>2270777.0172227984</v>
      </c>
      <c r="AB357" s="236">
        <f t="shared" si="65"/>
        <v>2756176.68098279</v>
      </c>
      <c r="AC357" s="236">
        <f t="shared" si="66"/>
        <v>5026953.6982055884</v>
      </c>
      <c r="AD357" s="236">
        <f t="shared" si="67"/>
        <v>19791609.83501368</v>
      </c>
      <c r="AE357" s="236">
        <f t="shared" si="68"/>
        <v>27485066.515990969</v>
      </c>
      <c r="AF357" s="236">
        <f t="shared" si="69"/>
        <v>47276676.351004653</v>
      </c>
      <c r="AG357" s="236">
        <f t="shared" si="34"/>
        <v>22802667.324000001</v>
      </c>
      <c r="AH357" s="236">
        <f t="shared" si="35"/>
        <v>32183666.956</v>
      </c>
      <c r="AI357" s="236">
        <f t="shared" si="36"/>
        <v>54986334.280000001</v>
      </c>
      <c r="AJ357" s="236">
        <f t="shared" si="37"/>
        <v>2955326.0070000002</v>
      </c>
      <c r="AK357" s="236">
        <f t="shared" si="38"/>
        <v>3587054.3709999998</v>
      </c>
      <c r="AL357" s="236">
        <f t="shared" si="39"/>
        <v>6542380.3779999996</v>
      </c>
      <c r="AM357" s="236">
        <f t="shared" si="40"/>
        <v>25757993.331</v>
      </c>
      <c r="AN357" s="236">
        <f t="shared" si="41"/>
        <v>35770721.327</v>
      </c>
      <c r="AO357" s="236">
        <f t="shared" si="42"/>
        <v>61528714.658</v>
      </c>
    </row>
    <row r="358" spans="2:41" hidden="1" x14ac:dyDescent="0.25">
      <c r="B358" s="12">
        <v>43221</v>
      </c>
      <c r="C358" s="13">
        <v>339383</v>
      </c>
      <c r="D358" s="13">
        <v>468409</v>
      </c>
      <c r="E358" s="13">
        <v>807792</v>
      </c>
      <c r="F358" s="13">
        <v>30386</v>
      </c>
      <c r="G358" s="13">
        <v>35884</v>
      </c>
      <c r="H358" s="13">
        <v>66270</v>
      </c>
      <c r="I358" s="13">
        <v>369769</v>
      </c>
      <c r="J358" s="13">
        <v>504293</v>
      </c>
      <c r="K358" s="13">
        <v>874062</v>
      </c>
      <c r="L358" s="13">
        <v>22971107954</v>
      </c>
      <c r="M358" s="13">
        <v>32299686549</v>
      </c>
      <c r="N358" s="13">
        <f t="shared" si="52"/>
        <v>55270794503</v>
      </c>
      <c r="O358" s="13">
        <v>2998856462</v>
      </c>
      <c r="P358" s="13">
        <v>3628450113</v>
      </c>
      <c r="Q358" s="13">
        <f t="shared" si="53"/>
        <v>6627306575</v>
      </c>
      <c r="R358" s="13">
        <f t="shared" si="54"/>
        <v>25969964416</v>
      </c>
      <c r="S358" s="13">
        <f t="shared" si="55"/>
        <v>35928136662</v>
      </c>
      <c r="T358" s="14">
        <f t="shared" si="56"/>
        <v>61898101078</v>
      </c>
      <c r="U358">
        <v>99.408296890000003</v>
      </c>
      <c r="V358">
        <v>129.01505570699999</v>
      </c>
      <c r="W358" s="221">
        <f t="shared" si="33"/>
        <v>1.2978298566945701</v>
      </c>
      <c r="X358" s="236">
        <f t="shared" si="61"/>
        <v>17699629.759254333</v>
      </c>
      <c r="Y358" s="236">
        <f t="shared" si="62"/>
        <v>24887458.384771448</v>
      </c>
      <c r="Z358" s="236">
        <f t="shared" si="63"/>
        <v>42587088.14402578</v>
      </c>
      <c r="AA358" s="236">
        <f t="shared" si="64"/>
        <v>2310669.9591869134</v>
      </c>
      <c r="AB358" s="236">
        <f t="shared" si="65"/>
        <v>2795782.586048115</v>
      </c>
      <c r="AC358" s="236">
        <f t="shared" si="66"/>
        <v>5106452.5452350294</v>
      </c>
      <c r="AD358" s="236">
        <f t="shared" si="67"/>
        <v>20010299.718441244</v>
      </c>
      <c r="AE358" s="236">
        <f t="shared" si="68"/>
        <v>27683240.970819563</v>
      </c>
      <c r="AF358" s="236">
        <f t="shared" si="69"/>
        <v>47693540.689260811</v>
      </c>
      <c r="AG358" s="236">
        <f t="shared" si="34"/>
        <v>22971107.954</v>
      </c>
      <c r="AH358" s="236">
        <f t="shared" si="35"/>
        <v>32299686.548999999</v>
      </c>
      <c r="AI358" s="236">
        <f t="shared" si="36"/>
        <v>55270794.502999999</v>
      </c>
      <c r="AJ358" s="236">
        <f t="shared" si="37"/>
        <v>2998856.4619999998</v>
      </c>
      <c r="AK358" s="236">
        <f t="shared" si="38"/>
        <v>3628450.1129999999</v>
      </c>
      <c r="AL358" s="236">
        <f t="shared" si="39"/>
        <v>6627306.5750000002</v>
      </c>
      <c r="AM358" s="236">
        <f t="shared" si="40"/>
        <v>25969964.416000001</v>
      </c>
      <c r="AN358" s="236">
        <f t="shared" si="41"/>
        <v>35928136.662</v>
      </c>
      <c r="AO358" s="236">
        <f t="shared" si="42"/>
        <v>61898101.078000002</v>
      </c>
    </row>
    <row r="359" spans="2:41" hidden="1" x14ac:dyDescent="0.25">
      <c r="B359" s="12">
        <v>43252</v>
      </c>
      <c r="C359" s="13">
        <v>342712</v>
      </c>
      <c r="D359" s="13">
        <v>471975</v>
      </c>
      <c r="E359" s="13">
        <v>814687</v>
      </c>
      <c r="F359" s="13">
        <v>30563</v>
      </c>
      <c r="G359" s="13">
        <v>36044</v>
      </c>
      <c r="H359" s="13">
        <v>66607</v>
      </c>
      <c r="I359" s="13">
        <v>373275</v>
      </c>
      <c r="J359" s="13">
        <v>508019</v>
      </c>
      <c r="K359" s="13">
        <v>881294</v>
      </c>
      <c r="L359" s="13">
        <v>23198800916</v>
      </c>
      <c r="M359" s="13">
        <v>32539504044</v>
      </c>
      <c r="N359" s="13">
        <f t="shared" si="52"/>
        <v>55738304960</v>
      </c>
      <c r="O359" s="13">
        <v>2990751458</v>
      </c>
      <c r="P359" s="13">
        <v>3624529981</v>
      </c>
      <c r="Q359" s="13">
        <f t="shared" si="53"/>
        <v>6615281439</v>
      </c>
      <c r="R359" s="13">
        <f t="shared" si="54"/>
        <v>26189552374</v>
      </c>
      <c r="S359" s="13">
        <f t="shared" si="55"/>
        <v>36164034025</v>
      </c>
      <c r="T359" s="14">
        <f t="shared" si="56"/>
        <v>62353586399</v>
      </c>
      <c r="U359">
        <v>99.510759739999997</v>
      </c>
      <c r="V359">
        <v>129.01505570699999</v>
      </c>
      <c r="W359" s="221">
        <f t="shared" si="33"/>
        <v>1.2964935253643757</v>
      </c>
      <c r="X359" s="236">
        <f t="shared" si="61"/>
        <v>17893495.387476034</v>
      </c>
      <c r="Y359" s="236">
        <f t="shared" si="62"/>
        <v>25098084.492828354</v>
      </c>
      <c r="Z359" s="236">
        <f t="shared" si="63"/>
        <v>42991579.880304389</v>
      </c>
      <c r="AA359" s="236">
        <f t="shared" si="64"/>
        <v>2306800.1493948516</v>
      </c>
      <c r="AB359" s="236">
        <f t="shared" si="65"/>
        <v>2795640.6338252532</v>
      </c>
      <c r="AC359" s="236">
        <f t="shared" si="66"/>
        <v>5102440.7832201049</v>
      </c>
      <c r="AD359" s="236">
        <f t="shared" si="67"/>
        <v>20200295.536870889</v>
      </c>
      <c r="AE359" s="236">
        <f t="shared" si="68"/>
        <v>27893725.126653608</v>
      </c>
      <c r="AF359" s="236">
        <f t="shared" si="69"/>
        <v>48094020.663524494</v>
      </c>
      <c r="AG359" s="236">
        <f t="shared" si="34"/>
        <v>23198800.916000001</v>
      </c>
      <c r="AH359" s="236">
        <f t="shared" si="35"/>
        <v>32539504.044</v>
      </c>
      <c r="AI359" s="236">
        <f t="shared" si="36"/>
        <v>55738304.960000001</v>
      </c>
      <c r="AJ359" s="236">
        <f t="shared" si="37"/>
        <v>2990751.4580000001</v>
      </c>
      <c r="AK359" s="236">
        <f t="shared" si="38"/>
        <v>3624529.9810000001</v>
      </c>
      <c r="AL359" s="236">
        <f t="shared" si="39"/>
        <v>6615281.4390000002</v>
      </c>
      <c r="AM359" s="236">
        <f t="shared" si="40"/>
        <v>26189552.374000002</v>
      </c>
      <c r="AN359" s="236">
        <f t="shared" si="41"/>
        <v>36164034.024999999</v>
      </c>
      <c r="AO359" s="236">
        <f t="shared" si="42"/>
        <v>62353586.398999996</v>
      </c>
    </row>
    <row r="360" spans="2:41" hidden="1" x14ac:dyDescent="0.25">
      <c r="B360" s="12">
        <v>43282</v>
      </c>
      <c r="C360" s="13">
        <v>346201</v>
      </c>
      <c r="D360" s="13">
        <v>475671</v>
      </c>
      <c r="E360" s="13">
        <v>821872</v>
      </c>
      <c r="F360" s="13">
        <v>30697</v>
      </c>
      <c r="G360" s="13">
        <v>36149</v>
      </c>
      <c r="H360" s="13">
        <v>66846</v>
      </c>
      <c r="I360" s="13">
        <v>376898</v>
      </c>
      <c r="J360" s="13">
        <v>511820</v>
      </c>
      <c r="K360" s="13">
        <v>888718</v>
      </c>
      <c r="L360" s="13">
        <v>24308135318</v>
      </c>
      <c r="M360" s="13">
        <v>34093858626</v>
      </c>
      <c r="N360" s="13">
        <f t="shared" si="52"/>
        <v>58401993944</v>
      </c>
      <c r="O360" s="13">
        <v>3080056038</v>
      </c>
      <c r="P360" s="13">
        <v>3714883039</v>
      </c>
      <c r="Q360" s="13">
        <f t="shared" si="53"/>
        <v>6794939077</v>
      </c>
      <c r="R360" s="13">
        <f t="shared" si="54"/>
        <v>27388191356</v>
      </c>
      <c r="S360" s="13">
        <f t="shared" si="55"/>
        <v>37808741665</v>
      </c>
      <c r="T360" s="14">
        <f t="shared" si="56"/>
        <v>65196933021</v>
      </c>
      <c r="U360">
        <v>99.863231380000002</v>
      </c>
      <c r="V360">
        <v>129.01505570699999</v>
      </c>
      <c r="W360" s="221">
        <f t="shared" si="33"/>
        <v>1.2919174947991752</v>
      </c>
      <c r="X360" s="236">
        <f t="shared" si="61"/>
        <v>18815547.754292645</v>
      </c>
      <c r="Y360" s="236">
        <f t="shared" si="62"/>
        <v>26390120.702947669</v>
      </c>
      <c r="Z360" s="236">
        <f t="shared" si="63"/>
        <v>45205668.457240313</v>
      </c>
      <c r="AA360" s="236">
        <f t="shared" si="64"/>
        <v>2384096.5467216512</v>
      </c>
      <c r="AB360" s="236">
        <f t="shared" si="65"/>
        <v>2875480.0937017016</v>
      </c>
      <c r="AC360" s="236">
        <f t="shared" si="66"/>
        <v>5259576.6404233528</v>
      </c>
      <c r="AD360" s="236">
        <f t="shared" si="67"/>
        <v>21199644.301014297</v>
      </c>
      <c r="AE360" s="236">
        <f t="shared" si="68"/>
        <v>29265600.79664937</v>
      </c>
      <c r="AF360" s="236">
        <f t="shared" si="69"/>
        <v>50465245.097663663</v>
      </c>
      <c r="AG360" s="236">
        <f t="shared" si="34"/>
        <v>24308135.318</v>
      </c>
      <c r="AH360" s="236">
        <f t="shared" si="35"/>
        <v>34093858.626000002</v>
      </c>
      <c r="AI360" s="236">
        <f t="shared" si="36"/>
        <v>58401993.943999998</v>
      </c>
      <c r="AJ360" s="236">
        <f t="shared" si="37"/>
        <v>3080056.0380000002</v>
      </c>
      <c r="AK360" s="236">
        <f t="shared" si="38"/>
        <v>3714883.0389999999</v>
      </c>
      <c r="AL360" s="236">
        <f t="shared" si="39"/>
        <v>6794939.0769999996</v>
      </c>
      <c r="AM360" s="236">
        <f t="shared" si="40"/>
        <v>27388191.355999999</v>
      </c>
      <c r="AN360" s="236">
        <f t="shared" si="41"/>
        <v>37808741.664999999</v>
      </c>
      <c r="AO360" s="236">
        <f t="shared" si="42"/>
        <v>65196933.020999998</v>
      </c>
    </row>
    <row r="361" spans="2:41" hidden="1" x14ac:dyDescent="0.25">
      <c r="B361" s="12">
        <v>43313</v>
      </c>
      <c r="C361" s="13">
        <v>349112</v>
      </c>
      <c r="D361" s="13">
        <v>478874</v>
      </c>
      <c r="E361" s="13">
        <v>827986</v>
      </c>
      <c r="F361" s="13">
        <v>30737</v>
      </c>
      <c r="G361" s="13">
        <v>36176</v>
      </c>
      <c r="H361" s="13">
        <v>66913</v>
      </c>
      <c r="I361" s="13">
        <v>379849</v>
      </c>
      <c r="J361" s="13">
        <v>515050</v>
      </c>
      <c r="K361" s="13">
        <v>894899</v>
      </c>
      <c r="L361" s="13">
        <v>24476822149</v>
      </c>
      <c r="M361" s="13">
        <v>34336824353</v>
      </c>
      <c r="N361" s="13">
        <f t="shared" si="52"/>
        <v>58813646502</v>
      </c>
      <c r="O361" s="13">
        <v>3072001505</v>
      </c>
      <c r="P361" s="13">
        <v>3702232916</v>
      </c>
      <c r="Q361" s="13">
        <f t="shared" si="53"/>
        <v>6774234421</v>
      </c>
      <c r="R361" s="13">
        <f t="shared" si="54"/>
        <v>27548823654</v>
      </c>
      <c r="S361" s="13">
        <f t="shared" si="55"/>
        <v>38039057269</v>
      </c>
      <c r="T361" s="14">
        <f t="shared" si="56"/>
        <v>65587880923</v>
      </c>
      <c r="U361">
        <v>100.0348635</v>
      </c>
      <c r="V361">
        <v>129.01505570699999</v>
      </c>
      <c r="W361" s="221">
        <f t="shared" si="33"/>
        <v>1.2897009221889926</v>
      </c>
      <c r="X361" s="236">
        <f t="shared" si="61"/>
        <v>18978680.814972054</v>
      </c>
      <c r="Y361" s="236">
        <f t="shared" si="62"/>
        <v>26623865.86086994</v>
      </c>
      <c r="Z361" s="236">
        <f t="shared" si="63"/>
        <v>45602546.675841995</v>
      </c>
      <c r="AA361" s="236">
        <f t="shared" si="64"/>
        <v>2381948.7542785751</v>
      </c>
      <c r="AB361" s="236">
        <f t="shared" si="65"/>
        <v>2870613.5293105384</v>
      </c>
      <c r="AC361" s="236">
        <f t="shared" si="66"/>
        <v>5252562.2835891135</v>
      </c>
      <c r="AD361" s="236">
        <f t="shared" si="67"/>
        <v>21360629.569250628</v>
      </c>
      <c r="AE361" s="236">
        <f t="shared" si="68"/>
        <v>29494479.39018048</v>
      </c>
      <c r="AF361" s="236">
        <f t="shared" si="69"/>
        <v>50855108.959431104</v>
      </c>
      <c r="AG361" s="236">
        <f t="shared" si="34"/>
        <v>24476822.149</v>
      </c>
      <c r="AH361" s="236">
        <f t="shared" si="35"/>
        <v>34336824.353</v>
      </c>
      <c r="AI361" s="236">
        <f t="shared" si="36"/>
        <v>58813646.501999997</v>
      </c>
      <c r="AJ361" s="236">
        <f t="shared" si="37"/>
        <v>3072001.5049999999</v>
      </c>
      <c r="AK361" s="236">
        <f t="shared" si="38"/>
        <v>3702232.9160000002</v>
      </c>
      <c r="AL361" s="236">
        <f t="shared" si="39"/>
        <v>6774234.4210000001</v>
      </c>
      <c r="AM361" s="236">
        <f t="shared" si="40"/>
        <v>27548823.653999999</v>
      </c>
      <c r="AN361" s="236">
        <f t="shared" si="41"/>
        <v>38039057.269000001</v>
      </c>
      <c r="AO361" s="236">
        <f t="shared" si="42"/>
        <v>65587880.923</v>
      </c>
    </row>
    <row r="362" spans="2:41" hidden="1" x14ac:dyDescent="0.25">
      <c r="B362" s="12">
        <v>43344</v>
      </c>
      <c r="C362" s="13">
        <v>351534</v>
      </c>
      <c r="D362" s="13">
        <v>481641</v>
      </c>
      <c r="E362" s="13">
        <v>833175</v>
      </c>
      <c r="F362" s="13">
        <v>30718</v>
      </c>
      <c r="G362" s="13">
        <v>36125</v>
      </c>
      <c r="H362" s="13">
        <v>66843</v>
      </c>
      <c r="I362" s="13">
        <v>382252</v>
      </c>
      <c r="J362" s="13">
        <v>517766</v>
      </c>
      <c r="K362" s="13">
        <v>900018</v>
      </c>
      <c r="L362" s="13">
        <v>24601059805</v>
      </c>
      <c r="M362" s="13">
        <v>34595251151</v>
      </c>
      <c r="N362" s="13">
        <f t="shared" si="52"/>
        <v>59196310956</v>
      </c>
      <c r="O362" s="13">
        <v>3063034327</v>
      </c>
      <c r="P362" s="13">
        <v>3685154648</v>
      </c>
      <c r="Q362" s="13">
        <f t="shared" si="53"/>
        <v>6748188975</v>
      </c>
      <c r="R362" s="13">
        <f t="shared" si="54"/>
        <v>27664094132</v>
      </c>
      <c r="S362" s="13">
        <f t="shared" si="55"/>
        <v>38280405799</v>
      </c>
      <c r="T362" s="14">
        <f t="shared" si="56"/>
        <v>65944499931</v>
      </c>
      <c r="U362">
        <v>100.3748626</v>
      </c>
      <c r="V362">
        <v>129.01505570699999</v>
      </c>
      <c r="W362" s="221">
        <f t="shared" si="33"/>
        <v>1.2853323268907766</v>
      </c>
      <c r="X362" s="236">
        <f t="shared" si="61"/>
        <v>19139843.67335571</v>
      </c>
      <c r="Y362" s="236">
        <f t="shared" si="62"/>
        <v>26915413.568322856</v>
      </c>
      <c r="Z362" s="236">
        <f t="shared" si="63"/>
        <v>46055257.241678566</v>
      </c>
      <c r="AA362" s="236">
        <f t="shared" si="64"/>
        <v>2383067.9917694833</v>
      </c>
      <c r="AB362" s="236">
        <f t="shared" si="65"/>
        <v>2867083.1433255882</v>
      </c>
      <c r="AC362" s="236">
        <f t="shared" si="66"/>
        <v>5250151.135095072</v>
      </c>
      <c r="AD362" s="236">
        <f t="shared" si="67"/>
        <v>21522911.665125191</v>
      </c>
      <c r="AE362" s="236">
        <f t="shared" si="68"/>
        <v>29782496.711648446</v>
      </c>
      <c r="AF362" s="236">
        <f t="shared" si="69"/>
        <v>51305408.376773633</v>
      </c>
      <c r="AG362" s="236">
        <f t="shared" si="34"/>
        <v>24601059.805</v>
      </c>
      <c r="AH362" s="236">
        <f t="shared" si="35"/>
        <v>34595251.151000001</v>
      </c>
      <c r="AI362" s="236">
        <f t="shared" si="36"/>
        <v>59196310.956</v>
      </c>
      <c r="AJ362" s="236">
        <f t="shared" si="37"/>
        <v>3063034.327</v>
      </c>
      <c r="AK362" s="236">
        <f t="shared" si="38"/>
        <v>3685154.648</v>
      </c>
      <c r="AL362" s="236">
        <f t="shared" si="39"/>
        <v>6748188.9749999996</v>
      </c>
      <c r="AM362" s="236">
        <f t="shared" si="40"/>
        <v>27664094.131999999</v>
      </c>
      <c r="AN362" s="236">
        <f t="shared" si="41"/>
        <v>38280405.799000002</v>
      </c>
      <c r="AO362" s="236">
        <f t="shared" si="42"/>
        <v>65944499.931000002</v>
      </c>
    </row>
    <row r="363" spans="2:41" hidden="1" x14ac:dyDescent="0.25">
      <c r="B363" s="12">
        <v>43374</v>
      </c>
      <c r="C363" s="13">
        <v>354434</v>
      </c>
      <c r="D363" s="13">
        <v>485731</v>
      </c>
      <c r="E363" s="13">
        <v>840165</v>
      </c>
      <c r="F363" s="13">
        <v>30790</v>
      </c>
      <c r="G363" s="13">
        <v>36113</v>
      </c>
      <c r="H363" s="13">
        <v>66903</v>
      </c>
      <c r="I363" s="13">
        <v>385224</v>
      </c>
      <c r="J363" s="13">
        <v>521844</v>
      </c>
      <c r="K363" s="13">
        <v>907068</v>
      </c>
      <c r="L363" s="13">
        <v>24857678187</v>
      </c>
      <c r="M363" s="13">
        <v>35020226123</v>
      </c>
      <c r="N363" s="13">
        <f t="shared" si="52"/>
        <v>59877904310</v>
      </c>
      <c r="O363" s="13">
        <v>3078110338</v>
      </c>
      <c r="P363" s="13">
        <v>3694474642</v>
      </c>
      <c r="Q363" s="13">
        <f t="shared" si="53"/>
        <v>6772584980</v>
      </c>
      <c r="R363" s="13">
        <f t="shared" si="54"/>
        <v>27935788525</v>
      </c>
      <c r="S363" s="13">
        <f t="shared" si="55"/>
        <v>38714700765</v>
      </c>
      <c r="T363" s="14">
        <f t="shared" si="56"/>
        <v>66650489290</v>
      </c>
      <c r="U363">
        <v>100.74281120000001</v>
      </c>
      <c r="V363">
        <v>129.01505570699999</v>
      </c>
      <c r="W363" s="221">
        <f t="shared" si="33"/>
        <v>1.2806378357942823</v>
      </c>
      <c r="X363" s="236">
        <f t="shared" si="61"/>
        <v>19410388.708047714</v>
      </c>
      <c r="Y363" s="236">
        <f t="shared" si="62"/>
        <v>27345924.93222693</v>
      </c>
      <c r="Z363" s="236">
        <f t="shared" si="63"/>
        <v>46756313.640274644</v>
      </c>
      <c r="AA363" s="236">
        <f t="shared" si="64"/>
        <v>2403575.9775056797</v>
      </c>
      <c r="AB363" s="236">
        <f t="shared" si="65"/>
        <v>2884870.756382579</v>
      </c>
      <c r="AC363" s="236">
        <f t="shared" si="66"/>
        <v>5288446.7338882592</v>
      </c>
      <c r="AD363" s="236">
        <f t="shared" si="67"/>
        <v>21813964.685553394</v>
      </c>
      <c r="AE363" s="236">
        <f t="shared" si="68"/>
        <v>30230795.688609507</v>
      </c>
      <c r="AF363" s="236">
        <f t="shared" si="69"/>
        <v>52044760.374162905</v>
      </c>
      <c r="AG363" s="236">
        <f t="shared" si="34"/>
        <v>24857678.186999999</v>
      </c>
      <c r="AH363" s="236">
        <f t="shared" si="35"/>
        <v>35020226.123000003</v>
      </c>
      <c r="AI363" s="236">
        <f t="shared" si="36"/>
        <v>59877904.310000002</v>
      </c>
      <c r="AJ363" s="236">
        <f t="shared" si="37"/>
        <v>3078110.338</v>
      </c>
      <c r="AK363" s="236">
        <f t="shared" si="38"/>
        <v>3694474.642</v>
      </c>
      <c r="AL363" s="236">
        <f t="shared" si="39"/>
        <v>6772584.9800000004</v>
      </c>
      <c r="AM363" s="236">
        <f t="shared" si="40"/>
        <v>27935788.524999999</v>
      </c>
      <c r="AN363" s="236">
        <f t="shared" si="41"/>
        <v>38714700.765000001</v>
      </c>
      <c r="AO363" s="236">
        <f t="shared" si="42"/>
        <v>66650489.289999999</v>
      </c>
    </row>
    <row r="364" spans="2:41" hidden="1" x14ac:dyDescent="0.25">
      <c r="B364" s="12">
        <v>43405</v>
      </c>
      <c r="C364" s="13">
        <v>357070</v>
      </c>
      <c r="D364" s="13">
        <v>489744</v>
      </c>
      <c r="E364" s="13">
        <v>846814</v>
      </c>
      <c r="F364" s="13">
        <v>30850</v>
      </c>
      <c r="G364" s="13">
        <v>36146</v>
      </c>
      <c r="H364" s="13">
        <v>66996</v>
      </c>
      <c r="I364" s="13">
        <v>387920</v>
      </c>
      <c r="J364" s="13">
        <v>525890</v>
      </c>
      <c r="K364" s="13">
        <v>913810</v>
      </c>
      <c r="L364" s="13">
        <v>24965162729</v>
      </c>
      <c r="M364" s="13">
        <v>35365985254</v>
      </c>
      <c r="N364" s="13">
        <f t="shared" si="52"/>
        <v>60331147983</v>
      </c>
      <c r="O364" s="13">
        <v>3078719754</v>
      </c>
      <c r="P364" s="13">
        <v>3702426144</v>
      </c>
      <c r="Q364" s="13">
        <f t="shared" si="53"/>
        <v>6781145898</v>
      </c>
      <c r="R364" s="13">
        <f t="shared" si="54"/>
        <v>28043882483</v>
      </c>
      <c r="S364" s="13">
        <f t="shared" si="55"/>
        <v>39068411398</v>
      </c>
      <c r="T364" s="14">
        <f t="shared" si="56"/>
        <v>67112293881</v>
      </c>
      <c r="U364">
        <v>100.73748740000001</v>
      </c>
      <c r="V364">
        <v>129.01505570699999</v>
      </c>
      <c r="W364" s="221">
        <f t="shared" si="33"/>
        <v>1.280705515263824</v>
      </c>
      <c r="X364" s="236">
        <f t="shared" si="61"/>
        <v>19493288.996930104</v>
      </c>
      <c r="Y364" s="236">
        <f t="shared" si="62"/>
        <v>27614455.339262471</v>
      </c>
      <c r="Z364" s="236">
        <f t="shared" si="63"/>
        <v>47107744.336192571</v>
      </c>
      <c r="AA364" s="236">
        <f t="shared" si="64"/>
        <v>2403924.8034047754</v>
      </c>
      <c r="AB364" s="236">
        <f t="shared" si="65"/>
        <v>2890926.9928749418</v>
      </c>
      <c r="AC364" s="236">
        <f t="shared" si="66"/>
        <v>5294851.7962797172</v>
      </c>
      <c r="AD364" s="236">
        <f t="shared" si="67"/>
        <v>21897213.800334882</v>
      </c>
      <c r="AE364" s="236">
        <f t="shared" si="68"/>
        <v>30505382.332137413</v>
      </c>
      <c r="AF364" s="236">
        <f t="shared" si="69"/>
        <v>52402596.132472292</v>
      </c>
      <c r="AG364" s="236">
        <f t="shared" si="34"/>
        <v>24965162.728999998</v>
      </c>
      <c r="AH364" s="236">
        <f t="shared" si="35"/>
        <v>35365985.254000001</v>
      </c>
      <c r="AI364" s="236">
        <f t="shared" si="36"/>
        <v>60331147.983000003</v>
      </c>
      <c r="AJ364" s="236">
        <f t="shared" si="37"/>
        <v>3078719.7540000002</v>
      </c>
      <c r="AK364" s="236">
        <f t="shared" si="38"/>
        <v>3702426.1439999999</v>
      </c>
      <c r="AL364" s="236">
        <f t="shared" si="39"/>
        <v>6781145.898</v>
      </c>
      <c r="AM364" s="236">
        <f t="shared" si="40"/>
        <v>28043882.482999999</v>
      </c>
      <c r="AN364" s="236">
        <f t="shared" si="41"/>
        <v>39068411.398000002</v>
      </c>
      <c r="AO364" s="236">
        <f t="shared" si="42"/>
        <v>67112293.880999997</v>
      </c>
    </row>
    <row r="365" spans="2:41" hidden="1" x14ac:dyDescent="0.25">
      <c r="B365" s="15">
        <v>43435</v>
      </c>
      <c r="C365" s="16">
        <v>360031</v>
      </c>
      <c r="D365" s="16">
        <v>493400</v>
      </c>
      <c r="E365" s="16">
        <v>853431</v>
      </c>
      <c r="F365" s="16">
        <v>30827</v>
      </c>
      <c r="G365" s="16">
        <v>36075</v>
      </c>
      <c r="H365" s="16">
        <v>66902</v>
      </c>
      <c r="I365" s="17">
        <v>390858</v>
      </c>
      <c r="J365" s="17">
        <v>529475</v>
      </c>
      <c r="K365" s="17">
        <v>920333</v>
      </c>
      <c r="L365" s="16">
        <v>25299169172</v>
      </c>
      <c r="M365" s="16">
        <v>35673355039</v>
      </c>
      <c r="N365" s="16">
        <f t="shared" si="52"/>
        <v>60972524211</v>
      </c>
      <c r="O365" s="16">
        <v>3082278029</v>
      </c>
      <c r="P365" s="16">
        <v>3691981415</v>
      </c>
      <c r="Q365" s="16">
        <f t="shared" si="53"/>
        <v>6774259444</v>
      </c>
      <c r="R365" s="16">
        <f t="shared" si="54"/>
        <v>28381447201</v>
      </c>
      <c r="S365" s="16">
        <f t="shared" si="55"/>
        <v>39365336454</v>
      </c>
      <c r="T365" s="16">
        <f t="shared" si="56"/>
        <v>67746783655</v>
      </c>
      <c r="U365">
        <v>100.63564100000001</v>
      </c>
      <c r="V365">
        <v>129.01505570699999</v>
      </c>
      <c r="W365" s="221">
        <f t="shared" si="33"/>
        <v>1.2820016290948053</v>
      </c>
      <c r="X365" s="236">
        <f t="shared" si="61"/>
        <v>19734116.242787629</v>
      </c>
      <c r="Y365" s="236">
        <f t="shared" si="62"/>
        <v>27826294.623500764</v>
      </c>
      <c r="Z365" s="236">
        <f t="shared" si="63"/>
        <v>47560410.866288394</v>
      </c>
      <c r="AA365" s="236">
        <f t="shared" si="64"/>
        <v>2404269.9783278219</v>
      </c>
      <c r="AB365" s="236">
        <f t="shared" si="65"/>
        <v>2879857.0385646317</v>
      </c>
      <c r="AC365" s="236">
        <f t="shared" si="66"/>
        <v>5284127.0168924546</v>
      </c>
      <c r="AD365" s="236">
        <f t="shared" si="67"/>
        <v>22138386.221115451</v>
      </c>
      <c r="AE365" s="236">
        <f t="shared" si="68"/>
        <v>30706151.662065394</v>
      </c>
      <c r="AF365" s="236">
        <f t="shared" si="69"/>
        <v>52844537.883180849</v>
      </c>
      <c r="AG365" s="236">
        <f t="shared" si="34"/>
        <v>25299169.171999998</v>
      </c>
      <c r="AH365" s="236">
        <f t="shared" si="35"/>
        <v>35673355.038999997</v>
      </c>
      <c r="AI365" s="236">
        <f t="shared" si="36"/>
        <v>60972524.211000003</v>
      </c>
      <c r="AJ365" s="236">
        <f t="shared" si="37"/>
        <v>3082278.0290000001</v>
      </c>
      <c r="AK365" s="236">
        <f t="shared" si="38"/>
        <v>3691981.415</v>
      </c>
      <c r="AL365" s="236">
        <f t="shared" si="39"/>
        <v>6774259.4440000001</v>
      </c>
      <c r="AM365" s="236">
        <f t="shared" si="40"/>
        <v>28381447.201000001</v>
      </c>
      <c r="AN365" s="236">
        <f t="shared" si="41"/>
        <v>39365336.454000004</v>
      </c>
      <c r="AO365" s="236">
        <f t="shared" si="42"/>
        <v>67746783.655000001</v>
      </c>
    </row>
    <row r="366" spans="2:41" hidden="1" x14ac:dyDescent="0.25">
      <c r="B366" s="12">
        <v>43466</v>
      </c>
      <c r="C366" s="13">
        <v>362514</v>
      </c>
      <c r="D366" s="13">
        <v>496897</v>
      </c>
      <c r="E366" s="13">
        <f>C366+D366</f>
        <v>859411</v>
      </c>
      <c r="F366" s="13">
        <v>30910</v>
      </c>
      <c r="G366" s="13">
        <v>36096</v>
      </c>
      <c r="H366" s="13">
        <f>F366+G366</f>
        <v>67006</v>
      </c>
      <c r="I366" s="13">
        <f>C366+F366</f>
        <v>393424</v>
      </c>
      <c r="J366" s="13">
        <f>D366+G366</f>
        <v>532993</v>
      </c>
      <c r="K366" s="13">
        <f>E366+H366</f>
        <v>926417</v>
      </c>
      <c r="L366" s="13">
        <v>25431251421</v>
      </c>
      <c r="M366" s="13">
        <v>36058491905</v>
      </c>
      <c r="N366" s="13">
        <f t="shared" si="52"/>
        <v>61489743326</v>
      </c>
      <c r="O366" s="13">
        <v>3101534964</v>
      </c>
      <c r="P366" s="13">
        <v>3706589951</v>
      </c>
      <c r="Q366" s="13">
        <f t="shared" si="53"/>
        <v>6808124915</v>
      </c>
      <c r="R366" s="13">
        <f t="shared" si="54"/>
        <v>28532786385</v>
      </c>
      <c r="S366" s="13">
        <f t="shared" si="55"/>
        <v>39765081856</v>
      </c>
      <c r="T366" s="14">
        <f t="shared" si="56"/>
        <v>68297868241</v>
      </c>
      <c r="U366">
        <v>100.748087958</v>
      </c>
      <c r="V366">
        <v>129.01505570699999</v>
      </c>
      <c r="W366" s="221">
        <f t="shared" si="33"/>
        <v>1.2805707614102211</v>
      </c>
      <c r="X366" s="236">
        <f t="shared" si="61"/>
        <v>19859309.760433685</v>
      </c>
      <c r="Y366" s="236">
        <f t="shared" si="62"/>
        <v>28158140.87875222</v>
      </c>
      <c r="Z366" s="236">
        <f t="shared" si="63"/>
        <v>48017450.639185905</v>
      </c>
      <c r="AA366" s="236">
        <f t="shared" si="64"/>
        <v>2421994.2056028615</v>
      </c>
      <c r="AB366" s="236">
        <f t="shared" si="65"/>
        <v>2894482.7280908236</v>
      </c>
      <c r="AC366" s="236">
        <f t="shared" si="66"/>
        <v>5316476.9336936856</v>
      </c>
      <c r="AD366" s="236">
        <f t="shared" si="67"/>
        <v>22281303.966036547</v>
      </c>
      <c r="AE366" s="236">
        <f t="shared" si="68"/>
        <v>31052623.606843039</v>
      </c>
      <c r="AF366" s="236">
        <f t="shared" si="69"/>
        <v>53333927.57287959</v>
      </c>
      <c r="AG366" s="236">
        <f t="shared" si="34"/>
        <v>25431251.421</v>
      </c>
      <c r="AH366" s="236">
        <f t="shared" si="35"/>
        <v>36058491.905000001</v>
      </c>
      <c r="AI366" s="236">
        <f t="shared" si="36"/>
        <v>61489743.325999998</v>
      </c>
      <c r="AJ366" s="236">
        <f t="shared" si="37"/>
        <v>3101534.9640000002</v>
      </c>
      <c r="AK366" s="236">
        <f t="shared" si="38"/>
        <v>3706589.9509999999</v>
      </c>
      <c r="AL366" s="236">
        <f t="shared" si="39"/>
        <v>6808124.915</v>
      </c>
      <c r="AM366" s="236">
        <f t="shared" si="40"/>
        <v>28532786.385000002</v>
      </c>
      <c r="AN366" s="236">
        <f t="shared" si="41"/>
        <v>39765081.855999999</v>
      </c>
      <c r="AO366" s="236">
        <f t="shared" si="42"/>
        <v>68297868.240999997</v>
      </c>
    </row>
    <row r="367" spans="2:41" hidden="1" x14ac:dyDescent="0.25">
      <c r="B367" s="12">
        <v>43497</v>
      </c>
      <c r="C367" s="13">
        <v>365127</v>
      </c>
      <c r="D367" s="13">
        <v>499418</v>
      </c>
      <c r="E367" s="13">
        <f t="shared" ref="E367:E389" si="70">C367+D367</f>
        <v>864545</v>
      </c>
      <c r="F367" s="13">
        <v>30991</v>
      </c>
      <c r="G367" s="13">
        <v>36240</v>
      </c>
      <c r="H367" s="13">
        <f t="shared" ref="H367:H413" si="71">F367+G367</f>
        <v>67231</v>
      </c>
      <c r="I367" s="13">
        <f t="shared" ref="I367:K389" si="72">C367+F367</f>
        <v>396118</v>
      </c>
      <c r="J367" s="13">
        <f t="shared" si="72"/>
        <v>535658</v>
      </c>
      <c r="K367" s="13">
        <f t="shared" si="72"/>
        <v>931776</v>
      </c>
      <c r="L367" s="13">
        <v>25518935997</v>
      </c>
      <c r="M367" s="13">
        <v>35798638282</v>
      </c>
      <c r="N367" s="13">
        <f t="shared" si="52"/>
        <v>61317574279</v>
      </c>
      <c r="O367" s="13">
        <v>3104254860</v>
      </c>
      <c r="P367" s="13">
        <v>3721033081</v>
      </c>
      <c r="Q367" s="13">
        <f t="shared" si="53"/>
        <v>6825287941</v>
      </c>
      <c r="R367" s="13">
        <f t="shared" si="54"/>
        <v>28623190857</v>
      </c>
      <c r="S367" s="13">
        <f t="shared" si="55"/>
        <v>39519671363</v>
      </c>
      <c r="T367" s="14">
        <f t="shared" si="56"/>
        <v>68142862220</v>
      </c>
      <c r="U367">
        <v>100.79463698399999</v>
      </c>
      <c r="V367">
        <v>129.01505570699999</v>
      </c>
      <c r="W367" s="221">
        <f t="shared" si="33"/>
        <v>1.2799793676272644</v>
      </c>
      <c r="X367" s="236">
        <f t="shared" si="61"/>
        <v>19936990.112821277</v>
      </c>
      <c r="Y367" s="236">
        <f t="shared" si="62"/>
        <v>27968136.977364715</v>
      </c>
      <c r="Z367" s="236">
        <f t="shared" si="63"/>
        <v>47905127.090186</v>
      </c>
      <c r="AA367" s="236">
        <f t="shared" si="64"/>
        <v>2425238.2018894954</v>
      </c>
      <c r="AB367" s="236">
        <f t="shared" si="65"/>
        <v>2907103.9542596606</v>
      </c>
      <c r="AC367" s="236">
        <f t="shared" si="66"/>
        <v>5332342.1561491555</v>
      </c>
      <c r="AD367" s="236">
        <f t="shared" si="67"/>
        <v>22362228.314710774</v>
      </c>
      <c r="AE367" s="236">
        <f t="shared" si="68"/>
        <v>30875240.931624379</v>
      </c>
      <c r="AF367" s="236">
        <f t="shared" si="69"/>
        <v>53237469.246335149</v>
      </c>
      <c r="AG367" s="236">
        <f t="shared" si="34"/>
        <v>25518935.997000001</v>
      </c>
      <c r="AH367" s="236">
        <f t="shared" si="35"/>
        <v>35798638.281999998</v>
      </c>
      <c r="AI367" s="236">
        <f t="shared" si="36"/>
        <v>61317574.278999999</v>
      </c>
      <c r="AJ367" s="236">
        <f t="shared" si="37"/>
        <v>3104254.86</v>
      </c>
      <c r="AK367" s="236">
        <f t="shared" si="38"/>
        <v>3721033.0809999998</v>
      </c>
      <c r="AL367" s="236">
        <f t="shared" si="39"/>
        <v>6825287.9409999996</v>
      </c>
      <c r="AM367" s="236">
        <f t="shared" si="40"/>
        <v>28623190.857000001</v>
      </c>
      <c r="AN367" s="236">
        <f t="shared" si="41"/>
        <v>39519671.362999998</v>
      </c>
      <c r="AO367" s="236">
        <f t="shared" si="42"/>
        <v>68142862.219999999</v>
      </c>
    </row>
    <row r="368" spans="2:41" hidden="1" x14ac:dyDescent="0.25">
      <c r="B368" s="12">
        <v>43525</v>
      </c>
      <c r="C368" s="13">
        <v>368185</v>
      </c>
      <c r="D368" s="13">
        <v>503074</v>
      </c>
      <c r="E368" s="13">
        <f t="shared" si="70"/>
        <v>871259</v>
      </c>
      <c r="F368" s="13">
        <v>31236</v>
      </c>
      <c r="G368" s="13">
        <v>36473</v>
      </c>
      <c r="H368" s="13">
        <f t="shared" si="71"/>
        <v>67709</v>
      </c>
      <c r="I368" s="13">
        <f t="shared" si="72"/>
        <v>399421</v>
      </c>
      <c r="J368" s="13">
        <f t="shared" si="72"/>
        <v>539547</v>
      </c>
      <c r="K368" s="13">
        <f t="shared" si="72"/>
        <v>938968</v>
      </c>
      <c r="L368" s="13">
        <v>25777105260</v>
      </c>
      <c r="M368" s="13">
        <v>36244202856</v>
      </c>
      <c r="N368" s="13">
        <f t="shared" si="52"/>
        <v>62021308116</v>
      </c>
      <c r="O368" s="13">
        <v>3131110402</v>
      </c>
      <c r="P368" s="13">
        <v>3743192044</v>
      </c>
      <c r="Q368" s="13">
        <f t="shared" si="53"/>
        <v>6874302446</v>
      </c>
      <c r="R368" s="13">
        <f t="shared" si="54"/>
        <v>28908215662</v>
      </c>
      <c r="S368" s="13">
        <f t="shared" si="55"/>
        <v>39987394900</v>
      </c>
      <c r="T368" s="14">
        <f t="shared" si="56"/>
        <v>68895610562</v>
      </c>
      <c r="U368">
        <v>101.272680897</v>
      </c>
      <c r="V368">
        <v>129.01505570699999</v>
      </c>
      <c r="W368" s="221">
        <f t="shared" si="33"/>
        <v>1.273937399151263</v>
      </c>
      <c r="X368" s="236">
        <f t="shared" si="61"/>
        <v>20234200.893366907</v>
      </c>
      <c r="Y368" s="236">
        <f t="shared" si="62"/>
        <v>28450536.800432287</v>
      </c>
      <c r="Z368" s="236">
        <f t="shared" si="63"/>
        <v>48684737.69379919</v>
      </c>
      <c r="AA368" s="236">
        <f t="shared" si="64"/>
        <v>2457821.2430893732</v>
      </c>
      <c r="AB368" s="236">
        <f t="shared" si="65"/>
        <v>2938285.701082197</v>
      </c>
      <c r="AC368" s="236">
        <f t="shared" si="66"/>
        <v>5396106.9441715712</v>
      </c>
      <c r="AD368" s="236">
        <f t="shared" si="67"/>
        <v>22692022.136456281</v>
      </c>
      <c r="AE368" s="236">
        <f t="shared" si="68"/>
        <v>31388822.50151448</v>
      </c>
      <c r="AF368" s="236">
        <f t="shared" si="69"/>
        <v>54080844.63797076</v>
      </c>
      <c r="AG368" s="236">
        <f t="shared" si="34"/>
        <v>25777105.260000002</v>
      </c>
      <c r="AH368" s="236">
        <f t="shared" si="35"/>
        <v>36244202.855999999</v>
      </c>
      <c r="AI368" s="236">
        <f t="shared" si="36"/>
        <v>62021308.115999997</v>
      </c>
      <c r="AJ368" s="236">
        <f t="shared" si="37"/>
        <v>3131110.4019999998</v>
      </c>
      <c r="AK368" s="236">
        <f t="shared" si="38"/>
        <v>3743192.0440000002</v>
      </c>
      <c r="AL368" s="236">
        <f t="shared" si="39"/>
        <v>6874302.4460000005</v>
      </c>
      <c r="AM368" s="236">
        <f t="shared" si="40"/>
        <v>28908215.662</v>
      </c>
      <c r="AN368" s="236">
        <f t="shared" si="41"/>
        <v>39987394.899999999</v>
      </c>
      <c r="AO368" s="236">
        <f t="shared" si="42"/>
        <v>68895610.562000006</v>
      </c>
    </row>
    <row r="369" spans="2:41" hidden="1" x14ac:dyDescent="0.25">
      <c r="B369" s="12">
        <v>43556</v>
      </c>
      <c r="C369" s="13">
        <v>370802</v>
      </c>
      <c r="D369" s="13">
        <v>506604</v>
      </c>
      <c r="E369" s="13">
        <f t="shared" si="70"/>
        <v>877406</v>
      </c>
      <c r="F369" s="13">
        <v>31411</v>
      </c>
      <c r="G369" s="13">
        <v>36631</v>
      </c>
      <c r="H369" s="13">
        <f t="shared" si="71"/>
        <v>68042</v>
      </c>
      <c r="I369" s="13">
        <f t="shared" si="72"/>
        <v>402213</v>
      </c>
      <c r="J369" s="13">
        <f t="shared" si="72"/>
        <v>543235</v>
      </c>
      <c r="K369" s="13">
        <f t="shared" si="72"/>
        <v>945448</v>
      </c>
      <c r="L369" s="13">
        <v>25931350271</v>
      </c>
      <c r="M369" s="13">
        <v>36495616800</v>
      </c>
      <c r="N369" s="13">
        <f t="shared" si="52"/>
        <v>62426967071</v>
      </c>
      <c r="O369" s="13">
        <v>3138435683</v>
      </c>
      <c r="P369" s="13">
        <v>3744336974</v>
      </c>
      <c r="Q369" s="13">
        <f t="shared" si="53"/>
        <v>6882772657</v>
      </c>
      <c r="R369" s="13">
        <f t="shared" si="54"/>
        <v>29069785954</v>
      </c>
      <c r="S369" s="13">
        <f t="shared" si="55"/>
        <v>40239953774</v>
      </c>
      <c r="T369" s="14">
        <f t="shared" si="56"/>
        <v>69309739728</v>
      </c>
      <c r="U369">
        <v>101.536606212</v>
      </c>
      <c r="V369">
        <v>129.01505570699999</v>
      </c>
      <c r="W369" s="221">
        <f t="shared" ref="W369:W413" si="73">+V369/U369</f>
        <v>1.2706260384321619</v>
      </c>
      <c r="X369" s="236">
        <f t="shared" si="61"/>
        <v>20408325.885558706</v>
      </c>
      <c r="Y369" s="236">
        <f t="shared" si="62"/>
        <v>28722547.544383951</v>
      </c>
      <c r="Z369" s="236">
        <f t="shared" si="63"/>
        <v>49130873.42994266</v>
      </c>
      <c r="AA369" s="236">
        <f t="shared" si="64"/>
        <v>2469991.6325282827</v>
      </c>
      <c r="AB369" s="236">
        <f t="shared" si="65"/>
        <v>2946844.2017921926</v>
      </c>
      <c r="AC369" s="236">
        <f t="shared" si="66"/>
        <v>5416835.8343204753</v>
      </c>
      <c r="AD369" s="236">
        <f t="shared" si="67"/>
        <v>22878317.518086985</v>
      </c>
      <c r="AE369" s="236">
        <f t="shared" si="68"/>
        <v>31669391.746176142</v>
      </c>
      <c r="AF369" s="236">
        <f t="shared" si="69"/>
        <v>54547709.264263131</v>
      </c>
      <c r="AG369" s="236">
        <f t="shared" ref="AG369:AG413" si="74">+L369/$AA$238</f>
        <v>25931350.271000002</v>
      </c>
      <c r="AH369" s="236">
        <f t="shared" ref="AH369:AH413" si="75">+M369/$AA$238</f>
        <v>36495616.799999997</v>
      </c>
      <c r="AI369" s="236">
        <f t="shared" ref="AI369:AI413" si="76">+N369/$AA$238</f>
        <v>62426967.071000002</v>
      </c>
      <c r="AJ369" s="236">
        <f t="shared" ref="AJ369:AJ413" si="77">+O369/$AA$238</f>
        <v>3138435.6830000002</v>
      </c>
      <c r="AK369" s="236">
        <f t="shared" ref="AK369:AK413" si="78">+P369/$AA$238</f>
        <v>3744336.9739999999</v>
      </c>
      <c r="AL369" s="236">
        <f t="shared" ref="AL369:AL413" si="79">+Q369/$AA$238</f>
        <v>6882772.6569999997</v>
      </c>
      <c r="AM369" s="236">
        <f t="shared" ref="AM369:AM413" si="80">+R369/$AA$238</f>
        <v>29069785.954</v>
      </c>
      <c r="AN369" s="236">
        <f t="shared" ref="AN369:AN413" si="81">+S369/$AA$238</f>
        <v>40239953.773999996</v>
      </c>
      <c r="AO369" s="236">
        <f t="shared" ref="AO369:AO413" si="82">+T369/$AA$238</f>
        <v>69309739.728</v>
      </c>
    </row>
    <row r="370" spans="2:41" hidden="1" x14ac:dyDescent="0.25">
      <c r="B370" s="12">
        <v>43586</v>
      </c>
      <c r="C370" s="13">
        <v>373627</v>
      </c>
      <c r="D370" s="13">
        <v>510020</v>
      </c>
      <c r="E370" s="13">
        <f t="shared" si="70"/>
        <v>883647</v>
      </c>
      <c r="F370" s="13">
        <v>31638</v>
      </c>
      <c r="G370" s="13">
        <v>36814</v>
      </c>
      <c r="H370" s="13">
        <f t="shared" si="71"/>
        <v>68452</v>
      </c>
      <c r="I370" s="13">
        <f t="shared" si="72"/>
        <v>405265</v>
      </c>
      <c r="J370" s="13">
        <f t="shared" si="72"/>
        <v>546834</v>
      </c>
      <c r="K370" s="13">
        <f t="shared" si="72"/>
        <v>952099</v>
      </c>
      <c r="L370" s="13">
        <v>26107342028</v>
      </c>
      <c r="M370" s="13">
        <v>36743915141</v>
      </c>
      <c r="N370" s="13">
        <f t="shared" si="52"/>
        <v>62851257169</v>
      </c>
      <c r="O370" s="13">
        <v>3158996179</v>
      </c>
      <c r="P370" s="13">
        <v>3763433530</v>
      </c>
      <c r="Q370" s="13">
        <f t="shared" si="53"/>
        <v>6922429709</v>
      </c>
      <c r="R370" s="13">
        <f t="shared" si="54"/>
        <v>29266338207</v>
      </c>
      <c r="S370" s="13">
        <f t="shared" si="55"/>
        <v>40507348671</v>
      </c>
      <c r="T370" s="14">
        <f t="shared" si="56"/>
        <v>69773686878</v>
      </c>
      <c r="U370">
        <v>102.150333284</v>
      </c>
      <c r="V370">
        <v>129.01505570699999</v>
      </c>
      <c r="W370" s="221">
        <f t="shared" si="73"/>
        <v>1.2629920193046287</v>
      </c>
      <c r="X370" s="236">
        <f t="shared" si="61"/>
        <v>20671026.917790059</v>
      </c>
      <c r="Y370" s="236">
        <f t="shared" si="62"/>
        <v>29092753.223595403</v>
      </c>
      <c r="Z370" s="236">
        <f t="shared" si="63"/>
        <v>49763780.141385458</v>
      </c>
      <c r="AA370" s="236">
        <f t="shared" si="64"/>
        <v>2501200.4278057618</v>
      </c>
      <c r="AB370" s="236">
        <f t="shared" si="65"/>
        <v>2979776.1763150734</v>
      </c>
      <c r="AC370" s="236">
        <f t="shared" si="66"/>
        <v>5480976.6041208357</v>
      </c>
      <c r="AD370" s="236">
        <f t="shared" si="67"/>
        <v>23172227.345595822</v>
      </c>
      <c r="AE370" s="236">
        <f t="shared" si="68"/>
        <v>32072529.399910472</v>
      </c>
      <c r="AF370" s="236">
        <f t="shared" si="69"/>
        <v>55244756.745506294</v>
      </c>
      <c r="AG370" s="236">
        <f t="shared" si="74"/>
        <v>26107342.028000001</v>
      </c>
      <c r="AH370" s="236">
        <f t="shared" si="75"/>
        <v>36743915.141000003</v>
      </c>
      <c r="AI370" s="236">
        <f t="shared" si="76"/>
        <v>62851257.169</v>
      </c>
      <c r="AJ370" s="236">
        <f t="shared" si="77"/>
        <v>3158996.179</v>
      </c>
      <c r="AK370" s="236">
        <f t="shared" si="78"/>
        <v>3763433.53</v>
      </c>
      <c r="AL370" s="236">
        <f t="shared" si="79"/>
        <v>6922429.7089999998</v>
      </c>
      <c r="AM370" s="236">
        <f t="shared" si="80"/>
        <v>29266338.206999999</v>
      </c>
      <c r="AN370" s="236">
        <f t="shared" si="81"/>
        <v>40507348.670999996</v>
      </c>
      <c r="AO370" s="236">
        <f t="shared" si="82"/>
        <v>69773686.878000006</v>
      </c>
    </row>
    <row r="371" spans="2:41" hidden="1" x14ac:dyDescent="0.25">
      <c r="B371" s="12">
        <v>43617</v>
      </c>
      <c r="C371" s="13">
        <v>375576</v>
      </c>
      <c r="D371" s="13">
        <v>512725</v>
      </c>
      <c r="E371" s="13">
        <f t="shared" si="70"/>
        <v>888301</v>
      </c>
      <c r="F371" s="13">
        <v>31723</v>
      </c>
      <c r="G371" s="13">
        <v>36850</v>
      </c>
      <c r="H371" s="13">
        <f t="shared" si="71"/>
        <v>68573</v>
      </c>
      <c r="I371" s="13">
        <f t="shared" si="72"/>
        <v>407299</v>
      </c>
      <c r="J371" s="13">
        <f t="shared" si="72"/>
        <v>549575</v>
      </c>
      <c r="K371" s="13">
        <f t="shared" si="72"/>
        <v>956874</v>
      </c>
      <c r="L371" s="13">
        <v>26270797719</v>
      </c>
      <c r="M371" s="13">
        <v>36997395981</v>
      </c>
      <c r="N371" s="13">
        <f t="shared" si="52"/>
        <v>63268193700</v>
      </c>
      <c r="O371" s="13">
        <v>3158421835</v>
      </c>
      <c r="P371" s="13">
        <v>3755130694</v>
      </c>
      <c r="Q371" s="13">
        <f t="shared" si="53"/>
        <v>6913552529</v>
      </c>
      <c r="R371" s="13">
        <f t="shared" si="54"/>
        <v>29429219554</v>
      </c>
      <c r="S371" s="13">
        <f t="shared" si="55"/>
        <v>40752526675</v>
      </c>
      <c r="T371" s="14">
        <f t="shared" si="56"/>
        <v>70181746229</v>
      </c>
      <c r="U371">
        <v>102.200162221</v>
      </c>
      <c r="V371">
        <v>129.01505570699999</v>
      </c>
      <c r="W371" s="221">
        <f t="shared" si="73"/>
        <v>1.262376232123926</v>
      </c>
      <c r="X371" s="236">
        <f t="shared" ref="X371:X402" si="83">+L371/$W371/$AA$238</f>
        <v>20810592.793560319</v>
      </c>
      <c r="Y371" s="236">
        <f t="shared" ref="Y371:Y402" si="84">+M371/$W371/$AA$238</f>
        <v>29307741.257733066</v>
      </c>
      <c r="Z371" s="236">
        <f t="shared" ref="Z371:Z402" si="85">+N371/$W371/$AA$238</f>
        <v>50118334.051293381</v>
      </c>
      <c r="AA371" s="236">
        <f t="shared" ref="AA371:AA402" si="86">+O371/$W371/$AA$238</f>
        <v>2501965.5429396117</v>
      </c>
      <c r="AB371" s="236">
        <f t="shared" ref="AB371:AB402" si="87">+P371/$W371/$AA$238</f>
        <v>2974652.5627166298</v>
      </c>
      <c r="AC371" s="236">
        <f t="shared" ref="AC371:AC402" si="88">+Q371/$W371/$AA$238</f>
        <v>5476618.1056562411</v>
      </c>
      <c r="AD371" s="236">
        <f t="shared" ref="AD371:AD402" si="89">+R371/$W371/$AA$238</f>
        <v>23312558.336499926</v>
      </c>
      <c r="AE371" s="236">
        <f t="shared" ref="AE371:AE402" si="90">+S371/$W371/$AA$238</f>
        <v>32282393.820449695</v>
      </c>
      <c r="AF371" s="236">
        <f t="shared" ref="AF371:AF402" si="91">+T371/$W371/$AA$238</f>
        <v>55594952.156949624</v>
      </c>
      <c r="AG371" s="236">
        <f t="shared" si="74"/>
        <v>26270797.719000001</v>
      </c>
      <c r="AH371" s="236">
        <f t="shared" si="75"/>
        <v>36997395.980999999</v>
      </c>
      <c r="AI371" s="236">
        <f t="shared" si="76"/>
        <v>63268193.700000003</v>
      </c>
      <c r="AJ371" s="236">
        <f t="shared" si="77"/>
        <v>3158421.835</v>
      </c>
      <c r="AK371" s="236">
        <f t="shared" si="78"/>
        <v>3755130.6940000001</v>
      </c>
      <c r="AL371" s="236">
        <f t="shared" si="79"/>
        <v>6913552.5290000001</v>
      </c>
      <c r="AM371" s="236">
        <f t="shared" si="80"/>
        <v>29429219.554000001</v>
      </c>
      <c r="AN371" s="236">
        <f t="shared" si="81"/>
        <v>40752526.674999997</v>
      </c>
      <c r="AO371" s="236">
        <f t="shared" si="82"/>
        <v>70181746.229000002</v>
      </c>
    </row>
    <row r="372" spans="2:41" hidden="1" x14ac:dyDescent="0.25">
      <c r="B372" s="12">
        <v>43647</v>
      </c>
      <c r="C372" s="13">
        <v>379973</v>
      </c>
      <c r="D372" s="13">
        <v>517325</v>
      </c>
      <c r="E372" s="13">
        <f t="shared" si="70"/>
        <v>897298</v>
      </c>
      <c r="F372" s="13">
        <v>32159</v>
      </c>
      <c r="G372" s="13">
        <v>37208</v>
      </c>
      <c r="H372" s="13">
        <f t="shared" si="71"/>
        <v>69367</v>
      </c>
      <c r="I372" s="13">
        <f t="shared" si="72"/>
        <v>412132</v>
      </c>
      <c r="J372" s="13">
        <f t="shared" si="72"/>
        <v>554533</v>
      </c>
      <c r="K372" s="13">
        <f t="shared" si="72"/>
        <v>966665</v>
      </c>
      <c r="L372" s="13">
        <v>27412672030</v>
      </c>
      <c r="M372" s="13">
        <v>38788561956</v>
      </c>
      <c r="N372" s="13">
        <f t="shared" ref="N372:N413" si="92">+L372+M372</f>
        <v>66201233986</v>
      </c>
      <c r="O372" s="13">
        <v>3260201037</v>
      </c>
      <c r="P372" s="13">
        <v>3868175031</v>
      </c>
      <c r="Q372" s="13">
        <f t="shared" ref="Q372:Q413" si="93">+O372+P372</f>
        <v>7128376068</v>
      </c>
      <c r="R372" s="13">
        <f t="shared" ref="R372:R413" si="94">+L372+O372</f>
        <v>30672873067</v>
      </c>
      <c r="S372" s="13">
        <f t="shared" ref="S372:S413" si="95">+M372+P372</f>
        <v>42656736987</v>
      </c>
      <c r="T372" s="14">
        <f t="shared" ref="T372:T413" si="96">+R372+S372</f>
        <v>73329610054</v>
      </c>
      <c r="U372">
        <v>102.42867542899999</v>
      </c>
      <c r="V372">
        <v>129.01505570699999</v>
      </c>
      <c r="W372" s="221">
        <f t="shared" si="73"/>
        <v>1.2595599344289945</v>
      </c>
      <c r="X372" s="236">
        <f t="shared" si="83"/>
        <v>21763690.064043827</v>
      </c>
      <c r="Y372" s="236">
        <f t="shared" si="84"/>
        <v>30795328.507796895</v>
      </c>
      <c r="Z372" s="236">
        <f t="shared" si="85"/>
        <v>52559018.571840718</v>
      </c>
      <c r="AA372" s="236">
        <f t="shared" si="86"/>
        <v>2588365.1487199538</v>
      </c>
      <c r="AB372" s="236">
        <f t="shared" si="87"/>
        <v>3071052.7742799218</v>
      </c>
      <c r="AC372" s="236">
        <f t="shared" si="88"/>
        <v>5659417.9229998756</v>
      </c>
      <c r="AD372" s="236">
        <f t="shared" si="89"/>
        <v>24352055.212763779</v>
      </c>
      <c r="AE372" s="236">
        <f t="shared" si="90"/>
        <v>33866381.282076813</v>
      </c>
      <c r="AF372" s="236">
        <f t="shared" si="91"/>
        <v>58218436.494840592</v>
      </c>
      <c r="AG372" s="236">
        <f t="shared" si="74"/>
        <v>27412672.030000001</v>
      </c>
      <c r="AH372" s="236">
        <f t="shared" si="75"/>
        <v>38788561.956</v>
      </c>
      <c r="AI372" s="236">
        <f t="shared" si="76"/>
        <v>66201233.986000001</v>
      </c>
      <c r="AJ372" s="236">
        <f t="shared" si="77"/>
        <v>3260201.037</v>
      </c>
      <c r="AK372" s="236">
        <f t="shared" si="78"/>
        <v>3868175.031</v>
      </c>
      <c r="AL372" s="236">
        <f t="shared" si="79"/>
        <v>7128376.068</v>
      </c>
      <c r="AM372" s="236">
        <f t="shared" si="80"/>
        <v>30672873.067000002</v>
      </c>
      <c r="AN372" s="236">
        <f t="shared" si="81"/>
        <v>42656736.987000003</v>
      </c>
      <c r="AO372" s="236">
        <f t="shared" si="82"/>
        <v>73329610.054000005</v>
      </c>
    </row>
    <row r="373" spans="2:41" hidden="1" x14ac:dyDescent="0.25">
      <c r="B373" s="12">
        <v>43678</v>
      </c>
      <c r="C373" s="13">
        <v>380060</v>
      </c>
      <c r="D373" s="13">
        <v>518553</v>
      </c>
      <c r="E373" s="13">
        <f t="shared" si="70"/>
        <v>898613</v>
      </c>
      <c r="F373" s="13">
        <v>31821</v>
      </c>
      <c r="G373" s="13">
        <v>36864</v>
      </c>
      <c r="H373" s="13">
        <f t="shared" si="71"/>
        <v>68685</v>
      </c>
      <c r="I373" s="13">
        <f t="shared" si="72"/>
        <v>411881</v>
      </c>
      <c r="J373" s="13">
        <f t="shared" si="72"/>
        <v>555417</v>
      </c>
      <c r="K373" s="13">
        <f t="shared" si="72"/>
        <v>967298</v>
      </c>
      <c r="L373" s="13">
        <v>27472775984</v>
      </c>
      <c r="M373" s="13">
        <v>38944915400</v>
      </c>
      <c r="N373" s="13">
        <f t="shared" si="92"/>
        <v>66417691384</v>
      </c>
      <c r="O373" s="13">
        <v>3238617377</v>
      </c>
      <c r="P373" s="13">
        <v>3843231953</v>
      </c>
      <c r="Q373" s="13">
        <f t="shared" si="93"/>
        <v>7081849330</v>
      </c>
      <c r="R373" s="13">
        <f t="shared" si="94"/>
        <v>30711393361</v>
      </c>
      <c r="S373" s="13">
        <f t="shared" si="95"/>
        <v>42788147353</v>
      </c>
      <c r="T373" s="14">
        <f t="shared" si="96"/>
        <v>73499540714</v>
      </c>
      <c r="U373">
        <v>102.620430008</v>
      </c>
      <c r="V373">
        <v>129.01505570699999</v>
      </c>
      <c r="W373" s="221">
        <f t="shared" si="73"/>
        <v>1.2572063447496988</v>
      </c>
      <c r="X373" s="236">
        <f t="shared" si="83"/>
        <v>21852240.961661424</v>
      </c>
      <c r="Y373" s="236">
        <f t="shared" si="84"/>
        <v>30977345.574686598</v>
      </c>
      <c r="Z373" s="236">
        <f t="shared" si="85"/>
        <v>52829586.536348023</v>
      </c>
      <c r="AA373" s="236">
        <f t="shared" si="86"/>
        <v>2576042.8194822599</v>
      </c>
      <c r="AB373" s="236">
        <f t="shared" si="87"/>
        <v>3056961.9450696944</v>
      </c>
      <c r="AC373" s="236">
        <f t="shared" si="88"/>
        <v>5633004.7645519543</v>
      </c>
      <c r="AD373" s="236">
        <f t="shared" si="89"/>
        <v>24428283.78114368</v>
      </c>
      <c r="AE373" s="236">
        <f t="shared" si="90"/>
        <v>34034307.519756295</v>
      </c>
      <c r="AF373" s="236">
        <f t="shared" si="91"/>
        <v>58462591.300899975</v>
      </c>
      <c r="AG373" s="236">
        <f t="shared" si="74"/>
        <v>27472775.984000001</v>
      </c>
      <c r="AH373" s="236">
        <f t="shared" si="75"/>
        <v>38944915.399999999</v>
      </c>
      <c r="AI373" s="236">
        <f t="shared" si="76"/>
        <v>66417691.384000003</v>
      </c>
      <c r="AJ373" s="236">
        <f t="shared" si="77"/>
        <v>3238617.3769999999</v>
      </c>
      <c r="AK373" s="236">
        <f t="shared" si="78"/>
        <v>3843231.9530000002</v>
      </c>
      <c r="AL373" s="236">
        <f t="shared" si="79"/>
        <v>7081849.3300000001</v>
      </c>
      <c r="AM373" s="236">
        <f t="shared" si="80"/>
        <v>30711393.361000001</v>
      </c>
      <c r="AN373" s="236">
        <f t="shared" si="81"/>
        <v>42788147.353</v>
      </c>
      <c r="AO373" s="236">
        <f t="shared" si="82"/>
        <v>73499540.714000002</v>
      </c>
    </row>
    <row r="374" spans="2:41" hidden="1" x14ac:dyDescent="0.25">
      <c r="B374" s="12">
        <v>43709</v>
      </c>
      <c r="C374" s="13">
        <v>383041</v>
      </c>
      <c r="D374" s="13">
        <v>522483</v>
      </c>
      <c r="E374" s="13">
        <f t="shared" si="70"/>
        <v>905524</v>
      </c>
      <c r="F374" s="13">
        <v>32069</v>
      </c>
      <c r="G374" s="13">
        <v>37036</v>
      </c>
      <c r="H374" s="13">
        <f t="shared" si="71"/>
        <v>69105</v>
      </c>
      <c r="I374" s="13">
        <f t="shared" si="72"/>
        <v>415110</v>
      </c>
      <c r="J374" s="13">
        <f t="shared" si="72"/>
        <v>559519</v>
      </c>
      <c r="K374" s="13">
        <f t="shared" si="72"/>
        <v>974629</v>
      </c>
      <c r="L374" s="13">
        <v>27762002280</v>
      </c>
      <c r="M374" s="13">
        <v>39466839700</v>
      </c>
      <c r="N374" s="13">
        <f t="shared" si="92"/>
        <v>67228841980</v>
      </c>
      <c r="O374" s="13">
        <v>3304209767</v>
      </c>
      <c r="P374" s="13">
        <v>3895468836</v>
      </c>
      <c r="Q374" s="13">
        <f t="shared" si="93"/>
        <v>7199678603</v>
      </c>
      <c r="R374" s="13">
        <f t="shared" si="94"/>
        <v>31066212047</v>
      </c>
      <c r="S374" s="13">
        <f t="shared" si="95"/>
        <v>43362308536</v>
      </c>
      <c r="T374" s="14">
        <f t="shared" si="96"/>
        <v>74428520583</v>
      </c>
      <c r="U374">
        <v>102.632852466</v>
      </c>
      <c r="V374">
        <v>129.01505570699999</v>
      </c>
      <c r="W374" s="221">
        <f t="shared" si="73"/>
        <v>1.2570541752187958</v>
      </c>
      <c r="X374" s="236">
        <f t="shared" si="83"/>
        <v>22084968.832125235</v>
      </c>
      <c r="Y374" s="236">
        <f t="shared" si="84"/>
        <v>31396291.805109054</v>
      </c>
      <c r="Z374" s="236">
        <f t="shared" si="85"/>
        <v>53481260.637234293</v>
      </c>
      <c r="AA374" s="236">
        <f t="shared" si="86"/>
        <v>2628534.1015035314</v>
      </c>
      <c r="AB374" s="236">
        <f t="shared" si="87"/>
        <v>3098886.9953214042</v>
      </c>
      <c r="AC374" s="236">
        <f t="shared" si="88"/>
        <v>5727421.0968249347</v>
      </c>
      <c r="AD374" s="236">
        <f t="shared" si="89"/>
        <v>24713502.933628764</v>
      </c>
      <c r="AE374" s="236">
        <f t="shared" si="90"/>
        <v>34495178.800430462</v>
      </c>
      <c r="AF374" s="236">
        <f t="shared" si="91"/>
        <v>59208681.734059229</v>
      </c>
      <c r="AG374" s="236">
        <f t="shared" si="74"/>
        <v>27762002.280000001</v>
      </c>
      <c r="AH374" s="236">
        <f t="shared" si="75"/>
        <v>39466839.700000003</v>
      </c>
      <c r="AI374" s="236">
        <f t="shared" si="76"/>
        <v>67228841.980000004</v>
      </c>
      <c r="AJ374" s="236">
        <f t="shared" si="77"/>
        <v>3304209.767</v>
      </c>
      <c r="AK374" s="236">
        <f t="shared" si="78"/>
        <v>3895468.8360000001</v>
      </c>
      <c r="AL374" s="236">
        <f t="shared" si="79"/>
        <v>7199678.6030000001</v>
      </c>
      <c r="AM374" s="236">
        <f t="shared" si="80"/>
        <v>31066212.046999998</v>
      </c>
      <c r="AN374" s="236">
        <f t="shared" si="81"/>
        <v>43362308.535999998</v>
      </c>
      <c r="AO374" s="236">
        <f t="shared" si="82"/>
        <v>74428520.583000004</v>
      </c>
    </row>
    <row r="375" spans="2:41" hidden="1" x14ac:dyDescent="0.25">
      <c r="B375" s="12">
        <v>43739</v>
      </c>
      <c r="C375" s="13">
        <v>385533</v>
      </c>
      <c r="D375" s="13">
        <v>525564</v>
      </c>
      <c r="E375" s="13">
        <f t="shared" si="70"/>
        <v>911097</v>
      </c>
      <c r="F375" s="13">
        <v>32232</v>
      </c>
      <c r="G375" s="13">
        <v>37173</v>
      </c>
      <c r="H375" s="13">
        <f t="shared" si="71"/>
        <v>69405</v>
      </c>
      <c r="I375" s="13">
        <f t="shared" si="72"/>
        <v>417765</v>
      </c>
      <c r="J375" s="13">
        <f t="shared" si="72"/>
        <v>562737</v>
      </c>
      <c r="K375" s="13">
        <f t="shared" si="72"/>
        <v>980502</v>
      </c>
      <c r="L375" s="13">
        <v>27901112212</v>
      </c>
      <c r="M375" s="13">
        <v>39684366445</v>
      </c>
      <c r="N375" s="13">
        <f t="shared" si="92"/>
        <v>67585478657</v>
      </c>
      <c r="O375" s="13">
        <v>3268601323</v>
      </c>
      <c r="P375" s="13">
        <v>3877926282</v>
      </c>
      <c r="Q375" s="13">
        <f t="shared" si="93"/>
        <v>7146527605</v>
      </c>
      <c r="R375" s="13">
        <f t="shared" si="94"/>
        <v>31169713535</v>
      </c>
      <c r="S375" s="13">
        <f t="shared" si="95"/>
        <v>43562292727</v>
      </c>
      <c r="T375" s="14">
        <f t="shared" si="96"/>
        <v>74732006262</v>
      </c>
      <c r="U375">
        <v>103.465396218</v>
      </c>
      <c r="V375">
        <v>129.01505570699999</v>
      </c>
      <c r="W375" s="221">
        <f t="shared" si="73"/>
        <v>1.2469391740903137</v>
      </c>
      <c r="X375" s="236">
        <f t="shared" si="83"/>
        <v>22375680.219008956</v>
      </c>
      <c r="Y375" s="236">
        <f t="shared" si="84"/>
        <v>31825422.819000896</v>
      </c>
      <c r="Z375" s="236">
        <f t="shared" si="85"/>
        <v>54201103.038009852</v>
      </c>
      <c r="AA375" s="236">
        <f t="shared" si="86"/>
        <v>2621299.7321096761</v>
      </c>
      <c r="AB375" s="236">
        <f t="shared" si="87"/>
        <v>3109956.2533425773</v>
      </c>
      <c r="AC375" s="236">
        <f t="shared" si="88"/>
        <v>5731255.9854522534</v>
      </c>
      <c r="AD375" s="236">
        <f t="shared" si="89"/>
        <v>24996979.951118633</v>
      </c>
      <c r="AE375" s="236">
        <f t="shared" si="90"/>
        <v>34935379.072343476</v>
      </c>
      <c r="AF375" s="236">
        <f t="shared" si="91"/>
        <v>59932359.023462102</v>
      </c>
      <c r="AG375" s="236">
        <f t="shared" si="74"/>
        <v>27901112.212000001</v>
      </c>
      <c r="AH375" s="236">
        <f t="shared" si="75"/>
        <v>39684366.445</v>
      </c>
      <c r="AI375" s="236">
        <f t="shared" si="76"/>
        <v>67585478.657000005</v>
      </c>
      <c r="AJ375" s="236">
        <f t="shared" si="77"/>
        <v>3268601.3229999999</v>
      </c>
      <c r="AK375" s="236">
        <f t="shared" si="78"/>
        <v>3877926.2820000001</v>
      </c>
      <c r="AL375" s="236">
        <f t="shared" si="79"/>
        <v>7146527.6050000004</v>
      </c>
      <c r="AM375" s="236">
        <f t="shared" si="80"/>
        <v>31169713.535</v>
      </c>
      <c r="AN375" s="236">
        <f t="shared" si="81"/>
        <v>43562292.726999998</v>
      </c>
      <c r="AO375" s="236">
        <f t="shared" si="82"/>
        <v>74732006.261999995</v>
      </c>
    </row>
    <row r="376" spans="2:41" hidden="1" x14ac:dyDescent="0.25">
      <c r="B376" s="12">
        <v>43770</v>
      </c>
      <c r="C376" s="13">
        <v>386948</v>
      </c>
      <c r="D376" s="13">
        <v>528588</v>
      </c>
      <c r="E376" s="13">
        <f t="shared" si="70"/>
        <v>915536</v>
      </c>
      <c r="F376" s="13">
        <v>31887</v>
      </c>
      <c r="G376" s="13">
        <v>36934</v>
      </c>
      <c r="H376" s="13">
        <f t="shared" si="71"/>
        <v>68821</v>
      </c>
      <c r="I376" s="13">
        <f t="shared" si="72"/>
        <v>418835</v>
      </c>
      <c r="J376" s="13">
        <f t="shared" si="72"/>
        <v>565522</v>
      </c>
      <c r="K376" s="13">
        <f t="shared" si="72"/>
        <v>984357</v>
      </c>
      <c r="L376" s="13">
        <v>27954551500</v>
      </c>
      <c r="M376" s="13">
        <v>40008684036</v>
      </c>
      <c r="N376" s="13">
        <f t="shared" si="92"/>
        <v>67963235536</v>
      </c>
      <c r="O376" s="13">
        <v>3244535878</v>
      </c>
      <c r="P376" s="13">
        <v>3850292568</v>
      </c>
      <c r="Q376" s="13">
        <f t="shared" si="93"/>
        <v>7094828446</v>
      </c>
      <c r="R376" s="13">
        <f t="shared" si="94"/>
        <v>31199087378</v>
      </c>
      <c r="S376" s="13">
        <f t="shared" si="95"/>
        <v>43858976604</v>
      </c>
      <c r="T376" s="14">
        <f t="shared" si="96"/>
        <v>75058063982</v>
      </c>
      <c r="U376">
        <v>103.553177745</v>
      </c>
      <c r="V376">
        <v>129.01505570699999</v>
      </c>
      <c r="W376" s="221">
        <f t="shared" si="73"/>
        <v>1.2458821497945716</v>
      </c>
      <c r="X376" s="236">
        <f t="shared" si="83"/>
        <v>22437556.798296943</v>
      </c>
      <c r="Y376" s="236">
        <f t="shared" si="84"/>
        <v>32112735.576632883</v>
      </c>
      <c r="Z376" s="236">
        <f t="shared" si="85"/>
        <v>54550292.374929823</v>
      </c>
      <c r="AA376" s="236">
        <f t="shared" si="86"/>
        <v>2604207.6921440591</v>
      </c>
      <c r="AB376" s="236">
        <f t="shared" si="87"/>
        <v>3090414.7463986534</v>
      </c>
      <c r="AC376" s="236">
        <f t="shared" si="88"/>
        <v>5694622.4385427125</v>
      </c>
      <c r="AD376" s="236">
        <f t="shared" si="89"/>
        <v>25041764.490441002</v>
      </c>
      <c r="AE376" s="236">
        <f t="shared" si="90"/>
        <v>35203150.323031537</v>
      </c>
      <c r="AF376" s="236">
        <f t="shared" si="91"/>
        <v>60244914.813472539</v>
      </c>
      <c r="AG376" s="236">
        <f t="shared" si="74"/>
        <v>27954551.5</v>
      </c>
      <c r="AH376" s="236">
        <f t="shared" si="75"/>
        <v>40008684.035999998</v>
      </c>
      <c r="AI376" s="236">
        <f t="shared" si="76"/>
        <v>67963235.535999998</v>
      </c>
      <c r="AJ376" s="236">
        <f t="shared" si="77"/>
        <v>3244535.878</v>
      </c>
      <c r="AK376" s="236">
        <f t="shared" si="78"/>
        <v>3850292.568</v>
      </c>
      <c r="AL376" s="236">
        <f t="shared" si="79"/>
        <v>7094828.4460000005</v>
      </c>
      <c r="AM376" s="236">
        <f t="shared" si="80"/>
        <v>31199087.377999999</v>
      </c>
      <c r="AN376" s="236">
        <f t="shared" si="81"/>
        <v>43858976.604000002</v>
      </c>
      <c r="AO376" s="236">
        <f t="shared" si="82"/>
        <v>75058063.981999993</v>
      </c>
    </row>
    <row r="377" spans="2:41" hidden="1" x14ac:dyDescent="0.25">
      <c r="B377" s="15">
        <v>43800</v>
      </c>
      <c r="C377" s="16">
        <v>388114</v>
      </c>
      <c r="D377" s="16">
        <v>525915</v>
      </c>
      <c r="E377" s="16">
        <f t="shared" si="70"/>
        <v>914029</v>
      </c>
      <c r="F377" s="16">
        <v>31630</v>
      </c>
      <c r="G377" s="16">
        <v>36702</v>
      </c>
      <c r="H377" s="16">
        <f t="shared" si="71"/>
        <v>68332</v>
      </c>
      <c r="I377" s="17">
        <f t="shared" si="72"/>
        <v>419744</v>
      </c>
      <c r="J377" s="17">
        <f t="shared" si="72"/>
        <v>562617</v>
      </c>
      <c r="K377" s="17">
        <f t="shared" si="72"/>
        <v>982361</v>
      </c>
      <c r="L377" s="16">
        <v>41145068046</v>
      </c>
      <c r="M377" s="16">
        <v>58614815199</v>
      </c>
      <c r="N377" s="16">
        <f t="shared" si="92"/>
        <v>99759883245</v>
      </c>
      <c r="O377" s="16">
        <v>4065124243</v>
      </c>
      <c r="P377" s="16">
        <v>4813761620</v>
      </c>
      <c r="Q377" s="16">
        <f t="shared" si="93"/>
        <v>8878885863</v>
      </c>
      <c r="R377" s="16">
        <f t="shared" si="94"/>
        <v>45210192289</v>
      </c>
      <c r="S377" s="16">
        <f t="shared" si="95"/>
        <v>63428576819</v>
      </c>
      <c r="T377" s="16">
        <f t="shared" si="96"/>
        <v>108638769108</v>
      </c>
      <c r="U377">
        <v>103.65598192</v>
      </c>
      <c r="V377">
        <v>129.01505570699999</v>
      </c>
      <c r="W377" s="221">
        <f t="shared" si="73"/>
        <v>1.2446465058482752</v>
      </c>
      <c r="X377" s="236">
        <f t="shared" si="83"/>
        <v>33057633.514953736</v>
      </c>
      <c r="Y377" s="236">
        <f t="shared" si="84"/>
        <v>47093544.169837773</v>
      </c>
      <c r="Z377" s="236">
        <f t="shared" si="85"/>
        <v>80151177.684791505</v>
      </c>
      <c r="AA377" s="236">
        <f t="shared" si="86"/>
        <v>3266087.3781423257</v>
      </c>
      <c r="AB377" s="236">
        <f t="shared" si="87"/>
        <v>3867573.3209239463</v>
      </c>
      <c r="AC377" s="236">
        <f t="shared" si="88"/>
        <v>7133660.6990662729</v>
      </c>
      <c r="AD377" s="236">
        <f t="shared" si="89"/>
        <v>36323720.89309606</v>
      </c>
      <c r="AE377" s="236">
        <f t="shared" si="90"/>
        <v>50961117.490761727</v>
      </c>
      <c r="AF377" s="236">
        <f t="shared" si="91"/>
        <v>87284838.383857787</v>
      </c>
      <c r="AG377" s="236">
        <f t="shared" si="74"/>
        <v>41145068.045999996</v>
      </c>
      <c r="AH377" s="236">
        <f t="shared" si="75"/>
        <v>58614815.199000001</v>
      </c>
      <c r="AI377" s="236">
        <f t="shared" si="76"/>
        <v>99759883.245000005</v>
      </c>
      <c r="AJ377" s="236">
        <f t="shared" si="77"/>
        <v>4065124.2429999998</v>
      </c>
      <c r="AK377" s="236">
        <f t="shared" si="78"/>
        <v>4813761.62</v>
      </c>
      <c r="AL377" s="236">
        <f t="shared" si="79"/>
        <v>8878885.8629999999</v>
      </c>
      <c r="AM377" s="236">
        <f t="shared" si="80"/>
        <v>45210192.288999997</v>
      </c>
      <c r="AN377" s="236">
        <f t="shared" si="81"/>
        <v>63428576.818999998</v>
      </c>
      <c r="AO377" s="236">
        <f t="shared" si="82"/>
        <v>108638769.108</v>
      </c>
    </row>
    <row r="378" spans="2:41" hidden="1" x14ac:dyDescent="0.25">
      <c r="B378" s="12">
        <v>43831</v>
      </c>
      <c r="C378" s="13">
        <v>392610</v>
      </c>
      <c r="D378" s="13">
        <v>540610</v>
      </c>
      <c r="E378" s="13">
        <f t="shared" si="70"/>
        <v>933220</v>
      </c>
      <c r="F378" s="13">
        <v>32309</v>
      </c>
      <c r="G378" s="13">
        <v>37278</v>
      </c>
      <c r="H378" s="13">
        <f t="shared" si="71"/>
        <v>69587</v>
      </c>
      <c r="I378" s="13">
        <f t="shared" si="72"/>
        <v>424919</v>
      </c>
      <c r="J378" s="13">
        <f t="shared" si="72"/>
        <v>577888</v>
      </c>
      <c r="K378" s="13">
        <f t="shared" si="72"/>
        <v>1002807</v>
      </c>
      <c r="L378" s="13">
        <v>41855011823</v>
      </c>
      <c r="M378" s="13">
        <v>60801972767</v>
      </c>
      <c r="N378" s="13">
        <f t="shared" si="92"/>
        <v>102656984590</v>
      </c>
      <c r="O378" s="13">
        <v>4172720449</v>
      </c>
      <c r="P378" s="13">
        <v>4925404287</v>
      </c>
      <c r="Q378" s="13">
        <f t="shared" si="93"/>
        <v>9098124736</v>
      </c>
      <c r="R378" s="13">
        <f t="shared" si="94"/>
        <v>46027732272</v>
      </c>
      <c r="S378" s="13">
        <f t="shared" si="95"/>
        <v>65727377054</v>
      </c>
      <c r="T378" s="14">
        <f t="shared" si="96"/>
        <v>111755109326</v>
      </c>
      <c r="U378">
        <v>104.242876376</v>
      </c>
      <c r="V378">
        <v>129.01505570699999</v>
      </c>
      <c r="W378" s="221">
        <f t="shared" si="73"/>
        <v>1.2376390617009425</v>
      </c>
      <c r="X378" s="236">
        <f t="shared" si="83"/>
        <v>33818431.49445913</v>
      </c>
      <c r="Y378" s="236">
        <f t="shared" si="84"/>
        <v>49127386.690136574</v>
      </c>
      <c r="Z378" s="236">
        <f t="shared" si="85"/>
        <v>82945818.184595704</v>
      </c>
      <c r="AA378" s="236">
        <f t="shared" si="86"/>
        <v>3371516.4445967344</v>
      </c>
      <c r="AB378" s="236">
        <f t="shared" si="87"/>
        <v>3979677.4677027385</v>
      </c>
      <c r="AC378" s="236">
        <f t="shared" si="88"/>
        <v>7351193.9122994728</v>
      </c>
      <c r="AD378" s="236">
        <f t="shared" si="89"/>
        <v>37189947.93905586</v>
      </c>
      <c r="AE378" s="236">
        <f t="shared" si="90"/>
        <v>53107064.157839313</v>
      </c>
      <c r="AF378" s="236">
        <f t="shared" si="91"/>
        <v>90297012.096895173</v>
      </c>
      <c r="AG378" s="236">
        <f t="shared" si="74"/>
        <v>41855011.822999999</v>
      </c>
      <c r="AH378" s="236">
        <f t="shared" si="75"/>
        <v>60801972.766999997</v>
      </c>
      <c r="AI378" s="236">
        <f t="shared" si="76"/>
        <v>102656984.59</v>
      </c>
      <c r="AJ378" s="236">
        <f t="shared" si="77"/>
        <v>4172720.449</v>
      </c>
      <c r="AK378" s="236">
        <f t="shared" si="78"/>
        <v>4925404.2869999995</v>
      </c>
      <c r="AL378" s="236">
        <f t="shared" si="79"/>
        <v>9098124.7359999996</v>
      </c>
      <c r="AM378" s="236">
        <f t="shared" si="80"/>
        <v>46027732.272</v>
      </c>
      <c r="AN378" s="236">
        <f t="shared" si="81"/>
        <v>65727377.053999998</v>
      </c>
      <c r="AO378" s="236">
        <f t="shared" si="82"/>
        <v>111755109.32600001</v>
      </c>
    </row>
    <row r="379" spans="2:41" hidden="1" x14ac:dyDescent="0.25">
      <c r="B379" s="12">
        <v>43862</v>
      </c>
      <c r="C379" s="13">
        <v>398903</v>
      </c>
      <c r="D379" s="13">
        <v>546952</v>
      </c>
      <c r="E379" s="13">
        <f t="shared" si="70"/>
        <v>945855</v>
      </c>
      <c r="F379" s="13">
        <v>32349</v>
      </c>
      <c r="G379" s="13">
        <v>37310</v>
      </c>
      <c r="H379" s="13">
        <f t="shared" si="71"/>
        <v>69659</v>
      </c>
      <c r="I379" s="13">
        <f t="shared" si="72"/>
        <v>431252</v>
      </c>
      <c r="J379" s="13">
        <f t="shared" si="72"/>
        <v>584262</v>
      </c>
      <c r="K379" s="13">
        <f t="shared" si="72"/>
        <v>1015514</v>
      </c>
      <c r="L379" s="13">
        <v>41691861558</v>
      </c>
      <c r="M379" s="13">
        <v>60218816060</v>
      </c>
      <c r="N379" s="13">
        <f t="shared" si="92"/>
        <v>101910677618</v>
      </c>
      <c r="O379" s="13">
        <v>4127753277</v>
      </c>
      <c r="P379" s="13">
        <v>4865028026</v>
      </c>
      <c r="Q379" s="13">
        <f t="shared" si="93"/>
        <v>8992781303</v>
      </c>
      <c r="R379" s="13">
        <f t="shared" si="94"/>
        <v>45819614835</v>
      </c>
      <c r="S379" s="13">
        <f t="shared" si="95"/>
        <v>65083844086</v>
      </c>
      <c r="T379" s="14">
        <f t="shared" si="96"/>
        <v>110903458921</v>
      </c>
      <c r="U379">
        <v>104.710269657</v>
      </c>
      <c r="V379">
        <v>129.01505570699999</v>
      </c>
      <c r="W379" s="221">
        <f t="shared" si="73"/>
        <v>1.2321146352656269</v>
      </c>
      <c r="X379" s="236">
        <f t="shared" si="83"/>
        <v>33837648.190106764</v>
      </c>
      <c r="Y379" s="236">
        <f t="shared" si="84"/>
        <v>48874361.47288166</v>
      </c>
      <c r="Z379" s="236">
        <f t="shared" si="85"/>
        <v>82712009.662988439</v>
      </c>
      <c r="AA379" s="236">
        <f t="shared" si="86"/>
        <v>3350137.36454004</v>
      </c>
      <c r="AB379" s="236">
        <f t="shared" si="87"/>
        <v>3948518.9825305231</v>
      </c>
      <c r="AC379" s="236">
        <f t="shared" si="88"/>
        <v>7298656.3470705636</v>
      </c>
      <c r="AD379" s="236">
        <f t="shared" si="89"/>
        <v>37187785.554646805</v>
      </c>
      <c r="AE379" s="236">
        <f t="shared" si="90"/>
        <v>52822880.455412187</v>
      </c>
      <c r="AF379" s="236">
        <f t="shared" si="91"/>
        <v>90010666.010058984</v>
      </c>
      <c r="AG379" s="236">
        <f t="shared" si="74"/>
        <v>41691861.557999998</v>
      </c>
      <c r="AH379" s="236">
        <f t="shared" si="75"/>
        <v>60218816.060000002</v>
      </c>
      <c r="AI379" s="236">
        <f t="shared" si="76"/>
        <v>101910677.618</v>
      </c>
      <c r="AJ379" s="236">
        <f t="shared" si="77"/>
        <v>4127753.2769999998</v>
      </c>
      <c r="AK379" s="236">
        <f t="shared" si="78"/>
        <v>4865028.0259999996</v>
      </c>
      <c r="AL379" s="236">
        <f t="shared" si="79"/>
        <v>8992781.3029999994</v>
      </c>
      <c r="AM379" s="236">
        <f t="shared" si="80"/>
        <v>45819614.835000001</v>
      </c>
      <c r="AN379" s="236">
        <f t="shared" si="81"/>
        <v>65083844.086000003</v>
      </c>
      <c r="AO379" s="236">
        <f t="shared" si="82"/>
        <v>110903458.921</v>
      </c>
    </row>
    <row r="380" spans="2:41" hidden="1" x14ac:dyDescent="0.25">
      <c r="B380" s="12">
        <v>43891</v>
      </c>
      <c r="C380" s="13">
        <v>408322</v>
      </c>
      <c r="D380" s="13">
        <v>555640</v>
      </c>
      <c r="E380" s="13">
        <f t="shared" si="70"/>
        <v>963962</v>
      </c>
      <c r="F380" s="13">
        <v>32685</v>
      </c>
      <c r="G380" s="13">
        <v>37607</v>
      </c>
      <c r="H380" s="13">
        <f t="shared" si="71"/>
        <v>70292</v>
      </c>
      <c r="I380" s="13">
        <f t="shared" si="72"/>
        <v>441007</v>
      </c>
      <c r="J380" s="13">
        <f t="shared" si="72"/>
        <v>593247</v>
      </c>
      <c r="K380" s="13">
        <f t="shared" si="72"/>
        <v>1034254</v>
      </c>
      <c r="L380" s="13">
        <v>42411382586</v>
      </c>
      <c r="M380" s="13">
        <v>61074740948</v>
      </c>
      <c r="N380" s="13">
        <f t="shared" si="92"/>
        <v>103486123534</v>
      </c>
      <c r="O380" s="13">
        <v>4146596031</v>
      </c>
      <c r="P380" s="13">
        <v>4888172823</v>
      </c>
      <c r="Q380" s="13">
        <f t="shared" si="93"/>
        <v>9034768854</v>
      </c>
      <c r="R380" s="13">
        <f t="shared" si="94"/>
        <v>46557978617</v>
      </c>
      <c r="S380" s="13">
        <f t="shared" si="95"/>
        <v>65962913771</v>
      </c>
      <c r="T380" s="14">
        <f t="shared" si="96"/>
        <v>112520892388</v>
      </c>
      <c r="U380">
        <v>105.056432253</v>
      </c>
      <c r="V380">
        <v>129.01505570699999</v>
      </c>
      <c r="W380" s="221">
        <f t="shared" si="73"/>
        <v>1.2280547981707786</v>
      </c>
      <c r="X380" s="236">
        <f t="shared" si="83"/>
        <v>34535415.397727303</v>
      </c>
      <c r="Y380" s="236">
        <f t="shared" si="84"/>
        <v>49732911.787790336</v>
      </c>
      <c r="Z380" s="236">
        <f t="shared" si="85"/>
        <v>84268327.185517639</v>
      </c>
      <c r="AA380" s="236">
        <f t="shared" si="86"/>
        <v>3376556.190470058</v>
      </c>
      <c r="AB380" s="236">
        <f t="shared" si="87"/>
        <v>3980419.1395050678</v>
      </c>
      <c r="AC380" s="236">
        <f t="shared" si="88"/>
        <v>7356975.3299751254</v>
      </c>
      <c r="AD380" s="236">
        <f t="shared" si="89"/>
        <v>37911971.588197358</v>
      </c>
      <c r="AE380" s="236">
        <f t="shared" si="90"/>
        <v>53713330.927295409</v>
      </c>
      <c r="AF380" s="236">
        <f t="shared" si="91"/>
        <v>91625302.515492767</v>
      </c>
      <c r="AG380" s="236">
        <f t="shared" si="74"/>
        <v>42411382.586000003</v>
      </c>
      <c r="AH380" s="236">
        <f t="shared" si="75"/>
        <v>61074740.947999999</v>
      </c>
      <c r="AI380" s="236">
        <f t="shared" si="76"/>
        <v>103486123.53399999</v>
      </c>
      <c r="AJ380" s="236">
        <f t="shared" si="77"/>
        <v>4146596.031</v>
      </c>
      <c r="AK380" s="236">
        <f t="shared" si="78"/>
        <v>4888172.8229999999</v>
      </c>
      <c r="AL380" s="236">
        <f t="shared" si="79"/>
        <v>9034768.8540000003</v>
      </c>
      <c r="AM380" s="236">
        <f t="shared" si="80"/>
        <v>46557978.616999999</v>
      </c>
      <c r="AN380" s="236">
        <f t="shared" si="81"/>
        <v>65962913.770999998</v>
      </c>
      <c r="AO380" s="236">
        <f t="shared" si="82"/>
        <v>112520892.388</v>
      </c>
    </row>
    <row r="381" spans="2:41" hidden="1" x14ac:dyDescent="0.25">
      <c r="B381" s="12">
        <v>43922</v>
      </c>
      <c r="C381" s="13">
        <v>415744</v>
      </c>
      <c r="D381" s="13">
        <v>565082</v>
      </c>
      <c r="E381" s="13">
        <f t="shared" si="70"/>
        <v>980826</v>
      </c>
      <c r="F381" s="13">
        <v>32913</v>
      </c>
      <c r="G381" s="13">
        <v>37780</v>
      </c>
      <c r="H381" s="13">
        <f t="shared" si="71"/>
        <v>70693</v>
      </c>
      <c r="I381" s="13">
        <f t="shared" si="72"/>
        <v>448657</v>
      </c>
      <c r="J381" s="13">
        <f t="shared" si="72"/>
        <v>602862</v>
      </c>
      <c r="K381" s="13">
        <f t="shared" si="72"/>
        <v>1051519</v>
      </c>
      <c r="L381" s="13">
        <v>42936057123</v>
      </c>
      <c r="M381" s="13">
        <v>61839544070</v>
      </c>
      <c r="N381" s="13">
        <f t="shared" si="92"/>
        <v>104775601193</v>
      </c>
      <c r="O381" s="13">
        <v>4153356022</v>
      </c>
      <c r="P381" s="13">
        <v>4894366209</v>
      </c>
      <c r="Q381" s="13">
        <f t="shared" si="93"/>
        <v>9047722231</v>
      </c>
      <c r="R381" s="13">
        <f t="shared" si="94"/>
        <v>47089413145</v>
      </c>
      <c r="S381" s="13">
        <f t="shared" si="95"/>
        <v>66733910279</v>
      </c>
      <c r="T381" s="14">
        <f t="shared" si="96"/>
        <v>113823323424</v>
      </c>
      <c r="U381">
        <v>105.013698925</v>
      </c>
      <c r="V381">
        <v>129.01505570699999</v>
      </c>
      <c r="W381" s="221">
        <f t="shared" si="73"/>
        <v>1.2285545317201099</v>
      </c>
      <c r="X381" s="236">
        <f t="shared" si="83"/>
        <v>34948434.126798466</v>
      </c>
      <c r="Y381" s="236">
        <f t="shared" si="84"/>
        <v>50335204.887826927</v>
      </c>
      <c r="Z381" s="236">
        <f t="shared" si="85"/>
        <v>85283639.0146254</v>
      </c>
      <c r="AA381" s="236">
        <f t="shared" si="86"/>
        <v>3380685.1179693672</v>
      </c>
      <c r="AB381" s="236">
        <f t="shared" si="87"/>
        <v>3983841.2399548558</v>
      </c>
      <c r="AC381" s="236">
        <f t="shared" si="88"/>
        <v>7364526.3579242229</v>
      </c>
      <c r="AD381" s="236">
        <f t="shared" si="89"/>
        <v>38329119.244767837</v>
      </c>
      <c r="AE381" s="236">
        <f t="shared" si="90"/>
        <v>54319046.127781786</v>
      </c>
      <c r="AF381" s="236">
        <f t="shared" si="91"/>
        <v>92648165.372549623</v>
      </c>
      <c r="AG381" s="236">
        <f t="shared" si="74"/>
        <v>42936057.123000003</v>
      </c>
      <c r="AH381" s="236">
        <f t="shared" si="75"/>
        <v>61839544.07</v>
      </c>
      <c r="AI381" s="236">
        <f t="shared" si="76"/>
        <v>104775601.193</v>
      </c>
      <c r="AJ381" s="236">
        <f t="shared" si="77"/>
        <v>4153356.0219999999</v>
      </c>
      <c r="AK381" s="236">
        <f t="shared" si="78"/>
        <v>4894366.2089999998</v>
      </c>
      <c r="AL381" s="236">
        <f t="shared" si="79"/>
        <v>9047722.2310000006</v>
      </c>
      <c r="AM381" s="236">
        <f t="shared" si="80"/>
        <v>47089413.145000003</v>
      </c>
      <c r="AN381" s="236">
        <f t="shared" si="81"/>
        <v>66733910.278999999</v>
      </c>
      <c r="AO381" s="236">
        <f t="shared" si="82"/>
        <v>113823323.42399999</v>
      </c>
    </row>
    <row r="382" spans="2:41" hidden="1" x14ac:dyDescent="0.25">
      <c r="B382" s="12">
        <v>43952</v>
      </c>
      <c r="C382" s="13">
        <v>417174</v>
      </c>
      <c r="D382" s="13">
        <v>566670</v>
      </c>
      <c r="E382" s="13">
        <f t="shared" si="70"/>
        <v>983844</v>
      </c>
      <c r="F382" s="13">
        <v>33101</v>
      </c>
      <c r="G382" s="13">
        <v>37953</v>
      </c>
      <c r="H382" s="13">
        <f t="shared" si="71"/>
        <v>71054</v>
      </c>
      <c r="I382" s="13">
        <f t="shared" si="72"/>
        <v>450275</v>
      </c>
      <c r="J382" s="13">
        <f t="shared" si="72"/>
        <v>604623</v>
      </c>
      <c r="K382" s="13">
        <f t="shared" si="72"/>
        <v>1054898</v>
      </c>
      <c r="L382" s="13">
        <v>43068075157</v>
      </c>
      <c r="M382" s="13">
        <v>62074697443</v>
      </c>
      <c r="N382" s="13">
        <f t="shared" si="92"/>
        <v>105142772600</v>
      </c>
      <c r="O382" s="13">
        <v>4172313768</v>
      </c>
      <c r="P382" s="13">
        <v>4910685710</v>
      </c>
      <c r="Q382" s="13">
        <f t="shared" si="93"/>
        <v>9082999478</v>
      </c>
      <c r="R382" s="13">
        <f t="shared" si="94"/>
        <v>47240388925</v>
      </c>
      <c r="S382" s="13">
        <f t="shared" si="95"/>
        <v>66985383153</v>
      </c>
      <c r="T382" s="14">
        <f t="shared" si="96"/>
        <v>114225772078</v>
      </c>
      <c r="U382">
        <v>104.961473516</v>
      </c>
      <c r="V382">
        <v>129.01505570699999</v>
      </c>
      <c r="W382" s="221">
        <f t="shared" si="73"/>
        <v>1.2291658204220364</v>
      </c>
      <c r="X382" s="236">
        <f t="shared" si="83"/>
        <v>35038458.148968458</v>
      </c>
      <c r="Y382" s="236">
        <f t="shared" si="84"/>
        <v>50501483.535953298</v>
      </c>
      <c r="Z382" s="236">
        <f t="shared" si="85"/>
        <v>85539941.684921756</v>
      </c>
      <c r="AA382" s="236">
        <f t="shared" si="86"/>
        <v>3394427.0973687088</v>
      </c>
      <c r="AB382" s="236">
        <f t="shared" si="87"/>
        <v>3995136.8874818753</v>
      </c>
      <c r="AC382" s="236">
        <f t="shared" si="88"/>
        <v>7389563.9848505836</v>
      </c>
      <c r="AD382" s="236">
        <f t="shared" si="89"/>
        <v>38432885.246337168</v>
      </c>
      <c r="AE382" s="236">
        <f t="shared" si="90"/>
        <v>54496620.423435174</v>
      </c>
      <c r="AF382" s="236">
        <f t="shared" si="91"/>
        <v>92929505.669772342</v>
      </c>
      <c r="AG382" s="236">
        <f t="shared" si="74"/>
        <v>43068075.156999998</v>
      </c>
      <c r="AH382" s="236">
        <f t="shared" si="75"/>
        <v>62074697.443000004</v>
      </c>
      <c r="AI382" s="236">
        <f t="shared" si="76"/>
        <v>105142772.59999999</v>
      </c>
      <c r="AJ382" s="236">
        <f t="shared" si="77"/>
        <v>4172313.7680000002</v>
      </c>
      <c r="AK382" s="236">
        <f t="shared" si="78"/>
        <v>4910685.71</v>
      </c>
      <c r="AL382" s="236">
        <f t="shared" si="79"/>
        <v>9082999.4780000001</v>
      </c>
      <c r="AM382" s="236">
        <f t="shared" si="80"/>
        <v>47240388.924999997</v>
      </c>
      <c r="AN382" s="236">
        <f t="shared" si="81"/>
        <v>66985383.152999997</v>
      </c>
      <c r="AO382" s="236">
        <f t="shared" si="82"/>
        <v>114225772.07799999</v>
      </c>
    </row>
    <row r="383" spans="2:41" hidden="1" x14ac:dyDescent="0.25">
      <c r="B383" s="12">
        <v>43983</v>
      </c>
      <c r="C383" s="13">
        <v>421409</v>
      </c>
      <c r="D383" s="13">
        <v>570289</v>
      </c>
      <c r="E383" s="13">
        <f t="shared" si="70"/>
        <v>991698</v>
      </c>
      <c r="F383" s="13">
        <v>33326</v>
      </c>
      <c r="G383" s="13">
        <v>38176</v>
      </c>
      <c r="H383" s="13">
        <f t="shared" si="71"/>
        <v>71502</v>
      </c>
      <c r="I383" s="13">
        <f t="shared" si="72"/>
        <v>454735</v>
      </c>
      <c r="J383" s="13">
        <f t="shared" si="72"/>
        <v>608465</v>
      </c>
      <c r="K383" s="13">
        <f t="shared" si="72"/>
        <v>1063200</v>
      </c>
      <c r="L383" s="13">
        <v>43498026591</v>
      </c>
      <c r="M383" s="13">
        <v>62544771733</v>
      </c>
      <c r="N383" s="13">
        <f t="shared" si="92"/>
        <v>106042798324</v>
      </c>
      <c r="O383" s="13">
        <v>4189203947</v>
      </c>
      <c r="P383" s="13">
        <v>4932858628</v>
      </c>
      <c r="Q383" s="13">
        <f t="shared" si="93"/>
        <v>9122062575</v>
      </c>
      <c r="R383" s="13">
        <f t="shared" si="94"/>
        <v>47687230538</v>
      </c>
      <c r="S383" s="13">
        <f t="shared" si="95"/>
        <v>67477630361</v>
      </c>
      <c r="T383" s="14">
        <f t="shared" si="96"/>
        <v>115164860899</v>
      </c>
      <c r="U383">
        <v>104.88601455600001</v>
      </c>
      <c r="V383">
        <v>129.01505570699999</v>
      </c>
      <c r="W383" s="221">
        <f t="shared" si="73"/>
        <v>1.2300501287339618</v>
      </c>
      <c r="X383" s="236">
        <f t="shared" si="83"/>
        <v>35362808.047319718</v>
      </c>
      <c r="Y383" s="236">
        <f t="shared" si="84"/>
        <v>50847335.626373753</v>
      </c>
      <c r="Z383" s="236">
        <f t="shared" si="85"/>
        <v>86210143.673693478</v>
      </c>
      <c r="AA383" s="236">
        <f t="shared" si="86"/>
        <v>3405718.0672073658</v>
      </c>
      <c r="AB383" s="236">
        <f t="shared" si="87"/>
        <v>4010290.7294332641</v>
      </c>
      <c r="AC383" s="236">
        <f t="shared" si="88"/>
        <v>7416008.7966406299</v>
      </c>
      <c r="AD383" s="236">
        <f t="shared" si="89"/>
        <v>38768526.114527084</v>
      </c>
      <c r="AE383" s="236">
        <f t="shared" si="90"/>
        <v>54857626.355807021</v>
      </c>
      <c r="AF383" s="236">
        <f t="shared" si="91"/>
        <v>93626152.470334113</v>
      </c>
      <c r="AG383" s="236">
        <f t="shared" si="74"/>
        <v>43498026.590999998</v>
      </c>
      <c r="AH383" s="236">
        <f t="shared" si="75"/>
        <v>62544771.733000003</v>
      </c>
      <c r="AI383" s="236">
        <f t="shared" si="76"/>
        <v>106042798.324</v>
      </c>
      <c r="AJ383" s="236">
        <f t="shared" si="77"/>
        <v>4189203.9470000002</v>
      </c>
      <c r="AK383" s="236">
        <f t="shared" si="78"/>
        <v>4932858.6279999996</v>
      </c>
      <c r="AL383" s="236">
        <f t="shared" si="79"/>
        <v>9122062.5749999993</v>
      </c>
      <c r="AM383" s="236">
        <f t="shared" si="80"/>
        <v>47687230.538000003</v>
      </c>
      <c r="AN383" s="236">
        <f t="shared" si="81"/>
        <v>67477630.361000001</v>
      </c>
      <c r="AO383" s="236">
        <f t="shared" si="82"/>
        <v>115164860.899</v>
      </c>
    </row>
    <row r="384" spans="2:41" hidden="1" x14ac:dyDescent="0.25">
      <c r="B384" s="12">
        <v>44013</v>
      </c>
      <c r="C384" s="13">
        <v>422356</v>
      </c>
      <c r="D384" s="13">
        <v>572080</v>
      </c>
      <c r="E384" s="13">
        <f t="shared" si="70"/>
        <v>994436</v>
      </c>
      <c r="F384" s="13">
        <v>33396</v>
      </c>
      <c r="G384" s="13">
        <v>38270</v>
      </c>
      <c r="H384" s="13">
        <f t="shared" si="71"/>
        <v>71666</v>
      </c>
      <c r="I384" s="13">
        <f t="shared" si="72"/>
        <v>455752</v>
      </c>
      <c r="J384" s="13">
        <f t="shared" si="72"/>
        <v>610350</v>
      </c>
      <c r="K384" s="13">
        <f t="shared" si="72"/>
        <v>1066102</v>
      </c>
      <c r="L384" s="13">
        <v>45060808461</v>
      </c>
      <c r="M384" s="13">
        <v>64938763323</v>
      </c>
      <c r="N384" s="13">
        <f t="shared" si="92"/>
        <v>109999571784</v>
      </c>
      <c r="O384" s="13">
        <v>4309623730</v>
      </c>
      <c r="P384" s="13">
        <v>5072761186</v>
      </c>
      <c r="Q384" s="13">
        <f t="shared" si="93"/>
        <v>9382384916</v>
      </c>
      <c r="R384" s="13">
        <f t="shared" si="94"/>
        <v>49370432191</v>
      </c>
      <c r="S384" s="13">
        <f t="shared" si="95"/>
        <v>70011524509</v>
      </c>
      <c r="T384" s="14">
        <f t="shared" si="96"/>
        <v>119381956700</v>
      </c>
      <c r="U384">
        <v>104.991247675</v>
      </c>
      <c r="V384">
        <v>129.01505570699999</v>
      </c>
      <c r="W384" s="221">
        <f t="shared" si="73"/>
        <v>1.2288172449037429</v>
      </c>
      <c r="X384" s="236">
        <f t="shared" si="83"/>
        <v>36670065.176803209</v>
      </c>
      <c r="Y384" s="236">
        <f t="shared" si="84"/>
        <v>52846559.235980488</v>
      </c>
      <c r="Z384" s="236">
        <f t="shared" si="85"/>
        <v>89516624.412783712</v>
      </c>
      <c r="AA384" s="236">
        <f t="shared" si="86"/>
        <v>3507131.5509879473</v>
      </c>
      <c r="AB384" s="236">
        <f t="shared" si="87"/>
        <v>4128165.6869955184</v>
      </c>
      <c r="AC384" s="236">
        <f t="shared" si="88"/>
        <v>7635297.2379834661</v>
      </c>
      <c r="AD384" s="236">
        <f t="shared" si="89"/>
        <v>40177196.727791153</v>
      </c>
      <c r="AE384" s="236">
        <f t="shared" si="90"/>
        <v>56974724.92297601</v>
      </c>
      <c r="AF384" s="236">
        <f t="shared" si="91"/>
        <v>97151921.650767162</v>
      </c>
      <c r="AG384" s="236">
        <f t="shared" si="74"/>
        <v>45060808.461000003</v>
      </c>
      <c r="AH384" s="236">
        <f t="shared" si="75"/>
        <v>64938763.322999999</v>
      </c>
      <c r="AI384" s="236">
        <f t="shared" si="76"/>
        <v>109999571.78399999</v>
      </c>
      <c r="AJ384" s="236">
        <f t="shared" si="77"/>
        <v>4309623.7300000004</v>
      </c>
      <c r="AK384" s="236">
        <f t="shared" si="78"/>
        <v>5072761.1859999998</v>
      </c>
      <c r="AL384" s="236">
        <f t="shared" si="79"/>
        <v>9382384.9159999993</v>
      </c>
      <c r="AM384" s="236">
        <f t="shared" si="80"/>
        <v>49370432.191</v>
      </c>
      <c r="AN384" s="236">
        <f t="shared" si="81"/>
        <v>70011524.509000003</v>
      </c>
      <c r="AO384" s="236">
        <f t="shared" si="82"/>
        <v>119381956.7</v>
      </c>
    </row>
    <row r="385" spans="2:41" hidden="1" x14ac:dyDescent="0.25">
      <c r="B385" s="12">
        <v>44044</v>
      </c>
      <c r="C385" s="13">
        <v>424814</v>
      </c>
      <c r="D385" s="13">
        <v>574464</v>
      </c>
      <c r="E385" s="13">
        <f t="shared" si="70"/>
        <v>999278</v>
      </c>
      <c r="F385" s="13">
        <v>33472</v>
      </c>
      <c r="G385" s="13">
        <v>38301</v>
      </c>
      <c r="H385" s="13">
        <f t="shared" si="71"/>
        <v>71773</v>
      </c>
      <c r="I385" s="13">
        <f t="shared" si="72"/>
        <v>458286</v>
      </c>
      <c r="J385" s="13">
        <f t="shared" si="72"/>
        <v>612765</v>
      </c>
      <c r="K385" s="13">
        <f t="shared" si="72"/>
        <v>1071051</v>
      </c>
      <c r="L385" s="13">
        <v>45301512495</v>
      </c>
      <c r="M385" s="13">
        <v>65312368182</v>
      </c>
      <c r="N385" s="13">
        <f t="shared" si="92"/>
        <v>110613880677</v>
      </c>
      <c r="O385" s="13">
        <v>4314028947</v>
      </c>
      <c r="P385" s="13">
        <v>5071808879</v>
      </c>
      <c r="Q385" s="13">
        <f t="shared" si="93"/>
        <v>9385837826</v>
      </c>
      <c r="R385" s="13">
        <f t="shared" si="94"/>
        <v>49615541442</v>
      </c>
      <c r="S385" s="13">
        <f t="shared" si="95"/>
        <v>70384177061</v>
      </c>
      <c r="T385" s="14">
        <f t="shared" si="96"/>
        <v>119999718503</v>
      </c>
      <c r="U385">
        <v>105.129937336</v>
      </c>
      <c r="V385">
        <v>129.01505570699999</v>
      </c>
      <c r="W385" s="221">
        <f t="shared" si="73"/>
        <v>1.2271961629222901</v>
      </c>
      <c r="X385" s="236">
        <f t="shared" si="83"/>
        <v>36914646.462978415</v>
      </c>
      <c r="Y385" s="236">
        <f t="shared" si="84"/>
        <v>53220805.406100176</v>
      </c>
      <c r="Z385" s="236">
        <f t="shared" si="85"/>
        <v>90135451.869078577</v>
      </c>
      <c r="AA385" s="236">
        <f t="shared" si="86"/>
        <v>3515354.0056115529</v>
      </c>
      <c r="AB385" s="236">
        <f t="shared" si="87"/>
        <v>4132842.8430892695</v>
      </c>
      <c r="AC385" s="236">
        <f t="shared" si="88"/>
        <v>7648196.8487008233</v>
      </c>
      <c r="AD385" s="236">
        <f t="shared" si="89"/>
        <v>40430000.468589976</v>
      </c>
      <c r="AE385" s="236">
        <f t="shared" si="90"/>
        <v>57353648.249189436</v>
      </c>
      <c r="AF385" s="236">
        <f t="shared" si="91"/>
        <v>97783648.717779398</v>
      </c>
      <c r="AG385" s="236">
        <f t="shared" si="74"/>
        <v>45301512.494999997</v>
      </c>
      <c r="AH385" s="236">
        <f t="shared" si="75"/>
        <v>65312368.181999996</v>
      </c>
      <c r="AI385" s="236">
        <f t="shared" si="76"/>
        <v>110613880.677</v>
      </c>
      <c r="AJ385" s="236">
        <f t="shared" si="77"/>
        <v>4314028.9469999997</v>
      </c>
      <c r="AK385" s="236">
        <f t="shared" si="78"/>
        <v>5071808.8789999997</v>
      </c>
      <c r="AL385" s="236">
        <f t="shared" si="79"/>
        <v>9385837.8259999994</v>
      </c>
      <c r="AM385" s="236">
        <f t="shared" si="80"/>
        <v>49615541.442000002</v>
      </c>
      <c r="AN385" s="236">
        <f t="shared" si="81"/>
        <v>70384177.061000004</v>
      </c>
      <c r="AO385" s="236">
        <f t="shared" si="82"/>
        <v>119999718.50300001</v>
      </c>
    </row>
    <row r="386" spans="2:41" hidden="1" x14ac:dyDescent="0.25">
      <c r="B386" s="12">
        <v>44075</v>
      </c>
      <c r="C386" s="13">
        <v>428184</v>
      </c>
      <c r="D386" s="13">
        <v>578357</v>
      </c>
      <c r="E386" s="13">
        <f t="shared" si="70"/>
        <v>1006541</v>
      </c>
      <c r="F386" s="13">
        <v>33532</v>
      </c>
      <c r="G386" s="13">
        <v>38339</v>
      </c>
      <c r="H386" s="13">
        <f t="shared" si="71"/>
        <v>71871</v>
      </c>
      <c r="I386" s="13">
        <f t="shared" si="72"/>
        <v>461716</v>
      </c>
      <c r="J386" s="13">
        <f t="shared" si="72"/>
        <v>616696</v>
      </c>
      <c r="K386" s="13">
        <f t="shared" si="72"/>
        <v>1078412</v>
      </c>
      <c r="L386" s="13">
        <v>45549264078</v>
      </c>
      <c r="M386" s="13">
        <v>65768817581</v>
      </c>
      <c r="N386" s="13">
        <f t="shared" si="92"/>
        <v>111318081659</v>
      </c>
      <c r="O386" s="13">
        <v>4314469495</v>
      </c>
      <c r="P386" s="13">
        <v>5069716406</v>
      </c>
      <c r="Q386" s="13">
        <f t="shared" si="93"/>
        <v>9384185901</v>
      </c>
      <c r="R386" s="13">
        <f t="shared" si="94"/>
        <v>49863733573</v>
      </c>
      <c r="S386" s="13">
        <f t="shared" si="95"/>
        <v>70838533987</v>
      </c>
      <c r="T386" s="14">
        <f t="shared" si="96"/>
        <v>120702267560</v>
      </c>
      <c r="U386">
        <v>105.797754142</v>
      </c>
      <c r="V386">
        <v>129.01505570699999</v>
      </c>
      <c r="W386" s="221">
        <f t="shared" si="73"/>
        <v>1.2194498527240767</v>
      </c>
      <c r="X386" s="236">
        <f t="shared" si="83"/>
        <v>37352306.022465341</v>
      </c>
      <c r="Y386" s="236">
        <f t="shared" si="84"/>
        <v>53933187.52229283</v>
      </c>
      <c r="Z386" s="236">
        <f t="shared" si="85"/>
        <v>91285493.544758171</v>
      </c>
      <c r="AA386" s="236">
        <f t="shared" si="86"/>
        <v>3538045.8535150844</v>
      </c>
      <c r="AB386" s="236">
        <f t="shared" si="87"/>
        <v>4157379.9813702698</v>
      </c>
      <c r="AC386" s="236">
        <f t="shared" si="88"/>
        <v>7695425.8348853542</v>
      </c>
      <c r="AD386" s="236">
        <f t="shared" si="89"/>
        <v>40890351.875980422</v>
      </c>
      <c r="AE386" s="236">
        <f t="shared" si="90"/>
        <v>58090567.5036631</v>
      </c>
      <c r="AF386" s="236">
        <f t="shared" si="91"/>
        <v>98980919.37964353</v>
      </c>
      <c r="AG386" s="236">
        <f t="shared" si="74"/>
        <v>45549264.078000002</v>
      </c>
      <c r="AH386" s="236">
        <f t="shared" si="75"/>
        <v>65768817.581</v>
      </c>
      <c r="AI386" s="236">
        <f t="shared" si="76"/>
        <v>111318081.65899999</v>
      </c>
      <c r="AJ386" s="236">
        <f t="shared" si="77"/>
        <v>4314469.4950000001</v>
      </c>
      <c r="AK386" s="236">
        <f t="shared" si="78"/>
        <v>5069716.4060000004</v>
      </c>
      <c r="AL386" s="236">
        <f t="shared" si="79"/>
        <v>9384185.9010000005</v>
      </c>
      <c r="AM386" s="236">
        <f t="shared" si="80"/>
        <v>49863733.572999999</v>
      </c>
      <c r="AN386" s="236">
        <f t="shared" si="81"/>
        <v>70838533.987000003</v>
      </c>
      <c r="AO386" s="236">
        <f t="shared" si="82"/>
        <v>120702267.56</v>
      </c>
    </row>
    <row r="387" spans="2:41" hidden="1" x14ac:dyDescent="0.25">
      <c r="B387" s="12">
        <v>44105</v>
      </c>
      <c r="C387" s="13">
        <v>432062</v>
      </c>
      <c r="D387" s="13">
        <v>583043</v>
      </c>
      <c r="E387" s="13">
        <f t="shared" si="70"/>
        <v>1015105</v>
      </c>
      <c r="F387" s="13">
        <v>33724</v>
      </c>
      <c r="G387" s="13">
        <v>38500</v>
      </c>
      <c r="H387" s="13">
        <f t="shared" si="71"/>
        <v>72224</v>
      </c>
      <c r="I387" s="13">
        <f t="shared" si="72"/>
        <v>465786</v>
      </c>
      <c r="J387" s="13">
        <f t="shared" si="72"/>
        <v>621543</v>
      </c>
      <c r="K387" s="13">
        <f t="shared" si="72"/>
        <v>1087329</v>
      </c>
      <c r="L387" s="13">
        <v>45789821788</v>
      </c>
      <c r="M387" s="13">
        <v>66275487600</v>
      </c>
      <c r="N387" s="13">
        <f t="shared" si="92"/>
        <v>112065309388</v>
      </c>
      <c r="O387" s="13">
        <v>4318991399</v>
      </c>
      <c r="P387" s="13">
        <v>5075460232</v>
      </c>
      <c r="Q387" s="13">
        <f t="shared" si="93"/>
        <v>9394451631</v>
      </c>
      <c r="R387" s="13">
        <f t="shared" si="94"/>
        <v>50108813187</v>
      </c>
      <c r="S387" s="13">
        <f t="shared" si="95"/>
        <v>71350947832</v>
      </c>
      <c r="T387" s="14">
        <f t="shared" si="96"/>
        <v>121459761019</v>
      </c>
      <c r="U387">
        <v>106.52430936899999</v>
      </c>
      <c r="V387">
        <v>129.01505570699999</v>
      </c>
      <c r="W387" s="221">
        <f t="shared" si="73"/>
        <v>1.2111325243151034</v>
      </c>
      <c r="X387" s="236">
        <f t="shared" si="83"/>
        <v>37807441.273938365</v>
      </c>
      <c r="Y387" s="236">
        <f t="shared" si="84"/>
        <v>54721912.151999101</v>
      </c>
      <c r="Z387" s="236">
        <f t="shared" si="85"/>
        <v>92529353.425937459</v>
      </c>
      <c r="AA387" s="236">
        <f t="shared" si="86"/>
        <v>3566076.6367763048</v>
      </c>
      <c r="AB387" s="236">
        <f t="shared" si="87"/>
        <v>4190672.8868256407</v>
      </c>
      <c r="AC387" s="236">
        <f t="shared" si="88"/>
        <v>7756749.5236019446</v>
      </c>
      <c r="AD387" s="236">
        <f t="shared" si="89"/>
        <v>41373517.910714671</v>
      </c>
      <c r="AE387" s="236">
        <f t="shared" si="90"/>
        <v>58912585.038824737</v>
      </c>
      <c r="AF387" s="236">
        <f t="shared" si="91"/>
        <v>100286102.94953939</v>
      </c>
      <c r="AG387" s="236">
        <f t="shared" si="74"/>
        <v>45789821.788000003</v>
      </c>
      <c r="AH387" s="236">
        <f t="shared" si="75"/>
        <v>66275487.600000001</v>
      </c>
      <c r="AI387" s="236">
        <f t="shared" si="76"/>
        <v>112065309.388</v>
      </c>
      <c r="AJ387" s="236">
        <f t="shared" si="77"/>
        <v>4318991.3990000002</v>
      </c>
      <c r="AK387" s="236">
        <f t="shared" si="78"/>
        <v>5075460.2319999998</v>
      </c>
      <c r="AL387" s="236">
        <f t="shared" si="79"/>
        <v>9394451.6309999991</v>
      </c>
      <c r="AM387" s="236">
        <f t="shared" si="80"/>
        <v>50108813.186999999</v>
      </c>
      <c r="AN387" s="236">
        <f t="shared" si="81"/>
        <v>71350947.832000002</v>
      </c>
      <c r="AO387" s="236">
        <f t="shared" si="82"/>
        <v>121459761.01899999</v>
      </c>
    </row>
    <row r="388" spans="2:41" hidden="1" x14ac:dyDescent="0.25">
      <c r="B388" s="12">
        <v>44136</v>
      </c>
      <c r="C388" s="13">
        <v>436187</v>
      </c>
      <c r="D388" s="13">
        <v>589403</v>
      </c>
      <c r="E388" s="13">
        <f t="shared" si="70"/>
        <v>1025590</v>
      </c>
      <c r="F388" s="13">
        <v>34000</v>
      </c>
      <c r="G388" s="13">
        <v>38626</v>
      </c>
      <c r="H388" s="13">
        <f t="shared" si="71"/>
        <v>72626</v>
      </c>
      <c r="I388" s="13">
        <f t="shared" si="72"/>
        <v>470187</v>
      </c>
      <c r="J388" s="13">
        <f t="shared" si="72"/>
        <v>628029</v>
      </c>
      <c r="K388" s="13">
        <f t="shared" si="72"/>
        <v>1098216</v>
      </c>
      <c r="L388" s="13">
        <v>46130794787</v>
      </c>
      <c r="M388" s="13">
        <v>67057614181</v>
      </c>
      <c r="N388" s="13">
        <f t="shared" si="92"/>
        <v>113188408968</v>
      </c>
      <c r="O388" s="13">
        <v>4331358300</v>
      </c>
      <c r="P388" s="13">
        <v>5074666615</v>
      </c>
      <c r="Q388" s="13">
        <f t="shared" si="93"/>
        <v>9406024915</v>
      </c>
      <c r="R388" s="13">
        <f t="shared" si="94"/>
        <v>50462153087</v>
      </c>
      <c r="S388" s="13">
        <f t="shared" si="95"/>
        <v>72132280796</v>
      </c>
      <c r="T388" s="14">
        <f t="shared" si="96"/>
        <v>122594433883</v>
      </c>
      <c r="U388">
        <v>106.37812172300001</v>
      </c>
      <c r="V388">
        <v>129.01505570699999</v>
      </c>
      <c r="W388" s="221">
        <f t="shared" si="73"/>
        <v>1.2127968948628809</v>
      </c>
      <c r="X388" s="236">
        <f t="shared" si="83"/>
        <v>38036702.585897997</v>
      </c>
      <c r="Y388" s="236">
        <f t="shared" si="84"/>
        <v>55291709.984614983</v>
      </c>
      <c r="Z388" s="236">
        <f t="shared" si="85"/>
        <v>93328412.57051298</v>
      </c>
      <c r="AA388" s="236">
        <f t="shared" si="86"/>
        <v>3571379.7737664101</v>
      </c>
      <c r="AB388" s="236">
        <f t="shared" si="87"/>
        <v>4184267.4865800533</v>
      </c>
      <c r="AC388" s="236">
        <f t="shared" si="88"/>
        <v>7755647.260346463</v>
      </c>
      <c r="AD388" s="236">
        <f t="shared" si="89"/>
        <v>41608082.359664403</v>
      </c>
      <c r="AE388" s="236">
        <f t="shared" si="90"/>
        <v>59475977.471195035</v>
      </c>
      <c r="AF388" s="236">
        <f t="shared" si="91"/>
        <v>101084059.83085944</v>
      </c>
      <c r="AG388" s="236">
        <f t="shared" si="74"/>
        <v>46130794.787</v>
      </c>
      <c r="AH388" s="236">
        <f t="shared" si="75"/>
        <v>67057614.181000002</v>
      </c>
      <c r="AI388" s="236">
        <f t="shared" si="76"/>
        <v>113188408.96799999</v>
      </c>
      <c r="AJ388" s="236">
        <f t="shared" si="77"/>
        <v>4331358.3</v>
      </c>
      <c r="AK388" s="236">
        <f t="shared" si="78"/>
        <v>5074666.6150000002</v>
      </c>
      <c r="AL388" s="236">
        <f t="shared" si="79"/>
        <v>9406024.9149999991</v>
      </c>
      <c r="AM388" s="236">
        <f t="shared" si="80"/>
        <v>50462153.086999997</v>
      </c>
      <c r="AN388" s="236">
        <f t="shared" si="81"/>
        <v>72132280.796000004</v>
      </c>
      <c r="AO388" s="236">
        <f t="shared" si="82"/>
        <v>122594433.883</v>
      </c>
    </row>
    <row r="389" spans="2:41" hidden="1" x14ac:dyDescent="0.25">
      <c r="B389" s="15">
        <v>44166</v>
      </c>
      <c r="C389" s="16">
        <v>439776</v>
      </c>
      <c r="D389" s="16">
        <v>595180</v>
      </c>
      <c r="E389" s="16">
        <f t="shared" si="70"/>
        <v>1034956</v>
      </c>
      <c r="F389" s="16">
        <v>34075</v>
      </c>
      <c r="G389" s="16">
        <v>38619</v>
      </c>
      <c r="H389" s="16">
        <f t="shared" si="71"/>
        <v>72694</v>
      </c>
      <c r="I389" s="17">
        <f t="shared" si="72"/>
        <v>473851</v>
      </c>
      <c r="J389" s="17">
        <f t="shared" si="72"/>
        <v>633799</v>
      </c>
      <c r="K389" s="17">
        <f t="shared" si="72"/>
        <v>1107650</v>
      </c>
      <c r="L389" s="16">
        <v>46418317055</v>
      </c>
      <c r="M389" s="16">
        <v>67767224565</v>
      </c>
      <c r="N389" s="16">
        <f t="shared" si="92"/>
        <v>114185541620</v>
      </c>
      <c r="O389" s="16">
        <v>4326919665</v>
      </c>
      <c r="P389" s="16">
        <v>5063951739</v>
      </c>
      <c r="Q389" s="16">
        <f t="shared" si="93"/>
        <v>9390871404</v>
      </c>
      <c r="R389" s="16">
        <f t="shared" si="94"/>
        <v>50745236720</v>
      </c>
      <c r="S389" s="16">
        <f t="shared" si="95"/>
        <v>72831176304</v>
      </c>
      <c r="T389" s="16">
        <f t="shared" si="96"/>
        <v>123576413024</v>
      </c>
      <c r="U389">
        <v>106.737540442</v>
      </c>
      <c r="V389">
        <v>129.01505570699999</v>
      </c>
      <c r="W389" s="221">
        <f t="shared" si="73"/>
        <v>1.2087130279819904</v>
      </c>
      <c r="X389" s="236">
        <f t="shared" si="83"/>
        <v>38403091.536539331</v>
      </c>
      <c r="Y389" s="236">
        <f t="shared" si="84"/>
        <v>56065602.832246229</v>
      </c>
      <c r="Z389" s="236">
        <f t="shared" si="85"/>
        <v>94468694.36878556</v>
      </c>
      <c r="AA389" s="236">
        <f t="shared" si="86"/>
        <v>3579774.1604754757</v>
      </c>
      <c r="AB389" s="236">
        <f t="shared" si="87"/>
        <v>4189540.1321639861</v>
      </c>
      <c r="AC389" s="236">
        <f t="shared" si="88"/>
        <v>7769314.2926394613</v>
      </c>
      <c r="AD389" s="236">
        <f t="shared" si="89"/>
        <v>41982865.697014801</v>
      </c>
      <c r="AE389" s="236">
        <f t="shared" si="90"/>
        <v>60255142.964410216</v>
      </c>
      <c r="AF389" s="236">
        <f t="shared" si="91"/>
        <v>102238008.66142502</v>
      </c>
      <c r="AG389" s="236">
        <f t="shared" si="74"/>
        <v>46418317.055</v>
      </c>
      <c r="AH389" s="236">
        <f t="shared" si="75"/>
        <v>67767224.564999998</v>
      </c>
      <c r="AI389" s="236">
        <f t="shared" si="76"/>
        <v>114185541.62</v>
      </c>
      <c r="AJ389" s="236">
        <f t="shared" si="77"/>
        <v>4326919.665</v>
      </c>
      <c r="AK389" s="236">
        <f t="shared" si="78"/>
        <v>5063951.7390000001</v>
      </c>
      <c r="AL389" s="236">
        <f t="shared" si="79"/>
        <v>9390871.4039999992</v>
      </c>
      <c r="AM389" s="236">
        <f t="shared" si="80"/>
        <v>50745236.719999999</v>
      </c>
      <c r="AN389" s="236">
        <f t="shared" si="81"/>
        <v>72831176.304000005</v>
      </c>
      <c r="AO389" s="236">
        <f t="shared" si="82"/>
        <v>123576413.024</v>
      </c>
    </row>
    <row r="390" spans="2:41" hidden="1" x14ac:dyDescent="0.25">
      <c r="B390" s="12">
        <v>44197</v>
      </c>
      <c r="C390" s="13">
        <v>443662</v>
      </c>
      <c r="D390" s="13">
        <v>600842</v>
      </c>
      <c r="E390" s="13">
        <f>C390+D390</f>
        <v>1044504</v>
      </c>
      <c r="F390" s="13">
        <v>34228</v>
      </c>
      <c r="G390" s="13">
        <v>38683</v>
      </c>
      <c r="H390" s="13">
        <f t="shared" si="71"/>
        <v>72911</v>
      </c>
      <c r="I390" s="13">
        <f t="shared" ref="I390:K405" si="97">C390+F390</f>
        <v>477890</v>
      </c>
      <c r="J390" s="13">
        <f t="shared" si="97"/>
        <v>639525</v>
      </c>
      <c r="K390" s="13">
        <f t="shared" si="97"/>
        <v>1117415</v>
      </c>
      <c r="L390" s="13">
        <v>53183399122</v>
      </c>
      <c r="M390" s="13">
        <v>76453709691</v>
      </c>
      <c r="N390" s="13">
        <f t="shared" si="92"/>
        <v>129637108813</v>
      </c>
      <c r="O390" s="13">
        <v>4910795030</v>
      </c>
      <c r="P390" s="13">
        <v>5716924601</v>
      </c>
      <c r="Q390" s="13">
        <f t="shared" si="93"/>
        <v>10627719631</v>
      </c>
      <c r="R390" s="13">
        <f t="shared" si="94"/>
        <v>58094194152</v>
      </c>
      <c r="S390" s="13">
        <f t="shared" si="95"/>
        <v>82170634292</v>
      </c>
      <c r="T390" s="14">
        <f t="shared" si="96"/>
        <v>140264828444</v>
      </c>
      <c r="U390">
        <v>107.487129776</v>
      </c>
      <c r="V390">
        <v>129.01505570699999</v>
      </c>
      <c r="W390" s="221">
        <f t="shared" si="73"/>
        <v>1.2002837546770813</v>
      </c>
      <c r="X390" s="236">
        <f t="shared" si="83"/>
        <v>44309021.858175702</v>
      </c>
      <c r="Y390" s="236">
        <f t="shared" si="84"/>
        <v>63696362.958414577</v>
      </c>
      <c r="Z390" s="236">
        <f t="shared" si="85"/>
        <v>108005384.81659026</v>
      </c>
      <c r="AA390" s="236">
        <f t="shared" si="86"/>
        <v>4091361.7391424058</v>
      </c>
      <c r="AB390" s="236">
        <f t="shared" si="87"/>
        <v>4762977.5698647648</v>
      </c>
      <c r="AC390" s="236">
        <f t="shared" si="88"/>
        <v>8854339.3090071697</v>
      </c>
      <c r="AD390" s="236">
        <f t="shared" si="89"/>
        <v>48400383.597318113</v>
      </c>
      <c r="AE390" s="236">
        <f t="shared" si="90"/>
        <v>68459340.528279334</v>
      </c>
      <c r="AF390" s="236">
        <f t="shared" si="91"/>
        <v>116859724.12559745</v>
      </c>
      <c r="AG390" s="236">
        <f t="shared" si="74"/>
        <v>53183399.122000001</v>
      </c>
      <c r="AH390" s="236">
        <f t="shared" si="75"/>
        <v>76453709.691</v>
      </c>
      <c r="AI390" s="236">
        <f t="shared" si="76"/>
        <v>129637108.81299999</v>
      </c>
      <c r="AJ390" s="236">
        <f t="shared" si="77"/>
        <v>4910795.03</v>
      </c>
      <c r="AK390" s="236">
        <f t="shared" si="78"/>
        <v>5716924.6009999998</v>
      </c>
      <c r="AL390" s="236">
        <f t="shared" si="79"/>
        <v>10627719.630999999</v>
      </c>
      <c r="AM390" s="236">
        <f t="shared" si="80"/>
        <v>58094194.152000003</v>
      </c>
      <c r="AN390" s="236">
        <f t="shared" si="81"/>
        <v>82170634.291999996</v>
      </c>
      <c r="AO390" s="236">
        <f t="shared" si="82"/>
        <v>140264828.44400001</v>
      </c>
    </row>
    <row r="391" spans="2:41" hidden="1" x14ac:dyDescent="0.25">
      <c r="B391" s="12">
        <v>44228</v>
      </c>
      <c r="C391" s="13">
        <v>447257</v>
      </c>
      <c r="D391" s="13">
        <v>605436</v>
      </c>
      <c r="E391" s="13">
        <f t="shared" ref="E391:E413" si="98">C391+D391</f>
        <v>1052693</v>
      </c>
      <c r="F391" s="13">
        <v>34279</v>
      </c>
      <c r="G391" s="13">
        <v>38750</v>
      </c>
      <c r="H391" s="13">
        <f t="shared" si="71"/>
        <v>73029</v>
      </c>
      <c r="I391" s="13">
        <f t="shared" si="97"/>
        <v>481536</v>
      </c>
      <c r="J391" s="13">
        <f t="shared" si="97"/>
        <v>644186</v>
      </c>
      <c r="K391" s="13">
        <f t="shared" si="97"/>
        <v>1125722</v>
      </c>
      <c r="L391" s="13">
        <v>53338413878</v>
      </c>
      <c r="M391" s="13">
        <v>76669977293</v>
      </c>
      <c r="N391" s="13">
        <f t="shared" si="92"/>
        <v>130008391171</v>
      </c>
      <c r="O391" s="13">
        <v>4911050689</v>
      </c>
      <c r="P391" s="13">
        <v>5715147101</v>
      </c>
      <c r="Q391" s="13">
        <f t="shared" si="93"/>
        <v>10626197790</v>
      </c>
      <c r="R391" s="13">
        <f t="shared" si="94"/>
        <v>58249464567</v>
      </c>
      <c r="S391" s="13">
        <f t="shared" si="95"/>
        <v>82385124394</v>
      </c>
      <c r="T391" s="14">
        <f t="shared" si="96"/>
        <v>140634588961</v>
      </c>
      <c r="U391">
        <v>107.68630519200001</v>
      </c>
      <c r="V391">
        <v>129.01505570699999</v>
      </c>
      <c r="W391" s="221">
        <f t="shared" si="73"/>
        <v>1.1980637229308939</v>
      </c>
      <c r="X391" s="236">
        <f t="shared" si="83"/>
        <v>44520514.941822201</v>
      </c>
      <c r="Y391" s="236">
        <f t="shared" si="84"/>
        <v>63994907.637665316</v>
      </c>
      <c r="Z391" s="236">
        <f t="shared" si="85"/>
        <v>108515422.57948752</v>
      </c>
      <c r="AA391" s="236">
        <f t="shared" si="86"/>
        <v>4099156.4931002227</v>
      </c>
      <c r="AB391" s="236">
        <f t="shared" si="87"/>
        <v>4770319.8015366821</v>
      </c>
      <c r="AC391" s="236">
        <f t="shared" si="88"/>
        <v>8869476.2946369033</v>
      </c>
      <c r="AD391" s="236">
        <f t="shared" si="89"/>
        <v>48619671.434922427</v>
      </c>
      <c r="AE391" s="236">
        <f t="shared" si="90"/>
        <v>68765227.439201996</v>
      </c>
      <c r="AF391" s="236">
        <f t="shared" si="91"/>
        <v>117384898.87412442</v>
      </c>
      <c r="AG391" s="236">
        <f t="shared" si="74"/>
        <v>53338413.877999999</v>
      </c>
      <c r="AH391" s="236">
        <f t="shared" si="75"/>
        <v>76669977.292999998</v>
      </c>
      <c r="AI391" s="236">
        <f t="shared" si="76"/>
        <v>130008391.171</v>
      </c>
      <c r="AJ391" s="236">
        <f t="shared" si="77"/>
        <v>4911050.6890000002</v>
      </c>
      <c r="AK391" s="236">
        <f t="shared" si="78"/>
        <v>5715147.1009999998</v>
      </c>
      <c r="AL391" s="236">
        <f t="shared" si="79"/>
        <v>10626197.789999999</v>
      </c>
      <c r="AM391" s="236">
        <f t="shared" si="80"/>
        <v>58249464.567000002</v>
      </c>
      <c r="AN391" s="236">
        <f t="shared" si="81"/>
        <v>82385124.393999994</v>
      </c>
      <c r="AO391" s="236">
        <f t="shared" si="82"/>
        <v>140634588.961</v>
      </c>
    </row>
    <row r="392" spans="2:41" hidden="1" x14ac:dyDescent="0.25">
      <c r="B392" s="12">
        <v>44256</v>
      </c>
      <c r="C392" s="13">
        <v>450099</v>
      </c>
      <c r="D392" s="13">
        <v>610095</v>
      </c>
      <c r="E392" s="13">
        <f t="shared" si="98"/>
        <v>1060194</v>
      </c>
      <c r="F392" s="13">
        <v>34317</v>
      </c>
      <c r="G392" s="13">
        <v>38777</v>
      </c>
      <c r="H392" s="13">
        <f t="shared" si="71"/>
        <v>73094</v>
      </c>
      <c r="I392" s="13">
        <f t="shared" si="97"/>
        <v>484416</v>
      </c>
      <c r="J392" s="13">
        <f t="shared" si="97"/>
        <v>648872</v>
      </c>
      <c r="K392" s="13">
        <f t="shared" si="97"/>
        <v>1133288</v>
      </c>
      <c r="L392" s="13">
        <v>53676118048</v>
      </c>
      <c r="M392" s="13">
        <v>77415895508</v>
      </c>
      <c r="N392" s="13">
        <f t="shared" si="92"/>
        <v>131092013556</v>
      </c>
      <c r="O392" s="13">
        <v>4918656116</v>
      </c>
      <c r="P392" s="13">
        <v>5717786488</v>
      </c>
      <c r="Q392" s="13">
        <f t="shared" si="93"/>
        <v>10636442604</v>
      </c>
      <c r="R392" s="13">
        <f t="shared" si="94"/>
        <v>58594774164</v>
      </c>
      <c r="S392" s="13">
        <f t="shared" si="95"/>
        <v>83133681996</v>
      </c>
      <c r="T392" s="14">
        <f t="shared" si="96"/>
        <v>141728456160</v>
      </c>
      <c r="U392">
        <v>108.090507335</v>
      </c>
      <c r="V392">
        <v>129.01505570699999</v>
      </c>
      <c r="W392" s="221">
        <f t="shared" si="73"/>
        <v>1.1935835892336919</v>
      </c>
      <c r="X392" s="236">
        <f t="shared" si="83"/>
        <v>44970556.341564067</v>
      </c>
      <c r="Y392" s="236">
        <f t="shared" si="84"/>
        <v>64860053.544890635</v>
      </c>
      <c r="Z392" s="236">
        <f t="shared" si="85"/>
        <v>109830609.8864547</v>
      </c>
      <c r="AA392" s="236">
        <f t="shared" si="86"/>
        <v>4120914.664349474</v>
      </c>
      <c r="AB392" s="236">
        <f t="shared" si="87"/>
        <v>4790436.5807098188</v>
      </c>
      <c r="AC392" s="236">
        <f t="shared" si="88"/>
        <v>8911351.2450592946</v>
      </c>
      <c r="AD392" s="236">
        <f t="shared" si="89"/>
        <v>49091471.005913533</v>
      </c>
      <c r="AE392" s="236">
        <f t="shared" si="90"/>
        <v>69650490.125600442</v>
      </c>
      <c r="AF392" s="236">
        <f t="shared" si="91"/>
        <v>118741961.131514</v>
      </c>
      <c r="AG392" s="236">
        <f t="shared" si="74"/>
        <v>53676118.048</v>
      </c>
      <c r="AH392" s="236">
        <f t="shared" si="75"/>
        <v>77415895.508000001</v>
      </c>
      <c r="AI392" s="236">
        <f t="shared" si="76"/>
        <v>131092013.55599999</v>
      </c>
      <c r="AJ392" s="236">
        <f t="shared" si="77"/>
        <v>4918656.1160000004</v>
      </c>
      <c r="AK392" s="236">
        <f t="shared" si="78"/>
        <v>5717786.4879999999</v>
      </c>
      <c r="AL392" s="236">
        <f t="shared" si="79"/>
        <v>10636442.604</v>
      </c>
      <c r="AM392" s="236">
        <f t="shared" si="80"/>
        <v>58594774.163999997</v>
      </c>
      <c r="AN392" s="236">
        <f t="shared" si="81"/>
        <v>83133681.996000007</v>
      </c>
      <c r="AO392" s="236">
        <f t="shared" si="82"/>
        <v>141728456.16</v>
      </c>
    </row>
    <row r="393" spans="2:41" hidden="1" x14ac:dyDescent="0.25">
      <c r="B393" s="12">
        <v>44287</v>
      </c>
      <c r="C393" s="13">
        <v>453554</v>
      </c>
      <c r="D393" s="13">
        <v>615165</v>
      </c>
      <c r="E393" s="13">
        <f t="shared" si="98"/>
        <v>1068719</v>
      </c>
      <c r="F393" s="13">
        <v>35231</v>
      </c>
      <c r="G393" s="13">
        <v>39434</v>
      </c>
      <c r="H393" s="13">
        <f t="shared" si="71"/>
        <v>74665</v>
      </c>
      <c r="I393" s="13">
        <f t="shared" si="97"/>
        <v>488785</v>
      </c>
      <c r="J393" s="13">
        <f t="shared" si="97"/>
        <v>654599</v>
      </c>
      <c r="K393" s="13">
        <f t="shared" si="97"/>
        <v>1143384</v>
      </c>
      <c r="L393" s="13">
        <v>54028183062</v>
      </c>
      <c r="M393" s="13">
        <v>78157630571</v>
      </c>
      <c r="N393" s="13">
        <f t="shared" si="92"/>
        <v>132185813633</v>
      </c>
      <c r="O393" s="13">
        <v>5000832295</v>
      </c>
      <c r="P393" s="13">
        <v>5771753030</v>
      </c>
      <c r="Q393" s="13">
        <f t="shared" si="93"/>
        <v>10772585325</v>
      </c>
      <c r="R393" s="13">
        <f t="shared" si="94"/>
        <v>59029015357</v>
      </c>
      <c r="S393" s="13">
        <f t="shared" si="95"/>
        <v>83929383601</v>
      </c>
      <c r="T393" s="14">
        <f t="shared" si="96"/>
        <v>142958398958</v>
      </c>
      <c r="U393">
        <v>108.497976482</v>
      </c>
      <c r="V393">
        <v>129.01505570699999</v>
      </c>
      <c r="W393" s="221">
        <f t="shared" si="73"/>
        <v>1.1891010310999099</v>
      </c>
      <c r="X393" s="236">
        <f t="shared" si="83"/>
        <v>45436158.618098512</v>
      </c>
      <c r="Y393" s="236">
        <f t="shared" si="84"/>
        <v>65728334.705676571</v>
      </c>
      <c r="Z393" s="236">
        <f t="shared" si="85"/>
        <v>111164493.32377507</v>
      </c>
      <c r="AA393" s="236">
        <f t="shared" si="86"/>
        <v>4205557.1092847055</v>
      </c>
      <c r="AB393" s="236">
        <f t="shared" si="87"/>
        <v>4853879.4257550761</v>
      </c>
      <c r="AC393" s="236">
        <f t="shared" si="88"/>
        <v>9059436.5350397807</v>
      </c>
      <c r="AD393" s="236">
        <f t="shared" si="89"/>
        <v>49641715.727383219</v>
      </c>
      <c r="AE393" s="236">
        <f t="shared" si="90"/>
        <v>70582214.131431639</v>
      </c>
      <c r="AF393" s="236">
        <f t="shared" si="91"/>
        <v>120223929.85881487</v>
      </c>
      <c r="AG393" s="236">
        <f t="shared" si="74"/>
        <v>54028183.061999999</v>
      </c>
      <c r="AH393" s="236">
        <f t="shared" si="75"/>
        <v>78157630.570999995</v>
      </c>
      <c r="AI393" s="236">
        <f t="shared" si="76"/>
        <v>132185813.633</v>
      </c>
      <c r="AJ393" s="236">
        <f t="shared" si="77"/>
        <v>5000832.2949999999</v>
      </c>
      <c r="AK393" s="236">
        <f t="shared" si="78"/>
        <v>5771753.0300000003</v>
      </c>
      <c r="AL393" s="236">
        <f t="shared" si="79"/>
        <v>10772585.324999999</v>
      </c>
      <c r="AM393" s="236">
        <f t="shared" si="80"/>
        <v>59029015.357000001</v>
      </c>
      <c r="AN393" s="236">
        <f t="shared" si="81"/>
        <v>83929383.600999996</v>
      </c>
      <c r="AO393" s="236">
        <f t="shared" si="82"/>
        <v>142958398.958</v>
      </c>
    </row>
    <row r="394" spans="2:41" hidden="1" x14ac:dyDescent="0.25">
      <c r="B394" s="12">
        <v>44317</v>
      </c>
      <c r="C394" s="13">
        <v>456843</v>
      </c>
      <c r="D394" s="13">
        <v>619925</v>
      </c>
      <c r="E394" s="13">
        <f t="shared" si="98"/>
        <v>1076768</v>
      </c>
      <c r="F394" s="13">
        <v>36858</v>
      </c>
      <c r="G394" s="13">
        <v>40665</v>
      </c>
      <c r="H394" s="13">
        <f t="shared" si="71"/>
        <v>77523</v>
      </c>
      <c r="I394" s="13">
        <f t="shared" si="97"/>
        <v>493701</v>
      </c>
      <c r="J394" s="13">
        <f t="shared" si="97"/>
        <v>660590</v>
      </c>
      <c r="K394" s="13">
        <f t="shared" si="97"/>
        <v>1154291</v>
      </c>
      <c r="L394" s="13">
        <v>54396869187</v>
      </c>
      <c r="M394" s="13">
        <v>78848211272</v>
      </c>
      <c r="N394" s="13">
        <f t="shared" si="92"/>
        <v>133245080459</v>
      </c>
      <c r="O394" s="13">
        <v>5119981115</v>
      </c>
      <c r="P394" s="13">
        <v>5860919907</v>
      </c>
      <c r="Q394" s="13">
        <f t="shared" si="93"/>
        <v>10980901022</v>
      </c>
      <c r="R394" s="13">
        <f t="shared" si="94"/>
        <v>59516850302</v>
      </c>
      <c r="S394" s="13">
        <f t="shared" si="95"/>
        <v>84709131179</v>
      </c>
      <c r="T394" s="14">
        <f t="shared" si="96"/>
        <v>144225981481</v>
      </c>
      <c r="U394">
        <v>108.789464045</v>
      </c>
      <c r="V394">
        <v>129.01505570699999</v>
      </c>
      <c r="W394" s="221">
        <f t="shared" si="73"/>
        <v>1.1859149857897435</v>
      </c>
      <c r="X394" s="236">
        <f t="shared" si="83"/>
        <v>45869113.586396888</v>
      </c>
      <c r="Y394" s="236">
        <f t="shared" si="84"/>
        <v>66487237.463731125</v>
      </c>
      <c r="Z394" s="236">
        <f t="shared" si="85"/>
        <v>112356351.05012803</v>
      </c>
      <c r="AA394" s="236">
        <f t="shared" si="86"/>
        <v>4317325.5893974723</v>
      </c>
      <c r="AB394" s="236">
        <f t="shared" si="87"/>
        <v>4942107.9733611783</v>
      </c>
      <c r="AC394" s="236">
        <f t="shared" si="88"/>
        <v>9259433.5627586525</v>
      </c>
      <c r="AD394" s="236">
        <f t="shared" si="89"/>
        <v>50186439.175794363</v>
      </c>
      <c r="AE394" s="236">
        <f t="shared" si="90"/>
        <v>71429345.437092304</v>
      </c>
      <c r="AF394" s="236">
        <f t="shared" si="91"/>
        <v>121615784.61288667</v>
      </c>
      <c r="AG394" s="236">
        <f t="shared" si="74"/>
        <v>54396869.186999999</v>
      </c>
      <c r="AH394" s="236">
        <f t="shared" si="75"/>
        <v>78848211.272</v>
      </c>
      <c r="AI394" s="236">
        <f t="shared" si="76"/>
        <v>133245080.45900001</v>
      </c>
      <c r="AJ394" s="236">
        <f t="shared" si="77"/>
        <v>5119981.1150000002</v>
      </c>
      <c r="AK394" s="236">
        <f t="shared" si="78"/>
        <v>5860919.9069999997</v>
      </c>
      <c r="AL394" s="236">
        <f t="shared" si="79"/>
        <v>10980901.022</v>
      </c>
      <c r="AM394" s="236">
        <f t="shared" si="80"/>
        <v>59516850.302000001</v>
      </c>
      <c r="AN394" s="236">
        <f t="shared" si="81"/>
        <v>84709131.179000005</v>
      </c>
      <c r="AO394" s="236">
        <f t="shared" si="82"/>
        <v>144225981.48100001</v>
      </c>
    </row>
    <row r="395" spans="2:41" hidden="1" x14ac:dyDescent="0.25">
      <c r="B395" s="12">
        <v>44348</v>
      </c>
      <c r="C395" s="13">
        <v>459648</v>
      </c>
      <c r="D395" s="13">
        <v>624280</v>
      </c>
      <c r="E395" s="13">
        <f t="shared" si="98"/>
        <v>1083928</v>
      </c>
      <c r="F395" s="13">
        <v>37901</v>
      </c>
      <c r="G395" s="13">
        <v>41406</v>
      </c>
      <c r="H395" s="13">
        <f t="shared" si="71"/>
        <v>79307</v>
      </c>
      <c r="I395" s="13">
        <f t="shared" si="97"/>
        <v>497549</v>
      </c>
      <c r="J395" s="13">
        <f t="shared" si="97"/>
        <v>665686</v>
      </c>
      <c r="K395" s="13">
        <f t="shared" si="97"/>
        <v>1163235</v>
      </c>
      <c r="L395" s="13">
        <v>54796786969</v>
      </c>
      <c r="M395" s="13">
        <v>79580831512</v>
      </c>
      <c r="N395" s="13">
        <f t="shared" si="92"/>
        <v>134377618481</v>
      </c>
      <c r="O395" s="13">
        <v>5212561692</v>
      </c>
      <c r="P395" s="13">
        <v>5920938257</v>
      </c>
      <c r="Q395" s="13">
        <f t="shared" si="93"/>
        <v>11133499949</v>
      </c>
      <c r="R395" s="13">
        <f t="shared" si="94"/>
        <v>60009348661</v>
      </c>
      <c r="S395" s="13">
        <f t="shared" si="95"/>
        <v>85501769769</v>
      </c>
      <c r="T395" s="14">
        <f t="shared" si="96"/>
        <v>145511118430</v>
      </c>
      <c r="U395">
        <v>108.876200532</v>
      </c>
      <c r="V395">
        <v>129.01505570699999</v>
      </c>
      <c r="W395" s="221">
        <f t="shared" si="73"/>
        <v>1.1849702237642004</v>
      </c>
      <c r="X395" s="236">
        <f t="shared" si="83"/>
        <v>46243176.301030934</v>
      </c>
      <c r="Y395" s="236">
        <f t="shared" si="84"/>
        <v>67158507.375148997</v>
      </c>
      <c r="Z395" s="236">
        <f t="shared" si="85"/>
        <v>113401683.67617993</v>
      </c>
      <c r="AA395" s="236">
        <f t="shared" si="86"/>
        <v>4398896.771803827</v>
      </c>
      <c r="AB395" s="236">
        <f t="shared" si="87"/>
        <v>4996697.9239287786</v>
      </c>
      <c r="AC395" s="236">
        <f t="shared" si="88"/>
        <v>9395594.6957326047</v>
      </c>
      <c r="AD395" s="236">
        <f t="shared" si="89"/>
        <v>50642073.072834767</v>
      </c>
      <c r="AE395" s="236">
        <f t="shared" si="90"/>
        <v>72155205.299077779</v>
      </c>
      <c r="AF395" s="236">
        <f t="shared" si="91"/>
        <v>122797278.37191254</v>
      </c>
      <c r="AG395" s="236">
        <f t="shared" si="74"/>
        <v>54796786.968999997</v>
      </c>
      <c r="AH395" s="236">
        <f t="shared" si="75"/>
        <v>79580831.511999995</v>
      </c>
      <c r="AI395" s="236">
        <f t="shared" si="76"/>
        <v>134377618.48100001</v>
      </c>
      <c r="AJ395" s="236">
        <f t="shared" si="77"/>
        <v>5212561.6919999998</v>
      </c>
      <c r="AK395" s="236">
        <f t="shared" si="78"/>
        <v>5920938.2570000002</v>
      </c>
      <c r="AL395" s="236">
        <f t="shared" si="79"/>
        <v>11133499.948999999</v>
      </c>
      <c r="AM395" s="236">
        <f t="shared" si="80"/>
        <v>60009348.660999998</v>
      </c>
      <c r="AN395" s="236">
        <f t="shared" si="81"/>
        <v>85501769.768999994</v>
      </c>
      <c r="AO395" s="236">
        <f t="shared" si="82"/>
        <v>145511118.43000001</v>
      </c>
    </row>
    <row r="396" spans="2:41" hidden="1" x14ac:dyDescent="0.25">
      <c r="B396" s="12">
        <v>44378</v>
      </c>
      <c r="C396" s="13">
        <v>462542</v>
      </c>
      <c r="D396" s="13">
        <v>628233</v>
      </c>
      <c r="E396" s="13">
        <f t="shared" si="98"/>
        <v>1090775</v>
      </c>
      <c r="F396" s="13">
        <v>38877</v>
      </c>
      <c r="G396" s="13">
        <v>41969</v>
      </c>
      <c r="H396" s="13">
        <f t="shared" si="71"/>
        <v>80846</v>
      </c>
      <c r="I396" s="13">
        <f t="shared" si="97"/>
        <v>501419</v>
      </c>
      <c r="J396" s="13">
        <f t="shared" si="97"/>
        <v>670202</v>
      </c>
      <c r="K396" s="13">
        <f t="shared" si="97"/>
        <v>1171621</v>
      </c>
      <c r="L396" s="13">
        <v>57942903496</v>
      </c>
      <c r="M396" s="13">
        <v>84039924520</v>
      </c>
      <c r="N396" s="13">
        <f t="shared" si="92"/>
        <v>141982828016</v>
      </c>
      <c r="O396" s="13">
        <v>5529047882</v>
      </c>
      <c r="P396" s="13">
        <v>6212730902</v>
      </c>
      <c r="Q396" s="13">
        <f t="shared" si="93"/>
        <v>11741778784</v>
      </c>
      <c r="R396" s="13">
        <f t="shared" si="94"/>
        <v>63471951378</v>
      </c>
      <c r="S396" s="13">
        <f t="shared" si="95"/>
        <v>90252655422</v>
      </c>
      <c r="T396" s="14">
        <f t="shared" si="96"/>
        <v>153724606800</v>
      </c>
      <c r="U396">
        <v>109.757009083</v>
      </c>
      <c r="V396">
        <v>129.01505570699999</v>
      </c>
      <c r="W396" s="221">
        <f t="shared" si="73"/>
        <v>1.175460745376514</v>
      </c>
      <c r="X396" s="236">
        <f t="shared" si="83"/>
        <v>49293780.097641803</v>
      </c>
      <c r="Y396" s="236">
        <f t="shared" si="84"/>
        <v>71495305.011722028</v>
      </c>
      <c r="Z396" s="236">
        <f t="shared" si="85"/>
        <v>120789085.10936382</v>
      </c>
      <c r="AA396" s="236">
        <f t="shared" si="86"/>
        <v>4703728.2221015217</v>
      </c>
      <c r="AB396" s="236">
        <f t="shared" si="87"/>
        <v>5285358.0406123968</v>
      </c>
      <c r="AC396" s="236">
        <f t="shared" si="88"/>
        <v>9989086.2627139185</v>
      </c>
      <c r="AD396" s="236">
        <f t="shared" si="89"/>
        <v>53997508.31974332</v>
      </c>
      <c r="AE396" s="236">
        <f t="shared" si="90"/>
        <v>76780663.052334428</v>
      </c>
      <c r="AF396" s="236">
        <f t="shared" si="91"/>
        <v>130778171.37207775</v>
      </c>
      <c r="AG396" s="236">
        <f t="shared" si="74"/>
        <v>57942903.495999999</v>
      </c>
      <c r="AH396" s="236">
        <f t="shared" si="75"/>
        <v>84039924.519999996</v>
      </c>
      <c r="AI396" s="236">
        <f t="shared" si="76"/>
        <v>141982828.016</v>
      </c>
      <c r="AJ396" s="236">
        <f t="shared" si="77"/>
        <v>5529047.8820000002</v>
      </c>
      <c r="AK396" s="236">
        <f t="shared" si="78"/>
        <v>6212730.9019999998</v>
      </c>
      <c r="AL396" s="236">
        <f t="shared" si="79"/>
        <v>11741778.784</v>
      </c>
      <c r="AM396" s="236">
        <f t="shared" si="80"/>
        <v>63471951.377999999</v>
      </c>
      <c r="AN396" s="236">
        <f t="shared" si="81"/>
        <v>90252655.422000006</v>
      </c>
      <c r="AO396" s="236">
        <f t="shared" si="82"/>
        <v>153724606.80000001</v>
      </c>
    </row>
    <row r="397" spans="2:41" hidden="1" x14ac:dyDescent="0.25">
      <c r="B397" s="12">
        <v>44409</v>
      </c>
      <c r="C397" s="13">
        <v>464709</v>
      </c>
      <c r="D397" s="13">
        <v>632311</v>
      </c>
      <c r="E397" s="13">
        <f t="shared" si="98"/>
        <v>1097020</v>
      </c>
      <c r="F397" s="13">
        <v>39447</v>
      </c>
      <c r="G397" s="13">
        <v>42296</v>
      </c>
      <c r="H397" s="13">
        <f t="shared" si="71"/>
        <v>81743</v>
      </c>
      <c r="I397" s="13">
        <f t="shared" si="97"/>
        <v>504156</v>
      </c>
      <c r="J397" s="13">
        <f t="shared" si="97"/>
        <v>674607</v>
      </c>
      <c r="K397" s="13">
        <f t="shared" si="97"/>
        <v>1178763</v>
      </c>
      <c r="L397" s="13">
        <v>58620563781</v>
      </c>
      <c r="M397" s="13">
        <v>84989369709</v>
      </c>
      <c r="N397" s="13">
        <f t="shared" si="92"/>
        <v>143609933490</v>
      </c>
      <c r="O397" s="13">
        <v>5611771380</v>
      </c>
      <c r="P397" s="13">
        <v>6258263341</v>
      </c>
      <c r="Q397" s="13">
        <f t="shared" si="93"/>
        <v>11870034721</v>
      </c>
      <c r="R397" s="13">
        <f t="shared" si="94"/>
        <v>64232335161</v>
      </c>
      <c r="S397" s="13">
        <f t="shared" si="95"/>
        <v>91247633050</v>
      </c>
      <c r="T397" s="14">
        <f t="shared" si="96"/>
        <v>155479968211</v>
      </c>
      <c r="U397">
        <v>110.15137928</v>
      </c>
      <c r="V397">
        <v>129.01505570699999</v>
      </c>
      <c r="W397" s="221">
        <f t="shared" si="73"/>
        <v>1.1712522943453059</v>
      </c>
      <c r="X397" s="236">
        <f t="shared" si="83"/>
        <v>50049476.158138156</v>
      </c>
      <c r="Y397" s="236">
        <f t="shared" si="84"/>
        <v>72562820.255994841</v>
      </c>
      <c r="Z397" s="236">
        <f t="shared" si="85"/>
        <v>122612296.41413301</v>
      </c>
      <c r="AA397" s="236">
        <f t="shared" si="86"/>
        <v>4791257.5344296834</v>
      </c>
      <c r="AB397" s="236">
        <f t="shared" si="87"/>
        <v>5343223.9759224355</v>
      </c>
      <c r="AC397" s="236">
        <f t="shared" si="88"/>
        <v>10134481.51035212</v>
      </c>
      <c r="AD397" s="236">
        <f t="shared" si="89"/>
        <v>54840733.69256784</v>
      </c>
      <c r="AE397" s="236">
        <f t="shared" si="90"/>
        <v>77906044.231917277</v>
      </c>
      <c r="AF397" s="236">
        <f t="shared" si="91"/>
        <v>132746777.92448512</v>
      </c>
      <c r="AG397" s="236">
        <f t="shared" si="74"/>
        <v>58620563.781000003</v>
      </c>
      <c r="AH397" s="236">
        <f t="shared" si="75"/>
        <v>84989369.709000006</v>
      </c>
      <c r="AI397" s="236">
        <f t="shared" si="76"/>
        <v>143609933.49000001</v>
      </c>
      <c r="AJ397" s="236">
        <f t="shared" si="77"/>
        <v>5611771.3799999999</v>
      </c>
      <c r="AK397" s="236">
        <f t="shared" si="78"/>
        <v>6258263.341</v>
      </c>
      <c r="AL397" s="236">
        <f t="shared" si="79"/>
        <v>11870034.721000001</v>
      </c>
      <c r="AM397" s="236">
        <f t="shared" si="80"/>
        <v>64232335.160999998</v>
      </c>
      <c r="AN397" s="236">
        <f t="shared" si="81"/>
        <v>91247633.049999997</v>
      </c>
      <c r="AO397" s="236">
        <f t="shared" si="82"/>
        <v>155479968.211</v>
      </c>
    </row>
    <row r="398" spans="2:41" hidden="1" x14ac:dyDescent="0.25">
      <c r="B398" s="12">
        <v>44440</v>
      </c>
      <c r="C398" s="13">
        <v>469874</v>
      </c>
      <c r="D398" s="13">
        <v>638396</v>
      </c>
      <c r="E398" s="13">
        <f t="shared" si="98"/>
        <v>1108270</v>
      </c>
      <c r="F398" s="13">
        <v>39831</v>
      </c>
      <c r="G398" s="13">
        <v>42481</v>
      </c>
      <c r="H398" s="13">
        <f t="shared" si="71"/>
        <v>82312</v>
      </c>
      <c r="I398" s="13">
        <f t="shared" si="97"/>
        <v>509705</v>
      </c>
      <c r="J398" s="13">
        <f t="shared" si="97"/>
        <v>680877</v>
      </c>
      <c r="K398" s="13">
        <f t="shared" si="97"/>
        <v>1190582</v>
      </c>
      <c r="L398" s="13">
        <v>59428030621</v>
      </c>
      <c r="M398" s="13">
        <v>86059222452</v>
      </c>
      <c r="N398" s="13">
        <f t="shared" si="92"/>
        <v>145487253073</v>
      </c>
      <c r="O398" s="13">
        <v>5658189626</v>
      </c>
      <c r="P398" s="13">
        <v>6273838030</v>
      </c>
      <c r="Q398" s="13">
        <f t="shared" si="93"/>
        <v>11932027656</v>
      </c>
      <c r="R398" s="13">
        <f t="shared" si="94"/>
        <v>65086220247</v>
      </c>
      <c r="S398" s="13">
        <f t="shared" si="95"/>
        <v>92333060482</v>
      </c>
      <c r="T398" s="14">
        <f t="shared" si="96"/>
        <v>157419280729</v>
      </c>
      <c r="U398">
        <v>111.448827579</v>
      </c>
      <c r="V398">
        <v>129.01505570699999</v>
      </c>
      <c r="W398" s="221">
        <f t="shared" si="73"/>
        <v>1.1576169844904671</v>
      </c>
      <c r="X398" s="236">
        <f t="shared" si="83"/>
        <v>51336522.716239899</v>
      </c>
      <c r="Y398" s="236">
        <f t="shared" si="84"/>
        <v>74341706.803722784</v>
      </c>
      <c r="Z398" s="236">
        <f t="shared" si="85"/>
        <v>125678229.51996268</v>
      </c>
      <c r="AA398" s="236">
        <f t="shared" si="86"/>
        <v>4887790.7821044028</v>
      </c>
      <c r="AB398" s="236">
        <f t="shared" si="87"/>
        <v>5419614.7033567168</v>
      </c>
      <c r="AC398" s="236">
        <f t="shared" si="88"/>
        <v>10307405.48546112</v>
      </c>
      <c r="AD398" s="236">
        <f t="shared" si="89"/>
        <v>56224313.49834431</v>
      </c>
      <c r="AE398" s="236">
        <f t="shared" si="90"/>
        <v>79761321.507079482</v>
      </c>
      <c r="AF398" s="236">
        <f t="shared" si="91"/>
        <v>135985635.00542378</v>
      </c>
      <c r="AG398" s="236">
        <f t="shared" si="74"/>
        <v>59428030.620999999</v>
      </c>
      <c r="AH398" s="236">
        <f t="shared" si="75"/>
        <v>86059222.452000007</v>
      </c>
      <c r="AI398" s="236">
        <f t="shared" si="76"/>
        <v>145487253.07300001</v>
      </c>
      <c r="AJ398" s="236">
        <f t="shared" si="77"/>
        <v>5658189.6260000002</v>
      </c>
      <c r="AK398" s="236">
        <f t="shared" si="78"/>
        <v>6273838.0300000003</v>
      </c>
      <c r="AL398" s="236">
        <f t="shared" si="79"/>
        <v>11932027.655999999</v>
      </c>
      <c r="AM398" s="236">
        <f t="shared" si="80"/>
        <v>65086220.247000001</v>
      </c>
      <c r="AN398" s="236">
        <f t="shared" si="81"/>
        <v>92333060.481999993</v>
      </c>
      <c r="AO398" s="236">
        <f t="shared" si="82"/>
        <v>157419280.729</v>
      </c>
    </row>
    <row r="399" spans="2:41" hidden="1" x14ac:dyDescent="0.25">
      <c r="B399" s="12">
        <v>44470</v>
      </c>
      <c r="C399" s="13">
        <v>475311</v>
      </c>
      <c r="D399" s="13">
        <v>645913</v>
      </c>
      <c r="E399" s="13">
        <f t="shared" si="98"/>
        <v>1121224</v>
      </c>
      <c r="F399" s="13">
        <v>40062</v>
      </c>
      <c r="G399" s="13">
        <v>42530</v>
      </c>
      <c r="H399" s="13">
        <f t="shared" si="71"/>
        <v>82592</v>
      </c>
      <c r="I399" s="13">
        <f t="shared" si="97"/>
        <v>515373</v>
      </c>
      <c r="J399" s="13">
        <f t="shared" si="97"/>
        <v>688443</v>
      </c>
      <c r="K399" s="13">
        <f t="shared" si="97"/>
        <v>1203816</v>
      </c>
      <c r="L399" s="13">
        <v>60287600632</v>
      </c>
      <c r="M399" s="13">
        <v>87252480542</v>
      </c>
      <c r="N399" s="13">
        <f t="shared" si="92"/>
        <v>147540081174</v>
      </c>
      <c r="O399" s="13">
        <v>5694873202</v>
      </c>
      <c r="P399" s="13">
        <v>6276108108</v>
      </c>
      <c r="Q399" s="13">
        <f t="shared" si="93"/>
        <v>11970981310</v>
      </c>
      <c r="R399" s="13">
        <f t="shared" si="94"/>
        <v>65982473834</v>
      </c>
      <c r="S399" s="13">
        <f t="shared" si="95"/>
        <v>93528588650</v>
      </c>
      <c r="T399" s="14">
        <f t="shared" si="96"/>
        <v>159511062484</v>
      </c>
      <c r="U399">
        <v>112.943374746</v>
      </c>
      <c r="V399">
        <v>129.01505570699999</v>
      </c>
      <c r="W399" s="221">
        <f t="shared" si="73"/>
        <v>1.1422985721574535</v>
      </c>
      <c r="X399" s="236">
        <f t="shared" si="83"/>
        <v>52777445.495826118</v>
      </c>
      <c r="Y399" s="236">
        <f t="shared" si="84"/>
        <v>76383252.740311757</v>
      </c>
      <c r="Z399" s="236">
        <f t="shared" si="85"/>
        <v>129160698.23613787</v>
      </c>
      <c r="AA399" s="236">
        <f t="shared" si="86"/>
        <v>4985450.6875939816</v>
      </c>
      <c r="AB399" s="236">
        <f t="shared" si="87"/>
        <v>5494279.9203069536</v>
      </c>
      <c r="AC399" s="236">
        <f t="shared" si="88"/>
        <v>10479730.607900936</v>
      </c>
      <c r="AD399" s="236">
        <f t="shared" si="89"/>
        <v>57762896.183420107</v>
      </c>
      <c r="AE399" s="236">
        <f t="shared" si="90"/>
        <v>81877532.660618693</v>
      </c>
      <c r="AF399" s="236">
        <f t="shared" si="91"/>
        <v>139640428.84403878</v>
      </c>
      <c r="AG399" s="236">
        <f t="shared" si="74"/>
        <v>60287600.631999999</v>
      </c>
      <c r="AH399" s="236">
        <f t="shared" si="75"/>
        <v>87252480.541999996</v>
      </c>
      <c r="AI399" s="236">
        <f t="shared" si="76"/>
        <v>147540081.17399999</v>
      </c>
      <c r="AJ399" s="236">
        <f t="shared" si="77"/>
        <v>5694873.2019999996</v>
      </c>
      <c r="AK399" s="236">
        <f t="shared" si="78"/>
        <v>6276108.108</v>
      </c>
      <c r="AL399" s="236">
        <f t="shared" si="79"/>
        <v>11970981.310000001</v>
      </c>
      <c r="AM399" s="236">
        <f t="shared" si="80"/>
        <v>65982473.833999999</v>
      </c>
      <c r="AN399" s="236">
        <f t="shared" si="81"/>
        <v>93528588.650000006</v>
      </c>
      <c r="AO399" s="236">
        <f t="shared" si="82"/>
        <v>159511062.484</v>
      </c>
    </row>
    <row r="400" spans="2:41" hidden="1" x14ac:dyDescent="0.25">
      <c r="B400" s="12">
        <v>44501</v>
      </c>
      <c r="C400" s="13">
        <v>481364</v>
      </c>
      <c r="D400" s="13">
        <v>654021</v>
      </c>
      <c r="E400" s="13">
        <f t="shared" si="98"/>
        <v>1135385</v>
      </c>
      <c r="F400" s="13">
        <v>41024</v>
      </c>
      <c r="G400" s="13">
        <v>43059</v>
      </c>
      <c r="H400" s="13">
        <f t="shared" si="71"/>
        <v>84083</v>
      </c>
      <c r="I400" s="13">
        <f t="shared" si="97"/>
        <v>522388</v>
      </c>
      <c r="J400" s="13">
        <f t="shared" si="97"/>
        <v>697080</v>
      </c>
      <c r="K400" s="13">
        <f t="shared" si="97"/>
        <v>1219468</v>
      </c>
      <c r="L400" s="13">
        <v>61139789746</v>
      </c>
      <c r="M400" s="13">
        <v>88455012146</v>
      </c>
      <c r="N400" s="13">
        <f t="shared" si="92"/>
        <v>149594801892</v>
      </c>
      <c r="O400" s="13">
        <v>5779401810</v>
      </c>
      <c r="P400" s="13">
        <v>6311845349</v>
      </c>
      <c r="Q400" s="13">
        <f t="shared" si="93"/>
        <v>12091247159</v>
      </c>
      <c r="R400" s="13">
        <f t="shared" si="94"/>
        <v>66919191556</v>
      </c>
      <c r="S400" s="13">
        <f t="shared" si="95"/>
        <v>94766857495</v>
      </c>
      <c r="T400" s="14">
        <f t="shared" si="96"/>
        <v>161686049051</v>
      </c>
      <c r="U400">
        <v>113.506710539</v>
      </c>
      <c r="V400">
        <v>129.01505570699999</v>
      </c>
      <c r="W400" s="221">
        <f t="shared" si="73"/>
        <v>1.136629324331194</v>
      </c>
      <c r="X400" s="236">
        <f t="shared" si="83"/>
        <v>53790438.48087886</v>
      </c>
      <c r="Y400" s="236">
        <f t="shared" si="84"/>
        <v>77822215.433380589</v>
      </c>
      <c r="Z400" s="236">
        <f t="shared" si="85"/>
        <v>131612653.91425946</v>
      </c>
      <c r="AA400" s="236">
        <f t="shared" si="86"/>
        <v>5084684.765986192</v>
      </c>
      <c r="AB400" s="236">
        <f t="shared" si="87"/>
        <v>5553125.5563144684</v>
      </c>
      <c r="AC400" s="236">
        <f t="shared" si="88"/>
        <v>10637810.322300659</v>
      </c>
      <c r="AD400" s="236">
        <f t="shared" si="89"/>
        <v>58875123.246865049</v>
      </c>
      <c r="AE400" s="236">
        <f t="shared" si="90"/>
        <v>83375340.989695057</v>
      </c>
      <c r="AF400" s="236">
        <f t="shared" si="91"/>
        <v>142250464.23656011</v>
      </c>
      <c r="AG400" s="236">
        <f t="shared" si="74"/>
        <v>61139789.745999999</v>
      </c>
      <c r="AH400" s="236">
        <f t="shared" si="75"/>
        <v>88455012.145999998</v>
      </c>
      <c r="AI400" s="236">
        <f t="shared" si="76"/>
        <v>149594801.89199999</v>
      </c>
      <c r="AJ400" s="236">
        <f t="shared" si="77"/>
        <v>5779401.8099999996</v>
      </c>
      <c r="AK400" s="236">
        <f t="shared" si="78"/>
        <v>6311845.3490000004</v>
      </c>
      <c r="AL400" s="236">
        <f t="shared" si="79"/>
        <v>12091247.159</v>
      </c>
      <c r="AM400" s="236">
        <f t="shared" si="80"/>
        <v>66919191.556000002</v>
      </c>
      <c r="AN400" s="236">
        <f t="shared" si="81"/>
        <v>94766857.495000005</v>
      </c>
      <c r="AO400" s="236">
        <f t="shared" si="82"/>
        <v>161686049.051</v>
      </c>
    </row>
    <row r="401" spans="2:44" hidden="1" x14ac:dyDescent="0.25">
      <c r="B401" s="15">
        <v>44531</v>
      </c>
      <c r="C401" s="16">
        <v>486375</v>
      </c>
      <c r="D401" s="16">
        <v>661228</v>
      </c>
      <c r="E401" s="16">
        <f t="shared" si="98"/>
        <v>1147603</v>
      </c>
      <c r="F401" s="16">
        <v>41477</v>
      </c>
      <c r="G401" s="16">
        <v>43273</v>
      </c>
      <c r="H401" s="16">
        <f t="shared" si="71"/>
        <v>84750</v>
      </c>
      <c r="I401" s="17">
        <f t="shared" si="97"/>
        <v>527852</v>
      </c>
      <c r="J401" s="17">
        <f t="shared" si="97"/>
        <v>704501</v>
      </c>
      <c r="K401" s="17">
        <f t="shared" si="97"/>
        <v>1232353</v>
      </c>
      <c r="L401" s="16">
        <v>61876380093</v>
      </c>
      <c r="M401" s="16">
        <v>89519543391</v>
      </c>
      <c r="N401" s="16">
        <f t="shared" si="92"/>
        <v>151395923484</v>
      </c>
      <c r="O401" s="16">
        <v>5805943338</v>
      </c>
      <c r="P401" s="16">
        <v>6315167453</v>
      </c>
      <c r="Q401" s="16">
        <f t="shared" si="93"/>
        <v>12121110791</v>
      </c>
      <c r="R401" s="16">
        <f t="shared" si="94"/>
        <v>67682323431</v>
      </c>
      <c r="S401" s="16">
        <f t="shared" si="95"/>
        <v>95834710844</v>
      </c>
      <c r="T401" s="16">
        <f t="shared" si="96"/>
        <v>163517034275</v>
      </c>
      <c r="U401">
        <v>114.393654431</v>
      </c>
      <c r="V401">
        <v>129.01505570699999</v>
      </c>
      <c r="W401" s="221">
        <f t="shared" si="73"/>
        <v>1.1278165414745041</v>
      </c>
      <c r="X401" s="236">
        <f t="shared" si="83"/>
        <v>54863869.980221249</v>
      </c>
      <c r="Y401" s="236">
        <f t="shared" si="84"/>
        <v>79374206.796047181</v>
      </c>
      <c r="Z401" s="236">
        <f t="shared" si="85"/>
        <v>134238076.77626842</v>
      </c>
      <c r="AA401" s="236">
        <f t="shared" si="86"/>
        <v>5147950.1536742188</v>
      </c>
      <c r="AB401" s="236">
        <f t="shared" si="87"/>
        <v>5599463.4062944036</v>
      </c>
      <c r="AC401" s="236">
        <f t="shared" si="88"/>
        <v>10747413.559968624</v>
      </c>
      <c r="AD401" s="236">
        <f t="shared" si="89"/>
        <v>60011820.133895472</v>
      </c>
      <c r="AE401" s="236">
        <f t="shared" si="90"/>
        <v>84973670.202341586</v>
      </c>
      <c r="AF401" s="236">
        <f t="shared" si="91"/>
        <v>144985490.33623707</v>
      </c>
      <c r="AG401" s="236">
        <f t="shared" si="74"/>
        <v>61876380.093000002</v>
      </c>
      <c r="AH401" s="236">
        <f t="shared" si="75"/>
        <v>89519543.391000003</v>
      </c>
      <c r="AI401" s="236">
        <f t="shared" si="76"/>
        <v>151395923.484</v>
      </c>
      <c r="AJ401" s="236">
        <f t="shared" si="77"/>
        <v>5805943.3380000005</v>
      </c>
      <c r="AK401" s="236">
        <f t="shared" si="78"/>
        <v>6315167.4529999997</v>
      </c>
      <c r="AL401" s="236">
        <f t="shared" si="79"/>
        <v>12121110.790999999</v>
      </c>
      <c r="AM401" s="236">
        <f t="shared" si="80"/>
        <v>67682323.430999994</v>
      </c>
      <c r="AN401" s="236">
        <f t="shared" si="81"/>
        <v>95834710.843999997</v>
      </c>
      <c r="AO401" s="236">
        <f t="shared" si="82"/>
        <v>163517034.27500001</v>
      </c>
    </row>
    <row r="402" spans="2:44" hidden="1" x14ac:dyDescent="0.25">
      <c r="B402" s="12">
        <v>44562</v>
      </c>
      <c r="C402" s="13">
        <v>492231</v>
      </c>
      <c r="D402" s="13">
        <v>669074</v>
      </c>
      <c r="E402" s="13">
        <f t="shared" si="98"/>
        <v>1161305</v>
      </c>
      <c r="F402" s="13">
        <v>41983</v>
      </c>
      <c r="G402" s="13">
        <v>43561</v>
      </c>
      <c r="H402" s="13">
        <f t="shared" si="71"/>
        <v>85544</v>
      </c>
      <c r="I402" s="13">
        <f t="shared" si="97"/>
        <v>534214</v>
      </c>
      <c r="J402" s="13">
        <f t="shared" si="97"/>
        <v>712635</v>
      </c>
      <c r="K402" s="13">
        <f t="shared" si="97"/>
        <v>1246849</v>
      </c>
      <c r="L402" s="13">
        <v>66064824284</v>
      </c>
      <c r="M402" s="13">
        <v>95093530766</v>
      </c>
      <c r="N402" s="13">
        <f t="shared" si="92"/>
        <v>161158355050</v>
      </c>
      <c r="O402" s="13">
        <v>6329470447</v>
      </c>
      <c r="P402" s="13">
        <v>6834470991</v>
      </c>
      <c r="Q402" s="13">
        <f t="shared" si="93"/>
        <v>13163941438</v>
      </c>
      <c r="R402" s="13">
        <f t="shared" si="94"/>
        <v>72394294731</v>
      </c>
      <c r="S402" s="13">
        <f t="shared" si="95"/>
        <v>101928001757</v>
      </c>
      <c r="T402" s="14">
        <f t="shared" si="96"/>
        <v>174322296488</v>
      </c>
      <c r="U402">
        <v>115.767651409</v>
      </c>
      <c r="V402">
        <v>129.01505570699999</v>
      </c>
      <c r="W402" s="221">
        <f t="shared" si="73"/>
        <v>1.1144309669995613</v>
      </c>
      <c r="X402" s="236">
        <f t="shared" si="83"/>
        <v>59281217.267202884</v>
      </c>
      <c r="Y402" s="236">
        <f t="shared" si="84"/>
        <v>85329225.032237858</v>
      </c>
      <c r="Z402" s="236">
        <f t="shared" si="85"/>
        <v>144610442.29944074</v>
      </c>
      <c r="AA402" s="236">
        <f t="shared" si="86"/>
        <v>5679553.632685883</v>
      </c>
      <c r="AB402" s="236">
        <f t="shared" si="87"/>
        <v>6132700.1791782491</v>
      </c>
      <c r="AC402" s="236">
        <f t="shared" si="88"/>
        <v>11812253.811864132</v>
      </c>
      <c r="AD402" s="236">
        <f t="shared" si="89"/>
        <v>64960770.899888761</v>
      </c>
      <c r="AE402" s="236">
        <f t="shared" si="90"/>
        <v>91461925.211416095</v>
      </c>
      <c r="AF402" s="236">
        <f t="shared" si="91"/>
        <v>156422696.11130488</v>
      </c>
      <c r="AG402" s="236">
        <f t="shared" si="74"/>
        <v>66064824.284000002</v>
      </c>
      <c r="AH402" s="236">
        <f t="shared" si="75"/>
        <v>95093530.766000003</v>
      </c>
      <c r="AI402" s="236">
        <f t="shared" si="76"/>
        <v>161158355.05000001</v>
      </c>
      <c r="AJ402" s="236">
        <f t="shared" si="77"/>
        <v>6329470.4469999997</v>
      </c>
      <c r="AK402" s="236">
        <f t="shared" si="78"/>
        <v>6834470.9910000004</v>
      </c>
      <c r="AL402" s="236">
        <f t="shared" si="79"/>
        <v>13163941.437999999</v>
      </c>
      <c r="AM402" s="236">
        <f t="shared" si="80"/>
        <v>72394294.731000006</v>
      </c>
      <c r="AN402" s="236">
        <f t="shared" si="81"/>
        <v>101928001.757</v>
      </c>
      <c r="AO402" s="236">
        <f t="shared" si="82"/>
        <v>174322296.48800001</v>
      </c>
    </row>
    <row r="403" spans="2:44" hidden="1" x14ac:dyDescent="0.25">
      <c r="B403" s="12">
        <v>44593</v>
      </c>
      <c r="C403" s="13">
        <v>156303</v>
      </c>
      <c r="D403" s="13">
        <v>157011</v>
      </c>
      <c r="E403" s="13">
        <f t="shared" si="98"/>
        <v>313314</v>
      </c>
      <c r="F403" s="13">
        <v>42423</v>
      </c>
      <c r="G403" s="13">
        <v>43796</v>
      </c>
      <c r="H403" s="13">
        <f t="shared" si="71"/>
        <v>86219</v>
      </c>
      <c r="I403" s="13">
        <f t="shared" si="97"/>
        <v>198726</v>
      </c>
      <c r="J403" s="13">
        <f t="shared" si="97"/>
        <v>200807</v>
      </c>
      <c r="K403" s="13">
        <f t="shared" si="97"/>
        <v>399533</v>
      </c>
      <c r="L403" s="13">
        <v>25632398160</v>
      </c>
      <c r="M403" s="13">
        <v>28447360479</v>
      </c>
      <c r="N403" s="13">
        <f t="shared" si="92"/>
        <v>54079758639</v>
      </c>
      <c r="O403" s="13">
        <v>6730735134</v>
      </c>
      <c r="P403" s="13">
        <v>7221515819</v>
      </c>
      <c r="Q403" s="13">
        <f t="shared" si="93"/>
        <v>13952250953</v>
      </c>
      <c r="R403" s="13">
        <f t="shared" si="94"/>
        <v>32363133294</v>
      </c>
      <c r="S403" s="13">
        <f t="shared" si="95"/>
        <v>35668876298</v>
      </c>
      <c r="T403" s="14">
        <f t="shared" si="96"/>
        <v>68032009592</v>
      </c>
      <c r="U403">
        <v>116.102606374</v>
      </c>
      <c r="V403">
        <v>129.01505570699999</v>
      </c>
      <c r="W403" s="221">
        <f t="shared" si="73"/>
        <v>1.1112158437805026</v>
      </c>
      <c r="X403" s="236">
        <f t="shared" ref="X403:X413" si="99">+L403/$W403/$AA$238</f>
        <v>23066984.063865762</v>
      </c>
      <c r="Y403" s="236">
        <f t="shared" ref="Y403:Y413" si="100">+M403/$W403/$AA$238</f>
        <v>25600211.370473564</v>
      </c>
      <c r="Z403" s="236">
        <f t="shared" ref="Z403:Z413" si="101">+N403/$W403/$AA$238</f>
        <v>48667195.434339322</v>
      </c>
      <c r="AA403" s="236">
        <f t="shared" ref="AA403:AA413" si="102">+O403/$W403/$AA$238</f>
        <v>6057090.6828516349</v>
      </c>
      <c r="AB403" s="236">
        <f t="shared" ref="AB403:AB413" si="103">+P403/$W403/$AA$238</f>
        <v>6498751.6686510267</v>
      </c>
      <c r="AC403" s="236">
        <f t="shared" ref="AC403:AC413" si="104">+Q403/$W403/$AA$238</f>
        <v>12555842.351502661</v>
      </c>
      <c r="AD403" s="236">
        <f t="shared" ref="AD403:AD413" si="105">+R403/$W403/$AA$238</f>
        <v>29124074.746717397</v>
      </c>
      <c r="AE403" s="236">
        <f t="shared" ref="AE403:AE413" si="106">+S403/$W403/$AA$238</f>
        <v>32098963.039124593</v>
      </c>
      <c r="AF403" s="236">
        <f t="shared" ref="AF403:AF413" si="107">+T403/$W403/$AA$238</f>
        <v>61223037.785841987</v>
      </c>
      <c r="AG403" s="236">
        <f t="shared" si="74"/>
        <v>25632398.16</v>
      </c>
      <c r="AH403" s="236">
        <f t="shared" si="75"/>
        <v>28447360.478999998</v>
      </c>
      <c r="AI403" s="236">
        <f t="shared" si="76"/>
        <v>54079758.638999999</v>
      </c>
      <c r="AJ403" s="236">
        <f t="shared" si="77"/>
        <v>6730735.1339999996</v>
      </c>
      <c r="AK403" s="236">
        <f t="shared" si="78"/>
        <v>7221515.8190000001</v>
      </c>
      <c r="AL403" s="236">
        <f t="shared" si="79"/>
        <v>13952250.953</v>
      </c>
      <c r="AM403" s="236">
        <f t="shared" si="80"/>
        <v>32363133.294</v>
      </c>
      <c r="AN403" s="236">
        <f t="shared" si="81"/>
        <v>35668876.298</v>
      </c>
      <c r="AO403" s="236">
        <f t="shared" si="82"/>
        <v>68032009.591999993</v>
      </c>
    </row>
    <row r="404" spans="2:44" hidden="1" x14ac:dyDescent="0.25">
      <c r="B404" s="12">
        <v>44621</v>
      </c>
      <c r="C404" s="13">
        <v>158291</v>
      </c>
      <c r="D404" s="13">
        <v>158373</v>
      </c>
      <c r="E404" s="13">
        <f t="shared" si="98"/>
        <v>316664</v>
      </c>
      <c r="F404" s="13">
        <v>43297</v>
      </c>
      <c r="G404" s="13">
        <v>44375</v>
      </c>
      <c r="H404" s="13">
        <f t="shared" si="71"/>
        <v>87672</v>
      </c>
      <c r="I404" s="13">
        <f t="shared" si="97"/>
        <v>201588</v>
      </c>
      <c r="J404" s="13">
        <f t="shared" si="97"/>
        <v>202748</v>
      </c>
      <c r="K404" s="13">
        <f t="shared" si="97"/>
        <v>404336</v>
      </c>
      <c r="L404" s="13">
        <v>26035716618</v>
      </c>
      <c r="M404" s="13">
        <v>28739803393</v>
      </c>
      <c r="N404" s="13">
        <f t="shared" si="92"/>
        <v>54775520011</v>
      </c>
      <c r="O404" s="13">
        <v>6799291956</v>
      </c>
      <c r="P404" s="13">
        <v>7264389204</v>
      </c>
      <c r="Q404" s="13">
        <f t="shared" si="93"/>
        <v>14063681160</v>
      </c>
      <c r="R404" s="13">
        <f t="shared" si="94"/>
        <v>32835008574</v>
      </c>
      <c r="S404" s="13">
        <f t="shared" si="95"/>
        <v>36004192597</v>
      </c>
      <c r="T404" s="14">
        <f t="shared" si="96"/>
        <v>68839201171</v>
      </c>
      <c r="U404">
        <v>118.25573740900001</v>
      </c>
      <c r="V404">
        <v>129.01505570699999</v>
      </c>
      <c r="W404" s="221">
        <f t="shared" si="73"/>
        <v>1.0909834781274734</v>
      </c>
      <c r="X404" s="236">
        <f t="shared" si="99"/>
        <v>23864446.290870335</v>
      </c>
      <c r="Y404" s="236">
        <f t="shared" si="100"/>
        <v>26343023.491362132</v>
      </c>
      <c r="Z404" s="236">
        <f t="shared" si="101"/>
        <v>50207469.782232471</v>
      </c>
      <c r="AA404" s="236">
        <f t="shared" si="102"/>
        <v>6232259.3259341298</v>
      </c>
      <c r="AB404" s="236">
        <f t="shared" si="103"/>
        <v>6658569.4005818935</v>
      </c>
      <c r="AC404" s="236">
        <f t="shared" si="104"/>
        <v>12890828.726516023</v>
      </c>
      <c r="AD404" s="236">
        <f t="shared" si="105"/>
        <v>30096705.616804466</v>
      </c>
      <c r="AE404" s="236">
        <f t="shared" si="106"/>
        <v>33001592.891944028</v>
      </c>
      <c r="AF404" s="236">
        <f t="shared" si="107"/>
        <v>63098298.508748487</v>
      </c>
      <c r="AG404" s="236">
        <f t="shared" si="74"/>
        <v>26035716.618000001</v>
      </c>
      <c r="AH404" s="236">
        <f t="shared" si="75"/>
        <v>28739803.392999999</v>
      </c>
      <c r="AI404" s="236">
        <f t="shared" si="76"/>
        <v>54775520.011</v>
      </c>
      <c r="AJ404" s="236">
        <f t="shared" si="77"/>
        <v>6799291.9560000002</v>
      </c>
      <c r="AK404" s="236">
        <f t="shared" si="78"/>
        <v>7264389.2039999999</v>
      </c>
      <c r="AL404" s="236">
        <f t="shared" si="79"/>
        <v>14063681.16</v>
      </c>
      <c r="AM404" s="236">
        <f t="shared" si="80"/>
        <v>32835008.574000001</v>
      </c>
      <c r="AN404" s="236">
        <f t="shared" si="81"/>
        <v>36004192.597000003</v>
      </c>
      <c r="AO404" s="236">
        <f t="shared" si="82"/>
        <v>68839201.171000004</v>
      </c>
    </row>
    <row r="405" spans="2:44" hidden="1" x14ac:dyDescent="0.25">
      <c r="B405" s="12">
        <v>44652</v>
      </c>
      <c r="C405" s="13">
        <v>157061</v>
      </c>
      <c r="D405" s="13">
        <v>154818</v>
      </c>
      <c r="E405" s="13">
        <f t="shared" si="98"/>
        <v>311879</v>
      </c>
      <c r="F405" s="13">
        <v>43805</v>
      </c>
      <c r="G405" s="13">
        <v>44630</v>
      </c>
      <c r="H405" s="13">
        <f t="shared" si="71"/>
        <v>88435</v>
      </c>
      <c r="I405" s="13">
        <f t="shared" si="97"/>
        <v>200866</v>
      </c>
      <c r="J405" s="13">
        <f t="shared" si="97"/>
        <v>199448</v>
      </c>
      <c r="K405" s="13">
        <f t="shared" si="97"/>
        <v>400314</v>
      </c>
      <c r="L405" s="13">
        <v>26023323938</v>
      </c>
      <c r="M405" s="13">
        <v>28305473328</v>
      </c>
      <c r="N405" s="13">
        <f t="shared" si="92"/>
        <v>54328797266</v>
      </c>
      <c r="O405" s="13">
        <v>6834119920</v>
      </c>
      <c r="P405" s="13">
        <v>7269276353</v>
      </c>
      <c r="Q405" s="13">
        <f t="shared" si="93"/>
        <v>14103396273</v>
      </c>
      <c r="R405" s="13">
        <f t="shared" si="94"/>
        <v>32857443858</v>
      </c>
      <c r="S405" s="13">
        <f t="shared" si="95"/>
        <v>35574749681</v>
      </c>
      <c r="T405" s="14">
        <f t="shared" si="96"/>
        <v>68432193539</v>
      </c>
      <c r="U405">
        <v>119.909282101</v>
      </c>
      <c r="V405">
        <v>129.01505570699999</v>
      </c>
      <c r="W405" s="221">
        <f t="shared" si="73"/>
        <v>1.075938855161606</v>
      </c>
      <c r="X405" s="236">
        <f t="shared" si="99"/>
        <v>24186619.725794081</v>
      </c>
      <c r="Y405" s="236">
        <f t="shared" si="100"/>
        <v>26307696.940407004</v>
      </c>
      <c r="Z405" s="236">
        <f t="shared" si="101"/>
        <v>50494316.666201085</v>
      </c>
      <c r="AA405" s="236">
        <f t="shared" si="102"/>
        <v>6351773.5113056358</v>
      </c>
      <c r="AB405" s="236">
        <f t="shared" si="103"/>
        <v>6756216.970998928</v>
      </c>
      <c r="AC405" s="236">
        <f t="shared" si="104"/>
        <v>13107990.482304564</v>
      </c>
      <c r="AD405" s="236">
        <f t="shared" si="105"/>
        <v>30538393.237099715</v>
      </c>
      <c r="AE405" s="236">
        <f t="shared" si="106"/>
        <v>33063913.911405932</v>
      </c>
      <c r="AF405" s="236">
        <f t="shared" si="107"/>
        <v>63602307.148505643</v>
      </c>
      <c r="AG405" s="236">
        <f t="shared" si="74"/>
        <v>26023323.938000001</v>
      </c>
      <c r="AH405" s="236">
        <f t="shared" si="75"/>
        <v>28305473.328000002</v>
      </c>
      <c r="AI405" s="236">
        <f t="shared" si="76"/>
        <v>54328797.266000003</v>
      </c>
      <c r="AJ405" s="236">
        <f t="shared" si="77"/>
        <v>6834119.9199999999</v>
      </c>
      <c r="AK405" s="236">
        <f t="shared" si="78"/>
        <v>7269276.3530000001</v>
      </c>
      <c r="AL405" s="236">
        <f t="shared" si="79"/>
        <v>14103396.273</v>
      </c>
      <c r="AM405" s="236">
        <f t="shared" si="80"/>
        <v>32857443.857999999</v>
      </c>
      <c r="AN405" s="236">
        <f t="shared" si="81"/>
        <v>35574749.681000002</v>
      </c>
      <c r="AO405" s="236">
        <f t="shared" si="82"/>
        <v>68432193.539000005</v>
      </c>
    </row>
    <row r="406" spans="2:44" hidden="1" x14ac:dyDescent="0.25">
      <c r="B406" s="12">
        <v>44682</v>
      </c>
      <c r="C406" s="13">
        <v>65720</v>
      </c>
      <c r="D406" s="13">
        <v>111871</v>
      </c>
      <c r="E406" s="13">
        <f t="shared" si="98"/>
        <v>177591</v>
      </c>
      <c r="F406" s="13">
        <v>44391</v>
      </c>
      <c r="G406" s="13">
        <v>44880</v>
      </c>
      <c r="H406" s="13">
        <f t="shared" si="71"/>
        <v>89271</v>
      </c>
      <c r="I406" s="13">
        <f t="shared" ref="I406:K413" si="108">C406+F406</f>
        <v>110111</v>
      </c>
      <c r="J406" s="13">
        <f t="shared" si="108"/>
        <v>156751</v>
      </c>
      <c r="K406" s="13">
        <f t="shared" si="108"/>
        <v>266862</v>
      </c>
      <c r="L406" s="13">
        <v>12551762326</v>
      </c>
      <c r="M406" s="13">
        <v>21479681939</v>
      </c>
      <c r="N406" s="13">
        <f t="shared" si="92"/>
        <v>34031444265</v>
      </c>
      <c r="O406" s="13">
        <v>6858435153</v>
      </c>
      <c r="P406" s="13">
        <v>7266208306</v>
      </c>
      <c r="Q406" s="13">
        <f t="shared" si="93"/>
        <v>14124643459</v>
      </c>
      <c r="R406" s="13">
        <f t="shared" si="94"/>
        <v>19410197479</v>
      </c>
      <c r="S406" s="13">
        <f t="shared" si="95"/>
        <v>28745890245</v>
      </c>
      <c r="T406" s="14">
        <f t="shared" si="96"/>
        <v>48156087724</v>
      </c>
      <c r="U406">
        <v>121.346820029</v>
      </c>
      <c r="V406">
        <v>129.01505570699999</v>
      </c>
      <c r="W406" s="221">
        <f t="shared" si="73"/>
        <v>1.0631927204698681</v>
      </c>
      <c r="X406" s="236">
        <f t="shared" si="99"/>
        <v>11805726.360177547</v>
      </c>
      <c r="Y406" s="236">
        <f t="shared" si="100"/>
        <v>20202999.442572609</v>
      </c>
      <c r="Z406" s="236">
        <f t="shared" si="101"/>
        <v>32008725.802750152</v>
      </c>
      <c r="AA406" s="236">
        <f t="shared" si="102"/>
        <v>6450792.0539269475</v>
      </c>
      <c r="AB406" s="236">
        <f t="shared" si="103"/>
        <v>6834328.4957676977</v>
      </c>
      <c r="AC406" s="236">
        <f t="shared" si="104"/>
        <v>13285120.549694644</v>
      </c>
      <c r="AD406" s="236">
        <f t="shared" si="105"/>
        <v>18256518.414104495</v>
      </c>
      <c r="AE406" s="236">
        <f t="shared" si="106"/>
        <v>27037327.938340306</v>
      </c>
      <c r="AF406" s="236">
        <f t="shared" si="107"/>
        <v>45293846.352444798</v>
      </c>
      <c r="AG406" s="236">
        <f t="shared" si="74"/>
        <v>12551762.325999999</v>
      </c>
      <c r="AH406" s="236">
        <f t="shared" si="75"/>
        <v>21479681.938999999</v>
      </c>
      <c r="AI406" s="236">
        <f t="shared" si="76"/>
        <v>34031444.265000001</v>
      </c>
      <c r="AJ406" s="236">
        <f t="shared" si="77"/>
        <v>6858435.1529999999</v>
      </c>
      <c r="AK406" s="236">
        <f t="shared" si="78"/>
        <v>7266208.3059999999</v>
      </c>
      <c r="AL406" s="236">
        <f t="shared" si="79"/>
        <v>14124643.459000001</v>
      </c>
      <c r="AM406" s="236">
        <f t="shared" si="80"/>
        <v>19410197.478999998</v>
      </c>
      <c r="AN406" s="236">
        <f t="shared" si="81"/>
        <v>28745890.245000001</v>
      </c>
      <c r="AO406" s="236">
        <f t="shared" si="82"/>
        <v>48156087.723999999</v>
      </c>
    </row>
    <row r="407" spans="2:44" hidden="1" x14ac:dyDescent="0.25">
      <c r="B407" s="12">
        <v>44713</v>
      </c>
      <c r="C407" s="13">
        <v>64976</v>
      </c>
      <c r="D407" s="13">
        <v>109948</v>
      </c>
      <c r="E407" s="13">
        <f t="shared" si="98"/>
        <v>174924</v>
      </c>
      <c r="F407" s="13">
        <v>45010</v>
      </c>
      <c r="G407" s="13">
        <v>45192</v>
      </c>
      <c r="H407" s="13">
        <f t="shared" si="71"/>
        <v>90202</v>
      </c>
      <c r="I407" s="13">
        <f t="shared" si="108"/>
        <v>109986</v>
      </c>
      <c r="J407" s="13">
        <f t="shared" si="108"/>
        <v>155140</v>
      </c>
      <c r="K407" s="13">
        <f t="shared" si="108"/>
        <v>265126</v>
      </c>
      <c r="L407" s="13">
        <v>12422435187</v>
      </c>
      <c r="M407" s="13">
        <v>21123233439</v>
      </c>
      <c r="N407" s="13">
        <f t="shared" si="92"/>
        <v>33545668626</v>
      </c>
      <c r="O407" s="13">
        <v>6900257163</v>
      </c>
      <c r="P407" s="13">
        <v>7276424374</v>
      </c>
      <c r="Q407" s="13">
        <f t="shared" si="93"/>
        <v>14176681537</v>
      </c>
      <c r="R407" s="13">
        <f t="shared" si="94"/>
        <v>19322692350</v>
      </c>
      <c r="S407" s="13">
        <f t="shared" si="95"/>
        <v>28399657813</v>
      </c>
      <c r="T407" s="14">
        <f t="shared" si="96"/>
        <v>47722350163</v>
      </c>
      <c r="U407">
        <v>122.478537359</v>
      </c>
      <c r="V407">
        <v>129.01505570699999</v>
      </c>
      <c r="W407" s="221">
        <f t="shared" si="73"/>
        <v>1.0533686839257448</v>
      </c>
      <c r="X407" s="236">
        <f t="shared" si="99"/>
        <v>11793055.343836</v>
      </c>
      <c r="Y407" s="236">
        <f t="shared" si="100"/>
        <v>20053029.638470855</v>
      </c>
      <c r="Z407" s="236">
        <f t="shared" si="101"/>
        <v>31846084.982306857</v>
      </c>
      <c r="AA407" s="236">
        <f t="shared" si="102"/>
        <v>6550657.2089116909</v>
      </c>
      <c r="AB407" s="236">
        <f t="shared" si="103"/>
        <v>6907765.9940315234</v>
      </c>
      <c r="AC407" s="236">
        <f t="shared" si="104"/>
        <v>13458423.202943215</v>
      </c>
      <c r="AD407" s="236">
        <f t="shared" si="105"/>
        <v>18343712.552747693</v>
      </c>
      <c r="AE407" s="236">
        <f t="shared" si="106"/>
        <v>26960795.632502381</v>
      </c>
      <c r="AF407" s="236">
        <f t="shared" si="107"/>
        <v>45304508.185250066</v>
      </c>
      <c r="AG407" s="236">
        <f t="shared" si="74"/>
        <v>12422435.187000001</v>
      </c>
      <c r="AH407" s="236">
        <f t="shared" si="75"/>
        <v>21123233.438999999</v>
      </c>
      <c r="AI407" s="236">
        <f t="shared" si="76"/>
        <v>33545668.625999998</v>
      </c>
      <c r="AJ407" s="236">
        <f t="shared" si="77"/>
        <v>6900257.1629999997</v>
      </c>
      <c r="AK407" s="236">
        <f t="shared" si="78"/>
        <v>7276424.3739999998</v>
      </c>
      <c r="AL407" s="236">
        <f t="shared" si="79"/>
        <v>14176681.537</v>
      </c>
      <c r="AM407" s="236">
        <f t="shared" si="80"/>
        <v>19322692.350000001</v>
      </c>
      <c r="AN407" s="236">
        <f t="shared" si="81"/>
        <v>28399657.813000001</v>
      </c>
      <c r="AO407" s="236">
        <f t="shared" si="82"/>
        <v>47722350.163000003</v>
      </c>
    </row>
    <row r="408" spans="2:44" hidden="1" x14ac:dyDescent="0.25">
      <c r="B408" s="12">
        <v>44743</v>
      </c>
      <c r="C408" s="13">
        <v>64729</v>
      </c>
      <c r="D408" s="13">
        <v>109799</v>
      </c>
      <c r="E408" s="13">
        <f t="shared" si="98"/>
        <v>174528</v>
      </c>
      <c r="F408" s="13">
        <v>45364</v>
      </c>
      <c r="G408" s="13">
        <v>45366</v>
      </c>
      <c r="H408" s="13">
        <f t="shared" si="71"/>
        <v>90730</v>
      </c>
      <c r="I408" s="13">
        <f t="shared" si="108"/>
        <v>110093</v>
      </c>
      <c r="J408" s="13">
        <f t="shared" si="108"/>
        <v>155165</v>
      </c>
      <c r="K408" s="13">
        <f t="shared" si="108"/>
        <v>265258</v>
      </c>
      <c r="L408" s="13">
        <v>13740966473</v>
      </c>
      <c r="M408" s="13">
        <v>23251915916</v>
      </c>
      <c r="N408" s="13">
        <f t="shared" si="92"/>
        <v>36992882389</v>
      </c>
      <c r="O408" s="13">
        <v>7298276683</v>
      </c>
      <c r="P408" s="13">
        <v>7665209235</v>
      </c>
      <c r="Q408" s="13">
        <f t="shared" si="93"/>
        <v>14963485918</v>
      </c>
      <c r="R408" s="13">
        <f t="shared" si="94"/>
        <v>21039243156</v>
      </c>
      <c r="S408" s="13">
        <f t="shared" si="95"/>
        <v>30917125151</v>
      </c>
      <c r="T408" s="14">
        <f t="shared" si="96"/>
        <v>51956368307</v>
      </c>
      <c r="U408">
        <v>124.162318965</v>
      </c>
      <c r="V408">
        <v>129.01505570699999</v>
      </c>
      <c r="W408" s="221">
        <f t="shared" si="73"/>
        <v>1.0390838120812476</v>
      </c>
      <c r="X408" s="236">
        <f t="shared" si="99"/>
        <v>13224117.54782065</v>
      </c>
      <c r="Y408" s="236">
        <f t="shared" si="100"/>
        <v>22377324.760191623</v>
      </c>
      <c r="Z408" s="236">
        <f t="shared" si="101"/>
        <v>35601442.308012277</v>
      </c>
      <c r="AA408" s="236">
        <f t="shared" si="102"/>
        <v>7023761.3156361412</v>
      </c>
      <c r="AB408" s="236">
        <f t="shared" si="103"/>
        <v>7376892.1677712034</v>
      </c>
      <c r="AC408" s="236">
        <f t="shared" si="104"/>
        <v>14400653.483407345</v>
      </c>
      <c r="AD408" s="236">
        <f t="shared" si="105"/>
        <v>20247878.863456789</v>
      </c>
      <c r="AE408" s="236">
        <f t="shared" si="106"/>
        <v>29754216.927962825</v>
      </c>
      <c r="AF408" s="236">
        <f t="shared" si="107"/>
        <v>50002095.791419618</v>
      </c>
      <c r="AG408" s="236">
        <f t="shared" si="74"/>
        <v>13740966.472999999</v>
      </c>
      <c r="AH408" s="236">
        <f t="shared" si="75"/>
        <v>23251915.916000001</v>
      </c>
      <c r="AI408" s="236">
        <f t="shared" si="76"/>
        <v>36992882.388999999</v>
      </c>
      <c r="AJ408" s="236">
        <f t="shared" si="77"/>
        <v>7298276.6830000002</v>
      </c>
      <c r="AK408" s="236">
        <f t="shared" si="78"/>
        <v>7665209.2350000003</v>
      </c>
      <c r="AL408" s="236">
        <f t="shared" si="79"/>
        <v>14963485.918</v>
      </c>
      <c r="AM408" s="236">
        <f t="shared" si="80"/>
        <v>21039243.155999999</v>
      </c>
      <c r="AN408" s="236">
        <f t="shared" si="81"/>
        <v>30917125.151000001</v>
      </c>
      <c r="AO408" s="236">
        <f t="shared" si="82"/>
        <v>51956368.306999996</v>
      </c>
    </row>
    <row r="409" spans="2:44" hidden="1" x14ac:dyDescent="0.25">
      <c r="B409" s="12">
        <v>44774</v>
      </c>
      <c r="C409" s="13">
        <v>64644</v>
      </c>
      <c r="D409" s="13">
        <v>109904</v>
      </c>
      <c r="E409" s="13">
        <f t="shared" si="98"/>
        <v>174548</v>
      </c>
      <c r="F409" s="13">
        <v>45817</v>
      </c>
      <c r="G409" s="13">
        <v>45575</v>
      </c>
      <c r="H409" s="13">
        <f t="shared" si="71"/>
        <v>91392</v>
      </c>
      <c r="I409" s="13">
        <f t="shared" si="108"/>
        <v>110461</v>
      </c>
      <c r="J409" s="13">
        <f t="shared" si="108"/>
        <v>155479</v>
      </c>
      <c r="K409" s="13">
        <f t="shared" si="108"/>
        <v>265940</v>
      </c>
      <c r="L409" s="13">
        <v>13736279612</v>
      </c>
      <c r="M409" s="13">
        <v>23289298222</v>
      </c>
      <c r="N409" s="13">
        <f t="shared" si="92"/>
        <v>37025577834</v>
      </c>
      <c r="O409" s="13">
        <v>7338660540</v>
      </c>
      <c r="P409" s="13">
        <v>7678209975</v>
      </c>
      <c r="Q409" s="13">
        <f t="shared" si="93"/>
        <v>15016870515</v>
      </c>
      <c r="R409" s="13">
        <f t="shared" si="94"/>
        <v>21074940152</v>
      </c>
      <c r="S409" s="13">
        <f t="shared" si="95"/>
        <v>30967508197</v>
      </c>
      <c r="T409" s="14">
        <f t="shared" si="96"/>
        <v>52042448349</v>
      </c>
      <c r="U409">
        <v>125.665828594</v>
      </c>
      <c r="V409">
        <v>129.01505570699999</v>
      </c>
      <c r="W409" s="221">
        <f t="shared" si="73"/>
        <v>1.0266518523808141</v>
      </c>
      <c r="X409" s="236">
        <f t="shared" si="99"/>
        <v>13379686.190742709</v>
      </c>
      <c r="Y409" s="236">
        <f t="shared" si="100"/>
        <v>22684708.714051336</v>
      </c>
      <c r="Z409" s="236">
        <f t="shared" si="101"/>
        <v>36064394.904794045</v>
      </c>
      <c r="AA409" s="236">
        <f t="shared" si="102"/>
        <v>7148149.1247316077</v>
      </c>
      <c r="AB409" s="236">
        <f t="shared" si="103"/>
        <v>7478883.8662241418</v>
      </c>
      <c r="AC409" s="236">
        <f t="shared" si="104"/>
        <v>14627032.99095575</v>
      </c>
      <c r="AD409" s="236">
        <f t="shared" si="105"/>
        <v>20527835.315474316</v>
      </c>
      <c r="AE409" s="236">
        <f t="shared" si="106"/>
        <v>30163592.58027548</v>
      </c>
      <c r="AF409" s="236">
        <f t="shared" si="107"/>
        <v>50691427.895749792</v>
      </c>
      <c r="AG409" s="236">
        <f t="shared" si="74"/>
        <v>13736279.612</v>
      </c>
      <c r="AH409" s="236">
        <f t="shared" si="75"/>
        <v>23289298.221999999</v>
      </c>
      <c r="AI409" s="236">
        <f t="shared" si="76"/>
        <v>37025577.833999999</v>
      </c>
      <c r="AJ409" s="236">
        <f t="shared" si="77"/>
        <v>7338660.54</v>
      </c>
      <c r="AK409" s="236">
        <f t="shared" si="78"/>
        <v>7678209.9749999996</v>
      </c>
      <c r="AL409" s="236">
        <f t="shared" si="79"/>
        <v>15016870.515000001</v>
      </c>
      <c r="AM409" s="236">
        <f t="shared" si="80"/>
        <v>21074940.151999999</v>
      </c>
      <c r="AN409" s="236">
        <f t="shared" si="81"/>
        <v>30967508.197000001</v>
      </c>
      <c r="AO409" s="236">
        <f t="shared" si="82"/>
        <v>52042448.348999999</v>
      </c>
    </row>
    <row r="410" spans="2:44" hidden="1" x14ac:dyDescent="0.25">
      <c r="B410" s="12">
        <v>44805</v>
      </c>
      <c r="C410" s="13">
        <v>64275</v>
      </c>
      <c r="D410" s="13">
        <v>109666</v>
      </c>
      <c r="E410" s="13">
        <f t="shared" si="98"/>
        <v>173941</v>
      </c>
      <c r="F410" s="13">
        <v>46202</v>
      </c>
      <c r="G410" s="13">
        <v>45697</v>
      </c>
      <c r="H410" s="13">
        <f t="shared" si="71"/>
        <v>91899</v>
      </c>
      <c r="I410" s="13">
        <f t="shared" si="108"/>
        <v>110477</v>
      </c>
      <c r="J410" s="13">
        <f t="shared" si="108"/>
        <v>155363</v>
      </c>
      <c r="K410" s="13">
        <f t="shared" si="108"/>
        <v>265840</v>
      </c>
      <c r="L410" s="13">
        <v>13672577481</v>
      </c>
      <c r="M410" s="13">
        <v>23246434523</v>
      </c>
      <c r="N410" s="13">
        <f t="shared" si="92"/>
        <v>36919012004</v>
      </c>
      <c r="O410" s="13">
        <v>7364573708</v>
      </c>
      <c r="P410" s="13">
        <v>7668875451</v>
      </c>
      <c r="Q410" s="13">
        <f t="shared" si="93"/>
        <v>15033449159</v>
      </c>
      <c r="R410" s="13">
        <f t="shared" si="94"/>
        <v>21037151189</v>
      </c>
      <c r="S410" s="13">
        <f t="shared" si="95"/>
        <v>30915309974</v>
      </c>
      <c r="T410" s="14">
        <f t="shared" si="96"/>
        <v>51952461163</v>
      </c>
      <c r="U410">
        <v>126.752235783</v>
      </c>
      <c r="V410">
        <v>129.01505570699999</v>
      </c>
      <c r="W410" s="221">
        <f t="shared" si="73"/>
        <v>1.0178523077721007</v>
      </c>
      <c r="X410" s="236">
        <f t="shared" si="99"/>
        <v>13432771.509775188</v>
      </c>
      <c r="Y410" s="236">
        <f t="shared" si="100"/>
        <v>22838710.828177366</v>
      </c>
      <c r="Z410" s="236">
        <f t="shared" si="101"/>
        <v>36271482.337952562</v>
      </c>
      <c r="AA410" s="236">
        <f t="shared" si="102"/>
        <v>7235405.0305390116</v>
      </c>
      <c r="AB410" s="236">
        <f t="shared" si="103"/>
        <v>7534369.5666278116</v>
      </c>
      <c r="AC410" s="236">
        <f t="shared" si="104"/>
        <v>14769774.597166825</v>
      </c>
      <c r="AD410" s="236">
        <f t="shared" si="105"/>
        <v>20668176.540314201</v>
      </c>
      <c r="AE410" s="236">
        <f t="shared" si="106"/>
        <v>30373080.394805178</v>
      </c>
      <c r="AF410" s="236">
        <f t="shared" si="107"/>
        <v>51041256.935119376</v>
      </c>
      <c r="AG410" s="236">
        <f t="shared" si="74"/>
        <v>13672577.481000001</v>
      </c>
      <c r="AH410" s="236">
        <f t="shared" si="75"/>
        <v>23246434.522999998</v>
      </c>
      <c r="AI410" s="236">
        <f t="shared" si="76"/>
        <v>36919012.004000001</v>
      </c>
      <c r="AJ410" s="236">
        <f t="shared" si="77"/>
        <v>7364573.7079999996</v>
      </c>
      <c r="AK410" s="236">
        <f t="shared" si="78"/>
        <v>7668875.4510000004</v>
      </c>
      <c r="AL410" s="236">
        <f t="shared" si="79"/>
        <v>15033449.159</v>
      </c>
      <c r="AM410" s="236">
        <f t="shared" si="80"/>
        <v>21037151.188999999</v>
      </c>
      <c r="AN410" s="236">
        <f t="shared" si="81"/>
        <v>30915309.973999999</v>
      </c>
      <c r="AO410" s="236">
        <f t="shared" si="82"/>
        <v>51952461.163000003</v>
      </c>
    </row>
    <row r="411" spans="2:44" hidden="1" x14ac:dyDescent="0.25">
      <c r="B411" s="12">
        <v>44835</v>
      </c>
      <c r="C411" s="13">
        <v>63815</v>
      </c>
      <c r="D411" s="13">
        <v>109393</v>
      </c>
      <c r="E411" s="13">
        <f t="shared" si="98"/>
        <v>173208</v>
      </c>
      <c r="F411" s="13">
        <v>46381</v>
      </c>
      <c r="G411" s="13">
        <v>45739</v>
      </c>
      <c r="H411" s="13">
        <f t="shared" si="71"/>
        <v>92120</v>
      </c>
      <c r="I411" s="13">
        <f t="shared" si="108"/>
        <v>110196</v>
      </c>
      <c r="J411" s="13">
        <f t="shared" si="108"/>
        <v>155132</v>
      </c>
      <c r="K411" s="13">
        <f t="shared" si="108"/>
        <v>265328</v>
      </c>
      <c r="L411" s="13">
        <v>13590242086</v>
      </c>
      <c r="M411" s="13">
        <v>23196045529</v>
      </c>
      <c r="N411" s="13">
        <f t="shared" si="92"/>
        <v>36786287615</v>
      </c>
      <c r="O411" s="13">
        <v>7378442349</v>
      </c>
      <c r="P411" s="13">
        <v>7659976499</v>
      </c>
      <c r="Q411" s="13">
        <f t="shared" si="93"/>
        <v>15038418848</v>
      </c>
      <c r="R411" s="13">
        <f t="shared" si="94"/>
        <v>20968684435</v>
      </c>
      <c r="S411" s="13">
        <f t="shared" si="95"/>
        <v>30856022028</v>
      </c>
      <c r="T411" s="14">
        <f t="shared" si="96"/>
        <v>51824706463</v>
      </c>
      <c r="U411">
        <v>127.40762281400001</v>
      </c>
      <c r="V411">
        <v>129.01505570699999</v>
      </c>
      <c r="W411" s="221">
        <f t="shared" si="73"/>
        <v>1.0126164577714996</v>
      </c>
      <c r="X411" s="236">
        <f t="shared" si="99"/>
        <v>13420917.645273631</v>
      </c>
      <c r="Y411" s="236">
        <f t="shared" si="100"/>
        <v>22907039.828335743</v>
      </c>
      <c r="Z411" s="236">
        <f t="shared" si="101"/>
        <v>36327957.473609373</v>
      </c>
      <c r="AA411" s="236">
        <f t="shared" si="102"/>
        <v>7286512.3733402435</v>
      </c>
      <c r="AB411" s="236">
        <f t="shared" si="103"/>
        <v>7564538.8144861665</v>
      </c>
      <c r="AC411" s="236">
        <f t="shared" si="104"/>
        <v>14851051.18782641</v>
      </c>
      <c r="AD411" s="236">
        <f t="shared" si="105"/>
        <v>20707430.018613875</v>
      </c>
      <c r="AE411" s="236">
        <f t="shared" si="106"/>
        <v>30471578.642821912</v>
      </c>
      <c r="AF411" s="236">
        <f t="shared" si="107"/>
        <v>51179008.661435783</v>
      </c>
      <c r="AG411" s="236">
        <f t="shared" si="74"/>
        <v>13590242.085999999</v>
      </c>
      <c r="AH411" s="236">
        <f t="shared" si="75"/>
        <v>23196045.528999999</v>
      </c>
      <c r="AI411" s="236">
        <f t="shared" si="76"/>
        <v>36786287.615000002</v>
      </c>
      <c r="AJ411" s="236">
        <f t="shared" si="77"/>
        <v>7378442.3490000004</v>
      </c>
      <c r="AK411" s="236">
        <f t="shared" si="78"/>
        <v>7659976.4989999998</v>
      </c>
      <c r="AL411" s="236">
        <f t="shared" si="79"/>
        <v>15038418.847999999</v>
      </c>
      <c r="AM411" s="236">
        <f t="shared" si="80"/>
        <v>20968684.434999999</v>
      </c>
      <c r="AN411" s="236">
        <f t="shared" si="81"/>
        <v>30856022.028000001</v>
      </c>
      <c r="AO411" s="236">
        <f t="shared" si="82"/>
        <v>51824706.463</v>
      </c>
    </row>
    <row r="412" spans="2:44" hidden="1" x14ac:dyDescent="0.25">
      <c r="B412" s="12">
        <v>44866</v>
      </c>
      <c r="C412" s="13">
        <v>63526</v>
      </c>
      <c r="D412" s="13">
        <v>109031</v>
      </c>
      <c r="E412" s="13">
        <f t="shared" si="98"/>
        <v>172557</v>
      </c>
      <c r="F412" s="13">
        <v>46666</v>
      </c>
      <c r="G412" s="13">
        <v>45910</v>
      </c>
      <c r="H412" s="13">
        <f t="shared" si="71"/>
        <v>92576</v>
      </c>
      <c r="I412" s="13">
        <f t="shared" si="108"/>
        <v>110192</v>
      </c>
      <c r="J412" s="13">
        <f t="shared" si="108"/>
        <v>154941</v>
      </c>
      <c r="K412" s="13">
        <f t="shared" si="108"/>
        <v>265133</v>
      </c>
      <c r="L412" s="13">
        <v>13546987070</v>
      </c>
      <c r="M412" s="13">
        <v>23133193734</v>
      </c>
      <c r="N412" s="13">
        <f t="shared" si="92"/>
        <v>36680180804</v>
      </c>
      <c r="O412" s="13">
        <v>7413824526</v>
      </c>
      <c r="P412" s="13">
        <v>7675227170</v>
      </c>
      <c r="Q412" s="13">
        <f t="shared" si="93"/>
        <v>15089051696</v>
      </c>
      <c r="R412" s="13">
        <f t="shared" si="94"/>
        <v>20960811596</v>
      </c>
      <c r="S412" s="13">
        <f t="shared" si="95"/>
        <v>30808420904</v>
      </c>
      <c r="T412" s="14">
        <f t="shared" si="96"/>
        <v>51769232500</v>
      </c>
      <c r="U412">
        <v>128.65015935900001</v>
      </c>
      <c r="V412">
        <v>129.01505570699999</v>
      </c>
      <c r="W412" s="221">
        <f t="shared" si="73"/>
        <v>1.0028363458686571</v>
      </c>
      <c r="X412" s="236">
        <f t="shared" si="99"/>
        <v>13508671.80453616</v>
      </c>
      <c r="Y412" s="236">
        <f t="shared" si="100"/>
        <v>23067765.572419517</v>
      </c>
      <c r="Z412" s="236">
        <f t="shared" si="101"/>
        <v>36576437.376955673</v>
      </c>
      <c r="AA412" s="236">
        <f t="shared" si="102"/>
        <v>7392855.8299092585</v>
      </c>
      <c r="AB412" s="236">
        <f t="shared" si="103"/>
        <v>7653519.1425991999</v>
      </c>
      <c r="AC412" s="236">
        <f t="shared" si="104"/>
        <v>15046374.972508458</v>
      </c>
      <c r="AD412" s="236">
        <f t="shared" si="105"/>
        <v>20901527.634445418</v>
      </c>
      <c r="AE412" s="236">
        <f t="shared" si="106"/>
        <v>30721284.715018719</v>
      </c>
      <c r="AF412" s="236">
        <f t="shared" si="107"/>
        <v>51622812.349464133</v>
      </c>
      <c r="AG412" s="236">
        <f t="shared" si="74"/>
        <v>13546987.07</v>
      </c>
      <c r="AH412" s="236">
        <f t="shared" si="75"/>
        <v>23133193.734000001</v>
      </c>
      <c r="AI412" s="236">
        <f t="shared" si="76"/>
        <v>36680180.803999998</v>
      </c>
      <c r="AJ412" s="236">
        <f t="shared" si="77"/>
        <v>7413824.5259999996</v>
      </c>
      <c r="AK412" s="236">
        <f t="shared" si="78"/>
        <v>7675227.1699999999</v>
      </c>
      <c r="AL412" s="236">
        <f t="shared" si="79"/>
        <v>15089051.696</v>
      </c>
      <c r="AM412" s="236">
        <f t="shared" si="80"/>
        <v>20960811.596000001</v>
      </c>
      <c r="AN412" s="236">
        <f t="shared" si="81"/>
        <v>30808420.903999999</v>
      </c>
      <c r="AO412" s="236">
        <f t="shared" si="82"/>
        <v>51769232.5</v>
      </c>
    </row>
    <row r="413" spans="2:44" hidden="1" x14ac:dyDescent="0.25">
      <c r="B413" s="15">
        <v>44896</v>
      </c>
      <c r="C413" s="16">
        <v>63190</v>
      </c>
      <c r="D413" s="16">
        <v>108989</v>
      </c>
      <c r="E413" s="16">
        <f t="shared" si="98"/>
        <v>172179</v>
      </c>
      <c r="F413" s="16">
        <v>46817</v>
      </c>
      <c r="G413" s="16">
        <v>45881</v>
      </c>
      <c r="H413" s="16">
        <f t="shared" si="71"/>
        <v>92698</v>
      </c>
      <c r="I413" s="17">
        <f t="shared" si="108"/>
        <v>110007</v>
      </c>
      <c r="J413" s="17">
        <f t="shared" si="108"/>
        <v>154870</v>
      </c>
      <c r="K413" s="17">
        <f t="shared" si="108"/>
        <v>264877</v>
      </c>
      <c r="L413" s="16">
        <v>13498986732</v>
      </c>
      <c r="M413" s="16">
        <v>23140037882</v>
      </c>
      <c r="N413" s="16">
        <f t="shared" si="92"/>
        <v>36639024614</v>
      </c>
      <c r="O413" s="16">
        <v>7421805869</v>
      </c>
      <c r="P413" s="16">
        <v>7649953291</v>
      </c>
      <c r="Q413" s="16">
        <f t="shared" si="93"/>
        <v>15071759160</v>
      </c>
      <c r="R413" s="16">
        <f t="shared" si="94"/>
        <v>20920792601</v>
      </c>
      <c r="S413" s="16">
        <f t="shared" si="95"/>
        <v>30789991173</v>
      </c>
      <c r="T413" s="16">
        <f t="shared" si="96"/>
        <v>51710783774</v>
      </c>
      <c r="U413">
        <v>129.01505570699999</v>
      </c>
      <c r="V413">
        <v>129.01505570699999</v>
      </c>
      <c r="W413" s="221">
        <f t="shared" si="73"/>
        <v>1</v>
      </c>
      <c r="X413" s="236">
        <f t="shared" si="99"/>
        <v>13498986.732000001</v>
      </c>
      <c r="Y413" s="236">
        <f t="shared" si="100"/>
        <v>23140037.881999999</v>
      </c>
      <c r="Z413" s="236">
        <f t="shared" si="101"/>
        <v>36639024.614</v>
      </c>
      <c r="AA413" s="236">
        <f t="shared" si="102"/>
        <v>7421805.8689999999</v>
      </c>
      <c r="AB413" s="236">
        <f t="shared" si="103"/>
        <v>7649953.2910000002</v>
      </c>
      <c r="AC413" s="236">
        <f t="shared" si="104"/>
        <v>15071759.16</v>
      </c>
      <c r="AD413" s="236">
        <f t="shared" si="105"/>
        <v>20920792.601</v>
      </c>
      <c r="AE413" s="236">
        <f t="shared" si="106"/>
        <v>30789991.173</v>
      </c>
      <c r="AF413" s="236">
        <f t="shared" si="107"/>
        <v>51710783.773999996</v>
      </c>
      <c r="AG413" s="236">
        <f t="shared" si="74"/>
        <v>13498986.732000001</v>
      </c>
      <c r="AH413" s="236">
        <f t="shared" si="75"/>
        <v>23140037.881999999</v>
      </c>
      <c r="AI413" s="236">
        <f t="shared" si="76"/>
        <v>36639024.614</v>
      </c>
      <c r="AJ413" s="236">
        <f t="shared" si="77"/>
        <v>7421805.8689999999</v>
      </c>
      <c r="AK413" s="236">
        <f t="shared" si="78"/>
        <v>7649953.2910000002</v>
      </c>
      <c r="AL413" s="236">
        <f t="shared" si="79"/>
        <v>15071759.16</v>
      </c>
      <c r="AM413" s="236">
        <f t="shared" si="80"/>
        <v>20920792.601</v>
      </c>
      <c r="AN413" s="236">
        <f t="shared" si="81"/>
        <v>30789991.173</v>
      </c>
      <c r="AO413" s="236">
        <f t="shared" si="82"/>
        <v>51710783.773999996</v>
      </c>
    </row>
    <row r="414" spans="2:44" hidden="1" x14ac:dyDescent="0.25">
      <c r="B414" s="6" t="s">
        <v>8</v>
      </c>
      <c r="C414" s="7"/>
      <c r="D414" s="7"/>
      <c r="E414" s="7"/>
      <c r="F414" s="7"/>
      <c r="G414" s="7"/>
      <c r="H414" s="7"/>
      <c r="I414" s="7"/>
      <c r="J414" s="7"/>
      <c r="K414" s="7"/>
      <c r="N414" s="6" t="s">
        <v>8</v>
      </c>
      <c r="O414" s="7"/>
      <c r="P414" s="7"/>
      <c r="Q414" s="7"/>
      <c r="R414" s="7"/>
      <c r="S414" s="7"/>
      <c r="T414" s="7"/>
      <c r="U414" s="7"/>
      <c r="V414" s="7"/>
      <c r="W414" s="7"/>
      <c r="Z414" s="221"/>
      <c r="AJ414" s="236"/>
      <c r="AK414" s="236"/>
      <c r="AL414" s="236"/>
      <c r="AM414" s="236"/>
      <c r="AN414" s="236"/>
      <c r="AO414" s="236"/>
      <c r="AP414" s="236"/>
      <c r="AQ414" s="236"/>
      <c r="AR414" s="236"/>
    </row>
    <row r="415" spans="2:44" hidden="1" x14ac:dyDescent="0.25"/>
  </sheetData>
  <mergeCells count="27">
    <mergeCell ref="O26:P26"/>
    <mergeCell ref="Q26:R26"/>
    <mergeCell ref="S26:T26"/>
    <mergeCell ref="I25:N25"/>
    <mergeCell ref="O25:T25"/>
    <mergeCell ref="K26:L26"/>
    <mergeCell ref="M26:N26"/>
    <mergeCell ref="B15:B17"/>
    <mergeCell ref="C26:D26"/>
    <mergeCell ref="E26:F26"/>
    <mergeCell ref="G26:H26"/>
    <mergeCell ref="I26:J26"/>
    <mergeCell ref="C25:H25"/>
    <mergeCell ref="B19:L19"/>
    <mergeCell ref="D7:F7"/>
    <mergeCell ref="G7:I7"/>
    <mergeCell ref="J7:L7"/>
    <mergeCell ref="B9:B11"/>
    <mergeCell ref="B12:B14"/>
    <mergeCell ref="C237:K237"/>
    <mergeCell ref="C238:E238"/>
    <mergeCell ref="F238:H238"/>
    <mergeCell ref="I238:K238"/>
    <mergeCell ref="O237:W237"/>
    <mergeCell ref="O238:Q238"/>
    <mergeCell ref="R238:T238"/>
    <mergeCell ref="U238:W238"/>
  </mergeCells>
  <phoneticPr fontId="28"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50" t="s">
        <v>513</v>
      </c>
      <c r="B3" s="150" t="s">
        <v>514</v>
      </c>
      <c r="C3" s="150">
        <v>1</v>
      </c>
      <c r="D3" s="168"/>
      <c r="E3" s="168"/>
      <c r="F3" s="169"/>
    </row>
    <row r="4" spans="1:7" x14ac:dyDescent="0.25">
      <c r="A4" s="150"/>
      <c r="B4" s="150"/>
      <c r="C4" s="150"/>
      <c r="D4" s="150"/>
      <c r="F4" s="157"/>
    </row>
    <row r="5" spans="1:7" ht="30" x14ac:dyDescent="0.25">
      <c r="A5" s="150"/>
      <c r="B5" s="150"/>
      <c r="C5" s="150" t="s">
        <v>512</v>
      </c>
      <c r="D5" s="150"/>
      <c r="F5" s="157"/>
    </row>
    <row r="6" spans="1:7" x14ac:dyDescent="0.25">
      <c r="A6" s="150" t="s">
        <v>137</v>
      </c>
      <c r="B6" s="150" t="s">
        <v>491</v>
      </c>
      <c r="C6" s="150" t="s">
        <v>492</v>
      </c>
      <c r="D6" s="150" t="s">
        <v>493</v>
      </c>
      <c r="E6" s="150" t="s">
        <v>494</v>
      </c>
      <c r="F6" s="150" t="s">
        <v>495</v>
      </c>
      <c r="G6" s="150" t="s">
        <v>35</v>
      </c>
    </row>
    <row r="7" spans="1:7" x14ac:dyDescent="0.25">
      <c r="A7" s="150"/>
      <c r="B7" s="150"/>
      <c r="C7" s="150"/>
      <c r="G7" s="157"/>
    </row>
    <row r="8" spans="1:7" ht="30" x14ac:dyDescent="0.25">
      <c r="A8" s="150" t="s">
        <v>142</v>
      </c>
      <c r="B8" s="150">
        <v>32</v>
      </c>
      <c r="C8" s="160">
        <v>8631</v>
      </c>
      <c r="D8" s="150">
        <v>1</v>
      </c>
      <c r="E8" s="160">
        <v>1938</v>
      </c>
      <c r="F8" s="150">
        <v>329</v>
      </c>
      <c r="G8" s="160">
        <v>10931</v>
      </c>
    </row>
    <row r="9" spans="1:7" x14ac:dyDescent="0.25">
      <c r="A9" s="150" t="s">
        <v>148</v>
      </c>
      <c r="B9" s="150">
        <v>0</v>
      </c>
      <c r="C9" s="150">
        <v>192</v>
      </c>
      <c r="D9">
        <v>0</v>
      </c>
      <c r="E9" s="150">
        <v>38</v>
      </c>
      <c r="F9" s="150">
        <v>4</v>
      </c>
      <c r="G9" s="150">
        <v>234</v>
      </c>
    </row>
    <row r="10" spans="1:7" x14ac:dyDescent="0.25">
      <c r="A10" s="150" t="s">
        <v>143</v>
      </c>
      <c r="B10" s="150">
        <v>2</v>
      </c>
      <c r="C10" s="150">
        <v>137</v>
      </c>
      <c r="D10">
        <v>0</v>
      </c>
      <c r="E10" s="150">
        <v>25</v>
      </c>
      <c r="F10" s="150">
        <v>3</v>
      </c>
      <c r="G10" s="150">
        <v>167</v>
      </c>
    </row>
    <row r="11" spans="1:7" x14ac:dyDescent="0.25">
      <c r="A11" s="150" t="s">
        <v>144</v>
      </c>
      <c r="B11" s="150">
        <v>6</v>
      </c>
      <c r="C11" s="150">
        <v>476</v>
      </c>
      <c r="D11" s="150">
        <v>1</v>
      </c>
      <c r="E11" s="150">
        <v>103</v>
      </c>
      <c r="F11" s="150">
        <v>14</v>
      </c>
      <c r="G11" s="150">
        <v>600</v>
      </c>
    </row>
    <row r="12" spans="1:7" x14ac:dyDescent="0.25">
      <c r="A12" s="150" t="s">
        <v>145</v>
      </c>
      <c r="B12" s="150">
        <v>90</v>
      </c>
      <c r="C12" s="160">
        <v>26648</v>
      </c>
      <c r="D12" s="150">
        <v>11</v>
      </c>
      <c r="E12" s="160">
        <v>6786</v>
      </c>
      <c r="F12" s="150">
        <v>678</v>
      </c>
      <c r="G12" s="160">
        <v>34213</v>
      </c>
    </row>
    <row r="13" spans="1:7" x14ac:dyDescent="0.25">
      <c r="A13" s="150" t="s">
        <v>146</v>
      </c>
      <c r="B13" s="150">
        <v>2</v>
      </c>
      <c r="C13" s="150">
        <v>876</v>
      </c>
      <c r="D13" s="181">
        <v>0</v>
      </c>
      <c r="E13" s="150">
        <v>200</v>
      </c>
      <c r="F13" s="150">
        <v>26</v>
      </c>
      <c r="G13" s="160">
        <v>1104</v>
      </c>
    </row>
    <row r="14" spans="1:7" ht="30" x14ac:dyDescent="0.25">
      <c r="A14" s="150" t="s">
        <v>147</v>
      </c>
      <c r="B14" s="150">
        <v>9</v>
      </c>
      <c r="C14" s="160">
        <v>1589</v>
      </c>
      <c r="D14" s="181">
        <v>0</v>
      </c>
      <c r="E14" s="150">
        <v>403</v>
      </c>
      <c r="F14" s="150">
        <v>50</v>
      </c>
      <c r="G14" s="160">
        <v>2051</v>
      </c>
    </row>
    <row r="15" spans="1:7" x14ac:dyDescent="0.25">
      <c r="A15" s="150" t="s">
        <v>35</v>
      </c>
      <c r="B15" s="151">
        <f>SUM(B8:B14)</f>
        <v>141</v>
      </c>
      <c r="C15" s="151">
        <f t="shared" ref="C15:G15" si="0">SUM(C8:C14)</f>
        <v>38549</v>
      </c>
      <c r="D15" s="151">
        <f t="shared" si="0"/>
        <v>13</v>
      </c>
      <c r="E15" s="151">
        <f t="shared" si="0"/>
        <v>9493</v>
      </c>
      <c r="F15" s="151">
        <f t="shared" si="0"/>
        <v>1104</v>
      </c>
      <c r="G15" s="151">
        <f t="shared" si="0"/>
        <v>49300</v>
      </c>
    </row>
    <row r="16" spans="1:7" x14ac:dyDescent="0.25">
      <c r="A16" s="150"/>
      <c r="B16" s="150"/>
      <c r="C16" s="150"/>
      <c r="D16" s="161"/>
      <c r="E16" s="161"/>
      <c r="F16" s="161"/>
      <c r="G16" s="158"/>
    </row>
    <row r="21" spans="1:8" ht="45" x14ac:dyDescent="0.25">
      <c r="A21" s="150" t="s">
        <v>149</v>
      </c>
      <c r="B21" s="168"/>
      <c r="C21" s="168"/>
      <c r="D21" s="168"/>
      <c r="E21" s="168"/>
      <c r="F21" s="169"/>
    </row>
    <row r="22" spans="1:8" x14ac:dyDescent="0.25">
      <c r="A22" s="150"/>
      <c r="B22" s="150"/>
      <c r="C22" s="150"/>
      <c r="F22" s="157"/>
    </row>
    <row r="23" spans="1:8" ht="30" x14ac:dyDescent="0.25">
      <c r="A23" s="150"/>
      <c r="B23" s="150" t="s">
        <v>512</v>
      </c>
      <c r="C23" s="150"/>
      <c r="F23" s="157"/>
    </row>
    <row r="24" spans="1:8" x14ac:dyDescent="0.25">
      <c r="A24" s="150" t="s">
        <v>137</v>
      </c>
      <c r="B24" s="150" t="s">
        <v>491</v>
      </c>
      <c r="C24" s="150" t="s">
        <v>492</v>
      </c>
      <c r="D24" s="150" t="s">
        <v>493</v>
      </c>
      <c r="E24" s="150" t="s">
        <v>494</v>
      </c>
      <c r="F24" s="150" t="s">
        <v>495</v>
      </c>
      <c r="G24" s="150" t="s">
        <v>35</v>
      </c>
    </row>
    <row r="25" spans="1:8" x14ac:dyDescent="0.25">
      <c r="A25" s="150"/>
      <c r="B25" s="150"/>
      <c r="C25" s="150"/>
      <c r="G25" s="157"/>
    </row>
    <row r="26" spans="1:8" ht="30" x14ac:dyDescent="0.25">
      <c r="A26" s="150" t="s">
        <v>150</v>
      </c>
      <c r="B26" s="150">
        <v>137</v>
      </c>
      <c r="C26" s="160">
        <v>41859</v>
      </c>
      <c r="D26" s="150">
        <v>18</v>
      </c>
      <c r="E26" s="160">
        <v>10946</v>
      </c>
      <c r="F26" s="160">
        <v>1282</v>
      </c>
      <c r="G26" s="160">
        <v>54242</v>
      </c>
    </row>
    <row r="27" spans="1:8" x14ac:dyDescent="0.25">
      <c r="A27" s="150" t="s">
        <v>151</v>
      </c>
      <c r="B27" s="150">
        <v>30</v>
      </c>
      <c r="C27" s="160">
        <v>14670</v>
      </c>
      <c r="D27" s="150">
        <v>8</v>
      </c>
      <c r="E27" s="160">
        <v>3983</v>
      </c>
      <c r="F27" s="150">
        <v>498</v>
      </c>
      <c r="G27" s="160">
        <v>19189</v>
      </c>
    </row>
    <row r="28" spans="1:8" ht="30" x14ac:dyDescent="0.25">
      <c r="A28" s="150" t="s">
        <v>152</v>
      </c>
      <c r="B28">
        <v>0</v>
      </c>
      <c r="C28" s="150">
        <v>414</v>
      </c>
      <c r="D28">
        <v>0</v>
      </c>
      <c r="E28" s="150">
        <v>130</v>
      </c>
      <c r="F28" s="150">
        <v>12</v>
      </c>
      <c r="G28" s="150">
        <v>556</v>
      </c>
    </row>
    <row r="29" spans="1:8" ht="30" x14ac:dyDescent="0.25">
      <c r="A29" s="150" t="s">
        <v>153</v>
      </c>
      <c r="B29" s="150">
        <v>3</v>
      </c>
      <c r="C29" s="160">
        <v>1165</v>
      </c>
      <c r="D29" s="150">
        <v>1</v>
      </c>
      <c r="E29" s="150">
        <v>377</v>
      </c>
      <c r="F29" s="150">
        <v>59</v>
      </c>
      <c r="G29" s="160">
        <v>1605</v>
      </c>
    </row>
    <row r="30" spans="1:8" x14ac:dyDescent="0.25">
      <c r="A30" s="150" t="s">
        <v>154</v>
      </c>
      <c r="B30" s="150">
        <v>0</v>
      </c>
      <c r="C30" s="150">
        <v>37</v>
      </c>
      <c r="D30" s="182">
        <v>0</v>
      </c>
      <c r="E30" s="150">
        <v>5</v>
      </c>
      <c r="F30" s="150">
        <v>1</v>
      </c>
      <c r="G30" s="150">
        <v>43</v>
      </c>
      <c r="H30" s="157"/>
    </row>
    <row r="31" spans="1:8" ht="45" x14ac:dyDescent="0.25">
      <c r="A31" s="150" t="s">
        <v>155</v>
      </c>
      <c r="B31" s="150">
        <v>1</v>
      </c>
      <c r="C31" s="150">
        <v>680</v>
      </c>
      <c r="D31" s="182">
        <v>0</v>
      </c>
      <c r="E31" s="150">
        <v>145</v>
      </c>
      <c r="F31" s="150">
        <v>25</v>
      </c>
      <c r="G31" s="150">
        <v>851</v>
      </c>
    </row>
    <row r="32" spans="1:8" ht="30" x14ac:dyDescent="0.25">
      <c r="A32" s="150" t="s">
        <v>156</v>
      </c>
      <c r="B32" s="181">
        <v>0</v>
      </c>
      <c r="C32" s="150">
        <v>98</v>
      </c>
      <c r="D32" s="182">
        <v>0</v>
      </c>
      <c r="E32" s="150">
        <v>29</v>
      </c>
      <c r="F32" s="150">
        <v>2</v>
      </c>
      <c r="G32" s="150">
        <v>129</v>
      </c>
    </row>
    <row r="33" spans="1:8" x14ac:dyDescent="0.25">
      <c r="A33" s="150" t="s">
        <v>157</v>
      </c>
      <c r="B33" s="150">
        <v>4</v>
      </c>
      <c r="C33" s="160">
        <v>1885</v>
      </c>
      <c r="D33" s="182">
        <v>0</v>
      </c>
      <c r="E33" s="150">
        <v>570</v>
      </c>
      <c r="F33" s="150">
        <v>63</v>
      </c>
      <c r="G33" s="160">
        <v>2522</v>
      </c>
    </row>
    <row r="34" spans="1:8" x14ac:dyDescent="0.25">
      <c r="A34" s="150" t="s">
        <v>158</v>
      </c>
      <c r="B34" s="150">
        <v>11</v>
      </c>
      <c r="C34" s="160">
        <v>4223</v>
      </c>
      <c r="D34" s="150">
        <v>7</v>
      </c>
      <c r="E34" s="160">
        <v>1046</v>
      </c>
      <c r="F34" s="150">
        <v>126</v>
      </c>
      <c r="G34" s="160">
        <v>5413</v>
      </c>
    </row>
    <row r="35" spans="1:8" x14ac:dyDescent="0.25">
      <c r="A35" s="150"/>
      <c r="G35" s="157"/>
    </row>
    <row r="36" spans="1:8" x14ac:dyDescent="0.25">
      <c r="A36" s="150" t="s">
        <v>35</v>
      </c>
      <c r="B36" s="151">
        <f>SUM(B26:B35)</f>
        <v>186</v>
      </c>
      <c r="C36" s="151">
        <f t="shared" ref="C36:G36" si="1">SUM(C26:C35)</f>
        <v>65031</v>
      </c>
      <c r="D36" s="151">
        <f t="shared" si="1"/>
        <v>34</v>
      </c>
      <c r="E36" s="151">
        <f t="shared" si="1"/>
        <v>17231</v>
      </c>
      <c r="F36" s="151">
        <f t="shared" si="1"/>
        <v>2068</v>
      </c>
      <c r="G36" s="151">
        <f t="shared" si="1"/>
        <v>84550</v>
      </c>
    </row>
    <row r="37" spans="1:8" x14ac:dyDescent="0.25">
      <c r="A37" s="150"/>
      <c r="B37" s="150"/>
      <c r="C37" s="150"/>
      <c r="D37" s="161"/>
      <c r="E37" s="161"/>
      <c r="F37" s="161"/>
      <c r="G37" s="158"/>
    </row>
    <row r="42" spans="1:8" ht="45" x14ac:dyDescent="0.25">
      <c r="A42" s="150" t="s">
        <v>513</v>
      </c>
      <c r="B42" s="150" t="s">
        <v>514</v>
      </c>
      <c r="C42" s="150">
        <v>3</v>
      </c>
      <c r="D42" s="168"/>
      <c r="E42" s="168"/>
      <c r="F42" s="168"/>
      <c r="G42" s="169"/>
    </row>
    <row r="43" spans="1:8" x14ac:dyDescent="0.25">
      <c r="A43" s="150"/>
      <c r="B43" s="150"/>
      <c r="C43" s="150"/>
      <c r="D43" s="150"/>
      <c r="G43" s="157"/>
    </row>
    <row r="44" spans="1:8" ht="30" x14ac:dyDescent="0.25">
      <c r="A44" s="150"/>
      <c r="B44" s="150"/>
      <c r="C44" s="150" t="s">
        <v>512</v>
      </c>
      <c r="D44" s="150"/>
      <c r="G44" s="157"/>
    </row>
    <row r="45" spans="1:8" x14ac:dyDescent="0.25">
      <c r="A45" s="150" t="s">
        <v>137</v>
      </c>
      <c r="B45" s="150"/>
      <c r="C45" s="150" t="s">
        <v>491</v>
      </c>
      <c r="D45" s="150" t="s">
        <v>492</v>
      </c>
      <c r="E45" s="150" t="s">
        <v>493</v>
      </c>
      <c r="F45" s="150" t="s">
        <v>494</v>
      </c>
      <c r="G45" s="150" t="s">
        <v>495</v>
      </c>
      <c r="H45" s="150" t="s">
        <v>35</v>
      </c>
    </row>
    <row r="46" spans="1:8" x14ac:dyDescent="0.25">
      <c r="A46" s="150"/>
      <c r="B46" s="150"/>
      <c r="C46" s="150"/>
      <c r="D46" s="150"/>
      <c r="H46" s="157"/>
    </row>
    <row r="47" spans="1:8" ht="30" x14ac:dyDescent="0.25">
      <c r="A47" s="150" t="s">
        <v>159</v>
      </c>
      <c r="B47" s="150"/>
      <c r="C47" s="150">
        <v>1</v>
      </c>
      <c r="D47" s="150">
        <v>962</v>
      </c>
      <c r="E47" s="150">
        <v>0</v>
      </c>
      <c r="F47" s="150">
        <v>159</v>
      </c>
      <c r="G47" s="150">
        <v>31</v>
      </c>
      <c r="H47" s="160">
        <v>1153</v>
      </c>
    </row>
    <row r="48" spans="1:8" x14ac:dyDescent="0.25">
      <c r="A48" s="150" t="s">
        <v>160</v>
      </c>
      <c r="B48" s="150"/>
      <c r="C48" s="150">
        <v>9</v>
      </c>
      <c r="D48" s="160">
        <v>2524</v>
      </c>
      <c r="E48" s="150">
        <v>1</v>
      </c>
      <c r="F48" s="150">
        <v>499</v>
      </c>
      <c r="G48" s="150">
        <v>92</v>
      </c>
      <c r="H48" s="160">
        <v>3125</v>
      </c>
    </row>
    <row r="49" spans="1:8" x14ac:dyDescent="0.25">
      <c r="A49" s="150" t="s">
        <v>502</v>
      </c>
      <c r="B49" s="150"/>
      <c r="C49" s="150">
        <v>5</v>
      </c>
      <c r="D49" s="160">
        <v>2246</v>
      </c>
      <c r="E49" s="150">
        <v>3</v>
      </c>
      <c r="F49" s="150">
        <v>497</v>
      </c>
      <c r="G49" s="150">
        <v>44</v>
      </c>
      <c r="H49" s="160">
        <v>2795</v>
      </c>
    </row>
    <row r="50" spans="1:8" x14ac:dyDescent="0.25">
      <c r="A50" s="150" t="s">
        <v>161</v>
      </c>
      <c r="B50" s="150"/>
      <c r="C50" s="150">
        <v>67</v>
      </c>
      <c r="D50" s="160">
        <v>20329</v>
      </c>
      <c r="E50" s="150">
        <v>7</v>
      </c>
      <c r="F50" s="160">
        <v>4285</v>
      </c>
      <c r="G50" s="150">
        <v>511</v>
      </c>
      <c r="H50" s="160">
        <v>25199</v>
      </c>
    </row>
    <row r="51" spans="1:8" ht="30" x14ac:dyDescent="0.25">
      <c r="A51" s="150" t="s">
        <v>162</v>
      </c>
      <c r="B51" s="150"/>
      <c r="C51" s="150">
        <v>6</v>
      </c>
      <c r="D51" s="160">
        <v>1399</v>
      </c>
      <c r="E51" s="150">
        <v>1</v>
      </c>
      <c r="F51" s="150">
        <v>380</v>
      </c>
      <c r="G51" s="150">
        <v>25</v>
      </c>
      <c r="H51" s="160">
        <v>1811</v>
      </c>
    </row>
    <row r="52" spans="1:8" x14ac:dyDescent="0.25">
      <c r="A52" s="150" t="s">
        <v>163</v>
      </c>
      <c r="B52" s="150"/>
      <c r="C52" s="150">
        <v>4</v>
      </c>
      <c r="D52" s="160">
        <v>1169</v>
      </c>
      <c r="E52" s="181">
        <v>0</v>
      </c>
      <c r="F52" s="150">
        <v>197</v>
      </c>
      <c r="G52" s="150">
        <v>13</v>
      </c>
      <c r="H52" s="160">
        <v>1383</v>
      </c>
    </row>
    <row r="53" spans="1:8" x14ac:dyDescent="0.25">
      <c r="A53" s="150" t="s">
        <v>164</v>
      </c>
      <c r="B53" s="150"/>
      <c r="C53" s="150">
        <v>2</v>
      </c>
      <c r="D53" s="160">
        <v>1687</v>
      </c>
      <c r="E53" s="150">
        <v>1</v>
      </c>
      <c r="F53" s="150">
        <v>361</v>
      </c>
      <c r="G53" s="150">
        <v>43</v>
      </c>
      <c r="H53" s="160">
        <v>2094</v>
      </c>
    </row>
    <row r="54" spans="1:8" ht="30" x14ac:dyDescent="0.25">
      <c r="A54" s="150" t="s">
        <v>165</v>
      </c>
      <c r="B54" s="150"/>
      <c r="C54" s="150">
        <v>4</v>
      </c>
      <c r="D54" s="160">
        <v>1565</v>
      </c>
      <c r="E54" s="150">
        <v>1</v>
      </c>
      <c r="F54" s="150">
        <v>299</v>
      </c>
      <c r="G54" s="150">
        <v>40</v>
      </c>
      <c r="H54" s="160">
        <v>1909</v>
      </c>
    </row>
    <row r="55" spans="1:8" x14ac:dyDescent="0.25">
      <c r="A55" s="150" t="s">
        <v>166</v>
      </c>
      <c r="B55" s="150"/>
      <c r="C55" s="150">
        <v>34</v>
      </c>
      <c r="D55" s="160">
        <v>9905</v>
      </c>
      <c r="E55" s="150">
        <v>3</v>
      </c>
      <c r="F55" s="160">
        <v>1871</v>
      </c>
      <c r="G55" s="150">
        <v>198</v>
      </c>
      <c r="H55" s="160">
        <v>12011</v>
      </c>
    </row>
    <row r="56" spans="1:8" x14ac:dyDescent="0.25">
      <c r="A56" s="150"/>
      <c r="H56" s="157"/>
    </row>
    <row r="57" spans="1:8" x14ac:dyDescent="0.25">
      <c r="A57" s="150" t="s">
        <v>35</v>
      </c>
      <c r="B57" s="150"/>
      <c r="C57" s="150">
        <v>132</v>
      </c>
      <c r="D57" s="160">
        <v>41786</v>
      </c>
      <c r="E57" s="150">
        <v>17</v>
      </c>
      <c r="F57" s="160">
        <v>8548</v>
      </c>
      <c r="G57" s="150">
        <v>997</v>
      </c>
      <c r="H57" s="160">
        <v>51480</v>
      </c>
    </row>
    <row r="58" spans="1:8" x14ac:dyDescent="0.25">
      <c r="A58" s="150"/>
      <c r="B58" s="150"/>
      <c r="C58" s="150"/>
      <c r="D58" s="150"/>
      <c r="E58" s="161"/>
      <c r="F58" s="161"/>
      <c r="G58" s="161"/>
      <c r="H58" s="158"/>
    </row>
    <row r="63" spans="1:8" ht="45" x14ac:dyDescent="0.25">
      <c r="A63" s="150" t="s">
        <v>513</v>
      </c>
      <c r="B63" s="150" t="s">
        <v>514</v>
      </c>
      <c r="C63" s="150">
        <v>4</v>
      </c>
      <c r="D63" s="168"/>
      <c r="E63" s="168"/>
      <c r="F63" s="169"/>
    </row>
    <row r="64" spans="1:8" x14ac:dyDescent="0.25">
      <c r="A64" s="150"/>
      <c r="B64" s="150"/>
      <c r="C64" s="150"/>
      <c r="D64" s="150"/>
      <c r="F64" s="157"/>
    </row>
    <row r="65" spans="1:7" ht="30" x14ac:dyDescent="0.25">
      <c r="A65" s="150"/>
      <c r="B65" s="150"/>
      <c r="C65" s="150" t="s">
        <v>512</v>
      </c>
      <c r="D65" s="150"/>
      <c r="F65" s="157"/>
    </row>
    <row r="66" spans="1:7" x14ac:dyDescent="0.25">
      <c r="A66" s="150" t="s">
        <v>137</v>
      </c>
      <c r="B66" s="150" t="s">
        <v>491</v>
      </c>
      <c r="C66" s="150" t="s">
        <v>492</v>
      </c>
      <c r="D66" s="150" t="s">
        <v>493</v>
      </c>
      <c r="E66" s="150" t="s">
        <v>494</v>
      </c>
      <c r="F66" s="150" t="s">
        <v>495</v>
      </c>
      <c r="G66" s="150" t="s">
        <v>35</v>
      </c>
    </row>
    <row r="67" spans="1:7" x14ac:dyDescent="0.25">
      <c r="A67" s="150"/>
      <c r="B67" s="150"/>
      <c r="C67" s="150"/>
      <c r="G67" s="157"/>
    </row>
    <row r="68" spans="1:7" ht="30" x14ac:dyDescent="0.25">
      <c r="A68" s="150" t="s">
        <v>167</v>
      </c>
      <c r="B68" s="150">
        <v>13</v>
      </c>
      <c r="C68" s="160">
        <v>2131</v>
      </c>
      <c r="D68" s="150">
        <v>1</v>
      </c>
      <c r="E68" s="150">
        <v>347</v>
      </c>
      <c r="F68" s="150">
        <v>52</v>
      </c>
      <c r="G68" s="160">
        <v>2544</v>
      </c>
    </row>
    <row r="69" spans="1:7" x14ac:dyDescent="0.25">
      <c r="A69" s="150" t="s">
        <v>168</v>
      </c>
      <c r="B69" s="150">
        <v>2</v>
      </c>
      <c r="C69" s="160">
        <v>1814</v>
      </c>
      <c r="D69">
        <v>0</v>
      </c>
      <c r="E69" s="150">
        <v>241</v>
      </c>
      <c r="F69" s="150">
        <v>31</v>
      </c>
      <c r="G69" s="160">
        <v>2088</v>
      </c>
    </row>
    <row r="70" spans="1:7" ht="30" x14ac:dyDescent="0.25">
      <c r="A70" s="150" t="s">
        <v>169</v>
      </c>
      <c r="B70" s="150">
        <v>3</v>
      </c>
      <c r="C70" s="160">
        <v>3132</v>
      </c>
      <c r="D70" s="150">
        <v>4</v>
      </c>
      <c r="E70" s="150">
        <v>459</v>
      </c>
      <c r="F70" s="150">
        <v>47</v>
      </c>
      <c r="G70" s="160">
        <v>3645</v>
      </c>
    </row>
    <row r="71" spans="1:7" x14ac:dyDescent="0.25">
      <c r="A71" s="150" t="s">
        <v>170</v>
      </c>
      <c r="B71" s="150">
        <v>86</v>
      </c>
      <c r="C71" s="160">
        <v>35562</v>
      </c>
      <c r="D71" s="150">
        <v>30</v>
      </c>
      <c r="E71" s="160">
        <v>7197</v>
      </c>
      <c r="F71" s="150">
        <v>906</v>
      </c>
      <c r="G71" s="160">
        <v>43781</v>
      </c>
    </row>
    <row r="72" spans="1:7" x14ac:dyDescent="0.25">
      <c r="A72" s="150" t="s">
        <v>171</v>
      </c>
      <c r="B72" s="150">
        <v>15</v>
      </c>
      <c r="C72" s="160">
        <v>6324</v>
      </c>
      <c r="D72" s="150">
        <v>3</v>
      </c>
      <c r="E72" s="160">
        <v>1147</v>
      </c>
      <c r="F72" s="150">
        <v>126</v>
      </c>
      <c r="G72" s="160">
        <v>7615</v>
      </c>
    </row>
    <row r="73" spans="1:7" x14ac:dyDescent="0.25">
      <c r="A73" s="150" t="s">
        <v>172</v>
      </c>
      <c r="B73" s="150">
        <v>3</v>
      </c>
      <c r="C73" s="150">
        <v>731</v>
      </c>
      <c r="D73" s="150">
        <v>1</v>
      </c>
      <c r="E73" s="150">
        <v>102</v>
      </c>
      <c r="F73" s="150">
        <v>20</v>
      </c>
      <c r="G73" s="150">
        <v>857</v>
      </c>
    </row>
    <row r="74" spans="1:7" x14ac:dyDescent="0.25">
      <c r="A74" s="150" t="s">
        <v>173</v>
      </c>
      <c r="B74" s="150">
        <v>89</v>
      </c>
      <c r="C74" s="160">
        <v>32734</v>
      </c>
      <c r="D74" s="150">
        <v>44</v>
      </c>
      <c r="E74" s="160">
        <v>7692</v>
      </c>
      <c r="F74" s="150">
        <v>869</v>
      </c>
      <c r="G74" s="160">
        <v>41428</v>
      </c>
    </row>
    <row r="75" spans="1:7" x14ac:dyDescent="0.25">
      <c r="A75" s="150" t="s">
        <v>174</v>
      </c>
      <c r="B75" s="150">
        <v>3</v>
      </c>
      <c r="C75" s="160">
        <v>3849</v>
      </c>
      <c r="D75" s="150">
        <v>3</v>
      </c>
      <c r="E75" s="150">
        <v>606</v>
      </c>
      <c r="F75" s="150">
        <v>88</v>
      </c>
      <c r="G75" s="160">
        <v>4549</v>
      </c>
    </row>
    <row r="76" spans="1:7" ht="30" x14ac:dyDescent="0.25">
      <c r="A76" s="150" t="s">
        <v>175</v>
      </c>
      <c r="B76" s="150">
        <v>11</v>
      </c>
      <c r="C76" s="160">
        <v>5111</v>
      </c>
      <c r="D76" s="150">
        <v>5</v>
      </c>
      <c r="E76" s="150">
        <v>715</v>
      </c>
      <c r="F76" s="150">
        <v>107</v>
      </c>
      <c r="G76" s="160">
        <v>5949</v>
      </c>
    </row>
    <row r="77" spans="1:7" x14ac:dyDescent="0.25">
      <c r="A77" s="150" t="s">
        <v>176</v>
      </c>
      <c r="B77" s="150">
        <v>39</v>
      </c>
      <c r="C77" s="160">
        <v>19496</v>
      </c>
      <c r="D77" s="150">
        <v>8</v>
      </c>
      <c r="E77" s="160">
        <v>3011</v>
      </c>
      <c r="F77" s="150">
        <v>420</v>
      </c>
      <c r="G77" s="160">
        <v>22974</v>
      </c>
    </row>
    <row r="78" spans="1:7" x14ac:dyDescent="0.25">
      <c r="A78" s="150" t="s">
        <v>177</v>
      </c>
      <c r="B78" s="150">
        <v>2</v>
      </c>
      <c r="C78" s="150">
        <v>837</v>
      </c>
      <c r="D78" s="150">
        <v>1</v>
      </c>
      <c r="E78" s="150">
        <v>126</v>
      </c>
      <c r="F78" s="150">
        <v>24</v>
      </c>
      <c r="G78" s="150">
        <v>990</v>
      </c>
    </row>
    <row r="79" spans="1:7" x14ac:dyDescent="0.25">
      <c r="A79" s="150" t="s">
        <v>178</v>
      </c>
      <c r="B79" s="150">
        <v>7</v>
      </c>
      <c r="C79" s="160">
        <v>2024</v>
      </c>
      <c r="D79" s="150">
        <v>1</v>
      </c>
      <c r="E79" s="150">
        <v>473</v>
      </c>
      <c r="F79" s="150">
        <v>56</v>
      </c>
      <c r="G79" s="160">
        <v>2561</v>
      </c>
    </row>
    <row r="80" spans="1:7" ht="30" x14ac:dyDescent="0.25">
      <c r="A80" s="150" t="s">
        <v>179</v>
      </c>
      <c r="B80" s="150"/>
      <c r="C80" s="150">
        <v>927</v>
      </c>
      <c r="D80" s="181">
        <v>0</v>
      </c>
      <c r="E80" s="150">
        <v>84</v>
      </c>
      <c r="F80" s="150">
        <v>10</v>
      </c>
      <c r="G80" s="160">
        <v>1021</v>
      </c>
    </row>
    <row r="81" spans="1:8" ht="30" x14ac:dyDescent="0.25">
      <c r="A81" s="150" t="s">
        <v>180</v>
      </c>
      <c r="B81" s="150">
        <v>10</v>
      </c>
      <c r="C81" s="160">
        <v>5212</v>
      </c>
      <c r="D81" s="150">
        <v>7</v>
      </c>
      <c r="E81" s="150">
        <v>858</v>
      </c>
      <c r="F81" s="150">
        <v>98</v>
      </c>
      <c r="G81" s="160">
        <v>6185</v>
      </c>
    </row>
    <row r="82" spans="1:8" x14ac:dyDescent="0.25">
      <c r="A82" s="150" t="s">
        <v>503</v>
      </c>
      <c r="B82" s="150">
        <v>16</v>
      </c>
      <c r="C82" s="160">
        <v>4735</v>
      </c>
      <c r="D82" s="150">
        <v>13</v>
      </c>
      <c r="E82" s="150">
        <v>764</v>
      </c>
      <c r="F82" s="150">
        <v>120</v>
      </c>
      <c r="G82" s="160">
        <v>5648</v>
      </c>
    </row>
    <row r="83" spans="1:8" x14ac:dyDescent="0.25">
      <c r="A83" s="150" t="s">
        <v>35</v>
      </c>
      <c r="B83" s="150">
        <v>299</v>
      </c>
      <c r="C83" s="160">
        <v>124619</v>
      </c>
      <c r="D83" s="150">
        <v>121</v>
      </c>
      <c r="E83" s="160">
        <v>23822</v>
      </c>
      <c r="F83" s="160">
        <v>2974</v>
      </c>
      <c r="G83" s="160">
        <v>151835</v>
      </c>
    </row>
    <row r="84" spans="1:8" x14ac:dyDescent="0.25">
      <c r="A84" s="150"/>
      <c r="B84" s="150"/>
      <c r="C84" s="150"/>
      <c r="F84" s="157"/>
    </row>
    <row r="85" spans="1:8" x14ac:dyDescent="0.25">
      <c r="A85" s="150"/>
      <c r="B85" s="161"/>
      <c r="C85" s="161"/>
      <c r="D85" s="161"/>
      <c r="E85" s="161"/>
      <c r="F85" s="158"/>
    </row>
    <row r="91" spans="1:8" ht="45" x14ac:dyDescent="0.25">
      <c r="A91" s="150" t="s">
        <v>513</v>
      </c>
      <c r="B91" s="150" t="s">
        <v>514</v>
      </c>
      <c r="C91" s="150">
        <v>5</v>
      </c>
      <c r="D91" s="168"/>
      <c r="E91" s="168"/>
      <c r="F91" s="168"/>
      <c r="G91" s="169"/>
    </row>
    <row r="92" spans="1:8" x14ac:dyDescent="0.25">
      <c r="A92" s="150"/>
      <c r="B92" s="150"/>
      <c r="C92" s="150"/>
      <c r="D92" s="150"/>
      <c r="G92" s="157"/>
    </row>
    <row r="93" spans="1:8" ht="30" x14ac:dyDescent="0.25">
      <c r="A93" s="150"/>
      <c r="B93" s="150"/>
      <c r="C93" s="150" t="s">
        <v>512</v>
      </c>
      <c r="D93" s="150"/>
      <c r="G93" s="157"/>
    </row>
    <row r="94" spans="1:8" x14ac:dyDescent="0.25">
      <c r="A94" s="150" t="s">
        <v>137</v>
      </c>
      <c r="B94" s="150"/>
      <c r="C94" s="150" t="s">
        <v>491</v>
      </c>
      <c r="D94" s="150" t="s">
        <v>492</v>
      </c>
      <c r="E94" s="150" t="s">
        <v>493</v>
      </c>
      <c r="F94" s="150" t="s">
        <v>494</v>
      </c>
      <c r="G94" s="150" t="s">
        <v>495</v>
      </c>
      <c r="H94" s="150" t="s">
        <v>35</v>
      </c>
    </row>
    <row r="95" spans="1:8" x14ac:dyDescent="0.25">
      <c r="A95" s="150"/>
      <c r="B95" s="150"/>
      <c r="C95" s="150"/>
      <c r="D95" s="150"/>
      <c r="H95" s="157"/>
    </row>
    <row r="96" spans="1:8" ht="30" x14ac:dyDescent="0.25">
      <c r="A96" s="150" t="s">
        <v>181</v>
      </c>
      <c r="B96" s="150"/>
      <c r="C96" s="150">
        <v>8</v>
      </c>
      <c r="D96" s="160">
        <v>2930</v>
      </c>
      <c r="E96" s="150">
        <v>1</v>
      </c>
      <c r="F96" s="150">
        <v>718</v>
      </c>
      <c r="G96" s="150">
        <v>100</v>
      </c>
      <c r="H96" s="160">
        <v>3757</v>
      </c>
    </row>
    <row r="97" spans="1:8" x14ac:dyDescent="0.25">
      <c r="A97" s="150" t="s">
        <v>182</v>
      </c>
      <c r="B97" s="150"/>
      <c r="C97" s="150">
        <v>13</v>
      </c>
      <c r="D97" s="160">
        <v>3901</v>
      </c>
      <c r="E97" s="150">
        <v>1</v>
      </c>
      <c r="F97" s="150">
        <v>979</v>
      </c>
      <c r="G97" s="150">
        <v>85</v>
      </c>
      <c r="H97" s="160">
        <v>4979</v>
      </c>
    </row>
    <row r="98" spans="1:8" ht="30" x14ac:dyDescent="0.25">
      <c r="A98" s="150" t="s">
        <v>183</v>
      </c>
      <c r="B98" s="150"/>
      <c r="C98" s="150">
        <v>5</v>
      </c>
      <c r="D98" s="160">
        <v>2004</v>
      </c>
      <c r="E98" s="150">
        <v>2</v>
      </c>
      <c r="F98" s="150">
        <v>378</v>
      </c>
      <c r="G98" s="150">
        <v>42</v>
      </c>
      <c r="H98" s="160">
        <v>2431</v>
      </c>
    </row>
    <row r="99" spans="1:8" ht="30" x14ac:dyDescent="0.25">
      <c r="A99" s="150" t="s">
        <v>184</v>
      </c>
      <c r="B99" s="150"/>
      <c r="C99" s="150">
        <v>13</v>
      </c>
      <c r="D99" s="160">
        <v>5034</v>
      </c>
      <c r="E99" s="150">
        <v>1</v>
      </c>
      <c r="F99" s="150">
        <v>862</v>
      </c>
      <c r="G99" s="150">
        <v>124</v>
      </c>
      <c r="H99" s="160">
        <v>6034</v>
      </c>
    </row>
    <row r="100" spans="1:8" ht="30" x14ac:dyDescent="0.25">
      <c r="A100" s="150" t="s">
        <v>185</v>
      </c>
      <c r="B100" s="150"/>
      <c r="C100" s="150">
        <v>13</v>
      </c>
      <c r="D100" s="160">
        <v>4521</v>
      </c>
      <c r="E100" s="150">
        <v>5</v>
      </c>
      <c r="F100" s="150">
        <v>897</v>
      </c>
      <c r="G100" s="150">
        <v>92</v>
      </c>
      <c r="H100" s="160">
        <v>5528</v>
      </c>
    </row>
    <row r="101" spans="1:8" x14ac:dyDescent="0.25">
      <c r="A101" s="150" t="s">
        <v>186</v>
      </c>
      <c r="B101" s="150"/>
      <c r="C101" s="150">
        <v>3</v>
      </c>
      <c r="D101" s="160">
        <v>2676</v>
      </c>
      <c r="E101" s="150">
        <v>1</v>
      </c>
      <c r="F101" s="150">
        <v>468</v>
      </c>
      <c r="G101" s="150">
        <v>49</v>
      </c>
      <c r="H101" s="160">
        <v>3197</v>
      </c>
    </row>
    <row r="102" spans="1:8" x14ac:dyDescent="0.25">
      <c r="A102" s="150" t="s">
        <v>187</v>
      </c>
      <c r="B102" s="150"/>
      <c r="C102" s="150">
        <v>17</v>
      </c>
      <c r="D102" s="160">
        <v>5887</v>
      </c>
      <c r="E102" s="150">
        <v>2</v>
      </c>
      <c r="F102" s="160">
        <v>1489</v>
      </c>
      <c r="G102" s="150">
        <v>172</v>
      </c>
      <c r="H102" s="160">
        <v>7567</v>
      </c>
    </row>
    <row r="103" spans="1:8" x14ac:dyDescent="0.25">
      <c r="A103" s="150" t="s">
        <v>188</v>
      </c>
      <c r="B103" s="150"/>
      <c r="C103" s="150">
        <v>6</v>
      </c>
      <c r="D103" s="160">
        <v>3878</v>
      </c>
      <c r="E103" s="150">
        <v>1</v>
      </c>
      <c r="F103" s="150">
        <v>920</v>
      </c>
      <c r="G103" s="150">
        <v>99</v>
      </c>
      <c r="H103" s="160">
        <v>4904</v>
      </c>
    </row>
    <row r="104" spans="1:8" x14ac:dyDescent="0.25">
      <c r="A104" s="150" t="s">
        <v>189</v>
      </c>
      <c r="B104" s="150"/>
      <c r="C104" s="150">
        <v>4</v>
      </c>
      <c r="D104" s="160">
        <v>3390</v>
      </c>
      <c r="E104" s="150">
        <v>4</v>
      </c>
      <c r="F104" s="150">
        <v>696</v>
      </c>
      <c r="G104" s="150">
        <v>92</v>
      </c>
      <c r="H104" s="160">
        <v>4186</v>
      </c>
    </row>
    <row r="105" spans="1:8" x14ac:dyDescent="0.25">
      <c r="A105" s="150" t="s">
        <v>190</v>
      </c>
      <c r="B105" s="150"/>
      <c r="C105" s="150">
        <v>6</v>
      </c>
      <c r="D105" s="160">
        <v>3345</v>
      </c>
      <c r="E105" s="150">
        <v>2</v>
      </c>
      <c r="F105" s="150">
        <v>650</v>
      </c>
      <c r="G105" s="150">
        <v>70</v>
      </c>
      <c r="H105" s="160">
        <v>4073</v>
      </c>
    </row>
    <row r="106" spans="1:8" ht="30" x14ac:dyDescent="0.25">
      <c r="A106" s="150" t="s">
        <v>191</v>
      </c>
      <c r="B106" s="150"/>
      <c r="C106" s="150">
        <v>4</v>
      </c>
      <c r="D106" s="150">
        <v>668</v>
      </c>
      <c r="E106" s="181">
        <v>0</v>
      </c>
      <c r="F106" s="150">
        <v>107</v>
      </c>
      <c r="G106" s="150">
        <v>21</v>
      </c>
      <c r="H106" s="150">
        <v>800</v>
      </c>
    </row>
    <row r="107" spans="1:8" ht="45" x14ac:dyDescent="0.25">
      <c r="A107" s="150" t="s">
        <v>192</v>
      </c>
      <c r="B107" s="150"/>
      <c r="C107" s="181">
        <v>0</v>
      </c>
      <c r="D107" s="150">
        <v>141</v>
      </c>
      <c r="E107" s="181">
        <v>0</v>
      </c>
      <c r="F107" s="150">
        <v>18</v>
      </c>
      <c r="G107" s="150">
        <v>1</v>
      </c>
      <c r="H107" s="150">
        <v>160</v>
      </c>
    </row>
    <row r="108" spans="1:8" x14ac:dyDescent="0.25">
      <c r="A108" s="150" t="s">
        <v>193</v>
      </c>
      <c r="B108" s="150"/>
      <c r="C108" s="150">
        <v>22</v>
      </c>
      <c r="D108" s="160">
        <v>10654</v>
      </c>
      <c r="E108" s="150">
        <v>6</v>
      </c>
      <c r="F108" s="160">
        <v>1904</v>
      </c>
      <c r="G108" s="150">
        <v>204</v>
      </c>
      <c r="H108" s="160">
        <v>12790</v>
      </c>
    </row>
    <row r="109" spans="1:8" x14ac:dyDescent="0.25">
      <c r="A109" s="150" t="s">
        <v>194</v>
      </c>
      <c r="B109" s="150"/>
      <c r="C109" s="150">
        <v>10</v>
      </c>
      <c r="D109" s="160">
        <v>2659</v>
      </c>
      <c r="E109" s="150">
        <v>1</v>
      </c>
      <c r="F109" s="150">
        <v>513</v>
      </c>
      <c r="G109" s="150">
        <v>64</v>
      </c>
      <c r="H109" s="160">
        <v>3247</v>
      </c>
    </row>
    <row r="110" spans="1:8" x14ac:dyDescent="0.25">
      <c r="A110" s="150" t="s">
        <v>195</v>
      </c>
      <c r="B110" s="150"/>
      <c r="C110" s="150">
        <v>25</v>
      </c>
      <c r="D110" s="160">
        <v>7222</v>
      </c>
      <c r="E110" s="150">
        <v>5</v>
      </c>
      <c r="F110" s="160">
        <v>1401</v>
      </c>
      <c r="G110" s="150">
        <v>150</v>
      </c>
      <c r="H110" s="160">
        <v>8803</v>
      </c>
    </row>
    <row r="111" spans="1:8" x14ac:dyDescent="0.25">
      <c r="A111" s="150" t="s">
        <v>196</v>
      </c>
      <c r="B111" s="150"/>
      <c r="C111" s="150">
        <v>29</v>
      </c>
      <c r="D111" s="160">
        <v>8916</v>
      </c>
      <c r="E111" s="150">
        <v>4</v>
      </c>
      <c r="F111" s="160">
        <v>1518</v>
      </c>
      <c r="G111" s="150">
        <v>205</v>
      </c>
      <c r="H111" s="160">
        <v>10672</v>
      </c>
    </row>
    <row r="112" spans="1:8" x14ac:dyDescent="0.25">
      <c r="A112" s="150" t="s">
        <v>197</v>
      </c>
      <c r="B112" s="150"/>
      <c r="C112" s="150">
        <v>13</v>
      </c>
      <c r="D112" s="160">
        <v>4744</v>
      </c>
      <c r="E112" s="150">
        <v>3</v>
      </c>
      <c r="F112" s="150">
        <v>832</v>
      </c>
      <c r="G112" s="150">
        <v>95</v>
      </c>
      <c r="H112" s="160">
        <v>5687</v>
      </c>
    </row>
    <row r="113" spans="1:9" x14ac:dyDescent="0.25">
      <c r="A113" s="150" t="s">
        <v>198</v>
      </c>
      <c r="B113" s="150"/>
      <c r="C113" s="150">
        <v>35</v>
      </c>
      <c r="D113" s="160">
        <v>11557</v>
      </c>
      <c r="E113" s="150">
        <v>11</v>
      </c>
      <c r="F113" s="160">
        <v>2786</v>
      </c>
      <c r="G113" s="150">
        <v>217</v>
      </c>
      <c r="H113" s="160">
        <v>14606</v>
      </c>
    </row>
    <row r="114" spans="1:9" x14ac:dyDescent="0.25">
      <c r="A114" s="150" t="s">
        <v>199</v>
      </c>
      <c r="B114" s="150"/>
      <c r="C114" s="150">
        <v>17</v>
      </c>
      <c r="D114" s="160">
        <v>4300</v>
      </c>
      <c r="E114" s="150">
        <v>1</v>
      </c>
      <c r="F114" s="160">
        <v>1016</v>
      </c>
      <c r="G114" s="150">
        <v>110</v>
      </c>
      <c r="H114" s="160">
        <v>5444</v>
      </c>
    </row>
    <row r="115" spans="1:9" x14ac:dyDescent="0.25">
      <c r="A115" s="150" t="s">
        <v>200</v>
      </c>
      <c r="B115" s="150"/>
      <c r="C115" s="150">
        <v>6</v>
      </c>
      <c r="D115" s="160">
        <v>3399</v>
      </c>
      <c r="E115" s="150">
        <v>1</v>
      </c>
      <c r="F115" s="150">
        <v>626</v>
      </c>
      <c r="G115" s="150">
        <v>97</v>
      </c>
      <c r="H115" s="160">
        <v>4129</v>
      </c>
    </row>
    <row r="116" spans="1:9" ht="30" x14ac:dyDescent="0.25">
      <c r="A116" s="150" t="s">
        <v>201</v>
      </c>
      <c r="B116" s="150"/>
      <c r="C116" s="181">
        <v>0</v>
      </c>
      <c r="D116" s="160">
        <v>1253</v>
      </c>
      <c r="E116" s="150">
        <v>1</v>
      </c>
      <c r="F116" s="183">
        <v>269</v>
      </c>
      <c r="G116" s="150">
        <v>27</v>
      </c>
      <c r="H116" s="160">
        <v>1550</v>
      </c>
    </row>
    <row r="117" spans="1:9" x14ac:dyDescent="0.25">
      <c r="A117" s="150" t="s">
        <v>202</v>
      </c>
      <c r="B117" s="150"/>
      <c r="C117" s="150">
        <v>0</v>
      </c>
      <c r="D117" s="160">
        <v>1068</v>
      </c>
      <c r="E117" s="181">
        <v>0</v>
      </c>
      <c r="F117" s="150">
        <v>194</v>
      </c>
      <c r="G117" s="150">
        <v>37</v>
      </c>
      <c r="H117" s="160">
        <v>1299</v>
      </c>
      <c r="I117" s="157"/>
    </row>
    <row r="118" spans="1:9" x14ac:dyDescent="0.25">
      <c r="A118" s="150" t="s">
        <v>203</v>
      </c>
      <c r="B118" s="150"/>
      <c r="C118" s="150">
        <v>4</v>
      </c>
      <c r="D118" s="160">
        <v>1890</v>
      </c>
      <c r="E118" s="181">
        <v>0</v>
      </c>
      <c r="F118" s="150">
        <v>422</v>
      </c>
      <c r="G118" s="150">
        <v>43</v>
      </c>
      <c r="H118" s="160">
        <v>2359</v>
      </c>
    </row>
    <row r="119" spans="1:9" ht="30" x14ac:dyDescent="0.25">
      <c r="A119" s="150" t="s">
        <v>204</v>
      </c>
      <c r="B119" s="150"/>
      <c r="C119" s="150">
        <v>13</v>
      </c>
      <c r="D119" s="160">
        <v>3568</v>
      </c>
      <c r="E119" s="181">
        <v>0</v>
      </c>
      <c r="F119" s="150">
        <v>837</v>
      </c>
      <c r="G119" s="150">
        <v>91</v>
      </c>
      <c r="H119" s="160">
        <v>4509</v>
      </c>
    </row>
    <row r="120" spans="1:9" x14ac:dyDescent="0.25">
      <c r="A120" s="150" t="s">
        <v>205</v>
      </c>
      <c r="B120" s="150"/>
      <c r="C120" s="150">
        <v>5</v>
      </c>
      <c r="D120" s="160">
        <v>3328</v>
      </c>
      <c r="E120" s="150">
        <v>2</v>
      </c>
      <c r="F120" s="150">
        <v>613</v>
      </c>
      <c r="G120" s="150">
        <v>83</v>
      </c>
      <c r="H120" s="160">
        <v>4031</v>
      </c>
    </row>
    <row r="121" spans="1:9" x14ac:dyDescent="0.25">
      <c r="A121" s="150" t="s">
        <v>206</v>
      </c>
      <c r="B121" s="150"/>
      <c r="C121" s="150">
        <v>54</v>
      </c>
      <c r="D121" s="160">
        <v>17131</v>
      </c>
      <c r="E121" s="150">
        <v>8</v>
      </c>
      <c r="F121" s="160">
        <v>3182</v>
      </c>
      <c r="G121" s="150">
        <v>342</v>
      </c>
      <c r="H121" s="160">
        <v>20717</v>
      </c>
    </row>
    <row r="122" spans="1:9" x14ac:dyDescent="0.25">
      <c r="A122" s="150" t="s">
        <v>207</v>
      </c>
      <c r="B122" s="150"/>
      <c r="C122" s="150">
        <v>73</v>
      </c>
      <c r="D122" s="160">
        <v>27789</v>
      </c>
      <c r="E122" s="150">
        <v>41</v>
      </c>
      <c r="F122" s="160">
        <v>5264</v>
      </c>
      <c r="G122" s="150">
        <v>574</v>
      </c>
      <c r="H122" s="160">
        <v>33741</v>
      </c>
    </row>
    <row r="123" spans="1:9" x14ac:dyDescent="0.25">
      <c r="A123" s="150" t="s">
        <v>208</v>
      </c>
      <c r="B123" s="150"/>
      <c r="C123" s="150">
        <v>14</v>
      </c>
      <c r="D123" s="160">
        <v>5665</v>
      </c>
      <c r="E123" s="150">
        <v>3</v>
      </c>
      <c r="F123" s="160">
        <v>1043</v>
      </c>
      <c r="G123" s="150">
        <v>146</v>
      </c>
      <c r="H123" s="160">
        <v>6871</v>
      </c>
    </row>
    <row r="124" spans="1:9" ht="30" x14ac:dyDescent="0.25">
      <c r="A124" s="150" t="s">
        <v>209</v>
      </c>
      <c r="B124" s="150"/>
      <c r="C124" s="150">
        <v>5</v>
      </c>
      <c r="D124" s="160">
        <v>1463</v>
      </c>
      <c r="E124" s="150">
        <v>2</v>
      </c>
      <c r="F124" s="150">
        <v>224</v>
      </c>
      <c r="G124" s="150">
        <v>24</v>
      </c>
      <c r="H124" s="160">
        <v>1718</v>
      </c>
    </row>
    <row r="125" spans="1:9" ht="30" x14ac:dyDescent="0.25">
      <c r="A125" s="150" t="s">
        <v>210</v>
      </c>
      <c r="B125" s="150"/>
      <c r="C125" s="150">
        <v>64</v>
      </c>
      <c r="D125" s="160">
        <v>18084</v>
      </c>
      <c r="E125" s="150">
        <v>9</v>
      </c>
      <c r="F125" s="160">
        <v>4161</v>
      </c>
      <c r="G125" s="150">
        <v>425</v>
      </c>
      <c r="H125" s="160">
        <v>22743</v>
      </c>
    </row>
    <row r="126" spans="1:9" ht="30" x14ac:dyDescent="0.25">
      <c r="A126" s="150" t="s">
        <v>211</v>
      </c>
      <c r="B126" s="150"/>
      <c r="C126" s="150">
        <v>6</v>
      </c>
      <c r="D126" s="160">
        <v>2897</v>
      </c>
      <c r="E126" s="150">
        <v>3</v>
      </c>
      <c r="F126" s="150">
        <v>721</v>
      </c>
      <c r="G126" s="150">
        <v>58</v>
      </c>
      <c r="H126" s="160">
        <v>3685</v>
      </c>
    </row>
    <row r="127" spans="1:9" x14ac:dyDescent="0.25">
      <c r="A127" s="150" t="s">
        <v>212</v>
      </c>
      <c r="B127" s="150"/>
      <c r="C127" s="150">
        <v>44</v>
      </c>
      <c r="D127" s="160">
        <v>13418</v>
      </c>
      <c r="E127" s="150">
        <v>9</v>
      </c>
      <c r="F127" s="160">
        <v>2758</v>
      </c>
      <c r="G127" s="150">
        <v>266</v>
      </c>
      <c r="H127" s="160">
        <v>16495</v>
      </c>
    </row>
    <row r="128" spans="1:9" ht="30" x14ac:dyDescent="0.25">
      <c r="A128" s="150" t="s">
        <v>213</v>
      </c>
      <c r="B128" s="150"/>
      <c r="C128" s="150">
        <v>10</v>
      </c>
      <c r="D128" s="160">
        <v>2603</v>
      </c>
      <c r="E128" s="150">
        <v>1</v>
      </c>
      <c r="F128" s="150">
        <v>504</v>
      </c>
      <c r="G128" s="150">
        <v>44</v>
      </c>
      <c r="H128" s="160">
        <v>3162</v>
      </c>
    </row>
    <row r="129" spans="1:8" ht="30" x14ac:dyDescent="0.25">
      <c r="A129" s="150" t="s">
        <v>214</v>
      </c>
      <c r="B129" s="150"/>
      <c r="C129" s="150">
        <v>5</v>
      </c>
      <c r="D129" s="160">
        <v>1695</v>
      </c>
      <c r="E129" s="181">
        <v>0</v>
      </c>
      <c r="F129" s="150">
        <v>540</v>
      </c>
      <c r="G129" s="150">
        <v>56</v>
      </c>
      <c r="H129" s="160">
        <v>2296</v>
      </c>
    </row>
    <row r="130" spans="1:8" ht="30" x14ac:dyDescent="0.25">
      <c r="A130" s="150" t="s">
        <v>215</v>
      </c>
      <c r="B130" s="150"/>
      <c r="C130" s="150">
        <v>176</v>
      </c>
      <c r="D130" s="160">
        <v>57195</v>
      </c>
      <c r="E130" s="150">
        <v>44</v>
      </c>
      <c r="F130" s="160">
        <v>10444</v>
      </c>
      <c r="G130" s="160">
        <v>1233</v>
      </c>
      <c r="H130" s="160">
        <v>69092</v>
      </c>
    </row>
    <row r="131" spans="1:8" ht="30" x14ac:dyDescent="0.25">
      <c r="A131" s="150" t="s">
        <v>216</v>
      </c>
      <c r="B131" s="150"/>
      <c r="C131" s="150">
        <v>45</v>
      </c>
      <c r="D131" s="160">
        <v>19458</v>
      </c>
      <c r="E131" s="150">
        <v>20</v>
      </c>
      <c r="F131" s="160">
        <v>4016</v>
      </c>
      <c r="G131" s="150">
        <v>531</v>
      </c>
      <c r="H131" s="160">
        <v>24070</v>
      </c>
    </row>
    <row r="132" spans="1:8" ht="30" x14ac:dyDescent="0.25">
      <c r="A132" s="150" t="s">
        <v>504</v>
      </c>
      <c r="B132" s="150"/>
      <c r="C132" s="150">
        <v>132</v>
      </c>
      <c r="D132" s="160">
        <v>56510</v>
      </c>
      <c r="E132" s="150">
        <v>42</v>
      </c>
      <c r="F132" s="160">
        <v>12188</v>
      </c>
      <c r="G132" s="160">
        <v>1307</v>
      </c>
      <c r="H132" s="160">
        <v>70179</v>
      </c>
    </row>
    <row r="133" spans="1:8" x14ac:dyDescent="0.25">
      <c r="A133" s="150" t="s">
        <v>217</v>
      </c>
      <c r="B133" s="150"/>
      <c r="C133" s="150">
        <v>7</v>
      </c>
      <c r="D133" s="160">
        <v>1284</v>
      </c>
      <c r="E133" s="181">
        <v>0</v>
      </c>
      <c r="F133" s="150">
        <v>248</v>
      </c>
      <c r="G133" s="150">
        <v>27</v>
      </c>
      <c r="H133" s="160">
        <v>1566</v>
      </c>
    </row>
    <row r="134" spans="1:8" x14ac:dyDescent="0.25">
      <c r="A134" s="150"/>
      <c r="H134" s="157"/>
    </row>
    <row r="135" spans="1:8" x14ac:dyDescent="0.25">
      <c r="A135" s="150" t="s">
        <v>35</v>
      </c>
      <c r="B135" s="150"/>
      <c r="C135" s="151">
        <f>SUM(C96:C134)</f>
        <v>906</v>
      </c>
      <c r="D135" s="151">
        <f t="shared" ref="D135:H135" si="2">SUM(D96:D134)</f>
        <v>328125</v>
      </c>
      <c r="E135" s="151">
        <f t="shared" si="2"/>
        <v>237</v>
      </c>
      <c r="F135" s="151">
        <f t="shared" si="2"/>
        <v>66406</v>
      </c>
      <c r="G135" s="151">
        <f t="shared" si="2"/>
        <v>7403</v>
      </c>
      <c r="H135" s="151">
        <f t="shared" si="2"/>
        <v>403077</v>
      </c>
    </row>
    <row r="136" spans="1:8" x14ac:dyDescent="0.25">
      <c r="A136" s="150"/>
      <c r="B136" s="150"/>
      <c r="C136" s="150"/>
      <c r="D136" s="150"/>
      <c r="H136" s="157"/>
    </row>
    <row r="137" spans="1:8" x14ac:dyDescent="0.25">
      <c r="A137" s="150"/>
      <c r="B137" s="161"/>
      <c r="C137" s="161"/>
      <c r="D137" s="161"/>
      <c r="E137" s="161"/>
      <c r="F137" s="161"/>
      <c r="G137" s="161"/>
      <c r="H137" s="158"/>
    </row>
    <row r="141" spans="1:8" ht="45" x14ac:dyDescent="0.25">
      <c r="A141" s="150" t="s">
        <v>513</v>
      </c>
      <c r="B141" s="150" t="s">
        <v>514</v>
      </c>
      <c r="C141" s="150">
        <v>6</v>
      </c>
      <c r="D141" s="168"/>
      <c r="E141" s="168"/>
      <c r="F141" s="168"/>
      <c r="G141" s="169"/>
    </row>
    <row r="142" spans="1:8" x14ac:dyDescent="0.25">
      <c r="A142" s="150"/>
      <c r="B142" s="150"/>
      <c r="C142" s="150"/>
      <c r="D142" s="150"/>
      <c r="G142" s="157"/>
    </row>
    <row r="143" spans="1:8" ht="30" x14ac:dyDescent="0.25">
      <c r="A143" s="150"/>
      <c r="B143" s="150"/>
      <c r="C143" s="150" t="s">
        <v>512</v>
      </c>
      <c r="D143" s="150"/>
      <c r="G143" s="157"/>
    </row>
    <row r="144" spans="1:8" x14ac:dyDescent="0.25">
      <c r="A144" s="150" t="s">
        <v>137</v>
      </c>
      <c r="B144" s="150"/>
      <c r="C144" s="150" t="s">
        <v>491</v>
      </c>
      <c r="D144" s="150" t="s">
        <v>492</v>
      </c>
      <c r="E144" s="150" t="s">
        <v>493</v>
      </c>
      <c r="F144" s="150" t="s">
        <v>494</v>
      </c>
      <c r="G144" s="150" t="s">
        <v>495</v>
      </c>
      <c r="H144" s="150" t="s">
        <v>35</v>
      </c>
    </row>
    <row r="145" spans="1:8" x14ac:dyDescent="0.25">
      <c r="A145" s="150"/>
      <c r="B145" s="150"/>
      <c r="C145" s="150"/>
      <c r="D145" s="150"/>
      <c r="H145" s="157"/>
    </row>
    <row r="146" spans="1:8" x14ac:dyDescent="0.25">
      <c r="A146" s="150" t="s">
        <v>218</v>
      </c>
      <c r="B146" s="150"/>
      <c r="C146" s="150">
        <v>10</v>
      </c>
      <c r="D146" s="160">
        <v>3236</v>
      </c>
      <c r="E146" s="150">
        <v>2</v>
      </c>
      <c r="F146" s="150">
        <v>704</v>
      </c>
      <c r="G146" s="150">
        <v>83</v>
      </c>
      <c r="H146" s="160">
        <v>4035</v>
      </c>
    </row>
    <row r="147" spans="1:8" ht="30" x14ac:dyDescent="0.25">
      <c r="A147" s="150" t="s">
        <v>219</v>
      </c>
      <c r="B147" s="150"/>
      <c r="C147" s="150">
        <v>18</v>
      </c>
      <c r="D147" s="160">
        <v>6369</v>
      </c>
      <c r="E147" s="150">
        <v>2</v>
      </c>
      <c r="F147" s="160">
        <v>1452</v>
      </c>
      <c r="G147" s="150">
        <v>146</v>
      </c>
      <c r="H147" s="160">
        <v>7987</v>
      </c>
    </row>
    <row r="148" spans="1:8" x14ac:dyDescent="0.25">
      <c r="A148" s="150" t="s">
        <v>220</v>
      </c>
      <c r="B148" s="150"/>
      <c r="C148" s="150">
        <v>5</v>
      </c>
      <c r="D148" s="160">
        <v>2111</v>
      </c>
      <c r="E148">
        <v>0</v>
      </c>
      <c r="F148" s="150">
        <v>379</v>
      </c>
      <c r="G148" s="150">
        <v>50</v>
      </c>
      <c r="H148" s="160">
        <v>2545</v>
      </c>
    </row>
    <row r="149" spans="1:8" x14ac:dyDescent="0.25">
      <c r="A149" s="150" t="s">
        <v>221</v>
      </c>
      <c r="B149" s="150"/>
      <c r="C149" s="150">
        <v>6</v>
      </c>
      <c r="D149" s="160">
        <v>1465</v>
      </c>
      <c r="E149" s="182">
        <v>0</v>
      </c>
      <c r="F149" s="150">
        <v>276</v>
      </c>
      <c r="G149" s="150">
        <v>26</v>
      </c>
      <c r="H149" s="160">
        <v>1773</v>
      </c>
    </row>
    <row r="150" spans="1:8" x14ac:dyDescent="0.25">
      <c r="A150" s="150" t="s">
        <v>222</v>
      </c>
      <c r="B150" s="150"/>
      <c r="C150" s="150">
        <v>2</v>
      </c>
      <c r="D150" s="160">
        <v>3576</v>
      </c>
      <c r="E150" s="150">
        <v>1</v>
      </c>
      <c r="F150" s="150">
        <v>601</v>
      </c>
      <c r="G150" s="150">
        <v>69</v>
      </c>
      <c r="H150" s="160">
        <v>4249</v>
      </c>
    </row>
    <row r="151" spans="1:8" x14ac:dyDescent="0.25">
      <c r="A151" s="150" t="s">
        <v>505</v>
      </c>
      <c r="B151" s="150"/>
      <c r="C151" s="150">
        <v>7</v>
      </c>
      <c r="D151" s="160">
        <v>3428</v>
      </c>
      <c r="E151" s="150">
        <v>3</v>
      </c>
      <c r="F151" s="150">
        <v>661</v>
      </c>
      <c r="G151" s="150">
        <v>66</v>
      </c>
      <c r="H151" s="160">
        <v>4165</v>
      </c>
    </row>
    <row r="152" spans="1:8" x14ac:dyDescent="0.25">
      <c r="A152" s="150" t="s">
        <v>223</v>
      </c>
      <c r="B152" s="150"/>
      <c r="C152" s="150">
        <v>11</v>
      </c>
      <c r="D152" s="160">
        <v>4835</v>
      </c>
      <c r="E152" s="150">
        <v>1</v>
      </c>
      <c r="F152" s="150">
        <v>871</v>
      </c>
      <c r="G152" s="150">
        <v>88</v>
      </c>
      <c r="H152" s="160">
        <v>5806</v>
      </c>
    </row>
    <row r="153" spans="1:8" ht="30" x14ac:dyDescent="0.25">
      <c r="A153" s="150" t="s">
        <v>224</v>
      </c>
      <c r="B153" s="150"/>
      <c r="C153" s="150">
        <v>1</v>
      </c>
      <c r="D153" s="150">
        <v>771</v>
      </c>
      <c r="E153" s="181">
        <v>0</v>
      </c>
      <c r="F153" s="150">
        <v>142</v>
      </c>
      <c r="G153" s="150">
        <v>13</v>
      </c>
      <c r="H153" s="150">
        <v>927</v>
      </c>
    </row>
    <row r="154" spans="1:8" ht="30" x14ac:dyDescent="0.25">
      <c r="A154" s="150" t="s">
        <v>225</v>
      </c>
      <c r="B154" s="150"/>
      <c r="C154" s="150">
        <v>8</v>
      </c>
      <c r="D154" s="160">
        <v>4613</v>
      </c>
      <c r="E154" s="150">
        <v>1</v>
      </c>
      <c r="F154" s="150">
        <v>817</v>
      </c>
      <c r="G154" s="150">
        <v>117</v>
      </c>
      <c r="H154" s="160">
        <v>5556</v>
      </c>
    </row>
    <row r="155" spans="1:8" x14ac:dyDescent="0.25">
      <c r="A155" s="150" t="s">
        <v>226</v>
      </c>
      <c r="B155" s="150"/>
      <c r="C155" s="150">
        <v>4</v>
      </c>
      <c r="D155" s="160">
        <v>1243</v>
      </c>
      <c r="E155" s="181">
        <v>0</v>
      </c>
      <c r="F155" s="150">
        <v>258</v>
      </c>
      <c r="G155" s="150">
        <v>33</v>
      </c>
      <c r="H155" s="160">
        <v>1538</v>
      </c>
    </row>
    <row r="156" spans="1:8" x14ac:dyDescent="0.25">
      <c r="A156" s="150" t="s">
        <v>227</v>
      </c>
      <c r="B156" s="150"/>
      <c r="C156" s="150">
        <v>5</v>
      </c>
      <c r="D156" s="160">
        <v>1604</v>
      </c>
      <c r="E156" s="181">
        <v>0</v>
      </c>
      <c r="F156" s="150">
        <v>297</v>
      </c>
      <c r="G156" s="150">
        <v>41</v>
      </c>
      <c r="H156" s="160">
        <v>1947</v>
      </c>
    </row>
    <row r="157" spans="1:8" x14ac:dyDescent="0.25">
      <c r="A157" s="150" t="s">
        <v>228</v>
      </c>
      <c r="B157" s="150"/>
      <c r="C157" s="150">
        <v>12</v>
      </c>
      <c r="D157" s="160">
        <v>5219</v>
      </c>
      <c r="E157" s="150">
        <v>2</v>
      </c>
      <c r="F157" s="160">
        <v>1268</v>
      </c>
      <c r="G157" s="150">
        <v>141</v>
      </c>
      <c r="H157" s="160">
        <v>6642</v>
      </c>
    </row>
    <row r="158" spans="1:8" x14ac:dyDescent="0.25">
      <c r="A158" s="150" t="s">
        <v>229</v>
      </c>
      <c r="B158" s="150"/>
      <c r="C158" s="150">
        <v>10</v>
      </c>
      <c r="D158" s="160">
        <v>2637</v>
      </c>
      <c r="E158" s="150">
        <v>1</v>
      </c>
      <c r="F158" s="150">
        <v>471</v>
      </c>
      <c r="G158" s="150">
        <v>44</v>
      </c>
      <c r="H158" s="160">
        <v>3163</v>
      </c>
    </row>
    <row r="159" spans="1:8" ht="30" x14ac:dyDescent="0.25">
      <c r="A159" s="150" t="s">
        <v>230</v>
      </c>
      <c r="B159" s="150"/>
      <c r="C159" s="150">
        <v>3</v>
      </c>
      <c r="D159" s="160">
        <v>1624</v>
      </c>
      <c r="E159" s="150">
        <v>1</v>
      </c>
      <c r="F159" s="150">
        <v>260</v>
      </c>
      <c r="G159" s="150">
        <v>42</v>
      </c>
      <c r="H159" s="160">
        <v>1930</v>
      </c>
    </row>
    <row r="160" spans="1:8" x14ac:dyDescent="0.25">
      <c r="A160" s="150" t="s">
        <v>231</v>
      </c>
      <c r="B160" s="150"/>
      <c r="C160" s="150">
        <v>21</v>
      </c>
      <c r="D160" s="160">
        <v>4253</v>
      </c>
      <c r="E160" s="181">
        <v>0</v>
      </c>
      <c r="F160" s="150">
        <v>961</v>
      </c>
      <c r="G160" s="150">
        <v>102</v>
      </c>
      <c r="H160" s="160">
        <v>5337</v>
      </c>
    </row>
    <row r="161" spans="1:8" x14ac:dyDescent="0.25">
      <c r="A161" s="150" t="s">
        <v>232</v>
      </c>
      <c r="B161" s="150"/>
      <c r="C161" s="150">
        <v>11</v>
      </c>
      <c r="D161" s="160">
        <v>3154</v>
      </c>
      <c r="E161" s="181">
        <v>0</v>
      </c>
      <c r="F161" s="150">
        <v>585</v>
      </c>
      <c r="G161" s="150">
        <v>61</v>
      </c>
      <c r="H161" s="160">
        <v>3811</v>
      </c>
    </row>
    <row r="162" spans="1:8" x14ac:dyDescent="0.25">
      <c r="A162" s="150" t="s">
        <v>233</v>
      </c>
      <c r="B162" s="150"/>
      <c r="C162" s="150">
        <v>4</v>
      </c>
      <c r="D162" s="160">
        <v>1444</v>
      </c>
      <c r="E162" s="150">
        <v>1</v>
      </c>
      <c r="F162" s="150">
        <v>294</v>
      </c>
      <c r="G162" s="150">
        <v>41</v>
      </c>
      <c r="H162" s="160">
        <v>1784</v>
      </c>
    </row>
    <row r="163" spans="1:8" x14ac:dyDescent="0.25">
      <c r="A163" s="150" t="s">
        <v>234</v>
      </c>
      <c r="B163" s="150"/>
      <c r="C163" s="150">
        <v>3</v>
      </c>
      <c r="D163" s="160">
        <v>2042</v>
      </c>
      <c r="E163" s="150">
        <v>3</v>
      </c>
      <c r="F163" s="150">
        <v>443</v>
      </c>
      <c r="G163" s="150">
        <v>43</v>
      </c>
      <c r="H163" s="160">
        <v>2534</v>
      </c>
    </row>
    <row r="164" spans="1:8" x14ac:dyDescent="0.25">
      <c r="A164" s="150" t="s">
        <v>235</v>
      </c>
      <c r="B164" s="150"/>
      <c r="C164" s="150">
        <v>8</v>
      </c>
      <c r="D164" s="160">
        <v>2364</v>
      </c>
      <c r="E164" s="181">
        <v>0</v>
      </c>
      <c r="F164" s="150">
        <v>538</v>
      </c>
      <c r="G164" s="150">
        <v>42</v>
      </c>
      <c r="H164" s="160">
        <v>2952</v>
      </c>
    </row>
    <row r="165" spans="1:8" ht="30" x14ac:dyDescent="0.25">
      <c r="A165" s="150" t="s">
        <v>236</v>
      </c>
      <c r="B165" s="150"/>
      <c r="C165" s="150">
        <v>5</v>
      </c>
      <c r="D165" s="160">
        <v>1463</v>
      </c>
      <c r="E165" s="181">
        <v>0</v>
      </c>
      <c r="F165" s="150">
        <v>234</v>
      </c>
      <c r="G165" s="150">
        <v>33</v>
      </c>
      <c r="H165" s="160">
        <v>1735</v>
      </c>
    </row>
    <row r="166" spans="1:8" x14ac:dyDescent="0.25">
      <c r="A166" s="150" t="s">
        <v>237</v>
      </c>
      <c r="B166" s="150"/>
      <c r="C166" s="150">
        <v>4</v>
      </c>
      <c r="D166" s="160">
        <v>2223</v>
      </c>
      <c r="E166" s="150">
        <v>1</v>
      </c>
      <c r="F166" s="150">
        <v>473</v>
      </c>
      <c r="G166" s="150">
        <v>43</v>
      </c>
      <c r="H166" s="160">
        <v>2744</v>
      </c>
    </row>
    <row r="167" spans="1:8" x14ac:dyDescent="0.25">
      <c r="A167" s="150" t="s">
        <v>238</v>
      </c>
      <c r="B167" s="150"/>
      <c r="C167" s="150">
        <v>6</v>
      </c>
      <c r="D167" s="160">
        <v>2894</v>
      </c>
      <c r="E167" s="150">
        <v>2</v>
      </c>
      <c r="F167" s="150">
        <v>414</v>
      </c>
      <c r="G167" s="150">
        <v>47</v>
      </c>
      <c r="H167" s="160">
        <v>3363</v>
      </c>
    </row>
    <row r="168" spans="1:8" ht="30" x14ac:dyDescent="0.25">
      <c r="A168" s="150" t="s">
        <v>239</v>
      </c>
      <c r="B168" s="150"/>
      <c r="C168" s="150">
        <v>8</v>
      </c>
      <c r="D168" s="160">
        <v>3969</v>
      </c>
      <c r="E168" s="150">
        <v>3</v>
      </c>
      <c r="F168" s="150">
        <v>747</v>
      </c>
      <c r="G168" s="150">
        <v>66</v>
      </c>
      <c r="H168" s="160">
        <v>4793</v>
      </c>
    </row>
    <row r="169" spans="1:8" x14ac:dyDescent="0.25">
      <c r="A169" s="150" t="s">
        <v>240</v>
      </c>
      <c r="B169" s="150"/>
      <c r="C169" s="150">
        <v>9</v>
      </c>
      <c r="D169" s="160">
        <v>3233</v>
      </c>
      <c r="E169" s="150">
        <v>1</v>
      </c>
      <c r="F169" s="150">
        <v>612</v>
      </c>
      <c r="G169" s="150">
        <v>97</v>
      </c>
      <c r="H169" s="160">
        <v>3952</v>
      </c>
    </row>
    <row r="170" spans="1:8" x14ac:dyDescent="0.25">
      <c r="A170" s="150" t="s">
        <v>241</v>
      </c>
      <c r="B170" s="150"/>
      <c r="C170" s="150">
        <v>5</v>
      </c>
      <c r="D170" s="160">
        <v>1619</v>
      </c>
      <c r="E170" s="181">
        <v>0</v>
      </c>
      <c r="F170" s="150">
        <v>324</v>
      </c>
      <c r="G170" s="150">
        <v>30</v>
      </c>
      <c r="H170" s="160">
        <v>1978</v>
      </c>
    </row>
    <row r="171" spans="1:8" ht="30" x14ac:dyDescent="0.25">
      <c r="A171" s="150" t="s">
        <v>242</v>
      </c>
      <c r="B171" s="150"/>
      <c r="C171" s="150">
        <v>2</v>
      </c>
      <c r="D171" s="150">
        <v>909</v>
      </c>
      <c r="E171" s="150">
        <v>1</v>
      </c>
      <c r="F171" s="150">
        <v>193</v>
      </c>
      <c r="G171" s="150">
        <v>17</v>
      </c>
      <c r="H171" s="160">
        <v>1122</v>
      </c>
    </row>
    <row r="172" spans="1:8" ht="30" x14ac:dyDescent="0.25">
      <c r="A172" s="150" t="s">
        <v>243</v>
      </c>
      <c r="B172" s="150"/>
      <c r="C172" s="150">
        <v>8</v>
      </c>
      <c r="D172" s="160">
        <v>2491</v>
      </c>
      <c r="E172" s="150">
        <v>1</v>
      </c>
      <c r="F172" s="150">
        <v>455</v>
      </c>
      <c r="G172" s="150">
        <v>63</v>
      </c>
      <c r="H172" s="160">
        <v>3018</v>
      </c>
    </row>
    <row r="173" spans="1:8" x14ac:dyDescent="0.25">
      <c r="A173" s="150" t="s">
        <v>244</v>
      </c>
      <c r="B173" s="150"/>
      <c r="C173" s="150">
        <v>117</v>
      </c>
      <c r="D173" s="160">
        <v>38092</v>
      </c>
      <c r="E173" s="150">
        <v>35</v>
      </c>
      <c r="F173" s="160">
        <v>8952</v>
      </c>
      <c r="G173" s="150">
        <v>957</v>
      </c>
      <c r="H173" s="160">
        <v>48153</v>
      </c>
    </row>
    <row r="174" spans="1:8" x14ac:dyDescent="0.25">
      <c r="A174" s="150" t="s">
        <v>245</v>
      </c>
      <c r="B174" s="150"/>
      <c r="C174" s="150">
        <v>21</v>
      </c>
      <c r="D174" s="160">
        <v>10380</v>
      </c>
      <c r="E174" s="150">
        <v>9</v>
      </c>
      <c r="F174" s="160">
        <v>2209</v>
      </c>
      <c r="G174" s="150">
        <v>211</v>
      </c>
      <c r="H174" s="160">
        <v>12830</v>
      </c>
    </row>
    <row r="175" spans="1:8" x14ac:dyDescent="0.25">
      <c r="A175" s="150" t="s">
        <v>246</v>
      </c>
      <c r="B175" s="150"/>
      <c r="C175" s="150">
        <v>8</v>
      </c>
      <c r="D175" s="160">
        <v>3845</v>
      </c>
      <c r="E175" s="150">
        <v>2</v>
      </c>
      <c r="F175" s="150">
        <v>841</v>
      </c>
      <c r="G175" s="150">
        <v>90</v>
      </c>
      <c r="H175" s="160">
        <v>4786</v>
      </c>
    </row>
    <row r="176" spans="1:8" ht="30" x14ac:dyDescent="0.25">
      <c r="A176" s="150" t="s">
        <v>247</v>
      </c>
      <c r="B176" s="150"/>
      <c r="C176" s="150">
        <v>30</v>
      </c>
      <c r="D176" s="160">
        <v>12944</v>
      </c>
      <c r="E176" s="150">
        <v>1</v>
      </c>
      <c r="F176" s="160">
        <v>2516</v>
      </c>
      <c r="G176" s="150">
        <v>277</v>
      </c>
      <c r="H176" s="160">
        <v>15768</v>
      </c>
    </row>
    <row r="177" spans="1:8" ht="30" x14ac:dyDescent="0.25">
      <c r="A177" s="150" t="s">
        <v>248</v>
      </c>
      <c r="B177" s="150"/>
      <c r="C177" s="150">
        <v>21</v>
      </c>
      <c r="D177" s="160">
        <v>9778</v>
      </c>
      <c r="E177" s="150">
        <v>2</v>
      </c>
      <c r="F177" s="160">
        <v>1826</v>
      </c>
      <c r="G177" s="150">
        <v>230</v>
      </c>
      <c r="H177" s="160">
        <v>11857</v>
      </c>
    </row>
    <row r="178" spans="1:8" ht="30" x14ac:dyDescent="0.25">
      <c r="A178" s="150" t="s">
        <v>249</v>
      </c>
      <c r="B178" s="150"/>
      <c r="C178" s="150">
        <v>11</v>
      </c>
      <c r="D178" s="160">
        <v>7565</v>
      </c>
      <c r="E178" s="150">
        <v>5</v>
      </c>
      <c r="F178" s="160">
        <v>1496</v>
      </c>
      <c r="G178" s="150">
        <v>160</v>
      </c>
      <c r="H178" s="160">
        <v>9237</v>
      </c>
    </row>
    <row r="179" spans="1:8" x14ac:dyDescent="0.25">
      <c r="A179" s="150"/>
      <c r="H179" s="157"/>
    </row>
    <row r="180" spans="1:8" x14ac:dyDescent="0.25">
      <c r="A180" s="150" t="s">
        <v>35</v>
      </c>
      <c r="B180" s="150"/>
      <c r="C180" s="151">
        <f>SUM(C146:C179)</f>
        <v>404</v>
      </c>
      <c r="D180" s="151">
        <f t="shared" ref="D180:H180" si="3">SUM(D146:D179)</f>
        <v>157393</v>
      </c>
      <c r="E180" s="151">
        <f t="shared" si="3"/>
        <v>81</v>
      </c>
      <c r="F180" s="151">
        <f t="shared" si="3"/>
        <v>32570</v>
      </c>
      <c r="G180" s="151">
        <f t="shared" si="3"/>
        <v>3569</v>
      </c>
      <c r="H180" s="151">
        <f t="shared" si="3"/>
        <v>194017</v>
      </c>
    </row>
    <row r="181" spans="1:8" x14ac:dyDescent="0.25">
      <c r="A181" s="150"/>
      <c r="B181" s="150"/>
      <c r="C181" s="150"/>
      <c r="D181" s="150"/>
      <c r="E181" s="161"/>
      <c r="F181" s="161"/>
      <c r="G181" s="161"/>
      <c r="H181" s="158"/>
    </row>
    <row r="185" spans="1:8" ht="45" x14ac:dyDescent="0.25">
      <c r="A185" s="150" t="s">
        <v>513</v>
      </c>
      <c r="B185" s="150" t="s">
        <v>514</v>
      </c>
      <c r="C185" s="150">
        <v>7</v>
      </c>
      <c r="D185" s="168"/>
      <c r="E185" s="168"/>
      <c r="F185" s="169"/>
    </row>
    <row r="186" spans="1:8" x14ac:dyDescent="0.25">
      <c r="A186" s="150"/>
      <c r="B186" s="150"/>
      <c r="C186" s="150"/>
      <c r="D186" s="150"/>
      <c r="F186" s="157"/>
    </row>
    <row r="187" spans="1:8" ht="30" x14ac:dyDescent="0.25">
      <c r="A187" s="150"/>
      <c r="B187" s="150"/>
      <c r="C187" s="150" t="s">
        <v>512</v>
      </c>
      <c r="D187" s="150"/>
      <c r="F187" s="157"/>
    </row>
    <row r="188" spans="1:8" x14ac:dyDescent="0.25">
      <c r="A188" s="150" t="s">
        <v>137</v>
      </c>
      <c r="B188" s="150" t="s">
        <v>491</v>
      </c>
      <c r="C188" s="150" t="s">
        <v>492</v>
      </c>
      <c r="D188" s="150" t="s">
        <v>493</v>
      </c>
      <c r="E188" s="150" t="s">
        <v>494</v>
      </c>
      <c r="F188" s="150" t="s">
        <v>495</v>
      </c>
      <c r="G188" s="150" t="s">
        <v>35</v>
      </c>
    </row>
    <row r="189" spans="1:8" x14ac:dyDescent="0.25">
      <c r="A189" s="150"/>
      <c r="B189" s="150"/>
      <c r="C189" s="150"/>
      <c r="D189" s="150"/>
      <c r="E189" s="172"/>
      <c r="G189" s="157"/>
    </row>
    <row r="190" spans="1:8" ht="30" x14ac:dyDescent="0.25">
      <c r="A190" s="150" t="s">
        <v>250</v>
      </c>
      <c r="B190" s="150">
        <v>27</v>
      </c>
      <c r="C190" s="160">
        <v>9982</v>
      </c>
      <c r="D190" s="150">
        <v>12</v>
      </c>
      <c r="E190" s="160">
        <v>1856</v>
      </c>
      <c r="F190" s="150">
        <v>174</v>
      </c>
      <c r="G190" s="160">
        <v>12051</v>
      </c>
    </row>
    <row r="191" spans="1:8" x14ac:dyDescent="0.25">
      <c r="A191" s="150" t="s">
        <v>251</v>
      </c>
      <c r="B191" s="150">
        <v>5</v>
      </c>
      <c r="C191" s="160">
        <v>1892</v>
      </c>
      <c r="D191">
        <v>0</v>
      </c>
      <c r="E191" s="150">
        <v>397</v>
      </c>
      <c r="F191" s="150">
        <v>50</v>
      </c>
      <c r="G191" s="160">
        <v>2344</v>
      </c>
    </row>
    <row r="192" spans="1:8" x14ac:dyDescent="0.25">
      <c r="A192" s="150" t="s">
        <v>252</v>
      </c>
      <c r="B192" s="150">
        <v>8</v>
      </c>
      <c r="C192" s="160">
        <v>3773</v>
      </c>
      <c r="D192" s="150">
        <v>1</v>
      </c>
      <c r="E192" s="150">
        <v>786</v>
      </c>
      <c r="F192" s="150">
        <v>83</v>
      </c>
      <c r="G192" s="160">
        <v>4651</v>
      </c>
    </row>
    <row r="193" spans="1:7" ht="30" x14ac:dyDescent="0.25">
      <c r="A193" s="150" t="s">
        <v>253</v>
      </c>
      <c r="B193" s="150">
        <v>33</v>
      </c>
      <c r="C193" s="160">
        <v>8007</v>
      </c>
      <c r="D193" s="150">
        <v>3</v>
      </c>
      <c r="E193" s="160">
        <v>1747</v>
      </c>
      <c r="F193" s="150">
        <v>172</v>
      </c>
      <c r="G193" s="160">
        <v>9962</v>
      </c>
    </row>
    <row r="194" spans="1:7" x14ac:dyDescent="0.25">
      <c r="A194" s="150" t="s">
        <v>254</v>
      </c>
      <c r="B194" s="150">
        <v>8</v>
      </c>
      <c r="C194" s="160">
        <v>2551</v>
      </c>
      <c r="D194" s="181">
        <v>0</v>
      </c>
      <c r="E194" s="150">
        <v>610</v>
      </c>
      <c r="F194" s="150">
        <v>32</v>
      </c>
      <c r="G194" s="160">
        <v>3201</v>
      </c>
    </row>
    <row r="195" spans="1:7" x14ac:dyDescent="0.25">
      <c r="A195" s="150" t="s">
        <v>255</v>
      </c>
      <c r="B195" s="150">
        <v>47</v>
      </c>
      <c r="C195" s="160">
        <v>25031</v>
      </c>
      <c r="D195" s="150">
        <v>16</v>
      </c>
      <c r="E195" s="160">
        <v>3837</v>
      </c>
      <c r="F195" s="150">
        <v>537</v>
      </c>
      <c r="G195" s="160">
        <v>29468</v>
      </c>
    </row>
    <row r="196" spans="1:7" ht="30" x14ac:dyDescent="0.25">
      <c r="A196" s="150" t="s">
        <v>256</v>
      </c>
      <c r="B196" s="150">
        <v>2</v>
      </c>
      <c r="C196" s="150">
        <v>706</v>
      </c>
      <c r="D196" s="181">
        <v>0</v>
      </c>
      <c r="E196" s="150">
        <v>180</v>
      </c>
      <c r="F196" s="150">
        <v>11</v>
      </c>
      <c r="G196" s="150">
        <v>899</v>
      </c>
    </row>
    <row r="197" spans="1:7" x14ac:dyDescent="0.25">
      <c r="A197" s="150" t="s">
        <v>506</v>
      </c>
      <c r="B197" s="150">
        <v>5</v>
      </c>
      <c r="C197" s="160">
        <v>2353</v>
      </c>
      <c r="D197" s="181">
        <v>0</v>
      </c>
      <c r="E197" s="150">
        <v>435</v>
      </c>
      <c r="F197" s="150">
        <v>28</v>
      </c>
      <c r="G197" s="160">
        <v>2821</v>
      </c>
    </row>
    <row r="198" spans="1:7" x14ac:dyDescent="0.25">
      <c r="A198" s="150" t="s">
        <v>257</v>
      </c>
      <c r="B198" s="150">
        <v>3</v>
      </c>
      <c r="C198" s="160">
        <v>1378</v>
      </c>
      <c r="D198" s="150">
        <v>1</v>
      </c>
      <c r="E198" s="150">
        <v>199</v>
      </c>
      <c r="F198" s="150">
        <v>26</v>
      </c>
      <c r="G198" s="160">
        <v>1607</v>
      </c>
    </row>
    <row r="199" spans="1:7" x14ac:dyDescent="0.25">
      <c r="A199" s="150" t="s">
        <v>258</v>
      </c>
      <c r="B199" s="150">
        <v>46</v>
      </c>
      <c r="C199" s="160">
        <v>17260</v>
      </c>
      <c r="D199" s="150">
        <v>10</v>
      </c>
      <c r="E199" s="160">
        <v>3215</v>
      </c>
      <c r="F199" s="150">
        <v>325</v>
      </c>
      <c r="G199" s="160">
        <v>20856</v>
      </c>
    </row>
    <row r="200" spans="1:7" x14ac:dyDescent="0.25">
      <c r="A200" s="150" t="s">
        <v>259</v>
      </c>
      <c r="B200" s="150">
        <v>9</v>
      </c>
      <c r="C200" s="160">
        <v>5818</v>
      </c>
      <c r="D200" s="181">
        <v>0</v>
      </c>
      <c r="E200" s="160">
        <v>1235</v>
      </c>
      <c r="F200" s="150">
        <v>146</v>
      </c>
      <c r="G200" s="160">
        <v>7208</v>
      </c>
    </row>
    <row r="201" spans="1:7" x14ac:dyDescent="0.25">
      <c r="A201" s="150" t="s">
        <v>260</v>
      </c>
      <c r="B201" s="150">
        <v>6</v>
      </c>
      <c r="C201" s="160">
        <v>5115</v>
      </c>
      <c r="D201" s="150">
        <v>2</v>
      </c>
      <c r="E201" s="160">
        <v>1016</v>
      </c>
      <c r="F201" s="150">
        <v>159</v>
      </c>
      <c r="G201" s="160">
        <v>6298</v>
      </c>
    </row>
    <row r="202" spans="1:7" x14ac:dyDescent="0.25">
      <c r="A202" s="150" t="s">
        <v>261</v>
      </c>
      <c r="B202" s="150">
        <v>18</v>
      </c>
      <c r="C202" s="160">
        <v>7962</v>
      </c>
      <c r="D202" s="150">
        <v>7</v>
      </c>
      <c r="E202" s="160">
        <v>1147</v>
      </c>
      <c r="F202" s="150">
        <v>157</v>
      </c>
      <c r="G202" s="160">
        <v>9291</v>
      </c>
    </row>
    <row r="203" spans="1:7" x14ac:dyDescent="0.25">
      <c r="A203" s="150" t="s">
        <v>262</v>
      </c>
      <c r="B203" s="150">
        <v>29</v>
      </c>
      <c r="C203" s="160">
        <v>8694</v>
      </c>
      <c r="D203" s="150">
        <v>8</v>
      </c>
      <c r="E203" s="160">
        <v>1726</v>
      </c>
      <c r="F203" s="150">
        <v>175</v>
      </c>
      <c r="G203" s="160">
        <v>10632</v>
      </c>
    </row>
    <row r="204" spans="1:7" x14ac:dyDescent="0.25">
      <c r="A204" s="150" t="s">
        <v>263</v>
      </c>
      <c r="B204" s="150">
        <v>0</v>
      </c>
      <c r="C204" s="160">
        <v>1678</v>
      </c>
      <c r="D204" s="181">
        <v>0</v>
      </c>
      <c r="E204" s="150">
        <v>292</v>
      </c>
      <c r="F204" s="150">
        <v>38</v>
      </c>
      <c r="G204" s="160">
        <v>2008</v>
      </c>
    </row>
    <row r="205" spans="1:7" x14ac:dyDescent="0.25">
      <c r="A205" s="150" t="s">
        <v>264</v>
      </c>
      <c r="B205" s="150">
        <v>7</v>
      </c>
      <c r="C205" s="160">
        <v>1433</v>
      </c>
      <c r="D205" s="181">
        <v>0</v>
      </c>
      <c r="E205" s="150">
        <v>320</v>
      </c>
      <c r="F205" s="150">
        <v>35</v>
      </c>
      <c r="G205" s="160">
        <v>1795</v>
      </c>
    </row>
    <row r="206" spans="1:7" x14ac:dyDescent="0.25">
      <c r="A206" s="150" t="s">
        <v>265</v>
      </c>
      <c r="B206" s="150">
        <v>4</v>
      </c>
      <c r="C206" s="160">
        <v>1631</v>
      </c>
      <c r="D206" s="181">
        <v>0</v>
      </c>
      <c r="E206" s="150">
        <v>224</v>
      </c>
      <c r="F206" s="150">
        <v>34</v>
      </c>
      <c r="G206" s="160">
        <v>1893</v>
      </c>
    </row>
    <row r="207" spans="1:7" x14ac:dyDescent="0.25">
      <c r="A207" s="150" t="s">
        <v>266</v>
      </c>
      <c r="B207" s="150">
        <v>2</v>
      </c>
      <c r="C207" s="160">
        <v>1880</v>
      </c>
      <c r="D207" s="181">
        <v>0</v>
      </c>
      <c r="E207" s="150">
        <v>248</v>
      </c>
      <c r="F207" s="150">
        <v>31</v>
      </c>
      <c r="G207" s="160">
        <v>2161</v>
      </c>
    </row>
    <row r="208" spans="1:7" x14ac:dyDescent="0.25">
      <c r="A208" s="150" t="s">
        <v>267</v>
      </c>
      <c r="B208" s="150">
        <v>7</v>
      </c>
      <c r="C208" s="160">
        <v>4002</v>
      </c>
      <c r="D208" s="150">
        <v>2</v>
      </c>
      <c r="E208" s="150">
        <v>872</v>
      </c>
      <c r="F208" s="150">
        <v>73</v>
      </c>
      <c r="G208" s="160">
        <v>4956</v>
      </c>
    </row>
    <row r="209" spans="1:7" x14ac:dyDescent="0.25">
      <c r="A209" s="150" t="s">
        <v>268</v>
      </c>
      <c r="B209" s="150">
        <v>2</v>
      </c>
      <c r="C209" s="160">
        <v>2570</v>
      </c>
      <c r="D209" s="181">
        <v>0</v>
      </c>
      <c r="E209" s="150">
        <v>522</v>
      </c>
      <c r="F209" s="150">
        <v>55</v>
      </c>
      <c r="G209" s="160">
        <v>3149</v>
      </c>
    </row>
    <row r="210" spans="1:7" x14ac:dyDescent="0.25">
      <c r="A210" s="150" t="s">
        <v>269</v>
      </c>
      <c r="B210" s="150">
        <v>2</v>
      </c>
      <c r="C210" s="160">
        <v>2439</v>
      </c>
      <c r="D210" s="181">
        <v>0</v>
      </c>
      <c r="E210" s="150">
        <v>350</v>
      </c>
      <c r="F210" s="150">
        <v>56</v>
      </c>
      <c r="G210" s="160">
        <v>2847</v>
      </c>
    </row>
    <row r="211" spans="1:7" ht="30" x14ac:dyDescent="0.25">
      <c r="A211" s="150" t="s">
        <v>270</v>
      </c>
      <c r="B211" s="150">
        <v>8</v>
      </c>
      <c r="C211" s="160">
        <v>3367</v>
      </c>
      <c r="D211" s="150">
        <v>3</v>
      </c>
      <c r="E211" s="150">
        <v>458</v>
      </c>
      <c r="F211" s="150">
        <v>71</v>
      </c>
      <c r="G211" s="160">
        <v>3907</v>
      </c>
    </row>
    <row r="212" spans="1:7" ht="30" x14ac:dyDescent="0.25">
      <c r="A212" s="150" t="s">
        <v>271</v>
      </c>
      <c r="B212" s="150">
        <v>19</v>
      </c>
      <c r="C212" s="160">
        <v>7507</v>
      </c>
      <c r="D212" s="150">
        <v>2</v>
      </c>
      <c r="E212" s="160">
        <v>1281</v>
      </c>
      <c r="F212" s="150">
        <v>139</v>
      </c>
      <c r="G212" s="160">
        <v>8948</v>
      </c>
    </row>
    <row r="213" spans="1:7" x14ac:dyDescent="0.25">
      <c r="A213" s="150" t="s">
        <v>272</v>
      </c>
      <c r="B213" s="150">
        <v>32</v>
      </c>
      <c r="C213" s="160">
        <v>8613</v>
      </c>
      <c r="D213" s="150">
        <v>2</v>
      </c>
      <c r="E213" s="160">
        <v>1325</v>
      </c>
      <c r="F213" s="150">
        <v>147</v>
      </c>
      <c r="G213" s="160">
        <v>10119</v>
      </c>
    </row>
    <row r="214" spans="1:7" ht="30" x14ac:dyDescent="0.25">
      <c r="A214" s="150" t="s">
        <v>273</v>
      </c>
      <c r="B214" s="150">
        <v>2</v>
      </c>
      <c r="C214" s="160">
        <v>1608</v>
      </c>
      <c r="E214" s="150">
        <v>390</v>
      </c>
      <c r="F214" s="150">
        <v>30</v>
      </c>
      <c r="G214" s="160">
        <v>2030</v>
      </c>
    </row>
    <row r="215" spans="1:7" x14ac:dyDescent="0.25">
      <c r="A215" s="150" t="s">
        <v>274</v>
      </c>
      <c r="B215" s="150">
        <v>105</v>
      </c>
      <c r="C215" s="160">
        <v>39306</v>
      </c>
      <c r="D215" s="150">
        <v>26</v>
      </c>
      <c r="E215" s="160">
        <v>7612</v>
      </c>
      <c r="F215" s="150">
        <v>865</v>
      </c>
      <c r="G215" s="160">
        <v>47914</v>
      </c>
    </row>
    <row r="216" spans="1:7" x14ac:dyDescent="0.25">
      <c r="A216" s="150" t="s">
        <v>275</v>
      </c>
      <c r="B216" s="150">
        <v>14</v>
      </c>
      <c r="C216" s="160">
        <v>5362</v>
      </c>
      <c r="D216" s="150">
        <v>3</v>
      </c>
      <c r="E216" s="150">
        <v>834</v>
      </c>
      <c r="F216" s="150">
        <v>136</v>
      </c>
      <c r="G216" s="160">
        <v>6349</v>
      </c>
    </row>
    <row r="217" spans="1:7" ht="30" x14ac:dyDescent="0.25">
      <c r="A217" s="150" t="s">
        <v>276</v>
      </c>
      <c r="B217" s="150">
        <v>1</v>
      </c>
      <c r="C217" s="150">
        <v>864</v>
      </c>
      <c r="D217" s="150">
        <v>1</v>
      </c>
      <c r="E217" s="150">
        <v>135</v>
      </c>
      <c r="F217" s="150">
        <v>24</v>
      </c>
      <c r="G217" s="160">
        <v>1025</v>
      </c>
    </row>
    <row r="218" spans="1:7" ht="30" x14ac:dyDescent="0.25">
      <c r="A218" s="150" t="s">
        <v>277</v>
      </c>
      <c r="B218" s="150">
        <v>8</v>
      </c>
      <c r="C218" s="160">
        <v>3230</v>
      </c>
      <c r="D218" s="150">
        <v>1</v>
      </c>
      <c r="E218" s="150">
        <v>631</v>
      </c>
      <c r="F218" s="150">
        <v>64</v>
      </c>
      <c r="G218" s="160">
        <v>3934</v>
      </c>
    </row>
    <row r="219" spans="1:7" ht="30" x14ac:dyDescent="0.25">
      <c r="A219" s="150" t="s">
        <v>278</v>
      </c>
      <c r="B219" s="150">
        <v>5</v>
      </c>
      <c r="C219" s="160">
        <v>3240</v>
      </c>
      <c r="D219" s="150">
        <v>1</v>
      </c>
      <c r="E219" s="150">
        <v>558</v>
      </c>
      <c r="F219" s="150">
        <v>77</v>
      </c>
      <c r="G219" s="160">
        <v>3881</v>
      </c>
    </row>
    <row r="220" spans="1:7" x14ac:dyDescent="0.25">
      <c r="A220" s="150" t="s">
        <v>35</v>
      </c>
      <c r="B220" s="151">
        <f>SUM(B190:B219)</f>
        <v>464</v>
      </c>
      <c r="C220" s="151">
        <f t="shared" ref="C220:G220" si="4">SUM(C190:C219)</f>
        <v>189252</v>
      </c>
      <c r="D220" s="151">
        <f t="shared" si="4"/>
        <v>101</v>
      </c>
      <c r="E220" s="151">
        <f t="shared" si="4"/>
        <v>34438</v>
      </c>
      <c r="F220" s="151">
        <f t="shared" si="4"/>
        <v>3950</v>
      </c>
      <c r="G220" s="151">
        <f t="shared" si="4"/>
        <v>228205</v>
      </c>
    </row>
    <row r="221" spans="1:7" x14ac:dyDescent="0.25">
      <c r="A221" s="150"/>
      <c r="B221" s="150"/>
      <c r="C221" s="150"/>
      <c r="D221" s="150"/>
      <c r="E221" s="184"/>
      <c r="F221" s="161"/>
      <c r="G221" s="158"/>
    </row>
    <row r="225" spans="1:8" ht="45" x14ac:dyDescent="0.25">
      <c r="A225" s="150" t="s">
        <v>279</v>
      </c>
      <c r="B225" s="168"/>
      <c r="C225" s="168"/>
      <c r="D225" s="168"/>
      <c r="E225" s="169"/>
    </row>
    <row r="226" spans="1:8" x14ac:dyDescent="0.25">
      <c r="A226" s="150"/>
      <c r="B226" s="150"/>
      <c r="C226" s="150"/>
      <c r="E226" s="157"/>
    </row>
    <row r="227" spans="1:8" x14ac:dyDescent="0.25">
      <c r="A227" s="150"/>
      <c r="B227" s="150"/>
      <c r="C227" s="150"/>
      <c r="D227" s="168"/>
      <c r="E227" s="168"/>
      <c r="F227" s="168"/>
      <c r="G227" s="169"/>
    </row>
    <row r="228" spans="1:8" ht="30" x14ac:dyDescent="0.25">
      <c r="A228" s="150"/>
      <c r="B228" s="150"/>
      <c r="C228" s="150" t="s">
        <v>512</v>
      </c>
      <c r="D228" s="150"/>
      <c r="G228" s="157"/>
    </row>
    <row r="229" spans="1:8" x14ac:dyDescent="0.25">
      <c r="A229" s="150" t="s">
        <v>137</v>
      </c>
      <c r="B229" s="150" t="s">
        <v>491</v>
      </c>
      <c r="C229" s="150" t="s">
        <v>492</v>
      </c>
      <c r="D229" s="150" t="s">
        <v>493</v>
      </c>
      <c r="E229" s="150" t="s">
        <v>494</v>
      </c>
      <c r="F229" s="150" t="s">
        <v>495</v>
      </c>
      <c r="G229" s="150" t="s">
        <v>35</v>
      </c>
      <c r="H229" s="157"/>
    </row>
    <row r="230" spans="1:8" x14ac:dyDescent="0.25">
      <c r="A230" s="150"/>
      <c r="B230" s="150"/>
      <c r="C230" s="150"/>
      <c r="H230" s="157"/>
    </row>
    <row r="231" spans="1:8" ht="30" x14ac:dyDescent="0.25">
      <c r="A231" s="150" t="s">
        <v>280</v>
      </c>
      <c r="B231" s="150">
        <v>4</v>
      </c>
      <c r="C231" s="150">
        <v>815</v>
      </c>
      <c r="D231" s="150">
        <v>0</v>
      </c>
      <c r="E231" s="150">
        <v>128</v>
      </c>
      <c r="F231" s="150">
        <v>23</v>
      </c>
      <c r="G231" s="150">
        <v>970</v>
      </c>
      <c r="H231" s="157"/>
    </row>
    <row r="232" spans="1:8" x14ac:dyDescent="0.25">
      <c r="A232" s="150" t="s">
        <v>281</v>
      </c>
      <c r="B232" s="150">
        <v>4</v>
      </c>
      <c r="C232" s="150">
        <v>863</v>
      </c>
      <c r="D232" s="150">
        <v>0</v>
      </c>
      <c r="E232" s="150">
        <v>151</v>
      </c>
      <c r="F232" s="150">
        <v>9</v>
      </c>
      <c r="G232" s="160">
        <v>1027</v>
      </c>
      <c r="H232" s="157"/>
    </row>
    <row r="233" spans="1:8" x14ac:dyDescent="0.25">
      <c r="A233" s="150" t="s">
        <v>282</v>
      </c>
      <c r="B233" s="150">
        <v>16</v>
      </c>
      <c r="C233" s="160">
        <v>5959</v>
      </c>
      <c r="D233" s="150">
        <v>3</v>
      </c>
      <c r="E233" s="160">
        <v>1709</v>
      </c>
      <c r="F233" s="150">
        <v>121</v>
      </c>
      <c r="G233" s="160">
        <v>7808</v>
      </c>
      <c r="H233" s="157"/>
    </row>
    <row r="234" spans="1:8" x14ac:dyDescent="0.25">
      <c r="A234" s="150" t="s">
        <v>283</v>
      </c>
      <c r="B234" s="150">
        <v>18</v>
      </c>
      <c r="C234" s="160">
        <v>5555</v>
      </c>
      <c r="D234" s="150">
        <v>3</v>
      </c>
      <c r="E234" s="160">
        <v>1081</v>
      </c>
      <c r="F234" s="150">
        <v>116</v>
      </c>
      <c r="G234" s="160">
        <v>6773</v>
      </c>
      <c r="H234" s="157"/>
    </row>
    <row r="235" spans="1:8" x14ac:dyDescent="0.25">
      <c r="A235" s="150" t="s">
        <v>507</v>
      </c>
      <c r="B235" s="150">
        <v>11</v>
      </c>
      <c r="C235" s="160">
        <v>6031</v>
      </c>
      <c r="D235" s="182">
        <v>0</v>
      </c>
      <c r="E235" s="160">
        <v>1432</v>
      </c>
      <c r="F235" s="150">
        <v>117</v>
      </c>
      <c r="G235" s="160">
        <v>7591</v>
      </c>
      <c r="H235" s="157"/>
    </row>
    <row r="236" spans="1:8" ht="30" x14ac:dyDescent="0.25">
      <c r="A236" s="150" t="s">
        <v>284</v>
      </c>
      <c r="B236" s="150">
        <v>44</v>
      </c>
      <c r="C236" s="160">
        <v>13344</v>
      </c>
      <c r="D236" s="150">
        <v>12</v>
      </c>
      <c r="E236" s="160">
        <v>2946</v>
      </c>
      <c r="F236" s="150">
        <v>274</v>
      </c>
      <c r="G236" s="160">
        <v>16620</v>
      </c>
      <c r="H236" s="157"/>
    </row>
    <row r="237" spans="1:8" ht="30" x14ac:dyDescent="0.25">
      <c r="A237" s="150" t="s">
        <v>285</v>
      </c>
      <c r="B237" s="150">
        <v>113</v>
      </c>
      <c r="C237" s="160">
        <v>35778</v>
      </c>
      <c r="D237" s="150">
        <v>37</v>
      </c>
      <c r="E237" s="160">
        <v>8576</v>
      </c>
      <c r="F237" s="150">
        <v>804</v>
      </c>
      <c r="G237" s="160">
        <v>45308</v>
      </c>
      <c r="H237" s="157"/>
    </row>
    <row r="238" spans="1:8" x14ac:dyDescent="0.25">
      <c r="A238" s="150" t="s">
        <v>286</v>
      </c>
      <c r="B238" s="150">
        <v>3</v>
      </c>
      <c r="C238" s="160">
        <v>1171</v>
      </c>
      <c r="D238" s="150">
        <v>1</v>
      </c>
      <c r="E238" s="150">
        <v>424</v>
      </c>
      <c r="F238" s="150">
        <v>50</v>
      </c>
      <c r="G238" s="160">
        <v>1649</v>
      </c>
      <c r="H238" s="157"/>
    </row>
    <row r="239" spans="1:8" x14ac:dyDescent="0.25">
      <c r="A239" s="150" t="s">
        <v>287</v>
      </c>
      <c r="B239" s="150">
        <v>45</v>
      </c>
      <c r="C239" s="160">
        <v>18189</v>
      </c>
      <c r="D239" s="150">
        <v>11</v>
      </c>
      <c r="E239" s="160">
        <v>4342</v>
      </c>
      <c r="F239" s="150">
        <v>373</v>
      </c>
      <c r="G239" s="160">
        <v>22960</v>
      </c>
      <c r="H239" s="157"/>
    </row>
    <row r="240" spans="1:8" ht="30" x14ac:dyDescent="0.25">
      <c r="A240" s="150" t="s">
        <v>288</v>
      </c>
      <c r="B240" s="150">
        <v>22</v>
      </c>
      <c r="C240" s="160">
        <v>5903</v>
      </c>
      <c r="D240" s="150">
        <v>2</v>
      </c>
      <c r="E240" s="160">
        <v>1890</v>
      </c>
      <c r="F240" s="150">
        <v>107</v>
      </c>
      <c r="G240" s="160">
        <v>7924</v>
      </c>
      <c r="H240" s="157"/>
    </row>
    <row r="241" spans="1:9" x14ac:dyDescent="0.25">
      <c r="A241" s="150" t="s">
        <v>289</v>
      </c>
      <c r="B241" s="150">
        <v>2</v>
      </c>
      <c r="C241" s="160">
        <v>2299</v>
      </c>
      <c r="D241" s="160">
        <v>0</v>
      </c>
      <c r="E241" s="150">
        <v>393</v>
      </c>
      <c r="F241" s="150">
        <v>45</v>
      </c>
      <c r="G241" s="160">
        <v>2739</v>
      </c>
      <c r="I241" s="157"/>
    </row>
    <row r="242" spans="1:9" x14ac:dyDescent="0.25">
      <c r="A242" s="150" t="s">
        <v>290</v>
      </c>
      <c r="B242" s="150">
        <v>44</v>
      </c>
      <c r="C242" s="160">
        <v>15216</v>
      </c>
      <c r="D242" s="150">
        <v>11</v>
      </c>
      <c r="E242" s="160">
        <v>3105</v>
      </c>
      <c r="F242" s="150">
        <v>292</v>
      </c>
      <c r="G242" s="160">
        <v>18668</v>
      </c>
      <c r="H242" s="157"/>
    </row>
    <row r="243" spans="1:9" x14ac:dyDescent="0.25">
      <c r="A243" s="150" t="s">
        <v>291</v>
      </c>
      <c r="B243" s="150">
        <v>10</v>
      </c>
      <c r="C243" s="160">
        <v>3863</v>
      </c>
      <c r="D243" s="150">
        <v>3</v>
      </c>
      <c r="E243" s="150">
        <v>829</v>
      </c>
      <c r="F243" s="150">
        <v>90</v>
      </c>
      <c r="G243" s="160">
        <v>4795</v>
      </c>
      <c r="H243" s="157"/>
    </row>
    <row r="244" spans="1:9" x14ac:dyDescent="0.25">
      <c r="A244" s="150" t="s">
        <v>292</v>
      </c>
      <c r="B244" s="150">
        <v>16</v>
      </c>
      <c r="C244" s="160">
        <v>5049</v>
      </c>
      <c r="D244" s="150">
        <v>1</v>
      </c>
      <c r="E244" s="160">
        <v>1158</v>
      </c>
      <c r="F244" s="150">
        <v>108</v>
      </c>
      <c r="G244" s="160">
        <v>6332</v>
      </c>
      <c r="H244" s="157"/>
    </row>
    <row r="245" spans="1:9" x14ac:dyDescent="0.25">
      <c r="A245" s="150" t="s">
        <v>293</v>
      </c>
      <c r="B245" s="150">
        <v>11</v>
      </c>
      <c r="C245" s="160">
        <v>4313</v>
      </c>
      <c r="D245" s="150">
        <v>1</v>
      </c>
      <c r="E245" s="159">
        <v>1292</v>
      </c>
      <c r="F245" s="150">
        <v>115</v>
      </c>
      <c r="G245" s="160">
        <v>5732</v>
      </c>
      <c r="H245" s="157"/>
    </row>
    <row r="246" spans="1:9" ht="30" x14ac:dyDescent="0.25">
      <c r="A246" s="150" t="s">
        <v>294</v>
      </c>
      <c r="B246" s="150">
        <v>10</v>
      </c>
      <c r="C246" s="160">
        <v>3287</v>
      </c>
      <c r="D246" s="150">
        <v>1</v>
      </c>
      <c r="E246">
        <v>768</v>
      </c>
      <c r="F246" s="150">
        <v>71</v>
      </c>
      <c r="G246" s="160">
        <v>4137</v>
      </c>
      <c r="H246" s="157"/>
    </row>
    <row r="247" spans="1:9" ht="30" x14ac:dyDescent="0.25">
      <c r="A247" s="150" t="s">
        <v>295</v>
      </c>
      <c r="B247" s="150">
        <v>78</v>
      </c>
      <c r="C247" s="160">
        <v>33883</v>
      </c>
      <c r="D247" s="150">
        <v>13</v>
      </c>
      <c r="E247" s="159">
        <v>6500</v>
      </c>
      <c r="F247" s="150">
        <v>708</v>
      </c>
      <c r="G247" s="160">
        <v>41182</v>
      </c>
      <c r="H247" s="157"/>
    </row>
    <row r="248" spans="1:9" x14ac:dyDescent="0.25">
      <c r="A248" s="150" t="s">
        <v>296</v>
      </c>
      <c r="B248" s="150">
        <v>22</v>
      </c>
      <c r="C248" s="160">
        <v>9398</v>
      </c>
      <c r="D248" s="150">
        <v>3</v>
      </c>
      <c r="E248" s="159">
        <v>2441</v>
      </c>
      <c r="F248" s="150">
        <v>172</v>
      </c>
      <c r="G248" s="160">
        <v>12036</v>
      </c>
      <c r="H248" s="157"/>
    </row>
    <row r="249" spans="1:9" x14ac:dyDescent="0.25">
      <c r="A249" s="150" t="s">
        <v>297</v>
      </c>
      <c r="B249" s="150">
        <v>20</v>
      </c>
      <c r="C249" s="160">
        <v>6090</v>
      </c>
      <c r="D249" s="150">
        <v>6</v>
      </c>
      <c r="E249" s="159">
        <v>1218</v>
      </c>
      <c r="F249" s="150">
        <v>125</v>
      </c>
      <c r="G249" s="160">
        <v>7459</v>
      </c>
      <c r="H249" s="157"/>
    </row>
    <row r="250" spans="1:9" ht="30" x14ac:dyDescent="0.25">
      <c r="A250" s="150" t="s">
        <v>298</v>
      </c>
      <c r="B250" s="150">
        <v>10</v>
      </c>
      <c r="C250" s="160">
        <v>5056</v>
      </c>
      <c r="D250" s="150">
        <v>4</v>
      </c>
      <c r="E250" s="159">
        <v>1117</v>
      </c>
      <c r="F250" s="150">
        <v>110</v>
      </c>
      <c r="G250" s="160">
        <v>6297</v>
      </c>
      <c r="H250" s="157"/>
    </row>
    <row r="251" spans="1:9" x14ac:dyDescent="0.25">
      <c r="A251" s="150" t="s">
        <v>299</v>
      </c>
      <c r="B251" s="150">
        <v>8</v>
      </c>
      <c r="C251" s="160">
        <v>1921</v>
      </c>
      <c r="E251" s="150">
        <v>324</v>
      </c>
      <c r="F251" s="150">
        <v>47</v>
      </c>
      <c r="G251" s="160">
        <v>2300</v>
      </c>
      <c r="H251" s="157"/>
    </row>
    <row r="252" spans="1:9" x14ac:dyDescent="0.25">
      <c r="A252" s="150" t="s">
        <v>300</v>
      </c>
      <c r="B252" s="150">
        <v>22</v>
      </c>
      <c r="C252" s="160">
        <v>8390</v>
      </c>
      <c r="D252" s="150">
        <v>2</v>
      </c>
      <c r="E252" s="159">
        <v>1974</v>
      </c>
      <c r="F252" s="150">
        <v>155</v>
      </c>
      <c r="G252" s="160">
        <v>10543</v>
      </c>
      <c r="H252" s="157"/>
    </row>
    <row r="253" spans="1:9" x14ac:dyDescent="0.25">
      <c r="A253" s="150" t="s">
        <v>301</v>
      </c>
      <c r="B253" s="150">
        <v>2</v>
      </c>
      <c r="C253" s="150">
        <v>975</v>
      </c>
      <c r="D253" s="150">
        <v>1</v>
      </c>
      <c r="E253">
        <v>124</v>
      </c>
      <c r="F253" s="150">
        <v>20</v>
      </c>
      <c r="G253" s="160">
        <v>1122</v>
      </c>
      <c r="H253" s="157"/>
    </row>
    <row r="254" spans="1:9" x14ac:dyDescent="0.25">
      <c r="A254" s="150" t="s">
        <v>302</v>
      </c>
      <c r="B254" s="150">
        <v>4</v>
      </c>
      <c r="C254" s="160">
        <v>2024</v>
      </c>
      <c r="E254" s="150">
        <v>351</v>
      </c>
      <c r="F254" s="150">
        <v>35</v>
      </c>
      <c r="G254" s="160">
        <v>2414</v>
      </c>
      <c r="H254" s="157"/>
    </row>
    <row r="255" spans="1:9" ht="30" x14ac:dyDescent="0.25">
      <c r="A255" s="150" t="s">
        <v>303</v>
      </c>
      <c r="B255" s="150">
        <v>38</v>
      </c>
      <c r="C255" s="160">
        <v>14176</v>
      </c>
      <c r="D255" s="150">
        <v>7</v>
      </c>
      <c r="E255" s="159">
        <v>3543</v>
      </c>
      <c r="F255" s="150">
        <v>373</v>
      </c>
      <c r="G255" s="160">
        <v>18137</v>
      </c>
    </row>
    <row r="256" spans="1:9" ht="30" x14ac:dyDescent="0.25">
      <c r="A256" s="150" t="s">
        <v>304</v>
      </c>
      <c r="B256" s="150">
        <v>6</v>
      </c>
      <c r="C256" s="150">
        <v>791</v>
      </c>
      <c r="E256" s="150">
        <v>155</v>
      </c>
      <c r="F256" s="150">
        <v>19</v>
      </c>
      <c r="G256" s="150">
        <v>971</v>
      </c>
      <c r="H256" s="157"/>
    </row>
    <row r="257" spans="1:8" ht="30" x14ac:dyDescent="0.25">
      <c r="A257" s="150" t="s">
        <v>305</v>
      </c>
      <c r="B257" s="150">
        <v>11</v>
      </c>
      <c r="C257" s="160">
        <v>2684</v>
      </c>
      <c r="D257" s="150">
        <v>3</v>
      </c>
      <c r="E257">
        <v>487</v>
      </c>
      <c r="F257" s="150">
        <v>50</v>
      </c>
      <c r="G257" s="160">
        <v>3235</v>
      </c>
      <c r="H257" s="157"/>
    </row>
    <row r="258" spans="1:8" ht="30" x14ac:dyDescent="0.25">
      <c r="A258" s="150" t="s">
        <v>306</v>
      </c>
      <c r="B258" s="150">
        <v>9</v>
      </c>
      <c r="C258" s="160">
        <v>2616</v>
      </c>
      <c r="D258" s="150">
        <v>1</v>
      </c>
      <c r="E258">
        <v>663</v>
      </c>
      <c r="F258" s="150">
        <v>63</v>
      </c>
      <c r="G258" s="160">
        <v>3352</v>
      </c>
      <c r="H258" s="157"/>
    </row>
    <row r="259" spans="1:8" ht="30" x14ac:dyDescent="0.25">
      <c r="A259" s="150" t="s">
        <v>307</v>
      </c>
      <c r="B259" s="150">
        <v>82</v>
      </c>
      <c r="C259" s="160">
        <v>25316</v>
      </c>
      <c r="D259" s="150">
        <v>39</v>
      </c>
      <c r="E259" s="159">
        <v>6847</v>
      </c>
      <c r="F259" s="150">
        <v>597</v>
      </c>
      <c r="G259" s="160">
        <v>32881</v>
      </c>
      <c r="H259" s="157"/>
    </row>
    <row r="260" spans="1:8" x14ac:dyDescent="0.25">
      <c r="A260" s="150" t="s">
        <v>308</v>
      </c>
      <c r="B260" s="150">
        <v>2</v>
      </c>
      <c r="C260" s="160">
        <v>1390</v>
      </c>
      <c r="E260" s="150">
        <v>364</v>
      </c>
      <c r="F260" s="150">
        <v>41</v>
      </c>
      <c r="G260" s="160">
        <v>1797</v>
      </c>
      <c r="H260" s="157"/>
    </row>
    <row r="261" spans="1:8" x14ac:dyDescent="0.25">
      <c r="A261" s="150" t="s">
        <v>309</v>
      </c>
      <c r="B261" s="150">
        <v>34</v>
      </c>
      <c r="C261" s="160">
        <v>11181</v>
      </c>
      <c r="D261" s="150">
        <v>4</v>
      </c>
      <c r="E261" s="159">
        <v>2262</v>
      </c>
      <c r="F261" s="150">
        <v>210</v>
      </c>
      <c r="G261" s="160">
        <v>13691</v>
      </c>
      <c r="H261" s="157"/>
    </row>
    <row r="262" spans="1:8" x14ac:dyDescent="0.25">
      <c r="A262" s="150" t="s">
        <v>310</v>
      </c>
      <c r="B262" s="150">
        <v>12</v>
      </c>
      <c r="C262" s="160">
        <v>3050</v>
      </c>
      <c r="D262" s="150">
        <v>3</v>
      </c>
      <c r="E262">
        <v>531</v>
      </c>
      <c r="F262" s="150">
        <v>61</v>
      </c>
      <c r="G262" s="160">
        <v>3657</v>
      </c>
      <c r="H262" s="157"/>
    </row>
    <row r="263" spans="1:8" x14ac:dyDescent="0.25">
      <c r="A263" s="150" t="s">
        <v>311</v>
      </c>
      <c r="B263" s="150">
        <v>19</v>
      </c>
      <c r="C263" s="160">
        <v>5296</v>
      </c>
      <c r="E263" s="160">
        <v>1243</v>
      </c>
      <c r="F263" s="150">
        <v>108</v>
      </c>
      <c r="G263" s="160">
        <v>6666</v>
      </c>
      <c r="H263" s="157"/>
    </row>
    <row r="264" spans="1:8" x14ac:dyDescent="0.25">
      <c r="A264" s="150"/>
      <c r="H264" s="157"/>
    </row>
    <row r="265" spans="1:8" x14ac:dyDescent="0.25">
      <c r="A265" s="150" t="s">
        <v>35</v>
      </c>
      <c r="B265" s="151">
        <f>SUM(B231:B264)</f>
        <v>752</v>
      </c>
      <c r="C265" s="151">
        <f t="shared" ref="C265:G265" si="5">SUM(C231:C264)</f>
        <v>261872</v>
      </c>
      <c r="D265" s="151">
        <f t="shared" si="5"/>
        <v>172</v>
      </c>
      <c r="E265" s="151">
        <f t="shared" si="5"/>
        <v>60368</v>
      </c>
      <c r="F265" s="151">
        <f t="shared" si="5"/>
        <v>5609</v>
      </c>
      <c r="G265" s="151">
        <f t="shared" si="5"/>
        <v>328773</v>
      </c>
      <c r="H265" s="157"/>
    </row>
    <row r="266" spans="1:8" x14ac:dyDescent="0.25">
      <c r="A266" s="150"/>
      <c r="B266" s="150"/>
      <c r="C266" s="150"/>
      <c r="D266" s="161"/>
      <c r="E266" s="161"/>
      <c r="F266" s="161"/>
      <c r="G266" s="158"/>
    </row>
    <row r="267" spans="1:8" ht="45" x14ac:dyDescent="0.25">
      <c r="A267" s="150" t="s">
        <v>513</v>
      </c>
      <c r="B267" s="150" t="s">
        <v>514</v>
      </c>
      <c r="C267" s="150">
        <v>9</v>
      </c>
      <c r="D267" s="168"/>
      <c r="E267" s="168"/>
      <c r="F267" s="169"/>
    </row>
    <row r="268" spans="1:8" x14ac:dyDescent="0.25">
      <c r="A268" s="150"/>
      <c r="B268" s="150"/>
      <c r="C268" s="150"/>
      <c r="D268" s="150"/>
      <c r="F268" s="157"/>
    </row>
    <row r="269" spans="1:8" ht="30" x14ac:dyDescent="0.25">
      <c r="A269" s="150"/>
      <c r="B269" s="150"/>
      <c r="C269" s="150" t="s">
        <v>512</v>
      </c>
      <c r="D269" s="150"/>
      <c r="F269" s="157"/>
    </row>
    <row r="270" spans="1:8" x14ac:dyDescent="0.25">
      <c r="A270" s="150" t="s">
        <v>137</v>
      </c>
      <c r="B270" s="150" t="s">
        <v>491</v>
      </c>
      <c r="C270" s="150" t="s">
        <v>492</v>
      </c>
      <c r="D270" s="150" t="s">
        <v>493</v>
      </c>
      <c r="E270" t="s">
        <v>494</v>
      </c>
      <c r="F270" s="150" t="s">
        <v>495</v>
      </c>
      <c r="G270" s="150" t="s">
        <v>35</v>
      </c>
    </row>
    <row r="271" spans="1:8" x14ac:dyDescent="0.25">
      <c r="A271" s="150"/>
      <c r="B271" s="150"/>
      <c r="C271" s="150"/>
      <c r="D271" s="150"/>
      <c r="G271" s="157"/>
    </row>
    <row r="272" spans="1:8" x14ac:dyDescent="0.25">
      <c r="A272" s="150" t="s">
        <v>312</v>
      </c>
      <c r="B272" s="150">
        <v>25</v>
      </c>
      <c r="C272" s="160">
        <v>9666</v>
      </c>
      <c r="D272" s="150">
        <v>4</v>
      </c>
      <c r="E272" s="159">
        <v>2211</v>
      </c>
      <c r="F272" s="150">
        <v>190</v>
      </c>
      <c r="G272" s="160">
        <v>12096</v>
      </c>
    </row>
    <row r="273" spans="1:7" x14ac:dyDescent="0.25">
      <c r="A273" s="150" t="s">
        <v>313</v>
      </c>
      <c r="B273" s="150">
        <v>15</v>
      </c>
      <c r="C273" s="160">
        <v>4939</v>
      </c>
      <c r="E273" s="160">
        <v>1139</v>
      </c>
      <c r="F273" s="150">
        <v>109</v>
      </c>
      <c r="G273" s="160">
        <v>6202</v>
      </c>
    </row>
    <row r="274" spans="1:7" x14ac:dyDescent="0.25">
      <c r="A274" s="150" t="s">
        <v>314</v>
      </c>
      <c r="B274" s="150">
        <v>7</v>
      </c>
      <c r="C274" s="160">
        <v>1900</v>
      </c>
      <c r="E274" s="150">
        <v>377</v>
      </c>
      <c r="F274" s="150">
        <v>59</v>
      </c>
      <c r="G274" s="160">
        <v>2343</v>
      </c>
    </row>
    <row r="275" spans="1:7" x14ac:dyDescent="0.25">
      <c r="A275" s="150" t="s">
        <v>315</v>
      </c>
      <c r="B275" s="150">
        <v>12</v>
      </c>
      <c r="C275" s="160">
        <v>4094</v>
      </c>
      <c r="D275" s="150">
        <v>2</v>
      </c>
      <c r="E275">
        <v>789</v>
      </c>
      <c r="F275" s="150">
        <v>87</v>
      </c>
      <c r="G275" s="160">
        <v>4984</v>
      </c>
    </row>
    <row r="276" spans="1:7" x14ac:dyDescent="0.25">
      <c r="A276" s="150" t="s">
        <v>316</v>
      </c>
      <c r="B276" s="150">
        <v>10</v>
      </c>
      <c r="C276" s="160">
        <v>4058</v>
      </c>
      <c r="D276" s="150">
        <v>3</v>
      </c>
      <c r="E276">
        <v>798</v>
      </c>
      <c r="F276" s="150">
        <v>113</v>
      </c>
      <c r="G276" s="160">
        <v>4982</v>
      </c>
    </row>
    <row r="277" spans="1:7" ht="30" x14ac:dyDescent="0.25">
      <c r="A277" s="150" t="s">
        <v>317</v>
      </c>
      <c r="B277" s="150">
        <v>13</v>
      </c>
      <c r="C277" s="160">
        <v>3953</v>
      </c>
      <c r="D277" s="150">
        <v>1</v>
      </c>
      <c r="E277">
        <v>718</v>
      </c>
      <c r="F277" s="150">
        <v>98</v>
      </c>
      <c r="G277" s="160">
        <v>4783</v>
      </c>
    </row>
    <row r="278" spans="1:7" ht="30" x14ac:dyDescent="0.25">
      <c r="A278" s="150" t="s">
        <v>318</v>
      </c>
      <c r="B278" s="150">
        <v>3</v>
      </c>
      <c r="C278" s="160">
        <v>1348</v>
      </c>
      <c r="E278" s="150">
        <v>238</v>
      </c>
      <c r="F278" s="150">
        <v>33</v>
      </c>
      <c r="G278" s="160">
        <v>1622</v>
      </c>
    </row>
    <row r="279" spans="1:7" x14ac:dyDescent="0.25">
      <c r="A279" s="150" t="s">
        <v>319</v>
      </c>
      <c r="B279" s="150">
        <v>3</v>
      </c>
      <c r="C279" s="160">
        <v>1309</v>
      </c>
      <c r="D279" s="150">
        <v>1</v>
      </c>
      <c r="E279">
        <v>281</v>
      </c>
      <c r="F279" s="150">
        <v>25</v>
      </c>
      <c r="G279" s="160">
        <v>1619</v>
      </c>
    </row>
    <row r="280" spans="1:7" x14ac:dyDescent="0.25">
      <c r="A280" s="150" t="s">
        <v>320</v>
      </c>
      <c r="B280" s="150">
        <v>13</v>
      </c>
      <c r="C280" s="160">
        <v>4463</v>
      </c>
      <c r="D280" s="150">
        <v>1</v>
      </c>
      <c r="E280">
        <v>770</v>
      </c>
      <c r="F280" s="150">
        <v>93</v>
      </c>
      <c r="G280" s="160">
        <v>5340</v>
      </c>
    </row>
    <row r="281" spans="1:7" ht="30" x14ac:dyDescent="0.25">
      <c r="A281" s="150" t="s">
        <v>321</v>
      </c>
      <c r="B281" s="150">
        <v>8</v>
      </c>
      <c r="C281" s="160">
        <v>2191</v>
      </c>
      <c r="D281" s="150">
        <v>1</v>
      </c>
      <c r="E281">
        <v>524</v>
      </c>
      <c r="F281" s="150">
        <v>58</v>
      </c>
      <c r="G281" s="160">
        <v>2782</v>
      </c>
    </row>
    <row r="282" spans="1:7" x14ac:dyDescent="0.25">
      <c r="A282" s="150" t="s">
        <v>322</v>
      </c>
      <c r="B282" s="150">
        <v>8</v>
      </c>
      <c r="C282" s="160">
        <v>3449</v>
      </c>
      <c r="E282" s="150">
        <v>736</v>
      </c>
      <c r="F282" s="150">
        <v>78</v>
      </c>
      <c r="G282" s="160">
        <v>4271</v>
      </c>
    </row>
    <row r="283" spans="1:7" x14ac:dyDescent="0.25">
      <c r="A283" s="150" t="s">
        <v>323</v>
      </c>
      <c r="B283" s="150">
        <v>11</v>
      </c>
      <c r="C283" s="160">
        <v>5963</v>
      </c>
      <c r="D283" s="150">
        <v>2</v>
      </c>
      <c r="E283" s="159">
        <v>1283</v>
      </c>
      <c r="F283" s="150">
        <v>153</v>
      </c>
      <c r="G283" s="160">
        <v>7412</v>
      </c>
    </row>
    <row r="284" spans="1:7" x14ac:dyDescent="0.25">
      <c r="A284" s="150" t="s">
        <v>324</v>
      </c>
      <c r="B284" s="150">
        <v>12</v>
      </c>
      <c r="C284" s="160">
        <v>4568</v>
      </c>
      <c r="D284" s="150">
        <v>3</v>
      </c>
      <c r="E284">
        <v>802</v>
      </c>
      <c r="F284" s="150">
        <v>132</v>
      </c>
      <c r="G284" s="160">
        <v>5517</v>
      </c>
    </row>
    <row r="285" spans="1:7" ht="30" x14ac:dyDescent="0.25">
      <c r="A285" s="150" t="s">
        <v>325</v>
      </c>
      <c r="B285" s="150">
        <v>8</v>
      </c>
      <c r="C285" s="160">
        <v>1647</v>
      </c>
      <c r="E285" s="150">
        <v>347</v>
      </c>
      <c r="F285" s="150">
        <v>55</v>
      </c>
      <c r="G285" s="160">
        <v>2057</v>
      </c>
    </row>
    <row r="286" spans="1:7" x14ac:dyDescent="0.25">
      <c r="A286" s="150" t="s">
        <v>326</v>
      </c>
      <c r="B286" s="150">
        <v>7</v>
      </c>
      <c r="C286" s="160">
        <v>1420</v>
      </c>
      <c r="E286" s="150">
        <v>341</v>
      </c>
      <c r="F286" s="150">
        <v>37</v>
      </c>
      <c r="G286" s="160">
        <v>1805</v>
      </c>
    </row>
    <row r="287" spans="1:7" x14ac:dyDescent="0.25">
      <c r="A287" s="150" t="s">
        <v>327</v>
      </c>
      <c r="B287" s="150">
        <v>3</v>
      </c>
      <c r="C287" s="160">
        <v>1547</v>
      </c>
      <c r="E287" s="150">
        <v>327</v>
      </c>
      <c r="F287" s="150">
        <v>40</v>
      </c>
      <c r="G287" s="160">
        <v>1917</v>
      </c>
    </row>
    <row r="288" spans="1:7" x14ac:dyDescent="0.25">
      <c r="A288" s="150" t="s">
        <v>328</v>
      </c>
      <c r="B288" s="150">
        <v>7</v>
      </c>
      <c r="C288" s="160">
        <v>1419</v>
      </c>
      <c r="E288" s="150">
        <v>252</v>
      </c>
      <c r="F288" s="150">
        <v>52</v>
      </c>
      <c r="G288" s="160">
        <v>1730</v>
      </c>
    </row>
    <row r="289" spans="1:7" ht="30" x14ac:dyDescent="0.25">
      <c r="A289" s="150" t="s">
        <v>329</v>
      </c>
      <c r="B289" s="150">
        <v>13</v>
      </c>
      <c r="C289" s="160">
        <v>6025</v>
      </c>
      <c r="D289" s="150">
        <v>3</v>
      </c>
      <c r="E289" s="159">
        <v>1140</v>
      </c>
      <c r="F289" s="150">
        <v>162</v>
      </c>
      <c r="G289" s="160">
        <v>7343</v>
      </c>
    </row>
    <row r="290" spans="1:7" ht="30" x14ac:dyDescent="0.25">
      <c r="A290" s="150" t="s">
        <v>330</v>
      </c>
      <c r="B290" s="150">
        <v>29</v>
      </c>
      <c r="C290" s="160">
        <v>9961</v>
      </c>
      <c r="D290" s="150">
        <v>2</v>
      </c>
      <c r="E290" s="159">
        <v>2042</v>
      </c>
      <c r="F290" s="150">
        <v>292</v>
      </c>
      <c r="G290" s="160">
        <v>12326</v>
      </c>
    </row>
    <row r="291" spans="1:7" ht="30" x14ac:dyDescent="0.25">
      <c r="A291" s="150" t="s">
        <v>331</v>
      </c>
      <c r="B291" s="150">
        <v>1</v>
      </c>
      <c r="C291" s="160">
        <v>1085</v>
      </c>
      <c r="E291" s="150">
        <v>210</v>
      </c>
      <c r="F291" s="150">
        <v>28</v>
      </c>
      <c r="G291" s="160">
        <v>1324</v>
      </c>
    </row>
    <row r="292" spans="1:7" ht="30" x14ac:dyDescent="0.25">
      <c r="A292" s="150" t="s">
        <v>332</v>
      </c>
      <c r="B292" s="150">
        <v>14</v>
      </c>
      <c r="C292" s="160">
        <v>4874</v>
      </c>
      <c r="D292" s="150">
        <v>2</v>
      </c>
      <c r="E292" s="159">
        <v>1116</v>
      </c>
      <c r="F292" s="150">
        <v>128</v>
      </c>
      <c r="G292" s="160">
        <v>6134</v>
      </c>
    </row>
    <row r="293" spans="1:7" x14ac:dyDescent="0.25">
      <c r="A293" s="150" t="s">
        <v>333</v>
      </c>
      <c r="B293" s="150">
        <v>9</v>
      </c>
      <c r="C293" s="160">
        <v>3663</v>
      </c>
      <c r="D293" s="150">
        <v>2</v>
      </c>
      <c r="E293">
        <v>783</v>
      </c>
      <c r="F293" s="150">
        <v>117</v>
      </c>
      <c r="G293" s="160">
        <v>4574</v>
      </c>
    </row>
    <row r="294" spans="1:7" x14ac:dyDescent="0.25">
      <c r="A294" s="150" t="s">
        <v>334</v>
      </c>
      <c r="B294" s="150"/>
      <c r="C294" s="160">
        <v>2403</v>
      </c>
      <c r="E294" s="150">
        <v>632</v>
      </c>
      <c r="F294" s="150">
        <v>70</v>
      </c>
      <c r="G294" s="160">
        <v>3105</v>
      </c>
    </row>
    <row r="295" spans="1:7" x14ac:dyDescent="0.25">
      <c r="A295" s="150" t="s">
        <v>335</v>
      </c>
      <c r="B295" s="150">
        <v>3</v>
      </c>
      <c r="C295" s="160">
        <v>1857</v>
      </c>
      <c r="D295" s="150">
        <v>1</v>
      </c>
      <c r="E295">
        <v>467</v>
      </c>
      <c r="F295" s="150">
        <v>69</v>
      </c>
      <c r="G295" s="160">
        <v>2397</v>
      </c>
    </row>
    <row r="296" spans="1:7" x14ac:dyDescent="0.25">
      <c r="A296" s="150" t="s">
        <v>336</v>
      </c>
      <c r="B296" s="150">
        <v>10</v>
      </c>
      <c r="C296" s="160">
        <v>2325</v>
      </c>
      <c r="E296" s="150">
        <v>503</v>
      </c>
      <c r="F296" s="150">
        <v>55</v>
      </c>
      <c r="G296" s="160">
        <v>2893</v>
      </c>
    </row>
    <row r="297" spans="1:7" x14ac:dyDescent="0.25">
      <c r="A297" s="150" t="s">
        <v>337</v>
      </c>
      <c r="B297" s="150">
        <v>141</v>
      </c>
      <c r="C297" s="160">
        <v>42674</v>
      </c>
      <c r="D297" s="150">
        <v>17</v>
      </c>
      <c r="E297" s="159">
        <v>9506</v>
      </c>
      <c r="F297" s="150">
        <v>940</v>
      </c>
      <c r="G297" s="160">
        <v>53278</v>
      </c>
    </row>
    <row r="298" spans="1:7" ht="30" x14ac:dyDescent="0.25">
      <c r="A298" s="150" t="s">
        <v>338</v>
      </c>
      <c r="B298" s="150">
        <v>10</v>
      </c>
      <c r="C298" s="160">
        <v>2865</v>
      </c>
      <c r="D298" s="150">
        <v>1</v>
      </c>
      <c r="E298">
        <v>557</v>
      </c>
      <c r="F298" s="150">
        <v>59</v>
      </c>
      <c r="G298" s="160">
        <v>3492</v>
      </c>
    </row>
    <row r="299" spans="1:7" x14ac:dyDescent="0.25">
      <c r="A299" s="150" t="s">
        <v>339</v>
      </c>
      <c r="B299" s="150">
        <v>6</v>
      </c>
      <c r="C299" s="160">
        <v>1911</v>
      </c>
      <c r="E299" s="150">
        <v>467</v>
      </c>
      <c r="F299" s="150">
        <v>51</v>
      </c>
      <c r="G299" s="160">
        <v>2435</v>
      </c>
    </row>
    <row r="300" spans="1:7" x14ac:dyDescent="0.25">
      <c r="A300" s="150" t="s">
        <v>340</v>
      </c>
      <c r="B300" s="150">
        <v>13</v>
      </c>
      <c r="C300" s="160">
        <v>4227</v>
      </c>
      <c r="D300" s="150">
        <v>2</v>
      </c>
      <c r="E300" s="159">
        <v>1039</v>
      </c>
      <c r="F300" s="150">
        <v>81</v>
      </c>
      <c r="G300" s="160">
        <v>5362</v>
      </c>
    </row>
    <row r="301" spans="1:7" x14ac:dyDescent="0.25">
      <c r="A301" s="150" t="s">
        <v>341</v>
      </c>
      <c r="B301" s="150">
        <v>27</v>
      </c>
      <c r="C301" s="160">
        <v>7246</v>
      </c>
      <c r="D301" s="150">
        <v>6</v>
      </c>
      <c r="E301" s="159">
        <v>1584</v>
      </c>
      <c r="F301" s="150">
        <v>165</v>
      </c>
      <c r="G301" s="160">
        <v>9028</v>
      </c>
    </row>
    <row r="302" spans="1:7" x14ac:dyDescent="0.25">
      <c r="A302" s="150" t="s">
        <v>342</v>
      </c>
      <c r="B302" s="150">
        <v>12</v>
      </c>
      <c r="C302" s="160">
        <v>4318</v>
      </c>
      <c r="D302" s="150">
        <v>1</v>
      </c>
      <c r="E302">
        <v>899</v>
      </c>
      <c r="F302" s="150">
        <v>115</v>
      </c>
      <c r="G302" s="160">
        <v>5345</v>
      </c>
    </row>
    <row r="303" spans="1:7" x14ac:dyDescent="0.25">
      <c r="A303" s="150" t="s">
        <v>343</v>
      </c>
      <c r="B303" s="150">
        <v>18</v>
      </c>
      <c r="C303" s="160">
        <v>10264</v>
      </c>
      <c r="D303" s="150">
        <v>4</v>
      </c>
      <c r="E303" s="159">
        <v>1970</v>
      </c>
      <c r="F303" s="150">
        <v>286</v>
      </c>
      <c r="G303" s="160">
        <v>12542</v>
      </c>
    </row>
    <row r="304" spans="1:7" x14ac:dyDescent="0.25">
      <c r="A304" s="150" t="s">
        <v>35</v>
      </c>
      <c r="B304" s="151">
        <f>SUM(B272:B303)</f>
        <v>471</v>
      </c>
      <c r="C304" s="151">
        <f t="shared" ref="C304:G304" si="6">SUM(C272:C303)</f>
        <v>163632</v>
      </c>
      <c r="D304" s="151">
        <f t="shared" si="6"/>
        <v>59</v>
      </c>
      <c r="E304" s="151">
        <f t="shared" si="6"/>
        <v>34848</v>
      </c>
      <c r="F304" s="151">
        <f t="shared" si="6"/>
        <v>4030</v>
      </c>
      <c r="G304" s="151">
        <f t="shared" si="6"/>
        <v>203040</v>
      </c>
    </row>
    <row r="305" spans="1:7" x14ac:dyDescent="0.25">
      <c r="A305" s="150"/>
      <c r="B305" s="150"/>
      <c r="C305" s="150"/>
      <c r="D305" s="150"/>
      <c r="F305" s="157"/>
    </row>
    <row r="306" spans="1:7" x14ac:dyDescent="0.25">
      <c r="A306" s="150"/>
      <c r="B306" s="161"/>
      <c r="C306" s="161"/>
      <c r="D306" s="161"/>
      <c r="E306" s="161"/>
      <c r="F306" s="158"/>
    </row>
    <row r="308" spans="1:7" ht="45" x14ac:dyDescent="0.25">
      <c r="A308" s="150" t="s">
        <v>344</v>
      </c>
      <c r="B308" s="168"/>
      <c r="C308" s="168"/>
      <c r="D308" s="168"/>
      <c r="E308" s="169"/>
    </row>
    <row r="309" spans="1:7" x14ac:dyDescent="0.25">
      <c r="A309" s="150"/>
      <c r="B309" s="150"/>
      <c r="C309" s="150"/>
      <c r="E309" s="157"/>
    </row>
    <row r="310" spans="1:7" x14ac:dyDescent="0.25">
      <c r="A310" s="150"/>
      <c r="B310" s="150"/>
      <c r="C310" s="150"/>
      <c r="D310" s="168"/>
      <c r="E310" s="168"/>
      <c r="F310" s="168"/>
      <c r="G310" s="169"/>
    </row>
    <row r="311" spans="1:7" ht="30" x14ac:dyDescent="0.25">
      <c r="A311" s="150"/>
      <c r="B311" s="150"/>
      <c r="C311" s="150" t="s">
        <v>512</v>
      </c>
      <c r="D311" s="150"/>
      <c r="G311" s="157"/>
    </row>
    <row r="312" spans="1:7" x14ac:dyDescent="0.25">
      <c r="A312" s="150" t="s">
        <v>137</v>
      </c>
      <c r="B312" s="150" t="s">
        <v>491</v>
      </c>
      <c r="C312" s="150" t="s">
        <v>492</v>
      </c>
      <c r="D312" s="150" t="s">
        <v>493</v>
      </c>
      <c r="E312" t="s">
        <v>494</v>
      </c>
      <c r="F312" s="150" t="s">
        <v>35</v>
      </c>
      <c r="G312" s="157"/>
    </row>
    <row r="313" spans="1:7" x14ac:dyDescent="0.25">
      <c r="A313" s="150"/>
      <c r="B313" s="150"/>
      <c r="C313" s="150"/>
      <c r="G313" s="157"/>
    </row>
    <row r="314" spans="1:7" x14ac:dyDescent="0.25">
      <c r="A314" s="150" t="s">
        <v>345</v>
      </c>
      <c r="B314" s="150">
        <v>15</v>
      </c>
      <c r="C314" s="160">
        <v>7617</v>
      </c>
      <c r="D314" s="150">
        <v>7</v>
      </c>
      <c r="E314" s="159">
        <v>1476</v>
      </c>
      <c r="F314" s="160">
        <v>9277</v>
      </c>
      <c r="G314" s="157"/>
    </row>
    <row r="315" spans="1:7" x14ac:dyDescent="0.25">
      <c r="A315" s="150" t="s">
        <v>346</v>
      </c>
      <c r="B315" s="150">
        <v>17</v>
      </c>
      <c r="C315" s="160">
        <v>5174</v>
      </c>
      <c r="D315" s="150">
        <v>2</v>
      </c>
      <c r="E315">
        <v>959</v>
      </c>
      <c r="F315" s="160">
        <v>6285</v>
      </c>
      <c r="G315" s="157"/>
    </row>
    <row r="316" spans="1:7" x14ac:dyDescent="0.25">
      <c r="A316" s="150" t="s">
        <v>347</v>
      </c>
      <c r="B316" s="150">
        <v>16</v>
      </c>
      <c r="C316" s="160">
        <v>7188</v>
      </c>
      <c r="D316" s="150">
        <v>8</v>
      </c>
      <c r="E316" s="159">
        <v>1675</v>
      </c>
      <c r="F316" s="160">
        <v>9051</v>
      </c>
      <c r="G316" s="157"/>
    </row>
    <row r="317" spans="1:7" x14ac:dyDescent="0.25">
      <c r="A317" s="150" t="s">
        <v>348</v>
      </c>
      <c r="B317" s="150">
        <v>1</v>
      </c>
      <c r="C317" s="150">
        <v>540</v>
      </c>
      <c r="E317" s="150">
        <v>90</v>
      </c>
      <c r="F317" s="150">
        <v>647</v>
      </c>
      <c r="G317" s="157"/>
    </row>
    <row r="318" spans="1:7" x14ac:dyDescent="0.25">
      <c r="A318" s="150" t="s">
        <v>349</v>
      </c>
      <c r="B318" s="150">
        <v>9</v>
      </c>
      <c r="C318" s="160">
        <v>2331</v>
      </c>
      <c r="D318" s="150">
        <v>1</v>
      </c>
      <c r="E318">
        <v>386</v>
      </c>
      <c r="F318" s="160">
        <v>2768</v>
      </c>
      <c r="G318" s="157"/>
    </row>
    <row r="319" spans="1:7" x14ac:dyDescent="0.25">
      <c r="A319" s="150" t="s">
        <v>350</v>
      </c>
      <c r="B319" s="150">
        <v>2</v>
      </c>
      <c r="C319" s="150">
        <v>711</v>
      </c>
      <c r="D319" s="150">
        <v>1</v>
      </c>
      <c r="E319">
        <v>116</v>
      </c>
      <c r="F319" s="150">
        <v>846</v>
      </c>
      <c r="G319" s="157"/>
    </row>
    <row r="320" spans="1:7" ht="30" x14ac:dyDescent="0.25">
      <c r="A320" s="150" t="s">
        <v>351</v>
      </c>
      <c r="B320" s="150">
        <v>1</v>
      </c>
      <c r="C320" s="150">
        <v>675</v>
      </c>
      <c r="E320" s="150">
        <v>110</v>
      </c>
      <c r="F320" s="150">
        <v>802</v>
      </c>
      <c r="G320" s="157"/>
    </row>
    <row r="321" spans="1:7" x14ac:dyDescent="0.25">
      <c r="A321" s="150" t="s">
        <v>352</v>
      </c>
      <c r="B321" s="150">
        <v>4</v>
      </c>
      <c r="C321" s="160">
        <v>1923</v>
      </c>
      <c r="D321" s="150">
        <v>3</v>
      </c>
      <c r="E321">
        <v>322</v>
      </c>
      <c r="F321" s="160">
        <v>2306</v>
      </c>
      <c r="G321" s="157"/>
    </row>
    <row r="322" spans="1:7" x14ac:dyDescent="0.25">
      <c r="A322" s="150" t="s">
        <v>353</v>
      </c>
      <c r="B322" s="150">
        <v>12</v>
      </c>
      <c r="C322" s="160">
        <v>2347</v>
      </c>
      <c r="E322" s="150">
        <v>468</v>
      </c>
      <c r="F322" s="160">
        <v>2879</v>
      </c>
      <c r="G322" s="157"/>
    </row>
    <row r="323" spans="1:7" x14ac:dyDescent="0.25">
      <c r="A323" s="150" t="s">
        <v>354</v>
      </c>
      <c r="B323" s="150">
        <v>8</v>
      </c>
      <c r="C323" s="160">
        <v>3125</v>
      </c>
      <c r="D323" s="150">
        <v>2</v>
      </c>
      <c r="E323">
        <v>583</v>
      </c>
      <c r="F323" s="160">
        <v>3791</v>
      </c>
      <c r="G323" s="157"/>
    </row>
    <row r="324" spans="1:7" x14ac:dyDescent="0.25">
      <c r="A324" s="150" t="s">
        <v>355</v>
      </c>
      <c r="B324" s="150">
        <v>1</v>
      </c>
      <c r="C324" s="150">
        <v>410</v>
      </c>
      <c r="E324" s="150">
        <v>57</v>
      </c>
      <c r="F324" s="150">
        <v>479</v>
      </c>
      <c r="G324" s="157"/>
    </row>
    <row r="325" spans="1:7" x14ac:dyDescent="0.25">
      <c r="A325" s="150" t="s">
        <v>356</v>
      </c>
      <c r="B325" s="150">
        <v>5</v>
      </c>
      <c r="C325" s="160">
        <v>1234</v>
      </c>
      <c r="E325" s="150">
        <v>289</v>
      </c>
      <c r="F325" s="160">
        <v>1567</v>
      </c>
      <c r="G325" s="157"/>
    </row>
    <row r="326" spans="1:7" ht="30" x14ac:dyDescent="0.25">
      <c r="A326" s="150" t="s">
        <v>357</v>
      </c>
      <c r="B326" s="150">
        <v>6</v>
      </c>
      <c r="C326" s="160">
        <v>3044</v>
      </c>
      <c r="D326" s="150">
        <v>1</v>
      </c>
      <c r="E326">
        <v>704</v>
      </c>
      <c r="F326" s="160">
        <v>3820</v>
      </c>
      <c r="G326" s="157"/>
    </row>
    <row r="327" spans="1:7" ht="30" x14ac:dyDescent="0.25">
      <c r="A327" s="150" t="s">
        <v>358</v>
      </c>
      <c r="B327" s="150">
        <v>8</v>
      </c>
      <c r="C327" s="160">
        <v>3285</v>
      </c>
      <c r="D327" s="150">
        <v>1</v>
      </c>
      <c r="E327">
        <v>846</v>
      </c>
      <c r="F327" s="160">
        <v>4215</v>
      </c>
      <c r="G327" s="157"/>
    </row>
    <row r="328" spans="1:7" x14ac:dyDescent="0.25">
      <c r="A328" s="150" t="s">
        <v>359</v>
      </c>
      <c r="B328" s="150">
        <v>12</v>
      </c>
      <c r="C328" s="160">
        <v>2909</v>
      </c>
      <c r="D328" s="150">
        <v>1</v>
      </c>
      <c r="E328">
        <v>602</v>
      </c>
      <c r="F328" s="160">
        <v>3603</v>
      </c>
      <c r="G328" s="157"/>
    </row>
    <row r="329" spans="1:7" x14ac:dyDescent="0.25">
      <c r="A329" s="150" t="s">
        <v>360</v>
      </c>
      <c r="B329" s="150">
        <v>91</v>
      </c>
      <c r="C329" s="160">
        <v>29501</v>
      </c>
      <c r="D329" s="150">
        <v>5</v>
      </c>
      <c r="E329" s="159">
        <v>4407</v>
      </c>
      <c r="F329" s="160">
        <v>34740</v>
      </c>
      <c r="G329" s="157"/>
    </row>
    <row r="330" spans="1:7" x14ac:dyDescent="0.25">
      <c r="A330" s="150" t="s">
        <v>361</v>
      </c>
      <c r="B330" s="150">
        <v>2</v>
      </c>
      <c r="C330" s="150">
        <v>405</v>
      </c>
      <c r="D330" s="150">
        <v>1</v>
      </c>
      <c r="E330">
        <v>65</v>
      </c>
      <c r="F330" s="150">
        <v>482</v>
      </c>
      <c r="G330" s="157"/>
    </row>
    <row r="331" spans="1:7" ht="30" x14ac:dyDescent="0.25">
      <c r="A331" s="150" t="s">
        <v>362</v>
      </c>
      <c r="B331" s="150">
        <v>83</v>
      </c>
      <c r="C331" s="160">
        <v>30044</v>
      </c>
      <c r="D331" s="150">
        <v>11</v>
      </c>
      <c r="E331" s="159">
        <v>5777</v>
      </c>
      <c r="F331" s="160">
        <v>36694</v>
      </c>
      <c r="G331" s="157"/>
    </row>
    <row r="332" spans="1:7" ht="30" x14ac:dyDescent="0.25">
      <c r="A332" s="150" t="s">
        <v>363</v>
      </c>
      <c r="B332" s="150">
        <v>1</v>
      </c>
      <c r="C332" s="160">
        <v>1477</v>
      </c>
      <c r="E332" s="150">
        <v>248</v>
      </c>
      <c r="F332" s="160">
        <v>1766</v>
      </c>
      <c r="G332" s="157"/>
    </row>
    <row r="333" spans="1:7" ht="30" x14ac:dyDescent="0.25">
      <c r="A333" s="150" t="s">
        <v>364</v>
      </c>
      <c r="B333" s="150">
        <v>12</v>
      </c>
      <c r="C333" s="160">
        <v>5493</v>
      </c>
      <c r="D333" s="150">
        <v>6</v>
      </c>
      <c r="E333" s="159">
        <v>1168</v>
      </c>
      <c r="F333" s="160">
        <v>6845</v>
      </c>
      <c r="G333" s="157"/>
    </row>
    <row r="334" spans="1:7" ht="30" x14ac:dyDescent="0.25">
      <c r="A334" s="150" t="s">
        <v>365</v>
      </c>
      <c r="B334" s="150">
        <v>5</v>
      </c>
      <c r="C334" s="150">
        <v>717</v>
      </c>
      <c r="E334" s="150">
        <v>171</v>
      </c>
      <c r="F334" s="150">
        <v>906</v>
      </c>
      <c r="G334" s="157"/>
    </row>
    <row r="335" spans="1:7" ht="30" x14ac:dyDescent="0.25">
      <c r="A335" s="150" t="s">
        <v>366</v>
      </c>
      <c r="B335" s="150">
        <v>14</v>
      </c>
      <c r="C335" s="160">
        <v>4588</v>
      </c>
      <c r="E335" s="150">
        <v>603</v>
      </c>
      <c r="F335" s="160">
        <v>5321</v>
      </c>
      <c r="G335" s="157"/>
    </row>
    <row r="336" spans="1:7" x14ac:dyDescent="0.25">
      <c r="A336" s="150" t="s">
        <v>367</v>
      </c>
      <c r="B336" s="150">
        <v>4</v>
      </c>
      <c r="C336" s="160">
        <v>2166</v>
      </c>
      <c r="D336" s="150">
        <v>1</v>
      </c>
      <c r="E336">
        <v>380</v>
      </c>
      <c r="F336" s="160">
        <v>2617</v>
      </c>
      <c r="G336" s="157"/>
    </row>
    <row r="337" spans="1:7" x14ac:dyDescent="0.25">
      <c r="A337" s="150" t="s">
        <v>368</v>
      </c>
      <c r="B337" s="150">
        <v>4</v>
      </c>
      <c r="C337" s="150">
        <v>884</v>
      </c>
      <c r="D337" s="150">
        <v>1</v>
      </c>
      <c r="E337">
        <v>119</v>
      </c>
      <c r="F337" s="160">
        <v>1025</v>
      </c>
      <c r="G337" s="157"/>
    </row>
    <row r="338" spans="1:7" x14ac:dyDescent="0.25">
      <c r="A338" s="150" t="s">
        <v>369</v>
      </c>
      <c r="B338" s="150">
        <v>10</v>
      </c>
      <c r="C338" s="160">
        <v>3070</v>
      </c>
      <c r="D338" s="150">
        <v>2</v>
      </c>
      <c r="E338">
        <v>592</v>
      </c>
      <c r="F338" s="160">
        <v>3771</v>
      </c>
      <c r="G338" s="157"/>
    </row>
    <row r="339" spans="1:7" x14ac:dyDescent="0.25">
      <c r="A339" s="150" t="s">
        <v>370</v>
      </c>
      <c r="B339" s="150">
        <v>2</v>
      </c>
      <c r="C339" s="160">
        <v>1388</v>
      </c>
      <c r="D339" s="150">
        <v>1</v>
      </c>
      <c r="E339" s="159">
        <v>254</v>
      </c>
      <c r="F339" s="160">
        <v>1671</v>
      </c>
      <c r="G339" s="157"/>
    </row>
    <row r="340" spans="1:7" x14ac:dyDescent="0.25">
      <c r="A340" s="150" t="s">
        <v>371</v>
      </c>
      <c r="B340" s="150">
        <v>6</v>
      </c>
      <c r="C340" s="160">
        <v>1458</v>
      </c>
      <c r="D340" s="150">
        <v>1</v>
      </c>
      <c r="E340">
        <v>366</v>
      </c>
      <c r="F340" s="160">
        <v>1867</v>
      </c>
      <c r="G340" s="157"/>
    </row>
    <row r="341" spans="1:7" x14ac:dyDescent="0.25">
      <c r="A341" s="150" t="s">
        <v>372</v>
      </c>
      <c r="B341" s="150">
        <v>14</v>
      </c>
      <c r="C341" s="160">
        <v>2959</v>
      </c>
      <c r="D341" s="150">
        <v>2</v>
      </c>
      <c r="E341">
        <v>426</v>
      </c>
      <c r="F341" s="160">
        <v>3465</v>
      </c>
      <c r="G341" s="157"/>
    </row>
    <row r="342" spans="1:7" ht="45" x14ac:dyDescent="0.25">
      <c r="A342" s="150" t="s">
        <v>373</v>
      </c>
      <c r="B342" s="150">
        <v>9</v>
      </c>
      <c r="C342" s="160">
        <v>1697</v>
      </c>
      <c r="E342" s="150">
        <v>292</v>
      </c>
      <c r="F342" s="160">
        <v>2052</v>
      </c>
    </row>
    <row r="343" spans="1:7" x14ac:dyDescent="0.25">
      <c r="A343" s="150" t="s">
        <v>374</v>
      </c>
      <c r="B343" s="150">
        <v>8</v>
      </c>
      <c r="C343" s="160">
        <v>2247</v>
      </c>
      <c r="D343" s="150">
        <v>1</v>
      </c>
      <c r="E343" s="159">
        <v>300</v>
      </c>
      <c r="F343" s="160">
        <v>2627</v>
      </c>
      <c r="G343" s="157"/>
    </row>
    <row r="344" spans="1:7" x14ac:dyDescent="0.25">
      <c r="A344" s="150"/>
      <c r="G344" s="157"/>
    </row>
    <row r="345" spans="1:7" x14ac:dyDescent="0.25">
      <c r="A345" s="150" t="s">
        <v>35</v>
      </c>
      <c r="B345" s="151">
        <f>SUM(B314:B344)</f>
        <v>382</v>
      </c>
      <c r="C345" s="151">
        <f t="shared" ref="C345:F345" si="7">SUM(C314:C344)</f>
        <v>130607</v>
      </c>
      <c r="D345" s="151">
        <f t="shared" si="7"/>
        <v>59</v>
      </c>
      <c r="E345" s="151">
        <f t="shared" si="7"/>
        <v>23851</v>
      </c>
      <c r="F345" s="151">
        <f t="shared" si="7"/>
        <v>158185</v>
      </c>
      <c r="G345" s="157"/>
    </row>
    <row r="346" spans="1:7" x14ac:dyDescent="0.25">
      <c r="A346" s="150"/>
      <c r="B346" s="150"/>
      <c r="C346" s="150"/>
      <c r="D346" s="161"/>
      <c r="E346" s="161"/>
      <c r="F346" s="161"/>
      <c r="G346" s="158"/>
    </row>
    <row r="348" spans="1:7" ht="45" x14ac:dyDescent="0.25">
      <c r="A348" s="150" t="s">
        <v>513</v>
      </c>
      <c r="B348" s="150" t="s">
        <v>514</v>
      </c>
      <c r="C348" s="150">
        <v>11</v>
      </c>
      <c r="D348" s="168"/>
      <c r="E348" s="168"/>
      <c r="F348" s="169"/>
    </row>
    <row r="349" spans="1:7" x14ac:dyDescent="0.25">
      <c r="A349" s="150"/>
      <c r="B349" s="150"/>
      <c r="C349" s="150"/>
      <c r="D349" s="150"/>
      <c r="F349" s="157"/>
    </row>
    <row r="350" spans="1:7" ht="30" x14ac:dyDescent="0.25">
      <c r="A350" s="150"/>
      <c r="B350" s="150"/>
      <c r="C350" s="150" t="s">
        <v>512</v>
      </c>
      <c r="D350" s="150"/>
      <c r="F350" s="157"/>
    </row>
    <row r="351" spans="1:7" x14ac:dyDescent="0.25">
      <c r="A351" s="150" t="s">
        <v>137</v>
      </c>
      <c r="B351" s="150" t="s">
        <v>491</v>
      </c>
      <c r="C351" s="150" t="s">
        <v>492</v>
      </c>
      <c r="D351" s="150" t="s">
        <v>493</v>
      </c>
      <c r="E351" t="s">
        <v>494</v>
      </c>
      <c r="F351" s="150" t="s">
        <v>495</v>
      </c>
      <c r="G351" s="150" t="s">
        <v>35</v>
      </c>
    </row>
    <row r="352" spans="1:7" x14ac:dyDescent="0.25">
      <c r="A352" s="150"/>
      <c r="B352" s="150"/>
      <c r="C352" s="150"/>
      <c r="G352" s="157"/>
    </row>
    <row r="353" spans="1:7" ht="30" x14ac:dyDescent="0.25">
      <c r="A353" s="150" t="s">
        <v>375</v>
      </c>
      <c r="B353" s="150">
        <v>3</v>
      </c>
      <c r="C353" s="160">
        <v>1159</v>
      </c>
      <c r="D353" s="150">
        <v>1</v>
      </c>
      <c r="E353">
        <v>200</v>
      </c>
      <c r="F353" s="150">
        <v>33</v>
      </c>
      <c r="G353" s="160">
        <v>1396</v>
      </c>
    </row>
    <row r="354" spans="1:7" x14ac:dyDescent="0.25">
      <c r="A354" s="150" t="s">
        <v>376</v>
      </c>
      <c r="B354" s="150">
        <v>3</v>
      </c>
      <c r="C354" s="150">
        <v>644</v>
      </c>
      <c r="D354" s="150">
        <v>1</v>
      </c>
      <c r="E354">
        <v>143</v>
      </c>
      <c r="F354" s="150">
        <v>16</v>
      </c>
      <c r="G354" s="150">
        <v>807</v>
      </c>
    </row>
    <row r="355" spans="1:7" x14ac:dyDescent="0.25">
      <c r="A355" s="150" t="s">
        <v>377</v>
      </c>
      <c r="B355" s="150">
        <v>3</v>
      </c>
      <c r="C355" s="150">
        <v>473</v>
      </c>
      <c r="D355" s="150">
        <v>2</v>
      </c>
      <c r="E355">
        <v>89</v>
      </c>
      <c r="F355" s="150">
        <v>15</v>
      </c>
      <c r="G355" s="150">
        <v>582</v>
      </c>
    </row>
    <row r="356" spans="1:7" x14ac:dyDescent="0.25">
      <c r="A356" s="150" t="s">
        <v>378</v>
      </c>
      <c r="B356" s="150">
        <v>26</v>
      </c>
      <c r="C356" s="160">
        <v>7403</v>
      </c>
      <c r="D356" s="150">
        <v>4</v>
      </c>
      <c r="E356" s="159">
        <v>1966</v>
      </c>
      <c r="F356" s="150">
        <v>194</v>
      </c>
      <c r="G356" s="160">
        <v>9593</v>
      </c>
    </row>
    <row r="357" spans="1:7" x14ac:dyDescent="0.25">
      <c r="A357" s="150" t="s">
        <v>379</v>
      </c>
      <c r="B357" s="150"/>
      <c r="C357" s="150">
        <v>153</v>
      </c>
      <c r="E357" s="150">
        <v>27</v>
      </c>
      <c r="F357" s="150">
        <v>3</v>
      </c>
      <c r="G357" s="150">
        <v>183</v>
      </c>
    </row>
    <row r="358" spans="1:7" ht="30" x14ac:dyDescent="0.25">
      <c r="A358" s="150" t="s">
        <v>380</v>
      </c>
      <c r="B358" s="150"/>
      <c r="C358" s="150">
        <v>158</v>
      </c>
      <c r="E358" s="150">
        <v>17</v>
      </c>
      <c r="F358" s="150">
        <v>3</v>
      </c>
      <c r="G358" s="150">
        <v>178</v>
      </c>
    </row>
    <row r="359" spans="1:7" x14ac:dyDescent="0.25">
      <c r="A359" s="150" t="s">
        <v>381</v>
      </c>
      <c r="B359" s="150"/>
      <c r="C359" s="150">
        <v>44</v>
      </c>
      <c r="E359" s="150">
        <v>5</v>
      </c>
      <c r="F359" s="150">
        <v>1</v>
      </c>
      <c r="G359" s="150">
        <v>50</v>
      </c>
    </row>
    <row r="360" spans="1:7" ht="30" x14ac:dyDescent="0.25">
      <c r="A360" s="150" t="s">
        <v>382</v>
      </c>
      <c r="B360" s="150">
        <v>7</v>
      </c>
      <c r="C360" s="160">
        <v>3013</v>
      </c>
      <c r="D360" s="150">
        <v>3</v>
      </c>
      <c r="E360">
        <v>662</v>
      </c>
      <c r="F360" s="150">
        <v>54</v>
      </c>
      <c r="G360" s="160">
        <v>3739</v>
      </c>
    </row>
    <row r="361" spans="1:7" x14ac:dyDescent="0.25">
      <c r="A361" s="150" t="s">
        <v>508</v>
      </c>
      <c r="B361" s="150">
        <v>2</v>
      </c>
      <c r="C361" s="150">
        <v>469</v>
      </c>
      <c r="E361" s="150">
        <v>83</v>
      </c>
      <c r="F361" s="150">
        <v>13</v>
      </c>
      <c r="G361" s="150">
        <v>567</v>
      </c>
    </row>
    <row r="362" spans="1:7" x14ac:dyDescent="0.25">
      <c r="A362" s="150" t="s">
        <v>383</v>
      </c>
      <c r="B362" s="150"/>
      <c r="C362" s="150">
        <v>41</v>
      </c>
      <c r="E362" s="150">
        <v>7</v>
      </c>
      <c r="F362" s="150">
        <v>1</v>
      </c>
      <c r="G362" s="150">
        <v>49</v>
      </c>
    </row>
    <row r="363" spans="1:7" x14ac:dyDescent="0.25">
      <c r="A363" s="150" t="s">
        <v>35</v>
      </c>
      <c r="B363" s="151">
        <f>SUM(B353:B362)</f>
        <v>44</v>
      </c>
      <c r="C363" s="151">
        <f t="shared" ref="C363:G363" si="8">SUM(C353:C362)</f>
        <v>13557</v>
      </c>
      <c r="D363" s="151">
        <f t="shared" si="8"/>
        <v>11</v>
      </c>
      <c r="E363" s="151">
        <f t="shared" si="8"/>
        <v>3199</v>
      </c>
      <c r="F363" s="151">
        <f t="shared" si="8"/>
        <v>333</v>
      </c>
      <c r="G363" s="151">
        <f t="shared" si="8"/>
        <v>17144</v>
      </c>
    </row>
    <row r="364" spans="1:7" x14ac:dyDescent="0.25">
      <c r="A364" s="150"/>
      <c r="B364" s="150"/>
      <c r="C364" s="150"/>
      <c r="D364" s="161"/>
      <c r="E364" s="161"/>
      <c r="F364" s="158"/>
    </row>
    <row r="368" spans="1:7" ht="45" x14ac:dyDescent="0.25">
      <c r="A368" s="150" t="s">
        <v>513</v>
      </c>
      <c r="B368" s="150" t="s">
        <v>514</v>
      </c>
      <c r="C368" s="150">
        <v>12</v>
      </c>
      <c r="D368" s="168"/>
      <c r="E368" s="168"/>
      <c r="F368" s="168"/>
      <c r="G368" s="169"/>
    </row>
    <row r="369" spans="1:9" x14ac:dyDescent="0.25">
      <c r="A369" s="150"/>
      <c r="B369" s="150"/>
      <c r="C369" s="150"/>
      <c r="D369" s="150"/>
      <c r="G369" s="157"/>
    </row>
    <row r="370" spans="1:9" x14ac:dyDescent="0.25">
      <c r="A370" s="150"/>
      <c r="B370" s="150"/>
      <c r="C370" s="150"/>
      <c r="D370" s="168"/>
      <c r="E370" s="168"/>
      <c r="F370" s="169"/>
      <c r="G370" s="157"/>
    </row>
    <row r="371" spans="1:9" ht="30" x14ac:dyDescent="0.25">
      <c r="A371" s="170"/>
      <c r="B371" s="170" t="s">
        <v>512</v>
      </c>
      <c r="C371" s="170"/>
      <c r="F371" s="157"/>
      <c r="G371" s="170"/>
    </row>
    <row r="372" spans="1:9" x14ac:dyDescent="0.25">
      <c r="A372" s="173" t="s">
        <v>137</v>
      </c>
      <c r="B372" s="173" t="s">
        <v>491</v>
      </c>
      <c r="C372" s="173" t="s">
        <v>492</v>
      </c>
      <c r="D372" s="173" t="s">
        <v>493</v>
      </c>
      <c r="E372" s="166" t="s">
        <v>494</v>
      </c>
      <c r="F372" s="173" t="s">
        <v>495</v>
      </c>
      <c r="G372" s="173" t="s">
        <v>35</v>
      </c>
    </row>
    <row r="373" spans="1:9" x14ac:dyDescent="0.25">
      <c r="A373" s="173"/>
      <c r="B373" s="173"/>
      <c r="C373" s="173"/>
      <c r="D373" s="166"/>
      <c r="E373" s="166"/>
      <c r="F373" s="166"/>
      <c r="G373" s="166"/>
      <c r="H373" s="172"/>
    </row>
    <row r="374" spans="1:9" ht="30" x14ac:dyDescent="0.25">
      <c r="A374" s="173" t="s">
        <v>384</v>
      </c>
      <c r="B374" s="173">
        <v>1</v>
      </c>
      <c r="C374" s="173">
        <v>101</v>
      </c>
      <c r="D374" s="166"/>
      <c r="E374" s="173">
        <v>33</v>
      </c>
      <c r="F374" s="173">
        <v>4</v>
      </c>
      <c r="G374" s="173">
        <v>139</v>
      </c>
    </row>
    <row r="375" spans="1:9" ht="30" x14ac:dyDescent="0.25">
      <c r="A375" s="173" t="s">
        <v>385</v>
      </c>
      <c r="C375" s="173">
        <v>4</v>
      </c>
      <c r="D375" s="166"/>
      <c r="E375" s="166"/>
      <c r="F375" s="166"/>
      <c r="G375" s="173">
        <v>4</v>
      </c>
    </row>
    <row r="376" spans="1:9" ht="30" x14ac:dyDescent="0.25">
      <c r="A376" s="173" t="s">
        <v>386</v>
      </c>
      <c r="C376" s="173">
        <v>19</v>
      </c>
      <c r="E376" s="173">
        <v>4</v>
      </c>
      <c r="F376" s="173">
        <v>2</v>
      </c>
      <c r="G376" s="173">
        <v>25</v>
      </c>
      <c r="H376" s="185"/>
    </row>
    <row r="377" spans="1:9" x14ac:dyDescent="0.25">
      <c r="A377" s="173" t="s">
        <v>387</v>
      </c>
      <c r="B377" s="173">
        <v>7</v>
      </c>
      <c r="C377" s="186">
        <v>4322</v>
      </c>
      <c r="D377" s="173">
        <v>7</v>
      </c>
      <c r="E377" s="166">
        <v>872</v>
      </c>
      <c r="F377" s="173">
        <v>107</v>
      </c>
      <c r="G377" s="189">
        <v>5315</v>
      </c>
      <c r="H377" s="185"/>
    </row>
    <row r="378" spans="1:9" x14ac:dyDescent="0.25">
      <c r="A378" s="173" t="s">
        <v>388</v>
      </c>
      <c r="B378" s="173">
        <v>3</v>
      </c>
      <c r="C378" s="173">
        <v>918</v>
      </c>
      <c r="E378" s="173">
        <v>182</v>
      </c>
      <c r="F378" s="173">
        <v>17</v>
      </c>
      <c r="G378" s="189">
        <v>1120</v>
      </c>
    </row>
    <row r="379" spans="1:9" ht="30" x14ac:dyDescent="0.25">
      <c r="A379" s="173" t="s">
        <v>389</v>
      </c>
      <c r="B379" s="173"/>
      <c r="C379" s="173">
        <v>65</v>
      </c>
      <c r="E379" s="173">
        <v>13</v>
      </c>
      <c r="F379" s="173">
        <v>2</v>
      </c>
      <c r="G379" s="190">
        <v>80</v>
      </c>
      <c r="I379" s="185"/>
    </row>
    <row r="380" spans="1:9" ht="30" x14ac:dyDescent="0.25">
      <c r="A380" s="173" t="s">
        <v>390</v>
      </c>
      <c r="B380" s="173">
        <v>71</v>
      </c>
      <c r="C380" s="186">
        <v>19979</v>
      </c>
      <c r="D380" s="173">
        <v>32</v>
      </c>
      <c r="E380" s="187">
        <v>4673</v>
      </c>
      <c r="F380" s="173">
        <v>454</v>
      </c>
      <c r="G380" s="189">
        <v>25209</v>
      </c>
    </row>
    <row r="381" spans="1:9" x14ac:dyDescent="0.25">
      <c r="A381" s="173" t="s">
        <v>391</v>
      </c>
      <c r="B381" s="173"/>
      <c r="C381" s="173">
        <v>15</v>
      </c>
      <c r="F381" s="173">
        <v>1</v>
      </c>
      <c r="G381" s="190">
        <v>16</v>
      </c>
    </row>
    <row r="382" spans="1:9" ht="30" x14ac:dyDescent="0.25">
      <c r="A382" s="173" t="s">
        <v>392</v>
      </c>
      <c r="B382" s="173"/>
      <c r="C382" s="173">
        <v>28</v>
      </c>
      <c r="E382" s="173">
        <v>7</v>
      </c>
      <c r="G382" s="190">
        <v>35</v>
      </c>
    </row>
    <row r="383" spans="1:9" x14ac:dyDescent="0.25">
      <c r="A383" s="173" t="s">
        <v>393</v>
      </c>
      <c r="B383" s="173"/>
      <c r="C383" s="173">
        <v>3</v>
      </c>
      <c r="D383" s="173"/>
      <c r="E383" s="173"/>
      <c r="F383" s="173">
        <v>1</v>
      </c>
      <c r="G383" s="190">
        <v>4</v>
      </c>
    </row>
    <row r="384" spans="1:9" ht="30" x14ac:dyDescent="0.25">
      <c r="A384" s="173" t="s">
        <v>394</v>
      </c>
      <c r="B384" s="173"/>
      <c r="C384" s="173">
        <v>4</v>
      </c>
      <c r="D384" s="173"/>
      <c r="E384" s="173">
        <v>2</v>
      </c>
      <c r="G384" s="190">
        <v>6</v>
      </c>
    </row>
    <row r="385" spans="1:8" x14ac:dyDescent="0.25">
      <c r="A385" s="173"/>
      <c r="B385" s="166"/>
      <c r="C385" s="166"/>
      <c r="D385" s="166"/>
      <c r="E385" s="166"/>
      <c r="F385" s="166"/>
      <c r="G385" s="167"/>
      <c r="H385" s="185"/>
    </row>
    <row r="386" spans="1:8" x14ac:dyDescent="0.25">
      <c r="A386" s="173" t="s">
        <v>35</v>
      </c>
      <c r="B386" s="188">
        <f>SUM(B374:B385)</f>
        <v>82</v>
      </c>
      <c r="C386" s="188">
        <f t="shared" ref="C386:G386" si="9">SUM(C374:C385)</f>
        <v>25458</v>
      </c>
      <c r="D386" s="188">
        <f t="shared" si="9"/>
        <v>39</v>
      </c>
      <c r="E386" s="188">
        <f t="shared" si="9"/>
        <v>5786</v>
      </c>
      <c r="F386" s="188">
        <f t="shared" si="9"/>
        <v>588</v>
      </c>
      <c r="G386" s="191">
        <f t="shared" si="9"/>
        <v>31953</v>
      </c>
    </row>
    <row r="387" spans="1:8" x14ac:dyDescent="0.25">
      <c r="A387" s="171"/>
      <c r="B387" s="171"/>
      <c r="C387" s="171"/>
      <c r="D387" s="161"/>
      <c r="E387" s="161"/>
      <c r="F387" s="158"/>
    </row>
    <row r="390" spans="1:8" ht="45" x14ac:dyDescent="0.25">
      <c r="A390" s="150" t="s">
        <v>395</v>
      </c>
      <c r="B390" s="168"/>
      <c r="C390" s="168"/>
      <c r="D390" s="168"/>
      <c r="E390" s="168"/>
      <c r="F390" s="169"/>
    </row>
    <row r="391" spans="1:8" x14ac:dyDescent="0.25">
      <c r="A391" s="150"/>
      <c r="B391" s="150"/>
      <c r="C391" s="150"/>
      <c r="F391" s="157"/>
    </row>
    <row r="392" spans="1:8" ht="30" x14ac:dyDescent="0.25">
      <c r="A392" s="150"/>
      <c r="B392" s="150" t="s">
        <v>512</v>
      </c>
      <c r="C392" s="150"/>
      <c r="F392" s="157"/>
    </row>
    <row r="393" spans="1:8" x14ac:dyDescent="0.25">
      <c r="A393" s="150" t="s">
        <v>137</v>
      </c>
      <c r="B393" s="150" t="s">
        <v>491</v>
      </c>
      <c r="C393" s="150" t="s">
        <v>492</v>
      </c>
      <c r="D393" s="150" t="s">
        <v>493</v>
      </c>
      <c r="E393" t="s">
        <v>494</v>
      </c>
      <c r="F393" s="150" t="s">
        <v>495</v>
      </c>
      <c r="G393" s="150" t="s">
        <v>35</v>
      </c>
    </row>
    <row r="394" spans="1:8" x14ac:dyDescent="0.25">
      <c r="A394" s="150"/>
      <c r="B394" s="150"/>
      <c r="C394" s="150"/>
      <c r="G394" s="157"/>
    </row>
    <row r="395" spans="1:8" x14ac:dyDescent="0.25">
      <c r="A395" s="150" t="s">
        <v>396</v>
      </c>
      <c r="B395" s="150">
        <v>1</v>
      </c>
      <c r="C395" s="150">
        <v>924</v>
      </c>
      <c r="D395" s="150">
        <v>1</v>
      </c>
      <c r="E395">
        <v>119</v>
      </c>
      <c r="F395" s="150">
        <v>21</v>
      </c>
      <c r="G395" s="160">
        <v>1066</v>
      </c>
    </row>
    <row r="396" spans="1:8" x14ac:dyDescent="0.25">
      <c r="A396" s="150" t="s">
        <v>397</v>
      </c>
      <c r="B396" s="150">
        <v>17</v>
      </c>
      <c r="C396" s="160">
        <v>12230</v>
      </c>
      <c r="D396" s="150">
        <v>9</v>
      </c>
      <c r="E396" s="159">
        <v>1993</v>
      </c>
      <c r="F396" s="150">
        <v>282</v>
      </c>
      <c r="G396" s="160">
        <v>14531</v>
      </c>
    </row>
    <row r="397" spans="1:8" ht="30" x14ac:dyDescent="0.25">
      <c r="A397" s="150" t="s">
        <v>398</v>
      </c>
      <c r="B397" s="150">
        <v>6</v>
      </c>
      <c r="C397" s="160">
        <v>2917</v>
      </c>
      <c r="D397" s="150">
        <v>1</v>
      </c>
      <c r="E397">
        <v>571</v>
      </c>
      <c r="F397" s="150">
        <v>86</v>
      </c>
      <c r="G397" s="160">
        <v>3581</v>
      </c>
    </row>
    <row r="398" spans="1:8" x14ac:dyDescent="0.25">
      <c r="A398" s="150" t="s">
        <v>399</v>
      </c>
      <c r="B398" s="150">
        <v>38</v>
      </c>
      <c r="C398" s="160">
        <v>13179</v>
      </c>
      <c r="D398" s="150">
        <v>5</v>
      </c>
      <c r="E398" s="159">
        <v>2692</v>
      </c>
      <c r="F398" s="150">
        <v>261</v>
      </c>
      <c r="G398" s="160">
        <v>16175</v>
      </c>
    </row>
    <row r="399" spans="1:8" ht="30" x14ac:dyDescent="0.25">
      <c r="A399" s="150" t="s">
        <v>400</v>
      </c>
      <c r="B399" s="150">
        <v>62</v>
      </c>
      <c r="C399" s="160">
        <v>25815</v>
      </c>
      <c r="D399" s="150">
        <v>11</v>
      </c>
      <c r="E399" s="159">
        <v>3671</v>
      </c>
      <c r="F399" s="150">
        <v>485</v>
      </c>
      <c r="G399" s="160">
        <v>30044</v>
      </c>
    </row>
    <row r="400" spans="1:8" x14ac:dyDescent="0.25">
      <c r="A400" s="150" t="s">
        <v>401</v>
      </c>
      <c r="B400" s="150">
        <v>29</v>
      </c>
      <c r="C400" s="160">
        <v>12648</v>
      </c>
      <c r="D400" s="150">
        <v>7</v>
      </c>
      <c r="E400" s="159">
        <v>2490</v>
      </c>
      <c r="F400" s="150">
        <v>406</v>
      </c>
      <c r="G400" s="160">
        <v>15580</v>
      </c>
    </row>
    <row r="401" spans="1:7" x14ac:dyDescent="0.25">
      <c r="A401" s="150" t="s">
        <v>402</v>
      </c>
      <c r="B401" s="150">
        <v>66</v>
      </c>
      <c r="C401" s="160">
        <v>25984</v>
      </c>
      <c r="D401" s="150">
        <v>9</v>
      </c>
      <c r="E401" s="159">
        <v>4636</v>
      </c>
      <c r="F401" s="150">
        <v>488</v>
      </c>
      <c r="G401" s="160">
        <v>31183</v>
      </c>
    </row>
    <row r="402" spans="1:7" x14ac:dyDescent="0.25">
      <c r="A402" s="150" t="s">
        <v>403</v>
      </c>
      <c r="B402" s="150">
        <v>4</v>
      </c>
      <c r="C402" s="160">
        <v>5170</v>
      </c>
      <c r="D402" s="150">
        <v>1</v>
      </c>
      <c r="E402">
        <v>887</v>
      </c>
      <c r="F402" s="150">
        <v>158</v>
      </c>
      <c r="G402" s="160">
        <v>6220</v>
      </c>
    </row>
    <row r="403" spans="1:7" x14ac:dyDescent="0.25">
      <c r="A403" s="150" t="s">
        <v>404</v>
      </c>
      <c r="B403" s="150">
        <v>60</v>
      </c>
      <c r="C403" s="160">
        <v>28734</v>
      </c>
      <c r="D403" s="150">
        <v>22</v>
      </c>
      <c r="E403" s="159">
        <v>4750</v>
      </c>
      <c r="F403" s="150">
        <v>584</v>
      </c>
      <c r="G403" s="160">
        <v>34150</v>
      </c>
    </row>
    <row r="404" spans="1:7" x14ac:dyDescent="0.25">
      <c r="A404" s="150" t="s">
        <v>405</v>
      </c>
      <c r="B404" s="150">
        <v>16</v>
      </c>
      <c r="C404" s="160">
        <v>5174</v>
      </c>
      <c r="D404" s="150">
        <v>2</v>
      </c>
      <c r="E404">
        <v>822</v>
      </c>
      <c r="F404" s="150">
        <v>144</v>
      </c>
      <c r="G404" s="160">
        <v>6158</v>
      </c>
    </row>
    <row r="405" spans="1:7" ht="30" x14ac:dyDescent="0.25">
      <c r="A405" s="150" t="s">
        <v>406</v>
      </c>
      <c r="B405" s="150">
        <v>58</v>
      </c>
      <c r="C405" s="160">
        <v>24111</v>
      </c>
      <c r="D405" s="150">
        <v>18</v>
      </c>
      <c r="E405" s="159">
        <v>4393</v>
      </c>
      <c r="F405" s="150">
        <v>550</v>
      </c>
      <c r="G405" s="160">
        <v>29130</v>
      </c>
    </row>
    <row r="406" spans="1:7" ht="30" x14ac:dyDescent="0.25">
      <c r="A406" s="150" t="s">
        <v>407</v>
      </c>
      <c r="B406" s="150">
        <v>39</v>
      </c>
      <c r="C406" s="160">
        <v>12333</v>
      </c>
      <c r="D406" s="150">
        <v>7</v>
      </c>
      <c r="E406" s="159">
        <v>2733</v>
      </c>
      <c r="F406" s="150">
        <v>301</v>
      </c>
      <c r="G406" s="160">
        <v>15413</v>
      </c>
    </row>
    <row r="407" spans="1:7" ht="30" x14ac:dyDescent="0.25">
      <c r="A407" s="150" t="s">
        <v>408</v>
      </c>
      <c r="B407" s="150">
        <v>33</v>
      </c>
      <c r="C407" s="160">
        <v>14458</v>
      </c>
      <c r="D407" s="150">
        <v>11</v>
      </c>
      <c r="E407" s="159">
        <v>2637</v>
      </c>
      <c r="F407" s="150">
        <v>377</v>
      </c>
      <c r="G407" s="160">
        <v>17516</v>
      </c>
    </row>
    <row r="408" spans="1:7" ht="30" x14ac:dyDescent="0.25">
      <c r="A408" s="150" t="s">
        <v>409</v>
      </c>
      <c r="B408" s="150">
        <v>7</v>
      </c>
      <c r="C408" s="160">
        <v>5267</v>
      </c>
      <c r="D408" s="150">
        <v>2</v>
      </c>
      <c r="E408">
        <v>771</v>
      </c>
      <c r="F408" s="150">
        <v>127</v>
      </c>
      <c r="G408" s="160">
        <v>6174</v>
      </c>
    </row>
    <row r="409" spans="1:7" ht="30" x14ac:dyDescent="0.25">
      <c r="A409" s="150" t="s">
        <v>410</v>
      </c>
      <c r="B409" s="150">
        <v>40</v>
      </c>
      <c r="C409" s="160">
        <v>16217</v>
      </c>
      <c r="D409" s="150">
        <v>5</v>
      </c>
      <c r="E409" s="159">
        <v>2774</v>
      </c>
      <c r="F409" s="150">
        <v>315</v>
      </c>
      <c r="G409" s="160">
        <v>19351</v>
      </c>
    </row>
    <row r="410" spans="1:7" x14ac:dyDescent="0.25">
      <c r="A410" s="150" t="s">
        <v>411</v>
      </c>
      <c r="B410" s="150">
        <v>143</v>
      </c>
      <c r="C410" s="160">
        <v>60425</v>
      </c>
      <c r="D410" s="150">
        <v>33</v>
      </c>
      <c r="E410" s="159">
        <v>13569</v>
      </c>
      <c r="F410" s="160">
        <v>1419</v>
      </c>
      <c r="G410" s="160">
        <v>75589</v>
      </c>
    </row>
    <row r="411" spans="1:7" x14ac:dyDescent="0.25">
      <c r="A411" s="150" t="s">
        <v>412</v>
      </c>
      <c r="B411" s="150">
        <v>56</v>
      </c>
      <c r="C411" s="160">
        <v>22154</v>
      </c>
      <c r="D411" s="150">
        <v>8</v>
      </c>
      <c r="E411" s="159">
        <v>3556</v>
      </c>
      <c r="F411" s="150">
        <v>449</v>
      </c>
      <c r="G411" s="160">
        <v>26223</v>
      </c>
    </row>
    <row r="412" spans="1:7" ht="30" x14ac:dyDescent="0.25">
      <c r="A412" s="150" t="s">
        <v>413</v>
      </c>
      <c r="B412" s="150">
        <v>74</v>
      </c>
      <c r="C412" s="160">
        <v>28470</v>
      </c>
      <c r="D412" s="150">
        <v>6</v>
      </c>
      <c r="E412" s="159">
        <v>3852</v>
      </c>
      <c r="F412" s="150">
        <v>642</v>
      </c>
      <c r="G412" s="160">
        <v>33044</v>
      </c>
    </row>
    <row r="413" spans="1:7" x14ac:dyDescent="0.25">
      <c r="A413" s="150" t="s">
        <v>414</v>
      </c>
      <c r="B413" s="150">
        <v>18</v>
      </c>
      <c r="C413" s="160">
        <v>10581</v>
      </c>
      <c r="D413" s="150">
        <v>3</v>
      </c>
      <c r="E413" s="159">
        <v>2744</v>
      </c>
      <c r="F413" s="150">
        <v>327</v>
      </c>
      <c r="G413" s="160">
        <v>13673</v>
      </c>
    </row>
    <row r="414" spans="1:7" x14ac:dyDescent="0.25">
      <c r="A414" s="150" t="s">
        <v>415</v>
      </c>
      <c r="B414" s="150">
        <v>22</v>
      </c>
      <c r="C414" s="160">
        <v>8601</v>
      </c>
      <c r="D414" s="150">
        <v>4</v>
      </c>
      <c r="E414" s="159">
        <v>1394</v>
      </c>
      <c r="F414" s="150">
        <v>378</v>
      </c>
      <c r="G414" s="160">
        <v>10399</v>
      </c>
    </row>
    <row r="415" spans="1:7" ht="30" x14ac:dyDescent="0.25">
      <c r="A415" s="150" t="s">
        <v>416</v>
      </c>
      <c r="B415" s="150">
        <v>47</v>
      </c>
      <c r="C415" s="160">
        <v>25934</v>
      </c>
      <c r="D415" s="150">
        <v>19</v>
      </c>
      <c r="E415" s="159">
        <v>11809</v>
      </c>
      <c r="F415" s="150">
        <v>995</v>
      </c>
      <c r="G415" s="160">
        <v>38804</v>
      </c>
    </row>
    <row r="416" spans="1:7" ht="45" x14ac:dyDescent="0.25">
      <c r="A416" s="150" t="s">
        <v>417</v>
      </c>
      <c r="B416" s="150">
        <v>13</v>
      </c>
      <c r="C416" s="160">
        <v>5898</v>
      </c>
      <c r="D416" s="150">
        <v>3</v>
      </c>
      <c r="E416" s="159">
        <v>1373</v>
      </c>
      <c r="F416" s="150">
        <v>225</v>
      </c>
      <c r="G416" s="160">
        <v>7512</v>
      </c>
    </row>
    <row r="417" spans="1:7" x14ac:dyDescent="0.25">
      <c r="A417" s="150" t="s">
        <v>418</v>
      </c>
      <c r="B417" s="150">
        <v>66</v>
      </c>
      <c r="C417" s="160">
        <v>19232</v>
      </c>
      <c r="D417" s="150">
        <v>7</v>
      </c>
      <c r="E417" s="159">
        <v>2796</v>
      </c>
      <c r="F417" s="150">
        <v>398</v>
      </c>
      <c r="G417" s="160">
        <v>22499</v>
      </c>
    </row>
    <row r="418" spans="1:7" x14ac:dyDescent="0.25">
      <c r="A418" s="150" t="s">
        <v>419</v>
      </c>
      <c r="B418" s="150">
        <v>56</v>
      </c>
      <c r="C418" s="160">
        <v>19634</v>
      </c>
      <c r="D418" s="150">
        <v>8</v>
      </c>
      <c r="E418" s="159">
        <v>3323</v>
      </c>
      <c r="F418" s="150">
        <v>387</v>
      </c>
      <c r="G418" s="160">
        <v>23408</v>
      </c>
    </row>
    <row r="419" spans="1:7" x14ac:dyDescent="0.25">
      <c r="A419" s="150" t="s">
        <v>420</v>
      </c>
      <c r="B419" s="150">
        <v>39</v>
      </c>
      <c r="C419" s="160">
        <v>20899</v>
      </c>
      <c r="D419" s="150">
        <v>11</v>
      </c>
      <c r="E419" s="159">
        <v>3948</v>
      </c>
      <c r="F419" s="150">
        <v>426</v>
      </c>
      <c r="G419" s="160">
        <v>25323</v>
      </c>
    </row>
    <row r="420" spans="1:7" x14ac:dyDescent="0.25">
      <c r="A420" s="150" t="s">
        <v>421</v>
      </c>
      <c r="B420" s="150">
        <v>181</v>
      </c>
      <c r="C420" s="160">
        <v>72617</v>
      </c>
      <c r="D420" s="150">
        <v>61</v>
      </c>
      <c r="E420" s="159">
        <v>16053</v>
      </c>
      <c r="F420" s="160">
        <v>1674</v>
      </c>
      <c r="G420" s="160">
        <v>90586</v>
      </c>
    </row>
    <row r="421" spans="1:7" ht="30" x14ac:dyDescent="0.25">
      <c r="A421" s="150" t="s">
        <v>422</v>
      </c>
      <c r="B421" s="150">
        <v>8</v>
      </c>
      <c r="C421" s="160">
        <v>2095</v>
      </c>
      <c r="E421" s="150">
        <v>515</v>
      </c>
      <c r="F421" s="150">
        <v>49</v>
      </c>
      <c r="G421" s="160">
        <v>2667</v>
      </c>
    </row>
    <row r="422" spans="1:7" x14ac:dyDescent="0.25">
      <c r="A422" s="150" t="s">
        <v>423</v>
      </c>
      <c r="B422" s="150">
        <v>54</v>
      </c>
      <c r="C422" s="160">
        <v>21093</v>
      </c>
      <c r="D422" s="150">
        <v>13</v>
      </c>
      <c r="E422" s="159">
        <v>3862</v>
      </c>
      <c r="F422" s="150">
        <v>467</v>
      </c>
      <c r="G422" s="160">
        <v>25489</v>
      </c>
    </row>
    <row r="423" spans="1:7" ht="30" x14ac:dyDescent="0.25">
      <c r="A423" s="150" t="s">
        <v>424</v>
      </c>
      <c r="B423" s="150">
        <v>20</v>
      </c>
      <c r="C423" s="160">
        <v>8171</v>
      </c>
      <c r="D423" s="150">
        <v>2</v>
      </c>
      <c r="E423" s="159">
        <v>1386</v>
      </c>
      <c r="F423" s="150">
        <v>233</v>
      </c>
      <c r="G423" s="160">
        <v>9812</v>
      </c>
    </row>
    <row r="424" spans="1:7" x14ac:dyDescent="0.25">
      <c r="A424" s="150" t="s">
        <v>425</v>
      </c>
      <c r="B424" s="150">
        <v>24</v>
      </c>
      <c r="C424" s="160">
        <v>9511</v>
      </c>
      <c r="D424" s="150">
        <v>2</v>
      </c>
      <c r="E424" s="159">
        <v>1446</v>
      </c>
      <c r="F424" s="150">
        <v>258</v>
      </c>
      <c r="G424" s="160">
        <v>11241</v>
      </c>
    </row>
    <row r="425" spans="1:7" ht="45" x14ac:dyDescent="0.25">
      <c r="A425" s="150" t="s">
        <v>426</v>
      </c>
      <c r="B425" s="150">
        <v>49</v>
      </c>
      <c r="C425" s="160">
        <v>22381</v>
      </c>
      <c r="D425" s="150">
        <v>17</v>
      </c>
      <c r="E425" s="159">
        <v>3608</v>
      </c>
      <c r="F425" s="150">
        <v>479</v>
      </c>
      <c r="G425" s="160">
        <v>26534</v>
      </c>
    </row>
    <row r="426" spans="1:7" x14ac:dyDescent="0.25">
      <c r="A426" s="150" t="s">
        <v>509</v>
      </c>
      <c r="B426" s="150">
        <v>22</v>
      </c>
      <c r="C426" s="160">
        <v>13162</v>
      </c>
      <c r="D426" s="150">
        <v>7</v>
      </c>
      <c r="E426" s="159">
        <v>2639</v>
      </c>
      <c r="F426" s="150">
        <v>275</v>
      </c>
      <c r="G426" s="160">
        <v>16105</v>
      </c>
    </row>
    <row r="427" spans="1:7" x14ac:dyDescent="0.25">
      <c r="A427" s="150" t="s">
        <v>510</v>
      </c>
      <c r="B427" s="150">
        <v>78</v>
      </c>
      <c r="C427" s="160">
        <v>34107</v>
      </c>
      <c r="D427" s="150">
        <v>13</v>
      </c>
      <c r="E427" s="159">
        <v>5884</v>
      </c>
      <c r="F427" s="150">
        <v>805</v>
      </c>
      <c r="G427" s="160">
        <v>40887</v>
      </c>
    </row>
    <row r="428" spans="1:7" x14ac:dyDescent="0.25">
      <c r="A428" s="150" t="s">
        <v>427</v>
      </c>
      <c r="B428" s="150">
        <v>7</v>
      </c>
      <c r="C428" s="160">
        <v>3175</v>
      </c>
      <c r="D428" s="150">
        <v>1</v>
      </c>
      <c r="E428">
        <v>611</v>
      </c>
      <c r="F428" s="150">
        <v>103</v>
      </c>
      <c r="G428" s="160">
        <v>3897</v>
      </c>
    </row>
    <row r="429" spans="1:7" ht="30" x14ac:dyDescent="0.25">
      <c r="A429" s="150" t="s">
        <v>428</v>
      </c>
      <c r="B429" s="150">
        <v>22</v>
      </c>
      <c r="C429" s="160">
        <v>12602</v>
      </c>
      <c r="D429" s="150">
        <v>7</v>
      </c>
      <c r="E429" s="159">
        <v>4503</v>
      </c>
      <c r="F429" s="150">
        <v>493</v>
      </c>
      <c r="G429" s="160">
        <v>17627</v>
      </c>
    </row>
    <row r="430" spans="1:7" x14ac:dyDescent="0.25">
      <c r="A430" s="150" t="s">
        <v>429</v>
      </c>
      <c r="B430" s="150">
        <v>82</v>
      </c>
      <c r="C430" s="160">
        <v>31452</v>
      </c>
      <c r="D430" s="150">
        <v>25</v>
      </c>
      <c r="E430" s="159">
        <v>5262</v>
      </c>
      <c r="F430" s="150">
        <v>839</v>
      </c>
      <c r="G430" s="160">
        <v>37660</v>
      </c>
    </row>
    <row r="431" spans="1:7" ht="30" x14ac:dyDescent="0.25">
      <c r="A431" s="150" t="s">
        <v>430</v>
      </c>
      <c r="B431" s="150">
        <v>139</v>
      </c>
      <c r="C431" s="160">
        <v>71068</v>
      </c>
      <c r="D431" s="150">
        <v>25</v>
      </c>
      <c r="E431" s="159">
        <v>11252</v>
      </c>
      <c r="F431" s="160">
        <v>1837</v>
      </c>
      <c r="G431" s="160">
        <v>84321</v>
      </c>
    </row>
    <row r="432" spans="1:7" x14ac:dyDescent="0.25">
      <c r="A432" s="150" t="s">
        <v>431</v>
      </c>
      <c r="B432" s="150">
        <v>46</v>
      </c>
      <c r="C432" s="160">
        <v>18143</v>
      </c>
      <c r="D432" s="150">
        <v>6</v>
      </c>
      <c r="E432" s="159">
        <v>3143</v>
      </c>
      <c r="F432" s="150">
        <v>568</v>
      </c>
      <c r="G432" s="160">
        <v>21906</v>
      </c>
    </row>
    <row r="433" spans="1:7" ht="30" x14ac:dyDescent="0.25">
      <c r="A433" s="150" t="s">
        <v>432</v>
      </c>
      <c r="B433" s="150">
        <v>49</v>
      </c>
      <c r="C433" s="160">
        <v>21030</v>
      </c>
      <c r="D433" s="150">
        <v>4</v>
      </c>
      <c r="E433" s="159">
        <v>3207</v>
      </c>
      <c r="F433" s="150">
        <v>438</v>
      </c>
      <c r="G433" s="160">
        <v>24728</v>
      </c>
    </row>
    <row r="434" spans="1:7" x14ac:dyDescent="0.25">
      <c r="A434" s="150" t="s">
        <v>433</v>
      </c>
      <c r="B434" s="150">
        <v>89</v>
      </c>
      <c r="C434" s="160">
        <v>28084</v>
      </c>
      <c r="D434" s="150">
        <v>6</v>
      </c>
      <c r="E434" s="159">
        <v>4734</v>
      </c>
      <c r="F434" s="150">
        <v>625</v>
      </c>
      <c r="G434" s="160">
        <v>33538</v>
      </c>
    </row>
    <row r="435" spans="1:7" x14ac:dyDescent="0.25">
      <c r="A435" s="150" t="s">
        <v>434</v>
      </c>
      <c r="B435" s="150">
        <v>50</v>
      </c>
      <c r="C435" s="160">
        <v>23517</v>
      </c>
      <c r="D435" s="150">
        <v>10</v>
      </c>
      <c r="E435" s="159">
        <v>3534</v>
      </c>
      <c r="F435" s="150">
        <v>544</v>
      </c>
      <c r="G435" s="160">
        <v>27655</v>
      </c>
    </row>
    <row r="436" spans="1:7" ht="30" x14ac:dyDescent="0.25">
      <c r="A436" s="150" t="s">
        <v>435</v>
      </c>
      <c r="B436" s="150">
        <v>87</v>
      </c>
      <c r="C436" s="160">
        <v>40881</v>
      </c>
      <c r="D436" s="150">
        <v>25</v>
      </c>
      <c r="E436" s="159">
        <v>6718</v>
      </c>
      <c r="F436" s="160">
        <v>1025</v>
      </c>
      <c r="G436" s="160">
        <v>48736</v>
      </c>
    </row>
    <row r="437" spans="1:7" ht="30" x14ac:dyDescent="0.25">
      <c r="A437" s="150" t="s">
        <v>436</v>
      </c>
      <c r="B437" s="150">
        <v>50</v>
      </c>
      <c r="C437" s="160">
        <v>19809</v>
      </c>
      <c r="D437" s="150">
        <v>8</v>
      </c>
      <c r="E437" s="159">
        <v>2971</v>
      </c>
      <c r="F437" s="150">
        <v>448</v>
      </c>
      <c r="G437" s="160">
        <v>23286</v>
      </c>
    </row>
    <row r="438" spans="1:7" ht="30" x14ac:dyDescent="0.25">
      <c r="A438" s="150" t="s">
        <v>437</v>
      </c>
      <c r="B438" s="150">
        <v>3</v>
      </c>
      <c r="C438" s="160">
        <v>2383</v>
      </c>
      <c r="D438" s="150">
        <v>1</v>
      </c>
      <c r="E438">
        <v>492</v>
      </c>
      <c r="F438" s="150">
        <v>53</v>
      </c>
      <c r="G438" s="160">
        <v>2932</v>
      </c>
    </row>
    <row r="439" spans="1:7" ht="30" x14ac:dyDescent="0.25">
      <c r="A439" s="150" t="s">
        <v>438</v>
      </c>
      <c r="B439" s="150">
        <v>49</v>
      </c>
      <c r="C439" s="160">
        <v>16683</v>
      </c>
      <c r="D439" s="150">
        <v>5</v>
      </c>
      <c r="E439" s="159">
        <v>3202</v>
      </c>
      <c r="F439" s="150">
        <v>431</v>
      </c>
      <c r="G439" s="160">
        <v>20370</v>
      </c>
    </row>
    <row r="440" spans="1:7" x14ac:dyDescent="0.25">
      <c r="A440" s="150" t="s">
        <v>439</v>
      </c>
      <c r="B440" s="150">
        <v>6</v>
      </c>
      <c r="C440" s="160">
        <v>1653</v>
      </c>
      <c r="D440" s="150">
        <v>2</v>
      </c>
      <c r="E440">
        <v>321</v>
      </c>
      <c r="F440" s="150">
        <v>47</v>
      </c>
      <c r="G440" s="160">
        <v>2029</v>
      </c>
    </row>
    <row r="441" spans="1:7" ht="30" x14ac:dyDescent="0.25">
      <c r="A441" s="150" t="s">
        <v>440</v>
      </c>
      <c r="B441" s="150">
        <v>45</v>
      </c>
      <c r="C441" s="160">
        <v>17432</v>
      </c>
      <c r="D441" s="150">
        <v>5</v>
      </c>
      <c r="E441" s="159">
        <v>2147</v>
      </c>
      <c r="F441" s="150">
        <v>292</v>
      </c>
      <c r="G441" s="160">
        <v>19921</v>
      </c>
    </row>
    <row r="442" spans="1:7" x14ac:dyDescent="0.25">
      <c r="A442" s="150" t="s">
        <v>441</v>
      </c>
      <c r="B442" s="150">
        <v>420</v>
      </c>
      <c r="C442" s="160">
        <v>53928</v>
      </c>
      <c r="D442" s="150">
        <v>14</v>
      </c>
      <c r="E442" s="159">
        <v>10554</v>
      </c>
      <c r="F442" s="160">
        <v>1765</v>
      </c>
      <c r="G442" s="160">
        <v>66681</v>
      </c>
    </row>
    <row r="443" spans="1:7" x14ac:dyDescent="0.25">
      <c r="A443" s="150" t="s">
        <v>442</v>
      </c>
      <c r="B443" s="150">
        <v>22</v>
      </c>
      <c r="C443" s="160">
        <v>10410</v>
      </c>
      <c r="D443" s="150">
        <v>10</v>
      </c>
      <c r="E443" s="159">
        <v>1956</v>
      </c>
      <c r="F443" s="150">
        <v>255</v>
      </c>
      <c r="G443" s="160">
        <v>12653</v>
      </c>
    </row>
    <row r="444" spans="1:7" x14ac:dyDescent="0.25">
      <c r="A444" s="150" t="s">
        <v>443</v>
      </c>
      <c r="B444" s="150">
        <v>6</v>
      </c>
      <c r="C444" s="160">
        <v>2581</v>
      </c>
      <c r="E444" s="150">
        <v>416</v>
      </c>
      <c r="F444" s="150">
        <v>58</v>
      </c>
      <c r="G444" s="160">
        <v>3061</v>
      </c>
    </row>
    <row r="445" spans="1:7" x14ac:dyDescent="0.25">
      <c r="A445" s="150" t="s">
        <v>444</v>
      </c>
      <c r="B445" s="150">
        <v>7</v>
      </c>
      <c r="C445" s="160">
        <v>4977</v>
      </c>
      <c r="E445" s="160">
        <v>2219</v>
      </c>
      <c r="F445" s="150">
        <v>223</v>
      </c>
      <c r="G445" s="160">
        <v>7426</v>
      </c>
    </row>
    <row r="446" spans="1:7" x14ac:dyDescent="0.25">
      <c r="A446" s="150" t="s">
        <v>511</v>
      </c>
      <c r="B446" s="150">
        <v>56</v>
      </c>
      <c r="C446" s="160">
        <v>28379</v>
      </c>
      <c r="D446" s="150">
        <v>13</v>
      </c>
      <c r="E446" s="159">
        <v>7415</v>
      </c>
      <c r="F446" s="150">
        <v>772</v>
      </c>
      <c r="G446" s="160">
        <v>36635</v>
      </c>
    </row>
    <row r="447" spans="1:7" x14ac:dyDescent="0.25">
      <c r="A447" s="150"/>
      <c r="G447" s="157"/>
    </row>
    <row r="448" spans="1:7" x14ac:dyDescent="0.25">
      <c r="A448" s="150" t="s">
        <v>35</v>
      </c>
      <c r="B448" s="160">
        <f>SUM(B395:B447)</f>
        <v>2681</v>
      </c>
      <c r="C448" s="160">
        <f t="shared" ref="C448:G448" si="10">SUM(C395:C447)</f>
        <v>1018313</v>
      </c>
      <c r="D448" s="160">
        <f t="shared" si="10"/>
        <v>495</v>
      </c>
      <c r="E448" s="160">
        <f t="shared" si="10"/>
        <v>194353</v>
      </c>
      <c r="F448" s="160">
        <f t="shared" si="10"/>
        <v>25287</v>
      </c>
      <c r="G448" s="160">
        <f t="shared" si="10"/>
        <v>1241129</v>
      </c>
    </row>
    <row r="449" spans="1:7" x14ac:dyDescent="0.25">
      <c r="A449" s="150"/>
      <c r="B449" s="150"/>
      <c r="C449" s="150"/>
      <c r="D449" s="161"/>
      <c r="F449" s="161"/>
      <c r="G449" s="158"/>
    </row>
    <row r="454" spans="1:7" ht="45" x14ac:dyDescent="0.25">
      <c r="A454" s="150" t="s">
        <v>445</v>
      </c>
      <c r="B454" s="168"/>
      <c r="C454" s="168"/>
      <c r="D454" s="168"/>
      <c r="E454" s="168"/>
      <c r="F454" s="169"/>
    </row>
    <row r="455" spans="1:7" x14ac:dyDescent="0.25">
      <c r="A455" s="150"/>
      <c r="B455" s="150"/>
      <c r="C455" s="150"/>
      <c r="F455" s="157"/>
    </row>
    <row r="456" spans="1:7" ht="30" x14ac:dyDescent="0.25">
      <c r="A456" s="150"/>
      <c r="B456" s="150" t="s">
        <v>512</v>
      </c>
      <c r="C456" s="150"/>
      <c r="F456" s="157"/>
    </row>
    <row r="457" spans="1:7" x14ac:dyDescent="0.25">
      <c r="A457" s="150" t="s">
        <v>137</v>
      </c>
      <c r="B457" s="150" t="s">
        <v>491</v>
      </c>
      <c r="C457" s="150" t="s">
        <v>492</v>
      </c>
      <c r="D457" s="150" t="s">
        <v>493</v>
      </c>
      <c r="E457" s="150" t="s">
        <v>494</v>
      </c>
      <c r="F457" s="150" t="s">
        <v>495</v>
      </c>
      <c r="G457" s="150" t="s">
        <v>35</v>
      </c>
    </row>
    <row r="458" spans="1:7" x14ac:dyDescent="0.25">
      <c r="A458" s="150"/>
      <c r="B458" s="150"/>
      <c r="C458" s="150"/>
      <c r="G458" s="157"/>
    </row>
    <row r="459" spans="1:7" x14ac:dyDescent="0.25">
      <c r="A459" s="150" t="s">
        <v>446</v>
      </c>
      <c r="B459" s="150">
        <v>2</v>
      </c>
      <c r="C459" s="160">
        <v>1040</v>
      </c>
      <c r="D459" s="150">
        <v>1</v>
      </c>
      <c r="E459" s="150">
        <v>159</v>
      </c>
      <c r="F459" s="150">
        <v>13</v>
      </c>
      <c r="G459" s="160">
        <v>1215</v>
      </c>
    </row>
    <row r="460" spans="1:7" x14ac:dyDescent="0.25">
      <c r="A460" s="150" t="s">
        <v>447</v>
      </c>
      <c r="B460" s="150">
        <v>9</v>
      </c>
      <c r="C460" s="160">
        <v>2600</v>
      </c>
      <c r="D460" s="150">
        <v>2</v>
      </c>
      <c r="E460" s="150">
        <v>421</v>
      </c>
      <c r="F460" s="150">
        <v>81</v>
      </c>
      <c r="G460" s="160">
        <v>3113</v>
      </c>
    </row>
    <row r="461" spans="1:7" x14ac:dyDescent="0.25">
      <c r="A461" s="150" t="s">
        <v>448</v>
      </c>
      <c r="B461" s="150">
        <v>22</v>
      </c>
      <c r="C461" s="160">
        <v>8352</v>
      </c>
      <c r="D461" s="150">
        <v>8</v>
      </c>
      <c r="E461" s="160">
        <v>1465</v>
      </c>
      <c r="F461" s="150">
        <v>187</v>
      </c>
      <c r="G461" s="160">
        <v>10034</v>
      </c>
    </row>
    <row r="462" spans="1:7" ht="30" x14ac:dyDescent="0.25">
      <c r="A462" s="150" t="s">
        <v>449</v>
      </c>
      <c r="B462" s="150">
        <v>5</v>
      </c>
      <c r="C462" s="160">
        <v>1993</v>
      </c>
      <c r="D462" s="150">
        <v>1</v>
      </c>
      <c r="E462" s="150">
        <v>282</v>
      </c>
      <c r="F462" s="150">
        <v>48</v>
      </c>
      <c r="G462" s="160">
        <v>2329</v>
      </c>
    </row>
    <row r="463" spans="1:7" x14ac:dyDescent="0.25">
      <c r="A463" s="150" t="s">
        <v>450</v>
      </c>
      <c r="B463" s="150">
        <v>17</v>
      </c>
      <c r="C463" s="160">
        <v>3454</v>
      </c>
      <c r="D463" s="150">
        <v>5</v>
      </c>
      <c r="E463" s="150">
        <v>556</v>
      </c>
      <c r="F463" s="150">
        <v>66</v>
      </c>
      <c r="G463" s="160">
        <v>4098</v>
      </c>
    </row>
    <row r="464" spans="1:7" x14ac:dyDescent="0.25">
      <c r="A464" s="150" t="s">
        <v>451</v>
      </c>
      <c r="B464" s="150">
        <v>10</v>
      </c>
      <c r="C464" s="160">
        <v>3912</v>
      </c>
      <c r="D464" s="150">
        <v>2</v>
      </c>
      <c r="E464" s="150">
        <v>567</v>
      </c>
      <c r="F464" s="150">
        <v>98</v>
      </c>
      <c r="G464" s="160">
        <v>4589</v>
      </c>
    </row>
    <row r="465" spans="1:7" x14ac:dyDescent="0.25">
      <c r="A465" s="150" t="s">
        <v>452</v>
      </c>
      <c r="B465" s="150">
        <v>7</v>
      </c>
      <c r="C465" s="160">
        <v>1486</v>
      </c>
      <c r="D465" s="150">
        <v>1</v>
      </c>
      <c r="E465" s="150">
        <v>250</v>
      </c>
      <c r="F465" s="150">
        <v>24</v>
      </c>
      <c r="G465" s="160">
        <v>1768</v>
      </c>
    </row>
    <row r="466" spans="1:7" x14ac:dyDescent="0.25">
      <c r="A466" s="150" t="s">
        <v>453</v>
      </c>
      <c r="B466" s="150">
        <v>19</v>
      </c>
      <c r="C466" s="160">
        <v>4468</v>
      </c>
      <c r="D466" s="150">
        <v>2</v>
      </c>
      <c r="E466" s="150">
        <v>955</v>
      </c>
      <c r="F466" s="150">
        <v>104</v>
      </c>
      <c r="G466" s="160">
        <v>5548</v>
      </c>
    </row>
    <row r="467" spans="1:7" ht="30" x14ac:dyDescent="0.25">
      <c r="A467" s="150" t="s">
        <v>454</v>
      </c>
      <c r="B467" s="150">
        <v>12</v>
      </c>
      <c r="C467" s="160">
        <v>6294</v>
      </c>
      <c r="D467" s="150">
        <v>5</v>
      </c>
      <c r="E467" s="160">
        <v>1104</v>
      </c>
      <c r="F467" s="150">
        <v>155</v>
      </c>
      <c r="G467" s="160">
        <v>7570</v>
      </c>
    </row>
    <row r="468" spans="1:7" x14ac:dyDescent="0.25">
      <c r="A468" s="150" t="s">
        <v>455</v>
      </c>
      <c r="B468" s="150">
        <v>20</v>
      </c>
      <c r="C468" s="160">
        <v>6998</v>
      </c>
      <c r="D468" s="150">
        <v>11</v>
      </c>
      <c r="E468" s="160">
        <v>1159</v>
      </c>
      <c r="F468" s="150">
        <v>156</v>
      </c>
      <c r="G468" s="160">
        <v>8344</v>
      </c>
    </row>
    <row r="469" spans="1:7" ht="60" x14ac:dyDescent="0.25">
      <c r="A469" s="150" t="s">
        <v>515</v>
      </c>
      <c r="B469" s="150">
        <v>13</v>
      </c>
      <c r="C469" s="160">
        <v>3804</v>
      </c>
      <c r="D469" s="150">
        <v>1</v>
      </c>
      <c r="E469" s="150">
        <v>560</v>
      </c>
      <c r="F469" s="150">
        <v>88</v>
      </c>
      <c r="G469" s="160">
        <v>4466</v>
      </c>
    </row>
    <row r="470" spans="1:7" x14ac:dyDescent="0.25">
      <c r="A470" s="150" t="s">
        <v>457</v>
      </c>
      <c r="B470" s="150">
        <v>97</v>
      </c>
      <c r="C470" s="160">
        <v>27778</v>
      </c>
      <c r="D470" s="150">
        <v>29</v>
      </c>
      <c r="E470" s="160">
        <v>4913</v>
      </c>
      <c r="F470" s="150">
        <v>600</v>
      </c>
      <c r="G470" s="160">
        <v>33417</v>
      </c>
    </row>
    <row r="471" spans="1:7" x14ac:dyDescent="0.25">
      <c r="A471" s="150"/>
      <c r="G471" s="157"/>
    </row>
    <row r="472" spans="1:7" x14ac:dyDescent="0.25">
      <c r="A472" s="150" t="s">
        <v>35</v>
      </c>
      <c r="B472" s="150">
        <v>233</v>
      </c>
      <c r="C472" s="160">
        <v>72179</v>
      </c>
      <c r="D472" s="150">
        <v>68</v>
      </c>
      <c r="E472" s="160">
        <v>12391</v>
      </c>
      <c r="F472" s="160">
        <v>1620</v>
      </c>
      <c r="G472" s="160">
        <v>86491</v>
      </c>
    </row>
    <row r="473" spans="1:7" x14ac:dyDescent="0.25">
      <c r="A473" s="150"/>
      <c r="B473" s="150"/>
      <c r="C473" s="150"/>
      <c r="F473" s="157"/>
    </row>
    <row r="474" spans="1:7" x14ac:dyDescent="0.25">
      <c r="A474" s="150"/>
      <c r="B474" s="161"/>
      <c r="C474" s="161"/>
      <c r="D474" s="161"/>
      <c r="E474" s="161"/>
      <c r="F474" s="158"/>
    </row>
    <row r="478" spans="1:7" ht="45" x14ac:dyDescent="0.25">
      <c r="A478" s="150" t="s">
        <v>513</v>
      </c>
      <c r="B478" s="150" t="s">
        <v>514</v>
      </c>
      <c r="C478" s="150">
        <v>15</v>
      </c>
      <c r="D478" s="168"/>
      <c r="E478" s="168"/>
      <c r="F478" s="169"/>
    </row>
    <row r="479" spans="1:7" x14ac:dyDescent="0.25">
      <c r="A479" s="150"/>
      <c r="B479" s="150"/>
      <c r="C479" s="150"/>
      <c r="D479" s="150"/>
      <c r="F479" s="157"/>
    </row>
    <row r="480" spans="1:7" ht="30" x14ac:dyDescent="0.25">
      <c r="A480" s="150"/>
      <c r="B480" s="150"/>
      <c r="C480" s="150" t="s">
        <v>512</v>
      </c>
      <c r="D480" s="150"/>
      <c r="F480" s="157"/>
    </row>
    <row r="481" spans="1:7" x14ac:dyDescent="0.25">
      <c r="A481" s="150" t="s">
        <v>137</v>
      </c>
      <c r="B481" s="150" t="s">
        <v>491</v>
      </c>
      <c r="C481" s="150" t="s">
        <v>492</v>
      </c>
      <c r="D481" s="150" t="s">
        <v>493</v>
      </c>
      <c r="E481" s="150" t="s">
        <v>494</v>
      </c>
      <c r="F481" s="150" t="s">
        <v>495</v>
      </c>
      <c r="G481" s="150" t="s">
        <v>35</v>
      </c>
    </row>
    <row r="482" spans="1:7" x14ac:dyDescent="0.25">
      <c r="A482" s="150"/>
      <c r="B482" s="150"/>
      <c r="C482" s="150"/>
      <c r="G482" s="157"/>
    </row>
    <row r="483" spans="1:7" x14ac:dyDescent="0.25">
      <c r="A483" s="150" t="s">
        <v>458</v>
      </c>
      <c r="B483" s="150">
        <v>109</v>
      </c>
      <c r="C483" s="160">
        <v>34285</v>
      </c>
      <c r="D483" s="150">
        <v>16</v>
      </c>
      <c r="E483" s="160">
        <v>5811</v>
      </c>
      <c r="F483" s="150">
        <v>828</v>
      </c>
      <c r="G483" s="160">
        <v>41049</v>
      </c>
    </row>
    <row r="484" spans="1:7" ht="30" x14ac:dyDescent="0.25">
      <c r="A484" s="150" t="s">
        <v>459</v>
      </c>
      <c r="B484" s="150"/>
      <c r="C484" s="150">
        <v>75</v>
      </c>
      <c r="E484" s="150">
        <v>15</v>
      </c>
      <c r="F484" s="150">
        <v>1</v>
      </c>
      <c r="G484" s="150">
        <v>91</v>
      </c>
    </row>
    <row r="485" spans="1:7" ht="30" x14ac:dyDescent="0.25">
      <c r="A485" s="150" t="s">
        <v>460</v>
      </c>
      <c r="B485" s="150">
        <v>1</v>
      </c>
      <c r="C485" s="150">
        <v>62</v>
      </c>
      <c r="E485" s="150">
        <v>21</v>
      </c>
      <c r="G485" s="150">
        <v>84</v>
      </c>
    </row>
    <row r="486" spans="1:7" x14ac:dyDescent="0.25">
      <c r="A486" s="150" t="s">
        <v>461</v>
      </c>
      <c r="B486" s="150"/>
      <c r="C486" s="150">
        <v>218</v>
      </c>
      <c r="E486" s="150">
        <v>58</v>
      </c>
      <c r="F486" s="150">
        <v>8</v>
      </c>
      <c r="G486" s="150">
        <v>284</v>
      </c>
    </row>
    <row r="487" spans="1:7" x14ac:dyDescent="0.25">
      <c r="A487" s="150" t="s">
        <v>35</v>
      </c>
      <c r="B487" s="151">
        <f>SUM(B483:B486)</f>
        <v>110</v>
      </c>
      <c r="C487" s="151">
        <f t="shared" ref="C487:F487" si="11">SUM(C483:C486)</f>
        <v>34640</v>
      </c>
      <c r="D487" s="151">
        <f t="shared" si="11"/>
        <v>16</v>
      </c>
      <c r="E487" s="151">
        <f t="shared" si="11"/>
        <v>5905</v>
      </c>
      <c r="F487" s="151">
        <f t="shared" si="11"/>
        <v>837</v>
      </c>
      <c r="G487" s="151">
        <f>SUM(G483:G486)</f>
        <v>41508</v>
      </c>
    </row>
    <row r="488" spans="1:7" x14ac:dyDescent="0.25">
      <c r="A488" s="150"/>
      <c r="B488" s="150"/>
      <c r="C488" s="150"/>
      <c r="D488" s="161"/>
      <c r="E488" s="161"/>
      <c r="F488" s="158"/>
    </row>
    <row r="492" spans="1:7" ht="45" x14ac:dyDescent="0.25">
      <c r="A492" s="150" t="s">
        <v>513</v>
      </c>
      <c r="B492" s="150" t="s">
        <v>514</v>
      </c>
      <c r="C492" s="150">
        <v>16</v>
      </c>
      <c r="D492" s="168"/>
      <c r="E492" s="168"/>
      <c r="F492" s="169"/>
    </row>
    <row r="493" spans="1:7" x14ac:dyDescent="0.25">
      <c r="A493" s="150"/>
      <c r="B493" s="150"/>
      <c r="C493" s="150"/>
      <c r="D493" s="150"/>
      <c r="F493" s="157"/>
    </row>
    <row r="494" spans="1:7" ht="30" x14ac:dyDescent="0.25">
      <c r="A494" s="150"/>
      <c r="B494" s="150"/>
      <c r="C494" s="150" t="s">
        <v>512</v>
      </c>
      <c r="D494" s="150"/>
      <c r="F494" s="157"/>
    </row>
    <row r="495" spans="1:7" x14ac:dyDescent="0.25">
      <c r="A495" s="150" t="s">
        <v>137</v>
      </c>
      <c r="B495" s="150" t="s">
        <v>491</v>
      </c>
      <c r="C495" s="150" t="s">
        <v>492</v>
      </c>
      <c r="D495" s="150" t="s">
        <v>493</v>
      </c>
      <c r="E495" s="150" t="s">
        <v>494</v>
      </c>
      <c r="F495" s="150" t="s">
        <v>495</v>
      </c>
      <c r="G495" s="150" t="s">
        <v>35</v>
      </c>
    </row>
    <row r="496" spans="1:7" x14ac:dyDescent="0.25">
      <c r="A496" s="150"/>
      <c r="B496" s="150"/>
      <c r="C496" s="150"/>
      <c r="G496" s="157"/>
    </row>
    <row r="497" spans="1:7" x14ac:dyDescent="0.25">
      <c r="A497" s="150" t="s">
        <v>462</v>
      </c>
      <c r="B497" s="150">
        <v>13</v>
      </c>
      <c r="C497" s="160">
        <v>4610</v>
      </c>
      <c r="D497" s="150">
        <v>1</v>
      </c>
      <c r="E497" s="160">
        <v>1258</v>
      </c>
      <c r="F497" s="150">
        <v>132</v>
      </c>
      <c r="G497" s="160">
        <v>6014</v>
      </c>
    </row>
    <row r="498" spans="1:7" x14ac:dyDescent="0.25">
      <c r="A498" s="150" t="s">
        <v>463</v>
      </c>
      <c r="B498" s="150">
        <v>107</v>
      </c>
      <c r="C498" s="160">
        <v>35823</v>
      </c>
      <c r="D498" s="150">
        <v>9</v>
      </c>
      <c r="E498" s="160">
        <v>8805</v>
      </c>
      <c r="F498" s="150">
        <v>912</v>
      </c>
      <c r="G498" s="160">
        <v>45656</v>
      </c>
    </row>
    <row r="499" spans="1:7" ht="30" x14ac:dyDescent="0.25">
      <c r="A499" s="150" t="s">
        <v>464</v>
      </c>
      <c r="B499" s="150">
        <v>18</v>
      </c>
      <c r="C499" s="160">
        <v>4008</v>
      </c>
      <c r="E499" s="150">
        <v>891</v>
      </c>
      <c r="F499" s="150">
        <v>106</v>
      </c>
      <c r="G499" s="160">
        <v>5023</v>
      </c>
    </row>
    <row r="500" spans="1:7" ht="30" x14ac:dyDescent="0.25">
      <c r="A500" s="150" t="s">
        <v>465</v>
      </c>
      <c r="B500" s="150">
        <v>5</v>
      </c>
      <c r="C500" s="160">
        <v>1172</v>
      </c>
      <c r="E500" s="150">
        <v>277</v>
      </c>
      <c r="F500" s="150">
        <v>24</v>
      </c>
      <c r="G500" s="160">
        <v>1478</v>
      </c>
    </row>
    <row r="501" spans="1:7" x14ac:dyDescent="0.25">
      <c r="A501" s="150" t="s">
        <v>466</v>
      </c>
      <c r="B501" s="150">
        <v>5</v>
      </c>
      <c r="C501" s="160">
        <v>3897</v>
      </c>
      <c r="E501" s="150">
        <v>822</v>
      </c>
      <c r="F501" s="150">
        <v>74</v>
      </c>
      <c r="G501" s="160">
        <v>4798</v>
      </c>
    </row>
    <row r="502" spans="1:7" x14ac:dyDescent="0.25">
      <c r="A502" s="150" t="s">
        <v>467</v>
      </c>
      <c r="B502" s="150">
        <v>18</v>
      </c>
      <c r="C502" s="160">
        <v>4370</v>
      </c>
      <c r="D502" s="150">
        <v>1</v>
      </c>
      <c r="E502" s="160">
        <v>1431</v>
      </c>
      <c r="F502" s="150">
        <v>147</v>
      </c>
      <c r="G502" s="160">
        <v>5967</v>
      </c>
    </row>
    <row r="503" spans="1:7" x14ac:dyDescent="0.25">
      <c r="A503" s="150" t="s">
        <v>468</v>
      </c>
      <c r="B503" s="150">
        <v>10</v>
      </c>
      <c r="C503" s="160">
        <v>2703</v>
      </c>
      <c r="D503" s="150">
        <v>1</v>
      </c>
      <c r="E503" s="150">
        <v>848</v>
      </c>
      <c r="F503" s="150">
        <v>73</v>
      </c>
      <c r="G503" s="160">
        <v>3635</v>
      </c>
    </row>
    <row r="504" spans="1:7" x14ac:dyDescent="0.25">
      <c r="A504" s="150" t="s">
        <v>469</v>
      </c>
      <c r="B504" s="150">
        <v>3</v>
      </c>
      <c r="C504" s="160">
        <v>1384</v>
      </c>
      <c r="E504" s="150">
        <v>494</v>
      </c>
      <c r="F504" s="150">
        <v>28</v>
      </c>
      <c r="G504" s="160">
        <v>1909</v>
      </c>
    </row>
    <row r="505" spans="1:7" x14ac:dyDescent="0.25">
      <c r="A505" s="150" t="s">
        <v>470</v>
      </c>
      <c r="B505" s="150">
        <v>2</v>
      </c>
      <c r="C505" s="160">
        <v>1686</v>
      </c>
      <c r="E505" s="150">
        <v>551</v>
      </c>
      <c r="F505" s="150">
        <v>51</v>
      </c>
      <c r="G505" s="160">
        <v>2290</v>
      </c>
    </row>
    <row r="506" spans="1:7" x14ac:dyDescent="0.25">
      <c r="A506" s="150" t="s">
        <v>471</v>
      </c>
      <c r="B506" s="150">
        <v>5</v>
      </c>
      <c r="C506" s="160">
        <v>2316</v>
      </c>
      <c r="E506" s="150">
        <v>695</v>
      </c>
      <c r="F506" s="150">
        <v>81</v>
      </c>
      <c r="G506" s="160">
        <v>3097</v>
      </c>
    </row>
    <row r="507" spans="1:7" ht="30" x14ac:dyDescent="0.25">
      <c r="A507" s="150" t="s">
        <v>472</v>
      </c>
      <c r="B507" s="150">
        <v>4</v>
      </c>
      <c r="C507" s="160">
        <v>1278</v>
      </c>
      <c r="E507" s="150">
        <v>260</v>
      </c>
      <c r="F507" s="150">
        <v>26</v>
      </c>
      <c r="G507" s="160">
        <v>1568</v>
      </c>
    </row>
    <row r="508" spans="1:7" x14ac:dyDescent="0.25">
      <c r="A508" s="150" t="s">
        <v>473</v>
      </c>
      <c r="B508" s="150">
        <v>15</v>
      </c>
      <c r="C508" s="160">
        <v>4075</v>
      </c>
      <c r="D508" s="150">
        <v>3</v>
      </c>
      <c r="E508" s="150">
        <v>910</v>
      </c>
      <c r="F508" s="150">
        <v>132</v>
      </c>
      <c r="G508" s="160">
        <v>5135</v>
      </c>
    </row>
    <row r="509" spans="1:7" x14ac:dyDescent="0.25">
      <c r="A509" s="150" t="s">
        <v>474</v>
      </c>
      <c r="B509" s="150">
        <v>9</v>
      </c>
      <c r="C509" s="160">
        <v>2735</v>
      </c>
      <c r="E509" s="150">
        <v>605</v>
      </c>
      <c r="F509" s="150">
        <v>57</v>
      </c>
      <c r="G509" s="160">
        <v>3406</v>
      </c>
    </row>
    <row r="510" spans="1:7" x14ac:dyDescent="0.25">
      <c r="A510" s="150" t="s">
        <v>475</v>
      </c>
      <c r="B510" s="150">
        <v>4</v>
      </c>
      <c r="C510" s="160">
        <v>1532</v>
      </c>
      <c r="D510" s="150">
        <v>1</v>
      </c>
      <c r="E510" s="150">
        <v>322</v>
      </c>
      <c r="F510" s="150">
        <v>37</v>
      </c>
      <c r="G510" s="160">
        <v>1896</v>
      </c>
    </row>
    <row r="511" spans="1:7" ht="30" x14ac:dyDescent="0.25">
      <c r="A511" s="150" t="s">
        <v>476</v>
      </c>
      <c r="B511" s="150">
        <v>34</v>
      </c>
      <c r="C511" s="160">
        <v>11662</v>
      </c>
      <c r="D511" s="150">
        <v>6</v>
      </c>
      <c r="E511" s="160">
        <v>2801</v>
      </c>
      <c r="F511" s="150">
        <v>253</v>
      </c>
      <c r="G511" s="160">
        <v>14756</v>
      </c>
    </row>
    <row r="512" spans="1:7" ht="30" x14ac:dyDescent="0.25">
      <c r="A512" s="150" t="s">
        <v>477</v>
      </c>
      <c r="B512" s="150">
        <v>2</v>
      </c>
      <c r="C512" s="150">
        <v>915</v>
      </c>
      <c r="E512" s="150">
        <v>208</v>
      </c>
      <c r="F512" s="150">
        <v>24</v>
      </c>
      <c r="G512" s="160">
        <v>1149</v>
      </c>
    </row>
    <row r="513" spans="1:7" ht="30" x14ac:dyDescent="0.25">
      <c r="A513" s="150" t="s">
        <v>478</v>
      </c>
      <c r="B513" s="150">
        <v>16</v>
      </c>
      <c r="C513" s="160">
        <v>3685</v>
      </c>
      <c r="E513" s="160">
        <v>1109</v>
      </c>
      <c r="F513" s="150">
        <v>141</v>
      </c>
      <c r="G513" s="160">
        <v>4951</v>
      </c>
    </row>
    <row r="514" spans="1:7" ht="30" x14ac:dyDescent="0.25">
      <c r="A514" s="150" t="s">
        <v>479</v>
      </c>
      <c r="B514" s="150">
        <v>10</v>
      </c>
      <c r="C514" s="160">
        <v>2256</v>
      </c>
      <c r="D514" s="150">
        <v>1</v>
      </c>
      <c r="E514" s="150">
        <v>614</v>
      </c>
      <c r="F514" s="150">
        <v>62</v>
      </c>
      <c r="G514" s="160">
        <v>2943</v>
      </c>
    </row>
    <row r="515" spans="1:7" x14ac:dyDescent="0.25">
      <c r="A515" s="150" t="s">
        <v>480</v>
      </c>
      <c r="B515" s="150">
        <v>5</v>
      </c>
      <c r="C515" s="160">
        <v>1271</v>
      </c>
      <c r="D515" s="150">
        <v>1</v>
      </c>
      <c r="E515" s="150">
        <v>240</v>
      </c>
      <c r="F515" s="150">
        <v>33</v>
      </c>
      <c r="G515" s="160">
        <v>1550</v>
      </c>
    </row>
    <row r="516" spans="1:7" x14ac:dyDescent="0.25">
      <c r="A516" s="150" t="s">
        <v>481</v>
      </c>
      <c r="B516" s="150">
        <v>11</v>
      </c>
      <c r="C516" s="160">
        <v>3744</v>
      </c>
      <c r="E516" s="150">
        <v>854</v>
      </c>
      <c r="F516" s="150">
        <v>95</v>
      </c>
      <c r="G516" s="160">
        <v>4704</v>
      </c>
    </row>
    <row r="517" spans="1:7" x14ac:dyDescent="0.25">
      <c r="A517" s="150" t="s">
        <v>482</v>
      </c>
      <c r="B517" s="150">
        <v>3</v>
      </c>
      <c r="C517" s="160">
        <v>2785</v>
      </c>
      <c r="D517" s="150">
        <v>1</v>
      </c>
      <c r="E517" s="150">
        <v>811</v>
      </c>
      <c r="F517" s="150">
        <v>75</v>
      </c>
      <c r="G517" s="160">
        <v>3675</v>
      </c>
    </row>
    <row r="518" spans="1:7" x14ac:dyDescent="0.25">
      <c r="A518" s="150" t="s">
        <v>35</v>
      </c>
      <c r="B518" s="151">
        <f>SUM(B497:B517)</f>
        <v>299</v>
      </c>
      <c r="C518" s="151">
        <f t="shared" ref="C518:G518" si="12">SUM(C497:C517)</f>
        <v>97907</v>
      </c>
      <c r="D518" s="151">
        <f t="shared" si="12"/>
        <v>25</v>
      </c>
      <c r="E518" s="151">
        <f t="shared" si="12"/>
        <v>24806</v>
      </c>
      <c r="F518" s="151">
        <f t="shared" si="12"/>
        <v>2563</v>
      </c>
      <c r="G518" s="151">
        <f t="shared" si="12"/>
        <v>125600</v>
      </c>
    </row>
    <row r="519" spans="1:7" x14ac:dyDescent="0.25">
      <c r="A519" s="150"/>
      <c r="B519" s="150"/>
      <c r="C519" s="150"/>
      <c r="D519" s="161"/>
      <c r="E519" s="161"/>
      <c r="F519" s="161"/>
      <c r="G519" s="15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1"/>
  <sheetViews>
    <sheetView showGridLines="0" topLeftCell="A38" workbookViewId="0">
      <selection activeCell="A61" sqref="A61"/>
    </sheetView>
  </sheetViews>
  <sheetFormatPr baseColWidth="10" defaultRowHeight="15" x14ac:dyDescent="0.25"/>
  <cols>
    <col min="1" max="1" width="14.42578125" customWidth="1"/>
  </cols>
  <sheetData>
    <row r="1" spans="2:13" x14ac:dyDescent="0.25">
      <c r="B1" s="431" t="s">
        <v>765</v>
      </c>
      <c r="C1" s="432"/>
      <c r="D1" s="432"/>
      <c r="E1" s="432"/>
      <c r="F1" s="432"/>
      <c r="G1" s="432"/>
      <c r="H1" s="432"/>
      <c r="I1" s="432"/>
      <c r="J1" s="432"/>
      <c r="K1" s="432"/>
      <c r="L1" s="432"/>
      <c r="M1" s="432"/>
    </row>
    <row r="2" spans="2:13" x14ac:dyDescent="0.25">
      <c r="B2" s="432"/>
      <c r="C2" s="432"/>
      <c r="D2" s="432"/>
      <c r="E2" s="432"/>
      <c r="F2" s="432"/>
      <c r="G2" s="432"/>
      <c r="H2" s="432"/>
      <c r="I2" s="432"/>
      <c r="J2" s="432"/>
      <c r="K2" s="432"/>
      <c r="L2" s="432"/>
      <c r="M2" s="432"/>
    </row>
    <row r="3" spans="2:13" x14ac:dyDescent="0.25">
      <c r="B3" s="432"/>
      <c r="C3" s="432"/>
      <c r="D3" s="432"/>
      <c r="E3" s="432"/>
      <c r="F3" s="432"/>
      <c r="G3" s="432"/>
      <c r="H3" s="432"/>
      <c r="I3" s="432"/>
      <c r="J3" s="432"/>
      <c r="K3" s="432"/>
      <c r="L3" s="432"/>
      <c r="M3" s="432"/>
    </row>
    <row r="4" spans="2:13" x14ac:dyDescent="0.25">
      <c r="B4" s="432"/>
      <c r="C4" s="432"/>
      <c r="D4" s="432"/>
      <c r="E4" s="432"/>
      <c r="F4" s="432"/>
      <c r="G4" s="432"/>
      <c r="H4" s="432"/>
      <c r="I4" s="432"/>
      <c r="J4" s="432"/>
      <c r="K4" s="432"/>
      <c r="L4" s="432"/>
      <c r="M4" s="432"/>
    </row>
    <row r="5" spans="2:13" x14ac:dyDescent="0.25">
      <c r="B5" s="432"/>
      <c r="C5" s="432"/>
      <c r="D5" s="432"/>
      <c r="E5" s="432"/>
      <c r="F5" s="432"/>
      <c r="G5" s="432"/>
      <c r="H5" s="432"/>
      <c r="I5" s="432"/>
      <c r="J5" s="432"/>
      <c r="K5" s="432"/>
      <c r="L5" s="432"/>
      <c r="M5" s="432"/>
    </row>
    <row r="6" spans="2:13" ht="15.75" x14ac:dyDescent="0.25">
      <c r="B6" s="250"/>
      <c r="C6" s="250"/>
      <c r="D6" s="250"/>
      <c r="E6" s="250"/>
      <c r="F6" s="250"/>
      <c r="G6" s="250"/>
      <c r="H6" s="250"/>
      <c r="I6" s="250"/>
      <c r="J6" s="250"/>
      <c r="K6" s="250"/>
      <c r="L6" s="250"/>
      <c r="M6" s="250"/>
    </row>
    <row r="8" spans="2:13" ht="15.75" thickBot="1" x14ac:dyDescent="0.3"/>
    <row r="9" spans="2:13" ht="21.75" thickBot="1" x14ac:dyDescent="0.4">
      <c r="B9" s="461" t="s">
        <v>764</v>
      </c>
      <c r="C9" s="462"/>
      <c r="D9" s="462"/>
      <c r="E9" s="462"/>
      <c r="F9" s="462"/>
      <c r="G9" s="462"/>
      <c r="H9" s="462"/>
      <c r="I9" s="462"/>
      <c r="J9" s="462"/>
      <c r="K9" s="462"/>
      <c r="L9" s="462"/>
      <c r="M9" s="463"/>
    </row>
    <row r="10" spans="2:13" ht="15.75" x14ac:dyDescent="0.25">
      <c r="B10" s="437" t="s">
        <v>866</v>
      </c>
      <c r="C10" s="437"/>
      <c r="D10" s="437"/>
      <c r="E10" s="437"/>
      <c r="F10" s="437"/>
      <c r="G10" s="437"/>
      <c r="H10" s="437"/>
      <c r="I10" s="437"/>
      <c r="J10" s="437"/>
      <c r="K10" s="437"/>
      <c r="L10" s="437"/>
      <c r="M10" s="437"/>
    </row>
    <row r="11" spans="2:13" x14ac:dyDescent="0.25">
      <c r="B11" s="433"/>
      <c r="C11" s="433"/>
      <c r="D11" s="433"/>
      <c r="E11" s="433"/>
      <c r="F11" s="433"/>
      <c r="G11" s="433"/>
      <c r="H11" s="433"/>
      <c r="I11" s="433"/>
      <c r="J11" s="433"/>
      <c r="K11" s="433"/>
      <c r="L11" s="433"/>
      <c r="M11" s="433"/>
    </row>
    <row r="12" spans="2:13" ht="18.75" x14ac:dyDescent="0.3">
      <c r="B12" s="439" t="s">
        <v>881</v>
      </c>
      <c r="C12" s="439"/>
      <c r="D12" s="439"/>
      <c r="E12" s="439"/>
      <c r="F12" s="439"/>
      <c r="G12" s="439"/>
      <c r="H12" s="439"/>
      <c r="I12" s="439"/>
      <c r="J12" s="439"/>
      <c r="K12" s="439"/>
      <c r="L12" s="439"/>
      <c r="M12" s="439"/>
    </row>
    <row r="13" spans="2:13" x14ac:dyDescent="0.25">
      <c r="B13" s="429" t="s">
        <v>936</v>
      </c>
      <c r="C13" s="429"/>
      <c r="D13" s="429"/>
      <c r="E13" s="429"/>
      <c r="F13" s="429"/>
      <c r="G13" s="429"/>
      <c r="H13" s="429"/>
      <c r="I13" s="429"/>
      <c r="J13" s="429"/>
      <c r="K13" s="429"/>
      <c r="L13" s="429"/>
      <c r="M13" s="429"/>
    </row>
    <row r="14" spans="2:13" x14ac:dyDescent="0.25">
      <c r="B14" s="429" t="s">
        <v>937</v>
      </c>
      <c r="C14" s="429"/>
      <c r="D14" s="429"/>
      <c r="E14" s="429"/>
      <c r="F14" s="429"/>
      <c r="G14" s="429"/>
      <c r="H14" s="429"/>
      <c r="I14" s="429"/>
      <c r="J14" s="429"/>
      <c r="K14" s="429"/>
      <c r="L14" s="429"/>
      <c r="M14" s="429"/>
    </row>
    <row r="15" spans="2:13" ht="18.75" x14ac:dyDescent="0.3">
      <c r="B15" s="439" t="s">
        <v>882</v>
      </c>
      <c r="C15" s="439"/>
      <c r="D15" s="439"/>
      <c r="E15" s="439"/>
      <c r="F15" s="439"/>
      <c r="G15" s="439"/>
      <c r="H15" s="439"/>
      <c r="I15" s="439"/>
      <c r="J15" s="439"/>
      <c r="K15" s="439"/>
      <c r="L15" s="439"/>
      <c r="M15" s="439"/>
    </row>
    <row r="16" spans="2:13" x14ac:dyDescent="0.25">
      <c r="B16" s="429" t="s">
        <v>938</v>
      </c>
      <c r="C16" s="429"/>
      <c r="D16" s="429"/>
      <c r="E16" s="429"/>
      <c r="F16" s="429"/>
      <c r="G16" s="429"/>
      <c r="H16" s="429"/>
      <c r="I16" s="429"/>
      <c r="J16" s="429"/>
      <c r="K16" s="429"/>
      <c r="L16" s="429"/>
      <c r="M16" s="429"/>
    </row>
    <row r="17" spans="2:13" x14ac:dyDescent="0.25">
      <c r="B17" s="429" t="s">
        <v>939</v>
      </c>
      <c r="C17" s="429"/>
      <c r="D17" s="429"/>
      <c r="E17" s="429"/>
      <c r="F17" s="429"/>
      <c r="G17" s="429"/>
      <c r="H17" s="429"/>
      <c r="I17" s="429"/>
      <c r="J17" s="429"/>
      <c r="K17" s="429"/>
      <c r="L17" s="429"/>
      <c r="M17" s="429"/>
    </row>
    <row r="18" spans="2:13" x14ac:dyDescent="0.25">
      <c r="B18" s="429" t="s">
        <v>768</v>
      </c>
      <c r="C18" s="429"/>
      <c r="D18" s="429"/>
      <c r="E18" s="429"/>
      <c r="F18" s="429"/>
      <c r="G18" s="429"/>
      <c r="H18" s="429"/>
      <c r="I18" s="429"/>
      <c r="J18" s="429"/>
      <c r="K18" s="429"/>
      <c r="L18" s="429"/>
      <c r="M18" s="429"/>
    </row>
    <row r="19" spans="2:13" x14ac:dyDescent="0.25">
      <c r="B19" s="429" t="s">
        <v>769</v>
      </c>
      <c r="C19" s="429"/>
      <c r="D19" s="429"/>
      <c r="E19" s="429"/>
      <c r="F19" s="429"/>
      <c r="G19" s="429"/>
      <c r="H19" s="429"/>
      <c r="I19" s="429"/>
      <c r="J19" s="429"/>
      <c r="K19" s="429"/>
      <c r="L19" s="429"/>
      <c r="M19" s="429"/>
    </row>
    <row r="20" spans="2:13" x14ac:dyDescent="0.25">
      <c r="B20" s="429" t="s">
        <v>770</v>
      </c>
      <c r="C20" s="429"/>
      <c r="D20" s="429"/>
      <c r="E20" s="429"/>
      <c r="F20" s="429"/>
      <c r="G20" s="429"/>
      <c r="H20" s="429"/>
      <c r="I20" s="429"/>
      <c r="J20" s="429"/>
      <c r="K20" s="429"/>
      <c r="L20" s="429"/>
      <c r="M20" s="429"/>
    </row>
    <row r="21" spans="2:13" x14ac:dyDescent="0.25">
      <c r="B21" s="429" t="s">
        <v>771</v>
      </c>
      <c r="C21" s="429"/>
      <c r="D21" s="429"/>
      <c r="E21" s="429"/>
      <c r="F21" s="429"/>
      <c r="G21" s="429"/>
      <c r="H21" s="429"/>
      <c r="I21" s="429"/>
      <c r="J21" s="429"/>
      <c r="K21" s="429"/>
      <c r="L21" s="429"/>
      <c r="M21" s="429"/>
    </row>
    <row r="22" spans="2:13" x14ac:dyDescent="0.25">
      <c r="B22" s="429" t="s">
        <v>772</v>
      </c>
      <c r="C22" s="429"/>
      <c r="D22" s="429"/>
      <c r="E22" s="429"/>
      <c r="F22" s="429"/>
      <c r="G22" s="429"/>
      <c r="H22" s="429"/>
      <c r="I22" s="429"/>
      <c r="J22" s="429"/>
      <c r="K22" s="429"/>
      <c r="L22" s="429"/>
      <c r="M22" s="429"/>
    </row>
    <row r="23" spans="2:13" x14ac:dyDescent="0.25">
      <c r="B23" s="429" t="s">
        <v>773</v>
      </c>
      <c r="C23" s="429"/>
      <c r="D23" s="429"/>
      <c r="E23" s="429"/>
      <c r="F23" s="429"/>
      <c r="G23" s="429"/>
      <c r="H23" s="429"/>
      <c r="I23" s="429"/>
      <c r="J23" s="429"/>
      <c r="K23" s="429"/>
      <c r="L23" s="429"/>
      <c r="M23" s="429"/>
    </row>
    <row r="24" spans="2:13" x14ac:dyDescent="0.25">
      <c r="B24" s="429" t="s">
        <v>774</v>
      </c>
      <c r="C24" s="429"/>
      <c r="D24" s="429"/>
      <c r="E24" s="429"/>
      <c r="F24" s="429"/>
      <c r="G24" s="429"/>
      <c r="H24" s="429"/>
      <c r="I24" s="429"/>
      <c r="J24" s="429"/>
      <c r="K24" s="429"/>
      <c r="L24" s="429"/>
      <c r="M24" s="429"/>
    </row>
    <row r="25" spans="2:13" x14ac:dyDescent="0.25">
      <c r="B25" s="429" t="s">
        <v>775</v>
      </c>
      <c r="C25" s="429"/>
      <c r="D25" s="429"/>
      <c r="E25" s="429"/>
      <c r="F25" s="429"/>
      <c r="G25" s="429"/>
      <c r="H25" s="429"/>
      <c r="I25" s="429"/>
      <c r="J25" s="429"/>
      <c r="K25" s="429"/>
      <c r="L25" s="429"/>
      <c r="M25" s="429"/>
    </row>
    <row r="26" spans="2:13" x14ac:dyDescent="0.25">
      <c r="B26" s="429" t="s">
        <v>776</v>
      </c>
      <c r="C26" s="429"/>
      <c r="D26" s="429"/>
      <c r="E26" s="429"/>
      <c r="F26" s="429"/>
      <c r="G26" s="429"/>
      <c r="H26" s="429"/>
      <c r="I26" s="429"/>
      <c r="J26" s="429"/>
      <c r="K26" s="429"/>
      <c r="L26" s="429"/>
      <c r="M26" s="429"/>
    </row>
    <row r="27" spans="2:13" x14ac:dyDescent="0.25">
      <c r="B27" s="429" t="s">
        <v>777</v>
      </c>
      <c r="C27" s="429"/>
      <c r="D27" s="429"/>
      <c r="E27" s="429"/>
      <c r="F27" s="429"/>
      <c r="G27" s="429"/>
      <c r="H27" s="429"/>
      <c r="I27" s="429"/>
      <c r="J27" s="429"/>
      <c r="K27" s="429"/>
      <c r="L27" s="429"/>
      <c r="M27" s="429"/>
    </row>
    <row r="28" spans="2:13" x14ac:dyDescent="0.25">
      <c r="B28" s="429" t="s">
        <v>778</v>
      </c>
      <c r="C28" s="429"/>
      <c r="D28" s="429"/>
      <c r="E28" s="429"/>
      <c r="F28" s="429"/>
      <c r="G28" s="429"/>
      <c r="H28" s="429"/>
      <c r="I28" s="429"/>
      <c r="J28" s="429"/>
      <c r="K28" s="429"/>
      <c r="L28" s="429"/>
      <c r="M28" s="429"/>
    </row>
    <row r="29" spans="2:13" x14ac:dyDescent="0.25">
      <c r="B29" s="429" t="s">
        <v>779</v>
      </c>
      <c r="C29" s="429"/>
      <c r="D29" s="429"/>
      <c r="E29" s="429"/>
      <c r="F29" s="429"/>
      <c r="G29" s="429"/>
      <c r="H29" s="429"/>
      <c r="I29" s="429"/>
      <c r="J29" s="429"/>
      <c r="K29" s="429"/>
      <c r="L29" s="429"/>
      <c r="M29" s="429"/>
    </row>
    <row r="30" spans="2:13" x14ac:dyDescent="0.25">
      <c r="B30" s="429" t="s">
        <v>780</v>
      </c>
      <c r="C30" s="429"/>
      <c r="D30" s="429"/>
      <c r="E30" s="429"/>
      <c r="F30" s="429"/>
      <c r="G30" s="429"/>
      <c r="H30" s="429"/>
      <c r="I30" s="429"/>
      <c r="J30" s="429"/>
      <c r="K30" s="429"/>
      <c r="L30" s="429"/>
      <c r="M30" s="429"/>
    </row>
    <row r="31" spans="2:13" x14ac:dyDescent="0.25">
      <c r="B31" s="429" t="s">
        <v>781</v>
      </c>
      <c r="C31" s="429"/>
      <c r="D31" s="429"/>
      <c r="E31" s="429"/>
      <c r="F31" s="429"/>
      <c r="G31" s="429"/>
      <c r="H31" s="429"/>
      <c r="I31" s="429"/>
      <c r="J31" s="429"/>
      <c r="K31" s="429"/>
      <c r="L31" s="429"/>
      <c r="M31" s="429"/>
    </row>
    <row r="32" spans="2:13" x14ac:dyDescent="0.25">
      <c r="B32" s="429" t="s">
        <v>782</v>
      </c>
      <c r="C32" s="429"/>
      <c r="D32" s="429"/>
      <c r="E32" s="429"/>
      <c r="F32" s="429"/>
      <c r="G32" s="429"/>
      <c r="H32" s="429"/>
      <c r="I32" s="429"/>
      <c r="J32" s="429"/>
      <c r="K32" s="429"/>
      <c r="L32" s="429"/>
      <c r="M32" s="429"/>
    </row>
    <row r="33" spans="2:13" x14ac:dyDescent="0.25">
      <c r="B33" s="429" t="s">
        <v>783</v>
      </c>
      <c r="C33" s="429"/>
      <c r="D33" s="429"/>
      <c r="E33" s="429"/>
      <c r="F33" s="429"/>
      <c r="G33" s="429"/>
      <c r="H33" s="429"/>
      <c r="I33" s="429"/>
      <c r="J33" s="429"/>
      <c r="K33" s="429"/>
      <c r="L33" s="429"/>
      <c r="M33" s="429"/>
    </row>
    <row r="34" spans="2:13" ht="18.75" x14ac:dyDescent="0.3">
      <c r="B34" s="439" t="s">
        <v>883</v>
      </c>
      <c r="C34" s="439"/>
      <c r="D34" s="439"/>
      <c r="E34" s="439"/>
      <c r="F34" s="439"/>
      <c r="G34" s="439"/>
      <c r="H34" s="439"/>
      <c r="I34" s="439"/>
      <c r="J34" s="439"/>
      <c r="K34" s="439"/>
      <c r="L34" s="439"/>
      <c r="M34" s="439"/>
    </row>
    <row r="35" spans="2:13" x14ac:dyDescent="0.25">
      <c r="B35" s="429" t="s">
        <v>940</v>
      </c>
      <c r="C35" s="429"/>
      <c r="D35" s="429"/>
      <c r="E35" s="429"/>
      <c r="F35" s="429"/>
      <c r="G35" s="429"/>
      <c r="H35" s="429"/>
      <c r="I35" s="429"/>
      <c r="J35" s="429"/>
      <c r="K35" s="429"/>
      <c r="L35" s="429"/>
      <c r="M35" s="429"/>
    </row>
    <row r="36" spans="2:13" x14ac:dyDescent="0.25">
      <c r="B36" s="429" t="s">
        <v>941</v>
      </c>
      <c r="C36" s="429"/>
      <c r="D36" s="429"/>
      <c r="E36" s="429"/>
      <c r="F36" s="429"/>
      <c r="G36" s="429"/>
      <c r="H36" s="429"/>
      <c r="I36" s="429"/>
      <c r="J36" s="429"/>
      <c r="K36" s="429"/>
      <c r="L36" s="429"/>
      <c r="M36" s="429"/>
    </row>
    <row r="37" spans="2:13" ht="18.75" x14ac:dyDescent="0.3">
      <c r="B37" s="439" t="s">
        <v>884</v>
      </c>
      <c r="C37" s="439"/>
      <c r="D37" s="439"/>
      <c r="E37" s="439"/>
      <c r="F37" s="439"/>
      <c r="G37" s="439"/>
      <c r="H37" s="439"/>
      <c r="I37" s="439"/>
      <c r="J37" s="439"/>
      <c r="K37" s="439"/>
      <c r="L37" s="439"/>
      <c r="M37" s="439"/>
    </row>
    <row r="38" spans="2:13" x14ac:dyDescent="0.25">
      <c r="B38" s="429" t="s">
        <v>942</v>
      </c>
      <c r="C38" s="429"/>
      <c r="D38" s="429"/>
      <c r="E38" s="429"/>
      <c r="F38" s="429"/>
      <c r="G38" s="429"/>
      <c r="H38" s="429"/>
      <c r="I38" s="429"/>
      <c r="J38" s="429"/>
      <c r="K38" s="429"/>
      <c r="L38" s="429"/>
      <c r="M38" s="429"/>
    </row>
    <row r="39" spans="2:13" x14ac:dyDescent="0.25">
      <c r="B39" s="429" t="s">
        <v>943</v>
      </c>
      <c r="C39" s="429"/>
      <c r="D39" s="429"/>
      <c r="E39" s="429"/>
      <c r="F39" s="429"/>
      <c r="G39" s="429"/>
      <c r="H39" s="429"/>
      <c r="I39" s="429"/>
      <c r="J39" s="429"/>
      <c r="K39" s="429"/>
      <c r="L39" s="429"/>
      <c r="M39" s="429"/>
    </row>
    <row r="40" spans="2:13" x14ac:dyDescent="0.25">
      <c r="B40" s="429" t="s">
        <v>768</v>
      </c>
      <c r="C40" s="429"/>
      <c r="D40" s="429"/>
      <c r="E40" s="429"/>
      <c r="F40" s="429"/>
      <c r="G40" s="429"/>
      <c r="H40" s="429"/>
      <c r="I40" s="429"/>
      <c r="J40" s="429"/>
      <c r="K40" s="429"/>
      <c r="L40" s="429"/>
      <c r="M40" s="429"/>
    </row>
    <row r="41" spans="2:13" x14ac:dyDescent="0.25">
      <c r="B41" s="429" t="s">
        <v>769</v>
      </c>
      <c r="C41" s="429"/>
      <c r="D41" s="429"/>
      <c r="E41" s="429"/>
      <c r="F41" s="429"/>
      <c r="G41" s="429"/>
      <c r="H41" s="429"/>
      <c r="I41" s="429"/>
      <c r="J41" s="429"/>
      <c r="K41" s="429"/>
      <c r="L41" s="429"/>
      <c r="M41" s="429"/>
    </row>
    <row r="42" spans="2:13" x14ac:dyDescent="0.25">
      <c r="B42" s="429" t="s">
        <v>770</v>
      </c>
      <c r="C42" s="429"/>
      <c r="D42" s="429"/>
      <c r="E42" s="429"/>
      <c r="F42" s="429"/>
      <c r="G42" s="429"/>
      <c r="H42" s="429"/>
      <c r="I42" s="429"/>
      <c r="J42" s="429"/>
      <c r="K42" s="429"/>
      <c r="L42" s="429"/>
      <c r="M42" s="429"/>
    </row>
    <row r="43" spans="2:13" x14ac:dyDescent="0.25">
      <c r="B43" s="429" t="s">
        <v>771</v>
      </c>
      <c r="C43" s="429"/>
      <c r="D43" s="429"/>
      <c r="E43" s="429"/>
      <c r="F43" s="429"/>
      <c r="G43" s="429"/>
      <c r="H43" s="429"/>
      <c r="I43" s="429"/>
      <c r="J43" s="429"/>
      <c r="K43" s="429"/>
      <c r="L43" s="429"/>
      <c r="M43" s="429"/>
    </row>
    <row r="44" spans="2:13" x14ac:dyDescent="0.25">
      <c r="B44" s="429" t="s">
        <v>772</v>
      </c>
      <c r="C44" s="429"/>
      <c r="D44" s="429"/>
      <c r="E44" s="429"/>
      <c r="F44" s="429"/>
      <c r="G44" s="429"/>
      <c r="H44" s="429"/>
      <c r="I44" s="429"/>
      <c r="J44" s="429"/>
      <c r="K44" s="429"/>
      <c r="L44" s="429"/>
      <c r="M44" s="429"/>
    </row>
    <row r="45" spans="2:13" x14ac:dyDescent="0.25">
      <c r="B45" s="429" t="s">
        <v>773</v>
      </c>
      <c r="C45" s="429"/>
      <c r="D45" s="429"/>
      <c r="E45" s="429"/>
      <c r="F45" s="429"/>
      <c r="G45" s="429"/>
      <c r="H45" s="429"/>
      <c r="I45" s="429"/>
      <c r="J45" s="429"/>
      <c r="K45" s="429"/>
      <c r="L45" s="429"/>
      <c r="M45" s="429"/>
    </row>
    <row r="46" spans="2:13" x14ac:dyDescent="0.25">
      <c r="B46" s="429" t="s">
        <v>774</v>
      </c>
      <c r="C46" s="429"/>
      <c r="D46" s="429"/>
      <c r="E46" s="429"/>
      <c r="F46" s="429"/>
      <c r="G46" s="429"/>
      <c r="H46" s="429"/>
      <c r="I46" s="429"/>
      <c r="J46" s="429"/>
      <c r="K46" s="429"/>
      <c r="L46" s="429"/>
      <c r="M46" s="429"/>
    </row>
    <row r="47" spans="2:13" x14ac:dyDescent="0.25">
      <c r="B47" s="429" t="s">
        <v>775</v>
      </c>
      <c r="C47" s="429"/>
      <c r="D47" s="429"/>
      <c r="E47" s="429"/>
      <c r="F47" s="429"/>
      <c r="G47" s="429"/>
      <c r="H47" s="429"/>
      <c r="I47" s="429"/>
      <c r="J47" s="429"/>
      <c r="K47" s="429"/>
      <c r="L47" s="429"/>
      <c r="M47" s="429"/>
    </row>
    <row r="48" spans="2:13" x14ac:dyDescent="0.25">
      <c r="B48" s="429" t="s">
        <v>776</v>
      </c>
      <c r="C48" s="429"/>
      <c r="D48" s="429"/>
      <c r="E48" s="429"/>
      <c r="F48" s="429"/>
      <c r="G48" s="429"/>
      <c r="H48" s="429"/>
      <c r="I48" s="429"/>
      <c r="J48" s="429"/>
      <c r="K48" s="429"/>
      <c r="L48" s="429"/>
      <c r="M48" s="429"/>
    </row>
    <row r="49" spans="2:13" x14ac:dyDescent="0.25">
      <c r="B49" s="429" t="s">
        <v>777</v>
      </c>
      <c r="C49" s="429"/>
      <c r="D49" s="429"/>
      <c r="E49" s="429"/>
      <c r="F49" s="429"/>
      <c r="G49" s="429"/>
      <c r="H49" s="429"/>
      <c r="I49" s="429"/>
      <c r="J49" s="429"/>
      <c r="K49" s="429"/>
      <c r="L49" s="429"/>
      <c r="M49" s="429"/>
    </row>
    <row r="50" spans="2:13" x14ac:dyDescent="0.25">
      <c r="B50" s="429" t="s">
        <v>778</v>
      </c>
      <c r="C50" s="429"/>
      <c r="D50" s="429"/>
      <c r="E50" s="429"/>
      <c r="F50" s="429"/>
      <c r="G50" s="429"/>
      <c r="H50" s="429"/>
      <c r="I50" s="429"/>
      <c r="J50" s="429"/>
      <c r="K50" s="429"/>
      <c r="L50" s="429"/>
      <c r="M50" s="429"/>
    </row>
    <row r="51" spans="2:13" x14ac:dyDescent="0.25">
      <c r="B51" s="429" t="s">
        <v>779</v>
      </c>
      <c r="C51" s="429"/>
      <c r="D51" s="429"/>
      <c r="E51" s="429"/>
      <c r="F51" s="429"/>
      <c r="G51" s="429"/>
      <c r="H51" s="429"/>
      <c r="I51" s="429"/>
      <c r="J51" s="429"/>
      <c r="K51" s="429"/>
      <c r="L51" s="429"/>
      <c r="M51" s="429"/>
    </row>
    <row r="52" spans="2:13" x14ac:dyDescent="0.25">
      <c r="B52" s="429" t="s">
        <v>780</v>
      </c>
      <c r="C52" s="429"/>
      <c r="D52" s="429"/>
      <c r="E52" s="429"/>
      <c r="F52" s="429"/>
      <c r="G52" s="429"/>
      <c r="H52" s="429"/>
      <c r="I52" s="429"/>
      <c r="J52" s="429"/>
      <c r="K52" s="429"/>
      <c r="L52" s="429"/>
      <c r="M52" s="429"/>
    </row>
    <row r="53" spans="2:13" x14ac:dyDescent="0.25">
      <c r="B53" s="429" t="s">
        <v>781</v>
      </c>
      <c r="C53" s="429"/>
      <c r="D53" s="429"/>
      <c r="E53" s="429"/>
      <c r="F53" s="429"/>
      <c r="G53" s="429"/>
      <c r="H53" s="429"/>
      <c r="I53" s="429"/>
      <c r="J53" s="429"/>
      <c r="K53" s="429"/>
      <c r="L53" s="429"/>
      <c r="M53" s="429"/>
    </row>
    <row r="54" spans="2:13" x14ac:dyDescent="0.25">
      <c r="B54" s="429" t="s">
        <v>782</v>
      </c>
      <c r="C54" s="429"/>
      <c r="D54" s="429"/>
      <c r="E54" s="429"/>
      <c r="F54" s="429"/>
      <c r="G54" s="429"/>
      <c r="H54" s="429"/>
      <c r="I54" s="429"/>
      <c r="J54" s="429"/>
      <c r="K54" s="429"/>
      <c r="L54" s="429"/>
      <c r="M54" s="429"/>
    </row>
    <row r="55" spans="2:13" x14ac:dyDescent="0.25">
      <c r="B55" s="429" t="s">
        <v>783</v>
      </c>
      <c r="C55" s="429"/>
      <c r="D55" s="429"/>
      <c r="E55" s="429"/>
      <c r="F55" s="429"/>
      <c r="G55" s="429"/>
      <c r="H55" s="429"/>
      <c r="I55" s="429"/>
      <c r="J55" s="429"/>
      <c r="K55" s="429"/>
      <c r="L55" s="429"/>
      <c r="M55" s="429"/>
    </row>
    <row r="56" spans="2:13" ht="18.75" x14ac:dyDescent="0.3">
      <c r="B56" s="439" t="s">
        <v>885</v>
      </c>
      <c r="C56" s="439"/>
      <c r="D56" s="439"/>
      <c r="E56" s="439"/>
      <c r="F56" s="439"/>
      <c r="G56" s="439"/>
      <c r="H56" s="439"/>
      <c r="I56" s="439"/>
      <c r="J56" s="439"/>
      <c r="K56" s="439"/>
      <c r="L56" s="439"/>
      <c r="M56" s="439"/>
    </row>
    <row r="57" spans="2:13" x14ac:dyDescent="0.25">
      <c r="B57" s="429" t="s">
        <v>944</v>
      </c>
      <c r="C57" s="429"/>
      <c r="D57" s="429"/>
      <c r="E57" s="429"/>
      <c r="F57" s="429"/>
      <c r="G57" s="429"/>
      <c r="H57" s="429"/>
      <c r="I57" s="429"/>
      <c r="J57" s="429"/>
      <c r="K57" s="429"/>
      <c r="L57" s="429"/>
      <c r="M57" s="429"/>
    </row>
    <row r="58" spans="2:13" x14ac:dyDescent="0.25">
      <c r="B58" s="429" t="s">
        <v>945</v>
      </c>
      <c r="C58" s="429"/>
      <c r="D58" s="429"/>
      <c r="E58" s="429"/>
      <c r="F58" s="429"/>
      <c r="G58" s="429"/>
      <c r="H58" s="429"/>
      <c r="I58" s="429"/>
      <c r="J58" s="429"/>
      <c r="K58" s="429"/>
      <c r="L58" s="429"/>
      <c r="M58" s="429"/>
    </row>
    <row r="59" spans="2:13" ht="18.75" x14ac:dyDescent="0.3">
      <c r="B59" s="439" t="s">
        <v>886</v>
      </c>
      <c r="C59" s="439"/>
      <c r="D59" s="439"/>
      <c r="E59" s="439"/>
      <c r="F59" s="439"/>
      <c r="G59" s="439"/>
      <c r="H59" s="439"/>
      <c r="I59" s="439"/>
      <c r="J59" s="439"/>
      <c r="K59" s="439"/>
      <c r="L59" s="439"/>
      <c r="M59" s="439"/>
    </row>
    <row r="60" spans="2:13" x14ac:dyDescent="0.25">
      <c r="B60" s="429" t="s">
        <v>946</v>
      </c>
      <c r="C60" s="429"/>
      <c r="D60" s="429"/>
      <c r="E60" s="429"/>
      <c r="F60" s="429"/>
      <c r="G60" s="429"/>
      <c r="H60" s="429"/>
      <c r="I60" s="429"/>
      <c r="J60" s="429"/>
      <c r="K60" s="429"/>
      <c r="L60" s="429"/>
      <c r="M60" s="429"/>
    </row>
    <row r="61" spans="2:13" ht="15" customHeight="1" x14ac:dyDescent="0.25">
      <c r="B61" s="429" t="s">
        <v>947</v>
      </c>
      <c r="C61" s="429"/>
      <c r="D61" s="429"/>
      <c r="E61" s="429"/>
      <c r="F61" s="429"/>
      <c r="G61" s="429"/>
      <c r="H61" s="429"/>
      <c r="I61" s="429"/>
      <c r="J61" s="429"/>
      <c r="K61" s="429"/>
      <c r="L61" s="429"/>
      <c r="M61" s="429"/>
    </row>
  </sheetData>
  <mergeCells count="54">
    <mergeCell ref="B22:M22"/>
    <mergeCell ref="B23:M23"/>
    <mergeCell ref="B1:M5"/>
    <mergeCell ref="B9:M9"/>
    <mergeCell ref="B10:M10"/>
    <mergeCell ref="B11:M11"/>
    <mergeCell ref="B13:M13"/>
    <mergeCell ref="B14:M14"/>
    <mergeCell ref="B61:M61"/>
    <mergeCell ref="B12:M12"/>
    <mergeCell ref="B15:M15"/>
    <mergeCell ref="B34:M34"/>
    <mergeCell ref="B37:M37"/>
    <mergeCell ref="B56:M56"/>
    <mergeCell ref="B16:M16"/>
    <mergeCell ref="B17:M17"/>
    <mergeCell ref="B18:M18"/>
    <mergeCell ref="B19:M19"/>
    <mergeCell ref="B20:M20"/>
    <mergeCell ref="B21:M21"/>
    <mergeCell ref="B24:M24"/>
    <mergeCell ref="B25:M25"/>
    <mergeCell ref="B26:M26"/>
    <mergeCell ref="B27:M27"/>
    <mergeCell ref="B28:M28"/>
    <mergeCell ref="B29:M29"/>
    <mergeCell ref="B30:M30"/>
    <mergeCell ref="B31:M31"/>
    <mergeCell ref="B32:M32"/>
    <mergeCell ref="B33:M33"/>
    <mergeCell ref="B35:M35"/>
    <mergeCell ref="B36:M36"/>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 ref="B54:M54"/>
    <mergeCell ref="B60:M60"/>
    <mergeCell ref="B55:M55"/>
    <mergeCell ref="B57:M57"/>
    <mergeCell ref="B58:M58"/>
    <mergeCell ref="B59:M59"/>
  </mergeCells>
  <hyperlinks>
    <hyperlink ref="B12:M12" location="'2.1'!A1" display="1. Solicitudes del Pilar No Contributivo a nivel nacional" xr:uid="{F0CD6D55-03C5-4097-8FC6-8DA15D5744FA}"/>
    <hyperlink ref="B15:M15" location="'2.2'!A1" display="2. Solicitudes del Pilar No Contributivo a nivel regional y comunal" xr:uid="{0BBF9435-F7CB-42B5-8F75-FEA728774609}"/>
    <hyperlink ref="B34:M34" location="'2.3'!A1" display="3. Solicitudes concedidas del Pilar No Contributivo a nivel nacional" xr:uid="{340C2423-79D6-43C2-A2B5-127138CE9936}"/>
    <hyperlink ref="B37:M37" location="'2.4'!A1" display="4. Solicitudes concedidas del Pilar No Contributivo a nivel regional y comunal" xr:uid="{7B3299D4-47F4-4DE4-B44C-A457DEF87006}"/>
    <hyperlink ref="B56:M56" location="'2.5'!A1" display="5. Solicitudes Rechazadas del Pilar No Contributivo" xr:uid="{B37B303C-0DE9-41FB-BCC9-4E833886EC68}"/>
    <hyperlink ref="B59:M59" location="'2.6'!A1" display="6. Tasas de concesión de solicitudes" xr:uid="{BEE9BADB-C12C-4A5A-906B-10B97D1B5DFC}"/>
    <hyperlink ref="B13" location="'Solicitudes Nacional'!B4" display="i. Resumen trimestral de número y estado de solicitudes en T4 2022, según tipo y sexo" xr:uid="{32B0199E-2C78-4F93-AAE1-A9F202516397}"/>
    <hyperlink ref="B14" location="'Solicitudes Nacional'!B62" display="iii. Serie resumen de solicitudes de beneficios, por tipo y sexo" xr:uid="{0BF9EFC0-25A9-4BF7-89DA-2BD1E7BBFCDE}"/>
    <hyperlink ref="B16" location="'Solicitudes Regional y Comunal'!B4" display="i. Resumen trimestral de solicitudes por región en T4 2022, según tipo y sexo" xr:uid="{55971BC8-47CE-4A6B-9386-4B147711FF71}"/>
    <hyperlink ref="B17" location="'Solicitudes Regional y Comunal'!B52" display="iii. Número de solicitudes por comuna en T4 2022, según tipo y sexo" xr:uid="{017D5618-5210-4130-8BCB-5E6CF2723ADE}"/>
    <hyperlink ref="B18" location="'Solicitudes Regional y Comunal'!B55" display="   Región de Tarapacá" xr:uid="{A0A144DC-B865-48BF-9FFC-A1154EBC0273}"/>
    <hyperlink ref="B19" location="'Solicitudes Regional y Comunal'!B69" display="   Región de Antofagasta" xr:uid="{42B1F47A-75CF-4C1A-B025-DCE7E47D451E}"/>
    <hyperlink ref="B20" location="'Solicitudes Regional y Comunal'!B85" display="   Región de Atacama" xr:uid="{7F7E9B14-EFB7-442C-A630-D799325DA2C8}"/>
    <hyperlink ref="B21" location="'Solicitudes Regional y Comunal'!B101" display="   Región de Coquimbo" xr:uid="{544B2125-BD21-4E6E-94F6-CE0421799AF8}"/>
    <hyperlink ref="B22" location="'Solicitudes Regional y Comunal'!B123" display="   Región de Valparaíso" xr:uid="{60C67B98-024B-44C1-A89C-A88C3A3DDE58}"/>
    <hyperlink ref="B23" location="'Solicitudes Regional y Comunal'!B168" display="   Región del Libertador General Bernardo O’Higgins" xr:uid="{5E6AC34F-93AD-4D2E-B4CA-E683F46855CB}"/>
    <hyperlink ref="B24" location="'Solicitudes Regional y Comunal'!B208" display="   Región del Maule" xr:uid="{9B6896F1-4128-4820-8AFC-C91ADA78FC45}"/>
    <hyperlink ref="B25" location="'Solicitudes Regional y Comunal'!B245" display="   Región del Bio-bío" xr:uid="{0BC107CE-2E43-4956-8538-36E30B36ADAD}"/>
    <hyperlink ref="B26" location="'Solicitudes Regional y Comunal'!B285" display="   Región de La Araucanía" xr:uid="{5D3EEB4B-655A-4C48-AE60-D900E1328859}"/>
    <hyperlink ref="B27" location="'Solicitudes Regional y Comunal'!B324" display="   Región de Los Lagos" xr:uid="{02475165-CCE1-4E3E-A6BB-298AFE244237}"/>
    <hyperlink ref="B28" location="'Solicitudes Regional y Comunal'!B361" display="   Región Aysén del General Carlos Ibáñez del Campo" xr:uid="{1DEBDA4B-413D-4477-A08E-17210FD9AA73}"/>
    <hyperlink ref="B29" location="'Solicitudes Regional y Comunal'!B378" display="   Región de Magallanes y Antártica Chilena" xr:uid="{87A56018-6B59-4775-81FB-C8CB9D09F8BC}"/>
    <hyperlink ref="B30" location="'Solicitudes Regional y Comunal'!B394" display="   Región Metropolitana de Santiago" xr:uid="{351D9AAC-5257-4BC1-A1DB-DEB01C48063D}"/>
    <hyperlink ref="B31" location="'Solicitudes Regional y Comunal'!B453" display="   Región de Los Ríos" xr:uid="{7D4C81B5-30CF-4B44-B905-3AA981875965}"/>
    <hyperlink ref="B32" location="'Solicitudes Regional y Comunal'!B472" display="   Región de Arica y Parinacota" xr:uid="{FC9A7D6F-8A01-4AAF-ABF7-C4BB2DEBBBA7}"/>
    <hyperlink ref="B33" location="'Solicitudes Regional y Comunal'!B482" display="   Región de Ñuble" xr:uid="{95E171A9-9FAC-4A6B-B9A3-E906336CBABD}"/>
    <hyperlink ref="B35" location="'Concesiones Nacional'!B4" display="i. Resumen trimestral de concesiones de beneficios del Pilar No Contributivo (Incluye Ex Pasis) en T4 2022" xr:uid="{4DF11B12-F624-4F0D-B7E1-9E02B2BCB962}"/>
    <hyperlink ref="B36" location="'Concesiones Nacional'!B36" display="iii. Serie resumen de solicitudes concedidas de beneficios, por tipo y sexo" xr:uid="{B940E59A-B84B-4ABD-A392-5B10F8003B45}"/>
    <hyperlink ref="B38" location="'Concesiones Regional y Comunal'!B4" display="i. Resumen trimestral de solicitudes concedidas por región en T4 2022, según tipo y sexo" xr:uid="{4E1C7BA1-DA4A-40BB-BDDA-24F594962EA8}"/>
    <hyperlink ref="B39" location="'Concesiones Regional y Comunal'!B52" display="iii. Número de solicitudes concedidas por comuna en T4 2022, según tipo y sexo" xr:uid="{543044E5-8413-4ADC-B635-C10E9D896E27}"/>
    <hyperlink ref="B40" location="'Concesiones Regional y Comunal'!B55" display="   Región de Tarapacá" xr:uid="{AB5F1336-7576-4753-9253-4A4D1B53481A}"/>
    <hyperlink ref="B41" location="'Concesiones Regional y Comunal'!B69" display="   Región de Antofagasta" xr:uid="{44F8319B-FD0B-4C25-9C54-ACB4045CCAEE}"/>
    <hyperlink ref="B42" location="'Concesiones Regional y Comunal'!B84" display="   Región de Atacama" xr:uid="{C8774895-C2C9-46EC-A27E-7E4B5D9548C2}"/>
    <hyperlink ref="B43" location="'Concesiones Regional y Comunal'!B100" display="   Región de Coquimbo" xr:uid="{684DE907-2B29-4E7E-9A26-829BCDFF3C28}"/>
    <hyperlink ref="B44" location="'Concesiones Regional y Comunal'!B122" display="   Región de Valparaíso" xr:uid="{1A3FCE54-C7BC-402D-8CC9-291F5911DFA3}"/>
    <hyperlink ref="B45" location="'Concesiones Regional y Comunal'!B167" display="   Región del Libertador General Bernardo O’Higgins" xr:uid="{E6E40B05-B0D3-4052-8BC2-16B67BC8128C}"/>
    <hyperlink ref="B46" location="'Concesiones Regional y Comunal'!B207" display="   Región del Maule" xr:uid="{41BC4C45-E3F7-4187-AF45-AF3AC7F23945}"/>
    <hyperlink ref="B47" location="'Concesiones Regional y Comunal'!B244" display="   Región del Bio-bío" xr:uid="{60C6B31A-A396-410A-B50E-2658609FE61B}"/>
    <hyperlink ref="B48" location="'Concesiones Regional y Comunal'!B284" display="   Región de La Araucanía" xr:uid="{D3390226-FB2A-4282-AF67-34764A68DD39}"/>
    <hyperlink ref="B49" location="'Concesiones Regional y Comunal'!B323" display="   Región de Los Lagos" xr:uid="{4069498D-25F5-4A96-BAE5-682FE907E3DD}"/>
    <hyperlink ref="B50" location="'Concesiones Regional y Comunal'!B360" display="   Región Aysén del General Carlos Ibáñez del Campo" xr:uid="{74D516BF-FCC2-4B8E-B8C1-B1ACEBF04F1E}"/>
    <hyperlink ref="B51" location="'Concesiones Regional y Comunal'!B377" display="   Región de Magallanes y Antártica Chilena" xr:uid="{81AB519D-9E13-4CCE-9E2F-DE1ADD7130E7}"/>
    <hyperlink ref="B52" location="'Concesiones Regional y Comunal'!B392" display="   Región Metropolitana de Santiago" xr:uid="{D389EE0D-EDA5-4DCA-97DE-3402213B0BD2}"/>
    <hyperlink ref="B53" location="'Concesiones Regional y Comunal'!B451" display="   Región de Los Ríos" xr:uid="{ECC43761-606B-4B67-954A-EA8348582864}"/>
    <hyperlink ref="B54" location="'Concesiones Regional y Comunal'!B470" display="   Región de Arica y Parinacota" xr:uid="{5461A3F9-27FA-485E-8D6F-247D659848D9}"/>
    <hyperlink ref="B55" location="'Concesiones Regional y Comunal'!B479" display="   Región de Ñuble" xr:uid="{5FA5995B-556B-4697-98F9-CE11F41F9D3F}"/>
    <hyperlink ref="B57" location="Rechazadas!B4" display="i. Resumen trimestral de solicitudes rechazadas de beneficios en T4 2022" xr:uid="{0C4F5F9F-0F26-4177-8719-C6525142F16D}"/>
    <hyperlink ref="B58" location="Rechazadas!B57" display="iii. Serie resumen de solicitudes rechazadas de beneficios, por tipo y sexo" xr:uid="{F7002CF2-ABC1-4730-A583-63EAADD39A53}"/>
    <hyperlink ref="B60" location="'Tasas de concesión'!B4" display="i. Resumen trimestral de tasas de concesiones de beneficios por región en T4 2022, según tipo y sexo" xr:uid="{F34F6B34-46FD-4B68-9569-E8B3082C925C}"/>
    <hyperlink ref="B61" location="'Tasas de concesión'!B52" display="iii. Serie resumen de tasas de concesión de solicitudes por tipo y sexo" xr:uid="{7649460E-220E-488E-BA93-A54175799C5A}"/>
    <hyperlink ref="B13:M13" location="'2.1'!B4" display="i. Resumen trimestral de número y estado de solicitudes, según tipo de beneficio y sexo" xr:uid="{F9840F9C-17B3-447A-A8A0-856E3BCFF962}"/>
    <hyperlink ref="B14:M14" location="'2.1'!B27" display="ii. Serie resumen de solicitudes de beneficios, por tipo de beneficio y sexo" xr:uid="{DBF3D3B9-66FD-48EE-B6B0-D35D3D01F240}"/>
    <hyperlink ref="B16:M16" location="'2.2'!B4" display="i. Resumen trimestral de solicitudes por región en T4 2022, según tipo y sexo" xr:uid="{BAB2D28D-8101-4853-A1D1-E324CEF9DBFC}"/>
    <hyperlink ref="B17:M17" location="'2.2'!B29" display="ii. Número de solicitudes trimestrales por comuna, según tipo de beneficio y sexo" xr:uid="{D01281FE-EF48-4FBA-8CEC-5F67E2CB8641}"/>
    <hyperlink ref="B18:M18" location="'2.2'!B32" display="   Región de Tarapacá" xr:uid="{1657A551-797A-4A21-A40B-750E2873475F}"/>
    <hyperlink ref="B19:M19" location="'2.2'!B47" display="   Región de Antofagasta" xr:uid="{6EF8AC32-D610-4520-A9DE-2B90638AD3FB}"/>
    <hyperlink ref="B20:M20" location="'2.2'!B64" display="   Región de Atacama" xr:uid="{D0BA49E8-319E-4AD2-A9F0-ADAFE19A9D4E}"/>
    <hyperlink ref="B21:M21" location="'2.2'!B81" display="   Región de Coquimbo" xr:uid="{04EE5D33-0DC2-460C-A8C3-8F7C1DFA71B2}"/>
    <hyperlink ref="B22:M22" location="'2.2'!B104" display="   Región de Valparaíso" xr:uid="{255635C7-ADF1-4CCD-8FDE-93E351CF6334}"/>
    <hyperlink ref="B23:M23" location="'2.2'!B150" display="   Región del Libertador General Bernardo O’Higgins" xr:uid="{A4A76A66-A3A8-4DE7-9C88-6389FF4ABD3B}"/>
    <hyperlink ref="B24:M24" location="'2.2'!B191" display="   Región del Maule" xr:uid="{E21D6971-BC66-4594-81E9-31F0B16A57CE}"/>
    <hyperlink ref="B25:M25" location="'2.2'!B229" display="   Región del Bio-bío" xr:uid="{5254674D-210E-4EEB-841A-55777B382BC1}"/>
    <hyperlink ref="B26:M26" location="'2.2'!B270" display="   Región de La Araucanía" xr:uid="{E0EB8E5D-F4F8-4E5F-8D32-D8B048ED4F40}"/>
    <hyperlink ref="B27:M27" location="'2.2'!B310" display="   Región de Los Lagos" xr:uid="{699CBC18-4308-466C-AB25-1AFF5EB8985A}"/>
    <hyperlink ref="B28:M28" location="'2.2'!B348" display="   Región Aysén del General Carlos Ibáñez del Campo" xr:uid="{2FA632D2-401B-4B64-BE08-4E0B3A7BC3FE}"/>
    <hyperlink ref="B29:M29" location="'2.2'!B365" display="   Región de Magallanes y Antártica Chilena" xr:uid="{54A04EB0-0D0F-4E3F-8E49-FD31AD185C03}"/>
    <hyperlink ref="B30:M30" location="'2.2'!B379" display="   Región Metropolitana de Santiago" xr:uid="{C57A82B4-EBA8-4D3E-AD11-4CF42DD94BB2}"/>
    <hyperlink ref="B31:M31" location="'2.2'!B439" display="   Región de Los Ríos" xr:uid="{39186885-F9B1-4FAF-B970-C09E94E8273B}"/>
    <hyperlink ref="B32:M32" location="'2.2'!B459" display="   Región de Arica y Parinacota" xr:uid="{68914A44-93B8-437B-8C33-CC9E452FC649}"/>
    <hyperlink ref="B33:M33" location="'2.2'!B470" display="   Región de Ñuble" xr:uid="{C26F2D9A-3404-402B-9D5D-3E4216447BA2}"/>
    <hyperlink ref="B35:M35" location="'2.3'!B4" display="i. Resumen trimestral de concesiones de beneficios del Pilar No Contributivo" xr:uid="{10B80E02-079D-4A59-8AFA-8AA35497416C}"/>
    <hyperlink ref="B36:M36" location="'2.3'!B16" display="ii. Serie resumen de solicitudes concedidas de beneficios, por tipo de beneficio y sexo" xr:uid="{6790C714-06FD-4571-9E21-FA18F2254C4C}"/>
    <hyperlink ref="B38:M38" location="'2.4'!B4" display="i. Resumen trimestral de solicitudes concedidas por región, según tipo de beneficio y sexo" xr:uid="{6380B1F6-A73E-4188-812D-A6046C1BFEF2}"/>
    <hyperlink ref="B39:M39" location="'2.4'!B29" display="ii. Número de solicitudes concedidas trimestrales por comuna, según tipo de beneficio y sexo" xr:uid="{D978FCDD-0BD7-4043-82AB-A88A975C32B8}"/>
    <hyperlink ref="B40:M40" location="'2.4'!B32" display="   Región de Tarapacá" xr:uid="{0BEC33FF-CAE9-40CD-B53A-F45AC360CA57}"/>
    <hyperlink ref="B41:M41" location="'2.4'!B47" display="   Región de Antofagasta" xr:uid="{6116FFF5-5F69-47CB-9592-6E6B9C37B136}"/>
    <hyperlink ref="B42:M42" location="'2.4'!B64" display="   Región de Atacama" xr:uid="{0E1A91D3-D4C2-46B8-BE5C-55014254F159}"/>
    <hyperlink ref="B43:M43" location="'2.4'!B81" display="   Región de Coquimbo" xr:uid="{33D7ECF1-D9B2-48FF-9131-BF36518BC35D}"/>
    <hyperlink ref="B44:M44" location="'2.4'!B104" display="   Región de Valparaíso" xr:uid="{D7D419E8-BD42-42C2-AC34-83FB1466E403}"/>
    <hyperlink ref="B45:M45" location="'2.4'!B150" display="   Región del Libertador General Bernardo O’Higgins" xr:uid="{FAED5637-FEB6-40BA-8CAB-771DA7764AA7}"/>
    <hyperlink ref="B46:M46" location="'2.4'!B191" display="   Región del Maule" xr:uid="{59360FDC-1831-4665-860F-47CB2E279F90}"/>
    <hyperlink ref="B48:M48" location="'2.4'!B270" display="   Región de La Araucanía" xr:uid="{9121FE1D-1C78-416E-9DB1-A370FC5A6E4A}"/>
    <hyperlink ref="B47:M47" location="'2.4'!B229" display="   Región del Bio-bío" xr:uid="{FC9895B5-7DA7-426D-BAA1-5413316CE0C9}"/>
    <hyperlink ref="B49:M49" location="'2.4'!B310" display="   Región de Los Lagos" xr:uid="{5D968DF8-39DD-45B1-A219-4C28FAC06744}"/>
    <hyperlink ref="B50:M50" location="'2.4'!B348" display="   Región Aysén del General Carlos Ibáñez del Campo" xr:uid="{5A90F533-63B2-4722-AC7F-073F965864C4}"/>
    <hyperlink ref="B51:M51" location="'2.4'!B365" display="   Región de Magallanes y Antártica Chilena" xr:uid="{1741DF51-DF73-40C2-9148-9D77A7D15F5E}"/>
    <hyperlink ref="B52:M52" location="'2.4'!B379" display="   Región Metropolitana de Santiago" xr:uid="{F138090E-3057-47EA-A9C3-AEAE73100B1B}"/>
    <hyperlink ref="B53:M53" location="'2.4'!B438" display="   Región de Los Ríos" xr:uid="{EB842029-48A2-4528-9FA7-D7A6D2C2C2E8}"/>
    <hyperlink ref="B54:M54" location="'2.4'!B458" display="   Región de Arica y Parinacota" xr:uid="{C57E1BE7-4906-49EA-B89D-39BB84D37C64}"/>
    <hyperlink ref="B55:M55" location="'2.4'!B469" display="   Región de Ñuble" xr:uid="{D573C2EC-2EFE-438A-A18A-4B355D5B2D62}"/>
    <hyperlink ref="B57:M57" location="'2.5'!B4" display="i. Resumen trimestral de solicitudes de beneficios rechazadas" xr:uid="{A58F2DDA-DE46-49A7-926C-961E27F66792}"/>
    <hyperlink ref="B58:M58" location="'2.5'!B31" display="ii. Serie resumen de solicitudes de beneficios rechazadas, por tipo de beneficio y sexo" xr:uid="{BE9870C7-2E6D-4F57-99E1-9C35453CF827}"/>
    <hyperlink ref="B60:M60" location="'2.6'!B4" display="i. Resumen trimestral de tasas de concesiones de beneficios por región, según tipo de beneficio y sexo" xr:uid="{181F72DD-945F-4E5F-B1EC-629B4A4FB9B4}"/>
    <hyperlink ref="B61:M61" location="'2.6'!B29" display="ii. Serie resumen de tasas de concesión de solicitudes por tipo de beneficio y sexo" xr:uid="{3F3ED18E-C3A4-4CC2-9A7C-4498ABBF89A5}"/>
  </hyperlink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74"/>
  <sheetViews>
    <sheetView showGridLines="0" topLeftCell="A195" zoomScaleNormal="100" workbookViewId="0">
      <selection activeCell="B220" sqref="B220"/>
    </sheetView>
  </sheetViews>
  <sheetFormatPr baseColWidth="10" defaultColWidth="11.42578125" defaultRowHeight="15" outlineLevelRow="1" x14ac:dyDescent="0.25"/>
  <cols>
    <col min="1" max="1" width="5.5703125" style="21" customWidth="1"/>
    <col min="2" max="2" width="23.85546875" style="21" customWidth="1"/>
    <col min="3" max="3" width="16.85546875" style="21" customWidth="1"/>
    <col min="4" max="4" width="12.140625" style="21" bestFit="1" customWidth="1"/>
    <col min="5" max="5" width="14.5703125" style="21" customWidth="1"/>
    <col min="6" max="6" width="14.42578125" style="21" customWidth="1"/>
    <col min="7" max="7" width="12.28515625" style="21" customWidth="1"/>
    <col min="8" max="8" width="13.42578125" style="21" customWidth="1"/>
    <col min="9" max="9" width="13.5703125" style="21" customWidth="1"/>
    <col min="10" max="10" width="12.85546875" style="21" customWidth="1"/>
    <col min="11" max="11" width="11.7109375" style="21" customWidth="1"/>
    <col min="12" max="12" width="12.140625" style="21" customWidth="1"/>
    <col min="13" max="13" width="13" style="21" customWidth="1"/>
    <col min="14" max="14" width="11.42578125" style="21" customWidth="1"/>
    <col min="15" max="15" width="11.7109375" style="21" customWidth="1"/>
    <col min="16" max="16" width="12.5703125" style="21" customWidth="1"/>
    <col min="17" max="17" width="9.7109375" style="21" bestFit="1" customWidth="1"/>
    <col min="18" max="18" width="8.7109375" style="21" bestFit="1" customWidth="1"/>
    <col min="19" max="19" width="9.7109375" style="21" bestFit="1" customWidth="1"/>
    <col min="20" max="20" width="8.7109375" style="21" bestFit="1" customWidth="1"/>
    <col min="21" max="21" width="11.7109375" style="21" customWidth="1"/>
    <col min="22" max="22" width="12.7109375" style="21" customWidth="1"/>
    <col min="23" max="23" width="9.7109375" style="21" bestFit="1" customWidth="1"/>
    <col min="24" max="24" width="10.5703125" style="21" customWidth="1"/>
    <col min="25" max="25" width="10.85546875" style="21" customWidth="1"/>
    <col min="26" max="26" width="10.5703125" style="21" customWidth="1"/>
    <col min="27" max="27" width="8.5703125" style="21" bestFit="1" customWidth="1"/>
    <col min="28" max="28" width="7.42578125" style="21" bestFit="1" customWidth="1"/>
    <col min="29" max="29" width="9.5703125" style="21" bestFit="1" customWidth="1"/>
    <col min="30" max="30" width="2.28515625" style="21" customWidth="1"/>
    <col min="31" max="31" width="11.140625" style="21" bestFit="1" customWidth="1"/>
    <col min="32" max="32" width="9.5703125" style="21" bestFit="1" customWidth="1"/>
    <col min="33" max="33" width="5.7109375" style="21" bestFit="1" customWidth="1"/>
    <col min="34" max="34" width="2.5703125" style="21" customWidth="1"/>
    <col min="35" max="36" width="9.5703125" style="21" bestFit="1" customWidth="1"/>
    <col min="37" max="37" width="5.7109375" style="21" bestFit="1" customWidth="1"/>
    <col min="38" max="16384" width="11.42578125" style="21"/>
  </cols>
  <sheetData>
    <row r="2" spans="2:20" ht="23.25" x14ac:dyDescent="0.25">
      <c r="B2" s="1" t="s">
        <v>792</v>
      </c>
    </row>
    <row r="4" spans="2:20" ht="18.75" x14ac:dyDescent="0.3">
      <c r="B4" s="2" t="s">
        <v>919</v>
      </c>
      <c r="C4" s="22"/>
      <c r="D4" s="22"/>
      <c r="E4" s="22"/>
      <c r="F4" s="22"/>
      <c r="G4" s="22"/>
      <c r="H4" s="22"/>
    </row>
    <row r="5" spans="2:20" x14ac:dyDescent="0.25">
      <c r="B5" s="29" t="s">
        <v>867</v>
      </c>
    </row>
    <row r="6" spans="2:20" x14ac:dyDescent="0.25">
      <c r="B6" s="29"/>
    </row>
    <row r="7" spans="2:20" x14ac:dyDescent="0.25">
      <c r="B7" s="476" t="s">
        <v>488</v>
      </c>
      <c r="C7" s="479" t="s">
        <v>604</v>
      </c>
      <c r="D7" s="465" t="s">
        <v>745</v>
      </c>
      <c r="E7" s="465"/>
      <c r="F7" s="465"/>
      <c r="G7" s="465"/>
      <c r="H7" s="465"/>
      <c r="I7" s="465"/>
      <c r="J7" s="465"/>
      <c r="K7" s="465"/>
      <c r="L7" s="465"/>
      <c r="M7" s="465"/>
      <c r="N7" s="465"/>
      <c r="O7" s="465"/>
      <c r="P7" s="27"/>
    </row>
    <row r="8" spans="2:20" x14ac:dyDescent="0.25">
      <c r="B8" s="477"/>
      <c r="C8" s="479"/>
      <c r="D8" s="479" t="s">
        <v>25</v>
      </c>
      <c r="E8" s="479"/>
      <c r="F8" s="479" t="s">
        <v>22</v>
      </c>
      <c r="G8" s="479"/>
      <c r="H8" s="479" t="s">
        <v>26</v>
      </c>
      <c r="I8" s="479"/>
      <c r="J8" s="479" t="s">
        <v>23</v>
      </c>
      <c r="K8" s="479"/>
      <c r="L8" s="479" t="s">
        <v>24</v>
      </c>
      <c r="M8" s="479"/>
      <c r="N8" s="470" t="s">
        <v>498</v>
      </c>
      <c r="O8" s="470"/>
      <c r="P8" s="27"/>
      <c r="Q8" s="27"/>
      <c r="R8" s="27"/>
      <c r="S8" s="27"/>
      <c r="T8" s="27"/>
    </row>
    <row r="9" spans="2:20" x14ac:dyDescent="0.25">
      <c r="B9" s="478"/>
      <c r="C9" s="479"/>
      <c r="D9" s="175" t="s">
        <v>2</v>
      </c>
      <c r="E9" s="175" t="s">
        <v>9</v>
      </c>
      <c r="F9" s="175" t="s">
        <v>2</v>
      </c>
      <c r="G9" s="175" t="s">
        <v>9</v>
      </c>
      <c r="H9" s="175" t="s">
        <v>2</v>
      </c>
      <c r="I9" s="175" t="s">
        <v>9</v>
      </c>
      <c r="J9" s="175" t="s">
        <v>2</v>
      </c>
      <c r="K9" s="175" t="s">
        <v>9</v>
      </c>
      <c r="L9" s="175" t="s">
        <v>2</v>
      </c>
      <c r="M9" s="175" t="s">
        <v>9</v>
      </c>
      <c r="N9" s="373" t="s">
        <v>2</v>
      </c>
      <c r="O9" s="373" t="s">
        <v>9</v>
      </c>
      <c r="P9" s="27"/>
      <c r="Q9" s="27"/>
      <c r="R9" s="27"/>
      <c r="S9" s="27"/>
      <c r="T9" s="27"/>
    </row>
    <row r="10" spans="2:20" x14ac:dyDescent="0.25">
      <c r="B10" s="466" t="s">
        <v>707</v>
      </c>
      <c r="C10" s="248" t="s">
        <v>83</v>
      </c>
      <c r="D10" s="282">
        <v>9</v>
      </c>
      <c r="E10" s="301">
        <f>D10/$N10</f>
        <v>8.0551329096930095E-4</v>
      </c>
      <c r="F10" s="282">
        <v>7118</v>
      </c>
      <c r="G10" s="301">
        <f>F10/$N10</f>
        <v>0.63707151167994269</v>
      </c>
      <c r="H10" s="282">
        <v>19</v>
      </c>
      <c r="I10" s="301">
        <f>H10/$N10</f>
        <v>1.7005280587129687E-3</v>
      </c>
      <c r="J10" s="282">
        <v>10</v>
      </c>
      <c r="K10" s="301">
        <f>J10/$N10</f>
        <v>8.9501476774366776E-4</v>
      </c>
      <c r="L10" s="282">
        <v>4017</v>
      </c>
      <c r="M10" s="301">
        <f>L10/$N10</f>
        <v>0.35952743220263134</v>
      </c>
      <c r="N10" s="367">
        <v>11173</v>
      </c>
      <c r="O10" s="376">
        <f>N10/$N10</f>
        <v>1</v>
      </c>
      <c r="P10" s="27"/>
      <c r="Q10" s="27"/>
      <c r="R10" s="27"/>
      <c r="S10" s="27"/>
      <c r="T10" s="27"/>
    </row>
    <row r="11" spans="2:20" x14ac:dyDescent="0.25">
      <c r="B11" s="467"/>
      <c r="C11" s="248" t="s">
        <v>84</v>
      </c>
      <c r="D11" s="282">
        <v>4</v>
      </c>
      <c r="E11" s="301">
        <f t="shared" ref="E11:G24" si="0">D11/$N11</f>
        <v>2.6413100898045432E-4</v>
      </c>
      <c r="F11" s="282">
        <v>9059</v>
      </c>
      <c r="G11" s="301">
        <f t="shared" si="0"/>
        <v>0.59819070258848384</v>
      </c>
      <c r="H11" s="282">
        <v>3</v>
      </c>
      <c r="I11" s="301">
        <f t="shared" ref="I11" si="1">H11/$N11</f>
        <v>1.9809825673534074E-4</v>
      </c>
      <c r="J11" s="282">
        <v>16</v>
      </c>
      <c r="K11" s="301">
        <f t="shared" ref="K11" si="2">J11/$N11</f>
        <v>1.0565240359218173E-3</v>
      </c>
      <c r="L11" s="282">
        <v>6062</v>
      </c>
      <c r="M11" s="301">
        <f t="shared" ref="M11" si="3">L11/$N11</f>
        <v>0.40029054410987852</v>
      </c>
      <c r="N11" s="367">
        <v>15144</v>
      </c>
      <c r="O11" s="376">
        <f t="shared" ref="O11" si="4">N11/$N11</f>
        <v>1</v>
      </c>
      <c r="P11" s="27"/>
      <c r="Q11" s="27"/>
      <c r="R11" s="27"/>
      <c r="S11" s="27"/>
      <c r="T11" s="27"/>
    </row>
    <row r="12" spans="2:20" x14ac:dyDescent="0.25">
      <c r="B12" s="468"/>
      <c r="C12" s="248" t="s">
        <v>603</v>
      </c>
      <c r="D12" s="282">
        <v>13</v>
      </c>
      <c r="E12" s="301">
        <f t="shared" si="0"/>
        <v>4.9397727704525592E-4</v>
      </c>
      <c r="F12" s="282">
        <v>16177</v>
      </c>
      <c r="G12" s="301">
        <f t="shared" si="0"/>
        <v>0.61469772390470034</v>
      </c>
      <c r="H12" s="282">
        <v>22</v>
      </c>
      <c r="I12" s="301">
        <f t="shared" ref="I12" si="5">H12/$N12</f>
        <v>8.3596154576889468E-4</v>
      </c>
      <c r="J12" s="282">
        <v>26</v>
      </c>
      <c r="K12" s="301">
        <f t="shared" ref="K12" si="6">J12/$N12</f>
        <v>9.8795455409051184E-4</v>
      </c>
      <c r="L12" s="282">
        <v>10079</v>
      </c>
      <c r="M12" s="301">
        <f t="shared" ref="M12" si="7">L12/$N12</f>
        <v>0.38298438271839497</v>
      </c>
      <c r="N12" s="367">
        <v>26317</v>
      </c>
      <c r="O12" s="376">
        <f t="shared" ref="O12" si="8">N12/$N12</f>
        <v>1</v>
      </c>
      <c r="P12" s="27"/>
      <c r="Q12" s="27"/>
      <c r="R12" s="27"/>
      <c r="S12" s="27"/>
      <c r="T12" s="27"/>
    </row>
    <row r="13" spans="2:20" x14ac:dyDescent="0.25">
      <c r="B13" s="466" t="s">
        <v>497</v>
      </c>
      <c r="C13" s="248" t="s">
        <v>83</v>
      </c>
      <c r="D13" s="193">
        <v>16</v>
      </c>
      <c r="E13" s="301">
        <f t="shared" si="0"/>
        <v>5.2224434507295106E-4</v>
      </c>
      <c r="F13" s="282">
        <v>19163</v>
      </c>
      <c r="G13" s="301">
        <f t="shared" si="0"/>
        <v>0.62548552403956004</v>
      </c>
      <c r="H13" s="282">
        <v>9</v>
      </c>
      <c r="I13" s="301">
        <f t="shared" ref="I13" si="9">H13/$N13</f>
        <v>2.9376244410353496E-4</v>
      </c>
      <c r="J13" s="282">
        <v>54</v>
      </c>
      <c r="K13" s="301">
        <f t="shared" ref="K13" si="10">J13/$N13</f>
        <v>1.7625746646212097E-3</v>
      </c>
      <c r="L13" s="282">
        <v>11395</v>
      </c>
      <c r="M13" s="301">
        <f t="shared" ref="M13" si="11">L13/$N13</f>
        <v>0.37193589450664227</v>
      </c>
      <c r="N13" s="367">
        <v>30637</v>
      </c>
      <c r="O13" s="376">
        <f t="shared" ref="O13" si="12">N13/$N13</f>
        <v>1</v>
      </c>
      <c r="P13" s="27"/>
      <c r="Q13" s="27"/>
      <c r="R13" s="27"/>
      <c r="S13" s="27"/>
      <c r="T13" s="27"/>
    </row>
    <row r="14" spans="2:20" x14ac:dyDescent="0.25">
      <c r="B14" s="467"/>
      <c r="C14" s="248" t="s">
        <v>84</v>
      </c>
      <c r="D14" s="193">
        <v>14</v>
      </c>
      <c r="E14" s="301">
        <f t="shared" si="0"/>
        <v>5.9546595210752411E-4</v>
      </c>
      <c r="F14" s="282">
        <v>12835</v>
      </c>
      <c r="G14" s="301">
        <f t="shared" si="0"/>
        <v>0.54591467823571949</v>
      </c>
      <c r="H14" s="282">
        <v>1</v>
      </c>
      <c r="I14" s="301">
        <f t="shared" ref="I14" si="13">H14/$N14</f>
        <v>4.253328229339458E-5</v>
      </c>
      <c r="J14" s="282">
        <v>97</v>
      </c>
      <c r="K14" s="301">
        <f t="shared" ref="K14" si="14">J14/$N14</f>
        <v>4.1257283824592747E-3</v>
      </c>
      <c r="L14" s="282">
        <v>10564</v>
      </c>
      <c r="M14" s="301">
        <f t="shared" ref="M14" si="15">L14/$N14</f>
        <v>0.44932159414742034</v>
      </c>
      <c r="N14" s="367">
        <v>23511</v>
      </c>
      <c r="O14" s="376">
        <f t="shared" ref="O14" si="16">N14/$N14</f>
        <v>1</v>
      </c>
      <c r="P14" s="27"/>
      <c r="Q14" s="27"/>
      <c r="R14" s="27"/>
      <c r="S14" s="27"/>
      <c r="T14" s="27"/>
    </row>
    <row r="15" spans="2:20" x14ac:dyDescent="0.25">
      <c r="B15" s="468"/>
      <c r="C15" s="248" t="s">
        <v>603</v>
      </c>
      <c r="D15" s="193">
        <v>30</v>
      </c>
      <c r="E15" s="301">
        <f t="shared" si="0"/>
        <v>5.5403708354879219E-4</v>
      </c>
      <c r="F15" s="282">
        <v>31998</v>
      </c>
      <c r="G15" s="301">
        <f t="shared" si="0"/>
        <v>0.59093595331314175</v>
      </c>
      <c r="H15" s="282">
        <v>10</v>
      </c>
      <c r="I15" s="301">
        <f t="shared" ref="I15" si="17">H15/$N15</f>
        <v>1.846790278495974E-4</v>
      </c>
      <c r="J15" s="282">
        <v>151</v>
      </c>
      <c r="K15" s="301">
        <f t="shared" ref="K15" si="18">J15/$N15</f>
        <v>2.7886533205289206E-3</v>
      </c>
      <c r="L15" s="282">
        <v>21959</v>
      </c>
      <c r="M15" s="301">
        <f t="shared" ref="M15" si="19">L15/$N15</f>
        <v>0.40553667725493092</v>
      </c>
      <c r="N15" s="367">
        <v>54148</v>
      </c>
      <c r="O15" s="376">
        <f t="shared" ref="O15" si="20">N15/$N15</f>
        <v>1</v>
      </c>
      <c r="P15" s="27"/>
      <c r="Q15" s="27"/>
      <c r="R15" s="27"/>
      <c r="S15" s="27"/>
      <c r="T15" s="27"/>
    </row>
    <row r="16" spans="2:20" x14ac:dyDescent="0.25">
      <c r="B16" s="466" t="s">
        <v>4</v>
      </c>
      <c r="C16" s="248" t="s">
        <v>83</v>
      </c>
      <c r="D16" s="282">
        <v>14</v>
      </c>
      <c r="E16" s="301">
        <f t="shared" si="0"/>
        <v>2.284968173657581E-3</v>
      </c>
      <c r="F16" s="282">
        <v>150</v>
      </c>
      <c r="G16" s="301">
        <f t="shared" si="0"/>
        <v>2.448180186061694E-2</v>
      </c>
      <c r="H16" s="282">
        <v>8</v>
      </c>
      <c r="I16" s="301">
        <f t="shared" ref="I16" si="21">H16/$N16</f>
        <v>1.3056960992329036E-3</v>
      </c>
      <c r="J16" s="282">
        <v>20</v>
      </c>
      <c r="K16" s="301">
        <f t="shared" ref="K16" si="22">J16/$N16</f>
        <v>3.264240248082259E-3</v>
      </c>
      <c r="L16" s="282">
        <v>5935</v>
      </c>
      <c r="M16" s="301">
        <f t="shared" ref="M16" si="23">L16/$N16</f>
        <v>0.9686632936184103</v>
      </c>
      <c r="N16" s="367">
        <v>6127</v>
      </c>
      <c r="O16" s="376">
        <f t="shared" ref="O16" si="24">N16/$N16</f>
        <v>1</v>
      </c>
      <c r="P16" s="27"/>
      <c r="Q16" s="27"/>
      <c r="R16" s="27"/>
      <c r="S16" s="27"/>
      <c r="T16" s="27"/>
    </row>
    <row r="17" spans="2:30" x14ac:dyDescent="0.25">
      <c r="B17" s="467"/>
      <c r="C17" s="248" t="s">
        <v>84</v>
      </c>
      <c r="D17" s="282">
        <v>3</v>
      </c>
      <c r="E17" s="301">
        <f t="shared" si="0"/>
        <v>1.2131014961585119E-3</v>
      </c>
      <c r="F17" s="282">
        <v>159</v>
      </c>
      <c r="G17" s="301">
        <f t="shared" si="0"/>
        <v>6.4294379296401138E-2</v>
      </c>
      <c r="H17" s="282">
        <v>3</v>
      </c>
      <c r="I17" s="301">
        <f t="shared" ref="I17" si="25">H17/$N17</f>
        <v>1.2131014961585119E-3</v>
      </c>
      <c r="J17" s="282">
        <v>7</v>
      </c>
      <c r="K17" s="301">
        <f t="shared" ref="K17" si="26">J17/$N17</f>
        <v>2.8305701577031944E-3</v>
      </c>
      <c r="L17" s="282">
        <v>2301</v>
      </c>
      <c r="M17" s="301">
        <f t="shared" ref="M17" si="27">L17/$N17</f>
        <v>0.9304488475535786</v>
      </c>
      <c r="N17" s="367">
        <v>2473</v>
      </c>
      <c r="O17" s="376">
        <f t="shared" ref="O17" si="28">N17/$N17</f>
        <v>1</v>
      </c>
      <c r="P17" s="27"/>
      <c r="Q17" s="27"/>
      <c r="R17" s="27"/>
      <c r="S17" s="27"/>
      <c r="T17" s="27"/>
    </row>
    <row r="18" spans="2:30" x14ac:dyDescent="0.25">
      <c r="B18" s="468"/>
      <c r="C18" s="248" t="s">
        <v>603</v>
      </c>
      <c r="D18" s="282">
        <v>17</v>
      </c>
      <c r="E18" s="301">
        <f t="shared" si="0"/>
        <v>1.9767441860465114E-3</v>
      </c>
      <c r="F18" s="282">
        <v>309</v>
      </c>
      <c r="G18" s="301">
        <f t="shared" si="0"/>
        <v>3.5930232558139534E-2</v>
      </c>
      <c r="H18" s="282">
        <v>11</v>
      </c>
      <c r="I18" s="301">
        <f t="shared" ref="I18" si="29">H18/$N18</f>
        <v>1.2790697674418604E-3</v>
      </c>
      <c r="J18" s="282">
        <v>27</v>
      </c>
      <c r="K18" s="301">
        <f t="shared" ref="K18" si="30">J18/$N18</f>
        <v>3.1395348837209304E-3</v>
      </c>
      <c r="L18" s="282">
        <v>8236</v>
      </c>
      <c r="M18" s="301">
        <f t="shared" ref="M18" si="31">L18/$N18</f>
        <v>0.95767441860465119</v>
      </c>
      <c r="N18" s="367">
        <v>8600</v>
      </c>
      <c r="O18" s="376">
        <f t="shared" ref="O18" si="32">N18/$N18</f>
        <v>1</v>
      </c>
      <c r="P18" s="27"/>
      <c r="Q18" s="27"/>
      <c r="R18" s="27"/>
      <c r="S18" s="27"/>
      <c r="T18" s="27"/>
    </row>
    <row r="19" spans="2:30" x14ac:dyDescent="0.25">
      <c r="B19" s="466" t="s">
        <v>6</v>
      </c>
      <c r="C19" s="248" t="s">
        <v>83</v>
      </c>
      <c r="D19" s="282">
        <v>3</v>
      </c>
      <c r="E19" s="301">
        <f t="shared" si="0"/>
        <v>1.7133066818960593E-3</v>
      </c>
      <c r="F19" s="282">
        <v>636</v>
      </c>
      <c r="G19" s="301">
        <f t="shared" si="0"/>
        <v>0.36322101656196459</v>
      </c>
      <c r="H19" s="106">
        <v>0</v>
      </c>
      <c r="I19" s="301">
        <f t="shared" ref="I19" si="33">H19/$N19</f>
        <v>0</v>
      </c>
      <c r="J19" s="282">
        <v>140</v>
      </c>
      <c r="K19" s="301">
        <f t="shared" ref="K19" si="34">J19/$N19</f>
        <v>7.9954311821816101E-2</v>
      </c>
      <c r="L19" s="282">
        <v>972</v>
      </c>
      <c r="M19" s="301">
        <f t="shared" ref="M19" si="35">L19/$N19</f>
        <v>0.55511136493432323</v>
      </c>
      <c r="N19" s="367">
        <v>1751</v>
      </c>
      <c r="O19" s="376">
        <f t="shared" ref="O19" si="36">N19/$N19</f>
        <v>1</v>
      </c>
      <c r="P19" s="27"/>
      <c r="Q19" s="27"/>
      <c r="R19" s="27"/>
      <c r="S19" s="27"/>
      <c r="T19" s="27"/>
      <c r="U19" s="27"/>
      <c r="V19" s="244"/>
      <c r="W19" s="244"/>
      <c r="X19" s="104"/>
      <c r="Y19" s="247"/>
      <c r="Z19" s="247"/>
      <c r="AA19" s="247"/>
      <c r="AB19" s="247"/>
      <c r="AC19" s="247"/>
      <c r="AD19" s="247"/>
    </row>
    <row r="20" spans="2:30" x14ac:dyDescent="0.25">
      <c r="B20" s="467"/>
      <c r="C20" s="248" t="s">
        <v>84</v>
      </c>
      <c r="D20" s="282">
        <v>14</v>
      </c>
      <c r="E20" s="301">
        <f t="shared" si="0"/>
        <v>5.8139534883720929E-3</v>
      </c>
      <c r="F20" s="282">
        <v>1106</v>
      </c>
      <c r="G20" s="301">
        <f t="shared" si="0"/>
        <v>0.45930232558139533</v>
      </c>
      <c r="H20" s="282">
        <v>2</v>
      </c>
      <c r="I20" s="301">
        <f t="shared" ref="I20" si="37">H20/$N20</f>
        <v>8.3056478405315617E-4</v>
      </c>
      <c r="J20" s="282">
        <v>131</v>
      </c>
      <c r="K20" s="301">
        <f t="shared" ref="K20" si="38">J20/$N20</f>
        <v>5.440199335548173E-2</v>
      </c>
      <c r="L20" s="282">
        <v>1155</v>
      </c>
      <c r="M20" s="301">
        <f t="shared" ref="M20" si="39">L20/$N20</f>
        <v>0.47965116279069769</v>
      </c>
      <c r="N20" s="367">
        <v>2408</v>
      </c>
      <c r="O20" s="376">
        <f t="shared" ref="O20" si="40">N20/$N20</f>
        <v>1</v>
      </c>
      <c r="P20" s="27"/>
      <c r="Q20" s="27"/>
      <c r="R20" s="27"/>
      <c r="S20" s="27"/>
      <c r="T20" s="27"/>
      <c r="U20" s="27"/>
      <c r="V20" s="244"/>
      <c r="W20" s="244"/>
      <c r="X20" s="104"/>
      <c r="Y20" s="247"/>
      <c r="Z20" s="247"/>
      <c r="AA20" s="247"/>
      <c r="AB20" s="247"/>
      <c r="AC20" s="247"/>
      <c r="AD20" s="247"/>
    </row>
    <row r="21" spans="2:30" x14ac:dyDescent="0.25">
      <c r="B21" s="468"/>
      <c r="C21" s="248" t="s">
        <v>603</v>
      </c>
      <c r="D21" s="282">
        <v>17</v>
      </c>
      <c r="E21" s="301">
        <f t="shared" si="0"/>
        <v>4.0875210387112289E-3</v>
      </c>
      <c r="F21" s="282">
        <v>1742</v>
      </c>
      <c r="G21" s="301">
        <f t="shared" si="0"/>
        <v>0.41885068526088004</v>
      </c>
      <c r="H21" s="282">
        <v>2</v>
      </c>
      <c r="I21" s="301">
        <f t="shared" ref="I21" si="41">H21/$N21</f>
        <v>4.8088482808367395E-4</v>
      </c>
      <c r="J21" s="282">
        <v>271</v>
      </c>
      <c r="K21" s="301">
        <f t="shared" ref="K21" si="42">J21/$N21</f>
        <v>6.5159894205337826E-2</v>
      </c>
      <c r="L21" s="282">
        <v>2127</v>
      </c>
      <c r="M21" s="301">
        <f t="shared" ref="M21" si="43">L21/$N21</f>
        <v>0.51142101466698731</v>
      </c>
      <c r="N21" s="367">
        <v>4159</v>
      </c>
      <c r="O21" s="376">
        <f t="shared" ref="O21" si="44">N21/$N21</f>
        <v>1</v>
      </c>
      <c r="P21" s="27"/>
      <c r="Q21" s="27"/>
      <c r="R21" s="27"/>
      <c r="S21" s="27"/>
      <c r="T21" s="27"/>
      <c r="U21" s="27"/>
      <c r="V21" s="244"/>
      <c r="W21" s="244"/>
      <c r="X21" s="104"/>
      <c r="Y21" s="247"/>
      <c r="Z21" s="247"/>
      <c r="AA21" s="247"/>
      <c r="AB21" s="247"/>
      <c r="AC21" s="247"/>
      <c r="AD21" s="247"/>
    </row>
    <row r="22" spans="2:30" x14ac:dyDescent="0.25">
      <c r="B22" s="470" t="s">
        <v>746</v>
      </c>
      <c r="C22" s="377" t="s">
        <v>83</v>
      </c>
      <c r="D22" s="367">
        <v>42</v>
      </c>
      <c r="E22" s="378">
        <f t="shared" si="0"/>
        <v>8.4527451296087584E-4</v>
      </c>
      <c r="F22" s="367">
        <v>27067</v>
      </c>
      <c r="G22" s="378">
        <f t="shared" si="0"/>
        <v>0.54473917243600067</v>
      </c>
      <c r="H22" s="367">
        <v>36</v>
      </c>
      <c r="I22" s="378">
        <f t="shared" ref="I22" si="45">H22/$N22</f>
        <v>7.2452101110932212E-4</v>
      </c>
      <c r="J22" s="367">
        <v>224</v>
      </c>
      <c r="K22" s="378">
        <f t="shared" ref="K22" si="46">J22/$N22</f>
        <v>4.5081307357913375E-3</v>
      </c>
      <c r="L22" s="367">
        <v>22319</v>
      </c>
      <c r="M22" s="378">
        <f t="shared" ref="M22" si="47">L22/$N22</f>
        <v>0.44918290130413779</v>
      </c>
      <c r="N22" s="367">
        <v>49688</v>
      </c>
      <c r="O22" s="376">
        <f t="shared" ref="O22" si="48">N22/$N22</f>
        <v>1</v>
      </c>
      <c r="P22" s="27"/>
      <c r="Q22" s="27"/>
      <c r="R22" s="27"/>
      <c r="S22" s="27"/>
      <c r="T22" s="27"/>
      <c r="U22" s="27"/>
      <c r="V22" s="244"/>
      <c r="W22" s="244"/>
      <c r="X22" s="104"/>
      <c r="Y22" s="247"/>
      <c r="Z22" s="247"/>
      <c r="AA22" s="247"/>
      <c r="AB22" s="247"/>
      <c r="AC22" s="247"/>
      <c r="AD22" s="247"/>
    </row>
    <row r="23" spans="2:30" x14ac:dyDescent="0.25">
      <c r="B23" s="470"/>
      <c r="C23" s="377" t="s">
        <v>84</v>
      </c>
      <c r="D23" s="367">
        <v>35</v>
      </c>
      <c r="E23" s="378">
        <f t="shared" si="0"/>
        <v>8.0393237780227854E-4</v>
      </c>
      <c r="F23" s="367">
        <v>23159</v>
      </c>
      <c r="G23" s="378">
        <f t="shared" si="0"/>
        <v>0.53195056964351339</v>
      </c>
      <c r="H23" s="367">
        <v>9</v>
      </c>
      <c r="I23" s="378">
        <f t="shared" ref="I23" si="49">H23/$N23</f>
        <v>2.0672546857772878E-4</v>
      </c>
      <c r="J23" s="367">
        <v>251</v>
      </c>
      <c r="K23" s="378">
        <f t="shared" ref="K23" si="50">J23/$N23</f>
        <v>5.7653436236677694E-3</v>
      </c>
      <c r="L23" s="367">
        <v>20082</v>
      </c>
      <c r="M23" s="378">
        <f t="shared" ref="M23" si="51">L23/$N23</f>
        <v>0.4612734288864388</v>
      </c>
      <c r="N23" s="367">
        <v>43536</v>
      </c>
      <c r="O23" s="376">
        <f t="shared" ref="O23" si="52">N23/$N23</f>
        <v>1</v>
      </c>
      <c r="P23" s="27"/>
      <c r="Q23" s="27"/>
      <c r="R23" s="27"/>
      <c r="S23" s="27"/>
      <c r="T23" s="27"/>
      <c r="U23" s="27"/>
      <c r="V23" s="244"/>
      <c r="W23" s="244"/>
      <c r="X23" s="104"/>
      <c r="Y23" s="247"/>
      <c r="Z23" s="247"/>
      <c r="AA23" s="247"/>
      <c r="AB23" s="247"/>
      <c r="AC23" s="247"/>
      <c r="AD23" s="247"/>
    </row>
    <row r="24" spans="2:30" x14ac:dyDescent="0.25">
      <c r="B24" s="470"/>
      <c r="C24" s="377" t="s">
        <v>603</v>
      </c>
      <c r="D24" s="367">
        <v>77</v>
      </c>
      <c r="E24" s="378">
        <f t="shared" si="0"/>
        <v>8.2596756200120137E-4</v>
      </c>
      <c r="F24" s="367">
        <v>50226</v>
      </c>
      <c r="G24" s="378">
        <f t="shared" si="0"/>
        <v>0.53876684115678364</v>
      </c>
      <c r="H24" s="367">
        <v>45</v>
      </c>
      <c r="I24" s="378">
        <f t="shared" ref="I24" si="53">H24/$N24</f>
        <v>4.8270831545524758E-4</v>
      </c>
      <c r="J24" s="367">
        <v>475</v>
      </c>
      <c r="K24" s="378">
        <f t="shared" ref="K24" si="54">J24/$N24</f>
        <v>5.0952544409165025E-3</v>
      </c>
      <c r="L24" s="367">
        <v>42401</v>
      </c>
      <c r="M24" s="378">
        <f t="shared" ref="M24" si="55">L24/$N24</f>
        <v>0.45482922852484337</v>
      </c>
      <c r="N24" s="367">
        <v>93224</v>
      </c>
      <c r="O24" s="376">
        <f t="shared" ref="O24" si="56">N24/$N24</f>
        <v>1</v>
      </c>
      <c r="P24" s="27"/>
      <c r="Q24" s="27"/>
      <c r="R24" s="27"/>
      <c r="S24" s="27"/>
      <c r="T24" s="27"/>
      <c r="U24" s="27"/>
      <c r="V24" s="244"/>
      <c r="W24" s="244"/>
      <c r="X24" s="104"/>
      <c r="Y24" s="247"/>
      <c r="Z24" s="247"/>
      <c r="AA24" s="247"/>
      <c r="AB24" s="247"/>
      <c r="AC24" s="247"/>
      <c r="AD24" s="247"/>
    </row>
    <row r="25" spans="2:30" ht="110.25" customHeight="1" x14ac:dyDescent="0.25">
      <c r="B25" s="471" t="s">
        <v>928</v>
      </c>
      <c r="C25" s="471"/>
      <c r="D25" s="471"/>
      <c r="E25" s="471"/>
      <c r="F25" s="471"/>
      <c r="G25" s="471"/>
      <c r="H25" s="471"/>
      <c r="I25" s="471"/>
      <c r="J25" s="471"/>
      <c r="K25" s="471"/>
      <c r="L25" s="471"/>
      <c r="M25" s="471"/>
      <c r="N25" s="471"/>
      <c r="O25" s="471"/>
      <c r="P25" s="27"/>
      <c r="Q25" s="27"/>
      <c r="R25" s="244"/>
      <c r="S25" s="244"/>
      <c r="T25" s="104"/>
      <c r="U25" s="247"/>
      <c r="V25" s="247"/>
      <c r="W25" s="247"/>
      <c r="X25" s="247"/>
      <c r="Y25" s="247"/>
      <c r="Z25" s="247"/>
    </row>
    <row r="26" spans="2:30" x14ac:dyDescent="0.25">
      <c r="C26" s="27"/>
      <c r="D26" s="27"/>
      <c r="E26" s="27"/>
      <c r="F26" s="27"/>
      <c r="G26" s="27"/>
      <c r="H26" s="27"/>
      <c r="I26" s="27"/>
      <c r="J26" s="27"/>
      <c r="K26" s="27"/>
      <c r="L26" s="27"/>
      <c r="M26" s="27"/>
      <c r="N26" s="27"/>
      <c r="O26" s="27"/>
      <c r="P26" s="27"/>
      <c r="Q26" s="27"/>
      <c r="R26" s="244"/>
      <c r="S26" s="244"/>
      <c r="T26" s="104"/>
      <c r="U26" s="247"/>
      <c r="V26" s="247"/>
      <c r="W26" s="247"/>
      <c r="X26" s="247"/>
      <c r="Y26" s="247"/>
      <c r="Z26" s="247"/>
    </row>
    <row r="27" spans="2:30" ht="18.75" x14ac:dyDescent="0.3">
      <c r="B27" s="2" t="s">
        <v>915</v>
      </c>
      <c r="C27" s="2"/>
      <c r="D27" s="2"/>
      <c r="E27" s="2"/>
      <c r="F27" s="2"/>
      <c r="G27" s="2"/>
      <c r="H27" s="264"/>
      <c r="I27" s="27"/>
      <c r="J27" s="27"/>
      <c r="K27" s="27"/>
      <c r="L27" s="27"/>
      <c r="M27" s="27"/>
      <c r="N27" s="27"/>
      <c r="O27" s="27"/>
      <c r="P27" s="27"/>
      <c r="Q27" s="27"/>
      <c r="R27" s="27"/>
      <c r="S27" s="27"/>
      <c r="T27" s="27"/>
      <c r="U27" s="27"/>
      <c r="V27" s="27"/>
      <c r="W27" s="27"/>
      <c r="X27" s="27"/>
      <c r="Y27" s="27"/>
    </row>
    <row r="28" spans="2:30" ht="15" customHeight="1" x14ac:dyDescent="0.25">
      <c r="B28" s="29" t="s">
        <v>872</v>
      </c>
      <c r="C28" s="204"/>
      <c r="D28" s="204"/>
      <c r="E28" s="204"/>
      <c r="F28" s="204"/>
      <c r="G28" s="204"/>
      <c r="H28" s="204"/>
      <c r="I28" s="27"/>
      <c r="J28" s="27"/>
      <c r="K28" s="27"/>
      <c r="L28" s="27"/>
      <c r="M28" s="27"/>
      <c r="N28" s="27"/>
      <c r="O28" s="27"/>
      <c r="P28" s="27"/>
      <c r="Q28" s="27"/>
      <c r="R28" s="27"/>
      <c r="S28" s="27"/>
      <c r="T28" s="27"/>
      <c r="U28" s="27"/>
      <c r="V28" s="27"/>
      <c r="W28" s="27"/>
      <c r="X28" s="27"/>
      <c r="Y28" s="27"/>
    </row>
    <row r="29" spans="2:30" ht="15" customHeight="1" x14ac:dyDescent="0.25">
      <c r="B29" s="29"/>
      <c r="C29" s="204"/>
      <c r="D29" s="204"/>
      <c r="E29" s="204"/>
      <c r="F29" s="204"/>
      <c r="G29" s="204"/>
      <c r="H29" s="204"/>
      <c r="I29" s="27"/>
      <c r="J29" s="27"/>
      <c r="K29" s="27"/>
      <c r="L29" s="27"/>
      <c r="M29" s="27"/>
      <c r="N29" s="27"/>
      <c r="O29" s="27"/>
      <c r="P29" s="27"/>
      <c r="Q29" s="27"/>
      <c r="R29" s="27"/>
      <c r="S29" s="27"/>
      <c r="T29" s="27"/>
      <c r="U29" s="27"/>
      <c r="V29" s="27"/>
      <c r="W29" s="27"/>
      <c r="X29" s="27"/>
      <c r="Y29" s="27"/>
    </row>
    <row r="30" spans="2:30" ht="15" customHeight="1" x14ac:dyDescent="0.25">
      <c r="B30" s="475" t="s">
        <v>483</v>
      </c>
      <c r="C30" s="472" t="s">
        <v>488</v>
      </c>
      <c r="D30" s="473"/>
      <c r="E30" s="473"/>
      <c r="F30" s="473"/>
      <c r="G30" s="473"/>
      <c r="H30" s="473"/>
      <c r="I30" s="473"/>
      <c r="J30" s="473"/>
      <c r="K30" s="473"/>
      <c r="L30" s="473"/>
      <c r="M30" s="473"/>
      <c r="N30" s="473"/>
      <c r="O30" s="473"/>
      <c r="P30" s="473"/>
      <c r="Q30" s="473"/>
      <c r="R30" s="473"/>
      <c r="S30" s="473"/>
      <c r="T30" s="473"/>
      <c r="U30" s="473"/>
      <c r="V30" s="473"/>
      <c r="W30" s="474"/>
      <c r="X30" s="464" t="s">
        <v>487</v>
      </c>
      <c r="Y30" s="464"/>
      <c r="Z30" s="464"/>
      <c r="AA30" s="27"/>
      <c r="AB30" s="27"/>
    </row>
    <row r="31" spans="2:30" x14ac:dyDescent="0.25">
      <c r="B31" s="475"/>
      <c r="C31" s="465" t="s">
        <v>707</v>
      </c>
      <c r="D31" s="465"/>
      <c r="E31" s="465"/>
      <c r="F31" s="465" t="s">
        <v>497</v>
      </c>
      <c r="G31" s="465"/>
      <c r="H31" s="465"/>
      <c r="I31" s="465" t="s">
        <v>3</v>
      </c>
      <c r="J31" s="465"/>
      <c r="K31" s="465"/>
      <c r="L31" s="465" t="s">
        <v>4</v>
      </c>
      <c r="M31" s="465"/>
      <c r="N31" s="465"/>
      <c r="O31" s="465" t="s">
        <v>5</v>
      </c>
      <c r="P31" s="465"/>
      <c r="Q31" s="465"/>
      <c r="R31" s="465" t="s">
        <v>6</v>
      </c>
      <c r="S31" s="465"/>
      <c r="T31" s="465"/>
      <c r="U31" s="465" t="s">
        <v>748</v>
      </c>
      <c r="V31" s="465"/>
      <c r="W31" s="465"/>
      <c r="X31" s="464"/>
      <c r="Y31" s="464"/>
      <c r="Z31" s="464"/>
      <c r="AA31" s="27"/>
      <c r="AB31" s="27"/>
    </row>
    <row r="32" spans="2:30" x14ac:dyDescent="0.25">
      <c r="B32" s="475"/>
      <c r="C32" s="257" t="s">
        <v>83</v>
      </c>
      <c r="D32" s="257" t="s">
        <v>84</v>
      </c>
      <c r="E32" s="257" t="s">
        <v>35</v>
      </c>
      <c r="F32" s="257" t="s">
        <v>83</v>
      </c>
      <c r="G32" s="257" t="s">
        <v>84</v>
      </c>
      <c r="H32" s="257" t="s">
        <v>35</v>
      </c>
      <c r="I32" s="257" t="s">
        <v>83</v>
      </c>
      <c r="J32" s="257" t="s">
        <v>84</v>
      </c>
      <c r="K32" s="257" t="s">
        <v>35</v>
      </c>
      <c r="L32" s="257" t="s">
        <v>83</v>
      </c>
      <c r="M32" s="257" t="s">
        <v>84</v>
      </c>
      <c r="N32" s="257" t="s">
        <v>35</v>
      </c>
      <c r="O32" s="257" t="s">
        <v>83</v>
      </c>
      <c r="P32" s="257" t="s">
        <v>84</v>
      </c>
      <c r="Q32" s="257" t="s">
        <v>35</v>
      </c>
      <c r="R32" s="257" t="s">
        <v>83</v>
      </c>
      <c r="S32" s="257" t="s">
        <v>84</v>
      </c>
      <c r="T32" s="257" t="s">
        <v>35</v>
      </c>
      <c r="U32" s="257" t="s">
        <v>83</v>
      </c>
      <c r="V32" s="257" t="s">
        <v>84</v>
      </c>
      <c r="W32" s="257" t="s">
        <v>35</v>
      </c>
      <c r="X32" s="374" t="s">
        <v>83</v>
      </c>
      <c r="Y32" s="374" t="s">
        <v>84</v>
      </c>
      <c r="Z32" s="374" t="s">
        <v>35</v>
      </c>
      <c r="AA32" s="27"/>
      <c r="AB32" s="27"/>
    </row>
    <row r="33" spans="2:28" hidden="1" outlineLevel="1" x14ac:dyDescent="0.25">
      <c r="B33" s="404">
        <v>39630</v>
      </c>
      <c r="C33" s="405"/>
      <c r="D33" s="405"/>
      <c r="E33" s="405"/>
      <c r="F33" s="405"/>
      <c r="G33" s="405"/>
      <c r="H33" s="405"/>
      <c r="I33" s="405">
        <v>36610</v>
      </c>
      <c r="J33" s="405">
        <v>7955</v>
      </c>
      <c r="K33" s="405">
        <v>44565</v>
      </c>
      <c r="L33" s="405">
        <v>8627</v>
      </c>
      <c r="M33" s="405">
        <v>2246</v>
      </c>
      <c r="N33" s="405">
        <v>10873</v>
      </c>
      <c r="O33" s="405">
        <v>2684</v>
      </c>
      <c r="P33" s="405">
        <v>1192</v>
      </c>
      <c r="Q33" s="405">
        <v>3876</v>
      </c>
      <c r="R33" s="405">
        <v>1257</v>
      </c>
      <c r="S33" s="405">
        <v>643</v>
      </c>
      <c r="T33" s="405">
        <v>1900</v>
      </c>
      <c r="U33" s="405"/>
      <c r="V33" s="405"/>
      <c r="W33" s="405"/>
      <c r="X33" s="406">
        <v>49178</v>
      </c>
      <c r="Y33" s="406">
        <v>12036</v>
      </c>
      <c r="Z33" s="406">
        <v>61214</v>
      </c>
      <c r="AA33" s="27"/>
      <c r="AB33" s="27"/>
    </row>
    <row r="34" spans="2:28" hidden="1" outlineLevel="1" x14ac:dyDescent="0.25">
      <c r="B34" s="404">
        <v>39661</v>
      </c>
      <c r="C34" s="405"/>
      <c r="D34" s="405"/>
      <c r="E34" s="405"/>
      <c r="F34" s="405"/>
      <c r="G34" s="405"/>
      <c r="H34" s="405"/>
      <c r="I34" s="405">
        <v>8908</v>
      </c>
      <c r="J34" s="405">
        <v>2759</v>
      </c>
      <c r="K34" s="405">
        <v>11667</v>
      </c>
      <c r="L34" s="405">
        <v>6729</v>
      </c>
      <c r="M34" s="405">
        <v>1913</v>
      </c>
      <c r="N34" s="405">
        <v>8642</v>
      </c>
      <c r="O34" s="405">
        <v>1597</v>
      </c>
      <c r="P34" s="405">
        <v>772</v>
      </c>
      <c r="Q34" s="405">
        <v>2369</v>
      </c>
      <c r="R34" s="405">
        <v>918</v>
      </c>
      <c r="S34" s="405">
        <v>564</v>
      </c>
      <c r="T34" s="405">
        <v>1482</v>
      </c>
      <c r="U34" s="405"/>
      <c r="V34" s="405"/>
      <c r="W34" s="405"/>
      <c r="X34" s="406">
        <v>18152</v>
      </c>
      <c r="Y34" s="406">
        <v>6008</v>
      </c>
      <c r="Z34" s="406">
        <v>24160</v>
      </c>
      <c r="AA34" s="27"/>
      <c r="AB34" s="27"/>
    </row>
    <row r="35" spans="2:28" hidden="1" outlineLevel="1" x14ac:dyDescent="0.25">
      <c r="B35" s="404">
        <v>39692</v>
      </c>
      <c r="C35" s="405"/>
      <c r="D35" s="405"/>
      <c r="E35" s="405"/>
      <c r="F35" s="405"/>
      <c r="G35" s="405"/>
      <c r="H35" s="405"/>
      <c r="I35" s="405">
        <v>6916</v>
      </c>
      <c r="J35" s="405">
        <v>2065</v>
      </c>
      <c r="K35" s="405">
        <v>8981</v>
      </c>
      <c r="L35" s="405">
        <v>4152</v>
      </c>
      <c r="M35" s="405">
        <v>1114</v>
      </c>
      <c r="N35" s="405">
        <v>5266</v>
      </c>
      <c r="O35" s="405">
        <v>1146</v>
      </c>
      <c r="P35" s="405">
        <v>651</v>
      </c>
      <c r="Q35" s="405">
        <v>1797</v>
      </c>
      <c r="R35" s="405">
        <v>529</v>
      </c>
      <c r="S35" s="405">
        <v>307</v>
      </c>
      <c r="T35" s="405">
        <v>836</v>
      </c>
      <c r="U35" s="405"/>
      <c r="V35" s="405"/>
      <c r="W35" s="405"/>
      <c r="X35" s="406">
        <v>12743</v>
      </c>
      <c r="Y35" s="406">
        <v>4137</v>
      </c>
      <c r="Z35" s="406">
        <v>16880</v>
      </c>
      <c r="AA35" s="27"/>
      <c r="AB35" s="27"/>
    </row>
    <row r="36" spans="2:28" hidden="1" outlineLevel="1" x14ac:dyDescent="0.25">
      <c r="B36" s="404">
        <v>39722</v>
      </c>
      <c r="C36" s="405"/>
      <c r="D36" s="405"/>
      <c r="E36" s="405"/>
      <c r="F36" s="405"/>
      <c r="G36" s="405"/>
      <c r="H36" s="405"/>
      <c r="I36" s="405">
        <v>5980</v>
      </c>
      <c r="J36" s="405">
        <v>1760</v>
      </c>
      <c r="K36" s="405">
        <v>7740</v>
      </c>
      <c r="L36" s="405">
        <v>4230</v>
      </c>
      <c r="M36" s="405">
        <v>1174</v>
      </c>
      <c r="N36" s="405">
        <v>5404</v>
      </c>
      <c r="O36" s="405">
        <v>1025</v>
      </c>
      <c r="P36" s="405">
        <v>656</v>
      </c>
      <c r="Q36" s="405">
        <v>1681</v>
      </c>
      <c r="R36" s="405">
        <v>335</v>
      </c>
      <c r="S36" s="405">
        <v>181</v>
      </c>
      <c r="T36" s="405">
        <v>516</v>
      </c>
      <c r="U36" s="405"/>
      <c r="V36" s="405"/>
      <c r="W36" s="405"/>
      <c r="X36" s="406">
        <v>11570</v>
      </c>
      <c r="Y36" s="406">
        <v>3771</v>
      </c>
      <c r="Z36" s="406">
        <v>15341</v>
      </c>
      <c r="AA36" s="27"/>
      <c r="AB36" s="27"/>
    </row>
    <row r="37" spans="2:28" hidden="1" outlineLevel="1" x14ac:dyDescent="0.25">
      <c r="B37" s="404">
        <v>39753</v>
      </c>
      <c r="C37" s="405"/>
      <c r="D37" s="405"/>
      <c r="E37" s="405"/>
      <c r="F37" s="405"/>
      <c r="G37" s="405"/>
      <c r="H37" s="405"/>
      <c r="I37" s="405">
        <v>4388</v>
      </c>
      <c r="J37" s="405">
        <v>1282</v>
      </c>
      <c r="K37" s="405">
        <v>5670</v>
      </c>
      <c r="L37" s="405">
        <v>2544</v>
      </c>
      <c r="M37" s="405">
        <v>818</v>
      </c>
      <c r="N37" s="405">
        <v>3362</v>
      </c>
      <c r="O37" s="405">
        <v>835</v>
      </c>
      <c r="P37" s="405">
        <v>536</v>
      </c>
      <c r="Q37" s="405">
        <v>1371</v>
      </c>
      <c r="R37" s="405">
        <v>380</v>
      </c>
      <c r="S37" s="405">
        <v>205</v>
      </c>
      <c r="T37" s="405">
        <v>585</v>
      </c>
      <c r="U37" s="405"/>
      <c r="V37" s="405"/>
      <c r="W37" s="405"/>
      <c r="X37" s="406">
        <v>8147</v>
      </c>
      <c r="Y37" s="406">
        <v>2841</v>
      </c>
      <c r="Z37" s="406">
        <v>10988</v>
      </c>
      <c r="AA37" s="27"/>
      <c r="AB37" s="27"/>
    </row>
    <row r="38" spans="2:28" hidden="1" outlineLevel="1" x14ac:dyDescent="0.25">
      <c r="B38" s="404">
        <v>39783</v>
      </c>
      <c r="C38" s="405"/>
      <c r="D38" s="405"/>
      <c r="E38" s="405"/>
      <c r="F38" s="405"/>
      <c r="G38" s="405"/>
      <c r="H38" s="405"/>
      <c r="I38" s="405">
        <v>4062</v>
      </c>
      <c r="J38" s="405">
        <v>1218</v>
      </c>
      <c r="K38" s="405">
        <v>5280</v>
      </c>
      <c r="L38" s="405">
        <v>2502</v>
      </c>
      <c r="M38" s="405">
        <v>836</v>
      </c>
      <c r="N38" s="405">
        <v>3338</v>
      </c>
      <c r="O38" s="405">
        <v>893</v>
      </c>
      <c r="P38" s="405">
        <v>643</v>
      </c>
      <c r="Q38" s="405">
        <v>1536</v>
      </c>
      <c r="R38" s="405">
        <v>393</v>
      </c>
      <c r="S38" s="405">
        <v>232</v>
      </c>
      <c r="T38" s="405">
        <v>625</v>
      </c>
      <c r="U38" s="405"/>
      <c r="V38" s="405"/>
      <c r="W38" s="405"/>
      <c r="X38" s="406">
        <v>7850</v>
      </c>
      <c r="Y38" s="406">
        <v>2929</v>
      </c>
      <c r="Z38" s="406">
        <v>10779</v>
      </c>
      <c r="AA38" s="27"/>
      <c r="AB38" s="27"/>
    </row>
    <row r="39" spans="2:28" collapsed="1" x14ac:dyDescent="0.25">
      <c r="B39" s="407" t="s">
        <v>749</v>
      </c>
      <c r="C39" s="408" t="s">
        <v>916</v>
      </c>
      <c r="D39" s="408" t="s">
        <v>916</v>
      </c>
      <c r="E39" s="408" t="s">
        <v>916</v>
      </c>
      <c r="F39" s="408" t="s">
        <v>916</v>
      </c>
      <c r="G39" s="408" t="s">
        <v>916</v>
      </c>
      <c r="H39" s="408" t="s">
        <v>916</v>
      </c>
      <c r="I39" s="408">
        <v>11144</v>
      </c>
      <c r="J39" s="408">
        <v>2840</v>
      </c>
      <c r="K39" s="408">
        <v>13984</v>
      </c>
      <c r="L39" s="408">
        <v>4797</v>
      </c>
      <c r="M39" s="408">
        <v>1350</v>
      </c>
      <c r="N39" s="408">
        <v>6148</v>
      </c>
      <c r="O39" s="408">
        <v>1363</v>
      </c>
      <c r="P39" s="408">
        <v>742</v>
      </c>
      <c r="Q39" s="408">
        <v>2105</v>
      </c>
      <c r="R39" s="408">
        <v>635</v>
      </c>
      <c r="S39" s="408">
        <v>355</v>
      </c>
      <c r="T39" s="408">
        <v>991</v>
      </c>
      <c r="U39" s="408" t="s">
        <v>916</v>
      </c>
      <c r="V39" s="408" t="s">
        <v>916</v>
      </c>
      <c r="W39" s="408" t="s">
        <v>916</v>
      </c>
      <c r="X39" s="408">
        <v>17940</v>
      </c>
      <c r="Y39" s="408">
        <v>5287</v>
      </c>
      <c r="Z39" s="408">
        <v>23227</v>
      </c>
      <c r="AA39" s="27"/>
      <c r="AB39" s="27"/>
    </row>
    <row r="40" spans="2:28" hidden="1" outlineLevel="1" x14ac:dyDescent="0.25">
      <c r="B40" s="404">
        <v>39814</v>
      </c>
      <c r="C40" s="405"/>
      <c r="D40" s="405"/>
      <c r="E40" s="405"/>
      <c r="F40" s="405"/>
      <c r="G40" s="405"/>
      <c r="H40" s="405"/>
      <c r="I40" s="405">
        <v>3259</v>
      </c>
      <c r="J40" s="405">
        <v>1182</v>
      </c>
      <c r="K40" s="405">
        <v>4441</v>
      </c>
      <c r="L40" s="405">
        <v>2279</v>
      </c>
      <c r="M40" s="405">
        <v>688</v>
      </c>
      <c r="N40" s="405">
        <v>2967</v>
      </c>
      <c r="O40" s="405">
        <v>778</v>
      </c>
      <c r="P40" s="405">
        <v>662</v>
      </c>
      <c r="Q40" s="405">
        <v>1440</v>
      </c>
      <c r="R40" s="405">
        <v>417</v>
      </c>
      <c r="S40" s="405">
        <v>230</v>
      </c>
      <c r="T40" s="405">
        <v>647</v>
      </c>
      <c r="U40" s="405"/>
      <c r="V40" s="405"/>
      <c r="W40" s="405"/>
      <c r="X40" s="406">
        <v>6733</v>
      </c>
      <c r="Y40" s="406">
        <v>2762</v>
      </c>
      <c r="Z40" s="406">
        <v>9495</v>
      </c>
      <c r="AA40" s="27"/>
      <c r="AB40" s="27"/>
    </row>
    <row r="41" spans="2:28" hidden="1" outlineLevel="1" x14ac:dyDescent="0.25">
      <c r="B41" s="404">
        <v>39845</v>
      </c>
      <c r="C41" s="405"/>
      <c r="D41" s="405"/>
      <c r="E41" s="405"/>
      <c r="F41" s="405"/>
      <c r="G41" s="405"/>
      <c r="H41" s="405"/>
      <c r="I41" s="405">
        <v>2448</v>
      </c>
      <c r="J41" s="405">
        <v>870</v>
      </c>
      <c r="K41" s="405">
        <v>3318</v>
      </c>
      <c r="L41" s="405">
        <v>1714</v>
      </c>
      <c r="M41" s="405">
        <v>629</v>
      </c>
      <c r="N41" s="405">
        <v>2343</v>
      </c>
      <c r="O41" s="405">
        <v>626</v>
      </c>
      <c r="P41" s="405">
        <v>525</v>
      </c>
      <c r="Q41" s="405">
        <v>1151</v>
      </c>
      <c r="R41" s="405">
        <v>369</v>
      </c>
      <c r="S41" s="405">
        <v>226</v>
      </c>
      <c r="T41" s="405">
        <v>595</v>
      </c>
      <c r="U41" s="405"/>
      <c r="V41" s="405"/>
      <c r="W41" s="405"/>
      <c r="X41" s="406">
        <v>5157</v>
      </c>
      <c r="Y41" s="406">
        <v>2250</v>
      </c>
      <c r="Z41" s="406">
        <v>7407</v>
      </c>
      <c r="AA41" s="27"/>
      <c r="AB41" s="27"/>
    </row>
    <row r="42" spans="2:28" hidden="1" outlineLevel="1" x14ac:dyDescent="0.25">
      <c r="B42" s="404">
        <v>39873</v>
      </c>
      <c r="C42" s="405"/>
      <c r="D42" s="405"/>
      <c r="E42" s="405"/>
      <c r="F42" s="405"/>
      <c r="G42" s="405"/>
      <c r="H42" s="405"/>
      <c r="I42" s="405">
        <v>3168</v>
      </c>
      <c r="J42" s="405">
        <v>1058</v>
      </c>
      <c r="K42" s="405">
        <v>4226</v>
      </c>
      <c r="L42" s="405">
        <v>2445</v>
      </c>
      <c r="M42" s="405">
        <v>758</v>
      </c>
      <c r="N42" s="405">
        <v>3203</v>
      </c>
      <c r="O42" s="405">
        <v>748</v>
      </c>
      <c r="P42" s="405">
        <v>668</v>
      </c>
      <c r="Q42" s="405">
        <v>1416</v>
      </c>
      <c r="R42" s="405">
        <v>447</v>
      </c>
      <c r="S42" s="405">
        <v>303</v>
      </c>
      <c r="T42" s="405">
        <v>750</v>
      </c>
      <c r="U42" s="405"/>
      <c r="V42" s="405"/>
      <c r="W42" s="405"/>
      <c r="X42" s="406">
        <v>6808</v>
      </c>
      <c r="Y42" s="406">
        <v>2787</v>
      </c>
      <c r="Z42" s="406">
        <v>9595</v>
      </c>
      <c r="AA42" s="27"/>
      <c r="AB42" s="27"/>
    </row>
    <row r="43" spans="2:28" hidden="1" outlineLevel="1" x14ac:dyDescent="0.25">
      <c r="B43" s="404">
        <v>39904</v>
      </c>
      <c r="C43" s="405"/>
      <c r="D43" s="405"/>
      <c r="E43" s="405"/>
      <c r="F43" s="405"/>
      <c r="G43" s="405"/>
      <c r="H43" s="405"/>
      <c r="I43" s="405">
        <v>2846</v>
      </c>
      <c r="J43" s="405">
        <v>938</v>
      </c>
      <c r="K43" s="405">
        <v>3784</v>
      </c>
      <c r="L43" s="405">
        <v>2130</v>
      </c>
      <c r="M43" s="405">
        <v>668</v>
      </c>
      <c r="N43" s="405">
        <v>2798</v>
      </c>
      <c r="O43" s="405">
        <v>698</v>
      </c>
      <c r="P43" s="405">
        <v>592</v>
      </c>
      <c r="Q43" s="405">
        <v>1290</v>
      </c>
      <c r="R43" s="405">
        <v>412</v>
      </c>
      <c r="S43" s="405">
        <v>284</v>
      </c>
      <c r="T43" s="405">
        <v>696</v>
      </c>
      <c r="U43" s="405"/>
      <c r="V43" s="405"/>
      <c r="W43" s="405"/>
      <c r="X43" s="406">
        <v>6086</v>
      </c>
      <c r="Y43" s="406">
        <v>2482</v>
      </c>
      <c r="Z43" s="406">
        <v>8568</v>
      </c>
      <c r="AA43" s="27"/>
      <c r="AB43" s="27"/>
    </row>
    <row r="44" spans="2:28" hidden="1" outlineLevel="1" x14ac:dyDescent="0.25">
      <c r="B44" s="404">
        <v>39934</v>
      </c>
      <c r="C44" s="405"/>
      <c r="D44" s="405"/>
      <c r="E44" s="405"/>
      <c r="F44" s="405"/>
      <c r="G44" s="405"/>
      <c r="H44" s="405"/>
      <c r="I44" s="405">
        <v>2665</v>
      </c>
      <c r="J44" s="405">
        <v>885</v>
      </c>
      <c r="K44" s="405">
        <v>3550</v>
      </c>
      <c r="L44" s="405">
        <v>1868</v>
      </c>
      <c r="M44" s="405">
        <v>602</v>
      </c>
      <c r="N44" s="405">
        <v>2470</v>
      </c>
      <c r="O44" s="405">
        <v>581</v>
      </c>
      <c r="P44" s="405">
        <v>576</v>
      </c>
      <c r="Q44" s="405">
        <v>1157</v>
      </c>
      <c r="R44" s="405">
        <v>442</v>
      </c>
      <c r="S44" s="405">
        <v>302</v>
      </c>
      <c r="T44" s="405">
        <v>744</v>
      </c>
      <c r="U44" s="405"/>
      <c r="V44" s="405"/>
      <c r="W44" s="405"/>
      <c r="X44" s="406">
        <v>5556</v>
      </c>
      <c r="Y44" s="406">
        <v>2365</v>
      </c>
      <c r="Z44" s="406">
        <v>7921</v>
      </c>
      <c r="AA44" s="27"/>
      <c r="AB44" s="27"/>
    </row>
    <row r="45" spans="2:28" hidden="1" outlineLevel="1" x14ac:dyDescent="0.25">
      <c r="B45" s="404">
        <v>39965</v>
      </c>
      <c r="C45" s="405"/>
      <c r="D45" s="405"/>
      <c r="E45" s="405"/>
      <c r="F45" s="405"/>
      <c r="G45" s="405"/>
      <c r="H45" s="405"/>
      <c r="I45" s="405">
        <v>1967</v>
      </c>
      <c r="J45" s="405">
        <v>1031</v>
      </c>
      <c r="K45" s="405">
        <v>2998</v>
      </c>
      <c r="L45" s="405">
        <v>2045</v>
      </c>
      <c r="M45" s="405">
        <v>734</v>
      </c>
      <c r="N45" s="405">
        <v>2779</v>
      </c>
      <c r="O45" s="405">
        <v>35936</v>
      </c>
      <c r="P45" s="405">
        <v>18546</v>
      </c>
      <c r="Q45" s="405">
        <v>54482</v>
      </c>
      <c r="R45" s="405">
        <v>410</v>
      </c>
      <c r="S45" s="405">
        <v>351</v>
      </c>
      <c r="T45" s="405">
        <v>761</v>
      </c>
      <c r="U45" s="405"/>
      <c r="V45" s="405"/>
      <c r="W45" s="405"/>
      <c r="X45" s="406">
        <v>40358</v>
      </c>
      <c r="Y45" s="406">
        <v>20662</v>
      </c>
      <c r="Z45" s="406">
        <v>61020</v>
      </c>
      <c r="AA45" s="27"/>
      <c r="AB45" s="27"/>
    </row>
    <row r="46" spans="2:28" hidden="1" outlineLevel="1" x14ac:dyDescent="0.25">
      <c r="B46" s="404">
        <v>39995</v>
      </c>
      <c r="C46" s="405"/>
      <c r="D46" s="405"/>
      <c r="E46" s="405"/>
      <c r="F46" s="405"/>
      <c r="G46" s="405"/>
      <c r="H46" s="405"/>
      <c r="I46" s="405">
        <v>8111</v>
      </c>
      <c r="J46" s="405">
        <v>1138</v>
      </c>
      <c r="K46" s="405">
        <v>9249</v>
      </c>
      <c r="L46" s="405">
        <v>2698</v>
      </c>
      <c r="M46" s="405">
        <v>734</v>
      </c>
      <c r="N46" s="405">
        <v>3432</v>
      </c>
      <c r="O46" s="405">
        <v>19474</v>
      </c>
      <c r="P46" s="405">
        <v>16617</v>
      </c>
      <c r="Q46" s="405">
        <v>36091</v>
      </c>
      <c r="R46" s="405">
        <v>400</v>
      </c>
      <c r="S46" s="405">
        <v>330</v>
      </c>
      <c r="T46" s="405">
        <v>730</v>
      </c>
      <c r="U46" s="405"/>
      <c r="V46" s="405"/>
      <c r="W46" s="405"/>
      <c r="X46" s="406">
        <v>30683</v>
      </c>
      <c r="Y46" s="406">
        <v>18819</v>
      </c>
      <c r="Z46" s="406">
        <v>49502</v>
      </c>
      <c r="AA46" s="27"/>
      <c r="AB46" s="27"/>
    </row>
    <row r="47" spans="2:28" hidden="1" outlineLevel="1" x14ac:dyDescent="0.25">
      <c r="B47" s="404">
        <v>40026</v>
      </c>
      <c r="C47" s="405"/>
      <c r="D47" s="405"/>
      <c r="E47" s="405"/>
      <c r="F47" s="405"/>
      <c r="G47" s="405"/>
      <c r="H47" s="405"/>
      <c r="I47" s="405">
        <v>5425</v>
      </c>
      <c r="J47" s="405">
        <v>1441</v>
      </c>
      <c r="K47" s="405">
        <v>6866</v>
      </c>
      <c r="L47" s="405">
        <v>2833</v>
      </c>
      <c r="M47" s="405">
        <v>859</v>
      </c>
      <c r="N47" s="405">
        <v>3692</v>
      </c>
      <c r="O47" s="405">
        <v>32515</v>
      </c>
      <c r="P47" s="405">
        <v>22745</v>
      </c>
      <c r="Q47" s="405">
        <v>55260</v>
      </c>
      <c r="R47" s="405">
        <v>889</v>
      </c>
      <c r="S47" s="405">
        <v>575</v>
      </c>
      <c r="T47" s="405">
        <v>1464</v>
      </c>
      <c r="U47" s="405"/>
      <c r="V47" s="405"/>
      <c r="W47" s="405"/>
      <c r="X47" s="406">
        <v>41662</v>
      </c>
      <c r="Y47" s="406">
        <v>25620</v>
      </c>
      <c r="Z47" s="406">
        <v>67282</v>
      </c>
      <c r="AA47" s="27"/>
      <c r="AB47" s="27"/>
    </row>
    <row r="48" spans="2:28" hidden="1" outlineLevel="1" x14ac:dyDescent="0.25">
      <c r="B48" s="404">
        <v>40057</v>
      </c>
      <c r="C48" s="405"/>
      <c r="D48" s="405"/>
      <c r="E48" s="405"/>
      <c r="F48" s="405"/>
      <c r="G48" s="405"/>
      <c r="H48" s="405"/>
      <c r="I48" s="405">
        <v>5009</v>
      </c>
      <c r="J48" s="405">
        <v>1485</v>
      </c>
      <c r="K48" s="405">
        <v>6494</v>
      </c>
      <c r="L48" s="405">
        <v>2540</v>
      </c>
      <c r="M48" s="405">
        <v>873</v>
      </c>
      <c r="N48" s="405">
        <v>3413</v>
      </c>
      <c r="O48" s="405">
        <v>42718</v>
      </c>
      <c r="P48" s="405">
        <v>30864</v>
      </c>
      <c r="Q48" s="405">
        <v>73582</v>
      </c>
      <c r="R48" s="405">
        <v>970</v>
      </c>
      <c r="S48" s="405">
        <v>777</v>
      </c>
      <c r="T48" s="405">
        <v>1747</v>
      </c>
      <c r="U48" s="405"/>
      <c r="V48" s="405"/>
      <c r="W48" s="405"/>
      <c r="X48" s="406">
        <v>51237</v>
      </c>
      <c r="Y48" s="406">
        <v>33999</v>
      </c>
      <c r="Z48" s="406">
        <v>85236</v>
      </c>
      <c r="AA48" s="27"/>
      <c r="AB48" s="27"/>
    </row>
    <row r="49" spans="2:28" hidden="1" outlineLevel="1" x14ac:dyDescent="0.25">
      <c r="B49" s="404">
        <v>40087</v>
      </c>
      <c r="C49" s="405"/>
      <c r="D49" s="405"/>
      <c r="E49" s="405"/>
      <c r="F49" s="405"/>
      <c r="G49" s="405"/>
      <c r="H49" s="405"/>
      <c r="I49" s="405">
        <v>4144</v>
      </c>
      <c r="J49" s="405">
        <v>1395</v>
      </c>
      <c r="K49" s="405">
        <v>5539</v>
      </c>
      <c r="L49" s="405">
        <v>2447</v>
      </c>
      <c r="M49" s="405">
        <v>804</v>
      </c>
      <c r="N49" s="405">
        <v>3251</v>
      </c>
      <c r="O49" s="405">
        <v>19572</v>
      </c>
      <c r="P49" s="405">
        <v>15144</v>
      </c>
      <c r="Q49" s="405">
        <v>34716</v>
      </c>
      <c r="R49" s="405">
        <v>673</v>
      </c>
      <c r="S49" s="405">
        <v>534</v>
      </c>
      <c r="T49" s="405">
        <v>1207</v>
      </c>
      <c r="U49" s="405"/>
      <c r="V49" s="405"/>
      <c r="W49" s="405"/>
      <c r="X49" s="406">
        <v>26836</v>
      </c>
      <c r="Y49" s="406">
        <v>17877</v>
      </c>
      <c r="Z49" s="406">
        <v>44713</v>
      </c>
      <c r="AA49" s="27"/>
      <c r="AB49" s="27"/>
    </row>
    <row r="50" spans="2:28" hidden="1" outlineLevel="1" x14ac:dyDescent="0.25">
      <c r="B50" s="404">
        <v>40118</v>
      </c>
      <c r="C50" s="405"/>
      <c r="D50" s="405"/>
      <c r="E50" s="405"/>
      <c r="F50" s="405"/>
      <c r="G50" s="405"/>
      <c r="H50" s="405"/>
      <c r="I50" s="405">
        <v>3427</v>
      </c>
      <c r="J50" s="405">
        <v>1141</v>
      </c>
      <c r="K50" s="405">
        <v>4568</v>
      </c>
      <c r="L50" s="405">
        <v>1993</v>
      </c>
      <c r="M50" s="405">
        <v>614</v>
      </c>
      <c r="N50" s="405">
        <v>2607</v>
      </c>
      <c r="O50" s="405">
        <v>12729</v>
      </c>
      <c r="P50" s="405">
        <v>8289</v>
      </c>
      <c r="Q50" s="405">
        <v>21018</v>
      </c>
      <c r="R50" s="405">
        <v>657</v>
      </c>
      <c r="S50" s="405">
        <v>465</v>
      </c>
      <c r="T50" s="405">
        <v>1122</v>
      </c>
      <c r="U50" s="405"/>
      <c r="V50" s="405"/>
      <c r="W50" s="405"/>
      <c r="X50" s="406">
        <v>18806</v>
      </c>
      <c r="Y50" s="406">
        <v>10509</v>
      </c>
      <c r="Z50" s="406">
        <v>29315</v>
      </c>
      <c r="AA50" s="27"/>
      <c r="AB50" s="27"/>
    </row>
    <row r="51" spans="2:28" hidden="1" outlineLevel="1" x14ac:dyDescent="0.25">
      <c r="B51" s="404">
        <v>40148</v>
      </c>
      <c r="C51" s="405"/>
      <c r="D51" s="405"/>
      <c r="E51" s="405"/>
      <c r="F51" s="405"/>
      <c r="G51" s="405"/>
      <c r="H51" s="405"/>
      <c r="I51" s="405">
        <v>3160</v>
      </c>
      <c r="J51" s="405">
        <v>961</v>
      </c>
      <c r="K51" s="405">
        <v>4121</v>
      </c>
      <c r="L51" s="405">
        <v>1868</v>
      </c>
      <c r="M51" s="405">
        <v>635</v>
      </c>
      <c r="N51" s="405">
        <v>2503</v>
      </c>
      <c r="O51" s="405">
        <v>10450</v>
      </c>
      <c r="P51" s="405">
        <v>6068</v>
      </c>
      <c r="Q51" s="405">
        <v>16518</v>
      </c>
      <c r="R51" s="405">
        <v>679</v>
      </c>
      <c r="S51" s="405">
        <v>565</v>
      </c>
      <c r="T51" s="405">
        <v>1244</v>
      </c>
      <c r="U51" s="405"/>
      <c r="V51" s="405"/>
      <c r="W51" s="405"/>
      <c r="X51" s="406">
        <v>16157</v>
      </c>
      <c r="Y51" s="406">
        <v>8229</v>
      </c>
      <c r="Z51" s="406">
        <v>24386</v>
      </c>
      <c r="AA51" s="27"/>
      <c r="AB51" s="27"/>
    </row>
    <row r="52" spans="2:28" collapsed="1" x14ac:dyDescent="0.25">
      <c r="B52" s="407" t="s">
        <v>750</v>
      </c>
      <c r="C52" s="408" t="s">
        <v>916</v>
      </c>
      <c r="D52" s="408" t="s">
        <v>916</v>
      </c>
      <c r="E52" s="408" t="s">
        <v>916</v>
      </c>
      <c r="F52" s="408" t="s">
        <v>916</v>
      </c>
      <c r="G52" s="408" t="s">
        <v>916</v>
      </c>
      <c r="H52" s="408" t="s">
        <v>916</v>
      </c>
      <c r="I52" s="408">
        <v>3802</v>
      </c>
      <c r="J52" s="408">
        <v>1127</v>
      </c>
      <c r="K52" s="408">
        <v>4930</v>
      </c>
      <c r="L52" s="408">
        <v>2238</v>
      </c>
      <c r="M52" s="408">
        <v>717</v>
      </c>
      <c r="N52" s="408">
        <v>2955</v>
      </c>
      <c r="O52" s="408">
        <v>14735</v>
      </c>
      <c r="P52" s="408">
        <v>10108</v>
      </c>
      <c r="Q52" s="408">
        <v>24843</v>
      </c>
      <c r="R52" s="408">
        <v>564</v>
      </c>
      <c r="S52" s="408">
        <v>412</v>
      </c>
      <c r="T52" s="408">
        <v>976</v>
      </c>
      <c r="U52" s="408" t="s">
        <v>916</v>
      </c>
      <c r="V52" s="408" t="s">
        <v>916</v>
      </c>
      <c r="W52" s="408" t="s">
        <v>916</v>
      </c>
      <c r="X52" s="408">
        <v>21340</v>
      </c>
      <c r="Y52" s="408">
        <v>12363</v>
      </c>
      <c r="Z52" s="408">
        <v>33703</v>
      </c>
      <c r="AA52" s="27"/>
      <c r="AB52" s="27"/>
    </row>
    <row r="53" spans="2:28" hidden="1" outlineLevel="1" x14ac:dyDescent="0.25">
      <c r="B53" s="404">
        <v>40179</v>
      </c>
      <c r="C53" s="405"/>
      <c r="D53" s="405"/>
      <c r="E53" s="405"/>
      <c r="F53" s="405"/>
      <c r="G53" s="405"/>
      <c r="H53" s="405"/>
      <c r="I53" s="405">
        <v>2810</v>
      </c>
      <c r="J53" s="405">
        <v>907</v>
      </c>
      <c r="K53" s="405">
        <v>3717</v>
      </c>
      <c r="L53" s="405">
        <v>1730</v>
      </c>
      <c r="M53" s="405">
        <v>624</v>
      </c>
      <c r="N53" s="405">
        <v>2354</v>
      </c>
      <c r="O53" s="405">
        <v>8375</v>
      </c>
      <c r="P53" s="405">
        <v>5011</v>
      </c>
      <c r="Q53" s="405">
        <v>13386</v>
      </c>
      <c r="R53" s="405">
        <v>600</v>
      </c>
      <c r="S53" s="405">
        <v>362</v>
      </c>
      <c r="T53" s="405">
        <v>962</v>
      </c>
      <c r="U53" s="405"/>
      <c r="V53" s="405"/>
      <c r="W53" s="405"/>
      <c r="X53" s="406">
        <v>13515</v>
      </c>
      <c r="Y53" s="406">
        <v>6904</v>
      </c>
      <c r="Z53" s="406">
        <v>20419</v>
      </c>
      <c r="AA53" s="27"/>
      <c r="AB53" s="27"/>
    </row>
    <row r="54" spans="2:28" hidden="1" outlineLevel="1" x14ac:dyDescent="0.25">
      <c r="B54" s="404">
        <v>40210</v>
      </c>
      <c r="C54" s="405"/>
      <c r="D54" s="405"/>
      <c r="E54" s="405"/>
      <c r="F54" s="405"/>
      <c r="G54" s="405"/>
      <c r="H54" s="405"/>
      <c r="I54" s="405">
        <v>2172</v>
      </c>
      <c r="J54" s="405">
        <v>811</v>
      </c>
      <c r="K54" s="405">
        <v>2983</v>
      </c>
      <c r="L54" s="405">
        <v>1517</v>
      </c>
      <c r="M54" s="405">
        <v>497</v>
      </c>
      <c r="N54" s="405">
        <v>2014</v>
      </c>
      <c r="O54" s="405">
        <v>6196</v>
      </c>
      <c r="P54" s="405">
        <v>3752</v>
      </c>
      <c r="Q54" s="405">
        <v>9948</v>
      </c>
      <c r="R54" s="405">
        <v>559</v>
      </c>
      <c r="S54" s="405">
        <v>370</v>
      </c>
      <c r="T54" s="405">
        <v>929</v>
      </c>
      <c r="U54" s="405"/>
      <c r="V54" s="405"/>
      <c r="W54" s="405"/>
      <c r="X54" s="406">
        <v>10444</v>
      </c>
      <c r="Y54" s="406">
        <v>5430</v>
      </c>
      <c r="Z54" s="406">
        <v>15874</v>
      </c>
      <c r="AA54" s="27"/>
      <c r="AB54" s="27"/>
    </row>
    <row r="55" spans="2:28" hidden="1" outlineLevel="1" x14ac:dyDescent="0.25">
      <c r="B55" s="404">
        <v>40238</v>
      </c>
      <c r="C55" s="405"/>
      <c r="D55" s="405"/>
      <c r="E55" s="405"/>
      <c r="F55" s="405"/>
      <c r="G55" s="405"/>
      <c r="H55" s="405"/>
      <c r="I55" s="405">
        <v>2354</v>
      </c>
      <c r="J55" s="405">
        <v>857</v>
      </c>
      <c r="K55" s="405">
        <v>3211</v>
      </c>
      <c r="L55" s="405">
        <v>1380</v>
      </c>
      <c r="M55" s="405">
        <v>507</v>
      </c>
      <c r="N55" s="405">
        <v>1887</v>
      </c>
      <c r="O55" s="405">
        <v>4953</v>
      </c>
      <c r="P55" s="405">
        <v>3424</v>
      </c>
      <c r="Q55" s="405">
        <v>8377</v>
      </c>
      <c r="R55" s="405">
        <v>645</v>
      </c>
      <c r="S55" s="405">
        <v>438</v>
      </c>
      <c r="T55" s="405">
        <v>1083</v>
      </c>
      <c r="U55" s="405"/>
      <c r="V55" s="405"/>
      <c r="W55" s="405"/>
      <c r="X55" s="406">
        <v>9332</v>
      </c>
      <c r="Y55" s="406">
        <v>5226</v>
      </c>
      <c r="Z55" s="406">
        <v>14558</v>
      </c>
      <c r="AA55" s="27"/>
      <c r="AB55" s="27"/>
    </row>
    <row r="56" spans="2:28" hidden="1" outlineLevel="1" x14ac:dyDescent="0.25">
      <c r="B56" s="404">
        <v>40269</v>
      </c>
      <c r="C56" s="405"/>
      <c r="D56" s="405"/>
      <c r="E56" s="405"/>
      <c r="F56" s="405"/>
      <c r="G56" s="405"/>
      <c r="H56" s="405"/>
      <c r="I56" s="405">
        <v>2385</v>
      </c>
      <c r="J56" s="405">
        <v>787</v>
      </c>
      <c r="K56" s="405">
        <v>3172</v>
      </c>
      <c r="L56" s="405">
        <v>1636</v>
      </c>
      <c r="M56" s="405">
        <v>594</v>
      </c>
      <c r="N56" s="405">
        <v>2230</v>
      </c>
      <c r="O56" s="405">
        <v>5795</v>
      </c>
      <c r="P56" s="405">
        <v>5114</v>
      </c>
      <c r="Q56" s="405">
        <v>10909</v>
      </c>
      <c r="R56" s="405">
        <v>634</v>
      </c>
      <c r="S56" s="405">
        <v>497</v>
      </c>
      <c r="T56" s="405">
        <v>1131</v>
      </c>
      <c r="U56" s="405"/>
      <c r="V56" s="405"/>
      <c r="W56" s="405"/>
      <c r="X56" s="406">
        <v>10450</v>
      </c>
      <c r="Y56" s="406">
        <v>6992</v>
      </c>
      <c r="Z56" s="406">
        <v>17442</v>
      </c>
      <c r="AA56" s="27"/>
      <c r="AB56" s="27"/>
    </row>
    <row r="57" spans="2:28" hidden="1" outlineLevel="1" x14ac:dyDescent="0.25">
      <c r="B57" s="404">
        <v>40299</v>
      </c>
      <c r="C57" s="405"/>
      <c r="D57" s="405"/>
      <c r="E57" s="405"/>
      <c r="F57" s="405"/>
      <c r="G57" s="405"/>
      <c r="H57" s="405"/>
      <c r="I57" s="405">
        <v>2165</v>
      </c>
      <c r="J57" s="405">
        <v>799</v>
      </c>
      <c r="K57" s="405">
        <v>2964</v>
      </c>
      <c r="L57" s="405">
        <v>1601</v>
      </c>
      <c r="M57" s="405">
        <v>533</v>
      </c>
      <c r="N57" s="405">
        <v>2134</v>
      </c>
      <c r="O57" s="405">
        <v>4804</v>
      </c>
      <c r="P57" s="405">
        <v>4788</v>
      </c>
      <c r="Q57" s="405">
        <v>9592</v>
      </c>
      <c r="R57" s="405">
        <v>586</v>
      </c>
      <c r="S57" s="405">
        <v>427</v>
      </c>
      <c r="T57" s="405">
        <v>1013</v>
      </c>
      <c r="U57" s="405"/>
      <c r="V57" s="405"/>
      <c r="W57" s="405"/>
      <c r="X57" s="406">
        <v>9156</v>
      </c>
      <c r="Y57" s="406">
        <v>6547</v>
      </c>
      <c r="Z57" s="406">
        <v>15703</v>
      </c>
      <c r="AA57" s="27"/>
      <c r="AB57" s="27"/>
    </row>
    <row r="58" spans="2:28" hidden="1" outlineLevel="1" x14ac:dyDescent="0.25">
      <c r="B58" s="404">
        <v>40330</v>
      </c>
      <c r="C58" s="405"/>
      <c r="D58" s="405"/>
      <c r="E58" s="405"/>
      <c r="F58" s="405"/>
      <c r="G58" s="405"/>
      <c r="H58" s="405"/>
      <c r="I58" s="405">
        <v>2222</v>
      </c>
      <c r="J58" s="405">
        <v>842</v>
      </c>
      <c r="K58" s="405">
        <v>3064</v>
      </c>
      <c r="L58" s="405">
        <v>1637</v>
      </c>
      <c r="M58" s="405">
        <v>536</v>
      </c>
      <c r="N58" s="405">
        <v>2173</v>
      </c>
      <c r="O58" s="405">
        <v>9030</v>
      </c>
      <c r="P58" s="405">
        <v>7038</v>
      </c>
      <c r="Q58" s="405">
        <v>16068</v>
      </c>
      <c r="R58" s="405">
        <v>547</v>
      </c>
      <c r="S58" s="405">
        <v>392</v>
      </c>
      <c r="T58" s="405">
        <v>939</v>
      </c>
      <c r="U58" s="405"/>
      <c r="V58" s="405"/>
      <c r="W58" s="405"/>
      <c r="X58" s="406">
        <v>13436</v>
      </c>
      <c r="Y58" s="406">
        <v>8808</v>
      </c>
      <c r="Z58" s="406">
        <v>22244</v>
      </c>
      <c r="AA58" s="27"/>
      <c r="AB58" s="27"/>
    </row>
    <row r="59" spans="2:28" hidden="1" outlineLevel="1" x14ac:dyDescent="0.25">
      <c r="B59" s="404">
        <v>40360</v>
      </c>
      <c r="C59" s="405"/>
      <c r="D59" s="405"/>
      <c r="E59" s="405"/>
      <c r="F59" s="405"/>
      <c r="G59" s="405"/>
      <c r="H59" s="405"/>
      <c r="I59" s="405">
        <v>2976</v>
      </c>
      <c r="J59" s="405">
        <v>946</v>
      </c>
      <c r="K59" s="405">
        <v>3922</v>
      </c>
      <c r="L59" s="405">
        <v>1649</v>
      </c>
      <c r="M59" s="405">
        <v>540</v>
      </c>
      <c r="N59" s="405">
        <v>2189</v>
      </c>
      <c r="O59" s="405">
        <v>15794</v>
      </c>
      <c r="P59" s="405">
        <v>12661</v>
      </c>
      <c r="Q59" s="405">
        <v>28455</v>
      </c>
      <c r="R59" s="405">
        <v>626</v>
      </c>
      <c r="S59" s="405">
        <v>441</v>
      </c>
      <c r="T59" s="405">
        <v>1067</v>
      </c>
      <c r="U59" s="405"/>
      <c r="V59" s="405"/>
      <c r="W59" s="405"/>
      <c r="X59" s="406">
        <v>21045</v>
      </c>
      <c r="Y59" s="406">
        <v>14588</v>
      </c>
      <c r="Z59" s="406">
        <v>35633</v>
      </c>
      <c r="AA59" s="27"/>
      <c r="AB59" s="27"/>
    </row>
    <row r="60" spans="2:28" hidden="1" outlineLevel="1" x14ac:dyDescent="0.25">
      <c r="B60" s="404">
        <v>40391</v>
      </c>
      <c r="C60" s="405"/>
      <c r="D60" s="405"/>
      <c r="E60" s="405"/>
      <c r="F60" s="405"/>
      <c r="G60" s="405"/>
      <c r="H60" s="405"/>
      <c r="I60" s="405">
        <v>3187</v>
      </c>
      <c r="J60" s="405">
        <v>1037</v>
      </c>
      <c r="K60" s="405">
        <v>4224</v>
      </c>
      <c r="L60" s="405">
        <v>1848</v>
      </c>
      <c r="M60" s="405">
        <v>635</v>
      </c>
      <c r="N60" s="405">
        <v>2483</v>
      </c>
      <c r="O60" s="405">
        <v>14051</v>
      </c>
      <c r="P60" s="405">
        <v>10729</v>
      </c>
      <c r="Q60" s="405">
        <v>24780</v>
      </c>
      <c r="R60" s="405">
        <v>613</v>
      </c>
      <c r="S60" s="405">
        <v>451</v>
      </c>
      <c r="T60" s="405">
        <v>1064</v>
      </c>
      <c r="U60" s="405"/>
      <c r="V60" s="405"/>
      <c r="W60" s="405"/>
      <c r="X60" s="406">
        <v>19699</v>
      </c>
      <c r="Y60" s="406">
        <v>12852</v>
      </c>
      <c r="Z60" s="406">
        <v>32551</v>
      </c>
      <c r="AA60" s="27"/>
      <c r="AB60" s="27"/>
    </row>
    <row r="61" spans="2:28" hidden="1" outlineLevel="1" x14ac:dyDescent="0.25">
      <c r="B61" s="404">
        <v>40422</v>
      </c>
      <c r="C61" s="405"/>
      <c r="D61" s="405"/>
      <c r="E61" s="405"/>
      <c r="F61" s="405"/>
      <c r="G61" s="405"/>
      <c r="H61" s="405"/>
      <c r="I61" s="405">
        <v>2771</v>
      </c>
      <c r="J61" s="405">
        <v>851</v>
      </c>
      <c r="K61" s="405">
        <v>3622</v>
      </c>
      <c r="L61" s="405">
        <v>1450</v>
      </c>
      <c r="M61" s="405">
        <v>487</v>
      </c>
      <c r="N61" s="405">
        <v>1937</v>
      </c>
      <c r="O61" s="405">
        <v>8634</v>
      </c>
      <c r="P61" s="405">
        <v>6003</v>
      </c>
      <c r="Q61" s="405">
        <v>14637</v>
      </c>
      <c r="R61" s="405">
        <v>519</v>
      </c>
      <c r="S61" s="405">
        <v>375</v>
      </c>
      <c r="T61" s="405">
        <v>894</v>
      </c>
      <c r="U61" s="405"/>
      <c r="V61" s="405"/>
      <c r="W61" s="405"/>
      <c r="X61" s="406">
        <v>13374</v>
      </c>
      <c r="Y61" s="406">
        <v>7716</v>
      </c>
      <c r="Z61" s="406">
        <v>21090</v>
      </c>
      <c r="AA61" s="27"/>
      <c r="AB61" s="27"/>
    </row>
    <row r="62" spans="2:28" hidden="1" outlineLevel="1" x14ac:dyDescent="0.25">
      <c r="B62" s="404">
        <v>40452</v>
      </c>
      <c r="C62" s="405"/>
      <c r="D62" s="405"/>
      <c r="E62" s="405"/>
      <c r="F62" s="405"/>
      <c r="G62" s="405"/>
      <c r="H62" s="405"/>
      <c r="I62" s="405">
        <v>2859</v>
      </c>
      <c r="J62" s="405">
        <v>872</v>
      </c>
      <c r="K62" s="405">
        <v>3731</v>
      </c>
      <c r="L62" s="405">
        <v>1578</v>
      </c>
      <c r="M62" s="405">
        <v>519</v>
      </c>
      <c r="N62" s="405">
        <v>2097</v>
      </c>
      <c r="O62" s="405">
        <v>7950</v>
      </c>
      <c r="P62" s="405">
        <v>5449</v>
      </c>
      <c r="Q62" s="405">
        <v>13399</v>
      </c>
      <c r="R62" s="405">
        <v>610</v>
      </c>
      <c r="S62" s="405">
        <v>487</v>
      </c>
      <c r="T62" s="405">
        <v>1097</v>
      </c>
      <c r="U62" s="405"/>
      <c r="V62" s="405"/>
      <c r="W62" s="405"/>
      <c r="X62" s="406">
        <v>12997</v>
      </c>
      <c r="Y62" s="406">
        <v>7327</v>
      </c>
      <c r="Z62" s="406">
        <v>20324</v>
      </c>
      <c r="AA62" s="27"/>
      <c r="AB62" s="27"/>
    </row>
    <row r="63" spans="2:28" hidden="1" outlineLevel="1" x14ac:dyDescent="0.25">
      <c r="B63" s="404">
        <v>40483</v>
      </c>
      <c r="C63" s="405"/>
      <c r="D63" s="405"/>
      <c r="E63" s="405"/>
      <c r="F63" s="405"/>
      <c r="G63" s="405"/>
      <c r="H63" s="405"/>
      <c r="I63" s="405">
        <v>2590</v>
      </c>
      <c r="J63" s="405">
        <v>812</v>
      </c>
      <c r="K63" s="405">
        <v>3402</v>
      </c>
      <c r="L63" s="405">
        <v>1560</v>
      </c>
      <c r="M63" s="405">
        <v>501</v>
      </c>
      <c r="N63" s="405">
        <v>2061</v>
      </c>
      <c r="O63" s="405">
        <v>6603</v>
      </c>
      <c r="P63" s="405">
        <v>4260</v>
      </c>
      <c r="Q63" s="405">
        <v>10863</v>
      </c>
      <c r="R63" s="405">
        <v>502</v>
      </c>
      <c r="S63" s="405">
        <v>348</v>
      </c>
      <c r="T63" s="405">
        <v>850</v>
      </c>
      <c r="U63" s="405"/>
      <c r="V63" s="405"/>
      <c r="W63" s="405"/>
      <c r="X63" s="406">
        <v>11255</v>
      </c>
      <c r="Y63" s="406">
        <v>5921</v>
      </c>
      <c r="Z63" s="406">
        <v>17176</v>
      </c>
      <c r="AA63" s="27"/>
      <c r="AB63" s="27"/>
    </row>
    <row r="64" spans="2:28" hidden="1" outlineLevel="1" x14ac:dyDescent="0.25">
      <c r="B64" s="404">
        <v>40513</v>
      </c>
      <c r="C64" s="405"/>
      <c r="D64" s="405"/>
      <c r="E64" s="405"/>
      <c r="F64" s="405"/>
      <c r="G64" s="405"/>
      <c r="H64" s="405"/>
      <c r="I64" s="405">
        <v>2048</v>
      </c>
      <c r="J64" s="405">
        <v>673</v>
      </c>
      <c r="K64" s="405">
        <v>2721</v>
      </c>
      <c r="L64" s="405">
        <v>1029</v>
      </c>
      <c r="M64" s="405">
        <v>379</v>
      </c>
      <c r="N64" s="405">
        <v>1408</v>
      </c>
      <c r="O64" s="405">
        <v>4530</v>
      </c>
      <c r="P64" s="405">
        <v>3102</v>
      </c>
      <c r="Q64" s="405">
        <v>7632</v>
      </c>
      <c r="R64" s="405">
        <v>488</v>
      </c>
      <c r="S64" s="405">
        <v>412</v>
      </c>
      <c r="T64" s="405">
        <v>900</v>
      </c>
      <c r="U64" s="405"/>
      <c r="V64" s="405"/>
      <c r="W64" s="405"/>
      <c r="X64" s="406">
        <v>8095</v>
      </c>
      <c r="Y64" s="406">
        <v>4566</v>
      </c>
      <c r="Z64" s="406">
        <v>12661</v>
      </c>
      <c r="AA64" s="27"/>
      <c r="AB64" s="27"/>
    </row>
    <row r="65" spans="2:28" collapsed="1" x14ac:dyDescent="0.25">
      <c r="B65" s="407" t="s">
        <v>751</v>
      </c>
      <c r="C65" s="408" t="s">
        <v>916</v>
      </c>
      <c r="D65" s="408" t="s">
        <v>916</v>
      </c>
      <c r="E65" s="408" t="s">
        <v>916</v>
      </c>
      <c r="F65" s="408" t="s">
        <v>916</v>
      </c>
      <c r="G65" s="408" t="s">
        <v>916</v>
      </c>
      <c r="H65" s="408" t="s">
        <v>916</v>
      </c>
      <c r="I65" s="408">
        <v>2545</v>
      </c>
      <c r="J65" s="408">
        <v>850</v>
      </c>
      <c r="K65" s="408">
        <v>3394</v>
      </c>
      <c r="L65" s="408">
        <v>1551</v>
      </c>
      <c r="M65" s="408">
        <v>529</v>
      </c>
      <c r="N65" s="408">
        <v>2081</v>
      </c>
      <c r="O65" s="408">
        <v>8060</v>
      </c>
      <c r="P65" s="408">
        <v>5944</v>
      </c>
      <c r="Q65" s="408">
        <v>14004</v>
      </c>
      <c r="R65" s="408">
        <v>577</v>
      </c>
      <c r="S65" s="408">
        <v>417</v>
      </c>
      <c r="T65" s="408">
        <v>994</v>
      </c>
      <c r="U65" s="408" t="s">
        <v>916</v>
      </c>
      <c r="V65" s="408" t="s">
        <v>916</v>
      </c>
      <c r="W65" s="408" t="s">
        <v>916</v>
      </c>
      <c r="X65" s="408">
        <v>12733</v>
      </c>
      <c r="Y65" s="408">
        <v>7740</v>
      </c>
      <c r="Z65" s="408">
        <v>20473</v>
      </c>
      <c r="AA65" s="27"/>
      <c r="AB65" s="27"/>
    </row>
    <row r="66" spans="2:28" hidden="1" outlineLevel="1" x14ac:dyDescent="0.25">
      <c r="B66" s="404">
        <v>40544</v>
      </c>
      <c r="C66" s="405"/>
      <c r="D66" s="405"/>
      <c r="E66" s="405"/>
      <c r="F66" s="405"/>
      <c r="G66" s="405"/>
      <c r="H66" s="405"/>
      <c r="I66" s="405">
        <v>2489</v>
      </c>
      <c r="J66" s="405">
        <v>896</v>
      </c>
      <c r="K66" s="405">
        <v>3385</v>
      </c>
      <c r="L66" s="405">
        <v>1397</v>
      </c>
      <c r="M66" s="405">
        <v>474</v>
      </c>
      <c r="N66" s="405">
        <v>1871</v>
      </c>
      <c r="O66" s="405">
        <v>6366</v>
      </c>
      <c r="P66" s="405">
        <v>4627</v>
      </c>
      <c r="Q66" s="405">
        <v>10993</v>
      </c>
      <c r="R66" s="405">
        <v>565</v>
      </c>
      <c r="S66" s="405">
        <v>429</v>
      </c>
      <c r="T66" s="405">
        <v>994</v>
      </c>
      <c r="U66" s="405"/>
      <c r="V66" s="405"/>
      <c r="W66" s="405"/>
      <c r="X66" s="406">
        <v>10817</v>
      </c>
      <c r="Y66" s="406">
        <v>6426</v>
      </c>
      <c r="Z66" s="406">
        <v>17243</v>
      </c>
      <c r="AA66" s="27"/>
      <c r="AB66" s="27"/>
    </row>
    <row r="67" spans="2:28" hidden="1" outlineLevel="1" x14ac:dyDescent="0.25">
      <c r="B67" s="404">
        <v>40575</v>
      </c>
      <c r="C67" s="405"/>
      <c r="D67" s="405"/>
      <c r="E67" s="405"/>
      <c r="F67" s="405"/>
      <c r="G67" s="405"/>
      <c r="H67" s="405"/>
      <c r="I67" s="405">
        <v>2186</v>
      </c>
      <c r="J67" s="405">
        <v>743</v>
      </c>
      <c r="K67" s="405">
        <v>2929</v>
      </c>
      <c r="L67" s="405">
        <v>1166</v>
      </c>
      <c r="M67" s="405">
        <v>433</v>
      </c>
      <c r="N67" s="405">
        <v>1599</v>
      </c>
      <c r="O67" s="405">
        <v>5127</v>
      </c>
      <c r="P67" s="405">
        <v>3700</v>
      </c>
      <c r="Q67" s="405">
        <v>8827</v>
      </c>
      <c r="R67" s="405">
        <v>468</v>
      </c>
      <c r="S67" s="405">
        <v>361</v>
      </c>
      <c r="T67" s="405">
        <v>829</v>
      </c>
      <c r="U67" s="405"/>
      <c r="V67" s="405"/>
      <c r="W67" s="405"/>
      <c r="X67" s="406">
        <v>8947</v>
      </c>
      <c r="Y67" s="406">
        <v>5237</v>
      </c>
      <c r="Z67" s="406">
        <v>14184</v>
      </c>
      <c r="AA67" s="27"/>
      <c r="AB67" s="27"/>
    </row>
    <row r="68" spans="2:28" hidden="1" outlineLevel="1" x14ac:dyDescent="0.25">
      <c r="B68" s="404">
        <v>40603</v>
      </c>
      <c r="C68" s="405"/>
      <c r="D68" s="405"/>
      <c r="E68" s="405"/>
      <c r="F68" s="405"/>
      <c r="G68" s="405"/>
      <c r="H68" s="405"/>
      <c r="I68" s="405">
        <v>2526</v>
      </c>
      <c r="J68" s="405">
        <v>779</v>
      </c>
      <c r="K68" s="405">
        <v>3305</v>
      </c>
      <c r="L68" s="405">
        <v>1632</v>
      </c>
      <c r="M68" s="405">
        <v>540</v>
      </c>
      <c r="N68" s="405">
        <v>2172</v>
      </c>
      <c r="O68" s="405">
        <v>5896</v>
      </c>
      <c r="P68" s="405">
        <v>3858</v>
      </c>
      <c r="Q68" s="405">
        <v>9754</v>
      </c>
      <c r="R68" s="405">
        <v>640</v>
      </c>
      <c r="S68" s="405">
        <v>445</v>
      </c>
      <c r="T68" s="405">
        <v>1085</v>
      </c>
      <c r="U68" s="405"/>
      <c r="V68" s="405"/>
      <c r="W68" s="405"/>
      <c r="X68" s="406">
        <v>10694</v>
      </c>
      <c r="Y68" s="406">
        <v>5622</v>
      </c>
      <c r="Z68" s="406">
        <v>16316</v>
      </c>
      <c r="AA68" s="27"/>
      <c r="AB68" s="27"/>
    </row>
    <row r="69" spans="2:28" hidden="1" outlineLevel="1" x14ac:dyDescent="0.25">
      <c r="B69" s="404">
        <v>40634</v>
      </c>
      <c r="C69" s="405"/>
      <c r="D69" s="405"/>
      <c r="E69" s="405"/>
      <c r="F69" s="405"/>
      <c r="G69" s="405"/>
      <c r="H69" s="405"/>
      <c r="I69" s="405">
        <v>1823</v>
      </c>
      <c r="J69" s="405">
        <v>635</v>
      </c>
      <c r="K69" s="405">
        <v>2458</v>
      </c>
      <c r="L69" s="405">
        <v>1310</v>
      </c>
      <c r="M69" s="405">
        <v>433</v>
      </c>
      <c r="N69" s="405">
        <v>1743</v>
      </c>
      <c r="O69" s="405">
        <v>4398</v>
      </c>
      <c r="P69" s="405">
        <v>2714</v>
      </c>
      <c r="Q69" s="405">
        <v>7112</v>
      </c>
      <c r="R69" s="405">
        <v>400</v>
      </c>
      <c r="S69" s="405">
        <v>325</v>
      </c>
      <c r="T69" s="405">
        <v>725</v>
      </c>
      <c r="U69" s="405"/>
      <c r="V69" s="405"/>
      <c r="W69" s="405"/>
      <c r="X69" s="406">
        <v>7931</v>
      </c>
      <c r="Y69" s="406">
        <v>4107</v>
      </c>
      <c r="Z69" s="406">
        <v>12038</v>
      </c>
      <c r="AA69" s="27"/>
      <c r="AB69" s="27"/>
    </row>
    <row r="70" spans="2:28" hidden="1" outlineLevel="1" x14ac:dyDescent="0.25">
      <c r="B70" s="404">
        <v>40664</v>
      </c>
      <c r="C70" s="405"/>
      <c r="D70" s="405"/>
      <c r="E70" s="405"/>
      <c r="F70" s="405"/>
      <c r="G70" s="405"/>
      <c r="H70" s="405"/>
      <c r="I70" s="405">
        <v>2291</v>
      </c>
      <c r="J70" s="405">
        <v>752</v>
      </c>
      <c r="K70" s="405">
        <v>3043</v>
      </c>
      <c r="L70" s="405">
        <v>1434</v>
      </c>
      <c r="M70" s="405">
        <v>500</v>
      </c>
      <c r="N70" s="405">
        <v>1934</v>
      </c>
      <c r="O70" s="405">
        <v>5470</v>
      </c>
      <c r="P70" s="405">
        <v>3499</v>
      </c>
      <c r="Q70" s="405">
        <v>8969</v>
      </c>
      <c r="R70" s="405">
        <v>491</v>
      </c>
      <c r="S70" s="405">
        <v>340</v>
      </c>
      <c r="T70" s="405">
        <v>831</v>
      </c>
      <c r="U70" s="405"/>
      <c r="V70" s="405"/>
      <c r="W70" s="405"/>
      <c r="X70" s="406">
        <v>9686</v>
      </c>
      <c r="Y70" s="406">
        <v>5091</v>
      </c>
      <c r="Z70" s="406">
        <v>14777</v>
      </c>
      <c r="AA70" s="27"/>
      <c r="AB70" s="27"/>
    </row>
    <row r="71" spans="2:28" hidden="1" outlineLevel="1" x14ac:dyDescent="0.25">
      <c r="B71" s="404">
        <v>40695</v>
      </c>
      <c r="C71" s="405"/>
      <c r="D71" s="405"/>
      <c r="E71" s="405"/>
      <c r="F71" s="405"/>
      <c r="G71" s="405"/>
      <c r="H71" s="405"/>
      <c r="I71" s="405">
        <v>2128</v>
      </c>
      <c r="J71" s="405">
        <v>705</v>
      </c>
      <c r="K71" s="405">
        <v>2833</v>
      </c>
      <c r="L71" s="405">
        <v>1221</v>
      </c>
      <c r="M71" s="405">
        <v>454</v>
      </c>
      <c r="N71" s="405">
        <v>1675</v>
      </c>
      <c r="O71" s="405">
        <v>4859</v>
      </c>
      <c r="P71" s="405">
        <v>3255</v>
      </c>
      <c r="Q71" s="405">
        <v>8114</v>
      </c>
      <c r="R71" s="405">
        <v>449</v>
      </c>
      <c r="S71" s="405">
        <v>316</v>
      </c>
      <c r="T71" s="405">
        <v>765</v>
      </c>
      <c r="U71" s="405"/>
      <c r="V71" s="405"/>
      <c r="W71" s="405"/>
      <c r="X71" s="406">
        <v>8657</v>
      </c>
      <c r="Y71" s="406">
        <v>4730</v>
      </c>
      <c r="Z71" s="406">
        <v>13387</v>
      </c>
      <c r="AA71" s="27"/>
      <c r="AB71" s="27"/>
    </row>
    <row r="72" spans="2:28" hidden="1" outlineLevel="1" x14ac:dyDescent="0.25">
      <c r="B72" s="404">
        <v>40725</v>
      </c>
      <c r="C72" s="405"/>
      <c r="D72" s="405"/>
      <c r="E72" s="405"/>
      <c r="F72" s="405"/>
      <c r="G72" s="405"/>
      <c r="H72" s="405"/>
      <c r="I72" s="405">
        <v>2602</v>
      </c>
      <c r="J72" s="405">
        <v>756</v>
      </c>
      <c r="K72" s="405">
        <v>3358</v>
      </c>
      <c r="L72" s="405">
        <v>1305</v>
      </c>
      <c r="M72" s="405">
        <v>478</v>
      </c>
      <c r="N72" s="405">
        <v>1783</v>
      </c>
      <c r="O72" s="405">
        <v>8280</v>
      </c>
      <c r="P72" s="405">
        <v>6886</v>
      </c>
      <c r="Q72" s="405">
        <v>15166</v>
      </c>
      <c r="R72" s="405">
        <v>558</v>
      </c>
      <c r="S72" s="405">
        <v>401</v>
      </c>
      <c r="T72" s="405">
        <v>959</v>
      </c>
      <c r="U72" s="405"/>
      <c r="V72" s="405"/>
      <c r="W72" s="405"/>
      <c r="X72" s="406">
        <v>12745</v>
      </c>
      <c r="Y72" s="406">
        <v>8521</v>
      </c>
      <c r="Z72" s="406">
        <v>21266</v>
      </c>
      <c r="AA72" s="27"/>
      <c r="AB72" s="27"/>
    </row>
    <row r="73" spans="2:28" hidden="1" outlineLevel="1" x14ac:dyDescent="0.25">
      <c r="B73" s="404">
        <v>40756</v>
      </c>
      <c r="C73" s="405"/>
      <c r="D73" s="405"/>
      <c r="E73" s="405"/>
      <c r="F73" s="405"/>
      <c r="G73" s="405"/>
      <c r="H73" s="405"/>
      <c r="I73" s="405">
        <v>2612</v>
      </c>
      <c r="J73" s="405">
        <v>781</v>
      </c>
      <c r="K73" s="405">
        <v>3393</v>
      </c>
      <c r="L73" s="405">
        <v>1321</v>
      </c>
      <c r="M73" s="405">
        <v>474</v>
      </c>
      <c r="N73" s="405">
        <v>1795</v>
      </c>
      <c r="O73" s="405">
        <v>7512</v>
      </c>
      <c r="P73" s="405">
        <v>5762</v>
      </c>
      <c r="Q73" s="405">
        <v>13274</v>
      </c>
      <c r="R73" s="405">
        <v>556</v>
      </c>
      <c r="S73" s="405">
        <v>354</v>
      </c>
      <c r="T73" s="405">
        <v>910</v>
      </c>
      <c r="U73" s="405"/>
      <c r="V73" s="405"/>
      <c r="W73" s="405"/>
      <c r="X73" s="406">
        <v>12001</v>
      </c>
      <c r="Y73" s="406">
        <v>7371</v>
      </c>
      <c r="Z73" s="406">
        <v>19372</v>
      </c>
      <c r="AA73" s="27"/>
      <c r="AB73" s="27"/>
    </row>
    <row r="74" spans="2:28" hidden="1" outlineLevel="1" x14ac:dyDescent="0.25">
      <c r="B74" s="404">
        <v>40787</v>
      </c>
      <c r="C74" s="405"/>
      <c r="D74" s="405"/>
      <c r="E74" s="405"/>
      <c r="F74" s="405"/>
      <c r="G74" s="405"/>
      <c r="H74" s="405"/>
      <c r="I74" s="405">
        <v>2703</v>
      </c>
      <c r="J74" s="405">
        <v>862</v>
      </c>
      <c r="K74" s="405">
        <v>3565</v>
      </c>
      <c r="L74" s="405">
        <v>1141</v>
      </c>
      <c r="M74" s="405">
        <v>440</v>
      </c>
      <c r="N74" s="405">
        <v>1581</v>
      </c>
      <c r="O74" s="405">
        <v>5716</v>
      </c>
      <c r="P74" s="405">
        <v>3987</v>
      </c>
      <c r="Q74" s="405">
        <v>9703</v>
      </c>
      <c r="R74" s="405">
        <v>418</v>
      </c>
      <c r="S74" s="405">
        <v>288</v>
      </c>
      <c r="T74" s="405">
        <v>706</v>
      </c>
      <c r="U74" s="405"/>
      <c r="V74" s="405"/>
      <c r="W74" s="405"/>
      <c r="X74" s="406">
        <v>9978</v>
      </c>
      <c r="Y74" s="406">
        <v>5577</v>
      </c>
      <c r="Z74" s="406">
        <v>15555</v>
      </c>
      <c r="AA74" s="27"/>
      <c r="AB74" s="27"/>
    </row>
    <row r="75" spans="2:28" hidden="1" outlineLevel="1" x14ac:dyDescent="0.25">
      <c r="B75" s="404">
        <v>40817</v>
      </c>
      <c r="C75" s="405"/>
      <c r="D75" s="405"/>
      <c r="E75" s="405"/>
      <c r="F75" s="405"/>
      <c r="G75" s="405"/>
      <c r="H75" s="405"/>
      <c r="I75" s="405">
        <v>2103</v>
      </c>
      <c r="J75" s="405">
        <v>675</v>
      </c>
      <c r="K75" s="405">
        <v>2778</v>
      </c>
      <c r="L75" s="405">
        <v>1164</v>
      </c>
      <c r="M75" s="405">
        <v>423</v>
      </c>
      <c r="N75" s="405">
        <v>1587</v>
      </c>
      <c r="O75" s="405">
        <v>5685</v>
      </c>
      <c r="P75" s="405">
        <v>3548</v>
      </c>
      <c r="Q75" s="405">
        <v>9233</v>
      </c>
      <c r="R75" s="405">
        <v>493</v>
      </c>
      <c r="S75" s="405">
        <v>322</v>
      </c>
      <c r="T75" s="405">
        <v>815</v>
      </c>
      <c r="U75" s="405"/>
      <c r="V75" s="405"/>
      <c r="W75" s="405"/>
      <c r="X75" s="406">
        <v>9445</v>
      </c>
      <c r="Y75" s="406">
        <v>4968</v>
      </c>
      <c r="Z75" s="406">
        <v>14413</v>
      </c>
      <c r="AA75" s="27"/>
      <c r="AB75" s="27"/>
    </row>
    <row r="76" spans="2:28" hidden="1" outlineLevel="1" x14ac:dyDescent="0.25">
      <c r="B76" s="404">
        <v>40848</v>
      </c>
      <c r="C76" s="405"/>
      <c r="D76" s="405"/>
      <c r="E76" s="405"/>
      <c r="F76" s="405"/>
      <c r="G76" s="405"/>
      <c r="H76" s="405"/>
      <c r="I76" s="405">
        <v>2732</v>
      </c>
      <c r="J76" s="405">
        <v>879</v>
      </c>
      <c r="K76" s="405">
        <v>3611</v>
      </c>
      <c r="L76" s="405">
        <v>1364</v>
      </c>
      <c r="M76" s="405">
        <v>424</v>
      </c>
      <c r="N76" s="405">
        <v>1788</v>
      </c>
      <c r="O76" s="405">
        <v>7880</v>
      </c>
      <c r="P76" s="405">
        <v>5861</v>
      </c>
      <c r="Q76" s="405">
        <v>13741</v>
      </c>
      <c r="R76" s="405">
        <v>567</v>
      </c>
      <c r="S76" s="405">
        <v>435</v>
      </c>
      <c r="T76" s="405">
        <v>1002</v>
      </c>
      <c r="U76" s="405"/>
      <c r="V76" s="405"/>
      <c r="W76" s="405"/>
      <c r="X76" s="406">
        <v>12543</v>
      </c>
      <c r="Y76" s="406">
        <v>7599</v>
      </c>
      <c r="Z76" s="406">
        <v>20142</v>
      </c>
      <c r="AA76" s="27"/>
      <c r="AB76" s="27"/>
    </row>
    <row r="77" spans="2:28" hidden="1" outlineLevel="1" x14ac:dyDescent="0.25">
      <c r="B77" s="404">
        <v>40878</v>
      </c>
      <c r="C77" s="405"/>
      <c r="D77" s="405"/>
      <c r="E77" s="405"/>
      <c r="F77" s="405"/>
      <c r="G77" s="405"/>
      <c r="H77" s="405"/>
      <c r="I77" s="405">
        <v>2088</v>
      </c>
      <c r="J77" s="405">
        <v>668</v>
      </c>
      <c r="K77" s="405">
        <v>2756</v>
      </c>
      <c r="L77" s="405">
        <v>1028</v>
      </c>
      <c r="M77" s="405">
        <v>382</v>
      </c>
      <c r="N77" s="405">
        <v>1410</v>
      </c>
      <c r="O77" s="405">
        <v>6398</v>
      </c>
      <c r="P77" s="405">
        <v>4787</v>
      </c>
      <c r="Q77" s="405">
        <v>11185</v>
      </c>
      <c r="R77" s="405">
        <v>418</v>
      </c>
      <c r="S77" s="405">
        <v>329</v>
      </c>
      <c r="T77" s="405">
        <v>747</v>
      </c>
      <c r="U77" s="405"/>
      <c r="V77" s="405"/>
      <c r="W77" s="405"/>
      <c r="X77" s="406">
        <v>9932</v>
      </c>
      <c r="Y77" s="406">
        <v>6166</v>
      </c>
      <c r="Z77" s="406">
        <v>16098</v>
      </c>
      <c r="AA77" s="27"/>
      <c r="AB77" s="27"/>
    </row>
    <row r="78" spans="2:28" collapsed="1" x14ac:dyDescent="0.25">
      <c r="B78" s="407" t="s">
        <v>752</v>
      </c>
      <c r="C78" s="408" t="s">
        <v>916</v>
      </c>
      <c r="D78" s="408" t="s">
        <v>916</v>
      </c>
      <c r="E78" s="408" t="s">
        <v>916</v>
      </c>
      <c r="F78" s="408" t="s">
        <v>916</v>
      </c>
      <c r="G78" s="408" t="s">
        <v>916</v>
      </c>
      <c r="H78" s="408" t="s">
        <v>916</v>
      </c>
      <c r="I78" s="408">
        <v>2357</v>
      </c>
      <c r="J78" s="408">
        <v>761</v>
      </c>
      <c r="K78" s="408">
        <v>3118</v>
      </c>
      <c r="L78" s="408">
        <v>1290</v>
      </c>
      <c r="M78" s="408">
        <v>455</v>
      </c>
      <c r="N78" s="408">
        <v>1745</v>
      </c>
      <c r="O78" s="408">
        <v>6132</v>
      </c>
      <c r="P78" s="408">
        <v>4374</v>
      </c>
      <c r="Q78" s="408">
        <v>10506</v>
      </c>
      <c r="R78" s="408">
        <v>502</v>
      </c>
      <c r="S78" s="408">
        <v>362</v>
      </c>
      <c r="T78" s="408">
        <v>864</v>
      </c>
      <c r="U78" s="408" t="s">
        <v>916</v>
      </c>
      <c r="V78" s="408" t="s">
        <v>916</v>
      </c>
      <c r="W78" s="408" t="s">
        <v>916</v>
      </c>
      <c r="X78" s="408">
        <v>10281</v>
      </c>
      <c r="Y78" s="408">
        <v>5951</v>
      </c>
      <c r="Z78" s="408">
        <v>16233</v>
      </c>
      <c r="AA78" s="27"/>
      <c r="AB78" s="27"/>
    </row>
    <row r="79" spans="2:28" hidden="1" outlineLevel="1" x14ac:dyDescent="0.25">
      <c r="B79" s="404">
        <v>40909</v>
      </c>
      <c r="C79" s="405"/>
      <c r="D79" s="405"/>
      <c r="E79" s="405"/>
      <c r="F79" s="405"/>
      <c r="G79" s="405"/>
      <c r="H79" s="405"/>
      <c r="I79" s="405">
        <v>2282</v>
      </c>
      <c r="J79" s="405">
        <v>761</v>
      </c>
      <c r="K79" s="405">
        <v>3043</v>
      </c>
      <c r="L79" s="405">
        <v>1110</v>
      </c>
      <c r="M79" s="405">
        <v>415</v>
      </c>
      <c r="N79" s="405">
        <v>1525</v>
      </c>
      <c r="O79" s="405">
        <v>6735</v>
      </c>
      <c r="P79" s="405">
        <v>4846</v>
      </c>
      <c r="Q79" s="405">
        <v>11581</v>
      </c>
      <c r="R79" s="405">
        <v>466</v>
      </c>
      <c r="S79" s="405">
        <v>324</v>
      </c>
      <c r="T79" s="405">
        <v>790</v>
      </c>
      <c r="U79" s="405"/>
      <c r="V79" s="405"/>
      <c r="W79" s="405"/>
      <c r="X79" s="406">
        <v>10593</v>
      </c>
      <c r="Y79" s="406">
        <v>6346</v>
      </c>
      <c r="Z79" s="406">
        <v>16939</v>
      </c>
      <c r="AA79" s="27"/>
      <c r="AB79" s="27"/>
    </row>
    <row r="80" spans="2:28" hidden="1" outlineLevel="1" x14ac:dyDescent="0.25">
      <c r="B80" s="404">
        <v>40940</v>
      </c>
      <c r="C80" s="405"/>
      <c r="D80" s="405"/>
      <c r="E80" s="405"/>
      <c r="F80" s="405"/>
      <c r="G80" s="405"/>
      <c r="H80" s="405"/>
      <c r="I80" s="405">
        <v>1864</v>
      </c>
      <c r="J80" s="405">
        <v>622</v>
      </c>
      <c r="K80" s="405">
        <v>2486</v>
      </c>
      <c r="L80" s="405">
        <v>955</v>
      </c>
      <c r="M80" s="405">
        <v>373</v>
      </c>
      <c r="N80" s="405">
        <v>1328</v>
      </c>
      <c r="O80" s="405">
        <v>5593</v>
      </c>
      <c r="P80" s="405">
        <v>3634</v>
      </c>
      <c r="Q80" s="405">
        <v>9227</v>
      </c>
      <c r="R80" s="405">
        <v>451</v>
      </c>
      <c r="S80" s="405">
        <v>334</v>
      </c>
      <c r="T80" s="405">
        <v>785</v>
      </c>
      <c r="U80" s="405"/>
      <c r="V80" s="405"/>
      <c r="W80" s="405"/>
      <c r="X80" s="406">
        <v>8863</v>
      </c>
      <c r="Y80" s="406">
        <v>4963</v>
      </c>
      <c r="Z80" s="406">
        <v>13826</v>
      </c>
      <c r="AA80" s="27"/>
      <c r="AB80" s="27"/>
    </row>
    <row r="81" spans="2:28" hidden="1" outlineLevel="1" x14ac:dyDescent="0.25">
      <c r="B81" s="404">
        <v>40969</v>
      </c>
      <c r="C81" s="405"/>
      <c r="D81" s="405"/>
      <c r="E81" s="405"/>
      <c r="F81" s="405"/>
      <c r="G81" s="405"/>
      <c r="H81" s="405"/>
      <c r="I81" s="405">
        <v>2133</v>
      </c>
      <c r="J81" s="405">
        <v>679</v>
      </c>
      <c r="K81" s="405">
        <v>2812</v>
      </c>
      <c r="L81" s="405">
        <v>1190</v>
      </c>
      <c r="M81" s="405">
        <v>405</v>
      </c>
      <c r="N81" s="405">
        <v>1595</v>
      </c>
      <c r="O81" s="405">
        <v>5915</v>
      </c>
      <c r="P81" s="405">
        <v>3962</v>
      </c>
      <c r="Q81" s="405">
        <v>9877</v>
      </c>
      <c r="R81" s="405">
        <v>451</v>
      </c>
      <c r="S81" s="405">
        <v>341</v>
      </c>
      <c r="T81" s="405">
        <v>792</v>
      </c>
      <c r="U81" s="405"/>
      <c r="V81" s="405"/>
      <c r="W81" s="405"/>
      <c r="X81" s="406">
        <v>9689</v>
      </c>
      <c r="Y81" s="406">
        <v>5387</v>
      </c>
      <c r="Z81" s="406">
        <v>15076</v>
      </c>
      <c r="AA81" s="27"/>
      <c r="AB81" s="27"/>
    </row>
    <row r="82" spans="2:28" hidden="1" outlineLevel="1" x14ac:dyDescent="0.25">
      <c r="B82" s="404">
        <v>41000</v>
      </c>
      <c r="C82" s="405"/>
      <c r="D82" s="405"/>
      <c r="E82" s="405"/>
      <c r="F82" s="405"/>
      <c r="G82" s="405"/>
      <c r="H82" s="405"/>
      <c r="I82" s="405">
        <v>1752</v>
      </c>
      <c r="J82" s="405">
        <v>620</v>
      </c>
      <c r="K82" s="405">
        <v>2372</v>
      </c>
      <c r="L82" s="405">
        <v>1136</v>
      </c>
      <c r="M82" s="405">
        <v>406</v>
      </c>
      <c r="N82" s="405">
        <v>1542</v>
      </c>
      <c r="O82" s="405">
        <v>4830</v>
      </c>
      <c r="P82" s="405">
        <v>3291</v>
      </c>
      <c r="Q82" s="405">
        <v>8121</v>
      </c>
      <c r="R82" s="405">
        <v>374</v>
      </c>
      <c r="S82" s="405">
        <v>284</v>
      </c>
      <c r="T82" s="405">
        <v>658</v>
      </c>
      <c r="U82" s="405"/>
      <c r="V82" s="405"/>
      <c r="W82" s="405"/>
      <c r="X82" s="406">
        <v>8092</v>
      </c>
      <c r="Y82" s="406">
        <v>4601</v>
      </c>
      <c r="Z82" s="406">
        <v>12693</v>
      </c>
      <c r="AA82" s="27"/>
      <c r="AB82" s="27"/>
    </row>
    <row r="83" spans="2:28" hidden="1" outlineLevel="1" x14ac:dyDescent="0.25">
      <c r="B83" s="404">
        <v>41030</v>
      </c>
      <c r="C83" s="405"/>
      <c r="D83" s="405"/>
      <c r="E83" s="405"/>
      <c r="F83" s="405"/>
      <c r="G83" s="405"/>
      <c r="H83" s="405"/>
      <c r="I83" s="405">
        <v>2152</v>
      </c>
      <c r="J83" s="405">
        <v>691</v>
      </c>
      <c r="K83" s="405">
        <v>2843</v>
      </c>
      <c r="L83" s="405">
        <v>1386</v>
      </c>
      <c r="M83" s="405">
        <v>541</v>
      </c>
      <c r="N83" s="405">
        <v>1927</v>
      </c>
      <c r="O83" s="405">
        <v>5551</v>
      </c>
      <c r="P83" s="405">
        <v>3913</v>
      </c>
      <c r="Q83" s="405">
        <v>9464</v>
      </c>
      <c r="R83" s="405">
        <v>377</v>
      </c>
      <c r="S83" s="405">
        <v>292</v>
      </c>
      <c r="T83" s="405">
        <v>669</v>
      </c>
      <c r="U83" s="405"/>
      <c r="V83" s="405"/>
      <c r="W83" s="405"/>
      <c r="X83" s="406">
        <v>9466</v>
      </c>
      <c r="Y83" s="406">
        <v>5437</v>
      </c>
      <c r="Z83" s="406">
        <v>14903</v>
      </c>
      <c r="AA83" s="27"/>
      <c r="AB83" s="27"/>
    </row>
    <row r="84" spans="2:28" hidden="1" outlineLevel="1" x14ac:dyDescent="0.25">
      <c r="B84" s="404">
        <v>41061</v>
      </c>
      <c r="C84" s="405"/>
      <c r="D84" s="405"/>
      <c r="E84" s="405"/>
      <c r="F84" s="405"/>
      <c r="G84" s="405"/>
      <c r="H84" s="405"/>
      <c r="I84" s="405">
        <v>1944</v>
      </c>
      <c r="J84" s="405">
        <v>657</v>
      </c>
      <c r="K84" s="405">
        <v>2601</v>
      </c>
      <c r="L84" s="405">
        <v>1251</v>
      </c>
      <c r="M84" s="405">
        <v>527</v>
      </c>
      <c r="N84" s="405">
        <v>1778</v>
      </c>
      <c r="O84" s="405">
        <v>4998</v>
      </c>
      <c r="P84" s="405">
        <v>3812</v>
      </c>
      <c r="Q84" s="405">
        <v>8810</v>
      </c>
      <c r="R84" s="405">
        <v>336</v>
      </c>
      <c r="S84" s="405">
        <v>257</v>
      </c>
      <c r="T84" s="405">
        <v>593</v>
      </c>
      <c r="U84" s="405"/>
      <c r="V84" s="405"/>
      <c r="W84" s="405"/>
      <c r="X84" s="406">
        <v>8529</v>
      </c>
      <c r="Y84" s="406">
        <v>5253</v>
      </c>
      <c r="Z84" s="406">
        <v>13782</v>
      </c>
      <c r="AA84" s="27"/>
      <c r="AB84" s="27"/>
    </row>
    <row r="85" spans="2:28" hidden="1" outlineLevel="1" x14ac:dyDescent="0.25">
      <c r="B85" s="404">
        <v>41091</v>
      </c>
      <c r="C85" s="405"/>
      <c r="D85" s="405"/>
      <c r="E85" s="405"/>
      <c r="F85" s="405"/>
      <c r="G85" s="405"/>
      <c r="H85" s="405"/>
      <c r="I85" s="405">
        <v>2242</v>
      </c>
      <c r="J85" s="405">
        <v>691</v>
      </c>
      <c r="K85" s="405">
        <v>2933</v>
      </c>
      <c r="L85" s="405">
        <v>1199</v>
      </c>
      <c r="M85" s="405">
        <v>500</v>
      </c>
      <c r="N85" s="405">
        <v>1699</v>
      </c>
      <c r="O85" s="405">
        <v>5365</v>
      </c>
      <c r="P85" s="405">
        <v>4078</v>
      </c>
      <c r="Q85" s="405">
        <v>9443</v>
      </c>
      <c r="R85" s="405">
        <v>445</v>
      </c>
      <c r="S85" s="405">
        <v>280</v>
      </c>
      <c r="T85" s="405">
        <v>725</v>
      </c>
      <c r="U85" s="405"/>
      <c r="V85" s="405"/>
      <c r="W85" s="405"/>
      <c r="X85" s="406">
        <v>9251</v>
      </c>
      <c r="Y85" s="406">
        <v>5549</v>
      </c>
      <c r="Z85" s="406">
        <v>14800</v>
      </c>
      <c r="AA85" s="27"/>
      <c r="AB85" s="27"/>
    </row>
    <row r="86" spans="2:28" hidden="1" outlineLevel="1" x14ac:dyDescent="0.25">
      <c r="B86" s="404">
        <v>41122</v>
      </c>
      <c r="C86" s="405"/>
      <c r="D86" s="405"/>
      <c r="E86" s="405"/>
      <c r="F86" s="405"/>
      <c r="G86" s="405"/>
      <c r="H86" s="405"/>
      <c r="I86" s="405">
        <v>2452</v>
      </c>
      <c r="J86" s="405">
        <v>767</v>
      </c>
      <c r="K86" s="405">
        <v>3219</v>
      </c>
      <c r="L86" s="405">
        <v>1428</v>
      </c>
      <c r="M86" s="405">
        <v>539</v>
      </c>
      <c r="N86" s="405">
        <v>1967</v>
      </c>
      <c r="O86" s="405">
        <v>9471</v>
      </c>
      <c r="P86" s="405">
        <v>7749</v>
      </c>
      <c r="Q86" s="405">
        <v>17220</v>
      </c>
      <c r="R86" s="405">
        <v>438</v>
      </c>
      <c r="S86" s="405">
        <v>317</v>
      </c>
      <c r="T86" s="405">
        <v>755</v>
      </c>
      <c r="U86" s="405"/>
      <c r="V86" s="405"/>
      <c r="W86" s="405"/>
      <c r="X86" s="406">
        <v>13789</v>
      </c>
      <c r="Y86" s="406">
        <v>9372</v>
      </c>
      <c r="Z86" s="406">
        <v>23161</v>
      </c>
      <c r="AA86" s="27"/>
      <c r="AB86" s="27"/>
    </row>
    <row r="87" spans="2:28" hidden="1" outlineLevel="1" x14ac:dyDescent="0.25">
      <c r="B87" s="404">
        <v>41153</v>
      </c>
      <c r="C87" s="405"/>
      <c r="D87" s="405"/>
      <c r="E87" s="405"/>
      <c r="F87" s="405"/>
      <c r="G87" s="405"/>
      <c r="H87" s="405"/>
      <c r="I87" s="405">
        <v>2026</v>
      </c>
      <c r="J87" s="405">
        <v>642</v>
      </c>
      <c r="K87" s="405">
        <v>2668</v>
      </c>
      <c r="L87" s="405">
        <v>962</v>
      </c>
      <c r="M87" s="405">
        <v>351</v>
      </c>
      <c r="N87" s="405">
        <v>1313</v>
      </c>
      <c r="O87" s="405">
        <v>11015</v>
      </c>
      <c r="P87" s="405">
        <v>8090</v>
      </c>
      <c r="Q87" s="405">
        <v>19105</v>
      </c>
      <c r="R87" s="405">
        <v>306</v>
      </c>
      <c r="S87" s="405">
        <v>235</v>
      </c>
      <c r="T87" s="405">
        <v>541</v>
      </c>
      <c r="U87" s="405"/>
      <c r="V87" s="405"/>
      <c r="W87" s="405"/>
      <c r="X87" s="406">
        <v>14309</v>
      </c>
      <c r="Y87" s="406">
        <v>9318</v>
      </c>
      <c r="Z87" s="406">
        <v>23627</v>
      </c>
      <c r="AA87" s="27"/>
      <c r="AB87" s="27"/>
    </row>
    <row r="88" spans="2:28" hidden="1" outlineLevel="1" x14ac:dyDescent="0.25">
      <c r="B88" s="404">
        <v>41183</v>
      </c>
      <c r="C88" s="405"/>
      <c r="D88" s="405"/>
      <c r="E88" s="405"/>
      <c r="F88" s="405"/>
      <c r="G88" s="405"/>
      <c r="H88" s="405"/>
      <c r="I88" s="405">
        <v>2840</v>
      </c>
      <c r="J88" s="405">
        <v>832</v>
      </c>
      <c r="K88" s="405">
        <v>3672</v>
      </c>
      <c r="L88" s="405">
        <v>1413</v>
      </c>
      <c r="M88" s="405">
        <v>510</v>
      </c>
      <c r="N88" s="405">
        <v>1923</v>
      </c>
      <c r="O88" s="405">
        <v>6678</v>
      </c>
      <c r="P88" s="405">
        <v>5025</v>
      </c>
      <c r="Q88" s="405">
        <v>11703</v>
      </c>
      <c r="R88" s="405">
        <v>426</v>
      </c>
      <c r="S88" s="405">
        <v>322</v>
      </c>
      <c r="T88" s="405">
        <v>748</v>
      </c>
      <c r="U88" s="405"/>
      <c r="V88" s="405"/>
      <c r="W88" s="405"/>
      <c r="X88" s="406">
        <v>11357</v>
      </c>
      <c r="Y88" s="406">
        <v>6689</v>
      </c>
      <c r="Z88" s="406">
        <v>18046</v>
      </c>
      <c r="AA88" s="27"/>
      <c r="AB88" s="27"/>
    </row>
    <row r="89" spans="2:28" hidden="1" outlineLevel="1" x14ac:dyDescent="0.25">
      <c r="B89" s="404">
        <v>41214</v>
      </c>
      <c r="C89" s="405"/>
      <c r="D89" s="405"/>
      <c r="E89" s="405"/>
      <c r="F89" s="405"/>
      <c r="G89" s="405"/>
      <c r="H89" s="405"/>
      <c r="I89" s="405">
        <v>2228</v>
      </c>
      <c r="J89" s="405">
        <v>701</v>
      </c>
      <c r="K89" s="405">
        <v>2929</v>
      </c>
      <c r="L89" s="405">
        <v>1160</v>
      </c>
      <c r="M89" s="405">
        <v>413</v>
      </c>
      <c r="N89" s="405">
        <v>1573</v>
      </c>
      <c r="O89" s="405">
        <v>4228</v>
      </c>
      <c r="P89" s="405">
        <v>4228</v>
      </c>
      <c r="Q89" s="405">
        <v>8456</v>
      </c>
      <c r="R89" s="405">
        <v>355</v>
      </c>
      <c r="S89" s="405">
        <v>262</v>
      </c>
      <c r="T89" s="405">
        <v>617</v>
      </c>
      <c r="U89" s="405"/>
      <c r="V89" s="405"/>
      <c r="W89" s="405"/>
      <c r="X89" s="406">
        <v>7971</v>
      </c>
      <c r="Y89" s="406">
        <v>5604</v>
      </c>
      <c r="Z89" s="406">
        <v>13575</v>
      </c>
      <c r="AA89" s="27"/>
      <c r="AB89" s="27"/>
    </row>
    <row r="90" spans="2:28" hidden="1" outlineLevel="1" x14ac:dyDescent="0.25">
      <c r="B90" s="404">
        <v>41244</v>
      </c>
      <c r="C90" s="405"/>
      <c r="D90" s="405"/>
      <c r="E90" s="405"/>
      <c r="F90" s="405"/>
      <c r="G90" s="405"/>
      <c r="H90" s="405"/>
      <c r="I90" s="405">
        <v>1945</v>
      </c>
      <c r="J90" s="405">
        <v>588</v>
      </c>
      <c r="K90" s="405">
        <v>2533</v>
      </c>
      <c r="L90" s="405">
        <v>997</v>
      </c>
      <c r="M90" s="405">
        <v>427</v>
      </c>
      <c r="N90" s="405">
        <v>1424</v>
      </c>
      <c r="O90" s="405">
        <v>3607</v>
      </c>
      <c r="P90" s="405">
        <v>3725</v>
      </c>
      <c r="Q90" s="405">
        <v>7332</v>
      </c>
      <c r="R90" s="405">
        <v>313</v>
      </c>
      <c r="S90" s="405">
        <v>240</v>
      </c>
      <c r="T90" s="405">
        <v>553</v>
      </c>
      <c r="U90" s="405"/>
      <c r="V90" s="405"/>
      <c r="W90" s="405"/>
      <c r="X90" s="406">
        <v>6862</v>
      </c>
      <c r="Y90" s="406">
        <v>4980</v>
      </c>
      <c r="Z90" s="406">
        <v>11842</v>
      </c>
      <c r="AA90" s="27"/>
      <c r="AB90" s="27"/>
    </row>
    <row r="91" spans="2:28" collapsed="1" x14ac:dyDescent="0.25">
      <c r="B91" s="407" t="s">
        <v>753</v>
      </c>
      <c r="C91" s="408" t="s">
        <v>916</v>
      </c>
      <c r="D91" s="408" t="s">
        <v>916</v>
      </c>
      <c r="E91" s="408" t="s">
        <v>916</v>
      </c>
      <c r="F91" s="408" t="s">
        <v>916</v>
      </c>
      <c r="G91" s="408" t="s">
        <v>916</v>
      </c>
      <c r="H91" s="408" t="s">
        <v>916</v>
      </c>
      <c r="I91" s="408">
        <v>2155</v>
      </c>
      <c r="J91" s="408">
        <v>688</v>
      </c>
      <c r="K91" s="408">
        <v>2843</v>
      </c>
      <c r="L91" s="408">
        <v>1182</v>
      </c>
      <c r="M91" s="408">
        <v>451</v>
      </c>
      <c r="N91" s="408">
        <v>1633</v>
      </c>
      <c r="O91" s="408">
        <v>6166</v>
      </c>
      <c r="P91" s="408">
        <v>4696</v>
      </c>
      <c r="Q91" s="408">
        <v>10862</v>
      </c>
      <c r="R91" s="408">
        <v>395</v>
      </c>
      <c r="S91" s="408">
        <v>291</v>
      </c>
      <c r="T91" s="408">
        <v>686</v>
      </c>
      <c r="U91" s="408" t="s">
        <v>916</v>
      </c>
      <c r="V91" s="408" t="s">
        <v>916</v>
      </c>
      <c r="W91" s="408" t="s">
        <v>916</v>
      </c>
      <c r="X91" s="408">
        <v>9898</v>
      </c>
      <c r="Y91" s="408">
        <v>6125</v>
      </c>
      <c r="Z91" s="408">
        <v>16023</v>
      </c>
      <c r="AA91" s="27"/>
      <c r="AB91" s="27"/>
    </row>
    <row r="92" spans="2:28" hidden="1" outlineLevel="1" x14ac:dyDescent="0.25">
      <c r="B92" s="404">
        <v>41275</v>
      </c>
      <c r="C92" s="405"/>
      <c r="D92" s="405"/>
      <c r="E92" s="405"/>
      <c r="F92" s="405"/>
      <c r="G92" s="405"/>
      <c r="H92" s="405"/>
      <c r="I92" s="405">
        <v>2271</v>
      </c>
      <c r="J92" s="405">
        <v>740</v>
      </c>
      <c r="K92" s="405">
        <v>3011</v>
      </c>
      <c r="L92" s="405">
        <v>1083</v>
      </c>
      <c r="M92" s="405">
        <v>451</v>
      </c>
      <c r="N92" s="405">
        <v>1534</v>
      </c>
      <c r="O92" s="405">
        <v>4166</v>
      </c>
      <c r="P92" s="405">
        <v>3405</v>
      </c>
      <c r="Q92" s="405">
        <v>7571</v>
      </c>
      <c r="R92" s="405">
        <v>342</v>
      </c>
      <c r="S92" s="405">
        <v>268</v>
      </c>
      <c r="T92" s="405">
        <v>610</v>
      </c>
      <c r="U92" s="405"/>
      <c r="V92" s="405"/>
      <c r="W92" s="405"/>
      <c r="X92" s="406">
        <v>7862</v>
      </c>
      <c r="Y92" s="406">
        <v>4864</v>
      </c>
      <c r="Z92" s="406">
        <v>12726</v>
      </c>
      <c r="AA92" s="27"/>
      <c r="AB92" s="27"/>
    </row>
    <row r="93" spans="2:28" hidden="1" outlineLevel="1" x14ac:dyDescent="0.25">
      <c r="B93" s="404">
        <v>41306</v>
      </c>
      <c r="C93" s="405"/>
      <c r="D93" s="405"/>
      <c r="E93" s="405"/>
      <c r="F93" s="405"/>
      <c r="G93" s="405"/>
      <c r="H93" s="405"/>
      <c r="I93" s="405">
        <v>1650</v>
      </c>
      <c r="J93" s="405">
        <v>582</v>
      </c>
      <c r="K93" s="405">
        <v>2232</v>
      </c>
      <c r="L93" s="405">
        <v>961</v>
      </c>
      <c r="M93" s="405">
        <v>364</v>
      </c>
      <c r="N93" s="405">
        <v>1325</v>
      </c>
      <c r="O93" s="405">
        <v>2969</v>
      </c>
      <c r="P93" s="405">
        <v>2588</v>
      </c>
      <c r="Q93" s="405">
        <v>5557</v>
      </c>
      <c r="R93" s="405">
        <v>258</v>
      </c>
      <c r="S93" s="405">
        <v>226</v>
      </c>
      <c r="T93" s="405">
        <v>484</v>
      </c>
      <c r="U93" s="405"/>
      <c r="V93" s="405"/>
      <c r="W93" s="405"/>
      <c r="X93" s="406">
        <v>5838</v>
      </c>
      <c r="Y93" s="406">
        <v>3760</v>
      </c>
      <c r="Z93" s="406">
        <v>9598</v>
      </c>
      <c r="AA93" s="27"/>
      <c r="AB93" s="27"/>
    </row>
    <row r="94" spans="2:28" hidden="1" outlineLevel="1" x14ac:dyDescent="0.25">
      <c r="B94" s="404">
        <v>41334</v>
      </c>
      <c r="C94" s="405"/>
      <c r="D94" s="405"/>
      <c r="E94" s="405"/>
      <c r="F94" s="405"/>
      <c r="G94" s="405"/>
      <c r="H94" s="405"/>
      <c r="I94" s="405">
        <v>1844</v>
      </c>
      <c r="J94" s="405">
        <v>551</v>
      </c>
      <c r="K94" s="405">
        <v>2395</v>
      </c>
      <c r="L94" s="405">
        <v>1153</v>
      </c>
      <c r="M94" s="405">
        <v>430</v>
      </c>
      <c r="N94" s="405">
        <v>1583</v>
      </c>
      <c r="O94" s="405">
        <v>3051</v>
      </c>
      <c r="P94" s="405">
        <v>2504</v>
      </c>
      <c r="Q94" s="405">
        <v>5555</v>
      </c>
      <c r="R94" s="405">
        <v>345</v>
      </c>
      <c r="S94" s="405">
        <v>261</v>
      </c>
      <c r="T94" s="405">
        <v>606</v>
      </c>
      <c r="U94" s="405"/>
      <c r="V94" s="405"/>
      <c r="W94" s="405"/>
      <c r="X94" s="406">
        <v>6393</v>
      </c>
      <c r="Y94" s="406">
        <v>3746</v>
      </c>
      <c r="Z94" s="406">
        <v>10139</v>
      </c>
      <c r="AA94" s="27"/>
      <c r="AB94" s="27"/>
    </row>
    <row r="95" spans="2:28" hidden="1" outlineLevel="1" x14ac:dyDescent="0.25">
      <c r="B95" s="404">
        <v>41365</v>
      </c>
      <c r="C95" s="405"/>
      <c r="D95" s="405"/>
      <c r="E95" s="405"/>
      <c r="F95" s="405"/>
      <c r="G95" s="405"/>
      <c r="H95" s="405"/>
      <c r="I95" s="405">
        <v>1832</v>
      </c>
      <c r="J95" s="405">
        <v>605</v>
      </c>
      <c r="K95" s="405">
        <v>2437</v>
      </c>
      <c r="L95" s="405">
        <v>1262</v>
      </c>
      <c r="M95" s="405">
        <v>410</v>
      </c>
      <c r="N95" s="405">
        <v>1672</v>
      </c>
      <c r="O95" s="405">
        <v>2990</v>
      </c>
      <c r="P95" s="405">
        <v>2900</v>
      </c>
      <c r="Q95" s="405">
        <v>5890</v>
      </c>
      <c r="R95" s="405">
        <v>370</v>
      </c>
      <c r="S95" s="405">
        <v>254</v>
      </c>
      <c r="T95" s="405">
        <v>624</v>
      </c>
      <c r="U95" s="405"/>
      <c r="V95" s="405"/>
      <c r="W95" s="405"/>
      <c r="X95" s="406">
        <v>6454</v>
      </c>
      <c r="Y95" s="406">
        <v>4169</v>
      </c>
      <c r="Z95" s="406">
        <v>10623</v>
      </c>
      <c r="AA95" s="27"/>
      <c r="AB95" s="27"/>
    </row>
    <row r="96" spans="2:28" hidden="1" outlineLevel="1" x14ac:dyDescent="0.25">
      <c r="B96" s="404">
        <v>41395</v>
      </c>
      <c r="C96" s="405"/>
      <c r="D96" s="405"/>
      <c r="E96" s="405"/>
      <c r="F96" s="405"/>
      <c r="G96" s="405"/>
      <c r="H96" s="405"/>
      <c r="I96" s="405">
        <v>1695</v>
      </c>
      <c r="J96" s="405">
        <v>589</v>
      </c>
      <c r="K96" s="405">
        <v>2284</v>
      </c>
      <c r="L96" s="405">
        <v>1041</v>
      </c>
      <c r="M96" s="405">
        <v>376</v>
      </c>
      <c r="N96" s="405">
        <v>1417</v>
      </c>
      <c r="O96" s="405">
        <v>2793</v>
      </c>
      <c r="P96" s="405">
        <v>3316</v>
      </c>
      <c r="Q96" s="405">
        <v>6109</v>
      </c>
      <c r="R96" s="405">
        <v>338</v>
      </c>
      <c r="S96" s="405">
        <v>264</v>
      </c>
      <c r="T96" s="405">
        <v>602</v>
      </c>
      <c r="U96" s="405"/>
      <c r="V96" s="405"/>
      <c r="W96" s="405"/>
      <c r="X96" s="406">
        <v>5867</v>
      </c>
      <c r="Y96" s="406">
        <v>4545</v>
      </c>
      <c r="Z96" s="406">
        <v>10412</v>
      </c>
      <c r="AA96" s="27"/>
      <c r="AB96" s="27"/>
    </row>
    <row r="97" spans="2:28" hidden="1" outlineLevel="1" x14ac:dyDescent="0.25">
      <c r="B97" s="404">
        <v>41426</v>
      </c>
      <c r="C97" s="405"/>
      <c r="D97" s="405"/>
      <c r="E97" s="405"/>
      <c r="F97" s="405"/>
      <c r="G97" s="405"/>
      <c r="H97" s="405"/>
      <c r="I97" s="405">
        <v>1831</v>
      </c>
      <c r="J97" s="405">
        <v>574</v>
      </c>
      <c r="K97" s="405">
        <v>2405</v>
      </c>
      <c r="L97" s="405">
        <v>1073</v>
      </c>
      <c r="M97" s="405">
        <v>386</v>
      </c>
      <c r="N97" s="405">
        <v>1459</v>
      </c>
      <c r="O97" s="405">
        <v>3093</v>
      </c>
      <c r="P97" s="405">
        <v>3102</v>
      </c>
      <c r="Q97" s="405">
        <v>6195</v>
      </c>
      <c r="R97" s="405">
        <v>354</v>
      </c>
      <c r="S97" s="405">
        <v>265</v>
      </c>
      <c r="T97" s="405">
        <v>619</v>
      </c>
      <c r="U97" s="405"/>
      <c r="V97" s="405"/>
      <c r="W97" s="405"/>
      <c r="X97" s="406">
        <v>6351</v>
      </c>
      <c r="Y97" s="406">
        <v>4327</v>
      </c>
      <c r="Z97" s="406">
        <v>10678</v>
      </c>
      <c r="AA97" s="27"/>
      <c r="AB97" s="27"/>
    </row>
    <row r="98" spans="2:28" hidden="1" outlineLevel="1" x14ac:dyDescent="0.25">
      <c r="B98" s="404">
        <v>41456</v>
      </c>
      <c r="C98" s="405"/>
      <c r="D98" s="405"/>
      <c r="E98" s="405"/>
      <c r="F98" s="405"/>
      <c r="G98" s="405"/>
      <c r="H98" s="405"/>
      <c r="I98" s="405">
        <v>2063</v>
      </c>
      <c r="J98" s="405">
        <v>631</v>
      </c>
      <c r="K98" s="405">
        <v>2694</v>
      </c>
      <c r="L98" s="405">
        <v>1047</v>
      </c>
      <c r="M98" s="405">
        <v>383</v>
      </c>
      <c r="N98" s="405">
        <v>1430</v>
      </c>
      <c r="O98" s="405">
        <v>2950</v>
      </c>
      <c r="P98" s="405">
        <v>2813</v>
      </c>
      <c r="Q98" s="405">
        <v>5763</v>
      </c>
      <c r="R98" s="405">
        <v>344</v>
      </c>
      <c r="S98" s="405">
        <v>269</v>
      </c>
      <c r="T98" s="405">
        <v>613</v>
      </c>
      <c r="U98" s="405"/>
      <c r="V98" s="405"/>
      <c r="W98" s="405"/>
      <c r="X98" s="406">
        <v>6404</v>
      </c>
      <c r="Y98" s="406">
        <v>4096</v>
      </c>
      <c r="Z98" s="406">
        <v>10500</v>
      </c>
      <c r="AA98" s="27"/>
      <c r="AB98" s="27"/>
    </row>
    <row r="99" spans="2:28" hidden="1" outlineLevel="1" x14ac:dyDescent="0.25">
      <c r="B99" s="404">
        <v>41487</v>
      </c>
      <c r="C99" s="405"/>
      <c r="D99" s="405"/>
      <c r="E99" s="405"/>
      <c r="F99" s="405"/>
      <c r="G99" s="405"/>
      <c r="H99" s="405"/>
      <c r="I99" s="405">
        <v>2226</v>
      </c>
      <c r="J99" s="405">
        <v>739</v>
      </c>
      <c r="K99" s="405">
        <v>2965</v>
      </c>
      <c r="L99" s="405">
        <v>1122</v>
      </c>
      <c r="M99" s="405">
        <v>361</v>
      </c>
      <c r="N99" s="405">
        <v>1483</v>
      </c>
      <c r="O99" s="405">
        <v>3812</v>
      </c>
      <c r="P99" s="405">
        <v>3238</v>
      </c>
      <c r="Q99" s="405">
        <v>7050</v>
      </c>
      <c r="R99" s="405">
        <v>427</v>
      </c>
      <c r="S99" s="405">
        <v>317</v>
      </c>
      <c r="T99" s="405">
        <v>744</v>
      </c>
      <c r="U99" s="405"/>
      <c r="V99" s="405"/>
      <c r="W99" s="405"/>
      <c r="X99" s="406">
        <v>7587</v>
      </c>
      <c r="Y99" s="406">
        <v>4655</v>
      </c>
      <c r="Z99" s="406">
        <v>12242</v>
      </c>
      <c r="AA99" s="27"/>
      <c r="AB99" s="27"/>
    </row>
    <row r="100" spans="2:28" hidden="1" outlineLevel="1" x14ac:dyDescent="0.25">
      <c r="B100" s="404">
        <v>41518</v>
      </c>
      <c r="C100" s="405"/>
      <c r="D100" s="405"/>
      <c r="E100" s="405"/>
      <c r="F100" s="405"/>
      <c r="G100" s="405"/>
      <c r="H100" s="405"/>
      <c r="I100" s="405">
        <v>2253</v>
      </c>
      <c r="J100" s="405">
        <v>684</v>
      </c>
      <c r="K100" s="405">
        <v>2937</v>
      </c>
      <c r="L100" s="405">
        <v>889</v>
      </c>
      <c r="M100" s="405">
        <v>304</v>
      </c>
      <c r="N100" s="405">
        <v>1193</v>
      </c>
      <c r="O100" s="405">
        <v>3370</v>
      </c>
      <c r="P100" s="405">
        <v>2971</v>
      </c>
      <c r="Q100" s="405">
        <v>6341</v>
      </c>
      <c r="R100" s="405">
        <v>308</v>
      </c>
      <c r="S100" s="405">
        <v>252</v>
      </c>
      <c r="T100" s="405">
        <v>560</v>
      </c>
      <c r="U100" s="405"/>
      <c r="V100" s="405"/>
      <c r="W100" s="405"/>
      <c r="X100" s="406">
        <v>6820</v>
      </c>
      <c r="Y100" s="406">
        <v>4211</v>
      </c>
      <c r="Z100" s="406">
        <v>11031</v>
      </c>
      <c r="AA100" s="27"/>
      <c r="AB100" s="27"/>
    </row>
    <row r="101" spans="2:28" hidden="1" outlineLevel="1" x14ac:dyDescent="0.25">
      <c r="B101" s="404">
        <v>41548</v>
      </c>
      <c r="C101" s="405"/>
      <c r="D101" s="405"/>
      <c r="E101" s="405"/>
      <c r="F101" s="405"/>
      <c r="G101" s="405"/>
      <c r="H101" s="405"/>
      <c r="I101" s="405">
        <v>2620</v>
      </c>
      <c r="J101" s="405">
        <v>724</v>
      </c>
      <c r="K101" s="405">
        <v>3344</v>
      </c>
      <c r="L101" s="405">
        <v>1042</v>
      </c>
      <c r="M101" s="405">
        <v>399</v>
      </c>
      <c r="N101" s="405">
        <v>1441</v>
      </c>
      <c r="O101" s="405">
        <v>4408</v>
      </c>
      <c r="P101" s="405">
        <v>3709</v>
      </c>
      <c r="Q101" s="405">
        <v>8117</v>
      </c>
      <c r="R101" s="405">
        <v>415</v>
      </c>
      <c r="S101" s="405">
        <v>294</v>
      </c>
      <c r="T101" s="405">
        <v>709</v>
      </c>
      <c r="U101" s="405"/>
      <c r="V101" s="405"/>
      <c r="W101" s="405"/>
      <c r="X101" s="406">
        <v>8485</v>
      </c>
      <c r="Y101" s="406">
        <v>5126</v>
      </c>
      <c r="Z101" s="406">
        <v>13611</v>
      </c>
      <c r="AA101" s="27"/>
      <c r="AB101" s="27"/>
    </row>
    <row r="102" spans="2:28" hidden="1" outlineLevel="1" x14ac:dyDescent="0.25">
      <c r="B102" s="404">
        <v>41579</v>
      </c>
      <c r="C102" s="405"/>
      <c r="D102" s="405"/>
      <c r="E102" s="405"/>
      <c r="F102" s="405"/>
      <c r="G102" s="405"/>
      <c r="H102" s="405"/>
      <c r="I102" s="405">
        <v>1729</v>
      </c>
      <c r="J102" s="405">
        <v>462</v>
      </c>
      <c r="K102" s="405">
        <v>2191</v>
      </c>
      <c r="L102" s="405">
        <v>613</v>
      </c>
      <c r="M102" s="405">
        <v>258</v>
      </c>
      <c r="N102" s="405">
        <v>871</v>
      </c>
      <c r="O102" s="405">
        <v>2742</v>
      </c>
      <c r="P102" s="405">
        <v>2398</v>
      </c>
      <c r="Q102" s="405">
        <v>5140</v>
      </c>
      <c r="R102" s="405">
        <v>280</v>
      </c>
      <c r="S102" s="405">
        <v>206</v>
      </c>
      <c r="T102" s="405">
        <v>486</v>
      </c>
      <c r="U102" s="405"/>
      <c r="V102" s="405"/>
      <c r="W102" s="405"/>
      <c r="X102" s="406">
        <v>5364</v>
      </c>
      <c r="Y102" s="406">
        <v>3324</v>
      </c>
      <c r="Z102" s="406">
        <v>8688</v>
      </c>
      <c r="AA102" s="27"/>
      <c r="AB102" s="27"/>
    </row>
    <row r="103" spans="2:28" hidden="1" outlineLevel="1" x14ac:dyDescent="0.25">
      <c r="B103" s="404">
        <v>41609</v>
      </c>
      <c r="C103" s="405"/>
      <c r="D103" s="405"/>
      <c r="E103" s="405"/>
      <c r="F103" s="405"/>
      <c r="G103" s="405"/>
      <c r="H103" s="405"/>
      <c r="I103" s="405">
        <v>2976</v>
      </c>
      <c r="J103" s="405">
        <v>847</v>
      </c>
      <c r="K103" s="405">
        <v>3823</v>
      </c>
      <c r="L103" s="405">
        <v>1141</v>
      </c>
      <c r="M103" s="405">
        <v>483</v>
      </c>
      <c r="N103" s="405">
        <v>1624</v>
      </c>
      <c r="O103" s="405">
        <v>4145</v>
      </c>
      <c r="P103" s="405">
        <v>3556</v>
      </c>
      <c r="Q103" s="405">
        <v>7701</v>
      </c>
      <c r="R103" s="405">
        <v>359</v>
      </c>
      <c r="S103" s="405">
        <v>279</v>
      </c>
      <c r="T103" s="405">
        <v>638</v>
      </c>
      <c r="U103" s="405"/>
      <c r="V103" s="405"/>
      <c r="W103" s="405"/>
      <c r="X103" s="406">
        <v>8621</v>
      </c>
      <c r="Y103" s="406">
        <v>5165</v>
      </c>
      <c r="Z103" s="406">
        <v>13786</v>
      </c>
      <c r="AA103" s="27"/>
      <c r="AB103" s="27"/>
    </row>
    <row r="104" spans="2:28" collapsed="1" x14ac:dyDescent="0.25">
      <c r="B104" s="407" t="s">
        <v>754</v>
      </c>
      <c r="C104" s="408" t="s">
        <v>916</v>
      </c>
      <c r="D104" s="408" t="s">
        <v>916</v>
      </c>
      <c r="E104" s="408" t="s">
        <v>916</v>
      </c>
      <c r="F104" s="408" t="s">
        <v>916</v>
      </c>
      <c r="G104" s="408" t="s">
        <v>916</v>
      </c>
      <c r="H104" s="408" t="s">
        <v>916</v>
      </c>
      <c r="I104" s="408">
        <v>2083</v>
      </c>
      <c r="J104" s="408">
        <v>644</v>
      </c>
      <c r="K104" s="408">
        <v>2727</v>
      </c>
      <c r="L104" s="408">
        <v>1036</v>
      </c>
      <c r="M104" s="408">
        <v>384</v>
      </c>
      <c r="N104" s="408">
        <v>1419</v>
      </c>
      <c r="O104" s="408">
        <v>3374</v>
      </c>
      <c r="P104" s="408">
        <v>3042</v>
      </c>
      <c r="Q104" s="408">
        <v>6416</v>
      </c>
      <c r="R104" s="408">
        <v>345</v>
      </c>
      <c r="S104" s="408">
        <v>263</v>
      </c>
      <c r="T104" s="408">
        <v>608</v>
      </c>
      <c r="U104" s="408" t="s">
        <v>916</v>
      </c>
      <c r="V104" s="408" t="s">
        <v>916</v>
      </c>
      <c r="W104" s="408" t="s">
        <v>916</v>
      </c>
      <c r="X104" s="408">
        <v>6837</v>
      </c>
      <c r="Y104" s="408">
        <v>4332</v>
      </c>
      <c r="Z104" s="408">
        <v>11170</v>
      </c>
      <c r="AA104" s="27"/>
      <c r="AB104" s="27"/>
    </row>
    <row r="105" spans="2:28" hidden="1" outlineLevel="1" x14ac:dyDescent="0.25">
      <c r="B105" s="404">
        <v>41640</v>
      </c>
      <c r="C105" s="405"/>
      <c r="D105" s="405"/>
      <c r="E105" s="405"/>
      <c r="F105" s="405"/>
      <c r="G105" s="405"/>
      <c r="H105" s="405"/>
      <c r="I105" s="405">
        <v>2580</v>
      </c>
      <c r="J105" s="405">
        <v>788</v>
      </c>
      <c r="K105" s="405">
        <v>3368</v>
      </c>
      <c r="L105" s="405">
        <v>1017</v>
      </c>
      <c r="M105" s="405">
        <v>364</v>
      </c>
      <c r="N105" s="405">
        <v>1381</v>
      </c>
      <c r="O105" s="405">
        <v>3802</v>
      </c>
      <c r="P105" s="405">
        <v>3343</v>
      </c>
      <c r="Q105" s="405">
        <v>7145</v>
      </c>
      <c r="R105" s="405">
        <v>376</v>
      </c>
      <c r="S105" s="405">
        <v>275</v>
      </c>
      <c r="T105" s="405">
        <v>651</v>
      </c>
      <c r="U105" s="405"/>
      <c r="V105" s="405"/>
      <c r="W105" s="405"/>
      <c r="X105" s="406">
        <v>7775</v>
      </c>
      <c r="Y105" s="406">
        <v>4770</v>
      </c>
      <c r="Z105" s="406">
        <v>12545</v>
      </c>
      <c r="AA105" s="27"/>
      <c r="AB105" s="27"/>
    </row>
    <row r="106" spans="2:28" hidden="1" outlineLevel="1" x14ac:dyDescent="0.25">
      <c r="B106" s="404">
        <v>41671</v>
      </c>
      <c r="C106" s="405"/>
      <c r="D106" s="405"/>
      <c r="E106" s="405"/>
      <c r="F106" s="405"/>
      <c r="G106" s="405"/>
      <c r="H106" s="405"/>
      <c r="I106" s="405">
        <v>2317</v>
      </c>
      <c r="J106" s="405">
        <v>679</v>
      </c>
      <c r="K106" s="405">
        <v>2996</v>
      </c>
      <c r="L106" s="405">
        <v>857</v>
      </c>
      <c r="M106" s="405">
        <v>332</v>
      </c>
      <c r="N106" s="405">
        <v>1189</v>
      </c>
      <c r="O106" s="405">
        <v>3154</v>
      </c>
      <c r="P106" s="405">
        <v>2831</v>
      </c>
      <c r="Q106" s="405">
        <v>5985</v>
      </c>
      <c r="R106" s="405">
        <v>270</v>
      </c>
      <c r="S106" s="405">
        <v>212</v>
      </c>
      <c r="T106" s="405">
        <v>482</v>
      </c>
      <c r="U106" s="405"/>
      <c r="V106" s="405"/>
      <c r="W106" s="405"/>
      <c r="X106" s="406">
        <v>6598</v>
      </c>
      <c r="Y106" s="406">
        <v>4054</v>
      </c>
      <c r="Z106" s="406">
        <v>10652</v>
      </c>
      <c r="AA106" s="27"/>
      <c r="AB106" s="27"/>
    </row>
    <row r="107" spans="2:28" hidden="1" outlineLevel="1" x14ac:dyDescent="0.25">
      <c r="B107" s="404">
        <v>41699</v>
      </c>
      <c r="C107" s="405"/>
      <c r="D107" s="405"/>
      <c r="E107" s="405"/>
      <c r="F107" s="405"/>
      <c r="G107" s="405"/>
      <c r="H107" s="405"/>
      <c r="I107" s="405">
        <v>2931</v>
      </c>
      <c r="J107" s="405">
        <v>812</v>
      </c>
      <c r="K107" s="405">
        <v>3743</v>
      </c>
      <c r="L107" s="405">
        <v>1146</v>
      </c>
      <c r="M107" s="405">
        <v>448</v>
      </c>
      <c r="N107" s="405">
        <v>1594</v>
      </c>
      <c r="O107" s="405">
        <v>3611</v>
      </c>
      <c r="P107" s="405">
        <v>3272</v>
      </c>
      <c r="Q107" s="405">
        <v>6883</v>
      </c>
      <c r="R107" s="405">
        <v>401</v>
      </c>
      <c r="S107" s="405">
        <v>251</v>
      </c>
      <c r="T107" s="405">
        <v>652</v>
      </c>
      <c r="U107" s="405"/>
      <c r="V107" s="405"/>
      <c r="W107" s="405"/>
      <c r="X107" s="406">
        <v>8089</v>
      </c>
      <c r="Y107" s="406">
        <v>4783</v>
      </c>
      <c r="Z107" s="406">
        <v>12872</v>
      </c>
      <c r="AA107" s="27"/>
      <c r="AB107" s="27"/>
    </row>
    <row r="108" spans="2:28" hidden="1" outlineLevel="1" x14ac:dyDescent="0.25">
      <c r="B108" s="404">
        <v>41730</v>
      </c>
      <c r="C108" s="405"/>
      <c r="D108" s="405"/>
      <c r="E108" s="405"/>
      <c r="F108" s="405"/>
      <c r="G108" s="405"/>
      <c r="H108" s="405"/>
      <c r="I108" s="405">
        <v>2505</v>
      </c>
      <c r="J108" s="405">
        <v>725</v>
      </c>
      <c r="K108" s="405">
        <v>3230</v>
      </c>
      <c r="L108" s="405">
        <v>1060</v>
      </c>
      <c r="M108" s="405">
        <v>385</v>
      </c>
      <c r="N108" s="405">
        <v>1445</v>
      </c>
      <c r="O108" s="405">
        <v>3350</v>
      </c>
      <c r="P108" s="405">
        <v>3131</v>
      </c>
      <c r="Q108" s="405">
        <v>6481</v>
      </c>
      <c r="R108" s="405">
        <v>374</v>
      </c>
      <c r="S108" s="405">
        <v>281</v>
      </c>
      <c r="T108" s="405">
        <v>655</v>
      </c>
      <c r="U108" s="405"/>
      <c r="V108" s="405"/>
      <c r="W108" s="405"/>
      <c r="X108" s="406">
        <v>7289</v>
      </c>
      <c r="Y108" s="406">
        <v>4522</v>
      </c>
      <c r="Z108" s="406">
        <v>11811</v>
      </c>
      <c r="AA108" s="27"/>
      <c r="AB108" s="27"/>
    </row>
    <row r="109" spans="2:28" hidden="1" outlineLevel="1" x14ac:dyDescent="0.25">
      <c r="B109" s="404">
        <v>41760</v>
      </c>
      <c r="C109" s="405"/>
      <c r="D109" s="405"/>
      <c r="E109" s="405"/>
      <c r="F109" s="405"/>
      <c r="G109" s="405"/>
      <c r="H109" s="405"/>
      <c r="I109" s="405">
        <v>2926</v>
      </c>
      <c r="J109" s="405">
        <v>810</v>
      </c>
      <c r="K109" s="405">
        <v>3736</v>
      </c>
      <c r="L109" s="405">
        <v>1085</v>
      </c>
      <c r="M109" s="405">
        <v>388</v>
      </c>
      <c r="N109" s="405">
        <v>1473</v>
      </c>
      <c r="O109" s="405">
        <v>4099</v>
      </c>
      <c r="P109" s="405">
        <v>4962</v>
      </c>
      <c r="Q109" s="405">
        <v>9061</v>
      </c>
      <c r="R109" s="405">
        <v>317</v>
      </c>
      <c r="S109" s="405">
        <v>244</v>
      </c>
      <c r="T109" s="405">
        <v>561</v>
      </c>
      <c r="U109" s="405"/>
      <c r="V109" s="405"/>
      <c r="W109" s="405"/>
      <c r="X109" s="406">
        <v>8427</v>
      </c>
      <c r="Y109" s="406">
        <v>6404</v>
      </c>
      <c r="Z109" s="406">
        <v>14831</v>
      </c>
      <c r="AA109" s="27"/>
      <c r="AB109" s="27"/>
    </row>
    <row r="110" spans="2:28" hidden="1" outlineLevel="1" x14ac:dyDescent="0.25">
      <c r="B110" s="404">
        <v>41791</v>
      </c>
      <c r="C110" s="405"/>
      <c r="D110" s="405"/>
      <c r="E110" s="405"/>
      <c r="F110" s="405"/>
      <c r="G110" s="405"/>
      <c r="H110" s="405"/>
      <c r="I110" s="405">
        <v>2407</v>
      </c>
      <c r="J110" s="405">
        <v>732</v>
      </c>
      <c r="K110" s="405">
        <v>3139</v>
      </c>
      <c r="L110" s="405">
        <v>992</v>
      </c>
      <c r="M110" s="405">
        <v>417</v>
      </c>
      <c r="N110" s="405">
        <v>1409</v>
      </c>
      <c r="O110" s="405">
        <v>3674</v>
      </c>
      <c r="P110" s="405">
        <v>3815</v>
      </c>
      <c r="Q110" s="405">
        <v>7489</v>
      </c>
      <c r="R110" s="405">
        <v>278</v>
      </c>
      <c r="S110" s="405">
        <v>220</v>
      </c>
      <c r="T110" s="405">
        <v>498</v>
      </c>
      <c r="U110" s="405"/>
      <c r="V110" s="405"/>
      <c r="W110" s="405"/>
      <c r="X110" s="406">
        <v>7351</v>
      </c>
      <c r="Y110" s="406">
        <v>5184</v>
      </c>
      <c r="Z110" s="406">
        <v>12535</v>
      </c>
      <c r="AA110" s="27"/>
      <c r="AB110" s="27"/>
    </row>
    <row r="111" spans="2:28" hidden="1" outlineLevel="1" x14ac:dyDescent="0.25">
      <c r="B111" s="404">
        <v>41821</v>
      </c>
      <c r="C111" s="405"/>
      <c r="D111" s="405"/>
      <c r="E111" s="405"/>
      <c r="F111" s="405"/>
      <c r="G111" s="405"/>
      <c r="H111" s="405"/>
      <c r="I111" s="405">
        <v>2472</v>
      </c>
      <c r="J111" s="405">
        <v>702</v>
      </c>
      <c r="K111" s="405">
        <v>3174</v>
      </c>
      <c r="L111" s="405">
        <v>1127</v>
      </c>
      <c r="M111" s="405">
        <v>430</v>
      </c>
      <c r="N111" s="405">
        <v>1557</v>
      </c>
      <c r="O111" s="405">
        <v>4002</v>
      </c>
      <c r="P111" s="405">
        <v>3469</v>
      </c>
      <c r="Q111" s="405">
        <v>7471</v>
      </c>
      <c r="R111" s="405">
        <v>262</v>
      </c>
      <c r="S111" s="405">
        <v>210</v>
      </c>
      <c r="T111" s="405">
        <v>472</v>
      </c>
      <c r="U111" s="405"/>
      <c r="V111" s="405"/>
      <c r="W111" s="405"/>
      <c r="X111" s="406">
        <v>7863</v>
      </c>
      <c r="Y111" s="406">
        <v>4811</v>
      </c>
      <c r="Z111" s="406">
        <v>12674</v>
      </c>
      <c r="AA111" s="27"/>
      <c r="AB111" s="27"/>
    </row>
    <row r="112" spans="2:28" hidden="1" outlineLevel="1" x14ac:dyDescent="0.25">
      <c r="B112" s="404">
        <v>41852</v>
      </c>
      <c r="C112" s="405"/>
      <c r="D112" s="405"/>
      <c r="E112" s="405"/>
      <c r="F112" s="405"/>
      <c r="G112" s="405"/>
      <c r="H112" s="405"/>
      <c r="I112" s="405">
        <v>2753</v>
      </c>
      <c r="J112" s="405">
        <v>852</v>
      </c>
      <c r="K112" s="405">
        <v>3605</v>
      </c>
      <c r="L112" s="405">
        <v>1159</v>
      </c>
      <c r="M112" s="405">
        <v>472</v>
      </c>
      <c r="N112" s="405">
        <v>1631</v>
      </c>
      <c r="O112" s="405">
        <v>4299</v>
      </c>
      <c r="P112" s="405">
        <v>3703</v>
      </c>
      <c r="Q112" s="405">
        <v>8002</v>
      </c>
      <c r="R112" s="405">
        <v>265</v>
      </c>
      <c r="S112" s="405">
        <v>231</v>
      </c>
      <c r="T112" s="405">
        <v>496</v>
      </c>
      <c r="U112" s="405"/>
      <c r="V112" s="405"/>
      <c r="W112" s="405"/>
      <c r="X112" s="406">
        <v>8476</v>
      </c>
      <c r="Y112" s="406">
        <v>5258</v>
      </c>
      <c r="Z112" s="406">
        <v>13734</v>
      </c>
      <c r="AA112" s="27"/>
      <c r="AB112" s="27"/>
    </row>
    <row r="113" spans="2:28" hidden="1" outlineLevel="1" x14ac:dyDescent="0.25">
      <c r="B113" s="404">
        <v>41883</v>
      </c>
      <c r="C113" s="405"/>
      <c r="D113" s="405"/>
      <c r="E113" s="405"/>
      <c r="F113" s="405"/>
      <c r="G113" s="405"/>
      <c r="H113" s="405"/>
      <c r="I113" s="405">
        <v>2419</v>
      </c>
      <c r="J113" s="405">
        <v>746</v>
      </c>
      <c r="K113" s="405">
        <v>3165</v>
      </c>
      <c r="L113" s="405">
        <v>946</v>
      </c>
      <c r="M113" s="405">
        <v>452</v>
      </c>
      <c r="N113" s="405">
        <v>1398</v>
      </c>
      <c r="O113" s="405">
        <v>4095</v>
      </c>
      <c r="P113" s="405">
        <v>3449</v>
      </c>
      <c r="Q113" s="405">
        <v>7544</v>
      </c>
      <c r="R113" s="405">
        <v>206</v>
      </c>
      <c r="S113" s="405">
        <v>187</v>
      </c>
      <c r="T113" s="405">
        <v>393</v>
      </c>
      <c r="U113" s="405"/>
      <c r="V113" s="405"/>
      <c r="W113" s="405"/>
      <c r="X113" s="406">
        <v>7666</v>
      </c>
      <c r="Y113" s="406">
        <v>4834</v>
      </c>
      <c r="Z113" s="406">
        <v>12500</v>
      </c>
      <c r="AA113" s="27"/>
      <c r="AB113" s="27"/>
    </row>
    <row r="114" spans="2:28" hidden="1" outlineLevel="1" x14ac:dyDescent="0.25">
      <c r="B114" s="404">
        <v>41913</v>
      </c>
      <c r="C114" s="405"/>
      <c r="D114" s="405"/>
      <c r="E114" s="405"/>
      <c r="F114" s="405"/>
      <c r="G114" s="405"/>
      <c r="H114" s="405"/>
      <c r="I114" s="405">
        <v>2676</v>
      </c>
      <c r="J114" s="405">
        <v>799</v>
      </c>
      <c r="K114" s="405">
        <v>3475</v>
      </c>
      <c r="L114" s="405">
        <v>1213</v>
      </c>
      <c r="M114" s="405">
        <v>468</v>
      </c>
      <c r="N114" s="405">
        <v>1681</v>
      </c>
      <c r="O114" s="405">
        <v>4844</v>
      </c>
      <c r="P114" s="405">
        <v>4049</v>
      </c>
      <c r="Q114" s="405">
        <v>8893</v>
      </c>
      <c r="R114" s="405">
        <v>243</v>
      </c>
      <c r="S114" s="405">
        <v>185</v>
      </c>
      <c r="T114" s="405">
        <v>428</v>
      </c>
      <c r="U114" s="405"/>
      <c r="V114" s="405"/>
      <c r="W114" s="405"/>
      <c r="X114" s="406">
        <v>8976</v>
      </c>
      <c r="Y114" s="406">
        <v>5501</v>
      </c>
      <c r="Z114" s="406">
        <v>14477</v>
      </c>
      <c r="AA114" s="27"/>
      <c r="AB114" s="27"/>
    </row>
    <row r="115" spans="2:28" hidden="1" outlineLevel="1" x14ac:dyDescent="0.25">
      <c r="B115" s="404">
        <v>41944</v>
      </c>
      <c r="C115" s="405"/>
      <c r="D115" s="405"/>
      <c r="E115" s="405"/>
      <c r="F115" s="405"/>
      <c r="G115" s="405"/>
      <c r="H115" s="405"/>
      <c r="I115" s="405">
        <v>2302</v>
      </c>
      <c r="J115" s="405">
        <v>716</v>
      </c>
      <c r="K115" s="405">
        <v>3018</v>
      </c>
      <c r="L115" s="405">
        <v>1053</v>
      </c>
      <c r="M115" s="405">
        <v>444</v>
      </c>
      <c r="N115" s="405">
        <v>1497</v>
      </c>
      <c r="O115" s="405">
        <v>4210</v>
      </c>
      <c r="P115" s="405">
        <v>3303</v>
      </c>
      <c r="Q115" s="405">
        <v>7513</v>
      </c>
      <c r="R115" s="405">
        <v>232</v>
      </c>
      <c r="S115" s="405">
        <v>172</v>
      </c>
      <c r="T115" s="405">
        <v>404</v>
      </c>
      <c r="U115" s="405"/>
      <c r="V115" s="405"/>
      <c r="W115" s="405"/>
      <c r="X115" s="406">
        <v>7797</v>
      </c>
      <c r="Y115" s="406">
        <v>4635</v>
      </c>
      <c r="Z115" s="406">
        <v>12432</v>
      </c>
      <c r="AA115" s="27"/>
      <c r="AB115" s="27"/>
    </row>
    <row r="116" spans="2:28" hidden="1" outlineLevel="1" x14ac:dyDescent="0.25">
      <c r="B116" s="404">
        <v>41974</v>
      </c>
      <c r="C116" s="405"/>
      <c r="D116" s="405"/>
      <c r="E116" s="405"/>
      <c r="F116" s="405"/>
      <c r="G116" s="405"/>
      <c r="H116" s="405"/>
      <c r="I116" s="405">
        <v>2127</v>
      </c>
      <c r="J116" s="405">
        <v>616</v>
      </c>
      <c r="K116" s="405">
        <v>2743</v>
      </c>
      <c r="L116" s="405">
        <v>920</v>
      </c>
      <c r="M116" s="405">
        <v>398</v>
      </c>
      <c r="N116" s="405">
        <v>1318</v>
      </c>
      <c r="O116" s="405">
        <v>3312</v>
      </c>
      <c r="P116" s="405">
        <v>2766</v>
      </c>
      <c r="Q116" s="405">
        <v>6078</v>
      </c>
      <c r="R116" s="405">
        <v>192</v>
      </c>
      <c r="S116" s="405">
        <v>170</v>
      </c>
      <c r="T116" s="405">
        <v>362</v>
      </c>
      <c r="U116" s="405"/>
      <c r="V116" s="405"/>
      <c r="W116" s="405"/>
      <c r="X116" s="406">
        <v>6551</v>
      </c>
      <c r="Y116" s="406">
        <v>3950</v>
      </c>
      <c r="Z116" s="406">
        <v>10501</v>
      </c>
      <c r="AA116" s="27"/>
      <c r="AB116" s="27"/>
    </row>
    <row r="117" spans="2:28" collapsed="1" x14ac:dyDescent="0.25">
      <c r="B117" s="407" t="s">
        <v>755</v>
      </c>
      <c r="C117" s="408" t="s">
        <v>916</v>
      </c>
      <c r="D117" s="408" t="s">
        <v>916</v>
      </c>
      <c r="E117" s="408" t="s">
        <v>916</v>
      </c>
      <c r="F117" s="408" t="s">
        <v>916</v>
      </c>
      <c r="G117" s="408" t="s">
        <v>916</v>
      </c>
      <c r="H117" s="408" t="s">
        <v>916</v>
      </c>
      <c r="I117" s="408">
        <v>2535</v>
      </c>
      <c r="J117" s="408">
        <v>748</v>
      </c>
      <c r="K117" s="408">
        <v>3283</v>
      </c>
      <c r="L117" s="408">
        <v>1048</v>
      </c>
      <c r="M117" s="408">
        <v>417</v>
      </c>
      <c r="N117" s="408">
        <v>1464</v>
      </c>
      <c r="O117" s="408">
        <v>3871</v>
      </c>
      <c r="P117" s="408">
        <v>3508</v>
      </c>
      <c r="Q117" s="408">
        <v>7379</v>
      </c>
      <c r="R117" s="408">
        <v>285</v>
      </c>
      <c r="S117" s="408">
        <v>220</v>
      </c>
      <c r="T117" s="408">
        <v>505</v>
      </c>
      <c r="U117" s="408" t="s">
        <v>916</v>
      </c>
      <c r="V117" s="408" t="s">
        <v>916</v>
      </c>
      <c r="W117" s="408" t="s">
        <v>916</v>
      </c>
      <c r="X117" s="408">
        <v>7738</v>
      </c>
      <c r="Y117" s="408">
        <v>4892</v>
      </c>
      <c r="Z117" s="408">
        <v>12630</v>
      </c>
      <c r="AA117" s="27"/>
      <c r="AB117" s="27"/>
    </row>
    <row r="118" spans="2:28" hidden="1" outlineLevel="1" x14ac:dyDescent="0.25">
      <c r="B118" s="404">
        <v>42005</v>
      </c>
      <c r="C118" s="405"/>
      <c r="D118" s="405"/>
      <c r="E118" s="405"/>
      <c r="F118" s="405"/>
      <c r="G118" s="405"/>
      <c r="H118" s="405"/>
      <c r="I118" s="405">
        <v>2248</v>
      </c>
      <c r="J118" s="405">
        <v>658</v>
      </c>
      <c r="K118" s="405">
        <v>2906</v>
      </c>
      <c r="L118" s="405">
        <v>1048</v>
      </c>
      <c r="M118" s="405">
        <v>488</v>
      </c>
      <c r="N118" s="405">
        <v>1536</v>
      </c>
      <c r="O118" s="405">
        <v>3748</v>
      </c>
      <c r="P118" s="405">
        <v>2903</v>
      </c>
      <c r="Q118" s="405">
        <v>6651</v>
      </c>
      <c r="R118" s="405">
        <v>118</v>
      </c>
      <c r="S118" s="405">
        <v>99</v>
      </c>
      <c r="T118" s="405">
        <v>217</v>
      </c>
      <c r="U118" s="405"/>
      <c r="V118" s="405"/>
      <c r="W118" s="405"/>
      <c r="X118" s="406">
        <v>7162</v>
      </c>
      <c r="Y118" s="406">
        <v>4148</v>
      </c>
      <c r="Z118" s="406">
        <v>11310</v>
      </c>
      <c r="AA118" s="27"/>
      <c r="AB118" s="27"/>
    </row>
    <row r="119" spans="2:28" hidden="1" outlineLevel="1" x14ac:dyDescent="0.25">
      <c r="B119" s="404">
        <v>42036</v>
      </c>
      <c r="C119" s="405"/>
      <c r="D119" s="405"/>
      <c r="E119" s="405"/>
      <c r="F119" s="405"/>
      <c r="G119" s="405"/>
      <c r="H119" s="405"/>
      <c r="I119" s="405">
        <v>1952</v>
      </c>
      <c r="J119" s="405">
        <v>577</v>
      </c>
      <c r="K119" s="405">
        <v>2529</v>
      </c>
      <c r="L119" s="405">
        <v>973</v>
      </c>
      <c r="M119" s="405">
        <v>435</v>
      </c>
      <c r="N119" s="405">
        <v>1408</v>
      </c>
      <c r="O119" s="405">
        <v>3446</v>
      </c>
      <c r="P119" s="405">
        <v>2835</v>
      </c>
      <c r="Q119" s="405">
        <v>6281</v>
      </c>
      <c r="R119" s="405">
        <v>91</v>
      </c>
      <c r="S119" s="405">
        <v>85</v>
      </c>
      <c r="T119" s="405">
        <v>176</v>
      </c>
      <c r="U119" s="405"/>
      <c r="V119" s="405"/>
      <c r="W119" s="405"/>
      <c r="X119" s="406">
        <v>6462</v>
      </c>
      <c r="Y119" s="406">
        <v>3932</v>
      </c>
      <c r="Z119" s="406">
        <v>10394</v>
      </c>
      <c r="AA119" s="27"/>
      <c r="AB119" s="27"/>
    </row>
    <row r="120" spans="2:28" hidden="1" outlineLevel="1" x14ac:dyDescent="0.25">
      <c r="B120" s="404">
        <v>42064</v>
      </c>
      <c r="C120" s="405"/>
      <c r="D120" s="405"/>
      <c r="E120" s="405"/>
      <c r="F120" s="405"/>
      <c r="G120" s="405"/>
      <c r="H120" s="405"/>
      <c r="I120" s="405">
        <v>2210</v>
      </c>
      <c r="J120" s="405">
        <v>661</v>
      </c>
      <c r="K120" s="405">
        <v>2871</v>
      </c>
      <c r="L120" s="405">
        <v>1244</v>
      </c>
      <c r="M120" s="405">
        <v>539</v>
      </c>
      <c r="N120" s="405">
        <v>1783</v>
      </c>
      <c r="O120" s="405">
        <v>4189</v>
      </c>
      <c r="P120" s="405">
        <v>3504</v>
      </c>
      <c r="Q120" s="405">
        <v>7693</v>
      </c>
      <c r="R120" s="405">
        <v>115</v>
      </c>
      <c r="S120" s="405">
        <v>118</v>
      </c>
      <c r="T120" s="405">
        <v>233</v>
      </c>
      <c r="U120" s="405"/>
      <c r="V120" s="405"/>
      <c r="W120" s="405"/>
      <c r="X120" s="406">
        <v>7758</v>
      </c>
      <c r="Y120" s="406">
        <v>4822</v>
      </c>
      <c r="Z120" s="406">
        <v>12580</v>
      </c>
      <c r="AA120" s="27"/>
      <c r="AB120" s="27"/>
    </row>
    <row r="121" spans="2:28" hidden="1" outlineLevel="1" x14ac:dyDescent="0.25">
      <c r="B121" s="404">
        <v>42095</v>
      </c>
      <c r="C121" s="405"/>
      <c r="D121" s="405"/>
      <c r="E121" s="405"/>
      <c r="F121" s="405"/>
      <c r="G121" s="405"/>
      <c r="H121" s="405"/>
      <c r="I121" s="405">
        <v>1869</v>
      </c>
      <c r="J121" s="405">
        <v>569</v>
      </c>
      <c r="K121" s="405">
        <v>2438</v>
      </c>
      <c r="L121" s="405">
        <v>1039</v>
      </c>
      <c r="M121" s="405">
        <v>479</v>
      </c>
      <c r="N121" s="405">
        <v>1518</v>
      </c>
      <c r="O121" s="405">
        <v>3650</v>
      </c>
      <c r="P121" s="405">
        <v>2908</v>
      </c>
      <c r="Q121" s="405">
        <v>6558</v>
      </c>
      <c r="R121" s="405">
        <v>97</v>
      </c>
      <c r="S121" s="405">
        <v>93</v>
      </c>
      <c r="T121" s="405">
        <v>190</v>
      </c>
      <c r="U121" s="405"/>
      <c r="V121" s="405"/>
      <c r="W121" s="405"/>
      <c r="X121" s="406">
        <v>6655</v>
      </c>
      <c r="Y121" s="406">
        <v>4049</v>
      </c>
      <c r="Z121" s="406">
        <v>10704</v>
      </c>
      <c r="AA121" s="27"/>
      <c r="AB121" s="27"/>
    </row>
    <row r="122" spans="2:28" hidden="1" outlineLevel="1" x14ac:dyDescent="0.25">
      <c r="B122" s="404">
        <v>42125</v>
      </c>
      <c r="C122" s="405"/>
      <c r="D122" s="405"/>
      <c r="E122" s="405"/>
      <c r="F122" s="405"/>
      <c r="G122" s="405"/>
      <c r="H122" s="405"/>
      <c r="I122" s="405">
        <v>1688</v>
      </c>
      <c r="J122" s="405">
        <v>623</v>
      </c>
      <c r="K122" s="405">
        <v>2311</v>
      </c>
      <c r="L122" s="405">
        <v>957</v>
      </c>
      <c r="M122" s="405">
        <v>392</v>
      </c>
      <c r="N122" s="405">
        <v>1349</v>
      </c>
      <c r="O122" s="405">
        <v>4110</v>
      </c>
      <c r="P122" s="405">
        <v>4563</v>
      </c>
      <c r="Q122" s="405">
        <v>8673</v>
      </c>
      <c r="R122" s="405">
        <v>124</v>
      </c>
      <c r="S122" s="405">
        <v>112</v>
      </c>
      <c r="T122" s="405">
        <v>236</v>
      </c>
      <c r="U122" s="405"/>
      <c r="V122" s="405"/>
      <c r="W122" s="405"/>
      <c r="X122" s="406">
        <v>6879</v>
      </c>
      <c r="Y122" s="406">
        <v>5690</v>
      </c>
      <c r="Z122" s="406">
        <v>12569</v>
      </c>
      <c r="AA122" s="27"/>
      <c r="AB122" s="27"/>
    </row>
    <row r="123" spans="2:28" hidden="1" outlineLevel="1" x14ac:dyDescent="0.25">
      <c r="B123" s="404">
        <v>42156</v>
      </c>
      <c r="C123" s="405"/>
      <c r="D123" s="405"/>
      <c r="E123" s="405"/>
      <c r="F123" s="405"/>
      <c r="G123" s="405"/>
      <c r="H123" s="405"/>
      <c r="I123" s="405">
        <v>1828</v>
      </c>
      <c r="J123" s="405">
        <v>606</v>
      </c>
      <c r="K123" s="405">
        <v>2434</v>
      </c>
      <c r="L123" s="405">
        <v>1016</v>
      </c>
      <c r="M123" s="405">
        <v>450</v>
      </c>
      <c r="N123" s="405">
        <v>1466</v>
      </c>
      <c r="O123" s="405">
        <v>4111</v>
      </c>
      <c r="P123" s="405">
        <v>3707</v>
      </c>
      <c r="Q123" s="405">
        <v>7818</v>
      </c>
      <c r="R123" s="405">
        <v>111</v>
      </c>
      <c r="S123" s="405">
        <v>121</v>
      </c>
      <c r="T123" s="405">
        <v>232</v>
      </c>
      <c r="U123" s="405"/>
      <c r="V123" s="405"/>
      <c r="W123" s="405"/>
      <c r="X123" s="406">
        <v>7066</v>
      </c>
      <c r="Y123" s="406">
        <v>4884</v>
      </c>
      <c r="Z123" s="406">
        <v>11950</v>
      </c>
      <c r="AA123" s="27"/>
      <c r="AB123" s="27"/>
    </row>
    <row r="124" spans="2:28" hidden="1" outlineLevel="1" x14ac:dyDescent="0.25">
      <c r="B124" s="404">
        <v>42186</v>
      </c>
      <c r="C124" s="405"/>
      <c r="D124" s="405"/>
      <c r="E124" s="405"/>
      <c r="F124" s="405"/>
      <c r="G124" s="405"/>
      <c r="H124" s="405"/>
      <c r="I124" s="405">
        <v>2013</v>
      </c>
      <c r="J124" s="405">
        <v>701</v>
      </c>
      <c r="K124" s="405">
        <v>2714</v>
      </c>
      <c r="L124" s="405">
        <v>1101</v>
      </c>
      <c r="M124" s="405">
        <v>501</v>
      </c>
      <c r="N124" s="405">
        <v>1602</v>
      </c>
      <c r="O124" s="405">
        <v>4636</v>
      </c>
      <c r="P124" s="405">
        <v>3432</v>
      </c>
      <c r="Q124" s="405">
        <v>8068</v>
      </c>
      <c r="R124" s="405">
        <v>113</v>
      </c>
      <c r="S124" s="405">
        <v>100</v>
      </c>
      <c r="T124" s="405">
        <v>213</v>
      </c>
      <c r="U124" s="405"/>
      <c r="V124" s="405"/>
      <c r="W124" s="405"/>
      <c r="X124" s="406">
        <v>7863</v>
      </c>
      <c r="Y124" s="406">
        <v>4734</v>
      </c>
      <c r="Z124" s="406">
        <v>12597</v>
      </c>
      <c r="AA124" s="27"/>
      <c r="AB124" s="27"/>
    </row>
    <row r="125" spans="2:28" hidden="1" outlineLevel="1" x14ac:dyDescent="0.25">
      <c r="B125" s="404">
        <v>42217</v>
      </c>
      <c r="C125" s="405"/>
      <c r="D125" s="405"/>
      <c r="E125" s="405"/>
      <c r="F125" s="405"/>
      <c r="G125" s="405"/>
      <c r="H125" s="405"/>
      <c r="I125" s="405">
        <v>2029</v>
      </c>
      <c r="J125" s="405">
        <v>655</v>
      </c>
      <c r="K125" s="405">
        <v>2684</v>
      </c>
      <c r="L125" s="405">
        <v>1110</v>
      </c>
      <c r="M125" s="405">
        <v>484</v>
      </c>
      <c r="N125" s="405">
        <v>1594</v>
      </c>
      <c r="O125" s="405">
        <v>4311</v>
      </c>
      <c r="P125" s="405">
        <v>3346</v>
      </c>
      <c r="Q125" s="405">
        <v>7657</v>
      </c>
      <c r="R125" s="405">
        <v>108</v>
      </c>
      <c r="S125" s="405">
        <v>98</v>
      </c>
      <c r="T125" s="405">
        <v>206</v>
      </c>
      <c r="U125" s="405"/>
      <c r="V125" s="405"/>
      <c r="W125" s="405"/>
      <c r="X125" s="406">
        <v>7558</v>
      </c>
      <c r="Y125" s="406">
        <v>4583</v>
      </c>
      <c r="Z125" s="406">
        <v>12141</v>
      </c>
      <c r="AA125" s="27"/>
      <c r="AB125" s="27"/>
    </row>
    <row r="126" spans="2:28" hidden="1" outlineLevel="1" x14ac:dyDescent="0.25">
      <c r="B126" s="404">
        <v>42248</v>
      </c>
      <c r="C126" s="405"/>
      <c r="D126" s="405"/>
      <c r="E126" s="405"/>
      <c r="F126" s="405"/>
      <c r="G126" s="405"/>
      <c r="H126" s="405"/>
      <c r="I126" s="405">
        <v>1974</v>
      </c>
      <c r="J126" s="405">
        <v>627</v>
      </c>
      <c r="K126" s="405">
        <v>2601</v>
      </c>
      <c r="L126" s="405">
        <v>1090</v>
      </c>
      <c r="M126" s="405">
        <v>544</v>
      </c>
      <c r="N126" s="405">
        <v>1634</v>
      </c>
      <c r="O126" s="405">
        <v>4207</v>
      </c>
      <c r="P126" s="405">
        <v>3314</v>
      </c>
      <c r="Q126" s="405">
        <v>7521</v>
      </c>
      <c r="R126" s="405">
        <v>80</v>
      </c>
      <c r="S126" s="405">
        <v>84</v>
      </c>
      <c r="T126" s="405">
        <v>164</v>
      </c>
      <c r="U126" s="405"/>
      <c r="V126" s="405"/>
      <c r="W126" s="405"/>
      <c r="X126" s="406">
        <v>7351</v>
      </c>
      <c r="Y126" s="406">
        <v>4569</v>
      </c>
      <c r="Z126" s="406">
        <v>11920</v>
      </c>
      <c r="AA126" s="27"/>
      <c r="AB126" s="27"/>
    </row>
    <row r="127" spans="2:28" hidden="1" outlineLevel="1" x14ac:dyDescent="0.25">
      <c r="B127" s="404">
        <v>42278</v>
      </c>
      <c r="C127" s="405"/>
      <c r="D127" s="405"/>
      <c r="E127" s="405"/>
      <c r="F127" s="405"/>
      <c r="G127" s="405"/>
      <c r="H127" s="405"/>
      <c r="I127" s="405">
        <v>2054</v>
      </c>
      <c r="J127" s="405">
        <v>695</v>
      </c>
      <c r="K127" s="405">
        <v>2749</v>
      </c>
      <c r="L127" s="405">
        <v>1117</v>
      </c>
      <c r="M127" s="405">
        <v>461</v>
      </c>
      <c r="N127" s="405">
        <v>1578</v>
      </c>
      <c r="O127" s="405">
        <v>4266</v>
      </c>
      <c r="P127" s="405">
        <v>3236</v>
      </c>
      <c r="Q127" s="405">
        <v>7502</v>
      </c>
      <c r="R127" s="405">
        <v>114</v>
      </c>
      <c r="S127" s="405">
        <v>104</v>
      </c>
      <c r="T127" s="405">
        <v>218</v>
      </c>
      <c r="U127" s="405"/>
      <c r="V127" s="405"/>
      <c r="W127" s="405"/>
      <c r="X127" s="406">
        <v>7551</v>
      </c>
      <c r="Y127" s="406">
        <v>4496</v>
      </c>
      <c r="Z127" s="406">
        <v>12047</v>
      </c>
      <c r="AA127" s="27"/>
      <c r="AB127" s="27"/>
    </row>
    <row r="128" spans="2:28" hidden="1" outlineLevel="1" x14ac:dyDescent="0.25">
      <c r="B128" s="404">
        <v>42309</v>
      </c>
      <c r="C128" s="405"/>
      <c r="D128" s="405"/>
      <c r="E128" s="405"/>
      <c r="F128" s="405"/>
      <c r="G128" s="405"/>
      <c r="H128" s="405"/>
      <c r="I128" s="405">
        <v>1891</v>
      </c>
      <c r="J128" s="405">
        <v>691</v>
      </c>
      <c r="K128" s="405">
        <v>2582</v>
      </c>
      <c r="L128" s="405">
        <v>1141</v>
      </c>
      <c r="M128" s="405">
        <v>491</v>
      </c>
      <c r="N128" s="405">
        <v>1632</v>
      </c>
      <c r="O128" s="405">
        <v>4440</v>
      </c>
      <c r="P128" s="405">
        <v>3591</v>
      </c>
      <c r="Q128" s="405">
        <v>8031</v>
      </c>
      <c r="R128" s="405">
        <v>107</v>
      </c>
      <c r="S128" s="405">
        <v>112</v>
      </c>
      <c r="T128" s="405">
        <v>219</v>
      </c>
      <c r="U128" s="405"/>
      <c r="V128" s="405"/>
      <c r="W128" s="405"/>
      <c r="X128" s="406">
        <v>7579</v>
      </c>
      <c r="Y128" s="406">
        <v>4885</v>
      </c>
      <c r="Z128" s="406">
        <v>12464</v>
      </c>
      <c r="AA128" s="27"/>
      <c r="AB128" s="27"/>
    </row>
    <row r="129" spans="2:28" hidden="1" outlineLevel="1" x14ac:dyDescent="0.25">
      <c r="B129" s="404">
        <v>42339</v>
      </c>
      <c r="C129" s="405"/>
      <c r="D129" s="405"/>
      <c r="E129" s="405"/>
      <c r="F129" s="405"/>
      <c r="G129" s="405"/>
      <c r="H129" s="405"/>
      <c r="I129" s="405">
        <v>1686</v>
      </c>
      <c r="J129" s="405">
        <v>537</v>
      </c>
      <c r="K129" s="405">
        <v>2223</v>
      </c>
      <c r="L129" s="405">
        <v>991</v>
      </c>
      <c r="M129" s="405">
        <v>466</v>
      </c>
      <c r="N129" s="405">
        <v>1457</v>
      </c>
      <c r="O129" s="405">
        <v>3568</v>
      </c>
      <c r="P129" s="405">
        <v>2857</v>
      </c>
      <c r="Q129" s="405">
        <v>6425</v>
      </c>
      <c r="R129" s="405">
        <v>109</v>
      </c>
      <c r="S129" s="405">
        <v>88</v>
      </c>
      <c r="T129" s="405">
        <v>197</v>
      </c>
      <c r="U129" s="405"/>
      <c r="V129" s="405"/>
      <c r="W129" s="405"/>
      <c r="X129" s="406">
        <v>6354</v>
      </c>
      <c r="Y129" s="406">
        <v>3948</v>
      </c>
      <c r="Z129" s="406">
        <v>10302</v>
      </c>
      <c r="AA129" s="27"/>
      <c r="AB129" s="27"/>
    </row>
    <row r="130" spans="2:28" collapsed="1" x14ac:dyDescent="0.25">
      <c r="B130" s="407" t="s">
        <v>756</v>
      </c>
      <c r="C130" s="408" t="s">
        <v>916</v>
      </c>
      <c r="D130" s="408" t="s">
        <v>916</v>
      </c>
      <c r="E130" s="408" t="s">
        <v>916</v>
      </c>
      <c r="F130" s="408" t="s">
        <v>916</v>
      </c>
      <c r="G130" s="408" t="s">
        <v>916</v>
      </c>
      <c r="H130" s="408" t="s">
        <v>916</v>
      </c>
      <c r="I130" s="408">
        <v>1954</v>
      </c>
      <c r="J130" s="408">
        <v>633</v>
      </c>
      <c r="K130" s="408">
        <v>2587</v>
      </c>
      <c r="L130" s="408">
        <v>1069</v>
      </c>
      <c r="M130" s="408">
        <v>478</v>
      </c>
      <c r="N130" s="408">
        <v>1546</v>
      </c>
      <c r="O130" s="408">
        <v>4057</v>
      </c>
      <c r="P130" s="408">
        <v>3350</v>
      </c>
      <c r="Q130" s="408">
        <v>7407</v>
      </c>
      <c r="R130" s="408">
        <v>107</v>
      </c>
      <c r="S130" s="408">
        <v>101</v>
      </c>
      <c r="T130" s="408">
        <v>208</v>
      </c>
      <c r="U130" s="408" t="s">
        <v>916</v>
      </c>
      <c r="V130" s="408" t="s">
        <v>916</v>
      </c>
      <c r="W130" s="408" t="s">
        <v>916</v>
      </c>
      <c r="X130" s="408">
        <v>7187</v>
      </c>
      <c r="Y130" s="408">
        <v>4562</v>
      </c>
      <c r="Z130" s="408">
        <v>11748</v>
      </c>
      <c r="AA130" s="27"/>
      <c r="AB130" s="27"/>
    </row>
    <row r="131" spans="2:28" hidden="1" outlineLevel="1" x14ac:dyDescent="0.25">
      <c r="B131" s="404">
        <v>42370</v>
      </c>
      <c r="C131" s="405"/>
      <c r="D131" s="405"/>
      <c r="E131" s="405"/>
      <c r="F131" s="405"/>
      <c r="G131" s="405"/>
      <c r="H131" s="405"/>
      <c r="I131" s="405">
        <v>1678</v>
      </c>
      <c r="J131" s="405">
        <v>495</v>
      </c>
      <c r="K131" s="405">
        <v>2173</v>
      </c>
      <c r="L131" s="405">
        <v>1018</v>
      </c>
      <c r="M131" s="405">
        <v>482</v>
      </c>
      <c r="N131" s="405">
        <v>1500</v>
      </c>
      <c r="O131" s="405">
        <v>3558</v>
      </c>
      <c r="P131" s="405">
        <v>2664</v>
      </c>
      <c r="Q131" s="405">
        <v>6222</v>
      </c>
      <c r="R131" s="405">
        <v>116</v>
      </c>
      <c r="S131" s="405">
        <v>108</v>
      </c>
      <c r="T131" s="405">
        <v>224</v>
      </c>
      <c r="U131" s="405"/>
      <c r="V131" s="405"/>
      <c r="W131" s="405"/>
      <c r="X131" s="406">
        <v>6370</v>
      </c>
      <c r="Y131" s="406">
        <v>3749</v>
      </c>
      <c r="Z131" s="406">
        <v>10119</v>
      </c>
      <c r="AA131" s="27"/>
      <c r="AB131" s="27"/>
    </row>
    <row r="132" spans="2:28" hidden="1" outlineLevel="1" x14ac:dyDescent="0.25">
      <c r="B132" s="404">
        <v>42401</v>
      </c>
      <c r="C132" s="405"/>
      <c r="D132" s="405"/>
      <c r="E132" s="405"/>
      <c r="F132" s="405"/>
      <c r="G132" s="405"/>
      <c r="H132" s="405"/>
      <c r="I132" s="405">
        <v>1711</v>
      </c>
      <c r="J132" s="405">
        <v>513</v>
      </c>
      <c r="K132" s="405">
        <v>2224</v>
      </c>
      <c r="L132" s="405">
        <v>971</v>
      </c>
      <c r="M132" s="405">
        <v>432</v>
      </c>
      <c r="N132" s="405">
        <v>1403</v>
      </c>
      <c r="O132" s="405">
        <v>3950</v>
      </c>
      <c r="P132" s="405">
        <v>2852</v>
      </c>
      <c r="Q132" s="405">
        <v>6802</v>
      </c>
      <c r="R132" s="405">
        <v>123</v>
      </c>
      <c r="S132" s="405">
        <v>93</v>
      </c>
      <c r="T132" s="405">
        <v>216</v>
      </c>
      <c r="U132" s="405"/>
      <c r="V132" s="405"/>
      <c r="W132" s="405"/>
      <c r="X132" s="406">
        <v>6755</v>
      </c>
      <c r="Y132" s="406">
        <v>3890</v>
      </c>
      <c r="Z132" s="406">
        <v>10645</v>
      </c>
      <c r="AA132" s="27"/>
      <c r="AB132" s="27"/>
    </row>
    <row r="133" spans="2:28" hidden="1" outlineLevel="1" x14ac:dyDescent="0.25">
      <c r="B133" s="404">
        <v>42430</v>
      </c>
      <c r="C133" s="405"/>
      <c r="D133" s="405"/>
      <c r="E133" s="405"/>
      <c r="F133" s="405"/>
      <c r="G133" s="405"/>
      <c r="H133" s="405"/>
      <c r="I133" s="405">
        <v>1817</v>
      </c>
      <c r="J133" s="405">
        <v>533</v>
      </c>
      <c r="K133" s="405">
        <v>2350</v>
      </c>
      <c r="L133" s="405">
        <v>1127</v>
      </c>
      <c r="M133" s="405">
        <v>474</v>
      </c>
      <c r="N133" s="405">
        <v>1601</v>
      </c>
      <c r="O133" s="405">
        <v>3961</v>
      </c>
      <c r="P133" s="405">
        <v>2964</v>
      </c>
      <c r="Q133" s="405">
        <v>6925</v>
      </c>
      <c r="R133" s="405">
        <v>111</v>
      </c>
      <c r="S133" s="405">
        <v>96</v>
      </c>
      <c r="T133" s="405">
        <v>207</v>
      </c>
      <c r="U133" s="405"/>
      <c r="V133" s="405"/>
      <c r="W133" s="405"/>
      <c r="X133" s="406">
        <v>7016</v>
      </c>
      <c r="Y133" s="406">
        <v>4067</v>
      </c>
      <c r="Z133" s="406">
        <v>11083</v>
      </c>
      <c r="AA133" s="27"/>
      <c r="AB133" s="27"/>
    </row>
    <row r="134" spans="2:28" hidden="1" outlineLevel="1" x14ac:dyDescent="0.25">
      <c r="B134" s="404">
        <v>42461</v>
      </c>
      <c r="C134" s="405"/>
      <c r="D134" s="405"/>
      <c r="E134" s="405"/>
      <c r="F134" s="405"/>
      <c r="G134" s="405"/>
      <c r="H134" s="405"/>
      <c r="I134" s="405">
        <v>2433</v>
      </c>
      <c r="J134" s="405">
        <v>851</v>
      </c>
      <c r="K134" s="405">
        <v>3284</v>
      </c>
      <c r="L134" s="405">
        <v>1057</v>
      </c>
      <c r="M134" s="405">
        <v>474</v>
      </c>
      <c r="N134" s="405">
        <v>1531</v>
      </c>
      <c r="O134" s="405">
        <v>4247</v>
      </c>
      <c r="P134" s="405">
        <v>3256</v>
      </c>
      <c r="Q134" s="405">
        <v>7503</v>
      </c>
      <c r="R134" s="405">
        <v>101</v>
      </c>
      <c r="S134" s="405">
        <v>104</v>
      </c>
      <c r="T134" s="405">
        <v>205</v>
      </c>
      <c r="U134" s="405"/>
      <c r="V134" s="405"/>
      <c r="W134" s="405"/>
      <c r="X134" s="406">
        <v>7838</v>
      </c>
      <c r="Y134" s="406">
        <v>4685</v>
      </c>
      <c r="Z134" s="406">
        <v>12523</v>
      </c>
      <c r="AA134" s="27"/>
      <c r="AB134" s="27"/>
    </row>
    <row r="135" spans="2:28" hidden="1" outlineLevel="1" x14ac:dyDescent="0.25">
      <c r="B135" s="404">
        <v>42491</v>
      </c>
      <c r="C135" s="405"/>
      <c r="D135" s="405"/>
      <c r="E135" s="405"/>
      <c r="F135" s="405"/>
      <c r="G135" s="405"/>
      <c r="H135" s="405"/>
      <c r="I135" s="405">
        <v>2081</v>
      </c>
      <c r="J135" s="405">
        <v>683</v>
      </c>
      <c r="K135" s="405">
        <v>2764</v>
      </c>
      <c r="L135" s="405">
        <v>1097</v>
      </c>
      <c r="M135" s="405">
        <v>482</v>
      </c>
      <c r="N135" s="405">
        <v>1579</v>
      </c>
      <c r="O135" s="405">
        <v>4674</v>
      </c>
      <c r="P135" s="405">
        <v>4590</v>
      </c>
      <c r="Q135" s="405">
        <v>9264</v>
      </c>
      <c r="R135" s="405">
        <v>124</v>
      </c>
      <c r="S135" s="405">
        <v>100</v>
      </c>
      <c r="T135" s="405">
        <v>224</v>
      </c>
      <c r="U135" s="405"/>
      <c r="V135" s="405"/>
      <c r="W135" s="405"/>
      <c r="X135" s="406">
        <v>7976</v>
      </c>
      <c r="Y135" s="406">
        <v>5855</v>
      </c>
      <c r="Z135" s="406">
        <v>13831</v>
      </c>
      <c r="AA135" s="27"/>
      <c r="AB135" s="27"/>
    </row>
    <row r="136" spans="2:28" hidden="1" outlineLevel="1" x14ac:dyDescent="0.25">
      <c r="B136" s="404">
        <v>42522</v>
      </c>
      <c r="C136" s="405"/>
      <c r="D136" s="405"/>
      <c r="E136" s="405"/>
      <c r="F136" s="405"/>
      <c r="G136" s="405"/>
      <c r="H136" s="405"/>
      <c r="I136" s="405">
        <v>1853</v>
      </c>
      <c r="J136" s="405">
        <v>625</v>
      </c>
      <c r="K136" s="405">
        <v>2478</v>
      </c>
      <c r="L136" s="405">
        <v>971</v>
      </c>
      <c r="M136" s="405">
        <v>474</v>
      </c>
      <c r="N136" s="405">
        <v>1445</v>
      </c>
      <c r="O136" s="405">
        <v>3907</v>
      </c>
      <c r="P136" s="405">
        <v>3013</v>
      </c>
      <c r="Q136" s="405">
        <v>6920</v>
      </c>
      <c r="R136" s="405">
        <v>84</v>
      </c>
      <c r="S136" s="405">
        <v>90</v>
      </c>
      <c r="T136" s="405">
        <v>174</v>
      </c>
      <c r="U136" s="405"/>
      <c r="V136" s="405"/>
      <c r="W136" s="405"/>
      <c r="X136" s="406">
        <v>6815</v>
      </c>
      <c r="Y136" s="406">
        <v>4202</v>
      </c>
      <c r="Z136" s="406">
        <v>11017</v>
      </c>
      <c r="AA136" s="27"/>
      <c r="AB136" s="27"/>
    </row>
    <row r="137" spans="2:28" hidden="1" outlineLevel="1" x14ac:dyDescent="0.25">
      <c r="B137" s="404">
        <v>42552</v>
      </c>
      <c r="C137" s="405"/>
      <c r="D137" s="405"/>
      <c r="E137" s="405"/>
      <c r="F137" s="405"/>
      <c r="G137" s="405"/>
      <c r="H137" s="405"/>
      <c r="I137" s="405">
        <v>2036</v>
      </c>
      <c r="J137" s="405">
        <v>627</v>
      </c>
      <c r="K137" s="405">
        <v>2663</v>
      </c>
      <c r="L137" s="405">
        <v>1013</v>
      </c>
      <c r="M137" s="405">
        <v>501</v>
      </c>
      <c r="N137" s="405">
        <v>1514</v>
      </c>
      <c r="O137" s="405">
        <v>3956</v>
      </c>
      <c r="P137" s="405">
        <v>3040</v>
      </c>
      <c r="Q137" s="405">
        <v>6996</v>
      </c>
      <c r="R137" s="405">
        <v>95</v>
      </c>
      <c r="S137" s="405">
        <v>103</v>
      </c>
      <c r="T137" s="405">
        <v>198</v>
      </c>
      <c r="U137" s="405"/>
      <c r="V137" s="405"/>
      <c r="W137" s="405"/>
      <c r="X137" s="406">
        <v>7100</v>
      </c>
      <c r="Y137" s="406">
        <v>4271</v>
      </c>
      <c r="Z137" s="406">
        <v>11371</v>
      </c>
      <c r="AA137" s="27"/>
      <c r="AB137" s="27"/>
    </row>
    <row r="138" spans="2:28" hidden="1" outlineLevel="1" x14ac:dyDescent="0.25">
      <c r="B138" s="404">
        <v>42583</v>
      </c>
      <c r="C138" s="405"/>
      <c r="D138" s="405"/>
      <c r="E138" s="405"/>
      <c r="F138" s="405"/>
      <c r="G138" s="405"/>
      <c r="H138" s="405"/>
      <c r="I138" s="405">
        <v>2227</v>
      </c>
      <c r="J138" s="405">
        <v>722</v>
      </c>
      <c r="K138" s="405">
        <v>2949</v>
      </c>
      <c r="L138" s="405">
        <v>1257</v>
      </c>
      <c r="M138" s="405">
        <v>593</v>
      </c>
      <c r="N138" s="405">
        <v>1850</v>
      </c>
      <c r="O138" s="405">
        <v>5089</v>
      </c>
      <c r="P138" s="405">
        <v>3894</v>
      </c>
      <c r="Q138" s="405">
        <v>8983</v>
      </c>
      <c r="R138" s="405">
        <v>131</v>
      </c>
      <c r="S138" s="405">
        <v>114</v>
      </c>
      <c r="T138" s="405">
        <v>245</v>
      </c>
      <c r="U138" s="405"/>
      <c r="V138" s="405"/>
      <c r="W138" s="405"/>
      <c r="X138" s="406">
        <v>8704</v>
      </c>
      <c r="Y138" s="406">
        <v>5323</v>
      </c>
      <c r="Z138" s="406">
        <v>14027</v>
      </c>
      <c r="AA138" s="27"/>
      <c r="AB138" s="27"/>
    </row>
    <row r="139" spans="2:28" hidden="1" outlineLevel="1" x14ac:dyDescent="0.25">
      <c r="B139" s="404">
        <v>42614</v>
      </c>
      <c r="C139" s="405"/>
      <c r="D139" s="405"/>
      <c r="E139" s="405"/>
      <c r="F139" s="405"/>
      <c r="G139" s="405"/>
      <c r="H139" s="405"/>
      <c r="I139" s="405">
        <v>2051</v>
      </c>
      <c r="J139" s="405">
        <v>664</v>
      </c>
      <c r="K139" s="405">
        <v>2715</v>
      </c>
      <c r="L139" s="405">
        <v>1093</v>
      </c>
      <c r="M139" s="405">
        <v>521</v>
      </c>
      <c r="N139" s="405">
        <v>1614</v>
      </c>
      <c r="O139" s="405">
        <v>4556</v>
      </c>
      <c r="P139" s="405">
        <v>3304</v>
      </c>
      <c r="Q139" s="405">
        <v>7860</v>
      </c>
      <c r="R139" s="405">
        <v>110</v>
      </c>
      <c r="S139" s="405">
        <v>103</v>
      </c>
      <c r="T139" s="405">
        <v>213</v>
      </c>
      <c r="U139" s="405"/>
      <c r="V139" s="405"/>
      <c r="W139" s="405"/>
      <c r="X139" s="406">
        <v>7810</v>
      </c>
      <c r="Y139" s="406">
        <v>4592</v>
      </c>
      <c r="Z139" s="406">
        <v>12402</v>
      </c>
      <c r="AA139" s="27"/>
      <c r="AB139" s="27"/>
    </row>
    <row r="140" spans="2:28" hidden="1" outlineLevel="1" x14ac:dyDescent="0.25">
      <c r="B140" s="404">
        <v>42644</v>
      </c>
      <c r="C140" s="405"/>
      <c r="D140" s="405"/>
      <c r="E140" s="405"/>
      <c r="F140" s="405"/>
      <c r="G140" s="405"/>
      <c r="H140" s="405"/>
      <c r="I140" s="405">
        <v>1705</v>
      </c>
      <c r="J140" s="405">
        <v>569</v>
      </c>
      <c r="K140" s="405">
        <v>2274</v>
      </c>
      <c r="L140" s="405">
        <v>898</v>
      </c>
      <c r="M140" s="405">
        <v>433</v>
      </c>
      <c r="N140" s="405">
        <v>1331</v>
      </c>
      <c r="O140" s="405">
        <v>3870</v>
      </c>
      <c r="P140" s="405">
        <v>2806</v>
      </c>
      <c r="Q140" s="405">
        <v>6676</v>
      </c>
      <c r="R140" s="405">
        <v>105</v>
      </c>
      <c r="S140" s="405">
        <v>110</v>
      </c>
      <c r="T140" s="405">
        <v>215</v>
      </c>
      <c r="U140" s="405"/>
      <c r="V140" s="405"/>
      <c r="W140" s="405"/>
      <c r="X140" s="406">
        <v>6578</v>
      </c>
      <c r="Y140" s="406">
        <v>3918</v>
      </c>
      <c r="Z140" s="406">
        <v>10496</v>
      </c>
      <c r="AA140" s="27"/>
      <c r="AB140" s="27"/>
    </row>
    <row r="141" spans="2:28" hidden="1" outlineLevel="1" x14ac:dyDescent="0.25">
      <c r="B141" s="404">
        <v>42675</v>
      </c>
      <c r="C141" s="405"/>
      <c r="D141" s="405"/>
      <c r="E141" s="405"/>
      <c r="F141" s="405"/>
      <c r="G141" s="405"/>
      <c r="H141" s="405"/>
      <c r="I141" s="405">
        <v>1835</v>
      </c>
      <c r="J141" s="405">
        <v>541</v>
      </c>
      <c r="K141" s="405">
        <v>2376</v>
      </c>
      <c r="L141" s="405">
        <v>830</v>
      </c>
      <c r="M141" s="405">
        <v>429</v>
      </c>
      <c r="N141" s="405">
        <v>1259</v>
      </c>
      <c r="O141" s="405">
        <v>3868</v>
      </c>
      <c r="P141" s="405">
        <v>2811</v>
      </c>
      <c r="Q141" s="405">
        <v>6679</v>
      </c>
      <c r="R141" s="405">
        <v>111</v>
      </c>
      <c r="S141" s="405">
        <v>97</v>
      </c>
      <c r="T141" s="405">
        <v>208</v>
      </c>
      <c r="U141" s="405"/>
      <c r="V141" s="405"/>
      <c r="W141" s="405"/>
      <c r="X141" s="406">
        <v>6644</v>
      </c>
      <c r="Y141" s="406">
        <v>3878</v>
      </c>
      <c r="Z141" s="406">
        <v>10522</v>
      </c>
      <c r="AA141" s="27"/>
      <c r="AB141" s="27"/>
    </row>
    <row r="142" spans="2:28" hidden="1" outlineLevel="1" x14ac:dyDescent="0.25">
      <c r="B142" s="404">
        <v>42705</v>
      </c>
      <c r="C142" s="405"/>
      <c r="D142" s="405"/>
      <c r="E142" s="405"/>
      <c r="F142" s="405"/>
      <c r="G142" s="405"/>
      <c r="H142" s="405"/>
      <c r="I142" s="405">
        <v>1847</v>
      </c>
      <c r="J142" s="405">
        <v>588</v>
      </c>
      <c r="K142" s="405">
        <v>2435</v>
      </c>
      <c r="L142" s="405">
        <v>999</v>
      </c>
      <c r="M142" s="405">
        <v>468</v>
      </c>
      <c r="N142" s="405">
        <v>1467</v>
      </c>
      <c r="O142" s="405">
        <v>3814</v>
      </c>
      <c r="P142" s="405">
        <v>2788</v>
      </c>
      <c r="Q142" s="405">
        <v>6602</v>
      </c>
      <c r="R142" s="405">
        <v>117</v>
      </c>
      <c r="S142" s="405">
        <v>131</v>
      </c>
      <c r="T142" s="405">
        <v>248</v>
      </c>
      <c r="U142" s="405"/>
      <c r="V142" s="405"/>
      <c r="W142" s="405"/>
      <c r="X142" s="406">
        <v>6777</v>
      </c>
      <c r="Y142" s="406">
        <v>3975</v>
      </c>
      <c r="Z142" s="406">
        <v>10752</v>
      </c>
      <c r="AA142" s="27"/>
      <c r="AB142" s="27"/>
    </row>
    <row r="143" spans="2:28" collapsed="1" x14ac:dyDescent="0.25">
      <c r="B143" s="407" t="s">
        <v>757</v>
      </c>
      <c r="C143" s="408" t="s">
        <v>916</v>
      </c>
      <c r="D143" s="408" t="s">
        <v>916</v>
      </c>
      <c r="E143" s="408" t="s">
        <v>916</v>
      </c>
      <c r="F143" s="408" t="s">
        <v>916</v>
      </c>
      <c r="G143" s="408" t="s">
        <v>916</v>
      </c>
      <c r="H143" s="408" t="s">
        <v>916</v>
      </c>
      <c r="I143" s="408">
        <v>1940</v>
      </c>
      <c r="J143" s="408">
        <v>618</v>
      </c>
      <c r="K143" s="408">
        <v>2557</v>
      </c>
      <c r="L143" s="408">
        <v>1028</v>
      </c>
      <c r="M143" s="408">
        <v>480</v>
      </c>
      <c r="N143" s="408">
        <v>1508</v>
      </c>
      <c r="O143" s="408">
        <v>4121</v>
      </c>
      <c r="P143" s="408">
        <v>3165</v>
      </c>
      <c r="Q143" s="408">
        <v>7286</v>
      </c>
      <c r="R143" s="408">
        <v>111</v>
      </c>
      <c r="S143" s="408">
        <v>104</v>
      </c>
      <c r="T143" s="408">
        <v>215</v>
      </c>
      <c r="U143" s="408" t="s">
        <v>916</v>
      </c>
      <c r="V143" s="408" t="s">
        <v>916</v>
      </c>
      <c r="W143" s="408" t="s">
        <v>916</v>
      </c>
      <c r="X143" s="408">
        <v>7199</v>
      </c>
      <c r="Y143" s="408">
        <v>4367</v>
      </c>
      <c r="Z143" s="408">
        <v>11566</v>
      </c>
      <c r="AA143" s="27"/>
      <c r="AB143" s="27"/>
    </row>
    <row r="144" spans="2:28" hidden="1" outlineLevel="1" x14ac:dyDescent="0.25">
      <c r="B144" s="404">
        <v>42736</v>
      </c>
      <c r="C144" s="405"/>
      <c r="D144" s="405"/>
      <c r="E144" s="405"/>
      <c r="F144" s="405"/>
      <c r="G144" s="405"/>
      <c r="H144" s="405"/>
      <c r="I144" s="405">
        <v>2361</v>
      </c>
      <c r="J144" s="405">
        <v>761</v>
      </c>
      <c r="K144" s="405">
        <v>3122</v>
      </c>
      <c r="L144" s="405">
        <v>1006</v>
      </c>
      <c r="M144" s="405">
        <v>502</v>
      </c>
      <c r="N144" s="405">
        <v>1508</v>
      </c>
      <c r="O144" s="405">
        <v>4531</v>
      </c>
      <c r="P144" s="405">
        <v>3448</v>
      </c>
      <c r="Q144" s="405">
        <v>7979</v>
      </c>
      <c r="R144" s="405">
        <v>145</v>
      </c>
      <c r="S144" s="405">
        <v>124</v>
      </c>
      <c r="T144" s="405">
        <v>269</v>
      </c>
      <c r="U144" s="405"/>
      <c r="V144" s="405"/>
      <c r="W144" s="405"/>
      <c r="X144" s="406">
        <v>8043</v>
      </c>
      <c r="Y144" s="406">
        <v>4835</v>
      </c>
      <c r="Z144" s="406">
        <v>12878</v>
      </c>
      <c r="AA144" s="27"/>
      <c r="AB144" s="27"/>
    </row>
    <row r="145" spans="2:28" hidden="1" outlineLevel="1" x14ac:dyDescent="0.25">
      <c r="B145" s="404">
        <v>42767</v>
      </c>
      <c r="C145" s="405"/>
      <c r="D145" s="405"/>
      <c r="E145" s="405"/>
      <c r="F145" s="405"/>
      <c r="G145" s="405"/>
      <c r="H145" s="405"/>
      <c r="I145" s="405">
        <v>1789</v>
      </c>
      <c r="J145" s="405">
        <v>588</v>
      </c>
      <c r="K145" s="405">
        <v>2377</v>
      </c>
      <c r="L145" s="405">
        <v>940</v>
      </c>
      <c r="M145" s="405">
        <v>435</v>
      </c>
      <c r="N145" s="405">
        <v>1375</v>
      </c>
      <c r="O145" s="405">
        <v>4079</v>
      </c>
      <c r="P145" s="405">
        <v>3203</v>
      </c>
      <c r="Q145" s="405">
        <v>7282</v>
      </c>
      <c r="R145" s="405">
        <v>101</v>
      </c>
      <c r="S145" s="405">
        <v>112</v>
      </c>
      <c r="T145" s="405">
        <v>213</v>
      </c>
      <c r="U145" s="405"/>
      <c r="V145" s="405"/>
      <c r="W145" s="405"/>
      <c r="X145" s="406">
        <v>6909</v>
      </c>
      <c r="Y145" s="406">
        <v>4338</v>
      </c>
      <c r="Z145" s="406">
        <v>11247</v>
      </c>
      <c r="AA145" s="27"/>
      <c r="AB145" s="27"/>
    </row>
    <row r="146" spans="2:28" hidden="1" outlineLevel="1" x14ac:dyDescent="0.25">
      <c r="B146" s="404">
        <v>42795</v>
      </c>
      <c r="C146" s="405"/>
      <c r="D146" s="405"/>
      <c r="E146" s="405"/>
      <c r="F146" s="405"/>
      <c r="G146" s="405"/>
      <c r="H146" s="405"/>
      <c r="I146" s="405">
        <v>1760</v>
      </c>
      <c r="J146" s="405">
        <v>580</v>
      </c>
      <c r="K146" s="405">
        <v>2340</v>
      </c>
      <c r="L146" s="405">
        <v>1221</v>
      </c>
      <c r="M146" s="405">
        <v>541</v>
      </c>
      <c r="N146" s="405">
        <v>1762</v>
      </c>
      <c r="O146" s="405">
        <v>5014</v>
      </c>
      <c r="P146" s="405">
        <v>3952</v>
      </c>
      <c r="Q146" s="405">
        <v>8966</v>
      </c>
      <c r="R146" s="405">
        <v>117</v>
      </c>
      <c r="S146" s="405">
        <v>107</v>
      </c>
      <c r="T146" s="405">
        <v>224</v>
      </c>
      <c r="U146" s="405"/>
      <c r="V146" s="405"/>
      <c r="W146" s="405"/>
      <c r="X146" s="406">
        <v>8112</v>
      </c>
      <c r="Y146" s="406">
        <v>5180</v>
      </c>
      <c r="Z146" s="406">
        <v>13292</v>
      </c>
      <c r="AA146" s="27"/>
      <c r="AB146" s="27"/>
    </row>
    <row r="147" spans="2:28" hidden="1" outlineLevel="1" x14ac:dyDescent="0.25">
      <c r="B147" s="404">
        <v>42826</v>
      </c>
      <c r="C147" s="405"/>
      <c r="D147" s="405"/>
      <c r="E147" s="405"/>
      <c r="F147" s="405"/>
      <c r="G147" s="405"/>
      <c r="H147" s="405"/>
      <c r="I147" s="405">
        <v>1749</v>
      </c>
      <c r="J147" s="405">
        <v>570</v>
      </c>
      <c r="K147" s="405">
        <v>2319</v>
      </c>
      <c r="L147" s="405">
        <v>979</v>
      </c>
      <c r="M147" s="405">
        <v>442</v>
      </c>
      <c r="N147" s="405">
        <v>1421</v>
      </c>
      <c r="O147" s="405">
        <v>3906</v>
      </c>
      <c r="P147" s="405">
        <v>3116</v>
      </c>
      <c r="Q147" s="405">
        <v>7022</v>
      </c>
      <c r="R147" s="405">
        <v>107</v>
      </c>
      <c r="S147" s="405">
        <v>105</v>
      </c>
      <c r="T147" s="405">
        <v>212</v>
      </c>
      <c r="U147" s="405"/>
      <c r="V147" s="405"/>
      <c r="W147" s="405"/>
      <c r="X147" s="406">
        <v>6741</v>
      </c>
      <c r="Y147" s="406">
        <v>4233</v>
      </c>
      <c r="Z147" s="406">
        <v>10974</v>
      </c>
      <c r="AA147" s="27"/>
      <c r="AB147" s="27"/>
    </row>
    <row r="148" spans="2:28" hidden="1" outlineLevel="1" x14ac:dyDescent="0.25">
      <c r="B148" s="404">
        <v>42856</v>
      </c>
      <c r="C148" s="405"/>
      <c r="D148" s="405"/>
      <c r="E148" s="405"/>
      <c r="F148" s="405"/>
      <c r="G148" s="405"/>
      <c r="H148" s="405"/>
      <c r="I148" s="405">
        <v>2059</v>
      </c>
      <c r="J148" s="405">
        <v>666</v>
      </c>
      <c r="K148" s="405">
        <v>2725</v>
      </c>
      <c r="L148" s="405">
        <v>1125</v>
      </c>
      <c r="M148" s="405">
        <v>457</v>
      </c>
      <c r="N148" s="405">
        <v>1582</v>
      </c>
      <c r="O148" s="405">
        <v>4943</v>
      </c>
      <c r="P148" s="405">
        <v>4994</v>
      </c>
      <c r="Q148" s="405">
        <v>9937</v>
      </c>
      <c r="R148" s="405">
        <v>122</v>
      </c>
      <c r="S148" s="405">
        <v>148</v>
      </c>
      <c r="T148" s="405">
        <v>270</v>
      </c>
      <c r="U148" s="405"/>
      <c r="V148" s="405"/>
      <c r="W148" s="405"/>
      <c r="X148" s="406">
        <v>8249</v>
      </c>
      <c r="Y148" s="406">
        <v>6265</v>
      </c>
      <c r="Z148" s="406">
        <v>14514</v>
      </c>
      <c r="AA148" s="27"/>
      <c r="AB148" s="27"/>
    </row>
    <row r="149" spans="2:28" hidden="1" outlineLevel="1" x14ac:dyDescent="0.25">
      <c r="B149" s="404">
        <v>42887</v>
      </c>
      <c r="C149" s="405"/>
      <c r="D149" s="405"/>
      <c r="E149" s="405"/>
      <c r="F149" s="405"/>
      <c r="G149" s="405"/>
      <c r="H149" s="405"/>
      <c r="I149" s="405">
        <v>1857</v>
      </c>
      <c r="J149" s="405">
        <v>610</v>
      </c>
      <c r="K149" s="405">
        <v>2467</v>
      </c>
      <c r="L149" s="405">
        <v>990</v>
      </c>
      <c r="M149" s="405">
        <v>484</v>
      </c>
      <c r="N149" s="405">
        <v>1474</v>
      </c>
      <c r="O149" s="405">
        <v>4274</v>
      </c>
      <c r="P149" s="405">
        <v>3699</v>
      </c>
      <c r="Q149" s="405">
        <v>7973</v>
      </c>
      <c r="R149" s="405">
        <v>105</v>
      </c>
      <c r="S149" s="405">
        <v>113</v>
      </c>
      <c r="T149" s="405">
        <v>218</v>
      </c>
      <c r="U149" s="405"/>
      <c r="V149" s="405"/>
      <c r="W149" s="405"/>
      <c r="X149" s="406">
        <v>7226</v>
      </c>
      <c r="Y149" s="406">
        <v>4906</v>
      </c>
      <c r="Z149" s="406">
        <v>12132</v>
      </c>
      <c r="AA149" s="27"/>
      <c r="AB149" s="27"/>
    </row>
    <row r="150" spans="2:28" hidden="1" outlineLevel="1" x14ac:dyDescent="0.25">
      <c r="B150" s="404">
        <v>42917</v>
      </c>
      <c r="C150" s="405"/>
      <c r="D150" s="405"/>
      <c r="E150" s="405"/>
      <c r="F150" s="405"/>
      <c r="G150" s="405"/>
      <c r="H150" s="405"/>
      <c r="I150" s="405">
        <v>2074</v>
      </c>
      <c r="J150" s="405">
        <v>735</v>
      </c>
      <c r="K150" s="405">
        <v>2809</v>
      </c>
      <c r="L150" s="405">
        <v>1126</v>
      </c>
      <c r="M150" s="405">
        <v>500</v>
      </c>
      <c r="N150" s="405">
        <v>1626</v>
      </c>
      <c r="O150" s="405">
        <v>5358</v>
      </c>
      <c r="P150" s="405">
        <v>4174</v>
      </c>
      <c r="Q150" s="405">
        <v>9532</v>
      </c>
      <c r="R150" s="405">
        <v>168</v>
      </c>
      <c r="S150" s="405">
        <v>126</v>
      </c>
      <c r="T150" s="405">
        <v>294</v>
      </c>
      <c r="U150" s="405"/>
      <c r="V150" s="405"/>
      <c r="W150" s="405"/>
      <c r="X150" s="406">
        <v>8726</v>
      </c>
      <c r="Y150" s="406">
        <v>5535</v>
      </c>
      <c r="Z150" s="406">
        <v>14261</v>
      </c>
      <c r="AA150" s="27"/>
      <c r="AB150" s="27"/>
    </row>
    <row r="151" spans="2:28" hidden="1" outlineLevel="1" x14ac:dyDescent="0.25">
      <c r="B151" s="404">
        <v>42948</v>
      </c>
      <c r="C151" s="405"/>
      <c r="D151" s="405"/>
      <c r="E151" s="405"/>
      <c r="F151" s="405"/>
      <c r="G151" s="405"/>
      <c r="H151" s="405"/>
      <c r="I151" s="405">
        <v>2285</v>
      </c>
      <c r="J151" s="405">
        <v>711</v>
      </c>
      <c r="K151" s="405">
        <v>2996</v>
      </c>
      <c r="L151" s="405">
        <v>1155</v>
      </c>
      <c r="M151" s="405">
        <v>518</v>
      </c>
      <c r="N151" s="405">
        <v>1673</v>
      </c>
      <c r="O151" s="405">
        <v>5558</v>
      </c>
      <c r="P151" s="405">
        <v>4389</v>
      </c>
      <c r="Q151" s="405">
        <v>9947</v>
      </c>
      <c r="R151" s="405">
        <v>143</v>
      </c>
      <c r="S151" s="405">
        <v>162</v>
      </c>
      <c r="T151" s="405">
        <v>305</v>
      </c>
      <c r="U151" s="405"/>
      <c r="V151" s="405"/>
      <c r="W151" s="405"/>
      <c r="X151" s="406">
        <v>9141</v>
      </c>
      <c r="Y151" s="406">
        <v>5780</v>
      </c>
      <c r="Z151" s="406">
        <v>14921</v>
      </c>
      <c r="AA151" s="27"/>
      <c r="AB151" s="27"/>
    </row>
    <row r="152" spans="2:28" hidden="1" outlineLevel="1" x14ac:dyDescent="0.25">
      <c r="B152" s="404">
        <v>42979</v>
      </c>
      <c r="C152" s="405"/>
      <c r="D152" s="405"/>
      <c r="E152" s="405"/>
      <c r="F152" s="405"/>
      <c r="G152" s="405"/>
      <c r="H152" s="405"/>
      <c r="I152" s="405">
        <v>2012</v>
      </c>
      <c r="J152" s="405">
        <v>670</v>
      </c>
      <c r="K152" s="405">
        <v>2682</v>
      </c>
      <c r="L152" s="405">
        <v>921</v>
      </c>
      <c r="M152" s="405">
        <v>450</v>
      </c>
      <c r="N152" s="405">
        <v>1371</v>
      </c>
      <c r="O152" s="405">
        <v>4575</v>
      </c>
      <c r="P152" s="405">
        <v>3682</v>
      </c>
      <c r="Q152" s="405">
        <v>8257</v>
      </c>
      <c r="R152" s="405">
        <v>136</v>
      </c>
      <c r="S152" s="405">
        <v>123</v>
      </c>
      <c r="T152" s="405">
        <v>259</v>
      </c>
      <c r="U152" s="405"/>
      <c r="V152" s="405"/>
      <c r="W152" s="405"/>
      <c r="X152" s="406">
        <v>7644</v>
      </c>
      <c r="Y152" s="406">
        <v>4925</v>
      </c>
      <c r="Z152" s="406">
        <v>12569</v>
      </c>
      <c r="AA152" s="27"/>
      <c r="AB152" s="27"/>
    </row>
    <row r="153" spans="2:28" hidden="1" outlineLevel="1" x14ac:dyDescent="0.25">
      <c r="B153" s="404">
        <v>43009</v>
      </c>
      <c r="C153" s="405"/>
      <c r="D153" s="405"/>
      <c r="E153" s="405"/>
      <c r="F153" s="405"/>
      <c r="G153" s="405"/>
      <c r="H153" s="405"/>
      <c r="I153" s="405">
        <v>2346</v>
      </c>
      <c r="J153" s="405">
        <v>688</v>
      </c>
      <c r="K153" s="405">
        <v>3034</v>
      </c>
      <c r="L153" s="405">
        <v>1071</v>
      </c>
      <c r="M153" s="405">
        <v>514</v>
      </c>
      <c r="N153" s="405">
        <v>1585</v>
      </c>
      <c r="O153" s="405">
        <v>5388</v>
      </c>
      <c r="P153" s="405">
        <v>4297</v>
      </c>
      <c r="Q153" s="405">
        <v>9685</v>
      </c>
      <c r="R153" s="405">
        <v>165</v>
      </c>
      <c r="S153" s="405">
        <v>147</v>
      </c>
      <c r="T153" s="405">
        <v>312</v>
      </c>
      <c r="U153" s="405"/>
      <c r="V153" s="405"/>
      <c r="W153" s="405"/>
      <c r="X153" s="406">
        <v>8970</v>
      </c>
      <c r="Y153" s="406">
        <v>5646</v>
      </c>
      <c r="Z153" s="406">
        <v>14616</v>
      </c>
      <c r="AA153" s="27"/>
      <c r="AB153" s="27"/>
    </row>
    <row r="154" spans="2:28" hidden="1" outlineLevel="1" x14ac:dyDescent="0.25">
      <c r="B154" s="404">
        <v>43040</v>
      </c>
      <c r="C154" s="405"/>
      <c r="D154" s="405"/>
      <c r="E154" s="405"/>
      <c r="F154" s="405"/>
      <c r="G154" s="405"/>
      <c r="H154" s="405"/>
      <c r="I154" s="405">
        <v>2115</v>
      </c>
      <c r="J154" s="405">
        <v>641</v>
      </c>
      <c r="K154" s="405">
        <v>2756</v>
      </c>
      <c r="L154" s="405">
        <v>1146</v>
      </c>
      <c r="M154" s="405">
        <v>518</v>
      </c>
      <c r="N154" s="405">
        <v>1664</v>
      </c>
      <c r="O154" s="405">
        <v>5113</v>
      </c>
      <c r="P154" s="405">
        <v>3942</v>
      </c>
      <c r="Q154" s="405">
        <v>9055</v>
      </c>
      <c r="R154" s="405">
        <v>150</v>
      </c>
      <c r="S154" s="405">
        <v>166</v>
      </c>
      <c r="T154" s="405">
        <v>316</v>
      </c>
      <c r="U154" s="405"/>
      <c r="V154" s="405"/>
      <c r="W154" s="405"/>
      <c r="X154" s="406">
        <v>8524</v>
      </c>
      <c r="Y154" s="406">
        <v>5267</v>
      </c>
      <c r="Z154" s="406">
        <v>13791</v>
      </c>
      <c r="AA154" s="27"/>
      <c r="AB154" s="27"/>
    </row>
    <row r="155" spans="2:28" hidden="1" outlineLevel="1" x14ac:dyDescent="0.25">
      <c r="B155" s="404">
        <v>43070</v>
      </c>
      <c r="C155" s="405"/>
      <c r="D155" s="405"/>
      <c r="E155" s="405"/>
      <c r="F155" s="405"/>
      <c r="G155" s="405"/>
      <c r="H155" s="405"/>
      <c r="I155" s="405">
        <v>1793</v>
      </c>
      <c r="J155" s="405">
        <v>608</v>
      </c>
      <c r="K155" s="405">
        <v>2401</v>
      </c>
      <c r="L155" s="405">
        <v>900</v>
      </c>
      <c r="M155" s="405">
        <v>394</v>
      </c>
      <c r="N155" s="405">
        <v>1294</v>
      </c>
      <c r="O155" s="405">
        <v>4249</v>
      </c>
      <c r="P155" s="405">
        <v>3652</v>
      </c>
      <c r="Q155" s="405">
        <v>7901</v>
      </c>
      <c r="R155" s="405">
        <v>135</v>
      </c>
      <c r="S155" s="405">
        <v>140</v>
      </c>
      <c r="T155" s="405">
        <v>275</v>
      </c>
      <c r="U155" s="405"/>
      <c r="V155" s="405"/>
      <c r="W155" s="405"/>
      <c r="X155" s="406">
        <v>7077</v>
      </c>
      <c r="Y155" s="406">
        <v>4794</v>
      </c>
      <c r="Z155" s="406">
        <v>11871</v>
      </c>
      <c r="AA155" s="27"/>
      <c r="AB155" s="27"/>
    </row>
    <row r="156" spans="2:28" collapsed="1" x14ac:dyDescent="0.25">
      <c r="B156" s="407" t="s">
        <v>758</v>
      </c>
      <c r="C156" s="408" t="s">
        <v>916</v>
      </c>
      <c r="D156" s="408" t="s">
        <v>916</v>
      </c>
      <c r="E156" s="408" t="s">
        <v>916</v>
      </c>
      <c r="F156" s="408" t="s">
        <v>916</v>
      </c>
      <c r="G156" s="408" t="s">
        <v>916</v>
      </c>
      <c r="H156" s="408" t="s">
        <v>916</v>
      </c>
      <c r="I156" s="408">
        <v>2017</v>
      </c>
      <c r="J156" s="408">
        <v>652</v>
      </c>
      <c r="K156" s="408">
        <v>2669</v>
      </c>
      <c r="L156" s="408">
        <v>1048</v>
      </c>
      <c r="M156" s="408">
        <v>480</v>
      </c>
      <c r="N156" s="408">
        <v>1528</v>
      </c>
      <c r="O156" s="408">
        <v>4749</v>
      </c>
      <c r="P156" s="408">
        <v>3879</v>
      </c>
      <c r="Q156" s="408">
        <v>8628</v>
      </c>
      <c r="R156" s="408">
        <v>133</v>
      </c>
      <c r="S156" s="408">
        <v>131</v>
      </c>
      <c r="T156" s="408">
        <v>264</v>
      </c>
      <c r="U156" s="408" t="s">
        <v>916</v>
      </c>
      <c r="V156" s="408" t="s">
        <v>916</v>
      </c>
      <c r="W156" s="408" t="s">
        <v>916</v>
      </c>
      <c r="X156" s="408">
        <v>7947</v>
      </c>
      <c r="Y156" s="408">
        <v>5142</v>
      </c>
      <c r="Z156" s="408">
        <v>13089</v>
      </c>
      <c r="AA156" s="27"/>
      <c r="AB156" s="27"/>
    </row>
    <row r="157" spans="2:28" hidden="1" outlineLevel="1" x14ac:dyDescent="0.25">
      <c r="B157" s="404">
        <v>43101</v>
      </c>
      <c r="C157" s="405"/>
      <c r="D157" s="405"/>
      <c r="E157" s="405"/>
      <c r="F157" s="405"/>
      <c r="G157" s="405"/>
      <c r="H157" s="405"/>
      <c r="I157" s="405">
        <v>2086</v>
      </c>
      <c r="J157" s="405">
        <v>635</v>
      </c>
      <c r="K157" s="405">
        <v>2721</v>
      </c>
      <c r="L157" s="405">
        <v>988</v>
      </c>
      <c r="M157" s="405">
        <v>465</v>
      </c>
      <c r="N157" s="405">
        <v>1453</v>
      </c>
      <c r="O157" s="405">
        <v>6381</v>
      </c>
      <c r="P157" s="405">
        <v>4778</v>
      </c>
      <c r="Q157" s="405">
        <v>11159</v>
      </c>
      <c r="R157" s="405">
        <v>206</v>
      </c>
      <c r="S157" s="405">
        <v>195</v>
      </c>
      <c r="T157" s="405">
        <v>401</v>
      </c>
      <c r="U157" s="405"/>
      <c r="V157" s="405"/>
      <c r="W157" s="405"/>
      <c r="X157" s="406">
        <v>9661</v>
      </c>
      <c r="Y157" s="406">
        <v>6073</v>
      </c>
      <c r="Z157" s="406">
        <v>15734</v>
      </c>
      <c r="AA157" s="27"/>
      <c r="AB157" s="27"/>
    </row>
    <row r="158" spans="2:28" hidden="1" outlineLevel="1" x14ac:dyDescent="0.25">
      <c r="B158" s="404">
        <v>43132</v>
      </c>
      <c r="C158" s="405"/>
      <c r="D158" s="405"/>
      <c r="E158" s="405"/>
      <c r="F158" s="405"/>
      <c r="G158" s="405"/>
      <c r="H158" s="405"/>
      <c r="I158" s="405">
        <v>1731</v>
      </c>
      <c r="J158" s="405">
        <v>570</v>
      </c>
      <c r="K158" s="405">
        <v>2301</v>
      </c>
      <c r="L158" s="405">
        <v>807</v>
      </c>
      <c r="M158" s="405">
        <v>366</v>
      </c>
      <c r="N158" s="405">
        <v>1173</v>
      </c>
      <c r="O158" s="405">
        <v>6536</v>
      </c>
      <c r="P158" s="405">
        <v>4515</v>
      </c>
      <c r="Q158" s="405">
        <v>11051</v>
      </c>
      <c r="R158" s="405">
        <v>393</v>
      </c>
      <c r="S158" s="405">
        <v>339</v>
      </c>
      <c r="T158" s="405">
        <v>732</v>
      </c>
      <c r="U158" s="405"/>
      <c r="V158" s="405"/>
      <c r="W158" s="405"/>
      <c r="X158" s="406">
        <v>9467</v>
      </c>
      <c r="Y158" s="406">
        <v>5790</v>
      </c>
      <c r="Z158" s="406">
        <v>15257</v>
      </c>
      <c r="AA158" s="27"/>
      <c r="AB158" s="27"/>
    </row>
    <row r="159" spans="2:28" hidden="1" outlineLevel="1" x14ac:dyDescent="0.25">
      <c r="B159" s="404">
        <v>43160</v>
      </c>
      <c r="C159" s="405"/>
      <c r="D159" s="405"/>
      <c r="E159" s="405"/>
      <c r="F159" s="405"/>
      <c r="G159" s="405"/>
      <c r="H159" s="405"/>
      <c r="I159" s="405">
        <v>1975</v>
      </c>
      <c r="J159" s="405">
        <v>651</v>
      </c>
      <c r="K159" s="405">
        <v>2626</v>
      </c>
      <c r="L159" s="405">
        <v>1022</v>
      </c>
      <c r="M159" s="405">
        <v>436</v>
      </c>
      <c r="N159" s="405">
        <v>1458</v>
      </c>
      <c r="O159" s="405">
        <v>5801</v>
      </c>
      <c r="P159" s="405">
        <v>4589</v>
      </c>
      <c r="Q159" s="405">
        <v>10390</v>
      </c>
      <c r="R159" s="405">
        <v>464</v>
      </c>
      <c r="S159" s="405">
        <v>457</v>
      </c>
      <c r="T159" s="405">
        <v>921</v>
      </c>
      <c r="U159" s="405"/>
      <c r="V159" s="405"/>
      <c r="W159" s="405"/>
      <c r="X159" s="406">
        <v>9262</v>
      </c>
      <c r="Y159" s="406">
        <v>6133</v>
      </c>
      <c r="Z159" s="406">
        <v>15395</v>
      </c>
      <c r="AA159" s="27"/>
      <c r="AB159" s="27"/>
    </row>
    <row r="160" spans="2:28" hidden="1" outlineLevel="1" x14ac:dyDescent="0.25">
      <c r="B160" s="404">
        <v>43191</v>
      </c>
      <c r="C160" s="405"/>
      <c r="D160" s="405"/>
      <c r="E160" s="405"/>
      <c r="F160" s="405"/>
      <c r="G160" s="405"/>
      <c r="H160" s="405"/>
      <c r="I160" s="405">
        <v>1961</v>
      </c>
      <c r="J160" s="405">
        <v>605</v>
      </c>
      <c r="K160" s="405">
        <v>2566</v>
      </c>
      <c r="L160" s="405">
        <v>1037</v>
      </c>
      <c r="M160" s="405">
        <v>474</v>
      </c>
      <c r="N160" s="405">
        <v>1511</v>
      </c>
      <c r="O160" s="405">
        <v>5284</v>
      </c>
      <c r="P160" s="405">
        <v>4475</v>
      </c>
      <c r="Q160" s="405">
        <v>9759</v>
      </c>
      <c r="R160" s="405">
        <v>428</v>
      </c>
      <c r="S160" s="405">
        <v>409</v>
      </c>
      <c r="T160" s="405">
        <v>837</v>
      </c>
      <c r="U160" s="405"/>
      <c r="V160" s="405"/>
      <c r="W160" s="405"/>
      <c r="X160" s="406">
        <v>8710</v>
      </c>
      <c r="Y160" s="406">
        <v>5963</v>
      </c>
      <c r="Z160" s="406">
        <v>14673</v>
      </c>
      <c r="AA160" s="27"/>
      <c r="AB160" s="27"/>
    </row>
    <row r="161" spans="2:28" hidden="1" outlineLevel="1" x14ac:dyDescent="0.25">
      <c r="B161" s="404">
        <v>43221</v>
      </c>
      <c r="C161" s="405"/>
      <c r="D161" s="405"/>
      <c r="E161" s="405"/>
      <c r="F161" s="405"/>
      <c r="G161" s="405"/>
      <c r="H161" s="405"/>
      <c r="I161" s="405">
        <v>2114</v>
      </c>
      <c r="J161" s="405">
        <v>616</v>
      </c>
      <c r="K161" s="405">
        <v>2730</v>
      </c>
      <c r="L161" s="405">
        <v>968</v>
      </c>
      <c r="M161" s="405">
        <v>416</v>
      </c>
      <c r="N161" s="405">
        <v>1384</v>
      </c>
      <c r="O161" s="405">
        <v>5710</v>
      </c>
      <c r="P161" s="405">
        <v>5628</v>
      </c>
      <c r="Q161" s="405">
        <v>11338</v>
      </c>
      <c r="R161" s="405">
        <v>253</v>
      </c>
      <c r="S161" s="405">
        <v>304</v>
      </c>
      <c r="T161" s="405">
        <v>557</v>
      </c>
      <c r="U161" s="405"/>
      <c r="V161" s="405"/>
      <c r="W161" s="405"/>
      <c r="X161" s="406">
        <v>9045</v>
      </c>
      <c r="Y161" s="406">
        <v>6964</v>
      </c>
      <c r="Z161" s="406">
        <v>16009</v>
      </c>
      <c r="AA161" s="27"/>
      <c r="AB161" s="27"/>
    </row>
    <row r="162" spans="2:28" hidden="1" outlineLevel="1" x14ac:dyDescent="0.25">
      <c r="B162" s="404">
        <v>43252</v>
      </c>
      <c r="C162" s="405"/>
      <c r="D162" s="405"/>
      <c r="E162" s="405"/>
      <c r="F162" s="405"/>
      <c r="G162" s="405"/>
      <c r="H162" s="405"/>
      <c r="I162" s="405">
        <v>1925</v>
      </c>
      <c r="J162" s="405">
        <v>583</v>
      </c>
      <c r="K162" s="405">
        <v>2508</v>
      </c>
      <c r="L162" s="405">
        <v>982</v>
      </c>
      <c r="M162" s="405">
        <v>434</v>
      </c>
      <c r="N162" s="405">
        <v>1416</v>
      </c>
      <c r="O162" s="405">
        <v>5272</v>
      </c>
      <c r="P162" s="405">
        <v>4572</v>
      </c>
      <c r="Q162" s="405">
        <v>9844</v>
      </c>
      <c r="R162" s="405">
        <v>238</v>
      </c>
      <c r="S162" s="405">
        <v>286</v>
      </c>
      <c r="T162" s="405">
        <v>524</v>
      </c>
      <c r="U162" s="405"/>
      <c r="V162" s="405"/>
      <c r="W162" s="405"/>
      <c r="X162" s="406">
        <v>8417</v>
      </c>
      <c r="Y162" s="406">
        <v>5875</v>
      </c>
      <c r="Z162" s="406">
        <v>14292</v>
      </c>
      <c r="AA162" s="27"/>
      <c r="AB162" s="27"/>
    </row>
    <row r="163" spans="2:28" hidden="1" outlineLevel="1" x14ac:dyDescent="0.25">
      <c r="B163" s="404">
        <v>43282</v>
      </c>
      <c r="C163" s="405"/>
      <c r="D163" s="405"/>
      <c r="E163" s="405"/>
      <c r="F163" s="405"/>
      <c r="G163" s="405"/>
      <c r="H163" s="405"/>
      <c r="I163" s="405">
        <v>2117</v>
      </c>
      <c r="J163" s="405">
        <v>648</v>
      </c>
      <c r="K163" s="405">
        <v>2765</v>
      </c>
      <c r="L163" s="405">
        <v>969</v>
      </c>
      <c r="M163" s="405">
        <v>488</v>
      </c>
      <c r="N163" s="405">
        <v>1457</v>
      </c>
      <c r="O163" s="405">
        <v>5676</v>
      </c>
      <c r="P163" s="405">
        <v>4730</v>
      </c>
      <c r="Q163" s="405">
        <v>10406</v>
      </c>
      <c r="R163" s="405">
        <v>232</v>
      </c>
      <c r="S163" s="405">
        <v>248</v>
      </c>
      <c r="T163" s="405">
        <v>480</v>
      </c>
      <c r="U163" s="405"/>
      <c r="V163" s="405"/>
      <c r="W163" s="405"/>
      <c r="X163" s="406">
        <v>8994</v>
      </c>
      <c r="Y163" s="406">
        <v>6114</v>
      </c>
      <c r="Z163" s="406">
        <v>15108</v>
      </c>
      <c r="AA163" s="27"/>
      <c r="AB163" s="27"/>
    </row>
    <row r="164" spans="2:28" hidden="1" outlineLevel="1" x14ac:dyDescent="0.25">
      <c r="B164" s="404">
        <v>43313</v>
      </c>
      <c r="C164" s="405"/>
      <c r="D164" s="405"/>
      <c r="E164" s="405"/>
      <c r="F164" s="405"/>
      <c r="G164" s="405"/>
      <c r="H164" s="405"/>
      <c r="I164" s="405">
        <v>2344</v>
      </c>
      <c r="J164" s="405">
        <v>696</v>
      </c>
      <c r="K164" s="405">
        <v>3040</v>
      </c>
      <c r="L164" s="405">
        <v>1128</v>
      </c>
      <c r="M164" s="405">
        <v>513</v>
      </c>
      <c r="N164" s="405">
        <v>1641</v>
      </c>
      <c r="O164" s="405">
        <v>6147</v>
      </c>
      <c r="P164" s="405">
        <v>4876</v>
      </c>
      <c r="Q164" s="405">
        <v>11023</v>
      </c>
      <c r="R164" s="405">
        <v>211</v>
      </c>
      <c r="S164" s="405">
        <v>216</v>
      </c>
      <c r="T164" s="405">
        <v>427</v>
      </c>
      <c r="U164" s="405"/>
      <c r="V164" s="405"/>
      <c r="W164" s="405"/>
      <c r="X164" s="406">
        <v>9830</v>
      </c>
      <c r="Y164" s="406">
        <v>6301</v>
      </c>
      <c r="Z164" s="406">
        <v>16131</v>
      </c>
      <c r="AA164" s="27"/>
      <c r="AB164" s="27"/>
    </row>
    <row r="165" spans="2:28" hidden="1" outlineLevel="1" x14ac:dyDescent="0.25">
      <c r="B165" s="404">
        <v>43344</v>
      </c>
      <c r="C165" s="405"/>
      <c r="D165" s="405"/>
      <c r="E165" s="405"/>
      <c r="F165" s="405"/>
      <c r="G165" s="405"/>
      <c r="H165" s="405"/>
      <c r="I165" s="405">
        <v>1678</v>
      </c>
      <c r="J165" s="405">
        <v>447</v>
      </c>
      <c r="K165" s="405">
        <v>2125</v>
      </c>
      <c r="L165" s="405">
        <v>864</v>
      </c>
      <c r="M165" s="405">
        <v>387</v>
      </c>
      <c r="N165" s="405">
        <v>1251</v>
      </c>
      <c r="O165" s="405">
        <v>4883</v>
      </c>
      <c r="P165" s="405">
        <v>3688</v>
      </c>
      <c r="Q165" s="405">
        <v>8571</v>
      </c>
      <c r="R165" s="405">
        <v>159</v>
      </c>
      <c r="S165" s="405">
        <v>180</v>
      </c>
      <c r="T165" s="405">
        <v>339</v>
      </c>
      <c r="U165" s="405"/>
      <c r="V165" s="405"/>
      <c r="W165" s="405"/>
      <c r="X165" s="406">
        <v>7584</v>
      </c>
      <c r="Y165" s="406">
        <v>4702</v>
      </c>
      <c r="Z165" s="406">
        <v>12286</v>
      </c>
      <c r="AA165" s="27"/>
      <c r="AB165" s="27"/>
    </row>
    <row r="166" spans="2:28" hidden="1" outlineLevel="1" x14ac:dyDescent="0.25">
      <c r="B166" s="404">
        <v>43374</v>
      </c>
      <c r="C166" s="405"/>
      <c r="D166" s="405"/>
      <c r="E166" s="405"/>
      <c r="F166" s="405"/>
      <c r="G166" s="405"/>
      <c r="H166" s="405"/>
      <c r="I166" s="405">
        <v>2458</v>
      </c>
      <c r="J166" s="405">
        <v>723</v>
      </c>
      <c r="K166" s="405">
        <v>3181</v>
      </c>
      <c r="L166" s="405">
        <v>1050</v>
      </c>
      <c r="M166" s="405">
        <v>469</v>
      </c>
      <c r="N166" s="405">
        <v>1519</v>
      </c>
      <c r="O166" s="405">
        <v>6785</v>
      </c>
      <c r="P166" s="405">
        <v>5097</v>
      </c>
      <c r="Q166" s="405">
        <v>11882</v>
      </c>
      <c r="R166" s="405">
        <v>195</v>
      </c>
      <c r="S166" s="405">
        <v>224</v>
      </c>
      <c r="T166" s="405">
        <v>419</v>
      </c>
      <c r="U166" s="405"/>
      <c r="V166" s="405"/>
      <c r="W166" s="405"/>
      <c r="X166" s="406">
        <v>10488</v>
      </c>
      <c r="Y166" s="406">
        <v>6513</v>
      </c>
      <c r="Z166" s="406">
        <v>17001</v>
      </c>
      <c r="AA166" s="27"/>
      <c r="AB166" s="27"/>
    </row>
    <row r="167" spans="2:28" hidden="1" outlineLevel="1" x14ac:dyDescent="0.25">
      <c r="B167" s="404">
        <v>43405</v>
      </c>
      <c r="C167" s="405"/>
      <c r="D167" s="405"/>
      <c r="E167" s="405"/>
      <c r="F167" s="405"/>
      <c r="G167" s="405"/>
      <c r="H167" s="405"/>
      <c r="I167" s="405">
        <v>2005</v>
      </c>
      <c r="J167" s="405">
        <v>626</v>
      </c>
      <c r="K167" s="405">
        <v>2631</v>
      </c>
      <c r="L167" s="405">
        <v>932</v>
      </c>
      <c r="M167" s="405">
        <v>473</v>
      </c>
      <c r="N167" s="405">
        <v>1405</v>
      </c>
      <c r="O167" s="405">
        <v>5335</v>
      </c>
      <c r="P167" s="405">
        <v>4162</v>
      </c>
      <c r="Q167" s="405">
        <v>9497</v>
      </c>
      <c r="R167" s="405">
        <v>147</v>
      </c>
      <c r="S167" s="405">
        <v>161</v>
      </c>
      <c r="T167" s="405">
        <v>308</v>
      </c>
      <c r="U167" s="405"/>
      <c r="V167" s="405"/>
      <c r="W167" s="405"/>
      <c r="X167" s="406">
        <v>8419</v>
      </c>
      <c r="Y167" s="406">
        <v>5422</v>
      </c>
      <c r="Z167" s="406">
        <v>13841</v>
      </c>
      <c r="AA167" s="27"/>
      <c r="AB167" s="27"/>
    </row>
    <row r="168" spans="2:28" hidden="1" outlineLevel="1" x14ac:dyDescent="0.25">
      <c r="B168" s="404">
        <v>43435</v>
      </c>
      <c r="C168" s="405"/>
      <c r="D168" s="405"/>
      <c r="E168" s="405"/>
      <c r="F168" s="405"/>
      <c r="G168" s="405"/>
      <c r="H168" s="405"/>
      <c r="I168" s="405">
        <v>1836</v>
      </c>
      <c r="J168" s="405">
        <v>537</v>
      </c>
      <c r="K168" s="405">
        <v>2373</v>
      </c>
      <c r="L168" s="405">
        <v>855</v>
      </c>
      <c r="M168" s="405">
        <v>472</v>
      </c>
      <c r="N168" s="405">
        <v>1327</v>
      </c>
      <c r="O168" s="405">
        <v>4639</v>
      </c>
      <c r="P168" s="405">
        <v>4008</v>
      </c>
      <c r="Q168" s="405">
        <v>8647</v>
      </c>
      <c r="R168" s="405">
        <v>168</v>
      </c>
      <c r="S168" s="405">
        <v>159</v>
      </c>
      <c r="T168" s="405">
        <v>327</v>
      </c>
      <c r="U168" s="405"/>
      <c r="V168" s="405"/>
      <c r="W168" s="405"/>
      <c r="X168" s="406">
        <v>7498</v>
      </c>
      <c r="Y168" s="406">
        <v>5176</v>
      </c>
      <c r="Z168" s="406">
        <v>12674</v>
      </c>
      <c r="AA168" s="27"/>
      <c r="AB168" s="27"/>
    </row>
    <row r="169" spans="2:28" collapsed="1" x14ac:dyDescent="0.25">
      <c r="B169" s="407" t="s">
        <v>759</v>
      </c>
      <c r="C169" s="408" t="s">
        <v>916</v>
      </c>
      <c r="D169" s="408" t="s">
        <v>916</v>
      </c>
      <c r="E169" s="408" t="s">
        <v>916</v>
      </c>
      <c r="F169" s="408" t="s">
        <v>916</v>
      </c>
      <c r="G169" s="408" t="s">
        <v>916</v>
      </c>
      <c r="H169" s="408" t="s">
        <v>916</v>
      </c>
      <c r="I169" s="408">
        <v>2019</v>
      </c>
      <c r="J169" s="408">
        <v>611</v>
      </c>
      <c r="K169" s="408">
        <v>2631</v>
      </c>
      <c r="L169" s="408">
        <v>967</v>
      </c>
      <c r="M169" s="408">
        <v>449</v>
      </c>
      <c r="N169" s="408">
        <v>1416</v>
      </c>
      <c r="O169" s="408">
        <v>5704</v>
      </c>
      <c r="P169" s="408">
        <v>4593</v>
      </c>
      <c r="Q169" s="408">
        <v>10297</v>
      </c>
      <c r="R169" s="408">
        <v>258</v>
      </c>
      <c r="S169" s="408">
        <v>265</v>
      </c>
      <c r="T169" s="408">
        <v>523</v>
      </c>
      <c r="U169" s="408" t="s">
        <v>916</v>
      </c>
      <c r="V169" s="408" t="s">
        <v>916</v>
      </c>
      <c r="W169" s="408" t="s">
        <v>916</v>
      </c>
      <c r="X169" s="408">
        <v>8948</v>
      </c>
      <c r="Y169" s="408">
        <v>5919</v>
      </c>
      <c r="Z169" s="408">
        <v>14867</v>
      </c>
      <c r="AA169" s="27"/>
      <c r="AB169" s="27"/>
    </row>
    <row r="170" spans="2:28" hidden="1" outlineLevel="1" x14ac:dyDescent="0.25">
      <c r="B170" s="404">
        <v>43466</v>
      </c>
      <c r="C170" s="405"/>
      <c r="D170" s="405"/>
      <c r="E170" s="405"/>
      <c r="F170" s="405"/>
      <c r="G170" s="405"/>
      <c r="H170" s="405"/>
      <c r="I170" s="405">
        <v>2108</v>
      </c>
      <c r="J170" s="405">
        <v>642</v>
      </c>
      <c r="K170" s="405">
        <v>2750</v>
      </c>
      <c r="L170" s="405">
        <v>981</v>
      </c>
      <c r="M170" s="405">
        <v>481</v>
      </c>
      <c r="N170" s="405">
        <v>1462</v>
      </c>
      <c r="O170" s="405">
        <v>5643</v>
      </c>
      <c r="P170" s="405">
        <v>4557</v>
      </c>
      <c r="Q170" s="405">
        <v>10200</v>
      </c>
      <c r="R170" s="405">
        <v>271</v>
      </c>
      <c r="S170" s="405">
        <v>294</v>
      </c>
      <c r="T170" s="405">
        <v>565</v>
      </c>
      <c r="U170" s="405"/>
      <c r="V170" s="405"/>
      <c r="W170" s="405"/>
      <c r="X170" s="406">
        <v>9003</v>
      </c>
      <c r="Y170" s="406">
        <v>5974</v>
      </c>
      <c r="Z170" s="406">
        <v>14977</v>
      </c>
      <c r="AA170" s="27"/>
      <c r="AB170" s="27"/>
    </row>
    <row r="171" spans="2:28" hidden="1" outlineLevel="1" x14ac:dyDescent="0.25">
      <c r="B171" s="404">
        <v>43497</v>
      </c>
      <c r="C171" s="405"/>
      <c r="D171" s="405"/>
      <c r="E171" s="405"/>
      <c r="F171" s="405"/>
      <c r="G171" s="405"/>
      <c r="H171" s="405"/>
      <c r="I171" s="405">
        <v>1667</v>
      </c>
      <c r="J171" s="405">
        <v>521</v>
      </c>
      <c r="K171" s="405">
        <v>2188</v>
      </c>
      <c r="L171" s="405">
        <v>857</v>
      </c>
      <c r="M171" s="405">
        <v>436</v>
      </c>
      <c r="N171" s="405">
        <v>1293</v>
      </c>
      <c r="O171" s="405">
        <v>4680</v>
      </c>
      <c r="P171" s="405">
        <v>3911</v>
      </c>
      <c r="Q171" s="405">
        <v>8591</v>
      </c>
      <c r="R171" s="405">
        <v>377</v>
      </c>
      <c r="S171" s="405">
        <v>308</v>
      </c>
      <c r="T171" s="405">
        <v>685</v>
      </c>
      <c r="U171" s="405"/>
      <c r="V171" s="405"/>
      <c r="W171" s="405"/>
      <c r="X171" s="406">
        <v>7581</v>
      </c>
      <c r="Y171" s="406">
        <v>5176</v>
      </c>
      <c r="Z171" s="406">
        <v>12757</v>
      </c>
      <c r="AA171" s="27"/>
      <c r="AB171" s="27"/>
    </row>
    <row r="172" spans="2:28" hidden="1" outlineLevel="1" x14ac:dyDescent="0.25">
      <c r="B172" s="404">
        <v>43525</v>
      </c>
      <c r="C172" s="405"/>
      <c r="D172" s="405"/>
      <c r="E172" s="405"/>
      <c r="F172" s="405"/>
      <c r="G172" s="405"/>
      <c r="H172" s="405"/>
      <c r="I172" s="405">
        <v>1894</v>
      </c>
      <c r="J172" s="405">
        <v>602</v>
      </c>
      <c r="K172" s="405">
        <v>2496</v>
      </c>
      <c r="L172" s="405">
        <v>1031</v>
      </c>
      <c r="M172" s="405">
        <v>440</v>
      </c>
      <c r="N172" s="405">
        <v>1471</v>
      </c>
      <c r="O172" s="405">
        <v>5185</v>
      </c>
      <c r="P172" s="405">
        <v>4233</v>
      </c>
      <c r="Q172" s="405">
        <v>9418</v>
      </c>
      <c r="R172" s="405">
        <v>328</v>
      </c>
      <c r="S172" s="405">
        <v>310</v>
      </c>
      <c r="T172" s="405">
        <v>638</v>
      </c>
      <c r="U172" s="405"/>
      <c r="V172" s="405"/>
      <c r="W172" s="405"/>
      <c r="X172" s="406">
        <v>8438</v>
      </c>
      <c r="Y172" s="406">
        <v>5585</v>
      </c>
      <c r="Z172" s="406">
        <v>14023</v>
      </c>
      <c r="AA172" s="27"/>
      <c r="AB172" s="27"/>
    </row>
    <row r="173" spans="2:28" hidden="1" outlineLevel="1" x14ac:dyDescent="0.25">
      <c r="B173" s="404">
        <v>43556</v>
      </c>
      <c r="C173" s="405"/>
      <c r="D173" s="405"/>
      <c r="E173" s="405"/>
      <c r="F173" s="405"/>
      <c r="G173" s="405"/>
      <c r="H173" s="405"/>
      <c r="I173" s="405">
        <v>1810</v>
      </c>
      <c r="J173" s="405">
        <v>578</v>
      </c>
      <c r="K173" s="405">
        <v>2388</v>
      </c>
      <c r="L173" s="405">
        <v>1092</v>
      </c>
      <c r="M173" s="405">
        <v>452</v>
      </c>
      <c r="N173" s="405">
        <v>1544</v>
      </c>
      <c r="O173" s="405">
        <v>4987</v>
      </c>
      <c r="P173" s="405">
        <v>4199</v>
      </c>
      <c r="Q173" s="405">
        <v>9186</v>
      </c>
      <c r="R173" s="405">
        <v>277</v>
      </c>
      <c r="S173" s="405">
        <v>307</v>
      </c>
      <c r="T173" s="405">
        <v>584</v>
      </c>
      <c r="U173" s="405"/>
      <c r="V173" s="405"/>
      <c r="W173" s="405"/>
      <c r="X173" s="406">
        <v>8166</v>
      </c>
      <c r="Y173" s="406">
        <v>5536</v>
      </c>
      <c r="Z173" s="406">
        <v>13702</v>
      </c>
      <c r="AA173" s="27"/>
      <c r="AB173" s="27"/>
    </row>
    <row r="174" spans="2:28" hidden="1" outlineLevel="1" x14ac:dyDescent="0.25">
      <c r="B174" s="404">
        <v>43586</v>
      </c>
      <c r="C174" s="405"/>
      <c r="D174" s="405"/>
      <c r="E174" s="405"/>
      <c r="F174" s="405"/>
      <c r="G174" s="405"/>
      <c r="H174" s="405"/>
      <c r="I174" s="405">
        <v>1849</v>
      </c>
      <c r="J174" s="405">
        <v>579</v>
      </c>
      <c r="K174" s="405">
        <v>2428</v>
      </c>
      <c r="L174" s="405">
        <v>945</v>
      </c>
      <c r="M174" s="405">
        <v>428</v>
      </c>
      <c r="N174" s="405">
        <v>1373</v>
      </c>
      <c r="O174" s="405">
        <v>4895</v>
      </c>
      <c r="P174" s="405">
        <v>4562</v>
      </c>
      <c r="Q174" s="405">
        <v>9457</v>
      </c>
      <c r="R174" s="405">
        <v>232</v>
      </c>
      <c r="S174" s="405">
        <v>251</v>
      </c>
      <c r="T174" s="405">
        <v>483</v>
      </c>
      <c r="U174" s="405"/>
      <c r="V174" s="405"/>
      <c r="W174" s="405"/>
      <c r="X174" s="406">
        <v>7921</v>
      </c>
      <c r="Y174" s="406">
        <v>5820</v>
      </c>
      <c r="Z174" s="406">
        <v>13741</v>
      </c>
      <c r="AA174" s="27"/>
      <c r="AB174" s="27"/>
    </row>
    <row r="175" spans="2:28" hidden="1" outlineLevel="1" x14ac:dyDescent="0.25">
      <c r="B175" s="404">
        <v>43617</v>
      </c>
      <c r="C175" s="405"/>
      <c r="D175" s="405"/>
      <c r="E175" s="405"/>
      <c r="F175" s="405"/>
      <c r="G175" s="405"/>
      <c r="H175" s="405"/>
      <c r="I175" s="405">
        <v>1705</v>
      </c>
      <c r="J175" s="405">
        <v>516</v>
      </c>
      <c r="K175" s="405">
        <v>2221</v>
      </c>
      <c r="L175" s="405">
        <v>897</v>
      </c>
      <c r="M175" s="405">
        <v>469</v>
      </c>
      <c r="N175" s="405">
        <v>1366</v>
      </c>
      <c r="O175" s="405">
        <v>4261</v>
      </c>
      <c r="P175" s="405">
        <v>3789</v>
      </c>
      <c r="Q175" s="405">
        <v>8050</v>
      </c>
      <c r="R175" s="405">
        <v>202</v>
      </c>
      <c r="S175" s="405">
        <v>199</v>
      </c>
      <c r="T175" s="405">
        <v>401</v>
      </c>
      <c r="U175" s="405"/>
      <c r="V175" s="405"/>
      <c r="W175" s="405"/>
      <c r="X175" s="406">
        <v>7065</v>
      </c>
      <c r="Y175" s="406">
        <v>4973</v>
      </c>
      <c r="Z175" s="406">
        <v>12038</v>
      </c>
      <c r="AA175" s="27"/>
      <c r="AB175" s="27"/>
    </row>
    <row r="176" spans="2:28" hidden="1" outlineLevel="1" x14ac:dyDescent="0.25">
      <c r="B176" s="404">
        <v>43647</v>
      </c>
      <c r="C176" s="405"/>
      <c r="D176" s="405"/>
      <c r="E176" s="405"/>
      <c r="F176" s="405"/>
      <c r="G176" s="405"/>
      <c r="H176" s="405"/>
      <c r="I176" s="405">
        <v>2007</v>
      </c>
      <c r="J176" s="405">
        <v>605</v>
      </c>
      <c r="K176" s="405">
        <v>2612</v>
      </c>
      <c r="L176" s="405">
        <v>1061</v>
      </c>
      <c r="M176" s="405">
        <v>513</v>
      </c>
      <c r="N176" s="405">
        <v>1574</v>
      </c>
      <c r="O176" s="405">
        <v>5493</v>
      </c>
      <c r="P176" s="405">
        <v>4700</v>
      </c>
      <c r="Q176" s="405">
        <v>10193</v>
      </c>
      <c r="R176" s="405">
        <v>238</v>
      </c>
      <c r="S176" s="405">
        <v>232</v>
      </c>
      <c r="T176" s="405">
        <v>470</v>
      </c>
      <c r="U176" s="405"/>
      <c r="V176" s="405"/>
      <c r="W176" s="405"/>
      <c r="X176" s="406">
        <v>8799</v>
      </c>
      <c r="Y176" s="406">
        <v>6050</v>
      </c>
      <c r="Z176" s="406">
        <v>14849</v>
      </c>
      <c r="AA176" s="27"/>
      <c r="AB176" s="27"/>
    </row>
    <row r="177" spans="2:28" hidden="1" outlineLevel="1" x14ac:dyDescent="0.25">
      <c r="B177" s="404">
        <v>43678</v>
      </c>
      <c r="C177" s="405"/>
      <c r="D177" s="405"/>
      <c r="E177" s="405"/>
      <c r="F177" s="405"/>
      <c r="G177" s="405"/>
      <c r="H177" s="405"/>
      <c r="I177" s="405">
        <v>2017</v>
      </c>
      <c r="J177" s="405">
        <v>567</v>
      </c>
      <c r="K177" s="405">
        <v>2584</v>
      </c>
      <c r="L177" s="405">
        <v>1022</v>
      </c>
      <c r="M177" s="405">
        <v>466</v>
      </c>
      <c r="N177" s="405">
        <v>1488</v>
      </c>
      <c r="O177" s="405">
        <v>5353</v>
      </c>
      <c r="P177" s="405">
        <v>4359</v>
      </c>
      <c r="Q177" s="405">
        <v>9712</v>
      </c>
      <c r="R177" s="405">
        <v>210</v>
      </c>
      <c r="S177" s="405">
        <v>214</v>
      </c>
      <c r="T177" s="405">
        <v>424</v>
      </c>
      <c r="U177" s="405"/>
      <c r="V177" s="405"/>
      <c r="W177" s="405"/>
      <c r="X177" s="406">
        <v>8602</v>
      </c>
      <c r="Y177" s="406">
        <v>5606</v>
      </c>
      <c r="Z177" s="406">
        <v>14208</v>
      </c>
      <c r="AA177" s="27"/>
      <c r="AB177" s="27"/>
    </row>
    <row r="178" spans="2:28" hidden="1" outlineLevel="1" x14ac:dyDescent="0.25">
      <c r="B178" s="404">
        <v>43709</v>
      </c>
      <c r="C178" s="405"/>
      <c r="D178" s="405"/>
      <c r="E178" s="405"/>
      <c r="F178" s="405"/>
      <c r="G178" s="405"/>
      <c r="H178" s="405"/>
      <c r="I178" s="405">
        <v>1940</v>
      </c>
      <c r="J178" s="405">
        <v>529</v>
      </c>
      <c r="K178" s="405">
        <v>2469</v>
      </c>
      <c r="L178" s="405">
        <v>805</v>
      </c>
      <c r="M178" s="405">
        <v>416</v>
      </c>
      <c r="N178" s="405">
        <v>1221</v>
      </c>
      <c r="O178" s="405">
        <v>4857</v>
      </c>
      <c r="P178" s="405">
        <v>3938</v>
      </c>
      <c r="Q178" s="405">
        <v>8795</v>
      </c>
      <c r="R178" s="405">
        <v>218</v>
      </c>
      <c r="S178" s="405">
        <v>239</v>
      </c>
      <c r="T178" s="405">
        <v>457</v>
      </c>
      <c r="U178" s="405"/>
      <c r="V178" s="405"/>
      <c r="W178" s="405"/>
      <c r="X178" s="406">
        <v>7820</v>
      </c>
      <c r="Y178" s="406">
        <v>5122</v>
      </c>
      <c r="Z178" s="406">
        <v>12942</v>
      </c>
      <c r="AA178" s="27"/>
      <c r="AB178" s="27"/>
    </row>
    <row r="179" spans="2:28" hidden="1" outlineLevel="1" x14ac:dyDescent="0.25">
      <c r="B179" s="404">
        <v>43739</v>
      </c>
      <c r="C179" s="405"/>
      <c r="D179" s="405"/>
      <c r="E179" s="405"/>
      <c r="F179" s="405"/>
      <c r="G179" s="405"/>
      <c r="H179" s="405"/>
      <c r="I179" s="405">
        <v>1865</v>
      </c>
      <c r="J179" s="405">
        <v>519</v>
      </c>
      <c r="K179" s="405">
        <v>2384</v>
      </c>
      <c r="L179" s="405">
        <v>840</v>
      </c>
      <c r="M179" s="405">
        <v>340</v>
      </c>
      <c r="N179" s="405">
        <v>1180</v>
      </c>
      <c r="O179" s="405">
        <v>4442</v>
      </c>
      <c r="P179" s="405">
        <v>3407</v>
      </c>
      <c r="Q179" s="405">
        <v>7849</v>
      </c>
      <c r="R179" s="405">
        <v>184</v>
      </c>
      <c r="S179" s="405">
        <v>176</v>
      </c>
      <c r="T179" s="405">
        <v>360</v>
      </c>
      <c r="U179" s="405"/>
      <c r="V179" s="405"/>
      <c r="W179" s="405"/>
      <c r="X179" s="406">
        <v>7331</v>
      </c>
      <c r="Y179" s="406">
        <v>4442</v>
      </c>
      <c r="Z179" s="406">
        <v>11773</v>
      </c>
      <c r="AA179" s="27"/>
      <c r="AB179" s="27"/>
    </row>
    <row r="180" spans="2:28" hidden="1" outlineLevel="1" x14ac:dyDescent="0.25">
      <c r="B180" s="404">
        <v>43770</v>
      </c>
      <c r="C180" s="405"/>
      <c r="D180" s="405"/>
      <c r="E180" s="405"/>
      <c r="F180" s="405"/>
      <c r="G180" s="405"/>
      <c r="H180" s="405"/>
      <c r="I180" s="405">
        <v>1706</v>
      </c>
      <c r="J180" s="405">
        <v>562</v>
      </c>
      <c r="K180" s="405">
        <v>2268</v>
      </c>
      <c r="L180" s="405">
        <v>688</v>
      </c>
      <c r="M180" s="405">
        <v>316</v>
      </c>
      <c r="N180" s="405">
        <v>1004</v>
      </c>
      <c r="O180" s="405">
        <v>4407</v>
      </c>
      <c r="P180" s="405">
        <v>3473</v>
      </c>
      <c r="Q180" s="405">
        <v>7880</v>
      </c>
      <c r="R180" s="405">
        <v>197</v>
      </c>
      <c r="S180" s="405">
        <v>191</v>
      </c>
      <c r="T180" s="405">
        <v>388</v>
      </c>
      <c r="U180" s="405"/>
      <c r="V180" s="405"/>
      <c r="W180" s="405"/>
      <c r="X180" s="406">
        <v>6998</v>
      </c>
      <c r="Y180" s="406">
        <v>4542</v>
      </c>
      <c r="Z180" s="406">
        <v>11540</v>
      </c>
      <c r="AA180" s="27"/>
      <c r="AB180" s="27"/>
    </row>
    <row r="181" spans="2:28" hidden="1" outlineLevel="1" x14ac:dyDescent="0.25">
      <c r="B181" s="404">
        <v>43800</v>
      </c>
      <c r="C181" s="405"/>
      <c r="D181" s="405"/>
      <c r="E181" s="405"/>
      <c r="F181" s="405"/>
      <c r="G181" s="405"/>
      <c r="H181" s="405"/>
      <c r="I181" s="405">
        <v>2295</v>
      </c>
      <c r="J181" s="405">
        <v>650</v>
      </c>
      <c r="K181" s="405">
        <v>2945</v>
      </c>
      <c r="L181" s="405">
        <v>1152</v>
      </c>
      <c r="M181" s="405">
        <v>509</v>
      </c>
      <c r="N181" s="405">
        <v>1661</v>
      </c>
      <c r="O181" s="405">
        <v>7261</v>
      </c>
      <c r="P181" s="405">
        <v>6275</v>
      </c>
      <c r="Q181" s="405">
        <v>13536</v>
      </c>
      <c r="R181" s="405">
        <v>290</v>
      </c>
      <c r="S181" s="405">
        <v>330</v>
      </c>
      <c r="T181" s="405">
        <v>620</v>
      </c>
      <c r="U181" s="405"/>
      <c r="V181" s="405"/>
      <c r="W181" s="405"/>
      <c r="X181" s="406">
        <v>10998</v>
      </c>
      <c r="Y181" s="406">
        <v>7764</v>
      </c>
      <c r="Z181" s="406">
        <v>18762</v>
      </c>
      <c r="AA181" s="27"/>
      <c r="AB181" s="27"/>
    </row>
    <row r="182" spans="2:28" collapsed="1" x14ac:dyDescent="0.25">
      <c r="B182" s="407" t="s">
        <v>760</v>
      </c>
      <c r="C182" s="408" t="s">
        <v>916</v>
      </c>
      <c r="D182" s="408" t="s">
        <v>916</v>
      </c>
      <c r="E182" s="408" t="s">
        <v>916</v>
      </c>
      <c r="F182" s="408" t="s">
        <v>916</v>
      </c>
      <c r="G182" s="408" t="s">
        <v>916</v>
      </c>
      <c r="H182" s="408" t="s">
        <v>916</v>
      </c>
      <c r="I182" s="408">
        <v>1905</v>
      </c>
      <c r="J182" s="408">
        <v>573</v>
      </c>
      <c r="K182" s="408">
        <v>2478</v>
      </c>
      <c r="L182" s="408">
        <v>948</v>
      </c>
      <c r="M182" s="408">
        <v>439</v>
      </c>
      <c r="N182" s="408">
        <v>1386</v>
      </c>
      <c r="O182" s="408">
        <v>5122</v>
      </c>
      <c r="P182" s="408">
        <v>4284</v>
      </c>
      <c r="Q182" s="408">
        <v>9406</v>
      </c>
      <c r="R182" s="408">
        <v>252</v>
      </c>
      <c r="S182" s="408">
        <v>254</v>
      </c>
      <c r="T182" s="408">
        <v>506</v>
      </c>
      <c r="U182" s="408" t="s">
        <v>916</v>
      </c>
      <c r="V182" s="408" t="s">
        <v>916</v>
      </c>
      <c r="W182" s="408" t="s">
        <v>916</v>
      </c>
      <c r="X182" s="408">
        <v>8227</v>
      </c>
      <c r="Y182" s="408">
        <v>5549</v>
      </c>
      <c r="Z182" s="408">
        <v>13776</v>
      </c>
      <c r="AA182" s="27"/>
      <c r="AB182" s="27"/>
    </row>
    <row r="183" spans="2:28" hidden="1" outlineLevel="1" x14ac:dyDescent="0.25">
      <c r="B183" s="404">
        <v>43831</v>
      </c>
      <c r="C183" s="405"/>
      <c r="D183" s="405"/>
      <c r="E183" s="405"/>
      <c r="F183" s="405"/>
      <c r="G183" s="405"/>
      <c r="H183" s="405"/>
      <c r="I183" s="405">
        <v>2312</v>
      </c>
      <c r="J183" s="405">
        <v>698</v>
      </c>
      <c r="K183" s="405">
        <v>3010</v>
      </c>
      <c r="L183" s="405">
        <v>1196</v>
      </c>
      <c r="M183" s="405">
        <v>557</v>
      </c>
      <c r="N183" s="405">
        <v>1753</v>
      </c>
      <c r="O183" s="405">
        <v>10259</v>
      </c>
      <c r="P183" s="405">
        <v>9632</v>
      </c>
      <c r="Q183" s="405">
        <v>19891</v>
      </c>
      <c r="R183" s="405">
        <v>371</v>
      </c>
      <c r="S183" s="405">
        <v>370</v>
      </c>
      <c r="T183" s="405">
        <v>741</v>
      </c>
      <c r="U183" s="405"/>
      <c r="V183" s="405"/>
      <c r="W183" s="405"/>
      <c r="X183" s="406">
        <v>14138</v>
      </c>
      <c r="Y183" s="406">
        <v>11257</v>
      </c>
      <c r="Z183" s="406">
        <v>25395</v>
      </c>
      <c r="AA183" s="27"/>
      <c r="AB183" s="27"/>
    </row>
    <row r="184" spans="2:28" hidden="1" outlineLevel="1" x14ac:dyDescent="0.25">
      <c r="B184" s="404">
        <v>43862</v>
      </c>
      <c r="C184" s="405"/>
      <c r="D184" s="405"/>
      <c r="E184" s="405"/>
      <c r="F184" s="405"/>
      <c r="G184" s="405"/>
      <c r="H184" s="405"/>
      <c r="I184" s="405">
        <v>1940</v>
      </c>
      <c r="J184" s="405">
        <v>581</v>
      </c>
      <c r="K184" s="405">
        <v>2521</v>
      </c>
      <c r="L184" s="405">
        <v>1061</v>
      </c>
      <c r="M184" s="405">
        <v>498</v>
      </c>
      <c r="N184" s="405">
        <v>1559</v>
      </c>
      <c r="O184" s="405">
        <v>12901</v>
      </c>
      <c r="P184" s="405">
        <v>11258</v>
      </c>
      <c r="Q184" s="405">
        <v>24159</v>
      </c>
      <c r="R184" s="405">
        <v>396</v>
      </c>
      <c r="S184" s="405">
        <v>449</v>
      </c>
      <c r="T184" s="405">
        <v>845</v>
      </c>
      <c r="U184" s="405"/>
      <c r="V184" s="405"/>
      <c r="W184" s="405"/>
      <c r="X184" s="406">
        <v>16298</v>
      </c>
      <c r="Y184" s="406">
        <v>12786</v>
      </c>
      <c r="Z184" s="406">
        <v>29084</v>
      </c>
      <c r="AA184" s="27"/>
      <c r="AB184" s="27"/>
    </row>
    <row r="185" spans="2:28" hidden="1" outlineLevel="1" x14ac:dyDescent="0.25">
      <c r="B185" s="404">
        <v>43891</v>
      </c>
      <c r="C185" s="405"/>
      <c r="D185" s="405"/>
      <c r="E185" s="405"/>
      <c r="F185" s="405"/>
      <c r="G185" s="405"/>
      <c r="H185" s="405"/>
      <c r="I185" s="405">
        <v>1506</v>
      </c>
      <c r="J185" s="405">
        <v>494</v>
      </c>
      <c r="K185" s="405">
        <v>2000</v>
      </c>
      <c r="L185" s="405">
        <v>721</v>
      </c>
      <c r="M185" s="405">
        <v>398</v>
      </c>
      <c r="N185" s="405">
        <v>1119</v>
      </c>
      <c r="O185" s="405">
        <v>6539</v>
      </c>
      <c r="P185" s="405">
        <v>6109</v>
      </c>
      <c r="Q185" s="405">
        <v>12648</v>
      </c>
      <c r="R185" s="405">
        <v>263</v>
      </c>
      <c r="S185" s="405">
        <v>264</v>
      </c>
      <c r="T185" s="405">
        <v>527</v>
      </c>
      <c r="U185" s="405"/>
      <c r="V185" s="405"/>
      <c r="W185" s="405"/>
      <c r="X185" s="406">
        <v>9029</v>
      </c>
      <c r="Y185" s="406">
        <v>7265</v>
      </c>
      <c r="Z185" s="406">
        <v>16294</v>
      </c>
      <c r="AA185" s="27"/>
      <c r="AB185" s="27"/>
    </row>
    <row r="186" spans="2:28" hidden="1" outlineLevel="1" x14ac:dyDescent="0.25">
      <c r="B186" s="404">
        <v>43922</v>
      </c>
      <c r="C186" s="405"/>
      <c r="D186" s="405"/>
      <c r="E186" s="405"/>
      <c r="F186" s="405"/>
      <c r="G186" s="405"/>
      <c r="H186" s="405"/>
      <c r="I186" s="405">
        <v>1007</v>
      </c>
      <c r="J186" s="405">
        <v>361</v>
      </c>
      <c r="K186" s="405">
        <v>1368</v>
      </c>
      <c r="L186" s="405">
        <v>311</v>
      </c>
      <c r="M186" s="405">
        <v>151</v>
      </c>
      <c r="N186" s="405">
        <v>462</v>
      </c>
      <c r="O186" s="405">
        <v>3390</v>
      </c>
      <c r="P186" s="405">
        <v>3427</v>
      </c>
      <c r="Q186" s="405">
        <v>6817</v>
      </c>
      <c r="R186" s="405">
        <v>229</v>
      </c>
      <c r="S186" s="405">
        <v>221</v>
      </c>
      <c r="T186" s="405">
        <v>450</v>
      </c>
      <c r="U186" s="405"/>
      <c r="V186" s="405"/>
      <c r="W186" s="405"/>
      <c r="X186" s="406">
        <v>4937</v>
      </c>
      <c r="Y186" s="406">
        <v>4160</v>
      </c>
      <c r="Z186" s="406">
        <v>9097</v>
      </c>
      <c r="AA186" s="27"/>
      <c r="AB186" s="27"/>
    </row>
    <row r="187" spans="2:28" hidden="1" outlineLevel="1" x14ac:dyDescent="0.25">
      <c r="B187" s="404">
        <v>43952</v>
      </c>
      <c r="C187" s="405"/>
      <c r="D187" s="405"/>
      <c r="E187" s="405"/>
      <c r="F187" s="405"/>
      <c r="G187" s="405"/>
      <c r="H187" s="405"/>
      <c r="I187" s="405">
        <v>1582</v>
      </c>
      <c r="J187" s="405">
        <v>476</v>
      </c>
      <c r="K187" s="405">
        <v>2058</v>
      </c>
      <c r="L187" s="405">
        <v>574</v>
      </c>
      <c r="M187" s="405">
        <v>269</v>
      </c>
      <c r="N187" s="405">
        <v>843</v>
      </c>
      <c r="O187" s="405">
        <v>5247</v>
      </c>
      <c r="P187" s="405">
        <v>5642</v>
      </c>
      <c r="Q187" s="405">
        <v>10889</v>
      </c>
      <c r="R187" s="405">
        <v>380</v>
      </c>
      <c r="S187" s="405">
        <v>338</v>
      </c>
      <c r="T187" s="405">
        <v>718</v>
      </c>
      <c r="U187" s="405"/>
      <c r="V187" s="405"/>
      <c r="W187" s="405"/>
      <c r="X187" s="406">
        <v>7783</v>
      </c>
      <c r="Y187" s="406">
        <v>6725</v>
      </c>
      <c r="Z187" s="406">
        <v>14508</v>
      </c>
      <c r="AA187" s="27"/>
      <c r="AB187" s="27"/>
    </row>
    <row r="188" spans="2:28" hidden="1" outlineLevel="1" x14ac:dyDescent="0.25">
      <c r="B188" s="404">
        <v>43983</v>
      </c>
      <c r="C188" s="405"/>
      <c r="D188" s="405"/>
      <c r="E188" s="405"/>
      <c r="F188" s="405"/>
      <c r="G188" s="405"/>
      <c r="H188" s="405"/>
      <c r="I188" s="405">
        <v>1449</v>
      </c>
      <c r="J188" s="405">
        <v>470</v>
      </c>
      <c r="K188" s="405">
        <v>1919</v>
      </c>
      <c r="L188" s="405">
        <v>503</v>
      </c>
      <c r="M188" s="405">
        <v>270</v>
      </c>
      <c r="N188" s="405">
        <v>773</v>
      </c>
      <c r="O188" s="405">
        <v>4830</v>
      </c>
      <c r="P188" s="405">
        <v>4771</v>
      </c>
      <c r="Q188" s="405">
        <v>9601</v>
      </c>
      <c r="R188" s="405">
        <v>306</v>
      </c>
      <c r="S188" s="405">
        <v>331</v>
      </c>
      <c r="T188" s="405">
        <v>637</v>
      </c>
      <c r="U188" s="405"/>
      <c r="V188" s="405"/>
      <c r="W188" s="405"/>
      <c r="X188" s="406">
        <v>7088</v>
      </c>
      <c r="Y188" s="406">
        <v>5842</v>
      </c>
      <c r="Z188" s="406">
        <v>12930</v>
      </c>
      <c r="AA188" s="27"/>
      <c r="AB188" s="27"/>
    </row>
    <row r="189" spans="2:28" hidden="1" outlineLevel="1" x14ac:dyDescent="0.25">
      <c r="B189" s="404">
        <v>44013</v>
      </c>
      <c r="C189" s="405"/>
      <c r="D189" s="405"/>
      <c r="E189" s="405"/>
      <c r="F189" s="405"/>
      <c r="G189" s="405"/>
      <c r="H189" s="405"/>
      <c r="I189" s="405">
        <v>2138</v>
      </c>
      <c r="J189" s="405">
        <v>678</v>
      </c>
      <c r="K189" s="405">
        <v>2816</v>
      </c>
      <c r="L189" s="405">
        <v>617</v>
      </c>
      <c r="M189" s="405">
        <v>322</v>
      </c>
      <c r="N189" s="405">
        <v>939</v>
      </c>
      <c r="O189" s="405">
        <v>6230</v>
      </c>
      <c r="P189" s="405">
        <v>5184</v>
      </c>
      <c r="Q189" s="405">
        <v>11414</v>
      </c>
      <c r="R189" s="405">
        <v>249</v>
      </c>
      <c r="S189" s="405">
        <v>281</v>
      </c>
      <c r="T189" s="405">
        <v>530</v>
      </c>
      <c r="U189" s="405"/>
      <c r="V189" s="405"/>
      <c r="W189" s="405"/>
      <c r="X189" s="406">
        <v>9234</v>
      </c>
      <c r="Y189" s="406">
        <v>6465</v>
      </c>
      <c r="Z189" s="406">
        <v>15699</v>
      </c>
      <c r="AA189" s="27"/>
      <c r="AB189" s="27"/>
    </row>
    <row r="190" spans="2:28" hidden="1" outlineLevel="1" x14ac:dyDescent="0.25">
      <c r="B190" s="404">
        <v>44044</v>
      </c>
      <c r="C190" s="405"/>
      <c r="D190" s="405"/>
      <c r="E190" s="405"/>
      <c r="F190" s="405"/>
      <c r="G190" s="405"/>
      <c r="H190" s="405"/>
      <c r="I190" s="405">
        <v>2359</v>
      </c>
      <c r="J190" s="405">
        <v>707</v>
      </c>
      <c r="K190" s="405">
        <v>3066</v>
      </c>
      <c r="L190" s="405">
        <v>779</v>
      </c>
      <c r="M190" s="405">
        <v>402</v>
      </c>
      <c r="N190" s="405">
        <v>1181</v>
      </c>
      <c r="O190" s="405">
        <v>8006</v>
      </c>
      <c r="P190" s="405">
        <v>6797</v>
      </c>
      <c r="Q190" s="405">
        <v>14803</v>
      </c>
      <c r="R190" s="405">
        <v>300</v>
      </c>
      <c r="S190" s="405">
        <v>327</v>
      </c>
      <c r="T190" s="405">
        <v>627</v>
      </c>
      <c r="U190" s="405"/>
      <c r="V190" s="405"/>
      <c r="W190" s="405"/>
      <c r="X190" s="406">
        <v>11444</v>
      </c>
      <c r="Y190" s="406">
        <v>8233</v>
      </c>
      <c r="Z190" s="406">
        <v>19677</v>
      </c>
      <c r="AA190" s="27"/>
      <c r="AB190" s="27"/>
    </row>
    <row r="191" spans="2:28" hidden="1" outlineLevel="1" x14ac:dyDescent="0.25">
      <c r="B191" s="404">
        <v>44075</v>
      </c>
      <c r="C191" s="405"/>
      <c r="D191" s="405"/>
      <c r="E191" s="405"/>
      <c r="F191" s="405"/>
      <c r="G191" s="405"/>
      <c r="H191" s="405"/>
      <c r="I191" s="405">
        <v>2367</v>
      </c>
      <c r="J191" s="405">
        <v>642</v>
      </c>
      <c r="K191" s="405">
        <v>3009</v>
      </c>
      <c r="L191" s="405">
        <v>902</v>
      </c>
      <c r="M191" s="405">
        <v>520</v>
      </c>
      <c r="N191" s="405">
        <v>1422</v>
      </c>
      <c r="O191" s="405">
        <v>8207</v>
      </c>
      <c r="P191" s="405">
        <v>6206</v>
      </c>
      <c r="Q191" s="405">
        <v>14413</v>
      </c>
      <c r="R191" s="405">
        <v>334</v>
      </c>
      <c r="S191" s="405">
        <v>398</v>
      </c>
      <c r="T191" s="405">
        <v>732</v>
      </c>
      <c r="U191" s="405"/>
      <c r="V191" s="405"/>
      <c r="W191" s="405"/>
      <c r="X191" s="406">
        <v>11810</v>
      </c>
      <c r="Y191" s="406">
        <v>7766</v>
      </c>
      <c r="Z191" s="406">
        <v>19576</v>
      </c>
      <c r="AA191" s="27"/>
      <c r="AB191" s="27"/>
    </row>
    <row r="192" spans="2:28" hidden="1" outlineLevel="1" x14ac:dyDescent="0.25">
      <c r="B192" s="404">
        <v>44105</v>
      </c>
      <c r="C192" s="405"/>
      <c r="D192" s="405"/>
      <c r="E192" s="405"/>
      <c r="F192" s="405"/>
      <c r="G192" s="405"/>
      <c r="H192" s="405"/>
      <c r="I192" s="405">
        <v>2459</v>
      </c>
      <c r="J192" s="405">
        <v>772</v>
      </c>
      <c r="K192" s="405">
        <v>3231</v>
      </c>
      <c r="L192" s="405">
        <v>1230</v>
      </c>
      <c r="M192" s="405">
        <v>581</v>
      </c>
      <c r="N192" s="405">
        <v>1811</v>
      </c>
      <c r="O192" s="405">
        <v>8846</v>
      </c>
      <c r="P192" s="405">
        <v>6567</v>
      </c>
      <c r="Q192" s="405">
        <v>15413</v>
      </c>
      <c r="R192" s="405">
        <v>365</v>
      </c>
      <c r="S192" s="405">
        <v>470</v>
      </c>
      <c r="T192" s="405">
        <v>835</v>
      </c>
      <c r="U192" s="405"/>
      <c r="V192" s="405"/>
      <c r="W192" s="405"/>
      <c r="X192" s="406">
        <v>12900</v>
      </c>
      <c r="Y192" s="406">
        <v>8390</v>
      </c>
      <c r="Z192" s="406">
        <v>21290</v>
      </c>
      <c r="AA192" s="27"/>
      <c r="AB192" s="27"/>
    </row>
    <row r="193" spans="2:28" hidden="1" outlineLevel="1" x14ac:dyDescent="0.25">
      <c r="B193" s="404">
        <v>44136</v>
      </c>
      <c r="C193" s="405"/>
      <c r="D193" s="405"/>
      <c r="E193" s="405"/>
      <c r="F193" s="405"/>
      <c r="G193" s="405"/>
      <c r="H193" s="405"/>
      <c r="I193" s="405">
        <v>2171</v>
      </c>
      <c r="J193" s="405">
        <v>688</v>
      </c>
      <c r="K193" s="405">
        <v>2859</v>
      </c>
      <c r="L193" s="405">
        <v>1079</v>
      </c>
      <c r="M193" s="405">
        <v>523</v>
      </c>
      <c r="N193" s="405">
        <v>1602</v>
      </c>
      <c r="O193" s="405">
        <v>7924</v>
      </c>
      <c r="P193" s="405">
        <v>6059</v>
      </c>
      <c r="Q193" s="405">
        <v>13983</v>
      </c>
      <c r="R193" s="405">
        <v>287</v>
      </c>
      <c r="S193" s="405">
        <v>318</v>
      </c>
      <c r="T193" s="405">
        <v>605</v>
      </c>
      <c r="U193" s="405"/>
      <c r="V193" s="405"/>
      <c r="W193" s="405"/>
      <c r="X193" s="406">
        <v>11461</v>
      </c>
      <c r="Y193" s="406">
        <v>7588</v>
      </c>
      <c r="Z193" s="406">
        <v>19049</v>
      </c>
      <c r="AA193" s="27"/>
      <c r="AB193" s="27"/>
    </row>
    <row r="194" spans="2:28" hidden="1" outlineLevel="1" x14ac:dyDescent="0.25">
      <c r="B194" s="404">
        <v>44166</v>
      </c>
      <c r="C194" s="405"/>
      <c r="D194" s="405"/>
      <c r="E194" s="405"/>
      <c r="F194" s="405"/>
      <c r="G194" s="405"/>
      <c r="H194" s="405"/>
      <c r="I194" s="405">
        <v>2041</v>
      </c>
      <c r="J194" s="405">
        <v>584</v>
      </c>
      <c r="K194" s="405">
        <v>2625</v>
      </c>
      <c r="L194" s="405">
        <v>1029</v>
      </c>
      <c r="M194" s="405">
        <v>515</v>
      </c>
      <c r="N194" s="405">
        <v>1544</v>
      </c>
      <c r="O194" s="405">
        <v>6956</v>
      </c>
      <c r="P194" s="405">
        <v>5594</v>
      </c>
      <c r="Q194" s="405">
        <v>12550</v>
      </c>
      <c r="R194" s="405">
        <v>234</v>
      </c>
      <c r="S194" s="405">
        <v>257</v>
      </c>
      <c r="T194" s="405">
        <v>491</v>
      </c>
      <c r="U194" s="405"/>
      <c r="V194" s="405"/>
      <c r="W194" s="405"/>
      <c r="X194" s="406">
        <v>10260</v>
      </c>
      <c r="Y194" s="406">
        <v>6950</v>
      </c>
      <c r="Z194" s="406">
        <v>17210</v>
      </c>
      <c r="AA194" s="27"/>
      <c r="AB194" s="27"/>
    </row>
    <row r="195" spans="2:28" collapsed="1" x14ac:dyDescent="0.25">
      <c r="B195" s="407" t="s">
        <v>761</v>
      </c>
      <c r="C195" s="408" t="s">
        <v>916</v>
      </c>
      <c r="D195" s="408" t="s">
        <v>916</v>
      </c>
      <c r="E195" s="408" t="s">
        <v>916</v>
      </c>
      <c r="F195" s="408" t="s">
        <v>916</v>
      </c>
      <c r="G195" s="408" t="s">
        <v>916</v>
      </c>
      <c r="H195" s="408" t="s">
        <v>916</v>
      </c>
      <c r="I195" s="408">
        <v>1944</v>
      </c>
      <c r="J195" s="408">
        <v>596</v>
      </c>
      <c r="K195" s="408">
        <v>2540</v>
      </c>
      <c r="L195" s="408">
        <v>834</v>
      </c>
      <c r="M195" s="408">
        <v>417</v>
      </c>
      <c r="N195" s="408">
        <v>1251</v>
      </c>
      <c r="O195" s="408">
        <v>7445</v>
      </c>
      <c r="P195" s="408">
        <v>6437</v>
      </c>
      <c r="Q195" s="408">
        <v>13882</v>
      </c>
      <c r="R195" s="408">
        <v>310</v>
      </c>
      <c r="S195" s="408">
        <v>335</v>
      </c>
      <c r="T195" s="408">
        <v>645</v>
      </c>
      <c r="U195" s="408" t="s">
        <v>916</v>
      </c>
      <c r="V195" s="408" t="s">
        <v>916</v>
      </c>
      <c r="W195" s="408" t="s">
        <v>916</v>
      </c>
      <c r="X195" s="408">
        <v>10532</v>
      </c>
      <c r="Y195" s="408">
        <v>7786</v>
      </c>
      <c r="Z195" s="408">
        <v>18317</v>
      </c>
      <c r="AA195" s="27"/>
      <c r="AB195" s="27"/>
    </row>
    <row r="196" spans="2:28" outlineLevel="1" x14ac:dyDescent="0.25">
      <c r="B196" s="404">
        <v>44197</v>
      </c>
      <c r="C196" s="405"/>
      <c r="D196" s="405"/>
      <c r="E196" s="405"/>
      <c r="F196" s="405"/>
      <c r="G196" s="405"/>
      <c r="H196" s="405"/>
      <c r="I196" s="405">
        <v>2020</v>
      </c>
      <c r="J196" s="405">
        <v>604</v>
      </c>
      <c r="K196" s="405">
        <v>2624</v>
      </c>
      <c r="L196" s="405">
        <v>1166</v>
      </c>
      <c r="M196" s="405">
        <v>720</v>
      </c>
      <c r="N196" s="405">
        <v>1886</v>
      </c>
      <c r="O196" s="405">
        <v>7345</v>
      </c>
      <c r="P196" s="405">
        <v>5352</v>
      </c>
      <c r="Q196" s="405">
        <v>12697</v>
      </c>
      <c r="R196" s="405">
        <v>428</v>
      </c>
      <c r="S196" s="405">
        <v>517</v>
      </c>
      <c r="T196" s="405">
        <v>945</v>
      </c>
      <c r="U196" s="405"/>
      <c r="V196" s="405"/>
      <c r="W196" s="405"/>
      <c r="X196" s="406">
        <v>10959</v>
      </c>
      <c r="Y196" s="406">
        <v>7193</v>
      </c>
      <c r="Z196" s="406">
        <v>18152</v>
      </c>
      <c r="AA196" s="27"/>
      <c r="AB196" s="27"/>
    </row>
    <row r="197" spans="2:28" outlineLevel="1" x14ac:dyDescent="0.25">
      <c r="B197" s="404">
        <v>44228</v>
      </c>
      <c r="C197" s="405"/>
      <c r="D197" s="405"/>
      <c r="E197" s="405"/>
      <c r="F197" s="405"/>
      <c r="G197" s="405"/>
      <c r="H197" s="405"/>
      <c r="I197" s="405">
        <v>1834</v>
      </c>
      <c r="J197" s="405">
        <v>519</v>
      </c>
      <c r="K197" s="405">
        <v>2353</v>
      </c>
      <c r="L197" s="405">
        <v>1033</v>
      </c>
      <c r="M197" s="405">
        <v>574</v>
      </c>
      <c r="N197" s="405">
        <v>1607</v>
      </c>
      <c r="O197" s="405">
        <v>6860</v>
      </c>
      <c r="P197" s="405">
        <v>5345</v>
      </c>
      <c r="Q197" s="405">
        <v>12205</v>
      </c>
      <c r="R197" s="405">
        <v>402</v>
      </c>
      <c r="S197" s="405">
        <v>460</v>
      </c>
      <c r="T197" s="405">
        <v>862</v>
      </c>
      <c r="U197" s="405"/>
      <c r="V197" s="405"/>
      <c r="W197" s="405"/>
      <c r="X197" s="406">
        <v>10129</v>
      </c>
      <c r="Y197" s="406">
        <v>6898</v>
      </c>
      <c r="Z197" s="406">
        <v>17027</v>
      </c>
      <c r="AA197" s="27"/>
      <c r="AB197" s="27"/>
    </row>
    <row r="198" spans="2:28" outlineLevel="1" x14ac:dyDescent="0.25">
      <c r="B198" s="404">
        <v>44256</v>
      </c>
      <c r="C198" s="405"/>
      <c r="D198" s="405"/>
      <c r="E198" s="405"/>
      <c r="F198" s="405"/>
      <c r="G198" s="405"/>
      <c r="H198" s="405"/>
      <c r="I198" s="405">
        <v>1992</v>
      </c>
      <c r="J198" s="405">
        <v>686</v>
      </c>
      <c r="K198" s="405">
        <v>2678</v>
      </c>
      <c r="L198" s="405">
        <v>1277</v>
      </c>
      <c r="M198" s="405">
        <v>654</v>
      </c>
      <c r="N198" s="405">
        <v>1931</v>
      </c>
      <c r="O198" s="405">
        <v>7991</v>
      </c>
      <c r="P198" s="405">
        <v>6603</v>
      </c>
      <c r="Q198" s="405">
        <v>14594</v>
      </c>
      <c r="R198" s="405">
        <v>1205</v>
      </c>
      <c r="S198" s="405">
        <v>1595</v>
      </c>
      <c r="T198" s="405">
        <v>2800</v>
      </c>
      <c r="U198" s="405"/>
      <c r="V198" s="405"/>
      <c r="W198" s="405"/>
      <c r="X198" s="406">
        <v>12465</v>
      </c>
      <c r="Y198" s="406">
        <v>9538</v>
      </c>
      <c r="Z198" s="406">
        <v>22003</v>
      </c>
      <c r="AA198" s="27"/>
      <c r="AB198" s="27"/>
    </row>
    <row r="199" spans="2:28" outlineLevel="1" x14ac:dyDescent="0.25">
      <c r="B199" s="404">
        <v>44287</v>
      </c>
      <c r="C199" s="405"/>
      <c r="D199" s="405"/>
      <c r="E199" s="405"/>
      <c r="F199" s="405"/>
      <c r="G199" s="405"/>
      <c r="H199" s="405"/>
      <c r="I199" s="405">
        <v>2259</v>
      </c>
      <c r="J199" s="405">
        <v>694</v>
      </c>
      <c r="K199" s="405">
        <v>2953</v>
      </c>
      <c r="L199" s="405">
        <v>1437</v>
      </c>
      <c r="M199" s="405">
        <v>690</v>
      </c>
      <c r="N199" s="405">
        <v>2127</v>
      </c>
      <c r="O199" s="405">
        <v>7730</v>
      </c>
      <c r="P199" s="405">
        <v>6023</v>
      </c>
      <c r="Q199" s="405">
        <v>13753</v>
      </c>
      <c r="R199" s="405">
        <v>1351</v>
      </c>
      <c r="S199" s="405">
        <v>1712</v>
      </c>
      <c r="T199" s="405">
        <v>3063</v>
      </c>
      <c r="U199" s="405"/>
      <c r="V199" s="405"/>
      <c r="W199" s="405"/>
      <c r="X199" s="406">
        <v>12777</v>
      </c>
      <c r="Y199" s="406">
        <v>9119</v>
      </c>
      <c r="Z199" s="406">
        <v>21896</v>
      </c>
      <c r="AA199" s="27"/>
      <c r="AB199" s="27"/>
    </row>
    <row r="200" spans="2:28" outlineLevel="1" x14ac:dyDescent="0.25">
      <c r="B200" s="404">
        <v>44317</v>
      </c>
      <c r="C200" s="405"/>
      <c r="D200" s="405"/>
      <c r="E200" s="405"/>
      <c r="F200" s="405"/>
      <c r="G200" s="405"/>
      <c r="H200" s="405"/>
      <c r="I200" s="405">
        <v>2499</v>
      </c>
      <c r="J200" s="405">
        <v>847</v>
      </c>
      <c r="K200" s="405">
        <v>3346</v>
      </c>
      <c r="L200" s="405">
        <v>1460</v>
      </c>
      <c r="M200" s="405">
        <v>817</v>
      </c>
      <c r="N200" s="405">
        <v>2277</v>
      </c>
      <c r="O200" s="405">
        <v>7824</v>
      </c>
      <c r="P200" s="405">
        <v>5905</v>
      </c>
      <c r="Q200" s="405">
        <v>13729</v>
      </c>
      <c r="R200" s="405">
        <v>873</v>
      </c>
      <c r="S200" s="405">
        <v>1246</v>
      </c>
      <c r="T200" s="405">
        <v>2119</v>
      </c>
      <c r="U200" s="405"/>
      <c r="V200" s="405"/>
      <c r="W200" s="405"/>
      <c r="X200" s="406">
        <v>12656</v>
      </c>
      <c r="Y200" s="406">
        <v>8815</v>
      </c>
      <c r="Z200" s="406">
        <v>21471</v>
      </c>
      <c r="AA200" s="27"/>
      <c r="AB200" s="27"/>
    </row>
    <row r="201" spans="2:28" outlineLevel="1" x14ac:dyDescent="0.25">
      <c r="B201" s="404">
        <v>44348</v>
      </c>
      <c r="C201" s="405"/>
      <c r="D201" s="405"/>
      <c r="E201" s="405"/>
      <c r="F201" s="405"/>
      <c r="G201" s="405"/>
      <c r="H201" s="405"/>
      <c r="I201" s="405">
        <v>2689</v>
      </c>
      <c r="J201" s="405">
        <v>907</v>
      </c>
      <c r="K201" s="405">
        <v>3596</v>
      </c>
      <c r="L201" s="405">
        <v>1392</v>
      </c>
      <c r="M201" s="405">
        <v>733</v>
      </c>
      <c r="N201" s="405">
        <v>2125</v>
      </c>
      <c r="O201" s="405">
        <v>7728</v>
      </c>
      <c r="P201" s="405">
        <v>5769</v>
      </c>
      <c r="Q201" s="405">
        <v>13497</v>
      </c>
      <c r="R201" s="405">
        <v>707</v>
      </c>
      <c r="S201" s="405">
        <v>1031</v>
      </c>
      <c r="T201" s="405">
        <v>1738</v>
      </c>
      <c r="U201" s="405"/>
      <c r="V201" s="405"/>
      <c r="W201" s="405"/>
      <c r="X201" s="406">
        <v>12516</v>
      </c>
      <c r="Y201" s="406">
        <v>8440</v>
      </c>
      <c r="Z201" s="406">
        <v>20956</v>
      </c>
      <c r="AA201" s="27"/>
      <c r="AB201" s="27"/>
    </row>
    <row r="202" spans="2:28" outlineLevel="1" x14ac:dyDescent="0.25">
      <c r="B202" s="404">
        <v>44378</v>
      </c>
      <c r="C202" s="405"/>
      <c r="D202" s="405"/>
      <c r="E202" s="405"/>
      <c r="F202" s="405"/>
      <c r="G202" s="405"/>
      <c r="H202" s="405"/>
      <c r="I202" s="405">
        <v>3028</v>
      </c>
      <c r="J202" s="405">
        <v>1091</v>
      </c>
      <c r="K202" s="405">
        <v>4119</v>
      </c>
      <c r="L202" s="405">
        <v>1586</v>
      </c>
      <c r="M202" s="405">
        <v>823</v>
      </c>
      <c r="N202" s="405">
        <v>2409</v>
      </c>
      <c r="O202" s="405">
        <v>9139</v>
      </c>
      <c r="P202" s="405">
        <v>6680</v>
      </c>
      <c r="Q202" s="405">
        <v>15819</v>
      </c>
      <c r="R202" s="405">
        <v>632</v>
      </c>
      <c r="S202" s="405">
        <v>977</v>
      </c>
      <c r="T202" s="405">
        <v>1609</v>
      </c>
      <c r="U202" s="405"/>
      <c r="V202" s="405"/>
      <c r="W202" s="405"/>
      <c r="X202" s="406">
        <v>14385</v>
      </c>
      <c r="Y202" s="406">
        <v>9571</v>
      </c>
      <c r="Z202" s="406">
        <v>23956</v>
      </c>
      <c r="AA202" s="27"/>
      <c r="AB202" s="27"/>
    </row>
    <row r="203" spans="2:28" outlineLevel="1" x14ac:dyDescent="0.25">
      <c r="B203" s="404">
        <v>44409</v>
      </c>
      <c r="C203" s="405"/>
      <c r="D203" s="405"/>
      <c r="E203" s="405"/>
      <c r="F203" s="405"/>
      <c r="G203" s="405"/>
      <c r="H203" s="405"/>
      <c r="I203" s="405">
        <v>3100</v>
      </c>
      <c r="J203" s="405">
        <v>1197</v>
      </c>
      <c r="K203" s="405">
        <v>4297</v>
      </c>
      <c r="L203" s="405">
        <v>1720</v>
      </c>
      <c r="M203" s="405">
        <v>921</v>
      </c>
      <c r="N203" s="405">
        <v>2641</v>
      </c>
      <c r="O203" s="405">
        <v>10242</v>
      </c>
      <c r="P203" s="405">
        <v>7981</v>
      </c>
      <c r="Q203" s="405">
        <v>18223</v>
      </c>
      <c r="R203" s="405">
        <v>646</v>
      </c>
      <c r="S203" s="405">
        <v>907</v>
      </c>
      <c r="T203" s="405">
        <v>1553</v>
      </c>
      <c r="U203" s="405"/>
      <c r="V203" s="405"/>
      <c r="W203" s="405"/>
      <c r="X203" s="406">
        <v>15708</v>
      </c>
      <c r="Y203" s="406">
        <v>11006</v>
      </c>
      <c r="Z203" s="406">
        <v>26714</v>
      </c>
      <c r="AA203" s="27"/>
      <c r="AB203" s="27"/>
    </row>
    <row r="204" spans="2:28" outlineLevel="1" x14ac:dyDescent="0.25">
      <c r="B204" s="404">
        <v>44440</v>
      </c>
      <c r="C204" s="405"/>
      <c r="D204" s="405"/>
      <c r="E204" s="405"/>
      <c r="F204" s="405"/>
      <c r="G204" s="405"/>
      <c r="H204" s="405"/>
      <c r="I204" s="405">
        <v>3310</v>
      </c>
      <c r="J204" s="405">
        <v>1219</v>
      </c>
      <c r="K204" s="405">
        <v>4529</v>
      </c>
      <c r="L204" s="405">
        <v>1584</v>
      </c>
      <c r="M204" s="405">
        <v>746</v>
      </c>
      <c r="N204" s="405">
        <v>2330</v>
      </c>
      <c r="O204" s="405">
        <v>11148</v>
      </c>
      <c r="P204" s="405">
        <v>8667</v>
      </c>
      <c r="Q204" s="405">
        <v>19815</v>
      </c>
      <c r="R204" s="405">
        <v>603</v>
      </c>
      <c r="S204" s="405">
        <v>841</v>
      </c>
      <c r="T204" s="405">
        <v>1444</v>
      </c>
      <c r="U204" s="405"/>
      <c r="V204" s="405"/>
      <c r="W204" s="405"/>
      <c r="X204" s="406">
        <v>16645</v>
      </c>
      <c r="Y204" s="406">
        <v>11473</v>
      </c>
      <c r="Z204" s="406">
        <v>28118</v>
      </c>
      <c r="AA204" s="27"/>
      <c r="AB204" s="27"/>
    </row>
    <row r="205" spans="2:28" outlineLevel="1" x14ac:dyDescent="0.25">
      <c r="B205" s="404">
        <v>44470</v>
      </c>
      <c r="C205" s="405"/>
      <c r="D205" s="405"/>
      <c r="E205" s="405"/>
      <c r="F205" s="405"/>
      <c r="G205" s="405"/>
      <c r="H205" s="405"/>
      <c r="I205" s="405">
        <v>2513</v>
      </c>
      <c r="J205" s="405">
        <v>964</v>
      </c>
      <c r="K205" s="405">
        <v>3477</v>
      </c>
      <c r="L205" s="405">
        <v>1686</v>
      </c>
      <c r="M205" s="405">
        <v>776</v>
      </c>
      <c r="N205" s="405">
        <v>2462</v>
      </c>
      <c r="O205" s="405">
        <v>9979</v>
      </c>
      <c r="P205" s="405">
        <v>7722</v>
      </c>
      <c r="Q205" s="405">
        <v>17701</v>
      </c>
      <c r="R205" s="405">
        <v>562</v>
      </c>
      <c r="S205" s="405">
        <v>872</v>
      </c>
      <c r="T205" s="405">
        <v>1434</v>
      </c>
      <c r="U205" s="405"/>
      <c r="V205" s="405"/>
      <c r="W205" s="405"/>
      <c r="X205" s="406">
        <v>14740</v>
      </c>
      <c r="Y205" s="406">
        <v>10334</v>
      </c>
      <c r="Z205" s="406">
        <v>25074</v>
      </c>
      <c r="AA205" s="27"/>
      <c r="AB205" s="27"/>
    </row>
    <row r="206" spans="2:28" outlineLevel="1" x14ac:dyDescent="0.25">
      <c r="B206" s="404">
        <v>44501</v>
      </c>
      <c r="C206" s="405"/>
      <c r="D206" s="405"/>
      <c r="E206" s="405"/>
      <c r="F206" s="405"/>
      <c r="G206" s="405"/>
      <c r="H206" s="405"/>
      <c r="I206" s="405">
        <v>2876</v>
      </c>
      <c r="J206" s="405">
        <v>1009</v>
      </c>
      <c r="K206" s="405">
        <v>3885</v>
      </c>
      <c r="L206" s="405">
        <v>1848</v>
      </c>
      <c r="M206" s="405">
        <v>810</v>
      </c>
      <c r="N206" s="405">
        <v>2658</v>
      </c>
      <c r="O206" s="405">
        <v>11623</v>
      </c>
      <c r="P206" s="405">
        <v>8527</v>
      </c>
      <c r="Q206" s="405">
        <v>20150</v>
      </c>
      <c r="R206" s="405">
        <v>574</v>
      </c>
      <c r="S206" s="405">
        <v>923</v>
      </c>
      <c r="T206" s="405">
        <v>1497</v>
      </c>
      <c r="U206" s="405">
        <v>4</v>
      </c>
      <c r="V206" s="405">
        <v>1</v>
      </c>
      <c r="W206" s="405">
        <v>5</v>
      </c>
      <c r="X206" s="406">
        <v>16925</v>
      </c>
      <c r="Y206" s="406">
        <v>11270</v>
      </c>
      <c r="Z206" s="406">
        <v>28195</v>
      </c>
      <c r="AA206" s="27"/>
      <c r="AB206" s="27"/>
    </row>
    <row r="207" spans="2:28" outlineLevel="1" x14ac:dyDescent="0.25">
      <c r="B207" s="404">
        <v>44531</v>
      </c>
      <c r="C207" s="405"/>
      <c r="D207" s="405"/>
      <c r="E207" s="405"/>
      <c r="F207" s="405"/>
      <c r="G207" s="405"/>
      <c r="H207" s="405"/>
      <c r="I207" s="405">
        <v>2758</v>
      </c>
      <c r="J207" s="405">
        <v>1031</v>
      </c>
      <c r="K207" s="405">
        <v>3789</v>
      </c>
      <c r="L207" s="405">
        <v>1741</v>
      </c>
      <c r="M207" s="405">
        <v>773</v>
      </c>
      <c r="N207" s="405">
        <v>2514</v>
      </c>
      <c r="O207" s="405">
        <v>10342</v>
      </c>
      <c r="P207" s="405">
        <v>8552</v>
      </c>
      <c r="Q207" s="405">
        <v>18894</v>
      </c>
      <c r="R207" s="405">
        <v>602</v>
      </c>
      <c r="S207" s="405">
        <v>846</v>
      </c>
      <c r="T207" s="405">
        <v>1448</v>
      </c>
      <c r="U207" s="405">
        <v>3</v>
      </c>
      <c r="V207" s="405"/>
      <c r="W207" s="405">
        <v>3</v>
      </c>
      <c r="X207" s="406">
        <v>15446</v>
      </c>
      <c r="Y207" s="406">
        <v>11202</v>
      </c>
      <c r="Z207" s="406">
        <v>26648</v>
      </c>
      <c r="AA207" s="27"/>
      <c r="AB207" s="27"/>
    </row>
    <row r="208" spans="2:28" x14ac:dyDescent="0.25">
      <c r="B208" s="407" t="s">
        <v>762</v>
      </c>
      <c r="C208" s="408" t="s">
        <v>916</v>
      </c>
      <c r="D208" s="408" t="s">
        <v>916</v>
      </c>
      <c r="E208" s="408" t="s">
        <v>916</v>
      </c>
      <c r="F208" s="408" t="s">
        <v>916</v>
      </c>
      <c r="G208" s="408" t="s">
        <v>916</v>
      </c>
      <c r="H208" s="408" t="s">
        <v>916</v>
      </c>
      <c r="I208" s="408">
        <v>2573</v>
      </c>
      <c r="J208" s="408">
        <v>897</v>
      </c>
      <c r="K208" s="408">
        <v>3471</v>
      </c>
      <c r="L208" s="408">
        <v>1494</v>
      </c>
      <c r="M208" s="408">
        <v>753</v>
      </c>
      <c r="N208" s="408">
        <v>2247</v>
      </c>
      <c r="O208" s="408">
        <v>8996</v>
      </c>
      <c r="P208" s="408">
        <v>6927</v>
      </c>
      <c r="Q208" s="408">
        <v>15923</v>
      </c>
      <c r="R208" s="408">
        <v>715</v>
      </c>
      <c r="S208" s="408">
        <v>994</v>
      </c>
      <c r="T208" s="408">
        <v>1709</v>
      </c>
      <c r="U208" s="408">
        <v>4</v>
      </c>
      <c r="V208" s="408">
        <v>1</v>
      </c>
      <c r="W208" s="408">
        <v>4</v>
      </c>
      <c r="X208" s="408">
        <v>13779</v>
      </c>
      <c r="Y208" s="408">
        <v>9572</v>
      </c>
      <c r="Z208" s="408">
        <v>23351</v>
      </c>
      <c r="AA208" s="27"/>
      <c r="AB208" s="27"/>
    </row>
    <row r="209" spans="2:28" outlineLevel="1" x14ac:dyDescent="0.25">
      <c r="B209" s="404">
        <v>44562</v>
      </c>
      <c r="C209" s="405"/>
      <c r="D209" s="405"/>
      <c r="E209" s="405"/>
      <c r="F209" s="405"/>
      <c r="G209" s="405"/>
      <c r="H209" s="405"/>
      <c r="I209" s="405">
        <v>3568</v>
      </c>
      <c r="J209" s="405">
        <v>1259</v>
      </c>
      <c r="K209" s="405">
        <v>4827</v>
      </c>
      <c r="L209" s="405">
        <v>2267</v>
      </c>
      <c r="M209" s="405">
        <v>939</v>
      </c>
      <c r="N209" s="405">
        <v>3206</v>
      </c>
      <c r="O209" s="405">
        <v>11693</v>
      </c>
      <c r="P209" s="405">
        <v>10277</v>
      </c>
      <c r="Q209" s="405">
        <v>21970</v>
      </c>
      <c r="R209" s="405">
        <v>679</v>
      </c>
      <c r="S209" s="405">
        <v>878</v>
      </c>
      <c r="T209" s="405">
        <v>1557</v>
      </c>
      <c r="U209" s="405">
        <v>39</v>
      </c>
      <c r="V209" s="405">
        <v>13</v>
      </c>
      <c r="W209" s="405">
        <v>52</v>
      </c>
      <c r="X209" s="406">
        <v>18246</v>
      </c>
      <c r="Y209" s="406">
        <v>13366</v>
      </c>
      <c r="Z209" s="406">
        <v>31612</v>
      </c>
      <c r="AA209" s="27"/>
      <c r="AB209" s="27"/>
    </row>
    <row r="210" spans="2:28" outlineLevel="1" x14ac:dyDescent="0.25">
      <c r="B210" s="404">
        <v>44593</v>
      </c>
      <c r="C210" s="405">
        <v>7329</v>
      </c>
      <c r="D210" s="405">
        <v>2392</v>
      </c>
      <c r="E210" s="405">
        <v>9721</v>
      </c>
      <c r="F210" s="405">
        <v>68636</v>
      </c>
      <c r="G210" s="405">
        <v>70829</v>
      </c>
      <c r="H210" s="405">
        <v>139465</v>
      </c>
      <c r="I210" s="405"/>
      <c r="J210" s="405"/>
      <c r="K210" s="405"/>
      <c r="L210" s="405">
        <v>2005</v>
      </c>
      <c r="M210" s="405">
        <v>994</v>
      </c>
      <c r="N210" s="405">
        <v>2999</v>
      </c>
      <c r="O210" s="405"/>
      <c r="P210" s="405"/>
      <c r="Q210" s="405"/>
      <c r="R210" s="405">
        <v>1320</v>
      </c>
      <c r="S210" s="405">
        <v>2025</v>
      </c>
      <c r="T210" s="405">
        <v>3345</v>
      </c>
      <c r="U210" s="405"/>
      <c r="V210" s="405"/>
      <c r="W210" s="405"/>
      <c r="X210" s="406">
        <v>79290</v>
      </c>
      <c r="Y210" s="406">
        <v>76240</v>
      </c>
      <c r="Z210" s="406">
        <v>155530</v>
      </c>
      <c r="AA210" s="27"/>
      <c r="AB210" s="27"/>
    </row>
    <row r="211" spans="2:28" outlineLevel="1" x14ac:dyDescent="0.25">
      <c r="B211" s="404">
        <v>44621</v>
      </c>
      <c r="C211" s="405">
        <v>1747</v>
      </c>
      <c r="D211" s="405">
        <v>1038</v>
      </c>
      <c r="E211" s="405">
        <v>2785</v>
      </c>
      <c r="F211" s="405">
        <v>26400</v>
      </c>
      <c r="G211" s="405">
        <v>28682</v>
      </c>
      <c r="H211" s="405">
        <v>55082</v>
      </c>
      <c r="I211" s="405"/>
      <c r="J211" s="405"/>
      <c r="K211" s="405"/>
      <c r="L211" s="405">
        <v>2337</v>
      </c>
      <c r="M211" s="405">
        <v>1092</v>
      </c>
      <c r="N211" s="405">
        <v>3429</v>
      </c>
      <c r="O211" s="405"/>
      <c r="P211" s="405"/>
      <c r="Q211" s="405"/>
      <c r="R211" s="405">
        <v>763</v>
      </c>
      <c r="S211" s="405">
        <v>1162</v>
      </c>
      <c r="T211" s="405">
        <v>1925</v>
      </c>
      <c r="U211" s="405"/>
      <c r="V211" s="405"/>
      <c r="W211" s="405"/>
      <c r="X211" s="406">
        <v>31247</v>
      </c>
      <c r="Y211" s="406">
        <v>31974</v>
      </c>
      <c r="Z211" s="406">
        <v>63221</v>
      </c>
      <c r="AA211" s="27"/>
      <c r="AB211" s="27"/>
    </row>
    <row r="212" spans="2:28" outlineLevel="1" x14ac:dyDescent="0.25">
      <c r="B212" s="404">
        <v>44652</v>
      </c>
      <c r="C212" s="405">
        <v>2064</v>
      </c>
      <c r="D212" s="405">
        <v>1427</v>
      </c>
      <c r="E212" s="405">
        <v>3491</v>
      </c>
      <c r="F212" s="405">
        <v>15451</v>
      </c>
      <c r="G212" s="405">
        <v>17738</v>
      </c>
      <c r="H212" s="405">
        <v>33189</v>
      </c>
      <c r="I212" s="405"/>
      <c r="J212" s="405"/>
      <c r="K212" s="405"/>
      <c r="L212" s="405">
        <v>2155</v>
      </c>
      <c r="M212" s="405">
        <v>961</v>
      </c>
      <c r="N212" s="405">
        <v>3116</v>
      </c>
      <c r="O212" s="405"/>
      <c r="P212" s="405"/>
      <c r="Q212" s="405"/>
      <c r="R212" s="405">
        <v>559</v>
      </c>
      <c r="S212" s="405">
        <v>785</v>
      </c>
      <c r="T212" s="405">
        <v>1344</v>
      </c>
      <c r="U212" s="405"/>
      <c r="V212" s="405"/>
      <c r="W212" s="405"/>
      <c r="X212" s="406">
        <v>20229</v>
      </c>
      <c r="Y212" s="406">
        <v>20911</v>
      </c>
      <c r="Z212" s="406">
        <v>41140</v>
      </c>
      <c r="AA212" s="27"/>
      <c r="AB212" s="27"/>
    </row>
    <row r="213" spans="2:28" outlineLevel="1" x14ac:dyDescent="0.25">
      <c r="B213" s="404">
        <v>44682</v>
      </c>
      <c r="C213" s="405">
        <v>2979</v>
      </c>
      <c r="D213" s="405">
        <v>2149</v>
      </c>
      <c r="E213" s="405">
        <v>5128</v>
      </c>
      <c r="F213" s="405">
        <v>13674</v>
      </c>
      <c r="G213" s="405">
        <v>16509</v>
      </c>
      <c r="H213" s="405">
        <v>30183</v>
      </c>
      <c r="I213" s="405"/>
      <c r="J213" s="405"/>
      <c r="K213" s="405"/>
      <c r="L213" s="405">
        <v>2164</v>
      </c>
      <c r="M213" s="405">
        <v>912</v>
      </c>
      <c r="N213" s="405">
        <v>3076</v>
      </c>
      <c r="O213" s="405"/>
      <c r="P213" s="405"/>
      <c r="Q213" s="405"/>
      <c r="R213" s="405">
        <v>548</v>
      </c>
      <c r="S213" s="405">
        <v>841</v>
      </c>
      <c r="T213" s="405">
        <v>1389</v>
      </c>
      <c r="U213" s="405"/>
      <c r="V213" s="405"/>
      <c r="W213" s="405"/>
      <c r="X213" s="406">
        <v>19365</v>
      </c>
      <c r="Y213" s="406">
        <v>20411</v>
      </c>
      <c r="Z213" s="406">
        <v>39776</v>
      </c>
      <c r="AA213" s="27"/>
      <c r="AB213" s="27"/>
    </row>
    <row r="214" spans="2:28" outlineLevel="1" x14ac:dyDescent="0.25">
      <c r="B214" s="404">
        <v>44713</v>
      </c>
      <c r="C214" s="405">
        <v>2906</v>
      </c>
      <c r="D214" s="405">
        <v>2246</v>
      </c>
      <c r="E214" s="405">
        <v>5152</v>
      </c>
      <c r="F214" s="405">
        <v>13878</v>
      </c>
      <c r="G214" s="405">
        <v>16944</v>
      </c>
      <c r="H214" s="405">
        <v>30822</v>
      </c>
      <c r="I214" s="405"/>
      <c r="J214" s="405"/>
      <c r="K214" s="405"/>
      <c r="L214" s="405">
        <v>1877</v>
      </c>
      <c r="M214" s="405">
        <v>830</v>
      </c>
      <c r="N214" s="405">
        <v>2707</v>
      </c>
      <c r="O214" s="405"/>
      <c r="P214" s="405"/>
      <c r="Q214" s="405"/>
      <c r="R214" s="405">
        <v>521</v>
      </c>
      <c r="S214" s="405">
        <v>819</v>
      </c>
      <c r="T214" s="405">
        <v>1340</v>
      </c>
      <c r="U214" s="405"/>
      <c r="V214" s="405"/>
      <c r="W214" s="405"/>
      <c r="X214" s="406">
        <v>19182</v>
      </c>
      <c r="Y214" s="406">
        <v>20839</v>
      </c>
      <c r="Z214" s="406">
        <v>40021</v>
      </c>
      <c r="AA214" s="27"/>
      <c r="AB214" s="27"/>
    </row>
    <row r="215" spans="2:28" outlineLevel="1" x14ac:dyDescent="0.25">
      <c r="B215" s="404">
        <v>44743</v>
      </c>
      <c r="C215" s="405">
        <v>3111</v>
      </c>
      <c r="D215" s="405">
        <v>2724</v>
      </c>
      <c r="E215" s="405">
        <v>5835</v>
      </c>
      <c r="F215" s="405">
        <v>15677</v>
      </c>
      <c r="G215" s="405">
        <v>18021</v>
      </c>
      <c r="H215" s="405">
        <v>33698</v>
      </c>
      <c r="I215" s="405"/>
      <c r="J215" s="405"/>
      <c r="K215" s="405"/>
      <c r="L215" s="405">
        <v>2189</v>
      </c>
      <c r="M215" s="405">
        <v>934</v>
      </c>
      <c r="N215" s="405">
        <v>3123</v>
      </c>
      <c r="O215" s="405"/>
      <c r="P215" s="405"/>
      <c r="Q215" s="405"/>
      <c r="R215" s="405">
        <v>589</v>
      </c>
      <c r="S215" s="405">
        <v>949</v>
      </c>
      <c r="T215" s="405">
        <v>1538</v>
      </c>
      <c r="U215" s="405"/>
      <c r="V215" s="405"/>
      <c r="W215" s="405"/>
      <c r="X215" s="406">
        <v>21566</v>
      </c>
      <c r="Y215" s="406">
        <v>22628</v>
      </c>
      <c r="Z215" s="406">
        <v>44194</v>
      </c>
      <c r="AA215" s="27"/>
      <c r="AB215" s="27"/>
    </row>
    <row r="216" spans="2:28" outlineLevel="1" x14ac:dyDescent="0.25">
      <c r="B216" s="404">
        <v>44774</v>
      </c>
      <c r="C216" s="405">
        <v>4381</v>
      </c>
      <c r="D216" s="405">
        <v>5127</v>
      </c>
      <c r="E216" s="405">
        <v>9508</v>
      </c>
      <c r="F216" s="405">
        <v>22473</v>
      </c>
      <c r="G216" s="405">
        <v>25671</v>
      </c>
      <c r="H216" s="405">
        <v>48144</v>
      </c>
      <c r="I216" s="405"/>
      <c r="J216" s="405"/>
      <c r="K216" s="405"/>
      <c r="L216" s="405">
        <v>2630</v>
      </c>
      <c r="M216" s="405">
        <v>1026</v>
      </c>
      <c r="N216" s="405">
        <v>3656</v>
      </c>
      <c r="O216" s="405"/>
      <c r="P216" s="405"/>
      <c r="Q216" s="405"/>
      <c r="R216" s="405">
        <v>765</v>
      </c>
      <c r="S216" s="405">
        <v>1197</v>
      </c>
      <c r="T216" s="405">
        <v>1962</v>
      </c>
      <c r="U216" s="405"/>
      <c r="V216" s="405"/>
      <c r="W216" s="405"/>
      <c r="X216" s="406">
        <v>30249</v>
      </c>
      <c r="Y216" s="406">
        <v>33021</v>
      </c>
      <c r="Z216" s="406">
        <v>63270</v>
      </c>
      <c r="AA216" s="27"/>
      <c r="AB216" s="27"/>
    </row>
    <row r="217" spans="2:28" outlineLevel="1" x14ac:dyDescent="0.25">
      <c r="B217" s="404">
        <v>44805</v>
      </c>
      <c r="C217" s="405">
        <v>3727</v>
      </c>
      <c r="D217" s="405">
        <v>4227</v>
      </c>
      <c r="E217" s="405">
        <v>7954</v>
      </c>
      <c r="F217" s="405">
        <v>13724</v>
      </c>
      <c r="G217" s="405">
        <v>12635</v>
      </c>
      <c r="H217" s="405">
        <v>26359</v>
      </c>
      <c r="I217" s="405"/>
      <c r="J217" s="405"/>
      <c r="K217" s="405"/>
      <c r="L217" s="405">
        <v>1928</v>
      </c>
      <c r="M217" s="405">
        <v>792</v>
      </c>
      <c r="N217" s="405">
        <v>2720</v>
      </c>
      <c r="O217" s="405"/>
      <c r="P217" s="405"/>
      <c r="Q217" s="405"/>
      <c r="R217" s="405">
        <v>482</v>
      </c>
      <c r="S217" s="405">
        <v>791</v>
      </c>
      <c r="T217" s="405">
        <v>1273</v>
      </c>
      <c r="U217" s="405"/>
      <c r="V217" s="405"/>
      <c r="W217" s="405"/>
      <c r="X217" s="406">
        <v>19861</v>
      </c>
      <c r="Y217" s="406">
        <v>18445</v>
      </c>
      <c r="Z217" s="406">
        <v>38306</v>
      </c>
      <c r="AA217" s="27"/>
      <c r="AB217" s="27"/>
    </row>
    <row r="218" spans="2:28" outlineLevel="1" x14ac:dyDescent="0.25">
      <c r="B218" s="404">
        <v>44835</v>
      </c>
      <c r="C218" s="405">
        <v>4521</v>
      </c>
      <c r="D218" s="405">
        <v>5368</v>
      </c>
      <c r="E218" s="405">
        <v>9889</v>
      </c>
      <c r="F218" s="405">
        <v>19504</v>
      </c>
      <c r="G218" s="405">
        <v>16209</v>
      </c>
      <c r="H218" s="405">
        <v>35713</v>
      </c>
      <c r="I218" s="405"/>
      <c r="J218" s="405"/>
      <c r="K218" s="405"/>
      <c r="L218" s="405">
        <v>1989</v>
      </c>
      <c r="M218" s="405">
        <v>780</v>
      </c>
      <c r="N218" s="405">
        <v>2769</v>
      </c>
      <c r="O218" s="405"/>
      <c r="P218" s="405"/>
      <c r="Q218" s="405"/>
      <c r="R218" s="405">
        <v>483</v>
      </c>
      <c r="S218" s="405">
        <v>738</v>
      </c>
      <c r="T218" s="405">
        <v>1221</v>
      </c>
      <c r="U218" s="405"/>
      <c r="V218" s="405"/>
      <c r="W218" s="405"/>
      <c r="X218" s="406">
        <v>26497</v>
      </c>
      <c r="Y218" s="406">
        <v>23095</v>
      </c>
      <c r="Z218" s="406">
        <v>49592</v>
      </c>
      <c r="AA218" s="27"/>
      <c r="AB218" s="27"/>
    </row>
    <row r="219" spans="2:28" outlineLevel="1" x14ac:dyDescent="0.25">
      <c r="B219" s="404">
        <v>44866</v>
      </c>
      <c r="C219" s="405">
        <v>5242</v>
      </c>
      <c r="D219" s="405">
        <v>6652</v>
      </c>
      <c r="E219" s="405">
        <v>11894</v>
      </c>
      <c r="F219" s="405">
        <v>17440</v>
      </c>
      <c r="G219" s="405">
        <v>14223</v>
      </c>
      <c r="H219" s="405">
        <v>31663</v>
      </c>
      <c r="I219" s="405"/>
      <c r="J219" s="405"/>
      <c r="K219" s="405"/>
      <c r="L219" s="405">
        <v>2235</v>
      </c>
      <c r="M219" s="405">
        <v>893</v>
      </c>
      <c r="N219" s="405">
        <v>3128</v>
      </c>
      <c r="O219" s="405"/>
      <c r="P219" s="405"/>
      <c r="Q219" s="405"/>
      <c r="R219" s="405">
        <v>494</v>
      </c>
      <c r="S219" s="405">
        <v>833</v>
      </c>
      <c r="T219" s="405">
        <v>1327</v>
      </c>
      <c r="U219" s="405"/>
      <c r="V219" s="405"/>
      <c r="W219" s="405"/>
      <c r="X219" s="406">
        <v>25411</v>
      </c>
      <c r="Y219" s="406">
        <v>22601</v>
      </c>
      <c r="Z219" s="406">
        <v>48012</v>
      </c>
      <c r="AA219" s="27"/>
      <c r="AB219" s="27"/>
    </row>
    <row r="220" spans="2:28" outlineLevel="1" x14ac:dyDescent="0.25">
      <c r="B220" s="404">
        <v>44896</v>
      </c>
      <c r="C220" s="405">
        <v>4784</v>
      </c>
      <c r="D220" s="405">
        <v>5762</v>
      </c>
      <c r="E220" s="405">
        <v>10546</v>
      </c>
      <c r="F220" s="405">
        <v>13394</v>
      </c>
      <c r="G220" s="405">
        <v>11316</v>
      </c>
      <c r="H220" s="405">
        <v>24710</v>
      </c>
      <c r="I220" s="405"/>
      <c r="J220" s="405"/>
      <c r="K220" s="405"/>
      <c r="L220" s="405">
        <v>1698</v>
      </c>
      <c r="M220" s="405">
        <v>759</v>
      </c>
      <c r="N220" s="405">
        <v>2457</v>
      </c>
      <c r="O220" s="405"/>
      <c r="P220" s="405"/>
      <c r="Q220" s="405"/>
      <c r="R220" s="405">
        <v>483</v>
      </c>
      <c r="S220" s="405">
        <v>748</v>
      </c>
      <c r="T220" s="405">
        <v>1231</v>
      </c>
      <c r="U220" s="405"/>
      <c r="V220" s="405"/>
      <c r="W220" s="405"/>
      <c r="X220" s="406">
        <v>20359</v>
      </c>
      <c r="Y220" s="406">
        <v>18585</v>
      </c>
      <c r="Z220" s="406">
        <v>38944</v>
      </c>
      <c r="AA220" s="27"/>
      <c r="AB220" s="27"/>
    </row>
    <row r="221" spans="2:28" x14ac:dyDescent="0.25">
      <c r="B221" s="407" t="s">
        <v>763</v>
      </c>
      <c r="C221" s="408">
        <v>3890</v>
      </c>
      <c r="D221" s="408">
        <v>3556</v>
      </c>
      <c r="E221" s="408">
        <v>7446</v>
      </c>
      <c r="F221" s="408">
        <v>21841</v>
      </c>
      <c r="G221" s="408">
        <v>22616</v>
      </c>
      <c r="H221" s="408">
        <v>44457</v>
      </c>
      <c r="I221" s="408">
        <v>3568</v>
      </c>
      <c r="J221" s="408">
        <v>1259</v>
      </c>
      <c r="K221" s="408">
        <v>4827</v>
      </c>
      <c r="L221" s="408">
        <v>2123</v>
      </c>
      <c r="M221" s="408">
        <v>909</v>
      </c>
      <c r="N221" s="408">
        <v>3032</v>
      </c>
      <c r="O221" s="408">
        <v>11693</v>
      </c>
      <c r="P221" s="408">
        <v>10277</v>
      </c>
      <c r="Q221" s="408">
        <v>21970</v>
      </c>
      <c r="R221" s="408">
        <v>641</v>
      </c>
      <c r="S221" s="408">
        <v>981</v>
      </c>
      <c r="T221" s="408">
        <v>1621</v>
      </c>
      <c r="U221" s="408">
        <v>39</v>
      </c>
      <c r="V221" s="408">
        <v>13</v>
      </c>
      <c r="W221" s="408">
        <v>52</v>
      </c>
      <c r="X221" s="408">
        <v>27625</v>
      </c>
      <c r="Y221" s="408">
        <v>26843</v>
      </c>
      <c r="Z221" s="408">
        <v>54468</v>
      </c>
      <c r="AA221" s="27"/>
      <c r="AB221" s="27"/>
    </row>
    <row r="222" spans="2:28" outlineLevel="1" x14ac:dyDescent="0.25">
      <c r="B222" s="404">
        <v>44927</v>
      </c>
      <c r="C222" s="405">
        <v>4275</v>
      </c>
      <c r="D222" s="405">
        <v>5601</v>
      </c>
      <c r="E222" s="405">
        <v>9876</v>
      </c>
      <c r="F222" s="405">
        <v>12098</v>
      </c>
      <c r="G222" s="405">
        <v>9832</v>
      </c>
      <c r="H222" s="405">
        <v>21930</v>
      </c>
      <c r="I222" s="405"/>
      <c r="J222" s="405"/>
      <c r="K222" s="405"/>
      <c r="L222" s="405">
        <v>2049</v>
      </c>
      <c r="M222" s="405">
        <v>878</v>
      </c>
      <c r="N222" s="405">
        <v>2927</v>
      </c>
      <c r="O222" s="405"/>
      <c r="P222" s="405"/>
      <c r="Q222" s="405"/>
      <c r="R222" s="405">
        <v>515</v>
      </c>
      <c r="S222" s="405">
        <v>831</v>
      </c>
      <c r="T222" s="405">
        <v>1346</v>
      </c>
      <c r="U222" s="405"/>
      <c r="V222" s="405"/>
      <c r="W222" s="405"/>
      <c r="X222" s="406">
        <v>18937</v>
      </c>
      <c r="Y222" s="406">
        <v>17142</v>
      </c>
      <c r="Z222" s="406">
        <v>36079</v>
      </c>
      <c r="AA222" s="27"/>
      <c r="AB222" s="27"/>
    </row>
    <row r="223" spans="2:28" outlineLevel="1" x14ac:dyDescent="0.25">
      <c r="B223" s="404">
        <v>44958</v>
      </c>
      <c r="C223" s="405">
        <v>3440</v>
      </c>
      <c r="D223" s="405">
        <v>4384</v>
      </c>
      <c r="E223" s="405">
        <v>7824</v>
      </c>
      <c r="F223" s="405">
        <v>9303</v>
      </c>
      <c r="G223" s="405">
        <v>7288</v>
      </c>
      <c r="H223" s="405">
        <v>16591</v>
      </c>
      <c r="I223" s="405"/>
      <c r="J223" s="405"/>
      <c r="K223" s="405"/>
      <c r="L223" s="405">
        <v>1727</v>
      </c>
      <c r="M223" s="405">
        <v>726</v>
      </c>
      <c r="N223" s="405">
        <v>2453</v>
      </c>
      <c r="O223" s="405"/>
      <c r="P223" s="405"/>
      <c r="Q223" s="405"/>
      <c r="R223" s="405">
        <v>548</v>
      </c>
      <c r="S223" s="405">
        <v>750</v>
      </c>
      <c r="T223" s="405">
        <v>1298</v>
      </c>
      <c r="U223" s="405"/>
      <c r="V223" s="405"/>
      <c r="W223" s="405"/>
      <c r="X223" s="406">
        <v>15018</v>
      </c>
      <c r="Y223" s="406">
        <v>13148</v>
      </c>
      <c r="Z223" s="406">
        <v>28166</v>
      </c>
      <c r="AA223" s="27"/>
      <c r="AB223" s="27"/>
    </row>
    <row r="224" spans="2:28" outlineLevel="1" x14ac:dyDescent="0.25">
      <c r="B224" s="404">
        <v>44986</v>
      </c>
      <c r="C224" s="405">
        <v>3458</v>
      </c>
      <c r="D224" s="405">
        <v>5159</v>
      </c>
      <c r="E224" s="405">
        <v>8617</v>
      </c>
      <c r="F224" s="405">
        <v>9236</v>
      </c>
      <c r="G224" s="405">
        <v>6391</v>
      </c>
      <c r="H224" s="405">
        <v>15627</v>
      </c>
      <c r="I224" s="405"/>
      <c r="J224" s="405"/>
      <c r="K224" s="405"/>
      <c r="L224" s="405">
        <v>2351</v>
      </c>
      <c r="M224" s="405">
        <v>869</v>
      </c>
      <c r="N224" s="405">
        <v>3220</v>
      </c>
      <c r="O224" s="405"/>
      <c r="P224" s="405"/>
      <c r="Q224" s="405"/>
      <c r="R224" s="405">
        <v>688</v>
      </c>
      <c r="S224" s="405">
        <v>827</v>
      </c>
      <c r="T224" s="405">
        <v>1515</v>
      </c>
      <c r="U224" s="405"/>
      <c r="V224" s="405"/>
      <c r="W224" s="405"/>
      <c r="X224" s="406">
        <v>15733</v>
      </c>
      <c r="Y224" s="406">
        <v>13246</v>
      </c>
      <c r="Z224" s="406">
        <v>28979</v>
      </c>
      <c r="AA224" s="27"/>
      <c r="AB224" s="27"/>
    </row>
    <row r="225" spans="2:28" ht="30" x14ac:dyDescent="0.25">
      <c r="B225" s="407" t="s">
        <v>948</v>
      </c>
      <c r="C225" s="408">
        <v>3724</v>
      </c>
      <c r="D225" s="408">
        <v>5048</v>
      </c>
      <c r="E225" s="408">
        <v>8772</v>
      </c>
      <c r="F225" s="408">
        <v>10212</v>
      </c>
      <c r="G225" s="408">
        <v>7837</v>
      </c>
      <c r="H225" s="408">
        <v>18049</v>
      </c>
      <c r="I225" s="408" t="s">
        <v>916</v>
      </c>
      <c r="J225" s="408" t="s">
        <v>916</v>
      </c>
      <c r="K225" s="408" t="s">
        <v>916</v>
      </c>
      <c r="L225" s="408">
        <v>2042</v>
      </c>
      <c r="M225" s="408">
        <v>824</v>
      </c>
      <c r="N225" s="408">
        <v>2867</v>
      </c>
      <c r="O225" s="408" t="s">
        <v>916</v>
      </c>
      <c r="P225" s="408" t="s">
        <v>916</v>
      </c>
      <c r="Q225" s="408" t="s">
        <v>916</v>
      </c>
      <c r="R225" s="408">
        <v>584</v>
      </c>
      <c r="S225" s="408">
        <v>803</v>
      </c>
      <c r="T225" s="408">
        <v>1386</v>
      </c>
      <c r="U225" s="408" t="s">
        <v>916</v>
      </c>
      <c r="V225" s="408" t="s">
        <v>916</v>
      </c>
      <c r="W225" s="408" t="s">
        <v>916</v>
      </c>
      <c r="X225" s="408">
        <v>16563</v>
      </c>
      <c r="Y225" s="408">
        <v>14512</v>
      </c>
      <c r="Z225" s="408">
        <v>31075</v>
      </c>
      <c r="AA225" s="27"/>
      <c r="AB225" s="27"/>
    </row>
    <row r="226" spans="2:28" x14ac:dyDescent="0.25">
      <c r="B226" s="407" t="s">
        <v>498</v>
      </c>
      <c r="C226" s="408">
        <v>53964</v>
      </c>
      <c r="D226" s="408">
        <v>54256</v>
      </c>
      <c r="E226" s="408">
        <v>108220</v>
      </c>
      <c r="F226" s="408">
        <v>270888</v>
      </c>
      <c r="G226" s="408">
        <v>272288</v>
      </c>
      <c r="H226" s="408">
        <v>543176</v>
      </c>
      <c r="I226" s="408">
        <v>428366</v>
      </c>
      <c r="J226" s="408">
        <v>131069</v>
      </c>
      <c r="K226" s="408">
        <v>559435</v>
      </c>
      <c r="L226" s="408">
        <v>249175</v>
      </c>
      <c r="M226" s="408">
        <v>98851</v>
      </c>
      <c r="N226" s="408">
        <v>348026</v>
      </c>
      <c r="O226" s="408">
        <v>1010246</v>
      </c>
      <c r="P226" s="408">
        <v>786403</v>
      </c>
      <c r="Q226" s="408">
        <v>1796649</v>
      </c>
      <c r="R226" s="408">
        <v>67886</v>
      </c>
      <c r="S226" s="408">
        <v>66090</v>
      </c>
      <c r="T226" s="408">
        <v>133976</v>
      </c>
      <c r="U226" s="408">
        <v>46</v>
      </c>
      <c r="V226" s="408">
        <v>14</v>
      </c>
      <c r="W226" s="408">
        <v>60</v>
      </c>
      <c r="X226" s="408">
        <v>2080571</v>
      </c>
      <c r="Y226" s="408">
        <v>1408971</v>
      </c>
      <c r="Z226" s="408">
        <v>3489542</v>
      </c>
      <c r="AA226" s="27"/>
      <c r="AB226" s="27"/>
    </row>
    <row r="227" spans="2:28" ht="102" customHeight="1" x14ac:dyDescent="0.25">
      <c r="B227" s="469" t="s">
        <v>928</v>
      </c>
      <c r="C227" s="469"/>
      <c r="D227" s="469"/>
      <c r="E227" s="469"/>
      <c r="F227" s="469"/>
      <c r="G227" s="469"/>
      <c r="H227" s="469"/>
      <c r="I227" s="469"/>
      <c r="J227" s="469"/>
      <c r="K227" s="469"/>
      <c r="L227" s="469"/>
      <c r="M227" s="469"/>
      <c r="N227" s="469"/>
      <c r="O227" s="469"/>
      <c r="P227" s="469"/>
      <c r="Q227" s="27"/>
      <c r="R227" s="27"/>
      <c r="S227" s="27"/>
      <c r="T227" s="27"/>
      <c r="U227" s="27"/>
      <c r="V227" s="27"/>
      <c r="W227" s="27"/>
      <c r="X227" s="27"/>
      <c r="Y227" s="27"/>
    </row>
    <row r="228" spans="2:28" x14ac:dyDescent="0.25">
      <c r="C228" s="27"/>
      <c r="D228" s="27"/>
      <c r="E228" s="27"/>
      <c r="F228" s="27"/>
      <c r="G228" s="27"/>
      <c r="H228" s="27"/>
      <c r="I228" s="27"/>
      <c r="J228" s="27"/>
      <c r="K228" s="27"/>
      <c r="L228" s="27"/>
      <c r="M228" s="27"/>
      <c r="N228" s="27"/>
      <c r="O228" s="27"/>
      <c r="P228" s="27"/>
      <c r="Q228" s="27"/>
      <c r="R228" s="27"/>
      <c r="S228" s="27"/>
      <c r="T228" s="27"/>
      <c r="U228" s="27"/>
      <c r="V228" s="27"/>
      <c r="W228" s="27"/>
      <c r="X228" s="27"/>
      <c r="Y228" s="27"/>
    </row>
    <row r="229" spans="2:28" x14ac:dyDescent="0.25">
      <c r="C229" s="27"/>
      <c r="D229" s="27"/>
      <c r="E229" s="27"/>
      <c r="F229" s="27"/>
      <c r="G229" s="27"/>
      <c r="H229" s="27"/>
      <c r="I229" s="27"/>
      <c r="J229" s="27"/>
      <c r="K229" s="27"/>
      <c r="L229" s="27"/>
      <c r="M229" s="27"/>
      <c r="N229" s="27"/>
      <c r="O229" s="27"/>
      <c r="P229" s="27"/>
      <c r="Q229" s="27"/>
      <c r="R229" s="27"/>
      <c r="S229" s="27"/>
      <c r="T229" s="27"/>
      <c r="U229" s="27"/>
      <c r="V229" s="27"/>
      <c r="W229" s="27"/>
      <c r="X229" s="27"/>
      <c r="Y229" s="27"/>
    </row>
    <row r="230" spans="2:28" x14ac:dyDescent="0.25">
      <c r="C230" s="27"/>
      <c r="D230" s="27"/>
      <c r="E230" s="27"/>
      <c r="F230" s="27"/>
      <c r="G230" s="27"/>
      <c r="H230" s="27"/>
      <c r="I230" s="27"/>
      <c r="J230" s="27"/>
      <c r="K230" s="27"/>
      <c r="L230" s="27"/>
      <c r="M230" s="27"/>
      <c r="N230" s="27"/>
      <c r="O230" s="27"/>
      <c r="P230" s="27"/>
      <c r="Q230" s="27"/>
      <c r="R230" s="27"/>
      <c r="S230" s="27"/>
      <c r="T230" s="27"/>
      <c r="U230" s="27"/>
      <c r="V230" s="27"/>
      <c r="W230" s="27"/>
      <c r="X230" s="27"/>
      <c r="Y230" s="27"/>
    </row>
    <row r="231" spans="2:28" x14ac:dyDescent="0.25">
      <c r="C231" s="27"/>
      <c r="D231" s="27"/>
      <c r="E231" s="27"/>
      <c r="F231" s="27"/>
      <c r="G231" s="27"/>
      <c r="H231" s="27"/>
      <c r="I231" s="27"/>
      <c r="J231" s="27"/>
      <c r="K231" s="27"/>
      <c r="L231" s="27"/>
      <c r="M231" s="27"/>
      <c r="N231" s="27"/>
      <c r="O231" s="27"/>
      <c r="P231" s="27"/>
      <c r="Q231" s="27"/>
      <c r="R231" s="27"/>
      <c r="S231" s="27"/>
      <c r="T231" s="27"/>
      <c r="U231" s="27"/>
      <c r="V231" s="27"/>
      <c r="W231" s="27"/>
      <c r="X231" s="27"/>
      <c r="Y231" s="27"/>
    </row>
    <row r="232" spans="2:28" x14ac:dyDescent="0.25">
      <c r="C232" s="27"/>
      <c r="D232" s="27"/>
      <c r="E232" s="27"/>
      <c r="F232" s="27"/>
      <c r="G232" s="27"/>
      <c r="H232" s="27"/>
      <c r="I232" s="27"/>
      <c r="J232" s="27"/>
      <c r="K232" s="27"/>
      <c r="L232" s="27"/>
      <c r="M232" s="27"/>
      <c r="N232" s="27"/>
      <c r="O232" s="27"/>
      <c r="P232" s="27"/>
      <c r="Q232" s="27"/>
      <c r="R232" s="27"/>
      <c r="S232" s="27"/>
      <c r="T232" s="27"/>
      <c r="U232" s="27"/>
      <c r="V232" s="27"/>
      <c r="W232" s="27"/>
      <c r="X232" s="27"/>
      <c r="Y232" s="27"/>
    </row>
    <row r="233" spans="2:28" x14ac:dyDescent="0.25">
      <c r="C233" s="27"/>
      <c r="D233" s="27"/>
      <c r="E233" s="27"/>
      <c r="F233" s="27"/>
      <c r="G233" s="27"/>
      <c r="H233" s="27"/>
      <c r="I233" s="27"/>
      <c r="J233" s="27"/>
      <c r="K233" s="27"/>
      <c r="L233" s="27"/>
      <c r="M233" s="27"/>
      <c r="N233" s="27"/>
      <c r="O233" s="27"/>
      <c r="P233" s="27"/>
      <c r="Q233" s="27"/>
      <c r="R233" s="27"/>
      <c r="S233" s="27"/>
      <c r="T233" s="27"/>
      <c r="U233" s="27"/>
      <c r="V233" s="27"/>
      <c r="W233" s="27"/>
      <c r="X233" s="27"/>
      <c r="Y233" s="27"/>
    </row>
    <row r="234" spans="2:28" x14ac:dyDescent="0.25">
      <c r="C234" s="27"/>
      <c r="D234" s="27"/>
      <c r="E234" s="27"/>
      <c r="F234" s="27"/>
      <c r="G234" s="27"/>
      <c r="H234" s="27"/>
      <c r="I234" s="27"/>
      <c r="J234" s="27"/>
      <c r="K234" s="27"/>
      <c r="L234" s="27"/>
      <c r="M234" s="27"/>
      <c r="N234" s="27"/>
      <c r="O234" s="27"/>
      <c r="P234" s="27"/>
      <c r="Q234" s="27"/>
      <c r="R234" s="27"/>
      <c r="S234" s="27"/>
      <c r="T234" s="27"/>
      <c r="U234" s="27"/>
      <c r="V234" s="27"/>
      <c r="W234" s="27"/>
      <c r="X234" s="27"/>
      <c r="Y234" s="27"/>
    </row>
    <row r="235" spans="2:28" x14ac:dyDescent="0.25">
      <c r="C235" s="27"/>
      <c r="D235" s="27"/>
      <c r="E235" s="27"/>
      <c r="F235" s="27"/>
      <c r="G235" s="27"/>
      <c r="H235" s="27"/>
      <c r="I235" s="27"/>
      <c r="J235" s="27"/>
      <c r="K235" s="27"/>
      <c r="L235" s="27"/>
      <c r="M235" s="27"/>
      <c r="N235" s="27"/>
      <c r="O235" s="27"/>
      <c r="P235" s="27"/>
      <c r="Q235" s="27"/>
      <c r="R235" s="27"/>
      <c r="S235" s="27"/>
      <c r="T235" s="27"/>
      <c r="U235" s="27"/>
      <c r="V235" s="27"/>
      <c r="W235" s="27"/>
      <c r="X235" s="27"/>
      <c r="Y235" s="27"/>
    </row>
    <row r="236" spans="2:28" x14ac:dyDescent="0.25">
      <c r="C236" s="27"/>
      <c r="D236" s="27"/>
      <c r="E236" s="27"/>
      <c r="F236" s="27"/>
      <c r="G236" s="27"/>
      <c r="H236" s="27"/>
      <c r="I236" s="27"/>
      <c r="J236" s="27"/>
      <c r="K236" s="27"/>
      <c r="L236" s="27"/>
      <c r="M236" s="27"/>
      <c r="N236" s="27"/>
      <c r="O236" s="27"/>
      <c r="P236" s="27"/>
      <c r="Q236" s="27"/>
      <c r="R236" s="27"/>
      <c r="S236" s="27"/>
      <c r="T236" s="27"/>
      <c r="U236" s="27"/>
      <c r="V236" s="27"/>
      <c r="W236" s="27"/>
      <c r="X236" s="27"/>
      <c r="Y236" s="27"/>
    </row>
    <row r="237" spans="2:28" x14ac:dyDescent="0.25">
      <c r="C237" s="27"/>
      <c r="D237" s="27"/>
      <c r="E237" s="27"/>
      <c r="F237" s="27"/>
      <c r="G237" s="27"/>
      <c r="H237" s="27"/>
      <c r="I237" s="27"/>
      <c r="J237" s="27"/>
      <c r="K237" s="27"/>
      <c r="L237" s="27"/>
      <c r="M237" s="27"/>
      <c r="N237" s="27"/>
      <c r="O237" s="27"/>
      <c r="P237" s="27"/>
      <c r="Q237" s="27"/>
      <c r="R237" s="27"/>
      <c r="S237" s="27"/>
      <c r="T237" s="27"/>
      <c r="U237" s="27"/>
      <c r="V237" s="27"/>
      <c r="W237" s="27"/>
      <c r="X237" s="27"/>
      <c r="Y237" s="27"/>
    </row>
    <row r="238" spans="2:28" x14ac:dyDescent="0.25">
      <c r="C238" s="27"/>
      <c r="D238" s="27"/>
      <c r="E238" s="27"/>
      <c r="F238" s="27"/>
      <c r="G238" s="27"/>
      <c r="H238" s="27"/>
      <c r="I238" s="27"/>
      <c r="J238" s="27"/>
      <c r="K238" s="27"/>
      <c r="L238" s="27"/>
      <c r="M238" s="27"/>
      <c r="N238" s="27"/>
      <c r="O238" s="27"/>
      <c r="P238" s="27"/>
      <c r="Q238" s="27"/>
      <c r="R238" s="27"/>
      <c r="S238" s="27"/>
      <c r="T238" s="27"/>
      <c r="U238" s="27"/>
      <c r="V238" s="27"/>
      <c r="W238" s="27"/>
      <c r="X238" s="27"/>
      <c r="Y238" s="27"/>
    </row>
    <row r="239" spans="2:28" x14ac:dyDescent="0.25">
      <c r="C239" s="27"/>
      <c r="D239" s="27"/>
      <c r="E239" s="27"/>
      <c r="F239" s="27"/>
      <c r="G239" s="27"/>
      <c r="H239" s="27"/>
      <c r="I239" s="27"/>
      <c r="J239" s="27"/>
      <c r="K239" s="27"/>
      <c r="L239" s="27"/>
      <c r="M239" s="27"/>
      <c r="N239" s="27"/>
      <c r="O239" s="27"/>
      <c r="P239" s="27"/>
      <c r="Q239" s="27"/>
      <c r="R239" s="27"/>
      <c r="S239" s="27"/>
      <c r="T239" s="27"/>
      <c r="U239" s="27"/>
      <c r="V239" s="27"/>
      <c r="W239" s="27"/>
      <c r="X239" s="27"/>
      <c r="Y239" s="27"/>
    </row>
    <row r="240" spans="2:28" x14ac:dyDescent="0.25">
      <c r="C240" s="27"/>
      <c r="D240" s="27"/>
      <c r="E240" s="27"/>
      <c r="F240" s="27"/>
      <c r="G240" s="27"/>
      <c r="H240" s="27"/>
      <c r="I240" s="27"/>
      <c r="J240" s="27"/>
      <c r="K240" s="27"/>
      <c r="L240" s="27"/>
      <c r="M240" s="27"/>
      <c r="N240" s="27"/>
      <c r="O240" s="27"/>
      <c r="P240" s="27"/>
      <c r="Q240" s="27"/>
      <c r="R240" s="27"/>
      <c r="S240" s="27"/>
      <c r="T240" s="27"/>
      <c r="U240" s="27"/>
      <c r="V240" s="27"/>
      <c r="W240" s="27"/>
      <c r="X240" s="27"/>
      <c r="Y240" s="27"/>
    </row>
    <row r="241" spans="3:25" x14ac:dyDescent="0.25">
      <c r="C241" s="27"/>
      <c r="D241" s="27"/>
      <c r="E241" s="27"/>
      <c r="F241" s="27"/>
      <c r="G241" s="27"/>
      <c r="H241" s="27"/>
      <c r="I241" s="27"/>
      <c r="J241" s="27"/>
      <c r="K241" s="27"/>
      <c r="L241" s="27"/>
      <c r="M241" s="27"/>
      <c r="N241" s="27"/>
      <c r="O241" s="27"/>
      <c r="P241" s="27"/>
      <c r="Q241" s="27"/>
      <c r="R241" s="27"/>
      <c r="S241" s="27"/>
      <c r="T241" s="27"/>
      <c r="U241" s="27"/>
      <c r="V241" s="27"/>
      <c r="W241" s="27"/>
      <c r="X241" s="27"/>
      <c r="Y241" s="27"/>
    </row>
    <row r="242" spans="3:25" x14ac:dyDescent="0.25">
      <c r="C242" s="27"/>
      <c r="D242" s="27"/>
      <c r="E242" s="27"/>
      <c r="F242" s="27"/>
      <c r="G242" s="27"/>
      <c r="H242" s="27"/>
      <c r="I242" s="27"/>
      <c r="J242" s="27"/>
      <c r="K242" s="27"/>
      <c r="L242" s="27"/>
      <c r="M242" s="27"/>
      <c r="N242" s="27"/>
      <c r="O242" s="27"/>
      <c r="P242" s="27"/>
      <c r="Q242" s="27"/>
      <c r="R242" s="27"/>
      <c r="S242" s="27"/>
      <c r="T242" s="27"/>
      <c r="U242" s="27"/>
      <c r="V242" s="27"/>
      <c r="W242" s="27"/>
      <c r="X242" s="27"/>
      <c r="Y242" s="27"/>
    </row>
    <row r="243" spans="3:25" x14ac:dyDescent="0.25">
      <c r="C243" s="27"/>
      <c r="D243" s="27"/>
      <c r="E243" s="27"/>
      <c r="F243" s="27"/>
      <c r="G243" s="27"/>
      <c r="H243" s="27"/>
      <c r="I243" s="27"/>
      <c r="J243" s="27"/>
      <c r="K243" s="27"/>
      <c r="L243" s="27"/>
      <c r="M243" s="27"/>
      <c r="N243" s="27"/>
      <c r="O243" s="27"/>
      <c r="P243" s="27"/>
      <c r="Q243" s="27"/>
      <c r="R243" s="27"/>
      <c r="S243" s="27"/>
      <c r="T243" s="27"/>
      <c r="U243" s="27"/>
      <c r="V243" s="27"/>
      <c r="W243" s="27"/>
      <c r="X243" s="27"/>
      <c r="Y243" s="27"/>
    </row>
    <row r="244" spans="3:25" x14ac:dyDescent="0.25">
      <c r="C244" s="27"/>
      <c r="D244" s="27"/>
      <c r="E244" s="27"/>
      <c r="F244" s="27"/>
      <c r="G244" s="27"/>
      <c r="H244" s="27"/>
      <c r="I244" s="27"/>
      <c r="J244" s="27"/>
      <c r="K244" s="27"/>
      <c r="L244" s="27"/>
      <c r="M244" s="27"/>
      <c r="N244" s="27"/>
      <c r="O244" s="27"/>
      <c r="P244" s="27"/>
      <c r="Q244" s="27"/>
      <c r="R244" s="27"/>
      <c r="S244" s="27"/>
      <c r="T244" s="27"/>
      <c r="U244" s="27"/>
      <c r="V244" s="27"/>
      <c r="W244" s="27"/>
      <c r="X244" s="27"/>
      <c r="Y244" s="27"/>
    </row>
    <row r="245" spans="3:25" x14ac:dyDescent="0.25">
      <c r="C245" s="27"/>
      <c r="D245" s="27"/>
      <c r="E245" s="27"/>
      <c r="F245" s="27"/>
      <c r="G245" s="27"/>
      <c r="H245" s="27"/>
      <c r="I245" s="27"/>
      <c r="J245" s="27"/>
      <c r="K245" s="27"/>
      <c r="L245" s="27"/>
      <c r="M245" s="27"/>
      <c r="N245" s="27"/>
      <c r="O245" s="27"/>
      <c r="P245" s="27"/>
      <c r="Q245" s="27"/>
      <c r="R245" s="27"/>
      <c r="S245" s="27"/>
      <c r="T245" s="27"/>
      <c r="U245" s="27"/>
      <c r="V245" s="27"/>
      <c r="W245" s="27"/>
      <c r="X245" s="27"/>
      <c r="Y245" s="27"/>
    </row>
    <row r="246" spans="3:25" x14ac:dyDescent="0.25">
      <c r="C246" s="27"/>
      <c r="D246" s="27"/>
      <c r="E246" s="27"/>
      <c r="F246" s="27"/>
      <c r="G246" s="27"/>
      <c r="H246" s="27"/>
      <c r="I246" s="27"/>
      <c r="J246" s="27"/>
      <c r="K246" s="27"/>
      <c r="L246" s="27"/>
      <c r="M246" s="27"/>
      <c r="N246" s="27"/>
      <c r="O246" s="27"/>
      <c r="P246" s="27"/>
      <c r="Q246" s="27"/>
      <c r="R246" s="27"/>
      <c r="S246" s="27"/>
      <c r="T246" s="27"/>
      <c r="U246" s="27"/>
      <c r="V246" s="27"/>
      <c r="W246" s="27"/>
      <c r="X246" s="27"/>
      <c r="Y246" s="27"/>
    </row>
    <row r="247" spans="3:25" x14ac:dyDescent="0.25">
      <c r="C247" s="27"/>
      <c r="D247" s="27"/>
      <c r="E247" s="27"/>
      <c r="F247" s="27"/>
      <c r="G247" s="27"/>
      <c r="H247" s="27"/>
      <c r="I247" s="27"/>
      <c r="J247" s="27"/>
      <c r="K247" s="27"/>
      <c r="L247" s="27"/>
      <c r="M247" s="27"/>
      <c r="N247" s="27"/>
      <c r="O247" s="27"/>
      <c r="P247" s="27"/>
      <c r="Q247" s="27"/>
      <c r="R247" s="27"/>
      <c r="S247" s="27"/>
      <c r="T247" s="27"/>
      <c r="U247" s="27"/>
      <c r="V247" s="27"/>
      <c r="W247" s="27"/>
      <c r="X247" s="27"/>
      <c r="Y247" s="27"/>
    </row>
    <row r="248" spans="3:25" x14ac:dyDescent="0.25">
      <c r="C248" s="27"/>
      <c r="D248" s="27"/>
      <c r="E248" s="27"/>
      <c r="F248" s="27"/>
      <c r="G248" s="27"/>
      <c r="H248" s="27"/>
      <c r="I248" s="27"/>
      <c r="J248" s="27"/>
      <c r="K248" s="27"/>
      <c r="L248" s="27"/>
      <c r="M248" s="27"/>
      <c r="N248" s="27"/>
      <c r="O248" s="27"/>
      <c r="P248" s="27"/>
      <c r="Q248" s="27"/>
      <c r="R248" s="27"/>
      <c r="S248" s="27"/>
      <c r="T248" s="27"/>
      <c r="U248" s="27"/>
      <c r="V248" s="27"/>
      <c r="W248" s="27"/>
      <c r="X248" s="27"/>
      <c r="Y248" s="27"/>
    </row>
    <row r="249" spans="3:25" x14ac:dyDescent="0.25">
      <c r="C249" s="27"/>
      <c r="D249" s="27"/>
      <c r="E249" s="27"/>
      <c r="F249" s="27"/>
      <c r="G249" s="27"/>
      <c r="H249" s="27"/>
      <c r="I249" s="27"/>
      <c r="J249" s="27"/>
      <c r="K249" s="27"/>
      <c r="L249" s="27"/>
      <c r="M249" s="27"/>
      <c r="N249" s="27"/>
      <c r="O249" s="27"/>
      <c r="P249" s="27"/>
      <c r="Q249" s="27"/>
      <c r="R249" s="27"/>
      <c r="S249" s="27"/>
      <c r="T249" s="27"/>
      <c r="U249" s="27"/>
      <c r="V249" s="27"/>
      <c r="W249" s="27"/>
      <c r="X249" s="27"/>
      <c r="Y249" s="27"/>
    </row>
    <row r="250" spans="3:25" x14ac:dyDescent="0.25">
      <c r="C250" s="27"/>
      <c r="D250" s="27"/>
      <c r="E250" s="27"/>
      <c r="F250" s="27"/>
      <c r="G250" s="27"/>
      <c r="H250" s="27"/>
      <c r="I250" s="27"/>
      <c r="J250" s="27"/>
      <c r="K250" s="27"/>
      <c r="L250" s="27"/>
      <c r="M250" s="27"/>
      <c r="N250" s="27"/>
      <c r="O250" s="27"/>
      <c r="P250" s="27"/>
      <c r="Q250" s="27"/>
      <c r="R250" s="27"/>
      <c r="S250" s="27"/>
      <c r="T250" s="27"/>
      <c r="U250" s="27"/>
      <c r="V250" s="27"/>
      <c r="W250" s="27"/>
      <c r="X250" s="27"/>
      <c r="Y250" s="27"/>
    </row>
    <row r="251" spans="3:25" x14ac:dyDescent="0.25">
      <c r="C251" s="27"/>
      <c r="D251" s="27"/>
      <c r="E251" s="27"/>
      <c r="F251" s="27"/>
      <c r="G251" s="27"/>
      <c r="H251" s="27"/>
      <c r="I251" s="27"/>
      <c r="J251" s="27"/>
      <c r="K251" s="27"/>
      <c r="L251" s="27"/>
      <c r="M251" s="27"/>
      <c r="N251" s="27"/>
      <c r="O251" s="27"/>
      <c r="P251" s="27"/>
      <c r="Q251" s="27"/>
      <c r="R251" s="27"/>
      <c r="S251" s="27"/>
      <c r="T251" s="27"/>
      <c r="U251" s="27"/>
      <c r="V251" s="27"/>
      <c r="W251" s="27"/>
      <c r="X251" s="27"/>
      <c r="Y251" s="27"/>
    </row>
    <row r="252" spans="3:25" x14ac:dyDescent="0.25">
      <c r="C252" s="27"/>
      <c r="D252" s="27"/>
      <c r="E252" s="27"/>
      <c r="F252" s="27"/>
      <c r="G252" s="27"/>
      <c r="H252" s="27"/>
      <c r="I252" s="27"/>
      <c r="J252" s="27"/>
      <c r="K252" s="27"/>
      <c r="L252" s="27"/>
      <c r="M252" s="27"/>
      <c r="N252" s="27"/>
      <c r="O252" s="27"/>
      <c r="P252" s="27"/>
      <c r="Q252" s="27"/>
      <c r="R252" s="27"/>
      <c r="S252" s="27"/>
      <c r="T252" s="27"/>
      <c r="U252" s="27"/>
      <c r="V252" s="27"/>
      <c r="W252" s="27"/>
      <c r="X252" s="27"/>
      <c r="Y252" s="27"/>
    </row>
    <row r="253" spans="3:25" x14ac:dyDescent="0.25">
      <c r="C253" s="27"/>
      <c r="D253" s="27"/>
      <c r="E253" s="27"/>
      <c r="F253" s="27"/>
      <c r="G253" s="27"/>
      <c r="H253" s="27"/>
      <c r="I253" s="27"/>
      <c r="J253" s="27"/>
      <c r="K253" s="27"/>
      <c r="L253" s="27"/>
      <c r="M253" s="27"/>
      <c r="N253" s="27"/>
      <c r="O253" s="27"/>
      <c r="P253" s="27"/>
      <c r="Q253" s="27"/>
      <c r="R253" s="27"/>
      <c r="S253" s="27"/>
      <c r="T253" s="27"/>
      <c r="U253" s="27"/>
      <c r="V253" s="27"/>
      <c r="W253" s="27"/>
      <c r="X253" s="27"/>
      <c r="Y253" s="27"/>
    </row>
    <row r="254" spans="3:25" x14ac:dyDescent="0.25">
      <c r="C254" s="27"/>
      <c r="D254" s="27"/>
      <c r="E254" s="27"/>
      <c r="F254" s="27"/>
      <c r="G254" s="27"/>
      <c r="H254" s="27"/>
      <c r="I254" s="27"/>
      <c r="J254" s="27"/>
      <c r="K254" s="27"/>
      <c r="L254" s="27"/>
      <c r="M254" s="27"/>
      <c r="N254" s="27"/>
      <c r="O254" s="27"/>
      <c r="P254" s="27"/>
      <c r="Q254" s="27"/>
      <c r="R254" s="27"/>
      <c r="S254" s="27"/>
      <c r="T254" s="27"/>
      <c r="U254" s="27"/>
      <c r="V254" s="27"/>
      <c r="W254" s="27"/>
      <c r="X254" s="27"/>
      <c r="Y254" s="27"/>
    </row>
    <row r="255" spans="3:25" x14ac:dyDescent="0.25">
      <c r="C255" s="27"/>
      <c r="D255" s="27"/>
      <c r="E255" s="27"/>
      <c r="F255" s="27"/>
      <c r="G255" s="27"/>
      <c r="H255" s="27"/>
      <c r="I255" s="27"/>
      <c r="J255" s="27"/>
      <c r="K255" s="27"/>
      <c r="L255" s="27"/>
      <c r="M255" s="27"/>
      <c r="N255" s="27"/>
      <c r="O255" s="27"/>
      <c r="P255" s="27"/>
      <c r="Q255" s="27"/>
      <c r="R255" s="27"/>
      <c r="S255" s="27"/>
      <c r="T255" s="27"/>
      <c r="U255" s="27"/>
      <c r="V255" s="27"/>
      <c r="W255" s="27"/>
      <c r="X255" s="27"/>
      <c r="Y255" s="27"/>
    </row>
    <row r="256" spans="3:25" x14ac:dyDescent="0.25">
      <c r="C256" s="27"/>
      <c r="D256" s="27"/>
      <c r="E256" s="27"/>
      <c r="F256" s="27"/>
      <c r="G256" s="27"/>
      <c r="H256" s="27"/>
      <c r="I256" s="27"/>
      <c r="J256" s="27"/>
      <c r="K256" s="27"/>
      <c r="L256" s="27"/>
      <c r="M256" s="27"/>
      <c r="N256" s="27"/>
      <c r="O256" s="27"/>
      <c r="P256" s="27"/>
      <c r="Q256" s="27"/>
      <c r="R256" s="27"/>
      <c r="S256" s="27"/>
      <c r="T256" s="27"/>
      <c r="U256" s="27"/>
      <c r="V256" s="27"/>
      <c r="W256" s="27"/>
      <c r="X256" s="27"/>
      <c r="Y256" s="27"/>
    </row>
    <row r="257" spans="3:25" x14ac:dyDescent="0.25">
      <c r="C257" s="27"/>
      <c r="D257" s="27"/>
      <c r="E257" s="27"/>
      <c r="F257" s="27"/>
      <c r="G257" s="27"/>
      <c r="H257" s="27"/>
      <c r="I257" s="27"/>
      <c r="J257" s="27"/>
      <c r="K257" s="27"/>
      <c r="L257" s="27"/>
      <c r="M257" s="27"/>
      <c r="N257" s="27"/>
      <c r="O257" s="27"/>
      <c r="P257" s="27"/>
      <c r="Q257" s="27"/>
      <c r="R257" s="27"/>
      <c r="S257" s="27"/>
      <c r="T257" s="27"/>
      <c r="U257" s="27"/>
      <c r="V257" s="27"/>
      <c r="W257" s="27"/>
      <c r="X257" s="27"/>
      <c r="Y257" s="27"/>
    </row>
    <row r="258" spans="3:25" x14ac:dyDescent="0.25">
      <c r="C258" s="27"/>
      <c r="D258" s="27"/>
      <c r="E258" s="27"/>
      <c r="F258" s="27"/>
      <c r="G258" s="27"/>
      <c r="H258" s="27"/>
      <c r="I258" s="27"/>
      <c r="J258" s="27"/>
      <c r="K258" s="27"/>
      <c r="L258" s="27"/>
      <c r="M258" s="27"/>
      <c r="N258" s="27"/>
      <c r="O258" s="27"/>
      <c r="P258" s="27"/>
      <c r="Q258" s="27"/>
      <c r="R258" s="27"/>
      <c r="S258" s="27"/>
      <c r="T258" s="27"/>
      <c r="U258" s="27"/>
      <c r="V258" s="27"/>
      <c r="W258" s="27"/>
      <c r="X258" s="27"/>
      <c r="Y258" s="27"/>
    </row>
    <row r="259" spans="3:25" x14ac:dyDescent="0.25">
      <c r="C259" s="27"/>
      <c r="D259" s="27"/>
      <c r="E259" s="27"/>
      <c r="F259" s="27"/>
      <c r="G259" s="27"/>
      <c r="H259" s="27"/>
      <c r="I259" s="27"/>
      <c r="J259" s="27"/>
      <c r="K259" s="27"/>
      <c r="L259" s="27"/>
      <c r="M259" s="27"/>
      <c r="N259" s="27"/>
      <c r="O259" s="27"/>
      <c r="P259" s="27"/>
      <c r="Q259" s="27"/>
      <c r="R259" s="27"/>
      <c r="S259" s="27"/>
      <c r="T259" s="27"/>
      <c r="U259" s="27"/>
      <c r="V259" s="27"/>
      <c r="W259" s="27"/>
      <c r="X259" s="27"/>
      <c r="Y259" s="27"/>
    </row>
    <row r="260" spans="3:25" x14ac:dyDescent="0.25">
      <c r="C260" s="27"/>
      <c r="D260" s="27"/>
      <c r="E260" s="27"/>
      <c r="F260" s="27"/>
      <c r="G260" s="27"/>
      <c r="H260" s="27"/>
      <c r="I260" s="27"/>
      <c r="J260" s="27"/>
      <c r="K260" s="27"/>
      <c r="L260" s="27"/>
      <c r="M260" s="27"/>
      <c r="N260" s="27"/>
      <c r="O260" s="27"/>
      <c r="P260" s="27"/>
      <c r="Q260" s="27"/>
      <c r="R260" s="27"/>
      <c r="S260" s="27"/>
      <c r="T260" s="27"/>
      <c r="U260" s="27"/>
      <c r="V260" s="27"/>
      <c r="W260" s="27"/>
      <c r="X260" s="27"/>
      <c r="Y260" s="27"/>
    </row>
    <row r="261" spans="3:25" x14ac:dyDescent="0.25">
      <c r="C261" s="27"/>
      <c r="D261" s="27"/>
      <c r="E261" s="27"/>
      <c r="F261" s="27"/>
      <c r="G261" s="27"/>
      <c r="H261" s="27"/>
      <c r="I261" s="27"/>
      <c r="J261" s="27"/>
      <c r="K261" s="27"/>
      <c r="L261" s="27"/>
      <c r="M261" s="27"/>
      <c r="N261" s="27"/>
      <c r="O261" s="27"/>
      <c r="P261" s="27"/>
      <c r="Q261" s="27"/>
      <c r="R261" s="27"/>
      <c r="S261" s="27"/>
      <c r="T261" s="27"/>
      <c r="U261" s="27"/>
      <c r="V261" s="27"/>
      <c r="W261" s="27"/>
      <c r="X261" s="27"/>
      <c r="Y261" s="27"/>
    </row>
    <row r="262" spans="3:25" x14ac:dyDescent="0.25">
      <c r="C262" s="27"/>
      <c r="D262" s="27"/>
      <c r="E262" s="27"/>
      <c r="F262" s="27"/>
      <c r="G262" s="27"/>
      <c r="H262" s="27"/>
      <c r="I262" s="27"/>
      <c r="J262" s="27"/>
      <c r="K262" s="27"/>
      <c r="L262" s="27"/>
      <c r="M262" s="27"/>
      <c r="N262" s="27"/>
      <c r="O262" s="27"/>
      <c r="P262" s="27"/>
      <c r="Q262" s="27"/>
      <c r="R262" s="27"/>
      <c r="S262" s="27"/>
      <c r="T262" s="27"/>
      <c r="U262" s="27"/>
      <c r="V262" s="27"/>
      <c r="W262" s="27"/>
      <c r="X262" s="27"/>
      <c r="Y262" s="27"/>
    </row>
    <row r="263" spans="3:25" x14ac:dyDescent="0.25">
      <c r="C263" s="27"/>
      <c r="D263" s="27"/>
      <c r="E263" s="27"/>
      <c r="F263" s="27"/>
      <c r="G263" s="27"/>
      <c r="H263" s="27"/>
      <c r="I263" s="27"/>
      <c r="J263" s="27"/>
      <c r="K263" s="27"/>
      <c r="L263" s="27"/>
      <c r="M263" s="27"/>
      <c r="N263" s="27"/>
      <c r="O263" s="27"/>
      <c r="P263" s="27"/>
      <c r="Q263" s="27"/>
      <c r="R263" s="27"/>
      <c r="S263" s="27"/>
      <c r="T263" s="27"/>
      <c r="U263" s="27"/>
      <c r="V263" s="27"/>
      <c r="W263" s="27"/>
      <c r="X263" s="27"/>
      <c r="Y263" s="27"/>
    </row>
    <row r="264" spans="3:25" x14ac:dyDescent="0.25">
      <c r="C264" s="27"/>
      <c r="D264" s="27"/>
      <c r="E264" s="27"/>
      <c r="F264" s="27"/>
      <c r="G264" s="27"/>
      <c r="H264" s="27"/>
      <c r="I264" s="27"/>
      <c r="J264" s="27"/>
      <c r="K264" s="27"/>
      <c r="L264" s="27"/>
      <c r="M264" s="27"/>
      <c r="N264" s="27"/>
      <c r="O264" s="27"/>
      <c r="P264" s="27"/>
      <c r="Q264" s="27"/>
      <c r="R264" s="27"/>
      <c r="S264" s="27"/>
      <c r="T264" s="27"/>
      <c r="U264" s="27"/>
      <c r="V264" s="27"/>
      <c r="W264" s="27"/>
      <c r="X264" s="27"/>
      <c r="Y264" s="27"/>
    </row>
    <row r="265" spans="3:25" x14ac:dyDescent="0.25">
      <c r="C265" s="27"/>
      <c r="D265" s="27"/>
      <c r="E265" s="27"/>
      <c r="F265" s="27"/>
      <c r="G265" s="27"/>
      <c r="H265" s="27"/>
      <c r="I265" s="27"/>
      <c r="J265" s="27"/>
      <c r="K265" s="27"/>
      <c r="L265" s="27"/>
      <c r="M265" s="27"/>
      <c r="N265" s="27"/>
      <c r="O265" s="27"/>
      <c r="P265" s="27"/>
      <c r="Q265" s="27"/>
      <c r="R265" s="27"/>
      <c r="S265" s="27"/>
      <c r="T265" s="27"/>
      <c r="U265" s="27"/>
      <c r="V265" s="27"/>
      <c r="W265" s="27"/>
      <c r="X265" s="27"/>
      <c r="Y265" s="27"/>
    </row>
    <row r="266" spans="3:25" x14ac:dyDescent="0.25">
      <c r="C266" s="27"/>
      <c r="D266" s="27"/>
      <c r="E266" s="27"/>
      <c r="F266" s="27"/>
      <c r="G266" s="27"/>
      <c r="H266" s="27"/>
      <c r="I266" s="27"/>
      <c r="J266" s="27"/>
      <c r="K266" s="27"/>
      <c r="L266" s="27"/>
      <c r="M266" s="27"/>
      <c r="N266" s="27"/>
      <c r="O266" s="27"/>
      <c r="P266" s="27"/>
      <c r="Q266" s="27"/>
      <c r="R266" s="27"/>
      <c r="S266" s="27"/>
      <c r="T266" s="27"/>
      <c r="U266" s="27"/>
      <c r="V266" s="27"/>
      <c r="W266" s="27"/>
      <c r="X266" s="27"/>
      <c r="Y266" s="27"/>
    </row>
    <row r="267" spans="3:25" x14ac:dyDescent="0.25">
      <c r="C267" s="27"/>
      <c r="D267" s="27"/>
      <c r="E267" s="27"/>
      <c r="F267" s="27"/>
      <c r="G267" s="27"/>
      <c r="H267" s="27"/>
      <c r="I267" s="27"/>
      <c r="J267" s="27"/>
      <c r="K267" s="27"/>
      <c r="L267" s="27"/>
      <c r="M267" s="27"/>
      <c r="N267" s="27"/>
      <c r="O267" s="27"/>
      <c r="P267" s="27"/>
      <c r="Q267" s="27"/>
      <c r="R267" s="27"/>
      <c r="S267" s="27"/>
      <c r="T267" s="27"/>
      <c r="U267" s="27"/>
      <c r="V267" s="27"/>
      <c r="W267" s="27"/>
      <c r="X267" s="27"/>
      <c r="Y267" s="27"/>
    </row>
    <row r="268" spans="3:25" x14ac:dyDescent="0.25">
      <c r="C268" s="27"/>
      <c r="D268" s="27"/>
      <c r="E268" s="27"/>
      <c r="F268" s="27"/>
      <c r="G268" s="27"/>
      <c r="H268" s="27"/>
      <c r="I268" s="27"/>
      <c r="J268" s="27"/>
      <c r="K268" s="27"/>
      <c r="L268" s="27"/>
      <c r="M268" s="27"/>
      <c r="N268" s="27"/>
      <c r="O268" s="27"/>
      <c r="P268" s="27"/>
      <c r="Q268" s="27"/>
      <c r="R268" s="27"/>
      <c r="S268" s="27"/>
      <c r="T268" s="27"/>
      <c r="U268" s="27"/>
      <c r="V268" s="27"/>
      <c r="W268" s="27"/>
      <c r="X268" s="27"/>
      <c r="Y268" s="27"/>
    </row>
    <row r="269" spans="3:25" x14ac:dyDescent="0.25">
      <c r="C269" s="27"/>
      <c r="D269" s="27"/>
      <c r="E269" s="27"/>
      <c r="F269" s="27"/>
      <c r="G269" s="27"/>
      <c r="H269" s="27"/>
      <c r="I269" s="27"/>
      <c r="J269" s="27"/>
      <c r="K269" s="27"/>
      <c r="L269" s="27"/>
      <c r="M269" s="27"/>
      <c r="N269" s="27"/>
      <c r="O269" s="27"/>
      <c r="P269" s="27"/>
      <c r="Q269" s="27"/>
      <c r="R269" s="27"/>
      <c r="S269" s="27"/>
      <c r="T269" s="27"/>
      <c r="U269" s="27"/>
      <c r="V269" s="27"/>
      <c r="W269" s="27"/>
      <c r="X269" s="27"/>
      <c r="Y269" s="27"/>
    </row>
    <row r="270" spans="3:25" x14ac:dyDescent="0.25">
      <c r="C270" s="27"/>
      <c r="D270" s="27"/>
      <c r="E270" s="27"/>
      <c r="F270" s="27"/>
      <c r="G270" s="27"/>
      <c r="H270" s="27"/>
      <c r="I270" s="27"/>
      <c r="J270" s="27"/>
      <c r="K270" s="27"/>
      <c r="L270" s="27"/>
      <c r="M270" s="27"/>
      <c r="N270" s="27"/>
      <c r="O270" s="27"/>
      <c r="P270" s="27"/>
      <c r="Q270" s="27"/>
      <c r="R270" s="27"/>
      <c r="S270" s="27"/>
      <c r="T270" s="27"/>
      <c r="U270" s="27"/>
      <c r="V270" s="27"/>
      <c r="W270" s="27"/>
      <c r="X270" s="27"/>
      <c r="Y270" s="27"/>
    </row>
    <row r="271" spans="3:25" x14ac:dyDescent="0.25">
      <c r="C271" s="27"/>
      <c r="D271" s="27"/>
      <c r="E271" s="27"/>
      <c r="F271" s="27"/>
      <c r="G271" s="27"/>
      <c r="H271" s="27"/>
      <c r="I271" s="27"/>
      <c r="J271" s="27"/>
      <c r="K271" s="27"/>
      <c r="L271" s="27"/>
      <c r="M271" s="27"/>
      <c r="N271" s="27"/>
      <c r="O271" s="27"/>
      <c r="P271" s="27"/>
      <c r="Q271" s="27"/>
      <c r="R271" s="27"/>
      <c r="S271" s="27"/>
      <c r="T271" s="27"/>
      <c r="U271" s="27"/>
      <c r="V271" s="27"/>
      <c r="W271" s="27"/>
      <c r="X271" s="27"/>
      <c r="Y271" s="27"/>
    </row>
    <row r="274" spans="2:25" x14ac:dyDescent="0.25">
      <c r="B274" s="172"/>
      <c r="C274" s="204"/>
      <c r="D274" s="204"/>
      <c r="E274" s="204"/>
      <c r="F274" s="204"/>
      <c r="G274" s="204"/>
      <c r="H274" s="204"/>
      <c r="I274" s="27"/>
      <c r="J274" s="27"/>
      <c r="K274" s="27"/>
      <c r="L274" s="27"/>
      <c r="M274" s="27"/>
      <c r="N274" s="27"/>
      <c r="O274" s="27"/>
      <c r="P274" s="27"/>
      <c r="Q274" s="27"/>
      <c r="R274" s="27"/>
      <c r="S274" s="27"/>
      <c r="T274" s="27"/>
      <c r="U274" s="27"/>
      <c r="V274" s="27"/>
      <c r="W274" s="27"/>
      <c r="X274" s="27"/>
      <c r="Y274" s="27"/>
    </row>
  </sheetData>
  <mergeCells count="26">
    <mergeCell ref="D7:O7"/>
    <mergeCell ref="B7:B9"/>
    <mergeCell ref="C7:C9"/>
    <mergeCell ref="L8:M8"/>
    <mergeCell ref="H8:I8"/>
    <mergeCell ref="D8:E8"/>
    <mergeCell ref="F8:G8"/>
    <mergeCell ref="N8:O8"/>
    <mergeCell ref="J8:K8"/>
    <mergeCell ref="B13:B15"/>
    <mergeCell ref="B227:P227"/>
    <mergeCell ref="B10:B12"/>
    <mergeCell ref="B16:B18"/>
    <mergeCell ref="B19:B21"/>
    <mergeCell ref="B22:B24"/>
    <mergeCell ref="B25:O25"/>
    <mergeCell ref="C31:E31"/>
    <mergeCell ref="C30:W30"/>
    <mergeCell ref="B30:B32"/>
    <mergeCell ref="X30:Z31"/>
    <mergeCell ref="F31:H31"/>
    <mergeCell ref="I31:K31"/>
    <mergeCell ref="L31:N31"/>
    <mergeCell ref="O31:Q31"/>
    <mergeCell ref="R31:T31"/>
    <mergeCell ref="U31:W31"/>
  </mergeCells>
  <phoneticPr fontId="28" type="noConversion"/>
  <pageMargins left="0.7" right="0.7" top="0.75" bottom="0.75" header="0.3" footer="0.3"/>
  <pageSetup scale="8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21" customWidth="1"/>
    <col min="2" max="2" width="12" style="21" customWidth="1"/>
    <col min="3" max="4" width="11.5703125" style="21"/>
    <col min="5" max="5" width="13" style="21" customWidth="1"/>
    <col min="6" max="7" width="11.5703125" style="21"/>
    <col min="8" max="8" width="14.42578125" style="21" customWidth="1"/>
    <col min="9" max="9" width="9.85546875" style="21" customWidth="1"/>
    <col min="10" max="10" width="5.85546875" style="21" customWidth="1"/>
    <col min="11" max="11" width="16.28515625" style="21" customWidth="1"/>
    <col min="12" max="29" width="11.5703125" style="21"/>
    <col min="30" max="30" width="16.7109375" style="21" customWidth="1"/>
    <col min="31" max="33" width="11.5703125" style="21"/>
    <col min="34" max="34" width="20.42578125" style="21" bestFit="1" customWidth="1"/>
    <col min="35" max="16384" width="11.5703125" style="21"/>
  </cols>
  <sheetData>
    <row r="2" spans="2:35" ht="24" customHeight="1" x14ac:dyDescent="0.25">
      <c r="B2" s="1" t="s">
        <v>29</v>
      </c>
      <c r="C2"/>
      <c r="D2"/>
    </row>
    <row r="3" spans="2:35" ht="17.45" customHeight="1" x14ac:dyDescent="0.35">
      <c r="B3" s="218" t="s">
        <v>554</v>
      </c>
    </row>
    <row r="4" spans="2:35" ht="18.75" x14ac:dyDescent="0.3">
      <c r="B4" s="2" t="s">
        <v>30</v>
      </c>
      <c r="C4" s="2"/>
      <c r="D4" s="2"/>
      <c r="E4" s="2"/>
      <c r="F4" s="2"/>
      <c r="G4" s="2"/>
      <c r="H4" s="2"/>
      <c r="I4" s="22"/>
    </row>
    <row r="5" spans="2:35" x14ac:dyDescent="0.25">
      <c r="B5" s="29" t="s">
        <v>1</v>
      </c>
      <c r="C5" s="23"/>
      <c r="D5" s="23"/>
      <c r="E5" s="23"/>
      <c r="F5" s="23"/>
      <c r="G5" s="23"/>
      <c r="H5" s="23"/>
    </row>
    <row r="7" spans="2:35" ht="32.450000000000003" customHeight="1" x14ac:dyDescent="0.25">
      <c r="B7" s="480" t="s">
        <v>11</v>
      </c>
      <c r="C7" s="481" t="s">
        <v>31</v>
      </c>
      <c r="D7" s="482"/>
      <c r="E7" s="482"/>
      <c r="F7" s="482"/>
      <c r="G7" s="482"/>
      <c r="H7" s="482"/>
    </row>
    <row r="8" spans="2:35" ht="37.9" customHeight="1" x14ac:dyDescent="0.25">
      <c r="B8" s="480"/>
      <c r="C8" s="30" t="s">
        <v>32</v>
      </c>
      <c r="D8" s="30" t="s">
        <v>33</v>
      </c>
      <c r="E8" s="31" t="s">
        <v>20</v>
      </c>
      <c r="F8" s="30" t="s">
        <v>34</v>
      </c>
      <c r="G8" s="30" t="s">
        <v>21</v>
      </c>
      <c r="H8" s="32" t="s">
        <v>35</v>
      </c>
      <c r="K8" s="217" t="s">
        <v>553</v>
      </c>
    </row>
    <row r="9" spans="2:35" ht="15.75" customHeight="1" x14ac:dyDescent="0.3">
      <c r="B9" s="33" t="s">
        <v>36</v>
      </c>
      <c r="C9" s="34">
        <v>83903</v>
      </c>
      <c r="D9" s="34">
        <v>36885</v>
      </c>
      <c r="E9" s="34">
        <v>12630</v>
      </c>
      <c r="F9" s="34">
        <v>5944</v>
      </c>
      <c r="G9" s="34"/>
      <c r="H9" s="34">
        <f t="shared" ref="H9:H28" si="0">SUM(C9:F9)</f>
        <v>139362</v>
      </c>
      <c r="K9" s="35" t="s">
        <v>37</v>
      </c>
      <c r="L9" s="22"/>
      <c r="M9" s="22"/>
      <c r="N9" s="22"/>
      <c r="O9" s="22"/>
      <c r="P9" s="22"/>
      <c r="Q9" s="22"/>
      <c r="R9" s="22"/>
      <c r="S9" s="22"/>
      <c r="T9" s="22"/>
      <c r="AD9" s="35" t="s">
        <v>37</v>
      </c>
    </row>
    <row r="10" spans="2:35" ht="15.75" customHeight="1" x14ac:dyDescent="0.25">
      <c r="B10" s="33" t="s">
        <v>38</v>
      </c>
      <c r="C10" s="34">
        <v>59154</v>
      </c>
      <c r="D10" s="34">
        <v>35458</v>
      </c>
      <c r="E10" s="34">
        <v>298121</v>
      </c>
      <c r="F10" s="34">
        <v>11707</v>
      </c>
      <c r="G10" s="34"/>
      <c r="H10" s="34">
        <f t="shared" si="0"/>
        <v>404440</v>
      </c>
      <c r="K10" s="3" t="s">
        <v>1</v>
      </c>
      <c r="AD10" s="3" t="s">
        <v>516</v>
      </c>
    </row>
    <row r="11" spans="2:35" ht="15.75" customHeight="1" thickBot="1" x14ac:dyDescent="0.3">
      <c r="B11" s="33" t="s">
        <v>39</v>
      </c>
      <c r="C11" s="34">
        <v>40733</v>
      </c>
      <c r="D11" s="34">
        <v>24967</v>
      </c>
      <c r="E11" s="34">
        <v>168046</v>
      </c>
      <c r="F11" s="34">
        <v>11929</v>
      </c>
      <c r="G11" s="34"/>
      <c r="H11" s="34">
        <f t="shared" si="0"/>
        <v>245675</v>
      </c>
    </row>
    <row r="12" spans="2:35" ht="15.75" customHeight="1" thickBot="1" x14ac:dyDescent="0.3">
      <c r="B12" s="33" t="s">
        <v>40</v>
      </c>
      <c r="C12" s="34">
        <v>37414</v>
      </c>
      <c r="D12" s="34">
        <v>20938</v>
      </c>
      <c r="E12" s="34">
        <v>126071</v>
      </c>
      <c r="F12" s="34">
        <v>10368</v>
      </c>
      <c r="G12" s="34"/>
      <c r="H12" s="34">
        <f t="shared" si="0"/>
        <v>194791</v>
      </c>
      <c r="K12" s="36" t="s">
        <v>41</v>
      </c>
      <c r="L12" s="37">
        <v>2008</v>
      </c>
      <c r="M12" s="38">
        <v>2009</v>
      </c>
      <c r="N12" s="38">
        <v>2010</v>
      </c>
      <c r="O12" s="38">
        <v>2011</v>
      </c>
      <c r="P12" s="38">
        <v>2012</v>
      </c>
      <c r="Q12" s="38">
        <v>2013</v>
      </c>
      <c r="R12" s="38">
        <v>2014</v>
      </c>
      <c r="S12" s="38">
        <v>2015</v>
      </c>
      <c r="T12" s="38">
        <v>2016</v>
      </c>
      <c r="U12" s="38">
        <v>2017</v>
      </c>
      <c r="V12" s="38">
        <v>2018</v>
      </c>
      <c r="W12" s="38">
        <v>2019</v>
      </c>
      <c r="X12" s="38">
        <v>2020</v>
      </c>
      <c r="Y12" s="38">
        <v>2021</v>
      </c>
      <c r="Z12" s="39">
        <v>2022</v>
      </c>
      <c r="AA12" s="36" t="s">
        <v>35</v>
      </c>
      <c r="AD12" s="210" t="s">
        <v>41</v>
      </c>
      <c r="AE12" s="211">
        <v>44835</v>
      </c>
      <c r="AF12" s="211">
        <v>44866</v>
      </c>
      <c r="AG12" s="211">
        <v>44896</v>
      </c>
      <c r="AH12" s="210" t="s">
        <v>484</v>
      </c>
      <c r="AI12"/>
    </row>
    <row r="13" spans="2:35" ht="15.75" customHeight="1" x14ac:dyDescent="0.25">
      <c r="B13" s="33" t="s">
        <v>42</v>
      </c>
      <c r="C13" s="34">
        <v>34111</v>
      </c>
      <c r="D13" s="34">
        <v>19594</v>
      </c>
      <c r="E13" s="34">
        <v>130339</v>
      </c>
      <c r="F13" s="34">
        <v>8226</v>
      </c>
      <c r="G13" s="34"/>
      <c r="H13" s="34">
        <f t="shared" si="0"/>
        <v>192270</v>
      </c>
      <c r="K13" s="40" t="s">
        <v>43</v>
      </c>
      <c r="L13" s="41">
        <v>95470</v>
      </c>
      <c r="M13" s="42">
        <v>299851</v>
      </c>
      <c r="N13" s="42">
        <v>148063</v>
      </c>
      <c r="O13" s="42">
        <v>114399</v>
      </c>
      <c r="P13" s="42">
        <v>126850</v>
      </c>
      <c r="Q13" s="42">
        <v>83745</v>
      </c>
      <c r="R13" s="42">
        <v>94143</v>
      </c>
      <c r="S13" s="42">
        <v>84139</v>
      </c>
      <c r="T13" s="42">
        <v>84299</v>
      </c>
      <c r="U13" s="42">
        <v>94990</v>
      </c>
      <c r="V13" s="42">
        <v>106236</v>
      </c>
      <c r="W13" s="42">
        <v>95189</v>
      </c>
      <c r="X13" s="42">
        <v>107160</v>
      </c>
      <c r="Y13" s="42">
        <v>117979</v>
      </c>
      <c r="Z13" s="43">
        <v>250187</v>
      </c>
      <c r="AA13" s="44">
        <f>SUM(L13:Z13)</f>
        <v>1902700</v>
      </c>
      <c r="AD13" s="208" t="s">
        <v>43</v>
      </c>
      <c r="AE13" s="209">
        <v>19719</v>
      </c>
      <c r="AF13" s="209">
        <v>22796</v>
      </c>
      <c r="AG13" s="209">
        <v>17770</v>
      </c>
      <c r="AH13" s="209">
        <f>SUM(AE13:AG13)</f>
        <v>60285</v>
      </c>
      <c r="AI13"/>
    </row>
    <row r="14" spans="2:35" ht="15.75" customHeight="1" x14ac:dyDescent="0.25">
      <c r="B14" s="33" t="s">
        <v>44</v>
      </c>
      <c r="C14" s="34">
        <v>32718</v>
      </c>
      <c r="D14" s="34">
        <v>17032</v>
      </c>
      <c r="E14" s="34">
        <v>76989</v>
      </c>
      <c r="F14" s="34">
        <v>7295</v>
      </c>
      <c r="G14" s="34"/>
      <c r="H14" s="34">
        <f t="shared" si="0"/>
        <v>134034</v>
      </c>
      <c r="K14" s="45" t="s">
        <v>45</v>
      </c>
      <c r="L14" s="46">
        <v>1029</v>
      </c>
      <c r="M14" s="47">
        <v>30362</v>
      </c>
      <c r="N14" s="47">
        <v>32918</v>
      </c>
      <c r="O14" s="47">
        <v>25990</v>
      </c>
      <c r="P14" s="47">
        <v>24058</v>
      </c>
      <c r="Q14" s="47">
        <v>22686</v>
      </c>
      <c r="R14" s="47">
        <v>27044</v>
      </c>
      <c r="S14" s="47">
        <v>29604</v>
      </c>
      <c r="T14" s="47">
        <v>29016</v>
      </c>
      <c r="U14" s="47">
        <v>34397</v>
      </c>
      <c r="V14" s="47">
        <v>43517</v>
      </c>
      <c r="W14" s="47">
        <v>43221</v>
      </c>
      <c r="X14" s="47">
        <v>56267</v>
      </c>
      <c r="Y14" s="47">
        <v>73775</v>
      </c>
      <c r="Z14" s="48">
        <v>99369</v>
      </c>
      <c r="AA14" s="49">
        <f t="shared" ref="AA14:AA17" si="1">SUM(L14:Z14)</f>
        <v>573253</v>
      </c>
      <c r="AD14" s="208" t="s">
        <v>45</v>
      </c>
      <c r="AE14" s="209">
        <v>6527</v>
      </c>
      <c r="AF14" s="209">
        <v>6510</v>
      </c>
      <c r="AG14" s="209">
        <v>5625</v>
      </c>
      <c r="AH14" s="209">
        <f t="shared" ref="AH14:AH17" si="2">SUM(AE14:AG14)</f>
        <v>18662</v>
      </c>
      <c r="AI14"/>
    </row>
    <row r="15" spans="2:35" ht="15.75" customHeight="1" x14ac:dyDescent="0.25">
      <c r="B15" s="33" t="s">
        <v>46</v>
      </c>
      <c r="C15" s="34">
        <v>39392</v>
      </c>
      <c r="D15" s="34">
        <v>17573</v>
      </c>
      <c r="E15" s="34">
        <v>88545</v>
      </c>
      <c r="F15" s="34">
        <v>6054</v>
      </c>
      <c r="G15" s="34"/>
      <c r="H15" s="34">
        <f t="shared" si="0"/>
        <v>151564</v>
      </c>
      <c r="I15" s="50"/>
      <c r="K15" s="45" t="s">
        <v>47</v>
      </c>
      <c r="L15" s="46">
        <v>0</v>
      </c>
      <c r="M15" s="47">
        <v>0</v>
      </c>
      <c r="N15" s="47">
        <v>5301</v>
      </c>
      <c r="O15" s="47">
        <v>11377</v>
      </c>
      <c r="P15" s="47">
        <v>9223</v>
      </c>
      <c r="Q15" s="47">
        <v>6357</v>
      </c>
      <c r="R15" s="47">
        <v>6542</v>
      </c>
      <c r="S15" s="47">
        <v>5381</v>
      </c>
      <c r="T15" s="47">
        <v>4531</v>
      </c>
      <c r="U15" s="47">
        <v>4540</v>
      </c>
      <c r="V15" s="47">
        <v>4894</v>
      </c>
      <c r="W15" s="47">
        <v>4177</v>
      </c>
      <c r="X15" s="47">
        <v>8095</v>
      </c>
      <c r="Y15" s="47">
        <v>7164</v>
      </c>
      <c r="Z15" s="48">
        <v>9558</v>
      </c>
      <c r="AA15" s="49">
        <f t="shared" si="1"/>
        <v>87140</v>
      </c>
      <c r="AD15" s="208" t="s">
        <v>47</v>
      </c>
      <c r="AE15" s="209">
        <v>623</v>
      </c>
      <c r="AF15" s="209">
        <v>681</v>
      </c>
      <c r="AG15" s="209">
        <v>385</v>
      </c>
      <c r="AH15" s="209">
        <f t="shared" si="2"/>
        <v>1689</v>
      </c>
      <c r="AI15"/>
    </row>
    <row r="16" spans="2:35" x14ac:dyDescent="0.25">
      <c r="B16" s="33" t="s">
        <v>48</v>
      </c>
      <c r="C16" s="34">
        <v>31042</v>
      </c>
      <c r="D16" s="34">
        <v>18557</v>
      </c>
      <c r="E16" s="34">
        <v>88878</v>
      </c>
      <c r="F16" s="34">
        <v>2501</v>
      </c>
      <c r="G16" s="34"/>
      <c r="H16" s="34">
        <f t="shared" si="0"/>
        <v>140978</v>
      </c>
      <c r="I16" s="50"/>
      <c r="K16" s="45" t="s">
        <v>49</v>
      </c>
      <c r="L16" s="46">
        <v>42858</v>
      </c>
      <c r="M16" s="47">
        <v>74227</v>
      </c>
      <c r="N16" s="47">
        <v>59393</v>
      </c>
      <c r="O16" s="47">
        <v>43025</v>
      </c>
      <c r="P16" s="47">
        <v>32139</v>
      </c>
      <c r="Q16" s="47">
        <v>21246</v>
      </c>
      <c r="R16" s="47">
        <v>23835</v>
      </c>
      <c r="S16" s="47">
        <v>21854</v>
      </c>
      <c r="T16" s="47">
        <v>20904</v>
      </c>
      <c r="U16" s="47">
        <v>22824</v>
      </c>
      <c r="V16" s="47">
        <v>22939</v>
      </c>
      <c r="W16" s="47">
        <v>21341</v>
      </c>
      <c r="X16" s="47">
        <v>19280</v>
      </c>
      <c r="Y16" s="47">
        <v>24333</v>
      </c>
      <c r="Z16" s="48">
        <v>31316</v>
      </c>
      <c r="AA16" s="49">
        <f t="shared" si="1"/>
        <v>481514</v>
      </c>
      <c r="AD16" s="208" t="s">
        <v>49</v>
      </c>
      <c r="AE16" s="209">
        <v>2426</v>
      </c>
      <c r="AF16" s="209">
        <v>2788</v>
      </c>
      <c r="AG16" s="209">
        <v>2390</v>
      </c>
      <c r="AH16" s="209">
        <f t="shared" si="2"/>
        <v>7604</v>
      </c>
      <c r="AI16"/>
    </row>
    <row r="17" spans="2:35" x14ac:dyDescent="0.25">
      <c r="B17" s="51" t="s">
        <v>50</v>
      </c>
      <c r="C17" s="47">
        <v>2173</v>
      </c>
      <c r="D17" s="47">
        <v>1500</v>
      </c>
      <c r="E17" s="47">
        <v>6222</v>
      </c>
      <c r="F17" s="47">
        <v>224</v>
      </c>
      <c r="G17" s="47"/>
      <c r="H17" s="47">
        <f t="shared" si="0"/>
        <v>10119</v>
      </c>
      <c r="K17" s="45" t="s">
        <v>51</v>
      </c>
      <c r="L17" s="46">
        <v>5</v>
      </c>
      <c r="M17" s="47">
        <v>0</v>
      </c>
      <c r="N17" s="47">
        <v>0</v>
      </c>
      <c r="O17" s="47">
        <v>0</v>
      </c>
      <c r="P17" s="47">
        <v>0</v>
      </c>
      <c r="Q17" s="47">
        <v>0</v>
      </c>
      <c r="R17" s="47">
        <v>0</v>
      </c>
      <c r="S17" s="47">
        <v>0</v>
      </c>
      <c r="T17" s="47">
        <v>0</v>
      </c>
      <c r="U17" s="47">
        <v>0</v>
      </c>
      <c r="V17" s="47">
        <v>0</v>
      </c>
      <c r="W17" s="47">
        <v>0</v>
      </c>
      <c r="X17" s="47">
        <v>0</v>
      </c>
      <c r="Y17" s="47">
        <v>0</v>
      </c>
      <c r="Z17" s="48">
        <v>0</v>
      </c>
      <c r="AA17" s="49">
        <f t="shared" si="1"/>
        <v>5</v>
      </c>
      <c r="AD17" s="208" t="s">
        <v>51</v>
      </c>
      <c r="AE17" s="209">
        <v>20297</v>
      </c>
      <c r="AF17" s="209">
        <v>15246</v>
      </c>
      <c r="AG17" s="209">
        <v>12744</v>
      </c>
      <c r="AH17" s="209">
        <f t="shared" si="2"/>
        <v>48287</v>
      </c>
      <c r="AI17"/>
    </row>
    <row r="18" spans="2:35" x14ac:dyDescent="0.25">
      <c r="B18" s="51" t="s">
        <v>52</v>
      </c>
      <c r="C18" s="47">
        <v>2224</v>
      </c>
      <c r="D18" s="47">
        <v>1403</v>
      </c>
      <c r="E18" s="47">
        <v>6802</v>
      </c>
      <c r="F18" s="47">
        <v>216</v>
      </c>
      <c r="G18" s="47"/>
      <c r="H18" s="47">
        <f t="shared" si="0"/>
        <v>10645</v>
      </c>
      <c r="K18" s="45" t="s">
        <v>53</v>
      </c>
      <c r="L18" s="46">
        <v>0</v>
      </c>
      <c r="M18" s="47">
        <v>0</v>
      </c>
      <c r="N18" s="47">
        <v>0</v>
      </c>
      <c r="O18" s="47">
        <v>0</v>
      </c>
      <c r="P18" s="47">
        <v>0</v>
      </c>
      <c r="Q18" s="47">
        <v>0</v>
      </c>
      <c r="R18" s="47">
        <v>0</v>
      </c>
      <c r="S18" s="47">
        <v>0</v>
      </c>
      <c r="T18" s="47">
        <v>38</v>
      </c>
      <c r="U18" s="47">
        <v>315</v>
      </c>
      <c r="V18" s="47">
        <v>815</v>
      </c>
      <c r="W18" s="47">
        <v>1384</v>
      </c>
      <c r="X18" s="47">
        <v>29007</v>
      </c>
      <c r="Y18" s="47">
        <v>56959</v>
      </c>
      <c r="Z18" s="48">
        <v>263157</v>
      </c>
      <c r="AA18" s="49">
        <v>351675</v>
      </c>
      <c r="AD18" s="208" t="s">
        <v>53</v>
      </c>
      <c r="AE18" s="209"/>
      <c r="AF18" s="209"/>
      <c r="AG18" s="209"/>
      <c r="AH18" s="209"/>
      <c r="AI18"/>
    </row>
    <row r="19" spans="2:35" ht="15.75" thickBot="1" x14ac:dyDescent="0.3">
      <c r="B19" s="51" t="s">
        <v>54</v>
      </c>
      <c r="C19" s="47">
        <v>2350</v>
      </c>
      <c r="D19" s="47">
        <v>1601</v>
      </c>
      <c r="E19" s="47">
        <v>6925</v>
      </c>
      <c r="F19" s="47">
        <v>207</v>
      </c>
      <c r="G19" s="47"/>
      <c r="H19" s="47">
        <f t="shared" si="0"/>
        <v>11083</v>
      </c>
      <c r="K19" s="52" t="s">
        <v>35</v>
      </c>
      <c r="L19" s="53">
        <f>SUM(L13:L18)</f>
        <v>139362</v>
      </c>
      <c r="M19" s="54">
        <f t="shared" ref="M19:AA19" si="3">SUM(M13:M18)</f>
        <v>404440</v>
      </c>
      <c r="N19" s="54">
        <f t="shared" si="3"/>
        <v>245675</v>
      </c>
      <c r="O19" s="54">
        <f t="shared" si="3"/>
        <v>194791</v>
      </c>
      <c r="P19" s="54">
        <f t="shared" si="3"/>
        <v>192270</v>
      </c>
      <c r="Q19" s="54">
        <f t="shared" si="3"/>
        <v>134034</v>
      </c>
      <c r="R19" s="54">
        <f t="shared" si="3"/>
        <v>151564</v>
      </c>
      <c r="S19" s="54">
        <f t="shared" si="3"/>
        <v>140978</v>
      </c>
      <c r="T19" s="54">
        <f t="shared" si="3"/>
        <v>138788</v>
      </c>
      <c r="U19" s="54">
        <f t="shared" si="3"/>
        <v>157066</v>
      </c>
      <c r="V19" s="54">
        <f t="shared" si="3"/>
        <v>178401</v>
      </c>
      <c r="W19" s="54">
        <f t="shared" si="3"/>
        <v>165312</v>
      </c>
      <c r="X19" s="54">
        <f t="shared" si="3"/>
        <v>219809</v>
      </c>
      <c r="Y19" s="54">
        <f t="shared" si="3"/>
        <v>280210</v>
      </c>
      <c r="Z19" s="55">
        <f t="shared" si="3"/>
        <v>653587</v>
      </c>
      <c r="AA19" s="56">
        <f t="shared" si="3"/>
        <v>3396287</v>
      </c>
      <c r="AD19" s="212" t="s">
        <v>35</v>
      </c>
      <c r="AE19" s="154">
        <f>SUM(AE13:AE18)</f>
        <v>49592</v>
      </c>
      <c r="AF19" s="154">
        <f t="shared" ref="AF19:AH19" si="4">SUM(AF13:AF18)</f>
        <v>48021</v>
      </c>
      <c r="AG19" s="154">
        <f t="shared" si="4"/>
        <v>38914</v>
      </c>
      <c r="AH19" s="154">
        <f t="shared" si="4"/>
        <v>136527</v>
      </c>
      <c r="AI19"/>
    </row>
    <row r="20" spans="2:35" x14ac:dyDescent="0.25">
      <c r="B20" s="51" t="s">
        <v>55</v>
      </c>
      <c r="C20" s="47">
        <v>3284</v>
      </c>
      <c r="D20" s="47">
        <v>1531</v>
      </c>
      <c r="E20" s="47">
        <v>7503</v>
      </c>
      <c r="F20" s="47">
        <v>205</v>
      </c>
      <c r="G20" s="47"/>
      <c r="H20" s="47">
        <f t="shared" si="0"/>
        <v>12523</v>
      </c>
      <c r="K20" s="6" t="s">
        <v>27</v>
      </c>
    </row>
    <row r="21" spans="2:35" x14ac:dyDescent="0.25">
      <c r="B21" s="51" t="s">
        <v>56</v>
      </c>
      <c r="C21" s="47">
        <v>2764</v>
      </c>
      <c r="D21" s="47">
        <v>1579</v>
      </c>
      <c r="E21" s="47">
        <v>9264</v>
      </c>
      <c r="F21" s="47">
        <v>224</v>
      </c>
      <c r="G21" s="47"/>
      <c r="H21" s="47">
        <f t="shared" si="0"/>
        <v>13831</v>
      </c>
    </row>
    <row r="22" spans="2:35" x14ac:dyDescent="0.25">
      <c r="B22" s="51" t="s">
        <v>57</v>
      </c>
      <c r="C22" s="47">
        <v>2478</v>
      </c>
      <c r="D22" s="47">
        <v>1445</v>
      </c>
      <c r="E22" s="47">
        <v>6920</v>
      </c>
      <c r="F22" s="47">
        <v>174</v>
      </c>
      <c r="G22" s="47"/>
      <c r="H22" s="47">
        <f t="shared" si="0"/>
        <v>11017</v>
      </c>
    </row>
    <row r="23" spans="2:35" ht="18.75" x14ac:dyDescent="0.3">
      <c r="B23" s="51" t="s">
        <v>58</v>
      </c>
      <c r="C23" s="47">
        <v>2663</v>
      </c>
      <c r="D23" s="47">
        <v>1514</v>
      </c>
      <c r="E23" s="47">
        <v>6996</v>
      </c>
      <c r="F23" s="47">
        <v>198</v>
      </c>
      <c r="G23" s="47"/>
      <c r="H23" s="47">
        <f t="shared" si="0"/>
        <v>11371</v>
      </c>
      <c r="K23" s="35" t="s">
        <v>59</v>
      </c>
      <c r="L23" s="22"/>
      <c r="M23" s="22"/>
      <c r="N23" s="22"/>
      <c r="O23" s="22"/>
      <c r="P23" s="22"/>
      <c r="Q23" s="22"/>
      <c r="R23" s="22"/>
      <c r="S23" s="22"/>
      <c r="T23" s="22"/>
    </row>
    <row r="24" spans="2:35" x14ac:dyDescent="0.25">
      <c r="B24" s="51" t="s">
        <v>60</v>
      </c>
      <c r="C24" s="47">
        <v>2949</v>
      </c>
      <c r="D24" s="47">
        <v>1850</v>
      </c>
      <c r="E24" s="47">
        <v>8983</v>
      </c>
      <c r="F24" s="47">
        <v>245</v>
      </c>
      <c r="G24" s="47"/>
      <c r="H24" s="47">
        <f t="shared" si="0"/>
        <v>14027</v>
      </c>
      <c r="K24" s="29" t="s">
        <v>10</v>
      </c>
    </row>
    <row r="25" spans="2:35" ht="15.75" thickBot="1" x14ac:dyDescent="0.3">
      <c r="B25" s="51" t="s">
        <v>61</v>
      </c>
      <c r="C25" s="47">
        <v>2715</v>
      </c>
      <c r="D25" s="47">
        <v>1614</v>
      </c>
      <c r="E25" s="47">
        <v>7860</v>
      </c>
      <c r="F25" s="47">
        <v>213</v>
      </c>
      <c r="G25" s="47"/>
      <c r="H25" s="47">
        <f t="shared" si="0"/>
        <v>12402</v>
      </c>
    </row>
    <row r="26" spans="2:35" ht="15.75" thickBot="1" x14ac:dyDescent="0.3">
      <c r="B26" s="51" t="s">
        <v>62</v>
      </c>
      <c r="C26" s="47">
        <v>2274</v>
      </c>
      <c r="D26" s="47">
        <v>1331</v>
      </c>
      <c r="E26" s="47">
        <v>6676</v>
      </c>
      <c r="F26" s="47">
        <v>215</v>
      </c>
      <c r="G26" s="47"/>
      <c r="H26" s="47">
        <f t="shared" si="0"/>
        <v>10496</v>
      </c>
      <c r="K26" s="36" t="s">
        <v>41</v>
      </c>
      <c r="L26" s="57" t="s">
        <v>52</v>
      </c>
      <c r="M26" s="58" t="s">
        <v>54</v>
      </c>
      <c r="N26" s="58" t="s">
        <v>55</v>
      </c>
      <c r="O26" s="58" t="s">
        <v>56</v>
      </c>
      <c r="P26" s="58" t="s">
        <v>57</v>
      </c>
      <c r="Q26" s="58" t="s">
        <v>58</v>
      </c>
      <c r="R26" s="58" t="s">
        <v>60</v>
      </c>
      <c r="S26" s="58" t="s">
        <v>61</v>
      </c>
      <c r="T26" s="58" t="s">
        <v>62</v>
      </c>
      <c r="U26" s="58" t="s">
        <v>63</v>
      </c>
      <c r="V26" s="59" t="s">
        <v>64</v>
      </c>
      <c r="W26" s="36" t="s">
        <v>35</v>
      </c>
    </row>
    <row r="27" spans="2:35" x14ac:dyDescent="0.25">
      <c r="B27" s="51" t="s">
        <v>63</v>
      </c>
      <c r="C27" s="47">
        <v>2376</v>
      </c>
      <c r="D27" s="47">
        <v>1259</v>
      </c>
      <c r="E27" s="47">
        <v>6679</v>
      </c>
      <c r="F27" s="47">
        <v>208</v>
      </c>
      <c r="G27" s="47"/>
      <c r="H27" s="47">
        <f t="shared" si="0"/>
        <v>10522</v>
      </c>
      <c r="K27" s="40" t="s">
        <v>43</v>
      </c>
      <c r="L27" s="60">
        <v>33391</v>
      </c>
      <c r="M27" s="47">
        <v>24468</v>
      </c>
      <c r="N27" s="47">
        <v>15614</v>
      </c>
      <c r="O27" s="47">
        <v>15183</v>
      </c>
      <c r="P27" s="47">
        <v>15569</v>
      </c>
      <c r="Q27" s="47">
        <v>16839</v>
      </c>
      <c r="R27" s="47">
        <v>22369</v>
      </c>
      <c r="S27" s="47">
        <v>14247</v>
      </c>
      <c r="T27" s="47">
        <v>17724</v>
      </c>
      <c r="U27" s="47">
        <v>20504</v>
      </c>
      <c r="V27" s="61">
        <v>15932</v>
      </c>
      <c r="W27" s="44">
        <f>SUM(L27:V27)</f>
        <v>211840</v>
      </c>
    </row>
    <row r="28" spans="2:35" x14ac:dyDescent="0.25">
      <c r="B28" s="51" t="s">
        <v>64</v>
      </c>
      <c r="C28" s="47">
        <v>2435</v>
      </c>
      <c r="D28" s="47">
        <v>1467</v>
      </c>
      <c r="E28" s="47">
        <v>6602</v>
      </c>
      <c r="F28" s="47">
        <v>248</v>
      </c>
      <c r="G28" s="47"/>
      <c r="H28" s="47">
        <f t="shared" si="0"/>
        <v>10752</v>
      </c>
      <c r="K28" s="45" t="s">
        <v>45</v>
      </c>
      <c r="L28" s="60">
        <v>9704</v>
      </c>
      <c r="M28" s="47">
        <v>9520</v>
      </c>
      <c r="N28" s="47">
        <v>7533</v>
      </c>
      <c r="O28" s="47">
        <v>7931</v>
      </c>
      <c r="P28" s="47">
        <v>7526</v>
      </c>
      <c r="Q28" s="47">
        <v>7879</v>
      </c>
      <c r="R28" s="47">
        <v>9071</v>
      </c>
      <c r="S28" s="47">
        <v>6033</v>
      </c>
      <c r="T28" s="47">
        <v>5791</v>
      </c>
      <c r="U28" s="47">
        <v>5751</v>
      </c>
      <c r="V28" s="61">
        <v>4886</v>
      </c>
      <c r="W28" s="49">
        <f t="shared" ref="W28:W31" si="5">SUM(L28:V28)</f>
        <v>81625</v>
      </c>
    </row>
    <row r="29" spans="2:35" x14ac:dyDescent="0.25">
      <c r="B29" s="33" t="s">
        <v>65</v>
      </c>
      <c r="C29" s="34">
        <f t="shared" ref="C29:H29" si="6">SUM(C17:C28)</f>
        <v>30685</v>
      </c>
      <c r="D29" s="34">
        <f t="shared" si="6"/>
        <v>18094</v>
      </c>
      <c r="E29" s="34">
        <f t="shared" si="6"/>
        <v>87432</v>
      </c>
      <c r="F29" s="34">
        <f t="shared" si="6"/>
        <v>2577</v>
      </c>
      <c r="G29" s="34"/>
      <c r="H29" s="34">
        <f t="shared" si="6"/>
        <v>138788</v>
      </c>
      <c r="I29" s="50"/>
      <c r="K29" s="45" t="s">
        <v>47</v>
      </c>
      <c r="L29" s="60">
        <v>1778</v>
      </c>
      <c r="M29" s="47">
        <v>1136</v>
      </c>
      <c r="N29" s="47">
        <v>679</v>
      </c>
      <c r="O29" s="47">
        <v>581</v>
      </c>
      <c r="P29" s="47">
        <v>704</v>
      </c>
      <c r="Q29" s="47">
        <v>735</v>
      </c>
      <c r="R29" s="47">
        <v>884</v>
      </c>
      <c r="S29" s="47">
        <v>415</v>
      </c>
      <c r="T29" s="47">
        <v>611</v>
      </c>
      <c r="U29" s="47">
        <v>650</v>
      </c>
      <c r="V29" s="61">
        <v>361</v>
      </c>
      <c r="W29" s="49">
        <f t="shared" si="5"/>
        <v>8534</v>
      </c>
    </row>
    <row r="30" spans="2:35" x14ac:dyDescent="0.25">
      <c r="B30" s="51" t="s">
        <v>50</v>
      </c>
      <c r="C30" s="47">
        <v>3122</v>
      </c>
      <c r="D30" s="47">
        <v>1508</v>
      </c>
      <c r="E30" s="47">
        <v>7979</v>
      </c>
      <c r="F30" s="47">
        <v>269</v>
      </c>
      <c r="G30" s="47"/>
      <c r="H30" s="47">
        <f t="shared" ref="H30:H41" si="7">SUM(C30:F30)</f>
        <v>12878</v>
      </c>
      <c r="K30" s="45" t="s">
        <v>49</v>
      </c>
      <c r="L30" s="60">
        <v>2114</v>
      </c>
      <c r="M30" s="47">
        <v>2094</v>
      </c>
      <c r="N30" s="47">
        <v>1761</v>
      </c>
      <c r="O30" s="47">
        <v>1772</v>
      </c>
      <c r="P30" s="47">
        <v>1614</v>
      </c>
      <c r="Q30" s="47">
        <v>1702</v>
      </c>
      <c r="R30" s="47">
        <v>2309</v>
      </c>
      <c r="S30" s="47">
        <v>1677</v>
      </c>
      <c r="T30" s="47">
        <v>1807</v>
      </c>
      <c r="U30" s="47">
        <v>2062</v>
      </c>
      <c r="V30" s="61">
        <v>1847</v>
      </c>
      <c r="W30" s="49">
        <f t="shared" si="5"/>
        <v>20759</v>
      </c>
    </row>
    <row r="31" spans="2:35" x14ac:dyDescent="0.25">
      <c r="B31" s="51" t="s">
        <v>52</v>
      </c>
      <c r="C31" s="47">
        <v>2377</v>
      </c>
      <c r="D31" s="47">
        <v>1375</v>
      </c>
      <c r="E31" s="47">
        <v>7282</v>
      </c>
      <c r="F31" s="47">
        <v>213</v>
      </c>
      <c r="G31" s="47"/>
      <c r="H31" s="47">
        <f t="shared" si="7"/>
        <v>11247</v>
      </c>
      <c r="K31" s="45" t="s">
        <v>53</v>
      </c>
      <c r="L31" s="60">
        <v>102199</v>
      </c>
      <c r="M31" s="47">
        <v>20649</v>
      </c>
      <c r="N31" s="47">
        <v>11093</v>
      </c>
      <c r="O31" s="47">
        <v>9844</v>
      </c>
      <c r="P31" s="47">
        <v>10561</v>
      </c>
      <c r="Q31" s="47">
        <v>12378</v>
      </c>
      <c r="R31" s="47">
        <v>23019</v>
      </c>
      <c r="S31" s="47">
        <v>11941</v>
      </c>
      <c r="T31" s="47">
        <v>19669</v>
      </c>
      <c r="U31" s="47">
        <v>14585</v>
      </c>
      <c r="V31" s="61">
        <v>12199</v>
      </c>
      <c r="W31" s="49">
        <f t="shared" si="5"/>
        <v>248137</v>
      </c>
    </row>
    <row r="32" spans="2:35" ht="15.75" thickBot="1" x14ac:dyDescent="0.3">
      <c r="B32" s="51" t="s">
        <v>54</v>
      </c>
      <c r="C32" s="47">
        <v>2340</v>
      </c>
      <c r="D32" s="47">
        <v>1762</v>
      </c>
      <c r="E32" s="47">
        <v>8966</v>
      </c>
      <c r="F32" s="47">
        <v>224</v>
      </c>
      <c r="G32" s="47"/>
      <c r="H32" s="47">
        <f t="shared" si="7"/>
        <v>13292</v>
      </c>
      <c r="K32" s="62" t="s">
        <v>35</v>
      </c>
      <c r="L32" s="63">
        <f>SUM(L27:L31)</f>
        <v>149186</v>
      </c>
      <c r="M32" s="64">
        <f t="shared" ref="M32:W32" si="8">SUM(M27:M31)</f>
        <v>57867</v>
      </c>
      <c r="N32" s="64">
        <f t="shared" si="8"/>
        <v>36680</v>
      </c>
      <c r="O32" s="64">
        <f t="shared" si="8"/>
        <v>35311</v>
      </c>
      <c r="P32" s="64">
        <f t="shared" si="8"/>
        <v>35974</v>
      </c>
      <c r="Q32" s="64">
        <f t="shared" si="8"/>
        <v>39533</v>
      </c>
      <c r="R32" s="64">
        <f t="shared" si="8"/>
        <v>57652</v>
      </c>
      <c r="S32" s="64">
        <f t="shared" si="8"/>
        <v>34313</v>
      </c>
      <c r="T32" s="64">
        <f t="shared" si="8"/>
        <v>45602</v>
      </c>
      <c r="U32" s="64">
        <f t="shared" si="8"/>
        <v>43552</v>
      </c>
      <c r="V32" s="65">
        <f t="shared" si="8"/>
        <v>35225</v>
      </c>
      <c r="W32" s="56">
        <f t="shared" si="8"/>
        <v>570895</v>
      </c>
    </row>
    <row r="33" spans="2:18" x14ac:dyDescent="0.25">
      <c r="B33" s="51" t="s">
        <v>55</v>
      </c>
      <c r="C33" s="47">
        <v>2319</v>
      </c>
      <c r="D33" s="47">
        <v>1421</v>
      </c>
      <c r="E33" s="47">
        <v>7022</v>
      </c>
      <c r="F33" s="47">
        <v>212</v>
      </c>
      <c r="G33" s="47"/>
      <c r="H33" s="47">
        <f t="shared" si="7"/>
        <v>10974</v>
      </c>
      <c r="K33" s="6" t="s">
        <v>27</v>
      </c>
    </row>
    <row r="34" spans="2:18" x14ac:dyDescent="0.25">
      <c r="B34" s="51" t="s">
        <v>56</v>
      </c>
      <c r="C34" s="47">
        <v>2725</v>
      </c>
      <c r="D34" s="47">
        <v>1582</v>
      </c>
      <c r="E34" s="47">
        <v>9937</v>
      </c>
      <c r="F34" s="47">
        <v>270</v>
      </c>
      <c r="G34" s="47"/>
      <c r="H34" s="47">
        <f t="shared" si="7"/>
        <v>14514</v>
      </c>
    </row>
    <row r="35" spans="2:18" x14ac:dyDescent="0.25">
      <c r="B35" s="51" t="s">
        <v>57</v>
      </c>
      <c r="C35" s="47">
        <v>2467</v>
      </c>
      <c r="D35" s="47">
        <v>1474</v>
      </c>
      <c r="E35" s="47">
        <v>7973</v>
      </c>
      <c r="F35" s="47">
        <v>218</v>
      </c>
      <c r="G35" s="47"/>
      <c r="H35" s="47">
        <f t="shared" si="7"/>
        <v>12132</v>
      </c>
    </row>
    <row r="36" spans="2:18" ht="18.75" x14ac:dyDescent="0.3">
      <c r="B36" s="51" t="s">
        <v>58</v>
      </c>
      <c r="C36" s="47">
        <v>2809</v>
      </c>
      <c r="D36" s="47">
        <v>1626</v>
      </c>
      <c r="E36" s="47">
        <v>9532</v>
      </c>
      <c r="F36" s="47">
        <v>294</v>
      </c>
      <c r="G36" s="47"/>
      <c r="H36" s="47">
        <f t="shared" si="7"/>
        <v>14261</v>
      </c>
      <c r="K36" s="2" t="s">
        <v>66</v>
      </c>
      <c r="L36" s="22"/>
      <c r="M36" s="22"/>
      <c r="N36" s="22"/>
      <c r="O36" s="22"/>
      <c r="P36" s="22"/>
      <c r="Q36" s="22"/>
      <c r="R36" s="22"/>
    </row>
    <row r="37" spans="2:18" x14ac:dyDescent="0.25">
      <c r="B37" s="51" t="s">
        <v>60</v>
      </c>
      <c r="C37" s="47">
        <v>2996</v>
      </c>
      <c r="D37" s="47">
        <v>1673</v>
      </c>
      <c r="E37" s="47">
        <v>9947</v>
      </c>
      <c r="F37" s="47">
        <v>305</v>
      </c>
      <c r="G37" s="47"/>
      <c r="H37" s="47">
        <f t="shared" si="7"/>
        <v>14921</v>
      </c>
      <c r="K37" s="29" t="s">
        <v>10</v>
      </c>
    </row>
    <row r="38" spans="2:18" ht="15.75" thickBot="1" x14ac:dyDescent="0.3">
      <c r="B38" s="51" t="s">
        <v>61</v>
      </c>
      <c r="C38" s="47">
        <v>2682</v>
      </c>
      <c r="D38" s="47">
        <v>1371</v>
      </c>
      <c r="E38" s="47">
        <v>8257</v>
      </c>
      <c r="F38" s="47">
        <v>259</v>
      </c>
      <c r="G38" s="47"/>
      <c r="H38" s="47">
        <f t="shared" si="7"/>
        <v>12569</v>
      </c>
    </row>
    <row r="39" spans="2:18" ht="15.75" thickBot="1" x14ac:dyDescent="0.3">
      <c r="B39" s="51" t="s">
        <v>62</v>
      </c>
      <c r="C39" s="47">
        <v>3034</v>
      </c>
      <c r="D39" s="47">
        <v>1585</v>
      </c>
      <c r="E39" s="47">
        <v>9685</v>
      </c>
      <c r="F39" s="47">
        <v>312</v>
      </c>
      <c r="G39" s="47"/>
      <c r="H39" s="47">
        <f t="shared" si="7"/>
        <v>14616</v>
      </c>
      <c r="K39" s="66" t="s">
        <v>67</v>
      </c>
      <c r="L39" s="67" t="s">
        <v>32</v>
      </c>
      <c r="M39" s="68" t="s">
        <v>33</v>
      </c>
      <c r="N39" s="68" t="s">
        <v>19</v>
      </c>
      <c r="O39" s="68" t="s">
        <v>34</v>
      </c>
      <c r="P39" s="68" t="s">
        <v>21</v>
      </c>
      <c r="Q39" s="69" t="s">
        <v>35</v>
      </c>
    </row>
    <row r="40" spans="2:18" x14ac:dyDescent="0.25">
      <c r="B40" s="51" t="s">
        <v>63</v>
      </c>
      <c r="C40" s="47">
        <v>2756</v>
      </c>
      <c r="D40" s="47">
        <v>1664</v>
      </c>
      <c r="E40" s="47">
        <v>9055</v>
      </c>
      <c r="F40" s="47">
        <v>316</v>
      </c>
      <c r="G40" s="47"/>
      <c r="H40" s="47">
        <f t="shared" si="7"/>
        <v>13791</v>
      </c>
      <c r="K40" s="70">
        <v>2008</v>
      </c>
      <c r="L40" s="71">
        <f>Solicitudes_compl!C9</f>
        <v>83903</v>
      </c>
      <c r="M40" s="72">
        <f>Solicitudes_compl!D9</f>
        <v>36885</v>
      </c>
      <c r="N40" s="72">
        <f>Solicitudes_compl!E9</f>
        <v>12630</v>
      </c>
      <c r="O40" s="72">
        <f>Solicitudes_compl!F9</f>
        <v>5944</v>
      </c>
      <c r="P40" s="72">
        <v>0</v>
      </c>
      <c r="Q40" s="73">
        <f t="shared" ref="Q40:Q54" si="9">SUM(L40:P40)</f>
        <v>139362</v>
      </c>
    </row>
    <row r="41" spans="2:18" x14ac:dyDescent="0.25">
      <c r="B41" s="51" t="s">
        <v>64</v>
      </c>
      <c r="C41" s="47">
        <v>2401</v>
      </c>
      <c r="D41" s="47">
        <v>1294</v>
      </c>
      <c r="E41" s="47">
        <v>7901</v>
      </c>
      <c r="F41" s="47">
        <v>275</v>
      </c>
      <c r="G41" s="47"/>
      <c r="H41" s="47">
        <f t="shared" si="7"/>
        <v>11871</v>
      </c>
      <c r="K41" s="74">
        <v>2009</v>
      </c>
      <c r="L41" s="75">
        <f>Solicitudes_compl!C10</f>
        <v>59154</v>
      </c>
      <c r="M41" s="76">
        <f>Solicitudes_compl!D10</f>
        <v>35458</v>
      </c>
      <c r="N41" s="76">
        <f>Solicitudes_compl!E10</f>
        <v>298121</v>
      </c>
      <c r="O41" s="76">
        <f>Solicitudes_compl!F10</f>
        <v>11707</v>
      </c>
      <c r="P41" s="76">
        <v>0</v>
      </c>
      <c r="Q41" s="77">
        <f t="shared" si="9"/>
        <v>404440</v>
      </c>
    </row>
    <row r="42" spans="2:18" x14ac:dyDescent="0.25">
      <c r="B42" s="33" t="s">
        <v>68</v>
      </c>
      <c r="C42" s="34">
        <f t="shared" ref="C42:H42" si="10">SUM(C30:C41)</f>
        <v>32028</v>
      </c>
      <c r="D42" s="34">
        <f t="shared" si="10"/>
        <v>18335</v>
      </c>
      <c r="E42" s="34">
        <f t="shared" si="10"/>
        <v>103536</v>
      </c>
      <c r="F42" s="34">
        <f t="shared" si="10"/>
        <v>3167</v>
      </c>
      <c r="G42" s="34"/>
      <c r="H42" s="34">
        <f t="shared" si="10"/>
        <v>157066</v>
      </c>
      <c r="I42" s="50"/>
      <c r="J42" s="26"/>
      <c r="K42" s="74">
        <v>2010</v>
      </c>
      <c r="L42" s="75">
        <f>Solicitudes_compl!C11</f>
        <v>40733</v>
      </c>
      <c r="M42" s="76">
        <f>Solicitudes_compl!D11</f>
        <v>24967</v>
      </c>
      <c r="N42" s="76">
        <f>Solicitudes_compl!E11</f>
        <v>168046</v>
      </c>
      <c r="O42" s="76">
        <f>Solicitudes_compl!F11</f>
        <v>11929</v>
      </c>
      <c r="P42" s="76">
        <v>0</v>
      </c>
      <c r="Q42" s="77">
        <f t="shared" si="9"/>
        <v>245675</v>
      </c>
    </row>
    <row r="43" spans="2:18" x14ac:dyDescent="0.25">
      <c r="B43" s="51" t="s">
        <v>50</v>
      </c>
      <c r="C43" s="47">
        <v>2721</v>
      </c>
      <c r="D43" s="47">
        <v>1453</v>
      </c>
      <c r="E43" s="47">
        <v>11159</v>
      </c>
      <c r="F43" s="47">
        <v>401</v>
      </c>
      <c r="G43" s="47"/>
      <c r="H43" s="47">
        <f t="shared" ref="H43:H54" si="11">SUM(C43:F43)</f>
        <v>15734</v>
      </c>
      <c r="K43" s="74">
        <v>2011</v>
      </c>
      <c r="L43" s="75">
        <f>Solicitudes_compl!C12</f>
        <v>37414</v>
      </c>
      <c r="M43" s="76">
        <f>Solicitudes_compl!D12</f>
        <v>20938</v>
      </c>
      <c r="N43" s="76">
        <f>Solicitudes_compl!E12</f>
        <v>126071</v>
      </c>
      <c r="O43" s="76">
        <f>Solicitudes_compl!F12</f>
        <v>10368</v>
      </c>
      <c r="P43" s="76">
        <v>0</v>
      </c>
      <c r="Q43" s="77">
        <f t="shared" si="9"/>
        <v>194791</v>
      </c>
    </row>
    <row r="44" spans="2:18" x14ac:dyDescent="0.25">
      <c r="B44" s="51" t="s">
        <v>52</v>
      </c>
      <c r="C44" s="47">
        <v>2301</v>
      </c>
      <c r="D44" s="47">
        <v>1173</v>
      </c>
      <c r="E44" s="47">
        <v>11051</v>
      </c>
      <c r="F44" s="47">
        <v>732</v>
      </c>
      <c r="G44" s="47"/>
      <c r="H44" s="47">
        <f t="shared" si="11"/>
        <v>15257</v>
      </c>
      <c r="K44" s="74">
        <v>2012</v>
      </c>
      <c r="L44" s="75">
        <f>Solicitudes_compl!C13</f>
        <v>34111</v>
      </c>
      <c r="M44" s="76">
        <f>Solicitudes_compl!D13</f>
        <v>19594</v>
      </c>
      <c r="N44" s="76">
        <f>Solicitudes_compl!E13</f>
        <v>130339</v>
      </c>
      <c r="O44" s="76">
        <f>Solicitudes_compl!F13</f>
        <v>8226</v>
      </c>
      <c r="P44" s="76">
        <v>0</v>
      </c>
      <c r="Q44" s="77">
        <f t="shared" si="9"/>
        <v>192270</v>
      </c>
    </row>
    <row r="45" spans="2:18" x14ac:dyDescent="0.25">
      <c r="B45" s="51" t="s">
        <v>54</v>
      </c>
      <c r="C45" s="47">
        <v>2626</v>
      </c>
      <c r="D45" s="47">
        <v>1458</v>
      </c>
      <c r="E45" s="47">
        <v>10390</v>
      </c>
      <c r="F45" s="47">
        <v>921</v>
      </c>
      <c r="G45" s="47"/>
      <c r="H45" s="47">
        <f t="shared" si="11"/>
        <v>15395</v>
      </c>
      <c r="K45" s="74">
        <v>2013</v>
      </c>
      <c r="L45" s="75">
        <f>Solicitudes_compl!C14</f>
        <v>32718</v>
      </c>
      <c r="M45" s="76">
        <f>Solicitudes_compl!D14</f>
        <v>17032</v>
      </c>
      <c r="N45" s="76">
        <f>Solicitudes_compl!E14</f>
        <v>76989</v>
      </c>
      <c r="O45" s="76">
        <f>Solicitudes_compl!F14</f>
        <v>7295</v>
      </c>
      <c r="P45" s="76">
        <v>0</v>
      </c>
      <c r="Q45" s="77">
        <f t="shared" si="9"/>
        <v>134034</v>
      </c>
    </row>
    <row r="46" spans="2:18" x14ac:dyDescent="0.25">
      <c r="B46" s="51" t="s">
        <v>55</v>
      </c>
      <c r="C46" s="47">
        <v>2566</v>
      </c>
      <c r="D46" s="47">
        <v>1511</v>
      </c>
      <c r="E46" s="47">
        <v>9759</v>
      </c>
      <c r="F46" s="47">
        <v>837</v>
      </c>
      <c r="G46" s="47"/>
      <c r="H46" s="47">
        <f t="shared" si="11"/>
        <v>14673</v>
      </c>
      <c r="K46" s="74">
        <v>2014</v>
      </c>
      <c r="L46" s="75">
        <f>Solicitudes_compl!C15</f>
        <v>39392</v>
      </c>
      <c r="M46" s="76">
        <f>Solicitudes_compl!D15</f>
        <v>17573</v>
      </c>
      <c r="N46" s="76">
        <f>Solicitudes_compl!E15</f>
        <v>88545</v>
      </c>
      <c r="O46" s="76">
        <f>Solicitudes_compl!F15</f>
        <v>6054</v>
      </c>
      <c r="P46" s="76">
        <v>0</v>
      </c>
      <c r="Q46" s="77">
        <f t="shared" si="9"/>
        <v>151564</v>
      </c>
    </row>
    <row r="47" spans="2:18" x14ac:dyDescent="0.25">
      <c r="B47" s="51" t="s">
        <v>56</v>
      </c>
      <c r="C47" s="47">
        <v>2730</v>
      </c>
      <c r="D47" s="47">
        <v>1384</v>
      </c>
      <c r="E47" s="47">
        <v>11338</v>
      </c>
      <c r="F47" s="47">
        <v>557</v>
      </c>
      <c r="G47" s="47"/>
      <c r="H47" s="47">
        <f t="shared" si="11"/>
        <v>16009</v>
      </c>
      <c r="K47" s="74">
        <v>2015</v>
      </c>
      <c r="L47" s="75">
        <f>Solicitudes_compl!C16</f>
        <v>31042</v>
      </c>
      <c r="M47" s="76">
        <f>Solicitudes_compl!D16</f>
        <v>18557</v>
      </c>
      <c r="N47" s="76">
        <f>Solicitudes_compl!E16</f>
        <v>88878</v>
      </c>
      <c r="O47" s="76">
        <f>Solicitudes_compl!F16</f>
        <v>2501</v>
      </c>
      <c r="P47" s="76">
        <v>0</v>
      </c>
      <c r="Q47" s="77">
        <f t="shared" si="9"/>
        <v>140978</v>
      </c>
    </row>
    <row r="48" spans="2:18" x14ac:dyDescent="0.25">
      <c r="B48" s="51" t="s">
        <v>57</v>
      </c>
      <c r="C48" s="47">
        <v>2508</v>
      </c>
      <c r="D48" s="47">
        <v>1416</v>
      </c>
      <c r="E48" s="47">
        <v>9844</v>
      </c>
      <c r="F48" s="47">
        <v>524</v>
      </c>
      <c r="G48" s="47"/>
      <c r="H48" s="47">
        <f t="shared" si="11"/>
        <v>14292</v>
      </c>
      <c r="K48" s="74">
        <v>2016</v>
      </c>
      <c r="L48" s="75">
        <f>Solicitudes_compl!C29</f>
        <v>30685</v>
      </c>
      <c r="M48" s="76">
        <f>Solicitudes_compl!D29</f>
        <v>18094</v>
      </c>
      <c r="N48" s="76">
        <f>Solicitudes_compl!E29</f>
        <v>87432</v>
      </c>
      <c r="O48" s="76">
        <f>Solicitudes_compl!F29</f>
        <v>2577</v>
      </c>
      <c r="P48" s="76">
        <v>0</v>
      </c>
      <c r="Q48" s="77">
        <f t="shared" si="9"/>
        <v>138788</v>
      </c>
    </row>
    <row r="49" spans="2:19" x14ac:dyDescent="0.25">
      <c r="B49" s="51" t="s">
        <v>58</v>
      </c>
      <c r="C49" s="47">
        <v>2765</v>
      </c>
      <c r="D49" s="47">
        <v>1457</v>
      </c>
      <c r="E49" s="47">
        <v>10406</v>
      </c>
      <c r="F49" s="47">
        <v>480</v>
      </c>
      <c r="G49" s="47"/>
      <c r="H49" s="47">
        <f t="shared" si="11"/>
        <v>15108</v>
      </c>
      <c r="K49" s="74">
        <v>2017</v>
      </c>
      <c r="L49" s="75">
        <f>Solicitudes_compl!C42</f>
        <v>32028</v>
      </c>
      <c r="M49" s="76">
        <f>Solicitudes_compl!D42</f>
        <v>18335</v>
      </c>
      <c r="N49" s="76">
        <f>Solicitudes_compl!E42</f>
        <v>103536</v>
      </c>
      <c r="O49" s="76">
        <f>Solicitudes_compl!F42</f>
        <v>3167</v>
      </c>
      <c r="P49" s="76">
        <v>0</v>
      </c>
      <c r="Q49" s="77">
        <f t="shared" si="9"/>
        <v>157066</v>
      </c>
    </row>
    <row r="50" spans="2:19" x14ac:dyDescent="0.25">
      <c r="B50" s="51" t="s">
        <v>60</v>
      </c>
      <c r="C50" s="47">
        <v>3040</v>
      </c>
      <c r="D50" s="47">
        <v>1641</v>
      </c>
      <c r="E50" s="47">
        <v>11023</v>
      </c>
      <c r="F50" s="47">
        <v>427</v>
      </c>
      <c r="G50" s="47"/>
      <c r="H50" s="47">
        <f t="shared" si="11"/>
        <v>16131</v>
      </c>
      <c r="K50" s="74">
        <v>2018</v>
      </c>
      <c r="L50" s="75">
        <f>Solicitudes_compl!C55</f>
        <v>31567</v>
      </c>
      <c r="M50" s="76">
        <f>Solicitudes_compl!D55</f>
        <v>16995</v>
      </c>
      <c r="N50" s="76">
        <f>Solicitudes_compl!E55</f>
        <v>123567</v>
      </c>
      <c r="O50" s="76">
        <f>Solicitudes_compl!F55</f>
        <v>6272</v>
      </c>
      <c r="P50" s="76">
        <v>0</v>
      </c>
      <c r="Q50" s="77">
        <f t="shared" si="9"/>
        <v>178401</v>
      </c>
    </row>
    <row r="51" spans="2:19" x14ac:dyDescent="0.25">
      <c r="B51" s="51" t="s">
        <v>61</v>
      </c>
      <c r="C51" s="47">
        <v>2125</v>
      </c>
      <c r="D51" s="47">
        <v>1251</v>
      </c>
      <c r="E51" s="47">
        <v>8571</v>
      </c>
      <c r="F51" s="47">
        <v>339</v>
      </c>
      <c r="G51" s="47"/>
      <c r="H51" s="47">
        <f t="shared" si="11"/>
        <v>12286</v>
      </c>
      <c r="K51" s="74">
        <v>2019</v>
      </c>
      <c r="L51" s="75">
        <f>Solicitudes_compl!C68</f>
        <v>29733</v>
      </c>
      <c r="M51" s="76">
        <f>Solicitudes_compl!D68</f>
        <v>16637</v>
      </c>
      <c r="N51" s="76">
        <f>Solicitudes_compl!E68</f>
        <v>112867</v>
      </c>
      <c r="O51" s="76">
        <f>Solicitudes_compl!F68</f>
        <v>6075</v>
      </c>
      <c r="P51" s="76">
        <v>0</v>
      </c>
      <c r="Q51" s="77">
        <f t="shared" si="9"/>
        <v>165312</v>
      </c>
    </row>
    <row r="52" spans="2:19" x14ac:dyDescent="0.25">
      <c r="B52" s="51" t="s">
        <v>62</v>
      </c>
      <c r="C52" s="47">
        <v>3181</v>
      </c>
      <c r="D52" s="47">
        <v>1519</v>
      </c>
      <c r="E52" s="47">
        <v>11882</v>
      </c>
      <c r="F52" s="47">
        <v>419</v>
      </c>
      <c r="G52" s="47"/>
      <c r="H52" s="47">
        <f t="shared" si="11"/>
        <v>17001</v>
      </c>
      <c r="K52" s="74">
        <v>2020</v>
      </c>
      <c r="L52" s="75">
        <f>Solicitudes_compl!C81</f>
        <v>30482</v>
      </c>
      <c r="M52" s="76">
        <f>Solicitudes_compl!D81</f>
        <v>15008</v>
      </c>
      <c r="N52" s="76">
        <f>Solicitudes_compl!E81</f>
        <v>166581</v>
      </c>
      <c r="O52" s="76">
        <f>Solicitudes_compl!F81</f>
        <v>7738</v>
      </c>
      <c r="P52" s="76">
        <v>0</v>
      </c>
      <c r="Q52" s="77">
        <f t="shared" si="9"/>
        <v>219809</v>
      </c>
    </row>
    <row r="53" spans="2:19" x14ac:dyDescent="0.25">
      <c r="B53" s="51" t="s">
        <v>63</v>
      </c>
      <c r="C53" s="47">
        <v>2631</v>
      </c>
      <c r="D53" s="47">
        <v>1405</v>
      </c>
      <c r="E53" s="47">
        <v>9497</v>
      </c>
      <c r="F53" s="47">
        <v>308</v>
      </c>
      <c r="G53" s="47"/>
      <c r="H53" s="47">
        <f t="shared" si="11"/>
        <v>13841</v>
      </c>
      <c r="K53" s="74">
        <v>2021</v>
      </c>
      <c r="L53" s="75">
        <f>Solicitudes_compl!C94</f>
        <v>41653</v>
      </c>
      <c r="M53" s="76">
        <f>Solicitudes_compl!D94</f>
        <v>26969</v>
      </c>
      <c r="N53" s="76">
        <f>Solicitudes_compl!E94</f>
        <v>191078</v>
      </c>
      <c r="O53" s="76">
        <f>Solicitudes_compl!F94</f>
        <v>20510</v>
      </c>
      <c r="P53" s="76">
        <v>0</v>
      </c>
      <c r="Q53" s="77">
        <f t="shared" si="9"/>
        <v>280210</v>
      </c>
    </row>
    <row r="54" spans="2:19" ht="15.75" thickBot="1" x14ac:dyDescent="0.3">
      <c r="B54" s="51" t="s">
        <v>64</v>
      </c>
      <c r="C54" s="47">
        <v>2373</v>
      </c>
      <c r="D54" s="47">
        <v>1327</v>
      </c>
      <c r="E54" s="47">
        <v>8647</v>
      </c>
      <c r="F54" s="47">
        <v>327</v>
      </c>
      <c r="G54" s="47"/>
      <c r="H54" s="47">
        <f t="shared" si="11"/>
        <v>12674</v>
      </c>
      <c r="K54" s="78">
        <v>2022</v>
      </c>
      <c r="L54" s="79">
        <f>Solicitudes_compl!C107</f>
        <v>4879</v>
      </c>
      <c r="M54" s="80">
        <f>Solicitudes_compl!D107</f>
        <v>36400</v>
      </c>
      <c r="N54" s="80">
        <f>Solicitudes_compl!E107</f>
        <v>21970</v>
      </c>
      <c r="O54" s="80">
        <f>Solicitudes_compl!F107</f>
        <v>19443</v>
      </c>
      <c r="P54" s="80">
        <f>Solicitudes_compl!G107</f>
        <v>570895</v>
      </c>
      <c r="Q54" s="81">
        <f t="shared" si="9"/>
        <v>653587</v>
      </c>
    </row>
    <row r="55" spans="2:19" ht="15.75" thickBot="1" x14ac:dyDescent="0.3">
      <c r="B55" s="33" t="s">
        <v>69</v>
      </c>
      <c r="C55" s="34">
        <f>SUM(C43:C54)</f>
        <v>31567</v>
      </c>
      <c r="D55" s="34">
        <f t="shared" ref="D55:F55" si="12">SUM(D43:D54)</f>
        <v>16995</v>
      </c>
      <c r="E55" s="34">
        <f t="shared" si="12"/>
        <v>123567</v>
      </c>
      <c r="F55" s="34">
        <f t="shared" si="12"/>
        <v>6272</v>
      </c>
      <c r="G55" s="34"/>
      <c r="H55" s="34">
        <f>SUM(H43:H54)</f>
        <v>178401</v>
      </c>
      <c r="I55" s="50"/>
      <c r="J55" s="82"/>
      <c r="K55" s="83" t="s">
        <v>35</v>
      </c>
      <c r="L55" s="79">
        <f>SUM(L40:L54)</f>
        <v>559494</v>
      </c>
      <c r="M55" s="80">
        <f t="shared" ref="M55:Q55" si="13">SUM(M40:M54)</f>
        <v>339442</v>
      </c>
      <c r="N55" s="80">
        <f t="shared" si="13"/>
        <v>1796650</v>
      </c>
      <c r="O55" s="80">
        <f t="shared" si="13"/>
        <v>129806</v>
      </c>
      <c r="P55" s="80">
        <f t="shared" si="13"/>
        <v>570895</v>
      </c>
      <c r="Q55" s="81">
        <f t="shared" si="13"/>
        <v>3396287</v>
      </c>
    </row>
    <row r="56" spans="2:19" x14ac:dyDescent="0.25">
      <c r="B56" s="51" t="s">
        <v>50</v>
      </c>
      <c r="C56" s="60">
        <v>2750</v>
      </c>
      <c r="D56" s="47">
        <v>1462</v>
      </c>
      <c r="E56" s="47">
        <v>10200</v>
      </c>
      <c r="F56" s="47">
        <v>565</v>
      </c>
      <c r="G56" s="47"/>
      <c r="H56" s="47">
        <f t="shared" ref="H56:H80" si="14">SUM(C56:F56)</f>
        <v>14977</v>
      </c>
      <c r="K56" s="6" t="s">
        <v>27</v>
      </c>
    </row>
    <row r="57" spans="2:19" x14ac:dyDescent="0.25">
      <c r="B57" s="51" t="s">
        <v>52</v>
      </c>
      <c r="C57" s="60">
        <v>2188</v>
      </c>
      <c r="D57" s="47">
        <v>1293</v>
      </c>
      <c r="E57" s="47">
        <v>8591</v>
      </c>
      <c r="F57" s="47">
        <v>685</v>
      </c>
      <c r="G57" s="47"/>
      <c r="H57" s="47">
        <f t="shared" si="14"/>
        <v>12757</v>
      </c>
      <c r="K57" s="469" t="s">
        <v>28</v>
      </c>
      <c r="L57" s="469"/>
      <c r="M57" s="469"/>
      <c r="N57" s="469"/>
      <c r="O57" s="469"/>
      <c r="P57" s="469"/>
      <c r="Q57" s="469"/>
      <c r="R57" s="84"/>
      <c r="S57" s="84"/>
    </row>
    <row r="58" spans="2:19" x14ac:dyDescent="0.25">
      <c r="B58" s="51" t="s">
        <v>54</v>
      </c>
      <c r="C58" s="60">
        <v>2496</v>
      </c>
      <c r="D58" s="47">
        <v>1471</v>
      </c>
      <c r="E58" s="47">
        <v>9418</v>
      </c>
      <c r="F58" s="47">
        <v>638</v>
      </c>
      <c r="G58" s="47"/>
      <c r="H58" s="47">
        <f t="shared" si="14"/>
        <v>14023</v>
      </c>
      <c r="K58" s="469"/>
      <c r="L58" s="469"/>
      <c r="M58" s="469"/>
      <c r="N58" s="469"/>
      <c r="O58" s="469"/>
      <c r="P58" s="469"/>
      <c r="Q58" s="469"/>
      <c r="R58" s="84"/>
      <c r="S58" s="84"/>
    </row>
    <row r="59" spans="2:19" x14ac:dyDescent="0.25">
      <c r="B59" s="51" t="s">
        <v>55</v>
      </c>
      <c r="C59" s="60">
        <v>2388</v>
      </c>
      <c r="D59" s="47">
        <v>1544</v>
      </c>
      <c r="E59" s="47">
        <v>9186</v>
      </c>
      <c r="F59" s="47">
        <v>584</v>
      </c>
      <c r="G59" s="47"/>
      <c r="H59" s="47">
        <f t="shared" si="14"/>
        <v>13702</v>
      </c>
      <c r="K59" s="469"/>
      <c r="L59" s="469"/>
      <c r="M59" s="469"/>
      <c r="N59" s="469"/>
      <c r="O59" s="469"/>
      <c r="P59" s="469"/>
      <c r="Q59" s="469"/>
      <c r="R59" s="84"/>
      <c r="S59" s="84"/>
    </row>
    <row r="60" spans="2:19" x14ac:dyDescent="0.25">
      <c r="B60" s="51" t="s">
        <v>56</v>
      </c>
      <c r="C60" s="60">
        <v>2428</v>
      </c>
      <c r="D60" s="47">
        <v>1373</v>
      </c>
      <c r="E60" s="47">
        <v>9457</v>
      </c>
      <c r="F60" s="47">
        <v>483</v>
      </c>
      <c r="G60" s="47"/>
      <c r="H60" s="47">
        <f t="shared" si="14"/>
        <v>13741</v>
      </c>
      <c r="K60" s="469"/>
      <c r="L60" s="469"/>
      <c r="M60" s="469"/>
      <c r="N60" s="469"/>
      <c r="O60" s="469"/>
      <c r="P60" s="469"/>
      <c r="Q60" s="469"/>
      <c r="R60" s="84"/>
      <c r="S60" s="84"/>
    </row>
    <row r="61" spans="2:19" x14ac:dyDescent="0.25">
      <c r="B61" s="51" t="s">
        <v>57</v>
      </c>
      <c r="C61" s="60">
        <v>2221</v>
      </c>
      <c r="D61" s="47">
        <v>1366</v>
      </c>
      <c r="E61" s="47">
        <v>8050</v>
      </c>
      <c r="F61" s="47">
        <v>401</v>
      </c>
      <c r="G61" s="47"/>
      <c r="H61" s="47">
        <f t="shared" si="14"/>
        <v>12038</v>
      </c>
      <c r="K61" s="469"/>
      <c r="L61" s="469"/>
      <c r="M61" s="469"/>
      <c r="N61" s="469"/>
      <c r="O61" s="469"/>
      <c r="P61" s="469"/>
      <c r="Q61" s="469"/>
      <c r="R61" s="84"/>
      <c r="S61" s="84"/>
    </row>
    <row r="62" spans="2:19" x14ac:dyDescent="0.25">
      <c r="B62" s="51" t="s">
        <v>58</v>
      </c>
      <c r="C62" s="60">
        <v>2612</v>
      </c>
      <c r="D62" s="47">
        <v>1574</v>
      </c>
      <c r="E62" s="47">
        <v>10193</v>
      </c>
      <c r="F62" s="47">
        <v>470</v>
      </c>
      <c r="G62" s="47"/>
      <c r="H62" s="47">
        <f t="shared" si="14"/>
        <v>14849</v>
      </c>
      <c r="K62" s="469"/>
      <c r="L62" s="469"/>
      <c r="M62" s="469"/>
      <c r="N62" s="469"/>
      <c r="O62" s="469"/>
      <c r="P62" s="469"/>
      <c r="Q62" s="469"/>
      <c r="R62" s="84"/>
      <c r="S62" s="84"/>
    </row>
    <row r="63" spans="2:19" x14ac:dyDescent="0.25">
      <c r="B63" s="51" t="s">
        <v>60</v>
      </c>
      <c r="C63" s="60">
        <v>2584</v>
      </c>
      <c r="D63" s="47">
        <v>1488</v>
      </c>
      <c r="E63" s="47">
        <v>9712</v>
      </c>
      <c r="F63" s="47">
        <v>424</v>
      </c>
      <c r="G63" s="47"/>
      <c r="H63" s="47">
        <f t="shared" si="14"/>
        <v>14208</v>
      </c>
      <c r="K63" s="469"/>
      <c r="L63" s="469"/>
      <c r="M63" s="469"/>
      <c r="N63" s="469"/>
      <c r="O63" s="469"/>
      <c r="P63" s="469"/>
      <c r="Q63" s="469"/>
      <c r="R63" s="84"/>
      <c r="S63" s="84"/>
    </row>
    <row r="64" spans="2:19" x14ac:dyDescent="0.25">
      <c r="B64" s="51" t="s">
        <v>61</v>
      </c>
      <c r="C64" s="60">
        <v>2469</v>
      </c>
      <c r="D64" s="47">
        <v>1221</v>
      </c>
      <c r="E64" s="47">
        <v>8795</v>
      </c>
      <c r="F64" s="47">
        <v>457</v>
      </c>
      <c r="G64" s="47"/>
      <c r="H64" s="47">
        <f t="shared" si="14"/>
        <v>12942</v>
      </c>
      <c r="K64" s="469"/>
      <c r="L64" s="469"/>
      <c r="M64" s="469"/>
      <c r="N64" s="469"/>
      <c r="O64" s="469"/>
      <c r="P64" s="469"/>
      <c r="Q64" s="469"/>
    </row>
    <row r="65" spans="2:17" x14ac:dyDescent="0.25">
      <c r="B65" s="51" t="s">
        <v>62</v>
      </c>
      <c r="C65" s="60">
        <v>2384</v>
      </c>
      <c r="D65" s="47">
        <v>1180</v>
      </c>
      <c r="E65" s="47">
        <v>7849</v>
      </c>
      <c r="F65" s="47">
        <v>360</v>
      </c>
      <c r="G65" s="47"/>
      <c r="H65" s="47">
        <f t="shared" si="14"/>
        <v>11773</v>
      </c>
      <c r="K65" s="469"/>
      <c r="L65" s="469"/>
      <c r="M65" s="469"/>
      <c r="N65" s="469"/>
      <c r="O65" s="469"/>
      <c r="P65" s="469"/>
      <c r="Q65" s="469"/>
    </row>
    <row r="66" spans="2:17" x14ac:dyDescent="0.25">
      <c r="B66" s="51" t="s">
        <v>63</v>
      </c>
      <c r="C66" s="60">
        <v>2268</v>
      </c>
      <c r="D66" s="47">
        <v>1004</v>
      </c>
      <c r="E66" s="47">
        <v>7880</v>
      </c>
      <c r="F66" s="47">
        <v>388</v>
      </c>
      <c r="G66" s="47"/>
      <c r="H66" s="47">
        <f t="shared" si="14"/>
        <v>11540</v>
      </c>
      <c r="K66" s="469"/>
      <c r="L66" s="469"/>
      <c r="M66" s="469"/>
      <c r="N66" s="469"/>
      <c r="O66" s="469"/>
      <c r="P66" s="469"/>
      <c r="Q66" s="469"/>
    </row>
    <row r="67" spans="2:17" x14ac:dyDescent="0.25">
      <c r="B67" s="51" t="s">
        <v>64</v>
      </c>
      <c r="C67" s="60">
        <v>2945</v>
      </c>
      <c r="D67" s="47">
        <v>1661</v>
      </c>
      <c r="E67" s="47">
        <v>13536</v>
      </c>
      <c r="F67" s="47">
        <v>620</v>
      </c>
      <c r="G67" s="47"/>
      <c r="H67" s="47">
        <f t="shared" si="14"/>
        <v>18762</v>
      </c>
      <c r="K67" s="27"/>
      <c r="L67" s="27"/>
      <c r="M67" s="27"/>
      <c r="N67" s="27"/>
      <c r="O67" s="27"/>
      <c r="P67" s="27"/>
      <c r="Q67" s="27"/>
    </row>
    <row r="68" spans="2:17" x14ac:dyDescent="0.25">
      <c r="B68" s="33" t="s">
        <v>70</v>
      </c>
      <c r="C68" s="34">
        <f>SUM(C56:C67)</f>
        <v>29733</v>
      </c>
      <c r="D68" s="34">
        <f t="shared" ref="D68:F68" si="15">SUM(D56:D67)</f>
        <v>16637</v>
      </c>
      <c r="E68" s="34">
        <f t="shared" si="15"/>
        <v>112867</v>
      </c>
      <c r="F68" s="34">
        <f t="shared" si="15"/>
        <v>6075</v>
      </c>
      <c r="G68" s="34"/>
      <c r="H68" s="34">
        <f t="shared" si="14"/>
        <v>165312</v>
      </c>
      <c r="I68" s="50"/>
      <c r="J68" s="85"/>
      <c r="K68" s="86"/>
      <c r="L68" s="86"/>
      <c r="M68" s="86"/>
      <c r="N68" s="86"/>
      <c r="O68" s="87"/>
      <c r="P68" s="27"/>
      <c r="Q68" s="27"/>
    </row>
    <row r="69" spans="2:17" ht="14.45" customHeight="1" x14ac:dyDescent="0.25">
      <c r="B69" s="51" t="s">
        <v>50</v>
      </c>
      <c r="C69" s="60">
        <v>3010</v>
      </c>
      <c r="D69" s="47">
        <v>1753</v>
      </c>
      <c r="E69" s="47">
        <v>19891</v>
      </c>
      <c r="F69" s="47">
        <v>741</v>
      </c>
      <c r="G69" s="47"/>
      <c r="H69" s="88">
        <f t="shared" si="14"/>
        <v>25395</v>
      </c>
      <c r="J69" s="89"/>
      <c r="K69" s="27"/>
      <c r="L69" s="27"/>
      <c r="M69" s="27"/>
      <c r="N69" s="27"/>
      <c r="O69" s="90"/>
      <c r="P69" s="27"/>
      <c r="Q69" s="27"/>
    </row>
    <row r="70" spans="2:17" ht="18.75" x14ac:dyDescent="0.3">
      <c r="B70" s="51" t="s">
        <v>52</v>
      </c>
      <c r="C70" s="60">
        <v>2521</v>
      </c>
      <c r="D70" s="47">
        <v>1559</v>
      </c>
      <c r="E70" s="47">
        <v>24159</v>
      </c>
      <c r="F70" s="47">
        <v>845</v>
      </c>
      <c r="G70" s="47"/>
      <c r="H70" s="88">
        <f t="shared" si="14"/>
        <v>29084</v>
      </c>
      <c r="J70" s="89"/>
      <c r="K70" s="35" t="s">
        <v>71</v>
      </c>
      <c r="L70" s="22"/>
      <c r="M70" s="22"/>
      <c r="N70" s="22"/>
      <c r="O70" s="91"/>
    </row>
    <row r="71" spans="2:17" x14ac:dyDescent="0.25">
      <c r="B71" s="51" t="s">
        <v>54</v>
      </c>
      <c r="C71" s="60">
        <v>2000</v>
      </c>
      <c r="D71" s="47">
        <v>1119</v>
      </c>
      <c r="E71" s="47">
        <v>12648</v>
      </c>
      <c r="F71" s="47">
        <v>527</v>
      </c>
      <c r="G71" s="47"/>
      <c r="H71" s="88">
        <f t="shared" si="14"/>
        <v>16294</v>
      </c>
      <c r="J71" s="89"/>
      <c r="K71"/>
      <c r="O71" s="91"/>
    </row>
    <row r="72" spans="2:17" x14ac:dyDescent="0.25">
      <c r="B72" s="51" t="s">
        <v>55</v>
      </c>
      <c r="C72" s="60">
        <v>1368</v>
      </c>
      <c r="D72" s="47">
        <v>462</v>
      </c>
      <c r="E72" s="47">
        <v>6817</v>
      </c>
      <c r="F72" s="47">
        <v>450</v>
      </c>
      <c r="G72" s="47"/>
      <c r="H72" s="88">
        <f t="shared" si="14"/>
        <v>9097</v>
      </c>
      <c r="J72" s="89"/>
      <c r="K72" s="92">
        <v>40000</v>
      </c>
      <c r="O72" s="91"/>
    </row>
    <row r="73" spans="2:17" x14ac:dyDescent="0.25">
      <c r="B73" s="51" t="s">
        <v>56</v>
      </c>
      <c r="C73" s="60">
        <v>2058</v>
      </c>
      <c r="D73" s="47">
        <v>843</v>
      </c>
      <c r="E73" s="47">
        <v>10889</v>
      </c>
      <c r="F73" s="47">
        <v>718</v>
      </c>
      <c r="G73" s="47"/>
      <c r="H73" s="88">
        <f t="shared" si="14"/>
        <v>14508</v>
      </c>
      <c r="J73" s="89"/>
      <c r="K73" s="6" t="s">
        <v>72</v>
      </c>
      <c r="O73" s="91"/>
    </row>
    <row r="74" spans="2:17" x14ac:dyDescent="0.25">
      <c r="B74" s="51" t="s">
        <v>57</v>
      </c>
      <c r="C74" s="60">
        <v>1919</v>
      </c>
      <c r="D74" s="47">
        <v>773</v>
      </c>
      <c r="E74" s="47">
        <v>9601</v>
      </c>
      <c r="F74" s="47">
        <v>637</v>
      </c>
      <c r="G74" s="47"/>
      <c r="H74" s="88">
        <f t="shared" si="14"/>
        <v>12930</v>
      </c>
      <c r="J74" s="89"/>
      <c r="O74" s="91"/>
    </row>
    <row r="75" spans="2:17" x14ac:dyDescent="0.25">
      <c r="B75" s="51" t="s">
        <v>58</v>
      </c>
      <c r="C75" s="60">
        <v>2816</v>
      </c>
      <c r="D75" s="47">
        <v>939</v>
      </c>
      <c r="E75" s="47">
        <v>11414</v>
      </c>
      <c r="F75" s="47">
        <v>530</v>
      </c>
      <c r="G75" s="47"/>
      <c r="H75" s="88">
        <f t="shared" si="14"/>
        <v>15699</v>
      </c>
      <c r="J75" s="89"/>
      <c r="O75" s="91"/>
    </row>
    <row r="76" spans="2:17" ht="18.75" x14ac:dyDescent="0.3">
      <c r="B76" s="51" t="s">
        <v>60</v>
      </c>
      <c r="C76" s="60">
        <v>3066</v>
      </c>
      <c r="D76" s="47">
        <v>1181</v>
      </c>
      <c r="E76" s="47">
        <v>14803</v>
      </c>
      <c r="F76" s="47">
        <v>627</v>
      </c>
      <c r="G76" s="47"/>
      <c r="H76" s="88">
        <f t="shared" si="14"/>
        <v>19677</v>
      </c>
      <c r="J76" s="89"/>
      <c r="K76" s="35" t="s">
        <v>73</v>
      </c>
      <c r="L76" s="22"/>
      <c r="M76" s="22"/>
      <c r="N76" s="22"/>
      <c r="O76" s="91"/>
    </row>
    <row r="77" spans="2:17" x14ac:dyDescent="0.25">
      <c r="B77" s="51" t="s">
        <v>61</v>
      </c>
      <c r="C77" s="60">
        <v>3009</v>
      </c>
      <c r="D77" s="47">
        <v>1422</v>
      </c>
      <c r="E77" s="47">
        <v>14413</v>
      </c>
      <c r="F77" s="47">
        <v>732</v>
      </c>
      <c r="G77" s="47"/>
      <c r="H77" s="88">
        <f t="shared" si="14"/>
        <v>19576</v>
      </c>
      <c r="J77" s="89"/>
      <c r="K77"/>
      <c r="O77" s="91"/>
    </row>
    <row r="78" spans="2:17" x14ac:dyDescent="0.25">
      <c r="B78" s="51" t="s">
        <v>62</v>
      </c>
      <c r="C78" s="60">
        <v>3231</v>
      </c>
      <c r="D78" s="47">
        <v>1811</v>
      </c>
      <c r="E78" s="47">
        <v>15413</v>
      </c>
      <c r="F78" s="47">
        <v>835</v>
      </c>
      <c r="G78" s="47"/>
      <c r="H78" s="88">
        <f t="shared" si="14"/>
        <v>21290</v>
      </c>
      <c r="J78" s="89"/>
      <c r="K78" s="47">
        <v>65000</v>
      </c>
      <c r="O78" s="91"/>
    </row>
    <row r="79" spans="2:17" x14ac:dyDescent="0.25">
      <c r="B79" s="51" t="s">
        <v>63</v>
      </c>
      <c r="C79" s="60">
        <v>2859</v>
      </c>
      <c r="D79" s="47">
        <v>1602</v>
      </c>
      <c r="E79" s="47">
        <v>13983</v>
      </c>
      <c r="F79" s="47">
        <v>605</v>
      </c>
      <c r="G79" s="47"/>
      <c r="H79" s="88">
        <f t="shared" si="14"/>
        <v>19049</v>
      </c>
      <c r="J79" s="89"/>
      <c r="K79" s="6" t="s">
        <v>72</v>
      </c>
      <c r="O79" s="91"/>
    </row>
    <row r="80" spans="2:17" x14ac:dyDescent="0.25">
      <c r="B80" s="51" t="s">
        <v>64</v>
      </c>
      <c r="C80" s="60">
        <v>2625</v>
      </c>
      <c r="D80" s="47">
        <v>1544</v>
      </c>
      <c r="E80" s="47">
        <v>12550</v>
      </c>
      <c r="F80" s="47">
        <v>491</v>
      </c>
      <c r="G80" s="47"/>
      <c r="H80" s="88">
        <f t="shared" si="14"/>
        <v>17210</v>
      </c>
      <c r="I80" s="50"/>
      <c r="J80" s="93"/>
      <c r="K80" s="94"/>
      <c r="L80" s="95"/>
      <c r="M80" s="95"/>
      <c r="N80" s="95"/>
      <c r="O80" s="96"/>
    </row>
    <row r="81" spans="2:12" x14ac:dyDescent="0.25">
      <c r="B81" s="33" t="s">
        <v>74</v>
      </c>
      <c r="C81" s="34">
        <f>SUM(C69:C80)</f>
        <v>30482</v>
      </c>
      <c r="D81" s="34">
        <f>SUM(D69:D80)</f>
        <v>15008</v>
      </c>
      <c r="E81" s="34">
        <f t="shared" ref="E81" si="16">SUM(E69:E80)</f>
        <v>166581</v>
      </c>
      <c r="F81" s="34">
        <f>SUM(F69:F80)</f>
        <v>7738</v>
      </c>
      <c r="G81" s="34"/>
      <c r="H81" s="34">
        <f>SUM(H69:H80)</f>
        <v>219809</v>
      </c>
      <c r="J81" s="26"/>
      <c r="K81" s="25"/>
    </row>
    <row r="82" spans="2:12" x14ac:dyDescent="0.25">
      <c r="B82" s="51" t="s">
        <v>50</v>
      </c>
      <c r="C82" s="60">
        <v>2624</v>
      </c>
      <c r="D82" s="47">
        <v>1886</v>
      </c>
      <c r="E82" s="47">
        <v>12697</v>
      </c>
      <c r="F82" s="47">
        <v>945</v>
      </c>
      <c r="G82" s="47"/>
      <c r="H82" s="88">
        <f t="shared" ref="H82:H93" si="17">SUM(C82:F82)</f>
        <v>18152</v>
      </c>
    </row>
    <row r="83" spans="2:12" x14ac:dyDescent="0.25">
      <c r="B83" s="51" t="s">
        <v>52</v>
      </c>
      <c r="C83" s="60">
        <v>2353</v>
      </c>
      <c r="D83" s="47">
        <v>1607</v>
      </c>
      <c r="E83" s="47">
        <v>12205</v>
      </c>
      <c r="F83" s="47">
        <v>862</v>
      </c>
      <c r="G83" s="47"/>
      <c r="H83" s="88">
        <f t="shared" si="17"/>
        <v>17027</v>
      </c>
    </row>
    <row r="84" spans="2:12" x14ac:dyDescent="0.25">
      <c r="B84" s="51" t="s">
        <v>54</v>
      </c>
      <c r="C84" s="60">
        <v>2678</v>
      </c>
      <c r="D84" s="47">
        <v>1931</v>
      </c>
      <c r="E84" s="47">
        <v>14594</v>
      </c>
      <c r="F84" s="47">
        <v>2800</v>
      </c>
      <c r="G84" s="47"/>
      <c r="H84" s="88">
        <f t="shared" si="17"/>
        <v>22003</v>
      </c>
    </row>
    <row r="85" spans="2:12" x14ac:dyDescent="0.25">
      <c r="B85" s="51" t="s">
        <v>55</v>
      </c>
      <c r="C85" s="60">
        <v>2953</v>
      </c>
      <c r="D85" s="47">
        <v>2127</v>
      </c>
      <c r="E85" s="47">
        <v>13753</v>
      </c>
      <c r="F85" s="47">
        <v>3063</v>
      </c>
      <c r="G85" s="47"/>
      <c r="H85" s="88">
        <f t="shared" si="17"/>
        <v>21896</v>
      </c>
    </row>
    <row r="86" spans="2:12" x14ac:dyDescent="0.25">
      <c r="B86" s="51" t="s">
        <v>56</v>
      </c>
      <c r="C86" s="60">
        <v>3346</v>
      </c>
      <c r="D86" s="47">
        <v>2277</v>
      </c>
      <c r="E86" s="47">
        <v>13729</v>
      </c>
      <c r="F86" s="47">
        <v>2119</v>
      </c>
      <c r="G86" s="47"/>
      <c r="H86" s="88">
        <f t="shared" si="17"/>
        <v>21471</v>
      </c>
    </row>
    <row r="87" spans="2:12" x14ac:dyDescent="0.25">
      <c r="B87" s="51" t="s">
        <v>57</v>
      </c>
      <c r="C87" s="60">
        <v>3596</v>
      </c>
      <c r="D87" s="47">
        <v>2125</v>
      </c>
      <c r="E87" s="47">
        <v>13497</v>
      </c>
      <c r="F87" s="47">
        <v>1738</v>
      </c>
      <c r="G87" s="47"/>
      <c r="H87" s="88">
        <f t="shared" si="17"/>
        <v>20956</v>
      </c>
    </row>
    <row r="88" spans="2:12" x14ac:dyDescent="0.25">
      <c r="B88" s="51" t="s">
        <v>58</v>
      </c>
      <c r="C88" s="60">
        <v>4119</v>
      </c>
      <c r="D88" s="47">
        <v>2409</v>
      </c>
      <c r="E88" s="47">
        <v>15819</v>
      </c>
      <c r="F88" s="47">
        <v>1609</v>
      </c>
      <c r="G88" s="47"/>
      <c r="H88" s="88">
        <f t="shared" si="17"/>
        <v>23956</v>
      </c>
    </row>
    <row r="89" spans="2:12" x14ac:dyDescent="0.25">
      <c r="B89" s="51" t="s">
        <v>60</v>
      </c>
      <c r="C89" s="60">
        <v>4297</v>
      </c>
      <c r="D89" s="47">
        <v>2641</v>
      </c>
      <c r="E89" s="47">
        <v>18223</v>
      </c>
      <c r="F89" s="47">
        <v>1553</v>
      </c>
      <c r="G89" s="47"/>
      <c r="H89" s="88">
        <f t="shared" si="17"/>
        <v>26714</v>
      </c>
    </row>
    <row r="90" spans="2:12" x14ac:dyDescent="0.25">
      <c r="B90" s="51" t="s">
        <v>61</v>
      </c>
      <c r="C90" s="60">
        <v>4529</v>
      </c>
      <c r="D90" s="47">
        <v>2330</v>
      </c>
      <c r="E90" s="47">
        <v>19815</v>
      </c>
      <c r="F90" s="47">
        <v>1444</v>
      </c>
      <c r="G90" s="47"/>
      <c r="H90" s="88">
        <f t="shared" si="17"/>
        <v>28118</v>
      </c>
    </row>
    <row r="91" spans="2:12" x14ac:dyDescent="0.25">
      <c r="B91" s="51" t="s">
        <v>62</v>
      </c>
      <c r="C91" s="60">
        <v>3477</v>
      </c>
      <c r="D91" s="47">
        <v>2464</v>
      </c>
      <c r="E91" s="47">
        <v>17701</v>
      </c>
      <c r="F91" s="47">
        <v>1432</v>
      </c>
      <c r="G91" s="47"/>
      <c r="H91" s="88">
        <f t="shared" si="17"/>
        <v>25074</v>
      </c>
    </row>
    <row r="92" spans="2:12" x14ac:dyDescent="0.25">
      <c r="B92" s="51" t="s">
        <v>63</v>
      </c>
      <c r="C92" s="60">
        <v>3890</v>
      </c>
      <c r="D92" s="47">
        <v>2658</v>
      </c>
      <c r="E92" s="47">
        <v>20150</v>
      </c>
      <c r="F92" s="47">
        <v>1497</v>
      </c>
      <c r="G92" s="47"/>
      <c r="H92" s="88">
        <f t="shared" si="17"/>
        <v>28195</v>
      </c>
      <c r="I92" s="50"/>
      <c r="J92" s="25"/>
    </row>
    <row r="93" spans="2:12" x14ac:dyDescent="0.25">
      <c r="B93" s="51" t="s">
        <v>64</v>
      </c>
      <c r="C93" s="60">
        <v>3791</v>
      </c>
      <c r="D93" s="47">
        <v>2514</v>
      </c>
      <c r="E93" s="47">
        <v>18895</v>
      </c>
      <c r="F93" s="47">
        <v>1448</v>
      </c>
      <c r="G93" s="47"/>
      <c r="H93" s="88">
        <f t="shared" si="17"/>
        <v>26648</v>
      </c>
      <c r="I93" s="50"/>
      <c r="J93" s="25"/>
    </row>
    <row r="94" spans="2:12" x14ac:dyDescent="0.25">
      <c r="B94" s="33" t="s">
        <v>75</v>
      </c>
      <c r="C94" s="34">
        <f>SUM(C82:C93)</f>
        <v>41653</v>
      </c>
      <c r="D94" s="34">
        <f t="shared" ref="D94:H94" si="18">SUM(D82:D93)</f>
        <v>26969</v>
      </c>
      <c r="E94" s="34">
        <f t="shared" si="18"/>
        <v>191078</v>
      </c>
      <c r="F94" s="34">
        <f>SUM(F82:F93)</f>
        <v>20510</v>
      </c>
      <c r="G94" s="34"/>
      <c r="H94" s="34">
        <f t="shared" si="18"/>
        <v>280210</v>
      </c>
      <c r="J94" s="26"/>
      <c r="K94" s="26"/>
      <c r="L94" s="26"/>
    </row>
    <row r="95" spans="2:12" x14ac:dyDescent="0.25">
      <c r="B95" s="51" t="s">
        <v>50</v>
      </c>
      <c r="C95" s="60">
        <v>4879</v>
      </c>
      <c r="D95" s="47">
        <v>3211</v>
      </c>
      <c r="E95" s="47">
        <v>21970</v>
      </c>
      <c r="F95" s="47">
        <v>1552</v>
      </c>
      <c r="G95" s="47">
        <v>0</v>
      </c>
      <c r="H95" s="88">
        <f t="shared" ref="H95:H106" si="19">SUM(C95:G95)</f>
        <v>31612</v>
      </c>
    </row>
    <row r="96" spans="2:12" x14ac:dyDescent="0.25">
      <c r="B96" s="51" t="s">
        <v>52</v>
      </c>
      <c r="C96" s="60">
        <v>0</v>
      </c>
      <c r="D96" s="47">
        <v>3005</v>
      </c>
      <c r="E96" s="47">
        <v>0</v>
      </c>
      <c r="F96" s="47">
        <v>3339</v>
      </c>
      <c r="G96" s="47">
        <v>149186</v>
      </c>
      <c r="H96" s="88">
        <f t="shared" si="19"/>
        <v>155530</v>
      </c>
    </row>
    <row r="97" spans="2:17" x14ac:dyDescent="0.25">
      <c r="B97" s="51" t="s">
        <v>54</v>
      </c>
      <c r="C97" s="60">
        <v>0</v>
      </c>
      <c r="D97" s="47">
        <v>3441</v>
      </c>
      <c r="E97" s="47">
        <v>0</v>
      </c>
      <c r="F97" s="47">
        <v>1913</v>
      </c>
      <c r="G97" s="47">
        <v>57867</v>
      </c>
      <c r="H97" s="88">
        <f t="shared" si="19"/>
        <v>63221</v>
      </c>
    </row>
    <row r="98" spans="2:17" x14ac:dyDescent="0.25">
      <c r="B98" s="51" t="s">
        <v>55</v>
      </c>
      <c r="C98" s="60">
        <v>0</v>
      </c>
      <c r="D98" s="47">
        <v>3126</v>
      </c>
      <c r="E98" s="47">
        <v>0</v>
      </c>
      <c r="F98" s="47">
        <v>1334</v>
      </c>
      <c r="G98" s="47">
        <v>36680</v>
      </c>
      <c r="H98" s="88">
        <f t="shared" si="19"/>
        <v>41140</v>
      </c>
    </row>
    <row r="99" spans="2:17" x14ac:dyDescent="0.25">
      <c r="B99" s="51" t="s">
        <v>56</v>
      </c>
      <c r="C99" s="60">
        <v>0</v>
      </c>
      <c r="D99" s="47">
        <v>3083</v>
      </c>
      <c r="E99" s="47">
        <v>0</v>
      </c>
      <c r="F99" s="47">
        <v>1382</v>
      </c>
      <c r="G99" s="47">
        <v>35311</v>
      </c>
      <c r="H99" s="88">
        <f t="shared" si="19"/>
        <v>39776</v>
      </c>
    </row>
    <row r="100" spans="2:17" x14ac:dyDescent="0.25">
      <c r="B100" s="51" t="s">
        <v>57</v>
      </c>
      <c r="C100" s="60">
        <v>0</v>
      </c>
      <c r="D100" s="47">
        <v>2713</v>
      </c>
      <c r="E100" s="47">
        <v>0</v>
      </c>
      <c r="F100" s="47">
        <v>1334</v>
      </c>
      <c r="G100" s="47">
        <v>35974</v>
      </c>
      <c r="H100" s="88">
        <f t="shared" si="19"/>
        <v>40021</v>
      </c>
    </row>
    <row r="101" spans="2:17" x14ac:dyDescent="0.25">
      <c r="B101" s="51" t="s">
        <v>58</v>
      </c>
      <c r="C101" s="60">
        <v>0</v>
      </c>
      <c r="D101" s="47">
        <v>3135</v>
      </c>
      <c r="E101" s="47">
        <v>0</v>
      </c>
      <c r="F101" s="47">
        <v>1526</v>
      </c>
      <c r="G101" s="47">
        <v>39533</v>
      </c>
      <c r="H101" s="88">
        <f t="shared" si="19"/>
        <v>44194</v>
      </c>
    </row>
    <row r="102" spans="2:17" x14ac:dyDescent="0.25">
      <c r="B102" s="51" t="s">
        <v>60</v>
      </c>
      <c r="C102" s="60">
        <v>0</v>
      </c>
      <c r="D102" s="47">
        <v>3668</v>
      </c>
      <c r="E102" s="47">
        <v>0</v>
      </c>
      <c r="F102" s="47">
        <v>1950</v>
      </c>
      <c r="G102" s="47">
        <v>57652</v>
      </c>
      <c r="H102" s="88">
        <f t="shared" si="19"/>
        <v>63270</v>
      </c>
    </row>
    <row r="103" spans="2:17" x14ac:dyDescent="0.25">
      <c r="B103" s="51" t="s">
        <v>61</v>
      </c>
      <c r="C103" s="60">
        <v>0</v>
      </c>
      <c r="D103" s="47">
        <v>2716</v>
      </c>
      <c r="E103" s="47">
        <v>0</v>
      </c>
      <c r="F103" s="47">
        <v>1277</v>
      </c>
      <c r="G103" s="47">
        <v>34313</v>
      </c>
      <c r="H103" s="88">
        <f t="shared" si="19"/>
        <v>38306</v>
      </c>
    </row>
    <row r="104" spans="2:17" x14ac:dyDescent="0.25">
      <c r="B104" s="51" t="s">
        <v>62</v>
      </c>
      <c r="C104" s="60">
        <v>0</v>
      </c>
      <c r="D104" s="47">
        <v>2773</v>
      </c>
      <c r="E104" s="47">
        <v>0</v>
      </c>
      <c r="F104" s="47">
        <v>1217</v>
      </c>
      <c r="G104" s="47">
        <v>45602</v>
      </c>
      <c r="H104" s="88">
        <f t="shared" si="19"/>
        <v>49592</v>
      </c>
    </row>
    <row r="105" spans="2:17" x14ac:dyDescent="0.25">
      <c r="B105" s="51" t="s">
        <v>63</v>
      </c>
      <c r="C105" s="60">
        <v>0</v>
      </c>
      <c r="D105" s="47">
        <v>3106</v>
      </c>
      <c r="E105" s="47">
        <v>0</v>
      </c>
      <c r="F105" s="47">
        <v>1353</v>
      </c>
      <c r="G105" s="47">
        <v>43552</v>
      </c>
      <c r="H105" s="88">
        <f t="shared" si="19"/>
        <v>48011</v>
      </c>
      <c r="I105" s="50"/>
      <c r="J105" s="25"/>
      <c r="K105" s="25"/>
    </row>
    <row r="106" spans="2:17" x14ac:dyDescent="0.25">
      <c r="B106" s="51" t="s">
        <v>64</v>
      </c>
      <c r="C106" s="60">
        <v>0</v>
      </c>
      <c r="D106" s="47">
        <v>2423</v>
      </c>
      <c r="E106" s="47">
        <v>0</v>
      </c>
      <c r="F106" s="47">
        <v>1266</v>
      </c>
      <c r="G106" s="47">
        <v>35225</v>
      </c>
      <c r="H106" s="88">
        <f t="shared" si="19"/>
        <v>38914</v>
      </c>
      <c r="I106" s="50"/>
      <c r="J106" s="25"/>
      <c r="K106" s="25"/>
    </row>
    <row r="107" spans="2:17" x14ac:dyDescent="0.25">
      <c r="B107" s="33" t="s">
        <v>76</v>
      </c>
      <c r="C107" s="34">
        <f>SUM(C95:C106)</f>
        <v>4879</v>
      </c>
      <c r="D107" s="34">
        <f t="shared" ref="D107:F107" si="20">SUM(D95:D106)</f>
        <v>36400</v>
      </c>
      <c r="E107" s="34">
        <f t="shared" si="20"/>
        <v>21970</v>
      </c>
      <c r="F107" s="34">
        <f t="shared" si="20"/>
        <v>19443</v>
      </c>
      <c r="G107" s="34">
        <f>SUM(G95:G106)</f>
        <v>570895</v>
      </c>
      <c r="H107" s="34">
        <f>SUM(H95:H106)</f>
        <v>653587</v>
      </c>
      <c r="J107" s="26"/>
      <c r="K107" s="26"/>
      <c r="L107" s="26"/>
    </row>
    <row r="108" spans="2:17" x14ac:dyDescent="0.25">
      <c r="B108" s="33" t="s">
        <v>7</v>
      </c>
      <c r="C108" s="97">
        <f>C9+C10+C11+C12+C13+C14+C15+C16+C29+C42+C55+C81+C94+C68+C107</f>
        <v>559494</v>
      </c>
      <c r="D108" s="97">
        <f t="shared" ref="D108:G108" si="21">D9+D10+D11+D12+D13+D14+D15+D16+D29+D42+D55+D81+D94+D68+D107</f>
        <v>339442</v>
      </c>
      <c r="E108" s="97">
        <f t="shared" si="21"/>
        <v>1796650</v>
      </c>
      <c r="F108" s="97">
        <f t="shared" si="21"/>
        <v>129806</v>
      </c>
      <c r="G108" s="97">
        <f t="shared" si="21"/>
        <v>570895</v>
      </c>
      <c r="H108" s="97">
        <f>H9+H10+H11+H12+H13+H14+H15+H16+H29+H42+H55+H81+H94+H68+H107</f>
        <v>3396287</v>
      </c>
    </row>
    <row r="109" spans="2:17" x14ac:dyDescent="0.25">
      <c r="C109" s="98"/>
      <c r="D109" s="98"/>
      <c r="E109" s="98"/>
      <c r="F109" s="98"/>
      <c r="G109" s="98"/>
      <c r="H109" s="98"/>
    </row>
    <row r="110" spans="2:17" ht="15" customHeight="1" x14ac:dyDescent="0.25">
      <c r="B110" s="6" t="s">
        <v>27</v>
      </c>
    </row>
    <row r="111" spans="2:17" ht="31.15" customHeight="1" x14ac:dyDescent="0.25">
      <c r="B111" s="469" t="s">
        <v>28</v>
      </c>
      <c r="C111" s="469"/>
      <c r="D111" s="469"/>
      <c r="E111" s="469"/>
      <c r="F111" s="469"/>
      <c r="G111" s="469"/>
      <c r="H111" s="469"/>
      <c r="I111" s="469"/>
      <c r="J111" s="469"/>
      <c r="K111" s="99"/>
      <c r="L111" s="99"/>
      <c r="M111" s="99"/>
      <c r="N111" s="99"/>
      <c r="O111" s="99"/>
      <c r="P111" s="99"/>
      <c r="Q111" s="99"/>
    </row>
    <row r="112" spans="2:17" x14ac:dyDescent="0.25">
      <c r="B112" s="469"/>
      <c r="C112" s="469"/>
      <c r="D112" s="469"/>
      <c r="E112" s="469"/>
      <c r="F112" s="469"/>
      <c r="G112" s="469"/>
      <c r="H112" s="469"/>
      <c r="I112" s="469"/>
      <c r="J112" s="469"/>
      <c r="K112" s="99"/>
      <c r="L112" s="99"/>
      <c r="M112" s="99"/>
      <c r="N112" s="99"/>
      <c r="O112" s="99"/>
      <c r="P112" s="99"/>
      <c r="Q112" s="99"/>
    </row>
    <row r="113" spans="2:17" x14ac:dyDescent="0.25">
      <c r="B113" s="469"/>
      <c r="C113" s="469"/>
      <c r="D113" s="469"/>
      <c r="E113" s="469"/>
      <c r="F113" s="469"/>
      <c r="G113" s="469"/>
      <c r="H113" s="469"/>
      <c r="I113" s="469"/>
      <c r="J113" s="469"/>
      <c r="K113" s="99"/>
      <c r="L113" s="99"/>
      <c r="M113" s="99"/>
      <c r="N113" s="99"/>
      <c r="O113" s="99"/>
      <c r="P113" s="99"/>
      <c r="Q113" s="99"/>
    </row>
    <row r="114" spans="2:17" x14ac:dyDescent="0.25">
      <c r="B114" s="469"/>
      <c r="C114" s="469"/>
      <c r="D114" s="469"/>
      <c r="E114" s="469"/>
      <c r="F114" s="469"/>
      <c r="G114" s="469"/>
      <c r="H114" s="469"/>
      <c r="I114" s="469"/>
      <c r="J114" s="469"/>
      <c r="K114" s="99"/>
      <c r="L114" s="99"/>
      <c r="M114" s="99"/>
      <c r="N114" s="99"/>
      <c r="O114" s="99"/>
      <c r="P114" s="99"/>
      <c r="Q114" s="99"/>
    </row>
    <row r="115" spans="2:17" x14ac:dyDescent="0.25">
      <c r="B115" s="469"/>
      <c r="C115" s="469"/>
      <c r="D115" s="469"/>
      <c r="E115" s="469"/>
      <c r="F115" s="469"/>
      <c r="G115" s="469"/>
      <c r="H115" s="469"/>
      <c r="I115" s="469"/>
      <c r="J115" s="469"/>
      <c r="K115" s="99"/>
      <c r="L115" s="99"/>
      <c r="M115" s="99"/>
      <c r="N115" s="99"/>
      <c r="O115" s="99"/>
      <c r="P115" s="99"/>
      <c r="Q115" s="99"/>
    </row>
    <row r="116" spans="2:17" x14ac:dyDescent="0.25">
      <c r="B116" s="469"/>
      <c r="C116" s="469"/>
      <c r="D116" s="469"/>
      <c r="E116" s="469"/>
      <c r="F116" s="469"/>
      <c r="G116" s="469"/>
      <c r="H116" s="469"/>
      <c r="I116" s="469"/>
      <c r="J116" s="469"/>
    </row>
    <row r="117" spans="2:17" x14ac:dyDescent="0.25">
      <c r="B117" s="469"/>
      <c r="C117" s="469"/>
      <c r="D117" s="469"/>
      <c r="E117" s="469"/>
      <c r="F117" s="469"/>
      <c r="G117" s="469"/>
      <c r="H117" s="469"/>
      <c r="I117" s="469"/>
      <c r="J117" s="469"/>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X504"/>
  <sheetViews>
    <sheetView showGridLines="0" topLeftCell="A120" workbookViewId="0">
      <selection activeCell="B165" sqref="B165"/>
    </sheetView>
  </sheetViews>
  <sheetFormatPr baseColWidth="10" defaultColWidth="11.42578125" defaultRowHeight="15" x14ac:dyDescent="0.25"/>
  <cols>
    <col min="1" max="1" width="5.5703125" style="21" customWidth="1"/>
    <col min="2" max="2" width="38.85546875" style="21" customWidth="1"/>
    <col min="3" max="3" width="12" style="21" bestFit="1" customWidth="1"/>
    <col min="4" max="4" width="14.5703125" style="21" customWidth="1"/>
    <col min="5" max="5" width="14.42578125" style="21" customWidth="1"/>
    <col min="6" max="6" width="13.42578125" style="21" customWidth="1"/>
    <col min="7" max="7" width="13.5703125" style="21" customWidth="1"/>
    <col min="8" max="8" width="10.5703125" style="21" customWidth="1"/>
    <col min="9" max="9" width="9.28515625" style="21" bestFit="1" customWidth="1"/>
    <col min="10" max="10" width="9" style="21" bestFit="1" customWidth="1"/>
    <col min="11" max="11" width="13" style="21" customWidth="1"/>
    <col min="12" max="12" width="11.42578125" style="21" customWidth="1"/>
    <col min="13" max="13" width="9" style="21" bestFit="1" customWidth="1"/>
    <col min="14" max="14" width="8.5703125" style="21" bestFit="1" customWidth="1"/>
    <col min="15" max="15" width="9.5703125" style="21" bestFit="1" customWidth="1"/>
    <col min="16" max="16" width="15.5703125" style="21" customWidth="1"/>
    <col min="17" max="17" width="9.5703125" style="21" bestFit="1" customWidth="1"/>
    <col min="18" max="18" width="8.5703125" style="21" bestFit="1" customWidth="1"/>
    <col min="19" max="19" width="9.5703125" style="21" bestFit="1" customWidth="1"/>
    <col min="20" max="20" width="8.5703125" style="21" bestFit="1" customWidth="1"/>
    <col min="21" max="21" width="9.5703125" style="21" bestFit="1" customWidth="1"/>
    <col min="22" max="22" width="8.5703125" style="21" bestFit="1" customWidth="1"/>
    <col min="23" max="23" width="9.5703125" style="21" bestFit="1" customWidth="1"/>
    <col min="24" max="25" width="8.5703125" style="21" bestFit="1" customWidth="1"/>
    <col min="26" max="26" width="7.42578125" style="21" bestFit="1" customWidth="1"/>
    <col min="27" max="27" width="9.5703125" style="21" bestFit="1" customWidth="1"/>
    <col min="28" max="28" width="2.28515625" style="21" customWidth="1"/>
    <col min="29" max="29" width="11.140625" style="21" bestFit="1" customWidth="1"/>
    <col min="30" max="30" width="9.5703125" style="21" bestFit="1" customWidth="1"/>
    <col min="31" max="31" width="5.7109375" style="21" bestFit="1" customWidth="1"/>
    <col min="32" max="32" width="2.5703125" style="21" customWidth="1"/>
    <col min="33" max="34" width="9.5703125" style="21" bestFit="1" customWidth="1"/>
    <col min="35" max="35" width="5.7109375" style="21" bestFit="1" customWidth="1"/>
    <col min="36" max="16384" width="11.42578125" style="21"/>
  </cols>
  <sheetData>
    <row r="2" spans="2:23" ht="23.25" x14ac:dyDescent="0.25">
      <c r="B2" s="1" t="s">
        <v>766</v>
      </c>
    </row>
    <row r="4" spans="2:23" ht="15" customHeight="1" x14ac:dyDescent="0.3">
      <c r="B4" s="2" t="s">
        <v>894</v>
      </c>
      <c r="C4" s="2"/>
      <c r="D4" s="2"/>
      <c r="E4" s="2"/>
      <c r="F4" s="379"/>
      <c r="G4" s="27"/>
      <c r="H4" s="27"/>
      <c r="I4" s="27"/>
      <c r="J4" s="27"/>
      <c r="K4" s="27"/>
      <c r="L4" s="27"/>
      <c r="M4" s="27"/>
      <c r="N4" s="27"/>
      <c r="O4" s="27"/>
      <c r="P4" s="27"/>
      <c r="Q4" s="27"/>
      <c r="R4" s="27"/>
      <c r="S4" s="27"/>
      <c r="T4" s="27"/>
      <c r="U4" s="27"/>
      <c r="V4" s="27"/>
      <c r="W4" s="27"/>
    </row>
    <row r="5" spans="2:23" x14ac:dyDescent="0.25">
      <c r="B5" s="29" t="s">
        <v>867</v>
      </c>
      <c r="C5" s="27"/>
      <c r="D5" s="27"/>
      <c r="E5" s="27"/>
      <c r="F5" s="27"/>
      <c r="G5" s="27"/>
      <c r="H5" s="27"/>
      <c r="I5" s="27"/>
      <c r="J5" s="27"/>
      <c r="K5" s="27"/>
      <c r="L5" s="27"/>
      <c r="M5" s="27"/>
      <c r="N5" s="27"/>
      <c r="O5" s="27"/>
      <c r="P5" s="27"/>
      <c r="Q5" s="27"/>
      <c r="R5" s="27"/>
      <c r="S5" s="27"/>
      <c r="T5" s="27"/>
      <c r="U5" s="27"/>
      <c r="V5" s="27"/>
      <c r="W5" s="27"/>
    </row>
    <row r="6" spans="2:23" x14ac:dyDescent="0.25">
      <c r="B6" s="29"/>
      <c r="C6" s="27"/>
      <c r="D6" s="27"/>
      <c r="E6" s="27"/>
      <c r="F6" s="27"/>
      <c r="G6" s="27"/>
      <c r="H6" s="27"/>
      <c r="I6" s="27"/>
      <c r="J6" s="27"/>
      <c r="K6" s="27"/>
      <c r="L6" s="27"/>
      <c r="M6" s="27"/>
      <c r="N6" s="27"/>
      <c r="O6" s="27"/>
      <c r="P6" s="27"/>
      <c r="Q6" s="27"/>
      <c r="R6" s="27"/>
      <c r="S6" s="27"/>
      <c r="T6" s="27"/>
      <c r="U6" s="27"/>
      <c r="V6" s="27"/>
      <c r="W6" s="27"/>
    </row>
    <row r="7" spans="2:23" ht="15" customHeight="1" x14ac:dyDescent="0.25">
      <c r="B7" s="490" t="s">
        <v>533</v>
      </c>
      <c r="C7" s="479" t="s">
        <v>488</v>
      </c>
      <c r="D7" s="479"/>
      <c r="E7" s="479"/>
      <c r="F7" s="479"/>
      <c r="G7" s="479"/>
      <c r="H7" s="479"/>
      <c r="I7" s="479"/>
      <c r="J7" s="479"/>
      <c r="K7" s="479"/>
      <c r="L7" s="479"/>
      <c r="M7" s="479"/>
      <c r="N7" s="479"/>
      <c r="O7" s="483" t="s">
        <v>746</v>
      </c>
      <c r="P7" s="484"/>
      <c r="Q7" s="485"/>
      <c r="R7" s="27"/>
      <c r="S7" s="27"/>
      <c r="T7" s="27"/>
      <c r="U7" s="27"/>
      <c r="V7" s="27"/>
      <c r="W7" s="27"/>
    </row>
    <row r="8" spans="2:23" ht="15" customHeight="1" x14ac:dyDescent="0.25">
      <c r="B8" s="490"/>
      <c r="C8" s="479" t="s">
        <v>707</v>
      </c>
      <c r="D8" s="479"/>
      <c r="E8" s="479"/>
      <c r="F8" s="479" t="s">
        <v>497</v>
      </c>
      <c r="G8" s="479"/>
      <c r="H8" s="479"/>
      <c r="I8" s="479" t="s">
        <v>4</v>
      </c>
      <c r="J8" s="479"/>
      <c r="K8" s="479"/>
      <c r="L8" s="479" t="s">
        <v>6</v>
      </c>
      <c r="M8" s="479"/>
      <c r="N8" s="479"/>
      <c r="O8" s="486"/>
      <c r="P8" s="487"/>
      <c r="Q8" s="488"/>
      <c r="R8" s="27"/>
      <c r="S8" s="27"/>
      <c r="T8" s="27"/>
      <c r="U8" s="27"/>
      <c r="V8" s="27"/>
      <c r="W8" s="27"/>
    </row>
    <row r="9" spans="2:23" x14ac:dyDescent="0.25">
      <c r="B9" s="490"/>
      <c r="C9" s="175" t="s">
        <v>83</v>
      </c>
      <c r="D9" s="175" t="s">
        <v>84</v>
      </c>
      <c r="E9" s="175" t="s">
        <v>35</v>
      </c>
      <c r="F9" s="175" t="s">
        <v>83</v>
      </c>
      <c r="G9" s="175" t="s">
        <v>84</v>
      </c>
      <c r="H9" s="175" t="s">
        <v>35</v>
      </c>
      <c r="I9" s="175" t="s">
        <v>83</v>
      </c>
      <c r="J9" s="175" t="s">
        <v>84</v>
      </c>
      <c r="K9" s="175" t="s">
        <v>35</v>
      </c>
      <c r="L9" s="175" t="s">
        <v>83</v>
      </c>
      <c r="M9" s="175" t="s">
        <v>84</v>
      </c>
      <c r="N9" s="175" t="s">
        <v>35</v>
      </c>
      <c r="O9" s="262" t="s">
        <v>83</v>
      </c>
      <c r="P9" s="262" t="s">
        <v>84</v>
      </c>
      <c r="Q9" s="262" t="s">
        <v>35</v>
      </c>
      <c r="R9" s="27"/>
      <c r="S9" s="27"/>
      <c r="T9" s="27"/>
      <c r="U9" s="27"/>
      <c r="V9" s="27"/>
      <c r="W9" s="27"/>
    </row>
    <row r="10" spans="2:23" x14ac:dyDescent="0.25">
      <c r="B10" s="353" t="s">
        <v>517</v>
      </c>
      <c r="C10" s="310">
        <v>180</v>
      </c>
      <c r="D10" s="310">
        <v>234</v>
      </c>
      <c r="E10" s="358">
        <v>414</v>
      </c>
      <c r="F10" s="310">
        <v>390</v>
      </c>
      <c r="G10" s="310">
        <v>367</v>
      </c>
      <c r="H10" s="358">
        <v>757</v>
      </c>
      <c r="I10" s="310">
        <v>71</v>
      </c>
      <c r="J10" s="310">
        <v>42</v>
      </c>
      <c r="K10" s="358">
        <v>113</v>
      </c>
      <c r="L10" s="310">
        <v>21</v>
      </c>
      <c r="M10" s="310">
        <v>46</v>
      </c>
      <c r="N10" s="358">
        <v>67</v>
      </c>
      <c r="O10" s="356">
        <v>662</v>
      </c>
      <c r="P10" s="350">
        <v>689</v>
      </c>
      <c r="Q10" s="350">
        <v>1351</v>
      </c>
      <c r="R10" s="27"/>
      <c r="S10" s="27"/>
      <c r="T10" s="27"/>
      <c r="U10" s="27"/>
      <c r="V10" s="27"/>
      <c r="W10" s="27"/>
    </row>
    <row r="11" spans="2:23" ht="15" customHeight="1" x14ac:dyDescent="0.25">
      <c r="B11" s="354" t="s">
        <v>518</v>
      </c>
      <c r="C11" s="310">
        <v>410</v>
      </c>
      <c r="D11" s="310">
        <v>420</v>
      </c>
      <c r="E11" s="358">
        <v>830</v>
      </c>
      <c r="F11" s="310">
        <v>970</v>
      </c>
      <c r="G11" s="310">
        <v>856</v>
      </c>
      <c r="H11" s="358">
        <v>1826</v>
      </c>
      <c r="I11" s="310">
        <v>157</v>
      </c>
      <c r="J11" s="310">
        <v>65</v>
      </c>
      <c r="K11" s="358">
        <v>222</v>
      </c>
      <c r="L11" s="310">
        <v>36</v>
      </c>
      <c r="M11" s="310">
        <v>41</v>
      </c>
      <c r="N11" s="358">
        <v>77</v>
      </c>
      <c r="O11" s="356">
        <v>1573</v>
      </c>
      <c r="P11" s="350">
        <v>1382</v>
      </c>
      <c r="Q11" s="350">
        <v>2955</v>
      </c>
      <c r="R11" s="27"/>
      <c r="S11" s="27"/>
      <c r="T11" s="27"/>
      <c r="U11" s="27"/>
      <c r="V11" s="27"/>
      <c r="W11" s="27"/>
    </row>
    <row r="12" spans="2:23" x14ac:dyDescent="0.25">
      <c r="B12" s="354" t="s">
        <v>519</v>
      </c>
      <c r="C12" s="310">
        <v>201</v>
      </c>
      <c r="D12" s="310">
        <v>276</v>
      </c>
      <c r="E12" s="358">
        <v>477</v>
      </c>
      <c r="F12" s="310">
        <v>439</v>
      </c>
      <c r="G12" s="310">
        <v>445</v>
      </c>
      <c r="H12" s="358">
        <v>884</v>
      </c>
      <c r="I12" s="310">
        <v>95</v>
      </c>
      <c r="J12" s="310">
        <v>35</v>
      </c>
      <c r="K12" s="358">
        <v>130</v>
      </c>
      <c r="L12" s="310">
        <v>15</v>
      </c>
      <c r="M12" s="310">
        <v>30</v>
      </c>
      <c r="N12" s="358">
        <v>45</v>
      </c>
      <c r="O12" s="356">
        <v>750</v>
      </c>
      <c r="P12" s="350">
        <v>786</v>
      </c>
      <c r="Q12" s="350">
        <v>1536</v>
      </c>
      <c r="R12" s="27"/>
      <c r="S12" s="27"/>
      <c r="T12" s="27"/>
      <c r="U12" s="27"/>
      <c r="V12" s="27"/>
      <c r="W12" s="27"/>
    </row>
    <row r="13" spans="2:23" x14ac:dyDescent="0.25">
      <c r="B13" s="354" t="s">
        <v>520</v>
      </c>
      <c r="C13" s="310">
        <v>475</v>
      </c>
      <c r="D13" s="310">
        <v>726</v>
      </c>
      <c r="E13" s="358">
        <v>1201</v>
      </c>
      <c r="F13" s="310">
        <v>1314</v>
      </c>
      <c r="G13" s="310">
        <v>1117</v>
      </c>
      <c r="H13" s="358">
        <v>2431</v>
      </c>
      <c r="I13" s="310">
        <v>312</v>
      </c>
      <c r="J13" s="310">
        <v>133</v>
      </c>
      <c r="K13" s="358">
        <v>445</v>
      </c>
      <c r="L13" s="310">
        <v>83</v>
      </c>
      <c r="M13" s="310">
        <v>107</v>
      </c>
      <c r="N13" s="358">
        <v>190</v>
      </c>
      <c r="O13" s="356">
        <v>2184</v>
      </c>
      <c r="P13" s="350">
        <v>2083</v>
      </c>
      <c r="Q13" s="350">
        <v>4267</v>
      </c>
      <c r="R13" s="27"/>
      <c r="S13" s="27"/>
      <c r="T13" s="27"/>
      <c r="U13" s="27"/>
      <c r="V13" s="27"/>
      <c r="W13" s="27"/>
    </row>
    <row r="14" spans="2:23" ht="15" customHeight="1" x14ac:dyDescent="0.25">
      <c r="B14" s="354" t="s">
        <v>521</v>
      </c>
      <c r="C14" s="310">
        <v>1190</v>
      </c>
      <c r="D14" s="310">
        <v>1722</v>
      </c>
      <c r="E14" s="358">
        <v>2912</v>
      </c>
      <c r="F14" s="310">
        <v>4060</v>
      </c>
      <c r="G14" s="310">
        <v>2952</v>
      </c>
      <c r="H14" s="358">
        <v>7012</v>
      </c>
      <c r="I14" s="310">
        <v>599</v>
      </c>
      <c r="J14" s="310">
        <v>252</v>
      </c>
      <c r="K14" s="358">
        <v>851</v>
      </c>
      <c r="L14" s="310">
        <v>214</v>
      </c>
      <c r="M14" s="310">
        <v>267</v>
      </c>
      <c r="N14" s="358">
        <v>481</v>
      </c>
      <c r="O14" s="356">
        <v>6063</v>
      </c>
      <c r="P14" s="350">
        <v>5193</v>
      </c>
      <c r="Q14" s="350">
        <v>11256</v>
      </c>
      <c r="R14" s="27"/>
      <c r="S14" s="27"/>
      <c r="T14" s="27"/>
      <c r="U14" s="27"/>
      <c r="V14" s="27"/>
      <c r="W14" s="27"/>
    </row>
    <row r="15" spans="2:23" ht="30" x14ac:dyDescent="0.25">
      <c r="B15" s="354" t="s">
        <v>522</v>
      </c>
      <c r="C15" s="310">
        <v>600</v>
      </c>
      <c r="D15" s="310">
        <v>826</v>
      </c>
      <c r="E15" s="358">
        <v>1426</v>
      </c>
      <c r="F15" s="310">
        <v>1845</v>
      </c>
      <c r="G15" s="310">
        <v>1366</v>
      </c>
      <c r="H15" s="358">
        <v>3211</v>
      </c>
      <c r="I15" s="310">
        <v>421</v>
      </c>
      <c r="J15" s="310">
        <v>127</v>
      </c>
      <c r="K15" s="358">
        <v>548</v>
      </c>
      <c r="L15" s="310">
        <v>160</v>
      </c>
      <c r="M15" s="310">
        <v>192</v>
      </c>
      <c r="N15" s="358">
        <v>352</v>
      </c>
      <c r="O15" s="356">
        <v>3026</v>
      </c>
      <c r="P15" s="350">
        <v>2511</v>
      </c>
      <c r="Q15" s="350">
        <v>5537</v>
      </c>
      <c r="R15" s="27"/>
      <c r="S15" s="27"/>
      <c r="T15" s="27"/>
      <c r="U15" s="27"/>
      <c r="V15" s="27"/>
      <c r="W15" s="27"/>
    </row>
    <row r="16" spans="2:23" x14ac:dyDescent="0.25">
      <c r="B16" s="354" t="s">
        <v>523</v>
      </c>
      <c r="C16" s="310">
        <v>707</v>
      </c>
      <c r="D16" s="310">
        <v>989</v>
      </c>
      <c r="E16" s="358">
        <v>1696</v>
      </c>
      <c r="F16" s="310">
        <v>1694</v>
      </c>
      <c r="G16" s="310">
        <v>1369</v>
      </c>
      <c r="H16" s="358">
        <v>3063</v>
      </c>
      <c r="I16" s="310">
        <v>434</v>
      </c>
      <c r="J16" s="310">
        <v>154</v>
      </c>
      <c r="K16" s="358">
        <v>588</v>
      </c>
      <c r="L16" s="310">
        <v>154</v>
      </c>
      <c r="M16" s="310">
        <v>201</v>
      </c>
      <c r="N16" s="358">
        <v>355</v>
      </c>
      <c r="O16" s="356">
        <v>2989</v>
      </c>
      <c r="P16" s="350">
        <v>2713</v>
      </c>
      <c r="Q16" s="350">
        <v>5702</v>
      </c>
      <c r="R16" s="27"/>
      <c r="S16" s="27"/>
      <c r="T16" s="27"/>
      <c r="U16" s="27"/>
      <c r="V16" s="27"/>
      <c r="W16" s="27"/>
    </row>
    <row r="17" spans="2:23" ht="15" customHeight="1" x14ac:dyDescent="0.25">
      <c r="B17" s="354" t="s">
        <v>524</v>
      </c>
      <c r="C17" s="310">
        <v>1014</v>
      </c>
      <c r="D17" s="310">
        <v>1224</v>
      </c>
      <c r="E17" s="358">
        <v>2238</v>
      </c>
      <c r="F17" s="310">
        <v>2525</v>
      </c>
      <c r="G17" s="310">
        <v>2036</v>
      </c>
      <c r="H17" s="358">
        <v>4561</v>
      </c>
      <c r="I17" s="310">
        <v>752</v>
      </c>
      <c r="J17" s="310">
        <v>243</v>
      </c>
      <c r="K17" s="358">
        <v>995</v>
      </c>
      <c r="L17" s="310">
        <v>163</v>
      </c>
      <c r="M17" s="310">
        <v>260</v>
      </c>
      <c r="N17" s="358">
        <v>423</v>
      </c>
      <c r="O17" s="356">
        <v>4454</v>
      </c>
      <c r="P17" s="350">
        <v>3763</v>
      </c>
      <c r="Q17" s="350">
        <v>8217</v>
      </c>
      <c r="R17" s="27"/>
      <c r="S17" s="27"/>
      <c r="T17" s="27"/>
      <c r="U17" s="27"/>
      <c r="V17" s="27"/>
      <c r="W17" s="27"/>
    </row>
    <row r="18" spans="2:23" x14ac:dyDescent="0.25">
      <c r="B18" s="354" t="s">
        <v>525</v>
      </c>
      <c r="C18" s="310">
        <v>731</v>
      </c>
      <c r="D18" s="310">
        <v>897</v>
      </c>
      <c r="E18" s="358">
        <v>1628</v>
      </c>
      <c r="F18" s="310">
        <v>1343</v>
      </c>
      <c r="G18" s="310">
        <v>996</v>
      </c>
      <c r="H18" s="358">
        <v>2339</v>
      </c>
      <c r="I18" s="310">
        <v>425</v>
      </c>
      <c r="J18" s="310">
        <v>197</v>
      </c>
      <c r="K18" s="358">
        <v>622</v>
      </c>
      <c r="L18" s="310">
        <v>99</v>
      </c>
      <c r="M18" s="310">
        <v>150</v>
      </c>
      <c r="N18" s="358">
        <v>249</v>
      </c>
      <c r="O18" s="356">
        <v>2598</v>
      </c>
      <c r="P18" s="350">
        <v>2240</v>
      </c>
      <c r="Q18" s="350">
        <v>4838</v>
      </c>
      <c r="R18" s="27"/>
      <c r="S18" s="27"/>
      <c r="T18" s="27"/>
      <c r="U18" s="27"/>
      <c r="V18" s="27"/>
      <c r="W18" s="27"/>
    </row>
    <row r="19" spans="2:23" x14ac:dyDescent="0.25">
      <c r="B19" s="354" t="s">
        <v>526</v>
      </c>
      <c r="C19" s="310">
        <v>552</v>
      </c>
      <c r="D19" s="310">
        <v>752</v>
      </c>
      <c r="E19" s="358">
        <v>1304</v>
      </c>
      <c r="F19" s="310">
        <v>1140</v>
      </c>
      <c r="G19" s="310">
        <v>897</v>
      </c>
      <c r="H19" s="358">
        <v>2037</v>
      </c>
      <c r="I19" s="310">
        <v>384</v>
      </c>
      <c r="J19" s="310">
        <v>181</v>
      </c>
      <c r="K19" s="358">
        <v>565</v>
      </c>
      <c r="L19" s="310">
        <v>112</v>
      </c>
      <c r="M19" s="310">
        <v>170</v>
      </c>
      <c r="N19" s="358">
        <v>282</v>
      </c>
      <c r="O19" s="356">
        <v>2188</v>
      </c>
      <c r="P19" s="350">
        <v>2000</v>
      </c>
      <c r="Q19" s="350">
        <v>4188</v>
      </c>
      <c r="R19" s="27"/>
      <c r="S19" s="27"/>
      <c r="T19" s="27"/>
      <c r="U19" s="27"/>
      <c r="V19" s="27"/>
      <c r="W19" s="27"/>
    </row>
    <row r="20" spans="2:23" ht="15" customHeight="1" x14ac:dyDescent="0.25">
      <c r="B20" s="354" t="s">
        <v>527</v>
      </c>
      <c r="C20" s="310">
        <v>67</v>
      </c>
      <c r="D20" s="310">
        <v>115</v>
      </c>
      <c r="E20" s="358">
        <v>182</v>
      </c>
      <c r="F20" s="310">
        <v>165</v>
      </c>
      <c r="G20" s="310">
        <v>139</v>
      </c>
      <c r="H20" s="358">
        <v>304</v>
      </c>
      <c r="I20" s="310">
        <v>40</v>
      </c>
      <c r="J20" s="310">
        <v>11</v>
      </c>
      <c r="K20" s="358">
        <v>51</v>
      </c>
      <c r="L20" s="310">
        <v>7</v>
      </c>
      <c r="M20" s="310">
        <v>16</v>
      </c>
      <c r="N20" s="358">
        <v>23</v>
      </c>
      <c r="O20" s="356">
        <v>279</v>
      </c>
      <c r="P20" s="350">
        <v>281</v>
      </c>
      <c r="Q20" s="350">
        <v>560</v>
      </c>
      <c r="R20" s="27"/>
      <c r="S20" s="27"/>
      <c r="T20" s="27"/>
      <c r="U20" s="27"/>
      <c r="V20" s="27"/>
      <c r="W20" s="27"/>
    </row>
    <row r="21" spans="2:23" x14ac:dyDescent="0.25">
      <c r="B21" s="354" t="s">
        <v>528</v>
      </c>
      <c r="C21" s="310">
        <v>112</v>
      </c>
      <c r="D21" s="310">
        <v>154</v>
      </c>
      <c r="E21" s="358">
        <v>266</v>
      </c>
      <c r="F21" s="310">
        <v>298</v>
      </c>
      <c r="G21" s="310">
        <v>260</v>
      </c>
      <c r="H21" s="358">
        <v>558</v>
      </c>
      <c r="I21" s="310">
        <v>34</v>
      </c>
      <c r="J21" s="310">
        <v>18</v>
      </c>
      <c r="K21" s="358">
        <v>52</v>
      </c>
      <c r="L21" s="310">
        <v>20</v>
      </c>
      <c r="M21" s="310">
        <v>15</v>
      </c>
      <c r="N21" s="358">
        <v>35</v>
      </c>
      <c r="O21" s="356">
        <v>464</v>
      </c>
      <c r="P21" s="350">
        <v>447</v>
      </c>
      <c r="Q21" s="350">
        <v>911</v>
      </c>
      <c r="R21" s="27"/>
      <c r="S21" s="27"/>
      <c r="T21" s="27"/>
      <c r="U21" s="27"/>
      <c r="V21" s="27"/>
      <c r="W21" s="27"/>
    </row>
    <row r="22" spans="2:23" x14ac:dyDescent="0.25">
      <c r="B22" s="354" t="s">
        <v>529</v>
      </c>
      <c r="C22" s="310">
        <v>4142</v>
      </c>
      <c r="D22" s="310">
        <v>5805</v>
      </c>
      <c r="E22" s="358">
        <v>9947</v>
      </c>
      <c r="F22" s="310">
        <v>12634</v>
      </c>
      <c r="G22" s="310">
        <v>9271</v>
      </c>
      <c r="H22" s="358">
        <v>21905</v>
      </c>
      <c r="I22" s="310">
        <v>1763</v>
      </c>
      <c r="J22" s="310">
        <v>797</v>
      </c>
      <c r="K22" s="358">
        <v>2560</v>
      </c>
      <c r="L22" s="310">
        <v>503</v>
      </c>
      <c r="M22" s="310">
        <v>650</v>
      </c>
      <c r="N22" s="358">
        <v>1153</v>
      </c>
      <c r="O22" s="356">
        <v>19042</v>
      </c>
      <c r="P22" s="350">
        <v>16523</v>
      </c>
      <c r="Q22" s="350">
        <v>35565</v>
      </c>
      <c r="R22" s="27"/>
      <c r="S22" s="27"/>
      <c r="T22" s="27"/>
      <c r="U22" s="27"/>
      <c r="V22" s="27"/>
      <c r="W22" s="27"/>
    </row>
    <row r="23" spans="2:23" x14ac:dyDescent="0.25">
      <c r="B23" s="354" t="s">
        <v>530</v>
      </c>
      <c r="C23" s="310">
        <v>288</v>
      </c>
      <c r="D23" s="310">
        <v>403</v>
      </c>
      <c r="E23" s="358">
        <v>691</v>
      </c>
      <c r="F23" s="310">
        <v>694</v>
      </c>
      <c r="G23" s="310">
        <v>535</v>
      </c>
      <c r="H23" s="358">
        <v>1229</v>
      </c>
      <c r="I23" s="310">
        <v>177</v>
      </c>
      <c r="J23" s="310">
        <v>57</v>
      </c>
      <c r="K23" s="358">
        <v>234</v>
      </c>
      <c r="L23" s="310">
        <v>57</v>
      </c>
      <c r="M23" s="310">
        <v>103</v>
      </c>
      <c r="N23" s="358">
        <v>160</v>
      </c>
      <c r="O23" s="356">
        <v>1216</v>
      </c>
      <c r="P23" s="350">
        <v>1098</v>
      </c>
      <c r="Q23" s="350">
        <v>2314</v>
      </c>
      <c r="R23" s="27"/>
      <c r="S23" s="27"/>
      <c r="T23" s="27"/>
      <c r="U23" s="27"/>
      <c r="V23" s="27"/>
      <c r="W23" s="27"/>
    </row>
    <row r="24" spans="2:23" x14ac:dyDescent="0.25">
      <c r="B24" s="354" t="s">
        <v>531</v>
      </c>
      <c r="C24" s="310">
        <v>171</v>
      </c>
      <c r="D24" s="310">
        <v>205</v>
      </c>
      <c r="E24" s="358">
        <v>376</v>
      </c>
      <c r="F24" s="310">
        <v>372</v>
      </c>
      <c r="G24" s="310">
        <v>297</v>
      </c>
      <c r="H24" s="358">
        <v>669</v>
      </c>
      <c r="I24" s="310">
        <v>65</v>
      </c>
      <c r="J24" s="310">
        <v>29</v>
      </c>
      <c r="K24" s="358">
        <v>94</v>
      </c>
      <c r="L24" s="310">
        <v>22</v>
      </c>
      <c r="M24" s="310">
        <v>43</v>
      </c>
      <c r="N24" s="358">
        <v>65</v>
      </c>
      <c r="O24" s="356">
        <v>630</v>
      </c>
      <c r="P24" s="350">
        <v>574</v>
      </c>
      <c r="Q24" s="350">
        <v>1204</v>
      </c>
      <c r="R24" s="27"/>
      <c r="S24" s="27"/>
      <c r="T24" s="27"/>
      <c r="U24" s="27"/>
      <c r="V24" s="27"/>
      <c r="W24" s="27"/>
    </row>
    <row r="25" spans="2:23" x14ac:dyDescent="0.25">
      <c r="B25" s="354" t="s">
        <v>532</v>
      </c>
      <c r="C25" s="310">
        <v>333</v>
      </c>
      <c r="D25" s="310">
        <v>396</v>
      </c>
      <c r="E25" s="358">
        <v>729</v>
      </c>
      <c r="F25" s="310">
        <v>754</v>
      </c>
      <c r="G25" s="310">
        <v>608</v>
      </c>
      <c r="H25" s="358">
        <v>1362</v>
      </c>
      <c r="I25" s="310">
        <v>398</v>
      </c>
      <c r="J25" s="310">
        <v>132</v>
      </c>
      <c r="K25" s="358">
        <v>530</v>
      </c>
      <c r="L25" s="310">
        <v>85</v>
      </c>
      <c r="M25" s="310">
        <v>117</v>
      </c>
      <c r="N25" s="358">
        <v>202</v>
      </c>
      <c r="O25" s="356">
        <v>1570</v>
      </c>
      <c r="P25" s="350">
        <v>1253</v>
      </c>
      <c r="Q25" s="350">
        <v>2823</v>
      </c>
      <c r="R25" s="27"/>
      <c r="S25" s="27"/>
      <c r="T25" s="27"/>
      <c r="U25" s="27"/>
      <c r="V25" s="27"/>
      <c r="W25" s="27"/>
    </row>
    <row r="26" spans="2:23" x14ac:dyDescent="0.25">
      <c r="B26" s="355" t="s">
        <v>35</v>
      </c>
      <c r="C26" s="302">
        <v>11173</v>
      </c>
      <c r="D26" s="302">
        <v>15144</v>
      </c>
      <c r="E26" s="302">
        <v>26317</v>
      </c>
      <c r="F26" s="302">
        <v>30637</v>
      </c>
      <c r="G26" s="302">
        <v>23511</v>
      </c>
      <c r="H26" s="302">
        <v>54148</v>
      </c>
      <c r="I26" s="302">
        <v>6127</v>
      </c>
      <c r="J26" s="302">
        <v>2473</v>
      </c>
      <c r="K26" s="302">
        <v>8600</v>
      </c>
      <c r="L26" s="302">
        <v>1751</v>
      </c>
      <c r="M26" s="302">
        <v>2408</v>
      </c>
      <c r="N26" s="302">
        <v>4159</v>
      </c>
      <c r="O26" s="357">
        <v>49688</v>
      </c>
      <c r="P26" s="350">
        <v>43536</v>
      </c>
      <c r="Q26" s="350">
        <v>93224</v>
      </c>
      <c r="R26" s="27"/>
      <c r="S26" s="27"/>
      <c r="T26" s="27"/>
      <c r="U26" s="27"/>
      <c r="V26" s="27"/>
      <c r="W26" s="27"/>
    </row>
    <row r="27" spans="2:23" ht="99" customHeight="1" x14ac:dyDescent="0.25">
      <c r="B27" s="469" t="s">
        <v>928</v>
      </c>
      <c r="C27" s="469"/>
      <c r="D27" s="469"/>
      <c r="E27" s="469"/>
      <c r="F27" s="469"/>
      <c r="G27" s="469"/>
      <c r="H27" s="469"/>
      <c r="I27" s="469"/>
      <c r="J27" s="469"/>
      <c r="K27" s="469"/>
      <c r="L27" s="469"/>
      <c r="M27" s="469"/>
      <c r="N27" s="469"/>
      <c r="O27" s="469"/>
      <c r="P27" s="469"/>
      <c r="Q27" s="469"/>
      <c r="R27" s="27"/>
      <c r="S27" s="27"/>
      <c r="T27" s="27"/>
      <c r="U27" s="27"/>
      <c r="V27" s="27"/>
      <c r="W27" s="27"/>
    </row>
    <row r="28" spans="2:23" x14ac:dyDescent="0.25">
      <c r="C28" s="27"/>
      <c r="D28" s="27"/>
      <c r="E28" s="27"/>
      <c r="F28" s="27"/>
      <c r="G28" s="27"/>
      <c r="H28" s="27"/>
      <c r="I28" s="27"/>
      <c r="J28" s="27"/>
      <c r="K28" s="27"/>
      <c r="L28" s="27"/>
      <c r="M28" s="27"/>
      <c r="N28" s="27"/>
      <c r="O28" s="27"/>
      <c r="P28" s="27"/>
      <c r="Q28" s="27"/>
      <c r="R28" s="27"/>
      <c r="S28" s="27"/>
      <c r="T28" s="27"/>
      <c r="U28" s="27"/>
      <c r="V28" s="27"/>
      <c r="W28" s="27"/>
    </row>
    <row r="29" spans="2:23" customFormat="1" ht="18.75" x14ac:dyDescent="0.3">
      <c r="B29" s="2" t="s">
        <v>861</v>
      </c>
      <c r="C29" s="2"/>
      <c r="D29" s="2"/>
      <c r="E29" s="2"/>
      <c r="H29" s="246"/>
      <c r="I29" s="491"/>
      <c r="J29" s="155"/>
      <c r="K29" s="156"/>
      <c r="L29" s="156"/>
      <c r="M29" s="156"/>
      <c r="N29" s="156"/>
      <c r="O29" s="156"/>
      <c r="P29" s="156"/>
      <c r="Q29" s="246"/>
      <c r="R29" s="246"/>
      <c r="S29" s="246"/>
      <c r="T29" s="246"/>
      <c r="U29" s="246"/>
      <c r="V29" s="246"/>
      <c r="W29" s="246"/>
    </row>
    <row r="30" spans="2:23" customFormat="1" x14ac:dyDescent="0.25">
      <c r="B30" s="8" t="s">
        <v>867</v>
      </c>
      <c r="H30" s="246"/>
      <c r="I30" s="491"/>
      <c r="J30" s="155"/>
      <c r="K30" s="156"/>
      <c r="L30" s="156"/>
      <c r="M30" s="156"/>
      <c r="N30" s="156"/>
      <c r="O30" s="156"/>
      <c r="P30" s="156"/>
      <c r="Q30" s="246"/>
      <c r="R30" s="246"/>
      <c r="S30" s="246"/>
      <c r="T30" s="246"/>
      <c r="U30" s="246"/>
      <c r="V30" s="246"/>
      <c r="W30" s="246"/>
    </row>
    <row r="31" spans="2:23" customFormat="1" x14ac:dyDescent="0.25">
      <c r="H31" s="246"/>
      <c r="I31" s="491"/>
      <c r="J31" s="155"/>
      <c r="K31" s="155"/>
      <c r="L31" s="155"/>
      <c r="M31" s="155"/>
      <c r="N31" s="155"/>
      <c r="O31" s="155"/>
      <c r="P31" s="156"/>
      <c r="Q31" s="246"/>
      <c r="R31" s="246"/>
      <c r="S31" s="246"/>
      <c r="T31" s="246"/>
      <c r="U31" s="246"/>
      <c r="V31" s="246"/>
      <c r="W31" s="246"/>
    </row>
    <row r="32" spans="2:23" customFormat="1" x14ac:dyDescent="0.25">
      <c r="B32" s="201" t="s">
        <v>517</v>
      </c>
      <c r="H32" s="246"/>
      <c r="I32" s="491"/>
      <c r="J32" s="155"/>
      <c r="K32" s="156"/>
      <c r="L32" s="156"/>
      <c r="M32" s="156"/>
      <c r="N32" s="156"/>
      <c r="O32" s="156"/>
      <c r="P32" s="156"/>
      <c r="Q32" s="246"/>
      <c r="R32" s="246"/>
      <c r="S32" s="246"/>
      <c r="T32" s="246"/>
      <c r="U32" s="246"/>
      <c r="V32" s="246"/>
      <c r="W32" s="246"/>
    </row>
    <row r="33" spans="2:24" customFormat="1" x14ac:dyDescent="0.25">
      <c r="B33" s="201"/>
      <c r="H33" s="246"/>
      <c r="I33" s="252"/>
      <c r="J33" s="155"/>
      <c r="K33" s="156"/>
      <c r="L33" s="156"/>
      <c r="M33" s="156"/>
      <c r="N33" s="156"/>
      <c r="O33" s="156"/>
      <c r="P33" s="156"/>
      <c r="Q33" s="246"/>
      <c r="R33" s="246"/>
      <c r="S33" s="246"/>
      <c r="T33" s="246"/>
      <c r="U33" s="246"/>
      <c r="V33" s="246"/>
      <c r="W33" s="246"/>
    </row>
    <row r="34" spans="2:24" customFormat="1" ht="15" customHeight="1" x14ac:dyDescent="0.25">
      <c r="B34" s="490" t="s">
        <v>544</v>
      </c>
      <c r="C34" s="479" t="s">
        <v>488</v>
      </c>
      <c r="D34" s="479"/>
      <c r="E34" s="479"/>
      <c r="F34" s="479"/>
      <c r="G34" s="479"/>
      <c r="H34" s="479"/>
      <c r="I34" s="479"/>
      <c r="J34" s="479"/>
      <c r="K34" s="479"/>
      <c r="L34" s="479"/>
      <c r="M34" s="479"/>
      <c r="N34" s="479"/>
      <c r="O34" s="483" t="s">
        <v>746</v>
      </c>
      <c r="P34" s="484"/>
      <c r="Q34" s="485"/>
      <c r="R34" s="246"/>
      <c r="S34" s="246"/>
      <c r="T34" s="246"/>
      <c r="U34" s="246"/>
      <c r="V34" s="246"/>
      <c r="W34" s="246"/>
    </row>
    <row r="35" spans="2:24" customFormat="1" ht="15" customHeight="1" x14ac:dyDescent="0.25">
      <c r="B35" s="490"/>
      <c r="C35" s="479" t="s">
        <v>707</v>
      </c>
      <c r="D35" s="479"/>
      <c r="E35" s="479"/>
      <c r="F35" s="479" t="s">
        <v>497</v>
      </c>
      <c r="G35" s="479"/>
      <c r="H35" s="479"/>
      <c r="I35" s="479" t="s">
        <v>4</v>
      </c>
      <c r="J35" s="479"/>
      <c r="K35" s="479"/>
      <c r="L35" s="479" t="s">
        <v>6</v>
      </c>
      <c r="M35" s="479"/>
      <c r="N35" s="479"/>
      <c r="O35" s="486"/>
      <c r="P35" s="487"/>
      <c r="Q35" s="488"/>
      <c r="R35" s="246"/>
      <c r="S35" s="246"/>
      <c r="T35" s="246"/>
      <c r="U35" s="246"/>
      <c r="V35" s="246"/>
      <c r="W35" s="246"/>
    </row>
    <row r="36" spans="2:24" customFormat="1" x14ac:dyDescent="0.25">
      <c r="B36" s="490"/>
      <c r="C36" s="175" t="s">
        <v>83</v>
      </c>
      <c r="D36" s="175" t="s">
        <v>84</v>
      </c>
      <c r="E36" s="175" t="s">
        <v>35</v>
      </c>
      <c r="F36" s="175" t="s">
        <v>83</v>
      </c>
      <c r="G36" s="175" t="s">
        <v>84</v>
      </c>
      <c r="H36" s="175" t="s">
        <v>35</v>
      </c>
      <c r="I36" s="175" t="s">
        <v>83</v>
      </c>
      <c r="J36" s="175" t="s">
        <v>84</v>
      </c>
      <c r="K36" s="175" t="s">
        <v>35</v>
      </c>
      <c r="L36" s="175" t="s">
        <v>83</v>
      </c>
      <c r="M36" s="175" t="s">
        <v>84</v>
      </c>
      <c r="N36" s="175" t="s">
        <v>35</v>
      </c>
      <c r="O36" s="262" t="s">
        <v>83</v>
      </c>
      <c r="P36" s="262" t="s">
        <v>84</v>
      </c>
      <c r="Q36" s="262" t="s">
        <v>35</v>
      </c>
      <c r="R36" s="246"/>
      <c r="S36" s="246"/>
      <c r="T36" s="246"/>
      <c r="U36" s="246"/>
      <c r="V36" s="246"/>
      <c r="W36" s="246"/>
      <c r="X36" s="246"/>
    </row>
    <row r="37" spans="2:24" customFormat="1" x14ac:dyDescent="0.25">
      <c r="B37" s="254" t="s">
        <v>142</v>
      </c>
      <c r="C37" s="310">
        <v>64</v>
      </c>
      <c r="D37" s="310">
        <v>77</v>
      </c>
      <c r="E37" s="310">
        <v>141</v>
      </c>
      <c r="F37" s="310">
        <v>70</v>
      </c>
      <c r="G37" s="310">
        <v>71</v>
      </c>
      <c r="H37" s="359">
        <v>141</v>
      </c>
      <c r="I37" s="310">
        <v>36</v>
      </c>
      <c r="J37" s="359">
        <v>15</v>
      </c>
      <c r="K37" s="310">
        <v>51</v>
      </c>
      <c r="L37" s="359">
        <v>7</v>
      </c>
      <c r="M37" s="310">
        <v>13</v>
      </c>
      <c r="N37" s="359">
        <v>20</v>
      </c>
      <c r="O37" s="356">
        <v>177</v>
      </c>
      <c r="P37" s="350">
        <v>176</v>
      </c>
      <c r="Q37" s="350">
        <v>353</v>
      </c>
      <c r="R37" s="246"/>
      <c r="S37" s="246"/>
      <c r="T37" s="246"/>
      <c r="U37" s="246"/>
      <c r="V37" s="246"/>
      <c r="W37" s="246"/>
      <c r="X37" s="246"/>
    </row>
    <row r="38" spans="2:24" customFormat="1" x14ac:dyDescent="0.25">
      <c r="B38" s="255" t="s">
        <v>148</v>
      </c>
      <c r="C38" s="310">
        <v>2</v>
      </c>
      <c r="D38" s="310">
        <v>4</v>
      </c>
      <c r="E38" s="310">
        <v>6</v>
      </c>
      <c r="F38" s="310">
        <v>2</v>
      </c>
      <c r="G38" s="310">
        <v>1</v>
      </c>
      <c r="H38" s="359">
        <v>3</v>
      </c>
      <c r="I38" s="310"/>
      <c r="J38" s="359"/>
      <c r="K38" s="310"/>
      <c r="L38" s="359"/>
      <c r="M38" s="310"/>
      <c r="N38" s="359"/>
      <c r="O38" s="356">
        <v>4</v>
      </c>
      <c r="P38" s="350">
        <v>5</v>
      </c>
      <c r="Q38" s="350">
        <v>9</v>
      </c>
      <c r="R38" s="246"/>
      <c r="S38" s="246"/>
      <c r="T38" s="246"/>
      <c r="U38" s="246"/>
      <c r="V38" s="246"/>
      <c r="W38" s="246"/>
      <c r="X38" s="246"/>
    </row>
    <row r="39" spans="2:24" customFormat="1" x14ac:dyDescent="0.25">
      <c r="B39" s="255" t="s">
        <v>143</v>
      </c>
      <c r="C39" s="310"/>
      <c r="D39" s="310">
        <v>1</v>
      </c>
      <c r="E39" s="310">
        <v>1</v>
      </c>
      <c r="F39" s="310"/>
      <c r="G39" s="310"/>
      <c r="H39" s="359"/>
      <c r="I39" s="310"/>
      <c r="J39" s="359"/>
      <c r="K39" s="310"/>
      <c r="L39" s="359"/>
      <c r="M39" s="310"/>
      <c r="N39" s="359"/>
      <c r="O39" s="356"/>
      <c r="P39" s="350">
        <v>1</v>
      </c>
      <c r="Q39" s="350">
        <v>1</v>
      </c>
      <c r="R39" s="246"/>
      <c r="S39" s="246"/>
      <c r="T39" s="246"/>
      <c r="U39" s="246"/>
      <c r="V39" s="246"/>
      <c r="W39" s="246"/>
      <c r="X39" s="246"/>
    </row>
    <row r="40" spans="2:24" customFormat="1" x14ac:dyDescent="0.25">
      <c r="B40" s="255" t="s">
        <v>144</v>
      </c>
      <c r="C40" s="310">
        <v>4</v>
      </c>
      <c r="D40" s="310">
        <v>3</v>
      </c>
      <c r="E40" s="310">
        <v>7</v>
      </c>
      <c r="F40" s="310">
        <v>1</v>
      </c>
      <c r="G40" s="310">
        <v>7</v>
      </c>
      <c r="H40" s="359">
        <v>8</v>
      </c>
      <c r="I40" s="310"/>
      <c r="J40" s="359">
        <v>1</v>
      </c>
      <c r="K40" s="310">
        <v>1</v>
      </c>
      <c r="L40" s="359">
        <v>1</v>
      </c>
      <c r="M40" s="310"/>
      <c r="N40" s="359">
        <v>1</v>
      </c>
      <c r="O40" s="356">
        <v>6</v>
      </c>
      <c r="P40" s="350">
        <v>11</v>
      </c>
      <c r="Q40" s="350">
        <v>17</v>
      </c>
      <c r="R40" s="246"/>
      <c r="S40" s="246"/>
      <c r="T40" s="246"/>
      <c r="U40" s="246"/>
      <c r="V40" s="246"/>
      <c r="W40" s="246"/>
      <c r="X40" s="246"/>
    </row>
    <row r="41" spans="2:24" customFormat="1" x14ac:dyDescent="0.25">
      <c r="B41" s="256" t="s">
        <v>145</v>
      </c>
      <c r="C41" s="310">
        <v>93</v>
      </c>
      <c r="D41" s="310">
        <v>133</v>
      </c>
      <c r="E41" s="310">
        <v>226</v>
      </c>
      <c r="F41" s="310">
        <v>298</v>
      </c>
      <c r="G41" s="310">
        <v>261</v>
      </c>
      <c r="H41" s="359">
        <v>559</v>
      </c>
      <c r="I41" s="310">
        <v>33</v>
      </c>
      <c r="J41" s="359">
        <v>24</v>
      </c>
      <c r="K41" s="310">
        <v>57</v>
      </c>
      <c r="L41" s="359">
        <v>13</v>
      </c>
      <c r="M41" s="310">
        <v>32</v>
      </c>
      <c r="N41" s="359">
        <v>45</v>
      </c>
      <c r="O41" s="356">
        <v>437</v>
      </c>
      <c r="P41" s="350">
        <v>450</v>
      </c>
      <c r="Q41" s="350">
        <v>887</v>
      </c>
      <c r="R41" s="246"/>
      <c r="S41" s="246"/>
      <c r="T41" s="246"/>
      <c r="U41" s="246"/>
      <c r="V41" s="246"/>
      <c r="W41" s="246"/>
      <c r="X41" s="246"/>
    </row>
    <row r="42" spans="2:24" customFormat="1" x14ac:dyDescent="0.25">
      <c r="B42" s="190" t="s">
        <v>146</v>
      </c>
      <c r="C42" s="310">
        <v>6</v>
      </c>
      <c r="D42" s="310">
        <v>1</v>
      </c>
      <c r="E42" s="310">
        <v>7</v>
      </c>
      <c r="F42" s="310">
        <v>5</v>
      </c>
      <c r="G42" s="310">
        <v>7</v>
      </c>
      <c r="H42" s="359">
        <v>12</v>
      </c>
      <c r="I42" s="310">
        <v>1</v>
      </c>
      <c r="J42" s="359">
        <v>2</v>
      </c>
      <c r="K42" s="310">
        <v>3</v>
      </c>
      <c r="L42" s="359"/>
      <c r="M42" s="310">
        <v>1</v>
      </c>
      <c r="N42" s="359">
        <v>1</v>
      </c>
      <c r="O42" s="356">
        <v>12</v>
      </c>
      <c r="P42" s="350">
        <v>11</v>
      </c>
      <c r="Q42" s="350">
        <v>23</v>
      </c>
      <c r="R42" s="246"/>
      <c r="S42" s="246"/>
      <c r="T42" s="246"/>
      <c r="U42" s="246"/>
      <c r="V42" s="246"/>
      <c r="W42" s="246"/>
      <c r="X42" s="246"/>
    </row>
    <row r="43" spans="2:24" customFormat="1" x14ac:dyDescent="0.25">
      <c r="B43" s="190" t="s">
        <v>147</v>
      </c>
      <c r="C43" s="310">
        <v>11</v>
      </c>
      <c r="D43" s="310">
        <v>15</v>
      </c>
      <c r="E43" s="310">
        <v>26</v>
      </c>
      <c r="F43" s="310">
        <v>14</v>
      </c>
      <c r="G43" s="310">
        <v>20</v>
      </c>
      <c r="H43" s="359">
        <v>34</v>
      </c>
      <c r="I43" s="310">
        <v>1</v>
      </c>
      <c r="J43" s="359"/>
      <c r="K43" s="310">
        <v>1</v>
      </c>
      <c r="L43" s="359"/>
      <c r="M43" s="310"/>
      <c r="N43" s="359"/>
      <c r="O43" s="356">
        <v>26</v>
      </c>
      <c r="P43" s="350">
        <v>35</v>
      </c>
      <c r="Q43" s="350">
        <v>61</v>
      </c>
      <c r="R43" s="246"/>
      <c r="S43" s="246"/>
      <c r="T43" s="246"/>
      <c r="U43" s="246"/>
      <c r="V43" s="246"/>
      <c r="W43" s="246"/>
      <c r="X43" s="246"/>
    </row>
    <row r="44" spans="2:24" customFormat="1" x14ac:dyDescent="0.25">
      <c r="B44" s="351" t="s">
        <v>35</v>
      </c>
      <c r="C44" s="302">
        <v>180</v>
      </c>
      <c r="D44" s="302">
        <v>234</v>
      </c>
      <c r="E44" s="302">
        <v>414</v>
      </c>
      <c r="F44" s="302">
        <v>390</v>
      </c>
      <c r="G44" s="302">
        <v>367</v>
      </c>
      <c r="H44" s="360">
        <v>757</v>
      </c>
      <c r="I44" s="302">
        <v>71</v>
      </c>
      <c r="J44" s="360">
        <v>42</v>
      </c>
      <c r="K44" s="302">
        <v>113</v>
      </c>
      <c r="L44" s="360">
        <v>21</v>
      </c>
      <c r="M44" s="302">
        <v>46</v>
      </c>
      <c r="N44" s="360">
        <v>67</v>
      </c>
      <c r="O44" s="356">
        <v>662</v>
      </c>
      <c r="P44" s="350">
        <v>689</v>
      </c>
      <c r="Q44" s="350">
        <v>1351</v>
      </c>
      <c r="R44" s="246"/>
      <c r="S44" s="246"/>
      <c r="T44" s="246"/>
      <c r="U44" s="246"/>
      <c r="V44" s="246"/>
      <c r="W44" s="246"/>
      <c r="X44" s="246"/>
    </row>
    <row r="45" spans="2:24" customFormat="1" ht="101.25" customHeight="1" x14ac:dyDescent="0.25">
      <c r="B45" s="489" t="s">
        <v>928</v>
      </c>
      <c r="C45" s="489"/>
      <c r="D45" s="489"/>
      <c r="E45" s="489"/>
      <c r="F45" s="489"/>
      <c r="G45" s="489"/>
      <c r="H45" s="489"/>
      <c r="I45" s="489"/>
      <c r="J45" s="489"/>
      <c r="K45" s="489"/>
      <c r="L45" s="489"/>
      <c r="M45" s="489"/>
      <c r="N45" s="489"/>
      <c r="O45" s="489"/>
      <c r="P45" s="489"/>
      <c r="Q45" s="489"/>
      <c r="R45" s="246"/>
      <c r="S45" s="246"/>
      <c r="T45" s="246"/>
      <c r="U45" s="246"/>
      <c r="V45" s="246"/>
      <c r="W45" s="246"/>
    </row>
    <row r="46" spans="2:24" customFormat="1" x14ac:dyDescent="0.25">
      <c r="B46" s="172"/>
      <c r="C46" s="172"/>
      <c r="D46" s="172"/>
      <c r="H46" s="246"/>
      <c r="I46" s="246"/>
      <c r="J46" s="246"/>
      <c r="K46" s="246"/>
      <c r="L46" s="246"/>
      <c r="M46" s="246"/>
      <c r="N46" s="246"/>
      <c r="O46" s="246"/>
      <c r="P46" s="246"/>
      <c r="Q46" s="246"/>
      <c r="R46" s="246"/>
      <c r="S46" s="246"/>
      <c r="T46" s="246"/>
      <c r="U46" s="246"/>
      <c r="V46" s="246"/>
      <c r="W46" s="246"/>
    </row>
    <row r="47" spans="2:24" customFormat="1" x14ac:dyDescent="0.25">
      <c r="B47" s="201" t="s">
        <v>518</v>
      </c>
      <c r="H47" s="246"/>
      <c r="I47" s="246"/>
      <c r="J47" s="246"/>
      <c r="K47" s="246"/>
      <c r="L47" s="246"/>
      <c r="M47" s="246"/>
      <c r="N47" s="246"/>
      <c r="O47" s="246"/>
      <c r="P47" s="246"/>
      <c r="Q47" s="246"/>
      <c r="R47" s="246"/>
      <c r="S47" s="246"/>
      <c r="T47" s="246"/>
      <c r="U47" s="246"/>
      <c r="V47" s="246"/>
      <c r="W47" s="246"/>
    </row>
    <row r="48" spans="2:24" customFormat="1" x14ac:dyDescent="0.25">
      <c r="B48" s="201"/>
      <c r="H48" s="246"/>
      <c r="I48" s="246"/>
      <c r="J48" s="246"/>
      <c r="K48" s="246"/>
      <c r="L48" s="246"/>
      <c r="M48" s="246"/>
      <c r="N48" s="246"/>
      <c r="O48" s="246"/>
      <c r="P48" s="246"/>
      <c r="Q48" s="246"/>
      <c r="R48" s="246"/>
      <c r="S48" s="246"/>
      <c r="T48" s="246"/>
      <c r="U48" s="246"/>
      <c r="V48" s="246"/>
      <c r="W48" s="246"/>
    </row>
    <row r="49" spans="2:23" customFormat="1" ht="15" customHeight="1" x14ac:dyDescent="0.25">
      <c r="B49" s="490" t="s">
        <v>544</v>
      </c>
      <c r="C49" s="479" t="s">
        <v>488</v>
      </c>
      <c r="D49" s="479"/>
      <c r="E49" s="479"/>
      <c r="F49" s="479"/>
      <c r="G49" s="479"/>
      <c r="H49" s="479"/>
      <c r="I49" s="479"/>
      <c r="J49" s="479"/>
      <c r="K49" s="479"/>
      <c r="L49" s="479"/>
      <c r="M49" s="479"/>
      <c r="N49" s="479"/>
      <c r="O49" s="483" t="s">
        <v>746</v>
      </c>
      <c r="P49" s="484"/>
      <c r="Q49" s="485"/>
      <c r="R49" s="246"/>
      <c r="S49" s="246"/>
      <c r="T49" s="246"/>
      <c r="U49" s="246"/>
      <c r="V49" s="246"/>
      <c r="W49" s="246"/>
    </row>
    <row r="50" spans="2:23" customFormat="1" ht="15" customHeight="1" x14ac:dyDescent="0.25">
      <c r="B50" s="490"/>
      <c r="C50" s="479" t="s">
        <v>707</v>
      </c>
      <c r="D50" s="479"/>
      <c r="E50" s="479"/>
      <c r="F50" s="479" t="s">
        <v>497</v>
      </c>
      <c r="G50" s="479"/>
      <c r="H50" s="479"/>
      <c r="I50" s="479" t="s">
        <v>4</v>
      </c>
      <c r="J50" s="479"/>
      <c r="K50" s="479"/>
      <c r="L50" s="479" t="s">
        <v>6</v>
      </c>
      <c r="M50" s="479"/>
      <c r="N50" s="479"/>
      <c r="O50" s="486"/>
      <c r="P50" s="487"/>
      <c r="Q50" s="488"/>
      <c r="R50" s="246"/>
      <c r="S50" s="246"/>
      <c r="T50" s="246"/>
      <c r="U50" s="246"/>
      <c r="V50" s="246"/>
      <c r="W50" s="246"/>
    </row>
    <row r="51" spans="2:23" customFormat="1" x14ac:dyDescent="0.25">
      <c r="B51" s="490"/>
      <c r="C51" s="175" t="s">
        <v>83</v>
      </c>
      <c r="D51" s="175" t="s">
        <v>84</v>
      </c>
      <c r="E51" s="175" t="s">
        <v>35</v>
      </c>
      <c r="F51" s="175" t="s">
        <v>83</v>
      </c>
      <c r="G51" s="175" t="s">
        <v>84</v>
      </c>
      <c r="H51" s="175" t="s">
        <v>35</v>
      </c>
      <c r="I51" s="175" t="s">
        <v>83</v>
      </c>
      <c r="J51" s="175" t="s">
        <v>84</v>
      </c>
      <c r="K51" s="175" t="s">
        <v>35</v>
      </c>
      <c r="L51" s="175" t="s">
        <v>83</v>
      </c>
      <c r="M51" s="175" t="s">
        <v>84</v>
      </c>
      <c r="N51" s="175" t="s">
        <v>35</v>
      </c>
      <c r="O51" s="262" t="s">
        <v>83</v>
      </c>
      <c r="P51" s="262" t="s">
        <v>84</v>
      </c>
      <c r="Q51" s="262" t="s">
        <v>35</v>
      </c>
      <c r="R51" s="246"/>
      <c r="S51" s="246"/>
      <c r="T51" s="246"/>
      <c r="U51" s="246"/>
      <c r="V51" s="246"/>
      <c r="W51" s="246"/>
    </row>
    <row r="52" spans="2:23" customFormat="1" x14ac:dyDescent="0.25">
      <c r="B52" s="171" t="s">
        <v>150</v>
      </c>
      <c r="C52" s="311">
        <v>215</v>
      </c>
      <c r="D52" s="311">
        <v>252</v>
      </c>
      <c r="E52" s="311">
        <v>467</v>
      </c>
      <c r="F52" s="311">
        <v>629</v>
      </c>
      <c r="G52" s="311">
        <v>498</v>
      </c>
      <c r="H52" s="311">
        <v>1127</v>
      </c>
      <c r="I52" s="311">
        <v>110</v>
      </c>
      <c r="J52" s="311">
        <v>44</v>
      </c>
      <c r="K52" s="311">
        <v>154</v>
      </c>
      <c r="L52" s="311">
        <v>25</v>
      </c>
      <c r="M52" s="311">
        <v>27</v>
      </c>
      <c r="N52" s="311">
        <v>52</v>
      </c>
      <c r="O52" s="352">
        <v>979</v>
      </c>
      <c r="P52" s="352">
        <v>821</v>
      </c>
      <c r="Q52" s="352">
        <v>1800</v>
      </c>
      <c r="R52" s="246"/>
      <c r="S52" s="246"/>
      <c r="T52" s="246"/>
      <c r="U52" s="246"/>
      <c r="V52" s="246"/>
      <c r="W52" s="246"/>
    </row>
    <row r="53" spans="2:23" customFormat="1" x14ac:dyDescent="0.25">
      <c r="B53" s="171" t="s">
        <v>151</v>
      </c>
      <c r="C53" s="311">
        <v>143</v>
      </c>
      <c r="D53" s="311">
        <v>87</v>
      </c>
      <c r="E53" s="311">
        <v>230</v>
      </c>
      <c r="F53" s="311">
        <v>245</v>
      </c>
      <c r="G53" s="311">
        <v>241</v>
      </c>
      <c r="H53" s="311">
        <v>486</v>
      </c>
      <c r="I53" s="311">
        <v>32</v>
      </c>
      <c r="J53" s="311">
        <v>15</v>
      </c>
      <c r="K53" s="311">
        <v>47</v>
      </c>
      <c r="L53" s="311">
        <v>8</v>
      </c>
      <c r="M53" s="311">
        <v>6</v>
      </c>
      <c r="N53" s="311">
        <v>14</v>
      </c>
      <c r="O53" s="352">
        <v>428</v>
      </c>
      <c r="P53" s="352">
        <v>349</v>
      </c>
      <c r="Q53" s="352">
        <v>777</v>
      </c>
      <c r="R53" s="246"/>
      <c r="S53" s="246"/>
      <c r="T53" s="246"/>
      <c r="U53" s="246"/>
      <c r="V53" s="246"/>
      <c r="W53" s="246"/>
    </row>
    <row r="54" spans="2:23" customFormat="1" x14ac:dyDescent="0.25">
      <c r="B54" s="150" t="s">
        <v>152</v>
      </c>
      <c r="C54" s="308">
        <v>3</v>
      </c>
      <c r="D54" s="308">
        <v>5</v>
      </c>
      <c r="E54" s="308">
        <v>8</v>
      </c>
      <c r="F54" s="308">
        <v>4</v>
      </c>
      <c r="G54" s="308">
        <v>17</v>
      </c>
      <c r="H54" s="308">
        <v>21</v>
      </c>
      <c r="I54" s="308"/>
      <c r="J54" s="308"/>
      <c r="K54" s="308"/>
      <c r="L54" s="308"/>
      <c r="M54" s="308">
        <v>2</v>
      </c>
      <c r="N54" s="308">
        <v>2</v>
      </c>
      <c r="O54" s="352">
        <v>7</v>
      </c>
      <c r="P54" s="352">
        <v>24</v>
      </c>
      <c r="Q54" s="352">
        <v>31</v>
      </c>
      <c r="R54" s="246"/>
      <c r="S54" s="246"/>
      <c r="T54" s="246"/>
      <c r="U54" s="246"/>
      <c r="V54" s="246"/>
      <c r="W54" s="246"/>
    </row>
    <row r="55" spans="2:23" customFormat="1" x14ac:dyDescent="0.25">
      <c r="B55" s="150" t="s">
        <v>153</v>
      </c>
      <c r="C55" s="308">
        <v>11</v>
      </c>
      <c r="D55" s="308">
        <v>12</v>
      </c>
      <c r="E55" s="308">
        <v>23</v>
      </c>
      <c r="F55" s="308">
        <v>19</v>
      </c>
      <c r="G55" s="308">
        <v>22</v>
      </c>
      <c r="H55" s="308">
        <v>41</v>
      </c>
      <c r="I55" s="308">
        <v>7</v>
      </c>
      <c r="J55" s="308">
        <v>4</v>
      </c>
      <c r="K55" s="308">
        <v>11</v>
      </c>
      <c r="L55" s="308"/>
      <c r="M55" s="308"/>
      <c r="N55" s="308"/>
      <c r="O55" s="352">
        <v>37</v>
      </c>
      <c r="P55" s="352">
        <v>38</v>
      </c>
      <c r="Q55" s="352">
        <v>75</v>
      </c>
      <c r="R55" s="246"/>
      <c r="S55" s="246"/>
      <c r="T55" s="246"/>
      <c r="U55" s="246"/>
      <c r="V55" s="246"/>
      <c r="W55" s="246"/>
    </row>
    <row r="56" spans="2:23" customFormat="1" x14ac:dyDescent="0.25">
      <c r="B56" s="150" t="s">
        <v>154</v>
      </c>
      <c r="C56" s="308"/>
      <c r="D56" s="308">
        <v>2</v>
      </c>
      <c r="E56" s="308">
        <v>2</v>
      </c>
      <c r="F56" s="308"/>
      <c r="G56" s="308"/>
      <c r="H56" s="308"/>
      <c r="I56" s="308"/>
      <c r="J56" s="308"/>
      <c r="K56" s="308"/>
      <c r="L56" s="308"/>
      <c r="M56" s="308"/>
      <c r="N56" s="308"/>
      <c r="O56" s="352"/>
      <c r="P56" s="352">
        <v>2</v>
      </c>
      <c r="Q56" s="352">
        <v>2</v>
      </c>
      <c r="R56" s="246"/>
      <c r="S56" s="246"/>
      <c r="T56" s="246"/>
      <c r="U56" s="246"/>
      <c r="V56" s="246"/>
      <c r="W56" s="246"/>
    </row>
    <row r="57" spans="2:23" x14ac:dyDescent="0.25">
      <c r="B57" s="150" t="s">
        <v>155</v>
      </c>
      <c r="C57" s="308">
        <v>7</v>
      </c>
      <c r="D57" s="308">
        <v>4</v>
      </c>
      <c r="E57" s="308">
        <v>11</v>
      </c>
      <c r="F57" s="308">
        <v>4</v>
      </c>
      <c r="G57" s="308">
        <v>10</v>
      </c>
      <c r="H57" s="308">
        <v>14</v>
      </c>
      <c r="I57" s="308"/>
      <c r="J57" s="308"/>
      <c r="K57" s="308"/>
      <c r="L57" s="308"/>
      <c r="M57" s="308">
        <v>1</v>
      </c>
      <c r="N57" s="308">
        <v>1</v>
      </c>
      <c r="O57" s="352">
        <v>11</v>
      </c>
      <c r="P57" s="352">
        <v>15</v>
      </c>
      <c r="Q57" s="352">
        <v>26</v>
      </c>
      <c r="R57" s="27"/>
      <c r="S57" s="27"/>
      <c r="T57" s="27"/>
      <c r="U57" s="27"/>
      <c r="V57" s="27"/>
      <c r="W57" s="27"/>
    </row>
    <row r="58" spans="2:23" x14ac:dyDescent="0.25">
      <c r="B58" s="150" t="s">
        <v>156</v>
      </c>
      <c r="C58" s="308">
        <v>2</v>
      </c>
      <c r="D58" s="308">
        <v>1</v>
      </c>
      <c r="E58" s="308">
        <v>3</v>
      </c>
      <c r="F58" s="308">
        <v>1</v>
      </c>
      <c r="G58" s="308">
        <v>1</v>
      </c>
      <c r="H58" s="308">
        <v>2</v>
      </c>
      <c r="I58" s="308">
        <v>2</v>
      </c>
      <c r="J58" s="308"/>
      <c r="K58" s="308">
        <v>2</v>
      </c>
      <c r="L58" s="308"/>
      <c r="M58" s="308"/>
      <c r="N58" s="308"/>
      <c r="O58" s="352">
        <v>5</v>
      </c>
      <c r="P58" s="352">
        <v>2</v>
      </c>
      <c r="Q58" s="352">
        <v>7</v>
      </c>
      <c r="R58" s="27"/>
      <c r="S58" s="27"/>
      <c r="T58" s="27"/>
      <c r="U58" s="27"/>
      <c r="V58" s="27"/>
      <c r="W58" s="27"/>
    </row>
    <row r="59" spans="2:23" x14ac:dyDescent="0.25">
      <c r="B59" s="150" t="s">
        <v>157</v>
      </c>
      <c r="C59" s="308">
        <v>8</v>
      </c>
      <c r="D59" s="308">
        <v>30</v>
      </c>
      <c r="E59" s="308">
        <v>38</v>
      </c>
      <c r="F59" s="308">
        <v>27</v>
      </c>
      <c r="G59" s="308">
        <v>22</v>
      </c>
      <c r="H59" s="308">
        <v>49</v>
      </c>
      <c r="I59" s="308">
        <v>2</v>
      </c>
      <c r="J59" s="308"/>
      <c r="K59" s="308">
        <v>2</v>
      </c>
      <c r="L59" s="308"/>
      <c r="M59" s="308">
        <v>1</v>
      </c>
      <c r="N59" s="308">
        <v>1</v>
      </c>
      <c r="O59" s="352">
        <v>37</v>
      </c>
      <c r="P59" s="352">
        <v>53</v>
      </c>
      <c r="Q59" s="352">
        <v>90</v>
      </c>
      <c r="R59" s="27"/>
      <c r="S59" s="27"/>
      <c r="T59" s="27"/>
      <c r="U59" s="27"/>
      <c r="V59" s="27"/>
      <c r="W59" s="27"/>
    </row>
    <row r="60" spans="2:23" x14ac:dyDescent="0.25">
      <c r="B60" s="150" t="s">
        <v>158</v>
      </c>
      <c r="C60" s="308">
        <v>21</v>
      </c>
      <c r="D60" s="308">
        <v>27</v>
      </c>
      <c r="E60" s="308">
        <v>48</v>
      </c>
      <c r="F60" s="308">
        <v>41</v>
      </c>
      <c r="G60" s="308">
        <v>45</v>
      </c>
      <c r="H60" s="308">
        <v>86</v>
      </c>
      <c r="I60" s="308">
        <v>4</v>
      </c>
      <c r="J60" s="308">
        <v>2</v>
      </c>
      <c r="K60" s="308">
        <v>6</v>
      </c>
      <c r="L60" s="308">
        <v>3</v>
      </c>
      <c r="M60" s="308">
        <v>4</v>
      </c>
      <c r="N60" s="308">
        <v>7</v>
      </c>
      <c r="O60" s="352">
        <v>69</v>
      </c>
      <c r="P60" s="352">
        <v>78</v>
      </c>
      <c r="Q60" s="352">
        <v>147</v>
      </c>
      <c r="R60" s="27"/>
      <c r="S60" s="27"/>
      <c r="T60" s="27"/>
      <c r="U60" s="27"/>
      <c r="V60" s="27"/>
      <c r="W60" s="27"/>
    </row>
    <row r="61" spans="2:23" x14ac:dyDescent="0.25">
      <c r="B61" s="351" t="s">
        <v>35</v>
      </c>
      <c r="C61" s="302">
        <v>410</v>
      </c>
      <c r="D61" s="302">
        <v>420</v>
      </c>
      <c r="E61" s="302">
        <v>830</v>
      </c>
      <c r="F61" s="302">
        <v>970</v>
      </c>
      <c r="G61" s="302">
        <v>856</v>
      </c>
      <c r="H61" s="300">
        <v>1826</v>
      </c>
      <c r="I61" s="302">
        <v>157</v>
      </c>
      <c r="J61" s="300">
        <v>65</v>
      </c>
      <c r="K61" s="302">
        <v>222</v>
      </c>
      <c r="L61" s="300">
        <v>36</v>
      </c>
      <c r="M61" s="302">
        <v>41</v>
      </c>
      <c r="N61" s="300">
        <v>77</v>
      </c>
      <c r="O61" s="352">
        <v>1573</v>
      </c>
      <c r="P61" s="352">
        <v>1382</v>
      </c>
      <c r="Q61" s="352">
        <v>2955</v>
      </c>
      <c r="R61" s="27"/>
      <c r="S61" s="27"/>
      <c r="T61" s="27"/>
      <c r="U61" s="27"/>
      <c r="V61" s="27"/>
      <c r="W61" s="27"/>
    </row>
    <row r="62" spans="2:23" ht="105" customHeight="1" x14ac:dyDescent="0.25">
      <c r="B62" s="489" t="s">
        <v>928</v>
      </c>
      <c r="C62" s="489"/>
      <c r="D62" s="489"/>
      <c r="E62" s="489"/>
      <c r="F62" s="489"/>
      <c r="G62" s="489"/>
      <c r="H62" s="489"/>
      <c r="I62" s="489"/>
      <c r="J62" s="489"/>
      <c r="K62" s="489"/>
      <c r="L62" s="489"/>
      <c r="M62" s="489"/>
      <c r="N62" s="489"/>
      <c r="O62" s="489"/>
      <c r="P62" s="489"/>
      <c r="Q62" s="489"/>
      <c r="R62" s="27"/>
      <c r="S62" s="27"/>
      <c r="T62" s="27"/>
      <c r="U62" s="27"/>
      <c r="V62" s="27"/>
      <c r="W62" s="27"/>
    </row>
    <row r="63" spans="2:23" x14ac:dyDescent="0.25">
      <c r="B63" s="172"/>
      <c r="C63" s="172"/>
      <c r="D63" s="172"/>
      <c r="E63"/>
      <c r="F63"/>
      <c r="G63"/>
      <c r="H63" s="27"/>
      <c r="I63" s="27"/>
      <c r="J63" s="27"/>
      <c r="K63" s="27"/>
      <c r="L63" s="27"/>
      <c r="M63" s="27"/>
      <c r="N63" s="27"/>
      <c r="O63" s="27"/>
      <c r="P63" s="27"/>
      <c r="Q63" s="27"/>
      <c r="R63" s="27"/>
      <c r="S63" s="27"/>
      <c r="T63" s="27"/>
      <c r="U63" s="27"/>
      <c r="V63" s="27"/>
      <c r="W63" s="27"/>
    </row>
    <row r="64" spans="2:23" x14ac:dyDescent="0.25">
      <c r="B64" s="201" t="s">
        <v>519</v>
      </c>
      <c r="C64"/>
      <c r="D64"/>
      <c r="E64"/>
      <c r="F64"/>
      <c r="G64"/>
      <c r="H64" s="27"/>
      <c r="I64" s="27"/>
      <c r="J64" s="27"/>
      <c r="K64" s="27"/>
      <c r="L64" s="27"/>
      <c r="M64" s="27"/>
      <c r="N64" s="27"/>
      <c r="O64" s="27"/>
      <c r="P64" s="27"/>
      <c r="Q64" s="27"/>
      <c r="R64" s="27"/>
      <c r="S64" s="27"/>
      <c r="T64" s="27"/>
      <c r="U64" s="27"/>
      <c r="V64" s="27"/>
      <c r="W64" s="27"/>
    </row>
    <row r="65" spans="2:23" x14ac:dyDescent="0.25">
      <c r="B65" s="201"/>
      <c r="C65"/>
      <c r="D65"/>
      <c r="E65"/>
      <c r="F65"/>
      <c r="G65"/>
      <c r="H65" s="27"/>
      <c r="I65" s="27"/>
      <c r="J65" s="27"/>
      <c r="K65" s="27"/>
      <c r="L65" s="27"/>
      <c r="M65" s="27"/>
      <c r="N65" s="27"/>
      <c r="O65" s="27"/>
      <c r="P65" s="27"/>
      <c r="Q65" s="27"/>
      <c r="R65" s="27"/>
      <c r="S65" s="27"/>
      <c r="T65" s="27"/>
      <c r="U65" s="27"/>
      <c r="V65" s="27"/>
      <c r="W65" s="27"/>
    </row>
    <row r="66" spans="2:23" ht="15" customHeight="1" x14ac:dyDescent="0.25">
      <c r="B66" s="490" t="s">
        <v>544</v>
      </c>
      <c r="C66" s="479" t="s">
        <v>488</v>
      </c>
      <c r="D66" s="479"/>
      <c r="E66" s="479"/>
      <c r="F66" s="479"/>
      <c r="G66" s="479"/>
      <c r="H66" s="479"/>
      <c r="I66" s="479"/>
      <c r="J66" s="479"/>
      <c r="K66" s="479"/>
      <c r="L66" s="479"/>
      <c r="M66" s="479"/>
      <c r="N66" s="479"/>
      <c r="O66" s="483" t="s">
        <v>746</v>
      </c>
      <c r="P66" s="484"/>
      <c r="Q66" s="485"/>
      <c r="R66" s="27"/>
      <c r="S66" s="27"/>
      <c r="T66" s="27"/>
      <c r="U66" s="27"/>
      <c r="V66" s="27"/>
      <c r="W66" s="27"/>
    </row>
    <row r="67" spans="2:23" ht="15" customHeight="1" x14ac:dyDescent="0.25">
      <c r="B67" s="490"/>
      <c r="C67" s="479" t="s">
        <v>707</v>
      </c>
      <c r="D67" s="479"/>
      <c r="E67" s="479"/>
      <c r="F67" s="479" t="s">
        <v>497</v>
      </c>
      <c r="G67" s="479"/>
      <c r="H67" s="479"/>
      <c r="I67" s="479" t="s">
        <v>4</v>
      </c>
      <c r="J67" s="479"/>
      <c r="K67" s="479"/>
      <c r="L67" s="479" t="s">
        <v>6</v>
      </c>
      <c r="M67" s="479"/>
      <c r="N67" s="479"/>
      <c r="O67" s="486"/>
      <c r="P67" s="487"/>
      <c r="Q67" s="488"/>
      <c r="R67" s="27"/>
      <c r="S67" s="27"/>
      <c r="T67" s="27"/>
      <c r="U67" s="27"/>
      <c r="V67" s="27"/>
      <c r="W67" s="27"/>
    </row>
    <row r="68" spans="2:23" x14ac:dyDescent="0.25">
      <c r="B68" s="490"/>
      <c r="C68" s="175" t="s">
        <v>83</v>
      </c>
      <c r="D68" s="175" t="s">
        <v>84</v>
      </c>
      <c r="E68" s="175" t="s">
        <v>35</v>
      </c>
      <c r="F68" s="175" t="s">
        <v>83</v>
      </c>
      <c r="G68" s="175" t="s">
        <v>84</v>
      </c>
      <c r="H68" s="175" t="s">
        <v>35</v>
      </c>
      <c r="I68" s="175" t="s">
        <v>83</v>
      </c>
      <c r="J68" s="175" t="s">
        <v>84</v>
      </c>
      <c r="K68" s="175" t="s">
        <v>35</v>
      </c>
      <c r="L68" s="175" t="s">
        <v>83</v>
      </c>
      <c r="M68" s="175" t="s">
        <v>84</v>
      </c>
      <c r="N68" s="175" t="s">
        <v>35</v>
      </c>
      <c r="O68" s="262" t="s">
        <v>83</v>
      </c>
      <c r="P68" s="262" t="s">
        <v>84</v>
      </c>
      <c r="Q68" s="262" t="s">
        <v>35</v>
      </c>
      <c r="R68" s="27"/>
      <c r="S68" s="27"/>
      <c r="T68" s="27"/>
      <c r="U68" s="27"/>
      <c r="V68" s="27"/>
      <c r="W68" s="27"/>
    </row>
    <row r="69" spans="2:23" x14ac:dyDescent="0.25">
      <c r="B69" s="150" t="s">
        <v>159</v>
      </c>
      <c r="C69" s="308">
        <v>3</v>
      </c>
      <c r="D69" s="308">
        <v>7</v>
      </c>
      <c r="E69" s="308">
        <v>10</v>
      </c>
      <c r="F69" s="308">
        <v>12</v>
      </c>
      <c r="G69" s="308">
        <v>4</v>
      </c>
      <c r="H69" s="308">
        <v>16</v>
      </c>
      <c r="I69" s="308">
        <v>1</v>
      </c>
      <c r="J69" s="308">
        <v>1</v>
      </c>
      <c r="K69" s="308">
        <v>2</v>
      </c>
      <c r="L69" s="308"/>
      <c r="M69" s="308"/>
      <c r="N69" s="308"/>
      <c r="O69" s="262">
        <v>16</v>
      </c>
      <c r="P69" s="262">
        <v>12</v>
      </c>
      <c r="Q69" s="262">
        <v>28</v>
      </c>
      <c r="R69" s="27"/>
      <c r="S69" s="27"/>
      <c r="T69" s="27"/>
      <c r="U69" s="27"/>
      <c r="V69" s="27"/>
      <c r="W69" s="27"/>
    </row>
    <row r="70" spans="2:23" x14ac:dyDescent="0.25">
      <c r="B70" s="150" t="s">
        <v>160</v>
      </c>
      <c r="C70" s="308">
        <v>15</v>
      </c>
      <c r="D70" s="308">
        <v>21</v>
      </c>
      <c r="E70" s="308">
        <v>36</v>
      </c>
      <c r="F70" s="308">
        <v>31</v>
      </c>
      <c r="G70" s="308">
        <v>39</v>
      </c>
      <c r="H70" s="308">
        <v>70</v>
      </c>
      <c r="I70" s="308">
        <v>6</v>
      </c>
      <c r="J70" s="308">
        <v>4</v>
      </c>
      <c r="K70" s="308">
        <v>10</v>
      </c>
      <c r="L70" s="308">
        <v>1</v>
      </c>
      <c r="M70" s="308">
        <v>1</v>
      </c>
      <c r="N70" s="308">
        <v>2</v>
      </c>
      <c r="O70" s="262">
        <v>53</v>
      </c>
      <c r="P70" s="262">
        <v>65</v>
      </c>
      <c r="Q70" s="262">
        <v>118</v>
      </c>
      <c r="R70" s="27"/>
      <c r="S70" s="27"/>
      <c r="T70" s="27"/>
      <c r="U70" s="27"/>
      <c r="V70" s="27"/>
      <c r="W70" s="27"/>
    </row>
    <row r="71" spans="2:23" x14ac:dyDescent="0.25">
      <c r="B71" s="150" t="s">
        <v>502</v>
      </c>
      <c r="C71" s="308">
        <v>13</v>
      </c>
      <c r="D71" s="308">
        <v>15</v>
      </c>
      <c r="E71" s="308">
        <v>28</v>
      </c>
      <c r="F71" s="308">
        <v>20</v>
      </c>
      <c r="G71" s="308">
        <v>15</v>
      </c>
      <c r="H71" s="308">
        <v>35</v>
      </c>
      <c r="I71" s="308">
        <v>4</v>
      </c>
      <c r="J71" s="308">
        <v>2</v>
      </c>
      <c r="K71" s="308">
        <v>6</v>
      </c>
      <c r="L71" s="308">
        <v>1</v>
      </c>
      <c r="M71" s="308"/>
      <c r="N71" s="308">
        <v>1</v>
      </c>
      <c r="O71" s="262">
        <v>38</v>
      </c>
      <c r="P71" s="262">
        <v>32</v>
      </c>
      <c r="Q71" s="262">
        <v>70</v>
      </c>
      <c r="R71" s="27"/>
      <c r="S71" s="27"/>
      <c r="T71" s="27"/>
      <c r="U71" s="27"/>
      <c r="V71" s="27"/>
      <c r="W71" s="27"/>
    </row>
    <row r="72" spans="2:23" x14ac:dyDescent="0.25">
      <c r="B72" s="150" t="s">
        <v>161</v>
      </c>
      <c r="C72" s="308">
        <v>88</v>
      </c>
      <c r="D72" s="308">
        <v>145</v>
      </c>
      <c r="E72" s="308">
        <v>233</v>
      </c>
      <c r="F72" s="308">
        <v>240</v>
      </c>
      <c r="G72" s="308">
        <v>237</v>
      </c>
      <c r="H72" s="308">
        <v>477</v>
      </c>
      <c r="I72" s="308">
        <v>50</v>
      </c>
      <c r="J72" s="308">
        <v>16</v>
      </c>
      <c r="K72" s="308">
        <v>66</v>
      </c>
      <c r="L72" s="308">
        <v>7</v>
      </c>
      <c r="M72" s="308">
        <v>22</v>
      </c>
      <c r="N72" s="308">
        <v>29</v>
      </c>
      <c r="O72" s="262">
        <v>385</v>
      </c>
      <c r="P72" s="262">
        <v>420</v>
      </c>
      <c r="Q72" s="262">
        <v>805</v>
      </c>
      <c r="R72" s="27"/>
      <c r="S72" s="27"/>
      <c r="T72" s="27"/>
      <c r="U72" s="27"/>
      <c r="V72" s="27"/>
      <c r="W72" s="27"/>
    </row>
    <row r="73" spans="2:23" x14ac:dyDescent="0.25">
      <c r="B73" s="150" t="s">
        <v>162</v>
      </c>
      <c r="C73" s="308">
        <v>8</v>
      </c>
      <c r="D73" s="308">
        <v>11</v>
      </c>
      <c r="E73" s="308">
        <v>19</v>
      </c>
      <c r="F73" s="308">
        <v>21</v>
      </c>
      <c r="G73" s="308">
        <v>16</v>
      </c>
      <c r="H73" s="308">
        <v>37</v>
      </c>
      <c r="I73" s="308">
        <v>1</v>
      </c>
      <c r="J73" s="308">
        <v>2</v>
      </c>
      <c r="K73" s="308">
        <v>3</v>
      </c>
      <c r="L73" s="308"/>
      <c r="M73" s="308">
        <v>2</v>
      </c>
      <c r="N73" s="308">
        <v>2</v>
      </c>
      <c r="O73" s="262">
        <v>30</v>
      </c>
      <c r="P73" s="262">
        <v>31</v>
      </c>
      <c r="Q73" s="262">
        <v>61</v>
      </c>
      <c r="R73" s="27"/>
      <c r="S73" s="27"/>
      <c r="T73" s="27"/>
      <c r="U73" s="27"/>
      <c r="V73" s="27"/>
      <c r="W73" s="27"/>
    </row>
    <row r="74" spans="2:23" x14ac:dyDescent="0.25">
      <c r="B74" s="150" t="s">
        <v>163</v>
      </c>
      <c r="C74" s="308">
        <v>3</v>
      </c>
      <c r="D74" s="308">
        <v>6</v>
      </c>
      <c r="E74" s="308">
        <v>9</v>
      </c>
      <c r="F74" s="308">
        <v>9</v>
      </c>
      <c r="G74" s="308">
        <v>8</v>
      </c>
      <c r="H74" s="308">
        <v>17</v>
      </c>
      <c r="I74" s="308"/>
      <c r="J74" s="308">
        <v>1</v>
      </c>
      <c r="K74" s="308">
        <v>1</v>
      </c>
      <c r="L74" s="308"/>
      <c r="M74" s="308"/>
      <c r="N74" s="308"/>
      <c r="O74" s="262">
        <v>12</v>
      </c>
      <c r="P74" s="262">
        <v>15</v>
      </c>
      <c r="Q74" s="262">
        <v>27</v>
      </c>
      <c r="R74" s="27"/>
      <c r="S74" s="27"/>
      <c r="T74" s="27"/>
      <c r="U74" s="27"/>
      <c r="V74" s="27"/>
      <c r="W74" s="27"/>
    </row>
    <row r="75" spans="2:23" x14ac:dyDescent="0.25">
      <c r="B75" s="150" t="s">
        <v>164</v>
      </c>
      <c r="C75" s="308">
        <v>9</v>
      </c>
      <c r="D75" s="308">
        <v>10</v>
      </c>
      <c r="E75" s="308">
        <v>19</v>
      </c>
      <c r="F75" s="308">
        <v>11</v>
      </c>
      <c r="G75" s="308">
        <v>18</v>
      </c>
      <c r="H75" s="308">
        <v>29</v>
      </c>
      <c r="I75" s="308">
        <v>5</v>
      </c>
      <c r="J75" s="308">
        <v>1</v>
      </c>
      <c r="K75" s="308">
        <v>6</v>
      </c>
      <c r="L75" s="308">
        <v>1</v>
      </c>
      <c r="M75" s="308">
        <v>3</v>
      </c>
      <c r="N75" s="308">
        <v>4</v>
      </c>
      <c r="O75" s="262">
        <v>26</v>
      </c>
      <c r="P75" s="262">
        <v>32</v>
      </c>
      <c r="Q75" s="262">
        <v>58</v>
      </c>
      <c r="R75" s="27"/>
      <c r="S75" s="27"/>
      <c r="T75" s="27"/>
      <c r="U75" s="27"/>
      <c r="V75" s="27"/>
      <c r="W75" s="27"/>
    </row>
    <row r="76" spans="2:23" x14ac:dyDescent="0.25">
      <c r="B76" s="150" t="s">
        <v>165</v>
      </c>
      <c r="C76" s="308">
        <v>5</v>
      </c>
      <c r="D76" s="308">
        <v>10</v>
      </c>
      <c r="E76" s="308">
        <v>15</v>
      </c>
      <c r="F76" s="308">
        <v>7</v>
      </c>
      <c r="G76" s="308">
        <v>16</v>
      </c>
      <c r="H76" s="308">
        <v>23</v>
      </c>
      <c r="I76" s="308">
        <v>2</v>
      </c>
      <c r="J76" s="308">
        <v>2</v>
      </c>
      <c r="K76" s="308">
        <v>4</v>
      </c>
      <c r="L76" s="308">
        <v>2</v>
      </c>
      <c r="M76" s="308"/>
      <c r="N76" s="308">
        <v>2</v>
      </c>
      <c r="O76" s="262">
        <v>16</v>
      </c>
      <c r="P76" s="262">
        <v>28</v>
      </c>
      <c r="Q76" s="262">
        <v>44</v>
      </c>
      <c r="R76" s="27"/>
      <c r="S76" s="27"/>
      <c r="T76" s="27"/>
      <c r="U76" s="27"/>
      <c r="V76" s="27"/>
      <c r="W76" s="27"/>
    </row>
    <row r="77" spans="2:23" x14ac:dyDescent="0.25">
      <c r="B77" s="170" t="s">
        <v>166</v>
      </c>
      <c r="C77" s="312">
        <v>57</v>
      </c>
      <c r="D77" s="312">
        <v>51</v>
      </c>
      <c r="E77" s="312">
        <v>108</v>
      </c>
      <c r="F77" s="312">
        <v>88</v>
      </c>
      <c r="G77" s="312">
        <v>92</v>
      </c>
      <c r="H77" s="312">
        <v>180</v>
      </c>
      <c r="I77" s="312">
        <v>26</v>
      </c>
      <c r="J77" s="312">
        <v>6</v>
      </c>
      <c r="K77" s="312">
        <v>32</v>
      </c>
      <c r="L77" s="312">
        <v>3</v>
      </c>
      <c r="M77" s="312">
        <v>2</v>
      </c>
      <c r="N77" s="312">
        <v>5</v>
      </c>
      <c r="O77" s="262">
        <v>174</v>
      </c>
      <c r="P77" s="262">
        <v>151</v>
      </c>
      <c r="Q77" s="262">
        <v>325</v>
      </c>
      <c r="R77" s="27"/>
      <c r="S77" s="27"/>
      <c r="T77" s="27"/>
      <c r="U77" s="27"/>
      <c r="V77" s="27"/>
      <c r="W77" s="27"/>
    </row>
    <row r="78" spans="2:23" x14ac:dyDescent="0.25">
      <c r="B78" s="351" t="s">
        <v>35</v>
      </c>
      <c r="C78" s="302">
        <v>201</v>
      </c>
      <c r="D78" s="302">
        <v>276</v>
      </c>
      <c r="E78" s="302">
        <v>477</v>
      </c>
      <c r="F78" s="302">
        <v>439</v>
      </c>
      <c r="G78" s="302">
        <v>445</v>
      </c>
      <c r="H78" s="300">
        <v>884</v>
      </c>
      <c r="I78" s="302">
        <v>95</v>
      </c>
      <c r="J78" s="300">
        <v>35</v>
      </c>
      <c r="K78" s="302">
        <v>130</v>
      </c>
      <c r="L78" s="300">
        <v>15</v>
      </c>
      <c r="M78" s="302">
        <v>30</v>
      </c>
      <c r="N78" s="300">
        <v>45</v>
      </c>
      <c r="O78" s="262">
        <v>750</v>
      </c>
      <c r="P78" s="262">
        <v>786</v>
      </c>
      <c r="Q78" s="262">
        <v>1536</v>
      </c>
      <c r="R78" s="27"/>
      <c r="S78" s="27"/>
      <c r="T78" s="27"/>
      <c r="U78" s="27"/>
      <c r="V78" s="27"/>
      <c r="W78" s="27"/>
    </row>
    <row r="79" spans="2:23" ht="116.25" customHeight="1" x14ac:dyDescent="0.25">
      <c r="B79" s="489" t="s">
        <v>928</v>
      </c>
      <c r="C79" s="489"/>
      <c r="D79" s="489"/>
      <c r="E79" s="489"/>
      <c r="F79" s="489"/>
      <c r="G79" s="489"/>
      <c r="H79" s="489"/>
      <c r="I79" s="489"/>
      <c r="J79" s="489"/>
      <c r="K79" s="489"/>
      <c r="L79" s="489"/>
      <c r="M79" s="489"/>
      <c r="N79" s="489"/>
      <c r="O79" s="489"/>
      <c r="P79" s="489"/>
      <c r="Q79" s="489"/>
      <c r="R79" s="27"/>
      <c r="S79" s="27"/>
      <c r="T79" s="27"/>
      <c r="U79" s="27"/>
      <c r="V79" s="27"/>
      <c r="W79" s="27"/>
    </row>
    <row r="80" spans="2:23" x14ac:dyDescent="0.25">
      <c r="B80" s="172"/>
      <c r="C80" s="172"/>
      <c r="D80" s="172"/>
      <c r="E80"/>
      <c r="F80"/>
      <c r="G80"/>
      <c r="H80" s="27"/>
      <c r="I80" s="27"/>
      <c r="J80" s="27"/>
      <c r="K80" s="27"/>
      <c r="L80" s="27"/>
      <c r="M80" s="27"/>
      <c r="N80" s="27"/>
      <c r="O80" s="27"/>
      <c r="P80" s="27"/>
      <c r="Q80" s="27"/>
      <c r="R80" s="27"/>
      <c r="S80" s="27"/>
      <c r="T80" s="27"/>
      <c r="U80" s="27"/>
      <c r="V80" s="27"/>
      <c r="W80" s="27"/>
    </row>
    <row r="81" spans="2:23" x14ac:dyDescent="0.25">
      <c r="B81" s="201" t="s">
        <v>520</v>
      </c>
      <c r="C81"/>
      <c r="D81"/>
      <c r="E81"/>
      <c r="F81"/>
      <c r="G81"/>
      <c r="H81" s="27"/>
      <c r="I81" s="27"/>
      <c r="J81" s="27"/>
      <c r="K81" s="27"/>
      <c r="L81" s="27"/>
      <c r="M81" s="27"/>
      <c r="N81" s="27"/>
      <c r="O81" s="27"/>
      <c r="P81" s="27"/>
      <c r="Q81" s="27"/>
      <c r="R81" s="27"/>
      <c r="S81" s="27"/>
      <c r="T81" s="27"/>
      <c r="U81" s="27"/>
      <c r="V81" s="27"/>
      <c r="W81" s="27"/>
    </row>
    <row r="82" spans="2:23" x14ac:dyDescent="0.25">
      <c r="B82" s="201"/>
      <c r="C82"/>
      <c r="D82"/>
      <c r="E82"/>
      <c r="F82"/>
      <c r="G82"/>
      <c r="H82" s="27"/>
      <c r="I82" s="27"/>
      <c r="J82" s="27"/>
      <c r="K82" s="27"/>
      <c r="L82" s="27"/>
      <c r="M82" s="27"/>
      <c r="N82" s="27"/>
      <c r="O82" s="27"/>
      <c r="P82" s="27"/>
      <c r="Q82" s="27"/>
      <c r="R82" s="27"/>
      <c r="S82" s="27"/>
      <c r="T82" s="27"/>
      <c r="U82" s="27"/>
      <c r="V82" s="27"/>
      <c r="W82" s="27"/>
    </row>
    <row r="83" spans="2:23" ht="15" customHeight="1" x14ac:dyDescent="0.25">
      <c r="B83" s="490" t="s">
        <v>544</v>
      </c>
      <c r="C83" s="479" t="s">
        <v>488</v>
      </c>
      <c r="D83" s="479"/>
      <c r="E83" s="479"/>
      <c r="F83" s="479"/>
      <c r="G83" s="479"/>
      <c r="H83" s="479"/>
      <c r="I83" s="479"/>
      <c r="J83" s="479"/>
      <c r="K83" s="479"/>
      <c r="L83" s="479"/>
      <c r="M83" s="479"/>
      <c r="N83" s="479"/>
      <c r="O83" s="483" t="s">
        <v>746</v>
      </c>
      <c r="P83" s="484"/>
      <c r="Q83" s="485"/>
      <c r="R83" s="27"/>
      <c r="S83" s="27"/>
      <c r="T83" s="27"/>
      <c r="U83" s="27"/>
      <c r="V83" s="27"/>
      <c r="W83" s="27"/>
    </row>
    <row r="84" spans="2:23" ht="15" customHeight="1" x14ac:dyDescent="0.25">
      <c r="B84" s="490"/>
      <c r="C84" s="479" t="s">
        <v>707</v>
      </c>
      <c r="D84" s="479"/>
      <c r="E84" s="479"/>
      <c r="F84" s="479" t="s">
        <v>497</v>
      </c>
      <c r="G84" s="479"/>
      <c r="H84" s="479"/>
      <c r="I84" s="479" t="s">
        <v>4</v>
      </c>
      <c r="J84" s="479"/>
      <c r="K84" s="479"/>
      <c r="L84" s="479" t="s">
        <v>6</v>
      </c>
      <c r="M84" s="479"/>
      <c r="N84" s="479"/>
      <c r="O84" s="486"/>
      <c r="P84" s="487"/>
      <c r="Q84" s="488"/>
      <c r="R84" s="27"/>
      <c r="S84" s="27"/>
      <c r="T84" s="27"/>
      <c r="U84" s="27"/>
      <c r="V84" s="27"/>
      <c r="W84" s="27"/>
    </row>
    <row r="85" spans="2:23" x14ac:dyDescent="0.25">
      <c r="B85" s="490"/>
      <c r="C85" s="175" t="s">
        <v>83</v>
      </c>
      <c r="D85" s="175" t="s">
        <v>84</v>
      </c>
      <c r="E85" s="175" t="s">
        <v>35</v>
      </c>
      <c r="F85" s="175" t="s">
        <v>83</v>
      </c>
      <c r="G85" s="175" t="s">
        <v>84</v>
      </c>
      <c r="H85" s="175" t="s">
        <v>35</v>
      </c>
      <c r="I85" s="175" t="s">
        <v>83</v>
      </c>
      <c r="J85" s="175" t="s">
        <v>84</v>
      </c>
      <c r="K85" s="175" t="s">
        <v>35</v>
      </c>
      <c r="L85" s="175" t="s">
        <v>83</v>
      </c>
      <c r="M85" s="175" t="s">
        <v>84</v>
      </c>
      <c r="N85" s="175" t="s">
        <v>35</v>
      </c>
      <c r="O85" s="262" t="s">
        <v>83</v>
      </c>
      <c r="P85" s="262" t="s">
        <v>84</v>
      </c>
      <c r="Q85" s="262" t="s">
        <v>35</v>
      </c>
      <c r="R85" s="27"/>
      <c r="S85" s="27"/>
      <c r="T85" s="27"/>
      <c r="U85" s="27"/>
      <c r="V85" s="27"/>
      <c r="W85" s="27"/>
    </row>
    <row r="86" spans="2:23" x14ac:dyDescent="0.25">
      <c r="B86" s="171" t="s">
        <v>167</v>
      </c>
      <c r="C86" s="311">
        <v>13</v>
      </c>
      <c r="D86" s="311">
        <v>16</v>
      </c>
      <c r="E86" s="311">
        <v>29</v>
      </c>
      <c r="F86" s="311">
        <v>13</v>
      </c>
      <c r="G86" s="311">
        <v>9</v>
      </c>
      <c r="H86" s="311">
        <v>22</v>
      </c>
      <c r="I86" s="311">
        <v>11</v>
      </c>
      <c r="J86" s="311">
        <v>3</v>
      </c>
      <c r="K86" s="311">
        <v>14</v>
      </c>
      <c r="L86" s="311">
        <v>3</v>
      </c>
      <c r="M86" s="311"/>
      <c r="N86" s="311">
        <v>3</v>
      </c>
      <c r="O86" s="352">
        <v>40</v>
      </c>
      <c r="P86" s="352">
        <v>28</v>
      </c>
      <c r="Q86" s="352">
        <v>68</v>
      </c>
      <c r="R86" s="27"/>
      <c r="S86" s="27"/>
      <c r="T86" s="27"/>
      <c r="U86" s="27"/>
      <c r="V86" s="27"/>
      <c r="W86" s="27"/>
    </row>
    <row r="87" spans="2:23" x14ac:dyDescent="0.25">
      <c r="B87" s="150" t="s">
        <v>168</v>
      </c>
      <c r="C87" s="308">
        <v>14</v>
      </c>
      <c r="D87" s="308">
        <v>17</v>
      </c>
      <c r="E87" s="308">
        <v>31</v>
      </c>
      <c r="F87" s="308">
        <v>13</v>
      </c>
      <c r="G87" s="308">
        <v>12</v>
      </c>
      <c r="H87" s="308">
        <v>25</v>
      </c>
      <c r="I87" s="308">
        <v>2</v>
      </c>
      <c r="J87" s="308"/>
      <c r="K87" s="308">
        <v>2</v>
      </c>
      <c r="L87" s="308">
        <v>1</v>
      </c>
      <c r="M87" s="308">
        <v>2</v>
      </c>
      <c r="N87" s="308">
        <v>3</v>
      </c>
      <c r="O87" s="352">
        <v>30</v>
      </c>
      <c r="P87" s="352">
        <v>31</v>
      </c>
      <c r="Q87" s="352">
        <v>61</v>
      </c>
      <c r="R87" s="27"/>
      <c r="S87" s="27"/>
      <c r="T87" s="27"/>
      <c r="U87" s="27"/>
      <c r="V87" s="27"/>
      <c r="W87" s="27"/>
    </row>
    <row r="88" spans="2:23" x14ac:dyDescent="0.25">
      <c r="B88" s="150" t="s">
        <v>169</v>
      </c>
      <c r="C88" s="308">
        <v>15</v>
      </c>
      <c r="D88" s="308">
        <v>9</v>
      </c>
      <c r="E88" s="308">
        <v>24</v>
      </c>
      <c r="F88" s="308">
        <v>16</v>
      </c>
      <c r="G88" s="308">
        <v>9</v>
      </c>
      <c r="H88" s="308">
        <v>25</v>
      </c>
      <c r="I88" s="308">
        <v>5</v>
      </c>
      <c r="J88" s="308">
        <v>2</v>
      </c>
      <c r="K88" s="308">
        <v>7</v>
      </c>
      <c r="L88" s="308">
        <v>2</v>
      </c>
      <c r="M88" s="308"/>
      <c r="N88" s="308">
        <v>2</v>
      </c>
      <c r="O88" s="352">
        <v>38</v>
      </c>
      <c r="P88" s="352">
        <v>20</v>
      </c>
      <c r="Q88" s="352">
        <v>58</v>
      </c>
      <c r="R88" s="27"/>
      <c r="S88" s="27"/>
      <c r="T88" s="27"/>
      <c r="U88" s="27"/>
      <c r="V88" s="27"/>
      <c r="W88" s="27"/>
    </row>
    <row r="89" spans="2:23" x14ac:dyDescent="0.25">
      <c r="B89" s="150" t="s">
        <v>170</v>
      </c>
      <c r="C89" s="308">
        <v>151</v>
      </c>
      <c r="D89" s="308">
        <v>221</v>
      </c>
      <c r="E89" s="308">
        <v>372</v>
      </c>
      <c r="F89" s="308">
        <v>399</v>
      </c>
      <c r="G89" s="308">
        <v>365</v>
      </c>
      <c r="H89" s="308">
        <v>764</v>
      </c>
      <c r="I89" s="308">
        <v>95</v>
      </c>
      <c r="J89" s="308">
        <v>42</v>
      </c>
      <c r="K89" s="308">
        <v>137</v>
      </c>
      <c r="L89" s="308">
        <v>19</v>
      </c>
      <c r="M89" s="308">
        <v>29</v>
      </c>
      <c r="N89" s="308">
        <v>48</v>
      </c>
      <c r="O89" s="352">
        <v>664</v>
      </c>
      <c r="P89" s="352">
        <v>657</v>
      </c>
      <c r="Q89" s="352">
        <v>1321</v>
      </c>
      <c r="R89" s="27"/>
      <c r="S89" s="27"/>
      <c r="T89" s="27"/>
      <c r="U89" s="27"/>
      <c r="V89" s="27"/>
      <c r="W89" s="27"/>
    </row>
    <row r="90" spans="2:23" x14ac:dyDescent="0.25">
      <c r="B90" s="150" t="s">
        <v>171</v>
      </c>
      <c r="C90" s="308">
        <v>32</v>
      </c>
      <c r="D90" s="308">
        <v>43</v>
      </c>
      <c r="E90" s="308">
        <v>75</v>
      </c>
      <c r="F90" s="308">
        <v>54</v>
      </c>
      <c r="G90" s="308">
        <v>40</v>
      </c>
      <c r="H90" s="308">
        <v>94</v>
      </c>
      <c r="I90" s="308">
        <v>15</v>
      </c>
      <c r="J90" s="308">
        <v>8</v>
      </c>
      <c r="K90" s="308">
        <v>23</v>
      </c>
      <c r="L90" s="308">
        <v>4</v>
      </c>
      <c r="M90" s="308">
        <v>2</v>
      </c>
      <c r="N90" s="308">
        <v>6</v>
      </c>
      <c r="O90" s="352">
        <v>105</v>
      </c>
      <c r="P90" s="352">
        <v>93</v>
      </c>
      <c r="Q90" s="352">
        <v>198</v>
      </c>
      <c r="R90" s="27"/>
      <c r="S90" s="27"/>
      <c r="T90" s="27"/>
      <c r="U90" s="27"/>
      <c r="V90" s="27"/>
      <c r="W90" s="27"/>
    </row>
    <row r="91" spans="2:23" x14ac:dyDescent="0.25">
      <c r="B91" s="150" t="s">
        <v>172</v>
      </c>
      <c r="C91" s="308">
        <v>2</v>
      </c>
      <c r="D91" s="308">
        <v>8</v>
      </c>
      <c r="E91" s="308">
        <v>10</v>
      </c>
      <c r="F91" s="308">
        <v>10</v>
      </c>
      <c r="G91" s="308">
        <v>8</v>
      </c>
      <c r="H91" s="308">
        <v>18</v>
      </c>
      <c r="I91" s="308">
        <v>2</v>
      </c>
      <c r="J91" s="308">
        <v>1</v>
      </c>
      <c r="K91" s="308">
        <v>3</v>
      </c>
      <c r="L91" s="308"/>
      <c r="M91" s="308"/>
      <c r="N91" s="308"/>
      <c r="O91" s="352">
        <v>14</v>
      </c>
      <c r="P91" s="352">
        <v>17</v>
      </c>
      <c r="Q91" s="352">
        <v>31</v>
      </c>
      <c r="R91" s="27"/>
      <c r="S91" s="27"/>
      <c r="T91" s="27"/>
      <c r="U91" s="27"/>
      <c r="V91" s="27"/>
      <c r="W91" s="27"/>
    </row>
    <row r="92" spans="2:23" x14ac:dyDescent="0.25">
      <c r="B92" s="150" t="s">
        <v>173</v>
      </c>
      <c r="C92" s="308">
        <v>119</v>
      </c>
      <c r="D92" s="308">
        <v>146</v>
      </c>
      <c r="E92" s="308">
        <v>265</v>
      </c>
      <c r="F92" s="308">
        <v>411</v>
      </c>
      <c r="G92" s="308">
        <v>329</v>
      </c>
      <c r="H92" s="308">
        <v>740</v>
      </c>
      <c r="I92" s="308">
        <v>73</v>
      </c>
      <c r="J92" s="308">
        <v>32</v>
      </c>
      <c r="K92" s="308">
        <v>105</v>
      </c>
      <c r="L92" s="308">
        <v>29</v>
      </c>
      <c r="M92" s="308">
        <v>32</v>
      </c>
      <c r="N92" s="308">
        <v>61</v>
      </c>
      <c r="O92" s="352">
        <v>632</v>
      </c>
      <c r="P92" s="352">
        <v>539</v>
      </c>
      <c r="Q92" s="352">
        <v>1171</v>
      </c>
      <c r="R92" s="27"/>
      <c r="S92" s="27"/>
      <c r="T92" s="27"/>
      <c r="U92" s="27"/>
      <c r="V92" s="27"/>
      <c r="W92" s="27"/>
    </row>
    <row r="93" spans="2:23" x14ac:dyDescent="0.25">
      <c r="B93" s="150" t="s">
        <v>174</v>
      </c>
      <c r="C93" s="308">
        <v>12</v>
      </c>
      <c r="D93" s="308">
        <v>31</v>
      </c>
      <c r="E93" s="308">
        <v>43</v>
      </c>
      <c r="F93" s="308">
        <v>39</v>
      </c>
      <c r="G93" s="308">
        <v>29</v>
      </c>
      <c r="H93" s="308">
        <v>68</v>
      </c>
      <c r="I93" s="308">
        <v>4</v>
      </c>
      <c r="J93" s="308">
        <v>6</v>
      </c>
      <c r="K93" s="308">
        <v>10</v>
      </c>
      <c r="L93" s="308">
        <v>1</v>
      </c>
      <c r="M93" s="308">
        <v>3</v>
      </c>
      <c r="N93" s="308">
        <v>4</v>
      </c>
      <c r="O93" s="352">
        <v>56</v>
      </c>
      <c r="P93" s="352">
        <v>69</v>
      </c>
      <c r="Q93" s="352">
        <v>125</v>
      </c>
      <c r="R93" s="27"/>
      <c r="S93" s="27"/>
      <c r="T93" s="27"/>
      <c r="U93" s="27"/>
      <c r="V93" s="27"/>
      <c r="W93" s="27"/>
    </row>
    <row r="94" spans="2:23" x14ac:dyDescent="0.25">
      <c r="B94" s="150" t="s">
        <v>175</v>
      </c>
      <c r="C94" s="308">
        <v>14</v>
      </c>
      <c r="D94" s="308">
        <v>25</v>
      </c>
      <c r="E94" s="308">
        <v>39</v>
      </c>
      <c r="F94" s="308">
        <v>31</v>
      </c>
      <c r="G94" s="308">
        <v>28</v>
      </c>
      <c r="H94" s="308">
        <v>59</v>
      </c>
      <c r="I94" s="308">
        <v>12</v>
      </c>
      <c r="J94" s="308"/>
      <c r="K94" s="308">
        <v>12</v>
      </c>
      <c r="L94" s="308">
        <v>9</v>
      </c>
      <c r="M94" s="308">
        <v>5</v>
      </c>
      <c r="N94" s="308">
        <v>14</v>
      </c>
      <c r="O94" s="352">
        <v>66</v>
      </c>
      <c r="P94" s="352">
        <v>58</v>
      </c>
      <c r="Q94" s="352">
        <v>124</v>
      </c>
      <c r="R94" s="27"/>
      <c r="S94" s="27"/>
      <c r="T94" s="27"/>
      <c r="U94" s="27"/>
      <c r="V94" s="27"/>
      <c r="W94" s="27"/>
    </row>
    <row r="95" spans="2:23" x14ac:dyDescent="0.25">
      <c r="B95" s="150" t="s">
        <v>176</v>
      </c>
      <c r="C95" s="308">
        <v>54</v>
      </c>
      <c r="D95" s="308">
        <v>116</v>
      </c>
      <c r="E95" s="308">
        <v>170</v>
      </c>
      <c r="F95" s="308">
        <v>203</v>
      </c>
      <c r="G95" s="308">
        <v>170</v>
      </c>
      <c r="H95" s="308">
        <v>373</v>
      </c>
      <c r="I95" s="308">
        <v>51</v>
      </c>
      <c r="J95" s="308">
        <v>22</v>
      </c>
      <c r="K95" s="308">
        <v>73</v>
      </c>
      <c r="L95" s="308">
        <v>12</v>
      </c>
      <c r="M95" s="308">
        <v>22</v>
      </c>
      <c r="N95" s="308">
        <v>34</v>
      </c>
      <c r="O95" s="352">
        <v>320</v>
      </c>
      <c r="P95" s="352">
        <v>330</v>
      </c>
      <c r="Q95" s="352">
        <v>650</v>
      </c>
      <c r="R95" s="27"/>
      <c r="S95" s="27"/>
      <c r="T95" s="27"/>
      <c r="U95" s="27"/>
      <c r="V95" s="27"/>
      <c r="W95" s="27"/>
    </row>
    <row r="96" spans="2:23" x14ac:dyDescent="0.25">
      <c r="B96" s="150" t="s">
        <v>177</v>
      </c>
      <c r="C96" s="308">
        <v>7</v>
      </c>
      <c r="D96" s="308">
        <v>7</v>
      </c>
      <c r="E96" s="308">
        <v>14</v>
      </c>
      <c r="F96" s="308">
        <v>14</v>
      </c>
      <c r="G96" s="308">
        <v>7</v>
      </c>
      <c r="H96" s="308">
        <v>21</v>
      </c>
      <c r="I96" s="308">
        <v>1</v>
      </c>
      <c r="J96" s="308"/>
      <c r="K96" s="308">
        <v>1</v>
      </c>
      <c r="L96" s="308"/>
      <c r="M96" s="308"/>
      <c r="N96" s="308"/>
      <c r="O96" s="352">
        <v>22</v>
      </c>
      <c r="P96" s="352">
        <v>14</v>
      </c>
      <c r="Q96" s="352">
        <v>36</v>
      </c>
      <c r="R96" s="27"/>
      <c r="S96" s="27"/>
      <c r="T96" s="27"/>
      <c r="U96" s="27"/>
      <c r="V96" s="27"/>
      <c r="W96" s="27"/>
    </row>
    <row r="97" spans="2:24" x14ac:dyDescent="0.25">
      <c r="B97" s="150" t="s">
        <v>178</v>
      </c>
      <c r="C97" s="308">
        <v>7</v>
      </c>
      <c r="D97" s="308">
        <v>14</v>
      </c>
      <c r="E97" s="308">
        <v>21</v>
      </c>
      <c r="F97" s="308">
        <v>13</v>
      </c>
      <c r="G97" s="308">
        <v>8</v>
      </c>
      <c r="H97" s="308">
        <v>21</v>
      </c>
      <c r="I97" s="308">
        <v>22</v>
      </c>
      <c r="J97" s="308">
        <v>3</v>
      </c>
      <c r="K97" s="308">
        <v>25</v>
      </c>
      <c r="L97" s="308">
        <v>1</v>
      </c>
      <c r="M97" s="308">
        <v>1</v>
      </c>
      <c r="N97" s="308">
        <v>2</v>
      </c>
      <c r="O97" s="352">
        <v>43</v>
      </c>
      <c r="P97" s="352">
        <v>26</v>
      </c>
      <c r="Q97" s="352">
        <v>69</v>
      </c>
      <c r="R97" s="27"/>
      <c r="S97" s="27"/>
      <c r="T97" s="27"/>
      <c r="U97" s="27"/>
      <c r="V97" s="27"/>
      <c r="W97" s="27"/>
    </row>
    <row r="98" spans="2:24" x14ac:dyDescent="0.25">
      <c r="B98" s="150" t="s">
        <v>179</v>
      </c>
      <c r="C98" s="308">
        <v>3</v>
      </c>
      <c r="D98" s="308">
        <v>6</v>
      </c>
      <c r="E98" s="308">
        <v>9</v>
      </c>
      <c r="F98" s="308">
        <v>5</v>
      </c>
      <c r="G98" s="308">
        <v>4</v>
      </c>
      <c r="H98" s="308">
        <v>9</v>
      </c>
      <c r="I98" s="308">
        <v>3</v>
      </c>
      <c r="J98" s="308">
        <v>2</v>
      </c>
      <c r="K98" s="308">
        <v>5</v>
      </c>
      <c r="L98" s="308"/>
      <c r="M98" s="308">
        <v>1</v>
      </c>
      <c r="N98" s="308">
        <v>1</v>
      </c>
      <c r="O98" s="352">
        <v>11</v>
      </c>
      <c r="P98" s="352">
        <v>13</v>
      </c>
      <c r="Q98" s="352">
        <v>24</v>
      </c>
      <c r="R98" s="27"/>
      <c r="S98" s="27"/>
      <c r="T98" s="27"/>
      <c r="U98" s="27"/>
      <c r="V98" s="27"/>
      <c r="W98" s="27"/>
    </row>
    <row r="99" spans="2:24" x14ac:dyDescent="0.25">
      <c r="B99" s="170" t="s">
        <v>180</v>
      </c>
      <c r="C99" s="312">
        <v>14</v>
      </c>
      <c r="D99" s="312">
        <v>36</v>
      </c>
      <c r="E99" s="312">
        <v>50</v>
      </c>
      <c r="F99" s="312">
        <v>30</v>
      </c>
      <c r="G99" s="312">
        <v>44</v>
      </c>
      <c r="H99" s="312">
        <v>74</v>
      </c>
      <c r="I99" s="312">
        <v>3</v>
      </c>
      <c r="J99" s="312">
        <v>4</v>
      </c>
      <c r="K99" s="312">
        <v>7</v>
      </c>
      <c r="L99" s="312">
        <v>1</v>
      </c>
      <c r="M99" s="312">
        <v>6</v>
      </c>
      <c r="N99" s="312">
        <v>7</v>
      </c>
      <c r="O99" s="352">
        <v>48</v>
      </c>
      <c r="P99" s="352">
        <v>90</v>
      </c>
      <c r="Q99" s="352">
        <v>138</v>
      </c>
      <c r="R99" s="27"/>
      <c r="S99" s="27"/>
      <c r="T99" s="27"/>
      <c r="U99" s="27"/>
      <c r="V99" s="27"/>
      <c r="W99" s="27"/>
    </row>
    <row r="100" spans="2:24" x14ac:dyDescent="0.25">
      <c r="B100" s="173" t="s">
        <v>503</v>
      </c>
      <c r="C100" s="310">
        <v>18</v>
      </c>
      <c r="D100" s="310">
        <v>31</v>
      </c>
      <c r="E100" s="310">
        <v>49</v>
      </c>
      <c r="F100" s="310">
        <v>63</v>
      </c>
      <c r="G100" s="310">
        <v>55</v>
      </c>
      <c r="H100" s="310">
        <v>118</v>
      </c>
      <c r="I100" s="310">
        <v>13</v>
      </c>
      <c r="J100" s="310">
        <v>8</v>
      </c>
      <c r="K100" s="310">
        <v>21</v>
      </c>
      <c r="L100" s="310">
        <v>1</v>
      </c>
      <c r="M100" s="310">
        <v>4</v>
      </c>
      <c r="N100" s="310">
        <v>5</v>
      </c>
      <c r="O100" s="352">
        <v>95</v>
      </c>
      <c r="P100" s="352">
        <v>98</v>
      </c>
      <c r="Q100" s="352">
        <v>193</v>
      </c>
      <c r="R100" s="27"/>
      <c r="S100" s="27"/>
      <c r="T100" s="27"/>
      <c r="U100" s="27"/>
      <c r="V100" s="27"/>
      <c r="W100" s="27"/>
    </row>
    <row r="101" spans="2:24" x14ac:dyDescent="0.25">
      <c r="B101" s="351" t="s">
        <v>35</v>
      </c>
      <c r="C101" s="302">
        <v>475</v>
      </c>
      <c r="D101" s="302">
        <v>726</v>
      </c>
      <c r="E101" s="302">
        <v>1201</v>
      </c>
      <c r="F101" s="302">
        <v>1314</v>
      </c>
      <c r="G101" s="302">
        <v>1117</v>
      </c>
      <c r="H101" s="300">
        <v>2431</v>
      </c>
      <c r="I101" s="302">
        <v>312</v>
      </c>
      <c r="J101" s="300">
        <v>133</v>
      </c>
      <c r="K101" s="302">
        <v>445</v>
      </c>
      <c r="L101" s="300">
        <v>83</v>
      </c>
      <c r="M101" s="302">
        <v>107</v>
      </c>
      <c r="N101" s="300">
        <v>190</v>
      </c>
      <c r="O101" s="352">
        <v>2184</v>
      </c>
      <c r="P101" s="352">
        <v>2083</v>
      </c>
      <c r="Q101" s="352">
        <v>4267</v>
      </c>
      <c r="R101" s="27"/>
      <c r="S101" s="27"/>
      <c r="T101" s="27"/>
      <c r="U101" s="27"/>
      <c r="V101" s="27"/>
      <c r="W101" s="27"/>
    </row>
    <row r="102" spans="2:24" ht="85.5" customHeight="1" x14ac:dyDescent="0.25">
      <c r="B102" s="489" t="s">
        <v>928</v>
      </c>
      <c r="C102" s="489"/>
      <c r="D102" s="489"/>
      <c r="E102" s="489"/>
      <c r="F102" s="489"/>
      <c r="G102" s="489"/>
      <c r="H102" s="489"/>
      <c r="I102" s="489"/>
      <c r="J102" s="489"/>
      <c r="K102" s="489"/>
      <c r="L102" s="489"/>
      <c r="M102" s="489"/>
      <c r="N102" s="489"/>
      <c r="O102" s="489"/>
      <c r="P102" s="489"/>
      <c r="Q102" s="489"/>
      <c r="R102" s="27"/>
      <c r="S102" s="27"/>
      <c r="T102" s="27"/>
      <c r="U102" s="27"/>
      <c r="V102" s="27"/>
      <c r="W102" s="27"/>
    </row>
    <row r="103" spans="2:24" x14ac:dyDescent="0.25">
      <c r="B103" s="172"/>
      <c r="C103" s="204"/>
      <c r="D103" s="204"/>
      <c r="E103" s="204"/>
      <c r="F103" s="204"/>
      <c r="G103"/>
      <c r="H103" s="27"/>
      <c r="I103" s="27"/>
      <c r="J103" s="27"/>
      <c r="K103" s="27"/>
      <c r="L103" s="27"/>
      <c r="M103" s="27"/>
      <c r="N103" s="27"/>
      <c r="O103" s="27"/>
      <c r="P103" s="27"/>
      <c r="Q103" s="27"/>
      <c r="R103" s="27"/>
      <c r="S103" s="27"/>
      <c r="T103" s="27"/>
      <c r="U103" s="27"/>
      <c r="V103" s="27"/>
      <c r="W103" s="27"/>
    </row>
    <row r="104" spans="2:24" x14ac:dyDescent="0.25">
      <c r="B104" s="201" t="s">
        <v>521</v>
      </c>
      <c r="C104"/>
      <c r="D104"/>
      <c r="E104"/>
      <c r="F104"/>
      <c r="G104"/>
      <c r="H104" s="27"/>
      <c r="I104" s="27"/>
      <c r="J104" s="27"/>
      <c r="K104" s="27"/>
      <c r="L104" s="27"/>
      <c r="M104" s="27"/>
      <c r="N104" s="27"/>
      <c r="O104" s="27"/>
      <c r="P104" s="27"/>
      <c r="Q104" s="27"/>
      <c r="R104" s="27"/>
      <c r="S104" s="27"/>
      <c r="T104" s="27"/>
      <c r="U104" s="27"/>
      <c r="V104" s="27"/>
      <c r="W104" s="27"/>
    </row>
    <row r="105" spans="2:24" x14ac:dyDescent="0.25">
      <c r="B105" s="201"/>
      <c r="C105"/>
      <c r="D105"/>
      <c r="E105"/>
      <c r="F105"/>
      <c r="G105"/>
      <c r="H105" s="27"/>
      <c r="I105" s="27"/>
      <c r="J105" s="27"/>
      <c r="K105" s="27"/>
      <c r="L105" s="27"/>
      <c r="M105" s="27"/>
      <c r="N105" s="27"/>
      <c r="O105" s="27"/>
      <c r="P105" s="27"/>
      <c r="Q105" s="27"/>
      <c r="R105" s="27"/>
      <c r="S105" s="27"/>
      <c r="T105" s="27"/>
      <c r="U105" s="27"/>
      <c r="V105" s="27"/>
      <c r="W105" s="27"/>
    </row>
    <row r="106" spans="2:24" ht="15" customHeight="1" x14ac:dyDescent="0.25">
      <c r="B106" s="490" t="s">
        <v>544</v>
      </c>
      <c r="C106" s="479" t="s">
        <v>488</v>
      </c>
      <c r="D106" s="479"/>
      <c r="E106" s="479"/>
      <c r="F106" s="479"/>
      <c r="G106" s="479"/>
      <c r="H106" s="479"/>
      <c r="I106" s="479"/>
      <c r="J106" s="479"/>
      <c r="K106" s="479"/>
      <c r="L106" s="479"/>
      <c r="M106" s="479"/>
      <c r="N106" s="479"/>
      <c r="O106" s="483" t="s">
        <v>746</v>
      </c>
      <c r="P106" s="484"/>
      <c r="Q106" s="485"/>
      <c r="R106" s="27"/>
      <c r="S106" s="27"/>
      <c r="T106" s="27"/>
      <c r="U106" s="27"/>
      <c r="V106" s="27"/>
      <c r="W106" s="27"/>
    </row>
    <row r="107" spans="2:24" ht="15" customHeight="1" x14ac:dyDescent="0.25">
      <c r="B107" s="490"/>
      <c r="C107" s="479" t="s">
        <v>707</v>
      </c>
      <c r="D107" s="479"/>
      <c r="E107" s="479"/>
      <c r="F107" s="479" t="s">
        <v>497</v>
      </c>
      <c r="G107" s="479"/>
      <c r="H107" s="479"/>
      <c r="I107" s="479" t="s">
        <v>4</v>
      </c>
      <c r="J107" s="479"/>
      <c r="K107" s="479"/>
      <c r="L107" s="479" t="s">
        <v>6</v>
      </c>
      <c r="M107" s="479"/>
      <c r="N107" s="479"/>
      <c r="O107" s="486"/>
      <c r="P107" s="487"/>
      <c r="Q107" s="488"/>
      <c r="R107" s="27"/>
      <c r="S107" s="27"/>
      <c r="T107" s="27"/>
      <c r="U107" s="27"/>
      <c r="V107" s="27"/>
      <c r="W107" s="27"/>
    </row>
    <row r="108" spans="2:24" x14ac:dyDescent="0.25">
      <c r="B108" s="490"/>
      <c r="C108" s="175" t="s">
        <v>83</v>
      </c>
      <c r="D108" s="175" t="s">
        <v>84</v>
      </c>
      <c r="E108" s="175" t="s">
        <v>35</v>
      </c>
      <c r="F108" s="175" t="s">
        <v>83</v>
      </c>
      <c r="G108" s="175" t="s">
        <v>84</v>
      </c>
      <c r="H108" s="175" t="s">
        <v>35</v>
      </c>
      <c r="I108" s="175" t="s">
        <v>83</v>
      </c>
      <c r="J108" s="175" t="s">
        <v>84</v>
      </c>
      <c r="K108" s="175" t="s">
        <v>35</v>
      </c>
      <c r="L108" s="175" t="s">
        <v>83</v>
      </c>
      <c r="M108" s="175" t="s">
        <v>84</v>
      </c>
      <c r="N108" s="175" t="s">
        <v>35</v>
      </c>
      <c r="O108" s="262" t="s">
        <v>83</v>
      </c>
      <c r="P108" s="262" t="s">
        <v>84</v>
      </c>
      <c r="Q108" s="262" t="s">
        <v>35</v>
      </c>
      <c r="R108" s="27"/>
      <c r="S108" s="27"/>
      <c r="T108" s="27"/>
      <c r="U108" s="27"/>
      <c r="V108" s="27"/>
      <c r="W108" s="27"/>
    </row>
    <row r="109" spans="2:24" x14ac:dyDescent="0.25">
      <c r="B109" s="150" t="s">
        <v>181</v>
      </c>
      <c r="C109" s="308">
        <v>14</v>
      </c>
      <c r="D109" s="308">
        <v>20</v>
      </c>
      <c r="E109" s="308">
        <v>34</v>
      </c>
      <c r="F109" s="308">
        <v>63</v>
      </c>
      <c r="G109" s="308">
        <v>50</v>
      </c>
      <c r="H109" s="308">
        <v>113</v>
      </c>
      <c r="I109" s="308">
        <v>3</v>
      </c>
      <c r="J109" s="308">
        <v>3</v>
      </c>
      <c r="K109" s="308">
        <v>6</v>
      </c>
      <c r="L109" s="308"/>
      <c r="M109" s="308">
        <v>1</v>
      </c>
      <c r="N109" s="308">
        <v>1</v>
      </c>
      <c r="O109" s="302">
        <v>80</v>
      </c>
      <c r="P109" s="302">
        <v>74</v>
      </c>
      <c r="Q109" s="302">
        <v>154</v>
      </c>
      <c r="R109" s="27"/>
      <c r="S109" s="27"/>
      <c r="T109" s="27"/>
      <c r="U109" s="27"/>
      <c r="V109" s="27"/>
      <c r="W109" s="27"/>
      <c r="X109" s="27"/>
    </row>
    <row r="110" spans="2:24" x14ac:dyDescent="0.25">
      <c r="B110" s="150" t="s">
        <v>182</v>
      </c>
      <c r="C110" s="308">
        <v>12</v>
      </c>
      <c r="D110" s="308">
        <v>18</v>
      </c>
      <c r="E110" s="308">
        <v>30</v>
      </c>
      <c r="F110" s="308">
        <v>31</v>
      </c>
      <c r="G110" s="308">
        <v>32</v>
      </c>
      <c r="H110" s="308">
        <v>63</v>
      </c>
      <c r="I110" s="308">
        <v>14</v>
      </c>
      <c r="J110" s="308">
        <v>1</v>
      </c>
      <c r="K110" s="308">
        <v>15</v>
      </c>
      <c r="L110" s="308">
        <v>3</v>
      </c>
      <c r="M110" s="308">
        <v>2</v>
      </c>
      <c r="N110" s="308">
        <v>5</v>
      </c>
      <c r="O110" s="302">
        <v>60</v>
      </c>
      <c r="P110" s="302">
        <v>53</v>
      </c>
      <c r="Q110" s="302">
        <v>113</v>
      </c>
      <c r="R110" s="27"/>
      <c r="S110" s="27"/>
      <c r="T110" s="27"/>
      <c r="U110" s="27"/>
      <c r="V110" s="27"/>
      <c r="W110" s="27"/>
      <c r="X110" s="27"/>
    </row>
    <row r="111" spans="2:24" x14ac:dyDescent="0.25">
      <c r="B111" s="150" t="s">
        <v>183</v>
      </c>
      <c r="C111" s="308">
        <v>6</v>
      </c>
      <c r="D111" s="308">
        <v>7</v>
      </c>
      <c r="E111" s="308">
        <v>13</v>
      </c>
      <c r="F111" s="308">
        <v>23</v>
      </c>
      <c r="G111" s="308">
        <v>18</v>
      </c>
      <c r="H111" s="308">
        <v>41</v>
      </c>
      <c r="I111" s="308">
        <v>10</v>
      </c>
      <c r="J111" s="308"/>
      <c r="K111" s="308">
        <v>10</v>
      </c>
      <c r="L111" s="308">
        <v>1</v>
      </c>
      <c r="M111" s="308">
        <v>3</v>
      </c>
      <c r="N111" s="308">
        <v>4</v>
      </c>
      <c r="O111" s="302">
        <v>40</v>
      </c>
      <c r="P111" s="302">
        <v>28</v>
      </c>
      <c r="Q111" s="302">
        <v>68</v>
      </c>
      <c r="R111" s="27"/>
      <c r="S111" s="27"/>
      <c r="T111" s="27"/>
      <c r="U111" s="27"/>
      <c r="V111" s="27"/>
      <c r="W111" s="27"/>
      <c r="X111" s="27"/>
    </row>
    <row r="112" spans="2:24" x14ac:dyDescent="0.25">
      <c r="B112" s="150" t="s">
        <v>184</v>
      </c>
      <c r="C112" s="308">
        <v>18</v>
      </c>
      <c r="D112" s="308">
        <v>36</v>
      </c>
      <c r="E112" s="308">
        <v>54</v>
      </c>
      <c r="F112" s="308">
        <v>43</v>
      </c>
      <c r="G112" s="308">
        <v>38</v>
      </c>
      <c r="H112" s="308">
        <v>81</v>
      </c>
      <c r="I112" s="308">
        <v>13</v>
      </c>
      <c r="J112" s="308">
        <v>2</v>
      </c>
      <c r="K112" s="308">
        <v>15</v>
      </c>
      <c r="L112" s="308">
        <v>3</v>
      </c>
      <c r="M112" s="308">
        <v>5</v>
      </c>
      <c r="N112" s="308">
        <v>8</v>
      </c>
      <c r="O112" s="302">
        <v>77</v>
      </c>
      <c r="P112" s="302">
        <v>81</v>
      </c>
      <c r="Q112" s="302">
        <v>158</v>
      </c>
      <c r="R112" s="27"/>
      <c r="S112" s="27"/>
      <c r="T112" s="27"/>
      <c r="U112" s="27"/>
      <c r="V112" s="27"/>
      <c r="W112" s="27"/>
      <c r="X112" s="27"/>
    </row>
    <row r="113" spans="2:24" x14ac:dyDescent="0.25">
      <c r="B113" s="150" t="s">
        <v>185</v>
      </c>
      <c r="C113" s="308">
        <v>19</v>
      </c>
      <c r="D113" s="308">
        <v>27</v>
      </c>
      <c r="E113" s="308">
        <v>46</v>
      </c>
      <c r="F113" s="308">
        <v>45</v>
      </c>
      <c r="G113" s="308">
        <v>32</v>
      </c>
      <c r="H113" s="308">
        <v>77</v>
      </c>
      <c r="I113" s="308">
        <v>6</v>
      </c>
      <c r="J113" s="308">
        <v>2</v>
      </c>
      <c r="K113" s="308">
        <v>8</v>
      </c>
      <c r="L113" s="308">
        <v>5</v>
      </c>
      <c r="M113" s="308">
        <v>3</v>
      </c>
      <c r="N113" s="308">
        <v>8</v>
      </c>
      <c r="O113" s="302">
        <v>75</v>
      </c>
      <c r="P113" s="302">
        <v>64</v>
      </c>
      <c r="Q113" s="302">
        <v>139</v>
      </c>
      <c r="R113" s="27"/>
      <c r="S113" s="27"/>
      <c r="T113" s="27"/>
      <c r="U113" s="27"/>
      <c r="V113" s="27"/>
      <c r="W113" s="27"/>
      <c r="X113" s="27"/>
    </row>
    <row r="114" spans="2:24" x14ac:dyDescent="0.25">
      <c r="B114" s="150" t="s">
        <v>186</v>
      </c>
      <c r="C114" s="308">
        <v>15</v>
      </c>
      <c r="D114" s="308">
        <v>15</v>
      </c>
      <c r="E114" s="308">
        <v>30</v>
      </c>
      <c r="F114" s="308">
        <v>23</v>
      </c>
      <c r="G114" s="308">
        <v>19</v>
      </c>
      <c r="H114" s="308">
        <v>42</v>
      </c>
      <c r="I114" s="308">
        <v>4</v>
      </c>
      <c r="J114" s="308">
        <v>2</v>
      </c>
      <c r="K114" s="308">
        <v>6</v>
      </c>
      <c r="L114" s="308">
        <v>4</v>
      </c>
      <c r="M114" s="308">
        <v>1</v>
      </c>
      <c r="N114" s="308">
        <v>5</v>
      </c>
      <c r="O114" s="302">
        <v>46</v>
      </c>
      <c r="P114" s="302">
        <v>37</v>
      </c>
      <c r="Q114" s="302">
        <v>83</v>
      </c>
      <c r="R114" s="27"/>
      <c r="S114" s="27"/>
      <c r="T114" s="27"/>
      <c r="U114" s="27"/>
      <c r="V114" s="27"/>
      <c r="W114" s="27"/>
      <c r="X114" s="27"/>
    </row>
    <row r="115" spans="2:24" x14ac:dyDescent="0.25">
      <c r="B115" s="150" t="s">
        <v>187</v>
      </c>
      <c r="C115" s="308">
        <v>31</v>
      </c>
      <c r="D115" s="308">
        <v>35</v>
      </c>
      <c r="E115" s="308">
        <v>66</v>
      </c>
      <c r="F115" s="308">
        <v>147</v>
      </c>
      <c r="G115" s="308">
        <v>81</v>
      </c>
      <c r="H115" s="308">
        <v>228</v>
      </c>
      <c r="I115" s="308">
        <v>10</v>
      </c>
      <c r="J115" s="308">
        <v>6</v>
      </c>
      <c r="K115" s="308">
        <v>16</v>
      </c>
      <c r="L115" s="308">
        <v>2</v>
      </c>
      <c r="M115" s="308"/>
      <c r="N115" s="308">
        <v>2</v>
      </c>
      <c r="O115" s="302">
        <v>190</v>
      </c>
      <c r="P115" s="302">
        <v>122</v>
      </c>
      <c r="Q115" s="302">
        <v>312</v>
      </c>
      <c r="R115" s="27"/>
      <c r="S115" s="27"/>
      <c r="T115" s="27"/>
      <c r="U115" s="27"/>
      <c r="V115" s="27"/>
      <c r="W115" s="27"/>
      <c r="X115" s="27"/>
    </row>
    <row r="116" spans="2:24" x14ac:dyDescent="0.25">
      <c r="B116" s="150" t="s">
        <v>188</v>
      </c>
      <c r="C116" s="308">
        <v>21</v>
      </c>
      <c r="D116" s="308">
        <v>22</v>
      </c>
      <c r="E116" s="308">
        <v>43</v>
      </c>
      <c r="F116" s="308">
        <v>60</v>
      </c>
      <c r="G116" s="308">
        <v>43</v>
      </c>
      <c r="H116" s="308">
        <v>103</v>
      </c>
      <c r="I116" s="308">
        <v>5</v>
      </c>
      <c r="J116" s="308">
        <v>3</v>
      </c>
      <c r="K116" s="308">
        <v>8</v>
      </c>
      <c r="L116" s="308">
        <v>1</v>
      </c>
      <c r="M116" s="308">
        <v>2</v>
      </c>
      <c r="N116" s="308">
        <v>3</v>
      </c>
      <c r="O116" s="302">
        <v>87</v>
      </c>
      <c r="P116" s="302">
        <v>70</v>
      </c>
      <c r="Q116" s="302">
        <v>157</v>
      </c>
      <c r="R116" s="27"/>
      <c r="S116" s="27"/>
      <c r="T116" s="27"/>
      <c r="U116" s="27"/>
      <c r="V116" s="27"/>
      <c r="W116" s="27"/>
      <c r="X116" s="27"/>
    </row>
    <row r="117" spans="2:24" x14ac:dyDescent="0.25">
      <c r="B117" s="150" t="s">
        <v>189</v>
      </c>
      <c r="C117" s="308">
        <v>10</v>
      </c>
      <c r="D117" s="308">
        <v>23</v>
      </c>
      <c r="E117" s="308">
        <v>33</v>
      </c>
      <c r="F117" s="308">
        <v>48</v>
      </c>
      <c r="G117" s="308">
        <v>30</v>
      </c>
      <c r="H117" s="308">
        <v>78</v>
      </c>
      <c r="I117" s="308">
        <v>7</v>
      </c>
      <c r="J117" s="308">
        <v>4</v>
      </c>
      <c r="K117" s="308">
        <v>11</v>
      </c>
      <c r="L117" s="308">
        <v>6</v>
      </c>
      <c r="M117" s="308">
        <v>5</v>
      </c>
      <c r="N117" s="308">
        <v>11</v>
      </c>
      <c r="O117" s="302">
        <v>71</v>
      </c>
      <c r="P117" s="302">
        <v>62</v>
      </c>
      <c r="Q117" s="302">
        <v>133</v>
      </c>
      <c r="R117" s="27"/>
      <c r="S117" s="27"/>
      <c r="T117" s="27"/>
      <c r="U117" s="27"/>
      <c r="V117" s="27"/>
      <c r="W117" s="27"/>
      <c r="X117" s="27"/>
    </row>
    <row r="118" spans="2:24" x14ac:dyDescent="0.25">
      <c r="B118" s="150" t="s">
        <v>190</v>
      </c>
      <c r="C118" s="308">
        <v>7</v>
      </c>
      <c r="D118" s="308">
        <v>21</v>
      </c>
      <c r="E118" s="308">
        <v>28</v>
      </c>
      <c r="F118" s="308">
        <v>23</v>
      </c>
      <c r="G118" s="308">
        <v>21</v>
      </c>
      <c r="H118" s="308">
        <v>44</v>
      </c>
      <c r="I118" s="308">
        <v>11</v>
      </c>
      <c r="J118" s="308">
        <v>4</v>
      </c>
      <c r="K118" s="308">
        <v>15</v>
      </c>
      <c r="L118" s="308">
        <v>3</v>
      </c>
      <c r="M118" s="308">
        <v>2</v>
      </c>
      <c r="N118" s="308">
        <v>5</v>
      </c>
      <c r="O118" s="302">
        <v>44</v>
      </c>
      <c r="P118" s="302">
        <v>48</v>
      </c>
      <c r="Q118" s="302">
        <v>92</v>
      </c>
      <c r="R118" s="27"/>
      <c r="S118" s="27"/>
      <c r="T118" s="27"/>
      <c r="U118" s="27"/>
      <c r="V118" s="27"/>
      <c r="W118" s="27"/>
      <c r="X118" s="27"/>
    </row>
    <row r="119" spans="2:24" x14ac:dyDescent="0.25">
      <c r="B119" s="150" t="s">
        <v>191</v>
      </c>
      <c r="C119" s="308">
        <v>3</v>
      </c>
      <c r="D119" s="308">
        <v>6</v>
      </c>
      <c r="E119" s="308">
        <v>9</v>
      </c>
      <c r="F119" s="308">
        <v>14</v>
      </c>
      <c r="G119" s="308">
        <v>6</v>
      </c>
      <c r="H119" s="308">
        <v>20</v>
      </c>
      <c r="I119" s="308"/>
      <c r="J119" s="308"/>
      <c r="K119" s="308"/>
      <c r="L119" s="308"/>
      <c r="M119" s="308"/>
      <c r="N119" s="308"/>
      <c r="O119" s="302">
        <v>17</v>
      </c>
      <c r="P119" s="302">
        <v>12</v>
      </c>
      <c r="Q119" s="302">
        <v>29</v>
      </c>
      <c r="R119" s="27"/>
      <c r="S119" s="27"/>
      <c r="T119" s="27"/>
      <c r="U119" s="27"/>
      <c r="V119" s="27"/>
      <c r="W119" s="27"/>
      <c r="X119" s="27"/>
    </row>
    <row r="120" spans="2:24" x14ac:dyDescent="0.25">
      <c r="B120" s="150" t="s">
        <v>192</v>
      </c>
      <c r="C120" s="308">
        <v>2</v>
      </c>
      <c r="D120" s="308">
        <v>1</v>
      </c>
      <c r="E120" s="308">
        <v>3</v>
      </c>
      <c r="F120" s="308">
        <v>1</v>
      </c>
      <c r="G120" s="308">
        <v>1</v>
      </c>
      <c r="H120" s="308">
        <v>2</v>
      </c>
      <c r="I120" s="308">
        <v>1</v>
      </c>
      <c r="J120" s="308"/>
      <c r="K120" s="308">
        <v>1</v>
      </c>
      <c r="L120" s="308"/>
      <c r="M120" s="308"/>
      <c r="N120" s="308"/>
      <c r="O120" s="302">
        <v>4</v>
      </c>
      <c r="P120" s="302">
        <v>2</v>
      </c>
      <c r="Q120" s="302">
        <v>6</v>
      </c>
      <c r="R120" s="27"/>
      <c r="S120" s="27"/>
      <c r="T120" s="27"/>
      <c r="U120" s="27"/>
      <c r="V120" s="27"/>
      <c r="W120" s="27"/>
      <c r="X120" s="27"/>
    </row>
    <row r="121" spans="2:24" x14ac:dyDescent="0.25">
      <c r="B121" s="150" t="s">
        <v>193</v>
      </c>
      <c r="C121" s="308">
        <v>31</v>
      </c>
      <c r="D121" s="308">
        <v>47</v>
      </c>
      <c r="E121" s="308">
        <v>78</v>
      </c>
      <c r="F121" s="308">
        <v>103</v>
      </c>
      <c r="G121" s="308">
        <v>73</v>
      </c>
      <c r="H121" s="308">
        <v>176</v>
      </c>
      <c r="I121" s="308">
        <v>17</v>
      </c>
      <c r="J121" s="308">
        <v>10</v>
      </c>
      <c r="K121" s="308">
        <v>27</v>
      </c>
      <c r="L121" s="308">
        <v>5</v>
      </c>
      <c r="M121" s="308">
        <v>9</v>
      </c>
      <c r="N121" s="308">
        <v>14</v>
      </c>
      <c r="O121" s="302">
        <v>156</v>
      </c>
      <c r="P121" s="302">
        <v>139</v>
      </c>
      <c r="Q121" s="302">
        <v>295</v>
      </c>
      <c r="R121" s="27"/>
      <c r="S121" s="27"/>
      <c r="T121" s="27"/>
      <c r="U121" s="27"/>
      <c r="V121" s="27"/>
      <c r="W121" s="27"/>
      <c r="X121" s="27"/>
    </row>
    <row r="122" spans="2:24" x14ac:dyDescent="0.25">
      <c r="B122" s="150" t="s">
        <v>194</v>
      </c>
      <c r="C122" s="308">
        <v>10</v>
      </c>
      <c r="D122" s="308">
        <v>16</v>
      </c>
      <c r="E122" s="308">
        <v>26</v>
      </c>
      <c r="F122" s="308">
        <v>33</v>
      </c>
      <c r="G122" s="308">
        <v>33</v>
      </c>
      <c r="H122" s="308">
        <v>66</v>
      </c>
      <c r="I122" s="308">
        <v>4</v>
      </c>
      <c r="J122" s="308">
        <v>2</v>
      </c>
      <c r="K122" s="308">
        <v>6</v>
      </c>
      <c r="L122" s="308">
        <v>3</v>
      </c>
      <c r="M122" s="308">
        <v>1</v>
      </c>
      <c r="N122" s="308">
        <v>4</v>
      </c>
      <c r="O122" s="302">
        <v>50</v>
      </c>
      <c r="P122" s="302">
        <v>52</v>
      </c>
      <c r="Q122" s="302">
        <v>102</v>
      </c>
      <c r="R122" s="27"/>
      <c r="S122" s="27"/>
      <c r="T122" s="27"/>
      <c r="U122" s="27"/>
      <c r="V122" s="27"/>
      <c r="W122" s="27"/>
      <c r="X122" s="27"/>
    </row>
    <row r="123" spans="2:24" x14ac:dyDescent="0.25">
      <c r="B123" s="150" t="s">
        <v>195</v>
      </c>
      <c r="C123" s="308">
        <v>27</v>
      </c>
      <c r="D123" s="308">
        <v>44</v>
      </c>
      <c r="E123" s="308">
        <v>71</v>
      </c>
      <c r="F123" s="308">
        <v>62</v>
      </c>
      <c r="G123" s="308">
        <v>40</v>
      </c>
      <c r="H123" s="308">
        <v>102</v>
      </c>
      <c r="I123" s="308">
        <v>12</v>
      </c>
      <c r="J123" s="308">
        <v>4</v>
      </c>
      <c r="K123" s="308">
        <v>16</v>
      </c>
      <c r="L123" s="308">
        <v>3</v>
      </c>
      <c r="M123" s="308">
        <v>5</v>
      </c>
      <c r="N123" s="308">
        <v>8</v>
      </c>
      <c r="O123" s="302">
        <v>104</v>
      </c>
      <c r="P123" s="302">
        <v>93</v>
      </c>
      <c r="Q123" s="302">
        <v>197</v>
      </c>
      <c r="R123" s="27"/>
      <c r="S123" s="27"/>
      <c r="T123" s="27"/>
      <c r="U123" s="27"/>
      <c r="V123" s="27"/>
      <c r="W123" s="27"/>
      <c r="X123" s="27"/>
    </row>
    <row r="124" spans="2:24" x14ac:dyDescent="0.25">
      <c r="B124" s="150" t="s">
        <v>196</v>
      </c>
      <c r="C124" s="308">
        <v>27</v>
      </c>
      <c r="D124" s="308">
        <v>37</v>
      </c>
      <c r="E124" s="308">
        <v>64</v>
      </c>
      <c r="F124" s="308">
        <v>84</v>
      </c>
      <c r="G124" s="308">
        <v>75</v>
      </c>
      <c r="H124" s="308">
        <v>159</v>
      </c>
      <c r="I124" s="308">
        <v>12</v>
      </c>
      <c r="J124" s="308">
        <v>6</v>
      </c>
      <c r="K124" s="308">
        <v>18</v>
      </c>
      <c r="L124" s="308">
        <v>7</v>
      </c>
      <c r="M124" s="308">
        <v>12</v>
      </c>
      <c r="N124" s="308">
        <v>19</v>
      </c>
      <c r="O124" s="302">
        <v>130</v>
      </c>
      <c r="P124" s="302">
        <v>130</v>
      </c>
      <c r="Q124" s="302">
        <v>260</v>
      </c>
      <c r="R124" s="27"/>
      <c r="S124" s="27"/>
      <c r="T124" s="27"/>
      <c r="U124" s="27"/>
      <c r="V124" s="27"/>
      <c r="W124" s="27"/>
      <c r="X124" s="27"/>
    </row>
    <row r="125" spans="2:24" x14ac:dyDescent="0.25">
      <c r="B125" s="150" t="s">
        <v>197</v>
      </c>
      <c r="C125" s="308">
        <v>15</v>
      </c>
      <c r="D125" s="308">
        <v>28</v>
      </c>
      <c r="E125" s="308">
        <v>43</v>
      </c>
      <c r="F125" s="308">
        <v>44</v>
      </c>
      <c r="G125" s="308">
        <v>30</v>
      </c>
      <c r="H125" s="308">
        <v>74</v>
      </c>
      <c r="I125" s="308">
        <v>11</v>
      </c>
      <c r="J125" s="308"/>
      <c r="K125" s="308">
        <v>11</v>
      </c>
      <c r="L125" s="308">
        <v>2</v>
      </c>
      <c r="M125" s="308">
        <v>3</v>
      </c>
      <c r="N125" s="308">
        <v>5</v>
      </c>
      <c r="O125" s="302">
        <v>72</v>
      </c>
      <c r="P125" s="302">
        <v>61</v>
      </c>
      <c r="Q125" s="302">
        <v>133</v>
      </c>
      <c r="R125" s="27"/>
      <c r="S125" s="27"/>
      <c r="T125" s="27"/>
      <c r="U125" s="27"/>
      <c r="V125" s="27"/>
      <c r="W125" s="27"/>
      <c r="X125" s="27"/>
    </row>
    <row r="126" spans="2:24" x14ac:dyDescent="0.25">
      <c r="B126" s="150" t="s">
        <v>198</v>
      </c>
      <c r="C126" s="308">
        <v>43</v>
      </c>
      <c r="D126" s="308">
        <v>49</v>
      </c>
      <c r="E126" s="308">
        <v>92</v>
      </c>
      <c r="F126" s="308">
        <v>148</v>
      </c>
      <c r="G126" s="308">
        <v>121</v>
      </c>
      <c r="H126" s="308">
        <v>269</v>
      </c>
      <c r="I126" s="308">
        <v>33</v>
      </c>
      <c r="J126" s="308">
        <v>13</v>
      </c>
      <c r="K126" s="308">
        <v>46</v>
      </c>
      <c r="L126" s="308">
        <v>8</v>
      </c>
      <c r="M126" s="308">
        <v>11</v>
      </c>
      <c r="N126" s="308">
        <v>19</v>
      </c>
      <c r="O126" s="302">
        <v>232</v>
      </c>
      <c r="P126" s="302">
        <v>194</v>
      </c>
      <c r="Q126" s="302">
        <v>426</v>
      </c>
      <c r="R126" s="27"/>
      <c r="S126" s="27"/>
      <c r="T126" s="27"/>
      <c r="U126" s="27"/>
      <c r="V126" s="27"/>
      <c r="W126" s="27"/>
      <c r="X126" s="27"/>
    </row>
    <row r="127" spans="2:24" x14ac:dyDescent="0.25">
      <c r="B127" s="150" t="s">
        <v>199</v>
      </c>
      <c r="C127" s="308">
        <v>18</v>
      </c>
      <c r="D127" s="308">
        <v>25</v>
      </c>
      <c r="E127" s="308">
        <v>43</v>
      </c>
      <c r="F127" s="308">
        <v>41</v>
      </c>
      <c r="G127" s="308">
        <v>52</v>
      </c>
      <c r="H127" s="308">
        <v>93</v>
      </c>
      <c r="I127" s="308">
        <v>4</v>
      </c>
      <c r="J127" s="308"/>
      <c r="K127" s="308">
        <v>4</v>
      </c>
      <c r="L127" s="308">
        <v>7</v>
      </c>
      <c r="M127" s="308">
        <v>5</v>
      </c>
      <c r="N127" s="308">
        <v>12</v>
      </c>
      <c r="O127" s="302">
        <v>70</v>
      </c>
      <c r="P127" s="302">
        <v>82</v>
      </c>
      <c r="Q127" s="302">
        <v>152</v>
      </c>
      <c r="R127" s="27"/>
      <c r="S127" s="27"/>
      <c r="T127" s="27"/>
      <c r="U127" s="27"/>
      <c r="V127" s="27"/>
      <c r="W127" s="27"/>
      <c r="X127" s="27"/>
    </row>
    <row r="128" spans="2:24" x14ac:dyDescent="0.25">
      <c r="B128" s="150" t="s">
        <v>200</v>
      </c>
      <c r="C128" s="308">
        <v>19</v>
      </c>
      <c r="D128" s="308">
        <v>18</v>
      </c>
      <c r="E128" s="308">
        <v>37</v>
      </c>
      <c r="F128" s="308">
        <v>52</v>
      </c>
      <c r="G128" s="308">
        <v>37</v>
      </c>
      <c r="H128" s="308">
        <v>89</v>
      </c>
      <c r="I128" s="308">
        <v>8</v>
      </c>
      <c r="J128" s="308">
        <v>2</v>
      </c>
      <c r="K128" s="308">
        <v>10</v>
      </c>
      <c r="L128" s="308">
        <v>2</v>
      </c>
      <c r="M128" s="308">
        <v>5</v>
      </c>
      <c r="N128" s="308">
        <v>7</v>
      </c>
      <c r="O128" s="302">
        <v>81</v>
      </c>
      <c r="P128" s="302">
        <v>62</v>
      </c>
      <c r="Q128" s="302">
        <v>143</v>
      </c>
      <c r="R128" s="27"/>
      <c r="S128" s="27"/>
      <c r="T128" s="27"/>
      <c r="U128" s="27"/>
      <c r="V128" s="27"/>
      <c r="W128" s="27"/>
      <c r="X128" s="27"/>
    </row>
    <row r="129" spans="2:24" x14ac:dyDescent="0.25">
      <c r="B129" s="150" t="s">
        <v>201</v>
      </c>
      <c r="C129" s="308">
        <v>3</v>
      </c>
      <c r="D129" s="308">
        <v>4</v>
      </c>
      <c r="E129" s="308">
        <v>7</v>
      </c>
      <c r="F129" s="308">
        <v>10</v>
      </c>
      <c r="G129" s="308">
        <v>15</v>
      </c>
      <c r="H129" s="308">
        <v>25</v>
      </c>
      <c r="I129" s="308">
        <v>3</v>
      </c>
      <c r="J129" s="308">
        <v>1</v>
      </c>
      <c r="K129" s="308">
        <v>4</v>
      </c>
      <c r="L129" s="308">
        <v>1</v>
      </c>
      <c r="M129" s="308">
        <v>1</v>
      </c>
      <c r="N129" s="308">
        <v>2</v>
      </c>
      <c r="O129" s="302">
        <v>17</v>
      </c>
      <c r="P129" s="302">
        <v>21</v>
      </c>
      <c r="Q129" s="302">
        <v>38</v>
      </c>
      <c r="R129" s="27"/>
      <c r="S129" s="27"/>
      <c r="T129" s="27"/>
      <c r="U129" s="27"/>
      <c r="V129" s="27"/>
      <c r="W129" s="27"/>
      <c r="X129" s="27"/>
    </row>
    <row r="130" spans="2:24" x14ac:dyDescent="0.25">
      <c r="B130" s="150" t="s">
        <v>202</v>
      </c>
      <c r="C130" s="308">
        <v>7</v>
      </c>
      <c r="D130" s="308">
        <v>13</v>
      </c>
      <c r="E130" s="308">
        <v>20</v>
      </c>
      <c r="F130" s="308">
        <v>16</v>
      </c>
      <c r="G130" s="308">
        <v>14</v>
      </c>
      <c r="H130" s="308">
        <v>30</v>
      </c>
      <c r="I130" s="308">
        <v>1</v>
      </c>
      <c r="J130" s="308">
        <v>2</v>
      </c>
      <c r="K130" s="308">
        <v>3</v>
      </c>
      <c r="L130" s="308">
        <v>1</v>
      </c>
      <c r="M130" s="308">
        <v>1</v>
      </c>
      <c r="N130" s="308">
        <v>2</v>
      </c>
      <c r="O130" s="302">
        <v>25</v>
      </c>
      <c r="P130" s="302">
        <v>30</v>
      </c>
      <c r="Q130" s="302">
        <v>55</v>
      </c>
      <c r="R130" s="27"/>
      <c r="S130" s="27"/>
      <c r="T130" s="27"/>
      <c r="U130" s="27"/>
      <c r="V130" s="27"/>
      <c r="W130" s="27"/>
      <c r="X130" s="27"/>
    </row>
    <row r="131" spans="2:24" x14ac:dyDescent="0.25">
      <c r="B131" s="150" t="s">
        <v>203</v>
      </c>
      <c r="C131" s="308"/>
      <c r="D131" s="308">
        <v>9</v>
      </c>
      <c r="E131" s="308">
        <v>9</v>
      </c>
      <c r="F131" s="308">
        <v>12</v>
      </c>
      <c r="G131" s="308">
        <v>15</v>
      </c>
      <c r="H131" s="308">
        <v>27</v>
      </c>
      <c r="I131" s="308">
        <v>7</v>
      </c>
      <c r="J131" s="308">
        <v>2</v>
      </c>
      <c r="K131" s="308">
        <v>9</v>
      </c>
      <c r="L131" s="308">
        <v>2</v>
      </c>
      <c r="M131" s="308"/>
      <c r="N131" s="308">
        <v>2</v>
      </c>
      <c r="O131" s="302">
        <v>21</v>
      </c>
      <c r="P131" s="302">
        <v>26</v>
      </c>
      <c r="Q131" s="302">
        <v>47</v>
      </c>
      <c r="R131" s="27"/>
      <c r="S131" s="27"/>
      <c r="T131" s="27"/>
      <c r="U131" s="27"/>
      <c r="V131" s="27"/>
      <c r="W131" s="27"/>
      <c r="X131" s="27"/>
    </row>
    <row r="132" spans="2:24" x14ac:dyDescent="0.25">
      <c r="B132" s="150" t="s">
        <v>204</v>
      </c>
      <c r="C132" s="308">
        <v>21</v>
      </c>
      <c r="D132" s="308">
        <v>23</v>
      </c>
      <c r="E132" s="308">
        <v>44</v>
      </c>
      <c r="F132" s="308">
        <v>43</v>
      </c>
      <c r="G132" s="308">
        <v>41</v>
      </c>
      <c r="H132" s="308">
        <v>84</v>
      </c>
      <c r="I132" s="308">
        <v>11</v>
      </c>
      <c r="J132" s="308">
        <v>4</v>
      </c>
      <c r="K132" s="308">
        <v>15</v>
      </c>
      <c r="L132" s="308">
        <v>4</v>
      </c>
      <c r="M132" s="308">
        <v>1</v>
      </c>
      <c r="N132" s="308">
        <v>5</v>
      </c>
      <c r="O132" s="302">
        <v>79</v>
      </c>
      <c r="P132" s="302">
        <v>69</v>
      </c>
      <c r="Q132" s="302">
        <v>148</v>
      </c>
      <c r="R132" s="27"/>
      <c r="S132" s="27"/>
      <c r="T132" s="27"/>
      <c r="U132" s="27"/>
      <c r="V132" s="27"/>
      <c r="W132" s="27"/>
      <c r="X132" s="27"/>
    </row>
    <row r="133" spans="2:24" x14ac:dyDescent="0.25">
      <c r="B133" s="150" t="s">
        <v>205</v>
      </c>
      <c r="C133" s="308">
        <v>10</v>
      </c>
      <c r="D133" s="308">
        <v>18</v>
      </c>
      <c r="E133" s="308">
        <v>28</v>
      </c>
      <c r="F133" s="308">
        <v>37</v>
      </c>
      <c r="G133" s="308">
        <v>40</v>
      </c>
      <c r="H133" s="308">
        <v>77</v>
      </c>
      <c r="I133" s="308">
        <v>8</v>
      </c>
      <c r="J133" s="308">
        <v>5</v>
      </c>
      <c r="K133" s="308">
        <v>13</v>
      </c>
      <c r="L133" s="308">
        <v>2</v>
      </c>
      <c r="M133" s="308">
        <v>5</v>
      </c>
      <c r="N133" s="308">
        <v>7</v>
      </c>
      <c r="O133" s="302">
        <v>57</v>
      </c>
      <c r="P133" s="302">
        <v>68</v>
      </c>
      <c r="Q133" s="302">
        <v>125</v>
      </c>
      <c r="R133" s="27"/>
      <c r="S133" s="27"/>
      <c r="T133" s="27"/>
      <c r="U133" s="27"/>
      <c r="V133" s="27"/>
      <c r="W133" s="27"/>
      <c r="X133" s="27"/>
    </row>
    <row r="134" spans="2:24" x14ac:dyDescent="0.25">
      <c r="B134" s="150" t="s">
        <v>206</v>
      </c>
      <c r="C134" s="308">
        <v>49</v>
      </c>
      <c r="D134" s="308">
        <v>90</v>
      </c>
      <c r="E134" s="308">
        <v>139</v>
      </c>
      <c r="F134" s="308">
        <v>192</v>
      </c>
      <c r="G134" s="308">
        <v>129</v>
      </c>
      <c r="H134" s="308">
        <v>321</v>
      </c>
      <c r="I134" s="308">
        <v>26</v>
      </c>
      <c r="J134" s="308">
        <v>21</v>
      </c>
      <c r="K134" s="308">
        <v>47</v>
      </c>
      <c r="L134" s="308">
        <v>11</v>
      </c>
      <c r="M134" s="308">
        <v>16</v>
      </c>
      <c r="N134" s="308">
        <v>27</v>
      </c>
      <c r="O134" s="302">
        <v>278</v>
      </c>
      <c r="P134" s="302">
        <v>256</v>
      </c>
      <c r="Q134" s="302">
        <v>534</v>
      </c>
      <c r="R134" s="27"/>
      <c r="S134" s="27"/>
      <c r="T134" s="27"/>
      <c r="U134" s="27"/>
      <c r="V134" s="27"/>
      <c r="W134" s="27"/>
      <c r="X134" s="27"/>
    </row>
    <row r="135" spans="2:24" x14ac:dyDescent="0.25">
      <c r="B135" s="150" t="s">
        <v>207</v>
      </c>
      <c r="C135" s="308">
        <v>118</v>
      </c>
      <c r="D135" s="308">
        <v>145</v>
      </c>
      <c r="E135" s="308">
        <v>263</v>
      </c>
      <c r="F135" s="308">
        <v>418</v>
      </c>
      <c r="G135" s="308">
        <v>283</v>
      </c>
      <c r="H135" s="308">
        <v>701</v>
      </c>
      <c r="I135" s="308">
        <v>38</v>
      </c>
      <c r="J135" s="308">
        <v>15</v>
      </c>
      <c r="K135" s="308">
        <v>53</v>
      </c>
      <c r="L135" s="308">
        <v>11</v>
      </c>
      <c r="M135" s="308">
        <v>15</v>
      </c>
      <c r="N135" s="308">
        <v>26</v>
      </c>
      <c r="O135" s="302">
        <v>585</v>
      </c>
      <c r="P135" s="302">
        <v>458</v>
      </c>
      <c r="Q135" s="302">
        <v>1043</v>
      </c>
      <c r="R135" s="27"/>
      <c r="S135" s="27"/>
      <c r="T135" s="27"/>
      <c r="U135" s="27"/>
      <c r="V135" s="27"/>
      <c r="W135" s="27"/>
      <c r="X135" s="27"/>
    </row>
    <row r="136" spans="2:24" x14ac:dyDescent="0.25">
      <c r="B136" s="150" t="s">
        <v>208</v>
      </c>
      <c r="C136" s="308">
        <v>21</v>
      </c>
      <c r="D136" s="308">
        <v>35</v>
      </c>
      <c r="E136" s="308">
        <v>56</v>
      </c>
      <c r="F136" s="308">
        <v>67</v>
      </c>
      <c r="G136" s="308">
        <v>58</v>
      </c>
      <c r="H136" s="308">
        <v>125</v>
      </c>
      <c r="I136" s="308">
        <v>19</v>
      </c>
      <c r="J136" s="308">
        <v>3</v>
      </c>
      <c r="K136" s="308">
        <v>22</v>
      </c>
      <c r="L136" s="308">
        <v>5</v>
      </c>
      <c r="M136" s="308">
        <v>6</v>
      </c>
      <c r="N136" s="308">
        <v>11</v>
      </c>
      <c r="O136" s="302">
        <v>112</v>
      </c>
      <c r="P136" s="302">
        <v>102</v>
      </c>
      <c r="Q136" s="302">
        <v>214</v>
      </c>
      <c r="R136" s="27"/>
      <c r="S136" s="27"/>
      <c r="T136" s="27"/>
      <c r="U136" s="27"/>
      <c r="V136" s="27"/>
      <c r="W136" s="27"/>
      <c r="X136" s="27"/>
    </row>
    <row r="137" spans="2:24" x14ac:dyDescent="0.25">
      <c r="B137" s="150" t="s">
        <v>209</v>
      </c>
      <c r="C137" s="308">
        <v>6</v>
      </c>
      <c r="D137" s="308">
        <v>7</v>
      </c>
      <c r="E137" s="308">
        <v>13</v>
      </c>
      <c r="F137" s="308">
        <v>17</v>
      </c>
      <c r="G137" s="308">
        <v>16</v>
      </c>
      <c r="H137" s="308">
        <v>33</v>
      </c>
      <c r="I137" s="308">
        <v>5</v>
      </c>
      <c r="J137" s="308">
        <v>1</v>
      </c>
      <c r="K137" s="308">
        <v>6</v>
      </c>
      <c r="L137" s="308">
        <v>2</v>
      </c>
      <c r="M137" s="308">
        <v>2</v>
      </c>
      <c r="N137" s="308">
        <v>4</v>
      </c>
      <c r="O137" s="302">
        <v>30</v>
      </c>
      <c r="P137" s="302">
        <v>26</v>
      </c>
      <c r="Q137" s="302">
        <v>56</v>
      </c>
      <c r="R137" s="27"/>
      <c r="S137" s="27"/>
      <c r="T137" s="27"/>
      <c r="U137" s="27"/>
      <c r="V137" s="27"/>
      <c r="W137" s="27"/>
      <c r="X137" s="27"/>
    </row>
    <row r="138" spans="2:24" x14ac:dyDescent="0.25">
      <c r="B138" s="150" t="s">
        <v>210</v>
      </c>
      <c r="C138" s="308">
        <v>74</v>
      </c>
      <c r="D138" s="308">
        <v>104</v>
      </c>
      <c r="E138" s="308">
        <v>178</v>
      </c>
      <c r="F138" s="308">
        <v>173</v>
      </c>
      <c r="G138" s="308">
        <v>152</v>
      </c>
      <c r="H138" s="308">
        <v>325</v>
      </c>
      <c r="I138" s="308">
        <v>35</v>
      </c>
      <c r="J138" s="308">
        <v>18</v>
      </c>
      <c r="K138" s="308">
        <v>53</v>
      </c>
      <c r="L138" s="308">
        <v>18</v>
      </c>
      <c r="M138" s="308">
        <v>19</v>
      </c>
      <c r="N138" s="308">
        <v>37</v>
      </c>
      <c r="O138" s="302">
        <v>300</v>
      </c>
      <c r="P138" s="302">
        <v>293</v>
      </c>
      <c r="Q138" s="302">
        <v>593</v>
      </c>
      <c r="R138" s="27"/>
      <c r="S138" s="27"/>
      <c r="T138" s="27"/>
      <c r="U138" s="27"/>
      <c r="V138" s="27"/>
      <c r="W138" s="27"/>
      <c r="X138" s="27"/>
    </row>
    <row r="139" spans="2:24" x14ac:dyDescent="0.25">
      <c r="B139" s="150" t="s">
        <v>211</v>
      </c>
      <c r="C139" s="308">
        <v>11</v>
      </c>
      <c r="D139" s="308">
        <v>15</v>
      </c>
      <c r="E139" s="308">
        <v>26</v>
      </c>
      <c r="F139" s="308">
        <v>21</v>
      </c>
      <c r="G139" s="308">
        <v>26</v>
      </c>
      <c r="H139" s="308">
        <v>47</v>
      </c>
      <c r="I139" s="308">
        <v>12</v>
      </c>
      <c r="J139" s="308">
        <v>3</v>
      </c>
      <c r="K139" s="308">
        <v>15</v>
      </c>
      <c r="L139" s="308">
        <v>3</v>
      </c>
      <c r="M139" s="308">
        <v>4</v>
      </c>
      <c r="N139" s="308">
        <v>7</v>
      </c>
      <c r="O139" s="302">
        <v>47</v>
      </c>
      <c r="P139" s="302">
        <v>48</v>
      </c>
      <c r="Q139" s="302">
        <v>95</v>
      </c>
      <c r="R139" s="27"/>
      <c r="S139" s="27"/>
      <c r="T139" s="27"/>
      <c r="U139" s="27"/>
      <c r="V139" s="27"/>
      <c r="W139" s="27"/>
      <c r="X139" s="27"/>
    </row>
    <row r="140" spans="2:24" x14ac:dyDescent="0.25">
      <c r="B140" s="150" t="s">
        <v>212</v>
      </c>
      <c r="C140" s="308">
        <v>31</v>
      </c>
      <c r="D140" s="308">
        <v>68</v>
      </c>
      <c r="E140" s="308">
        <v>99</v>
      </c>
      <c r="F140" s="308">
        <v>138</v>
      </c>
      <c r="G140" s="308">
        <v>100</v>
      </c>
      <c r="H140" s="308">
        <v>238</v>
      </c>
      <c r="I140" s="308">
        <v>20</v>
      </c>
      <c r="J140" s="308">
        <v>10</v>
      </c>
      <c r="K140" s="308">
        <v>30</v>
      </c>
      <c r="L140" s="308">
        <v>7</v>
      </c>
      <c r="M140" s="308">
        <v>7</v>
      </c>
      <c r="N140" s="308">
        <v>14</v>
      </c>
      <c r="O140" s="302">
        <v>196</v>
      </c>
      <c r="P140" s="302">
        <v>185</v>
      </c>
      <c r="Q140" s="302">
        <v>381</v>
      </c>
      <c r="R140" s="27"/>
      <c r="S140" s="27"/>
      <c r="T140" s="27"/>
      <c r="U140" s="27"/>
      <c r="V140" s="27"/>
      <c r="W140" s="27"/>
      <c r="X140" s="27"/>
    </row>
    <row r="141" spans="2:24" x14ac:dyDescent="0.25">
      <c r="B141" s="150" t="s">
        <v>213</v>
      </c>
      <c r="C141" s="308">
        <v>7</v>
      </c>
      <c r="D141" s="308">
        <v>15</v>
      </c>
      <c r="E141" s="308">
        <v>22</v>
      </c>
      <c r="F141" s="308">
        <v>21</v>
      </c>
      <c r="G141" s="308">
        <v>15</v>
      </c>
      <c r="H141" s="308">
        <v>36</v>
      </c>
      <c r="I141" s="308">
        <v>8</v>
      </c>
      <c r="J141" s="308">
        <v>2</v>
      </c>
      <c r="K141" s="308">
        <v>10</v>
      </c>
      <c r="L141" s="308">
        <v>1</v>
      </c>
      <c r="M141" s="308"/>
      <c r="N141" s="308">
        <v>1</v>
      </c>
      <c r="O141" s="302">
        <v>37</v>
      </c>
      <c r="P141" s="302">
        <v>32</v>
      </c>
      <c r="Q141" s="302">
        <v>69</v>
      </c>
      <c r="R141" s="27"/>
      <c r="S141" s="27"/>
      <c r="T141" s="27"/>
      <c r="U141" s="27"/>
      <c r="V141" s="27"/>
      <c r="W141" s="27"/>
      <c r="X141" s="27"/>
    </row>
    <row r="142" spans="2:24" x14ac:dyDescent="0.25">
      <c r="B142" s="150" t="s">
        <v>214</v>
      </c>
      <c r="C142" s="308">
        <v>6</v>
      </c>
      <c r="D142" s="308">
        <v>11</v>
      </c>
      <c r="E142" s="308">
        <v>17</v>
      </c>
      <c r="F142" s="308">
        <v>40</v>
      </c>
      <c r="G142" s="308">
        <v>26</v>
      </c>
      <c r="H142" s="308">
        <v>66</v>
      </c>
      <c r="I142" s="308">
        <v>1</v>
      </c>
      <c r="J142" s="308">
        <v>1</v>
      </c>
      <c r="K142" s="308">
        <v>2</v>
      </c>
      <c r="L142" s="308">
        <v>1</v>
      </c>
      <c r="M142" s="308">
        <v>2</v>
      </c>
      <c r="N142" s="308">
        <v>3</v>
      </c>
      <c r="O142" s="302">
        <v>48</v>
      </c>
      <c r="P142" s="302">
        <v>40</v>
      </c>
      <c r="Q142" s="302">
        <v>88</v>
      </c>
      <c r="R142" s="27"/>
      <c r="S142" s="27"/>
      <c r="T142" s="27"/>
      <c r="U142" s="27"/>
      <c r="V142" s="27"/>
      <c r="W142" s="27"/>
      <c r="X142" s="27"/>
    </row>
    <row r="143" spans="2:24" x14ac:dyDescent="0.25">
      <c r="B143" s="150" t="s">
        <v>215</v>
      </c>
      <c r="C143" s="308">
        <v>171</v>
      </c>
      <c r="D143" s="308">
        <v>308</v>
      </c>
      <c r="E143" s="308">
        <v>479</v>
      </c>
      <c r="F143" s="308">
        <v>616</v>
      </c>
      <c r="G143" s="308">
        <v>430</v>
      </c>
      <c r="H143" s="308">
        <v>1046</v>
      </c>
      <c r="I143" s="308">
        <v>103</v>
      </c>
      <c r="J143" s="308">
        <v>46</v>
      </c>
      <c r="K143" s="308">
        <v>149</v>
      </c>
      <c r="L143" s="308">
        <v>25</v>
      </c>
      <c r="M143" s="308">
        <v>53</v>
      </c>
      <c r="N143" s="308">
        <v>78</v>
      </c>
      <c r="O143" s="302">
        <v>915</v>
      </c>
      <c r="P143" s="302">
        <v>837</v>
      </c>
      <c r="Q143" s="302">
        <v>1752</v>
      </c>
      <c r="R143" s="27"/>
      <c r="S143" s="27"/>
      <c r="T143" s="27"/>
      <c r="U143" s="27"/>
      <c r="V143" s="27"/>
      <c r="W143" s="27"/>
      <c r="X143" s="27"/>
    </row>
    <row r="144" spans="2:24" x14ac:dyDescent="0.25">
      <c r="B144" s="150" t="s">
        <v>216</v>
      </c>
      <c r="C144" s="308">
        <v>97</v>
      </c>
      <c r="D144" s="308">
        <v>93</v>
      </c>
      <c r="E144" s="308">
        <v>190</v>
      </c>
      <c r="F144" s="308">
        <v>251</v>
      </c>
      <c r="G144" s="308">
        <v>179</v>
      </c>
      <c r="H144" s="308">
        <v>430</v>
      </c>
      <c r="I144" s="308">
        <v>46</v>
      </c>
      <c r="J144" s="308">
        <v>18</v>
      </c>
      <c r="K144" s="308">
        <v>64</v>
      </c>
      <c r="L144" s="308">
        <v>18</v>
      </c>
      <c r="M144" s="308">
        <v>20</v>
      </c>
      <c r="N144" s="308">
        <v>38</v>
      </c>
      <c r="O144" s="302">
        <v>412</v>
      </c>
      <c r="P144" s="302">
        <v>310</v>
      </c>
      <c r="Q144" s="302">
        <v>722</v>
      </c>
      <c r="R144" s="27"/>
      <c r="S144" s="27"/>
      <c r="T144" s="27"/>
      <c r="U144" s="27"/>
      <c r="V144" s="27"/>
      <c r="W144" s="27"/>
      <c r="X144" s="27"/>
    </row>
    <row r="145" spans="2:24" x14ac:dyDescent="0.25">
      <c r="B145" s="170" t="s">
        <v>504</v>
      </c>
      <c r="C145" s="312">
        <v>205</v>
      </c>
      <c r="D145" s="312">
        <v>258</v>
      </c>
      <c r="E145" s="312">
        <v>463</v>
      </c>
      <c r="F145" s="312">
        <v>869</v>
      </c>
      <c r="G145" s="312">
        <v>559</v>
      </c>
      <c r="H145" s="312">
        <v>1428</v>
      </c>
      <c r="I145" s="312">
        <v>69</v>
      </c>
      <c r="J145" s="312">
        <v>36</v>
      </c>
      <c r="K145" s="312">
        <v>105</v>
      </c>
      <c r="L145" s="312">
        <v>37</v>
      </c>
      <c r="M145" s="312">
        <v>40</v>
      </c>
      <c r="N145" s="312">
        <v>77</v>
      </c>
      <c r="O145" s="302">
        <v>1180</v>
      </c>
      <c r="P145" s="302">
        <v>893</v>
      </c>
      <c r="Q145" s="302">
        <v>2073</v>
      </c>
      <c r="R145" s="27"/>
      <c r="S145" s="27"/>
      <c r="T145" s="27"/>
      <c r="U145" s="27"/>
      <c r="V145" s="27"/>
      <c r="W145" s="27"/>
      <c r="X145" s="27"/>
    </row>
    <row r="146" spans="2:24" x14ac:dyDescent="0.25">
      <c r="B146" s="173" t="s">
        <v>217</v>
      </c>
      <c r="C146" s="310">
        <v>5</v>
      </c>
      <c r="D146" s="310">
        <v>11</v>
      </c>
      <c r="E146" s="310">
        <v>16</v>
      </c>
      <c r="F146" s="310">
        <v>31</v>
      </c>
      <c r="G146" s="310">
        <v>22</v>
      </c>
      <c r="H146" s="310">
        <v>53</v>
      </c>
      <c r="I146" s="310">
        <v>2</v>
      </c>
      <c r="J146" s="310"/>
      <c r="K146" s="310">
        <v>2</v>
      </c>
      <c r="L146" s="310"/>
      <c r="M146" s="310"/>
      <c r="N146" s="310"/>
      <c r="O146" s="302">
        <v>38</v>
      </c>
      <c r="P146" s="302">
        <v>33</v>
      </c>
      <c r="Q146" s="302">
        <v>71</v>
      </c>
      <c r="R146" s="27"/>
      <c r="S146" s="27"/>
      <c r="T146" s="27"/>
      <c r="U146" s="27"/>
      <c r="V146" s="27"/>
      <c r="W146" s="27"/>
      <c r="X146" s="27"/>
    </row>
    <row r="147" spans="2:24" x14ac:dyDescent="0.25">
      <c r="B147" s="351" t="s">
        <v>35</v>
      </c>
      <c r="C147" s="302">
        <v>1190</v>
      </c>
      <c r="D147" s="302">
        <v>1722</v>
      </c>
      <c r="E147" s="302">
        <v>2912</v>
      </c>
      <c r="F147" s="302">
        <v>4060</v>
      </c>
      <c r="G147" s="302">
        <v>2952</v>
      </c>
      <c r="H147" s="300">
        <v>7012</v>
      </c>
      <c r="I147" s="302">
        <v>599</v>
      </c>
      <c r="J147" s="300">
        <v>252</v>
      </c>
      <c r="K147" s="302">
        <v>851</v>
      </c>
      <c r="L147" s="300">
        <v>214</v>
      </c>
      <c r="M147" s="302">
        <v>267</v>
      </c>
      <c r="N147" s="300">
        <v>481</v>
      </c>
      <c r="O147" s="302">
        <v>6063</v>
      </c>
      <c r="P147" s="302">
        <v>5193</v>
      </c>
      <c r="Q147" s="302">
        <v>11256</v>
      </c>
      <c r="R147" s="27"/>
      <c r="S147" s="27"/>
      <c r="T147" s="27"/>
      <c r="U147" s="27"/>
      <c r="V147" s="27"/>
      <c r="W147" s="27"/>
      <c r="X147" s="27"/>
    </row>
    <row r="148" spans="2:24" ht="95.25" customHeight="1" x14ac:dyDescent="0.25">
      <c r="B148" s="489" t="s">
        <v>928</v>
      </c>
      <c r="C148" s="489"/>
      <c r="D148" s="489"/>
      <c r="E148" s="489"/>
      <c r="F148" s="489"/>
      <c r="G148" s="489"/>
      <c r="H148" s="489"/>
      <c r="I148" s="489"/>
      <c r="J148" s="489"/>
      <c r="K148" s="489"/>
      <c r="L148" s="489"/>
      <c r="M148" s="489"/>
      <c r="N148" s="489"/>
      <c r="O148" s="489"/>
      <c r="P148" s="489"/>
      <c r="Q148" s="489"/>
      <c r="R148" s="27"/>
      <c r="S148" s="27"/>
      <c r="T148" s="27"/>
      <c r="U148" s="27"/>
      <c r="V148" s="27"/>
      <c r="W148" s="27"/>
    </row>
    <row r="149" spans="2:24" x14ac:dyDescent="0.25">
      <c r="B149" s="172"/>
      <c r="C149" s="172"/>
      <c r="D149" s="172"/>
      <c r="E149" s="172"/>
      <c r="F149" s="172"/>
      <c r="G149"/>
      <c r="H149" s="27"/>
      <c r="I149" s="27"/>
      <c r="J149" s="27"/>
      <c r="K149" s="27"/>
      <c r="L149" s="27"/>
      <c r="M149" s="27"/>
      <c r="N149" s="27"/>
      <c r="O149" s="27"/>
      <c r="P149" s="27"/>
      <c r="Q149" s="27"/>
      <c r="R149" s="27"/>
      <c r="S149" s="27"/>
      <c r="T149" s="27"/>
      <c r="U149" s="27"/>
      <c r="V149" s="27"/>
      <c r="W149" s="27"/>
    </row>
    <row r="150" spans="2:24" x14ac:dyDescent="0.25">
      <c r="B150" s="201" t="s">
        <v>522</v>
      </c>
      <c r="C150"/>
      <c r="D150"/>
      <c r="E150"/>
      <c r="F150"/>
      <c r="G150"/>
      <c r="H150" s="27"/>
      <c r="I150" s="27"/>
      <c r="J150" s="27"/>
      <c r="K150" s="27"/>
      <c r="L150" s="27"/>
      <c r="M150" s="27"/>
      <c r="N150" s="27"/>
      <c r="O150" s="27"/>
      <c r="P150" s="27"/>
      <c r="Q150" s="27"/>
      <c r="R150" s="27"/>
      <c r="S150" s="27"/>
      <c r="T150" s="27"/>
      <c r="U150" s="27"/>
      <c r="V150" s="27"/>
      <c r="W150" s="27"/>
    </row>
    <row r="151" spans="2:24" x14ac:dyDescent="0.25">
      <c r="B151" s="201"/>
      <c r="C151"/>
      <c r="D151"/>
      <c r="E151"/>
      <c r="F151"/>
      <c r="G151"/>
      <c r="H151" s="27"/>
      <c r="I151" s="27"/>
      <c r="J151" s="27"/>
      <c r="K151" s="27"/>
      <c r="L151" s="27"/>
      <c r="M151" s="27"/>
      <c r="N151" s="27"/>
      <c r="O151" s="27"/>
      <c r="P151" s="27"/>
      <c r="Q151" s="27"/>
      <c r="R151" s="27"/>
      <c r="S151" s="27"/>
      <c r="T151" s="27"/>
      <c r="U151" s="27"/>
      <c r="V151" s="27"/>
      <c r="W151" s="27"/>
    </row>
    <row r="152" spans="2:24" ht="15" customHeight="1" x14ac:dyDescent="0.25">
      <c r="B152" s="490" t="s">
        <v>544</v>
      </c>
      <c r="C152" s="479" t="s">
        <v>488</v>
      </c>
      <c r="D152" s="479"/>
      <c r="E152" s="479"/>
      <c r="F152" s="479"/>
      <c r="G152" s="479"/>
      <c r="H152" s="479"/>
      <c r="I152" s="479"/>
      <c r="J152" s="479"/>
      <c r="K152" s="479"/>
      <c r="L152" s="479"/>
      <c r="M152" s="479"/>
      <c r="N152" s="479"/>
      <c r="O152" s="483" t="s">
        <v>746</v>
      </c>
      <c r="P152" s="484"/>
      <c r="Q152" s="485"/>
      <c r="R152" s="27"/>
      <c r="S152" s="27"/>
      <c r="T152" s="27"/>
      <c r="U152" s="27"/>
      <c r="V152" s="27"/>
      <c r="W152" s="27"/>
    </row>
    <row r="153" spans="2:24" ht="15" customHeight="1" x14ac:dyDescent="0.25">
      <c r="B153" s="490"/>
      <c r="C153" s="479" t="s">
        <v>707</v>
      </c>
      <c r="D153" s="479"/>
      <c r="E153" s="479"/>
      <c r="F153" s="479" t="s">
        <v>497</v>
      </c>
      <c r="G153" s="479"/>
      <c r="H153" s="479"/>
      <c r="I153" s="479" t="s">
        <v>4</v>
      </c>
      <c r="J153" s="479"/>
      <c r="K153" s="479"/>
      <c r="L153" s="479" t="s">
        <v>6</v>
      </c>
      <c r="M153" s="479"/>
      <c r="N153" s="479"/>
      <c r="O153" s="486"/>
      <c r="P153" s="487"/>
      <c r="Q153" s="488"/>
      <c r="R153" s="27"/>
      <c r="S153" s="27"/>
      <c r="T153" s="27"/>
      <c r="U153" s="27"/>
      <c r="V153" s="27"/>
      <c r="W153" s="27"/>
    </row>
    <row r="154" spans="2:24" x14ac:dyDescent="0.25">
      <c r="B154" s="490"/>
      <c r="C154" s="175" t="s">
        <v>83</v>
      </c>
      <c r="D154" s="175" t="s">
        <v>84</v>
      </c>
      <c r="E154" s="175" t="s">
        <v>35</v>
      </c>
      <c r="F154" s="175" t="s">
        <v>83</v>
      </c>
      <c r="G154" s="175" t="s">
        <v>84</v>
      </c>
      <c r="H154" s="175" t="s">
        <v>35</v>
      </c>
      <c r="I154" s="175" t="s">
        <v>83</v>
      </c>
      <c r="J154" s="175" t="s">
        <v>84</v>
      </c>
      <c r="K154" s="175" t="s">
        <v>35</v>
      </c>
      <c r="L154" s="175" t="s">
        <v>83</v>
      </c>
      <c r="M154" s="175" t="s">
        <v>84</v>
      </c>
      <c r="N154" s="175" t="s">
        <v>35</v>
      </c>
      <c r="O154" s="262" t="s">
        <v>83</v>
      </c>
      <c r="P154" s="262" t="s">
        <v>84</v>
      </c>
      <c r="Q154" s="262" t="s">
        <v>35</v>
      </c>
      <c r="R154" s="27"/>
      <c r="S154" s="27"/>
      <c r="T154" s="27"/>
      <c r="U154" s="27"/>
      <c r="V154" s="27"/>
      <c r="W154" s="27"/>
    </row>
    <row r="155" spans="2:24" x14ac:dyDescent="0.25">
      <c r="B155" s="171" t="s">
        <v>218</v>
      </c>
      <c r="C155" s="311">
        <v>12</v>
      </c>
      <c r="D155" s="311">
        <v>17</v>
      </c>
      <c r="E155" s="311">
        <v>29</v>
      </c>
      <c r="F155" s="311">
        <v>30</v>
      </c>
      <c r="G155" s="311">
        <v>12</v>
      </c>
      <c r="H155" s="311">
        <v>42</v>
      </c>
      <c r="I155" s="311">
        <v>10</v>
      </c>
      <c r="J155" s="311">
        <v>3</v>
      </c>
      <c r="K155" s="311">
        <v>13</v>
      </c>
      <c r="L155" s="311">
        <v>4</v>
      </c>
      <c r="M155" s="311">
        <v>1</v>
      </c>
      <c r="N155" s="311">
        <v>5</v>
      </c>
      <c r="O155" s="352">
        <v>56</v>
      </c>
      <c r="P155" s="352">
        <v>33</v>
      </c>
      <c r="Q155" s="352">
        <v>89</v>
      </c>
      <c r="R155" s="27"/>
      <c r="S155" s="27"/>
      <c r="T155" s="27"/>
      <c r="U155" s="27"/>
      <c r="V155" s="27"/>
      <c r="W155" s="27"/>
      <c r="X155" s="27"/>
    </row>
    <row r="156" spans="2:24" x14ac:dyDescent="0.25">
      <c r="B156" s="150" t="s">
        <v>219</v>
      </c>
      <c r="C156" s="308">
        <v>14</v>
      </c>
      <c r="D156" s="308">
        <v>35</v>
      </c>
      <c r="E156" s="308">
        <v>49</v>
      </c>
      <c r="F156" s="308">
        <v>70</v>
      </c>
      <c r="G156" s="308">
        <v>34</v>
      </c>
      <c r="H156" s="308">
        <v>104</v>
      </c>
      <c r="I156" s="308">
        <v>17</v>
      </c>
      <c r="J156" s="308">
        <v>4</v>
      </c>
      <c r="K156" s="308">
        <v>21</v>
      </c>
      <c r="L156" s="308">
        <v>7</v>
      </c>
      <c r="M156" s="308">
        <v>3</v>
      </c>
      <c r="N156" s="308">
        <v>10</v>
      </c>
      <c r="O156" s="352">
        <v>108</v>
      </c>
      <c r="P156" s="352">
        <v>76</v>
      </c>
      <c r="Q156" s="352">
        <v>184</v>
      </c>
      <c r="R156" s="27"/>
      <c r="S156" s="27"/>
      <c r="T156" s="27"/>
      <c r="U156" s="27"/>
      <c r="V156" s="27"/>
      <c r="W156" s="27"/>
      <c r="X156" s="27"/>
    </row>
    <row r="157" spans="2:24" x14ac:dyDescent="0.25">
      <c r="B157" s="150" t="s">
        <v>220</v>
      </c>
      <c r="C157" s="308">
        <v>7</v>
      </c>
      <c r="D157" s="308">
        <v>13</v>
      </c>
      <c r="E157" s="308">
        <v>20</v>
      </c>
      <c r="F157" s="308">
        <v>14</v>
      </c>
      <c r="G157" s="308">
        <v>23</v>
      </c>
      <c r="H157" s="308">
        <v>37</v>
      </c>
      <c r="I157" s="308">
        <v>4</v>
      </c>
      <c r="J157" s="308">
        <v>1</v>
      </c>
      <c r="K157" s="308">
        <v>5</v>
      </c>
      <c r="L157" s="308">
        <v>4</v>
      </c>
      <c r="M157" s="308">
        <v>2</v>
      </c>
      <c r="N157" s="308">
        <v>6</v>
      </c>
      <c r="O157" s="352">
        <v>29</v>
      </c>
      <c r="P157" s="352">
        <v>39</v>
      </c>
      <c r="Q157" s="352">
        <v>68</v>
      </c>
      <c r="R157" s="27"/>
      <c r="S157" s="27"/>
      <c r="T157" s="27"/>
      <c r="U157" s="27"/>
      <c r="V157" s="27"/>
      <c r="W157" s="27"/>
      <c r="X157" s="27"/>
    </row>
    <row r="158" spans="2:24" x14ac:dyDescent="0.25">
      <c r="B158" s="150" t="s">
        <v>221</v>
      </c>
      <c r="C158" s="308">
        <v>9</v>
      </c>
      <c r="D158" s="308">
        <v>4</v>
      </c>
      <c r="E158" s="308">
        <v>13</v>
      </c>
      <c r="F158" s="308">
        <v>12</v>
      </c>
      <c r="G158" s="308">
        <v>15</v>
      </c>
      <c r="H158" s="308">
        <v>27</v>
      </c>
      <c r="I158" s="308">
        <v>6</v>
      </c>
      <c r="J158" s="308">
        <v>1</v>
      </c>
      <c r="K158" s="308">
        <v>7</v>
      </c>
      <c r="L158" s="308">
        <v>2</v>
      </c>
      <c r="M158" s="308">
        <v>3</v>
      </c>
      <c r="N158" s="308">
        <v>5</v>
      </c>
      <c r="O158" s="352">
        <v>29</v>
      </c>
      <c r="P158" s="352">
        <v>23</v>
      </c>
      <c r="Q158" s="352">
        <v>52</v>
      </c>
      <c r="R158" s="27"/>
      <c r="S158" s="27"/>
      <c r="T158" s="27"/>
      <c r="U158" s="27"/>
      <c r="V158" s="27"/>
      <c r="W158" s="27"/>
      <c r="X158" s="27"/>
    </row>
    <row r="159" spans="2:24" x14ac:dyDescent="0.25">
      <c r="B159" s="150" t="s">
        <v>222</v>
      </c>
      <c r="C159" s="308">
        <v>12</v>
      </c>
      <c r="D159" s="308">
        <v>17</v>
      </c>
      <c r="E159" s="308">
        <v>29</v>
      </c>
      <c r="F159" s="308">
        <v>43</v>
      </c>
      <c r="G159" s="308">
        <v>28</v>
      </c>
      <c r="H159" s="308">
        <v>71</v>
      </c>
      <c r="I159" s="308">
        <v>7</v>
      </c>
      <c r="J159" s="308">
        <v>2</v>
      </c>
      <c r="K159" s="308">
        <v>9</v>
      </c>
      <c r="L159" s="308">
        <v>1</v>
      </c>
      <c r="M159" s="308">
        <v>4</v>
      </c>
      <c r="N159" s="308">
        <v>5</v>
      </c>
      <c r="O159" s="352">
        <v>63</v>
      </c>
      <c r="P159" s="352">
        <v>51</v>
      </c>
      <c r="Q159" s="352">
        <v>114</v>
      </c>
      <c r="R159" s="27"/>
      <c r="S159" s="27"/>
      <c r="T159" s="27"/>
      <c r="U159" s="27"/>
      <c r="V159" s="27"/>
      <c r="W159" s="27"/>
      <c r="X159" s="27"/>
    </row>
    <row r="160" spans="2:24" x14ac:dyDescent="0.25">
      <c r="B160" s="150" t="s">
        <v>505</v>
      </c>
      <c r="C160" s="308">
        <v>15</v>
      </c>
      <c r="D160" s="308">
        <v>20</v>
      </c>
      <c r="E160" s="308">
        <v>35</v>
      </c>
      <c r="F160" s="308">
        <v>42</v>
      </c>
      <c r="G160" s="308">
        <v>42</v>
      </c>
      <c r="H160" s="308">
        <v>84</v>
      </c>
      <c r="I160" s="308">
        <v>6</v>
      </c>
      <c r="J160" s="308">
        <v>3</v>
      </c>
      <c r="K160" s="308">
        <v>9</v>
      </c>
      <c r="L160" s="308">
        <v>1</v>
      </c>
      <c r="M160" s="308">
        <v>7</v>
      </c>
      <c r="N160" s="308">
        <v>8</v>
      </c>
      <c r="O160" s="352">
        <v>64</v>
      </c>
      <c r="P160" s="352">
        <v>72</v>
      </c>
      <c r="Q160" s="352">
        <v>136</v>
      </c>
      <c r="R160" s="27"/>
      <c r="S160" s="27"/>
      <c r="T160" s="27"/>
      <c r="U160" s="27"/>
      <c r="V160" s="27"/>
      <c r="W160" s="27"/>
      <c r="X160" s="27"/>
    </row>
    <row r="161" spans="2:24" x14ac:dyDescent="0.25">
      <c r="B161" s="150" t="s">
        <v>223</v>
      </c>
      <c r="C161" s="308">
        <v>15</v>
      </c>
      <c r="D161" s="308">
        <v>23</v>
      </c>
      <c r="E161" s="308">
        <v>38</v>
      </c>
      <c r="F161" s="308">
        <v>62</v>
      </c>
      <c r="G161" s="308">
        <v>43</v>
      </c>
      <c r="H161" s="308">
        <v>105</v>
      </c>
      <c r="I161" s="308">
        <v>7</v>
      </c>
      <c r="J161" s="308">
        <v>2</v>
      </c>
      <c r="K161" s="308">
        <v>9</v>
      </c>
      <c r="L161" s="308">
        <v>2</v>
      </c>
      <c r="M161" s="308">
        <v>3</v>
      </c>
      <c r="N161" s="308">
        <v>5</v>
      </c>
      <c r="O161" s="352">
        <v>86</v>
      </c>
      <c r="P161" s="352">
        <v>71</v>
      </c>
      <c r="Q161" s="352">
        <v>157</v>
      </c>
      <c r="R161" s="27"/>
      <c r="S161" s="27"/>
      <c r="T161" s="27"/>
      <c r="U161" s="27"/>
      <c r="V161" s="27"/>
      <c r="W161" s="27"/>
      <c r="X161" s="27"/>
    </row>
    <row r="162" spans="2:24" x14ac:dyDescent="0.25">
      <c r="B162" s="150" t="s">
        <v>224</v>
      </c>
      <c r="C162" s="308">
        <v>5</v>
      </c>
      <c r="D162" s="308">
        <v>1</v>
      </c>
      <c r="E162" s="308">
        <v>6</v>
      </c>
      <c r="F162" s="308">
        <v>4</v>
      </c>
      <c r="G162" s="308">
        <v>4</v>
      </c>
      <c r="H162" s="308">
        <v>8</v>
      </c>
      <c r="I162" s="308">
        <v>5</v>
      </c>
      <c r="J162" s="308"/>
      <c r="K162" s="308">
        <v>5</v>
      </c>
      <c r="L162" s="308"/>
      <c r="M162" s="308">
        <v>2</v>
      </c>
      <c r="N162" s="308">
        <v>2</v>
      </c>
      <c r="O162" s="352">
        <v>14</v>
      </c>
      <c r="P162" s="352">
        <v>7</v>
      </c>
      <c r="Q162" s="352">
        <v>21</v>
      </c>
      <c r="R162" s="27"/>
      <c r="S162" s="27"/>
      <c r="T162" s="27"/>
      <c r="U162" s="27"/>
      <c r="V162" s="27"/>
      <c r="W162" s="27"/>
      <c r="X162" s="27"/>
    </row>
    <row r="163" spans="2:24" x14ac:dyDescent="0.25">
      <c r="B163" s="150" t="s">
        <v>225</v>
      </c>
      <c r="C163" s="308">
        <v>17</v>
      </c>
      <c r="D163" s="308">
        <v>31</v>
      </c>
      <c r="E163" s="308">
        <v>48</v>
      </c>
      <c r="F163" s="308">
        <v>41</v>
      </c>
      <c r="G163" s="308">
        <v>40</v>
      </c>
      <c r="H163" s="308">
        <v>81</v>
      </c>
      <c r="I163" s="308">
        <v>23</v>
      </c>
      <c r="J163" s="308">
        <v>6</v>
      </c>
      <c r="K163" s="308">
        <v>29</v>
      </c>
      <c r="L163" s="308">
        <v>4</v>
      </c>
      <c r="M163" s="308">
        <v>5</v>
      </c>
      <c r="N163" s="308">
        <v>9</v>
      </c>
      <c r="O163" s="352">
        <v>85</v>
      </c>
      <c r="P163" s="352">
        <v>82</v>
      </c>
      <c r="Q163" s="352">
        <v>167</v>
      </c>
      <c r="R163" s="27"/>
      <c r="S163" s="27"/>
      <c r="T163" s="27"/>
      <c r="U163" s="27"/>
      <c r="V163" s="27"/>
      <c r="W163" s="27"/>
      <c r="X163" s="27"/>
    </row>
    <row r="164" spans="2:24" x14ac:dyDescent="0.25">
      <c r="B164" s="150" t="s">
        <v>226</v>
      </c>
      <c r="C164" s="308">
        <v>7</v>
      </c>
      <c r="D164" s="308">
        <v>13</v>
      </c>
      <c r="E164" s="308">
        <v>20</v>
      </c>
      <c r="F164" s="308">
        <v>16</v>
      </c>
      <c r="G164" s="308">
        <v>12</v>
      </c>
      <c r="H164" s="308">
        <v>28</v>
      </c>
      <c r="I164" s="308">
        <v>7</v>
      </c>
      <c r="J164" s="308">
        <v>2</v>
      </c>
      <c r="K164" s="308">
        <v>9</v>
      </c>
      <c r="L164" s="308">
        <v>1</v>
      </c>
      <c r="M164" s="308">
        <v>2</v>
      </c>
      <c r="N164" s="308">
        <v>3</v>
      </c>
      <c r="O164" s="352">
        <v>31</v>
      </c>
      <c r="P164" s="352">
        <v>29</v>
      </c>
      <c r="Q164" s="352">
        <v>60</v>
      </c>
      <c r="R164" s="27"/>
      <c r="S164" s="27"/>
      <c r="T164" s="27"/>
      <c r="U164" s="27"/>
      <c r="V164" s="27"/>
      <c r="W164" s="27"/>
      <c r="X164" s="27"/>
    </row>
    <row r="165" spans="2:24" x14ac:dyDescent="0.25">
      <c r="B165" s="150" t="s">
        <v>227</v>
      </c>
      <c r="C165" s="308">
        <v>6</v>
      </c>
      <c r="D165" s="308">
        <v>3</v>
      </c>
      <c r="E165" s="308">
        <v>9</v>
      </c>
      <c r="F165" s="308">
        <v>9</v>
      </c>
      <c r="G165" s="308">
        <v>13</v>
      </c>
      <c r="H165" s="308">
        <v>22</v>
      </c>
      <c r="I165" s="308">
        <v>1</v>
      </c>
      <c r="J165" s="308">
        <v>2</v>
      </c>
      <c r="K165" s="308">
        <v>3</v>
      </c>
      <c r="L165" s="308"/>
      <c r="M165" s="308">
        <v>4</v>
      </c>
      <c r="N165" s="308">
        <v>4</v>
      </c>
      <c r="O165" s="352">
        <v>16</v>
      </c>
      <c r="P165" s="352">
        <v>22</v>
      </c>
      <c r="Q165" s="352">
        <v>38</v>
      </c>
      <c r="R165" s="27"/>
      <c r="S165" s="27"/>
      <c r="T165" s="27"/>
      <c r="U165" s="27"/>
      <c r="V165" s="27"/>
      <c r="W165" s="27"/>
      <c r="X165" s="27"/>
    </row>
    <row r="166" spans="2:24" x14ac:dyDescent="0.25">
      <c r="B166" s="150" t="s">
        <v>228</v>
      </c>
      <c r="C166" s="308">
        <v>41</v>
      </c>
      <c r="D166" s="308">
        <v>32</v>
      </c>
      <c r="E166" s="308">
        <v>73</v>
      </c>
      <c r="F166" s="308">
        <v>100</v>
      </c>
      <c r="G166" s="308">
        <v>76</v>
      </c>
      <c r="H166" s="308">
        <v>176</v>
      </c>
      <c r="I166" s="308">
        <v>22</v>
      </c>
      <c r="J166" s="308">
        <v>2</v>
      </c>
      <c r="K166" s="308">
        <v>24</v>
      </c>
      <c r="L166" s="308">
        <v>5</v>
      </c>
      <c r="M166" s="308">
        <v>6</v>
      </c>
      <c r="N166" s="308">
        <v>11</v>
      </c>
      <c r="O166" s="352">
        <v>168</v>
      </c>
      <c r="P166" s="352">
        <v>116</v>
      </c>
      <c r="Q166" s="352">
        <v>284</v>
      </c>
      <c r="R166" s="27"/>
      <c r="S166" s="27"/>
      <c r="T166" s="27"/>
      <c r="U166" s="27"/>
      <c r="V166" s="27"/>
      <c r="W166" s="27"/>
      <c r="X166" s="27"/>
    </row>
    <row r="167" spans="2:24" x14ac:dyDescent="0.25">
      <c r="B167" s="150" t="s">
        <v>229</v>
      </c>
      <c r="C167" s="308">
        <v>7</v>
      </c>
      <c r="D167" s="308">
        <v>17</v>
      </c>
      <c r="E167" s="308">
        <v>24</v>
      </c>
      <c r="F167" s="308">
        <v>19</v>
      </c>
      <c r="G167" s="308">
        <v>25</v>
      </c>
      <c r="H167" s="308">
        <v>44</v>
      </c>
      <c r="I167" s="308">
        <v>8</v>
      </c>
      <c r="J167" s="308">
        <v>4</v>
      </c>
      <c r="K167" s="308">
        <v>12</v>
      </c>
      <c r="L167" s="308">
        <v>2</v>
      </c>
      <c r="M167" s="308">
        <v>7</v>
      </c>
      <c r="N167" s="308">
        <v>9</v>
      </c>
      <c r="O167" s="352">
        <v>36</v>
      </c>
      <c r="P167" s="352">
        <v>53</v>
      </c>
      <c r="Q167" s="352">
        <v>89</v>
      </c>
      <c r="R167" s="27"/>
      <c r="S167" s="27"/>
      <c r="T167" s="27"/>
      <c r="U167" s="27"/>
      <c r="V167" s="27"/>
      <c r="W167" s="27"/>
      <c r="X167" s="27"/>
    </row>
    <row r="168" spans="2:24" x14ac:dyDescent="0.25">
      <c r="B168" s="150" t="s">
        <v>230</v>
      </c>
      <c r="C168" s="308">
        <v>7</v>
      </c>
      <c r="D168" s="308">
        <v>12</v>
      </c>
      <c r="E168" s="308">
        <v>19</v>
      </c>
      <c r="F168" s="308">
        <v>15</v>
      </c>
      <c r="G168" s="308">
        <v>9</v>
      </c>
      <c r="H168" s="308">
        <v>24</v>
      </c>
      <c r="I168" s="308">
        <v>6</v>
      </c>
      <c r="J168" s="308">
        <v>2</v>
      </c>
      <c r="K168" s="308">
        <v>8</v>
      </c>
      <c r="L168" s="308">
        <v>1</v>
      </c>
      <c r="M168" s="308">
        <v>2</v>
      </c>
      <c r="N168" s="308">
        <v>3</v>
      </c>
      <c r="O168" s="352">
        <v>29</v>
      </c>
      <c r="P168" s="352">
        <v>25</v>
      </c>
      <c r="Q168" s="352">
        <v>54</v>
      </c>
      <c r="R168" s="27"/>
      <c r="S168" s="27"/>
      <c r="T168" s="27"/>
      <c r="U168" s="27"/>
      <c r="V168" s="27"/>
      <c r="W168" s="27"/>
      <c r="X168" s="27"/>
    </row>
    <row r="169" spans="2:24" x14ac:dyDescent="0.25">
      <c r="B169" s="150" t="s">
        <v>231</v>
      </c>
      <c r="C169" s="308">
        <v>15</v>
      </c>
      <c r="D169" s="308">
        <v>26</v>
      </c>
      <c r="E169" s="308">
        <v>41</v>
      </c>
      <c r="F169" s="308">
        <v>47</v>
      </c>
      <c r="G169" s="308">
        <v>32</v>
      </c>
      <c r="H169" s="308">
        <v>79</v>
      </c>
      <c r="I169" s="308">
        <v>17</v>
      </c>
      <c r="J169" s="308">
        <v>8</v>
      </c>
      <c r="K169" s="308">
        <v>25</v>
      </c>
      <c r="L169" s="308">
        <v>7</v>
      </c>
      <c r="M169" s="308">
        <v>5</v>
      </c>
      <c r="N169" s="308">
        <v>12</v>
      </c>
      <c r="O169" s="352">
        <v>86</v>
      </c>
      <c r="P169" s="352">
        <v>71</v>
      </c>
      <c r="Q169" s="352">
        <v>157</v>
      </c>
      <c r="R169" s="27"/>
      <c r="S169" s="27"/>
      <c r="T169" s="27"/>
      <c r="U169" s="27"/>
      <c r="V169" s="27"/>
      <c r="W169" s="27"/>
      <c r="X169" s="27"/>
    </row>
    <row r="170" spans="2:24" x14ac:dyDescent="0.25">
      <c r="B170" s="150" t="s">
        <v>232</v>
      </c>
      <c r="C170" s="308">
        <v>7</v>
      </c>
      <c r="D170" s="308">
        <v>13</v>
      </c>
      <c r="E170" s="308">
        <v>20</v>
      </c>
      <c r="F170" s="308">
        <v>27</v>
      </c>
      <c r="G170" s="308">
        <v>20</v>
      </c>
      <c r="H170" s="308">
        <v>47</v>
      </c>
      <c r="I170" s="308">
        <v>7</v>
      </c>
      <c r="J170" s="308">
        <v>3</v>
      </c>
      <c r="K170" s="308">
        <v>10</v>
      </c>
      <c r="L170" s="308">
        <v>3</v>
      </c>
      <c r="M170" s="308">
        <v>2</v>
      </c>
      <c r="N170" s="308">
        <v>5</v>
      </c>
      <c r="O170" s="352">
        <v>44</v>
      </c>
      <c r="P170" s="352">
        <v>38</v>
      </c>
      <c r="Q170" s="352">
        <v>82</v>
      </c>
      <c r="R170" s="27"/>
      <c r="S170" s="27"/>
      <c r="T170" s="27"/>
      <c r="U170" s="27"/>
      <c r="V170" s="27"/>
      <c r="W170" s="27"/>
      <c r="X170" s="27"/>
    </row>
    <row r="171" spans="2:24" x14ac:dyDescent="0.25">
      <c r="B171" s="150" t="s">
        <v>233</v>
      </c>
      <c r="C171" s="308">
        <v>5</v>
      </c>
      <c r="D171" s="308">
        <v>13</v>
      </c>
      <c r="E171" s="308">
        <v>18</v>
      </c>
      <c r="F171" s="308">
        <v>8</v>
      </c>
      <c r="G171" s="308">
        <v>9</v>
      </c>
      <c r="H171" s="308">
        <v>17</v>
      </c>
      <c r="I171" s="308">
        <v>6</v>
      </c>
      <c r="J171" s="308"/>
      <c r="K171" s="308">
        <v>6</v>
      </c>
      <c r="L171" s="308"/>
      <c r="M171" s="308">
        <v>1</v>
      </c>
      <c r="N171" s="308">
        <v>1</v>
      </c>
      <c r="O171" s="352">
        <v>19</v>
      </c>
      <c r="P171" s="352">
        <v>23</v>
      </c>
      <c r="Q171" s="352">
        <v>42</v>
      </c>
      <c r="R171" s="27"/>
      <c r="S171" s="27"/>
      <c r="T171" s="27"/>
      <c r="U171" s="27"/>
      <c r="V171" s="27"/>
      <c r="W171" s="27"/>
      <c r="X171" s="27"/>
    </row>
    <row r="172" spans="2:24" x14ac:dyDescent="0.25">
      <c r="B172" s="150" t="s">
        <v>234</v>
      </c>
      <c r="C172" s="308">
        <v>4</v>
      </c>
      <c r="D172" s="308">
        <v>12</v>
      </c>
      <c r="E172" s="308">
        <v>16</v>
      </c>
      <c r="F172" s="308">
        <v>34</v>
      </c>
      <c r="G172" s="308">
        <v>20</v>
      </c>
      <c r="H172" s="308">
        <v>54</v>
      </c>
      <c r="I172" s="308">
        <v>8</v>
      </c>
      <c r="J172" s="308">
        <v>2</v>
      </c>
      <c r="K172" s="308">
        <v>10</v>
      </c>
      <c r="L172" s="308">
        <v>1</v>
      </c>
      <c r="M172" s="308">
        <v>3</v>
      </c>
      <c r="N172" s="308">
        <v>4</v>
      </c>
      <c r="O172" s="352">
        <v>47</v>
      </c>
      <c r="P172" s="352">
        <v>37</v>
      </c>
      <c r="Q172" s="352">
        <v>84</v>
      </c>
      <c r="R172" s="27"/>
      <c r="S172" s="27"/>
      <c r="T172" s="27"/>
      <c r="U172" s="27"/>
      <c r="V172" s="27"/>
      <c r="W172" s="27"/>
      <c r="X172" s="27"/>
    </row>
    <row r="173" spans="2:24" x14ac:dyDescent="0.25">
      <c r="B173" s="150" t="s">
        <v>235</v>
      </c>
      <c r="C173" s="308">
        <v>8</v>
      </c>
      <c r="D173" s="308">
        <v>7</v>
      </c>
      <c r="E173" s="308">
        <v>15</v>
      </c>
      <c r="F173" s="308">
        <v>23</v>
      </c>
      <c r="G173" s="308">
        <v>17</v>
      </c>
      <c r="H173" s="308">
        <v>40</v>
      </c>
      <c r="I173" s="308">
        <v>8</v>
      </c>
      <c r="J173" s="308">
        <v>2</v>
      </c>
      <c r="K173" s="308">
        <v>10</v>
      </c>
      <c r="L173" s="308">
        <v>2</v>
      </c>
      <c r="M173" s="308">
        <v>6</v>
      </c>
      <c r="N173" s="308">
        <v>8</v>
      </c>
      <c r="O173" s="352">
        <v>41</v>
      </c>
      <c r="P173" s="352">
        <v>32</v>
      </c>
      <c r="Q173" s="352">
        <v>73</v>
      </c>
      <c r="R173" s="27"/>
      <c r="S173" s="27"/>
      <c r="T173" s="27"/>
      <c r="U173" s="27"/>
      <c r="V173" s="27"/>
      <c r="W173" s="27"/>
      <c r="X173" s="27"/>
    </row>
    <row r="174" spans="2:24" x14ac:dyDescent="0.25">
      <c r="B174" s="150" t="s">
        <v>236</v>
      </c>
      <c r="C174" s="308">
        <v>8</v>
      </c>
      <c r="D174" s="308">
        <v>8</v>
      </c>
      <c r="E174" s="308">
        <v>16</v>
      </c>
      <c r="F174" s="308">
        <v>11</v>
      </c>
      <c r="G174" s="308">
        <v>9</v>
      </c>
      <c r="H174" s="308">
        <v>20</v>
      </c>
      <c r="I174" s="308">
        <v>2</v>
      </c>
      <c r="J174" s="308"/>
      <c r="K174" s="308">
        <v>2</v>
      </c>
      <c r="L174" s="308">
        <v>1</v>
      </c>
      <c r="M174" s="308">
        <v>2</v>
      </c>
      <c r="N174" s="308">
        <v>3</v>
      </c>
      <c r="O174" s="352">
        <v>22</v>
      </c>
      <c r="P174" s="352">
        <v>19</v>
      </c>
      <c r="Q174" s="352">
        <v>41</v>
      </c>
      <c r="R174" s="27"/>
      <c r="S174" s="27"/>
      <c r="T174" s="27"/>
      <c r="U174" s="27"/>
      <c r="V174" s="27"/>
      <c r="W174" s="27"/>
      <c r="X174" s="27"/>
    </row>
    <row r="175" spans="2:24" x14ac:dyDescent="0.25">
      <c r="B175" s="150" t="s">
        <v>237</v>
      </c>
      <c r="C175" s="308">
        <v>12</v>
      </c>
      <c r="D175" s="308">
        <v>16</v>
      </c>
      <c r="E175" s="308">
        <v>28</v>
      </c>
      <c r="F175" s="308">
        <v>18</v>
      </c>
      <c r="G175" s="308">
        <v>24</v>
      </c>
      <c r="H175" s="308">
        <v>42</v>
      </c>
      <c r="I175" s="308">
        <v>7</v>
      </c>
      <c r="J175" s="308">
        <v>1</v>
      </c>
      <c r="K175" s="308">
        <v>8</v>
      </c>
      <c r="L175" s="308">
        <v>2</v>
      </c>
      <c r="M175" s="308">
        <v>1</v>
      </c>
      <c r="N175" s="308">
        <v>3</v>
      </c>
      <c r="O175" s="352">
        <v>39</v>
      </c>
      <c r="P175" s="352">
        <v>42</v>
      </c>
      <c r="Q175" s="352">
        <v>81</v>
      </c>
      <c r="R175" s="27"/>
      <c r="S175" s="27"/>
      <c r="T175" s="27"/>
      <c r="U175" s="27"/>
      <c r="V175" s="27"/>
      <c r="W175" s="27"/>
      <c r="X175" s="27"/>
    </row>
    <row r="176" spans="2:24" x14ac:dyDescent="0.25">
      <c r="B176" s="150" t="s">
        <v>238</v>
      </c>
      <c r="C176" s="308">
        <v>8</v>
      </c>
      <c r="D176" s="308">
        <v>16</v>
      </c>
      <c r="E176" s="308">
        <v>24</v>
      </c>
      <c r="F176" s="308">
        <v>19</v>
      </c>
      <c r="G176" s="308">
        <v>16</v>
      </c>
      <c r="H176" s="308">
        <v>35</v>
      </c>
      <c r="I176" s="308">
        <v>3</v>
      </c>
      <c r="J176" s="308">
        <v>1</v>
      </c>
      <c r="K176" s="308">
        <v>4</v>
      </c>
      <c r="L176" s="308">
        <v>1</v>
      </c>
      <c r="M176" s="308">
        <v>3</v>
      </c>
      <c r="N176" s="308">
        <v>4</v>
      </c>
      <c r="O176" s="352">
        <v>31</v>
      </c>
      <c r="P176" s="352">
        <v>36</v>
      </c>
      <c r="Q176" s="352">
        <v>67</v>
      </c>
      <c r="R176" s="27"/>
      <c r="S176" s="27"/>
      <c r="T176" s="27"/>
      <c r="U176" s="27"/>
      <c r="V176" s="27"/>
      <c r="W176" s="27"/>
      <c r="X176" s="27"/>
    </row>
    <row r="177" spans="1:24" x14ac:dyDescent="0.25">
      <c r="B177" s="150" t="s">
        <v>239</v>
      </c>
      <c r="C177" s="308">
        <v>10</v>
      </c>
      <c r="D177" s="308">
        <v>24</v>
      </c>
      <c r="E177" s="308">
        <v>34</v>
      </c>
      <c r="F177" s="308">
        <v>32</v>
      </c>
      <c r="G177" s="308">
        <v>23</v>
      </c>
      <c r="H177" s="308">
        <v>55</v>
      </c>
      <c r="I177" s="308">
        <v>16</v>
      </c>
      <c r="J177" s="308">
        <v>4</v>
      </c>
      <c r="K177" s="308">
        <v>20</v>
      </c>
      <c r="L177" s="308">
        <v>1</v>
      </c>
      <c r="M177" s="308">
        <v>3</v>
      </c>
      <c r="N177" s="308">
        <v>4</v>
      </c>
      <c r="O177" s="352">
        <v>59</v>
      </c>
      <c r="P177" s="352">
        <v>54</v>
      </c>
      <c r="Q177" s="352">
        <v>113</v>
      </c>
      <c r="R177" s="27"/>
      <c r="S177" s="27"/>
      <c r="T177" s="27"/>
      <c r="U177" s="27"/>
      <c r="V177" s="27"/>
      <c r="W177" s="27"/>
      <c r="X177" s="27"/>
    </row>
    <row r="178" spans="1:24" x14ac:dyDescent="0.25">
      <c r="B178" s="150" t="s">
        <v>240</v>
      </c>
      <c r="C178" s="308">
        <v>18</v>
      </c>
      <c r="D178" s="308">
        <v>19</v>
      </c>
      <c r="E178" s="308">
        <v>37</v>
      </c>
      <c r="F178" s="308">
        <v>42</v>
      </c>
      <c r="G178" s="308">
        <v>29</v>
      </c>
      <c r="H178" s="308">
        <v>71</v>
      </c>
      <c r="I178" s="308">
        <v>9</v>
      </c>
      <c r="J178" s="308">
        <v>3</v>
      </c>
      <c r="K178" s="308">
        <v>12</v>
      </c>
      <c r="L178" s="308"/>
      <c r="M178" s="308">
        <v>2</v>
      </c>
      <c r="N178" s="308">
        <v>2</v>
      </c>
      <c r="O178" s="352">
        <v>69</v>
      </c>
      <c r="P178" s="352">
        <v>53</v>
      </c>
      <c r="Q178" s="352">
        <v>122</v>
      </c>
      <c r="R178" s="27"/>
      <c r="S178" s="27"/>
      <c r="T178" s="27"/>
      <c r="U178" s="27"/>
      <c r="V178" s="27"/>
      <c r="W178" s="27"/>
      <c r="X178" s="27"/>
    </row>
    <row r="179" spans="1:24" x14ac:dyDescent="0.25">
      <c r="B179" s="150" t="s">
        <v>241</v>
      </c>
      <c r="C179" s="308">
        <v>5</v>
      </c>
      <c r="D179" s="308">
        <v>9</v>
      </c>
      <c r="E179" s="308">
        <v>14</v>
      </c>
      <c r="F179" s="308">
        <v>12</v>
      </c>
      <c r="G179" s="308">
        <v>10</v>
      </c>
      <c r="H179" s="308">
        <v>22</v>
      </c>
      <c r="I179" s="308">
        <v>5</v>
      </c>
      <c r="J179" s="308">
        <v>3</v>
      </c>
      <c r="K179" s="308">
        <v>8</v>
      </c>
      <c r="L179" s="308">
        <v>2</v>
      </c>
      <c r="M179" s="308"/>
      <c r="N179" s="308">
        <v>2</v>
      </c>
      <c r="O179" s="352">
        <v>24</v>
      </c>
      <c r="P179" s="352">
        <v>22</v>
      </c>
      <c r="Q179" s="352">
        <v>46</v>
      </c>
      <c r="R179" s="27"/>
      <c r="S179" s="27"/>
      <c r="T179" s="27"/>
      <c r="U179" s="27"/>
      <c r="V179" s="27"/>
      <c r="W179" s="27"/>
      <c r="X179" s="27"/>
    </row>
    <row r="180" spans="1:24" x14ac:dyDescent="0.25">
      <c r="B180" s="150" t="s">
        <v>242</v>
      </c>
      <c r="C180" s="308">
        <v>5</v>
      </c>
      <c r="D180" s="308">
        <v>7</v>
      </c>
      <c r="E180" s="308">
        <v>12</v>
      </c>
      <c r="F180" s="308">
        <v>7</v>
      </c>
      <c r="G180" s="308">
        <v>11</v>
      </c>
      <c r="H180" s="308">
        <v>18</v>
      </c>
      <c r="I180" s="308">
        <v>3</v>
      </c>
      <c r="J180" s="308">
        <v>1</v>
      </c>
      <c r="K180" s="308">
        <v>4</v>
      </c>
      <c r="L180" s="308"/>
      <c r="M180" s="308">
        <v>2</v>
      </c>
      <c r="N180" s="308">
        <v>2</v>
      </c>
      <c r="O180" s="352">
        <v>15</v>
      </c>
      <c r="P180" s="352">
        <v>21</v>
      </c>
      <c r="Q180" s="352">
        <v>36</v>
      </c>
      <c r="R180" s="27"/>
      <c r="S180" s="27"/>
      <c r="T180" s="27"/>
      <c r="U180" s="27"/>
      <c r="V180" s="27"/>
      <c r="W180" s="27"/>
      <c r="X180" s="27"/>
    </row>
    <row r="181" spans="1:24" x14ac:dyDescent="0.25">
      <c r="B181" s="150" t="s">
        <v>243</v>
      </c>
      <c r="C181" s="308">
        <v>10</v>
      </c>
      <c r="D181" s="308">
        <v>10</v>
      </c>
      <c r="E181" s="308">
        <v>20</v>
      </c>
      <c r="F181" s="308">
        <v>20</v>
      </c>
      <c r="G181" s="308">
        <v>14</v>
      </c>
      <c r="H181" s="308">
        <v>34</v>
      </c>
      <c r="I181" s="308">
        <v>10</v>
      </c>
      <c r="J181" s="308">
        <v>2</v>
      </c>
      <c r="K181" s="308">
        <v>12</v>
      </c>
      <c r="L181" s="308">
        <v>5</v>
      </c>
      <c r="M181" s="308">
        <v>1</v>
      </c>
      <c r="N181" s="308">
        <v>6</v>
      </c>
      <c r="O181" s="352">
        <v>45</v>
      </c>
      <c r="P181" s="352">
        <v>27</v>
      </c>
      <c r="Q181" s="352">
        <v>72</v>
      </c>
      <c r="R181" s="27"/>
      <c r="S181" s="27"/>
      <c r="T181" s="27"/>
      <c r="U181" s="27"/>
      <c r="V181" s="27"/>
      <c r="W181" s="27"/>
      <c r="X181" s="27"/>
    </row>
    <row r="182" spans="1:24" x14ac:dyDescent="0.25">
      <c r="B182" s="150" t="s">
        <v>244</v>
      </c>
      <c r="C182" s="308">
        <v>181</v>
      </c>
      <c r="D182" s="308">
        <v>197</v>
      </c>
      <c r="E182" s="308">
        <v>378</v>
      </c>
      <c r="F182" s="308">
        <v>646</v>
      </c>
      <c r="G182" s="308">
        <v>413</v>
      </c>
      <c r="H182" s="308">
        <v>1059</v>
      </c>
      <c r="I182" s="308">
        <v>91</v>
      </c>
      <c r="J182" s="308">
        <v>27</v>
      </c>
      <c r="K182" s="308">
        <v>118</v>
      </c>
      <c r="L182" s="308">
        <v>54</v>
      </c>
      <c r="M182" s="308">
        <v>57</v>
      </c>
      <c r="N182" s="308">
        <v>111</v>
      </c>
      <c r="O182" s="352">
        <v>972</v>
      </c>
      <c r="P182" s="352">
        <v>694</v>
      </c>
      <c r="Q182" s="352">
        <v>1666</v>
      </c>
      <c r="R182" s="27"/>
      <c r="S182" s="27"/>
      <c r="T182" s="27"/>
      <c r="U182" s="27"/>
      <c r="V182" s="27"/>
      <c r="W182" s="27"/>
      <c r="X182" s="27"/>
    </row>
    <row r="183" spans="1:24" x14ac:dyDescent="0.25">
      <c r="B183" s="150" t="s">
        <v>245</v>
      </c>
      <c r="C183" s="308">
        <v>27</v>
      </c>
      <c r="D183" s="308">
        <v>55</v>
      </c>
      <c r="E183" s="308">
        <v>82</v>
      </c>
      <c r="F183" s="308">
        <v>101</v>
      </c>
      <c r="G183" s="308">
        <v>82</v>
      </c>
      <c r="H183" s="308">
        <v>183</v>
      </c>
      <c r="I183" s="308">
        <v>20</v>
      </c>
      <c r="J183" s="308">
        <v>5</v>
      </c>
      <c r="K183" s="308">
        <v>25</v>
      </c>
      <c r="L183" s="308">
        <v>9</v>
      </c>
      <c r="M183" s="308">
        <v>11</v>
      </c>
      <c r="N183" s="308">
        <v>20</v>
      </c>
      <c r="O183" s="352">
        <v>157</v>
      </c>
      <c r="P183" s="352">
        <v>153</v>
      </c>
      <c r="Q183" s="352">
        <v>310</v>
      </c>
      <c r="R183" s="27"/>
      <c r="S183" s="27"/>
      <c r="T183" s="27"/>
      <c r="U183" s="27"/>
      <c r="V183" s="27"/>
      <c r="W183" s="27"/>
      <c r="X183" s="27"/>
    </row>
    <row r="184" spans="1:24" x14ac:dyDescent="0.25">
      <c r="B184" s="150" t="s">
        <v>246</v>
      </c>
      <c r="C184" s="308">
        <v>18</v>
      </c>
      <c r="D184" s="308">
        <v>23</v>
      </c>
      <c r="E184" s="308">
        <v>41</v>
      </c>
      <c r="F184" s="308">
        <v>43</v>
      </c>
      <c r="G184" s="308">
        <v>51</v>
      </c>
      <c r="H184" s="308">
        <v>94</v>
      </c>
      <c r="I184" s="308">
        <v>8</v>
      </c>
      <c r="J184" s="308">
        <v>2</v>
      </c>
      <c r="K184" s="308">
        <v>10</v>
      </c>
      <c r="L184" s="308">
        <v>4</v>
      </c>
      <c r="M184" s="308">
        <v>6</v>
      </c>
      <c r="N184" s="308">
        <v>10</v>
      </c>
      <c r="O184" s="352">
        <v>73</v>
      </c>
      <c r="P184" s="352">
        <v>82</v>
      </c>
      <c r="Q184" s="352">
        <v>155</v>
      </c>
      <c r="R184" s="27"/>
      <c r="S184" s="27"/>
      <c r="T184" s="27"/>
      <c r="U184" s="27"/>
      <c r="V184" s="27"/>
      <c r="W184" s="27"/>
      <c r="X184" s="27"/>
    </row>
    <row r="185" spans="1:24" x14ac:dyDescent="0.25">
      <c r="B185" s="150" t="s">
        <v>247</v>
      </c>
      <c r="C185" s="308">
        <v>32</v>
      </c>
      <c r="D185" s="308">
        <v>55</v>
      </c>
      <c r="E185" s="308">
        <v>87</v>
      </c>
      <c r="F185" s="308">
        <v>138</v>
      </c>
      <c r="G185" s="308">
        <v>100</v>
      </c>
      <c r="H185" s="308">
        <v>238</v>
      </c>
      <c r="I185" s="308">
        <v>27</v>
      </c>
      <c r="J185" s="308">
        <v>16</v>
      </c>
      <c r="K185" s="308">
        <v>43</v>
      </c>
      <c r="L185" s="308">
        <v>16</v>
      </c>
      <c r="M185" s="308">
        <v>15</v>
      </c>
      <c r="N185" s="308">
        <v>31</v>
      </c>
      <c r="O185" s="352">
        <v>213</v>
      </c>
      <c r="P185" s="352">
        <v>186</v>
      </c>
      <c r="Q185" s="352">
        <v>399</v>
      </c>
      <c r="R185" s="27"/>
      <c r="S185" s="27"/>
      <c r="T185" s="27"/>
      <c r="U185" s="27"/>
      <c r="V185" s="27"/>
      <c r="W185" s="27"/>
      <c r="X185" s="27"/>
    </row>
    <row r="186" spans="1:24" x14ac:dyDescent="0.25">
      <c r="B186" s="150" t="s">
        <v>248</v>
      </c>
      <c r="C186" s="308">
        <v>38</v>
      </c>
      <c r="D186" s="308">
        <v>39</v>
      </c>
      <c r="E186" s="308">
        <v>77</v>
      </c>
      <c r="F186" s="308">
        <v>79</v>
      </c>
      <c r="G186" s="308">
        <v>72</v>
      </c>
      <c r="H186" s="308">
        <v>151</v>
      </c>
      <c r="I186" s="308">
        <v>23</v>
      </c>
      <c r="J186" s="308">
        <v>9</v>
      </c>
      <c r="K186" s="308">
        <v>32</v>
      </c>
      <c r="L186" s="308">
        <v>6</v>
      </c>
      <c r="M186" s="308">
        <v>14</v>
      </c>
      <c r="N186" s="308">
        <v>20</v>
      </c>
      <c r="O186" s="352">
        <v>146</v>
      </c>
      <c r="P186" s="352">
        <v>134</v>
      </c>
      <c r="Q186" s="352">
        <v>280</v>
      </c>
      <c r="R186" s="27"/>
      <c r="S186" s="27"/>
      <c r="T186" s="27"/>
      <c r="U186" s="27"/>
      <c r="V186" s="27"/>
      <c r="W186" s="27"/>
      <c r="X186" s="27"/>
    </row>
    <row r="187" spans="1:24" x14ac:dyDescent="0.25">
      <c r="B187" s="170" t="s">
        <v>249</v>
      </c>
      <c r="C187" s="312">
        <v>15</v>
      </c>
      <c r="D187" s="312">
        <v>39</v>
      </c>
      <c r="E187" s="312">
        <v>54</v>
      </c>
      <c r="F187" s="312">
        <v>61</v>
      </c>
      <c r="G187" s="312">
        <v>38</v>
      </c>
      <c r="H187" s="312">
        <v>99</v>
      </c>
      <c r="I187" s="312">
        <v>22</v>
      </c>
      <c r="J187" s="312">
        <v>4</v>
      </c>
      <c r="K187" s="312">
        <v>26</v>
      </c>
      <c r="L187" s="312">
        <v>12</v>
      </c>
      <c r="M187" s="312">
        <v>7</v>
      </c>
      <c r="N187" s="312">
        <v>19</v>
      </c>
      <c r="O187" s="352">
        <v>110</v>
      </c>
      <c r="P187" s="352">
        <v>88</v>
      </c>
      <c r="Q187" s="352">
        <v>198</v>
      </c>
      <c r="R187" s="27"/>
      <c r="S187" s="27"/>
      <c r="T187" s="27"/>
      <c r="U187" s="27"/>
      <c r="V187" s="27"/>
      <c r="W187" s="27"/>
      <c r="X187" s="27"/>
    </row>
    <row r="188" spans="1:24" x14ac:dyDescent="0.25">
      <c r="B188" s="351" t="s">
        <v>35</v>
      </c>
      <c r="C188" s="302">
        <v>600</v>
      </c>
      <c r="D188" s="302">
        <v>826</v>
      </c>
      <c r="E188" s="302">
        <v>1426</v>
      </c>
      <c r="F188" s="302">
        <v>1845</v>
      </c>
      <c r="G188" s="302">
        <v>1366</v>
      </c>
      <c r="H188" s="300">
        <v>3211</v>
      </c>
      <c r="I188" s="302">
        <v>421</v>
      </c>
      <c r="J188" s="300">
        <v>127</v>
      </c>
      <c r="K188" s="302">
        <v>548</v>
      </c>
      <c r="L188" s="300">
        <v>160</v>
      </c>
      <c r="M188" s="302">
        <v>192</v>
      </c>
      <c r="N188" s="300">
        <v>352</v>
      </c>
      <c r="O188" s="352">
        <v>3026</v>
      </c>
      <c r="P188" s="352">
        <v>2511</v>
      </c>
      <c r="Q188" s="352">
        <v>5537</v>
      </c>
      <c r="R188" s="27"/>
      <c r="S188" s="27"/>
      <c r="T188" s="27"/>
      <c r="U188" s="27"/>
      <c r="V188" s="27"/>
      <c r="W188" s="27"/>
      <c r="X188" s="27"/>
    </row>
    <row r="189" spans="1:24" ht="113.25" customHeight="1" x14ac:dyDescent="0.25">
      <c r="B189" s="489" t="s">
        <v>928</v>
      </c>
      <c r="C189" s="489"/>
      <c r="D189" s="489"/>
      <c r="E189" s="489"/>
      <c r="F189" s="489"/>
      <c r="G189" s="489"/>
      <c r="H189" s="489"/>
      <c r="I189" s="489"/>
      <c r="J189" s="489"/>
      <c r="K189" s="489"/>
      <c r="L189" s="489"/>
      <c r="M189" s="489"/>
      <c r="N189" s="489"/>
      <c r="O189" s="489"/>
      <c r="P189" s="489"/>
      <c r="Q189" s="489"/>
      <c r="R189" s="27"/>
      <c r="S189" s="27"/>
      <c r="T189" s="27"/>
      <c r="U189" s="27"/>
      <c r="V189" s="27"/>
      <c r="W189" s="27"/>
    </row>
    <row r="190" spans="1:24" x14ac:dyDescent="0.25">
      <c r="B190" s="172"/>
      <c r="C190" s="172"/>
      <c r="D190" s="172"/>
      <c r="E190"/>
      <c r="F190"/>
      <c r="G190"/>
      <c r="H190" s="27"/>
      <c r="I190" s="27"/>
      <c r="J190" s="27"/>
      <c r="K190" s="27"/>
      <c r="L190" s="27"/>
      <c r="M190" s="27"/>
      <c r="N190" s="27"/>
      <c r="O190" s="27"/>
      <c r="P190" s="27"/>
      <c r="Q190" s="27"/>
      <c r="R190" s="27"/>
      <c r="S190" s="27"/>
      <c r="T190" s="27"/>
      <c r="U190" s="27"/>
      <c r="V190" s="27"/>
      <c r="W190" s="27"/>
    </row>
    <row r="191" spans="1:24" x14ac:dyDescent="0.25">
      <c r="A191"/>
      <c r="B191" s="201" t="s">
        <v>523</v>
      </c>
      <c r="C191"/>
      <c r="D191"/>
      <c r="E191"/>
      <c r="F191"/>
      <c r="G191"/>
      <c r="H191" s="27"/>
      <c r="I191" s="27"/>
      <c r="J191" s="27"/>
      <c r="K191" s="27"/>
      <c r="L191" s="27"/>
      <c r="M191" s="27"/>
      <c r="N191" s="27"/>
      <c r="O191" s="27"/>
      <c r="P191" s="27"/>
      <c r="Q191" s="27"/>
      <c r="R191" s="27"/>
      <c r="S191" s="27"/>
      <c r="T191" s="27"/>
      <c r="U191" s="27"/>
      <c r="V191" s="27"/>
      <c r="W191" s="27"/>
    </row>
    <row r="192" spans="1:24" x14ac:dyDescent="0.25">
      <c r="A192"/>
      <c r="B192" s="201"/>
      <c r="C192"/>
      <c r="D192"/>
      <c r="E192"/>
      <c r="F192"/>
      <c r="G192"/>
      <c r="H192" s="27"/>
      <c r="I192" s="27"/>
      <c r="J192" s="27"/>
      <c r="K192" s="27"/>
      <c r="L192" s="27"/>
      <c r="M192" s="27"/>
      <c r="N192" s="27"/>
      <c r="O192" s="27"/>
      <c r="P192" s="27"/>
      <c r="Q192" s="27"/>
      <c r="R192" s="27"/>
      <c r="S192" s="27"/>
      <c r="T192" s="27"/>
      <c r="U192" s="27"/>
      <c r="V192" s="27"/>
      <c r="W192" s="27"/>
    </row>
    <row r="193" spans="1:24" ht="15" customHeight="1" x14ac:dyDescent="0.25">
      <c r="A193"/>
      <c r="B193" s="490" t="s">
        <v>544</v>
      </c>
      <c r="C193" s="479" t="s">
        <v>488</v>
      </c>
      <c r="D193" s="479"/>
      <c r="E193" s="479"/>
      <c r="F193" s="479"/>
      <c r="G193" s="479"/>
      <c r="H193" s="479"/>
      <c r="I193" s="479"/>
      <c r="J193" s="479"/>
      <c r="K193" s="479"/>
      <c r="L193" s="479"/>
      <c r="M193" s="479"/>
      <c r="N193" s="479"/>
      <c r="O193" s="483" t="s">
        <v>746</v>
      </c>
      <c r="P193" s="484"/>
      <c r="Q193" s="485"/>
      <c r="R193" s="27"/>
      <c r="S193" s="27"/>
      <c r="T193" s="27"/>
      <c r="U193" s="27"/>
      <c r="V193" s="27"/>
      <c r="W193" s="27"/>
    </row>
    <row r="194" spans="1:24" ht="15" customHeight="1" x14ac:dyDescent="0.25">
      <c r="B194" s="490"/>
      <c r="C194" s="479" t="s">
        <v>707</v>
      </c>
      <c r="D194" s="479"/>
      <c r="E194" s="479"/>
      <c r="F194" s="479" t="s">
        <v>497</v>
      </c>
      <c r="G194" s="479"/>
      <c r="H194" s="479"/>
      <c r="I194" s="479" t="s">
        <v>4</v>
      </c>
      <c r="J194" s="479"/>
      <c r="K194" s="479"/>
      <c r="L194" s="479" t="s">
        <v>6</v>
      </c>
      <c r="M194" s="479"/>
      <c r="N194" s="479"/>
      <c r="O194" s="486"/>
      <c r="P194" s="487"/>
      <c r="Q194" s="488"/>
      <c r="R194" s="27"/>
      <c r="S194" s="27"/>
      <c r="T194" s="27"/>
      <c r="U194" s="27"/>
      <c r="V194" s="27"/>
      <c r="W194" s="27"/>
    </row>
    <row r="195" spans="1:24" x14ac:dyDescent="0.25">
      <c r="B195" s="490"/>
      <c r="C195" s="175" t="s">
        <v>83</v>
      </c>
      <c r="D195" s="175" t="s">
        <v>84</v>
      </c>
      <c r="E195" s="175" t="s">
        <v>35</v>
      </c>
      <c r="F195" s="175" t="s">
        <v>83</v>
      </c>
      <c r="G195" s="175" t="s">
        <v>84</v>
      </c>
      <c r="H195" s="175" t="s">
        <v>35</v>
      </c>
      <c r="I195" s="175" t="s">
        <v>83</v>
      </c>
      <c r="J195" s="175" t="s">
        <v>84</v>
      </c>
      <c r="K195" s="175" t="s">
        <v>35</v>
      </c>
      <c r="L195" s="175" t="s">
        <v>83</v>
      </c>
      <c r="M195" s="175" t="s">
        <v>84</v>
      </c>
      <c r="N195" s="175" t="s">
        <v>35</v>
      </c>
      <c r="O195" s="262" t="s">
        <v>83</v>
      </c>
      <c r="P195" s="262" t="s">
        <v>84</v>
      </c>
      <c r="Q195" s="262" t="s">
        <v>35</v>
      </c>
      <c r="R195" s="27"/>
      <c r="S195" s="27"/>
      <c r="T195" s="27"/>
      <c r="U195" s="27"/>
      <c r="V195" s="27"/>
      <c r="W195" s="27"/>
    </row>
    <row r="196" spans="1:24" x14ac:dyDescent="0.25">
      <c r="B196" s="171" t="s">
        <v>250</v>
      </c>
      <c r="C196" s="308">
        <v>35</v>
      </c>
      <c r="D196" s="308">
        <v>37</v>
      </c>
      <c r="E196" s="308">
        <v>72</v>
      </c>
      <c r="F196" s="308">
        <v>63</v>
      </c>
      <c r="G196" s="308">
        <v>50</v>
      </c>
      <c r="H196" s="308">
        <v>113</v>
      </c>
      <c r="I196" s="308">
        <v>20</v>
      </c>
      <c r="J196" s="308">
        <v>9</v>
      </c>
      <c r="K196" s="308">
        <v>29</v>
      </c>
      <c r="L196" s="308">
        <v>8</v>
      </c>
      <c r="M196" s="308">
        <v>9</v>
      </c>
      <c r="N196" s="308">
        <v>17</v>
      </c>
      <c r="O196" s="352">
        <v>126</v>
      </c>
      <c r="P196" s="352">
        <v>105</v>
      </c>
      <c r="Q196" s="352">
        <v>231</v>
      </c>
      <c r="R196" s="27"/>
      <c r="S196" s="27"/>
      <c r="T196" s="27"/>
      <c r="U196" s="27"/>
      <c r="V196" s="27"/>
      <c r="W196" s="27"/>
      <c r="X196" s="27"/>
    </row>
    <row r="197" spans="1:24" x14ac:dyDescent="0.25">
      <c r="B197" s="150" t="s">
        <v>251</v>
      </c>
      <c r="C197" s="308">
        <v>7</v>
      </c>
      <c r="D197" s="308">
        <v>7</v>
      </c>
      <c r="E197" s="308">
        <v>14</v>
      </c>
      <c r="F197" s="308">
        <v>8</v>
      </c>
      <c r="G197" s="308">
        <v>7</v>
      </c>
      <c r="H197" s="308">
        <v>15</v>
      </c>
      <c r="I197" s="308">
        <v>3</v>
      </c>
      <c r="J197" s="308">
        <v>6</v>
      </c>
      <c r="K197" s="308">
        <v>9</v>
      </c>
      <c r="L197" s="308"/>
      <c r="M197" s="308"/>
      <c r="N197" s="308"/>
      <c r="O197" s="352">
        <v>18</v>
      </c>
      <c r="P197" s="352">
        <v>20</v>
      </c>
      <c r="Q197" s="352">
        <v>38</v>
      </c>
      <c r="R197" s="27"/>
      <c r="S197" s="27"/>
      <c r="T197" s="27"/>
      <c r="U197" s="27"/>
      <c r="V197" s="27"/>
      <c r="W197" s="27"/>
      <c r="X197" s="27"/>
    </row>
    <row r="198" spans="1:24" x14ac:dyDescent="0.25">
      <c r="B198" s="150" t="s">
        <v>252</v>
      </c>
      <c r="C198" s="308">
        <v>14</v>
      </c>
      <c r="D198" s="308">
        <v>30</v>
      </c>
      <c r="E198" s="308">
        <v>44</v>
      </c>
      <c r="F198" s="308">
        <v>37</v>
      </c>
      <c r="G198" s="308">
        <v>27</v>
      </c>
      <c r="H198" s="308">
        <v>64</v>
      </c>
      <c r="I198" s="308">
        <v>13</v>
      </c>
      <c r="J198" s="308">
        <v>4</v>
      </c>
      <c r="K198" s="308">
        <v>17</v>
      </c>
      <c r="L198" s="308">
        <v>6</v>
      </c>
      <c r="M198" s="308">
        <v>3</v>
      </c>
      <c r="N198" s="308">
        <v>9</v>
      </c>
      <c r="O198" s="352">
        <v>70</v>
      </c>
      <c r="P198" s="352">
        <v>64</v>
      </c>
      <c r="Q198" s="352">
        <v>134</v>
      </c>
      <c r="R198" s="27"/>
      <c r="S198" s="27"/>
      <c r="T198" s="27"/>
      <c r="U198" s="27"/>
      <c r="V198" s="27"/>
      <c r="W198" s="27"/>
      <c r="X198" s="27"/>
    </row>
    <row r="199" spans="1:24" x14ac:dyDescent="0.25">
      <c r="B199" s="150" t="s">
        <v>253</v>
      </c>
      <c r="C199" s="308">
        <v>39</v>
      </c>
      <c r="D199" s="308">
        <v>34</v>
      </c>
      <c r="E199" s="308">
        <v>73</v>
      </c>
      <c r="F199" s="308">
        <v>53</v>
      </c>
      <c r="G199" s="308">
        <v>60</v>
      </c>
      <c r="H199" s="308">
        <v>113</v>
      </c>
      <c r="I199" s="308">
        <v>23</v>
      </c>
      <c r="J199" s="308">
        <v>11</v>
      </c>
      <c r="K199" s="308">
        <v>34</v>
      </c>
      <c r="L199" s="308">
        <v>9</v>
      </c>
      <c r="M199" s="308">
        <v>3</v>
      </c>
      <c r="N199" s="308">
        <v>12</v>
      </c>
      <c r="O199" s="352">
        <v>124</v>
      </c>
      <c r="P199" s="352">
        <v>108</v>
      </c>
      <c r="Q199" s="352">
        <v>232</v>
      </c>
      <c r="R199" s="27"/>
      <c r="S199" s="27"/>
      <c r="T199" s="27"/>
      <c r="U199" s="27"/>
      <c r="V199" s="27"/>
      <c r="W199" s="27"/>
      <c r="X199" s="27"/>
    </row>
    <row r="200" spans="1:24" x14ac:dyDescent="0.25">
      <c r="B200" s="150" t="s">
        <v>254</v>
      </c>
      <c r="C200" s="308">
        <v>16</v>
      </c>
      <c r="D200" s="308">
        <v>13</v>
      </c>
      <c r="E200" s="308">
        <v>29</v>
      </c>
      <c r="F200" s="308">
        <v>13</v>
      </c>
      <c r="G200" s="308">
        <v>11</v>
      </c>
      <c r="H200" s="308">
        <v>24</v>
      </c>
      <c r="I200" s="308">
        <v>7</v>
      </c>
      <c r="J200" s="308">
        <v>2</v>
      </c>
      <c r="K200" s="308">
        <v>9</v>
      </c>
      <c r="L200" s="308">
        <v>1</v>
      </c>
      <c r="M200" s="308"/>
      <c r="N200" s="308">
        <v>1</v>
      </c>
      <c r="O200" s="352">
        <v>37</v>
      </c>
      <c r="P200" s="352">
        <v>26</v>
      </c>
      <c r="Q200" s="352">
        <v>63</v>
      </c>
      <c r="R200" s="27"/>
      <c r="S200" s="27"/>
      <c r="T200" s="27"/>
      <c r="U200" s="27"/>
      <c r="V200" s="27"/>
      <c r="W200" s="27"/>
      <c r="X200" s="27"/>
    </row>
    <row r="201" spans="1:24" x14ac:dyDescent="0.25">
      <c r="B201" s="150" t="s">
        <v>255</v>
      </c>
      <c r="C201" s="308">
        <v>74</v>
      </c>
      <c r="D201" s="308">
        <v>135</v>
      </c>
      <c r="E201" s="308">
        <v>209</v>
      </c>
      <c r="F201" s="308">
        <v>319</v>
      </c>
      <c r="G201" s="308">
        <v>194</v>
      </c>
      <c r="H201" s="308">
        <v>513</v>
      </c>
      <c r="I201" s="308">
        <v>31</v>
      </c>
      <c r="J201" s="308">
        <v>15</v>
      </c>
      <c r="K201" s="308">
        <v>46</v>
      </c>
      <c r="L201" s="308">
        <v>19</v>
      </c>
      <c r="M201" s="308">
        <v>44</v>
      </c>
      <c r="N201" s="308">
        <v>63</v>
      </c>
      <c r="O201" s="352">
        <v>443</v>
      </c>
      <c r="P201" s="352">
        <v>388</v>
      </c>
      <c r="Q201" s="352">
        <v>831</v>
      </c>
      <c r="R201" s="27"/>
      <c r="S201" s="27"/>
      <c r="T201" s="27"/>
      <c r="U201" s="27"/>
      <c r="V201" s="27"/>
      <c r="W201" s="27"/>
      <c r="X201" s="27"/>
    </row>
    <row r="202" spans="1:24" x14ac:dyDescent="0.25">
      <c r="B202" s="150" t="s">
        <v>256</v>
      </c>
      <c r="C202" s="308">
        <v>3</v>
      </c>
      <c r="D202" s="308">
        <v>1</v>
      </c>
      <c r="E202" s="308">
        <v>4</v>
      </c>
      <c r="F202" s="308">
        <v>4</v>
      </c>
      <c r="G202" s="308">
        <v>2</v>
      </c>
      <c r="H202" s="308">
        <v>6</v>
      </c>
      <c r="I202" s="308"/>
      <c r="J202" s="308">
        <v>1</v>
      </c>
      <c r="K202" s="308">
        <v>1</v>
      </c>
      <c r="L202" s="308"/>
      <c r="M202" s="308">
        <v>1</v>
      </c>
      <c r="N202" s="308">
        <v>1</v>
      </c>
      <c r="O202" s="352">
        <v>7</v>
      </c>
      <c r="P202" s="352">
        <v>5</v>
      </c>
      <c r="Q202" s="352">
        <v>12</v>
      </c>
      <c r="R202" s="27"/>
      <c r="S202" s="27"/>
      <c r="T202" s="27"/>
      <c r="U202" s="27"/>
      <c r="V202" s="27"/>
      <c r="W202" s="27"/>
      <c r="X202" s="27"/>
    </row>
    <row r="203" spans="1:24" x14ac:dyDescent="0.25">
      <c r="B203" s="150" t="s">
        <v>506</v>
      </c>
      <c r="C203" s="308">
        <v>6</v>
      </c>
      <c r="D203" s="308">
        <v>10</v>
      </c>
      <c r="E203" s="308">
        <v>16</v>
      </c>
      <c r="F203" s="308">
        <v>11</v>
      </c>
      <c r="G203" s="308">
        <v>20</v>
      </c>
      <c r="H203" s="308">
        <v>31</v>
      </c>
      <c r="I203" s="308">
        <v>8</v>
      </c>
      <c r="J203" s="308">
        <v>1</v>
      </c>
      <c r="K203" s="308">
        <v>9</v>
      </c>
      <c r="L203" s="308">
        <v>4</v>
      </c>
      <c r="M203" s="308">
        <v>1</v>
      </c>
      <c r="N203" s="308">
        <v>5</v>
      </c>
      <c r="O203" s="352">
        <v>29</v>
      </c>
      <c r="P203" s="352">
        <v>32</v>
      </c>
      <c r="Q203" s="352">
        <v>61</v>
      </c>
      <c r="R203" s="27"/>
      <c r="S203" s="27"/>
      <c r="T203" s="27"/>
      <c r="U203" s="27"/>
      <c r="V203" s="27"/>
      <c r="W203" s="27"/>
      <c r="X203" s="27"/>
    </row>
    <row r="204" spans="1:24" x14ac:dyDescent="0.25">
      <c r="B204" s="150" t="s">
        <v>257</v>
      </c>
      <c r="C204" s="308">
        <v>13</v>
      </c>
      <c r="D204" s="308">
        <v>8</v>
      </c>
      <c r="E204" s="308">
        <v>21</v>
      </c>
      <c r="F204" s="308">
        <v>10</v>
      </c>
      <c r="G204" s="308">
        <v>8</v>
      </c>
      <c r="H204" s="308">
        <v>18</v>
      </c>
      <c r="I204" s="308">
        <v>1</v>
      </c>
      <c r="J204" s="308">
        <v>1</v>
      </c>
      <c r="K204" s="308">
        <v>2</v>
      </c>
      <c r="L204" s="308"/>
      <c r="M204" s="308">
        <v>1</v>
      </c>
      <c r="N204" s="308">
        <v>1</v>
      </c>
      <c r="O204" s="352">
        <v>24</v>
      </c>
      <c r="P204" s="352">
        <v>18</v>
      </c>
      <c r="Q204" s="352">
        <v>42</v>
      </c>
      <c r="R204" s="27"/>
      <c r="S204" s="27"/>
      <c r="T204" s="27"/>
      <c r="U204" s="27"/>
      <c r="V204" s="27"/>
      <c r="W204" s="27"/>
      <c r="X204" s="27"/>
    </row>
    <row r="205" spans="1:24" x14ac:dyDescent="0.25">
      <c r="B205" s="150" t="s">
        <v>258</v>
      </c>
      <c r="C205" s="308">
        <v>68</v>
      </c>
      <c r="D205" s="308">
        <v>93</v>
      </c>
      <c r="E205" s="308">
        <v>161</v>
      </c>
      <c r="F205" s="308">
        <v>191</v>
      </c>
      <c r="G205" s="308">
        <v>129</v>
      </c>
      <c r="H205" s="308">
        <v>320</v>
      </c>
      <c r="I205" s="308">
        <v>34</v>
      </c>
      <c r="J205" s="308">
        <v>16</v>
      </c>
      <c r="K205" s="308">
        <v>50</v>
      </c>
      <c r="L205" s="308">
        <v>19</v>
      </c>
      <c r="M205" s="308">
        <v>17</v>
      </c>
      <c r="N205" s="308">
        <v>36</v>
      </c>
      <c r="O205" s="352">
        <v>312</v>
      </c>
      <c r="P205" s="352">
        <v>255</v>
      </c>
      <c r="Q205" s="352">
        <v>567</v>
      </c>
      <c r="R205" s="27"/>
      <c r="S205" s="27"/>
      <c r="T205" s="27"/>
      <c r="U205" s="27"/>
      <c r="V205" s="27"/>
      <c r="W205" s="27"/>
      <c r="X205" s="27"/>
    </row>
    <row r="206" spans="1:24" x14ac:dyDescent="0.25">
      <c r="B206" s="150" t="s">
        <v>259</v>
      </c>
      <c r="C206" s="308">
        <v>20</v>
      </c>
      <c r="D206" s="308">
        <v>52</v>
      </c>
      <c r="E206" s="308">
        <v>72</v>
      </c>
      <c r="F206" s="308">
        <v>34</v>
      </c>
      <c r="G206" s="308">
        <v>48</v>
      </c>
      <c r="H206" s="308">
        <v>82</v>
      </c>
      <c r="I206" s="308">
        <v>14</v>
      </c>
      <c r="J206" s="308">
        <v>3</v>
      </c>
      <c r="K206" s="308">
        <v>17</v>
      </c>
      <c r="L206" s="308">
        <v>1</v>
      </c>
      <c r="M206" s="308">
        <v>6</v>
      </c>
      <c r="N206" s="308">
        <v>7</v>
      </c>
      <c r="O206" s="352">
        <v>69</v>
      </c>
      <c r="P206" s="352">
        <v>109</v>
      </c>
      <c r="Q206" s="352">
        <v>178</v>
      </c>
      <c r="R206" s="27"/>
      <c r="S206" s="27"/>
      <c r="T206" s="27"/>
      <c r="U206" s="27"/>
      <c r="V206" s="27"/>
      <c r="W206" s="27"/>
      <c r="X206" s="27"/>
    </row>
    <row r="207" spans="1:24" x14ac:dyDescent="0.25">
      <c r="B207" s="150" t="s">
        <v>260</v>
      </c>
      <c r="C207" s="308">
        <v>20</v>
      </c>
      <c r="D207" s="308">
        <v>29</v>
      </c>
      <c r="E207" s="308">
        <v>49</v>
      </c>
      <c r="F207" s="308">
        <v>46</v>
      </c>
      <c r="G207" s="308">
        <v>52</v>
      </c>
      <c r="H207" s="308">
        <v>98</v>
      </c>
      <c r="I207" s="308">
        <v>23</v>
      </c>
      <c r="J207" s="308">
        <v>8</v>
      </c>
      <c r="K207" s="308">
        <v>31</v>
      </c>
      <c r="L207" s="308">
        <v>7</v>
      </c>
      <c r="M207" s="308">
        <v>7</v>
      </c>
      <c r="N207" s="308">
        <v>14</v>
      </c>
      <c r="O207" s="352">
        <v>96</v>
      </c>
      <c r="P207" s="352">
        <v>96</v>
      </c>
      <c r="Q207" s="352">
        <v>192</v>
      </c>
      <c r="R207" s="27"/>
      <c r="S207" s="27"/>
      <c r="T207" s="27"/>
      <c r="U207" s="27"/>
      <c r="V207" s="27"/>
      <c r="W207" s="27"/>
      <c r="X207" s="27"/>
    </row>
    <row r="208" spans="1:24" x14ac:dyDescent="0.25">
      <c r="B208" s="150" t="s">
        <v>261</v>
      </c>
      <c r="C208" s="308">
        <v>19</v>
      </c>
      <c r="D208" s="308">
        <v>37</v>
      </c>
      <c r="E208" s="308">
        <v>56</v>
      </c>
      <c r="F208" s="308">
        <v>71</v>
      </c>
      <c r="G208" s="308">
        <v>57</v>
      </c>
      <c r="H208" s="308">
        <v>128</v>
      </c>
      <c r="I208" s="308">
        <v>13</v>
      </c>
      <c r="J208" s="308">
        <v>3</v>
      </c>
      <c r="K208" s="308">
        <v>16</v>
      </c>
      <c r="L208" s="308">
        <v>6</v>
      </c>
      <c r="M208" s="308">
        <v>16</v>
      </c>
      <c r="N208" s="308">
        <v>22</v>
      </c>
      <c r="O208" s="352">
        <v>109</v>
      </c>
      <c r="P208" s="352">
        <v>113</v>
      </c>
      <c r="Q208" s="352">
        <v>222</v>
      </c>
      <c r="R208" s="27"/>
      <c r="S208" s="27"/>
      <c r="T208" s="27"/>
      <c r="U208" s="27"/>
      <c r="V208" s="27"/>
      <c r="W208" s="27"/>
      <c r="X208" s="27"/>
    </row>
    <row r="209" spans="2:24" x14ac:dyDescent="0.25">
      <c r="B209" s="150" t="s">
        <v>262</v>
      </c>
      <c r="C209" s="308">
        <v>22</v>
      </c>
      <c r="D209" s="308">
        <v>52</v>
      </c>
      <c r="E209" s="308">
        <v>74</v>
      </c>
      <c r="F209" s="308">
        <v>75</v>
      </c>
      <c r="G209" s="308">
        <v>61</v>
      </c>
      <c r="H209" s="308">
        <v>136</v>
      </c>
      <c r="I209" s="308">
        <v>20</v>
      </c>
      <c r="J209" s="308">
        <v>6</v>
      </c>
      <c r="K209" s="308">
        <v>26</v>
      </c>
      <c r="L209" s="308">
        <v>2</v>
      </c>
      <c r="M209" s="308">
        <v>13</v>
      </c>
      <c r="N209" s="308">
        <v>15</v>
      </c>
      <c r="O209" s="352">
        <v>119</v>
      </c>
      <c r="P209" s="352">
        <v>132</v>
      </c>
      <c r="Q209" s="352">
        <v>251</v>
      </c>
      <c r="R209" s="27"/>
      <c r="S209" s="27"/>
      <c r="T209" s="27"/>
      <c r="U209" s="27"/>
      <c r="V209" s="27"/>
      <c r="W209" s="27"/>
      <c r="X209" s="27"/>
    </row>
    <row r="210" spans="2:24" x14ac:dyDescent="0.25">
      <c r="B210" s="150" t="s">
        <v>263</v>
      </c>
      <c r="C210" s="308">
        <v>3</v>
      </c>
      <c r="D210" s="308">
        <v>8</v>
      </c>
      <c r="E210" s="308">
        <v>11</v>
      </c>
      <c r="F210" s="308">
        <v>8</v>
      </c>
      <c r="G210" s="308">
        <v>19</v>
      </c>
      <c r="H210" s="308">
        <v>27</v>
      </c>
      <c r="I210" s="308">
        <v>7</v>
      </c>
      <c r="J210" s="308"/>
      <c r="K210" s="308">
        <v>7</v>
      </c>
      <c r="L210" s="308">
        <v>2</v>
      </c>
      <c r="M210" s="308">
        <v>1</v>
      </c>
      <c r="N210" s="308">
        <v>3</v>
      </c>
      <c r="O210" s="352">
        <v>20</v>
      </c>
      <c r="P210" s="352">
        <v>28</v>
      </c>
      <c r="Q210" s="352">
        <v>48</v>
      </c>
      <c r="R210" s="27"/>
      <c r="S210" s="27"/>
      <c r="T210" s="27"/>
      <c r="U210" s="27"/>
      <c r="V210" s="27"/>
      <c r="W210" s="27"/>
      <c r="X210" s="27"/>
    </row>
    <row r="211" spans="2:24" x14ac:dyDescent="0.25">
      <c r="B211" s="150" t="s">
        <v>264</v>
      </c>
      <c r="C211" s="308">
        <v>5</v>
      </c>
      <c r="D211" s="308">
        <v>11</v>
      </c>
      <c r="E211" s="308">
        <v>16</v>
      </c>
      <c r="F211" s="308">
        <v>9</v>
      </c>
      <c r="G211" s="308">
        <v>9</v>
      </c>
      <c r="H211" s="308">
        <v>18</v>
      </c>
      <c r="I211" s="308">
        <v>2</v>
      </c>
      <c r="J211" s="308">
        <v>1</v>
      </c>
      <c r="K211" s="308">
        <v>3</v>
      </c>
      <c r="L211" s="308"/>
      <c r="M211" s="308">
        <v>2</v>
      </c>
      <c r="N211" s="308">
        <v>2</v>
      </c>
      <c r="O211" s="352">
        <v>16</v>
      </c>
      <c r="P211" s="352">
        <v>23</v>
      </c>
      <c r="Q211" s="352">
        <v>39</v>
      </c>
      <c r="R211" s="27"/>
      <c r="S211" s="27"/>
      <c r="T211" s="27"/>
      <c r="U211" s="27"/>
      <c r="V211" s="27"/>
      <c r="W211" s="27"/>
      <c r="X211" s="27"/>
    </row>
    <row r="212" spans="2:24" x14ac:dyDescent="0.25">
      <c r="B212" s="150" t="s">
        <v>265</v>
      </c>
      <c r="C212" s="308">
        <v>10</v>
      </c>
      <c r="D212" s="308">
        <v>8</v>
      </c>
      <c r="E212" s="308">
        <v>18</v>
      </c>
      <c r="F212" s="308">
        <v>16</v>
      </c>
      <c r="G212" s="308">
        <v>11</v>
      </c>
      <c r="H212" s="308">
        <v>27</v>
      </c>
      <c r="I212" s="308">
        <v>5</v>
      </c>
      <c r="J212" s="308"/>
      <c r="K212" s="308">
        <v>5</v>
      </c>
      <c r="L212" s="308">
        <v>1</v>
      </c>
      <c r="M212" s="308"/>
      <c r="N212" s="308">
        <v>1</v>
      </c>
      <c r="O212" s="352">
        <v>32</v>
      </c>
      <c r="P212" s="352">
        <v>19</v>
      </c>
      <c r="Q212" s="352">
        <v>51</v>
      </c>
      <c r="R212" s="27"/>
      <c r="S212" s="27"/>
      <c r="T212" s="27"/>
      <c r="U212" s="27"/>
      <c r="V212" s="27"/>
      <c r="W212" s="27"/>
      <c r="X212" s="27"/>
    </row>
    <row r="213" spans="2:24" x14ac:dyDescent="0.25">
      <c r="B213" s="150" t="s">
        <v>266</v>
      </c>
      <c r="C213" s="308">
        <v>5</v>
      </c>
      <c r="D213" s="308">
        <v>7</v>
      </c>
      <c r="E213" s="308">
        <v>12</v>
      </c>
      <c r="F213" s="308">
        <v>14</v>
      </c>
      <c r="G213" s="308">
        <v>12</v>
      </c>
      <c r="H213" s="308">
        <v>26</v>
      </c>
      <c r="I213" s="308">
        <v>2</v>
      </c>
      <c r="J213" s="308">
        <v>1</v>
      </c>
      <c r="K213" s="308">
        <v>3</v>
      </c>
      <c r="L213" s="308">
        <v>1</v>
      </c>
      <c r="M213" s="308">
        <v>1</v>
      </c>
      <c r="N213" s="308">
        <v>2</v>
      </c>
      <c r="O213" s="352">
        <v>22</v>
      </c>
      <c r="P213" s="352">
        <v>21</v>
      </c>
      <c r="Q213" s="352">
        <v>43</v>
      </c>
      <c r="R213" s="27"/>
      <c r="S213" s="27"/>
      <c r="T213" s="27"/>
      <c r="U213" s="27"/>
      <c r="V213" s="27"/>
      <c r="W213" s="27"/>
      <c r="X213" s="27"/>
    </row>
    <row r="214" spans="2:24" x14ac:dyDescent="0.25">
      <c r="B214" s="150" t="s">
        <v>267</v>
      </c>
      <c r="C214" s="308">
        <v>16</v>
      </c>
      <c r="D214" s="308">
        <v>29</v>
      </c>
      <c r="E214" s="308">
        <v>45</v>
      </c>
      <c r="F214" s="308">
        <v>39</v>
      </c>
      <c r="G214" s="308">
        <v>28</v>
      </c>
      <c r="H214" s="308">
        <v>67</v>
      </c>
      <c r="I214" s="308">
        <v>6</v>
      </c>
      <c r="J214" s="308">
        <v>2</v>
      </c>
      <c r="K214" s="308">
        <v>8</v>
      </c>
      <c r="L214" s="308">
        <v>2</v>
      </c>
      <c r="M214" s="308">
        <v>3</v>
      </c>
      <c r="N214" s="308">
        <v>5</v>
      </c>
      <c r="O214" s="352">
        <v>63</v>
      </c>
      <c r="P214" s="352">
        <v>62</v>
      </c>
      <c r="Q214" s="352">
        <v>125</v>
      </c>
      <c r="R214" s="27"/>
      <c r="S214" s="27"/>
      <c r="T214" s="27"/>
      <c r="U214" s="27"/>
      <c r="V214" s="27"/>
      <c r="W214" s="27"/>
      <c r="X214" s="27"/>
    </row>
    <row r="215" spans="2:24" x14ac:dyDescent="0.25">
      <c r="B215" s="150" t="s">
        <v>268</v>
      </c>
      <c r="C215" s="308">
        <v>10</v>
      </c>
      <c r="D215" s="308">
        <v>15</v>
      </c>
      <c r="E215" s="308">
        <v>25</v>
      </c>
      <c r="F215" s="308">
        <v>17</v>
      </c>
      <c r="G215" s="308">
        <v>18</v>
      </c>
      <c r="H215" s="308">
        <v>35</v>
      </c>
      <c r="I215" s="308">
        <v>10</v>
      </c>
      <c r="J215" s="308">
        <v>3</v>
      </c>
      <c r="K215" s="308">
        <v>13</v>
      </c>
      <c r="L215" s="308">
        <v>3</v>
      </c>
      <c r="M215" s="308">
        <v>2</v>
      </c>
      <c r="N215" s="308">
        <v>5</v>
      </c>
      <c r="O215" s="352">
        <v>40</v>
      </c>
      <c r="P215" s="352">
        <v>38</v>
      </c>
      <c r="Q215" s="352">
        <v>78</v>
      </c>
      <c r="R215" s="27"/>
      <c r="S215" s="27"/>
      <c r="T215" s="27"/>
      <c r="U215" s="27"/>
      <c r="V215" s="27"/>
      <c r="W215" s="27"/>
      <c r="X215" s="27"/>
    </row>
    <row r="216" spans="2:24" x14ac:dyDescent="0.25">
      <c r="B216" s="150" t="s">
        <v>269</v>
      </c>
      <c r="C216" s="308">
        <v>11</v>
      </c>
      <c r="D216" s="308">
        <v>15</v>
      </c>
      <c r="E216" s="308">
        <v>26</v>
      </c>
      <c r="F216" s="308">
        <v>19</v>
      </c>
      <c r="G216" s="308">
        <v>22</v>
      </c>
      <c r="H216" s="308">
        <v>41</v>
      </c>
      <c r="I216" s="308">
        <v>5</v>
      </c>
      <c r="J216" s="308">
        <v>1</v>
      </c>
      <c r="K216" s="308">
        <v>6</v>
      </c>
      <c r="L216" s="308">
        <v>4</v>
      </c>
      <c r="M216" s="308">
        <v>4</v>
      </c>
      <c r="N216" s="308">
        <v>8</v>
      </c>
      <c r="O216" s="352">
        <v>39</v>
      </c>
      <c r="P216" s="352">
        <v>42</v>
      </c>
      <c r="Q216" s="352">
        <v>81</v>
      </c>
      <c r="R216" s="27"/>
      <c r="S216" s="27"/>
      <c r="T216" s="27"/>
      <c r="U216" s="27"/>
      <c r="V216" s="27"/>
      <c r="W216" s="27"/>
      <c r="X216" s="27"/>
    </row>
    <row r="217" spans="2:24" x14ac:dyDescent="0.25">
      <c r="B217" s="150" t="s">
        <v>270</v>
      </c>
      <c r="C217" s="308">
        <v>10</v>
      </c>
      <c r="D217" s="308">
        <v>27</v>
      </c>
      <c r="E217" s="308">
        <v>37</v>
      </c>
      <c r="F217" s="308">
        <v>20</v>
      </c>
      <c r="G217" s="308">
        <v>22</v>
      </c>
      <c r="H217" s="308">
        <v>42</v>
      </c>
      <c r="I217" s="308">
        <v>6</v>
      </c>
      <c r="J217" s="308"/>
      <c r="K217" s="308">
        <v>6</v>
      </c>
      <c r="L217" s="308">
        <v>1</v>
      </c>
      <c r="M217" s="308">
        <v>3</v>
      </c>
      <c r="N217" s="308">
        <v>4</v>
      </c>
      <c r="O217" s="352">
        <v>37</v>
      </c>
      <c r="P217" s="352">
        <v>52</v>
      </c>
      <c r="Q217" s="352">
        <v>89</v>
      </c>
      <c r="R217" s="27"/>
      <c r="S217" s="27"/>
      <c r="T217" s="27"/>
      <c r="U217" s="27"/>
      <c r="V217" s="27"/>
      <c r="W217" s="27"/>
      <c r="X217" s="27"/>
    </row>
    <row r="218" spans="2:24" x14ac:dyDescent="0.25">
      <c r="B218" s="150" t="s">
        <v>271</v>
      </c>
      <c r="C218" s="308">
        <v>33</v>
      </c>
      <c r="D218" s="308">
        <v>29</v>
      </c>
      <c r="E218" s="308">
        <v>62</v>
      </c>
      <c r="F218" s="308">
        <v>51</v>
      </c>
      <c r="G218" s="308">
        <v>48</v>
      </c>
      <c r="H218" s="308">
        <v>99</v>
      </c>
      <c r="I218" s="308">
        <v>15</v>
      </c>
      <c r="J218" s="308">
        <v>4</v>
      </c>
      <c r="K218" s="308">
        <v>19</v>
      </c>
      <c r="L218" s="308">
        <v>6</v>
      </c>
      <c r="M218" s="308">
        <v>10</v>
      </c>
      <c r="N218" s="308">
        <v>16</v>
      </c>
      <c r="O218" s="352">
        <v>105</v>
      </c>
      <c r="P218" s="352">
        <v>91</v>
      </c>
      <c r="Q218" s="352">
        <v>196</v>
      </c>
      <c r="R218" s="27"/>
      <c r="S218" s="27"/>
      <c r="T218" s="27"/>
      <c r="U218" s="27"/>
      <c r="V218" s="27"/>
      <c r="W218" s="27"/>
      <c r="X218" s="27"/>
    </row>
    <row r="219" spans="2:24" x14ac:dyDescent="0.25">
      <c r="B219" s="150" t="s">
        <v>272</v>
      </c>
      <c r="C219" s="308">
        <v>27</v>
      </c>
      <c r="D219" s="308">
        <v>32</v>
      </c>
      <c r="E219" s="308">
        <v>59</v>
      </c>
      <c r="F219" s="308">
        <v>60</v>
      </c>
      <c r="G219" s="308">
        <v>35</v>
      </c>
      <c r="H219" s="308">
        <v>95</v>
      </c>
      <c r="I219" s="308">
        <v>21</v>
      </c>
      <c r="J219" s="308">
        <v>9</v>
      </c>
      <c r="K219" s="308">
        <v>30</v>
      </c>
      <c r="L219" s="308">
        <v>4</v>
      </c>
      <c r="M219" s="308">
        <v>6</v>
      </c>
      <c r="N219" s="308">
        <v>10</v>
      </c>
      <c r="O219" s="352">
        <v>112</v>
      </c>
      <c r="P219" s="352">
        <v>82</v>
      </c>
      <c r="Q219" s="352">
        <v>194</v>
      </c>
      <c r="R219" s="27"/>
      <c r="S219" s="27"/>
      <c r="T219" s="27"/>
      <c r="U219" s="27"/>
      <c r="V219" s="27"/>
      <c r="W219" s="27"/>
      <c r="X219" s="27"/>
    </row>
    <row r="220" spans="2:24" x14ac:dyDescent="0.25">
      <c r="B220" s="150" t="s">
        <v>273</v>
      </c>
      <c r="C220" s="308">
        <v>5</v>
      </c>
      <c r="D220" s="308">
        <v>14</v>
      </c>
      <c r="E220" s="308">
        <v>19</v>
      </c>
      <c r="F220" s="308">
        <v>12</v>
      </c>
      <c r="G220" s="308">
        <v>10</v>
      </c>
      <c r="H220" s="308">
        <v>22</v>
      </c>
      <c r="I220" s="308">
        <v>8</v>
      </c>
      <c r="J220" s="308"/>
      <c r="K220" s="308">
        <v>8</v>
      </c>
      <c r="L220" s="308">
        <v>1</v>
      </c>
      <c r="M220" s="308">
        <v>1</v>
      </c>
      <c r="N220" s="308">
        <v>2</v>
      </c>
      <c r="O220" s="352">
        <v>26</v>
      </c>
      <c r="P220" s="352">
        <v>25</v>
      </c>
      <c r="Q220" s="352">
        <v>51</v>
      </c>
      <c r="R220" s="27"/>
      <c r="S220" s="27"/>
      <c r="T220" s="27"/>
      <c r="U220" s="27"/>
      <c r="V220" s="27"/>
      <c r="W220" s="27"/>
      <c r="X220" s="27"/>
    </row>
    <row r="221" spans="2:24" x14ac:dyDescent="0.25">
      <c r="B221" s="150" t="s">
        <v>274</v>
      </c>
      <c r="C221" s="308">
        <v>171</v>
      </c>
      <c r="D221" s="308">
        <v>193</v>
      </c>
      <c r="E221" s="308">
        <v>364</v>
      </c>
      <c r="F221" s="308">
        <v>400</v>
      </c>
      <c r="G221" s="308">
        <v>311</v>
      </c>
      <c r="H221" s="308">
        <v>711</v>
      </c>
      <c r="I221" s="308">
        <v>102</v>
      </c>
      <c r="J221" s="308">
        <v>29</v>
      </c>
      <c r="K221" s="308">
        <v>131</v>
      </c>
      <c r="L221" s="308">
        <v>36</v>
      </c>
      <c r="M221" s="308">
        <v>32</v>
      </c>
      <c r="N221" s="308">
        <v>68</v>
      </c>
      <c r="O221" s="352">
        <v>709</v>
      </c>
      <c r="P221" s="352">
        <v>565</v>
      </c>
      <c r="Q221" s="352">
        <v>1274</v>
      </c>
      <c r="R221" s="27"/>
      <c r="S221" s="27"/>
      <c r="T221" s="27"/>
      <c r="U221" s="27"/>
      <c r="V221" s="27"/>
      <c r="W221" s="27"/>
      <c r="X221" s="27"/>
    </row>
    <row r="222" spans="2:24" x14ac:dyDescent="0.25">
      <c r="B222" s="150" t="s">
        <v>275</v>
      </c>
      <c r="C222" s="308">
        <v>15</v>
      </c>
      <c r="D222" s="308">
        <v>22</v>
      </c>
      <c r="E222" s="308">
        <v>37</v>
      </c>
      <c r="F222" s="308">
        <v>28</v>
      </c>
      <c r="G222" s="308">
        <v>39</v>
      </c>
      <c r="H222" s="308">
        <v>67</v>
      </c>
      <c r="I222" s="308">
        <v>11</v>
      </c>
      <c r="J222" s="308">
        <v>5</v>
      </c>
      <c r="K222" s="308">
        <v>16</v>
      </c>
      <c r="L222" s="308">
        <v>1</v>
      </c>
      <c r="M222" s="308">
        <v>10</v>
      </c>
      <c r="N222" s="308">
        <v>11</v>
      </c>
      <c r="O222" s="352">
        <v>55</v>
      </c>
      <c r="P222" s="352">
        <v>76</v>
      </c>
      <c r="Q222" s="352">
        <v>131</v>
      </c>
      <c r="R222" s="27"/>
      <c r="S222" s="27"/>
      <c r="T222" s="27"/>
      <c r="U222" s="27"/>
      <c r="V222" s="27"/>
      <c r="W222" s="27"/>
      <c r="X222" s="27"/>
    </row>
    <row r="223" spans="2:24" x14ac:dyDescent="0.25">
      <c r="B223" s="150" t="s">
        <v>276</v>
      </c>
      <c r="C223" s="308">
        <v>5</v>
      </c>
      <c r="D223" s="308">
        <v>4</v>
      </c>
      <c r="E223" s="308">
        <v>9</v>
      </c>
      <c r="F223" s="308">
        <v>6</v>
      </c>
      <c r="G223" s="308">
        <v>4</v>
      </c>
      <c r="H223" s="308">
        <v>10</v>
      </c>
      <c r="I223" s="308">
        <v>1</v>
      </c>
      <c r="J223" s="308">
        <v>2</v>
      </c>
      <c r="K223" s="308">
        <v>3</v>
      </c>
      <c r="L223" s="308">
        <v>2</v>
      </c>
      <c r="M223" s="308">
        <v>1</v>
      </c>
      <c r="N223" s="308">
        <v>3</v>
      </c>
      <c r="O223" s="352">
        <v>14</v>
      </c>
      <c r="P223" s="352">
        <v>11</v>
      </c>
      <c r="Q223" s="352">
        <v>25</v>
      </c>
      <c r="R223" s="27"/>
      <c r="S223" s="27"/>
      <c r="T223" s="27"/>
      <c r="U223" s="27"/>
      <c r="V223" s="27"/>
      <c r="W223" s="27"/>
      <c r="X223" s="27"/>
    </row>
    <row r="224" spans="2:24" x14ac:dyDescent="0.25">
      <c r="B224" s="150" t="s">
        <v>277</v>
      </c>
      <c r="C224" s="308">
        <v>16</v>
      </c>
      <c r="D224" s="308">
        <v>15</v>
      </c>
      <c r="E224" s="308">
        <v>31</v>
      </c>
      <c r="F224" s="308">
        <v>29</v>
      </c>
      <c r="G224" s="308">
        <v>22</v>
      </c>
      <c r="H224" s="308">
        <v>51</v>
      </c>
      <c r="I224" s="308">
        <v>12</v>
      </c>
      <c r="J224" s="308">
        <v>4</v>
      </c>
      <c r="K224" s="308">
        <v>16</v>
      </c>
      <c r="L224" s="308">
        <v>4</v>
      </c>
      <c r="M224" s="308">
        <v>2</v>
      </c>
      <c r="N224" s="308">
        <v>6</v>
      </c>
      <c r="O224" s="352">
        <v>61</v>
      </c>
      <c r="P224" s="352">
        <v>43</v>
      </c>
      <c r="Q224" s="352">
        <v>104</v>
      </c>
      <c r="R224" s="27"/>
      <c r="S224" s="27"/>
      <c r="T224" s="27"/>
      <c r="U224" s="27"/>
      <c r="V224" s="27"/>
      <c r="W224" s="27"/>
      <c r="X224" s="27"/>
    </row>
    <row r="225" spans="2:24" x14ac:dyDescent="0.25">
      <c r="B225" s="170" t="s">
        <v>278</v>
      </c>
      <c r="C225" s="312">
        <v>9</v>
      </c>
      <c r="D225" s="312">
        <v>22</v>
      </c>
      <c r="E225" s="308">
        <v>31</v>
      </c>
      <c r="F225" s="308">
        <v>31</v>
      </c>
      <c r="G225" s="308">
        <v>33</v>
      </c>
      <c r="H225" s="308">
        <v>64</v>
      </c>
      <c r="I225" s="308">
        <v>11</v>
      </c>
      <c r="J225" s="308">
        <v>7</v>
      </c>
      <c r="K225" s="308">
        <v>18</v>
      </c>
      <c r="L225" s="308">
        <v>4</v>
      </c>
      <c r="M225" s="308">
        <v>2</v>
      </c>
      <c r="N225" s="308">
        <v>6</v>
      </c>
      <c r="O225" s="352">
        <v>55</v>
      </c>
      <c r="P225" s="352">
        <v>64</v>
      </c>
      <c r="Q225" s="352">
        <v>119</v>
      </c>
      <c r="R225" s="27"/>
      <c r="S225" s="27"/>
      <c r="T225" s="27"/>
      <c r="U225" s="27"/>
      <c r="V225" s="27"/>
      <c r="W225" s="27"/>
      <c r="X225" s="27"/>
    </row>
    <row r="226" spans="2:24" x14ac:dyDescent="0.25">
      <c r="B226" s="351" t="s">
        <v>35</v>
      </c>
      <c r="C226" s="302">
        <v>707</v>
      </c>
      <c r="D226" s="302">
        <v>989</v>
      </c>
      <c r="E226" s="302">
        <v>1696</v>
      </c>
      <c r="F226" s="302">
        <v>1694</v>
      </c>
      <c r="G226" s="302">
        <v>1369</v>
      </c>
      <c r="H226" s="300">
        <v>3063</v>
      </c>
      <c r="I226" s="302">
        <v>434</v>
      </c>
      <c r="J226" s="300">
        <v>154</v>
      </c>
      <c r="K226" s="302">
        <v>588</v>
      </c>
      <c r="L226" s="300">
        <v>154</v>
      </c>
      <c r="M226" s="302">
        <v>201</v>
      </c>
      <c r="N226" s="300">
        <v>355</v>
      </c>
      <c r="O226" s="352">
        <v>2989</v>
      </c>
      <c r="P226" s="352">
        <v>2713</v>
      </c>
      <c r="Q226" s="352">
        <v>5702</v>
      </c>
      <c r="R226" s="27"/>
      <c r="S226" s="27"/>
      <c r="T226" s="27"/>
      <c r="U226" s="27"/>
      <c r="V226" s="27"/>
      <c r="W226" s="27"/>
      <c r="X226" s="27"/>
    </row>
    <row r="227" spans="2:24" ht="117" customHeight="1" x14ac:dyDescent="0.25">
      <c r="B227" s="489" t="s">
        <v>928</v>
      </c>
      <c r="C227" s="489"/>
      <c r="D227" s="489"/>
      <c r="E227" s="489"/>
      <c r="F227" s="489"/>
      <c r="G227" s="489"/>
      <c r="H227" s="489"/>
      <c r="I227" s="489"/>
      <c r="J227" s="489"/>
      <c r="K227" s="489"/>
      <c r="L227" s="489"/>
      <c r="M227" s="489"/>
      <c r="N227" s="489"/>
      <c r="O227" s="489"/>
      <c r="P227" s="489"/>
      <c r="Q227" s="489"/>
      <c r="R227" s="27"/>
      <c r="S227" s="27"/>
      <c r="T227" s="27"/>
      <c r="U227" s="27"/>
      <c r="V227" s="27"/>
      <c r="W227" s="27"/>
    </row>
    <row r="228" spans="2:24" x14ac:dyDescent="0.25">
      <c r="B228" s="172"/>
      <c r="C228" s="172"/>
      <c r="D228" s="172"/>
      <c r="E228"/>
      <c r="F228"/>
      <c r="G228"/>
      <c r="H228" s="27"/>
      <c r="I228" s="27"/>
      <c r="J228" s="27"/>
      <c r="K228" s="27"/>
      <c r="L228" s="27"/>
      <c r="M228" s="27"/>
      <c r="N228" s="27"/>
      <c r="O228" s="27"/>
      <c r="P228" s="27"/>
      <c r="Q228" s="27"/>
      <c r="R228" s="27"/>
      <c r="S228" s="27"/>
      <c r="T228" s="27"/>
      <c r="U228" s="27"/>
      <c r="V228" s="27"/>
      <c r="W228" s="27"/>
    </row>
    <row r="229" spans="2:24" x14ac:dyDescent="0.25">
      <c r="B229" s="201" t="s">
        <v>524</v>
      </c>
      <c r="C229"/>
      <c r="D229"/>
      <c r="E229"/>
      <c r="F229"/>
      <c r="G229"/>
      <c r="H229" s="27"/>
      <c r="I229" s="27"/>
      <c r="J229" s="27"/>
      <c r="K229" s="27"/>
      <c r="L229" s="27"/>
      <c r="M229" s="27"/>
      <c r="N229" s="27"/>
      <c r="O229" s="27"/>
      <c r="P229" s="27"/>
      <c r="Q229" s="27"/>
      <c r="R229" s="27"/>
      <c r="S229" s="27"/>
      <c r="T229" s="27"/>
      <c r="U229" s="27"/>
      <c r="V229" s="27"/>
      <c r="W229" s="27"/>
    </row>
    <row r="230" spans="2:24" x14ac:dyDescent="0.25">
      <c r="B230" s="201"/>
      <c r="C230"/>
      <c r="D230"/>
      <c r="E230"/>
      <c r="F230"/>
      <c r="G230"/>
      <c r="H230" s="27"/>
      <c r="I230" s="27"/>
      <c r="J230" s="27"/>
      <c r="K230" s="27"/>
      <c r="L230" s="27"/>
      <c r="M230" s="27"/>
      <c r="N230" s="27"/>
      <c r="O230" s="27"/>
      <c r="P230" s="27"/>
      <c r="Q230" s="27"/>
      <c r="R230" s="27"/>
      <c r="S230" s="27"/>
      <c r="T230" s="27"/>
      <c r="U230" s="27"/>
      <c r="V230" s="27"/>
      <c r="W230" s="27"/>
    </row>
    <row r="231" spans="2:24" ht="15" customHeight="1" x14ac:dyDescent="0.25">
      <c r="B231" s="490" t="s">
        <v>544</v>
      </c>
      <c r="C231" s="479" t="s">
        <v>488</v>
      </c>
      <c r="D231" s="479"/>
      <c r="E231" s="479"/>
      <c r="F231" s="479"/>
      <c r="G231" s="479"/>
      <c r="H231" s="479"/>
      <c r="I231" s="479"/>
      <c r="J231" s="479"/>
      <c r="K231" s="479"/>
      <c r="L231" s="479"/>
      <c r="M231" s="479"/>
      <c r="N231" s="479"/>
      <c r="O231" s="483" t="s">
        <v>746</v>
      </c>
      <c r="P231" s="484"/>
      <c r="Q231" s="485"/>
      <c r="R231" s="27"/>
      <c r="S231" s="27"/>
      <c r="T231" s="27"/>
      <c r="U231" s="27"/>
      <c r="V231" s="27"/>
      <c r="W231" s="27"/>
    </row>
    <row r="232" spans="2:24" ht="15" customHeight="1" x14ac:dyDescent="0.25">
      <c r="B232" s="490"/>
      <c r="C232" s="479" t="s">
        <v>707</v>
      </c>
      <c r="D232" s="479"/>
      <c r="E232" s="479"/>
      <c r="F232" s="479" t="s">
        <v>497</v>
      </c>
      <c r="G232" s="479"/>
      <c r="H232" s="479"/>
      <c r="I232" s="479" t="s">
        <v>4</v>
      </c>
      <c r="J232" s="479"/>
      <c r="K232" s="479"/>
      <c r="L232" s="479" t="s">
        <v>6</v>
      </c>
      <c r="M232" s="479"/>
      <c r="N232" s="479"/>
      <c r="O232" s="486"/>
      <c r="P232" s="487"/>
      <c r="Q232" s="488"/>
      <c r="R232" s="27"/>
      <c r="S232" s="27"/>
      <c r="T232" s="27"/>
      <c r="U232" s="27"/>
      <c r="V232" s="27"/>
      <c r="W232" s="27"/>
    </row>
    <row r="233" spans="2:24" x14ac:dyDescent="0.25">
      <c r="B233" s="490"/>
      <c r="C233" s="175" t="s">
        <v>83</v>
      </c>
      <c r="D233" s="175" t="s">
        <v>84</v>
      </c>
      <c r="E233" s="175" t="s">
        <v>35</v>
      </c>
      <c r="F233" s="175" t="s">
        <v>83</v>
      </c>
      <c r="G233" s="175" t="s">
        <v>84</v>
      </c>
      <c r="H233" s="175" t="s">
        <v>35</v>
      </c>
      <c r="I233" s="175" t="s">
        <v>83</v>
      </c>
      <c r="J233" s="175" t="s">
        <v>84</v>
      </c>
      <c r="K233" s="175" t="s">
        <v>35</v>
      </c>
      <c r="L233" s="175" t="s">
        <v>83</v>
      </c>
      <c r="M233" s="175" t="s">
        <v>84</v>
      </c>
      <c r="N233" s="175" t="s">
        <v>35</v>
      </c>
      <c r="O233" s="262" t="s">
        <v>83</v>
      </c>
      <c r="P233" s="262" t="s">
        <v>84</v>
      </c>
      <c r="Q233" s="262" t="s">
        <v>35</v>
      </c>
      <c r="R233" s="27"/>
      <c r="S233" s="27"/>
      <c r="T233" s="27"/>
      <c r="U233" s="27"/>
      <c r="V233" s="27"/>
      <c r="W233" s="27"/>
    </row>
    <row r="234" spans="2:24" x14ac:dyDescent="0.25">
      <c r="B234" s="171" t="s">
        <v>280</v>
      </c>
      <c r="C234" s="308">
        <v>5</v>
      </c>
      <c r="D234" s="308">
        <v>6</v>
      </c>
      <c r="E234" s="308">
        <v>11</v>
      </c>
      <c r="F234" s="308">
        <v>4</v>
      </c>
      <c r="G234" s="308">
        <v>8</v>
      </c>
      <c r="H234" s="308">
        <v>12</v>
      </c>
      <c r="I234" s="308">
        <v>5</v>
      </c>
      <c r="J234" s="308">
        <v>3</v>
      </c>
      <c r="K234" s="308">
        <v>8</v>
      </c>
      <c r="L234" s="308"/>
      <c r="M234" s="308">
        <v>3</v>
      </c>
      <c r="N234" s="308">
        <v>3</v>
      </c>
      <c r="O234" s="352">
        <v>14</v>
      </c>
      <c r="P234" s="352">
        <v>20</v>
      </c>
      <c r="Q234" s="352">
        <v>34</v>
      </c>
      <c r="R234" s="27"/>
      <c r="S234" s="27"/>
      <c r="T234" s="27"/>
      <c r="U234" s="27"/>
      <c r="V234" s="27"/>
      <c r="W234" s="27"/>
      <c r="X234" s="27"/>
    </row>
    <row r="235" spans="2:24" x14ac:dyDescent="0.25">
      <c r="B235" s="150" t="s">
        <v>281</v>
      </c>
      <c r="C235" s="308">
        <v>5</v>
      </c>
      <c r="D235" s="308">
        <v>3</v>
      </c>
      <c r="E235" s="308">
        <v>8</v>
      </c>
      <c r="F235" s="308">
        <v>9</v>
      </c>
      <c r="G235" s="308">
        <v>8</v>
      </c>
      <c r="H235" s="308">
        <v>17</v>
      </c>
      <c r="I235" s="308">
        <v>1</v>
      </c>
      <c r="J235" s="308">
        <v>1</v>
      </c>
      <c r="K235" s="308">
        <v>2</v>
      </c>
      <c r="L235" s="308"/>
      <c r="M235" s="308"/>
      <c r="N235" s="308"/>
      <c r="O235" s="352">
        <v>15</v>
      </c>
      <c r="P235" s="352">
        <v>12</v>
      </c>
      <c r="Q235" s="352">
        <v>27</v>
      </c>
      <c r="R235" s="27"/>
      <c r="S235" s="27"/>
      <c r="T235" s="27"/>
      <c r="U235" s="27"/>
      <c r="V235" s="27"/>
      <c r="W235" s="27"/>
      <c r="X235" s="27"/>
    </row>
    <row r="236" spans="2:24" x14ac:dyDescent="0.25">
      <c r="B236" s="150" t="s">
        <v>282</v>
      </c>
      <c r="C236" s="308">
        <v>38</v>
      </c>
      <c r="D236" s="308">
        <v>25</v>
      </c>
      <c r="E236" s="308">
        <v>63</v>
      </c>
      <c r="F236" s="308">
        <v>47</v>
      </c>
      <c r="G236" s="308">
        <v>57</v>
      </c>
      <c r="H236" s="308">
        <v>104</v>
      </c>
      <c r="I236" s="308">
        <v>18</v>
      </c>
      <c r="J236" s="308">
        <v>6</v>
      </c>
      <c r="K236" s="308">
        <v>24</v>
      </c>
      <c r="L236" s="308">
        <v>2</v>
      </c>
      <c r="M236" s="308">
        <v>5</v>
      </c>
      <c r="N236" s="308">
        <v>7</v>
      </c>
      <c r="O236" s="352">
        <v>105</v>
      </c>
      <c r="P236" s="352">
        <v>93</v>
      </c>
      <c r="Q236" s="352">
        <v>198</v>
      </c>
      <c r="R236" s="27"/>
      <c r="S236" s="27"/>
      <c r="T236" s="27"/>
      <c r="U236" s="27"/>
      <c r="V236" s="27"/>
      <c r="W236" s="27"/>
      <c r="X236" s="27"/>
    </row>
    <row r="237" spans="2:24" x14ac:dyDescent="0.25">
      <c r="B237" s="150" t="s">
        <v>283</v>
      </c>
      <c r="C237" s="308">
        <v>22</v>
      </c>
      <c r="D237" s="308">
        <v>21</v>
      </c>
      <c r="E237" s="308">
        <v>43</v>
      </c>
      <c r="F237" s="308">
        <v>23</v>
      </c>
      <c r="G237" s="308">
        <v>22</v>
      </c>
      <c r="H237" s="308">
        <v>45</v>
      </c>
      <c r="I237" s="308">
        <v>36</v>
      </c>
      <c r="J237" s="308">
        <v>5</v>
      </c>
      <c r="K237" s="308">
        <v>41</v>
      </c>
      <c r="L237" s="308">
        <v>5</v>
      </c>
      <c r="M237" s="308">
        <v>6</v>
      </c>
      <c r="N237" s="308">
        <v>11</v>
      </c>
      <c r="O237" s="352">
        <v>86</v>
      </c>
      <c r="P237" s="352">
        <v>54</v>
      </c>
      <c r="Q237" s="352">
        <v>140</v>
      </c>
      <c r="R237" s="27"/>
      <c r="S237" s="27"/>
      <c r="T237" s="27"/>
      <c r="U237" s="27"/>
      <c r="V237" s="27"/>
      <c r="W237" s="27"/>
      <c r="X237" s="27"/>
    </row>
    <row r="238" spans="2:24" x14ac:dyDescent="0.25">
      <c r="B238" s="150" t="s">
        <v>507</v>
      </c>
      <c r="C238" s="308">
        <v>29</v>
      </c>
      <c r="D238" s="308">
        <v>31</v>
      </c>
      <c r="E238" s="308">
        <v>60</v>
      </c>
      <c r="F238" s="308">
        <v>41</v>
      </c>
      <c r="G238" s="308">
        <v>32</v>
      </c>
      <c r="H238" s="308">
        <v>73</v>
      </c>
      <c r="I238" s="308">
        <v>21</v>
      </c>
      <c r="J238" s="308">
        <v>5</v>
      </c>
      <c r="K238" s="308">
        <v>26</v>
      </c>
      <c r="L238" s="308">
        <v>1</v>
      </c>
      <c r="M238" s="308">
        <v>7</v>
      </c>
      <c r="N238" s="308">
        <v>8</v>
      </c>
      <c r="O238" s="352">
        <v>92</v>
      </c>
      <c r="P238" s="352">
        <v>75</v>
      </c>
      <c r="Q238" s="352">
        <v>167</v>
      </c>
      <c r="R238" s="27"/>
      <c r="S238" s="27"/>
      <c r="T238" s="27"/>
      <c r="U238" s="27"/>
      <c r="V238" s="27"/>
      <c r="W238" s="27"/>
      <c r="X238" s="27"/>
    </row>
    <row r="239" spans="2:24" x14ac:dyDescent="0.25">
      <c r="B239" s="150" t="s">
        <v>284</v>
      </c>
      <c r="C239" s="308">
        <v>57</v>
      </c>
      <c r="D239" s="308">
        <v>77</v>
      </c>
      <c r="E239" s="308">
        <v>134</v>
      </c>
      <c r="F239" s="308">
        <v>183</v>
      </c>
      <c r="G239" s="308">
        <v>138</v>
      </c>
      <c r="H239" s="308">
        <v>321</v>
      </c>
      <c r="I239" s="308">
        <v>28</v>
      </c>
      <c r="J239" s="308">
        <v>11</v>
      </c>
      <c r="K239" s="308">
        <v>39</v>
      </c>
      <c r="L239" s="308">
        <v>5</v>
      </c>
      <c r="M239" s="308">
        <v>6</v>
      </c>
      <c r="N239" s="308">
        <v>11</v>
      </c>
      <c r="O239" s="352">
        <v>273</v>
      </c>
      <c r="P239" s="352">
        <v>232</v>
      </c>
      <c r="Q239" s="352">
        <v>505</v>
      </c>
      <c r="R239" s="27"/>
      <c r="S239" s="27"/>
      <c r="T239" s="27"/>
      <c r="U239" s="27"/>
      <c r="V239" s="27"/>
      <c r="W239" s="27"/>
      <c r="X239" s="27"/>
    </row>
    <row r="240" spans="2:24" x14ac:dyDescent="0.25">
      <c r="B240" s="150" t="s">
        <v>285</v>
      </c>
      <c r="C240" s="308">
        <v>109</v>
      </c>
      <c r="D240" s="308">
        <v>194</v>
      </c>
      <c r="E240" s="308">
        <v>303</v>
      </c>
      <c r="F240" s="308">
        <v>486</v>
      </c>
      <c r="G240" s="308">
        <v>328</v>
      </c>
      <c r="H240" s="308">
        <v>814</v>
      </c>
      <c r="I240" s="308">
        <v>69</v>
      </c>
      <c r="J240" s="308">
        <v>25</v>
      </c>
      <c r="K240" s="308">
        <v>94</v>
      </c>
      <c r="L240" s="308">
        <v>17</v>
      </c>
      <c r="M240" s="308">
        <v>31</v>
      </c>
      <c r="N240" s="308">
        <v>48</v>
      </c>
      <c r="O240" s="352">
        <v>681</v>
      </c>
      <c r="P240" s="352">
        <v>578</v>
      </c>
      <c r="Q240" s="352">
        <v>1259</v>
      </c>
      <c r="R240" s="27"/>
      <c r="S240" s="27"/>
      <c r="T240" s="27"/>
      <c r="U240" s="27"/>
      <c r="V240" s="27"/>
      <c r="W240" s="27"/>
      <c r="X240" s="27"/>
    </row>
    <row r="241" spans="2:24" x14ac:dyDescent="0.25">
      <c r="B241" s="150" t="s">
        <v>286</v>
      </c>
      <c r="C241" s="308">
        <v>4</v>
      </c>
      <c r="D241" s="308">
        <v>5</v>
      </c>
      <c r="E241" s="308">
        <v>9</v>
      </c>
      <c r="F241" s="308">
        <v>14</v>
      </c>
      <c r="G241" s="308">
        <v>7</v>
      </c>
      <c r="H241" s="308">
        <v>21</v>
      </c>
      <c r="I241" s="308">
        <v>3</v>
      </c>
      <c r="J241" s="308">
        <v>3</v>
      </c>
      <c r="K241" s="308">
        <v>6</v>
      </c>
      <c r="L241" s="308"/>
      <c r="M241" s="308">
        <v>2</v>
      </c>
      <c r="N241" s="308">
        <v>2</v>
      </c>
      <c r="O241" s="352">
        <v>21</v>
      </c>
      <c r="P241" s="352">
        <v>17</v>
      </c>
      <c r="Q241" s="352">
        <v>38</v>
      </c>
      <c r="R241" s="27"/>
      <c r="S241" s="27"/>
      <c r="T241" s="27"/>
      <c r="U241" s="27"/>
      <c r="V241" s="27"/>
      <c r="W241" s="27"/>
      <c r="X241" s="27"/>
    </row>
    <row r="242" spans="2:24" x14ac:dyDescent="0.25">
      <c r="B242" s="150" t="s">
        <v>287</v>
      </c>
      <c r="C242" s="308">
        <v>84</v>
      </c>
      <c r="D242" s="308">
        <v>82</v>
      </c>
      <c r="E242" s="308">
        <v>166</v>
      </c>
      <c r="F242" s="308">
        <v>146</v>
      </c>
      <c r="G242" s="308">
        <v>132</v>
      </c>
      <c r="H242" s="308">
        <v>278</v>
      </c>
      <c r="I242" s="308">
        <v>55</v>
      </c>
      <c r="J242" s="308">
        <v>11</v>
      </c>
      <c r="K242" s="308">
        <v>66</v>
      </c>
      <c r="L242" s="308">
        <v>10</v>
      </c>
      <c r="M242" s="308">
        <v>17</v>
      </c>
      <c r="N242" s="308">
        <v>27</v>
      </c>
      <c r="O242" s="352">
        <v>295</v>
      </c>
      <c r="P242" s="352">
        <v>242</v>
      </c>
      <c r="Q242" s="352">
        <v>537</v>
      </c>
      <c r="R242" s="27"/>
      <c r="S242" s="27"/>
      <c r="T242" s="27"/>
      <c r="U242" s="27"/>
      <c r="V242" s="27"/>
      <c r="W242" s="27"/>
      <c r="X242" s="27"/>
    </row>
    <row r="243" spans="2:24" x14ac:dyDescent="0.25">
      <c r="B243" s="150" t="s">
        <v>288</v>
      </c>
      <c r="C243" s="308">
        <v>28</v>
      </c>
      <c r="D243" s="308">
        <v>30</v>
      </c>
      <c r="E243" s="308">
        <v>58</v>
      </c>
      <c r="F243" s="308">
        <v>37</v>
      </c>
      <c r="G243" s="308">
        <v>37</v>
      </c>
      <c r="H243" s="308">
        <v>74</v>
      </c>
      <c r="I243" s="308">
        <v>19</v>
      </c>
      <c r="J243" s="308">
        <v>6</v>
      </c>
      <c r="K243" s="308">
        <v>25</v>
      </c>
      <c r="L243" s="308">
        <v>1</v>
      </c>
      <c r="M243" s="308">
        <v>3</v>
      </c>
      <c r="N243" s="308">
        <v>4</v>
      </c>
      <c r="O243" s="352">
        <v>85</v>
      </c>
      <c r="P243" s="352">
        <v>76</v>
      </c>
      <c r="Q243" s="352">
        <v>161</v>
      </c>
      <c r="R243" s="27"/>
      <c r="S243" s="27"/>
      <c r="T243" s="27"/>
      <c r="U243" s="27"/>
      <c r="V243" s="27"/>
      <c r="W243" s="27"/>
      <c r="X243" s="27"/>
    </row>
    <row r="244" spans="2:24" x14ac:dyDescent="0.25">
      <c r="B244" s="150" t="s">
        <v>289</v>
      </c>
      <c r="C244" s="308">
        <v>8</v>
      </c>
      <c r="D244" s="308">
        <v>13</v>
      </c>
      <c r="E244" s="308">
        <v>21</v>
      </c>
      <c r="F244" s="308">
        <v>16</v>
      </c>
      <c r="G244" s="308">
        <v>18</v>
      </c>
      <c r="H244" s="308">
        <v>34</v>
      </c>
      <c r="I244" s="308">
        <v>3</v>
      </c>
      <c r="J244" s="308">
        <v>3</v>
      </c>
      <c r="K244" s="308">
        <v>6</v>
      </c>
      <c r="L244" s="308">
        <v>1</v>
      </c>
      <c r="M244" s="308">
        <v>3</v>
      </c>
      <c r="N244" s="308">
        <v>4</v>
      </c>
      <c r="O244" s="352">
        <v>28</v>
      </c>
      <c r="P244" s="352">
        <v>37</v>
      </c>
      <c r="Q244" s="352">
        <v>65</v>
      </c>
      <c r="R244" s="27"/>
      <c r="S244" s="27"/>
      <c r="T244" s="27"/>
      <c r="U244" s="27"/>
      <c r="V244" s="27"/>
      <c r="W244" s="27"/>
      <c r="X244" s="27"/>
    </row>
    <row r="245" spans="2:24" x14ac:dyDescent="0.25">
      <c r="B245" s="150" t="s">
        <v>290</v>
      </c>
      <c r="C245" s="308">
        <v>45</v>
      </c>
      <c r="D245" s="308">
        <v>65</v>
      </c>
      <c r="E245" s="308">
        <v>110</v>
      </c>
      <c r="F245" s="308">
        <v>163</v>
      </c>
      <c r="G245" s="308">
        <v>111</v>
      </c>
      <c r="H245" s="308">
        <v>274</v>
      </c>
      <c r="I245" s="308">
        <v>31</v>
      </c>
      <c r="J245" s="308">
        <v>8</v>
      </c>
      <c r="K245" s="308">
        <v>39</v>
      </c>
      <c r="L245" s="308">
        <v>12</v>
      </c>
      <c r="M245" s="308">
        <v>14</v>
      </c>
      <c r="N245" s="308">
        <v>26</v>
      </c>
      <c r="O245" s="352">
        <v>251</v>
      </c>
      <c r="P245" s="352">
        <v>198</v>
      </c>
      <c r="Q245" s="352">
        <v>449</v>
      </c>
      <c r="R245" s="27"/>
      <c r="S245" s="27"/>
      <c r="T245" s="27"/>
      <c r="U245" s="27"/>
      <c r="V245" s="27"/>
      <c r="W245" s="27"/>
      <c r="X245" s="27"/>
    </row>
    <row r="246" spans="2:24" x14ac:dyDescent="0.25">
      <c r="B246" s="150" t="s">
        <v>291</v>
      </c>
      <c r="C246" s="308">
        <v>19</v>
      </c>
      <c r="D246" s="308">
        <v>22</v>
      </c>
      <c r="E246" s="308">
        <v>41</v>
      </c>
      <c r="F246" s="308">
        <v>24</v>
      </c>
      <c r="G246" s="308">
        <v>30</v>
      </c>
      <c r="H246" s="308">
        <v>54</v>
      </c>
      <c r="I246" s="308">
        <v>10</v>
      </c>
      <c r="J246" s="308">
        <v>4</v>
      </c>
      <c r="K246" s="308">
        <v>14</v>
      </c>
      <c r="L246" s="308">
        <v>5</v>
      </c>
      <c r="M246" s="308">
        <v>5</v>
      </c>
      <c r="N246" s="308">
        <v>10</v>
      </c>
      <c r="O246" s="352">
        <v>58</v>
      </c>
      <c r="P246" s="352">
        <v>61</v>
      </c>
      <c r="Q246" s="352">
        <v>119</v>
      </c>
      <c r="R246" s="27"/>
      <c r="S246" s="27"/>
      <c r="T246" s="27"/>
      <c r="U246" s="27"/>
      <c r="V246" s="27"/>
      <c r="W246" s="27"/>
      <c r="X246" s="27"/>
    </row>
    <row r="247" spans="2:24" x14ac:dyDescent="0.25">
      <c r="B247" s="150" t="s">
        <v>292</v>
      </c>
      <c r="C247" s="308">
        <v>10</v>
      </c>
      <c r="D247" s="308">
        <v>26</v>
      </c>
      <c r="E247" s="308">
        <v>36</v>
      </c>
      <c r="F247" s="308">
        <v>25</v>
      </c>
      <c r="G247" s="308">
        <v>31</v>
      </c>
      <c r="H247" s="308">
        <v>56</v>
      </c>
      <c r="I247" s="308">
        <v>20</v>
      </c>
      <c r="J247" s="308">
        <v>9</v>
      </c>
      <c r="K247" s="308">
        <v>29</v>
      </c>
      <c r="L247" s="308">
        <v>8</v>
      </c>
      <c r="M247" s="308">
        <v>9</v>
      </c>
      <c r="N247" s="308">
        <v>17</v>
      </c>
      <c r="O247" s="352">
        <v>63</v>
      </c>
      <c r="P247" s="352">
        <v>75</v>
      </c>
      <c r="Q247" s="352">
        <v>138</v>
      </c>
      <c r="R247" s="27"/>
      <c r="S247" s="27"/>
      <c r="T247" s="27"/>
      <c r="U247" s="27"/>
      <c r="V247" s="27"/>
      <c r="W247" s="27"/>
      <c r="X247" s="27"/>
    </row>
    <row r="248" spans="2:24" x14ac:dyDescent="0.25">
      <c r="B248" s="150" t="s">
        <v>293</v>
      </c>
      <c r="C248" s="308">
        <v>20</v>
      </c>
      <c r="D248" s="308">
        <v>21</v>
      </c>
      <c r="E248" s="308">
        <v>41</v>
      </c>
      <c r="F248" s="308">
        <v>28</v>
      </c>
      <c r="G248" s="308">
        <v>32</v>
      </c>
      <c r="H248" s="308">
        <v>60</v>
      </c>
      <c r="I248" s="308">
        <v>24</v>
      </c>
      <c r="J248" s="308">
        <v>7</v>
      </c>
      <c r="K248" s="308">
        <v>31</v>
      </c>
      <c r="L248" s="308">
        <v>4</v>
      </c>
      <c r="M248" s="308">
        <v>4</v>
      </c>
      <c r="N248" s="308">
        <v>8</v>
      </c>
      <c r="O248" s="352">
        <v>76</v>
      </c>
      <c r="P248" s="352">
        <v>64</v>
      </c>
      <c r="Q248" s="352">
        <v>140</v>
      </c>
      <c r="R248" s="27"/>
      <c r="S248" s="27"/>
      <c r="T248" s="27"/>
      <c r="U248" s="27"/>
      <c r="V248" s="27"/>
      <c r="W248" s="27"/>
      <c r="X248" s="27"/>
    </row>
    <row r="249" spans="2:24" x14ac:dyDescent="0.25">
      <c r="B249" s="150" t="s">
        <v>294</v>
      </c>
      <c r="C249" s="308">
        <v>17</v>
      </c>
      <c r="D249" s="308">
        <v>19</v>
      </c>
      <c r="E249" s="308">
        <v>36</v>
      </c>
      <c r="F249" s="308">
        <v>24</v>
      </c>
      <c r="G249" s="308">
        <v>43</v>
      </c>
      <c r="H249" s="308">
        <v>67</v>
      </c>
      <c r="I249" s="308">
        <v>9</v>
      </c>
      <c r="J249" s="308">
        <v>4</v>
      </c>
      <c r="K249" s="308">
        <v>13</v>
      </c>
      <c r="L249" s="308">
        <v>2</v>
      </c>
      <c r="M249" s="308">
        <v>3</v>
      </c>
      <c r="N249" s="308">
        <v>5</v>
      </c>
      <c r="O249" s="352">
        <v>52</v>
      </c>
      <c r="P249" s="352">
        <v>69</v>
      </c>
      <c r="Q249" s="352">
        <v>121</v>
      </c>
      <c r="R249" s="27"/>
      <c r="S249" s="27"/>
      <c r="T249" s="27"/>
      <c r="U249" s="27"/>
      <c r="V249" s="27"/>
      <c r="W249" s="27"/>
      <c r="X249" s="27"/>
    </row>
    <row r="250" spans="2:24" x14ac:dyDescent="0.25">
      <c r="B250" s="150" t="s">
        <v>295</v>
      </c>
      <c r="C250" s="308">
        <v>116</v>
      </c>
      <c r="D250" s="308">
        <v>150</v>
      </c>
      <c r="E250" s="308">
        <v>266</v>
      </c>
      <c r="F250" s="308">
        <v>299</v>
      </c>
      <c r="G250" s="308">
        <v>280</v>
      </c>
      <c r="H250" s="308">
        <v>579</v>
      </c>
      <c r="I250" s="308">
        <v>115</v>
      </c>
      <c r="J250" s="308">
        <v>36</v>
      </c>
      <c r="K250" s="308">
        <v>151</v>
      </c>
      <c r="L250" s="308">
        <v>42</v>
      </c>
      <c r="M250" s="308">
        <v>50</v>
      </c>
      <c r="N250" s="308">
        <v>92</v>
      </c>
      <c r="O250" s="352">
        <v>572</v>
      </c>
      <c r="P250" s="352">
        <v>516</v>
      </c>
      <c r="Q250" s="352">
        <v>1088</v>
      </c>
      <c r="R250" s="27"/>
      <c r="S250" s="27"/>
      <c r="T250" s="27"/>
      <c r="U250" s="27"/>
      <c r="V250" s="27"/>
      <c r="W250" s="27"/>
      <c r="X250" s="27"/>
    </row>
    <row r="251" spans="2:24" x14ac:dyDescent="0.25">
      <c r="B251" s="150" t="s">
        <v>296</v>
      </c>
      <c r="C251" s="308">
        <v>43</v>
      </c>
      <c r="D251" s="308">
        <v>35</v>
      </c>
      <c r="E251" s="308">
        <v>78</v>
      </c>
      <c r="F251" s="308">
        <v>72</v>
      </c>
      <c r="G251" s="308">
        <v>72</v>
      </c>
      <c r="H251" s="308">
        <v>144</v>
      </c>
      <c r="I251" s="308">
        <v>13</v>
      </c>
      <c r="J251" s="308">
        <v>4</v>
      </c>
      <c r="K251" s="308">
        <v>17</v>
      </c>
      <c r="L251" s="308">
        <v>3</v>
      </c>
      <c r="M251" s="308">
        <v>5</v>
      </c>
      <c r="N251" s="308">
        <v>8</v>
      </c>
      <c r="O251" s="352">
        <v>131</v>
      </c>
      <c r="P251" s="352">
        <v>116</v>
      </c>
      <c r="Q251" s="352">
        <v>247</v>
      </c>
      <c r="R251" s="27"/>
      <c r="S251" s="27"/>
      <c r="T251" s="27"/>
      <c r="U251" s="27"/>
      <c r="V251" s="27"/>
      <c r="W251" s="27"/>
      <c r="X251" s="27"/>
    </row>
    <row r="252" spans="2:24" x14ac:dyDescent="0.25">
      <c r="B252" s="150" t="s">
        <v>297</v>
      </c>
      <c r="C252" s="308">
        <v>28</v>
      </c>
      <c r="D252" s="308">
        <v>28</v>
      </c>
      <c r="E252" s="308">
        <v>56</v>
      </c>
      <c r="F252" s="308">
        <v>39</v>
      </c>
      <c r="G252" s="308">
        <v>28</v>
      </c>
      <c r="H252" s="308">
        <v>67</v>
      </c>
      <c r="I252" s="308">
        <v>23</v>
      </c>
      <c r="J252" s="308">
        <v>8</v>
      </c>
      <c r="K252" s="308">
        <v>31</v>
      </c>
      <c r="L252" s="308">
        <v>3</v>
      </c>
      <c r="M252" s="308">
        <v>5</v>
      </c>
      <c r="N252" s="308">
        <v>8</v>
      </c>
      <c r="O252" s="352">
        <v>93</v>
      </c>
      <c r="P252" s="352">
        <v>69</v>
      </c>
      <c r="Q252" s="352">
        <v>162</v>
      </c>
      <c r="R252" s="27"/>
      <c r="S252" s="27"/>
      <c r="T252" s="27"/>
      <c r="U252" s="27"/>
      <c r="V252" s="27"/>
      <c r="W252" s="27"/>
      <c r="X252" s="27"/>
    </row>
    <row r="253" spans="2:24" x14ac:dyDescent="0.25">
      <c r="B253" s="150" t="s">
        <v>298</v>
      </c>
      <c r="C253" s="308">
        <v>17</v>
      </c>
      <c r="D253" s="308">
        <v>21</v>
      </c>
      <c r="E253" s="308">
        <v>38</v>
      </c>
      <c r="F253" s="308">
        <v>24</v>
      </c>
      <c r="G253" s="308">
        <v>41</v>
      </c>
      <c r="H253" s="308">
        <v>65</v>
      </c>
      <c r="I253" s="308">
        <v>15</v>
      </c>
      <c r="J253" s="308">
        <v>1</v>
      </c>
      <c r="K253" s="308">
        <v>16</v>
      </c>
      <c r="L253" s="308">
        <v>3</v>
      </c>
      <c r="M253" s="308">
        <v>6</v>
      </c>
      <c r="N253" s="308">
        <v>9</v>
      </c>
      <c r="O253" s="352">
        <v>59</v>
      </c>
      <c r="P253" s="352">
        <v>69</v>
      </c>
      <c r="Q253" s="352">
        <v>128</v>
      </c>
      <c r="R253" s="27"/>
      <c r="S253" s="27"/>
      <c r="T253" s="27"/>
      <c r="U253" s="27"/>
      <c r="V253" s="27"/>
      <c r="W253" s="27"/>
      <c r="X253" s="27"/>
    </row>
    <row r="254" spans="2:24" x14ac:dyDescent="0.25">
      <c r="B254" s="150" t="s">
        <v>299</v>
      </c>
      <c r="C254" s="308">
        <v>4</v>
      </c>
      <c r="D254" s="308">
        <v>9</v>
      </c>
      <c r="E254" s="308">
        <v>13</v>
      </c>
      <c r="F254" s="308">
        <v>10</v>
      </c>
      <c r="G254" s="308">
        <v>19</v>
      </c>
      <c r="H254" s="308">
        <v>29</v>
      </c>
      <c r="I254" s="308">
        <v>4</v>
      </c>
      <c r="J254" s="308">
        <v>1</v>
      </c>
      <c r="K254" s="308">
        <v>5</v>
      </c>
      <c r="L254" s="308">
        <v>1</v>
      </c>
      <c r="M254" s="308">
        <v>6</v>
      </c>
      <c r="N254" s="308">
        <v>7</v>
      </c>
      <c r="O254" s="352">
        <v>19</v>
      </c>
      <c r="P254" s="352">
        <v>35</v>
      </c>
      <c r="Q254" s="352">
        <v>54</v>
      </c>
      <c r="R254" s="27"/>
      <c r="S254" s="27"/>
      <c r="T254" s="27"/>
      <c r="U254" s="27"/>
      <c r="V254" s="27"/>
      <c r="W254" s="27"/>
      <c r="X254" s="27"/>
    </row>
    <row r="255" spans="2:24" x14ac:dyDescent="0.25">
      <c r="B255" s="150" t="s">
        <v>300</v>
      </c>
      <c r="C255" s="308">
        <v>33</v>
      </c>
      <c r="D255" s="308">
        <v>44</v>
      </c>
      <c r="E255" s="308">
        <v>77</v>
      </c>
      <c r="F255" s="308">
        <v>72</v>
      </c>
      <c r="G255" s="308">
        <v>48</v>
      </c>
      <c r="H255" s="308">
        <v>120</v>
      </c>
      <c r="I255" s="308">
        <v>24</v>
      </c>
      <c r="J255" s="308">
        <v>5</v>
      </c>
      <c r="K255" s="308">
        <v>29</v>
      </c>
      <c r="L255" s="308">
        <v>2</v>
      </c>
      <c r="M255" s="308">
        <v>7</v>
      </c>
      <c r="N255" s="308">
        <v>9</v>
      </c>
      <c r="O255" s="352">
        <v>131</v>
      </c>
      <c r="P255" s="352">
        <v>104</v>
      </c>
      <c r="Q255" s="352">
        <v>235</v>
      </c>
      <c r="R255" s="27"/>
      <c r="S255" s="27"/>
      <c r="T255" s="27"/>
      <c r="U255" s="27"/>
      <c r="V255" s="27"/>
      <c r="W255" s="27"/>
      <c r="X255" s="27"/>
    </row>
    <row r="256" spans="2:24" x14ac:dyDescent="0.25">
      <c r="B256" s="150" t="s">
        <v>301</v>
      </c>
      <c r="C256" s="308">
        <v>2</v>
      </c>
      <c r="D256" s="308">
        <v>3</v>
      </c>
      <c r="E256" s="308">
        <v>5</v>
      </c>
      <c r="F256" s="308">
        <v>6</v>
      </c>
      <c r="G256" s="308">
        <v>9</v>
      </c>
      <c r="H256" s="308">
        <v>15</v>
      </c>
      <c r="I256" s="308">
        <v>2</v>
      </c>
      <c r="J256" s="308"/>
      <c r="K256" s="308">
        <v>2</v>
      </c>
      <c r="L256" s="308">
        <v>1</v>
      </c>
      <c r="M256" s="308">
        <v>1</v>
      </c>
      <c r="N256" s="308">
        <v>2</v>
      </c>
      <c r="O256" s="352">
        <v>11</v>
      </c>
      <c r="P256" s="352">
        <v>13</v>
      </c>
      <c r="Q256" s="352">
        <v>24</v>
      </c>
      <c r="R256" s="27"/>
      <c r="S256" s="27"/>
      <c r="T256" s="27"/>
      <c r="U256" s="27"/>
      <c r="V256" s="27"/>
      <c r="W256" s="27"/>
      <c r="X256" s="27"/>
    </row>
    <row r="257" spans="2:24" x14ac:dyDescent="0.25">
      <c r="B257" s="150" t="s">
        <v>302</v>
      </c>
      <c r="C257" s="308">
        <v>7</v>
      </c>
      <c r="D257" s="308">
        <v>8</v>
      </c>
      <c r="E257" s="308">
        <v>15</v>
      </c>
      <c r="F257" s="308">
        <v>9</v>
      </c>
      <c r="G257" s="308">
        <v>6</v>
      </c>
      <c r="H257" s="308">
        <v>15</v>
      </c>
      <c r="I257" s="308">
        <v>7</v>
      </c>
      <c r="J257" s="308">
        <v>1</v>
      </c>
      <c r="K257" s="308">
        <v>8</v>
      </c>
      <c r="L257" s="308">
        <v>1</v>
      </c>
      <c r="M257" s="308">
        <v>3</v>
      </c>
      <c r="N257" s="308">
        <v>4</v>
      </c>
      <c r="O257" s="352">
        <v>24</v>
      </c>
      <c r="P257" s="352">
        <v>18</v>
      </c>
      <c r="Q257" s="352">
        <v>42</v>
      </c>
      <c r="R257" s="27"/>
      <c r="S257" s="27"/>
      <c r="T257" s="27"/>
      <c r="U257" s="27"/>
      <c r="V257" s="27"/>
      <c r="W257" s="27"/>
      <c r="X257" s="27"/>
    </row>
    <row r="258" spans="2:24" x14ac:dyDescent="0.25">
      <c r="B258" s="150" t="s">
        <v>303</v>
      </c>
      <c r="C258" s="308">
        <v>70</v>
      </c>
      <c r="D258" s="308">
        <v>62</v>
      </c>
      <c r="E258" s="308">
        <v>132</v>
      </c>
      <c r="F258" s="308">
        <v>217</v>
      </c>
      <c r="G258" s="308">
        <v>112</v>
      </c>
      <c r="H258" s="308">
        <v>329</v>
      </c>
      <c r="I258" s="308">
        <v>56</v>
      </c>
      <c r="J258" s="308">
        <v>19</v>
      </c>
      <c r="K258" s="308">
        <v>75</v>
      </c>
      <c r="L258" s="308">
        <v>11</v>
      </c>
      <c r="M258" s="308">
        <v>15</v>
      </c>
      <c r="N258" s="308">
        <v>26</v>
      </c>
      <c r="O258" s="352">
        <v>354</v>
      </c>
      <c r="P258" s="352">
        <v>208</v>
      </c>
      <c r="Q258" s="352">
        <v>562</v>
      </c>
      <c r="R258" s="27"/>
      <c r="S258" s="27"/>
      <c r="T258" s="27"/>
      <c r="U258" s="27"/>
      <c r="V258" s="27"/>
      <c r="W258" s="27"/>
      <c r="X258" s="27"/>
    </row>
    <row r="259" spans="2:24" x14ac:dyDescent="0.25">
      <c r="B259" s="150" t="s">
        <v>304</v>
      </c>
      <c r="C259" s="308">
        <v>2</v>
      </c>
      <c r="D259" s="308">
        <v>1</v>
      </c>
      <c r="E259" s="308">
        <v>3</v>
      </c>
      <c r="F259" s="308">
        <v>2</v>
      </c>
      <c r="G259" s="308">
        <v>3</v>
      </c>
      <c r="H259" s="308">
        <v>5</v>
      </c>
      <c r="I259" s="308">
        <v>1</v>
      </c>
      <c r="J259" s="308">
        <v>3</v>
      </c>
      <c r="K259" s="308">
        <v>4</v>
      </c>
      <c r="L259" s="308"/>
      <c r="M259" s="308">
        <v>1</v>
      </c>
      <c r="N259" s="308">
        <v>1</v>
      </c>
      <c r="O259" s="352">
        <v>5</v>
      </c>
      <c r="P259" s="352">
        <v>8</v>
      </c>
      <c r="Q259" s="352">
        <v>13</v>
      </c>
      <c r="R259" s="27"/>
      <c r="S259" s="27"/>
      <c r="T259" s="27"/>
      <c r="U259" s="27"/>
      <c r="V259" s="27"/>
      <c r="W259" s="27"/>
      <c r="X259" s="27"/>
    </row>
    <row r="260" spans="2:24" x14ac:dyDescent="0.25">
      <c r="B260" s="150" t="s">
        <v>305</v>
      </c>
      <c r="C260" s="308">
        <v>10</v>
      </c>
      <c r="D260" s="308">
        <v>17</v>
      </c>
      <c r="E260" s="308">
        <v>27</v>
      </c>
      <c r="F260" s="308">
        <v>18</v>
      </c>
      <c r="G260" s="308">
        <v>16</v>
      </c>
      <c r="H260" s="308">
        <v>34</v>
      </c>
      <c r="I260" s="308">
        <v>10</v>
      </c>
      <c r="J260" s="308">
        <v>6</v>
      </c>
      <c r="K260" s="308">
        <v>16</v>
      </c>
      <c r="L260" s="308">
        <v>2</v>
      </c>
      <c r="M260" s="308">
        <v>5</v>
      </c>
      <c r="N260" s="308">
        <v>7</v>
      </c>
      <c r="O260" s="352">
        <v>40</v>
      </c>
      <c r="P260" s="352">
        <v>44</v>
      </c>
      <c r="Q260" s="352">
        <v>84</v>
      </c>
      <c r="R260" s="27"/>
      <c r="S260" s="27"/>
      <c r="T260" s="27"/>
      <c r="U260" s="27"/>
      <c r="V260" s="27"/>
      <c r="W260" s="27"/>
      <c r="X260" s="27"/>
    </row>
    <row r="261" spans="2:24" x14ac:dyDescent="0.25">
      <c r="B261" s="150" t="s">
        <v>306</v>
      </c>
      <c r="C261" s="308">
        <v>7</v>
      </c>
      <c r="D261" s="308">
        <v>13</v>
      </c>
      <c r="E261" s="308">
        <v>20</v>
      </c>
      <c r="F261" s="308">
        <v>15</v>
      </c>
      <c r="G261" s="308">
        <v>14</v>
      </c>
      <c r="H261" s="308">
        <v>29</v>
      </c>
      <c r="I261" s="308">
        <v>8</v>
      </c>
      <c r="J261" s="308">
        <v>3</v>
      </c>
      <c r="K261" s="308">
        <v>11</v>
      </c>
      <c r="L261" s="308"/>
      <c r="M261" s="308">
        <v>1</v>
      </c>
      <c r="N261" s="308">
        <v>1</v>
      </c>
      <c r="O261" s="352">
        <v>30</v>
      </c>
      <c r="P261" s="352">
        <v>31</v>
      </c>
      <c r="Q261" s="352">
        <v>61</v>
      </c>
      <c r="R261" s="27"/>
      <c r="S261" s="27"/>
      <c r="T261" s="27"/>
      <c r="U261" s="27"/>
      <c r="V261" s="27"/>
      <c r="W261" s="27"/>
      <c r="X261" s="27"/>
    </row>
    <row r="262" spans="2:24" x14ac:dyDescent="0.25">
      <c r="B262" s="150" t="s">
        <v>307</v>
      </c>
      <c r="C262" s="308">
        <v>114</v>
      </c>
      <c r="D262" s="308">
        <v>102</v>
      </c>
      <c r="E262" s="308">
        <v>216</v>
      </c>
      <c r="F262" s="308">
        <v>306</v>
      </c>
      <c r="G262" s="308">
        <v>231</v>
      </c>
      <c r="H262" s="308">
        <v>537</v>
      </c>
      <c r="I262" s="308">
        <v>64</v>
      </c>
      <c r="J262" s="308">
        <v>20</v>
      </c>
      <c r="K262" s="308">
        <v>84</v>
      </c>
      <c r="L262" s="308">
        <v>13</v>
      </c>
      <c r="M262" s="308">
        <v>15</v>
      </c>
      <c r="N262" s="308">
        <v>28</v>
      </c>
      <c r="O262" s="352">
        <v>497</v>
      </c>
      <c r="P262" s="352">
        <v>368</v>
      </c>
      <c r="Q262" s="352">
        <v>865</v>
      </c>
      <c r="R262" s="27"/>
      <c r="S262" s="27"/>
      <c r="T262" s="27"/>
      <c r="U262" s="27"/>
      <c r="V262" s="27"/>
      <c r="W262" s="27"/>
      <c r="X262" s="27"/>
    </row>
    <row r="263" spans="2:24" x14ac:dyDescent="0.25">
      <c r="B263" s="150" t="s">
        <v>308</v>
      </c>
      <c r="C263" s="308">
        <v>10</v>
      </c>
      <c r="D263" s="308">
        <v>4</v>
      </c>
      <c r="E263" s="308">
        <v>14</v>
      </c>
      <c r="F263" s="308">
        <v>7</v>
      </c>
      <c r="G263" s="308">
        <v>8</v>
      </c>
      <c r="H263" s="308">
        <v>15</v>
      </c>
      <c r="I263" s="308">
        <v>7</v>
      </c>
      <c r="J263" s="308">
        <v>6</v>
      </c>
      <c r="K263" s="308">
        <v>13</v>
      </c>
      <c r="L263" s="308"/>
      <c r="M263" s="308"/>
      <c r="N263" s="308"/>
      <c r="O263" s="352">
        <v>24</v>
      </c>
      <c r="P263" s="352">
        <v>18</v>
      </c>
      <c r="Q263" s="352">
        <v>42</v>
      </c>
      <c r="R263" s="27"/>
      <c r="S263" s="27"/>
      <c r="T263" s="27"/>
      <c r="U263" s="27"/>
      <c r="V263" s="27"/>
      <c r="W263" s="27"/>
      <c r="X263" s="27"/>
    </row>
    <row r="264" spans="2:24" x14ac:dyDescent="0.25">
      <c r="B264" s="150" t="s">
        <v>309</v>
      </c>
      <c r="C264" s="308">
        <v>28</v>
      </c>
      <c r="D264" s="308">
        <v>47</v>
      </c>
      <c r="E264" s="308">
        <v>75</v>
      </c>
      <c r="F264" s="308">
        <v>106</v>
      </c>
      <c r="G264" s="308">
        <v>66</v>
      </c>
      <c r="H264" s="308">
        <v>172</v>
      </c>
      <c r="I264" s="308">
        <v>16</v>
      </c>
      <c r="J264" s="308">
        <v>10</v>
      </c>
      <c r="K264" s="308">
        <v>26</v>
      </c>
      <c r="L264" s="308">
        <v>5</v>
      </c>
      <c r="M264" s="308">
        <v>8</v>
      </c>
      <c r="N264" s="308">
        <v>13</v>
      </c>
      <c r="O264" s="352">
        <v>155</v>
      </c>
      <c r="P264" s="352">
        <v>131</v>
      </c>
      <c r="Q264" s="352">
        <v>286</v>
      </c>
      <c r="R264" s="27"/>
      <c r="S264" s="27"/>
      <c r="T264" s="27"/>
      <c r="U264" s="27"/>
      <c r="V264" s="27"/>
      <c r="W264" s="27"/>
      <c r="X264" s="27"/>
    </row>
    <row r="265" spans="2:24" x14ac:dyDescent="0.25">
      <c r="B265" s="170" t="s">
        <v>310</v>
      </c>
      <c r="C265" s="312">
        <v>8</v>
      </c>
      <c r="D265" s="312">
        <v>13</v>
      </c>
      <c r="E265" s="312">
        <v>21</v>
      </c>
      <c r="F265" s="312">
        <v>21</v>
      </c>
      <c r="G265" s="312">
        <v>16</v>
      </c>
      <c r="H265" s="312">
        <v>37</v>
      </c>
      <c r="I265" s="312">
        <v>7</v>
      </c>
      <c r="J265" s="312">
        <v>2</v>
      </c>
      <c r="K265" s="312">
        <v>9</v>
      </c>
      <c r="L265" s="312">
        <v>1</v>
      </c>
      <c r="M265" s="312">
        <v>5</v>
      </c>
      <c r="N265" s="312">
        <v>6</v>
      </c>
      <c r="O265" s="352">
        <v>37</v>
      </c>
      <c r="P265" s="352">
        <v>36</v>
      </c>
      <c r="Q265" s="352">
        <v>73</v>
      </c>
      <c r="R265" s="27"/>
      <c r="S265" s="27"/>
      <c r="T265" s="27"/>
      <c r="U265" s="27"/>
      <c r="V265" s="27"/>
      <c r="W265" s="27"/>
      <c r="X265" s="27"/>
    </row>
    <row r="266" spans="2:24" x14ac:dyDescent="0.25">
      <c r="B266" s="173" t="s">
        <v>311</v>
      </c>
      <c r="C266" s="310">
        <v>15</v>
      </c>
      <c r="D266" s="310">
        <v>27</v>
      </c>
      <c r="E266" s="310">
        <v>42</v>
      </c>
      <c r="F266" s="310">
        <v>32</v>
      </c>
      <c r="G266" s="310">
        <v>33</v>
      </c>
      <c r="H266" s="310">
        <v>65</v>
      </c>
      <c r="I266" s="310">
        <v>28</v>
      </c>
      <c r="J266" s="310">
        <v>7</v>
      </c>
      <c r="K266" s="310">
        <v>35</v>
      </c>
      <c r="L266" s="310">
        <v>2</v>
      </c>
      <c r="M266" s="310">
        <v>9</v>
      </c>
      <c r="N266" s="310">
        <v>11</v>
      </c>
      <c r="O266" s="352">
        <v>77</v>
      </c>
      <c r="P266" s="352">
        <v>76</v>
      </c>
      <c r="Q266" s="352">
        <v>153</v>
      </c>
      <c r="R266" s="27"/>
      <c r="S266" s="27"/>
      <c r="T266" s="27"/>
      <c r="U266" s="27"/>
      <c r="V266" s="27"/>
      <c r="W266" s="27"/>
      <c r="X266" s="27"/>
    </row>
    <row r="267" spans="2:24" x14ac:dyDescent="0.25">
      <c r="B267" s="351" t="s">
        <v>35</v>
      </c>
      <c r="C267" s="302">
        <v>1014</v>
      </c>
      <c r="D267" s="302">
        <v>1224</v>
      </c>
      <c r="E267" s="302">
        <v>2238</v>
      </c>
      <c r="F267" s="302">
        <v>2525</v>
      </c>
      <c r="G267" s="302">
        <v>2036</v>
      </c>
      <c r="H267" s="300">
        <v>4561</v>
      </c>
      <c r="I267" s="302">
        <v>752</v>
      </c>
      <c r="J267" s="300">
        <v>243</v>
      </c>
      <c r="K267" s="302">
        <v>995</v>
      </c>
      <c r="L267" s="300">
        <v>163</v>
      </c>
      <c r="M267" s="302">
        <v>260</v>
      </c>
      <c r="N267" s="300">
        <v>423</v>
      </c>
      <c r="O267" s="352">
        <v>4454</v>
      </c>
      <c r="P267" s="352">
        <v>3763</v>
      </c>
      <c r="Q267" s="352">
        <v>8217</v>
      </c>
      <c r="R267" s="27"/>
      <c r="S267" s="27"/>
      <c r="T267" s="27"/>
      <c r="U267" s="27"/>
      <c r="V267" s="27"/>
      <c r="W267" s="27"/>
      <c r="X267" s="27"/>
    </row>
    <row r="268" spans="2:24" ht="111.75" customHeight="1" x14ac:dyDescent="0.25">
      <c r="B268" s="489" t="s">
        <v>928</v>
      </c>
      <c r="C268" s="489"/>
      <c r="D268" s="489"/>
      <c r="E268" s="489"/>
      <c r="F268" s="489"/>
      <c r="G268" s="489"/>
      <c r="H268" s="489"/>
      <c r="I268" s="489"/>
      <c r="J268" s="489"/>
      <c r="K268" s="489"/>
      <c r="L268" s="489"/>
      <c r="M268" s="489"/>
      <c r="N268" s="489"/>
      <c r="O268" s="489"/>
      <c r="P268" s="489"/>
      <c r="Q268" s="489"/>
      <c r="R268" s="27"/>
      <c r="S268" s="27"/>
      <c r="T268" s="27"/>
      <c r="U268" s="27"/>
      <c r="V268" s="27"/>
      <c r="W268" s="27"/>
    </row>
    <row r="269" spans="2:24" x14ac:dyDescent="0.25">
      <c r="B269" s="172"/>
      <c r="C269" s="172"/>
      <c r="D269" s="172"/>
      <c r="E269"/>
      <c r="F269"/>
      <c r="G269"/>
      <c r="H269" s="27"/>
      <c r="I269" s="27"/>
      <c r="J269" s="27"/>
      <c r="K269" s="27"/>
      <c r="L269" s="27"/>
      <c r="M269" s="27"/>
      <c r="N269" s="27"/>
      <c r="O269" s="27"/>
      <c r="P269" s="27"/>
      <c r="Q269" s="27"/>
      <c r="R269" s="27"/>
      <c r="S269" s="27"/>
      <c r="T269" s="27"/>
      <c r="U269" s="27"/>
      <c r="V269" s="27"/>
      <c r="W269" s="27"/>
    </row>
    <row r="270" spans="2:24" x14ac:dyDescent="0.25">
      <c r="B270" s="201" t="s">
        <v>525</v>
      </c>
      <c r="C270"/>
      <c r="D270"/>
      <c r="E270"/>
      <c r="F270"/>
      <c r="G270"/>
      <c r="H270" s="27"/>
      <c r="I270" s="27"/>
      <c r="J270" s="27"/>
      <c r="K270" s="27"/>
      <c r="L270" s="27"/>
      <c r="M270" s="27"/>
      <c r="N270" s="27"/>
      <c r="O270" s="27"/>
      <c r="P270" s="27"/>
      <c r="Q270" s="27"/>
      <c r="R270" s="27"/>
      <c r="S270" s="27"/>
      <c r="T270" s="27"/>
      <c r="U270" s="27"/>
      <c r="V270" s="27"/>
      <c r="W270" s="27"/>
    </row>
    <row r="271" spans="2:24" x14ac:dyDescent="0.25">
      <c r="B271" s="201"/>
      <c r="C271"/>
      <c r="D271"/>
      <c r="E271"/>
      <c r="F271"/>
      <c r="G271"/>
      <c r="H271" s="27"/>
      <c r="I271" s="27"/>
      <c r="J271" s="27"/>
      <c r="K271" s="27"/>
      <c r="L271" s="27"/>
      <c r="M271" s="27"/>
      <c r="N271" s="27"/>
      <c r="O271" s="27"/>
      <c r="P271" s="27"/>
      <c r="Q271" s="27"/>
      <c r="R271" s="27"/>
      <c r="S271" s="27"/>
      <c r="T271" s="27"/>
      <c r="U271" s="27"/>
      <c r="V271" s="27"/>
      <c r="W271" s="27"/>
    </row>
    <row r="272" spans="2:24" ht="15" customHeight="1" x14ac:dyDescent="0.25">
      <c r="B272" s="490" t="s">
        <v>544</v>
      </c>
      <c r="C272" s="479" t="s">
        <v>488</v>
      </c>
      <c r="D272" s="479"/>
      <c r="E272" s="479"/>
      <c r="F272" s="479"/>
      <c r="G272" s="479"/>
      <c r="H272" s="479"/>
      <c r="I272" s="479"/>
      <c r="J272" s="479"/>
      <c r="K272" s="479"/>
      <c r="L272" s="479"/>
      <c r="M272" s="479"/>
      <c r="N272" s="479"/>
      <c r="O272" s="483" t="s">
        <v>746</v>
      </c>
      <c r="P272" s="484"/>
      <c r="Q272" s="485"/>
      <c r="R272" s="27"/>
      <c r="S272" s="27"/>
      <c r="T272" s="27"/>
      <c r="U272" s="27"/>
      <c r="V272" s="27"/>
      <c r="W272" s="27"/>
    </row>
    <row r="273" spans="2:24" ht="15" customHeight="1" x14ac:dyDescent="0.25">
      <c r="B273" s="490"/>
      <c r="C273" s="479" t="s">
        <v>707</v>
      </c>
      <c r="D273" s="479"/>
      <c r="E273" s="479"/>
      <c r="F273" s="479" t="s">
        <v>497</v>
      </c>
      <c r="G273" s="479"/>
      <c r="H273" s="479"/>
      <c r="I273" s="479" t="s">
        <v>4</v>
      </c>
      <c r="J273" s="479"/>
      <c r="K273" s="479"/>
      <c r="L273" s="479" t="s">
        <v>6</v>
      </c>
      <c r="M273" s="479"/>
      <c r="N273" s="479"/>
      <c r="O273" s="486"/>
      <c r="P273" s="487"/>
      <c r="Q273" s="488"/>
      <c r="R273" s="27"/>
      <c r="S273" s="27"/>
      <c r="T273" s="27"/>
      <c r="U273" s="27"/>
      <c r="V273" s="27"/>
      <c r="W273" s="27"/>
    </row>
    <row r="274" spans="2:24" x14ac:dyDescent="0.25">
      <c r="B274" s="490"/>
      <c r="C274" s="175" t="s">
        <v>83</v>
      </c>
      <c r="D274" s="175" t="s">
        <v>84</v>
      </c>
      <c r="E274" s="175" t="s">
        <v>35</v>
      </c>
      <c r="F274" s="175" t="s">
        <v>83</v>
      </c>
      <c r="G274" s="175" t="s">
        <v>84</v>
      </c>
      <c r="H274" s="175" t="s">
        <v>35</v>
      </c>
      <c r="I274" s="175" t="s">
        <v>83</v>
      </c>
      <c r="J274" s="175" t="s">
        <v>84</v>
      </c>
      <c r="K274" s="175" t="s">
        <v>35</v>
      </c>
      <c r="L274" s="175" t="s">
        <v>83</v>
      </c>
      <c r="M274" s="175" t="s">
        <v>84</v>
      </c>
      <c r="N274" s="175" t="s">
        <v>35</v>
      </c>
      <c r="O274" s="262" t="s">
        <v>83</v>
      </c>
      <c r="P274" s="262" t="s">
        <v>84</v>
      </c>
      <c r="Q274" s="262" t="s">
        <v>35</v>
      </c>
      <c r="R274" s="27"/>
      <c r="S274" s="27"/>
      <c r="T274" s="27"/>
      <c r="U274" s="27"/>
      <c r="V274" s="27"/>
      <c r="W274" s="27"/>
    </row>
    <row r="275" spans="2:24" x14ac:dyDescent="0.25">
      <c r="B275" s="171" t="s">
        <v>312</v>
      </c>
      <c r="C275" s="311">
        <v>34</v>
      </c>
      <c r="D275" s="311">
        <v>38</v>
      </c>
      <c r="E275" s="311">
        <v>72</v>
      </c>
      <c r="F275" s="311">
        <v>77</v>
      </c>
      <c r="G275" s="311">
        <v>74</v>
      </c>
      <c r="H275" s="311">
        <v>151</v>
      </c>
      <c r="I275" s="311">
        <v>27</v>
      </c>
      <c r="J275" s="311">
        <v>8</v>
      </c>
      <c r="K275" s="311">
        <v>35</v>
      </c>
      <c r="L275" s="311">
        <v>6</v>
      </c>
      <c r="M275" s="311">
        <v>10</v>
      </c>
      <c r="N275" s="311">
        <v>16</v>
      </c>
      <c r="O275" s="352">
        <v>144</v>
      </c>
      <c r="P275" s="352">
        <v>130</v>
      </c>
      <c r="Q275" s="352">
        <v>274</v>
      </c>
      <c r="R275" s="27"/>
      <c r="S275" s="27"/>
      <c r="T275" s="27"/>
      <c r="U275" s="27"/>
      <c r="V275" s="27"/>
      <c r="W275" s="27"/>
      <c r="X275" s="27"/>
    </row>
    <row r="276" spans="2:24" x14ac:dyDescent="0.25">
      <c r="B276" s="150" t="s">
        <v>313</v>
      </c>
      <c r="C276" s="308">
        <v>22</v>
      </c>
      <c r="D276" s="308">
        <v>36</v>
      </c>
      <c r="E276" s="308">
        <v>58</v>
      </c>
      <c r="F276" s="308">
        <v>17</v>
      </c>
      <c r="G276" s="308">
        <v>8</v>
      </c>
      <c r="H276" s="308">
        <v>25</v>
      </c>
      <c r="I276" s="308">
        <v>17</v>
      </c>
      <c r="J276" s="308">
        <v>14</v>
      </c>
      <c r="K276" s="308">
        <v>31</v>
      </c>
      <c r="L276" s="308"/>
      <c r="M276" s="308">
        <v>5</v>
      </c>
      <c r="N276" s="308">
        <v>5</v>
      </c>
      <c r="O276" s="352">
        <v>56</v>
      </c>
      <c r="P276" s="352">
        <v>63</v>
      </c>
      <c r="Q276" s="352">
        <v>119</v>
      </c>
      <c r="R276" s="27"/>
      <c r="S276" s="27"/>
      <c r="T276" s="27"/>
      <c r="U276" s="27"/>
      <c r="V276" s="27"/>
      <c r="W276" s="27"/>
      <c r="X276" s="27"/>
    </row>
    <row r="277" spans="2:24" x14ac:dyDescent="0.25">
      <c r="B277" s="150" t="s">
        <v>314</v>
      </c>
      <c r="C277" s="308">
        <v>10</v>
      </c>
      <c r="D277" s="308">
        <v>9</v>
      </c>
      <c r="E277" s="308">
        <v>19</v>
      </c>
      <c r="F277" s="308">
        <v>17</v>
      </c>
      <c r="G277" s="308">
        <v>4</v>
      </c>
      <c r="H277" s="308">
        <v>21</v>
      </c>
      <c r="I277" s="308">
        <v>6</v>
      </c>
      <c r="J277" s="308"/>
      <c r="K277" s="308">
        <v>6</v>
      </c>
      <c r="L277" s="308">
        <v>1</v>
      </c>
      <c r="M277" s="308">
        <v>1</v>
      </c>
      <c r="N277" s="308">
        <v>2</v>
      </c>
      <c r="O277" s="352">
        <v>34</v>
      </c>
      <c r="P277" s="352">
        <v>14</v>
      </c>
      <c r="Q277" s="352">
        <v>48</v>
      </c>
      <c r="R277" s="27"/>
      <c r="S277" s="27"/>
      <c r="T277" s="27"/>
      <c r="U277" s="27"/>
      <c r="V277" s="27"/>
      <c r="W277" s="27"/>
      <c r="X277" s="27"/>
    </row>
    <row r="278" spans="2:24" x14ac:dyDescent="0.25">
      <c r="B278" s="150" t="s">
        <v>315</v>
      </c>
      <c r="C278" s="308">
        <v>19</v>
      </c>
      <c r="D278" s="308">
        <v>19</v>
      </c>
      <c r="E278" s="308">
        <v>38</v>
      </c>
      <c r="F278" s="308">
        <v>35</v>
      </c>
      <c r="G278" s="308">
        <v>18</v>
      </c>
      <c r="H278" s="308">
        <v>53</v>
      </c>
      <c r="I278" s="308">
        <v>6</v>
      </c>
      <c r="J278" s="308">
        <v>1</v>
      </c>
      <c r="K278" s="308">
        <v>7</v>
      </c>
      <c r="L278" s="308">
        <v>2</v>
      </c>
      <c r="M278" s="308">
        <v>2</v>
      </c>
      <c r="N278" s="308">
        <v>4</v>
      </c>
      <c r="O278" s="352">
        <v>62</v>
      </c>
      <c r="P278" s="352">
        <v>40</v>
      </c>
      <c r="Q278" s="352">
        <v>102</v>
      </c>
      <c r="R278" s="27"/>
      <c r="S278" s="27"/>
      <c r="T278" s="27"/>
      <c r="U278" s="27"/>
      <c r="V278" s="27"/>
      <c r="W278" s="27"/>
      <c r="X278" s="27"/>
    </row>
    <row r="279" spans="2:24" x14ac:dyDescent="0.25">
      <c r="B279" s="150" t="s">
        <v>316</v>
      </c>
      <c r="C279" s="308">
        <v>20</v>
      </c>
      <c r="D279" s="308">
        <v>25</v>
      </c>
      <c r="E279" s="308">
        <v>45</v>
      </c>
      <c r="F279" s="308">
        <v>25</v>
      </c>
      <c r="G279" s="308">
        <v>13</v>
      </c>
      <c r="H279" s="308">
        <v>38</v>
      </c>
      <c r="I279" s="308">
        <v>11</v>
      </c>
      <c r="J279" s="308">
        <v>4</v>
      </c>
      <c r="K279" s="308">
        <v>15</v>
      </c>
      <c r="L279" s="308">
        <v>1</v>
      </c>
      <c r="M279" s="308">
        <v>2</v>
      </c>
      <c r="N279" s="308">
        <v>3</v>
      </c>
      <c r="O279" s="352">
        <v>57</v>
      </c>
      <c r="P279" s="352">
        <v>44</v>
      </c>
      <c r="Q279" s="352">
        <v>101</v>
      </c>
      <c r="R279" s="27"/>
      <c r="S279" s="27"/>
      <c r="T279" s="27"/>
      <c r="U279" s="27"/>
      <c r="V279" s="27"/>
      <c r="W279" s="27"/>
      <c r="X279" s="27"/>
    </row>
    <row r="280" spans="2:24" x14ac:dyDescent="0.25">
      <c r="B280" s="150" t="s">
        <v>317</v>
      </c>
      <c r="C280" s="308">
        <v>26</v>
      </c>
      <c r="D280" s="308">
        <v>28</v>
      </c>
      <c r="E280" s="308">
        <v>54</v>
      </c>
      <c r="F280" s="308">
        <v>31</v>
      </c>
      <c r="G280" s="308">
        <v>25</v>
      </c>
      <c r="H280" s="308">
        <v>56</v>
      </c>
      <c r="I280" s="308">
        <v>9</v>
      </c>
      <c r="J280" s="308">
        <v>2</v>
      </c>
      <c r="K280" s="308">
        <v>11</v>
      </c>
      <c r="L280" s="308">
        <v>2</v>
      </c>
      <c r="M280" s="308">
        <v>2</v>
      </c>
      <c r="N280" s="308">
        <v>4</v>
      </c>
      <c r="O280" s="352">
        <v>68</v>
      </c>
      <c r="P280" s="352">
        <v>57</v>
      </c>
      <c r="Q280" s="352">
        <v>125</v>
      </c>
      <c r="R280" s="27"/>
      <c r="S280" s="27"/>
      <c r="T280" s="27"/>
      <c r="U280" s="27"/>
      <c r="V280" s="27"/>
      <c r="W280" s="27"/>
      <c r="X280" s="27"/>
    </row>
    <row r="281" spans="2:24" x14ac:dyDescent="0.25">
      <c r="B281" s="150" t="s">
        <v>318</v>
      </c>
      <c r="C281" s="308">
        <v>16</v>
      </c>
      <c r="D281" s="308">
        <v>22</v>
      </c>
      <c r="E281" s="308">
        <v>38</v>
      </c>
      <c r="F281" s="308">
        <v>7</v>
      </c>
      <c r="G281" s="308">
        <v>1</v>
      </c>
      <c r="H281" s="308">
        <v>8</v>
      </c>
      <c r="I281" s="308">
        <v>4</v>
      </c>
      <c r="J281" s="308">
        <v>5</v>
      </c>
      <c r="K281" s="308">
        <v>9</v>
      </c>
      <c r="L281" s="308">
        <v>1</v>
      </c>
      <c r="M281" s="308"/>
      <c r="N281" s="308">
        <v>1</v>
      </c>
      <c r="O281" s="352">
        <v>28</v>
      </c>
      <c r="P281" s="352">
        <v>28</v>
      </c>
      <c r="Q281" s="352">
        <v>56</v>
      </c>
      <c r="R281" s="27"/>
      <c r="S281" s="27"/>
      <c r="T281" s="27"/>
      <c r="U281" s="27"/>
      <c r="V281" s="27"/>
      <c r="W281" s="27"/>
      <c r="X281" s="27"/>
    </row>
    <row r="282" spans="2:24" x14ac:dyDescent="0.25">
      <c r="B282" s="150" t="s">
        <v>319</v>
      </c>
      <c r="C282" s="308">
        <v>4</v>
      </c>
      <c r="D282" s="308">
        <v>3</v>
      </c>
      <c r="E282" s="308">
        <v>7</v>
      </c>
      <c r="F282" s="308">
        <v>6</v>
      </c>
      <c r="G282" s="308">
        <v>12</v>
      </c>
      <c r="H282" s="308">
        <v>18</v>
      </c>
      <c r="I282" s="308">
        <v>5</v>
      </c>
      <c r="J282" s="308">
        <v>4</v>
      </c>
      <c r="K282" s="308">
        <v>9</v>
      </c>
      <c r="L282" s="308"/>
      <c r="M282" s="308">
        <v>2</v>
      </c>
      <c r="N282" s="308">
        <v>2</v>
      </c>
      <c r="O282" s="352">
        <v>15</v>
      </c>
      <c r="P282" s="352">
        <v>21</v>
      </c>
      <c r="Q282" s="352">
        <v>36</v>
      </c>
      <c r="R282" s="27"/>
      <c r="S282" s="27"/>
      <c r="T282" s="27"/>
      <c r="U282" s="27"/>
      <c r="V282" s="27"/>
      <c r="W282" s="27"/>
      <c r="X282" s="27"/>
    </row>
    <row r="283" spans="2:24" x14ac:dyDescent="0.25">
      <c r="B283" s="150" t="s">
        <v>320</v>
      </c>
      <c r="C283" s="308">
        <v>17</v>
      </c>
      <c r="D283" s="308">
        <v>23</v>
      </c>
      <c r="E283" s="308">
        <v>40</v>
      </c>
      <c r="F283" s="308">
        <v>33</v>
      </c>
      <c r="G283" s="308">
        <v>22</v>
      </c>
      <c r="H283" s="308">
        <v>55</v>
      </c>
      <c r="I283" s="308">
        <v>11</v>
      </c>
      <c r="J283" s="308">
        <v>6</v>
      </c>
      <c r="K283" s="308">
        <v>17</v>
      </c>
      <c r="L283" s="308">
        <v>5</v>
      </c>
      <c r="M283" s="308">
        <v>4</v>
      </c>
      <c r="N283" s="308">
        <v>9</v>
      </c>
      <c r="O283" s="352">
        <v>66</v>
      </c>
      <c r="P283" s="352">
        <v>55</v>
      </c>
      <c r="Q283" s="352">
        <v>121</v>
      </c>
      <c r="R283" s="27"/>
      <c r="S283" s="27"/>
      <c r="T283" s="27"/>
      <c r="U283" s="27"/>
      <c r="V283" s="27"/>
      <c r="W283" s="27"/>
      <c r="X283" s="27"/>
    </row>
    <row r="284" spans="2:24" x14ac:dyDescent="0.25">
      <c r="B284" s="150" t="s">
        <v>321</v>
      </c>
      <c r="C284" s="308">
        <v>7</v>
      </c>
      <c r="D284" s="308">
        <v>16</v>
      </c>
      <c r="E284" s="308">
        <v>23</v>
      </c>
      <c r="F284" s="308">
        <v>4</v>
      </c>
      <c r="G284" s="308">
        <v>13</v>
      </c>
      <c r="H284" s="308">
        <v>17</v>
      </c>
      <c r="I284" s="308">
        <v>12</v>
      </c>
      <c r="J284" s="308">
        <v>4</v>
      </c>
      <c r="K284" s="308">
        <v>16</v>
      </c>
      <c r="L284" s="308">
        <v>3</v>
      </c>
      <c r="M284" s="308">
        <v>4</v>
      </c>
      <c r="N284" s="308">
        <v>7</v>
      </c>
      <c r="O284" s="352">
        <v>26</v>
      </c>
      <c r="P284" s="352">
        <v>37</v>
      </c>
      <c r="Q284" s="352">
        <v>63</v>
      </c>
      <c r="R284" s="27"/>
      <c r="S284" s="27"/>
      <c r="T284" s="27"/>
      <c r="U284" s="27"/>
      <c r="V284" s="27"/>
      <c r="W284" s="27"/>
      <c r="X284" s="27"/>
    </row>
    <row r="285" spans="2:24" x14ac:dyDescent="0.25">
      <c r="B285" s="150" t="s">
        <v>322</v>
      </c>
      <c r="C285" s="308">
        <v>6</v>
      </c>
      <c r="D285" s="308">
        <v>10</v>
      </c>
      <c r="E285" s="308">
        <v>16</v>
      </c>
      <c r="F285" s="308">
        <v>38</v>
      </c>
      <c r="G285" s="308">
        <v>10</v>
      </c>
      <c r="H285" s="308">
        <v>48</v>
      </c>
      <c r="I285" s="308">
        <v>7</v>
      </c>
      <c r="J285" s="308">
        <v>3</v>
      </c>
      <c r="K285" s="308">
        <v>10</v>
      </c>
      <c r="L285" s="308"/>
      <c r="M285" s="308">
        <v>5</v>
      </c>
      <c r="N285" s="308">
        <v>5</v>
      </c>
      <c r="O285" s="352">
        <v>51</v>
      </c>
      <c r="P285" s="352">
        <v>28</v>
      </c>
      <c r="Q285" s="352">
        <v>79</v>
      </c>
      <c r="R285" s="27"/>
      <c r="S285" s="27"/>
      <c r="T285" s="27"/>
      <c r="U285" s="27"/>
      <c r="V285" s="27"/>
      <c r="W285" s="27"/>
      <c r="X285" s="27"/>
    </row>
    <row r="286" spans="2:24" x14ac:dyDescent="0.25">
      <c r="B286" s="150" t="s">
        <v>323</v>
      </c>
      <c r="C286" s="308">
        <v>27</v>
      </c>
      <c r="D286" s="308">
        <v>29</v>
      </c>
      <c r="E286" s="308">
        <v>56</v>
      </c>
      <c r="F286" s="308">
        <v>48</v>
      </c>
      <c r="G286" s="308">
        <v>34</v>
      </c>
      <c r="H286" s="308">
        <v>82</v>
      </c>
      <c r="I286" s="308">
        <v>16</v>
      </c>
      <c r="J286" s="308">
        <v>5</v>
      </c>
      <c r="K286" s="308">
        <v>21</v>
      </c>
      <c r="L286" s="308">
        <v>3</v>
      </c>
      <c r="M286" s="308">
        <v>3</v>
      </c>
      <c r="N286" s="308">
        <v>6</v>
      </c>
      <c r="O286" s="352">
        <v>94</v>
      </c>
      <c r="P286" s="352">
        <v>71</v>
      </c>
      <c r="Q286" s="352">
        <v>165</v>
      </c>
      <c r="R286" s="27"/>
      <c r="S286" s="27"/>
      <c r="T286" s="27"/>
      <c r="U286" s="27"/>
      <c r="V286" s="27"/>
      <c r="W286" s="27"/>
      <c r="X286" s="27"/>
    </row>
    <row r="287" spans="2:24" x14ac:dyDescent="0.25">
      <c r="B287" s="150" t="s">
        <v>324</v>
      </c>
      <c r="C287" s="308">
        <v>16</v>
      </c>
      <c r="D287" s="308">
        <v>26</v>
      </c>
      <c r="E287" s="308">
        <v>42</v>
      </c>
      <c r="F287" s="308">
        <v>36</v>
      </c>
      <c r="G287" s="308">
        <v>33</v>
      </c>
      <c r="H287" s="308">
        <v>69</v>
      </c>
      <c r="I287" s="308">
        <v>9</v>
      </c>
      <c r="J287" s="308">
        <v>5</v>
      </c>
      <c r="K287" s="308">
        <v>14</v>
      </c>
      <c r="L287" s="308">
        <v>3</v>
      </c>
      <c r="M287" s="308">
        <v>2</v>
      </c>
      <c r="N287" s="308">
        <v>5</v>
      </c>
      <c r="O287" s="352">
        <v>64</v>
      </c>
      <c r="P287" s="352">
        <v>66</v>
      </c>
      <c r="Q287" s="352">
        <v>130</v>
      </c>
      <c r="R287" s="27"/>
      <c r="S287" s="27"/>
      <c r="T287" s="27"/>
      <c r="U287" s="27"/>
      <c r="V287" s="27"/>
      <c r="W287" s="27"/>
      <c r="X287" s="27"/>
    </row>
    <row r="288" spans="2:24" x14ac:dyDescent="0.25">
      <c r="B288" s="150" t="s">
        <v>325</v>
      </c>
      <c r="C288" s="308">
        <v>21</v>
      </c>
      <c r="D288" s="308">
        <v>25</v>
      </c>
      <c r="E288" s="308">
        <v>46</v>
      </c>
      <c r="F288" s="308">
        <v>14</v>
      </c>
      <c r="G288" s="308">
        <v>5</v>
      </c>
      <c r="H288" s="308">
        <v>19</v>
      </c>
      <c r="I288" s="308">
        <v>7</v>
      </c>
      <c r="J288" s="308">
        <v>2</v>
      </c>
      <c r="K288" s="308">
        <v>9</v>
      </c>
      <c r="L288" s="308">
        <v>2</v>
      </c>
      <c r="M288" s="308"/>
      <c r="N288" s="308">
        <v>2</v>
      </c>
      <c r="O288" s="352">
        <v>44</v>
      </c>
      <c r="P288" s="352">
        <v>32</v>
      </c>
      <c r="Q288" s="352">
        <v>76</v>
      </c>
      <c r="R288" s="27"/>
      <c r="S288" s="27"/>
      <c r="T288" s="27"/>
      <c r="U288" s="27"/>
      <c r="V288" s="27"/>
      <c r="W288" s="27"/>
      <c r="X288" s="27"/>
    </row>
    <row r="289" spans="2:24" x14ac:dyDescent="0.25">
      <c r="B289" s="150" t="s">
        <v>326</v>
      </c>
      <c r="C289" s="308">
        <v>2</v>
      </c>
      <c r="D289" s="308">
        <v>7</v>
      </c>
      <c r="E289" s="308">
        <v>9</v>
      </c>
      <c r="F289" s="308">
        <v>3</v>
      </c>
      <c r="G289" s="308">
        <v>8</v>
      </c>
      <c r="H289" s="308">
        <v>11</v>
      </c>
      <c r="I289" s="308">
        <v>8</v>
      </c>
      <c r="J289" s="308">
        <v>1</v>
      </c>
      <c r="K289" s="308">
        <v>9</v>
      </c>
      <c r="L289" s="308">
        <v>1</v>
      </c>
      <c r="M289" s="308">
        <v>1</v>
      </c>
      <c r="N289" s="308">
        <v>2</v>
      </c>
      <c r="O289" s="352">
        <v>14</v>
      </c>
      <c r="P289" s="352">
        <v>17</v>
      </c>
      <c r="Q289" s="352">
        <v>31</v>
      </c>
      <c r="R289" s="27"/>
      <c r="S289" s="27"/>
      <c r="T289" s="27"/>
      <c r="U289" s="27"/>
      <c r="V289" s="27"/>
      <c r="W289" s="27"/>
      <c r="X289" s="27"/>
    </row>
    <row r="290" spans="2:24" x14ac:dyDescent="0.25">
      <c r="B290" s="150" t="s">
        <v>327</v>
      </c>
      <c r="C290" s="308">
        <v>6</v>
      </c>
      <c r="D290" s="308">
        <v>9</v>
      </c>
      <c r="E290" s="308">
        <v>15</v>
      </c>
      <c r="F290" s="308">
        <v>9</v>
      </c>
      <c r="G290" s="308">
        <v>13</v>
      </c>
      <c r="H290" s="308">
        <v>22</v>
      </c>
      <c r="I290" s="308">
        <v>4</v>
      </c>
      <c r="J290" s="308">
        <v>1</v>
      </c>
      <c r="K290" s="308">
        <v>5</v>
      </c>
      <c r="L290" s="308">
        <v>1</v>
      </c>
      <c r="M290" s="308">
        <v>2</v>
      </c>
      <c r="N290" s="308">
        <v>3</v>
      </c>
      <c r="O290" s="352">
        <v>20</v>
      </c>
      <c r="P290" s="352">
        <v>25</v>
      </c>
      <c r="Q290" s="352">
        <v>45</v>
      </c>
      <c r="R290" s="27"/>
      <c r="S290" s="27"/>
      <c r="T290" s="27"/>
      <c r="U290" s="27"/>
      <c r="V290" s="27"/>
      <c r="W290" s="27"/>
      <c r="X290" s="27"/>
    </row>
    <row r="291" spans="2:24" x14ac:dyDescent="0.25">
      <c r="B291" s="150" t="s">
        <v>328</v>
      </c>
      <c r="C291" s="308">
        <v>11</v>
      </c>
      <c r="D291" s="308">
        <v>13</v>
      </c>
      <c r="E291" s="308">
        <v>24</v>
      </c>
      <c r="F291" s="308">
        <v>11</v>
      </c>
      <c r="G291" s="308">
        <v>4</v>
      </c>
      <c r="H291" s="308">
        <v>15</v>
      </c>
      <c r="I291" s="308">
        <v>1</v>
      </c>
      <c r="J291" s="308">
        <v>2</v>
      </c>
      <c r="K291" s="308">
        <v>3</v>
      </c>
      <c r="L291" s="308">
        <v>1</v>
      </c>
      <c r="M291" s="308">
        <v>1</v>
      </c>
      <c r="N291" s="308">
        <v>2</v>
      </c>
      <c r="O291" s="352">
        <v>24</v>
      </c>
      <c r="P291" s="352">
        <v>20</v>
      </c>
      <c r="Q291" s="352">
        <v>44</v>
      </c>
      <c r="R291" s="27"/>
      <c r="S291" s="27"/>
      <c r="T291" s="27"/>
      <c r="U291" s="27"/>
      <c r="V291" s="27"/>
      <c r="W291" s="27"/>
      <c r="X291" s="27"/>
    </row>
    <row r="292" spans="2:24" x14ac:dyDescent="0.25">
      <c r="B292" s="150" t="s">
        <v>329</v>
      </c>
      <c r="C292" s="308">
        <v>20</v>
      </c>
      <c r="D292" s="308">
        <v>39</v>
      </c>
      <c r="E292" s="308">
        <v>59</v>
      </c>
      <c r="F292" s="308">
        <v>36</v>
      </c>
      <c r="G292" s="308">
        <v>28</v>
      </c>
      <c r="H292" s="308">
        <v>64</v>
      </c>
      <c r="I292" s="308">
        <v>14</v>
      </c>
      <c r="J292" s="308">
        <v>15</v>
      </c>
      <c r="K292" s="308">
        <v>29</v>
      </c>
      <c r="L292" s="308"/>
      <c r="M292" s="308">
        <v>6</v>
      </c>
      <c r="N292" s="308">
        <v>6</v>
      </c>
      <c r="O292" s="352">
        <v>70</v>
      </c>
      <c r="P292" s="352">
        <v>88</v>
      </c>
      <c r="Q292" s="352">
        <v>158</v>
      </c>
      <c r="R292" s="27"/>
      <c r="S292" s="27"/>
      <c r="T292" s="27"/>
      <c r="U292" s="27"/>
      <c r="V292" s="27"/>
      <c r="W292" s="27"/>
      <c r="X292" s="27"/>
    </row>
    <row r="293" spans="2:24" x14ac:dyDescent="0.25">
      <c r="B293" s="150" t="s">
        <v>330</v>
      </c>
      <c r="C293" s="308">
        <v>42</v>
      </c>
      <c r="D293" s="308">
        <v>59</v>
      </c>
      <c r="E293" s="308">
        <v>101</v>
      </c>
      <c r="F293" s="308">
        <v>67</v>
      </c>
      <c r="G293" s="308">
        <v>55</v>
      </c>
      <c r="H293" s="308">
        <v>122</v>
      </c>
      <c r="I293" s="308">
        <v>39</v>
      </c>
      <c r="J293" s="308">
        <v>14</v>
      </c>
      <c r="K293" s="308">
        <v>53</v>
      </c>
      <c r="L293" s="308">
        <v>9</v>
      </c>
      <c r="M293" s="308">
        <v>13</v>
      </c>
      <c r="N293" s="308">
        <v>22</v>
      </c>
      <c r="O293" s="352">
        <v>157</v>
      </c>
      <c r="P293" s="352">
        <v>141</v>
      </c>
      <c r="Q293" s="352">
        <v>298</v>
      </c>
      <c r="R293" s="27"/>
      <c r="S293" s="27"/>
      <c r="T293" s="27"/>
      <c r="U293" s="27"/>
      <c r="V293" s="27"/>
      <c r="W293" s="27"/>
      <c r="X293" s="27"/>
    </row>
    <row r="294" spans="2:24" x14ac:dyDescent="0.25">
      <c r="B294" s="150" t="s">
        <v>331</v>
      </c>
      <c r="C294" s="308">
        <v>8</v>
      </c>
      <c r="D294" s="308">
        <v>8</v>
      </c>
      <c r="E294" s="308">
        <v>16</v>
      </c>
      <c r="F294" s="308">
        <v>8</v>
      </c>
      <c r="G294" s="308">
        <v>10</v>
      </c>
      <c r="H294" s="308">
        <v>18</v>
      </c>
      <c r="I294" s="308">
        <v>2</v>
      </c>
      <c r="J294" s="308"/>
      <c r="K294" s="308">
        <v>2</v>
      </c>
      <c r="L294" s="308">
        <v>1</v>
      </c>
      <c r="M294" s="308">
        <v>1</v>
      </c>
      <c r="N294" s="308">
        <v>2</v>
      </c>
      <c r="O294" s="352">
        <v>19</v>
      </c>
      <c r="P294" s="352">
        <v>19</v>
      </c>
      <c r="Q294" s="352">
        <v>38</v>
      </c>
      <c r="R294" s="27"/>
      <c r="S294" s="27"/>
      <c r="T294" s="27"/>
      <c r="U294" s="27"/>
      <c r="V294" s="27"/>
      <c r="W294" s="27"/>
      <c r="X294" s="27"/>
    </row>
    <row r="295" spans="2:24" x14ac:dyDescent="0.25">
      <c r="B295" s="150" t="s">
        <v>332</v>
      </c>
      <c r="C295" s="308">
        <v>25</v>
      </c>
      <c r="D295" s="308">
        <v>28</v>
      </c>
      <c r="E295" s="308">
        <v>53</v>
      </c>
      <c r="F295" s="308">
        <v>45</v>
      </c>
      <c r="G295" s="308">
        <v>29</v>
      </c>
      <c r="H295" s="308">
        <v>74</v>
      </c>
      <c r="I295" s="308">
        <v>20</v>
      </c>
      <c r="J295" s="308">
        <v>9</v>
      </c>
      <c r="K295" s="308">
        <v>29</v>
      </c>
      <c r="L295" s="308">
        <v>3</v>
      </c>
      <c r="M295" s="308">
        <v>6</v>
      </c>
      <c r="N295" s="308">
        <v>9</v>
      </c>
      <c r="O295" s="352">
        <v>93</v>
      </c>
      <c r="P295" s="352">
        <v>72</v>
      </c>
      <c r="Q295" s="352">
        <v>165</v>
      </c>
      <c r="R295" s="27"/>
      <c r="S295" s="27"/>
      <c r="T295" s="27"/>
      <c r="U295" s="27"/>
      <c r="V295" s="27"/>
      <c r="W295" s="27"/>
      <c r="X295" s="27"/>
    </row>
    <row r="296" spans="2:24" x14ac:dyDescent="0.25">
      <c r="B296" s="150" t="s">
        <v>333</v>
      </c>
      <c r="C296" s="308">
        <v>19</v>
      </c>
      <c r="D296" s="308">
        <v>33</v>
      </c>
      <c r="E296" s="308">
        <v>52</v>
      </c>
      <c r="F296" s="308">
        <v>49</v>
      </c>
      <c r="G296" s="308">
        <v>37</v>
      </c>
      <c r="H296" s="308">
        <v>86</v>
      </c>
      <c r="I296" s="308">
        <v>11</v>
      </c>
      <c r="J296" s="308">
        <v>2</v>
      </c>
      <c r="K296" s="308">
        <v>13</v>
      </c>
      <c r="L296" s="308">
        <v>1</v>
      </c>
      <c r="M296" s="308">
        <v>10</v>
      </c>
      <c r="N296" s="308">
        <v>11</v>
      </c>
      <c r="O296" s="352">
        <v>80</v>
      </c>
      <c r="P296" s="352">
        <v>82</v>
      </c>
      <c r="Q296" s="352">
        <v>162</v>
      </c>
      <c r="R296" s="27"/>
      <c r="S296" s="27"/>
      <c r="T296" s="27"/>
      <c r="U296" s="27"/>
      <c r="V296" s="27"/>
      <c r="W296" s="27"/>
      <c r="X296" s="27"/>
    </row>
    <row r="297" spans="2:24" x14ac:dyDescent="0.25">
      <c r="B297" s="150" t="s">
        <v>334</v>
      </c>
      <c r="C297" s="308">
        <v>10</v>
      </c>
      <c r="D297" s="308">
        <v>13</v>
      </c>
      <c r="E297" s="308">
        <v>23</v>
      </c>
      <c r="F297" s="308">
        <v>11</v>
      </c>
      <c r="G297" s="308">
        <v>6</v>
      </c>
      <c r="H297" s="308">
        <v>17</v>
      </c>
      <c r="I297" s="308">
        <v>5</v>
      </c>
      <c r="J297" s="308">
        <v>4</v>
      </c>
      <c r="K297" s="308">
        <v>9</v>
      </c>
      <c r="L297" s="308">
        <v>1</v>
      </c>
      <c r="M297" s="308">
        <v>1</v>
      </c>
      <c r="N297" s="308">
        <v>2</v>
      </c>
      <c r="O297" s="352">
        <v>27</v>
      </c>
      <c r="P297" s="352">
        <v>24</v>
      </c>
      <c r="Q297" s="352">
        <v>51</v>
      </c>
      <c r="R297" s="27"/>
      <c r="S297" s="27"/>
      <c r="T297" s="27"/>
      <c r="U297" s="27"/>
      <c r="V297" s="27"/>
      <c r="W297" s="27"/>
      <c r="X297" s="27"/>
    </row>
    <row r="298" spans="2:24" x14ac:dyDescent="0.25">
      <c r="B298" s="150" t="s">
        <v>335</v>
      </c>
      <c r="C298" s="308">
        <v>5</v>
      </c>
      <c r="D298" s="308">
        <v>10</v>
      </c>
      <c r="E298" s="308">
        <v>15</v>
      </c>
      <c r="F298" s="308">
        <v>12</v>
      </c>
      <c r="G298" s="308">
        <v>15</v>
      </c>
      <c r="H298" s="308">
        <v>27</v>
      </c>
      <c r="I298" s="308">
        <v>4</v>
      </c>
      <c r="J298" s="308">
        <v>3</v>
      </c>
      <c r="K298" s="308">
        <v>7</v>
      </c>
      <c r="L298" s="308"/>
      <c r="M298" s="308">
        <v>1</v>
      </c>
      <c r="N298" s="308">
        <v>1</v>
      </c>
      <c r="O298" s="352">
        <v>21</v>
      </c>
      <c r="P298" s="352">
        <v>29</v>
      </c>
      <c r="Q298" s="352">
        <v>50</v>
      </c>
      <c r="R298" s="27"/>
      <c r="S298" s="27"/>
      <c r="T298" s="27"/>
      <c r="U298" s="27"/>
      <c r="V298" s="27"/>
      <c r="W298" s="27"/>
      <c r="X298" s="27"/>
    </row>
    <row r="299" spans="2:24" x14ac:dyDescent="0.25">
      <c r="B299" s="150" t="s">
        <v>336</v>
      </c>
      <c r="C299" s="308">
        <v>9</v>
      </c>
      <c r="D299" s="308">
        <v>11</v>
      </c>
      <c r="E299" s="308">
        <v>20</v>
      </c>
      <c r="F299" s="308">
        <v>9</v>
      </c>
      <c r="G299" s="308">
        <v>13</v>
      </c>
      <c r="H299" s="308">
        <v>22</v>
      </c>
      <c r="I299" s="308">
        <v>6</v>
      </c>
      <c r="J299" s="308">
        <v>2</v>
      </c>
      <c r="K299" s="308">
        <v>8</v>
      </c>
      <c r="L299" s="308">
        <v>2</v>
      </c>
      <c r="M299" s="308">
        <v>1</v>
      </c>
      <c r="N299" s="308">
        <v>3</v>
      </c>
      <c r="O299" s="352">
        <v>26</v>
      </c>
      <c r="P299" s="352">
        <v>27</v>
      </c>
      <c r="Q299" s="352">
        <v>53</v>
      </c>
      <c r="R299" s="27"/>
      <c r="S299" s="27"/>
      <c r="T299" s="27"/>
      <c r="U299" s="27"/>
      <c r="V299" s="27"/>
      <c r="W299" s="27"/>
      <c r="X299" s="27"/>
    </row>
    <row r="300" spans="2:24" x14ac:dyDescent="0.25">
      <c r="B300" s="150" t="s">
        <v>337</v>
      </c>
      <c r="C300" s="308">
        <v>186</v>
      </c>
      <c r="D300" s="308">
        <v>197</v>
      </c>
      <c r="E300" s="308">
        <v>383</v>
      </c>
      <c r="F300" s="308">
        <v>482</v>
      </c>
      <c r="G300" s="308">
        <v>300</v>
      </c>
      <c r="H300" s="308">
        <v>782</v>
      </c>
      <c r="I300" s="308">
        <v>73</v>
      </c>
      <c r="J300" s="308">
        <v>39</v>
      </c>
      <c r="K300" s="308">
        <v>112</v>
      </c>
      <c r="L300" s="308">
        <v>33</v>
      </c>
      <c r="M300" s="308">
        <v>48</v>
      </c>
      <c r="N300" s="308">
        <v>81</v>
      </c>
      <c r="O300" s="352">
        <v>774</v>
      </c>
      <c r="P300" s="352">
        <v>584</v>
      </c>
      <c r="Q300" s="352">
        <v>1358</v>
      </c>
      <c r="R300" s="27"/>
      <c r="S300" s="27"/>
      <c r="T300" s="27"/>
      <c r="U300" s="27"/>
      <c r="V300" s="27"/>
      <c r="W300" s="27"/>
      <c r="X300" s="27"/>
    </row>
    <row r="301" spans="2:24" x14ac:dyDescent="0.25">
      <c r="B301" s="150" t="s">
        <v>338</v>
      </c>
      <c r="C301" s="308">
        <v>16</v>
      </c>
      <c r="D301" s="308">
        <v>13</v>
      </c>
      <c r="E301" s="308">
        <v>29</v>
      </c>
      <c r="F301" s="308">
        <v>20</v>
      </c>
      <c r="G301" s="308">
        <v>11</v>
      </c>
      <c r="H301" s="308">
        <v>31</v>
      </c>
      <c r="I301" s="308">
        <v>6</v>
      </c>
      <c r="J301" s="308">
        <v>4</v>
      </c>
      <c r="K301" s="308">
        <v>10</v>
      </c>
      <c r="L301" s="308">
        <v>1</v>
      </c>
      <c r="M301" s="308"/>
      <c r="N301" s="308">
        <v>1</v>
      </c>
      <c r="O301" s="352">
        <v>43</v>
      </c>
      <c r="P301" s="352">
        <v>28</v>
      </c>
      <c r="Q301" s="352">
        <v>71</v>
      </c>
      <c r="R301" s="27"/>
      <c r="S301" s="27"/>
      <c r="T301" s="27"/>
      <c r="U301" s="27"/>
      <c r="V301" s="27"/>
      <c r="W301" s="27"/>
      <c r="X301" s="27"/>
    </row>
    <row r="302" spans="2:24" x14ac:dyDescent="0.25">
      <c r="B302" s="150" t="s">
        <v>339</v>
      </c>
      <c r="C302" s="308">
        <v>5</v>
      </c>
      <c r="D302" s="308">
        <v>11</v>
      </c>
      <c r="E302" s="308">
        <v>16</v>
      </c>
      <c r="F302" s="308">
        <v>9</v>
      </c>
      <c r="G302" s="308">
        <v>8</v>
      </c>
      <c r="H302" s="308">
        <v>17</v>
      </c>
      <c r="I302" s="308">
        <v>5</v>
      </c>
      <c r="J302" s="308">
        <v>4</v>
      </c>
      <c r="K302" s="308">
        <v>9</v>
      </c>
      <c r="L302" s="308"/>
      <c r="M302" s="308">
        <v>3</v>
      </c>
      <c r="N302" s="308">
        <v>3</v>
      </c>
      <c r="O302" s="352">
        <v>19</v>
      </c>
      <c r="P302" s="352">
        <v>26</v>
      </c>
      <c r="Q302" s="352">
        <v>45</v>
      </c>
      <c r="R302" s="27"/>
      <c r="S302" s="27"/>
      <c r="T302" s="27"/>
      <c r="U302" s="27"/>
      <c r="V302" s="27"/>
      <c r="W302" s="27"/>
      <c r="X302" s="27"/>
    </row>
    <row r="303" spans="2:24" x14ac:dyDescent="0.25">
      <c r="B303" s="150" t="s">
        <v>340</v>
      </c>
      <c r="C303" s="308">
        <v>16</v>
      </c>
      <c r="D303" s="308">
        <v>19</v>
      </c>
      <c r="E303" s="308">
        <v>35</v>
      </c>
      <c r="F303" s="308">
        <v>24</v>
      </c>
      <c r="G303" s="308">
        <v>26</v>
      </c>
      <c r="H303" s="308">
        <v>50</v>
      </c>
      <c r="I303" s="308">
        <v>16</v>
      </c>
      <c r="J303" s="308">
        <v>4</v>
      </c>
      <c r="K303" s="308">
        <v>20</v>
      </c>
      <c r="L303" s="308">
        <v>1</v>
      </c>
      <c r="M303" s="308">
        <v>1</v>
      </c>
      <c r="N303" s="308">
        <v>2</v>
      </c>
      <c r="O303" s="352">
        <v>57</v>
      </c>
      <c r="P303" s="352">
        <v>50</v>
      </c>
      <c r="Q303" s="352">
        <v>107</v>
      </c>
      <c r="R303" s="27"/>
      <c r="S303" s="27"/>
      <c r="T303" s="27"/>
      <c r="U303" s="27"/>
      <c r="V303" s="27"/>
      <c r="W303" s="27"/>
      <c r="X303" s="27"/>
    </row>
    <row r="304" spans="2:24" x14ac:dyDescent="0.25">
      <c r="B304" s="150" t="s">
        <v>341</v>
      </c>
      <c r="C304" s="308">
        <v>25</v>
      </c>
      <c r="D304" s="308">
        <v>29</v>
      </c>
      <c r="E304" s="308">
        <v>54</v>
      </c>
      <c r="F304" s="308">
        <v>56</v>
      </c>
      <c r="G304" s="308">
        <v>48</v>
      </c>
      <c r="H304" s="308">
        <v>104</v>
      </c>
      <c r="I304" s="308">
        <v>17</v>
      </c>
      <c r="J304" s="308">
        <v>9</v>
      </c>
      <c r="K304" s="308">
        <v>26</v>
      </c>
      <c r="L304" s="308">
        <v>5</v>
      </c>
      <c r="M304" s="308">
        <v>5</v>
      </c>
      <c r="N304" s="308">
        <v>10</v>
      </c>
      <c r="O304" s="352">
        <v>103</v>
      </c>
      <c r="P304" s="352">
        <v>91</v>
      </c>
      <c r="Q304" s="352">
        <v>194</v>
      </c>
      <c r="R304" s="27"/>
      <c r="S304" s="27"/>
      <c r="T304" s="27"/>
      <c r="U304" s="27"/>
      <c r="V304" s="27"/>
      <c r="W304" s="27"/>
      <c r="X304" s="27"/>
    </row>
    <row r="305" spans="2:24" x14ac:dyDescent="0.25">
      <c r="B305" s="150" t="s">
        <v>342</v>
      </c>
      <c r="C305" s="308">
        <v>29</v>
      </c>
      <c r="D305" s="308">
        <v>20</v>
      </c>
      <c r="E305" s="308">
        <v>49</v>
      </c>
      <c r="F305" s="308">
        <v>26</v>
      </c>
      <c r="G305" s="308">
        <v>41</v>
      </c>
      <c r="H305" s="308">
        <v>67</v>
      </c>
      <c r="I305" s="308">
        <v>29</v>
      </c>
      <c r="J305" s="308">
        <v>8</v>
      </c>
      <c r="K305" s="308">
        <v>37</v>
      </c>
      <c r="L305" s="308">
        <v>5</v>
      </c>
      <c r="M305" s="308">
        <v>4</v>
      </c>
      <c r="N305" s="308">
        <v>9</v>
      </c>
      <c r="O305" s="352">
        <v>89</v>
      </c>
      <c r="P305" s="352">
        <v>73</v>
      </c>
      <c r="Q305" s="352">
        <v>162</v>
      </c>
      <c r="R305" s="27"/>
      <c r="S305" s="27"/>
      <c r="T305" s="27"/>
      <c r="U305" s="27"/>
      <c r="V305" s="27"/>
      <c r="W305" s="27"/>
      <c r="X305" s="27"/>
    </row>
    <row r="306" spans="2:24" x14ac:dyDescent="0.25">
      <c r="B306" s="150" t="s">
        <v>343</v>
      </c>
      <c r="C306" s="308">
        <v>52</v>
      </c>
      <c r="D306" s="308">
        <v>69</v>
      </c>
      <c r="E306" s="308">
        <v>121</v>
      </c>
      <c r="F306" s="308">
        <v>78</v>
      </c>
      <c r="G306" s="308">
        <v>72</v>
      </c>
      <c r="H306" s="308">
        <v>150</v>
      </c>
      <c r="I306" s="308">
        <v>18</v>
      </c>
      <c r="J306" s="308">
        <v>13</v>
      </c>
      <c r="K306" s="308">
        <v>31</v>
      </c>
      <c r="L306" s="308">
        <v>5</v>
      </c>
      <c r="M306" s="308">
        <v>4</v>
      </c>
      <c r="N306" s="308">
        <v>9</v>
      </c>
      <c r="O306" s="352">
        <v>153</v>
      </c>
      <c r="P306" s="352">
        <v>158</v>
      </c>
      <c r="Q306" s="352">
        <v>311</v>
      </c>
      <c r="R306" s="27"/>
      <c r="S306" s="27"/>
      <c r="T306" s="27"/>
      <c r="U306" s="27"/>
      <c r="V306" s="27"/>
      <c r="W306" s="27"/>
      <c r="X306" s="27"/>
    </row>
    <row r="307" spans="2:24" x14ac:dyDescent="0.25">
      <c r="B307" s="351" t="s">
        <v>35</v>
      </c>
      <c r="C307" s="302">
        <v>731</v>
      </c>
      <c r="D307" s="302">
        <v>897</v>
      </c>
      <c r="E307" s="302">
        <v>1628</v>
      </c>
      <c r="F307" s="302">
        <v>1343</v>
      </c>
      <c r="G307" s="302">
        <v>996</v>
      </c>
      <c r="H307" s="300">
        <v>2339</v>
      </c>
      <c r="I307" s="302">
        <v>425</v>
      </c>
      <c r="J307" s="300">
        <v>197</v>
      </c>
      <c r="K307" s="302">
        <v>622</v>
      </c>
      <c r="L307" s="300">
        <v>99</v>
      </c>
      <c r="M307" s="302">
        <v>150</v>
      </c>
      <c r="N307" s="300">
        <v>249</v>
      </c>
      <c r="O307" s="352">
        <v>2598</v>
      </c>
      <c r="P307" s="352">
        <v>2240</v>
      </c>
      <c r="Q307" s="352">
        <v>4838</v>
      </c>
      <c r="R307" s="27"/>
      <c r="S307" s="27"/>
      <c r="T307" s="27"/>
      <c r="U307" s="27"/>
      <c r="V307" s="27"/>
      <c r="W307" s="27"/>
      <c r="X307" s="27"/>
    </row>
    <row r="308" spans="2:24" ht="114" customHeight="1" x14ac:dyDescent="0.25">
      <c r="B308" s="489" t="s">
        <v>928</v>
      </c>
      <c r="C308" s="489"/>
      <c r="D308" s="489"/>
      <c r="E308" s="489"/>
      <c r="F308" s="489"/>
      <c r="G308" s="489"/>
      <c r="H308" s="489"/>
      <c r="I308" s="489"/>
      <c r="J308" s="489"/>
      <c r="K308" s="489"/>
      <c r="L308" s="489"/>
      <c r="M308" s="489"/>
      <c r="N308" s="489"/>
      <c r="O308" s="489"/>
      <c r="P308" s="489"/>
      <c r="Q308" s="489"/>
      <c r="R308" s="27"/>
      <c r="S308" s="27"/>
      <c r="T308" s="27"/>
      <c r="U308" s="27"/>
      <c r="V308" s="27"/>
      <c r="W308" s="27"/>
    </row>
    <row r="309" spans="2:24" x14ac:dyDescent="0.25">
      <c r="B309" s="172"/>
      <c r="C309" s="172"/>
      <c r="D309" s="172"/>
      <c r="E309"/>
      <c r="F309"/>
      <c r="G309"/>
      <c r="H309" s="27"/>
      <c r="I309" s="27"/>
      <c r="J309" s="27"/>
      <c r="K309" s="27"/>
      <c r="L309" s="27"/>
      <c r="M309" s="27"/>
      <c r="N309" s="27"/>
      <c r="O309" s="27"/>
      <c r="P309" s="27"/>
      <c r="Q309" s="27"/>
      <c r="R309" s="27"/>
      <c r="S309" s="27"/>
      <c r="T309" s="27"/>
      <c r="U309" s="27"/>
      <c r="V309" s="27"/>
      <c r="W309" s="27"/>
    </row>
    <row r="310" spans="2:24" x14ac:dyDescent="0.25">
      <c r="B310" s="201" t="s">
        <v>526</v>
      </c>
      <c r="C310"/>
      <c r="D310"/>
      <c r="E310"/>
      <c r="F310"/>
      <c r="G310"/>
      <c r="H310" s="27"/>
      <c r="I310" s="27"/>
      <c r="J310" s="27"/>
      <c r="K310" s="27"/>
      <c r="L310" s="27"/>
      <c r="M310" s="27"/>
      <c r="N310" s="27"/>
      <c r="O310" s="27"/>
      <c r="P310" s="27"/>
      <c r="Q310" s="27"/>
      <c r="R310" s="27"/>
      <c r="S310" s="27"/>
      <c r="T310" s="27"/>
      <c r="U310" s="27"/>
      <c r="V310" s="27"/>
      <c r="W310" s="27"/>
    </row>
    <row r="311" spans="2:24" x14ac:dyDescent="0.25">
      <c r="B311" s="201"/>
      <c r="C311"/>
      <c r="D311"/>
      <c r="E311"/>
      <c r="F311"/>
      <c r="G311"/>
      <c r="H311" s="27"/>
      <c r="I311" s="27"/>
      <c r="J311" s="27"/>
      <c r="K311" s="27"/>
      <c r="L311" s="27"/>
      <c r="M311" s="27"/>
      <c r="N311" s="27"/>
      <c r="O311" s="27"/>
      <c r="P311" s="27"/>
      <c r="Q311" s="27"/>
      <c r="R311" s="27"/>
      <c r="S311" s="27"/>
      <c r="T311" s="27"/>
      <c r="U311" s="27"/>
      <c r="V311" s="27"/>
      <c r="W311" s="27"/>
    </row>
    <row r="312" spans="2:24" ht="15" customHeight="1" x14ac:dyDescent="0.25">
      <c r="B312" s="490" t="s">
        <v>544</v>
      </c>
      <c r="C312" s="479" t="s">
        <v>488</v>
      </c>
      <c r="D312" s="479"/>
      <c r="E312" s="479"/>
      <c r="F312" s="479"/>
      <c r="G312" s="479"/>
      <c r="H312" s="479"/>
      <c r="I312" s="479"/>
      <c r="J312" s="479"/>
      <c r="K312" s="479"/>
      <c r="L312" s="479"/>
      <c r="M312" s="479"/>
      <c r="N312" s="479"/>
      <c r="O312" s="483" t="s">
        <v>746</v>
      </c>
      <c r="P312" s="484"/>
      <c r="Q312" s="485"/>
      <c r="R312" s="27"/>
      <c r="S312" s="27"/>
      <c r="T312" s="27"/>
      <c r="U312" s="27"/>
      <c r="V312" s="27"/>
      <c r="W312" s="27"/>
    </row>
    <row r="313" spans="2:24" ht="15" customHeight="1" x14ac:dyDescent="0.25">
      <c r="B313" s="490"/>
      <c r="C313" s="479" t="s">
        <v>707</v>
      </c>
      <c r="D313" s="479"/>
      <c r="E313" s="479"/>
      <c r="F313" s="479" t="s">
        <v>497</v>
      </c>
      <c r="G313" s="479"/>
      <c r="H313" s="479"/>
      <c r="I313" s="479" t="s">
        <v>4</v>
      </c>
      <c r="J313" s="479"/>
      <c r="K313" s="479"/>
      <c r="L313" s="479" t="s">
        <v>6</v>
      </c>
      <c r="M313" s="479"/>
      <c r="N313" s="479"/>
      <c r="O313" s="486"/>
      <c r="P313" s="487"/>
      <c r="Q313" s="488"/>
      <c r="R313" s="27"/>
      <c r="S313" s="27"/>
      <c r="T313" s="27"/>
      <c r="U313" s="27"/>
      <c r="V313" s="27"/>
      <c r="W313" s="27"/>
    </row>
    <row r="314" spans="2:24" x14ac:dyDescent="0.25">
      <c r="B314" s="490"/>
      <c r="C314" s="175" t="s">
        <v>83</v>
      </c>
      <c r="D314" s="175" t="s">
        <v>84</v>
      </c>
      <c r="E314" s="175" t="s">
        <v>35</v>
      </c>
      <c r="F314" s="175" t="s">
        <v>83</v>
      </c>
      <c r="G314" s="175" t="s">
        <v>84</v>
      </c>
      <c r="H314" s="175" t="s">
        <v>35</v>
      </c>
      <c r="I314" s="175" t="s">
        <v>83</v>
      </c>
      <c r="J314" s="175" t="s">
        <v>84</v>
      </c>
      <c r="K314" s="175" t="s">
        <v>35</v>
      </c>
      <c r="L314" s="175" t="s">
        <v>83</v>
      </c>
      <c r="M314" s="175" t="s">
        <v>84</v>
      </c>
      <c r="N314" s="175" t="s">
        <v>35</v>
      </c>
      <c r="O314" s="262" t="s">
        <v>83</v>
      </c>
      <c r="P314" s="262" t="s">
        <v>84</v>
      </c>
      <c r="Q314" s="262" t="s">
        <v>35</v>
      </c>
      <c r="R314" s="27"/>
      <c r="S314" s="27"/>
      <c r="T314" s="27"/>
      <c r="U314" s="27"/>
      <c r="V314" s="27"/>
      <c r="W314" s="27"/>
    </row>
    <row r="315" spans="2:24" x14ac:dyDescent="0.25">
      <c r="B315" s="171" t="s">
        <v>345</v>
      </c>
      <c r="C315" s="311">
        <v>27</v>
      </c>
      <c r="D315" s="311">
        <v>60</v>
      </c>
      <c r="E315" s="311">
        <v>87</v>
      </c>
      <c r="F315" s="311">
        <v>65</v>
      </c>
      <c r="G315" s="311">
        <v>45</v>
      </c>
      <c r="H315" s="311">
        <v>110</v>
      </c>
      <c r="I315" s="311">
        <v>15</v>
      </c>
      <c r="J315" s="311">
        <v>12</v>
      </c>
      <c r="K315" s="311">
        <v>27</v>
      </c>
      <c r="L315" s="311">
        <v>8</v>
      </c>
      <c r="M315" s="311">
        <v>15</v>
      </c>
      <c r="N315" s="311">
        <v>23</v>
      </c>
      <c r="O315" s="352">
        <v>115</v>
      </c>
      <c r="P315" s="352">
        <v>132</v>
      </c>
      <c r="Q315" s="352">
        <v>247</v>
      </c>
      <c r="R315" s="27"/>
      <c r="S315" s="27"/>
      <c r="T315" s="27"/>
      <c r="U315" s="27"/>
      <c r="V315" s="27"/>
      <c r="W315" s="27"/>
      <c r="X315" s="27"/>
    </row>
    <row r="316" spans="2:24" x14ac:dyDescent="0.25">
      <c r="B316" s="150" t="s">
        <v>346</v>
      </c>
      <c r="C316" s="308">
        <v>22</v>
      </c>
      <c r="D316" s="308">
        <v>37</v>
      </c>
      <c r="E316" s="308">
        <v>59</v>
      </c>
      <c r="F316" s="308">
        <v>34</v>
      </c>
      <c r="G316" s="308">
        <v>22</v>
      </c>
      <c r="H316" s="308">
        <v>56</v>
      </c>
      <c r="I316" s="308">
        <v>11</v>
      </c>
      <c r="J316" s="308">
        <v>8</v>
      </c>
      <c r="K316" s="308">
        <v>19</v>
      </c>
      <c r="L316" s="308">
        <v>2</v>
      </c>
      <c r="M316" s="308">
        <v>6</v>
      </c>
      <c r="N316" s="308">
        <v>8</v>
      </c>
      <c r="O316" s="352">
        <v>69</v>
      </c>
      <c r="P316" s="352">
        <v>73</v>
      </c>
      <c r="Q316" s="352">
        <v>142</v>
      </c>
      <c r="R316" s="27"/>
      <c r="S316" s="27"/>
      <c r="T316" s="27"/>
      <c r="U316" s="27"/>
      <c r="V316" s="27"/>
      <c r="W316" s="27"/>
      <c r="X316" s="27"/>
    </row>
    <row r="317" spans="2:24" x14ac:dyDescent="0.25">
      <c r="B317" s="150" t="s">
        <v>347</v>
      </c>
      <c r="C317" s="308">
        <v>23</v>
      </c>
      <c r="D317" s="308">
        <v>40</v>
      </c>
      <c r="E317" s="308">
        <v>63</v>
      </c>
      <c r="F317" s="308">
        <v>63</v>
      </c>
      <c r="G317" s="308">
        <v>43</v>
      </c>
      <c r="H317" s="308">
        <v>106</v>
      </c>
      <c r="I317" s="308">
        <v>19</v>
      </c>
      <c r="J317" s="308">
        <v>8</v>
      </c>
      <c r="K317" s="308">
        <v>27</v>
      </c>
      <c r="L317" s="308">
        <v>14</v>
      </c>
      <c r="M317" s="308">
        <v>8</v>
      </c>
      <c r="N317" s="308">
        <v>22</v>
      </c>
      <c r="O317" s="352">
        <v>119</v>
      </c>
      <c r="P317" s="352">
        <v>99</v>
      </c>
      <c r="Q317" s="352">
        <v>218</v>
      </c>
      <c r="R317" s="27"/>
      <c r="S317" s="27"/>
      <c r="T317" s="27"/>
      <c r="U317" s="27"/>
      <c r="V317" s="27"/>
      <c r="W317" s="27"/>
      <c r="X317" s="27"/>
    </row>
    <row r="318" spans="2:24" x14ac:dyDescent="0.25">
      <c r="B318" s="150" t="s">
        <v>348</v>
      </c>
      <c r="C318" s="308">
        <v>7</v>
      </c>
      <c r="D318" s="308">
        <v>5</v>
      </c>
      <c r="E318" s="308">
        <v>12</v>
      </c>
      <c r="F318" s="308">
        <v>2</v>
      </c>
      <c r="G318" s="308">
        <v>2</v>
      </c>
      <c r="H318" s="308">
        <v>4</v>
      </c>
      <c r="I318" s="308"/>
      <c r="J318" s="308">
        <v>1</v>
      </c>
      <c r="K318" s="308">
        <v>1</v>
      </c>
      <c r="L318" s="308"/>
      <c r="M318" s="308">
        <v>1</v>
      </c>
      <c r="N318" s="308">
        <v>1</v>
      </c>
      <c r="O318" s="352">
        <v>9</v>
      </c>
      <c r="P318" s="352">
        <v>9</v>
      </c>
      <c r="Q318" s="352">
        <v>18</v>
      </c>
      <c r="R318" s="27"/>
      <c r="S318" s="27"/>
      <c r="T318" s="27"/>
      <c r="U318" s="27"/>
      <c r="V318" s="27"/>
      <c r="W318" s="27"/>
      <c r="X318" s="27"/>
    </row>
    <row r="319" spans="2:24" x14ac:dyDescent="0.25">
      <c r="B319" s="150" t="s">
        <v>349</v>
      </c>
      <c r="C319" s="308">
        <v>15</v>
      </c>
      <c r="D319" s="308">
        <v>7</v>
      </c>
      <c r="E319" s="308">
        <v>22</v>
      </c>
      <c r="F319" s="308">
        <v>20</v>
      </c>
      <c r="G319" s="308">
        <v>23</v>
      </c>
      <c r="H319" s="308">
        <v>43</v>
      </c>
      <c r="I319" s="308">
        <v>11</v>
      </c>
      <c r="J319" s="308">
        <v>4</v>
      </c>
      <c r="K319" s="308">
        <v>15</v>
      </c>
      <c r="L319" s="308">
        <v>2</v>
      </c>
      <c r="M319" s="308">
        <v>3</v>
      </c>
      <c r="N319" s="308">
        <v>5</v>
      </c>
      <c r="O319" s="352">
        <v>48</v>
      </c>
      <c r="P319" s="352">
        <v>37</v>
      </c>
      <c r="Q319" s="352">
        <v>85</v>
      </c>
      <c r="R319" s="27"/>
      <c r="S319" s="27"/>
      <c r="T319" s="27"/>
      <c r="U319" s="27"/>
      <c r="V319" s="27"/>
      <c r="W319" s="27"/>
      <c r="X319" s="27"/>
    </row>
    <row r="320" spans="2:24" x14ac:dyDescent="0.25">
      <c r="B320" s="150" t="s">
        <v>350</v>
      </c>
      <c r="C320" s="308">
        <v>2</v>
      </c>
      <c r="D320" s="308">
        <v>8</v>
      </c>
      <c r="E320" s="308">
        <v>10</v>
      </c>
      <c r="F320" s="308">
        <v>2</v>
      </c>
      <c r="G320" s="308">
        <v>6</v>
      </c>
      <c r="H320" s="308">
        <v>8</v>
      </c>
      <c r="I320" s="308">
        <v>1</v>
      </c>
      <c r="J320" s="308"/>
      <c r="K320" s="308">
        <v>1</v>
      </c>
      <c r="L320" s="308"/>
      <c r="M320" s="308"/>
      <c r="N320" s="308"/>
      <c r="O320" s="352">
        <v>5</v>
      </c>
      <c r="P320" s="352">
        <v>14</v>
      </c>
      <c r="Q320" s="352">
        <v>19</v>
      </c>
      <c r="R320" s="27"/>
      <c r="S320" s="27"/>
      <c r="T320" s="27"/>
      <c r="U320" s="27"/>
      <c r="V320" s="27"/>
      <c r="W320" s="27"/>
      <c r="X320" s="27"/>
    </row>
    <row r="321" spans="2:24" x14ac:dyDescent="0.25">
      <c r="B321" s="150" t="s">
        <v>351</v>
      </c>
      <c r="C321" s="308">
        <v>5</v>
      </c>
      <c r="D321" s="308">
        <v>2</v>
      </c>
      <c r="E321" s="308">
        <v>7</v>
      </c>
      <c r="F321" s="308">
        <v>2</v>
      </c>
      <c r="G321" s="308">
        <v>1</v>
      </c>
      <c r="H321" s="308">
        <v>3</v>
      </c>
      <c r="I321" s="308">
        <v>2</v>
      </c>
      <c r="J321" s="308"/>
      <c r="K321" s="308">
        <v>2</v>
      </c>
      <c r="L321" s="308"/>
      <c r="M321" s="308">
        <v>2</v>
      </c>
      <c r="N321" s="308">
        <v>2</v>
      </c>
      <c r="O321" s="352">
        <v>9</v>
      </c>
      <c r="P321" s="352">
        <v>5</v>
      </c>
      <c r="Q321" s="352">
        <v>14</v>
      </c>
      <c r="R321" s="27"/>
      <c r="S321" s="27"/>
      <c r="T321" s="27"/>
      <c r="U321" s="27"/>
      <c r="V321" s="27"/>
      <c r="W321" s="27"/>
      <c r="X321" s="27"/>
    </row>
    <row r="322" spans="2:24" x14ac:dyDescent="0.25">
      <c r="B322" s="150" t="s">
        <v>352</v>
      </c>
      <c r="C322" s="308">
        <v>7</v>
      </c>
      <c r="D322" s="308">
        <v>21</v>
      </c>
      <c r="E322" s="308">
        <v>28</v>
      </c>
      <c r="F322" s="308">
        <v>17</v>
      </c>
      <c r="G322" s="308">
        <v>14</v>
      </c>
      <c r="H322" s="308">
        <v>31</v>
      </c>
      <c r="I322" s="308">
        <v>6</v>
      </c>
      <c r="J322" s="308">
        <v>8</v>
      </c>
      <c r="K322" s="308">
        <v>14</v>
      </c>
      <c r="L322" s="308">
        <v>3</v>
      </c>
      <c r="M322" s="308">
        <v>6</v>
      </c>
      <c r="N322" s="308">
        <v>9</v>
      </c>
      <c r="O322" s="352">
        <v>33</v>
      </c>
      <c r="P322" s="352">
        <v>49</v>
      </c>
      <c r="Q322" s="352">
        <v>82</v>
      </c>
      <c r="R322" s="27"/>
      <c r="S322" s="27"/>
      <c r="T322" s="27"/>
      <c r="U322" s="27"/>
      <c r="V322" s="27"/>
      <c r="W322" s="27"/>
      <c r="X322" s="27"/>
    </row>
    <row r="323" spans="2:24" x14ac:dyDescent="0.25">
      <c r="B323" s="150" t="s">
        <v>353</v>
      </c>
      <c r="C323" s="308">
        <v>9</v>
      </c>
      <c r="D323" s="308">
        <v>9</v>
      </c>
      <c r="E323" s="308">
        <v>18</v>
      </c>
      <c r="F323" s="308">
        <v>16</v>
      </c>
      <c r="G323" s="308">
        <v>13</v>
      </c>
      <c r="H323" s="308">
        <v>29</v>
      </c>
      <c r="I323" s="308">
        <v>9</v>
      </c>
      <c r="J323" s="308">
        <v>5</v>
      </c>
      <c r="K323" s="308">
        <v>14</v>
      </c>
      <c r="L323" s="308"/>
      <c r="M323" s="308">
        <v>1</v>
      </c>
      <c r="N323" s="308">
        <v>1</v>
      </c>
      <c r="O323" s="352">
        <v>34</v>
      </c>
      <c r="P323" s="352">
        <v>28</v>
      </c>
      <c r="Q323" s="352">
        <v>62</v>
      </c>
      <c r="R323" s="27"/>
      <c r="S323" s="27"/>
      <c r="T323" s="27"/>
      <c r="U323" s="27"/>
      <c r="V323" s="27"/>
      <c r="W323" s="27"/>
      <c r="X323" s="27"/>
    </row>
    <row r="324" spans="2:24" x14ac:dyDescent="0.25">
      <c r="B324" s="150" t="s">
        <v>354</v>
      </c>
      <c r="C324" s="308">
        <v>8</v>
      </c>
      <c r="D324" s="308">
        <v>16</v>
      </c>
      <c r="E324" s="308">
        <v>24</v>
      </c>
      <c r="F324" s="308">
        <v>36</v>
      </c>
      <c r="G324" s="308">
        <v>26</v>
      </c>
      <c r="H324" s="308">
        <v>62</v>
      </c>
      <c r="I324" s="308">
        <v>4</v>
      </c>
      <c r="J324" s="308">
        <v>2</v>
      </c>
      <c r="K324" s="308">
        <v>6</v>
      </c>
      <c r="L324" s="308">
        <v>2</v>
      </c>
      <c r="M324" s="308">
        <v>9</v>
      </c>
      <c r="N324" s="308">
        <v>11</v>
      </c>
      <c r="O324" s="352">
        <v>50</v>
      </c>
      <c r="P324" s="352">
        <v>53</v>
      </c>
      <c r="Q324" s="352">
        <v>103</v>
      </c>
      <c r="R324" s="27"/>
      <c r="S324" s="27"/>
      <c r="T324" s="27"/>
      <c r="U324" s="27"/>
      <c r="V324" s="27"/>
      <c r="W324" s="27"/>
      <c r="X324" s="27"/>
    </row>
    <row r="325" spans="2:24" x14ac:dyDescent="0.25">
      <c r="B325" s="150" t="s">
        <v>355</v>
      </c>
      <c r="C325" s="308">
        <v>2</v>
      </c>
      <c r="D325" s="308">
        <v>4</v>
      </c>
      <c r="E325" s="308">
        <v>6</v>
      </c>
      <c r="F325" s="308">
        <v>3</v>
      </c>
      <c r="G325" s="308">
        <v>2</v>
      </c>
      <c r="H325" s="308">
        <v>5</v>
      </c>
      <c r="I325" s="308">
        <v>1</v>
      </c>
      <c r="J325" s="308">
        <v>1</v>
      </c>
      <c r="K325" s="308">
        <v>2</v>
      </c>
      <c r="L325" s="308"/>
      <c r="M325" s="308"/>
      <c r="N325" s="308"/>
      <c r="O325" s="352">
        <v>6</v>
      </c>
      <c r="P325" s="352">
        <v>7</v>
      </c>
      <c r="Q325" s="352">
        <v>13</v>
      </c>
      <c r="R325" s="27"/>
      <c r="S325" s="27"/>
      <c r="T325" s="27"/>
      <c r="U325" s="27"/>
      <c r="V325" s="27"/>
      <c r="W325" s="27"/>
      <c r="X325" s="27"/>
    </row>
    <row r="326" spans="2:24" x14ac:dyDescent="0.25">
      <c r="B326" s="150" t="s">
        <v>356</v>
      </c>
      <c r="C326" s="308">
        <v>5</v>
      </c>
      <c r="D326" s="308">
        <v>15</v>
      </c>
      <c r="E326" s="308">
        <v>20</v>
      </c>
      <c r="F326" s="308">
        <v>10</v>
      </c>
      <c r="G326" s="308">
        <v>9</v>
      </c>
      <c r="H326" s="308">
        <v>19</v>
      </c>
      <c r="I326" s="308">
        <v>5</v>
      </c>
      <c r="J326" s="308">
        <v>7</v>
      </c>
      <c r="K326" s="308">
        <v>12</v>
      </c>
      <c r="L326" s="308">
        <v>1</v>
      </c>
      <c r="M326" s="308">
        <v>2</v>
      </c>
      <c r="N326" s="308">
        <v>3</v>
      </c>
      <c r="O326" s="352">
        <v>21</v>
      </c>
      <c r="P326" s="352">
        <v>33</v>
      </c>
      <c r="Q326" s="352">
        <v>54</v>
      </c>
      <c r="R326" s="27"/>
      <c r="S326" s="27"/>
      <c r="T326" s="27"/>
      <c r="U326" s="27"/>
      <c r="V326" s="27"/>
      <c r="W326" s="27"/>
      <c r="X326" s="27"/>
    </row>
    <row r="327" spans="2:24" x14ac:dyDescent="0.25">
      <c r="B327" s="150" t="s">
        <v>357</v>
      </c>
      <c r="C327" s="308">
        <v>12</v>
      </c>
      <c r="D327" s="308">
        <v>12</v>
      </c>
      <c r="E327" s="308">
        <v>24</v>
      </c>
      <c r="F327" s="308">
        <v>26</v>
      </c>
      <c r="G327" s="308">
        <v>23</v>
      </c>
      <c r="H327" s="308">
        <v>49</v>
      </c>
      <c r="I327" s="308">
        <v>5</v>
      </c>
      <c r="J327" s="308">
        <v>5</v>
      </c>
      <c r="K327" s="308">
        <v>10</v>
      </c>
      <c r="L327" s="308"/>
      <c r="M327" s="308">
        <v>4</v>
      </c>
      <c r="N327" s="308">
        <v>4</v>
      </c>
      <c r="O327" s="352">
        <v>43</v>
      </c>
      <c r="P327" s="352">
        <v>44</v>
      </c>
      <c r="Q327" s="352">
        <v>87</v>
      </c>
      <c r="R327" s="27"/>
      <c r="S327" s="27"/>
      <c r="T327" s="27"/>
      <c r="U327" s="27"/>
      <c r="V327" s="27"/>
      <c r="W327" s="27"/>
      <c r="X327" s="27"/>
    </row>
    <row r="328" spans="2:24" x14ac:dyDescent="0.25">
      <c r="B328" s="150" t="s">
        <v>358</v>
      </c>
      <c r="C328" s="308">
        <v>26</v>
      </c>
      <c r="D328" s="308">
        <v>25</v>
      </c>
      <c r="E328" s="308">
        <v>51</v>
      </c>
      <c r="F328" s="308">
        <v>14</v>
      </c>
      <c r="G328" s="308">
        <v>16</v>
      </c>
      <c r="H328" s="308">
        <v>30</v>
      </c>
      <c r="I328" s="308">
        <v>8</v>
      </c>
      <c r="J328" s="308">
        <v>2</v>
      </c>
      <c r="K328" s="308">
        <v>10</v>
      </c>
      <c r="L328" s="308"/>
      <c r="M328" s="308">
        <v>2</v>
      </c>
      <c r="N328" s="308">
        <v>2</v>
      </c>
      <c r="O328" s="352">
        <v>48</v>
      </c>
      <c r="P328" s="352">
        <v>45</v>
      </c>
      <c r="Q328" s="352">
        <v>93</v>
      </c>
      <c r="R328" s="27"/>
      <c r="S328" s="27"/>
      <c r="T328" s="27"/>
      <c r="U328" s="27"/>
      <c r="V328" s="27"/>
      <c r="W328" s="27"/>
      <c r="X328" s="27"/>
    </row>
    <row r="329" spans="2:24" x14ac:dyDescent="0.25">
      <c r="B329" s="150" t="s">
        <v>359</v>
      </c>
      <c r="C329" s="308">
        <v>14</v>
      </c>
      <c r="D329" s="308">
        <v>18</v>
      </c>
      <c r="E329" s="308">
        <v>32</v>
      </c>
      <c r="F329" s="308">
        <v>16</v>
      </c>
      <c r="G329" s="308">
        <v>14</v>
      </c>
      <c r="H329" s="308">
        <v>30</v>
      </c>
      <c r="I329" s="308">
        <v>6</v>
      </c>
      <c r="J329" s="308">
        <v>4</v>
      </c>
      <c r="K329" s="308">
        <v>10</v>
      </c>
      <c r="L329" s="308">
        <v>1</v>
      </c>
      <c r="M329" s="308">
        <v>2</v>
      </c>
      <c r="N329" s="308">
        <v>3</v>
      </c>
      <c r="O329" s="352">
        <v>37</v>
      </c>
      <c r="P329" s="352">
        <v>38</v>
      </c>
      <c r="Q329" s="352">
        <v>75</v>
      </c>
      <c r="R329" s="27"/>
      <c r="S329" s="27"/>
      <c r="T329" s="27"/>
      <c r="U329" s="27"/>
      <c r="V329" s="27"/>
      <c r="W329" s="27"/>
      <c r="X329" s="27"/>
    </row>
    <row r="330" spans="2:24" x14ac:dyDescent="0.25">
      <c r="B330" s="150" t="s">
        <v>360</v>
      </c>
      <c r="C330" s="308">
        <v>109</v>
      </c>
      <c r="D330" s="308">
        <v>134</v>
      </c>
      <c r="E330" s="308">
        <v>243</v>
      </c>
      <c r="F330" s="308">
        <v>283</v>
      </c>
      <c r="G330" s="308">
        <v>203</v>
      </c>
      <c r="H330" s="308">
        <v>486</v>
      </c>
      <c r="I330" s="308">
        <v>99</v>
      </c>
      <c r="J330" s="308">
        <v>36</v>
      </c>
      <c r="K330" s="308">
        <v>135</v>
      </c>
      <c r="L330" s="308">
        <v>25</v>
      </c>
      <c r="M330" s="308">
        <v>43</v>
      </c>
      <c r="N330" s="308">
        <v>68</v>
      </c>
      <c r="O330" s="352">
        <v>516</v>
      </c>
      <c r="P330" s="352">
        <v>416</v>
      </c>
      <c r="Q330" s="352">
        <v>932</v>
      </c>
      <c r="R330" s="27"/>
      <c r="S330" s="27"/>
      <c r="T330" s="27"/>
      <c r="U330" s="27"/>
      <c r="V330" s="27"/>
      <c r="W330" s="27"/>
      <c r="X330" s="27"/>
    </row>
    <row r="331" spans="2:24" x14ac:dyDescent="0.25">
      <c r="B331" s="150" t="s">
        <v>361</v>
      </c>
      <c r="C331" s="308">
        <v>2</v>
      </c>
      <c r="D331" s="308">
        <v>4</v>
      </c>
      <c r="E331" s="308">
        <v>6</v>
      </c>
      <c r="F331" s="308">
        <v>3</v>
      </c>
      <c r="G331" s="308">
        <v>5</v>
      </c>
      <c r="H331" s="308">
        <v>8</v>
      </c>
      <c r="I331" s="308">
        <v>1</v>
      </c>
      <c r="J331" s="308"/>
      <c r="K331" s="308">
        <v>1</v>
      </c>
      <c r="L331" s="308"/>
      <c r="M331" s="308"/>
      <c r="N331" s="308"/>
      <c r="O331" s="352">
        <v>6</v>
      </c>
      <c r="P331" s="352">
        <v>9</v>
      </c>
      <c r="Q331" s="352">
        <v>15</v>
      </c>
      <c r="R331" s="27"/>
      <c r="S331" s="27"/>
      <c r="T331" s="27"/>
      <c r="U331" s="27"/>
      <c r="V331" s="27"/>
      <c r="W331" s="27"/>
      <c r="X331" s="27"/>
    </row>
    <row r="332" spans="2:24" x14ac:dyDescent="0.25">
      <c r="B332" s="150" t="s">
        <v>362</v>
      </c>
      <c r="C332" s="308">
        <v>134</v>
      </c>
      <c r="D332" s="308">
        <v>184</v>
      </c>
      <c r="E332" s="308">
        <v>318</v>
      </c>
      <c r="F332" s="308">
        <v>322</v>
      </c>
      <c r="G332" s="308">
        <v>247</v>
      </c>
      <c r="H332" s="308">
        <v>569</v>
      </c>
      <c r="I332" s="308">
        <v>68</v>
      </c>
      <c r="J332" s="308">
        <v>36</v>
      </c>
      <c r="K332" s="308">
        <v>104</v>
      </c>
      <c r="L332" s="308">
        <v>29</v>
      </c>
      <c r="M332" s="308">
        <v>32</v>
      </c>
      <c r="N332" s="308">
        <v>61</v>
      </c>
      <c r="O332" s="352">
        <v>553</v>
      </c>
      <c r="P332" s="352">
        <v>499</v>
      </c>
      <c r="Q332" s="352">
        <v>1052</v>
      </c>
      <c r="R332" s="27"/>
      <c r="S332" s="27"/>
      <c r="T332" s="27"/>
      <c r="U332" s="27"/>
      <c r="V332" s="27"/>
      <c r="W332" s="27"/>
      <c r="X332" s="27"/>
    </row>
    <row r="333" spans="2:24" x14ac:dyDescent="0.25">
      <c r="B333" s="150" t="s">
        <v>363</v>
      </c>
      <c r="C333" s="308">
        <v>10</v>
      </c>
      <c r="D333" s="308">
        <v>6</v>
      </c>
      <c r="E333" s="308">
        <v>16</v>
      </c>
      <c r="F333" s="308">
        <v>14</v>
      </c>
      <c r="G333" s="308">
        <v>9</v>
      </c>
      <c r="H333" s="308">
        <v>23</v>
      </c>
      <c r="I333" s="308">
        <v>4</v>
      </c>
      <c r="J333" s="308"/>
      <c r="K333" s="308">
        <v>4</v>
      </c>
      <c r="L333" s="308"/>
      <c r="M333" s="308"/>
      <c r="N333" s="308"/>
      <c r="O333" s="352">
        <v>28</v>
      </c>
      <c r="P333" s="352">
        <v>15</v>
      </c>
      <c r="Q333" s="352">
        <v>43</v>
      </c>
      <c r="R333" s="27"/>
      <c r="S333" s="27"/>
      <c r="T333" s="27"/>
      <c r="U333" s="27"/>
      <c r="V333" s="27"/>
      <c r="W333" s="27"/>
      <c r="X333" s="27"/>
    </row>
    <row r="334" spans="2:24" x14ac:dyDescent="0.25">
      <c r="B334" s="150" t="s">
        <v>364</v>
      </c>
      <c r="C334" s="308">
        <v>21</v>
      </c>
      <c r="D334" s="308">
        <v>21</v>
      </c>
      <c r="E334" s="308">
        <v>42</v>
      </c>
      <c r="F334" s="308">
        <v>75</v>
      </c>
      <c r="G334" s="308">
        <v>54</v>
      </c>
      <c r="H334" s="308">
        <v>129</v>
      </c>
      <c r="I334" s="308">
        <v>8</v>
      </c>
      <c r="J334" s="308">
        <v>6</v>
      </c>
      <c r="K334" s="308">
        <v>14</v>
      </c>
      <c r="L334" s="308">
        <v>5</v>
      </c>
      <c r="M334" s="308">
        <v>4</v>
      </c>
      <c r="N334" s="308">
        <v>9</v>
      </c>
      <c r="O334" s="352">
        <v>109</v>
      </c>
      <c r="P334" s="352">
        <v>85</v>
      </c>
      <c r="Q334" s="352">
        <v>194</v>
      </c>
      <c r="R334" s="27"/>
      <c r="S334" s="27"/>
      <c r="T334" s="27"/>
      <c r="U334" s="27"/>
      <c r="V334" s="27"/>
      <c r="W334" s="27"/>
      <c r="X334" s="27"/>
    </row>
    <row r="335" spans="2:24" x14ac:dyDescent="0.25">
      <c r="B335" s="150" t="s">
        <v>365</v>
      </c>
      <c r="C335" s="308">
        <v>8</v>
      </c>
      <c r="D335" s="308">
        <v>3</v>
      </c>
      <c r="E335" s="308">
        <v>11</v>
      </c>
      <c r="F335" s="308">
        <v>5</v>
      </c>
      <c r="G335" s="308">
        <v>2</v>
      </c>
      <c r="H335" s="308">
        <v>7</v>
      </c>
      <c r="I335" s="308">
        <v>2</v>
      </c>
      <c r="J335" s="308"/>
      <c r="K335" s="308">
        <v>2</v>
      </c>
      <c r="L335" s="308">
        <v>1</v>
      </c>
      <c r="M335" s="308">
        <v>1</v>
      </c>
      <c r="N335" s="308">
        <v>2</v>
      </c>
      <c r="O335" s="352">
        <v>16</v>
      </c>
      <c r="P335" s="352">
        <v>6</v>
      </c>
      <c r="Q335" s="352">
        <v>22</v>
      </c>
      <c r="R335" s="27"/>
      <c r="S335" s="27"/>
      <c r="T335" s="27"/>
      <c r="U335" s="27"/>
      <c r="V335" s="27"/>
      <c r="W335" s="27"/>
      <c r="X335" s="27"/>
    </row>
    <row r="336" spans="2:24" x14ac:dyDescent="0.25">
      <c r="B336" s="150" t="s">
        <v>366</v>
      </c>
      <c r="C336" s="308">
        <v>14</v>
      </c>
      <c r="D336" s="308">
        <v>12</v>
      </c>
      <c r="E336" s="308">
        <v>26</v>
      </c>
      <c r="F336" s="308">
        <v>23</v>
      </c>
      <c r="G336" s="308">
        <v>22</v>
      </c>
      <c r="H336" s="308">
        <v>45</v>
      </c>
      <c r="I336" s="308">
        <v>14</v>
      </c>
      <c r="J336" s="308">
        <v>3</v>
      </c>
      <c r="K336" s="308">
        <v>17</v>
      </c>
      <c r="L336" s="308">
        <v>2</v>
      </c>
      <c r="M336" s="308">
        <v>6</v>
      </c>
      <c r="N336" s="308">
        <v>8</v>
      </c>
      <c r="O336" s="352">
        <v>53</v>
      </c>
      <c r="P336" s="352">
        <v>43</v>
      </c>
      <c r="Q336" s="352">
        <v>96</v>
      </c>
      <c r="R336" s="27"/>
      <c r="S336" s="27"/>
      <c r="T336" s="27"/>
      <c r="U336" s="27"/>
      <c r="V336" s="27"/>
      <c r="W336" s="27"/>
      <c r="X336" s="27"/>
    </row>
    <row r="337" spans="2:24" x14ac:dyDescent="0.25">
      <c r="B337" s="150" t="s">
        <v>367</v>
      </c>
      <c r="C337" s="308">
        <v>9</v>
      </c>
      <c r="D337" s="308">
        <v>15</v>
      </c>
      <c r="E337" s="308">
        <v>24</v>
      </c>
      <c r="F337" s="308">
        <v>15</v>
      </c>
      <c r="G337" s="308">
        <v>21</v>
      </c>
      <c r="H337" s="308">
        <v>36</v>
      </c>
      <c r="I337" s="308">
        <v>12</v>
      </c>
      <c r="J337" s="308">
        <v>4</v>
      </c>
      <c r="K337" s="308">
        <v>16</v>
      </c>
      <c r="L337" s="308">
        <v>4</v>
      </c>
      <c r="M337" s="308">
        <v>2</v>
      </c>
      <c r="N337" s="308">
        <v>6</v>
      </c>
      <c r="O337" s="352">
        <v>40</v>
      </c>
      <c r="P337" s="352">
        <v>42</v>
      </c>
      <c r="Q337" s="352">
        <v>82</v>
      </c>
      <c r="R337" s="27"/>
      <c r="S337" s="27"/>
      <c r="T337" s="27"/>
      <c r="U337" s="27"/>
      <c r="V337" s="27"/>
      <c r="W337" s="27"/>
      <c r="X337" s="27"/>
    </row>
    <row r="338" spans="2:24" x14ac:dyDescent="0.25">
      <c r="B338" s="150" t="s">
        <v>368</v>
      </c>
      <c r="C338" s="308">
        <v>3</v>
      </c>
      <c r="D338" s="308">
        <v>11</v>
      </c>
      <c r="E338" s="308">
        <v>14</v>
      </c>
      <c r="F338" s="308">
        <v>5</v>
      </c>
      <c r="G338" s="308">
        <v>3</v>
      </c>
      <c r="H338" s="308">
        <v>8</v>
      </c>
      <c r="I338" s="308">
        <v>6</v>
      </c>
      <c r="J338" s="308">
        <v>2</v>
      </c>
      <c r="K338" s="308">
        <v>8</v>
      </c>
      <c r="L338" s="308"/>
      <c r="M338" s="308"/>
      <c r="N338" s="308"/>
      <c r="O338" s="352">
        <v>14</v>
      </c>
      <c r="P338" s="352">
        <v>16</v>
      </c>
      <c r="Q338" s="352">
        <v>30</v>
      </c>
      <c r="R338" s="27"/>
      <c r="S338" s="27"/>
      <c r="T338" s="27"/>
      <c r="U338" s="27"/>
      <c r="V338" s="27"/>
      <c r="W338" s="27"/>
      <c r="X338" s="27"/>
    </row>
    <row r="339" spans="2:24" x14ac:dyDescent="0.25">
      <c r="B339" s="150" t="s">
        <v>369</v>
      </c>
      <c r="C339" s="308">
        <v>13</v>
      </c>
      <c r="D339" s="308">
        <v>28</v>
      </c>
      <c r="E339" s="308">
        <v>41</v>
      </c>
      <c r="F339" s="308">
        <v>19</v>
      </c>
      <c r="G339" s="308">
        <v>16</v>
      </c>
      <c r="H339" s="308">
        <v>35</v>
      </c>
      <c r="I339" s="308">
        <v>20</v>
      </c>
      <c r="J339" s="308">
        <v>10</v>
      </c>
      <c r="K339" s="308">
        <v>30</v>
      </c>
      <c r="L339" s="308">
        <v>3</v>
      </c>
      <c r="M339" s="308">
        <v>8</v>
      </c>
      <c r="N339" s="308">
        <v>11</v>
      </c>
      <c r="O339" s="352">
        <v>55</v>
      </c>
      <c r="P339" s="352">
        <v>62</v>
      </c>
      <c r="Q339" s="352">
        <v>117</v>
      </c>
      <c r="R339" s="27"/>
      <c r="S339" s="27"/>
      <c r="T339" s="27"/>
      <c r="U339" s="27"/>
      <c r="V339" s="27"/>
      <c r="W339" s="27"/>
      <c r="X339" s="27"/>
    </row>
    <row r="340" spans="2:24" x14ac:dyDescent="0.25">
      <c r="B340" s="150" t="s">
        <v>370</v>
      </c>
      <c r="C340" s="308">
        <v>14</v>
      </c>
      <c r="D340" s="308">
        <v>6</v>
      </c>
      <c r="E340" s="308">
        <v>20</v>
      </c>
      <c r="F340" s="308">
        <v>5</v>
      </c>
      <c r="G340" s="308">
        <v>9</v>
      </c>
      <c r="H340" s="308">
        <v>14</v>
      </c>
      <c r="I340" s="308">
        <v>8</v>
      </c>
      <c r="J340" s="308">
        <v>3</v>
      </c>
      <c r="K340" s="308">
        <v>11</v>
      </c>
      <c r="L340" s="308">
        <v>1</v>
      </c>
      <c r="M340" s="308">
        <v>1</v>
      </c>
      <c r="N340" s="308">
        <v>2</v>
      </c>
      <c r="O340" s="352">
        <v>28</v>
      </c>
      <c r="P340" s="352">
        <v>19</v>
      </c>
      <c r="Q340" s="352">
        <v>47</v>
      </c>
      <c r="R340" s="27"/>
      <c r="S340" s="27"/>
      <c r="T340" s="27"/>
      <c r="U340" s="27"/>
      <c r="V340" s="27"/>
      <c r="W340" s="27"/>
      <c r="X340" s="27"/>
    </row>
    <row r="341" spans="2:24" x14ac:dyDescent="0.25">
      <c r="B341" s="150" t="s">
        <v>371</v>
      </c>
      <c r="C341" s="308">
        <v>4</v>
      </c>
      <c r="D341" s="308">
        <v>13</v>
      </c>
      <c r="E341" s="308">
        <v>17</v>
      </c>
      <c r="F341" s="308">
        <v>12</v>
      </c>
      <c r="G341" s="308">
        <v>12</v>
      </c>
      <c r="H341" s="308">
        <v>24</v>
      </c>
      <c r="I341" s="308">
        <v>5</v>
      </c>
      <c r="J341" s="308">
        <v>4</v>
      </c>
      <c r="K341" s="308">
        <v>9</v>
      </c>
      <c r="L341" s="308">
        <v>1</v>
      </c>
      <c r="M341" s="308">
        <v>3</v>
      </c>
      <c r="N341" s="308">
        <v>4</v>
      </c>
      <c r="O341" s="352">
        <v>22</v>
      </c>
      <c r="P341" s="352">
        <v>32</v>
      </c>
      <c r="Q341" s="352">
        <v>54</v>
      </c>
      <c r="R341" s="27"/>
      <c r="S341" s="27"/>
      <c r="T341" s="27"/>
      <c r="U341" s="27"/>
      <c r="V341" s="27"/>
      <c r="W341" s="27"/>
      <c r="X341" s="27"/>
    </row>
    <row r="342" spans="2:24" x14ac:dyDescent="0.25">
      <c r="B342" s="150" t="s">
        <v>372</v>
      </c>
      <c r="C342" s="308">
        <v>7</v>
      </c>
      <c r="D342" s="308">
        <v>14</v>
      </c>
      <c r="E342" s="308">
        <v>21</v>
      </c>
      <c r="F342" s="308">
        <v>14</v>
      </c>
      <c r="G342" s="308">
        <v>17</v>
      </c>
      <c r="H342" s="308">
        <v>31</v>
      </c>
      <c r="I342" s="308">
        <v>16</v>
      </c>
      <c r="J342" s="308">
        <v>6</v>
      </c>
      <c r="K342" s="308">
        <v>22</v>
      </c>
      <c r="L342" s="308">
        <v>3</v>
      </c>
      <c r="M342" s="308">
        <v>5</v>
      </c>
      <c r="N342" s="308">
        <v>8</v>
      </c>
      <c r="O342" s="352">
        <v>40</v>
      </c>
      <c r="P342" s="352">
        <v>42</v>
      </c>
      <c r="Q342" s="352">
        <v>82</v>
      </c>
      <c r="R342" s="27"/>
      <c r="S342" s="27"/>
      <c r="T342" s="27"/>
      <c r="U342" s="27"/>
      <c r="V342" s="27"/>
      <c r="W342" s="27"/>
      <c r="X342" s="27"/>
    </row>
    <row r="343" spans="2:24" x14ac:dyDescent="0.25">
      <c r="B343" s="150" t="s">
        <v>373</v>
      </c>
      <c r="C343" s="308">
        <v>5</v>
      </c>
      <c r="D343" s="308">
        <v>10</v>
      </c>
      <c r="E343" s="308">
        <v>15</v>
      </c>
      <c r="F343" s="308">
        <v>6</v>
      </c>
      <c r="G343" s="308">
        <v>5</v>
      </c>
      <c r="H343" s="308">
        <v>11</v>
      </c>
      <c r="I343" s="308">
        <v>7</v>
      </c>
      <c r="J343" s="308">
        <v>3</v>
      </c>
      <c r="K343" s="308">
        <v>10</v>
      </c>
      <c r="L343" s="308">
        <v>1</v>
      </c>
      <c r="M343" s="308">
        <v>1</v>
      </c>
      <c r="N343" s="308">
        <v>2</v>
      </c>
      <c r="O343" s="352">
        <v>19</v>
      </c>
      <c r="P343" s="352">
        <v>19</v>
      </c>
      <c r="Q343" s="352">
        <v>38</v>
      </c>
      <c r="R343" s="27"/>
      <c r="S343" s="27"/>
      <c r="T343" s="27"/>
      <c r="U343" s="27"/>
      <c r="V343" s="27"/>
      <c r="W343" s="27"/>
      <c r="X343" s="27"/>
    </row>
    <row r="344" spans="2:24" x14ac:dyDescent="0.25">
      <c r="B344" s="150" t="s">
        <v>374</v>
      </c>
      <c r="C344" s="308">
        <v>15</v>
      </c>
      <c r="D344" s="308">
        <v>12</v>
      </c>
      <c r="E344" s="308">
        <v>27</v>
      </c>
      <c r="F344" s="308">
        <v>13</v>
      </c>
      <c r="G344" s="308">
        <v>13</v>
      </c>
      <c r="H344" s="308">
        <v>26</v>
      </c>
      <c r="I344" s="308">
        <v>11</v>
      </c>
      <c r="J344" s="308">
        <v>1</v>
      </c>
      <c r="K344" s="308">
        <v>12</v>
      </c>
      <c r="L344" s="308">
        <v>4</v>
      </c>
      <c r="M344" s="308">
        <v>3</v>
      </c>
      <c r="N344" s="308">
        <v>7</v>
      </c>
      <c r="O344" s="352">
        <v>43</v>
      </c>
      <c r="P344" s="352">
        <v>29</v>
      </c>
      <c r="Q344" s="352">
        <v>72</v>
      </c>
      <c r="R344" s="27"/>
      <c r="S344" s="27"/>
      <c r="T344" s="27"/>
      <c r="U344" s="27"/>
      <c r="V344" s="27"/>
      <c r="W344" s="27"/>
      <c r="X344" s="27"/>
    </row>
    <row r="345" spans="2:24" x14ac:dyDescent="0.25">
      <c r="B345" s="351" t="s">
        <v>35</v>
      </c>
      <c r="C345" s="302">
        <v>552</v>
      </c>
      <c r="D345" s="302">
        <v>752</v>
      </c>
      <c r="E345" s="302">
        <v>1304</v>
      </c>
      <c r="F345" s="302">
        <v>1140</v>
      </c>
      <c r="G345" s="302">
        <v>897</v>
      </c>
      <c r="H345" s="300">
        <v>2037</v>
      </c>
      <c r="I345" s="302">
        <v>384</v>
      </c>
      <c r="J345" s="300">
        <v>181</v>
      </c>
      <c r="K345" s="302">
        <v>565</v>
      </c>
      <c r="L345" s="300">
        <v>112</v>
      </c>
      <c r="M345" s="302">
        <v>170</v>
      </c>
      <c r="N345" s="300">
        <v>282</v>
      </c>
      <c r="O345" s="352">
        <v>2188</v>
      </c>
      <c r="P345" s="352">
        <v>2000</v>
      </c>
      <c r="Q345" s="352">
        <v>4188</v>
      </c>
      <c r="R345" s="27"/>
      <c r="S345" s="27"/>
      <c r="T345" s="27"/>
      <c r="U345" s="27"/>
      <c r="V345" s="27"/>
      <c r="W345" s="27"/>
      <c r="X345" s="27"/>
    </row>
    <row r="346" spans="2:24" ht="114.75" customHeight="1" x14ac:dyDescent="0.25">
      <c r="B346" s="489" t="s">
        <v>928</v>
      </c>
      <c r="C346" s="489"/>
      <c r="D346" s="489"/>
      <c r="E346" s="489"/>
      <c r="F346" s="489"/>
      <c r="G346" s="489"/>
      <c r="H346" s="489"/>
      <c r="I346" s="489"/>
      <c r="J346" s="489"/>
      <c r="K346" s="489"/>
      <c r="L346" s="489"/>
      <c r="M346" s="489"/>
      <c r="N346" s="489"/>
      <c r="O346" s="489"/>
      <c r="P346" s="489"/>
      <c r="Q346" s="489"/>
      <c r="R346" s="27"/>
      <c r="S346" s="27"/>
      <c r="T346" s="27"/>
      <c r="U346" s="27"/>
      <c r="V346" s="27"/>
      <c r="W346" s="27"/>
    </row>
    <row r="347" spans="2:24" x14ac:dyDescent="0.25">
      <c r="B347" s="172"/>
      <c r="C347" s="172"/>
      <c r="D347" s="172"/>
      <c r="E347" s="172"/>
      <c r="F347" s="172"/>
      <c r="G347"/>
      <c r="H347" s="27"/>
      <c r="I347" s="27"/>
      <c r="J347" s="27"/>
      <c r="K347" s="27"/>
      <c r="L347" s="27"/>
      <c r="M347" s="27"/>
      <c r="N347" s="27"/>
      <c r="O347" s="27"/>
      <c r="P347" s="27"/>
      <c r="Q347" s="27"/>
      <c r="R347" s="27"/>
      <c r="S347" s="27"/>
      <c r="T347" s="27"/>
      <c r="U347" s="27"/>
      <c r="V347" s="27"/>
      <c r="W347" s="27"/>
    </row>
    <row r="348" spans="2:24" x14ac:dyDescent="0.25">
      <c r="B348" s="201" t="s">
        <v>527</v>
      </c>
      <c r="C348"/>
      <c r="D348"/>
      <c r="E348"/>
      <c r="F348"/>
      <c r="G348"/>
      <c r="H348" s="27"/>
      <c r="I348" s="27"/>
      <c r="J348" s="27"/>
      <c r="K348" s="27"/>
      <c r="L348" s="27"/>
      <c r="M348" s="27"/>
      <c r="N348" s="27"/>
      <c r="O348" s="27"/>
      <c r="P348" s="27"/>
      <c r="Q348" s="27"/>
      <c r="R348" s="27"/>
      <c r="S348" s="27"/>
      <c r="T348" s="27"/>
      <c r="U348" s="27"/>
      <c r="V348" s="27"/>
      <c r="W348" s="27"/>
    </row>
    <row r="349" spans="2:24" x14ac:dyDescent="0.25">
      <c r="B349" s="201"/>
      <c r="C349"/>
      <c r="D349"/>
      <c r="E349"/>
      <c r="F349"/>
      <c r="G349"/>
      <c r="H349" s="27"/>
      <c r="I349" s="27"/>
      <c r="J349" s="27"/>
      <c r="K349" s="27"/>
      <c r="L349" s="27"/>
      <c r="M349" s="27"/>
      <c r="N349" s="27"/>
      <c r="O349" s="27"/>
      <c r="P349" s="27"/>
      <c r="Q349" s="27"/>
      <c r="R349" s="27"/>
      <c r="S349" s="27"/>
      <c r="T349" s="27"/>
      <c r="U349" s="27"/>
      <c r="V349" s="27"/>
      <c r="W349" s="27"/>
    </row>
    <row r="350" spans="2:24" ht="15" customHeight="1" x14ac:dyDescent="0.25">
      <c r="B350" s="490" t="s">
        <v>544</v>
      </c>
      <c r="C350" s="479" t="s">
        <v>488</v>
      </c>
      <c r="D350" s="479"/>
      <c r="E350" s="479"/>
      <c r="F350" s="479"/>
      <c r="G350" s="479"/>
      <c r="H350" s="479"/>
      <c r="I350" s="479"/>
      <c r="J350" s="479"/>
      <c r="K350" s="479"/>
      <c r="L350" s="479"/>
      <c r="M350" s="479"/>
      <c r="N350" s="479"/>
      <c r="O350" s="483" t="s">
        <v>746</v>
      </c>
      <c r="P350" s="484"/>
      <c r="Q350" s="485"/>
      <c r="R350" s="27"/>
      <c r="S350" s="27"/>
      <c r="T350" s="27"/>
      <c r="U350" s="27"/>
      <c r="V350" s="27"/>
      <c r="W350" s="27"/>
    </row>
    <row r="351" spans="2:24" ht="15" customHeight="1" x14ac:dyDescent="0.25">
      <c r="B351" s="490"/>
      <c r="C351" s="479" t="s">
        <v>707</v>
      </c>
      <c r="D351" s="479"/>
      <c r="E351" s="479"/>
      <c r="F351" s="479" t="s">
        <v>497</v>
      </c>
      <c r="G351" s="479"/>
      <c r="H351" s="479"/>
      <c r="I351" s="479" t="s">
        <v>4</v>
      </c>
      <c r="J351" s="479"/>
      <c r="K351" s="479"/>
      <c r="L351" s="479" t="s">
        <v>6</v>
      </c>
      <c r="M351" s="479"/>
      <c r="N351" s="479"/>
      <c r="O351" s="486"/>
      <c r="P351" s="487"/>
      <c r="Q351" s="488"/>
      <c r="R351" s="27"/>
      <c r="S351" s="27"/>
      <c r="T351" s="27"/>
      <c r="U351" s="27"/>
      <c r="V351" s="27"/>
      <c r="W351" s="27"/>
    </row>
    <row r="352" spans="2:24" x14ac:dyDescent="0.25">
      <c r="B352" s="490"/>
      <c r="C352" s="175" t="s">
        <v>83</v>
      </c>
      <c r="D352" s="175" t="s">
        <v>84</v>
      </c>
      <c r="E352" s="175" t="s">
        <v>35</v>
      </c>
      <c r="F352" s="175" t="s">
        <v>83</v>
      </c>
      <c r="G352" s="175" t="s">
        <v>84</v>
      </c>
      <c r="H352" s="175" t="s">
        <v>35</v>
      </c>
      <c r="I352" s="175" t="s">
        <v>83</v>
      </c>
      <c r="J352" s="175" t="s">
        <v>84</v>
      </c>
      <c r="K352" s="175" t="s">
        <v>35</v>
      </c>
      <c r="L352" s="175" t="s">
        <v>83</v>
      </c>
      <c r="M352" s="175" t="s">
        <v>84</v>
      </c>
      <c r="N352" s="175" t="s">
        <v>35</v>
      </c>
      <c r="O352" s="262" t="s">
        <v>83</v>
      </c>
      <c r="P352" s="262" t="s">
        <v>84</v>
      </c>
      <c r="Q352" s="262" t="s">
        <v>35</v>
      </c>
      <c r="R352" s="27"/>
      <c r="S352" s="27"/>
      <c r="T352" s="27"/>
      <c r="U352" s="27"/>
      <c r="V352" s="27"/>
      <c r="W352" s="27"/>
    </row>
    <row r="353" spans="2:24" x14ac:dyDescent="0.25">
      <c r="B353" s="171" t="s">
        <v>375</v>
      </c>
      <c r="C353" s="311">
        <v>12</v>
      </c>
      <c r="D353" s="311">
        <v>13</v>
      </c>
      <c r="E353" s="311">
        <v>25</v>
      </c>
      <c r="F353" s="311">
        <v>11</v>
      </c>
      <c r="G353" s="311">
        <v>11</v>
      </c>
      <c r="H353" s="311">
        <v>22</v>
      </c>
      <c r="I353" s="311"/>
      <c r="J353" s="311"/>
      <c r="K353" s="311"/>
      <c r="L353" s="311"/>
      <c r="M353" s="311">
        <v>2</v>
      </c>
      <c r="N353" s="311">
        <v>2</v>
      </c>
      <c r="O353" s="352">
        <v>23</v>
      </c>
      <c r="P353" s="352">
        <v>26</v>
      </c>
      <c r="Q353" s="352">
        <v>49</v>
      </c>
      <c r="R353" s="27"/>
      <c r="S353" s="27"/>
      <c r="T353" s="27"/>
      <c r="U353" s="27"/>
      <c r="V353" s="27"/>
      <c r="W353" s="27"/>
      <c r="X353" s="27"/>
    </row>
    <row r="354" spans="2:24" x14ac:dyDescent="0.25">
      <c r="B354" s="150" t="s">
        <v>376</v>
      </c>
      <c r="C354" s="308">
        <v>2</v>
      </c>
      <c r="D354" s="308">
        <v>8</v>
      </c>
      <c r="E354" s="308">
        <v>10</v>
      </c>
      <c r="F354" s="308">
        <v>8</v>
      </c>
      <c r="G354" s="308">
        <v>5</v>
      </c>
      <c r="H354" s="308">
        <v>13</v>
      </c>
      <c r="I354" s="308">
        <v>2</v>
      </c>
      <c r="J354" s="308"/>
      <c r="K354" s="308">
        <v>2</v>
      </c>
      <c r="L354" s="308"/>
      <c r="M354" s="308"/>
      <c r="N354" s="308"/>
      <c r="O354" s="352">
        <v>12</v>
      </c>
      <c r="P354" s="352">
        <v>13</v>
      </c>
      <c r="Q354" s="352">
        <v>25</v>
      </c>
      <c r="R354" s="27"/>
      <c r="S354" s="27"/>
      <c r="T354" s="27"/>
      <c r="U354" s="27"/>
      <c r="V354" s="27"/>
      <c r="W354" s="27"/>
      <c r="X354" s="27"/>
    </row>
    <row r="355" spans="2:24" x14ac:dyDescent="0.25">
      <c r="B355" s="150" t="s">
        <v>377</v>
      </c>
      <c r="C355" s="308">
        <v>3</v>
      </c>
      <c r="D355" s="308">
        <v>6</v>
      </c>
      <c r="E355" s="308">
        <v>9</v>
      </c>
      <c r="F355" s="308">
        <v>6</v>
      </c>
      <c r="G355" s="308">
        <v>6</v>
      </c>
      <c r="H355" s="308">
        <v>12</v>
      </c>
      <c r="I355" s="308"/>
      <c r="J355" s="308"/>
      <c r="K355" s="308"/>
      <c r="L355" s="308"/>
      <c r="M355" s="308"/>
      <c r="N355" s="308"/>
      <c r="O355" s="352">
        <v>9</v>
      </c>
      <c r="P355" s="352">
        <v>12</v>
      </c>
      <c r="Q355" s="352">
        <v>21</v>
      </c>
      <c r="R355" s="27"/>
      <c r="S355" s="27"/>
      <c r="T355" s="27"/>
      <c r="U355" s="27"/>
      <c r="V355" s="27"/>
      <c r="W355" s="27"/>
      <c r="X355" s="27"/>
    </row>
    <row r="356" spans="2:24" x14ac:dyDescent="0.25">
      <c r="B356" s="150" t="s">
        <v>378</v>
      </c>
      <c r="C356" s="308">
        <v>36</v>
      </c>
      <c r="D356" s="308">
        <v>52</v>
      </c>
      <c r="E356" s="308">
        <v>88</v>
      </c>
      <c r="F356" s="308">
        <v>105</v>
      </c>
      <c r="G356" s="308">
        <v>85</v>
      </c>
      <c r="H356" s="308">
        <v>190</v>
      </c>
      <c r="I356" s="308">
        <v>31</v>
      </c>
      <c r="J356" s="308">
        <v>6</v>
      </c>
      <c r="K356" s="308">
        <v>37</v>
      </c>
      <c r="L356" s="308">
        <v>5</v>
      </c>
      <c r="M356" s="308">
        <v>7</v>
      </c>
      <c r="N356" s="308">
        <v>12</v>
      </c>
      <c r="O356" s="352">
        <v>177</v>
      </c>
      <c r="P356" s="352">
        <v>150</v>
      </c>
      <c r="Q356" s="352">
        <v>327</v>
      </c>
      <c r="R356" s="27"/>
      <c r="S356" s="27"/>
      <c r="T356" s="27"/>
      <c r="U356" s="27"/>
      <c r="V356" s="27"/>
      <c r="W356" s="27"/>
      <c r="X356" s="27"/>
    </row>
    <row r="357" spans="2:24" x14ac:dyDescent="0.25">
      <c r="B357" s="150" t="s">
        <v>379</v>
      </c>
      <c r="C357" s="308">
        <v>1</v>
      </c>
      <c r="D357" s="308"/>
      <c r="E357" s="308">
        <v>1</v>
      </c>
      <c r="F357" s="308">
        <v>1</v>
      </c>
      <c r="G357" s="308">
        <v>2</v>
      </c>
      <c r="H357" s="308">
        <v>3</v>
      </c>
      <c r="I357" s="308"/>
      <c r="J357" s="308"/>
      <c r="K357" s="308"/>
      <c r="L357" s="308"/>
      <c r="M357" s="308">
        <v>2</v>
      </c>
      <c r="N357" s="308">
        <v>2</v>
      </c>
      <c r="O357" s="352">
        <v>2</v>
      </c>
      <c r="P357" s="352">
        <v>4</v>
      </c>
      <c r="Q357" s="352">
        <v>6</v>
      </c>
      <c r="R357" s="27"/>
      <c r="S357" s="27"/>
      <c r="T357" s="27"/>
      <c r="U357" s="27"/>
      <c r="V357" s="27"/>
      <c r="W357" s="27"/>
      <c r="X357" s="27"/>
    </row>
    <row r="358" spans="2:24" x14ac:dyDescent="0.25">
      <c r="B358" s="150" t="s">
        <v>380</v>
      </c>
      <c r="C358" s="308"/>
      <c r="D358" s="308"/>
      <c r="E358" s="308"/>
      <c r="F358" s="308">
        <v>1</v>
      </c>
      <c r="G358" s="308">
        <v>2</v>
      </c>
      <c r="H358" s="308">
        <v>3</v>
      </c>
      <c r="I358" s="308"/>
      <c r="J358" s="308"/>
      <c r="K358" s="308"/>
      <c r="L358" s="308"/>
      <c r="M358" s="308"/>
      <c r="N358" s="308"/>
      <c r="O358" s="352">
        <v>1</v>
      </c>
      <c r="P358" s="352">
        <v>2</v>
      </c>
      <c r="Q358" s="352">
        <v>3</v>
      </c>
      <c r="R358" s="27"/>
      <c r="S358" s="27"/>
      <c r="T358" s="27"/>
      <c r="U358" s="27"/>
      <c r="V358" s="27"/>
      <c r="W358" s="27"/>
      <c r="X358" s="27"/>
    </row>
    <row r="359" spans="2:24" x14ac:dyDescent="0.25">
      <c r="B359" s="150" t="s">
        <v>382</v>
      </c>
      <c r="C359" s="308">
        <v>13</v>
      </c>
      <c r="D359" s="308">
        <v>27</v>
      </c>
      <c r="E359" s="308">
        <v>40</v>
      </c>
      <c r="F359" s="308">
        <v>30</v>
      </c>
      <c r="G359" s="308">
        <v>24</v>
      </c>
      <c r="H359" s="308">
        <v>54</v>
      </c>
      <c r="I359" s="308">
        <v>7</v>
      </c>
      <c r="J359" s="308">
        <v>5</v>
      </c>
      <c r="K359" s="308">
        <v>12</v>
      </c>
      <c r="L359" s="308">
        <v>2</v>
      </c>
      <c r="M359" s="308">
        <v>4</v>
      </c>
      <c r="N359" s="308">
        <v>6</v>
      </c>
      <c r="O359" s="352">
        <v>52</v>
      </c>
      <c r="P359" s="352">
        <v>60</v>
      </c>
      <c r="Q359" s="352">
        <v>112</v>
      </c>
      <c r="R359" s="27"/>
      <c r="S359" s="27"/>
      <c r="T359" s="27"/>
      <c r="U359" s="27"/>
      <c r="V359" s="27"/>
      <c r="W359" s="27"/>
      <c r="X359" s="27"/>
    </row>
    <row r="360" spans="2:24" x14ac:dyDescent="0.25">
      <c r="B360" s="150" t="s">
        <v>508</v>
      </c>
      <c r="C360" s="308"/>
      <c r="D360" s="308">
        <v>8</v>
      </c>
      <c r="E360" s="308">
        <v>8</v>
      </c>
      <c r="F360" s="308">
        <v>3</v>
      </c>
      <c r="G360" s="308">
        <v>4</v>
      </c>
      <c r="H360" s="308">
        <v>7</v>
      </c>
      <c r="I360" s="308"/>
      <c r="J360" s="308"/>
      <c r="K360" s="308"/>
      <c r="L360" s="308"/>
      <c r="M360" s="308">
        <v>1</v>
      </c>
      <c r="N360" s="308">
        <v>1</v>
      </c>
      <c r="O360" s="352">
        <v>3</v>
      </c>
      <c r="P360" s="352">
        <v>13</v>
      </c>
      <c r="Q360" s="352">
        <v>16</v>
      </c>
      <c r="R360" s="27"/>
      <c r="S360" s="27"/>
      <c r="T360" s="27"/>
      <c r="U360" s="27"/>
      <c r="V360" s="27"/>
      <c r="W360" s="27"/>
      <c r="X360" s="27"/>
    </row>
    <row r="361" spans="2:24" x14ac:dyDescent="0.25">
      <c r="B361" s="150" t="s">
        <v>383</v>
      </c>
      <c r="C361" s="308"/>
      <c r="D361" s="308">
        <v>1</v>
      </c>
      <c r="E361" s="308">
        <v>1</v>
      </c>
      <c r="F361" s="308"/>
      <c r="G361" s="308"/>
      <c r="H361" s="308"/>
      <c r="I361" s="308"/>
      <c r="J361" s="308"/>
      <c r="K361" s="308"/>
      <c r="L361" s="308"/>
      <c r="M361" s="308"/>
      <c r="N361" s="308"/>
      <c r="O361" s="352"/>
      <c r="P361" s="352">
        <v>1</v>
      </c>
      <c r="Q361" s="352">
        <v>1</v>
      </c>
      <c r="R361" s="27"/>
      <c r="S361" s="27"/>
      <c r="T361" s="27"/>
      <c r="U361" s="27"/>
      <c r="V361" s="27"/>
      <c r="W361" s="27"/>
      <c r="X361" s="27"/>
    </row>
    <row r="362" spans="2:24" x14ac:dyDescent="0.25">
      <c r="B362" s="351" t="s">
        <v>35</v>
      </c>
      <c r="C362" s="302">
        <v>67</v>
      </c>
      <c r="D362" s="302">
        <v>115</v>
      </c>
      <c r="E362" s="302">
        <v>182</v>
      </c>
      <c r="F362" s="302">
        <v>165</v>
      </c>
      <c r="G362" s="302">
        <v>139</v>
      </c>
      <c r="H362" s="300">
        <v>304</v>
      </c>
      <c r="I362" s="302">
        <v>40</v>
      </c>
      <c r="J362" s="300">
        <v>11</v>
      </c>
      <c r="K362" s="302">
        <v>51</v>
      </c>
      <c r="L362" s="300">
        <v>7</v>
      </c>
      <c r="M362" s="302">
        <v>16</v>
      </c>
      <c r="N362" s="300">
        <v>23</v>
      </c>
      <c r="O362" s="352">
        <v>279</v>
      </c>
      <c r="P362" s="352">
        <v>281</v>
      </c>
      <c r="Q362" s="352">
        <v>560</v>
      </c>
      <c r="R362" s="27"/>
      <c r="S362" s="27"/>
      <c r="T362" s="27"/>
      <c r="U362" s="27"/>
      <c r="V362" s="27"/>
      <c r="W362" s="27"/>
      <c r="X362" s="27"/>
    </row>
    <row r="363" spans="2:24" ht="112.5" customHeight="1" x14ac:dyDescent="0.25">
      <c r="B363" s="489" t="s">
        <v>928</v>
      </c>
      <c r="C363" s="489"/>
      <c r="D363" s="489"/>
      <c r="E363" s="489"/>
      <c r="F363" s="489"/>
      <c r="G363" s="489"/>
      <c r="H363" s="489"/>
      <c r="I363" s="489"/>
      <c r="J363" s="489"/>
      <c r="K363" s="489"/>
      <c r="L363" s="489"/>
      <c r="M363" s="489"/>
      <c r="N363" s="489"/>
      <c r="O363" s="489"/>
      <c r="P363" s="489"/>
      <c r="Q363" s="489"/>
      <c r="R363" s="27"/>
      <c r="S363" s="27"/>
      <c r="T363" s="27"/>
      <c r="U363" s="27"/>
      <c r="V363" s="27"/>
      <c r="W363" s="27"/>
    </row>
    <row r="364" spans="2:24" x14ac:dyDescent="0.25">
      <c r="B364" s="172"/>
      <c r="C364" s="172"/>
      <c r="D364" s="172"/>
      <c r="E364"/>
      <c r="F364"/>
      <c r="G364"/>
      <c r="H364" s="27"/>
      <c r="I364" s="27"/>
      <c r="J364" s="27"/>
      <c r="K364" s="27"/>
      <c r="L364" s="27"/>
      <c r="M364" s="27"/>
      <c r="N364" s="27"/>
      <c r="O364" s="27"/>
      <c r="P364" s="27"/>
      <c r="Q364" s="27"/>
      <c r="R364" s="27"/>
      <c r="S364" s="27"/>
      <c r="T364" s="27"/>
      <c r="U364" s="27"/>
      <c r="V364" s="27"/>
      <c r="W364" s="27"/>
    </row>
    <row r="365" spans="2:24" x14ac:dyDescent="0.25">
      <c r="B365" s="201" t="s">
        <v>528</v>
      </c>
      <c r="C365"/>
      <c r="D365"/>
      <c r="E365"/>
      <c r="F365"/>
      <c r="G365"/>
      <c r="H365" s="27"/>
      <c r="I365" s="27"/>
      <c r="J365" s="27"/>
      <c r="K365" s="27"/>
      <c r="L365" s="27"/>
      <c r="M365" s="27"/>
      <c r="N365" s="27"/>
      <c r="O365" s="27"/>
      <c r="P365" s="27"/>
      <c r="Q365" s="27"/>
      <c r="R365" s="27"/>
      <c r="S365" s="27"/>
      <c r="T365" s="27"/>
      <c r="U365" s="27"/>
      <c r="V365" s="27"/>
      <c r="W365" s="27"/>
    </row>
    <row r="366" spans="2:24" x14ac:dyDescent="0.25">
      <c r="B366" s="201"/>
      <c r="C366"/>
      <c r="D366"/>
      <c r="E366"/>
      <c r="F366"/>
      <c r="G366"/>
      <c r="H366" s="27"/>
      <c r="I366" s="27"/>
      <c r="J366" s="27"/>
      <c r="K366" s="27"/>
      <c r="L366" s="27"/>
      <c r="M366" s="27"/>
      <c r="N366" s="27"/>
      <c r="O366" s="27"/>
      <c r="P366" s="27"/>
      <c r="Q366" s="27"/>
      <c r="R366" s="27"/>
      <c r="S366" s="27"/>
      <c r="T366" s="27"/>
      <c r="U366" s="27"/>
      <c r="V366" s="27"/>
      <c r="W366" s="27"/>
    </row>
    <row r="367" spans="2:24" ht="15" customHeight="1" x14ac:dyDescent="0.25">
      <c r="B367" s="490" t="s">
        <v>544</v>
      </c>
      <c r="C367" s="479" t="s">
        <v>488</v>
      </c>
      <c r="D367" s="479"/>
      <c r="E367" s="479"/>
      <c r="F367" s="479"/>
      <c r="G367" s="479"/>
      <c r="H367" s="479"/>
      <c r="I367" s="479"/>
      <c r="J367" s="479"/>
      <c r="K367" s="479"/>
      <c r="L367" s="479"/>
      <c r="M367" s="479"/>
      <c r="N367" s="479"/>
      <c r="O367" s="483" t="s">
        <v>746</v>
      </c>
      <c r="P367" s="484"/>
      <c r="Q367" s="485"/>
      <c r="R367" s="27"/>
      <c r="S367" s="27"/>
      <c r="T367" s="27"/>
      <c r="U367" s="27"/>
      <c r="V367" s="27"/>
      <c r="W367" s="27"/>
    </row>
    <row r="368" spans="2:24" ht="15" customHeight="1" x14ac:dyDescent="0.25">
      <c r="B368" s="490"/>
      <c r="C368" s="479" t="s">
        <v>707</v>
      </c>
      <c r="D368" s="479"/>
      <c r="E368" s="479"/>
      <c r="F368" s="479" t="s">
        <v>497</v>
      </c>
      <c r="G368" s="479"/>
      <c r="H368" s="479"/>
      <c r="I368" s="479" t="s">
        <v>4</v>
      </c>
      <c r="J368" s="479"/>
      <c r="K368" s="479"/>
      <c r="L368" s="479" t="s">
        <v>6</v>
      </c>
      <c r="M368" s="479"/>
      <c r="N368" s="479"/>
      <c r="O368" s="486"/>
      <c r="P368" s="487"/>
      <c r="Q368" s="488"/>
      <c r="R368" s="27"/>
      <c r="S368" s="27"/>
      <c r="T368" s="27"/>
      <c r="U368" s="27"/>
      <c r="V368" s="27"/>
      <c r="W368" s="27"/>
    </row>
    <row r="369" spans="2:24" x14ac:dyDescent="0.25">
      <c r="B369" s="490"/>
      <c r="C369" s="175" t="s">
        <v>83</v>
      </c>
      <c r="D369" s="175" t="s">
        <v>84</v>
      </c>
      <c r="E369" s="175" t="s">
        <v>35</v>
      </c>
      <c r="F369" s="175" t="s">
        <v>83</v>
      </c>
      <c r="G369" s="175" t="s">
        <v>84</v>
      </c>
      <c r="H369" s="175" t="s">
        <v>35</v>
      </c>
      <c r="I369" s="175" t="s">
        <v>83</v>
      </c>
      <c r="J369" s="175" t="s">
        <v>84</v>
      </c>
      <c r="K369" s="175" t="s">
        <v>35</v>
      </c>
      <c r="L369" s="175" t="s">
        <v>83</v>
      </c>
      <c r="M369" s="175" t="s">
        <v>84</v>
      </c>
      <c r="N369" s="175" t="s">
        <v>35</v>
      </c>
      <c r="O369" s="262" t="s">
        <v>83</v>
      </c>
      <c r="P369" s="262" t="s">
        <v>84</v>
      </c>
      <c r="Q369" s="262" t="s">
        <v>35</v>
      </c>
      <c r="R369" s="27"/>
      <c r="S369" s="27"/>
      <c r="T369" s="27"/>
      <c r="U369" s="27"/>
      <c r="V369" s="27"/>
      <c r="W369" s="27"/>
    </row>
    <row r="370" spans="2:24" x14ac:dyDescent="0.25">
      <c r="B370" s="254" t="s">
        <v>384</v>
      </c>
      <c r="C370" s="310"/>
      <c r="D370" s="310">
        <v>1</v>
      </c>
      <c r="E370" s="310">
        <v>1</v>
      </c>
      <c r="F370" s="310">
        <v>2</v>
      </c>
      <c r="G370" s="310">
        <v>1</v>
      </c>
      <c r="H370" s="310">
        <v>3</v>
      </c>
      <c r="I370" s="310"/>
      <c r="J370" s="310"/>
      <c r="K370" s="310"/>
      <c r="L370" s="310"/>
      <c r="M370" s="310">
        <v>1</v>
      </c>
      <c r="N370" s="310">
        <v>1</v>
      </c>
      <c r="O370" s="352">
        <v>2</v>
      </c>
      <c r="P370" s="352">
        <v>3</v>
      </c>
      <c r="Q370" s="352">
        <v>5</v>
      </c>
      <c r="R370" s="27"/>
      <c r="S370" s="27"/>
      <c r="T370" s="27"/>
      <c r="U370" s="27"/>
      <c r="V370" s="27"/>
      <c r="W370" s="27"/>
      <c r="X370" s="27"/>
    </row>
    <row r="371" spans="2:24" x14ac:dyDescent="0.25">
      <c r="B371" s="255" t="s">
        <v>387</v>
      </c>
      <c r="C371" s="313">
        <v>25</v>
      </c>
      <c r="D371" s="313">
        <v>42</v>
      </c>
      <c r="E371" s="313">
        <v>67</v>
      </c>
      <c r="F371" s="313">
        <v>37</v>
      </c>
      <c r="G371" s="313">
        <v>35</v>
      </c>
      <c r="H371" s="313">
        <v>72</v>
      </c>
      <c r="I371" s="313">
        <v>4</v>
      </c>
      <c r="J371" s="313">
        <v>1</v>
      </c>
      <c r="K371" s="313">
        <v>5</v>
      </c>
      <c r="L371" s="313">
        <v>2</v>
      </c>
      <c r="M371" s="313">
        <v>3</v>
      </c>
      <c r="N371" s="313">
        <v>5</v>
      </c>
      <c r="O371" s="352">
        <v>68</v>
      </c>
      <c r="P371" s="352">
        <v>81</v>
      </c>
      <c r="Q371" s="352">
        <v>149</v>
      </c>
      <c r="R371" s="27"/>
      <c r="S371" s="27"/>
      <c r="T371" s="27"/>
      <c r="U371" s="27"/>
      <c r="V371" s="27"/>
      <c r="W371" s="27"/>
      <c r="X371" s="27"/>
    </row>
    <row r="372" spans="2:24" x14ac:dyDescent="0.25">
      <c r="B372" s="255" t="s">
        <v>388</v>
      </c>
      <c r="C372" s="310">
        <v>2</v>
      </c>
      <c r="D372" s="310">
        <v>4</v>
      </c>
      <c r="E372" s="310">
        <v>6</v>
      </c>
      <c r="F372" s="310">
        <v>5</v>
      </c>
      <c r="G372" s="310">
        <v>14</v>
      </c>
      <c r="H372" s="310">
        <v>19</v>
      </c>
      <c r="I372" s="310"/>
      <c r="J372" s="310"/>
      <c r="K372" s="310"/>
      <c r="L372" s="310"/>
      <c r="M372" s="310">
        <v>1</v>
      </c>
      <c r="N372" s="310">
        <v>1</v>
      </c>
      <c r="O372" s="352">
        <v>7</v>
      </c>
      <c r="P372" s="352">
        <v>19</v>
      </c>
      <c r="Q372" s="352">
        <v>26</v>
      </c>
      <c r="R372" s="27"/>
      <c r="S372" s="27"/>
      <c r="T372" s="27"/>
      <c r="U372" s="27"/>
      <c r="V372" s="27"/>
      <c r="W372" s="27"/>
      <c r="X372" s="27"/>
    </row>
    <row r="373" spans="2:24" x14ac:dyDescent="0.25">
      <c r="B373" s="255" t="s">
        <v>389</v>
      </c>
      <c r="C373" s="310"/>
      <c r="D373" s="310"/>
      <c r="E373" s="310"/>
      <c r="F373" s="310">
        <v>1</v>
      </c>
      <c r="G373" s="310"/>
      <c r="H373" s="310">
        <v>1</v>
      </c>
      <c r="I373" s="310"/>
      <c r="J373" s="310"/>
      <c r="K373" s="310"/>
      <c r="L373" s="310"/>
      <c r="M373" s="310"/>
      <c r="N373" s="310"/>
      <c r="O373" s="352">
        <v>1</v>
      </c>
      <c r="P373" s="352"/>
      <c r="Q373" s="352">
        <v>1</v>
      </c>
      <c r="R373" s="27"/>
      <c r="S373" s="27"/>
      <c r="T373" s="27"/>
      <c r="U373" s="27"/>
      <c r="V373" s="27"/>
      <c r="W373" s="27"/>
      <c r="X373" s="27"/>
    </row>
    <row r="374" spans="2:24" x14ac:dyDescent="0.25">
      <c r="B374" s="255" t="s">
        <v>390</v>
      </c>
      <c r="C374" s="310">
        <v>85</v>
      </c>
      <c r="D374" s="310">
        <v>107</v>
      </c>
      <c r="E374" s="310">
        <v>192</v>
      </c>
      <c r="F374" s="310">
        <v>252</v>
      </c>
      <c r="G374" s="310">
        <v>209</v>
      </c>
      <c r="H374" s="310">
        <v>461</v>
      </c>
      <c r="I374" s="310">
        <v>30</v>
      </c>
      <c r="J374" s="310">
        <v>17</v>
      </c>
      <c r="K374" s="310">
        <v>47</v>
      </c>
      <c r="L374" s="310">
        <v>18</v>
      </c>
      <c r="M374" s="310">
        <v>10</v>
      </c>
      <c r="N374" s="310">
        <v>28</v>
      </c>
      <c r="O374" s="352">
        <v>385</v>
      </c>
      <c r="P374" s="352">
        <v>343</v>
      </c>
      <c r="Q374" s="352">
        <v>728</v>
      </c>
      <c r="R374" s="27"/>
      <c r="S374" s="27"/>
      <c r="T374" s="27"/>
      <c r="U374" s="27"/>
      <c r="V374" s="27"/>
      <c r="W374" s="27"/>
      <c r="X374" s="27"/>
    </row>
    <row r="375" spans="2:24" x14ac:dyDescent="0.25">
      <c r="B375" s="255" t="s">
        <v>392</v>
      </c>
      <c r="C375" s="310"/>
      <c r="D375" s="310"/>
      <c r="E375" s="310"/>
      <c r="F375" s="310">
        <v>1</v>
      </c>
      <c r="G375" s="310">
        <v>1</v>
      </c>
      <c r="H375" s="310">
        <v>2</v>
      </c>
      <c r="I375" s="310"/>
      <c r="J375" s="310"/>
      <c r="K375" s="310"/>
      <c r="L375" s="310"/>
      <c r="M375" s="310"/>
      <c r="N375" s="310"/>
      <c r="O375" s="352">
        <v>1</v>
      </c>
      <c r="P375" s="352">
        <v>1</v>
      </c>
      <c r="Q375" s="352">
        <v>2</v>
      </c>
      <c r="R375" s="27"/>
      <c r="S375" s="27"/>
      <c r="T375" s="27"/>
      <c r="U375" s="27"/>
      <c r="V375" s="27"/>
      <c r="W375" s="27"/>
      <c r="X375" s="27"/>
    </row>
    <row r="376" spans="2:24" x14ac:dyDescent="0.25">
      <c r="B376" s="351" t="s">
        <v>35</v>
      </c>
      <c r="C376" s="302">
        <v>112</v>
      </c>
      <c r="D376" s="302">
        <v>154</v>
      </c>
      <c r="E376" s="302">
        <v>266</v>
      </c>
      <c r="F376" s="302">
        <v>298</v>
      </c>
      <c r="G376" s="302">
        <v>260</v>
      </c>
      <c r="H376" s="300">
        <v>558</v>
      </c>
      <c r="I376" s="302">
        <v>34</v>
      </c>
      <c r="J376" s="300">
        <v>18</v>
      </c>
      <c r="K376" s="302">
        <v>52</v>
      </c>
      <c r="L376" s="300">
        <v>20</v>
      </c>
      <c r="M376" s="302">
        <v>15</v>
      </c>
      <c r="N376" s="300">
        <v>35</v>
      </c>
      <c r="O376" s="352">
        <v>464</v>
      </c>
      <c r="P376" s="352">
        <v>447</v>
      </c>
      <c r="Q376" s="352">
        <v>911</v>
      </c>
      <c r="R376" s="27"/>
      <c r="S376" s="27"/>
      <c r="T376" s="27"/>
      <c r="U376" s="27"/>
      <c r="V376" s="27"/>
      <c r="W376" s="27"/>
      <c r="X376" s="27"/>
    </row>
    <row r="377" spans="2:24" ht="109.5" customHeight="1" x14ac:dyDescent="0.25">
      <c r="B377" s="489" t="s">
        <v>928</v>
      </c>
      <c r="C377" s="489"/>
      <c r="D377" s="489"/>
      <c r="E377" s="489"/>
      <c r="F377" s="489"/>
      <c r="G377" s="489"/>
      <c r="H377" s="489"/>
      <c r="I377" s="489"/>
      <c r="J377" s="489"/>
      <c r="K377" s="489"/>
      <c r="L377" s="489"/>
      <c r="M377" s="489"/>
      <c r="N377" s="489"/>
      <c r="O377" s="489"/>
      <c r="P377" s="489"/>
      <c r="Q377" s="489"/>
      <c r="R377" s="27"/>
      <c r="S377" s="27"/>
      <c r="T377" s="27"/>
      <c r="U377" s="27"/>
      <c r="V377" s="27"/>
      <c r="W377" s="27"/>
    </row>
    <row r="378" spans="2:24" x14ac:dyDescent="0.25">
      <c r="B378" s="172"/>
      <c r="C378" s="172"/>
      <c r="D378" s="172"/>
      <c r="E378"/>
      <c r="F378"/>
      <c r="G378"/>
      <c r="H378" s="27"/>
      <c r="I378" s="27"/>
      <c r="J378" s="27"/>
      <c r="K378" s="27"/>
      <c r="L378" s="27"/>
      <c r="M378" s="27"/>
      <c r="N378" s="27"/>
      <c r="O378" s="27"/>
      <c r="P378" s="27"/>
      <c r="Q378" s="27"/>
      <c r="R378" s="27"/>
      <c r="S378" s="27"/>
      <c r="T378" s="27"/>
      <c r="U378" s="27"/>
      <c r="V378" s="27"/>
      <c r="W378" s="27"/>
    </row>
    <row r="379" spans="2:24" x14ac:dyDescent="0.25">
      <c r="B379" s="201" t="s">
        <v>529</v>
      </c>
      <c r="C379"/>
      <c r="D379"/>
      <c r="E379"/>
      <c r="F379"/>
      <c r="G379"/>
      <c r="H379" s="27"/>
      <c r="I379" s="27"/>
      <c r="J379" s="27"/>
      <c r="K379" s="27"/>
      <c r="L379" s="27"/>
      <c r="M379" s="27"/>
      <c r="N379" s="27"/>
      <c r="O379" s="27"/>
      <c r="P379" s="27"/>
      <c r="Q379" s="27"/>
      <c r="R379" s="27"/>
      <c r="S379" s="27"/>
      <c r="T379" s="27"/>
      <c r="U379" s="27"/>
      <c r="V379" s="27"/>
      <c r="W379" s="27"/>
    </row>
    <row r="380" spans="2:24" x14ac:dyDescent="0.25">
      <c r="B380" s="201"/>
      <c r="C380"/>
      <c r="D380"/>
      <c r="E380"/>
      <c r="F380"/>
      <c r="G380"/>
      <c r="H380" s="27"/>
      <c r="I380" s="27"/>
      <c r="J380" s="27"/>
      <c r="K380" s="27"/>
      <c r="L380" s="27"/>
      <c r="M380" s="27"/>
      <c r="N380" s="27"/>
      <c r="O380" s="27"/>
      <c r="P380" s="27"/>
      <c r="Q380" s="27"/>
      <c r="R380" s="27"/>
      <c r="S380" s="27"/>
      <c r="T380" s="27"/>
      <c r="U380" s="27"/>
      <c r="V380" s="27"/>
      <c r="W380" s="27"/>
    </row>
    <row r="381" spans="2:24" ht="15" customHeight="1" x14ac:dyDescent="0.25">
      <c r="B381" s="490" t="s">
        <v>544</v>
      </c>
      <c r="C381" s="479" t="s">
        <v>488</v>
      </c>
      <c r="D381" s="479"/>
      <c r="E381" s="479"/>
      <c r="F381" s="479"/>
      <c r="G381" s="479"/>
      <c r="H381" s="479"/>
      <c r="I381" s="479"/>
      <c r="J381" s="479"/>
      <c r="K381" s="479"/>
      <c r="L381" s="479"/>
      <c r="M381" s="479"/>
      <c r="N381" s="479"/>
      <c r="O381" s="483" t="s">
        <v>746</v>
      </c>
      <c r="P381" s="484"/>
      <c r="Q381" s="485"/>
      <c r="R381" s="27"/>
      <c r="S381" s="27"/>
      <c r="T381" s="27"/>
      <c r="U381" s="27"/>
      <c r="V381" s="27"/>
      <c r="W381" s="27"/>
    </row>
    <row r="382" spans="2:24" ht="15" customHeight="1" x14ac:dyDescent="0.25">
      <c r="B382" s="490"/>
      <c r="C382" s="479" t="s">
        <v>707</v>
      </c>
      <c r="D382" s="479"/>
      <c r="E382" s="479"/>
      <c r="F382" s="479" t="s">
        <v>497</v>
      </c>
      <c r="G382" s="479"/>
      <c r="H382" s="479"/>
      <c r="I382" s="479" t="s">
        <v>4</v>
      </c>
      <c r="J382" s="479"/>
      <c r="K382" s="479"/>
      <c r="L382" s="479" t="s">
        <v>6</v>
      </c>
      <c r="M382" s="479"/>
      <c r="N382" s="479"/>
      <c r="O382" s="486"/>
      <c r="P382" s="487"/>
      <c r="Q382" s="488"/>
      <c r="R382" s="27"/>
      <c r="S382" s="27"/>
      <c r="T382" s="27"/>
      <c r="U382" s="27"/>
      <c r="V382" s="27"/>
      <c r="W382" s="27"/>
    </row>
    <row r="383" spans="2:24" ht="15" customHeight="1" x14ac:dyDescent="0.25">
      <c r="B383" s="490"/>
      <c r="C383" s="175" t="s">
        <v>83</v>
      </c>
      <c r="D383" s="175" t="s">
        <v>84</v>
      </c>
      <c r="E383" s="175" t="s">
        <v>35</v>
      </c>
      <c r="F383" s="175" t="s">
        <v>83</v>
      </c>
      <c r="G383" s="175" t="s">
        <v>84</v>
      </c>
      <c r="H383" s="175" t="s">
        <v>35</v>
      </c>
      <c r="I383" s="175" t="s">
        <v>83</v>
      </c>
      <c r="J383" s="175" t="s">
        <v>84</v>
      </c>
      <c r="K383" s="175" t="s">
        <v>35</v>
      </c>
      <c r="L383" s="175" t="s">
        <v>83</v>
      </c>
      <c r="M383" s="175" t="s">
        <v>84</v>
      </c>
      <c r="N383" s="175" t="s">
        <v>35</v>
      </c>
      <c r="O383" s="262" t="s">
        <v>83</v>
      </c>
      <c r="P383" s="262" t="s">
        <v>84</v>
      </c>
      <c r="Q383" s="262" t="s">
        <v>35</v>
      </c>
      <c r="R383" s="27"/>
      <c r="S383" s="27"/>
      <c r="T383" s="27"/>
      <c r="U383" s="27"/>
      <c r="V383" s="27"/>
      <c r="W383" s="27"/>
    </row>
    <row r="384" spans="2:24" x14ac:dyDescent="0.25">
      <c r="B384" s="171" t="s">
        <v>396</v>
      </c>
      <c r="C384" s="311">
        <v>6</v>
      </c>
      <c r="D384" s="311">
        <v>8</v>
      </c>
      <c r="E384" s="311">
        <v>14</v>
      </c>
      <c r="F384" s="311">
        <v>4</v>
      </c>
      <c r="G384" s="311">
        <v>7</v>
      </c>
      <c r="H384" s="311">
        <v>11</v>
      </c>
      <c r="I384" s="311">
        <v>2</v>
      </c>
      <c r="J384" s="311">
        <v>1</v>
      </c>
      <c r="K384" s="311">
        <v>3</v>
      </c>
      <c r="L384" s="311"/>
      <c r="M384" s="311">
        <v>2</v>
      </c>
      <c r="N384" s="311">
        <v>2</v>
      </c>
      <c r="O384" s="352">
        <v>12</v>
      </c>
      <c r="P384" s="352">
        <v>18</v>
      </c>
      <c r="Q384" s="352">
        <v>30</v>
      </c>
      <c r="R384" s="27"/>
      <c r="S384" s="27"/>
      <c r="T384" s="27"/>
      <c r="U384" s="27"/>
      <c r="V384" s="27"/>
      <c r="W384" s="27"/>
      <c r="X384" s="27"/>
    </row>
    <row r="385" spans="2:24" x14ac:dyDescent="0.25">
      <c r="B385" s="150" t="s">
        <v>397</v>
      </c>
      <c r="C385" s="308">
        <v>45</v>
      </c>
      <c r="D385" s="308">
        <v>88</v>
      </c>
      <c r="E385" s="308">
        <v>133</v>
      </c>
      <c r="F385" s="308">
        <v>153</v>
      </c>
      <c r="G385" s="308">
        <v>117</v>
      </c>
      <c r="H385" s="308">
        <v>270</v>
      </c>
      <c r="I385" s="308">
        <v>36</v>
      </c>
      <c r="J385" s="308">
        <v>7</v>
      </c>
      <c r="K385" s="308">
        <v>43</v>
      </c>
      <c r="L385" s="308">
        <v>10</v>
      </c>
      <c r="M385" s="308">
        <v>10</v>
      </c>
      <c r="N385" s="308">
        <v>20</v>
      </c>
      <c r="O385" s="352">
        <v>244</v>
      </c>
      <c r="P385" s="352">
        <v>222</v>
      </c>
      <c r="Q385" s="352">
        <v>466</v>
      </c>
      <c r="R385" s="27"/>
      <c r="S385" s="27"/>
      <c r="T385" s="27"/>
      <c r="U385" s="27"/>
      <c r="V385" s="27"/>
      <c r="W385" s="27"/>
      <c r="X385" s="27"/>
    </row>
    <row r="386" spans="2:24" x14ac:dyDescent="0.25">
      <c r="B386" s="150" t="s">
        <v>398</v>
      </c>
      <c r="C386" s="308">
        <v>19</v>
      </c>
      <c r="D386" s="308">
        <v>19</v>
      </c>
      <c r="E386" s="308">
        <v>38</v>
      </c>
      <c r="F386" s="308">
        <v>31</v>
      </c>
      <c r="G386" s="308">
        <v>38</v>
      </c>
      <c r="H386" s="308">
        <v>69</v>
      </c>
      <c r="I386" s="308">
        <v>10</v>
      </c>
      <c r="J386" s="308">
        <v>1</v>
      </c>
      <c r="K386" s="308">
        <v>11</v>
      </c>
      <c r="L386" s="308">
        <v>1</v>
      </c>
      <c r="M386" s="308">
        <v>4</v>
      </c>
      <c r="N386" s="308">
        <v>5</v>
      </c>
      <c r="O386" s="352">
        <v>61</v>
      </c>
      <c r="P386" s="352">
        <v>62</v>
      </c>
      <c r="Q386" s="352">
        <v>123</v>
      </c>
      <c r="R386" s="27"/>
      <c r="S386" s="27"/>
      <c r="T386" s="27"/>
      <c r="U386" s="27"/>
      <c r="V386" s="27"/>
      <c r="W386" s="27"/>
      <c r="X386" s="27"/>
    </row>
    <row r="387" spans="2:24" x14ac:dyDescent="0.25">
      <c r="B387" s="150" t="s">
        <v>399</v>
      </c>
      <c r="C387" s="308">
        <v>47</v>
      </c>
      <c r="D387" s="308">
        <v>51</v>
      </c>
      <c r="E387" s="308">
        <v>98</v>
      </c>
      <c r="F387" s="308">
        <v>119</v>
      </c>
      <c r="G387" s="308">
        <v>116</v>
      </c>
      <c r="H387" s="308">
        <v>235</v>
      </c>
      <c r="I387" s="308">
        <v>27</v>
      </c>
      <c r="J387" s="308">
        <v>6</v>
      </c>
      <c r="K387" s="308">
        <v>33</v>
      </c>
      <c r="L387" s="308">
        <v>12</v>
      </c>
      <c r="M387" s="308">
        <v>2</v>
      </c>
      <c r="N387" s="308">
        <v>14</v>
      </c>
      <c r="O387" s="352">
        <v>205</v>
      </c>
      <c r="P387" s="352">
        <v>175</v>
      </c>
      <c r="Q387" s="352">
        <v>380</v>
      </c>
      <c r="R387" s="27"/>
      <c r="S387" s="27"/>
      <c r="T387" s="27"/>
      <c r="U387" s="27"/>
      <c r="V387" s="27"/>
      <c r="W387" s="27"/>
      <c r="X387" s="27"/>
    </row>
    <row r="388" spans="2:24" x14ac:dyDescent="0.25">
      <c r="B388" s="150" t="s">
        <v>400</v>
      </c>
      <c r="C388" s="308">
        <v>66</v>
      </c>
      <c r="D388" s="308">
        <v>109</v>
      </c>
      <c r="E388" s="308">
        <v>175</v>
      </c>
      <c r="F388" s="308">
        <v>146</v>
      </c>
      <c r="G388" s="308">
        <v>131</v>
      </c>
      <c r="H388" s="308">
        <v>277</v>
      </c>
      <c r="I388" s="308">
        <v>42</v>
      </c>
      <c r="J388" s="308">
        <v>12</v>
      </c>
      <c r="K388" s="308">
        <v>54</v>
      </c>
      <c r="L388" s="308">
        <v>12</v>
      </c>
      <c r="M388" s="308">
        <v>18</v>
      </c>
      <c r="N388" s="308">
        <v>30</v>
      </c>
      <c r="O388" s="352">
        <v>266</v>
      </c>
      <c r="P388" s="352">
        <v>270</v>
      </c>
      <c r="Q388" s="352">
        <v>536</v>
      </c>
      <c r="R388" s="27"/>
      <c r="S388" s="27"/>
      <c r="T388" s="27"/>
      <c r="U388" s="27"/>
      <c r="V388" s="27"/>
      <c r="W388" s="27"/>
      <c r="X388" s="27"/>
    </row>
    <row r="389" spans="2:24" x14ac:dyDescent="0.25">
      <c r="B389" s="150" t="s">
        <v>401</v>
      </c>
      <c r="C389" s="308">
        <v>56</v>
      </c>
      <c r="D389" s="308">
        <v>82</v>
      </c>
      <c r="E389" s="308">
        <v>138</v>
      </c>
      <c r="F389" s="308">
        <v>154</v>
      </c>
      <c r="G389" s="308">
        <v>118</v>
      </c>
      <c r="H389" s="308">
        <v>272</v>
      </c>
      <c r="I389" s="308">
        <v>35</v>
      </c>
      <c r="J389" s="308">
        <v>16</v>
      </c>
      <c r="K389" s="308">
        <v>51</v>
      </c>
      <c r="L389" s="308">
        <v>7</v>
      </c>
      <c r="M389" s="308">
        <v>15</v>
      </c>
      <c r="N389" s="308">
        <v>22</v>
      </c>
      <c r="O389" s="352">
        <v>252</v>
      </c>
      <c r="P389" s="352">
        <v>231</v>
      </c>
      <c r="Q389" s="352">
        <v>483</v>
      </c>
      <c r="R389" s="27"/>
      <c r="S389" s="27"/>
      <c r="T389" s="27"/>
      <c r="U389" s="27"/>
      <c r="V389" s="27"/>
      <c r="W389" s="27"/>
      <c r="X389" s="27"/>
    </row>
    <row r="390" spans="2:24" x14ac:dyDescent="0.25">
      <c r="B390" s="150" t="s">
        <v>402</v>
      </c>
      <c r="C390" s="308">
        <v>61</v>
      </c>
      <c r="D390" s="308">
        <v>118</v>
      </c>
      <c r="E390" s="308">
        <v>179</v>
      </c>
      <c r="F390" s="308">
        <v>205</v>
      </c>
      <c r="G390" s="308">
        <v>169</v>
      </c>
      <c r="H390" s="308">
        <v>374</v>
      </c>
      <c r="I390" s="308">
        <v>29</v>
      </c>
      <c r="J390" s="308">
        <v>10</v>
      </c>
      <c r="K390" s="308">
        <v>39</v>
      </c>
      <c r="L390" s="308">
        <v>9</v>
      </c>
      <c r="M390" s="308">
        <v>16</v>
      </c>
      <c r="N390" s="308">
        <v>25</v>
      </c>
      <c r="O390" s="352">
        <v>304</v>
      </c>
      <c r="P390" s="352">
        <v>313</v>
      </c>
      <c r="Q390" s="352">
        <v>617</v>
      </c>
      <c r="R390" s="27"/>
      <c r="S390" s="27"/>
      <c r="T390" s="27"/>
      <c r="U390" s="27"/>
      <c r="V390" s="27"/>
      <c r="W390" s="27"/>
      <c r="X390" s="27"/>
    </row>
    <row r="391" spans="2:24" x14ac:dyDescent="0.25">
      <c r="B391" s="150" t="s">
        <v>403</v>
      </c>
      <c r="C391" s="308">
        <v>25</v>
      </c>
      <c r="D391" s="308">
        <v>45</v>
      </c>
      <c r="E391" s="308">
        <v>70</v>
      </c>
      <c r="F391" s="308">
        <v>54</v>
      </c>
      <c r="G391" s="308">
        <v>67</v>
      </c>
      <c r="H391" s="308">
        <v>121</v>
      </c>
      <c r="I391" s="308">
        <v>10</v>
      </c>
      <c r="J391" s="308">
        <v>4</v>
      </c>
      <c r="K391" s="308">
        <v>14</v>
      </c>
      <c r="L391" s="308">
        <v>1</v>
      </c>
      <c r="M391" s="308">
        <v>4</v>
      </c>
      <c r="N391" s="308">
        <v>5</v>
      </c>
      <c r="O391" s="352">
        <v>90</v>
      </c>
      <c r="P391" s="352">
        <v>120</v>
      </c>
      <c r="Q391" s="352">
        <v>210</v>
      </c>
      <c r="R391" s="27"/>
      <c r="S391" s="27"/>
      <c r="T391" s="27"/>
      <c r="U391" s="27"/>
      <c r="V391" s="27"/>
      <c r="W391" s="27"/>
      <c r="X391" s="27"/>
    </row>
    <row r="392" spans="2:24" x14ac:dyDescent="0.25">
      <c r="B392" s="150" t="s">
        <v>404</v>
      </c>
      <c r="C392" s="308">
        <v>89</v>
      </c>
      <c r="D392" s="308">
        <v>144</v>
      </c>
      <c r="E392" s="308">
        <v>233</v>
      </c>
      <c r="F392" s="308">
        <v>241</v>
      </c>
      <c r="G392" s="308">
        <v>190</v>
      </c>
      <c r="H392" s="308">
        <v>431</v>
      </c>
      <c r="I392" s="308">
        <v>63</v>
      </c>
      <c r="J392" s="308">
        <v>22</v>
      </c>
      <c r="K392" s="308">
        <v>85</v>
      </c>
      <c r="L392" s="308">
        <v>14</v>
      </c>
      <c r="M392" s="308">
        <v>15</v>
      </c>
      <c r="N392" s="308">
        <v>29</v>
      </c>
      <c r="O392" s="352">
        <v>407</v>
      </c>
      <c r="P392" s="352">
        <v>371</v>
      </c>
      <c r="Q392" s="352">
        <v>778</v>
      </c>
      <c r="R392" s="27"/>
      <c r="S392" s="27"/>
      <c r="T392" s="27"/>
      <c r="U392" s="27"/>
      <c r="V392" s="27"/>
      <c r="W392" s="27"/>
      <c r="X392" s="27"/>
    </row>
    <row r="393" spans="2:24" x14ac:dyDescent="0.25">
      <c r="B393" s="150" t="s">
        <v>405</v>
      </c>
      <c r="C393" s="308">
        <v>17</v>
      </c>
      <c r="D393" s="308">
        <v>35</v>
      </c>
      <c r="E393" s="308">
        <v>52</v>
      </c>
      <c r="F393" s="308">
        <v>48</v>
      </c>
      <c r="G393" s="308">
        <v>43</v>
      </c>
      <c r="H393" s="308">
        <v>91</v>
      </c>
      <c r="I393" s="308">
        <v>15</v>
      </c>
      <c r="J393" s="308">
        <v>7</v>
      </c>
      <c r="K393" s="308">
        <v>22</v>
      </c>
      <c r="L393" s="308">
        <v>2</v>
      </c>
      <c r="M393" s="308">
        <v>4</v>
      </c>
      <c r="N393" s="308">
        <v>6</v>
      </c>
      <c r="O393" s="352">
        <v>82</v>
      </c>
      <c r="P393" s="352">
        <v>89</v>
      </c>
      <c r="Q393" s="352">
        <v>171</v>
      </c>
      <c r="R393" s="27"/>
      <c r="S393" s="27"/>
      <c r="T393" s="27"/>
      <c r="U393" s="27"/>
      <c r="V393" s="27"/>
      <c r="W393" s="27"/>
      <c r="X393" s="27"/>
    </row>
    <row r="394" spans="2:24" x14ac:dyDescent="0.25">
      <c r="B394" s="150" t="s">
        <v>406</v>
      </c>
      <c r="C394" s="308">
        <v>92</v>
      </c>
      <c r="D394" s="308">
        <v>126</v>
      </c>
      <c r="E394" s="308">
        <v>218</v>
      </c>
      <c r="F394" s="308">
        <v>220</v>
      </c>
      <c r="G394" s="308">
        <v>159</v>
      </c>
      <c r="H394" s="308">
        <v>379</v>
      </c>
      <c r="I394" s="308">
        <v>24</v>
      </c>
      <c r="J394" s="308">
        <v>14</v>
      </c>
      <c r="K394" s="308">
        <v>38</v>
      </c>
      <c r="L394" s="308">
        <v>11</v>
      </c>
      <c r="M394" s="308">
        <v>22</v>
      </c>
      <c r="N394" s="308">
        <v>33</v>
      </c>
      <c r="O394" s="352">
        <v>347</v>
      </c>
      <c r="P394" s="352">
        <v>321</v>
      </c>
      <c r="Q394" s="352">
        <v>668</v>
      </c>
      <c r="R394" s="27"/>
      <c r="S394" s="27"/>
      <c r="T394" s="27"/>
      <c r="U394" s="27"/>
      <c r="V394" s="27"/>
      <c r="W394" s="27"/>
      <c r="X394" s="27"/>
    </row>
    <row r="395" spans="2:24" x14ac:dyDescent="0.25">
      <c r="B395" s="150" t="s">
        <v>407</v>
      </c>
      <c r="C395" s="308">
        <v>47</v>
      </c>
      <c r="D395" s="308">
        <v>73</v>
      </c>
      <c r="E395" s="308">
        <v>120</v>
      </c>
      <c r="F395" s="308">
        <v>134</v>
      </c>
      <c r="G395" s="308">
        <v>79</v>
      </c>
      <c r="H395" s="308">
        <v>213</v>
      </c>
      <c r="I395" s="308">
        <v>28</v>
      </c>
      <c r="J395" s="308">
        <v>14</v>
      </c>
      <c r="K395" s="308">
        <v>42</v>
      </c>
      <c r="L395" s="308">
        <v>8</v>
      </c>
      <c r="M395" s="308">
        <v>6</v>
      </c>
      <c r="N395" s="308">
        <v>14</v>
      </c>
      <c r="O395" s="352">
        <v>217</v>
      </c>
      <c r="P395" s="352">
        <v>172</v>
      </c>
      <c r="Q395" s="352">
        <v>389</v>
      </c>
      <c r="R395" s="27"/>
      <c r="S395" s="27"/>
      <c r="T395" s="27"/>
      <c r="U395" s="27"/>
      <c r="V395" s="27"/>
      <c r="W395" s="27"/>
      <c r="X395" s="27"/>
    </row>
    <row r="396" spans="2:24" x14ac:dyDescent="0.25">
      <c r="B396" s="150" t="s">
        <v>408</v>
      </c>
      <c r="C396" s="308">
        <v>68</v>
      </c>
      <c r="D396" s="308">
        <v>84</v>
      </c>
      <c r="E396" s="308">
        <v>152</v>
      </c>
      <c r="F396" s="308">
        <v>146</v>
      </c>
      <c r="G396" s="308">
        <v>123</v>
      </c>
      <c r="H396" s="308">
        <v>269</v>
      </c>
      <c r="I396" s="308">
        <v>17</v>
      </c>
      <c r="J396" s="308">
        <v>7</v>
      </c>
      <c r="K396" s="308">
        <v>24</v>
      </c>
      <c r="L396" s="308">
        <v>4</v>
      </c>
      <c r="M396" s="308">
        <v>7</v>
      </c>
      <c r="N396" s="308">
        <v>11</v>
      </c>
      <c r="O396" s="352">
        <v>235</v>
      </c>
      <c r="P396" s="352">
        <v>221</v>
      </c>
      <c r="Q396" s="352">
        <v>456</v>
      </c>
      <c r="R396" s="27"/>
      <c r="S396" s="27"/>
      <c r="T396" s="27"/>
      <c r="U396" s="27"/>
      <c r="V396" s="27"/>
      <c r="W396" s="27"/>
      <c r="X396" s="27"/>
    </row>
    <row r="397" spans="2:24" x14ac:dyDescent="0.25">
      <c r="B397" s="150" t="s">
        <v>409</v>
      </c>
      <c r="C397" s="308">
        <v>12</v>
      </c>
      <c r="D397" s="308">
        <v>30</v>
      </c>
      <c r="E397" s="308">
        <v>42</v>
      </c>
      <c r="F397" s="308">
        <v>64</v>
      </c>
      <c r="G397" s="308">
        <v>58</v>
      </c>
      <c r="H397" s="308">
        <v>122</v>
      </c>
      <c r="I397" s="308">
        <v>13</v>
      </c>
      <c r="J397" s="308">
        <v>8</v>
      </c>
      <c r="K397" s="308">
        <v>21</v>
      </c>
      <c r="L397" s="308">
        <v>5</v>
      </c>
      <c r="M397" s="308">
        <v>8</v>
      </c>
      <c r="N397" s="308">
        <v>13</v>
      </c>
      <c r="O397" s="352">
        <v>94</v>
      </c>
      <c r="P397" s="352">
        <v>104</v>
      </c>
      <c r="Q397" s="352">
        <v>198</v>
      </c>
      <c r="R397" s="27"/>
      <c r="S397" s="27"/>
      <c r="T397" s="27"/>
      <c r="U397" s="27"/>
      <c r="V397" s="27"/>
      <c r="W397" s="27"/>
      <c r="X397" s="27"/>
    </row>
    <row r="398" spans="2:24" x14ac:dyDescent="0.25">
      <c r="B398" s="150" t="s">
        <v>410</v>
      </c>
      <c r="C398" s="308">
        <v>65</v>
      </c>
      <c r="D398" s="308">
        <v>96</v>
      </c>
      <c r="E398" s="308">
        <v>161</v>
      </c>
      <c r="F398" s="308">
        <v>181</v>
      </c>
      <c r="G398" s="308">
        <v>117</v>
      </c>
      <c r="H398" s="308">
        <v>298</v>
      </c>
      <c r="I398" s="308">
        <v>13</v>
      </c>
      <c r="J398" s="308">
        <v>12</v>
      </c>
      <c r="K398" s="308">
        <v>25</v>
      </c>
      <c r="L398" s="308">
        <v>6</v>
      </c>
      <c r="M398" s="308">
        <v>10</v>
      </c>
      <c r="N398" s="308">
        <v>16</v>
      </c>
      <c r="O398" s="352">
        <v>265</v>
      </c>
      <c r="P398" s="352">
        <v>235</v>
      </c>
      <c r="Q398" s="352">
        <v>500</v>
      </c>
      <c r="R398" s="27"/>
      <c r="S398" s="27"/>
      <c r="T398" s="27"/>
      <c r="U398" s="27"/>
      <c r="V398" s="27"/>
      <c r="W398" s="27"/>
      <c r="X398" s="27"/>
    </row>
    <row r="399" spans="2:24" x14ac:dyDescent="0.25">
      <c r="B399" s="150" t="s">
        <v>411</v>
      </c>
      <c r="C399" s="308">
        <v>259</v>
      </c>
      <c r="D399" s="308">
        <v>295</v>
      </c>
      <c r="E399" s="308">
        <v>554</v>
      </c>
      <c r="F399" s="308">
        <v>809</v>
      </c>
      <c r="G399" s="308">
        <v>629</v>
      </c>
      <c r="H399" s="308">
        <v>1438</v>
      </c>
      <c r="I399" s="308">
        <v>88</v>
      </c>
      <c r="J399" s="308">
        <v>40</v>
      </c>
      <c r="K399" s="308">
        <v>128</v>
      </c>
      <c r="L399" s="308">
        <v>21</v>
      </c>
      <c r="M399" s="308">
        <v>35</v>
      </c>
      <c r="N399" s="308">
        <v>56</v>
      </c>
      <c r="O399" s="352">
        <v>1177</v>
      </c>
      <c r="P399" s="352">
        <v>999</v>
      </c>
      <c r="Q399" s="352">
        <v>2176</v>
      </c>
      <c r="R399" s="27"/>
      <c r="S399" s="27"/>
      <c r="T399" s="27"/>
      <c r="U399" s="27"/>
      <c r="V399" s="27"/>
      <c r="W399" s="27"/>
      <c r="X399" s="27"/>
    </row>
    <row r="400" spans="2:24" x14ac:dyDescent="0.25">
      <c r="B400" s="150" t="s">
        <v>412</v>
      </c>
      <c r="C400" s="308">
        <v>79</v>
      </c>
      <c r="D400" s="308">
        <v>128</v>
      </c>
      <c r="E400" s="308">
        <v>207</v>
      </c>
      <c r="F400" s="308">
        <v>215</v>
      </c>
      <c r="G400" s="308">
        <v>182</v>
      </c>
      <c r="H400" s="308">
        <v>397</v>
      </c>
      <c r="I400" s="308">
        <v>36</v>
      </c>
      <c r="J400" s="308">
        <v>16</v>
      </c>
      <c r="K400" s="308">
        <v>52</v>
      </c>
      <c r="L400" s="308">
        <v>11</v>
      </c>
      <c r="M400" s="308">
        <v>14</v>
      </c>
      <c r="N400" s="308">
        <v>25</v>
      </c>
      <c r="O400" s="352">
        <v>341</v>
      </c>
      <c r="P400" s="352">
        <v>340</v>
      </c>
      <c r="Q400" s="352">
        <v>681</v>
      </c>
      <c r="R400" s="27"/>
      <c r="S400" s="27"/>
      <c r="T400" s="27"/>
      <c r="U400" s="27"/>
      <c r="V400" s="27"/>
      <c r="W400" s="27"/>
      <c r="X400" s="27"/>
    </row>
    <row r="401" spans="2:24" x14ac:dyDescent="0.25">
      <c r="B401" s="150" t="s">
        <v>413</v>
      </c>
      <c r="C401" s="308">
        <v>88</v>
      </c>
      <c r="D401" s="308">
        <v>145</v>
      </c>
      <c r="E401" s="308">
        <v>233</v>
      </c>
      <c r="F401" s="308">
        <v>215</v>
      </c>
      <c r="G401" s="308">
        <v>181</v>
      </c>
      <c r="H401" s="308">
        <v>396</v>
      </c>
      <c r="I401" s="308">
        <v>73</v>
      </c>
      <c r="J401" s="308">
        <v>25</v>
      </c>
      <c r="K401" s="308">
        <v>98</v>
      </c>
      <c r="L401" s="308">
        <v>12</v>
      </c>
      <c r="M401" s="308">
        <v>27</v>
      </c>
      <c r="N401" s="308">
        <v>39</v>
      </c>
      <c r="O401" s="352">
        <v>388</v>
      </c>
      <c r="P401" s="352">
        <v>378</v>
      </c>
      <c r="Q401" s="352">
        <v>766</v>
      </c>
      <c r="R401" s="27"/>
      <c r="S401" s="27"/>
      <c r="T401" s="27"/>
      <c r="U401" s="27"/>
      <c r="V401" s="27"/>
      <c r="W401" s="27"/>
      <c r="X401" s="27"/>
    </row>
    <row r="402" spans="2:24" x14ac:dyDescent="0.25">
      <c r="B402" s="150" t="s">
        <v>414</v>
      </c>
      <c r="C402" s="308">
        <v>44</v>
      </c>
      <c r="D402" s="308">
        <v>64</v>
      </c>
      <c r="E402" s="308">
        <v>108</v>
      </c>
      <c r="F402" s="308">
        <v>248</v>
      </c>
      <c r="G402" s="308">
        <v>146</v>
      </c>
      <c r="H402" s="308">
        <v>394</v>
      </c>
      <c r="I402" s="308">
        <v>6</v>
      </c>
      <c r="J402" s="308">
        <v>5</v>
      </c>
      <c r="K402" s="308">
        <v>11</v>
      </c>
      <c r="L402" s="308">
        <v>5</v>
      </c>
      <c r="M402" s="308">
        <v>3</v>
      </c>
      <c r="N402" s="308">
        <v>8</v>
      </c>
      <c r="O402" s="352">
        <v>303</v>
      </c>
      <c r="P402" s="352">
        <v>218</v>
      </c>
      <c r="Q402" s="352">
        <v>521</v>
      </c>
      <c r="R402" s="27"/>
      <c r="S402" s="27"/>
      <c r="T402" s="27"/>
      <c r="U402" s="27"/>
      <c r="V402" s="27"/>
      <c r="W402" s="27"/>
      <c r="X402" s="27"/>
    </row>
    <row r="403" spans="2:24" x14ac:dyDescent="0.25">
      <c r="B403" s="150" t="s">
        <v>415</v>
      </c>
      <c r="C403" s="308">
        <v>44</v>
      </c>
      <c r="D403" s="308">
        <v>86</v>
      </c>
      <c r="E403" s="308">
        <v>130</v>
      </c>
      <c r="F403" s="308">
        <v>98</v>
      </c>
      <c r="G403" s="308">
        <v>102</v>
      </c>
      <c r="H403" s="308">
        <v>200</v>
      </c>
      <c r="I403" s="308">
        <v>46</v>
      </c>
      <c r="J403" s="308">
        <v>20</v>
      </c>
      <c r="K403" s="308">
        <v>66</v>
      </c>
      <c r="L403" s="308">
        <v>6</v>
      </c>
      <c r="M403" s="308">
        <v>8</v>
      </c>
      <c r="N403" s="308">
        <v>14</v>
      </c>
      <c r="O403" s="352">
        <v>194</v>
      </c>
      <c r="P403" s="352">
        <v>216</v>
      </c>
      <c r="Q403" s="352">
        <v>410</v>
      </c>
      <c r="R403" s="27"/>
      <c r="S403" s="27"/>
      <c r="T403" s="27"/>
      <c r="U403" s="27"/>
      <c r="V403" s="27"/>
      <c r="W403" s="27"/>
      <c r="X403" s="27"/>
    </row>
    <row r="404" spans="2:24" x14ac:dyDescent="0.25">
      <c r="B404" s="150" t="s">
        <v>416</v>
      </c>
      <c r="C404" s="308">
        <v>154</v>
      </c>
      <c r="D404" s="308">
        <v>113</v>
      </c>
      <c r="E404" s="308">
        <v>267</v>
      </c>
      <c r="F404" s="308">
        <v>1123</v>
      </c>
      <c r="G404" s="308">
        <v>488</v>
      </c>
      <c r="H404" s="308">
        <v>1611</v>
      </c>
      <c r="I404" s="308">
        <v>11</v>
      </c>
      <c r="J404" s="308">
        <v>18</v>
      </c>
      <c r="K404" s="308">
        <v>29</v>
      </c>
      <c r="L404" s="308">
        <v>11</v>
      </c>
      <c r="M404" s="308">
        <v>8</v>
      </c>
      <c r="N404" s="308">
        <v>19</v>
      </c>
      <c r="O404" s="352">
        <v>1299</v>
      </c>
      <c r="P404" s="352">
        <v>627</v>
      </c>
      <c r="Q404" s="352">
        <v>1926</v>
      </c>
      <c r="R404" s="27"/>
      <c r="S404" s="27"/>
      <c r="T404" s="27"/>
      <c r="U404" s="27"/>
      <c r="V404" s="27"/>
      <c r="W404" s="27"/>
      <c r="X404" s="27"/>
    </row>
    <row r="405" spans="2:24" x14ac:dyDescent="0.25">
      <c r="B405" s="150" t="s">
        <v>417</v>
      </c>
      <c r="C405" s="308">
        <v>36</v>
      </c>
      <c r="D405" s="308">
        <v>36</v>
      </c>
      <c r="E405" s="308">
        <v>72</v>
      </c>
      <c r="F405" s="308">
        <v>152</v>
      </c>
      <c r="G405" s="308">
        <v>88</v>
      </c>
      <c r="H405" s="308">
        <v>240</v>
      </c>
      <c r="I405" s="308">
        <v>4</v>
      </c>
      <c r="J405" s="308">
        <v>7</v>
      </c>
      <c r="K405" s="308">
        <v>11</v>
      </c>
      <c r="L405" s="308">
        <v>2</v>
      </c>
      <c r="M405" s="308">
        <v>2</v>
      </c>
      <c r="N405" s="308">
        <v>4</v>
      </c>
      <c r="O405" s="352">
        <v>194</v>
      </c>
      <c r="P405" s="352">
        <v>133</v>
      </c>
      <c r="Q405" s="352">
        <v>327</v>
      </c>
      <c r="R405" s="27"/>
      <c r="S405" s="27"/>
      <c r="T405" s="27"/>
      <c r="U405" s="27"/>
      <c r="V405" s="27"/>
      <c r="W405" s="27"/>
      <c r="X405" s="27"/>
    </row>
    <row r="406" spans="2:24" x14ac:dyDescent="0.25">
      <c r="B406" s="150" t="s">
        <v>418</v>
      </c>
      <c r="C406" s="308">
        <v>53</v>
      </c>
      <c r="D406" s="308">
        <v>104</v>
      </c>
      <c r="E406" s="308">
        <v>157</v>
      </c>
      <c r="F406" s="308">
        <v>131</v>
      </c>
      <c r="G406" s="308">
        <v>118</v>
      </c>
      <c r="H406" s="308">
        <v>249</v>
      </c>
      <c r="I406" s="308">
        <v>32</v>
      </c>
      <c r="J406" s="308">
        <v>16</v>
      </c>
      <c r="K406" s="308">
        <v>48</v>
      </c>
      <c r="L406" s="308">
        <v>7</v>
      </c>
      <c r="M406" s="308">
        <v>16</v>
      </c>
      <c r="N406" s="308">
        <v>23</v>
      </c>
      <c r="O406" s="352">
        <v>223</v>
      </c>
      <c r="P406" s="352">
        <v>254</v>
      </c>
      <c r="Q406" s="352">
        <v>477</v>
      </c>
      <c r="R406" s="27"/>
      <c r="S406" s="27"/>
      <c r="T406" s="27"/>
      <c r="U406" s="27"/>
      <c r="V406" s="27"/>
      <c r="W406" s="27"/>
      <c r="X406" s="27"/>
    </row>
    <row r="407" spans="2:24" x14ac:dyDescent="0.25">
      <c r="B407" s="150" t="s">
        <v>419</v>
      </c>
      <c r="C407" s="308">
        <v>59</v>
      </c>
      <c r="D407" s="308">
        <v>70</v>
      </c>
      <c r="E407" s="308">
        <v>129</v>
      </c>
      <c r="F407" s="308">
        <v>132</v>
      </c>
      <c r="G407" s="308">
        <v>111</v>
      </c>
      <c r="H407" s="308">
        <v>243</v>
      </c>
      <c r="I407" s="308">
        <v>27</v>
      </c>
      <c r="J407" s="308">
        <v>10</v>
      </c>
      <c r="K407" s="308">
        <v>37</v>
      </c>
      <c r="L407" s="308">
        <v>3</v>
      </c>
      <c r="M407" s="308">
        <v>13</v>
      </c>
      <c r="N407" s="308">
        <v>16</v>
      </c>
      <c r="O407" s="352">
        <v>221</v>
      </c>
      <c r="P407" s="352">
        <v>204</v>
      </c>
      <c r="Q407" s="352">
        <v>425</v>
      </c>
      <c r="R407" s="27"/>
      <c r="S407" s="27"/>
      <c r="T407" s="27"/>
      <c r="U407" s="27"/>
      <c r="V407" s="27"/>
      <c r="W407" s="27"/>
      <c r="X407" s="27"/>
    </row>
    <row r="408" spans="2:24" x14ac:dyDescent="0.25">
      <c r="B408" s="150" t="s">
        <v>420</v>
      </c>
      <c r="C408" s="308">
        <v>92</v>
      </c>
      <c r="D408" s="308">
        <v>108</v>
      </c>
      <c r="E408" s="308">
        <v>200</v>
      </c>
      <c r="F408" s="308">
        <v>272</v>
      </c>
      <c r="G408" s="308">
        <v>194</v>
      </c>
      <c r="H408" s="308">
        <v>466</v>
      </c>
      <c r="I408" s="308">
        <v>19</v>
      </c>
      <c r="J408" s="308">
        <v>12</v>
      </c>
      <c r="K408" s="308">
        <v>31</v>
      </c>
      <c r="L408" s="308">
        <v>8</v>
      </c>
      <c r="M408" s="308">
        <v>8</v>
      </c>
      <c r="N408" s="308">
        <v>16</v>
      </c>
      <c r="O408" s="352">
        <v>391</v>
      </c>
      <c r="P408" s="352">
        <v>322</v>
      </c>
      <c r="Q408" s="352">
        <v>713</v>
      </c>
      <c r="R408" s="27"/>
      <c r="S408" s="27"/>
      <c r="T408" s="27"/>
      <c r="U408" s="27"/>
      <c r="V408" s="27"/>
      <c r="W408" s="27"/>
      <c r="X408" s="27"/>
    </row>
    <row r="409" spans="2:24" x14ac:dyDescent="0.25">
      <c r="B409" s="150" t="s">
        <v>421</v>
      </c>
      <c r="C409" s="308">
        <v>315</v>
      </c>
      <c r="D409" s="308">
        <v>423</v>
      </c>
      <c r="E409" s="308">
        <v>738</v>
      </c>
      <c r="F409" s="308">
        <v>977</v>
      </c>
      <c r="G409" s="308">
        <v>809</v>
      </c>
      <c r="H409" s="308">
        <v>1786</v>
      </c>
      <c r="I409" s="308">
        <v>116</v>
      </c>
      <c r="J409" s="308">
        <v>57</v>
      </c>
      <c r="K409" s="308">
        <v>173</v>
      </c>
      <c r="L409" s="308">
        <v>44</v>
      </c>
      <c r="M409" s="308">
        <v>42</v>
      </c>
      <c r="N409" s="308">
        <v>86</v>
      </c>
      <c r="O409" s="352">
        <v>1452</v>
      </c>
      <c r="P409" s="352">
        <v>1331</v>
      </c>
      <c r="Q409" s="352">
        <v>2783</v>
      </c>
      <c r="R409" s="27"/>
      <c r="S409" s="27"/>
      <c r="T409" s="27"/>
      <c r="U409" s="27"/>
      <c r="V409" s="27"/>
      <c r="W409" s="27"/>
      <c r="X409" s="27"/>
    </row>
    <row r="410" spans="2:24" x14ac:dyDescent="0.25">
      <c r="B410" s="150" t="s">
        <v>422</v>
      </c>
      <c r="C410" s="308">
        <v>8</v>
      </c>
      <c r="D410" s="308">
        <v>12</v>
      </c>
      <c r="E410" s="308">
        <v>20</v>
      </c>
      <c r="F410" s="308">
        <v>19</v>
      </c>
      <c r="G410" s="308">
        <v>20</v>
      </c>
      <c r="H410" s="308">
        <v>39</v>
      </c>
      <c r="I410" s="308">
        <v>4</v>
      </c>
      <c r="J410" s="308"/>
      <c r="K410" s="308">
        <v>4</v>
      </c>
      <c r="L410" s="308">
        <v>2</v>
      </c>
      <c r="M410" s="308"/>
      <c r="N410" s="308">
        <v>2</v>
      </c>
      <c r="O410" s="352">
        <v>33</v>
      </c>
      <c r="P410" s="352">
        <v>32</v>
      </c>
      <c r="Q410" s="352">
        <v>65</v>
      </c>
      <c r="R410" s="27"/>
      <c r="S410" s="27"/>
      <c r="T410" s="27"/>
      <c r="U410" s="27"/>
      <c r="V410" s="27"/>
      <c r="W410" s="27"/>
      <c r="X410" s="27"/>
    </row>
    <row r="411" spans="2:24" x14ac:dyDescent="0.25">
      <c r="B411" s="150" t="s">
        <v>423</v>
      </c>
      <c r="C411" s="308">
        <v>80</v>
      </c>
      <c r="D411" s="308">
        <v>112</v>
      </c>
      <c r="E411" s="308">
        <v>192</v>
      </c>
      <c r="F411" s="308">
        <v>205</v>
      </c>
      <c r="G411" s="308">
        <v>173</v>
      </c>
      <c r="H411" s="308">
        <v>378</v>
      </c>
      <c r="I411" s="308">
        <v>47</v>
      </c>
      <c r="J411" s="308">
        <v>38</v>
      </c>
      <c r="K411" s="308">
        <v>85</v>
      </c>
      <c r="L411" s="308">
        <v>9</v>
      </c>
      <c r="M411" s="308">
        <v>15</v>
      </c>
      <c r="N411" s="308">
        <v>24</v>
      </c>
      <c r="O411" s="352">
        <v>341</v>
      </c>
      <c r="P411" s="352">
        <v>338</v>
      </c>
      <c r="Q411" s="352">
        <v>679</v>
      </c>
      <c r="R411" s="27"/>
      <c r="S411" s="27"/>
      <c r="T411" s="27"/>
      <c r="U411" s="27"/>
      <c r="V411" s="27"/>
      <c r="W411" s="27"/>
      <c r="X411" s="27"/>
    </row>
    <row r="412" spans="2:24" x14ac:dyDescent="0.25">
      <c r="B412" s="150" t="s">
        <v>424</v>
      </c>
      <c r="C412" s="308">
        <v>36</v>
      </c>
      <c r="D412" s="308">
        <v>63</v>
      </c>
      <c r="E412" s="308">
        <v>99</v>
      </c>
      <c r="F412" s="308">
        <v>90</v>
      </c>
      <c r="G412" s="308">
        <v>68</v>
      </c>
      <c r="H412" s="308">
        <v>158</v>
      </c>
      <c r="I412" s="308">
        <v>29</v>
      </c>
      <c r="J412" s="308">
        <v>6</v>
      </c>
      <c r="K412" s="308">
        <v>35</v>
      </c>
      <c r="L412" s="308">
        <v>6</v>
      </c>
      <c r="M412" s="308">
        <v>5</v>
      </c>
      <c r="N412" s="308">
        <v>11</v>
      </c>
      <c r="O412" s="352">
        <v>161</v>
      </c>
      <c r="P412" s="352">
        <v>142</v>
      </c>
      <c r="Q412" s="352">
        <v>303</v>
      </c>
      <c r="R412" s="27"/>
      <c r="S412" s="27"/>
      <c r="T412" s="27"/>
      <c r="U412" s="27"/>
      <c r="V412" s="27"/>
      <c r="W412" s="27"/>
      <c r="X412" s="27"/>
    </row>
    <row r="413" spans="2:24" x14ac:dyDescent="0.25">
      <c r="B413" s="150" t="s">
        <v>425</v>
      </c>
      <c r="C413" s="308">
        <v>39</v>
      </c>
      <c r="D413" s="308">
        <v>70</v>
      </c>
      <c r="E413" s="308">
        <v>109</v>
      </c>
      <c r="F413" s="308">
        <v>88</v>
      </c>
      <c r="G413" s="308">
        <v>90</v>
      </c>
      <c r="H413" s="308">
        <v>178</v>
      </c>
      <c r="I413" s="308">
        <v>27</v>
      </c>
      <c r="J413" s="308">
        <v>10</v>
      </c>
      <c r="K413" s="308">
        <v>37</v>
      </c>
      <c r="L413" s="308">
        <v>5</v>
      </c>
      <c r="M413" s="308">
        <v>9</v>
      </c>
      <c r="N413" s="308">
        <v>14</v>
      </c>
      <c r="O413" s="352">
        <v>159</v>
      </c>
      <c r="P413" s="352">
        <v>179</v>
      </c>
      <c r="Q413" s="352">
        <v>338</v>
      </c>
      <c r="R413" s="27"/>
      <c r="S413" s="27"/>
      <c r="T413" s="27"/>
      <c r="U413" s="27"/>
      <c r="V413" s="27"/>
      <c r="W413" s="27"/>
      <c r="X413" s="27"/>
    </row>
    <row r="414" spans="2:24" x14ac:dyDescent="0.25">
      <c r="B414" s="150" t="s">
        <v>426</v>
      </c>
      <c r="C414" s="308">
        <v>69</v>
      </c>
      <c r="D414" s="308">
        <v>136</v>
      </c>
      <c r="E414" s="308">
        <v>205</v>
      </c>
      <c r="F414" s="308">
        <v>188</v>
      </c>
      <c r="G414" s="308">
        <v>165</v>
      </c>
      <c r="H414" s="308">
        <v>353</v>
      </c>
      <c r="I414" s="308">
        <v>46</v>
      </c>
      <c r="J414" s="308">
        <v>17</v>
      </c>
      <c r="K414" s="308">
        <v>63</v>
      </c>
      <c r="L414" s="308">
        <v>9</v>
      </c>
      <c r="M414" s="308">
        <v>14</v>
      </c>
      <c r="N414" s="308">
        <v>23</v>
      </c>
      <c r="O414" s="352">
        <v>312</v>
      </c>
      <c r="P414" s="352">
        <v>332</v>
      </c>
      <c r="Q414" s="352">
        <v>644</v>
      </c>
      <c r="R414" s="27"/>
      <c r="S414" s="27"/>
      <c r="T414" s="27"/>
      <c r="U414" s="27"/>
      <c r="V414" s="27"/>
      <c r="W414" s="27"/>
      <c r="X414" s="27"/>
    </row>
    <row r="415" spans="2:24" x14ac:dyDescent="0.25">
      <c r="B415" s="150" t="s">
        <v>509</v>
      </c>
      <c r="C415" s="308">
        <v>43</v>
      </c>
      <c r="D415" s="308">
        <v>77</v>
      </c>
      <c r="E415" s="308">
        <v>120</v>
      </c>
      <c r="F415" s="308">
        <v>140</v>
      </c>
      <c r="G415" s="308">
        <v>98</v>
      </c>
      <c r="H415" s="308">
        <v>238</v>
      </c>
      <c r="I415" s="308">
        <v>21</v>
      </c>
      <c r="J415" s="308">
        <v>11</v>
      </c>
      <c r="K415" s="308">
        <v>32</v>
      </c>
      <c r="L415" s="308">
        <v>8</v>
      </c>
      <c r="M415" s="308">
        <v>5</v>
      </c>
      <c r="N415" s="308">
        <v>13</v>
      </c>
      <c r="O415" s="352">
        <v>212</v>
      </c>
      <c r="P415" s="352">
        <v>191</v>
      </c>
      <c r="Q415" s="352">
        <v>403</v>
      </c>
      <c r="R415" s="27"/>
      <c r="S415" s="27"/>
      <c r="T415" s="27"/>
      <c r="U415" s="27"/>
      <c r="V415" s="27"/>
      <c r="W415" s="27"/>
      <c r="X415" s="27"/>
    </row>
    <row r="416" spans="2:24" x14ac:dyDescent="0.25">
      <c r="B416" s="150" t="s">
        <v>510</v>
      </c>
      <c r="C416" s="308">
        <v>108</v>
      </c>
      <c r="D416" s="308">
        <v>156</v>
      </c>
      <c r="E416" s="308">
        <v>264</v>
      </c>
      <c r="F416" s="308">
        <v>366</v>
      </c>
      <c r="G416" s="308">
        <v>241</v>
      </c>
      <c r="H416" s="308">
        <v>607</v>
      </c>
      <c r="I416" s="308">
        <v>76</v>
      </c>
      <c r="J416" s="308">
        <v>26</v>
      </c>
      <c r="K416" s="308">
        <v>102</v>
      </c>
      <c r="L416" s="308">
        <v>26</v>
      </c>
      <c r="M416" s="308">
        <v>15</v>
      </c>
      <c r="N416" s="308">
        <v>41</v>
      </c>
      <c r="O416" s="352">
        <v>576</v>
      </c>
      <c r="P416" s="352">
        <v>438</v>
      </c>
      <c r="Q416" s="352">
        <v>1014</v>
      </c>
      <c r="R416" s="27"/>
      <c r="S416" s="27"/>
      <c r="T416" s="27"/>
      <c r="U416" s="27"/>
      <c r="V416" s="27"/>
      <c r="W416" s="27"/>
      <c r="X416" s="27"/>
    </row>
    <row r="417" spans="2:24" x14ac:dyDescent="0.25">
      <c r="B417" s="150" t="s">
        <v>427</v>
      </c>
      <c r="C417" s="308">
        <v>21</v>
      </c>
      <c r="D417" s="308">
        <v>31</v>
      </c>
      <c r="E417" s="308">
        <v>52</v>
      </c>
      <c r="F417" s="308">
        <v>54</v>
      </c>
      <c r="G417" s="308">
        <v>49</v>
      </c>
      <c r="H417" s="308">
        <v>103</v>
      </c>
      <c r="I417" s="308">
        <v>9</v>
      </c>
      <c r="J417" s="308">
        <v>3</v>
      </c>
      <c r="K417" s="308">
        <v>12</v>
      </c>
      <c r="L417" s="308">
        <v>2</v>
      </c>
      <c r="M417" s="308">
        <v>4</v>
      </c>
      <c r="N417" s="308">
        <v>6</v>
      </c>
      <c r="O417" s="352">
        <v>86</v>
      </c>
      <c r="P417" s="352">
        <v>87</v>
      </c>
      <c r="Q417" s="352">
        <v>173</v>
      </c>
      <c r="R417" s="27"/>
      <c r="S417" s="27"/>
      <c r="T417" s="27"/>
      <c r="U417" s="27"/>
      <c r="V417" s="27"/>
      <c r="W417" s="27"/>
      <c r="X417" s="27"/>
    </row>
    <row r="418" spans="2:24" x14ac:dyDescent="0.25">
      <c r="B418" s="150" t="s">
        <v>428</v>
      </c>
      <c r="C418" s="308">
        <v>50</v>
      </c>
      <c r="D418" s="308">
        <v>73</v>
      </c>
      <c r="E418" s="308">
        <v>123</v>
      </c>
      <c r="F418" s="308">
        <v>441</v>
      </c>
      <c r="G418" s="308">
        <v>212</v>
      </c>
      <c r="H418" s="308">
        <v>653</v>
      </c>
      <c r="I418" s="308">
        <v>7</v>
      </c>
      <c r="J418" s="308">
        <v>4</v>
      </c>
      <c r="K418" s="308">
        <v>11</v>
      </c>
      <c r="L418" s="308">
        <v>1</v>
      </c>
      <c r="M418" s="308">
        <v>1</v>
      </c>
      <c r="N418" s="308">
        <v>2</v>
      </c>
      <c r="O418" s="352">
        <v>499</v>
      </c>
      <c r="P418" s="352">
        <v>290</v>
      </c>
      <c r="Q418" s="352">
        <v>789</v>
      </c>
      <c r="R418" s="27"/>
      <c r="S418" s="27"/>
      <c r="T418" s="27"/>
      <c r="U418" s="27"/>
      <c r="V418" s="27"/>
      <c r="W418" s="27"/>
      <c r="X418" s="27"/>
    </row>
    <row r="419" spans="2:24" x14ac:dyDescent="0.25">
      <c r="B419" s="150" t="s">
        <v>429</v>
      </c>
      <c r="C419" s="308">
        <v>119</v>
      </c>
      <c r="D419" s="308">
        <v>204</v>
      </c>
      <c r="E419" s="308">
        <v>323</v>
      </c>
      <c r="F419" s="308">
        <v>297</v>
      </c>
      <c r="G419" s="308">
        <v>268</v>
      </c>
      <c r="H419" s="308">
        <v>565</v>
      </c>
      <c r="I419" s="308">
        <v>64</v>
      </c>
      <c r="J419" s="308">
        <v>34</v>
      </c>
      <c r="K419" s="308">
        <v>98</v>
      </c>
      <c r="L419" s="308">
        <v>14</v>
      </c>
      <c r="M419" s="308">
        <v>29</v>
      </c>
      <c r="N419" s="308">
        <v>43</v>
      </c>
      <c r="O419" s="352">
        <v>494</v>
      </c>
      <c r="P419" s="352">
        <v>535</v>
      </c>
      <c r="Q419" s="352">
        <v>1029</v>
      </c>
      <c r="R419" s="27"/>
      <c r="S419" s="27"/>
      <c r="T419" s="27"/>
      <c r="U419" s="27"/>
      <c r="V419" s="27"/>
      <c r="W419" s="27"/>
      <c r="X419" s="27"/>
    </row>
    <row r="420" spans="2:24" x14ac:dyDescent="0.25">
      <c r="B420" s="150" t="s">
        <v>430</v>
      </c>
      <c r="C420" s="308">
        <v>300</v>
      </c>
      <c r="D420" s="308">
        <v>481</v>
      </c>
      <c r="E420" s="308">
        <v>781</v>
      </c>
      <c r="F420" s="308">
        <v>867</v>
      </c>
      <c r="G420" s="308">
        <v>709</v>
      </c>
      <c r="H420" s="308">
        <v>1576</v>
      </c>
      <c r="I420" s="308">
        <v>166</v>
      </c>
      <c r="J420" s="308">
        <v>70</v>
      </c>
      <c r="K420" s="308">
        <v>236</v>
      </c>
      <c r="L420" s="308">
        <v>40</v>
      </c>
      <c r="M420" s="308">
        <v>60</v>
      </c>
      <c r="N420" s="308">
        <v>100</v>
      </c>
      <c r="O420" s="352">
        <v>1373</v>
      </c>
      <c r="P420" s="352">
        <v>1320</v>
      </c>
      <c r="Q420" s="352">
        <v>2693</v>
      </c>
      <c r="R420" s="27"/>
      <c r="S420" s="27"/>
      <c r="T420" s="27"/>
      <c r="U420" s="27"/>
      <c r="V420" s="27"/>
      <c r="W420" s="27"/>
      <c r="X420" s="27"/>
    </row>
    <row r="421" spans="2:24" x14ac:dyDescent="0.25">
      <c r="B421" s="150" t="s">
        <v>431</v>
      </c>
      <c r="C421" s="308">
        <v>80</v>
      </c>
      <c r="D421" s="308">
        <v>152</v>
      </c>
      <c r="E421" s="308">
        <v>232</v>
      </c>
      <c r="F421" s="308">
        <v>245</v>
      </c>
      <c r="G421" s="308">
        <v>240</v>
      </c>
      <c r="H421" s="308">
        <v>485</v>
      </c>
      <c r="I421" s="308">
        <v>45</v>
      </c>
      <c r="J421" s="308">
        <v>12</v>
      </c>
      <c r="K421" s="308">
        <v>57</v>
      </c>
      <c r="L421" s="308">
        <v>11</v>
      </c>
      <c r="M421" s="308">
        <v>14</v>
      </c>
      <c r="N421" s="308">
        <v>25</v>
      </c>
      <c r="O421" s="352">
        <v>381</v>
      </c>
      <c r="P421" s="352">
        <v>418</v>
      </c>
      <c r="Q421" s="352">
        <v>799</v>
      </c>
      <c r="R421" s="27"/>
      <c r="S421" s="27"/>
      <c r="T421" s="27"/>
      <c r="U421" s="27"/>
      <c r="V421" s="27"/>
      <c r="W421" s="27"/>
      <c r="X421" s="27"/>
    </row>
    <row r="422" spans="2:24" x14ac:dyDescent="0.25">
      <c r="B422" s="150" t="s">
        <v>432</v>
      </c>
      <c r="C422" s="308">
        <v>81</v>
      </c>
      <c r="D422" s="308">
        <v>116</v>
      </c>
      <c r="E422" s="308">
        <v>197</v>
      </c>
      <c r="F422" s="308">
        <v>185</v>
      </c>
      <c r="G422" s="308">
        <v>154</v>
      </c>
      <c r="H422" s="308">
        <v>339</v>
      </c>
      <c r="I422" s="308">
        <v>30</v>
      </c>
      <c r="J422" s="308">
        <v>11</v>
      </c>
      <c r="K422" s="308">
        <v>41</v>
      </c>
      <c r="L422" s="308">
        <v>5</v>
      </c>
      <c r="M422" s="308">
        <v>11</v>
      </c>
      <c r="N422" s="308">
        <v>16</v>
      </c>
      <c r="O422" s="352">
        <v>301</v>
      </c>
      <c r="P422" s="352">
        <v>292</v>
      </c>
      <c r="Q422" s="352">
        <v>593</v>
      </c>
      <c r="R422" s="27"/>
      <c r="S422" s="27"/>
      <c r="T422" s="27"/>
      <c r="U422" s="27"/>
      <c r="V422" s="27"/>
      <c r="W422" s="27"/>
      <c r="X422" s="27"/>
    </row>
    <row r="423" spans="2:24" x14ac:dyDescent="0.25">
      <c r="B423" s="150" t="s">
        <v>433</v>
      </c>
      <c r="C423" s="308">
        <v>93</v>
      </c>
      <c r="D423" s="308">
        <v>147</v>
      </c>
      <c r="E423" s="308">
        <v>240</v>
      </c>
      <c r="F423" s="308">
        <v>249</v>
      </c>
      <c r="G423" s="308">
        <v>196</v>
      </c>
      <c r="H423" s="308">
        <v>445</v>
      </c>
      <c r="I423" s="308">
        <v>32</v>
      </c>
      <c r="J423" s="308">
        <v>21</v>
      </c>
      <c r="K423" s="308">
        <v>53</v>
      </c>
      <c r="L423" s="308">
        <v>10</v>
      </c>
      <c r="M423" s="308">
        <v>18</v>
      </c>
      <c r="N423" s="308">
        <v>28</v>
      </c>
      <c r="O423" s="352">
        <v>384</v>
      </c>
      <c r="P423" s="352">
        <v>382</v>
      </c>
      <c r="Q423" s="352">
        <v>766</v>
      </c>
      <c r="R423" s="27"/>
      <c r="S423" s="27"/>
      <c r="T423" s="27"/>
      <c r="U423" s="27"/>
      <c r="V423" s="27"/>
      <c r="W423" s="27"/>
      <c r="X423" s="27"/>
    </row>
    <row r="424" spans="2:24" x14ac:dyDescent="0.25">
      <c r="B424" s="150" t="s">
        <v>434</v>
      </c>
      <c r="C424" s="308">
        <v>68</v>
      </c>
      <c r="D424" s="308">
        <v>128</v>
      </c>
      <c r="E424" s="308">
        <v>196</v>
      </c>
      <c r="F424" s="308">
        <v>182</v>
      </c>
      <c r="G424" s="308">
        <v>156</v>
      </c>
      <c r="H424" s="308">
        <v>338</v>
      </c>
      <c r="I424" s="308">
        <v>53</v>
      </c>
      <c r="J424" s="308">
        <v>24</v>
      </c>
      <c r="K424" s="308">
        <v>77</v>
      </c>
      <c r="L424" s="308">
        <v>16</v>
      </c>
      <c r="M424" s="308">
        <v>19</v>
      </c>
      <c r="N424" s="308">
        <v>35</v>
      </c>
      <c r="O424" s="352">
        <v>319</v>
      </c>
      <c r="P424" s="352">
        <v>327</v>
      </c>
      <c r="Q424" s="352">
        <v>646</v>
      </c>
      <c r="R424" s="27"/>
      <c r="S424" s="27"/>
      <c r="T424" s="27"/>
      <c r="U424" s="27"/>
      <c r="V424" s="27"/>
      <c r="W424" s="27"/>
      <c r="X424" s="27"/>
    </row>
    <row r="425" spans="2:24" x14ac:dyDescent="0.25">
      <c r="B425" s="150" t="s">
        <v>435</v>
      </c>
      <c r="C425" s="308">
        <v>152</v>
      </c>
      <c r="D425" s="308">
        <v>240</v>
      </c>
      <c r="E425" s="308">
        <v>392</v>
      </c>
      <c r="F425" s="308">
        <v>394</v>
      </c>
      <c r="G425" s="308">
        <v>344</v>
      </c>
      <c r="H425" s="308">
        <v>738</v>
      </c>
      <c r="I425" s="308">
        <v>108</v>
      </c>
      <c r="J425" s="308">
        <v>43</v>
      </c>
      <c r="K425" s="308">
        <v>151</v>
      </c>
      <c r="L425" s="308">
        <v>31</v>
      </c>
      <c r="M425" s="308">
        <v>28</v>
      </c>
      <c r="N425" s="308">
        <v>59</v>
      </c>
      <c r="O425" s="352">
        <v>685</v>
      </c>
      <c r="P425" s="352">
        <v>655</v>
      </c>
      <c r="Q425" s="352">
        <v>1340</v>
      </c>
      <c r="R425" s="27"/>
      <c r="S425" s="27"/>
      <c r="T425" s="27"/>
      <c r="U425" s="27"/>
      <c r="V425" s="27"/>
      <c r="W425" s="27"/>
      <c r="X425" s="27"/>
    </row>
    <row r="426" spans="2:24" x14ac:dyDescent="0.25">
      <c r="B426" s="150" t="s">
        <v>436</v>
      </c>
      <c r="C426" s="308">
        <v>62</v>
      </c>
      <c r="D426" s="308">
        <v>98</v>
      </c>
      <c r="E426" s="308">
        <v>160</v>
      </c>
      <c r="F426" s="308">
        <v>195</v>
      </c>
      <c r="G426" s="308">
        <v>127</v>
      </c>
      <c r="H426" s="308">
        <v>322</v>
      </c>
      <c r="I426" s="308">
        <v>35</v>
      </c>
      <c r="J426" s="308">
        <v>12</v>
      </c>
      <c r="K426" s="308">
        <v>47</v>
      </c>
      <c r="L426" s="308">
        <v>14</v>
      </c>
      <c r="M426" s="308">
        <v>18</v>
      </c>
      <c r="N426" s="308">
        <v>32</v>
      </c>
      <c r="O426" s="352">
        <v>306</v>
      </c>
      <c r="P426" s="352">
        <v>255</v>
      </c>
      <c r="Q426" s="352">
        <v>561</v>
      </c>
      <c r="R426" s="27"/>
      <c r="S426" s="27"/>
      <c r="T426" s="27"/>
      <c r="U426" s="27"/>
      <c r="V426" s="27"/>
      <c r="W426" s="27"/>
      <c r="X426" s="27"/>
    </row>
    <row r="427" spans="2:24" x14ac:dyDescent="0.25">
      <c r="B427" s="150" t="s">
        <v>437</v>
      </c>
      <c r="C427" s="308">
        <v>15</v>
      </c>
      <c r="D427" s="308">
        <v>17</v>
      </c>
      <c r="E427" s="308">
        <v>32</v>
      </c>
      <c r="F427" s="308">
        <v>26</v>
      </c>
      <c r="G427" s="308">
        <v>29</v>
      </c>
      <c r="H427" s="308">
        <v>55</v>
      </c>
      <c r="I427" s="308">
        <v>6</v>
      </c>
      <c r="J427" s="308">
        <v>2</v>
      </c>
      <c r="K427" s="308">
        <v>8</v>
      </c>
      <c r="L427" s="308">
        <v>2</v>
      </c>
      <c r="M427" s="308">
        <v>1</v>
      </c>
      <c r="N427" s="308">
        <v>3</v>
      </c>
      <c r="O427" s="352">
        <v>49</v>
      </c>
      <c r="P427" s="352">
        <v>49</v>
      </c>
      <c r="Q427" s="352">
        <v>98</v>
      </c>
      <c r="R427" s="27"/>
      <c r="S427" s="27"/>
      <c r="T427" s="27"/>
      <c r="U427" s="27"/>
      <c r="V427" s="27"/>
      <c r="W427" s="27"/>
      <c r="X427" s="27"/>
    </row>
    <row r="428" spans="2:24" x14ac:dyDescent="0.25">
      <c r="B428" s="150" t="s">
        <v>438</v>
      </c>
      <c r="C428" s="308">
        <v>117</v>
      </c>
      <c r="D428" s="308">
        <v>91</v>
      </c>
      <c r="E428" s="308">
        <v>208</v>
      </c>
      <c r="F428" s="308">
        <v>243</v>
      </c>
      <c r="G428" s="308">
        <v>181</v>
      </c>
      <c r="H428" s="308">
        <v>424</v>
      </c>
      <c r="I428" s="308">
        <v>15</v>
      </c>
      <c r="J428" s="308">
        <v>11</v>
      </c>
      <c r="K428" s="308">
        <v>26</v>
      </c>
      <c r="L428" s="308">
        <v>9</v>
      </c>
      <c r="M428" s="308">
        <v>11</v>
      </c>
      <c r="N428" s="308">
        <v>20</v>
      </c>
      <c r="O428" s="352">
        <v>384</v>
      </c>
      <c r="P428" s="352">
        <v>294</v>
      </c>
      <c r="Q428" s="352">
        <v>678</v>
      </c>
      <c r="R428" s="27"/>
      <c r="S428" s="27"/>
      <c r="T428" s="27"/>
      <c r="U428" s="27"/>
      <c r="V428" s="27"/>
      <c r="W428" s="27"/>
      <c r="X428" s="27"/>
    </row>
    <row r="429" spans="2:24" x14ac:dyDescent="0.25">
      <c r="B429" s="150" t="s">
        <v>439</v>
      </c>
      <c r="C429" s="308">
        <v>10</v>
      </c>
      <c r="D429" s="308">
        <v>10</v>
      </c>
      <c r="E429" s="308">
        <v>20</v>
      </c>
      <c r="F429" s="308">
        <v>4</v>
      </c>
      <c r="G429" s="308">
        <v>11</v>
      </c>
      <c r="H429" s="308">
        <v>15</v>
      </c>
      <c r="I429" s="308">
        <v>5</v>
      </c>
      <c r="J429" s="308">
        <v>2</v>
      </c>
      <c r="K429" s="308">
        <v>7</v>
      </c>
      <c r="L429" s="308">
        <v>1</v>
      </c>
      <c r="M429" s="308"/>
      <c r="N429" s="308">
        <v>1</v>
      </c>
      <c r="O429" s="352">
        <v>20</v>
      </c>
      <c r="P429" s="352">
        <v>23</v>
      </c>
      <c r="Q429" s="352">
        <v>43</v>
      </c>
      <c r="R429" s="27"/>
      <c r="S429" s="27"/>
      <c r="T429" s="27"/>
      <c r="U429" s="27"/>
      <c r="V429" s="27"/>
      <c r="W429" s="27"/>
      <c r="X429" s="27"/>
    </row>
    <row r="430" spans="2:24" x14ac:dyDescent="0.25">
      <c r="B430" s="150" t="s">
        <v>440</v>
      </c>
      <c r="C430" s="308">
        <v>42</v>
      </c>
      <c r="D430" s="308">
        <v>74</v>
      </c>
      <c r="E430" s="308">
        <v>116</v>
      </c>
      <c r="F430" s="308">
        <v>101</v>
      </c>
      <c r="G430" s="308">
        <v>105</v>
      </c>
      <c r="H430" s="308">
        <v>206</v>
      </c>
      <c r="I430" s="308">
        <v>23</v>
      </c>
      <c r="J430" s="308">
        <v>12</v>
      </c>
      <c r="K430" s="308">
        <v>35</v>
      </c>
      <c r="L430" s="308">
        <v>11</v>
      </c>
      <c r="M430" s="308">
        <v>11</v>
      </c>
      <c r="N430" s="308">
        <v>22</v>
      </c>
      <c r="O430" s="352">
        <v>177</v>
      </c>
      <c r="P430" s="352">
        <v>202</v>
      </c>
      <c r="Q430" s="352">
        <v>379</v>
      </c>
      <c r="R430" s="27"/>
      <c r="S430" s="27"/>
      <c r="T430" s="27"/>
      <c r="U430" s="27"/>
      <c r="V430" s="27"/>
      <c r="W430" s="27"/>
      <c r="X430" s="27"/>
    </row>
    <row r="431" spans="2:24" x14ac:dyDescent="0.25">
      <c r="B431" s="150" t="s">
        <v>441</v>
      </c>
      <c r="C431" s="308">
        <v>396</v>
      </c>
      <c r="D431" s="308">
        <v>391</v>
      </c>
      <c r="E431" s="308">
        <v>787</v>
      </c>
      <c r="F431" s="308">
        <v>690</v>
      </c>
      <c r="G431" s="308">
        <v>514</v>
      </c>
      <c r="H431" s="308">
        <v>1204</v>
      </c>
      <c r="I431" s="308">
        <v>34</v>
      </c>
      <c r="J431" s="308">
        <v>37</v>
      </c>
      <c r="K431" s="308">
        <v>71</v>
      </c>
      <c r="L431" s="308">
        <v>23</v>
      </c>
      <c r="M431" s="308">
        <v>27</v>
      </c>
      <c r="N431" s="308">
        <v>50</v>
      </c>
      <c r="O431" s="352">
        <v>1143</v>
      </c>
      <c r="P431" s="352">
        <v>969</v>
      </c>
      <c r="Q431" s="352">
        <v>2112</v>
      </c>
      <c r="R431" s="27"/>
      <c r="S431" s="27"/>
      <c r="T431" s="27"/>
      <c r="U431" s="27"/>
      <c r="V431" s="27"/>
      <c r="W431" s="27"/>
      <c r="X431" s="27"/>
    </row>
    <row r="432" spans="2:24" x14ac:dyDescent="0.25">
      <c r="B432" s="150" t="s">
        <v>442</v>
      </c>
      <c r="C432" s="308">
        <v>38</v>
      </c>
      <c r="D432" s="308">
        <v>70</v>
      </c>
      <c r="E432" s="308">
        <v>108</v>
      </c>
      <c r="F432" s="308">
        <v>125</v>
      </c>
      <c r="G432" s="308">
        <v>77</v>
      </c>
      <c r="H432" s="308">
        <v>202</v>
      </c>
      <c r="I432" s="308">
        <v>21</v>
      </c>
      <c r="J432" s="308">
        <v>8</v>
      </c>
      <c r="K432" s="308">
        <v>29</v>
      </c>
      <c r="L432" s="308">
        <v>4</v>
      </c>
      <c r="M432" s="308">
        <v>9</v>
      </c>
      <c r="N432" s="308">
        <v>13</v>
      </c>
      <c r="O432" s="352">
        <v>188</v>
      </c>
      <c r="P432" s="352">
        <v>164</v>
      </c>
      <c r="Q432" s="352">
        <v>352</v>
      </c>
      <c r="R432" s="27"/>
      <c r="S432" s="27"/>
      <c r="T432" s="27"/>
      <c r="U432" s="27"/>
      <c r="V432" s="27"/>
      <c r="W432" s="27"/>
      <c r="X432" s="27"/>
    </row>
    <row r="433" spans="2:24" x14ac:dyDescent="0.25">
      <c r="B433" s="150" t="s">
        <v>443</v>
      </c>
      <c r="C433" s="308">
        <v>11</v>
      </c>
      <c r="D433" s="308">
        <v>21</v>
      </c>
      <c r="E433" s="308">
        <v>32</v>
      </c>
      <c r="F433" s="308">
        <v>28</v>
      </c>
      <c r="G433" s="308">
        <v>32</v>
      </c>
      <c r="H433" s="308">
        <v>60</v>
      </c>
      <c r="I433" s="308">
        <v>5</v>
      </c>
      <c r="J433" s="308"/>
      <c r="K433" s="308">
        <v>5</v>
      </c>
      <c r="L433" s="308">
        <v>2</v>
      </c>
      <c r="M433" s="308">
        <v>1</v>
      </c>
      <c r="N433" s="308">
        <v>3</v>
      </c>
      <c r="O433" s="352">
        <v>46</v>
      </c>
      <c r="P433" s="352">
        <v>54</v>
      </c>
      <c r="Q433" s="352">
        <v>100</v>
      </c>
      <c r="R433" s="27"/>
      <c r="S433" s="27"/>
      <c r="T433" s="27"/>
      <c r="U433" s="27"/>
      <c r="V433" s="27"/>
      <c r="W433" s="27"/>
      <c r="X433" s="27"/>
    </row>
    <row r="434" spans="2:24" x14ac:dyDescent="0.25">
      <c r="B434" s="150" t="s">
        <v>444</v>
      </c>
      <c r="C434" s="308">
        <v>35</v>
      </c>
      <c r="D434" s="308">
        <v>19</v>
      </c>
      <c r="E434" s="308">
        <v>54</v>
      </c>
      <c r="F434" s="308">
        <v>245</v>
      </c>
      <c r="G434" s="308">
        <v>106</v>
      </c>
      <c r="H434" s="308">
        <v>351</v>
      </c>
      <c r="I434" s="308">
        <v>2</v>
      </c>
      <c r="J434" s="308">
        <v>2</v>
      </c>
      <c r="K434" s="308">
        <v>4</v>
      </c>
      <c r="L434" s="308"/>
      <c r="M434" s="308"/>
      <c r="N434" s="308"/>
      <c r="O434" s="352">
        <v>282</v>
      </c>
      <c r="P434" s="352">
        <v>127</v>
      </c>
      <c r="Q434" s="352">
        <v>409</v>
      </c>
      <c r="R434" s="27"/>
      <c r="S434" s="27"/>
      <c r="T434" s="27"/>
      <c r="U434" s="27"/>
      <c r="V434" s="27"/>
      <c r="W434" s="27"/>
      <c r="X434" s="27"/>
    </row>
    <row r="435" spans="2:24" x14ac:dyDescent="0.25">
      <c r="B435" s="150" t="s">
        <v>511</v>
      </c>
      <c r="C435" s="308">
        <v>131</v>
      </c>
      <c r="D435" s="308">
        <v>136</v>
      </c>
      <c r="E435" s="308">
        <v>267</v>
      </c>
      <c r="F435" s="308">
        <v>695</v>
      </c>
      <c r="G435" s="308">
        <v>326</v>
      </c>
      <c r="H435" s="308">
        <v>1021</v>
      </c>
      <c r="I435" s="308">
        <v>31</v>
      </c>
      <c r="J435" s="308">
        <v>14</v>
      </c>
      <c r="K435" s="308">
        <v>45</v>
      </c>
      <c r="L435" s="308">
        <v>10</v>
      </c>
      <c r="M435" s="308">
        <v>6</v>
      </c>
      <c r="N435" s="308">
        <v>16</v>
      </c>
      <c r="O435" s="352">
        <v>867</v>
      </c>
      <c r="P435" s="352">
        <v>482</v>
      </c>
      <c r="Q435" s="352">
        <v>1349</v>
      </c>
      <c r="R435" s="27"/>
      <c r="S435" s="27"/>
      <c r="T435" s="27"/>
      <c r="U435" s="27"/>
      <c r="V435" s="27"/>
      <c r="W435" s="27"/>
      <c r="X435" s="27"/>
    </row>
    <row r="436" spans="2:24" x14ac:dyDescent="0.25">
      <c r="B436" s="263" t="s">
        <v>35</v>
      </c>
      <c r="C436" s="306">
        <v>4142</v>
      </c>
      <c r="D436" s="306">
        <v>5805</v>
      </c>
      <c r="E436" s="306">
        <v>9947</v>
      </c>
      <c r="F436" s="306">
        <v>12634</v>
      </c>
      <c r="G436" s="306">
        <v>9271</v>
      </c>
      <c r="H436" s="296">
        <v>21905</v>
      </c>
      <c r="I436" s="306">
        <v>1763</v>
      </c>
      <c r="J436" s="296">
        <v>797</v>
      </c>
      <c r="K436" s="306">
        <v>2560</v>
      </c>
      <c r="L436" s="296">
        <v>503</v>
      </c>
      <c r="M436" s="306">
        <v>650</v>
      </c>
      <c r="N436" s="296">
        <v>1153</v>
      </c>
      <c r="O436" s="352">
        <v>19042</v>
      </c>
      <c r="P436" s="352">
        <v>16523</v>
      </c>
      <c r="Q436" s="352">
        <v>35565</v>
      </c>
      <c r="R436" s="27"/>
      <c r="S436" s="27"/>
      <c r="T436" s="27"/>
      <c r="U436" s="27"/>
      <c r="V436" s="27"/>
      <c r="W436" s="27"/>
      <c r="X436" s="27"/>
    </row>
    <row r="437" spans="2:24" ht="114" customHeight="1" x14ac:dyDescent="0.25">
      <c r="B437" s="489" t="s">
        <v>928</v>
      </c>
      <c r="C437" s="489"/>
      <c r="D437" s="489"/>
      <c r="E437" s="489"/>
      <c r="F437" s="489"/>
      <c r="G437" s="489"/>
      <c r="H437" s="489"/>
      <c r="I437" s="489"/>
      <c r="J437" s="489"/>
      <c r="K437" s="489"/>
      <c r="L437" s="489"/>
      <c r="M437" s="489"/>
      <c r="N437" s="489"/>
      <c r="O437" s="489"/>
      <c r="P437" s="489"/>
      <c r="Q437" s="489"/>
      <c r="R437" s="27"/>
      <c r="S437" s="27"/>
      <c r="T437" s="27"/>
      <c r="U437" s="27"/>
      <c r="V437" s="27"/>
      <c r="W437" s="27"/>
    </row>
    <row r="438" spans="2:24" x14ac:dyDescent="0.25">
      <c r="B438" s="172"/>
      <c r="C438" s="172"/>
      <c r="D438" s="172"/>
      <c r="E438" s="172"/>
      <c r="F438" s="172"/>
      <c r="G438"/>
      <c r="H438" s="27"/>
      <c r="I438" s="27"/>
      <c r="J438" s="27"/>
      <c r="K438" s="27"/>
      <c r="L438" s="27"/>
      <c r="M438" s="27"/>
      <c r="N438" s="27"/>
      <c r="O438" s="27"/>
      <c r="P438" s="27"/>
      <c r="Q438" s="27"/>
      <c r="R438" s="27"/>
      <c r="S438" s="27"/>
      <c r="T438" s="27"/>
      <c r="U438" s="27"/>
      <c r="V438" s="27"/>
      <c r="W438" s="27"/>
    </row>
    <row r="439" spans="2:24" x14ac:dyDescent="0.25">
      <c r="B439" s="201" t="s">
        <v>530</v>
      </c>
      <c r="C439"/>
      <c r="D439"/>
      <c r="E439"/>
      <c r="F439"/>
      <c r="G439"/>
      <c r="H439" s="27"/>
      <c r="I439" s="27"/>
      <c r="J439" s="27"/>
      <c r="K439" s="27"/>
      <c r="L439" s="27"/>
      <c r="M439" s="27"/>
      <c r="N439" s="27"/>
      <c r="O439" s="27"/>
      <c r="P439" s="27"/>
      <c r="Q439" s="27"/>
      <c r="R439" s="27"/>
      <c r="S439" s="27"/>
      <c r="T439" s="27"/>
      <c r="U439" s="27"/>
      <c r="V439" s="27"/>
      <c r="W439" s="27"/>
    </row>
    <row r="440" spans="2:24" x14ac:dyDescent="0.25">
      <c r="B440" s="201"/>
      <c r="C440"/>
      <c r="D440"/>
      <c r="E440"/>
      <c r="F440"/>
      <c r="G440"/>
      <c r="H440" s="27"/>
      <c r="I440" s="27"/>
      <c r="J440" s="27"/>
      <c r="K440" s="27"/>
      <c r="L440" s="27"/>
      <c r="M440" s="27"/>
      <c r="N440" s="27"/>
      <c r="O440" s="27"/>
      <c r="P440" s="27"/>
      <c r="Q440" s="27"/>
      <c r="R440" s="27"/>
      <c r="S440" s="27"/>
      <c r="T440" s="27"/>
      <c r="U440" s="27"/>
      <c r="V440" s="27"/>
      <c r="W440" s="27"/>
    </row>
    <row r="441" spans="2:24" ht="15" customHeight="1" x14ac:dyDescent="0.25">
      <c r="B441" s="490" t="s">
        <v>544</v>
      </c>
      <c r="C441" s="479" t="s">
        <v>488</v>
      </c>
      <c r="D441" s="479"/>
      <c r="E441" s="479"/>
      <c r="F441" s="479"/>
      <c r="G441" s="479"/>
      <c r="H441" s="479"/>
      <c r="I441" s="479"/>
      <c r="J441" s="479"/>
      <c r="K441" s="479"/>
      <c r="L441" s="479"/>
      <c r="M441" s="479"/>
      <c r="N441" s="479"/>
      <c r="O441" s="483" t="s">
        <v>746</v>
      </c>
      <c r="P441" s="484"/>
      <c r="Q441" s="485"/>
      <c r="R441" s="27"/>
      <c r="S441" s="27"/>
      <c r="T441" s="27"/>
      <c r="U441" s="27"/>
      <c r="V441" s="27"/>
      <c r="W441" s="27"/>
    </row>
    <row r="442" spans="2:24" ht="15" customHeight="1" x14ac:dyDescent="0.25">
      <c r="B442" s="490"/>
      <c r="C442" s="479" t="s">
        <v>707</v>
      </c>
      <c r="D442" s="479"/>
      <c r="E442" s="479"/>
      <c r="F442" s="479" t="s">
        <v>497</v>
      </c>
      <c r="G442" s="479"/>
      <c r="H442" s="479"/>
      <c r="I442" s="479" t="s">
        <v>4</v>
      </c>
      <c r="J442" s="479"/>
      <c r="K442" s="479"/>
      <c r="L442" s="479" t="s">
        <v>6</v>
      </c>
      <c r="M442" s="479"/>
      <c r="N442" s="479"/>
      <c r="O442" s="486"/>
      <c r="P442" s="487"/>
      <c r="Q442" s="488"/>
      <c r="R442" s="27"/>
      <c r="S442" s="27"/>
      <c r="T442" s="27"/>
      <c r="U442" s="27"/>
      <c r="V442" s="27"/>
      <c r="W442" s="27"/>
    </row>
    <row r="443" spans="2:24" x14ac:dyDescent="0.25">
      <c r="B443" s="490"/>
      <c r="C443" s="175" t="s">
        <v>83</v>
      </c>
      <c r="D443" s="175" t="s">
        <v>84</v>
      </c>
      <c r="E443" s="175" t="s">
        <v>35</v>
      </c>
      <c r="F443" s="175" t="s">
        <v>83</v>
      </c>
      <c r="G443" s="175" t="s">
        <v>84</v>
      </c>
      <c r="H443" s="175" t="s">
        <v>35</v>
      </c>
      <c r="I443" s="175" t="s">
        <v>83</v>
      </c>
      <c r="J443" s="175" t="s">
        <v>84</v>
      </c>
      <c r="K443" s="175" t="s">
        <v>35</v>
      </c>
      <c r="L443" s="175" t="s">
        <v>83</v>
      </c>
      <c r="M443" s="175" t="s">
        <v>84</v>
      </c>
      <c r="N443" s="175" t="s">
        <v>35</v>
      </c>
      <c r="O443" s="262" t="s">
        <v>83</v>
      </c>
      <c r="P443" s="262" t="s">
        <v>84</v>
      </c>
      <c r="Q443" s="262" t="s">
        <v>35</v>
      </c>
      <c r="R443" s="27"/>
      <c r="S443" s="27"/>
      <c r="T443" s="27"/>
      <c r="U443" s="27"/>
      <c r="V443" s="27"/>
      <c r="W443" s="27"/>
    </row>
    <row r="444" spans="2:24" x14ac:dyDescent="0.25">
      <c r="B444" s="171" t="s">
        <v>446</v>
      </c>
      <c r="C444" s="311">
        <v>2</v>
      </c>
      <c r="D444" s="311">
        <v>4</v>
      </c>
      <c r="E444" s="311">
        <v>6</v>
      </c>
      <c r="F444" s="311">
        <v>11</v>
      </c>
      <c r="G444" s="311">
        <v>6</v>
      </c>
      <c r="H444" s="311">
        <v>17</v>
      </c>
      <c r="I444" s="311">
        <v>2</v>
      </c>
      <c r="J444" s="311"/>
      <c r="K444" s="311">
        <v>2</v>
      </c>
      <c r="L444" s="311"/>
      <c r="M444" s="311"/>
      <c r="N444" s="311"/>
      <c r="O444" s="352">
        <v>15</v>
      </c>
      <c r="P444" s="352">
        <v>10</v>
      </c>
      <c r="Q444" s="352">
        <v>25</v>
      </c>
      <c r="R444" s="27"/>
      <c r="S444" s="27"/>
      <c r="T444" s="27"/>
      <c r="U444" s="27"/>
      <c r="V444" s="27"/>
      <c r="W444" s="27"/>
      <c r="X444" s="27"/>
    </row>
    <row r="445" spans="2:24" x14ac:dyDescent="0.25">
      <c r="B445" s="150" t="s">
        <v>447</v>
      </c>
      <c r="C445" s="311">
        <v>11</v>
      </c>
      <c r="D445" s="311">
        <v>15</v>
      </c>
      <c r="E445" s="311">
        <v>26</v>
      </c>
      <c r="F445" s="311">
        <v>24</v>
      </c>
      <c r="G445" s="311">
        <v>16</v>
      </c>
      <c r="H445" s="311">
        <v>40</v>
      </c>
      <c r="I445" s="311">
        <v>7</v>
      </c>
      <c r="J445" s="311">
        <v>2</v>
      </c>
      <c r="K445" s="311">
        <v>9</v>
      </c>
      <c r="L445" s="311">
        <v>1</v>
      </c>
      <c r="M445" s="311">
        <v>3</v>
      </c>
      <c r="N445" s="311">
        <v>4</v>
      </c>
      <c r="O445" s="352">
        <v>43</v>
      </c>
      <c r="P445" s="352">
        <v>36</v>
      </c>
      <c r="Q445" s="352">
        <v>79</v>
      </c>
      <c r="R445" s="27"/>
      <c r="S445" s="27"/>
      <c r="T445" s="27"/>
      <c r="U445" s="27"/>
      <c r="V445" s="27"/>
      <c r="W445" s="27"/>
      <c r="X445" s="27"/>
    </row>
    <row r="446" spans="2:24" x14ac:dyDescent="0.25">
      <c r="B446" s="150" t="s">
        <v>448</v>
      </c>
      <c r="C446" s="311">
        <v>24</v>
      </c>
      <c r="D446" s="311">
        <v>36</v>
      </c>
      <c r="E446" s="311">
        <v>60</v>
      </c>
      <c r="F446" s="311">
        <v>59</v>
      </c>
      <c r="G446" s="311">
        <v>59</v>
      </c>
      <c r="H446" s="311">
        <v>118</v>
      </c>
      <c r="I446" s="311">
        <v>25</v>
      </c>
      <c r="J446" s="311">
        <v>6</v>
      </c>
      <c r="K446" s="311">
        <v>31</v>
      </c>
      <c r="L446" s="311">
        <v>5</v>
      </c>
      <c r="M446" s="311">
        <v>16</v>
      </c>
      <c r="N446" s="311">
        <v>21</v>
      </c>
      <c r="O446" s="352">
        <v>113</v>
      </c>
      <c r="P446" s="352">
        <v>117</v>
      </c>
      <c r="Q446" s="352">
        <v>230</v>
      </c>
      <c r="R446" s="27"/>
      <c r="S446" s="27"/>
      <c r="T446" s="27"/>
      <c r="U446" s="27"/>
      <c r="V446" s="27"/>
      <c r="W446" s="27"/>
      <c r="X446" s="27"/>
    </row>
    <row r="447" spans="2:24" x14ac:dyDescent="0.25">
      <c r="B447" s="150" t="s">
        <v>449</v>
      </c>
      <c r="C447" s="311">
        <v>9</v>
      </c>
      <c r="D447" s="311">
        <v>13</v>
      </c>
      <c r="E447" s="311">
        <v>22</v>
      </c>
      <c r="F447" s="311">
        <v>14</v>
      </c>
      <c r="G447" s="311">
        <v>10</v>
      </c>
      <c r="H447" s="311">
        <v>24</v>
      </c>
      <c r="I447" s="311">
        <v>7</v>
      </c>
      <c r="J447" s="311">
        <v>7</v>
      </c>
      <c r="K447" s="311">
        <v>14</v>
      </c>
      <c r="L447" s="311">
        <v>1</v>
      </c>
      <c r="M447" s="311">
        <v>5</v>
      </c>
      <c r="N447" s="311">
        <v>6</v>
      </c>
      <c r="O447" s="352">
        <v>31</v>
      </c>
      <c r="P447" s="352">
        <v>35</v>
      </c>
      <c r="Q447" s="352">
        <v>66</v>
      </c>
      <c r="R447" s="27"/>
      <c r="S447" s="27"/>
      <c r="T447" s="27"/>
      <c r="U447" s="27"/>
      <c r="V447" s="27"/>
      <c r="W447" s="27"/>
      <c r="X447" s="27"/>
    </row>
    <row r="448" spans="2:24" x14ac:dyDescent="0.25">
      <c r="B448" s="150" t="s">
        <v>450</v>
      </c>
      <c r="C448" s="311">
        <v>15</v>
      </c>
      <c r="D448" s="311">
        <v>16</v>
      </c>
      <c r="E448" s="311">
        <v>31</v>
      </c>
      <c r="F448" s="311">
        <v>21</v>
      </c>
      <c r="G448" s="311">
        <v>22</v>
      </c>
      <c r="H448" s="311">
        <v>43</v>
      </c>
      <c r="I448" s="311">
        <v>5</v>
      </c>
      <c r="J448" s="311">
        <v>2</v>
      </c>
      <c r="K448" s="311">
        <v>7</v>
      </c>
      <c r="L448" s="311">
        <v>2</v>
      </c>
      <c r="M448" s="311">
        <v>2</v>
      </c>
      <c r="N448" s="311">
        <v>4</v>
      </c>
      <c r="O448" s="352">
        <v>43</v>
      </c>
      <c r="P448" s="352">
        <v>42</v>
      </c>
      <c r="Q448" s="352">
        <v>85</v>
      </c>
      <c r="R448" s="27"/>
      <c r="S448" s="27"/>
      <c r="T448" s="27"/>
      <c r="U448" s="27"/>
      <c r="V448" s="27"/>
      <c r="W448" s="27"/>
      <c r="X448" s="27"/>
    </row>
    <row r="449" spans="2:24" x14ac:dyDescent="0.25">
      <c r="B449" s="150" t="s">
        <v>451</v>
      </c>
      <c r="C449" s="311">
        <v>17</v>
      </c>
      <c r="D449" s="311">
        <v>18</v>
      </c>
      <c r="E449" s="311">
        <v>35</v>
      </c>
      <c r="F449" s="311">
        <v>24</v>
      </c>
      <c r="G449" s="311">
        <v>22</v>
      </c>
      <c r="H449" s="311">
        <v>46</v>
      </c>
      <c r="I449" s="311">
        <v>8</v>
      </c>
      <c r="J449" s="311">
        <v>3</v>
      </c>
      <c r="K449" s="311">
        <v>11</v>
      </c>
      <c r="L449" s="311">
        <v>1</v>
      </c>
      <c r="M449" s="311">
        <v>5</v>
      </c>
      <c r="N449" s="311">
        <v>6</v>
      </c>
      <c r="O449" s="352">
        <v>50</v>
      </c>
      <c r="P449" s="352">
        <v>48</v>
      </c>
      <c r="Q449" s="352">
        <v>98</v>
      </c>
      <c r="R449" s="27"/>
      <c r="S449" s="27"/>
      <c r="T449" s="27"/>
      <c r="U449" s="27"/>
      <c r="V449" s="27"/>
      <c r="W449" s="27"/>
      <c r="X449" s="27"/>
    </row>
    <row r="450" spans="2:24" x14ac:dyDescent="0.25">
      <c r="B450" s="150" t="s">
        <v>452</v>
      </c>
      <c r="C450" s="311">
        <v>5</v>
      </c>
      <c r="D450" s="311">
        <v>8</v>
      </c>
      <c r="E450" s="311">
        <v>13</v>
      </c>
      <c r="F450" s="311">
        <v>8</v>
      </c>
      <c r="G450" s="311">
        <v>14</v>
      </c>
      <c r="H450" s="311">
        <v>22</v>
      </c>
      <c r="I450" s="311">
        <v>2</v>
      </c>
      <c r="J450" s="311">
        <v>1</v>
      </c>
      <c r="K450" s="311">
        <v>3</v>
      </c>
      <c r="L450" s="311">
        <v>1</v>
      </c>
      <c r="M450" s="311">
        <v>5</v>
      </c>
      <c r="N450" s="311">
        <v>6</v>
      </c>
      <c r="O450" s="352">
        <v>16</v>
      </c>
      <c r="P450" s="352">
        <v>28</v>
      </c>
      <c r="Q450" s="352">
        <v>44</v>
      </c>
      <c r="R450" s="27"/>
      <c r="S450" s="27"/>
      <c r="T450" s="27"/>
      <c r="U450" s="27"/>
      <c r="V450" s="27"/>
      <c r="W450" s="27"/>
      <c r="X450" s="27"/>
    </row>
    <row r="451" spans="2:24" x14ac:dyDescent="0.25">
      <c r="B451" s="150" t="s">
        <v>453</v>
      </c>
      <c r="C451" s="311">
        <v>18</v>
      </c>
      <c r="D451" s="311">
        <v>35</v>
      </c>
      <c r="E451" s="311">
        <v>53</v>
      </c>
      <c r="F451" s="311">
        <v>34</v>
      </c>
      <c r="G451" s="311">
        <v>30</v>
      </c>
      <c r="H451" s="311">
        <v>64</v>
      </c>
      <c r="I451" s="311">
        <v>11</v>
      </c>
      <c r="J451" s="311">
        <v>4</v>
      </c>
      <c r="K451" s="311">
        <v>15</v>
      </c>
      <c r="L451" s="311">
        <v>7</v>
      </c>
      <c r="M451" s="311">
        <v>6</v>
      </c>
      <c r="N451" s="311">
        <v>13</v>
      </c>
      <c r="O451" s="352">
        <v>70</v>
      </c>
      <c r="P451" s="352">
        <v>75</v>
      </c>
      <c r="Q451" s="352">
        <v>145</v>
      </c>
      <c r="R451" s="27"/>
      <c r="S451" s="27"/>
      <c r="T451" s="27"/>
      <c r="U451" s="27"/>
      <c r="V451" s="27"/>
      <c r="W451" s="27"/>
      <c r="X451" s="27"/>
    </row>
    <row r="452" spans="2:24" x14ac:dyDescent="0.25">
      <c r="B452" s="150" t="s">
        <v>454</v>
      </c>
      <c r="C452" s="311">
        <v>46</v>
      </c>
      <c r="D452" s="311">
        <v>53</v>
      </c>
      <c r="E452" s="311">
        <v>99</v>
      </c>
      <c r="F452" s="311">
        <v>57</v>
      </c>
      <c r="G452" s="311">
        <v>53</v>
      </c>
      <c r="H452" s="311">
        <v>110</v>
      </c>
      <c r="I452" s="311">
        <v>20</v>
      </c>
      <c r="J452" s="311">
        <v>8</v>
      </c>
      <c r="K452" s="311">
        <v>28</v>
      </c>
      <c r="L452" s="311">
        <v>2</v>
      </c>
      <c r="M452" s="311">
        <v>10</v>
      </c>
      <c r="N452" s="311">
        <v>12</v>
      </c>
      <c r="O452" s="352">
        <v>125</v>
      </c>
      <c r="P452" s="352">
        <v>124</v>
      </c>
      <c r="Q452" s="352">
        <v>249</v>
      </c>
      <c r="R452" s="27"/>
      <c r="S452" s="27"/>
      <c r="T452" s="27"/>
      <c r="U452" s="27"/>
      <c r="V452" s="27"/>
      <c r="W452" s="27"/>
      <c r="X452" s="27"/>
    </row>
    <row r="453" spans="2:24" x14ac:dyDescent="0.25">
      <c r="B453" s="150" t="s">
        <v>455</v>
      </c>
      <c r="C453" s="311">
        <v>20</v>
      </c>
      <c r="D453" s="311">
        <v>44</v>
      </c>
      <c r="E453" s="311">
        <v>64</v>
      </c>
      <c r="F453" s="311">
        <v>57</v>
      </c>
      <c r="G453" s="311">
        <v>40</v>
      </c>
      <c r="H453" s="311">
        <v>97</v>
      </c>
      <c r="I453" s="311">
        <v>26</v>
      </c>
      <c r="J453" s="311">
        <v>2</v>
      </c>
      <c r="K453" s="311">
        <v>28</v>
      </c>
      <c r="L453" s="311">
        <v>3</v>
      </c>
      <c r="M453" s="311">
        <v>5</v>
      </c>
      <c r="N453" s="311">
        <v>8</v>
      </c>
      <c r="O453" s="352">
        <v>106</v>
      </c>
      <c r="P453" s="352">
        <v>91</v>
      </c>
      <c r="Q453" s="352">
        <v>197</v>
      </c>
      <c r="R453" s="27"/>
      <c r="S453" s="27"/>
      <c r="T453" s="27"/>
      <c r="U453" s="27"/>
      <c r="V453" s="27"/>
      <c r="W453" s="27"/>
      <c r="X453" s="27"/>
    </row>
    <row r="454" spans="2:24" x14ac:dyDescent="0.25">
      <c r="B454" s="150" t="s">
        <v>893</v>
      </c>
      <c r="C454" s="311">
        <v>13</v>
      </c>
      <c r="D454" s="311">
        <v>17</v>
      </c>
      <c r="E454" s="311">
        <v>30</v>
      </c>
      <c r="F454" s="311">
        <v>28</v>
      </c>
      <c r="G454" s="311">
        <v>26</v>
      </c>
      <c r="H454" s="311">
        <v>54</v>
      </c>
      <c r="I454" s="311">
        <v>11</v>
      </c>
      <c r="J454" s="311">
        <v>3</v>
      </c>
      <c r="K454" s="311">
        <v>14</v>
      </c>
      <c r="L454" s="311">
        <v>4</v>
      </c>
      <c r="M454" s="311">
        <v>7</v>
      </c>
      <c r="N454" s="311">
        <v>11</v>
      </c>
      <c r="O454" s="352">
        <v>56</v>
      </c>
      <c r="P454" s="352">
        <v>53</v>
      </c>
      <c r="Q454" s="352">
        <v>109</v>
      </c>
      <c r="R454" s="27"/>
      <c r="S454" s="27"/>
      <c r="T454" s="27"/>
      <c r="U454" s="27"/>
      <c r="V454" s="27"/>
      <c r="W454" s="27"/>
      <c r="X454" s="27"/>
    </row>
    <row r="455" spans="2:24" x14ac:dyDescent="0.25">
      <c r="B455" s="150" t="s">
        <v>457</v>
      </c>
      <c r="C455" s="311">
        <v>108</v>
      </c>
      <c r="D455" s="311">
        <v>144</v>
      </c>
      <c r="E455" s="311">
        <v>252</v>
      </c>
      <c r="F455" s="311">
        <v>357</v>
      </c>
      <c r="G455" s="311">
        <v>237</v>
      </c>
      <c r="H455" s="311">
        <v>594</v>
      </c>
      <c r="I455" s="311">
        <v>53</v>
      </c>
      <c r="J455" s="311">
        <v>19</v>
      </c>
      <c r="K455" s="311">
        <v>72</v>
      </c>
      <c r="L455" s="311">
        <v>30</v>
      </c>
      <c r="M455" s="311">
        <v>39</v>
      </c>
      <c r="N455" s="311">
        <v>69</v>
      </c>
      <c r="O455" s="352">
        <v>548</v>
      </c>
      <c r="P455" s="352">
        <v>439</v>
      </c>
      <c r="Q455" s="352">
        <v>987</v>
      </c>
      <c r="R455" s="27"/>
      <c r="S455" s="27"/>
      <c r="T455" s="27"/>
      <c r="U455" s="27"/>
      <c r="V455" s="27"/>
      <c r="W455" s="27"/>
      <c r="X455" s="27"/>
    </row>
    <row r="456" spans="2:24" x14ac:dyDescent="0.25">
      <c r="B456" s="351" t="s">
        <v>35</v>
      </c>
      <c r="C456" s="302">
        <v>288</v>
      </c>
      <c r="D456" s="302">
        <v>403</v>
      </c>
      <c r="E456" s="302">
        <v>691</v>
      </c>
      <c r="F456" s="302">
        <v>694</v>
      </c>
      <c r="G456" s="302">
        <v>535</v>
      </c>
      <c r="H456" s="300">
        <v>1229</v>
      </c>
      <c r="I456" s="302">
        <v>177</v>
      </c>
      <c r="J456" s="300">
        <v>57</v>
      </c>
      <c r="K456" s="302">
        <v>234</v>
      </c>
      <c r="L456" s="300">
        <v>57</v>
      </c>
      <c r="M456" s="302">
        <v>103</v>
      </c>
      <c r="N456" s="300">
        <v>160</v>
      </c>
      <c r="O456" s="352">
        <v>1216</v>
      </c>
      <c r="P456" s="352">
        <v>1098</v>
      </c>
      <c r="Q456" s="352">
        <v>2314</v>
      </c>
      <c r="R456" s="27"/>
      <c r="S456" s="27"/>
      <c r="T456" s="27"/>
      <c r="U456" s="27"/>
      <c r="V456" s="27"/>
      <c r="W456" s="27"/>
      <c r="X456" s="27"/>
    </row>
    <row r="457" spans="2:24" ht="102.75" customHeight="1" x14ac:dyDescent="0.25">
      <c r="B457" s="489" t="s">
        <v>928</v>
      </c>
      <c r="C457" s="489"/>
      <c r="D457" s="489"/>
      <c r="E457" s="489"/>
      <c r="F457" s="489"/>
      <c r="G457" s="489"/>
      <c r="H457" s="489"/>
      <c r="I457" s="489"/>
      <c r="J457" s="489"/>
      <c r="K457" s="489"/>
      <c r="L457" s="489"/>
      <c r="M457" s="489"/>
      <c r="N457" s="489"/>
      <c r="O457" s="489"/>
      <c r="P457" s="489"/>
      <c r="Q457" s="489"/>
      <c r="R457" s="27"/>
      <c r="S457" s="27"/>
      <c r="T457" s="27"/>
      <c r="U457" s="27"/>
      <c r="V457" s="27"/>
      <c r="W457" s="27"/>
    </row>
    <row r="458" spans="2:24" x14ac:dyDescent="0.25">
      <c r="B458" s="172"/>
      <c r="C458" s="172"/>
      <c r="D458" s="172"/>
      <c r="E458" s="172"/>
      <c r="F458" s="172"/>
      <c r="G458"/>
      <c r="H458" s="27"/>
      <c r="I458" s="27"/>
      <c r="J458" s="27"/>
      <c r="K458" s="27"/>
      <c r="L458" s="27"/>
      <c r="M458" s="27"/>
      <c r="N458" s="27"/>
      <c r="O458" s="27"/>
      <c r="P458" s="27"/>
      <c r="Q458" s="27"/>
      <c r="R458" s="27"/>
      <c r="S458" s="27"/>
      <c r="T458" s="27"/>
      <c r="U458" s="27"/>
      <c r="V458" s="27"/>
      <c r="W458" s="27"/>
    </row>
    <row r="459" spans="2:24" x14ac:dyDescent="0.25">
      <c r="B459" s="201" t="s">
        <v>531</v>
      </c>
      <c r="C459"/>
      <c r="D459"/>
      <c r="E459"/>
      <c r="F459"/>
      <c r="G459"/>
      <c r="H459" s="27"/>
      <c r="I459" s="27"/>
      <c r="J459" s="27"/>
      <c r="K459" s="27"/>
      <c r="L459" s="27"/>
      <c r="M459" s="27"/>
      <c r="N459" s="27"/>
      <c r="O459" s="27"/>
      <c r="P459" s="27"/>
      <c r="Q459" s="27"/>
      <c r="R459" s="27"/>
      <c r="S459" s="27"/>
      <c r="T459" s="27"/>
      <c r="U459" s="27"/>
      <c r="V459" s="27"/>
      <c r="W459" s="27"/>
    </row>
    <row r="460" spans="2:24" x14ac:dyDescent="0.25">
      <c r="B460" s="201"/>
      <c r="C460"/>
      <c r="D460"/>
      <c r="E460"/>
      <c r="F460"/>
      <c r="G460"/>
      <c r="H460" s="27"/>
      <c r="I460" s="27"/>
      <c r="J460" s="27"/>
      <c r="K460" s="27"/>
      <c r="L460" s="27"/>
      <c r="M460" s="27"/>
      <c r="N460" s="27"/>
      <c r="O460" s="27"/>
      <c r="P460" s="27"/>
      <c r="Q460" s="27"/>
      <c r="R460" s="27"/>
      <c r="S460" s="27"/>
      <c r="T460" s="27"/>
      <c r="U460" s="27"/>
      <c r="V460" s="27"/>
      <c r="W460" s="27"/>
    </row>
    <row r="461" spans="2:24" ht="15" customHeight="1" x14ac:dyDescent="0.25">
      <c r="B461" s="490" t="s">
        <v>544</v>
      </c>
      <c r="C461" s="479" t="s">
        <v>488</v>
      </c>
      <c r="D461" s="479"/>
      <c r="E461" s="479"/>
      <c r="F461" s="479"/>
      <c r="G461" s="479"/>
      <c r="H461" s="479"/>
      <c r="I461" s="479"/>
      <c r="J461" s="479"/>
      <c r="K461" s="479"/>
      <c r="L461" s="479"/>
      <c r="M461" s="479"/>
      <c r="N461" s="479"/>
      <c r="O461" s="483" t="s">
        <v>746</v>
      </c>
      <c r="P461" s="484"/>
      <c r="Q461" s="485"/>
      <c r="R461" s="27"/>
      <c r="S461" s="27"/>
      <c r="T461" s="27"/>
      <c r="U461" s="27"/>
      <c r="V461" s="27"/>
      <c r="W461" s="27"/>
    </row>
    <row r="462" spans="2:24" ht="15" customHeight="1" x14ac:dyDescent="0.25">
      <c r="B462" s="490"/>
      <c r="C462" s="479" t="s">
        <v>707</v>
      </c>
      <c r="D462" s="479"/>
      <c r="E462" s="479"/>
      <c r="F462" s="479" t="s">
        <v>497</v>
      </c>
      <c r="G462" s="479"/>
      <c r="H462" s="479"/>
      <c r="I462" s="479" t="s">
        <v>4</v>
      </c>
      <c r="J462" s="479"/>
      <c r="K462" s="479"/>
      <c r="L462" s="479" t="s">
        <v>6</v>
      </c>
      <c r="M462" s="479"/>
      <c r="N462" s="479"/>
      <c r="O462" s="486"/>
      <c r="P462" s="487"/>
      <c r="Q462" s="488"/>
      <c r="R462" s="27"/>
      <c r="S462" s="27"/>
      <c r="T462" s="27"/>
      <c r="U462" s="27"/>
      <c r="V462" s="27"/>
      <c r="W462" s="27"/>
    </row>
    <row r="463" spans="2:24" x14ac:dyDescent="0.25">
      <c r="B463" s="490"/>
      <c r="C463" s="175" t="s">
        <v>83</v>
      </c>
      <c r="D463" s="175" t="s">
        <v>84</v>
      </c>
      <c r="E463" s="175" t="s">
        <v>35</v>
      </c>
      <c r="F463" s="175" t="s">
        <v>83</v>
      </c>
      <c r="G463" s="175" t="s">
        <v>84</v>
      </c>
      <c r="H463" s="175" t="s">
        <v>35</v>
      </c>
      <c r="I463" s="175" t="s">
        <v>83</v>
      </c>
      <c r="J463" s="175" t="s">
        <v>84</v>
      </c>
      <c r="K463" s="175" t="s">
        <v>35</v>
      </c>
      <c r="L463" s="175" t="s">
        <v>83</v>
      </c>
      <c r="M463" s="175" t="s">
        <v>84</v>
      </c>
      <c r="N463" s="175" t="s">
        <v>35</v>
      </c>
      <c r="O463" s="262" t="s">
        <v>83</v>
      </c>
      <c r="P463" s="262" t="s">
        <v>84</v>
      </c>
      <c r="Q463" s="262" t="s">
        <v>35</v>
      </c>
      <c r="R463" s="27"/>
      <c r="S463" s="27"/>
      <c r="T463" s="27"/>
      <c r="U463" s="27"/>
      <c r="V463" s="27"/>
      <c r="W463" s="27"/>
    </row>
    <row r="464" spans="2:24" x14ac:dyDescent="0.25">
      <c r="B464" s="171" t="s">
        <v>458</v>
      </c>
      <c r="C464" s="311">
        <v>166</v>
      </c>
      <c r="D464" s="311">
        <v>201</v>
      </c>
      <c r="E464" s="311">
        <v>367</v>
      </c>
      <c r="F464" s="311">
        <v>370</v>
      </c>
      <c r="G464" s="311">
        <v>295</v>
      </c>
      <c r="H464" s="311">
        <v>665</v>
      </c>
      <c r="I464" s="311">
        <v>65</v>
      </c>
      <c r="J464" s="311">
        <v>29</v>
      </c>
      <c r="K464" s="311">
        <v>94</v>
      </c>
      <c r="L464" s="311">
        <v>22</v>
      </c>
      <c r="M464" s="311">
        <v>43</v>
      </c>
      <c r="N464" s="311">
        <v>65</v>
      </c>
      <c r="O464" s="352">
        <v>623</v>
      </c>
      <c r="P464" s="352">
        <v>568</v>
      </c>
      <c r="Q464" s="352">
        <v>1191</v>
      </c>
      <c r="R464" s="27"/>
      <c r="S464" s="27"/>
      <c r="T464" s="27"/>
      <c r="U464" s="27"/>
      <c r="V464" s="27"/>
      <c r="W464" s="27"/>
      <c r="X464" s="27"/>
    </row>
    <row r="465" spans="2:24" x14ac:dyDescent="0.25">
      <c r="B465" s="150" t="s">
        <v>459</v>
      </c>
      <c r="C465" s="311">
        <v>2</v>
      </c>
      <c r="D465" s="311">
        <v>1</v>
      </c>
      <c r="E465" s="311">
        <v>3</v>
      </c>
      <c r="F465" s="311">
        <v>1</v>
      </c>
      <c r="G465" s="311"/>
      <c r="H465" s="311">
        <v>1</v>
      </c>
      <c r="I465" s="311"/>
      <c r="J465" s="311"/>
      <c r="K465" s="311"/>
      <c r="L465" s="311"/>
      <c r="M465" s="311"/>
      <c r="N465" s="311"/>
      <c r="O465" s="352">
        <v>3</v>
      </c>
      <c r="P465" s="352">
        <v>1</v>
      </c>
      <c r="Q465" s="352">
        <v>4</v>
      </c>
      <c r="R465" s="27"/>
      <c r="S465" s="27"/>
      <c r="T465" s="27"/>
      <c r="U465" s="27"/>
      <c r="V465" s="27"/>
      <c r="W465" s="27"/>
      <c r="X465" s="27"/>
    </row>
    <row r="466" spans="2:24" x14ac:dyDescent="0.25">
      <c r="B466" s="150" t="s">
        <v>461</v>
      </c>
      <c r="C466" s="311">
        <v>3</v>
      </c>
      <c r="D466" s="311">
        <v>3</v>
      </c>
      <c r="E466" s="311">
        <v>6</v>
      </c>
      <c r="F466" s="311">
        <v>1</v>
      </c>
      <c r="G466" s="311">
        <v>2</v>
      </c>
      <c r="H466" s="311">
        <v>3</v>
      </c>
      <c r="I466" s="311"/>
      <c r="J466" s="311"/>
      <c r="K466" s="311"/>
      <c r="L466" s="311"/>
      <c r="M466" s="311"/>
      <c r="N466" s="311"/>
      <c r="O466" s="352">
        <v>4</v>
      </c>
      <c r="P466" s="352">
        <v>5</v>
      </c>
      <c r="Q466" s="352">
        <v>9</v>
      </c>
      <c r="R466" s="27"/>
      <c r="S466" s="27"/>
      <c r="T466" s="27"/>
      <c r="U466" s="27"/>
      <c r="V466" s="27"/>
      <c r="W466" s="27"/>
      <c r="X466" s="27"/>
    </row>
    <row r="467" spans="2:24" x14ac:dyDescent="0.25">
      <c r="B467" s="351" t="s">
        <v>35</v>
      </c>
      <c r="C467" s="302">
        <v>171</v>
      </c>
      <c r="D467" s="302">
        <v>205</v>
      </c>
      <c r="E467" s="302">
        <v>376</v>
      </c>
      <c r="F467" s="302">
        <v>372</v>
      </c>
      <c r="G467" s="302">
        <v>297</v>
      </c>
      <c r="H467" s="300">
        <v>669</v>
      </c>
      <c r="I467" s="302">
        <v>65</v>
      </c>
      <c r="J467" s="300">
        <v>29</v>
      </c>
      <c r="K467" s="302">
        <v>94</v>
      </c>
      <c r="L467" s="300">
        <v>22</v>
      </c>
      <c r="M467" s="302">
        <v>43</v>
      </c>
      <c r="N467" s="300">
        <v>65</v>
      </c>
      <c r="O467" s="352">
        <v>630</v>
      </c>
      <c r="P467" s="352">
        <v>574</v>
      </c>
      <c r="Q467" s="352">
        <v>1204</v>
      </c>
      <c r="R467" s="27"/>
      <c r="S467" s="27"/>
      <c r="T467" s="27"/>
      <c r="U467" s="27"/>
      <c r="V467" s="27"/>
      <c r="W467" s="27"/>
      <c r="X467" s="27"/>
    </row>
    <row r="468" spans="2:24" ht="103.5" customHeight="1" x14ac:dyDescent="0.25">
      <c r="B468" s="489" t="s">
        <v>928</v>
      </c>
      <c r="C468" s="489"/>
      <c r="D468" s="489"/>
      <c r="E468" s="489"/>
      <c r="F468" s="489"/>
      <c r="G468" s="489"/>
      <c r="H468" s="489"/>
      <c r="I468" s="489"/>
      <c r="J468" s="489"/>
      <c r="K468" s="489"/>
      <c r="L468" s="489"/>
      <c r="M468" s="489"/>
      <c r="N468" s="489"/>
      <c r="O468" s="489"/>
      <c r="P468" s="489"/>
      <c r="Q468" s="489"/>
      <c r="R468" s="27"/>
      <c r="S468" s="27"/>
      <c r="T468" s="27"/>
      <c r="U468" s="27"/>
      <c r="V468" s="27"/>
      <c r="W468" s="27"/>
    </row>
    <row r="469" spans="2:24" x14ac:dyDescent="0.25">
      <c r="B469" s="172"/>
      <c r="C469" s="172"/>
      <c r="D469" s="172"/>
      <c r="E469" s="172"/>
      <c r="F469" s="172"/>
      <c r="G469"/>
      <c r="H469" s="27"/>
      <c r="I469" s="27"/>
      <c r="J469" s="27"/>
      <c r="K469" s="27"/>
      <c r="L469" s="27"/>
      <c r="M469" s="27"/>
      <c r="N469" s="27"/>
      <c r="O469" s="27"/>
      <c r="P469" s="27"/>
      <c r="Q469" s="27"/>
      <c r="R469" s="27"/>
      <c r="S469" s="27"/>
      <c r="T469" s="27"/>
      <c r="U469" s="27"/>
      <c r="V469" s="27"/>
      <c r="W469" s="27"/>
    </row>
    <row r="470" spans="2:24" x14ac:dyDescent="0.25">
      <c r="B470" s="201" t="s">
        <v>532</v>
      </c>
      <c r="C470"/>
      <c r="D470"/>
      <c r="E470"/>
      <c r="F470"/>
      <c r="G470"/>
      <c r="H470" s="27"/>
      <c r="I470" s="27"/>
      <c r="J470" s="27"/>
      <c r="K470" s="27"/>
      <c r="L470" s="27"/>
      <c r="M470" s="27"/>
      <c r="N470" s="27"/>
      <c r="O470" s="27"/>
      <c r="P470" s="27"/>
      <c r="Q470" s="27"/>
      <c r="R470" s="27"/>
      <c r="S470" s="27"/>
      <c r="T470" s="27"/>
      <c r="U470" s="27"/>
      <c r="V470" s="27"/>
      <c r="W470" s="27"/>
    </row>
    <row r="471" spans="2:24" x14ac:dyDescent="0.25">
      <c r="B471" s="201"/>
      <c r="C471"/>
      <c r="D471"/>
      <c r="E471"/>
      <c r="F471"/>
      <c r="G471"/>
      <c r="H471" s="27"/>
      <c r="I471" s="27"/>
      <c r="J471" s="27"/>
      <c r="K471" s="27"/>
      <c r="L471" s="27"/>
      <c r="M471" s="27"/>
      <c r="N471" s="27"/>
      <c r="O471" s="27"/>
      <c r="P471" s="27"/>
      <c r="Q471" s="27"/>
      <c r="R471" s="27"/>
      <c r="S471" s="27"/>
      <c r="T471" s="27"/>
      <c r="U471" s="27"/>
      <c r="V471" s="27"/>
      <c r="W471" s="27"/>
    </row>
    <row r="472" spans="2:24" ht="15" customHeight="1" x14ac:dyDescent="0.25">
      <c r="B472" s="490" t="s">
        <v>544</v>
      </c>
      <c r="C472" s="479" t="s">
        <v>488</v>
      </c>
      <c r="D472" s="479"/>
      <c r="E472" s="479"/>
      <c r="F472" s="479"/>
      <c r="G472" s="479"/>
      <c r="H472" s="479"/>
      <c r="I472" s="479"/>
      <c r="J472" s="479"/>
      <c r="K472" s="479"/>
      <c r="L472" s="479"/>
      <c r="M472" s="479"/>
      <c r="N472" s="479"/>
      <c r="O472" s="483" t="s">
        <v>746</v>
      </c>
      <c r="P472" s="484"/>
      <c r="Q472" s="485"/>
      <c r="R472" s="27"/>
      <c r="S472" s="27"/>
      <c r="T472" s="27"/>
      <c r="U472" s="27"/>
      <c r="V472" s="27"/>
      <c r="W472" s="27"/>
    </row>
    <row r="473" spans="2:24" ht="15" customHeight="1" x14ac:dyDescent="0.25">
      <c r="B473" s="490"/>
      <c r="C473" s="479" t="s">
        <v>707</v>
      </c>
      <c r="D473" s="479"/>
      <c r="E473" s="479"/>
      <c r="F473" s="479" t="s">
        <v>497</v>
      </c>
      <c r="G473" s="479"/>
      <c r="H473" s="479"/>
      <c r="I473" s="479" t="s">
        <v>4</v>
      </c>
      <c r="J473" s="479"/>
      <c r="K473" s="479"/>
      <c r="L473" s="479" t="s">
        <v>6</v>
      </c>
      <c r="M473" s="479"/>
      <c r="N473" s="479"/>
      <c r="O473" s="486"/>
      <c r="P473" s="487"/>
      <c r="Q473" s="488"/>
      <c r="R473" s="27"/>
      <c r="S473" s="27"/>
      <c r="T473" s="27"/>
      <c r="U473" s="27"/>
      <c r="V473" s="27"/>
      <c r="W473" s="27"/>
    </row>
    <row r="474" spans="2:24" x14ac:dyDescent="0.25">
      <c r="B474" s="490"/>
      <c r="C474" s="175" t="s">
        <v>83</v>
      </c>
      <c r="D474" s="175" t="s">
        <v>84</v>
      </c>
      <c r="E474" s="175" t="s">
        <v>35</v>
      </c>
      <c r="F474" s="175" t="s">
        <v>83</v>
      </c>
      <c r="G474" s="175" t="s">
        <v>84</v>
      </c>
      <c r="H474" s="175" t="s">
        <v>35</v>
      </c>
      <c r="I474" s="175" t="s">
        <v>83</v>
      </c>
      <c r="J474" s="175" t="s">
        <v>84</v>
      </c>
      <c r="K474" s="175" t="s">
        <v>35</v>
      </c>
      <c r="L474" s="175" t="s">
        <v>83</v>
      </c>
      <c r="M474" s="175" t="s">
        <v>84</v>
      </c>
      <c r="N474" s="175" t="s">
        <v>35</v>
      </c>
      <c r="O474" s="262" t="s">
        <v>83</v>
      </c>
      <c r="P474" s="262" t="s">
        <v>84</v>
      </c>
      <c r="Q474" s="262" t="s">
        <v>35</v>
      </c>
      <c r="R474" s="27"/>
      <c r="S474" s="27"/>
      <c r="T474" s="27"/>
      <c r="U474" s="27"/>
      <c r="V474" s="27"/>
      <c r="W474" s="27"/>
    </row>
    <row r="475" spans="2:24" x14ac:dyDescent="0.25">
      <c r="B475" s="171" t="s">
        <v>462</v>
      </c>
      <c r="C475" s="311">
        <v>20</v>
      </c>
      <c r="D475" s="311">
        <v>24</v>
      </c>
      <c r="E475" s="311">
        <v>44</v>
      </c>
      <c r="F475" s="311">
        <v>33</v>
      </c>
      <c r="G475" s="311">
        <v>34</v>
      </c>
      <c r="H475" s="311">
        <v>67</v>
      </c>
      <c r="I475" s="311">
        <v>16</v>
      </c>
      <c r="J475" s="311">
        <v>1</v>
      </c>
      <c r="K475" s="311">
        <v>17</v>
      </c>
      <c r="L475" s="311">
        <v>3</v>
      </c>
      <c r="M475" s="311">
        <v>8</v>
      </c>
      <c r="N475" s="311">
        <v>11</v>
      </c>
      <c r="O475" s="352">
        <v>72</v>
      </c>
      <c r="P475" s="352">
        <v>67</v>
      </c>
      <c r="Q475" s="352">
        <v>139</v>
      </c>
      <c r="R475" s="27"/>
      <c r="S475" s="27"/>
      <c r="T475" s="27"/>
      <c r="U475" s="27"/>
      <c r="V475" s="27"/>
      <c r="W475" s="27"/>
      <c r="X475" s="27"/>
    </row>
    <row r="476" spans="2:24" x14ac:dyDescent="0.25">
      <c r="B476" s="150" t="s">
        <v>463</v>
      </c>
      <c r="C476" s="308">
        <v>122</v>
      </c>
      <c r="D476" s="308">
        <v>148</v>
      </c>
      <c r="E476" s="308">
        <v>270</v>
      </c>
      <c r="F476" s="308">
        <v>348</v>
      </c>
      <c r="G476" s="308">
        <v>245</v>
      </c>
      <c r="H476" s="308">
        <v>593</v>
      </c>
      <c r="I476" s="308">
        <v>126</v>
      </c>
      <c r="J476" s="308">
        <v>39</v>
      </c>
      <c r="K476" s="308">
        <v>165</v>
      </c>
      <c r="L476" s="308">
        <v>49</v>
      </c>
      <c r="M476" s="308">
        <v>51</v>
      </c>
      <c r="N476" s="308">
        <v>100</v>
      </c>
      <c r="O476" s="352">
        <v>645</v>
      </c>
      <c r="P476" s="352">
        <v>483</v>
      </c>
      <c r="Q476" s="352">
        <v>1128</v>
      </c>
      <c r="R476" s="27"/>
      <c r="S476" s="27"/>
      <c r="T476" s="27"/>
      <c r="U476" s="27"/>
      <c r="V476" s="27"/>
      <c r="W476" s="27"/>
      <c r="X476" s="27"/>
    </row>
    <row r="477" spans="2:24" x14ac:dyDescent="0.25">
      <c r="B477" s="150" t="s">
        <v>464</v>
      </c>
      <c r="C477" s="308">
        <v>11</v>
      </c>
      <c r="D477" s="308">
        <v>17</v>
      </c>
      <c r="E477" s="308">
        <v>28</v>
      </c>
      <c r="F477" s="308">
        <v>28</v>
      </c>
      <c r="G477" s="308">
        <v>32</v>
      </c>
      <c r="H477" s="308">
        <v>60</v>
      </c>
      <c r="I477" s="308">
        <v>9</v>
      </c>
      <c r="J477" s="308">
        <v>4</v>
      </c>
      <c r="K477" s="308">
        <v>13</v>
      </c>
      <c r="L477" s="308">
        <v>4</v>
      </c>
      <c r="M477" s="308">
        <v>9</v>
      </c>
      <c r="N477" s="308">
        <v>13</v>
      </c>
      <c r="O477" s="352">
        <v>52</v>
      </c>
      <c r="P477" s="352">
        <v>62</v>
      </c>
      <c r="Q477" s="352">
        <v>114</v>
      </c>
      <c r="R477" s="27"/>
      <c r="S477" s="27"/>
      <c r="T477" s="27"/>
      <c r="U477" s="27"/>
      <c r="V477" s="27"/>
      <c r="W477" s="27"/>
      <c r="X477" s="27"/>
    </row>
    <row r="478" spans="2:24" x14ac:dyDescent="0.25">
      <c r="B478" s="150" t="s">
        <v>465</v>
      </c>
      <c r="C478" s="308">
        <v>1</v>
      </c>
      <c r="D478" s="308">
        <v>6</v>
      </c>
      <c r="E478" s="308">
        <v>7</v>
      </c>
      <c r="F478" s="308">
        <v>6</v>
      </c>
      <c r="G478" s="308">
        <v>9</v>
      </c>
      <c r="H478" s="308">
        <v>15</v>
      </c>
      <c r="I478" s="308">
        <v>5</v>
      </c>
      <c r="J478" s="308">
        <v>6</v>
      </c>
      <c r="K478" s="308">
        <v>11</v>
      </c>
      <c r="L478" s="308"/>
      <c r="M478" s="308"/>
      <c r="N478" s="308"/>
      <c r="O478" s="352">
        <v>12</v>
      </c>
      <c r="P478" s="352">
        <v>21</v>
      </c>
      <c r="Q478" s="352">
        <v>33</v>
      </c>
      <c r="R478" s="27"/>
      <c r="S478" s="27"/>
      <c r="T478" s="27"/>
      <c r="U478" s="27"/>
      <c r="V478" s="27"/>
      <c r="W478" s="27"/>
      <c r="X478" s="27"/>
    </row>
    <row r="479" spans="2:24" x14ac:dyDescent="0.25">
      <c r="B479" s="150" t="s">
        <v>466</v>
      </c>
      <c r="C479" s="308">
        <v>18</v>
      </c>
      <c r="D479" s="308">
        <v>19</v>
      </c>
      <c r="E479" s="308">
        <v>37</v>
      </c>
      <c r="F479" s="308">
        <v>26</v>
      </c>
      <c r="G479" s="308">
        <v>21</v>
      </c>
      <c r="H479" s="308">
        <v>47</v>
      </c>
      <c r="I479" s="308">
        <v>10</v>
      </c>
      <c r="J479" s="308">
        <v>2</v>
      </c>
      <c r="K479" s="308">
        <v>12</v>
      </c>
      <c r="L479" s="308">
        <v>1</v>
      </c>
      <c r="M479" s="308">
        <v>2</v>
      </c>
      <c r="N479" s="308">
        <v>3</v>
      </c>
      <c r="O479" s="352">
        <v>55</v>
      </c>
      <c r="P479" s="352">
        <v>44</v>
      </c>
      <c r="Q479" s="352">
        <v>99</v>
      </c>
      <c r="R479" s="27"/>
      <c r="S479" s="27"/>
      <c r="T479" s="27"/>
      <c r="U479" s="27"/>
      <c r="V479" s="27"/>
      <c r="W479" s="27"/>
      <c r="X479" s="27"/>
    </row>
    <row r="480" spans="2:24" x14ac:dyDescent="0.25">
      <c r="B480" s="150" t="s">
        <v>467</v>
      </c>
      <c r="C480" s="308">
        <v>16</v>
      </c>
      <c r="D480" s="308">
        <v>22</v>
      </c>
      <c r="E480" s="308">
        <v>38</v>
      </c>
      <c r="F480" s="308">
        <v>33</v>
      </c>
      <c r="G480" s="308">
        <v>19</v>
      </c>
      <c r="H480" s="308">
        <v>52</v>
      </c>
      <c r="I480" s="308">
        <v>30</v>
      </c>
      <c r="J480" s="308">
        <v>6</v>
      </c>
      <c r="K480" s="308">
        <v>36</v>
      </c>
      <c r="L480" s="308">
        <v>3</v>
      </c>
      <c r="M480" s="308">
        <v>9</v>
      </c>
      <c r="N480" s="308">
        <v>12</v>
      </c>
      <c r="O480" s="352">
        <v>82</v>
      </c>
      <c r="P480" s="352">
        <v>56</v>
      </c>
      <c r="Q480" s="352">
        <v>138</v>
      </c>
      <c r="R480" s="27"/>
      <c r="S480" s="27"/>
      <c r="T480" s="27"/>
      <c r="U480" s="27"/>
      <c r="V480" s="27"/>
      <c r="W480" s="27"/>
      <c r="X480" s="27"/>
    </row>
    <row r="481" spans="2:24" x14ac:dyDescent="0.25">
      <c r="B481" s="150" t="s">
        <v>468</v>
      </c>
      <c r="C481" s="308">
        <v>8</v>
      </c>
      <c r="D481" s="308">
        <v>12</v>
      </c>
      <c r="E481" s="308">
        <v>20</v>
      </c>
      <c r="F481" s="308">
        <v>9</v>
      </c>
      <c r="G481" s="308">
        <v>7</v>
      </c>
      <c r="H481" s="308">
        <v>16</v>
      </c>
      <c r="I481" s="308">
        <v>12</v>
      </c>
      <c r="J481" s="308">
        <v>5</v>
      </c>
      <c r="K481" s="308">
        <v>17</v>
      </c>
      <c r="L481" s="308">
        <v>2</v>
      </c>
      <c r="M481" s="308">
        <v>2</v>
      </c>
      <c r="N481" s="308">
        <v>4</v>
      </c>
      <c r="O481" s="352">
        <v>31</v>
      </c>
      <c r="P481" s="352">
        <v>26</v>
      </c>
      <c r="Q481" s="352">
        <v>57</v>
      </c>
      <c r="R481" s="27"/>
      <c r="S481" s="27"/>
      <c r="T481" s="27"/>
      <c r="U481" s="27"/>
      <c r="V481" s="27"/>
      <c r="W481" s="27"/>
      <c r="X481" s="27"/>
    </row>
    <row r="482" spans="2:24" x14ac:dyDescent="0.25">
      <c r="B482" s="150" t="s">
        <v>469</v>
      </c>
      <c r="C482" s="308">
        <v>6</v>
      </c>
      <c r="D482" s="308">
        <v>5</v>
      </c>
      <c r="E482" s="308">
        <v>11</v>
      </c>
      <c r="F482" s="308">
        <v>5</v>
      </c>
      <c r="G482" s="308">
        <v>7</v>
      </c>
      <c r="H482" s="308">
        <v>12</v>
      </c>
      <c r="I482" s="308">
        <v>13</v>
      </c>
      <c r="J482" s="308">
        <v>1</v>
      </c>
      <c r="K482" s="308">
        <v>14</v>
      </c>
      <c r="L482" s="308"/>
      <c r="M482" s="308">
        <v>1</v>
      </c>
      <c r="N482" s="308">
        <v>1</v>
      </c>
      <c r="O482" s="352">
        <v>24</v>
      </c>
      <c r="P482" s="352">
        <v>14</v>
      </c>
      <c r="Q482" s="352">
        <v>38</v>
      </c>
      <c r="R482" s="27"/>
      <c r="S482" s="27"/>
      <c r="T482" s="27"/>
      <c r="U482" s="27"/>
      <c r="V482" s="27"/>
      <c r="W482" s="27"/>
      <c r="X482" s="27"/>
    </row>
    <row r="483" spans="2:24" x14ac:dyDescent="0.25">
      <c r="B483" s="150" t="s">
        <v>470</v>
      </c>
      <c r="C483" s="308">
        <v>6</v>
      </c>
      <c r="D483" s="308">
        <v>5</v>
      </c>
      <c r="E483" s="308">
        <v>11</v>
      </c>
      <c r="F483" s="308">
        <v>15</v>
      </c>
      <c r="G483" s="308">
        <v>10</v>
      </c>
      <c r="H483" s="308">
        <v>25</v>
      </c>
      <c r="I483" s="308">
        <v>6</v>
      </c>
      <c r="J483" s="308">
        <v>1</v>
      </c>
      <c r="K483" s="308">
        <v>7</v>
      </c>
      <c r="L483" s="308">
        <v>1</v>
      </c>
      <c r="M483" s="308">
        <v>3</v>
      </c>
      <c r="N483" s="308">
        <v>4</v>
      </c>
      <c r="O483" s="352">
        <v>28</v>
      </c>
      <c r="P483" s="352">
        <v>19</v>
      </c>
      <c r="Q483" s="352">
        <v>47</v>
      </c>
      <c r="R483" s="27"/>
      <c r="S483" s="27"/>
      <c r="T483" s="27"/>
      <c r="U483" s="27"/>
      <c r="V483" s="27"/>
      <c r="W483" s="27"/>
      <c r="X483" s="27"/>
    </row>
    <row r="484" spans="2:24" x14ac:dyDescent="0.25">
      <c r="B484" s="150" t="s">
        <v>471</v>
      </c>
      <c r="C484" s="308">
        <v>10</v>
      </c>
      <c r="D484" s="308">
        <v>10</v>
      </c>
      <c r="E484" s="308">
        <v>20</v>
      </c>
      <c r="F484" s="308">
        <v>15</v>
      </c>
      <c r="G484" s="308">
        <v>15</v>
      </c>
      <c r="H484" s="308">
        <v>30</v>
      </c>
      <c r="I484" s="308">
        <v>8</v>
      </c>
      <c r="J484" s="308">
        <v>4</v>
      </c>
      <c r="K484" s="308">
        <v>12</v>
      </c>
      <c r="L484" s="308">
        <v>1</v>
      </c>
      <c r="M484" s="308"/>
      <c r="N484" s="308">
        <v>1</v>
      </c>
      <c r="O484" s="352">
        <v>34</v>
      </c>
      <c r="P484" s="352">
        <v>29</v>
      </c>
      <c r="Q484" s="352">
        <v>63</v>
      </c>
      <c r="R484" s="27"/>
      <c r="S484" s="27"/>
      <c r="T484" s="27"/>
      <c r="U484" s="27"/>
      <c r="V484" s="27"/>
      <c r="W484" s="27"/>
      <c r="X484" s="27"/>
    </row>
    <row r="485" spans="2:24" x14ac:dyDescent="0.25">
      <c r="B485" s="150" t="s">
        <v>472</v>
      </c>
      <c r="C485" s="308">
        <v>1</v>
      </c>
      <c r="D485" s="308">
        <v>4</v>
      </c>
      <c r="E485" s="308">
        <v>5</v>
      </c>
      <c r="F485" s="308">
        <v>7</v>
      </c>
      <c r="G485" s="308">
        <v>6</v>
      </c>
      <c r="H485" s="308">
        <v>13</v>
      </c>
      <c r="I485" s="308">
        <v>10</v>
      </c>
      <c r="J485" s="308">
        <v>2</v>
      </c>
      <c r="K485" s="308">
        <v>12</v>
      </c>
      <c r="L485" s="308"/>
      <c r="M485" s="308">
        <v>1</v>
      </c>
      <c r="N485" s="308">
        <v>1</v>
      </c>
      <c r="O485" s="352">
        <v>18</v>
      </c>
      <c r="P485" s="352">
        <v>13</v>
      </c>
      <c r="Q485" s="352">
        <v>31</v>
      </c>
      <c r="R485" s="27"/>
      <c r="S485" s="27"/>
      <c r="T485" s="27"/>
      <c r="U485" s="27"/>
      <c r="V485" s="27"/>
      <c r="W485" s="27"/>
      <c r="X485" s="27"/>
    </row>
    <row r="486" spans="2:24" x14ac:dyDescent="0.25">
      <c r="B486" s="150" t="s">
        <v>473</v>
      </c>
      <c r="C486" s="308">
        <v>8</v>
      </c>
      <c r="D486" s="308">
        <v>13</v>
      </c>
      <c r="E486" s="308">
        <v>21</v>
      </c>
      <c r="F486" s="308">
        <v>38</v>
      </c>
      <c r="G486" s="308">
        <v>24</v>
      </c>
      <c r="H486" s="308">
        <v>62</v>
      </c>
      <c r="I486" s="308">
        <v>19</v>
      </c>
      <c r="J486" s="308">
        <v>7</v>
      </c>
      <c r="K486" s="308">
        <v>26</v>
      </c>
      <c r="L486" s="308">
        <v>2</v>
      </c>
      <c r="M486" s="308">
        <v>2</v>
      </c>
      <c r="N486" s="308">
        <v>4</v>
      </c>
      <c r="O486" s="352">
        <v>67</v>
      </c>
      <c r="P486" s="352">
        <v>46</v>
      </c>
      <c r="Q486" s="352">
        <v>113</v>
      </c>
      <c r="R486" s="27"/>
      <c r="S486" s="27"/>
      <c r="T486" s="27"/>
      <c r="U486" s="27"/>
      <c r="V486" s="27"/>
      <c r="W486" s="27"/>
      <c r="X486" s="27"/>
    </row>
    <row r="487" spans="2:24" x14ac:dyDescent="0.25">
      <c r="B487" s="150" t="s">
        <v>474</v>
      </c>
      <c r="C487" s="308">
        <v>16</v>
      </c>
      <c r="D487" s="308">
        <v>6</v>
      </c>
      <c r="E487" s="308">
        <v>22</v>
      </c>
      <c r="F487" s="308">
        <v>18</v>
      </c>
      <c r="G487" s="308">
        <v>13</v>
      </c>
      <c r="H487" s="308">
        <v>31</v>
      </c>
      <c r="I487" s="308">
        <v>5</v>
      </c>
      <c r="J487" s="308">
        <v>1</v>
      </c>
      <c r="K487" s="308">
        <v>6</v>
      </c>
      <c r="L487" s="308">
        <v>1</v>
      </c>
      <c r="M487" s="308">
        <v>2</v>
      </c>
      <c r="N487" s="308">
        <v>3</v>
      </c>
      <c r="O487" s="352">
        <v>40</v>
      </c>
      <c r="P487" s="352">
        <v>22</v>
      </c>
      <c r="Q487" s="352">
        <v>62</v>
      </c>
      <c r="R487" s="27"/>
      <c r="S487" s="27"/>
      <c r="T487" s="27"/>
      <c r="U487" s="27"/>
      <c r="V487" s="27"/>
      <c r="W487" s="27"/>
      <c r="X487" s="27"/>
    </row>
    <row r="488" spans="2:24" x14ac:dyDescent="0.25">
      <c r="B488" s="150" t="s">
        <v>475</v>
      </c>
      <c r="C488" s="308">
        <v>6</v>
      </c>
      <c r="D488" s="308">
        <v>6</v>
      </c>
      <c r="E488" s="308">
        <v>12</v>
      </c>
      <c r="F488" s="308">
        <v>6</v>
      </c>
      <c r="G488" s="308">
        <v>4</v>
      </c>
      <c r="H488" s="308">
        <v>10</v>
      </c>
      <c r="I488" s="308">
        <v>10</v>
      </c>
      <c r="J488" s="308">
        <v>4</v>
      </c>
      <c r="K488" s="308">
        <v>14</v>
      </c>
      <c r="L488" s="308">
        <v>1</v>
      </c>
      <c r="M488" s="308">
        <v>4</v>
      </c>
      <c r="N488" s="308">
        <v>5</v>
      </c>
      <c r="O488" s="352">
        <v>23</v>
      </c>
      <c r="P488" s="352">
        <v>18</v>
      </c>
      <c r="Q488" s="352">
        <v>41</v>
      </c>
      <c r="R488" s="27"/>
      <c r="S488" s="27"/>
      <c r="T488" s="27"/>
      <c r="U488" s="27"/>
      <c r="V488" s="27"/>
      <c r="W488" s="27"/>
      <c r="X488" s="27"/>
    </row>
    <row r="489" spans="2:24" x14ac:dyDescent="0.25">
      <c r="B489" s="150" t="s">
        <v>476</v>
      </c>
      <c r="C489" s="308">
        <v>28</v>
      </c>
      <c r="D489" s="308">
        <v>24</v>
      </c>
      <c r="E489" s="308">
        <v>52</v>
      </c>
      <c r="F489" s="308">
        <v>82</v>
      </c>
      <c r="G489" s="308">
        <v>77</v>
      </c>
      <c r="H489" s="308">
        <v>159</v>
      </c>
      <c r="I489" s="308">
        <v>49</v>
      </c>
      <c r="J489" s="308">
        <v>23</v>
      </c>
      <c r="K489" s="308">
        <v>72</v>
      </c>
      <c r="L489" s="308">
        <v>6</v>
      </c>
      <c r="M489" s="308">
        <v>9</v>
      </c>
      <c r="N489" s="308">
        <v>15</v>
      </c>
      <c r="O489" s="352">
        <v>165</v>
      </c>
      <c r="P489" s="352">
        <v>133</v>
      </c>
      <c r="Q489" s="352">
        <v>298</v>
      </c>
      <c r="R489" s="27"/>
      <c r="S489" s="27"/>
      <c r="T489" s="27"/>
      <c r="U489" s="27"/>
      <c r="V489" s="27"/>
      <c r="W489" s="27"/>
      <c r="X489" s="27"/>
    </row>
    <row r="490" spans="2:24" x14ac:dyDescent="0.25">
      <c r="B490" s="150" t="s">
        <v>477</v>
      </c>
      <c r="C490" s="308">
        <v>4</v>
      </c>
      <c r="D490" s="308">
        <v>6</v>
      </c>
      <c r="E490" s="308">
        <v>10</v>
      </c>
      <c r="F490" s="308">
        <v>8</v>
      </c>
      <c r="G490" s="308">
        <v>4</v>
      </c>
      <c r="H490" s="308">
        <v>12</v>
      </c>
      <c r="I490" s="308">
        <v>3</v>
      </c>
      <c r="J490" s="308"/>
      <c r="K490" s="308">
        <v>3</v>
      </c>
      <c r="L490" s="308">
        <v>1</v>
      </c>
      <c r="M490" s="308">
        <v>1</v>
      </c>
      <c r="N490" s="308">
        <v>2</v>
      </c>
      <c r="O490" s="352">
        <v>16</v>
      </c>
      <c r="P490" s="352">
        <v>11</v>
      </c>
      <c r="Q490" s="352">
        <v>27</v>
      </c>
      <c r="R490" s="27"/>
      <c r="S490" s="27"/>
      <c r="T490" s="27"/>
      <c r="U490" s="27"/>
      <c r="V490" s="27"/>
      <c r="W490" s="27"/>
      <c r="X490" s="27"/>
    </row>
    <row r="491" spans="2:24" x14ac:dyDescent="0.25">
      <c r="B491" s="150" t="s">
        <v>478</v>
      </c>
      <c r="C491" s="308">
        <v>11</v>
      </c>
      <c r="D491" s="308">
        <v>20</v>
      </c>
      <c r="E491" s="308">
        <v>31</v>
      </c>
      <c r="F491" s="308">
        <v>13</v>
      </c>
      <c r="G491" s="308">
        <v>15</v>
      </c>
      <c r="H491" s="308">
        <v>28</v>
      </c>
      <c r="I491" s="308">
        <v>28</v>
      </c>
      <c r="J491" s="308">
        <v>10</v>
      </c>
      <c r="K491" s="308">
        <v>38</v>
      </c>
      <c r="L491" s="308">
        <v>4</v>
      </c>
      <c r="M491" s="308">
        <v>5</v>
      </c>
      <c r="N491" s="308">
        <v>9</v>
      </c>
      <c r="O491" s="352">
        <v>56</v>
      </c>
      <c r="P491" s="352">
        <v>50</v>
      </c>
      <c r="Q491" s="352">
        <v>106</v>
      </c>
      <c r="R491" s="27"/>
      <c r="S491" s="27"/>
      <c r="T491" s="27"/>
      <c r="U491" s="27"/>
      <c r="V491" s="27"/>
      <c r="W491" s="27"/>
      <c r="X491" s="27"/>
    </row>
    <row r="492" spans="2:24" x14ac:dyDescent="0.25">
      <c r="B492" s="150" t="s">
        <v>479</v>
      </c>
      <c r="C492" s="308">
        <v>7</v>
      </c>
      <c r="D492" s="308">
        <v>11</v>
      </c>
      <c r="E492" s="308">
        <v>18</v>
      </c>
      <c r="F492" s="308">
        <v>19</v>
      </c>
      <c r="G492" s="308">
        <v>21</v>
      </c>
      <c r="H492" s="308">
        <v>40</v>
      </c>
      <c r="I492" s="308">
        <v>11</v>
      </c>
      <c r="J492" s="308">
        <v>2</v>
      </c>
      <c r="K492" s="308">
        <v>13</v>
      </c>
      <c r="L492" s="308">
        <v>2</v>
      </c>
      <c r="M492" s="308">
        <v>3</v>
      </c>
      <c r="N492" s="308">
        <v>5</v>
      </c>
      <c r="O492" s="352">
        <v>39</v>
      </c>
      <c r="P492" s="352">
        <v>37</v>
      </c>
      <c r="Q492" s="352">
        <v>76</v>
      </c>
      <c r="R492" s="27"/>
      <c r="S492" s="27"/>
      <c r="T492" s="27"/>
      <c r="U492" s="27"/>
      <c r="V492" s="27"/>
      <c r="W492" s="27"/>
      <c r="X492" s="27"/>
    </row>
    <row r="493" spans="2:24" x14ac:dyDescent="0.25">
      <c r="B493" s="150" t="s">
        <v>480</v>
      </c>
      <c r="C493" s="308">
        <v>10</v>
      </c>
      <c r="D493" s="308">
        <v>7</v>
      </c>
      <c r="E493" s="308">
        <v>17</v>
      </c>
      <c r="F493" s="308">
        <v>3</v>
      </c>
      <c r="G493" s="308">
        <v>1</v>
      </c>
      <c r="H493" s="308">
        <v>4</v>
      </c>
      <c r="I493" s="308">
        <v>3</v>
      </c>
      <c r="J493" s="308">
        <v>3</v>
      </c>
      <c r="K493" s="308">
        <v>6</v>
      </c>
      <c r="L493" s="308">
        <v>1</v>
      </c>
      <c r="M493" s="308"/>
      <c r="N493" s="308">
        <v>1</v>
      </c>
      <c r="O493" s="352">
        <v>17</v>
      </c>
      <c r="P493" s="352">
        <v>11</v>
      </c>
      <c r="Q493" s="352">
        <v>28</v>
      </c>
      <c r="R493" s="27"/>
      <c r="S493" s="27"/>
      <c r="T493" s="27"/>
      <c r="U493" s="27"/>
      <c r="V493" s="27"/>
      <c r="W493" s="27"/>
      <c r="X493" s="27"/>
    </row>
    <row r="494" spans="2:24" x14ac:dyDescent="0.25">
      <c r="B494" s="150" t="s">
        <v>481</v>
      </c>
      <c r="C494" s="308">
        <v>16</v>
      </c>
      <c r="D494" s="308">
        <v>17</v>
      </c>
      <c r="E494" s="308">
        <v>33</v>
      </c>
      <c r="F494" s="308">
        <v>29</v>
      </c>
      <c r="G494" s="308">
        <v>25</v>
      </c>
      <c r="H494" s="308">
        <v>54</v>
      </c>
      <c r="I494" s="308">
        <v>14</v>
      </c>
      <c r="J494" s="308">
        <v>7</v>
      </c>
      <c r="K494" s="308">
        <v>21</v>
      </c>
      <c r="L494" s="308">
        <v>2</v>
      </c>
      <c r="M494" s="308">
        <v>3</v>
      </c>
      <c r="N494" s="308">
        <v>5</v>
      </c>
      <c r="O494" s="352">
        <v>61</v>
      </c>
      <c r="P494" s="352">
        <v>52</v>
      </c>
      <c r="Q494" s="352">
        <v>113</v>
      </c>
      <c r="R494" s="27"/>
      <c r="S494" s="27"/>
      <c r="T494" s="27"/>
      <c r="U494" s="27"/>
      <c r="V494" s="27"/>
      <c r="W494" s="27"/>
      <c r="X494" s="27"/>
    </row>
    <row r="495" spans="2:24" x14ac:dyDescent="0.25">
      <c r="B495" s="150" t="s">
        <v>482</v>
      </c>
      <c r="C495" s="308">
        <v>8</v>
      </c>
      <c r="D495" s="308">
        <v>14</v>
      </c>
      <c r="E495" s="308">
        <v>22</v>
      </c>
      <c r="F495" s="308">
        <v>13</v>
      </c>
      <c r="G495" s="308">
        <v>19</v>
      </c>
      <c r="H495" s="308">
        <v>32</v>
      </c>
      <c r="I495" s="308">
        <v>11</v>
      </c>
      <c r="J495" s="308">
        <v>4</v>
      </c>
      <c r="K495" s="308">
        <v>15</v>
      </c>
      <c r="L495" s="308">
        <v>1</v>
      </c>
      <c r="M495" s="308">
        <v>2</v>
      </c>
      <c r="N495" s="308">
        <v>3</v>
      </c>
      <c r="O495" s="352">
        <v>33</v>
      </c>
      <c r="P495" s="352">
        <v>39</v>
      </c>
      <c r="Q495" s="352">
        <v>72</v>
      </c>
      <c r="R495" s="27"/>
      <c r="S495" s="27"/>
      <c r="T495" s="27"/>
      <c r="U495" s="27"/>
      <c r="V495" s="27"/>
      <c r="W495" s="27"/>
      <c r="X495" s="27"/>
    </row>
    <row r="496" spans="2:24" x14ac:dyDescent="0.25">
      <c r="B496" s="351" t="s">
        <v>35</v>
      </c>
      <c r="C496" s="302">
        <v>333</v>
      </c>
      <c r="D496" s="302">
        <v>396</v>
      </c>
      <c r="E496" s="302">
        <v>729</v>
      </c>
      <c r="F496" s="302">
        <v>754</v>
      </c>
      <c r="G496" s="302">
        <v>608</v>
      </c>
      <c r="H496" s="300">
        <v>1362</v>
      </c>
      <c r="I496" s="302">
        <v>398</v>
      </c>
      <c r="J496" s="300">
        <v>132</v>
      </c>
      <c r="K496" s="302">
        <v>530</v>
      </c>
      <c r="L496" s="300">
        <v>85</v>
      </c>
      <c r="M496" s="302">
        <v>117</v>
      </c>
      <c r="N496" s="300">
        <v>202</v>
      </c>
      <c r="O496" s="352">
        <v>1570</v>
      </c>
      <c r="P496" s="352">
        <v>1253</v>
      </c>
      <c r="Q496" s="352">
        <v>2823</v>
      </c>
      <c r="R496" s="27"/>
      <c r="S496" s="27"/>
      <c r="T496" s="27"/>
      <c r="U496" s="27"/>
      <c r="V496" s="27"/>
      <c r="W496" s="27"/>
      <c r="X496" s="27"/>
    </row>
    <row r="497" spans="2:23" ht="102.75" customHeight="1" x14ac:dyDescent="0.25">
      <c r="B497" s="489" t="s">
        <v>928</v>
      </c>
      <c r="C497" s="489"/>
      <c r="D497" s="489"/>
      <c r="E497" s="489"/>
      <c r="F497" s="489"/>
      <c r="G497" s="489"/>
      <c r="H497" s="489"/>
      <c r="I497" s="489"/>
      <c r="J497" s="489"/>
      <c r="K497" s="489"/>
      <c r="L497" s="489"/>
      <c r="M497" s="489"/>
      <c r="N497" s="489"/>
      <c r="O497" s="489"/>
      <c r="P497" s="489"/>
      <c r="Q497" s="489"/>
      <c r="R497" s="27"/>
      <c r="S497" s="27"/>
      <c r="T497" s="27"/>
      <c r="U497" s="27"/>
      <c r="V497" s="27"/>
      <c r="W497" s="27"/>
    </row>
    <row r="498" spans="2:23" x14ac:dyDescent="0.25">
      <c r="B498" s="172"/>
      <c r="C498" s="204"/>
      <c r="D498" s="204"/>
      <c r="E498" s="204"/>
      <c r="F498" s="204"/>
      <c r="G498"/>
      <c r="H498" s="27"/>
      <c r="I498" s="27"/>
      <c r="J498" s="27"/>
      <c r="K498" s="27"/>
      <c r="L498" s="27"/>
      <c r="M498" s="27"/>
      <c r="N498" s="27"/>
      <c r="O498" s="27"/>
      <c r="P498" s="27"/>
      <c r="Q498" s="27"/>
      <c r="R498" s="27"/>
      <c r="S498" s="27"/>
      <c r="T498" s="27"/>
      <c r="U498" s="27"/>
      <c r="V498" s="27"/>
      <c r="W498" s="27"/>
    </row>
    <row r="499" spans="2:23" x14ac:dyDescent="0.25">
      <c r="G499"/>
      <c r="H499" s="27"/>
      <c r="I499" s="27"/>
      <c r="J499" s="27"/>
      <c r="K499" s="27"/>
      <c r="L499" s="27"/>
      <c r="M499" s="27"/>
      <c r="N499" s="27"/>
      <c r="O499" s="27"/>
      <c r="P499" s="27"/>
      <c r="Q499" s="27"/>
      <c r="R499" s="27"/>
      <c r="S499" s="27"/>
      <c r="T499" s="27"/>
      <c r="U499" s="27"/>
      <c r="V499" s="27"/>
      <c r="W499" s="27"/>
    </row>
    <row r="500" spans="2:23" x14ac:dyDescent="0.25">
      <c r="G500"/>
      <c r="H500" s="27"/>
      <c r="I500" s="27"/>
      <c r="J500" s="27"/>
      <c r="K500" s="27"/>
      <c r="L500" s="27"/>
      <c r="M500" s="27"/>
      <c r="N500" s="27"/>
      <c r="O500" s="27"/>
      <c r="P500" s="27"/>
      <c r="Q500" s="27"/>
      <c r="R500" s="27"/>
      <c r="S500" s="27"/>
      <c r="T500" s="27"/>
      <c r="U500" s="27"/>
      <c r="V500" s="27"/>
      <c r="W500" s="27"/>
    </row>
    <row r="501" spans="2:23" x14ac:dyDescent="0.25">
      <c r="G501"/>
      <c r="H501" s="27"/>
      <c r="I501" s="27"/>
      <c r="J501" s="27"/>
      <c r="K501" s="27"/>
      <c r="L501" s="27"/>
      <c r="M501" s="27"/>
      <c r="N501" s="27"/>
      <c r="O501" s="27"/>
      <c r="P501" s="27"/>
      <c r="Q501" s="27"/>
      <c r="R501" s="27"/>
      <c r="S501" s="27"/>
      <c r="T501" s="27"/>
      <c r="U501" s="27"/>
      <c r="V501" s="27"/>
      <c r="W501" s="27"/>
    </row>
    <row r="502" spans="2:23" x14ac:dyDescent="0.25">
      <c r="G502"/>
      <c r="H502" s="27"/>
      <c r="I502" s="27"/>
      <c r="J502" s="27"/>
      <c r="K502" s="27"/>
      <c r="L502" s="27"/>
      <c r="M502" s="27"/>
      <c r="N502" s="27"/>
      <c r="O502" s="27"/>
      <c r="P502" s="27"/>
      <c r="Q502" s="27"/>
      <c r="R502" s="27"/>
      <c r="S502" s="27"/>
      <c r="T502" s="27"/>
      <c r="U502" s="27"/>
      <c r="V502" s="27"/>
      <c r="W502" s="27"/>
    </row>
    <row r="503" spans="2:23" x14ac:dyDescent="0.25">
      <c r="G503" s="27"/>
      <c r="H503" s="27"/>
      <c r="I503" s="27"/>
      <c r="J503" s="27"/>
      <c r="K503" s="27"/>
      <c r="L503" s="27"/>
      <c r="M503" s="27"/>
      <c r="N503" s="27"/>
      <c r="O503" s="27"/>
      <c r="P503" s="27"/>
      <c r="Q503" s="27"/>
      <c r="R503" s="27"/>
      <c r="S503" s="27"/>
      <c r="T503" s="27"/>
      <c r="U503" s="27"/>
      <c r="V503" s="27"/>
      <c r="W503" s="27"/>
    </row>
    <row r="504" spans="2:23" ht="34.5" customHeight="1" x14ac:dyDescent="0.25">
      <c r="G504" s="27"/>
      <c r="H504" s="27"/>
      <c r="I504" s="27"/>
      <c r="J504" s="27"/>
      <c r="K504" s="27"/>
      <c r="L504" s="27"/>
      <c r="M504" s="27"/>
      <c r="N504" s="27"/>
      <c r="O504" s="27"/>
      <c r="P504" s="27"/>
      <c r="Q504" s="27"/>
      <c r="R504" s="27"/>
    </row>
  </sheetData>
  <mergeCells count="138">
    <mergeCell ref="B49:B51"/>
    <mergeCell ref="B83:B85"/>
    <mergeCell ref="B62:Q62"/>
    <mergeCell ref="B102:Q102"/>
    <mergeCell ref="B189:Q189"/>
    <mergeCell ref="B268:Q268"/>
    <mergeCell ref="B346:Q346"/>
    <mergeCell ref="B363:Q363"/>
    <mergeCell ref="C83:N83"/>
    <mergeCell ref="C152:N152"/>
    <mergeCell ref="B231:B233"/>
    <mergeCell ref="O66:Q67"/>
    <mergeCell ref="C67:E67"/>
    <mergeCell ref="F67:H67"/>
    <mergeCell ref="I67:K67"/>
    <mergeCell ref="L67:N67"/>
    <mergeCell ref="O83:Q84"/>
    <mergeCell ref="C84:E84"/>
    <mergeCell ref="F84:H84"/>
    <mergeCell ref="I84:K84"/>
    <mergeCell ref="L84:N84"/>
    <mergeCell ref="C66:N66"/>
    <mergeCell ref="B79:Q79"/>
    <mergeCell ref="B66:B68"/>
    <mergeCell ref="O7:Q8"/>
    <mergeCell ref="C34:N34"/>
    <mergeCell ref="O34:Q35"/>
    <mergeCell ref="C35:E35"/>
    <mergeCell ref="F35:H35"/>
    <mergeCell ref="I35:K35"/>
    <mergeCell ref="L35:N35"/>
    <mergeCell ref="O49:Q50"/>
    <mergeCell ref="C50:E50"/>
    <mergeCell ref="F50:H50"/>
    <mergeCell ref="I50:K50"/>
    <mergeCell ref="L50:N50"/>
    <mergeCell ref="C49:N49"/>
    <mergeCell ref="C7:N7"/>
    <mergeCell ref="F8:H8"/>
    <mergeCell ref="I8:K8"/>
    <mergeCell ref="L8:N8"/>
    <mergeCell ref="B45:Q45"/>
    <mergeCell ref="B27:Q27"/>
    <mergeCell ref="C8:E8"/>
    <mergeCell ref="B34:B36"/>
    <mergeCell ref="B7:B9"/>
    <mergeCell ref="I29:I30"/>
    <mergeCell ref="I31:I32"/>
    <mergeCell ref="O106:Q107"/>
    <mergeCell ref="C107:E107"/>
    <mergeCell ref="F107:H107"/>
    <mergeCell ref="I107:K107"/>
    <mergeCell ref="L107:N107"/>
    <mergeCell ref="O152:Q153"/>
    <mergeCell ref="C153:E153"/>
    <mergeCell ref="F153:H153"/>
    <mergeCell ref="I153:K153"/>
    <mergeCell ref="L153:N153"/>
    <mergeCell ref="C106:N106"/>
    <mergeCell ref="B148:Q148"/>
    <mergeCell ref="B106:B108"/>
    <mergeCell ref="B152:B154"/>
    <mergeCell ref="C381:N381"/>
    <mergeCell ref="B437:Q437"/>
    <mergeCell ref="B457:Q457"/>
    <mergeCell ref="B461:B463"/>
    <mergeCell ref="B441:B443"/>
    <mergeCell ref="O193:Q194"/>
    <mergeCell ref="C194:E194"/>
    <mergeCell ref="F194:H194"/>
    <mergeCell ref="I194:K194"/>
    <mergeCell ref="L194:N194"/>
    <mergeCell ref="O231:Q232"/>
    <mergeCell ref="C232:E232"/>
    <mergeCell ref="F232:H232"/>
    <mergeCell ref="I232:K232"/>
    <mergeCell ref="L232:N232"/>
    <mergeCell ref="C193:N193"/>
    <mergeCell ref="B227:Q227"/>
    <mergeCell ref="B193:B195"/>
    <mergeCell ref="C231:N231"/>
    <mergeCell ref="O350:Q351"/>
    <mergeCell ref="C351:E351"/>
    <mergeCell ref="F351:H351"/>
    <mergeCell ref="I351:K351"/>
    <mergeCell ref="L351:N351"/>
    <mergeCell ref="C312:N312"/>
    <mergeCell ref="C367:N367"/>
    <mergeCell ref="O367:Q368"/>
    <mergeCell ref="C368:E368"/>
    <mergeCell ref="F368:H368"/>
    <mergeCell ref="I368:K368"/>
    <mergeCell ref="L368:N368"/>
    <mergeCell ref="O272:Q273"/>
    <mergeCell ref="C273:E273"/>
    <mergeCell ref="F273:H273"/>
    <mergeCell ref="I273:K273"/>
    <mergeCell ref="L273:N273"/>
    <mergeCell ref="O381:Q382"/>
    <mergeCell ref="B377:Q377"/>
    <mergeCell ref="C382:E382"/>
    <mergeCell ref="F382:H382"/>
    <mergeCell ref="I382:K382"/>
    <mergeCell ref="L382:N382"/>
    <mergeCell ref="B381:B383"/>
    <mergeCell ref="C272:N272"/>
    <mergeCell ref="B308:Q308"/>
    <mergeCell ref="B367:B369"/>
    <mergeCell ref="B350:B352"/>
    <mergeCell ref="B312:B314"/>
    <mergeCell ref="B272:B274"/>
    <mergeCell ref="O312:Q313"/>
    <mergeCell ref="C313:E313"/>
    <mergeCell ref="F313:H313"/>
    <mergeCell ref="I313:K313"/>
    <mergeCell ref="L313:N313"/>
    <mergeCell ref="C350:N350"/>
    <mergeCell ref="B468:Q468"/>
    <mergeCell ref="B497:Q497"/>
    <mergeCell ref="C472:N472"/>
    <mergeCell ref="O472:Q473"/>
    <mergeCell ref="C473:E473"/>
    <mergeCell ref="F473:H473"/>
    <mergeCell ref="I473:K473"/>
    <mergeCell ref="L473:N473"/>
    <mergeCell ref="B472:B474"/>
    <mergeCell ref="C441:N441"/>
    <mergeCell ref="O441:Q442"/>
    <mergeCell ref="C442:E442"/>
    <mergeCell ref="F442:H442"/>
    <mergeCell ref="I442:K442"/>
    <mergeCell ref="L442:N442"/>
    <mergeCell ref="C461:N461"/>
    <mergeCell ref="O461:Q462"/>
    <mergeCell ref="C462:E462"/>
    <mergeCell ref="F462:H462"/>
    <mergeCell ref="I462:K462"/>
    <mergeCell ref="L462:N462"/>
  </mergeCells>
  <pageMargins left="0.7" right="0.7" top="0.75" bottom="0.75" header="0.3" footer="0.3"/>
  <pageSetup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W224"/>
  <sheetViews>
    <sheetView showGridLines="0" workbookViewId="0">
      <selection activeCell="B216" sqref="B216:W216"/>
    </sheetView>
  </sheetViews>
  <sheetFormatPr baseColWidth="10" defaultColWidth="11.5703125" defaultRowHeight="15" outlineLevelRow="1" x14ac:dyDescent="0.25"/>
  <cols>
    <col min="1" max="1" width="6.7109375" style="21" customWidth="1"/>
    <col min="2" max="2" width="20.5703125" style="21" customWidth="1"/>
    <col min="3" max="3" width="22.28515625" style="21" customWidth="1"/>
    <col min="4" max="4" width="11.5703125" style="21"/>
    <col min="5" max="5" width="13.5703125" style="21" bestFit="1" customWidth="1"/>
    <col min="6" max="6" width="13.140625" style="21" customWidth="1"/>
    <col min="7" max="7" width="11.5703125" style="21"/>
    <col min="8" max="8" width="14.7109375" style="21" customWidth="1"/>
    <col min="9" max="9" width="10" style="21" customWidth="1"/>
    <col min="10" max="10" width="12.28515625" style="21" customWidth="1"/>
    <col min="11" max="18" width="11.5703125" style="21" customWidth="1"/>
    <col min="19" max="19" width="10.140625" style="21" customWidth="1"/>
    <col min="20" max="16384" width="11.5703125" style="21"/>
  </cols>
  <sheetData>
    <row r="2" spans="2:17" ht="23.25" x14ac:dyDescent="0.25">
      <c r="B2" s="1" t="s">
        <v>791</v>
      </c>
    </row>
    <row r="4" spans="2:17" ht="18.75" x14ac:dyDescent="0.3">
      <c r="B4" s="2" t="s">
        <v>873</v>
      </c>
      <c r="C4" s="22"/>
      <c r="D4" s="22"/>
      <c r="E4" s="22"/>
      <c r="F4" s="22"/>
      <c r="G4" s="22"/>
      <c r="H4" s="22"/>
      <c r="I4"/>
    </row>
    <row r="5" spans="2:17" x14ac:dyDescent="0.25">
      <c r="B5" s="492" t="s">
        <v>867</v>
      </c>
      <c r="C5" s="492"/>
      <c r="D5" s="492"/>
      <c r="E5" s="492"/>
      <c r="F5" s="492"/>
      <c r="G5" s="492"/>
      <c r="H5" s="492"/>
    </row>
    <row r="6" spans="2:17" x14ac:dyDescent="0.25">
      <c r="B6" s="3"/>
      <c r="C6" s="3"/>
      <c r="D6" s="3"/>
      <c r="E6" s="3"/>
      <c r="F6" s="3"/>
      <c r="G6" s="3"/>
      <c r="H6" s="3"/>
    </row>
    <row r="7" spans="2:17" x14ac:dyDescent="0.25">
      <c r="B7" s="494" t="s">
        <v>490</v>
      </c>
      <c r="C7" s="493" t="s">
        <v>489</v>
      </c>
      <c r="D7" s="493"/>
      <c r="E7" s="493"/>
      <c r="F7" s="3"/>
      <c r="G7" s="3"/>
      <c r="H7" s="3"/>
    </row>
    <row r="8" spans="2:17" x14ac:dyDescent="0.25">
      <c r="B8" s="494"/>
      <c r="C8" s="249" t="s">
        <v>83</v>
      </c>
      <c r="D8" s="249" t="s">
        <v>84</v>
      </c>
      <c r="E8" s="249" t="s">
        <v>603</v>
      </c>
      <c r="F8" s="3"/>
      <c r="G8" s="3"/>
      <c r="H8" s="3"/>
    </row>
    <row r="9" spans="2:17" x14ac:dyDescent="0.25">
      <c r="B9" s="347" t="s">
        <v>707</v>
      </c>
      <c r="C9" s="307">
        <v>7118</v>
      </c>
      <c r="D9" s="307">
        <v>9059</v>
      </c>
      <c r="E9" s="307">
        <v>16177</v>
      </c>
      <c r="F9" s="3"/>
      <c r="G9" s="3"/>
      <c r="H9" s="3"/>
    </row>
    <row r="10" spans="2:17" x14ac:dyDescent="0.25">
      <c r="B10" s="347" t="s">
        <v>497</v>
      </c>
      <c r="C10" s="307">
        <v>19163</v>
      </c>
      <c r="D10" s="307">
        <v>12835</v>
      </c>
      <c r="E10" s="307">
        <v>31998</v>
      </c>
      <c r="F10" s="3"/>
      <c r="G10" s="3"/>
      <c r="H10" s="3"/>
    </row>
    <row r="11" spans="2:17" x14ac:dyDescent="0.25">
      <c r="B11" s="347" t="s">
        <v>4</v>
      </c>
      <c r="C11" s="307">
        <v>150</v>
      </c>
      <c r="D11" s="307">
        <v>159</v>
      </c>
      <c r="E11" s="307">
        <v>309</v>
      </c>
      <c r="F11" s="3"/>
      <c r="G11" s="3"/>
      <c r="H11" s="3"/>
    </row>
    <row r="12" spans="2:17" x14ac:dyDescent="0.25">
      <c r="B12" s="347" t="s">
        <v>6</v>
      </c>
      <c r="C12" s="307">
        <v>636</v>
      </c>
      <c r="D12" s="307">
        <v>1106</v>
      </c>
      <c r="E12" s="307">
        <v>1742</v>
      </c>
      <c r="F12" s="3"/>
      <c r="G12" s="3"/>
      <c r="H12" s="3"/>
    </row>
    <row r="13" spans="2:17" x14ac:dyDescent="0.25">
      <c r="B13" s="375" t="s">
        <v>487</v>
      </c>
      <c r="C13" s="367">
        <v>27067</v>
      </c>
      <c r="D13" s="367">
        <v>23159</v>
      </c>
      <c r="E13" s="367">
        <v>50226</v>
      </c>
    </row>
    <row r="14" spans="2:17" ht="108" customHeight="1" x14ac:dyDescent="0.25">
      <c r="B14" s="469" t="s">
        <v>929</v>
      </c>
      <c r="C14" s="469"/>
      <c r="D14" s="469"/>
      <c r="E14" s="469"/>
      <c r="F14" s="469"/>
      <c r="G14" s="469"/>
      <c r="H14" s="469"/>
      <c r="I14" s="469"/>
      <c r="J14" s="469"/>
      <c r="K14" s="469"/>
      <c r="L14" s="469"/>
      <c r="M14" s="469"/>
      <c r="N14" s="469"/>
      <c r="O14" s="469"/>
      <c r="P14" s="469"/>
      <c r="Q14" s="469"/>
    </row>
    <row r="16" spans="2:17" ht="18.75" x14ac:dyDescent="0.3">
      <c r="B16" s="2" t="s">
        <v>917</v>
      </c>
      <c r="C16" s="2"/>
      <c r="D16" s="2"/>
      <c r="E16" s="2"/>
      <c r="F16" s="2"/>
      <c r="G16" s="2"/>
      <c r="H16" s="2"/>
      <c r="I16"/>
    </row>
    <row r="17" spans="2:23" x14ac:dyDescent="0.25">
      <c r="B17" s="492" t="s">
        <v>872</v>
      </c>
      <c r="C17" s="492"/>
      <c r="D17" s="492"/>
      <c r="E17" s="492"/>
      <c r="F17" s="492"/>
      <c r="G17" s="492"/>
      <c r="H17" s="492"/>
    </row>
    <row r="18" spans="2:23" x14ac:dyDescent="0.25">
      <c r="B18" s="3"/>
      <c r="C18" s="3"/>
      <c r="D18" s="3"/>
      <c r="E18" s="3"/>
      <c r="F18" s="3"/>
      <c r="G18" s="3"/>
      <c r="H18" s="3"/>
    </row>
    <row r="19" spans="2:23" x14ac:dyDescent="0.25">
      <c r="B19" s="475" t="s">
        <v>483</v>
      </c>
      <c r="C19" s="472" t="s">
        <v>488</v>
      </c>
      <c r="D19" s="473"/>
      <c r="E19" s="473"/>
      <c r="F19" s="473"/>
      <c r="G19" s="473"/>
      <c r="H19" s="473"/>
      <c r="I19" s="473"/>
      <c r="J19" s="473"/>
      <c r="K19" s="473"/>
      <c r="L19" s="473"/>
      <c r="M19" s="473"/>
      <c r="N19" s="473"/>
      <c r="O19" s="473"/>
      <c r="P19" s="473"/>
      <c r="Q19" s="473"/>
      <c r="R19" s="473"/>
      <c r="S19" s="473"/>
      <c r="T19" s="474"/>
      <c r="U19" s="464" t="s">
        <v>487</v>
      </c>
      <c r="V19" s="464"/>
      <c r="W19" s="464"/>
    </row>
    <row r="20" spans="2:23" x14ac:dyDescent="0.25">
      <c r="B20" s="475"/>
      <c r="C20" s="465" t="s">
        <v>707</v>
      </c>
      <c r="D20" s="465"/>
      <c r="E20" s="465"/>
      <c r="F20" s="465" t="s">
        <v>497</v>
      </c>
      <c r="G20" s="465"/>
      <c r="H20" s="465"/>
      <c r="I20" s="465" t="s">
        <v>3</v>
      </c>
      <c r="J20" s="465"/>
      <c r="K20" s="465"/>
      <c r="L20" s="465" t="s">
        <v>4</v>
      </c>
      <c r="M20" s="465"/>
      <c r="N20" s="465"/>
      <c r="O20" s="465" t="s">
        <v>5</v>
      </c>
      <c r="P20" s="465"/>
      <c r="Q20" s="465"/>
      <c r="R20" s="465" t="s">
        <v>6</v>
      </c>
      <c r="S20" s="465"/>
      <c r="T20" s="465"/>
      <c r="U20" s="464"/>
      <c r="V20" s="464"/>
      <c r="W20" s="464"/>
    </row>
    <row r="21" spans="2:23" x14ac:dyDescent="0.25">
      <c r="B21" s="475"/>
      <c r="C21" s="257" t="s">
        <v>83</v>
      </c>
      <c r="D21" s="257" t="s">
        <v>84</v>
      </c>
      <c r="E21" s="257" t="s">
        <v>35</v>
      </c>
      <c r="F21" s="257" t="s">
        <v>83</v>
      </c>
      <c r="G21" s="257" t="s">
        <v>84</v>
      </c>
      <c r="H21" s="257" t="s">
        <v>35</v>
      </c>
      <c r="I21" s="257" t="s">
        <v>83</v>
      </c>
      <c r="J21" s="257" t="s">
        <v>84</v>
      </c>
      <c r="K21" s="257" t="s">
        <v>35</v>
      </c>
      <c r="L21" s="257" t="s">
        <v>83</v>
      </c>
      <c r="M21" s="257" t="s">
        <v>84</v>
      </c>
      <c r="N21" s="257" t="s">
        <v>35</v>
      </c>
      <c r="O21" s="257" t="s">
        <v>83</v>
      </c>
      <c r="P21" s="257" t="s">
        <v>84</v>
      </c>
      <c r="Q21" s="257" t="s">
        <v>35</v>
      </c>
      <c r="R21" s="257" t="s">
        <v>83</v>
      </c>
      <c r="S21" s="257" t="s">
        <v>84</v>
      </c>
      <c r="T21" s="257" t="s">
        <v>35</v>
      </c>
      <c r="U21" s="374" t="s">
        <v>83</v>
      </c>
      <c r="V21" s="374" t="s">
        <v>84</v>
      </c>
      <c r="W21" s="374" t="s">
        <v>35</v>
      </c>
    </row>
    <row r="22" spans="2:23" hidden="1" outlineLevel="1" x14ac:dyDescent="0.25">
      <c r="B22" s="404">
        <v>39630</v>
      </c>
      <c r="C22" s="405"/>
      <c r="D22" s="405"/>
      <c r="E22" s="405"/>
      <c r="F22" s="405"/>
      <c r="G22" s="405"/>
      <c r="H22" s="405"/>
      <c r="I22" s="405">
        <v>36350</v>
      </c>
      <c r="J22" s="405">
        <v>7863</v>
      </c>
      <c r="K22" s="405">
        <v>44213</v>
      </c>
      <c r="L22" s="405">
        <v>4845</v>
      </c>
      <c r="M22" s="405">
        <v>1738</v>
      </c>
      <c r="N22" s="405">
        <v>6583</v>
      </c>
      <c r="O22" s="405">
        <v>2015</v>
      </c>
      <c r="P22" s="405">
        <v>795</v>
      </c>
      <c r="Q22" s="405">
        <v>2810</v>
      </c>
      <c r="R22" s="405">
        <v>199</v>
      </c>
      <c r="S22" s="405">
        <v>170</v>
      </c>
      <c r="T22" s="405">
        <v>369</v>
      </c>
      <c r="U22" s="406">
        <v>43409</v>
      </c>
      <c r="V22" s="406">
        <v>10566</v>
      </c>
      <c r="W22" s="406">
        <v>53975</v>
      </c>
    </row>
    <row r="23" spans="2:23" hidden="1" outlineLevel="1" x14ac:dyDescent="0.25">
      <c r="B23" s="404">
        <v>39661</v>
      </c>
      <c r="C23" s="405"/>
      <c r="D23" s="405"/>
      <c r="E23" s="405"/>
      <c r="F23" s="405"/>
      <c r="G23" s="405"/>
      <c r="H23" s="405"/>
      <c r="I23" s="405">
        <v>8745</v>
      </c>
      <c r="J23" s="405">
        <v>2721</v>
      </c>
      <c r="K23" s="405">
        <v>11466</v>
      </c>
      <c r="L23" s="405">
        <v>3700</v>
      </c>
      <c r="M23" s="405">
        <v>1423</v>
      </c>
      <c r="N23" s="405">
        <v>5123</v>
      </c>
      <c r="O23" s="405">
        <v>1283</v>
      </c>
      <c r="P23" s="405">
        <v>519</v>
      </c>
      <c r="Q23" s="405">
        <v>1802</v>
      </c>
      <c r="R23" s="405">
        <v>102</v>
      </c>
      <c r="S23" s="405">
        <v>128</v>
      </c>
      <c r="T23" s="405">
        <v>230</v>
      </c>
      <c r="U23" s="406">
        <v>13830</v>
      </c>
      <c r="V23" s="406">
        <v>4791</v>
      </c>
      <c r="W23" s="406">
        <v>18621</v>
      </c>
    </row>
    <row r="24" spans="2:23" hidden="1" outlineLevel="1" x14ac:dyDescent="0.25">
      <c r="B24" s="404">
        <v>39692</v>
      </c>
      <c r="C24" s="405"/>
      <c r="D24" s="405"/>
      <c r="E24" s="405"/>
      <c r="F24" s="405"/>
      <c r="G24" s="405"/>
      <c r="H24" s="405"/>
      <c r="I24" s="405">
        <v>6845</v>
      </c>
      <c r="J24" s="405">
        <v>2030</v>
      </c>
      <c r="K24" s="405">
        <v>8875</v>
      </c>
      <c r="L24" s="405">
        <v>2039</v>
      </c>
      <c r="M24" s="405">
        <v>756</v>
      </c>
      <c r="N24" s="405">
        <v>2795</v>
      </c>
      <c r="O24" s="405">
        <v>854</v>
      </c>
      <c r="P24" s="405">
        <v>398</v>
      </c>
      <c r="Q24" s="405">
        <v>1252</v>
      </c>
      <c r="R24" s="405">
        <v>81</v>
      </c>
      <c r="S24" s="405">
        <v>98</v>
      </c>
      <c r="T24" s="405">
        <v>179</v>
      </c>
      <c r="U24" s="406">
        <v>9819</v>
      </c>
      <c r="V24" s="406">
        <v>3282</v>
      </c>
      <c r="W24" s="406">
        <v>13101</v>
      </c>
    </row>
    <row r="25" spans="2:23" hidden="1" outlineLevel="1" x14ac:dyDescent="0.25">
      <c r="B25" s="404">
        <v>39722</v>
      </c>
      <c r="C25" s="405"/>
      <c r="D25" s="405"/>
      <c r="E25" s="405"/>
      <c r="F25" s="405"/>
      <c r="G25" s="405"/>
      <c r="H25" s="405"/>
      <c r="I25" s="405">
        <v>5895</v>
      </c>
      <c r="J25" s="405">
        <v>1740</v>
      </c>
      <c r="K25" s="405">
        <v>7635</v>
      </c>
      <c r="L25" s="405">
        <v>2016</v>
      </c>
      <c r="M25" s="405">
        <v>783</v>
      </c>
      <c r="N25" s="405">
        <v>2799</v>
      </c>
      <c r="O25" s="405">
        <v>785</v>
      </c>
      <c r="P25" s="405">
        <v>416</v>
      </c>
      <c r="Q25" s="405">
        <v>1201</v>
      </c>
      <c r="R25" s="405">
        <v>89</v>
      </c>
      <c r="S25" s="405">
        <v>73</v>
      </c>
      <c r="T25" s="405">
        <v>162</v>
      </c>
      <c r="U25" s="406">
        <v>8785</v>
      </c>
      <c r="V25" s="406">
        <v>3012</v>
      </c>
      <c r="W25" s="406">
        <v>11797</v>
      </c>
    </row>
    <row r="26" spans="2:23" hidden="1" outlineLevel="1" x14ac:dyDescent="0.25">
      <c r="B26" s="404">
        <v>39753</v>
      </c>
      <c r="C26" s="405"/>
      <c r="D26" s="405"/>
      <c r="E26" s="405"/>
      <c r="F26" s="405"/>
      <c r="G26" s="405"/>
      <c r="H26" s="405"/>
      <c r="I26" s="405">
        <v>4351</v>
      </c>
      <c r="J26" s="405">
        <v>1261</v>
      </c>
      <c r="K26" s="405">
        <v>5612</v>
      </c>
      <c r="L26" s="405">
        <v>1313</v>
      </c>
      <c r="M26" s="405">
        <v>597</v>
      </c>
      <c r="N26" s="405">
        <v>1910</v>
      </c>
      <c r="O26" s="405">
        <v>677</v>
      </c>
      <c r="P26" s="405">
        <v>409</v>
      </c>
      <c r="Q26" s="405">
        <v>1086</v>
      </c>
      <c r="R26" s="405">
        <v>151</v>
      </c>
      <c r="S26" s="405">
        <v>123</v>
      </c>
      <c r="T26" s="405">
        <v>274</v>
      </c>
      <c r="U26" s="406">
        <v>6492</v>
      </c>
      <c r="V26" s="406">
        <v>2390</v>
      </c>
      <c r="W26" s="406">
        <v>8882</v>
      </c>
    </row>
    <row r="27" spans="2:23" hidden="1" outlineLevel="1" x14ac:dyDescent="0.25">
      <c r="B27" s="404">
        <v>39783</v>
      </c>
      <c r="C27" s="405"/>
      <c r="D27" s="405"/>
      <c r="E27" s="405"/>
      <c r="F27" s="405"/>
      <c r="G27" s="405"/>
      <c r="H27" s="405"/>
      <c r="I27" s="405">
        <v>4050</v>
      </c>
      <c r="J27" s="405">
        <v>1213</v>
      </c>
      <c r="K27" s="405">
        <v>5263</v>
      </c>
      <c r="L27" s="405">
        <v>1341</v>
      </c>
      <c r="M27" s="405">
        <v>591</v>
      </c>
      <c r="N27" s="405">
        <v>1932</v>
      </c>
      <c r="O27" s="405">
        <v>715</v>
      </c>
      <c r="P27" s="405">
        <v>480</v>
      </c>
      <c r="Q27" s="405">
        <v>1195</v>
      </c>
      <c r="R27" s="405">
        <v>188</v>
      </c>
      <c r="S27" s="405">
        <v>127</v>
      </c>
      <c r="T27" s="405">
        <v>315</v>
      </c>
      <c r="U27" s="406">
        <v>6294</v>
      </c>
      <c r="V27" s="406">
        <v>2411</v>
      </c>
      <c r="W27" s="406">
        <v>8705</v>
      </c>
    </row>
    <row r="28" spans="2:23" collapsed="1" x14ac:dyDescent="0.25">
      <c r="B28" s="407" t="s">
        <v>749</v>
      </c>
      <c r="C28" s="408" t="s">
        <v>916</v>
      </c>
      <c r="D28" s="408" t="s">
        <v>916</v>
      </c>
      <c r="E28" s="408" t="s">
        <v>916</v>
      </c>
      <c r="F28" s="408" t="s">
        <v>916</v>
      </c>
      <c r="G28" s="408" t="s">
        <v>916</v>
      </c>
      <c r="H28" s="408" t="s">
        <v>916</v>
      </c>
      <c r="I28" s="408">
        <v>11039</v>
      </c>
      <c r="J28" s="408">
        <v>2805</v>
      </c>
      <c r="K28" s="408">
        <v>13844</v>
      </c>
      <c r="L28" s="408">
        <v>2542</v>
      </c>
      <c r="M28" s="408">
        <v>981</v>
      </c>
      <c r="N28" s="408">
        <v>3524</v>
      </c>
      <c r="O28" s="408">
        <v>1055</v>
      </c>
      <c r="P28" s="408">
        <v>503</v>
      </c>
      <c r="Q28" s="408">
        <v>1558</v>
      </c>
      <c r="R28" s="408">
        <v>135</v>
      </c>
      <c r="S28" s="408">
        <v>120</v>
      </c>
      <c r="T28" s="408">
        <v>255</v>
      </c>
      <c r="U28" s="408">
        <v>14772</v>
      </c>
      <c r="V28" s="408">
        <v>4409</v>
      </c>
      <c r="W28" s="408">
        <v>19180</v>
      </c>
    </row>
    <row r="29" spans="2:23" hidden="1" outlineLevel="1" x14ac:dyDescent="0.25">
      <c r="B29" s="404">
        <v>39814</v>
      </c>
      <c r="C29" s="405"/>
      <c r="D29" s="405"/>
      <c r="E29" s="405"/>
      <c r="F29" s="405"/>
      <c r="G29" s="405"/>
      <c r="H29" s="405"/>
      <c r="I29" s="405">
        <v>3250</v>
      </c>
      <c r="J29" s="405">
        <v>1169</v>
      </c>
      <c r="K29" s="405">
        <v>4419</v>
      </c>
      <c r="L29" s="405">
        <v>1254</v>
      </c>
      <c r="M29" s="405">
        <v>494</v>
      </c>
      <c r="N29" s="405">
        <v>1748</v>
      </c>
      <c r="O29" s="405">
        <v>674</v>
      </c>
      <c r="P29" s="405">
        <v>542</v>
      </c>
      <c r="Q29" s="405">
        <v>1216</v>
      </c>
      <c r="R29" s="405">
        <v>257</v>
      </c>
      <c r="S29" s="405">
        <v>162</v>
      </c>
      <c r="T29" s="405">
        <v>419</v>
      </c>
      <c r="U29" s="406">
        <v>5435</v>
      </c>
      <c r="V29" s="406">
        <v>2367</v>
      </c>
      <c r="W29" s="406">
        <v>7802</v>
      </c>
    </row>
    <row r="30" spans="2:23" hidden="1" outlineLevel="1" x14ac:dyDescent="0.25">
      <c r="B30" s="404">
        <v>39845</v>
      </c>
      <c r="C30" s="405"/>
      <c r="D30" s="405"/>
      <c r="E30" s="405"/>
      <c r="F30" s="405"/>
      <c r="G30" s="405"/>
      <c r="H30" s="405"/>
      <c r="I30" s="405">
        <v>2446</v>
      </c>
      <c r="J30" s="405">
        <v>868</v>
      </c>
      <c r="K30" s="405">
        <v>3314</v>
      </c>
      <c r="L30" s="405">
        <v>933</v>
      </c>
      <c r="M30" s="405">
        <v>489</v>
      </c>
      <c r="N30" s="405">
        <v>1422</v>
      </c>
      <c r="O30" s="405">
        <v>590</v>
      </c>
      <c r="P30" s="405">
        <v>500</v>
      </c>
      <c r="Q30" s="405">
        <v>1090</v>
      </c>
      <c r="R30" s="405">
        <v>268</v>
      </c>
      <c r="S30" s="405">
        <v>190</v>
      </c>
      <c r="T30" s="405">
        <v>458</v>
      </c>
      <c r="U30" s="406">
        <v>4237</v>
      </c>
      <c r="V30" s="406">
        <v>2047</v>
      </c>
      <c r="W30" s="406">
        <v>6284</v>
      </c>
    </row>
    <row r="31" spans="2:23" hidden="1" outlineLevel="1" x14ac:dyDescent="0.25">
      <c r="B31" s="404">
        <v>39873</v>
      </c>
      <c r="C31" s="405"/>
      <c r="D31" s="405"/>
      <c r="E31" s="405"/>
      <c r="F31" s="405"/>
      <c r="G31" s="405"/>
      <c r="H31" s="405"/>
      <c r="I31" s="405">
        <v>3166</v>
      </c>
      <c r="J31" s="405">
        <v>1055</v>
      </c>
      <c r="K31" s="405">
        <v>4221</v>
      </c>
      <c r="L31" s="405">
        <v>1323</v>
      </c>
      <c r="M31" s="405">
        <v>558</v>
      </c>
      <c r="N31" s="405">
        <v>1881</v>
      </c>
      <c r="O31" s="405">
        <v>695</v>
      </c>
      <c r="P31" s="405">
        <v>637</v>
      </c>
      <c r="Q31" s="405">
        <v>1332</v>
      </c>
      <c r="R31" s="405">
        <v>307</v>
      </c>
      <c r="S31" s="405">
        <v>252</v>
      </c>
      <c r="T31" s="405">
        <v>559</v>
      </c>
      <c r="U31" s="406">
        <v>5491</v>
      </c>
      <c r="V31" s="406">
        <v>2502</v>
      </c>
      <c r="W31" s="406">
        <v>7993</v>
      </c>
    </row>
    <row r="32" spans="2:23" hidden="1" outlineLevel="1" x14ac:dyDescent="0.25">
      <c r="B32" s="404">
        <v>39904</v>
      </c>
      <c r="C32" s="405"/>
      <c r="D32" s="405"/>
      <c r="E32" s="405"/>
      <c r="F32" s="405"/>
      <c r="G32" s="405"/>
      <c r="H32" s="405"/>
      <c r="I32" s="405">
        <v>2833</v>
      </c>
      <c r="J32" s="405">
        <v>932</v>
      </c>
      <c r="K32" s="405">
        <v>3765</v>
      </c>
      <c r="L32" s="405">
        <v>1224</v>
      </c>
      <c r="M32" s="405">
        <v>518</v>
      </c>
      <c r="N32" s="405">
        <v>1742</v>
      </c>
      <c r="O32" s="405">
        <v>665</v>
      </c>
      <c r="P32" s="405">
        <v>567</v>
      </c>
      <c r="Q32" s="405">
        <v>1232</v>
      </c>
      <c r="R32" s="405">
        <v>334</v>
      </c>
      <c r="S32" s="405">
        <v>243</v>
      </c>
      <c r="T32" s="405">
        <v>577</v>
      </c>
      <c r="U32" s="406">
        <v>5056</v>
      </c>
      <c r="V32" s="406">
        <v>2260</v>
      </c>
      <c r="W32" s="406">
        <v>7316</v>
      </c>
    </row>
    <row r="33" spans="2:23" hidden="1" outlineLevel="1" x14ac:dyDescent="0.25">
      <c r="B33" s="404">
        <v>39934</v>
      </c>
      <c r="C33" s="405"/>
      <c r="D33" s="405"/>
      <c r="E33" s="405"/>
      <c r="F33" s="405"/>
      <c r="G33" s="405"/>
      <c r="H33" s="405"/>
      <c r="I33" s="405">
        <v>2600</v>
      </c>
      <c r="J33" s="405">
        <v>877</v>
      </c>
      <c r="K33" s="405">
        <v>3477</v>
      </c>
      <c r="L33" s="405">
        <v>1042</v>
      </c>
      <c r="M33" s="405">
        <v>442</v>
      </c>
      <c r="N33" s="405">
        <v>1484</v>
      </c>
      <c r="O33" s="405">
        <v>553</v>
      </c>
      <c r="P33" s="405">
        <v>547</v>
      </c>
      <c r="Q33" s="405">
        <v>1100</v>
      </c>
      <c r="R33" s="405">
        <v>388</v>
      </c>
      <c r="S33" s="405">
        <v>259</v>
      </c>
      <c r="T33" s="405">
        <v>647</v>
      </c>
      <c r="U33" s="406">
        <v>4583</v>
      </c>
      <c r="V33" s="406">
        <v>2125</v>
      </c>
      <c r="W33" s="406">
        <v>6708</v>
      </c>
    </row>
    <row r="34" spans="2:23" hidden="1" outlineLevel="1" x14ac:dyDescent="0.25">
      <c r="B34" s="404">
        <v>39965</v>
      </c>
      <c r="C34" s="405"/>
      <c r="D34" s="405"/>
      <c r="E34" s="405"/>
      <c r="F34" s="405"/>
      <c r="G34" s="405"/>
      <c r="H34" s="405"/>
      <c r="I34" s="405">
        <v>1851</v>
      </c>
      <c r="J34" s="405">
        <v>973</v>
      </c>
      <c r="K34" s="405">
        <v>2824</v>
      </c>
      <c r="L34" s="405">
        <v>1212</v>
      </c>
      <c r="M34" s="405">
        <v>561</v>
      </c>
      <c r="N34" s="405">
        <v>1773</v>
      </c>
      <c r="O34" s="405">
        <v>25293</v>
      </c>
      <c r="P34" s="405">
        <v>17563</v>
      </c>
      <c r="Q34" s="405">
        <v>42856</v>
      </c>
      <c r="R34" s="405">
        <v>357</v>
      </c>
      <c r="S34" s="405">
        <v>319</v>
      </c>
      <c r="T34" s="405">
        <v>676</v>
      </c>
      <c r="U34" s="406">
        <v>28713</v>
      </c>
      <c r="V34" s="406">
        <v>19416</v>
      </c>
      <c r="W34" s="406">
        <v>48129</v>
      </c>
    </row>
    <row r="35" spans="2:23" hidden="1" outlineLevel="1" x14ac:dyDescent="0.25">
      <c r="B35" s="404">
        <v>39995</v>
      </c>
      <c r="C35" s="405"/>
      <c r="D35" s="405"/>
      <c r="E35" s="405"/>
      <c r="F35" s="405"/>
      <c r="G35" s="405"/>
      <c r="H35" s="405"/>
      <c r="I35" s="405">
        <v>7907</v>
      </c>
      <c r="J35" s="405">
        <v>1100</v>
      </c>
      <c r="K35" s="405">
        <v>9007</v>
      </c>
      <c r="L35" s="405">
        <v>1562</v>
      </c>
      <c r="M35" s="405">
        <v>564</v>
      </c>
      <c r="N35" s="405">
        <v>2126</v>
      </c>
      <c r="O35" s="405">
        <v>17318</v>
      </c>
      <c r="P35" s="405">
        <v>15867</v>
      </c>
      <c r="Q35" s="405">
        <v>33185</v>
      </c>
      <c r="R35" s="405">
        <v>370</v>
      </c>
      <c r="S35" s="405">
        <v>300</v>
      </c>
      <c r="T35" s="405">
        <v>670</v>
      </c>
      <c r="U35" s="406">
        <v>27157</v>
      </c>
      <c r="V35" s="406">
        <v>17831</v>
      </c>
      <c r="W35" s="406">
        <v>44988</v>
      </c>
    </row>
    <row r="36" spans="2:23" hidden="1" outlineLevel="1" x14ac:dyDescent="0.25">
      <c r="B36" s="404">
        <v>40026</v>
      </c>
      <c r="C36" s="405"/>
      <c r="D36" s="405"/>
      <c r="E36" s="405"/>
      <c r="F36" s="405"/>
      <c r="G36" s="405"/>
      <c r="H36" s="405"/>
      <c r="I36" s="405">
        <v>5309</v>
      </c>
      <c r="J36" s="405">
        <v>1411</v>
      </c>
      <c r="K36" s="405">
        <v>6720</v>
      </c>
      <c r="L36" s="405">
        <v>1604</v>
      </c>
      <c r="M36" s="405">
        <v>628</v>
      </c>
      <c r="N36" s="405">
        <v>2232</v>
      </c>
      <c r="O36" s="405">
        <v>31821</v>
      </c>
      <c r="P36" s="405">
        <v>22265</v>
      </c>
      <c r="Q36" s="405">
        <v>54086</v>
      </c>
      <c r="R36" s="405">
        <v>682</v>
      </c>
      <c r="S36" s="405">
        <v>510</v>
      </c>
      <c r="T36" s="405">
        <v>1192</v>
      </c>
      <c r="U36" s="406">
        <v>39416</v>
      </c>
      <c r="V36" s="406">
        <v>24814</v>
      </c>
      <c r="W36" s="406">
        <v>64230</v>
      </c>
    </row>
    <row r="37" spans="2:23" hidden="1" outlineLevel="1" x14ac:dyDescent="0.25">
      <c r="B37" s="404">
        <v>40057</v>
      </c>
      <c r="C37" s="405"/>
      <c r="D37" s="405"/>
      <c r="E37" s="405"/>
      <c r="F37" s="405"/>
      <c r="G37" s="405"/>
      <c r="H37" s="405"/>
      <c r="I37" s="405">
        <v>4866</v>
      </c>
      <c r="J37" s="405">
        <v>1389</v>
      </c>
      <c r="K37" s="405">
        <v>6255</v>
      </c>
      <c r="L37" s="405">
        <v>1384</v>
      </c>
      <c r="M37" s="405">
        <v>644</v>
      </c>
      <c r="N37" s="405">
        <v>2028</v>
      </c>
      <c r="O37" s="405">
        <v>41703</v>
      </c>
      <c r="P37" s="405">
        <v>30290</v>
      </c>
      <c r="Q37" s="405">
        <v>71993</v>
      </c>
      <c r="R37" s="405">
        <v>833</v>
      </c>
      <c r="S37" s="405">
        <v>686</v>
      </c>
      <c r="T37" s="405">
        <v>1519</v>
      </c>
      <c r="U37" s="406">
        <v>48786</v>
      </c>
      <c r="V37" s="406">
        <v>33009</v>
      </c>
      <c r="W37" s="406">
        <v>81795</v>
      </c>
    </row>
    <row r="38" spans="2:23" hidden="1" outlineLevel="1" x14ac:dyDescent="0.25">
      <c r="B38" s="404">
        <v>40087</v>
      </c>
      <c r="C38" s="405"/>
      <c r="D38" s="405"/>
      <c r="E38" s="405"/>
      <c r="F38" s="405"/>
      <c r="G38" s="405"/>
      <c r="H38" s="405"/>
      <c r="I38" s="405">
        <v>3987</v>
      </c>
      <c r="J38" s="405">
        <v>1299</v>
      </c>
      <c r="K38" s="405">
        <v>5286</v>
      </c>
      <c r="L38" s="405">
        <v>1315</v>
      </c>
      <c r="M38" s="405">
        <v>594</v>
      </c>
      <c r="N38" s="405">
        <v>1909</v>
      </c>
      <c r="O38" s="405">
        <v>18779</v>
      </c>
      <c r="P38" s="405">
        <v>14683</v>
      </c>
      <c r="Q38" s="405">
        <v>33462</v>
      </c>
      <c r="R38" s="405">
        <v>587</v>
      </c>
      <c r="S38" s="405">
        <v>468</v>
      </c>
      <c r="T38" s="405">
        <v>1055</v>
      </c>
      <c r="U38" s="406">
        <v>24668</v>
      </c>
      <c r="V38" s="406">
        <v>17044</v>
      </c>
      <c r="W38" s="406">
        <v>41712</v>
      </c>
    </row>
    <row r="39" spans="2:23" hidden="1" outlineLevel="1" x14ac:dyDescent="0.25">
      <c r="B39" s="404">
        <v>40118</v>
      </c>
      <c r="C39" s="405"/>
      <c r="D39" s="405"/>
      <c r="E39" s="405"/>
      <c r="F39" s="405"/>
      <c r="G39" s="405"/>
      <c r="H39" s="405"/>
      <c r="I39" s="405">
        <v>3353</v>
      </c>
      <c r="J39" s="405">
        <v>1111</v>
      </c>
      <c r="K39" s="405">
        <v>4464</v>
      </c>
      <c r="L39" s="405">
        <v>1006</v>
      </c>
      <c r="M39" s="405">
        <v>463</v>
      </c>
      <c r="N39" s="405">
        <v>1469</v>
      </c>
      <c r="O39" s="405">
        <v>12202</v>
      </c>
      <c r="P39" s="405">
        <v>8014</v>
      </c>
      <c r="Q39" s="405">
        <v>20216</v>
      </c>
      <c r="R39" s="405">
        <v>575</v>
      </c>
      <c r="S39" s="405">
        <v>427</v>
      </c>
      <c r="T39" s="405">
        <v>1002</v>
      </c>
      <c r="U39" s="406">
        <v>17136</v>
      </c>
      <c r="V39" s="406">
        <v>10015</v>
      </c>
      <c r="W39" s="406">
        <v>27151</v>
      </c>
    </row>
    <row r="40" spans="2:23" hidden="1" outlineLevel="1" x14ac:dyDescent="0.25">
      <c r="B40" s="404">
        <v>40148</v>
      </c>
      <c r="C40" s="405"/>
      <c r="D40" s="405"/>
      <c r="E40" s="405"/>
      <c r="F40" s="405"/>
      <c r="G40" s="405"/>
      <c r="H40" s="405"/>
      <c r="I40" s="405">
        <v>3114</v>
      </c>
      <c r="J40" s="405">
        <v>944</v>
      </c>
      <c r="K40" s="405">
        <v>4058</v>
      </c>
      <c r="L40" s="405">
        <v>937</v>
      </c>
      <c r="M40" s="405">
        <v>455</v>
      </c>
      <c r="N40" s="405">
        <v>1392</v>
      </c>
      <c r="O40" s="405">
        <v>9838</v>
      </c>
      <c r="P40" s="405">
        <v>5480</v>
      </c>
      <c r="Q40" s="405">
        <v>15318</v>
      </c>
      <c r="R40" s="405">
        <v>580</v>
      </c>
      <c r="S40" s="405">
        <v>502</v>
      </c>
      <c r="T40" s="405">
        <v>1082</v>
      </c>
      <c r="U40" s="406">
        <v>14469</v>
      </c>
      <c r="V40" s="406">
        <v>7381</v>
      </c>
      <c r="W40" s="406">
        <v>21850</v>
      </c>
    </row>
    <row r="41" spans="2:23" collapsed="1" x14ac:dyDescent="0.25">
      <c r="B41" s="407" t="s">
        <v>750</v>
      </c>
      <c r="C41" s="408" t="s">
        <v>916</v>
      </c>
      <c r="D41" s="408" t="s">
        <v>916</v>
      </c>
      <c r="E41" s="408" t="s">
        <v>916</v>
      </c>
      <c r="F41" s="408" t="s">
        <v>916</v>
      </c>
      <c r="G41" s="408" t="s">
        <v>916</v>
      </c>
      <c r="H41" s="408" t="s">
        <v>916</v>
      </c>
      <c r="I41" s="408">
        <v>3724</v>
      </c>
      <c r="J41" s="408">
        <v>1094</v>
      </c>
      <c r="K41" s="408">
        <v>4818</v>
      </c>
      <c r="L41" s="408">
        <v>1233</v>
      </c>
      <c r="M41" s="408">
        <v>534</v>
      </c>
      <c r="N41" s="408">
        <v>1767</v>
      </c>
      <c r="O41" s="408">
        <v>13344</v>
      </c>
      <c r="P41" s="408">
        <v>9746</v>
      </c>
      <c r="Q41" s="408">
        <v>23091</v>
      </c>
      <c r="R41" s="408">
        <v>462</v>
      </c>
      <c r="S41" s="408">
        <v>360</v>
      </c>
      <c r="T41" s="408">
        <v>821</v>
      </c>
      <c r="U41" s="408">
        <v>18762</v>
      </c>
      <c r="V41" s="408">
        <v>11734</v>
      </c>
      <c r="W41" s="408">
        <v>30497</v>
      </c>
    </row>
    <row r="42" spans="2:23" hidden="1" outlineLevel="1" x14ac:dyDescent="0.25">
      <c r="B42" s="404">
        <v>40179</v>
      </c>
      <c r="C42" s="405"/>
      <c r="D42" s="405"/>
      <c r="E42" s="405"/>
      <c r="F42" s="405"/>
      <c r="G42" s="405"/>
      <c r="H42" s="405"/>
      <c r="I42" s="405">
        <v>2797</v>
      </c>
      <c r="J42" s="405">
        <v>900</v>
      </c>
      <c r="K42" s="405">
        <v>3697</v>
      </c>
      <c r="L42" s="405">
        <v>924</v>
      </c>
      <c r="M42" s="405">
        <v>458</v>
      </c>
      <c r="N42" s="405">
        <v>1382</v>
      </c>
      <c r="O42" s="405">
        <v>8083</v>
      </c>
      <c r="P42" s="405">
        <v>4617</v>
      </c>
      <c r="Q42" s="405">
        <v>12700</v>
      </c>
      <c r="R42" s="405">
        <v>544</v>
      </c>
      <c r="S42" s="405">
        <v>351</v>
      </c>
      <c r="T42" s="405">
        <v>895</v>
      </c>
      <c r="U42" s="406">
        <v>12348</v>
      </c>
      <c r="V42" s="406">
        <v>6326</v>
      </c>
      <c r="W42" s="406">
        <v>18674</v>
      </c>
    </row>
    <row r="43" spans="2:23" hidden="1" outlineLevel="1" x14ac:dyDescent="0.25">
      <c r="B43" s="404">
        <v>40210</v>
      </c>
      <c r="C43" s="405"/>
      <c r="D43" s="405"/>
      <c r="E43" s="405"/>
      <c r="F43" s="405"/>
      <c r="G43" s="405"/>
      <c r="H43" s="405"/>
      <c r="I43" s="405">
        <v>2157</v>
      </c>
      <c r="J43" s="405">
        <v>789</v>
      </c>
      <c r="K43" s="405">
        <v>2946</v>
      </c>
      <c r="L43" s="405">
        <v>796</v>
      </c>
      <c r="M43" s="405">
        <v>370</v>
      </c>
      <c r="N43" s="405">
        <v>1166</v>
      </c>
      <c r="O43" s="405">
        <v>6075</v>
      </c>
      <c r="P43" s="405">
        <v>3599</v>
      </c>
      <c r="Q43" s="405">
        <v>9674</v>
      </c>
      <c r="R43" s="405">
        <v>521</v>
      </c>
      <c r="S43" s="405">
        <v>352</v>
      </c>
      <c r="T43" s="405">
        <v>873</v>
      </c>
      <c r="U43" s="406">
        <v>9549</v>
      </c>
      <c r="V43" s="406">
        <v>5110</v>
      </c>
      <c r="W43" s="406">
        <v>14659</v>
      </c>
    </row>
    <row r="44" spans="2:23" hidden="1" outlineLevel="1" x14ac:dyDescent="0.25">
      <c r="B44" s="404">
        <v>40238</v>
      </c>
      <c r="C44" s="405"/>
      <c r="D44" s="405"/>
      <c r="E44" s="405"/>
      <c r="F44" s="405"/>
      <c r="G44" s="405"/>
      <c r="H44" s="405"/>
      <c r="I44" s="405">
        <v>2334</v>
      </c>
      <c r="J44" s="405">
        <v>836</v>
      </c>
      <c r="K44" s="405">
        <v>3170</v>
      </c>
      <c r="L44" s="405">
        <v>772</v>
      </c>
      <c r="M44" s="405">
        <v>373</v>
      </c>
      <c r="N44" s="405">
        <v>1145</v>
      </c>
      <c r="O44" s="405">
        <v>4788</v>
      </c>
      <c r="P44" s="405">
        <v>3255</v>
      </c>
      <c r="Q44" s="405">
        <v>8043</v>
      </c>
      <c r="R44" s="405">
        <v>607</v>
      </c>
      <c r="S44" s="405">
        <v>429</v>
      </c>
      <c r="T44" s="405">
        <v>1036</v>
      </c>
      <c r="U44" s="406">
        <v>8501</v>
      </c>
      <c r="V44" s="406">
        <v>4893</v>
      </c>
      <c r="W44" s="406">
        <v>13394</v>
      </c>
    </row>
    <row r="45" spans="2:23" hidden="1" outlineLevel="1" x14ac:dyDescent="0.25">
      <c r="B45" s="404">
        <v>40269</v>
      </c>
      <c r="C45" s="405"/>
      <c r="D45" s="405"/>
      <c r="E45" s="405"/>
      <c r="F45" s="405"/>
      <c r="G45" s="405"/>
      <c r="H45" s="405"/>
      <c r="I45" s="405">
        <v>2367</v>
      </c>
      <c r="J45" s="405">
        <v>771</v>
      </c>
      <c r="K45" s="405">
        <v>3138</v>
      </c>
      <c r="L45" s="405">
        <v>815</v>
      </c>
      <c r="M45" s="405">
        <v>436</v>
      </c>
      <c r="N45" s="405">
        <v>1251</v>
      </c>
      <c r="O45" s="405">
        <v>5583</v>
      </c>
      <c r="P45" s="405">
        <v>4887</v>
      </c>
      <c r="Q45" s="405">
        <v>10470</v>
      </c>
      <c r="R45" s="405">
        <v>578</v>
      </c>
      <c r="S45" s="405">
        <v>482</v>
      </c>
      <c r="T45" s="405">
        <v>1060</v>
      </c>
      <c r="U45" s="406">
        <v>9343</v>
      </c>
      <c r="V45" s="406">
        <v>6576</v>
      </c>
      <c r="W45" s="406">
        <v>15919</v>
      </c>
    </row>
    <row r="46" spans="2:23" hidden="1" outlineLevel="1" x14ac:dyDescent="0.25">
      <c r="B46" s="404">
        <v>40299</v>
      </c>
      <c r="C46" s="405"/>
      <c r="D46" s="405"/>
      <c r="E46" s="405"/>
      <c r="F46" s="405"/>
      <c r="G46" s="405"/>
      <c r="H46" s="405"/>
      <c r="I46" s="405">
        <v>2149</v>
      </c>
      <c r="J46" s="405">
        <v>790</v>
      </c>
      <c r="K46" s="405">
        <v>2939</v>
      </c>
      <c r="L46" s="405">
        <v>803</v>
      </c>
      <c r="M46" s="405">
        <v>394</v>
      </c>
      <c r="N46" s="405">
        <v>1197</v>
      </c>
      <c r="O46" s="405">
        <v>4670</v>
      </c>
      <c r="P46" s="405">
        <v>4644</v>
      </c>
      <c r="Q46" s="405">
        <v>9314</v>
      </c>
      <c r="R46" s="405">
        <v>539</v>
      </c>
      <c r="S46" s="405">
        <v>414</v>
      </c>
      <c r="T46" s="405">
        <v>953</v>
      </c>
      <c r="U46" s="406">
        <v>8161</v>
      </c>
      <c r="V46" s="406">
        <v>6242</v>
      </c>
      <c r="W46" s="406">
        <v>14403</v>
      </c>
    </row>
    <row r="47" spans="2:23" hidden="1" outlineLevel="1" x14ac:dyDescent="0.25">
      <c r="B47" s="404">
        <v>40330</v>
      </c>
      <c r="C47" s="405"/>
      <c r="D47" s="405"/>
      <c r="E47" s="405"/>
      <c r="F47" s="405"/>
      <c r="G47" s="405"/>
      <c r="H47" s="405"/>
      <c r="I47" s="405">
        <v>2217</v>
      </c>
      <c r="J47" s="405">
        <v>833</v>
      </c>
      <c r="K47" s="405">
        <v>3050</v>
      </c>
      <c r="L47" s="405">
        <v>804</v>
      </c>
      <c r="M47" s="405">
        <v>376</v>
      </c>
      <c r="N47" s="405">
        <v>1180</v>
      </c>
      <c r="O47" s="405">
        <v>8772</v>
      </c>
      <c r="P47" s="405">
        <v>6826</v>
      </c>
      <c r="Q47" s="405">
        <v>15598</v>
      </c>
      <c r="R47" s="405">
        <v>467</v>
      </c>
      <c r="S47" s="405">
        <v>361</v>
      </c>
      <c r="T47" s="405">
        <v>828</v>
      </c>
      <c r="U47" s="406">
        <v>12260</v>
      </c>
      <c r="V47" s="406">
        <v>8396</v>
      </c>
      <c r="W47" s="406">
        <v>20656</v>
      </c>
    </row>
    <row r="48" spans="2:23" hidden="1" outlineLevel="1" x14ac:dyDescent="0.25">
      <c r="B48" s="404">
        <v>40360</v>
      </c>
      <c r="C48" s="405"/>
      <c r="D48" s="405"/>
      <c r="E48" s="405"/>
      <c r="F48" s="405"/>
      <c r="G48" s="405"/>
      <c r="H48" s="405"/>
      <c r="I48" s="405">
        <v>2313</v>
      </c>
      <c r="J48" s="405">
        <v>848</v>
      </c>
      <c r="K48" s="405">
        <v>3161</v>
      </c>
      <c r="L48" s="405">
        <v>765</v>
      </c>
      <c r="M48" s="405">
        <v>318</v>
      </c>
      <c r="N48" s="405">
        <v>1083</v>
      </c>
      <c r="O48" s="405">
        <v>11683</v>
      </c>
      <c r="P48" s="405">
        <v>10170</v>
      </c>
      <c r="Q48" s="405">
        <v>21853</v>
      </c>
      <c r="R48" s="405">
        <v>415</v>
      </c>
      <c r="S48" s="405">
        <v>289</v>
      </c>
      <c r="T48" s="405">
        <v>704</v>
      </c>
      <c r="U48" s="406">
        <v>15176</v>
      </c>
      <c r="V48" s="406">
        <v>11625</v>
      </c>
      <c r="W48" s="406">
        <v>26801</v>
      </c>
    </row>
    <row r="49" spans="2:23" hidden="1" outlineLevel="1" x14ac:dyDescent="0.25">
      <c r="B49" s="404">
        <v>40391</v>
      </c>
      <c r="C49" s="405"/>
      <c r="D49" s="405"/>
      <c r="E49" s="405"/>
      <c r="F49" s="405"/>
      <c r="G49" s="405"/>
      <c r="H49" s="405"/>
      <c r="I49" s="405">
        <v>2365</v>
      </c>
      <c r="J49" s="405">
        <v>899</v>
      </c>
      <c r="K49" s="405">
        <v>3264</v>
      </c>
      <c r="L49" s="405">
        <v>810</v>
      </c>
      <c r="M49" s="405">
        <v>398</v>
      </c>
      <c r="N49" s="405">
        <v>1208</v>
      </c>
      <c r="O49" s="405">
        <v>9759</v>
      </c>
      <c r="P49" s="405">
        <v>8130</v>
      </c>
      <c r="Q49" s="405">
        <v>17889</v>
      </c>
      <c r="R49" s="405">
        <v>462</v>
      </c>
      <c r="S49" s="405">
        <v>325</v>
      </c>
      <c r="T49" s="405">
        <v>787</v>
      </c>
      <c r="U49" s="406">
        <v>13396</v>
      </c>
      <c r="V49" s="406">
        <v>9752</v>
      </c>
      <c r="W49" s="406">
        <v>23148</v>
      </c>
    </row>
    <row r="50" spans="2:23" hidden="1" outlineLevel="1" x14ac:dyDescent="0.25">
      <c r="B50" s="404">
        <v>40422</v>
      </c>
      <c r="C50" s="405"/>
      <c r="D50" s="405"/>
      <c r="E50" s="405"/>
      <c r="F50" s="405"/>
      <c r="G50" s="405"/>
      <c r="H50" s="405"/>
      <c r="I50" s="405">
        <v>2158</v>
      </c>
      <c r="J50" s="405">
        <v>751</v>
      </c>
      <c r="K50" s="405">
        <v>2909</v>
      </c>
      <c r="L50" s="405">
        <v>681</v>
      </c>
      <c r="M50" s="405">
        <v>336</v>
      </c>
      <c r="N50" s="405">
        <v>1017</v>
      </c>
      <c r="O50" s="405">
        <v>5899</v>
      </c>
      <c r="P50" s="405">
        <v>4218</v>
      </c>
      <c r="Q50" s="405">
        <v>10117</v>
      </c>
      <c r="R50" s="405">
        <v>382</v>
      </c>
      <c r="S50" s="405">
        <v>260</v>
      </c>
      <c r="T50" s="405">
        <v>642</v>
      </c>
      <c r="U50" s="406">
        <v>9120</v>
      </c>
      <c r="V50" s="406">
        <v>5565</v>
      </c>
      <c r="W50" s="406">
        <v>14685</v>
      </c>
    </row>
    <row r="51" spans="2:23" hidden="1" outlineLevel="1" x14ac:dyDescent="0.25">
      <c r="B51" s="404">
        <v>40452</v>
      </c>
      <c r="C51" s="405"/>
      <c r="D51" s="405"/>
      <c r="E51" s="405"/>
      <c r="F51" s="405"/>
      <c r="G51" s="405"/>
      <c r="H51" s="405"/>
      <c r="I51" s="405">
        <v>2218</v>
      </c>
      <c r="J51" s="405">
        <v>787</v>
      </c>
      <c r="K51" s="405">
        <v>3005</v>
      </c>
      <c r="L51" s="405">
        <v>707</v>
      </c>
      <c r="M51" s="405">
        <v>273</v>
      </c>
      <c r="N51" s="405">
        <v>980</v>
      </c>
      <c r="O51" s="405">
        <v>5513</v>
      </c>
      <c r="P51" s="405">
        <v>3909</v>
      </c>
      <c r="Q51" s="405">
        <v>9422</v>
      </c>
      <c r="R51" s="405">
        <v>423</v>
      </c>
      <c r="S51" s="405">
        <v>346</v>
      </c>
      <c r="T51" s="405">
        <v>769</v>
      </c>
      <c r="U51" s="406">
        <v>8861</v>
      </c>
      <c r="V51" s="406">
        <v>5315</v>
      </c>
      <c r="W51" s="406">
        <v>14176</v>
      </c>
    </row>
    <row r="52" spans="2:23" hidden="1" outlineLevel="1" x14ac:dyDescent="0.25">
      <c r="B52" s="404">
        <v>40483</v>
      </c>
      <c r="C52" s="405"/>
      <c r="D52" s="405"/>
      <c r="E52" s="405"/>
      <c r="F52" s="405"/>
      <c r="G52" s="405"/>
      <c r="H52" s="405"/>
      <c r="I52" s="405">
        <v>2005</v>
      </c>
      <c r="J52" s="405">
        <v>720</v>
      </c>
      <c r="K52" s="405">
        <v>2725</v>
      </c>
      <c r="L52" s="405">
        <v>620</v>
      </c>
      <c r="M52" s="405">
        <v>302</v>
      </c>
      <c r="N52" s="405">
        <v>922</v>
      </c>
      <c r="O52" s="405">
        <v>4585</v>
      </c>
      <c r="P52" s="405">
        <v>3064</v>
      </c>
      <c r="Q52" s="405">
        <v>7649</v>
      </c>
      <c r="R52" s="405">
        <v>358</v>
      </c>
      <c r="S52" s="405">
        <v>250</v>
      </c>
      <c r="T52" s="405">
        <v>608</v>
      </c>
      <c r="U52" s="406">
        <v>7568</v>
      </c>
      <c r="V52" s="406">
        <v>4336</v>
      </c>
      <c r="W52" s="406">
        <v>11904</v>
      </c>
    </row>
    <row r="53" spans="2:23" hidden="1" outlineLevel="1" x14ac:dyDescent="0.25">
      <c r="B53" s="404">
        <v>40513</v>
      </c>
      <c r="C53" s="405"/>
      <c r="D53" s="405"/>
      <c r="E53" s="405"/>
      <c r="F53" s="405"/>
      <c r="G53" s="405"/>
      <c r="H53" s="405"/>
      <c r="I53" s="405">
        <v>1541</v>
      </c>
      <c r="J53" s="405">
        <v>580</v>
      </c>
      <c r="K53" s="405">
        <v>2121</v>
      </c>
      <c r="L53" s="405">
        <v>456</v>
      </c>
      <c r="M53" s="405">
        <v>258</v>
      </c>
      <c r="N53" s="405">
        <v>714</v>
      </c>
      <c r="O53" s="405">
        <v>2984</v>
      </c>
      <c r="P53" s="405">
        <v>2173</v>
      </c>
      <c r="Q53" s="405">
        <v>5157</v>
      </c>
      <c r="R53" s="405">
        <v>407</v>
      </c>
      <c r="S53" s="405">
        <v>352</v>
      </c>
      <c r="T53" s="405">
        <v>759</v>
      </c>
      <c r="U53" s="406">
        <v>5388</v>
      </c>
      <c r="V53" s="406">
        <v>3363</v>
      </c>
      <c r="W53" s="406">
        <v>8751</v>
      </c>
    </row>
    <row r="54" spans="2:23" collapsed="1" x14ac:dyDescent="0.25">
      <c r="B54" s="407" t="s">
        <v>751</v>
      </c>
      <c r="C54" s="408" t="s">
        <v>916</v>
      </c>
      <c r="D54" s="408" t="s">
        <v>916</v>
      </c>
      <c r="E54" s="408" t="s">
        <v>916</v>
      </c>
      <c r="F54" s="408" t="s">
        <v>916</v>
      </c>
      <c r="G54" s="408" t="s">
        <v>916</v>
      </c>
      <c r="H54" s="408" t="s">
        <v>916</v>
      </c>
      <c r="I54" s="408">
        <v>2218</v>
      </c>
      <c r="J54" s="408">
        <v>792</v>
      </c>
      <c r="K54" s="408">
        <v>3010</v>
      </c>
      <c r="L54" s="408">
        <v>746</v>
      </c>
      <c r="M54" s="408">
        <v>358</v>
      </c>
      <c r="N54" s="408">
        <v>1104</v>
      </c>
      <c r="O54" s="408">
        <v>6533</v>
      </c>
      <c r="P54" s="408">
        <v>4958</v>
      </c>
      <c r="Q54" s="408">
        <v>11491</v>
      </c>
      <c r="R54" s="408">
        <v>475</v>
      </c>
      <c r="S54" s="408">
        <v>351</v>
      </c>
      <c r="T54" s="408">
        <v>826</v>
      </c>
      <c r="U54" s="408">
        <v>9973</v>
      </c>
      <c r="V54" s="408">
        <v>6458</v>
      </c>
      <c r="W54" s="408">
        <v>16431</v>
      </c>
    </row>
    <row r="55" spans="2:23" hidden="1" outlineLevel="1" x14ac:dyDescent="0.25">
      <c r="B55" s="404">
        <v>40544</v>
      </c>
      <c r="C55" s="405"/>
      <c r="D55" s="405"/>
      <c r="E55" s="405"/>
      <c r="F55" s="405"/>
      <c r="G55" s="405"/>
      <c r="H55" s="405"/>
      <c r="I55" s="405">
        <v>1750</v>
      </c>
      <c r="J55" s="405">
        <v>770</v>
      </c>
      <c r="K55" s="405">
        <v>2520</v>
      </c>
      <c r="L55" s="405">
        <v>607</v>
      </c>
      <c r="M55" s="405">
        <v>327</v>
      </c>
      <c r="N55" s="405">
        <v>934</v>
      </c>
      <c r="O55" s="405">
        <v>4444</v>
      </c>
      <c r="P55" s="405">
        <v>3403</v>
      </c>
      <c r="Q55" s="405">
        <v>7847</v>
      </c>
      <c r="R55" s="405">
        <v>472</v>
      </c>
      <c r="S55" s="405">
        <v>385</v>
      </c>
      <c r="T55" s="405">
        <v>857</v>
      </c>
      <c r="U55" s="406">
        <v>7273</v>
      </c>
      <c r="V55" s="406">
        <v>4885</v>
      </c>
      <c r="W55" s="406">
        <v>12158</v>
      </c>
    </row>
    <row r="56" spans="2:23" hidden="1" outlineLevel="1" x14ac:dyDescent="0.25">
      <c r="B56" s="404">
        <v>40575</v>
      </c>
      <c r="C56" s="405"/>
      <c r="D56" s="405"/>
      <c r="E56" s="405"/>
      <c r="F56" s="405"/>
      <c r="G56" s="405"/>
      <c r="H56" s="405"/>
      <c r="I56" s="405">
        <v>1639</v>
      </c>
      <c r="J56" s="405">
        <v>645</v>
      </c>
      <c r="K56" s="405">
        <v>2284</v>
      </c>
      <c r="L56" s="405">
        <v>456</v>
      </c>
      <c r="M56" s="405">
        <v>290</v>
      </c>
      <c r="N56" s="405">
        <v>746</v>
      </c>
      <c r="O56" s="405">
        <v>3609</v>
      </c>
      <c r="P56" s="405">
        <v>2652</v>
      </c>
      <c r="Q56" s="405">
        <v>6261</v>
      </c>
      <c r="R56" s="405">
        <v>379</v>
      </c>
      <c r="S56" s="405">
        <v>331</v>
      </c>
      <c r="T56" s="405">
        <v>710</v>
      </c>
      <c r="U56" s="406">
        <v>6083</v>
      </c>
      <c r="V56" s="406">
        <v>3918</v>
      </c>
      <c r="W56" s="406">
        <v>10001</v>
      </c>
    </row>
    <row r="57" spans="2:23" hidden="1" outlineLevel="1" x14ac:dyDescent="0.25">
      <c r="B57" s="404">
        <v>40603</v>
      </c>
      <c r="C57" s="405"/>
      <c r="D57" s="405"/>
      <c r="E57" s="405"/>
      <c r="F57" s="405"/>
      <c r="G57" s="405"/>
      <c r="H57" s="405"/>
      <c r="I57" s="405">
        <v>1907</v>
      </c>
      <c r="J57" s="405">
        <v>705</v>
      </c>
      <c r="K57" s="405">
        <v>2612</v>
      </c>
      <c r="L57" s="405">
        <v>677</v>
      </c>
      <c r="M57" s="405">
        <v>376</v>
      </c>
      <c r="N57" s="405">
        <v>1053</v>
      </c>
      <c r="O57" s="405">
        <v>4242</v>
      </c>
      <c r="P57" s="405">
        <v>2789</v>
      </c>
      <c r="Q57" s="405">
        <v>7031</v>
      </c>
      <c r="R57" s="405">
        <v>524</v>
      </c>
      <c r="S57" s="405">
        <v>390</v>
      </c>
      <c r="T57" s="405">
        <v>914</v>
      </c>
      <c r="U57" s="406">
        <v>7350</v>
      </c>
      <c r="V57" s="406">
        <v>4260</v>
      </c>
      <c r="W57" s="406">
        <v>11610</v>
      </c>
    </row>
    <row r="58" spans="2:23" hidden="1" outlineLevel="1" x14ac:dyDescent="0.25">
      <c r="B58" s="404">
        <v>40634</v>
      </c>
      <c r="C58" s="405"/>
      <c r="D58" s="405"/>
      <c r="E58" s="405"/>
      <c r="F58" s="405"/>
      <c r="G58" s="405"/>
      <c r="H58" s="405"/>
      <c r="I58" s="405">
        <v>1367</v>
      </c>
      <c r="J58" s="405">
        <v>558</v>
      </c>
      <c r="K58" s="405">
        <v>1925</v>
      </c>
      <c r="L58" s="405">
        <v>556</v>
      </c>
      <c r="M58" s="405">
        <v>304</v>
      </c>
      <c r="N58" s="405">
        <v>860</v>
      </c>
      <c r="O58" s="405">
        <v>3162</v>
      </c>
      <c r="P58" s="405">
        <v>1969</v>
      </c>
      <c r="Q58" s="405">
        <v>5131</v>
      </c>
      <c r="R58" s="405">
        <v>332</v>
      </c>
      <c r="S58" s="405">
        <v>292</v>
      </c>
      <c r="T58" s="405">
        <v>624</v>
      </c>
      <c r="U58" s="406">
        <v>5417</v>
      </c>
      <c r="V58" s="406">
        <v>3123</v>
      </c>
      <c r="W58" s="406">
        <v>8540</v>
      </c>
    </row>
    <row r="59" spans="2:23" hidden="1" outlineLevel="1" x14ac:dyDescent="0.25">
      <c r="B59" s="404">
        <v>40664</v>
      </c>
      <c r="C59" s="405"/>
      <c r="D59" s="405"/>
      <c r="E59" s="405"/>
      <c r="F59" s="405"/>
      <c r="G59" s="405"/>
      <c r="H59" s="405"/>
      <c r="I59" s="405">
        <v>1645</v>
      </c>
      <c r="J59" s="405">
        <v>670</v>
      </c>
      <c r="K59" s="405">
        <v>2315</v>
      </c>
      <c r="L59" s="405">
        <v>608</v>
      </c>
      <c r="M59" s="405">
        <v>323</v>
      </c>
      <c r="N59" s="405">
        <v>931</v>
      </c>
      <c r="O59" s="405">
        <v>3770</v>
      </c>
      <c r="P59" s="405">
        <v>2512</v>
      </c>
      <c r="Q59" s="405">
        <v>6282</v>
      </c>
      <c r="R59" s="405">
        <v>376</v>
      </c>
      <c r="S59" s="405">
        <v>292</v>
      </c>
      <c r="T59" s="405">
        <v>668</v>
      </c>
      <c r="U59" s="406">
        <v>6399</v>
      </c>
      <c r="V59" s="406">
        <v>3797</v>
      </c>
      <c r="W59" s="406">
        <v>10196</v>
      </c>
    </row>
    <row r="60" spans="2:23" hidden="1" outlineLevel="1" x14ac:dyDescent="0.25">
      <c r="B60" s="404">
        <v>40695</v>
      </c>
      <c r="C60" s="405"/>
      <c r="D60" s="405"/>
      <c r="E60" s="405"/>
      <c r="F60" s="405"/>
      <c r="G60" s="405"/>
      <c r="H60" s="405"/>
      <c r="I60" s="405">
        <v>1541</v>
      </c>
      <c r="J60" s="405">
        <v>610</v>
      </c>
      <c r="K60" s="405">
        <v>2151</v>
      </c>
      <c r="L60" s="405">
        <v>522</v>
      </c>
      <c r="M60" s="405">
        <v>288</v>
      </c>
      <c r="N60" s="405">
        <v>810</v>
      </c>
      <c r="O60" s="405">
        <v>3223</v>
      </c>
      <c r="P60" s="405">
        <v>2318</v>
      </c>
      <c r="Q60" s="405">
        <v>5541</v>
      </c>
      <c r="R60" s="405">
        <v>328</v>
      </c>
      <c r="S60" s="405">
        <v>270</v>
      </c>
      <c r="T60" s="405">
        <v>598</v>
      </c>
      <c r="U60" s="406">
        <v>5614</v>
      </c>
      <c r="V60" s="406">
        <v>3486</v>
      </c>
      <c r="W60" s="406">
        <v>9100</v>
      </c>
    </row>
    <row r="61" spans="2:23" hidden="1" outlineLevel="1" x14ac:dyDescent="0.25">
      <c r="B61" s="404">
        <v>40725</v>
      </c>
      <c r="C61" s="405"/>
      <c r="D61" s="405"/>
      <c r="E61" s="405"/>
      <c r="F61" s="405"/>
      <c r="G61" s="405"/>
      <c r="H61" s="405"/>
      <c r="I61" s="405">
        <v>1883</v>
      </c>
      <c r="J61" s="405">
        <v>670</v>
      </c>
      <c r="K61" s="405">
        <v>2553</v>
      </c>
      <c r="L61" s="405">
        <v>539</v>
      </c>
      <c r="M61" s="405">
        <v>327</v>
      </c>
      <c r="N61" s="405">
        <v>866</v>
      </c>
      <c r="O61" s="405">
        <v>5198</v>
      </c>
      <c r="P61" s="405">
        <v>4905</v>
      </c>
      <c r="Q61" s="405">
        <v>10103</v>
      </c>
      <c r="R61" s="405">
        <v>420</v>
      </c>
      <c r="S61" s="405">
        <v>336</v>
      </c>
      <c r="T61" s="405">
        <v>756</v>
      </c>
      <c r="U61" s="406">
        <v>8040</v>
      </c>
      <c r="V61" s="406">
        <v>6238</v>
      </c>
      <c r="W61" s="406">
        <v>14278</v>
      </c>
    </row>
    <row r="62" spans="2:23" hidden="1" outlineLevel="1" x14ac:dyDescent="0.25">
      <c r="B62" s="404">
        <v>40756</v>
      </c>
      <c r="C62" s="405"/>
      <c r="D62" s="405"/>
      <c r="E62" s="405"/>
      <c r="F62" s="405"/>
      <c r="G62" s="405"/>
      <c r="H62" s="405"/>
      <c r="I62" s="405">
        <v>2034</v>
      </c>
      <c r="J62" s="405">
        <v>691</v>
      </c>
      <c r="K62" s="405">
        <v>2725</v>
      </c>
      <c r="L62" s="405">
        <v>573</v>
      </c>
      <c r="M62" s="405">
        <v>318</v>
      </c>
      <c r="N62" s="405">
        <v>891</v>
      </c>
      <c r="O62" s="405">
        <v>5030</v>
      </c>
      <c r="P62" s="405">
        <v>4099</v>
      </c>
      <c r="Q62" s="405">
        <v>9129</v>
      </c>
      <c r="R62" s="405">
        <v>421</v>
      </c>
      <c r="S62" s="405">
        <v>295</v>
      </c>
      <c r="T62" s="405">
        <v>716</v>
      </c>
      <c r="U62" s="406">
        <v>8058</v>
      </c>
      <c r="V62" s="406">
        <v>5403</v>
      </c>
      <c r="W62" s="406">
        <v>13461</v>
      </c>
    </row>
    <row r="63" spans="2:23" hidden="1" outlineLevel="1" x14ac:dyDescent="0.25">
      <c r="B63" s="404">
        <v>40787</v>
      </c>
      <c r="C63" s="405"/>
      <c r="D63" s="405"/>
      <c r="E63" s="405"/>
      <c r="F63" s="405"/>
      <c r="G63" s="405"/>
      <c r="H63" s="405"/>
      <c r="I63" s="405">
        <v>2199</v>
      </c>
      <c r="J63" s="405">
        <v>779</v>
      </c>
      <c r="K63" s="405">
        <v>2978</v>
      </c>
      <c r="L63" s="405">
        <v>494</v>
      </c>
      <c r="M63" s="405">
        <v>294</v>
      </c>
      <c r="N63" s="405">
        <v>788</v>
      </c>
      <c r="O63" s="405">
        <v>4057</v>
      </c>
      <c r="P63" s="405">
        <v>2913</v>
      </c>
      <c r="Q63" s="405">
        <v>6970</v>
      </c>
      <c r="R63" s="405">
        <v>329</v>
      </c>
      <c r="S63" s="405">
        <v>249</v>
      </c>
      <c r="T63" s="405">
        <v>578</v>
      </c>
      <c r="U63" s="406">
        <v>7079</v>
      </c>
      <c r="V63" s="406">
        <v>4235</v>
      </c>
      <c r="W63" s="406">
        <v>11314</v>
      </c>
    </row>
    <row r="64" spans="2:23" hidden="1" outlineLevel="1" x14ac:dyDescent="0.25">
      <c r="B64" s="404">
        <v>40817</v>
      </c>
      <c r="C64" s="405"/>
      <c r="D64" s="405"/>
      <c r="E64" s="405"/>
      <c r="F64" s="405"/>
      <c r="G64" s="405"/>
      <c r="H64" s="405"/>
      <c r="I64" s="405">
        <v>1749</v>
      </c>
      <c r="J64" s="405">
        <v>631</v>
      </c>
      <c r="K64" s="405">
        <v>2380</v>
      </c>
      <c r="L64" s="405">
        <v>544</v>
      </c>
      <c r="M64" s="405">
        <v>293</v>
      </c>
      <c r="N64" s="405">
        <v>837</v>
      </c>
      <c r="O64" s="405">
        <v>4305</v>
      </c>
      <c r="P64" s="405">
        <v>2830</v>
      </c>
      <c r="Q64" s="405">
        <v>7135</v>
      </c>
      <c r="R64" s="405">
        <v>416</v>
      </c>
      <c r="S64" s="405">
        <v>296</v>
      </c>
      <c r="T64" s="405">
        <v>712</v>
      </c>
      <c r="U64" s="406">
        <v>7014</v>
      </c>
      <c r="V64" s="406">
        <v>4050</v>
      </c>
      <c r="W64" s="406">
        <v>11064</v>
      </c>
    </row>
    <row r="65" spans="2:23" hidden="1" outlineLevel="1" x14ac:dyDescent="0.25">
      <c r="B65" s="404">
        <v>40848</v>
      </c>
      <c r="C65" s="405"/>
      <c r="D65" s="405"/>
      <c r="E65" s="405"/>
      <c r="F65" s="405"/>
      <c r="G65" s="405"/>
      <c r="H65" s="405"/>
      <c r="I65" s="405">
        <v>2318</v>
      </c>
      <c r="J65" s="405">
        <v>824</v>
      </c>
      <c r="K65" s="405">
        <v>3142</v>
      </c>
      <c r="L65" s="405">
        <v>633</v>
      </c>
      <c r="M65" s="405">
        <v>289</v>
      </c>
      <c r="N65" s="405">
        <v>922</v>
      </c>
      <c r="O65" s="405">
        <v>5748</v>
      </c>
      <c r="P65" s="405">
        <v>4581</v>
      </c>
      <c r="Q65" s="405">
        <v>10329</v>
      </c>
      <c r="R65" s="405">
        <v>483</v>
      </c>
      <c r="S65" s="405">
        <v>410</v>
      </c>
      <c r="T65" s="405">
        <v>893</v>
      </c>
      <c r="U65" s="406">
        <v>9182</v>
      </c>
      <c r="V65" s="406">
        <v>6104</v>
      </c>
      <c r="W65" s="406">
        <v>15286</v>
      </c>
    </row>
    <row r="66" spans="2:23" hidden="1" outlineLevel="1" x14ac:dyDescent="0.25">
      <c r="B66" s="404">
        <v>40878</v>
      </c>
      <c r="C66" s="405"/>
      <c r="D66" s="405"/>
      <c r="E66" s="405"/>
      <c r="F66" s="405"/>
      <c r="G66" s="405"/>
      <c r="H66" s="405"/>
      <c r="I66" s="405">
        <v>1756</v>
      </c>
      <c r="J66" s="405">
        <v>635</v>
      </c>
      <c r="K66" s="405">
        <v>2391</v>
      </c>
      <c r="L66" s="405">
        <v>452</v>
      </c>
      <c r="M66" s="405">
        <v>274</v>
      </c>
      <c r="N66" s="405">
        <v>726</v>
      </c>
      <c r="O66" s="405">
        <v>4752</v>
      </c>
      <c r="P66" s="405">
        <v>3756</v>
      </c>
      <c r="Q66" s="405">
        <v>8508</v>
      </c>
      <c r="R66" s="405">
        <v>369</v>
      </c>
      <c r="S66" s="405">
        <v>302</v>
      </c>
      <c r="T66" s="405">
        <v>671</v>
      </c>
      <c r="U66" s="406">
        <v>7329</v>
      </c>
      <c r="V66" s="406">
        <v>4967</v>
      </c>
      <c r="W66" s="406">
        <v>12296</v>
      </c>
    </row>
    <row r="67" spans="2:23" collapsed="1" x14ac:dyDescent="0.25">
      <c r="B67" s="407" t="s">
        <v>752</v>
      </c>
      <c r="C67" s="408" t="s">
        <v>916</v>
      </c>
      <c r="D67" s="408" t="s">
        <v>916</v>
      </c>
      <c r="E67" s="408" t="s">
        <v>916</v>
      </c>
      <c r="F67" s="408" t="s">
        <v>916</v>
      </c>
      <c r="G67" s="408" t="s">
        <v>916</v>
      </c>
      <c r="H67" s="408" t="s">
        <v>916</v>
      </c>
      <c r="I67" s="408">
        <v>1816</v>
      </c>
      <c r="J67" s="408">
        <v>682</v>
      </c>
      <c r="K67" s="408">
        <v>2498</v>
      </c>
      <c r="L67" s="408">
        <v>555</v>
      </c>
      <c r="M67" s="408">
        <v>309</v>
      </c>
      <c r="N67" s="408">
        <v>864</v>
      </c>
      <c r="O67" s="408">
        <v>4295</v>
      </c>
      <c r="P67" s="408">
        <v>3227</v>
      </c>
      <c r="Q67" s="408">
        <v>7522</v>
      </c>
      <c r="R67" s="408">
        <v>404</v>
      </c>
      <c r="S67" s="408">
        <v>321</v>
      </c>
      <c r="T67" s="408">
        <v>725</v>
      </c>
      <c r="U67" s="408">
        <v>7070</v>
      </c>
      <c r="V67" s="408">
        <v>4539</v>
      </c>
      <c r="W67" s="408">
        <v>11609</v>
      </c>
    </row>
    <row r="68" spans="2:23" hidden="1" outlineLevel="1" x14ac:dyDescent="0.25">
      <c r="B68" s="404">
        <v>40909</v>
      </c>
      <c r="C68" s="405"/>
      <c r="D68" s="405"/>
      <c r="E68" s="405"/>
      <c r="F68" s="405"/>
      <c r="G68" s="405"/>
      <c r="H68" s="405"/>
      <c r="I68" s="405">
        <v>1922</v>
      </c>
      <c r="J68" s="405">
        <v>715</v>
      </c>
      <c r="K68" s="405">
        <v>2637</v>
      </c>
      <c r="L68" s="405">
        <v>532</v>
      </c>
      <c r="M68" s="405">
        <v>285</v>
      </c>
      <c r="N68" s="405">
        <v>817</v>
      </c>
      <c r="O68" s="405">
        <v>5060</v>
      </c>
      <c r="P68" s="405">
        <v>3875</v>
      </c>
      <c r="Q68" s="405">
        <v>8935</v>
      </c>
      <c r="R68" s="405">
        <v>394</v>
      </c>
      <c r="S68" s="405">
        <v>294</v>
      </c>
      <c r="T68" s="405">
        <v>688</v>
      </c>
      <c r="U68" s="406">
        <v>7908</v>
      </c>
      <c r="V68" s="406">
        <v>5169</v>
      </c>
      <c r="W68" s="406">
        <v>13077</v>
      </c>
    </row>
    <row r="69" spans="2:23" hidden="1" outlineLevel="1" x14ac:dyDescent="0.25">
      <c r="B69" s="404">
        <v>40940</v>
      </c>
      <c r="C69" s="405"/>
      <c r="D69" s="405"/>
      <c r="E69" s="405"/>
      <c r="F69" s="405"/>
      <c r="G69" s="405"/>
      <c r="H69" s="405"/>
      <c r="I69" s="405">
        <v>1555</v>
      </c>
      <c r="J69" s="405">
        <v>583</v>
      </c>
      <c r="K69" s="405">
        <v>2138</v>
      </c>
      <c r="L69" s="405">
        <v>427</v>
      </c>
      <c r="M69" s="405">
        <v>251</v>
      </c>
      <c r="N69" s="405">
        <v>678</v>
      </c>
      <c r="O69" s="405">
        <v>4530</v>
      </c>
      <c r="P69" s="405">
        <v>2984</v>
      </c>
      <c r="Q69" s="405">
        <v>7514</v>
      </c>
      <c r="R69" s="405">
        <v>381</v>
      </c>
      <c r="S69" s="405">
        <v>310</v>
      </c>
      <c r="T69" s="405">
        <v>691</v>
      </c>
      <c r="U69" s="406">
        <v>6893</v>
      </c>
      <c r="V69" s="406">
        <v>4128</v>
      </c>
      <c r="W69" s="406">
        <v>11021</v>
      </c>
    </row>
    <row r="70" spans="2:23" hidden="1" outlineLevel="1" x14ac:dyDescent="0.25">
      <c r="B70" s="404">
        <v>40969</v>
      </c>
      <c r="C70" s="405"/>
      <c r="D70" s="405"/>
      <c r="E70" s="405"/>
      <c r="F70" s="405"/>
      <c r="G70" s="405"/>
      <c r="H70" s="405"/>
      <c r="I70" s="405">
        <v>1779</v>
      </c>
      <c r="J70" s="405">
        <v>635</v>
      </c>
      <c r="K70" s="405">
        <v>2414</v>
      </c>
      <c r="L70" s="405">
        <v>535</v>
      </c>
      <c r="M70" s="405">
        <v>279</v>
      </c>
      <c r="N70" s="405">
        <v>814</v>
      </c>
      <c r="O70" s="405">
        <v>4787</v>
      </c>
      <c r="P70" s="405">
        <v>3353</v>
      </c>
      <c r="Q70" s="405">
        <v>8140</v>
      </c>
      <c r="R70" s="405">
        <v>373</v>
      </c>
      <c r="S70" s="405">
        <v>316</v>
      </c>
      <c r="T70" s="405">
        <v>689</v>
      </c>
      <c r="U70" s="406">
        <v>7474</v>
      </c>
      <c r="V70" s="406">
        <v>4583</v>
      </c>
      <c r="W70" s="406">
        <v>12057</v>
      </c>
    </row>
    <row r="71" spans="2:23" hidden="1" outlineLevel="1" x14ac:dyDescent="0.25">
      <c r="B71" s="404">
        <v>41000</v>
      </c>
      <c r="C71" s="405"/>
      <c r="D71" s="405"/>
      <c r="E71" s="405"/>
      <c r="F71" s="405"/>
      <c r="G71" s="405"/>
      <c r="H71" s="405"/>
      <c r="I71" s="405">
        <v>1468</v>
      </c>
      <c r="J71" s="405">
        <v>586</v>
      </c>
      <c r="K71" s="405">
        <v>2054</v>
      </c>
      <c r="L71" s="405">
        <v>554</v>
      </c>
      <c r="M71" s="405">
        <v>275</v>
      </c>
      <c r="N71" s="405">
        <v>829</v>
      </c>
      <c r="O71" s="405">
        <v>3891</v>
      </c>
      <c r="P71" s="405">
        <v>2702</v>
      </c>
      <c r="Q71" s="405">
        <v>6593</v>
      </c>
      <c r="R71" s="405">
        <v>314</v>
      </c>
      <c r="S71" s="405">
        <v>259</v>
      </c>
      <c r="T71" s="405">
        <v>573</v>
      </c>
      <c r="U71" s="406">
        <v>6227</v>
      </c>
      <c r="V71" s="406">
        <v>3822</v>
      </c>
      <c r="W71" s="406">
        <v>10049</v>
      </c>
    </row>
    <row r="72" spans="2:23" hidden="1" outlineLevel="1" x14ac:dyDescent="0.25">
      <c r="B72" s="404">
        <v>41030</v>
      </c>
      <c r="C72" s="405"/>
      <c r="D72" s="405"/>
      <c r="E72" s="405"/>
      <c r="F72" s="405"/>
      <c r="G72" s="405"/>
      <c r="H72" s="405"/>
      <c r="I72" s="405">
        <v>1806</v>
      </c>
      <c r="J72" s="405">
        <v>642</v>
      </c>
      <c r="K72" s="405">
        <v>2448</v>
      </c>
      <c r="L72" s="405">
        <v>664</v>
      </c>
      <c r="M72" s="405">
        <v>381</v>
      </c>
      <c r="N72" s="405">
        <v>1045</v>
      </c>
      <c r="O72" s="405">
        <v>4148</v>
      </c>
      <c r="P72" s="405">
        <v>3154</v>
      </c>
      <c r="Q72" s="405">
        <v>7302</v>
      </c>
      <c r="R72" s="405">
        <v>316</v>
      </c>
      <c r="S72" s="405">
        <v>258</v>
      </c>
      <c r="T72" s="405">
        <v>574</v>
      </c>
      <c r="U72" s="406">
        <v>6934</v>
      </c>
      <c r="V72" s="406">
        <v>4435</v>
      </c>
      <c r="W72" s="406">
        <v>11369</v>
      </c>
    </row>
    <row r="73" spans="2:23" hidden="1" outlineLevel="1" x14ac:dyDescent="0.25">
      <c r="B73" s="404">
        <v>41061</v>
      </c>
      <c r="C73" s="405"/>
      <c r="D73" s="405"/>
      <c r="E73" s="405"/>
      <c r="F73" s="405"/>
      <c r="G73" s="405"/>
      <c r="H73" s="405"/>
      <c r="I73" s="405">
        <v>1631</v>
      </c>
      <c r="J73" s="405">
        <v>608</v>
      </c>
      <c r="K73" s="405">
        <v>2239</v>
      </c>
      <c r="L73" s="405">
        <v>624</v>
      </c>
      <c r="M73" s="405">
        <v>380</v>
      </c>
      <c r="N73" s="405">
        <v>1004</v>
      </c>
      <c r="O73" s="405">
        <v>3789</v>
      </c>
      <c r="P73" s="405">
        <v>3089</v>
      </c>
      <c r="Q73" s="405">
        <v>6878</v>
      </c>
      <c r="R73" s="405">
        <v>246</v>
      </c>
      <c r="S73" s="405">
        <v>228</v>
      </c>
      <c r="T73" s="405">
        <v>474</v>
      </c>
      <c r="U73" s="406">
        <v>6290</v>
      </c>
      <c r="V73" s="406">
        <v>4305</v>
      </c>
      <c r="W73" s="406">
        <v>10595</v>
      </c>
    </row>
    <row r="74" spans="2:23" hidden="1" outlineLevel="1" x14ac:dyDescent="0.25">
      <c r="B74" s="404">
        <v>41091</v>
      </c>
      <c r="C74" s="405"/>
      <c r="D74" s="405"/>
      <c r="E74" s="405"/>
      <c r="F74" s="405"/>
      <c r="G74" s="405"/>
      <c r="H74" s="405"/>
      <c r="I74" s="405">
        <v>1930</v>
      </c>
      <c r="J74" s="405">
        <v>640</v>
      </c>
      <c r="K74" s="405">
        <v>2570</v>
      </c>
      <c r="L74" s="405">
        <v>589</v>
      </c>
      <c r="M74" s="405">
        <v>360</v>
      </c>
      <c r="N74" s="405">
        <v>949</v>
      </c>
      <c r="O74" s="405">
        <v>4865</v>
      </c>
      <c r="P74" s="405">
        <v>3765</v>
      </c>
      <c r="Q74" s="405">
        <v>8630</v>
      </c>
      <c r="R74" s="405">
        <v>353</v>
      </c>
      <c r="S74" s="405">
        <v>257</v>
      </c>
      <c r="T74" s="405">
        <v>610</v>
      </c>
      <c r="U74" s="406">
        <v>7737</v>
      </c>
      <c r="V74" s="406">
        <v>5022</v>
      </c>
      <c r="W74" s="406">
        <v>12759</v>
      </c>
    </row>
    <row r="75" spans="2:23" hidden="1" outlineLevel="1" x14ac:dyDescent="0.25">
      <c r="B75" s="404">
        <v>41122</v>
      </c>
      <c r="C75" s="405"/>
      <c r="D75" s="405"/>
      <c r="E75" s="405"/>
      <c r="F75" s="405"/>
      <c r="G75" s="405"/>
      <c r="H75" s="405"/>
      <c r="I75" s="405">
        <v>1948</v>
      </c>
      <c r="J75" s="405">
        <v>700</v>
      </c>
      <c r="K75" s="405">
        <v>2648</v>
      </c>
      <c r="L75" s="405">
        <v>677</v>
      </c>
      <c r="M75" s="405">
        <v>388</v>
      </c>
      <c r="N75" s="405">
        <v>1065</v>
      </c>
      <c r="O75" s="405">
        <v>8973</v>
      </c>
      <c r="P75" s="405">
        <v>7406</v>
      </c>
      <c r="Q75" s="405">
        <v>16379</v>
      </c>
      <c r="R75" s="405">
        <v>355</v>
      </c>
      <c r="S75" s="405">
        <v>270</v>
      </c>
      <c r="T75" s="405">
        <v>625</v>
      </c>
      <c r="U75" s="406">
        <v>11953</v>
      </c>
      <c r="V75" s="406">
        <v>8764</v>
      </c>
      <c r="W75" s="406">
        <v>20717</v>
      </c>
    </row>
    <row r="76" spans="2:23" hidden="1" outlineLevel="1" x14ac:dyDescent="0.25">
      <c r="B76" s="404">
        <v>41153</v>
      </c>
      <c r="C76" s="405"/>
      <c r="D76" s="405"/>
      <c r="E76" s="405"/>
      <c r="F76" s="405"/>
      <c r="G76" s="405"/>
      <c r="H76" s="405"/>
      <c r="I76" s="405">
        <v>1634</v>
      </c>
      <c r="J76" s="405">
        <v>597</v>
      </c>
      <c r="K76" s="405">
        <v>2231</v>
      </c>
      <c r="L76" s="405">
        <v>421</v>
      </c>
      <c r="M76" s="405">
        <v>264</v>
      </c>
      <c r="N76" s="405">
        <v>685</v>
      </c>
      <c r="O76" s="405">
        <v>10420</v>
      </c>
      <c r="P76" s="405">
        <v>7599</v>
      </c>
      <c r="Q76" s="405">
        <v>18019</v>
      </c>
      <c r="R76" s="405">
        <v>251</v>
      </c>
      <c r="S76" s="405">
        <v>203</v>
      </c>
      <c r="T76" s="405">
        <v>454</v>
      </c>
      <c r="U76" s="406">
        <v>12726</v>
      </c>
      <c r="V76" s="406">
        <v>8663</v>
      </c>
      <c r="W76" s="406">
        <v>21389</v>
      </c>
    </row>
    <row r="77" spans="2:23" hidden="1" outlineLevel="1" x14ac:dyDescent="0.25">
      <c r="B77" s="404">
        <v>41183</v>
      </c>
      <c r="C77" s="405"/>
      <c r="D77" s="405"/>
      <c r="E77" s="405"/>
      <c r="F77" s="405"/>
      <c r="G77" s="405"/>
      <c r="H77" s="405"/>
      <c r="I77" s="405">
        <v>2284</v>
      </c>
      <c r="J77" s="405">
        <v>745</v>
      </c>
      <c r="K77" s="405">
        <v>3029</v>
      </c>
      <c r="L77" s="405">
        <v>602</v>
      </c>
      <c r="M77" s="405">
        <v>364</v>
      </c>
      <c r="N77" s="405">
        <v>966</v>
      </c>
      <c r="O77" s="405">
        <v>6173</v>
      </c>
      <c r="P77" s="405">
        <v>4643</v>
      </c>
      <c r="Q77" s="405">
        <v>10816</v>
      </c>
      <c r="R77" s="405">
        <v>342</v>
      </c>
      <c r="S77" s="405">
        <v>282</v>
      </c>
      <c r="T77" s="405">
        <v>624</v>
      </c>
      <c r="U77" s="406">
        <v>9401</v>
      </c>
      <c r="V77" s="406">
        <v>6034</v>
      </c>
      <c r="W77" s="406">
        <v>15435</v>
      </c>
    </row>
    <row r="78" spans="2:23" hidden="1" outlineLevel="1" x14ac:dyDescent="0.25">
      <c r="B78" s="404">
        <v>41214</v>
      </c>
      <c r="C78" s="405"/>
      <c r="D78" s="405"/>
      <c r="E78" s="405"/>
      <c r="F78" s="405"/>
      <c r="G78" s="405"/>
      <c r="H78" s="405"/>
      <c r="I78" s="405">
        <v>2021</v>
      </c>
      <c r="J78" s="405">
        <v>667</v>
      </c>
      <c r="K78" s="405">
        <v>2688</v>
      </c>
      <c r="L78" s="405">
        <v>514</v>
      </c>
      <c r="M78" s="405">
        <v>273</v>
      </c>
      <c r="N78" s="405">
        <v>787</v>
      </c>
      <c r="O78" s="405">
        <v>3890</v>
      </c>
      <c r="P78" s="405">
        <v>3976</v>
      </c>
      <c r="Q78" s="405">
        <v>7866</v>
      </c>
      <c r="R78" s="405">
        <v>287</v>
      </c>
      <c r="S78" s="405">
        <v>230</v>
      </c>
      <c r="T78" s="405">
        <v>517</v>
      </c>
      <c r="U78" s="406">
        <v>6712</v>
      </c>
      <c r="V78" s="406">
        <v>5146</v>
      </c>
      <c r="W78" s="406">
        <v>11858</v>
      </c>
    </row>
    <row r="79" spans="2:23" hidden="1" outlineLevel="1" x14ac:dyDescent="0.25">
      <c r="B79" s="404">
        <v>41244</v>
      </c>
      <c r="C79" s="405"/>
      <c r="D79" s="405"/>
      <c r="E79" s="405"/>
      <c r="F79" s="405"/>
      <c r="G79" s="405"/>
      <c r="H79" s="405"/>
      <c r="I79" s="405">
        <v>1730</v>
      </c>
      <c r="J79" s="405">
        <v>543</v>
      </c>
      <c r="K79" s="405">
        <v>2273</v>
      </c>
      <c r="L79" s="405">
        <v>452</v>
      </c>
      <c r="M79" s="405">
        <v>289</v>
      </c>
      <c r="N79" s="405">
        <v>741</v>
      </c>
      <c r="O79" s="405">
        <v>3040</v>
      </c>
      <c r="P79" s="405">
        <v>3252</v>
      </c>
      <c r="Q79" s="405">
        <v>6292</v>
      </c>
      <c r="R79" s="405">
        <v>274</v>
      </c>
      <c r="S79" s="405">
        <v>221</v>
      </c>
      <c r="T79" s="405">
        <v>495</v>
      </c>
      <c r="U79" s="406">
        <v>5496</v>
      </c>
      <c r="V79" s="406">
        <v>4305</v>
      </c>
      <c r="W79" s="406">
        <v>9801</v>
      </c>
    </row>
    <row r="80" spans="2:23" collapsed="1" x14ac:dyDescent="0.25">
      <c r="B80" s="407" t="s">
        <v>753</v>
      </c>
      <c r="C80" s="408" t="s">
        <v>916</v>
      </c>
      <c r="D80" s="408" t="s">
        <v>916</v>
      </c>
      <c r="E80" s="408" t="s">
        <v>916</v>
      </c>
      <c r="F80" s="408" t="s">
        <v>916</v>
      </c>
      <c r="G80" s="408" t="s">
        <v>916</v>
      </c>
      <c r="H80" s="408" t="s">
        <v>916</v>
      </c>
      <c r="I80" s="408">
        <v>1809</v>
      </c>
      <c r="J80" s="408">
        <v>638</v>
      </c>
      <c r="K80" s="408">
        <v>2447</v>
      </c>
      <c r="L80" s="408">
        <v>549</v>
      </c>
      <c r="M80" s="408">
        <v>316</v>
      </c>
      <c r="N80" s="408">
        <v>865</v>
      </c>
      <c r="O80" s="408">
        <v>5297</v>
      </c>
      <c r="P80" s="408">
        <v>4150</v>
      </c>
      <c r="Q80" s="408">
        <v>9447</v>
      </c>
      <c r="R80" s="408">
        <v>324</v>
      </c>
      <c r="S80" s="408">
        <v>261</v>
      </c>
      <c r="T80" s="408">
        <v>585</v>
      </c>
      <c r="U80" s="408">
        <v>7979</v>
      </c>
      <c r="V80" s="408">
        <v>5365</v>
      </c>
      <c r="W80" s="408">
        <v>13344</v>
      </c>
    </row>
    <row r="81" spans="2:23" hidden="1" outlineLevel="1" x14ac:dyDescent="0.25">
      <c r="B81" s="404">
        <v>41275</v>
      </c>
      <c r="C81" s="405"/>
      <c r="D81" s="405"/>
      <c r="E81" s="405"/>
      <c r="F81" s="405"/>
      <c r="G81" s="405"/>
      <c r="H81" s="405"/>
      <c r="I81" s="405">
        <v>2059</v>
      </c>
      <c r="J81" s="405">
        <v>694</v>
      </c>
      <c r="K81" s="405">
        <v>2753</v>
      </c>
      <c r="L81" s="405">
        <v>554</v>
      </c>
      <c r="M81" s="405">
        <v>313</v>
      </c>
      <c r="N81" s="405">
        <v>867</v>
      </c>
      <c r="O81" s="405">
        <v>3488</v>
      </c>
      <c r="P81" s="405">
        <v>2876</v>
      </c>
      <c r="Q81" s="405">
        <v>6364</v>
      </c>
      <c r="R81" s="405">
        <v>290</v>
      </c>
      <c r="S81" s="405">
        <v>232</v>
      </c>
      <c r="T81" s="405">
        <v>522</v>
      </c>
      <c r="U81" s="406">
        <v>6391</v>
      </c>
      <c r="V81" s="406">
        <v>4115</v>
      </c>
      <c r="W81" s="406">
        <v>10506</v>
      </c>
    </row>
    <row r="82" spans="2:23" hidden="1" outlineLevel="1" x14ac:dyDescent="0.25">
      <c r="B82" s="404">
        <v>41306</v>
      </c>
      <c r="C82" s="405"/>
      <c r="D82" s="405"/>
      <c r="E82" s="405"/>
      <c r="F82" s="405"/>
      <c r="G82" s="405"/>
      <c r="H82" s="405"/>
      <c r="I82" s="405">
        <v>1485</v>
      </c>
      <c r="J82" s="405">
        <v>535</v>
      </c>
      <c r="K82" s="405">
        <v>2020</v>
      </c>
      <c r="L82" s="405">
        <v>459</v>
      </c>
      <c r="M82" s="405">
        <v>245</v>
      </c>
      <c r="N82" s="405">
        <v>704</v>
      </c>
      <c r="O82" s="405">
        <v>2527</v>
      </c>
      <c r="P82" s="405">
        <v>2274</v>
      </c>
      <c r="Q82" s="405">
        <v>4801</v>
      </c>
      <c r="R82" s="405">
        <v>217</v>
      </c>
      <c r="S82" s="405">
        <v>209</v>
      </c>
      <c r="T82" s="405">
        <v>426</v>
      </c>
      <c r="U82" s="406">
        <v>4688</v>
      </c>
      <c r="V82" s="406">
        <v>3263</v>
      </c>
      <c r="W82" s="406">
        <v>7951</v>
      </c>
    </row>
    <row r="83" spans="2:23" hidden="1" outlineLevel="1" x14ac:dyDescent="0.25">
      <c r="B83" s="404">
        <v>41334</v>
      </c>
      <c r="C83" s="405"/>
      <c r="D83" s="405"/>
      <c r="E83" s="405"/>
      <c r="F83" s="405"/>
      <c r="G83" s="405"/>
      <c r="H83" s="405"/>
      <c r="I83" s="405">
        <v>1726</v>
      </c>
      <c r="J83" s="405">
        <v>522</v>
      </c>
      <c r="K83" s="405">
        <v>2248</v>
      </c>
      <c r="L83" s="405">
        <v>512</v>
      </c>
      <c r="M83" s="405">
        <v>297</v>
      </c>
      <c r="N83" s="405">
        <v>809</v>
      </c>
      <c r="O83" s="405">
        <v>2713</v>
      </c>
      <c r="P83" s="405">
        <v>2211</v>
      </c>
      <c r="Q83" s="405">
        <v>4924</v>
      </c>
      <c r="R83" s="405">
        <v>278</v>
      </c>
      <c r="S83" s="405">
        <v>228</v>
      </c>
      <c r="T83" s="405">
        <v>506</v>
      </c>
      <c r="U83" s="406">
        <v>5229</v>
      </c>
      <c r="V83" s="406">
        <v>3258</v>
      </c>
      <c r="W83" s="406">
        <v>8487</v>
      </c>
    </row>
    <row r="84" spans="2:23" hidden="1" outlineLevel="1" x14ac:dyDescent="0.25">
      <c r="B84" s="404">
        <v>41365</v>
      </c>
      <c r="C84" s="405"/>
      <c r="D84" s="405"/>
      <c r="E84" s="405"/>
      <c r="F84" s="405"/>
      <c r="G84" s="405"/>
      <c r="H84" s="405"/>
      <c r="I84" s="405">
        <v>1696</v>
      </c>
      <c r="J84" s="405">
        <v>572</v>
      </c>
      <c r="K84" s="405">
        <v>2268</v>
      </c>
      <c r="L84" s="405">
        <v>542</v>
      </c>
      <c r="M84" s="405">
        <v>269</v>
      </c>
      <c r="N84" s="405">
        <v>811</v>
      </c>
      <c r="O84" s="405">
        <v>2708</v>
      </c>
      <c r="P84" s="405">
        <v>2634</v>
      </c>
      <c r="Q84" s="405">
        <v>5342</v>
      </c>
      <c r="R84" s="405">
        <v>300</v>
      </c>
      <c r="S84" s="405">
        <v>214</v>
      </c>
      <c r="T84" s="405">
        <v>514</v>
      </c>
      <c r="U84" s="406">
        <v>5246</v>
      </c>
      <c r="V84" s="406">
        <v>3689</v>
      </c>
      <c r="W84" s="406">
        <v>8935</v>
      </c>
    </row>
    <row r="85" spans="2:23" hidden="1" outlineLevel="1" x14ac:dyDescent="0.25">
      <c r="B85" s="404">
        <v>41395</v>
      </c>
      <c r="C85" s="405"/>
      <c r="D85" s="405"/>
      <c r="E85" s="405"/>
      <c r="F85" s="405"/>
      <c r="G85" s="405"/>
      <c r="H85" s="405"/>
      <c r="I85" s="405">
        <v>1595</v>
      </c>
      <c r="J85" s="405">
        <v>550</v>
      </c>
      <c r="K85" s="405">
        <v>2145</v>
      </c>
      <c r="L85" s="405">
        <v>471</v>
      </c>
      <c r="M85" s="405">
        <v>277</v>
      </c>
      <c r="N85" s="405">
        <v>748</v>
      </c>
      <c r="O85" s="405">
        <v>2545</v>
      </c>
      <c r="P85" s="405">
        <v>2948</v>
      </c>
      <c r="Q85" s="405">
        <v>5493</v>
      </c>
      <c r="R85" s="405">
        <v>268</v>
      </c>
      <c r="S85" s="405">
        <v>227</v>
      </c>
      <c r="T85" s="405">
        <v>495</v>
      </c>
      <c r="U85" s="406">
        <v>4879</v>
      </c>
      <c r="V85" s="406">
        <v>4002</v>
      </c>
      <c r="W85" s="406">
        <v>8881</v>
      </c>
    </row>
    <row r="86" spans="2:23" hidden="1" outlineLevel="1" x14ac:dyDescent="0.25">
      <c r="B86" s="404">
        <v>41426</v>
      </c>
      <c r="C86" s="405"/>
      <c r="D86" s="405"/>
      <c r="E86" s="405"/>
      <c r="F86" s="405"/>
      <c r="G86" s="405"/>
      <c r="H86" s="405"/>
      <c r="I86" s="405">
        <v>1552</v>
      </c>
      <c r="J86" s="405">
        <v>503</v>
      </c>
      <c r="K86" s="405">
        <v>2055</v>
      </c>
      <c r="L86" s="405">
        <v>488</v>
      </c>
      <c r="M86" s="405">
        <v>261</v>
      </c>
      <c r="N86" s="405">
        <v>749</v>
      </c>
      <c r="O86" s="405">
        <v>2446</v>
      </c>
      <c r="P86" s="405">
        <v>2553</v>
      </c>
      <c r="Q86" s="405">
        <v>4999</v>
      </c>
      <c r="R86" s="405">
        <v>266</v>
      </c>
      <c r="S86" s="405">
        <v>221</v>
      </c>
      <c r="T86" s="405">
        <v>487</v>
      </c>
      <c r="U86" s="406">
        <v>4752</v>
      </c>
      <c r="V86" s="406">
        <v>3538</v>
      </c>
      <c r="W86" s="406">
        <v>8290</v>
      </c>
    </row>
    <row r="87" spans="2:23" hidden="1" outlineLevel="1" x14ac:dyDescent="0.25">
      <c r="B87" s="404">
        <v>41456</v>
      </c>
      <c r="C87" s="405"/>
      <c r="D87" s="405"/>
      <c r="E87" s="405"/>
      <c r="F87" s="405"/>
      <c r="G87" s="405"/>
      <c r="H87" s="405"/>
      <c r="I87" s="405">
        <v>1978</v>
      </c>
      <c r="J87" s="405">
        <v>592</v>
      </c>
      <c r="K87" s="405">
        <v>2570</v>
      </c>
      <c r="L87" s="405">
        <v>484</v>
      </c>
      <c r="M87" s="405">
        <v>273</v>
      </c>
      <c r="N87" s="405">
        <v>757</v>
      </c>
      <c r="O87" s="405">
        <v>2734</v>
      </c>
      <c r="P87" s="405">
        <v>2580</v>
      </c>
      <c r="Q87" s="405">
        <v>5314</v>
      </c>
      <c r="R87" s="405">
        <v>288</v>
      </c>
      <c r="S87" s="405">
        <v>228</v>
      </c>
      <c r="T87" s="405">
        <v>516</v>
      </c>
      <c r="U87" s="406">
        <v>5484</v>
      </c>
      <c r="V87" s="406">
        <v>3673</v>
      </c>
      <c r="W87" s="406">
        <v>9157</v>
      </c>
    </row>
    <row r="88" spans="2:23" hidden="1" outlineLevel="1" x14ac:dyDescent="0.25">
      <c r="B88" s="404">
        <v>41487</v>
      </c>
      <c r="C88" s="405"/>
      <c r="D88" s="405"/>
      <c r="E88" s="405"/>
      <c r="F88" s="405"/>
      <c r="G88" s="405"/>
      <c r="H88" s="405"/>
      <c r="I88" s="405">
        <v>2083</v>
      </c>
      <c r="J88" s="405">
        <v>695</v>
      </c>
      <c r="K88" s="405">
        <v>2778</v>
      </c>
      <c r="L88" s="405">
        <v>508</v>
      </c>
      <c r="M88" s="405">
        <v>246</v>
      </c>
      <c r="N88" s="405">
        <v>754</v>
      </c>
      <c r="O88" s="405">
        <v>3057</v>
      </c>
      <c r="P88" s="405">
        <v>2657</v>
      </c>
      <c r="Q88" s="405">
        <v>5714</v>
      </c>
      <c r="R88" s="405">
        <v>329</v>
      </c>
      <c r="S88" s="405">
        <v>273</v>
      </c>
      <c r="T88" s="405">
        <v>602</v>
      </c>
      <c r="U88" s="406">
        <v>5977</v>
      </c>
      <c r="V88" s="406">
        <v>3871</v>
      </c>
      <c r="W88" s="406">
        <v>9848</v>
      </c>
    </row>
    <row r="89" spans="2:23" hidden="1" outlineLevel="1" x14ac:dyDescent="0.25">
      <c r="B89" s="404">
        <v>41518</v>
      </c>
      <c r="C89" s="405"/>
      <c r="D89" s="405"/>
      <c r="E89" s="405"/>
      <c r="F89" s="405"/>
      <c r="G89" s="405"/>
      <c r="H89" s="405"/>
      <c r="I89" s="405">
        <v>1961</v>
      </c>
      <c r="J89" s="405">
        <v>604</v>
      </c>
      <c r="K89" s="405">
        <v>2565</v>
      </c>
      <c r="L89" s="405">
        <v>436</v>
      </c>
      <c r="M89" s="405">
        <v>217</v>
      </c>
      <c r="N89" s="405">
        <v>653</v>
      </c>
      <c r="O89" s="405">
        <v>2703</v>
      </c>
      <c r="P89" s="405">
        <v>2501</v>
      </c>
      <c r="Q89" s="405">
        <v>5204</v>
      </c>
      <c r="R89" s="405">
        <v>214</v>
      </c>
      <c r="S89" s="405">
        <v>224</v>
      </c>
      <c r="T89" s="405">
        <v>438</v>
      </c>
      <c r="U89" s="406">
        <v>5314</v>
      </c>
      <c r="V89" s="406">
        <v>3546</v>
      </c>
      <c r="W89" s="406">
        <v>8860</v>
      </c>
    </row>
    <row r="90" spans="2:23" hidden="1" outlineLevel="1" x14ac:dyDescent="0.25">
      <c r="B90" s="404">
        <v>41548</v>
      </c>
      <c r="C90" s="405"/>
      <c r="D90" s="405"/>
      <c r="E90" s="405"/>
      <c r="F90" s="405"/>
      <c r="G90" s="405"/>
      <c r="H90" s="405"/>
      <c r="I90" s="405">
        <v>2200</v>
      </c>
      <c r="J90" s="405">
        <v>630</v>
      </c>
      <c r="K90" s="405">
        <v>2830</v>
      </c>
      <c r="L90" s="405">
        <v>476</v>
      </c>
      <c r="M90" s="405">
        <v>290</v>
      </c>
      <c r="N90" s="405">
        <v>766</v>
      </c>
      <c r="O90" s="405">
        <v>3609</v>
      </c>
      <c r="P90" s="405">
        <v>3178</v>
      </c>
      <c r="Q90" s="405">
        <v>6787</v>
      </c>
      <c r="R90" s="405">
        <v>305</v>
      </c>
      <c r="S90" s="405">
        <v>252</v>
      </c>
      <c r="T90" s="405">
        <v>557</v>
      </c>
      <c r="U90" s="406">
        <v>6590</v>
      </c>
      <c r="V90" s="406">
        <v>4350</v>
      </c>
      <c r="W90" s="406">
        <v>10940</v>
      </c>
    </row>
    <row r="91" spans="2:23" hidden="1" outlineLevel="1" x14ac:dyDescent="0.25">
      <c r="B91" s="404">
        <v>41579</v>
      </c>
      <c r="C91" s="405"/>
      <c r="D91" s="405"/>
      <c r="E91" s="405"/>
      <c r="F91" s="405"/>
      <c r="G91" s="405"/>
      <c r="H91" s="405"/>
      <c r="I91" s="405">
        <v>1534</v>
      </c>
      <c r="J91" s="405">
        <v>407</v>
      </c>
      <c r="K91" s="405">
        <v>1941</v>
      </c>
      <c r="L91" s="405">
        <v>318</v>
      </c>
      <c r="M91" s="405">
        <v>183</v>
      </c>
      <c r="N91" s="405">
        <v>501</v>
      </c>
      <c r="O91" s="405">
        <v>2269</v>
      </c>
      <c r="P91" s="405">
        <v>1993</v>
      </c>
      <c r="Q91" s="405">
        <v>4262</v>
      </c>
      <c r="R91" s="405">
        <v>237</v>
      </c>
      <c r="S91" s="405">
        <v>194</v>
      </c>
      <c r="T91" s="405">
        <v>431</v>
      </c>
      <c r="U91" s="406">
        <v>4358</v>
      </c>
      <c r="V91" s="406">
        <v>2777</v>
      </c>
      <c r="W91" s="406">
        <v>7135</v>
      </c>
    </row>
    <row r="92" spans="2:23" hidden="1" outlineLevel="1" x14ac:dyDescent="0.25">
      <c r="B92" s="404">
        <v>41609</v>
      </c>
      <c r="C92" s="405"/>
      <c r="D92" s="405"/>
      <c r="E92" s="405"/>
      <c r="F92" s="405"/>
      <c r="G92" s="405"/>
      <c r="H92" s="405"/>
      <c r="I92" s="405">
        <v>2568</v>
      </c>
      <c r="J92" s="405">
        <v>738</v>
      </c>
      <c r="K92" s="405">
        <v>3306</v>
      </c>
      <c r="L92" s="405">
        <v>552</v>
      </c>
      <c r="M92" s="405">
        <v>343</v>
      </c>
      <c r="N92" s="405">
        <v>895</v>
      </c>
      <c r="O92" s="405">
        <v>3426</v>
      </c>
      <c r="P92" s="405">
        <v>2937</v>
      </c>
      <c r="Q92" s="405">
        <v>6363</v>
      </c>
      <c r="R92" s="405">
        <v>294</v>
      </c>
      <c r="S92" s="405">
        <v>260</v>
      </c>
      <c r="T92" s="405">
        <v>554</v>
      </c>
      <c r="U92" s="406">
        <v>6840</v>
      </c>
      <c r="V92" s="406">
        <v>4278</v>
      </c>
      <c r="W92" s="406">
        <v>11118</v>
      </c>
    </row>
    <row r="93" spans="2:23" collapsed="1" x14ac:dyDescent="0.25">
      <c r="B93" s="407" t="s">
        <v>754</v>
      </c>
      <c r="C93" s="408" t="s">
        <v>916</v>
      </c>
      <c r="D93" s="408" t="s">
        <v>916</v>
      </c>
      <c r="E93" s="408" t="s">
        <v>916</v>
      </c>
      <c r="F93" s="408" t="s">
        <v>916</v>
      </c>
      <c r="G93" s="408" t="s">
        <v>916</v>
      </c>
      <c r="H93" s="408" t="s">
        <v>916</v>
      </c>
      <c r="I93" s="408">
        <v>1870</v>
      </c>
      <c r="J93" s="408">
        <v>587</v>
      </c>
      <c r="K93" s="408">
        <v>2457</v>
      </c>
      <c r="L93" s="408">
        <v>483</v>
      </c>
      <c r="M93" s="408">
        <v>268</v>
      </c>
      <c r="N93" s="408">
        <v>751</v>
      </c>
      <c r="O93" s="408">
        <v>2852</v>
      </c>
      <c r="P93" s="408">
        <v>2612</v>
      </c>
      <c r="Q93" s="408">
        <v>5464</v>
      </c>
      <c r="R93" s="408">
        <v>274</v>
      </c>
      <c r="S93" s="408">
        <v>230</v>
      </c>
      <c r="T93" s="408">
        <v>504</v>
      </c>
      <c r="U93" s="408">
        <v>5479</v>
      </c>
      <c r="V93" s="408">
        <v>3697</v>
      </c>
      <c r="W93" s="408">
        <v>9176</v>
      </c>
    </row>
    <row r="94" spans="2:23" hidden="1" outlineLevel="1" x14ac:dyDescent="0.25">
      <c r="B94" s="404">
        <v>41640</v>
      </c>
      <c r="C94" s="405"/>
      <c r="D94" s="405"/>
      <c r="E94" s="405"/>
      <c r="F94" s="405"/>
      <c r="G94" s="405"/>
      <c r="H94" s="405"/>
      <c r="I94" s="405">
        <v>2156</v>
      </c>
      <c r="J94" s="405">
        <v>697</v>
      </c>
      <c r="K94" s="405">
        <v>2853</v>
      </c>
      <c r="L94" s="405">
        <v>499</v>
      </c>
      <c r="M94" s="405">
        <v>271</v>
      </c>
      <c r="N94" s="405">
        <v>770</v>
      </c>
      <c r="O94" s="405">
        <v>3023</v>
      </c>
      <c r="P94" s="405">
        <v>2752</v>
      </c>
      <c r="Q94" s="405">
        <v>5775</v>
      </c>
      <c r="R94" s="405">
        <v>326</v>
      </c>
      <c r="S94" s="405">
        <v>256</v>
      </c>
      <c r="T94" s="405">
        <v>582</v>
      </c>
      <c r="U94" s="406">
        <v>6004</v>
      </c>
      <c r="V94" s="406">
        <v>3976</v>
      </c>
      <c r="W94" s="406">
        <v>9980</v>
      </c>
    </row>
    <row r="95" spans="2:23" hidden="1" outlineLevel="1" x14ac:dyDescent="0.25">
      <c r="B95" s="404">
        <v>41671</v>
      </c>
      <c r="C95" s="405"/>
      <c r="D95" s="405"/>
      <c r="E95" s="405"/>
      <c r="F95" s="405"/>
      <c r="G95" s="405"/>
      <c r="H95" s="405"/>
      <c r="I95" s="405">
        <v>1795</v>
      </c>
      <c r="J95" s="405">
        <v>577</v>
      </c>
      <c r="K95" s="405">
        <v>2372</v>
      </c>
      <c r="L95" s="405">
        <v>453</v>
      </c>
      <c r="M95" s="405">
        <v>238</v>
      </c>
      <c r="N95" s="405">
        <v>691</v>
      </c>
      <c r="O95" s="405">
        <v>2452</v>
      </c>
      <c r="P95" s="405">
        <v>2289</v>
      </c>
      <c r="Q95" s="405">
        <v>4741</v>
      </c>
      <c r="R95" s="405">
        <v>229</v>
      </c>
      <c r="S95" s="405">
        <v>192</v>
      </c>
      <c r="T95" s="405">
        <v>421</v>
      </c>
      <c r="U95" s="406">
        <v>4929</v>
      </c>
      <c r="V95" s="406">
        <v>3296</v>
      </c>
      <c r="W95" s="406">
        <v>8225</v>
      </c>
    </row>
    <row r="96" spans="2:23" hidden="1" outlineLevel="1" x14ac:dyDescent="0.25">
      <c r="B96" s="404">
        <v>41699</v>
      </c>
      <c r="C96" s="405"/>
      <c r="D96" s="405"/>
      <c r="E96" s="405"/>
      <c r="F96" s="405"/>
      <c r="G96" s="405"/>
      <c r="H96" s="405"/>
      <c r="I96" s="405">
        <v>2273</v>
      </c>
      <c r="J96" s="405">
        <v>694</v>
      </c>
      <c r="K96" s="405">
        <v>2967</v>
      </c>
      <c r="L96" s="405">
        <v>578</v>
      </c>
      <c r="M96" s="405">
        <v>322</v>
      </c>
      <c r="N96" s="405">
        <v>900</v>
      </c>
      <c r="O96" s="405">
        <v>2708</v>
      </c>
      <c r="P96" s="405">
        <v>2645</v>
      </c>
      <c r="Q96" s="405">
        <v>5353</v>
      </c>
      <c r="R96" s="405">
        <v>325</v>
      </c>
      <c r="S96" s="405">
        <v>228</v>
      </c>
      <c r="T96" s="405">
        <v>553</v>
      </c>
      <c r="U96" s="406">
        <v>5884</v>
      </c>
      <c r="V96" s="406">
        <v>3889</v>
      </c>
      <c r="W96" s="406">
        <v>9773</v>
      </c>
    </row>
    <row r="97" spans="2:23" hidden="1" outlineLevel="1" x14ac:dyDescent="0.25">
      <c r="B97" s="404">
        <v>41730</v>
      </c>
      <c r="C97" s="405"/>
      <c r="D97" s="405"/>
      <c r="E97" s="405"/>
      <c r="F97" s="405"/>
      <c r="G97" s="405"/>
      <c r="H97" s="405"/>
      <c r="I97" s="405">
        <v>1889</v>
      </c>
      <c r="J97" s="405">
        <v>623</v>
      </c>
      <c r="K97" s="405">
        <v>2512</v>
      </c>
      <c r="L97" s="405">
        <v>527</v>
      </c>
      <c r="M97" s="405">
        <v>269</v>
      </c>
      <c r="N97" s="405">
        <v>796</v>
      </c>
      <c r="O97" s="405">
        <v>2487</v>
      </c>
      <c r="P97" s="405">
        <v>2472</v>
      </c>
      <c r="Q97" s="405">
        <v>4959</v>
      </c>
      <c r="R97" s="405">
        <v>319</v>
      </c>
      <c r="S97" s="405">
        <v>258</v>
      </c>
      <c r="T97" s="405">
        <v>577</v>
      </c>
      <c r="U97" s="406">
        <v>5222</v>
      </c>
      <c r="V97" s="406">
        <v>3622</v>
      </c>
      <c r="W97" s="406">
        <v>8844</v>
      </c>
    </row>
    <row r="98" spans="2:23" hidden="1" outlineLevel="1" x14ac:dyDescent="0.25">
      <c r="B98" s="404">
        <v>41760</v>
      </c>
      <c r="C98" s="405"/>
      <c r="D98" s="405"/>
      <c r="E98" s="405"/>
      <c r="F98" s="405"/>
      <c r="G98" s="405"/>
      <c r="H98" s="405"/>
      <c r="I98" s="405">
        <v>2328</v>
      </c>
      <c r="J98" s="405">
        <v>687</v>
      </c>
      <c r="K98" s="405">
        <v>3015</v>
      </c>
      <c r="L98" s="405">
        <v>526</v>
      </c>
      <c r="M98" s="405">
        <v>292</v>
      </c>
      <c r="N98" s="405">
        <v>818</v>
      </c>
      <c r="O98" s="405">
        <v>3027</v>
      </c>
      <c r="P98" s="405">
        <v>3865</v>
      </c>
      <c r="Q98" s="405">
        <v>6892</v>
      </c>
      <c r="R98" s="405">
        <v>255</v>
      </c>
      <c r="S98" s="405">
        <v>228</v>
      </c>
      <c r="T98" s="405">
        <v>483</v>
      </c>
      <c r="U98" s="406">
        <v>6136</v>
      </c>
      <c r="V98" s="406">
        <v>5072</v>
      </c>
      <c r="W98" s="406">
        <v>11208</v>
      </c>
    </row>
    <row r="99" spans="2:23" hidden="1" outlineLevel="1" x14ac:dyDescent="0.25">
      <c r="B99" s="404">
        <v>41791</v>
      </c>
      <c r="C99" s="405"/>
      <c r="D99" s="405"/>
      <c r="E99" s="405"/>
      <c r="F99" s="405"/>
      <c r="G99" s="405"/>
      <c r="H99" s="405"/>
      <c r="I99" s="405">
        <v>1952</v>
      </c>
      <c r="J99" s="405">
        <v>621</v>
      </c>
      <c r="K99" s="405">
        <v>2573</v>
      </c>
      <c r="L99" s="405">
        <v>491</v>
      </c>
      <c r="M99" s="405">
        <v>308</v>
      </c>
      <c r="N99" s="405">
        <v>799</v>
      </c>
      <c r="O99" s="405">
        <v>2836</v>
      </c>
      <c r="P99" s="405">
        <v>3047</v>
      </c>
      <c r="Q99" s="405">
        <v>5883</v>
      </c>
      <c r="R99" s="405">
        <v>216</v>
      </c>
      <c r="S99" s="405">
        <v>190</v>
      </c>
      <c r="T99" s="405">
        <v>406</v>
      </c>
      <c r="U99" s="406">
        <v>5495</v>
      </c>
      <c r="V99" s="406">
        <v>4166</v>
      </c>
      <c r="W99" s="406">
        <v>9661</v>
      </c>
    </row>
    <row r="100" spans="2:23" hidden="1" outlineLevel="1" x14ac:dyDescent="0.25">
      <c r="B100" s="404">
        <v>41821</v>
      </c>
      <c r="C100" s="405"/>
      <c r="D100" s="405"/>
      <c r="E100" s="405"/>
      <c r="F100" s="405"/>
      <c r="G100" s="405"/>
      <c r="H100" s="405"/>
      <c r="I100" s="405">
        <v>1965</v>
      </c>
      <c r="J100" s="405">
        <v>610</v>
      </c>
      <c r="K100" s="405">
        <v>2575</v>
      </c>
      <c r="L100" s="405">
        <v>565</v>
      </c>
      <c r="M100" s="405">
        <v>328</v>
      </c>
      <c r="N100" s="405">
        <v>893</v>
      </c>
      <c r="O100" s="405">
        <v>3164</v>
      </c>
      <c r="P100" s="405">
        <v>2761</v>
      </c>
      <c r="Q100" s="405">
        <v>5925</v>
      </c>
      <c r="R100" s="405">
        <v>212</v>
      </c>
      <c r="S100" s="405">
        <v>191</v>
      </c>
      <c r="T100" s="405">
        <v>403</v>
      </c>
      <c r="U100" s="406">
        <v>5906</v>
      </c>
      <c r="V100" s="406">
        <v>3890</v>
      </c>
      <c r="W100" s="406">
        <v>9796</v>
      </c>
    </row>
    <row r="101" spans="2:23" hidden="1" outlineLevel="1" x14ac:dyDescent="0.25">
      <c r="B101" s="404">
        <v>41852</v>
      </c>
      <c r="C101" s="405"/>
      <c r="D101" s="405"/>
      <c r="E101" s="405"/>
      <c r="F101" s="405"/>
      <c r="G101" s="405"/>
      <c r="H101" s="405"/>
      <c r="I101" s="405">
        <v>2211</v>
      </c>
      <c r="J101" s="405">
        <v>729</v>
      </c>
      <c r="K101" s="405">
        <v>2940</v>
      </c>
      <c r="L101" s="405">
        <v>559</v>
      </c>
      <c r="M101" s="405">
        <v>353</v>
      </c>
      <c r="N101" s="405">
        <v>912</v>
      </c>
      <c r="O101" s="405">
        <v>3364</v>
      </c>
      <c r="P101" s="405">
        <v>2904</v>
      </c>
      <c r="Q101" s="405">
        <v>6268</v>
      </c>
      <c r="R101" s="405">
        <v>215</v>
      </c>
      <c r="S101" s="405">
        <v>216</v>
      </c>
      <c r="T101" s="405">
        <v>431</v>
      </c>
      <c r="U101" s="406">
        <v>6349</v>
      </c>
      <c r="V101" s="406">
        <v>4202</v>
      </c>
      <c r="W101" s="406">
        <v>10551</v>
      </c>
    </row>
    <row r="102" spans="2:23" hidden="1" outlineLevel="1" x14ac:dyDescent="0.25">
      <c r="B102" s="404">
        <v>41883</v>
      </c>
      <c r="C102" s="405"/>
      <c r="D102" s="405"/>
      <c r="E102" s="405"/>
      <c r="F102" s="405"/>
      <c r="G102" s="405"/>
      <c r="H102" s="405"/>
      <c r="I102" s="405">
        <v>2074</v>
      </c>
      <c r="J102" s="405">
        <v>662</v>
      </c>
      <c r="K102" s="405">
        <v>2736</v>
      </c>
      <c r="L102" s="405">
        <v>461</v>
      </c>
      <c r="M102" s="405">
        <v>341</v>
      </c>
      <c r="N102" s="405">
        <v>802</v>
      </c>
      <c r="O102" s="405">
        <v>3296</v>
      </c>
      <c r="P102" s="405">
        <v>2831</v>
      </c>
      <c r="Q102" s="405">
        <v>6127</v>
      </c>
      <c r="R102" s="405">
        <v>182</v>
      </c>
      <c r="S102" s="405">
        <v>174</v>
      </c>
      <c r="T102" s="405">
        <v>356</v>
      </c>
      <c r="U102" s="406">
        <v>6013</v>
      </c>
      <c r="V102" s="406">
        <v>4008</v>
      </c>
      <c r="W102" s="406">
        <v>10021</v>
      </c>
    </row>
    <row r="103" spans="2:23" hidden="1" outlineLevel="1" x14ac:dyDescent="0.25">
      <c r="B103" s="404">
        <v>41913</v>
      </c>
      <c r="C103" s="405"/>
      <c r="D103" s="405"/>
      <c r="E103" s="405"/>
      <c r="F103" s="405"/>
      <c r="G103" s="405"/>
      <c r="H103" s="405"/>
      <c r="I103" s="405">
        <v>2227</v>
      </c>
      <c r="J103" s="405">
        <v>707</v>
      </c>
      <c r="K103" s="405">
        <v>2934</v>
      </c>
      <c r="L103" s="405">
        <v>623</v>
      </c>
      <c r="M103" s="405">
        <v>348</v>
      </c>
      <c r="N103" s="405">
        <v>971</v>
      </c>
      <c r="O103" s="405">
        <v>3729</v>
      </c>
      <c r="P103" s="405">
        <v>3307</v>
      </c>
      <c r="Q103" s="405">
        <v>7036</v>
      </c>
      <c r="R103" s="405">
        <v>202</v>
      </c>
      <c r="S103" s="405">
        <v>172</v>
      </c>
      <c r="T103" s="405">
        <v>374</v>
      </c>
      <c r="U103" s="406">
        <v>6781</v>
      </c>
      <c r="V103" s="406">
        <v>4534</v>
      </c>
      <c r="W103" s="406">
        <v>11315</v>
      </c>
    </row>
    <row r="104" spans="2:23" hidden="1" outlineLevel="1" x14ac:dyDescent="0.25">
      <c r="B104" s="404">
        <v>41944</v>
      </c>
      <c r="C104" s="405"/>
      <c r="D104" s="405"/>
      <c r="E104" s="405"/>
      <c r="F104" s="405"/>
      <c r="G104" s="405"/>
      <c r="H104" s="405"/>
      <c r="I104" s="405">
        <v>1985</v>
      </c>
      <c r="J104" s="405">
        <v>631</v>
      </c>
      <c r="K104" s="405">
        <v>2616</v>
      </c>
      <c r="L104" s="405">
        <v>519</v>
      </c>
      <c r="M104" s="405">
        <v>323</v>
      </c>
      <c r="N104" s="405">
        <v>842</v>
      </c>
      <c r="O104" s="405">
        <v>3340</v>
      </c>
      <c r="P104" s="405">
        <v>2748</v>
      </c>
      <c r="Q104" s="405">
        <v>6088</v>
      </c>
      <c r="R104" s="405">
        <v>202</v>
      </c>
      <c r="S104" s="405">
        <v>153</v>
      </c>
      <c r="T104" s="405">
        <v>355</v>
      </c>
      <c r="U104" s="406">
        <v>6046</v>
      </c>
      <c r="V104" s="406">
        <v>3855</v>
      </c>
      <c r="W104" s="406">
        <v>9901</v>
      </c>
    </row>
    <row r="105" spans="2:23" hidden="1" outlineLevel="1" x14ac:dyDescent="0.25">
      <c r="B105" s="404">
        <v>41974</v>
      </c>
      <c r="C105" s="405"/>
      <c r="D105" s="405"/>
      <c r="E105" s="405"/>
      <c r="F105" s="405"/>
      <c r="G105" s="405"/>
      <c r="H105" s="405"/>
      <c r="I105" s="405">
        <v>1910</v>
      </c>
      <c r="J105" s="405">
        <v>564</v>
      </c>
      <c r="K105" s="405">
        <v>2474</v>
      </c>
      <c r="L105" s="405">
        <v>486</v>
      </c>
      <c r="M105" s="405">
        <v>308</v>
      </c>
      <c r="N105" s="405">
        <v>794</v>
      </c>
      <c r="O105" s="405">
        <v>2672</v>
      </c>
      <c r="P105" s="405">
        <v>2341</v>
      </c>
      <c r="Q105" s="405">
        <v>5013</v>
      </c>
      <c r="R105" s="405">
        <v>171</v>
      </c>
      <c r="S105" s="405">
        <v>158</v>
      </c>
      <c r="T105" s="405">
        <v>329</v>
      </c>
      <c r="U105" s="406">
        <v>5239</v>
      </c>
      <c r="V105" s="406">
        <v>3371</v>
      </c>
      <c r="W105" s="406">
        <v>8610</v>
      </c>
    </row>
    <row r="106" spans="2:23" collapsed="1" x14ac:dyDescent="0.25">
      <c r="B106" s="407" t="s">
        <v>755</v>
      </c>
      <c r="C106" s="408" t="s">
        <v>916</v>
      </c>
      <c r="D106" s="408" t="s">
        <v>916</v>
      </c>
      <c r="E106" s="408" t="s">
        <v>916</v>
      </c>
      <c r="F106" s="408" t="s">
        <v>916</v>
      </c>
      <c r="G106" s="408" t="s">
        <v>916</v>
      </c>
      <c r="H106" s="408" t="s">
        <v>916</v>
      </c>
      <c r="I106" s="408">
        <v>2064</v>
      </c>
      <c r="J106" s="408">
        <v>650</v>
      </c>
      <c r="K106" s="408">
        <v>2714</v>
      </c>
      <c r="L106" s="408">
        <v>524</v>
      </c>
      <c r="M106" s="408">
        <v>308</v>
      </c>
      <c r="N106" s="408">
        <v>832</v>
      </c>
      <c r="O106" s="408">
        <v>3008</v>
      </c>
      <c r="P106" s="408">
        <v>2830</v>
      </c>
      <c r="Q106" s="408">
        <v>5838</v>
      </c>
      <c r="R106" s="408">
        <v>238</v>
      </c>
      <c r="S106" s="408">
        <v>201</v>
      </c>
      <c r="T106" s="408">
        <v>439</v>
      </c>
      <c r="U106" s="408">
        <v>5834</v>
      </c>
      <c r="V106" s="408">
        <v>3990</v>
      </c>
      <c r="W106" s="408">
        <v>9824</v>
      </c>
    </row>
    <row r="107" spans="2:23" hidden="1" outlineLevel="1" x14ac:dyDescent="0.25">
      <c r="B107" s="404">
        <v>42005</v>
      </c>
      <c r="C107" s="405"/>
      <c r="D107" s="405"/>
      <c r="E107" s="405"/>
      <c r="F107" s="405"/>
      <c r="G107" s="405"/>
      <c r="H107" s="405"/>
      <c r="I107" s="405">
        <v>1869</v>
      </c>
      <c r="J107" s="405">
        <v>570</v>
      </c>
      <c r="K107" s="405">
        <v>2439</v>
      </c>
      <c r="L107" s="405">
        <v>591</v>
      </c>
      <c r="M107" s="405">
        <v>397</v>
      </c>
      <c r="N107" s="405">
        <v>988</v>
      </c>
      <c r="O107" s="405">
        <v>2831</v>
      </c>
      <c r="P107" s="405">
        <v>2278</v>
      </c>
      <c r="Q107" s="405">
        <v>5109</v>
      </c>
      <c r="R107" s="405">
        <v>88</v>
      </c>
      <c r="S107" s="405">
        <v>85</v>
      </c>
      <c r="T107" s="405">
        <v>173</v>
      </c>
      <c r="U107" s="406">
        <v>5379</v>
      </c>
      <c r="V107" s="406">
        <v>3330</v>
      </c>
      <c r="W107" s="406">
        <v>8709</v>
      </c>
    </row>
    <row r="108" spans="2:23" hidden="1" outlineLevel="1" x14ac:dyDescent="0.25">
      <c r="B108" s="404">
        <v>42036</v>
      </c>
      <c r="C108" s="405"/>
      <c r="D108" s="405"/>
      <c r="E108" s="405"/>
      <c r="F108" s="405"/>
      <c r="G108" s="405"/>
      <c r="H108" s="405"/>
      <c r="I108" s="405">
        <v>1678</v>
      </c>
      <c r="J108" s="405">
        <v>503</v>
      </c>
      <c r="K108" s="405">
        <v>2181</v>
      </c>
      <c r="L108" s="405">
        <v>531</v>
      </c>
      <c r="M108" s="405">
        <v>338</v>
      </c>
      <c r="N108" s="405">
        <v>869</v>
      </c>
      <c r="O108" s="405">
        <v>2746</v>
      </c>
      <c r="P108" s="405">
        <v>2325</v>
      </c>
      <c r="Q108" s="405">
        <v>5071</v>
      </c>
      <c r="R108" s="405">
        <v>69</v>
      </c>
      <c r="S108" s="405">
        <v>76</v>
      </c>
      <c r="T108" s="405">
        <v>145</v>
      </c>
      <c r="U108" s="406">
        <v>5024</v>
      </c>
      <c r="V108" s="406">
        <v>3242</v>
      </c>
      <c r="W108" s="406">
        <v>8266</v>
      </c>
    </row>
    <row r="109" spans="2:23" hidden="1" outlineLevel="1" x14ac:dyDescent="0.25">
      <c r="B109" s="404">
        <v>42064</v>
      </c>
      <c r="C109" s="405"/>
      <c r="D109" s="405"/>
      <c r="E109" s="405"/>
      <c r="F109" s="405"/>
      <c r="G109" s="405"/>
      <c r="H109" s="405"/>
      <c r="I109" s="405">
        <v>1862</v>
      </c>
      <c r="J109" s="405">
        <v>572</v>
      </c>
      <c r="K109" s="405">
        <v>2434</v>
      </c>
      <c r="L109" s="405">
        <v>683</v>
      </c>
      <c r="M109" s="405">
        <v>432</v>
      </c>
      <c r="N109" s="405">
        <v>1115</v>
      </c>
      <c r="O109" s="405">
        <v>3232</v>
      </c>
      <c r="P109" s="405">
        <v>2846</v>
      </c>
      <c r="Q109" s="405">
        <v>6078</v>
      </c>
      <c r="R109" s="405">
        <v>91</v>
      </c>
      <c r="S109" s="405">
        <v>100</v>
      </c>
      <c r="T109" s="405">
        <v>191</v>
      </c>
      <c r="U109" s="406">
        <v>5868</v>
      </c>
      <c r="V109" s="406">
        <v>3950</v>
      </c>
      <c r="W109" s="406">
        <v>9818</v>
      </c>
    </row>
    <row r="110" spans="2:23" hidden="1" outlineLevel="1" x14ac:dyDescent="0.25">
      <c r="B110" s="404">
        <v>42095</v>
      </c>
      <c r="C110" s="405"/>
      <c r="D110" s="405"/>
      <c r="E110" s="405"/>
      <c r="F110" s="405"/>
      <c r="G110" s="405"/>
      <c r="H110" s="405"/>
      <c r="I110" s="405">
        <v>1566</v>
      </c>
      <c r="J110" s="405">
        <v>509</v>
      </c>
      <c r="K110" s="405">
        <v>2075</v>
      </c>
      <c r="L110" s="405">
        <v>569</v>
      </c>
      <c r="M110" s="405">
        <v>383</v>
      </c>
      <c r="N110" s="405">
        <v>952</v>
      </c>
      <c r="O110" s="405">
        <v>2827</v>
      </c>
      <c r="P110" s="405">
        <v>2372</v>
      </c>
      <c r="Q110" s="405">
        <v>5199</v>
      </c>
      <c r="R110" s="405">
        <v>73</v>
      </c>
      <c r="S110" s="405">
        <v>81</v>
      </c>
      <c r="T110" s="405">
        <v>154</v>
      </c>
      <c r="U110" s="406">
        <v>5035</v>
      </c>
      <c r="V110" s="406">
        <v>3345</v>
      </c>
      <c r="W110" s="406">
        <v>8380</v>
      </c>
    </row>
    <row r="111" spans="2:23" hidden="1" outlineLevel="1" x14ac:dyDescent="0.25">
      <c r="B111" s="404">
        <v>42125</v>
      </c>
      <c r="C111" s="405"/>
      <c r="D111" s="405"/>
      <c r="E111" s="405"/>
      <c r="F111" s="405"/>
      <c r="G111" s="405"/>
      <c r="H111" s="405"/>
      <c r="I111" s="405">
        <v>1453</v>
      </c>
      <c r="J111" s="405">
        <v>555</v>
      </c>
      <c r="K111" s="405">
        <v>2008</v>
      </c>
      <c r="L111" s="405">
        <v>550</v>
      </c>
      <c r="M111" s="405">
        <v>312</v>
      </c>
      <c r="N111" s="405">
        <v>862</v>
      </c>
      <c r="O111" s="405">
        <v>3346</v>
      </c>
      <c r="P111" s="405">
        <v>3920</v>
      </c>
      <c r="Q111" s="405">
        <v>7266</v>
      </c>
      <c r="R111" s="405">
        <v>113</v>
      </c>
      <c r="S111" s="405">
        <v>102</v>
      </c>
      <c r="T111" s="405">
        <v>215</v>
      </c>
      <c r="U111" s="406">
        <v>5462</v>
      </c>
      <c r="V111" s="406">
        <v>4889</v>
      </c>
      <c r="W111" s="406">
        <v>10351</v>
      </c>
    </row>
    <row r="112" spans="2:23" hidden="1" outlineLevel="1" x14ac:dyDescent="0.25">
      <c r="B112" s="404">
        <v>42156</v>
      </c>
      <c r="C112" s="405"/>
      <c r="D112" s="405"/>
      <c r="E112" s="405"/>
      <c r="F112" s="405"/>
      <c r="G112" s="405"/>
      <c r="H112" s="405"/>
      <c r="I112" s="405">
        <v>1526</v>
      </c>
      <c r="J112" s="405">
        <v>513</v>
      </c>
      <c r="K112" s="405">
        <v>2039</v>
      </c>
      <c r="L112" s="405">
        <v>569</v>
      </c>
      <c r="M112" s="405">
        <v>360</v>
      </c>
      <c r="N112" s="405">
        <v>929</v>
      </c>
      <c r="O112" s="405">
        <v>3250</v>
      </c>
      <c r="P112" s="405">
        <v>3086</v>
      </c>
      <c r="Q112" s="405">
        <v>6336</v>
      </c>
      <c r="R112" s="405">
        <v>89</v>
      </c>
      <c r="S112" s="405">
        <v>102</v>
      </c>
      <c r="T112" s="405">
        <v>191</v>
      </c>
      <c r="U112" s="406">
        <v>5434</v>
      </c>
      <c r="V112" s="406">
        <v>4061</v>
      </c>
      <c r="W112" s="406">
        <v>9495</v>
      </c>
    </row>
    <row r="113" spans="2:23" hidden="1" outlineLevel="1" x14ac:dyDescent="0.25">
      <c r="B113" s="404">
        <v>42186</v>
      </c>
      <c r="C113" s="405"/>
      <c r="D113" s="405"/>
      <c r="E113" s="405"/>
      <c r="F113" s="405"/>
      <c r="G113" s="405"/>
      <c r="H113" s="405"/>
      <c r="I113" s="405">
        <v>1648</v>
      </c>
      <c r="J113" s="405">
        <v>612</v>
      </c>
      <c r="K113" s="405">
        <v>2260</v>
      </c>
      <c r="L113" s="405">
        <v>597</v>
      </c>
      <c r="M113" s="405">
        <v>390</v>
      </c>
      <c r="N113" s="405">
        <v>987</v>
      </c>
      <c r="O113" s="405">
        <v>3606</v>
      </c>
      <c r="P113" s="405">
        <v>2785</v>
      </c>
      <c r="Q113" s="405">
        <v>6391</v>
      </c>
      <c r="R113" s="405">
        <v>82</v>
      </c>
      <c r="S113" s="405">
        <v>84</v>
      </c>
      <c r="T113" s="405">
        <v>166</v>
      </c>
      <c r="U113" s="406">
        <v>5933</v>
      </c>
      <c r="V113" s="406">
        <v>3871</v>
      </c>
      <c r="W113" s="406">
        <v>9804</v>
      </c>
    </row>
    <row r="114" spans="2:23" hidden="1" outlineLevel="1" x14ac:dyDescent="0.25">
      <c r="B114" s="404">
        <v>42217</v>
      </c>
      <c r="C114" s="405"/>
      <c r="D114" s="405"/>
      <c r="E114" s="405"/>
      <c r="F114" s="405"/>
      <c r="G114" s="405"/>
      <c r="H114" s="405"/>
      <c r="I114" s="405">
        <v>1725</v>
      </c>
      <c r="J114" s="405">
        <v>577</v>
      </c>
      <c r="K114" s="405">
        <v>2302</v>
      </c>
      <c r="L114" s="405">
        <v>613</v>
      </c>
      <c r="M114" s="405">
        <v>373</v>
      </c>
      <c r="N114" s="405">
        <v>986</v>
      </c>
      <c r="O114" s="405">
        <v>3420</v>
      </c>
      <c r="P114" s="405">
        <v>2802</v>
      </c>
      <c r="Q114" s="405">
        <v>6222</v>
      </c>
      <c r="R114" s="405">
        <v>92</v>
      </c>
      <c r="S114" s="405">
        <v>86</v>
      </c>
      <c r="T114" s="405">
        <v>178</v>
      </c>
      <c r="U114" s="406">
        <v>5850</v>
      </c>
      <c r="V114" s="406">
        <v>3838</v>
      </c>
      <c r="W114" s="406">
        <v>9688</v>
      </c>
    </row>
    <row r="115" spans="2:23" hidden="1" outlineLevel="1" x14ac:dyDescent="0.25">
      <c r="B115" s="404">
        <v>42248</v>
      </c>
      <c r="C115" s="405"/>
      <c r="D115" s="405"/>
      <c r="E115" s="405"/>
      <c r="F115" s="405"/>
      <c r="G115" s="405"/>
      <c r="H115" s="405"/>
      <c r="I115" s="405">
        <v>1650</v>
      </c>
      <c r="J115" s="405">
        <v>551</v>
      </c>
      <c r="K115" s="405">
        <v>2201</v>
      </c>
      <c r="L115" s="405">
        <v>629</v>
      </c>
      <c r="M115" s="405">
        <v>421</v>
      </c>
      <c r="N115" s="405">
        <v>1050</v>
      </c>
      <c r="O115" s="405">
        <v>3305</v>
      </c>
      <c r="P115" s="405">
        <v>2743</v>
      </c>
      <c r="Q115" s="405">
        <v>6048</v>
      </c>
      <c r="R115" s="405">
        <v>69</v>
      </c>
      <c r="S115" s="405">
        <v>68</v>
      </c>
      <c r="T115" s="405">
        <v>137</v>
      </c>
      <c r="U115" s="406">
        <v>5653</v>
      </c>
      <c r="V115" s="406">
        <v>3783</v>
      </c>
      <c r="W115" s="406">
        <v>9436</v>
      </c>
    </row>
    <row r="116" spans="2:23" hidden="1" outlineLevel="1" x14ac:dyDescent="0.25">
      <c r="B116" s="404">
        <v>42278</v>
      </c>
      <c r="C116" s="405"/>
      <c r="D116" s="405"/>
      <c r="E116" s="405"/>
      <c r="F116" s="405"/>
      <c r="G116" s="405"/>
      <c r="H116" s="405"/>
      <c r="I116" s="405">
        <v>1687</v>
      </c>
      <c r="J116" s="405">
        <v>604</v>
      </c>
      <c r="K116" s="405">
        <v>2291</v>
      </c>
      <c r="L116" s="405">
        <v>623</v>
      </c>
      <c r="M116" s="405">
        <v>370</v>
      </c>
      <c r="N116" s="405">
        <v>993</v>
      </c>
      <c r="O116" s="405">
        <v>3263</v>
      </c>
      <c r="P116" s="405">
        <v>2668</v>
      </c>
      <c r="Q116" s="405">
        <v>5931</v>
      </c>
      <c r="R116" s="405">
        <v>96</v>
      </c>
      <c r="S116" s="405">
        <v>86</v>
      </c>
      <c r="T116" s="405">
        <v>182</v>
      </c>
      <c r="U116" s="406">
        <v>5669</v>
      </c>
      <c r="V116" s="406">
        <v>3728</v>
      </c>
      <c r="W116" s="406">
        <v>9397</v>
      </c>
    </row>
    <row r="117" spans="2:23" hidden="1" outlineLevel="1" x14ac:dyDescent="0.25">
      <c r="B117" s="404">
        <v>42309</v>
      </c>
      <c r="C117" s="405"/>
      <c r="D117" s="405"/>
      <c r="E117" s="405"/>
      <c r="F117" s="405"/>
      <c r="G117" s="405"/>
      <c r="H117" s="405"/>
      <c r="I117" s="405">
        <v>1608</v>
      </c>
      <c r="J117" s="405">
        <v>615</v>
      </c>
      <c r="K117" s="405">
        <v>2223</v>
      </c>
      <c r="L117" s="405">
        <v>637</v>
      </c>
      <c r="M117" s="405">
        <v>380</v>
      </c>
      <c r="N117" s="405">
        <v>1017</v>
      </c>
      <c r="O117" s="405">
        <v>3536</v>
      </c>
      <c r="P117" s="405">
        <v>3021</v>
      </c>
      <c r="Q117" s="405">
        <v>6557</v>
      </c>
      <c r="R117" s="405">
        <v>87</v>
      </c>
      <c r="S117" s="405">
        <v>99</v>
      </c>
      <c r="T117" s="405">
        <v>186</v>
      </c>
      <c r="U117" s="406">
        <v>5868</v>
      </c>
      <c r="V117" s="406">
        <v>4115</v>
      </c>
      <c r="W117" s="406">
        <v>9983</v>
      </c>
    </row>
    <row r="118" spans="2:23" hidden="1" outlineLevel="1" x14ac:dyDescent="0.25">
      <c r="B118" s="404">
        <v>42339</v>
      </c>
      <c r="C118" s="405"/>
      <c r="D118" s="405"/>
      <c r="E118" s="405"/>
      <c r="F118" s="405"/>
      <c r="G118" s="405"/>
      <c r="H118" s="405"/>
      <c r="I118" s="405">
        <v>1427</v>
      </c>
      <c r="J118" s="405">
        <v>483</v>
      </c>
      <c r="K118" s="405">
        <v>1910</v>
      </c>
      <c r="L118" s="405">
        <v>588</v>
      </c>
      <c r="M118" s="405">
        <v>375</v>
      </c>
      <c r="N118" s="405">
        <v>963</v>
      </c>
      <c r="O118" s="405">
        <v>2714</v>
      </c>
      <c r="P118" s="405">
        <v>2268</v>
      </c>
      <c r="Q118" s="405">
        <v>4982</v>
      </c>
      <c r="R118" s="405">
        <v>86</v>
      </c>
      <c r="S118" s="405">
        <v>77</v>
      </c>
      <c r="T118" s="405">
        <v>163</v>
      </c>
      <c r="U118" s="406">
        <v>4815</v>
      </c>
      <c r="V118" s="406">
        <v>3203</v>
      </c>
      <c r="W118" s="406">
        <v>8018</v>
      </c>
    </row>
    <row r="119" spans="2:23" collapsed="1" x14ac:dyDescent="0.25">
      <c r="B119" s="407" t="s">
        <v>756</v>
      </c>
      <c r="C119" s="408" t="s">
        <v>916</v>
      </c>
      <c r="D119" s="408" t="s">
        <v>916</v>
      </c>
      <c r="E119" s="408" t="s">
        <v>916</v>
      </c>
      <c r="F119" s="408" t="s">
        <v>916</v>
      </c>
      <c r="G119" s="408" t="s">
        <v>916</v>
      </c>
      <c r="H119" s="408" t="s">
        <v>916</v>
      </c>
      <c r="I119" s="408">
        <v>1642</v>
      </c>
      <c r="J119" s="408">
        <v>555</v>
      </c>
      <c r="K119" s="408">
        <v>2197</v>
      </c>
      <c r="L119" s="408">
        <v>598</v>
      </c>
      <c r="M119" s="408">
        <v>378</v>
      </c>
      <c r="N119" s="408">
        <v>976</v>
      </c>
      <c r="O119" s="408">
        <v>3173</v>
      </c>
      <c r="P119" s="408">
        <v>2760</v>
      </c>
      <c r="Q119" s="408">
        <v>5933</v>
      </c>
      <c r="R119" s="408">
        <v>86</v>
      </c>
      <c r="S119" s="408">
        <v>87</v>
      </c>
      <c r="T119" s="408">
        <v>173</v>
      </c>
      <c r="U119" s="408">
        <v>5499</v>
      </c>
      <c r="V119" s="408">
        <v>3780</v>
      </c>
      <c r="W119" s="408">
        <v>9279</v>
      </c>
    </row>
    <row r="120" spans="2:23" hidden="1" outlineLevel="1" x14ac:dyDescent="0.25">
      <c r="B120" s="404">
        <v>42370</v>
      </c>
      <c r="C120" s="405"/>
      <c r="D120" s="405"/>
      <c r="E120" s="405"/>
      <c r="F120" s="405"/>
      <c r="G120" s="405"/>
      <c r="H120" s="405"/>
      <c r="I120" s="405">
        <v>1359</v>
      </c>
      <c r="J120" s="405">
        <v>417</v>
      </c>
      <c r="K120" s="405">
        <v>1776</v>
      </c>
      <c r="L120" s="405">
        <v>611</v>
      </c>
      <c r="M120" s="405">
        <v>380</v>
      </c>
      <c r="N120" s="405">
        <v>991</v>
      </c>
      <c r="O120" s="405">
        <v>2549</v>
      </c>
      <c r="P120" s="405">
        <v>2080</v>
      </c>
      <c r="Q120" s="405">
        <v>4629</v>
      </c>
      <c r="R120" s="405">
        <v>96</v>
      </c>
      <c r="S120" s="405">
        <v>88</v>
      </c>
      <c r="T120" s="405">
        <v>184</v>
      </c>
      <c r="U120" s="406">
        <v>4615</v>
      </c>
      <c r="V120" s="406">
        <v>2965</v>
      </c>
      <c r="W120" s="406">
        <v>7580</v>
      </c>
    </row>
    <row r="121" spans="2:23" hidden="1" outlineLevel="1" x14ac:dyDescent="0.25">
      <c r="B121" s="404">
        <v>42401</v>
      </c>
      <c r="C121" s="405"/>
      <c r="D121" s="405"/>
      <c r="E121" s="405"/>
      <c r="F121" s="405"/>
      <c r="G121" s="405"/>
      <c r="H121" s="405"/>
      <c r="I121" s="405">
        <v>1332</v>
      </c>
      <c r="J121" s="405">
        <v>441</v>
      </c>
      <c r="K121" s="405">
        <v>1773</v>
      </c>
      <c r="L121" s="405">
        <v>556</v>
      </c>
      <c r="M121" s="405">
        <v>332</v>
      </c>
      <c r="N121" s="405">
        <v>888</v>
      </c>
      <c r="O121" s="405">
        <v>2855</v>
      </c>
      <c r="P121" s="405">
        <v>2182</v>
      </c>
      <c r="Q121" s="405">
        <v>5037</v>
      </c>
      <c r="R121" s="405">
        <v>104</v>
      </c>
      <c r="S121" s="405">
        <v>81</v>
      </c>
      <c r="T121" s="405">
        <v>185</v>
      </c>
      <c r="U121" s="406">
        <v>4847</v>
      </c>
      <c r="V121" s="406">
        <v>3036</v>
      </c>
      <c r="W121" s="406">
        <v>7883</v>
      </c>
    </row>
    <row r="122" spans="2:23" hidden="1" outlineLevel="1" x14ac:dyDescent="0.25">
      <c r="B122" s="404">
        <v>42430</v>
      </c>
      <c r="C122" s="405"/>
      <c r="D122" s="405"/>
      <c r="E122" s="405"/>
      <c r="F122" s="405"/>
      <c r="G122" s="405"/>
      <c r="H122" s="405"/>
      <c r="I122" s="405">
        <v>1448</v>
      </c>
      <c r="J122" s="405">
        <v>469</v>
      </c>
      <c r="K122" s="405">
        <v>1917</v>
      </c>
      <c r="L122" s="405">
        <v>693</v>
      </c>
      <c r="M122" s="405">
        <v>384</v>
      </c>
      <c r="N122" s="405">
        <v>1077</v>
      </c>
      <c r="O122" s="405">
        <v>3013</v>
      </c>
      <c r="P122" s="405">
        <v>2392</v>
      </c>
      <c r="Q122" s="405">
        <v>5405</v>
      </c>
      <c r="R122" s="405">
        <v>97</v>
      </c>
      <c r="S122" s="405">
        <v>82</v>
      </c>
      <c r="T122" s="405">
        <v>179</v>
      </c>
      <c r="U122" s="406">
        <v>5251</v>
      </c>
      <c r="V122" s="406">
        <v>3327</v>
      </c>
      <c r="W122" s="406">
        <v>8578</v>
      </c>
    </row>
    <row r="123" spans="2:23" hidden="1" outlineLevel="1" x14ac:dyDescent="0.25">
      <c r="B123" s="404">
        <v>42461</v>
      </c>
      <c r="C123" s="405"/>
      <c r="D123" s="405"/>
      <c r="E123" s="405"/>
      <c r="F123" s="405"/>
      <c r="G123" s="405"/>
      <c r="H123" s="405"/>
      <c r="I123" s="405">
        <v>2011</v>
      </c>
      <c r="J123" s="405">
        <v>736</v>
      </c>
      <c r="K123" s="405">
        <v>2747</v>
      </c>
      <c r="L123" s="405">
        <v>572</v>
      </c>
      <c r="M123" s="405">
        <v>381</v>
      </c>
      <c r="N123" s="405">
        <v>953</v>
      </c>
      <c r="O123" s="405">
        <v>3185</v>
      </c>
      <c r="P123" s="405">
        <v>2615</v>
      </c>
      <c r="Q123" s="405">
        <v>5800</v>
      </c>
      <c r="R123" s="405">
        <v>84</v>
      </c>
      <c r="S123" s="405">
        <v>87</v>
      </c>
      <c r="T123" s="405">
        <v>171</v>
      </c>
      <c r="U123" s="406">
        <v>5852</v>
      </c>
      <c r="V123" s="406">
        <v>3819</v>
      </c>
      <c r="W123" s="406">
        <v>9671</v>
      </c>
    </row>
    <row r="124" spans="2:23" hidden="1" outlineLevel="1" x14ac:dyDescent="0.25">
      <c r="B124" s="404">
        <v>42491</v>
      </c>
      <c r="C124" s="405"/>
      <c r="D124" s="405"/>
      <c r="E124" s="405"/>
      <c r="F124" s="405"/>
      <c r="G124" s="405"/>
      <c r="H124" s="405"/>
      <c r="I124" s="405">
        <v>1625</v>
      </c>
      <c r="J124" s="405">
        <v>575</v>
      </c>
      <c r="K124" s="405">
        <v>2200</v>
      </c>
      <c r="L124" s="405">
        <v>631</v>
      </c>
      <c r="M124" s="405">
        <v>372</v>
      </c>
      <c r="N124" s="405">
        <v>1003</v>
      </c>
      <c r="O124" s="405">
        <v>3504</v>
      </c>
      <c r="P124" s="405">
        <v>3633</v>
      </c>
      <c r="Q124" s="405">
        <v>7137</v>
      </c>
      <c r="R124" s="405">
        <v>104</v>
      </c>
      <c r="S124" s="405">
        <v>92</v>
      </c>
      <c r="T124" s="405">
        <v>196</v>
      </c>
      <c r="U124" s="406">
        <v>5864</v>
      </c>
      <c r="V124" s="406">
        <v>4672</v>
      </c>
      <c r="W124" s="406">
        <v>10536</v>
      </c>
    </row>
    <row r="125" spans="2:23" hidden="1" outlineLevel="1" x14ac:dyDescent="0.25">
      <c r="B125" s="404">
        <v>42522</v>
      </c>
      <c r="C125" s="405"/>
      <c r="D125" s="405"/>
      <c r="E125" s="405"/>
      <c r="F125" s="405"/>
      <c r="G125" s="405"/>
      <c r="H125" s="405"/>
      <c r="I125" s="405">
        <v>1420</v>
      </c>
      <c r="J125" s="405">
        <v>542</v>
      </c>
      <c r="K125" s="405">
        <v>1962</v>
      </c>
      <c r="L125" s="405">
        <v>546</v>
      </c>
      <c r="M125" s="405">
        <v>376</v>
      </c>
      <c r="N125" s="405">
        <v>922</v>
      </c>
      <c r="O125" s="405">
        <v>2912</v>
      </c>
      <c r="P125" s="405">
        <v>2301</v>
      </c>
      <c r="Q125" s="405">
        <v>5213</v>
      </c>
      <c r="R125" s="405">
        <v>59</v>
      </c>
      <c r="S125" s="405">
        <v>76</v>
      </c>
      <c r="T125" s="405">
        <v>135</v>
      </c>
      <c r="U125" s="406">
        <v>4937</v>
      </c>
      <c r="V125" s="406">
        <v>3295</v>
      </c>
      <c r="W125" s="406">
        <v>8232</v>
      </c>
    </row>
    <row r="126" spans="2:23" hidden="1" outlineLevel="1" x14ac:dyDescent="0.25">
      <c r="B126" s="404">
        <v>42552</v>
      </c>
      <c r="C126" s="405"/>
      <c r="D126" s="405"/>
      <c r="E126" s="405"/>
      <c r="F126" s="405"/>
      <c r="G126" s="405"/>
      <c r="H126" s="405"/>
      <c r="I126" s="405">
        <v>1536</v>
      </c>
      <c r="J126" s="405">
        <v>532</v>
      </c>
      <c r="K126" s="405">
        <v>2068</v>
      </c>
      <c r="L126" s="405">
        <v>611</v>
      </c>
      <c r="M126" s="405">
        <v>406</v>
      </c>
      <c r="N126" s="405">
        <v>1017</v>
      </c>
      <c r="O126" s="405">
        <v>3072</v>
      </c>
      <c r="P126" s="405">
        <v>2417</v>
      </c>
      <c r="Q126" s="405">
        <v>5489</v>
      </c>
      <c r="R126" s="405">
        <v>83</v>
      </c>
      <c r="S126" s="405">
        <v>93</v>
      </c>
      <c r="T126" s="405">
        <v>176</v>
      </c>
      <c r="U126" s="406">
        <v>5302</v>
      </c>
      <c r="V126" s="406">
        <v>3448</v>
      </c>
      <c r="W126" s="406">
        <v>8750</v>
      </c>
    </row>
    <row r="127" spans="2:23" hidden="1" outlineLevel="1" x14ac:dyDescent="0.25">
      <c r="B127" s="404">
        <v>42583</v>
      </c>
      <c r="C127" s="405"/>
      <c r="D127" s="405"/>
      <c r="E127" s="405"/>
      <c r="F127" s="405"/>
      <c r="G127" s="405"/>
      <c r="H127" s="405"/>
      <c r="I127" s="405">
        <v>1680</v>
      </c>
      <c r="J127" s="405">
        <v>602</v>
      </c>
      <c r="K127" s="405">
        <v>2282</v>
      </c>
      <c r="L127" s="405">
        <v>678</v>
      </c>
      <c r="M127" s="405">
        <v>485</v>
      </c>
      <c r="N127" s="405">
        <v>1163</v>
      </c>
      <c r="O127" s="405">
        <v>3891</v>
      </c>
      <c r="P127" s="405">
        <v>3039</v>
      </c>
      <c r="Q127" s="405">
        <v>6930</v>
      </c>
      <c r="R127" s="405">
        <v>108</v>
      </c>
      <c r="S127" s="405">
        <v>96</v>
      </c>
      <c r="T127" s="405">
        <v>204</v>
      </c>
      <c r="U127" s="406">
        <v>6357</v>
      </c>
      <c r="V127" s="406">
        <v>4222</v>
      </c>
      <c r="W127" s="406">
        <v>10579</v>
      </c>
    </row>
    <row r="128" spans="2:23" hidden="1" outlineLevel="1" x14ac:dyDescent="0.25">
      <c r="B128" s="404">
        <v>42614</v>
      </c>
      <c r="C128" s="405"/>
      <c r="D128" s="405"/>
      <c r="E128" s="405"/>
      <c r="F128" s="405"/>
      <c r="G128" s="405"/>
      <c r="H128" s="405"/>
      <c r="I128" s="405">
        <v>1670</v>
      </c>
      <c r="J128" s="405">
        <v>584</v>
      </c>
      <c r="K128" s="405">
        <v>2254</v>
      </c>
      <c r="L128" s="405">
        <v>625</v>
      </c>
      <c r="M128" s="405">
        <v>424</v>
      </c>
      <c r="N128" s="405">
        <v>1049</v>
      </c>
      <c r="O128" s="405">
        <v>3573</v>
      </c>
      <c r="P128" s="405">
        <v>2597</v>
      </c>
      <c r="Q128" s="405">
        <v>6170</v>
      </c>
      <c r="R128" s="405">
        <v>91</v>
      </c>
      <c r="S128" s="405">
        <v>97</v>
      </c>
      <c r="T128" s="405">
        <v>188</v>
      </c>
      <c r="U128" s="406">
        <v>5959</v>
      </c>
      <c r="V128" s="406">
        <v>3702</v>
      </c>
      <c r="W128" s="406">
        <v>9661</v>
      </c>
    </row>
    <row r="129" spans="2:23" hidden="1" outlineLevel="1" x14ac:dyDescent="0.25">
      <c r="B129" s="404">
        <v>42644</v>
      </c>
      <c r="C129" s="405"/>
      <c r="D129" s="405"/>
      <c r="E129" s="405"/>
      <c r="F129" s="405"/>
      <c r="G129" s="405"/>
      <c r="H129" s="405"/>
      <c r="I129" s="405">
        <v>1395</v>
      </c>
      <c r="J129" s="405">
        <v>500</v>
      </c>
      <c r="K129" s="405">
        <v>1895</v>
      </c>
      <c r="L129" s="405">
        <v>548</v>
      </c>
      <c r="M129" s="405">
        <v>361</v>
      </c>
      <c r="N129" s="405">
        <v>909</v>
      </c>
      <c r="O129" s="405">
        <v>3029</v>
      </c>
      <c r="P129" s="405">
        <v>2324</v>
      </c>
      <c r="Q129" s="405">
        <v>5353</v>
      </c>
      <c r="R129" s="405">
        <v>92</v>
      </c>
      <c r="S129" s="405">
        <v>101</v>
      </c>
      <c r="T129" s="405">
        <v>193</v>
      </c>
      <c r="U129" s="406">
        <v>5064</v>
      </c>
      <c r="V129" s="406">
        <v>3286</v>
      </c>
      <c r="W129" s="406">
        <v>8350</v>
      </c>
    </row>
    <row r="130" spans="2:23" hidden="1" outlineLevel="1" x14ac:dyDescent="0.25">
      <c r="B130" s="404">
        <v>42675</v>
      </c>
      <c r="C130" s="405"/>
      <c r="D130" s="405"/>
      <c r="E130" s="405"/>
      <c r="F130" s="405"/>
      <c r="G130" s="405"/>
      <c r="H130" s="405"/>
      <c r="I130" s="405">
        <v>1531</v>
      </c>
      <c r="J130" s="405">
        <v>479</v>
      </c>
      <c r="K130" s="405">
        <v>2010</v>
      </c>
      <c r="L130" s="405">
        <v>504</v>
      </c>
      <c r="M130" s="405">
        <v>354</v>
      </c>
      <c r="N130" s="405">
        <v>858</v>
      </c>
      <c r="O130" s="405">
        <v>3139</v>
      </c>
      <c r="P130" s="405">
        <v>2304</v>
      </c>
      <c r="Q130" s="405">
        <v>5443</v>
      </c>
      <c r="R130" s="405">
        <v>104</v>
      </c>
      <c r="S130" s="405">
        <v>95</v>
      </c>
      <c r="T130" s="405">
        <v>199</v>
      </c>
      <c r="U130" s="406">
        <v>5278</v>
      </c>
      <c r="V130" s="406">
        <v>3232</v>
      </c>
      <c r="W130" s="406">
        <v>8510</v>
      </c>
    </row>
    <row r="131" spans="2:23" hidden="1" outlineLevel="1" x14ac:dyDescent="0.25">
      <c r="B131" s="404">
        <v>42705</v>
      </c>
      <c r="C131" s="405"/>
      <c r="D131" s="405"/>
      <c r="E131" s="405"/>
      <c r="F131" s="405"/>
      <c r="G131" s="405"/>
      <c r="H131" s="405"/>
      <c r="I131" s="405">
        <v>1516</v>
      </c>
      <c r="J131" s="405">
        <v>513</v>
      </c>
      <c r="K131" s="405">
        <v>2029</v>
      </c>
      <c r="L131" s="405">
        <v>599</v>
      </c>
      <c r="M131" s="405">
        <v>380</v>
      </c>
      <c r="N131" s="405">
        <v>979</v>
      </c>
      <c r="O131" s="405">
        <v>2967</v>
      </c>
      <c r="P131" s="405">
        <v>2185</v>
      </c>
      <c r="Q131" s="405">
        <v>5152</v>
      </c>
      <c r="R131" s="405">
        <v>97</v>
      </c>
      <c r="S131" s="405">
        <v>111</v>
      </c>
      <c r="T131" s="405">
        <v>208</v>
      </c>
      <c r="U131" s="406">
        <v>5179</v>
      </c>
      <c r="V131" s="406">
        <v>3189</v>
      </c>
      <c r="W131" s="406">
        <v>8368</v>
      </c>
    </row>
    <row r="132" spans="2:23" collapsed="1" x14ac:dyDescent="0.25">
      <c r="B132" s="407" t="s">
        <v>757</v>
      </c>
      <c r="C132" s="408" t="s">
        <v>916</v>
      </c>
      <c r="D132" s="408" t="s">
        <v>916</v>
      </c>
      <c r="E132" s="408" t="s">
        <v>916</v>
      </c>
      <c r="F132" s="408" t="s">
        <v>916</v>
      </c>
      <c r="G132" s="408" t="s">
        <v>916</v>
      </c>
      <c r="H132" s="408" t="s">
        <v>916</v>
      </c>
      <c r="I132" s="408">
        <v>1544</v>
      </c>
      <c r="J132" s="408">
        <v>533</v>
      </c>
      <c r="K132" s="408">
        <v>2076</v>
      </c>
      <c r="L132" s="408">
        <v>598</v>
      </c>
      <c r="M132" s="408">
        <v>386</v>
      </c>
      <c r="N132" s="408">
        <v>984</v>
      </c>
      <c r="O132" s="408">
        <v>3141</v>
      </c>
      <c r="P132" s="408">
        <v>2506</v>
      </c>
      <c r="Q132" s="408">
        <v>5647</v>
      </c>
      <c r="R132" s="408">
        <v>93</v>
      </c>
      <c r="S132" s="408">
        <v>92</v>
      </c>
      <c r="T132" s="408">
        <v>185</v>
      </c>
      <c r="U132" s="408">
        <v>5375</v>
      </c>
      <c r="V132" s="408">
        <v>3516</v>
      </c>
      <c r="W132" s="408">
        <v>8892</v>
      </c>
    </row>
    <row r="133" spans="2:23" hidden="1" outlineLevel="1" x14ac:dyDescent="0.25">
      <c r="B133" s="404">
        <v>42736</v>
      </c>
      <c r="C133" s="405"/>
      <c r="D133" s="405"/>
      <c r="E133" s="405"/>
      <c r="F133" s="405"/>
      <c r="G133" s="405"/>
      <c r="H133" s="405"/>
      <c r="I133" s="405">
        <v>1982</v>
      </c>
      <c r="J133" s="405">
        <v>666</v>
      </c>
      <c r="K133" s="405">
        <v>2648</v>
      </c>
      <c r="L133" s="405">
        <v>586</v>
      </c>
      <c r="M133" s="405">
        <v>410</v>
      </c>
      <c r="N133" s="405">
        <v>996</v>
      </c>
      <c r="O133" s="405">
        <v>3552</v>
      </c>
      <c r="P133" s="405">
        <v>2778</v>
      </c>
      <c r="Q133" s="405">
        <v>6330</v>
      </c>
      <c r="R133" s="405">
        <v>119</v>
      </c>
      <c r="S133" s="405">
        <v>106</v>
      </c>
      <c r="T133" s="405">
        <v>225</v>
      </c>
      <c r="U133" s="406">
        <v>6239</v>
      </c>
      <c r="V133" s="406">
        <v>3960</v>
      </c>
      <c r="W133" s="406">
        <v>10199</v>
      </c>
    </row>
    <row r="134" spans="2:23" hidden="1" outlineLevel="1" x14ac:dyDescent="0.25">
      <c r="B134" s="404">
        <v>42767</v>
      </c>
      <c r="C134" s="405"/>
      <c r="D134" s="405"/>
      <c r="E134" s="405"/>
      <c r="F134" s="405"/>
      <c r="G134" s="405"/>
      <c r="H134" s="405"/>
      <c r="I134" s="405">
        <v>1418</v>
      </c>
      <c r="J134" s="405">
        <v>503</v>
      </c>
      <c r="K134" s="405">
        <v>1921</v>
      </c>
      <c r="L134" s="405">
        <v>544</v>
      </c>
      <c r="M134" s="405">
        <v>366</v>
      </c>
      <c r="N134" s="405">
        <v>910</v>
      </c>
      <c r="O134" s="405">
        <v>3161</v>
      </c>
      <c r="P134" s="405">
        <v>2524</v>
      </c>
      <c r="Q134" s="405">
        <v>5685</v>
      </c>
      <c r="R134" s="405">
        <v>89</v>
      </c>
      <c r="S134" s="405">
        <v>95</v>
      </c>
      <c r="T134" s="405">
        <v>184</v>
      </c>
      <c r="U134" s="406">
        <v>5212</v>
      </c>
      <c r="V134" s="406">
        <v>3488</v>
      </c>
      <c r="W134" s="406">
        <v>8700</v>
      </c>
    </row>
    <row r="135" spans="2:23" hidden="1" outlineLevel="1" x14ac:dyDescent="0.25">
      <c r="B135" s="404">
        <v>42795</v>
      </c>
      <c r="C135" s="405"/>
      <c r="D135" s="405"/>
      <c r="E135" s="405"/>
      <c r="F135" s="405"/>
      <c r="G135" s="405"/>
      <c r="H135" s="405"/>
      <c r="I135" s="405">
        <v>1336</v>
      </c>
      <c r="J135" s="405">
        <v>491</v>
      </c>
      <c r="K135" s="405">
        <v>1827</v>
      </c>
      <c r="L135" s="405">
        <v>708</v>
      </c>
      <c r="M135" s="405">
        <v>436</v>
      </c>
      <c r="N135" s="405">
        <v>1144</v>
      </c>
      <c r="O135" s="405">
        <v>3803</v>
      </c>
      <c r="P135" s="405">
        <v>3214</v>
      </c>
      <c r="Q135" s="405">
        <v>7017</v>
      </c>
      <c r="R135" s="405">
        <v>99</v>
      </c>
      <c r="S135" s="405">
        <v>96</v>
      </c>
      <c r="T135" s="405">
        <v>195</v>
      </c>
      <c r="U135" s="406">
        <v>5946</v>
      </c>
      <c r="V135" s="406">
        <v>4237</v>
      </c>
      <c r="W135" s="406">
        <v>10183</v>
      </c>
    </row>
    <row r="136" spans="2:23" hidden="1" outlineLevel="1" x14ac:dyDescent="0.25">
      <c r="B136" s="404">
        <v>42826</v>
      </c>
      <c r="C136" s="405"/>
      <c r="D136" s="405"/>
      <c r="E136" s="405"/>
      <c r="F136" s="405"/>
      <c r="G136" s="405"/>
      <c r="H136" s="405"/>
      <c r="I136" s="405">
        <v>1398</v>
      </c>
      <c r="J136" s="405">
        <v>483</v>
      </c>
      <c r="K136" s="405">
        <v>1881</v>
      </c>
      <c r="L136" s="405">
        <v>571</v>
      </c>
      <c r="M136" s="405">
        <v>362</v>
      </c>
      <c r="N136" s="405">
        <v>933</v>
      </c>
      <c r="O136" s="405">
        <v>3006</v>
      </c>
      <c r="P136" s="405">
        <v>2517</v>
      </c>
      <c r="Q136" s="405">
        <v>5523</v>
      </c>
      <c r="R136" s="405">
        <v>94</v>
      </c>
      <c r="S136" s="405">
        <v>98</v>
      </c>
      <c r="T136" s="405">
        <v>192</v>
      </c>
      <c r="U136" s="406">
        <v>5069</v>
      </c>
      <c r="V136" s="406">
        <v>3460</v>
      </c>
      <c r="W136" s="406">
        <v>8529</v>
      </c>
    </row>
    <row r="137" spans="2:23" hidden="1" outlineLevel="1" x14ac:dyDescent="0.25">
      <c r="B137" s="404">
        <v>42856</v>
      </c>
      <c r="C137" s="405"/>
      <c r="D137" s="405"/>
      <c r="E137" s="405"/>
      <c r="F137" s="405"/>
      <c r="G137" s="405"/>
      <c r="H137" s="405"/>
      <c r="I137" s="405">
        <v>1666</v>
      </c>
      <c r="J137" s="405">
        <v>565</v>
      </c>
      <c r="K137" s="405">
        <v>2231</v>
      </c>
      <c r="L137" s="405">
        <v>621</v>
      </c>
      <c r="M137" s="405">
        <v>364</v>
      </c>
      <c r="N137" s="405">
        <v>985</v>
      </c>
      <c r="O137" s="405">
        <v>3774</v>
      </c>
      <c r="P137" s="405">
        <v>4029</v>
      </c>
      <c r="Q137" s="405">
        <v>7803</v>
      </c>
      <c r="R137" s="405">
        <v>101</v>
      </c>
      <c r="S137" s="405">
        <v>132</v>
      </c>
      <c r="T137" s="405">
        <v>233</v>
      </c>
      <c r="U137" s="406">
        <v>6162</v>
      </c>
      <c r="V137" s="406">
        <v>5090</v>
      </c>
      <c r="W137" s="406">
        <v>11252</v>
      </c>
    </row>
    <row r="138" spans="2:23" hidden="1" outlineLevel="1" x14ac:dyDescent="0.25">
      <c r="B138" s="404">
        <v>42887</v>
      </c>
      <c r="C138" s="405"/>
      <c r="D138" s="405"/>
      <c r="E138" s="405"/>
      <c r="F138" s="405"/>
      <c r="G138" s="405"/>
      <c r="H138" s="405"/>
      <c r="I138" s="405">
        <v>1485</v>
      </c>
      <c r="J138" s="405">
        <v>512</v>
      </c>
      <c r="K138" s="405">
        <v>1997</v>
      </c>
      <c r="L138" s="405">
        <v>526</v>
      </c>
      <c r="M138" s="405">
        <v>388</v>
      </c>
      <c r="N138" s="405">
        <v>914</v>
      </c>
      <c r="O138" s="405">
        <v>3208</v>
      </c>
      <c r="P138" s="405">
        <v>2915</v>
      </c>
      <c r="Q138" s="405">
        <v>6123</v>
      </c>
      <c r="R138" s="405">
        <v>83</v>
      </c>
      <c r="S138" s="405">
        <v>109</v>
      </c>
      <c r="T138" s="405">
        <v>192</v>
      </c>
      <c r="U138" s="406">
        <v>5302</v>
      </c>
      <c r="V138" s="406">
        <v>3924</v>
      </c>
      <c r="W138" s="406">
        <v>9226</v>
      </c>
    </row>
    <row r="139" spans="2:23" hidden="1" outlineLevel="1" x14ac:dyDescent="0.25">
      <c r="B139" s="404">
        <v>42917</v>
      </c>
      <c r="C139" s="405"/>
      <c r="D139" s="405"/>
      <c r="E139" s="405"/>
      <c r="F139" s="405"/>
      <c r="G139" s="405"/>
      <c r="H139" s="405"/>
      <c r="I139" s="405">
        <v>1637</v>
      </c>
      <c r="J139" s="405">
        <v>616</v>
      </c>
      <c r="K139" s="405">
        <v>2253</v>
      </c>
      <c r="L139" s="405">
        <v>638</v>
      </c>
      <c r="M139" s="405">
        <v>408</v>
      </c>
      <c r="N139" s="405">
        <v>1046</v>
      </c>
      <c r="O139" s="405">
        <v>4109</v>
      </c>
      <c r="P139" s="405">
        <v>3391</v>
      </c>
      <c r="Q139" s="405">
        <v>7500</v>
      </c>
      <c r="R139" s="405">
        <v>144</v>
      </c>
      <c r="S139" s="405">
        <v>114</v>
      </c>
      <c r="T139" s="405">
        <v>258</v>
      </c>
      <c r="U139" s="406">
        <v>6528</v>
      </c>
      <c r="V139" s="406">
        <v>4529</v>
      </c>
      <c r="W139" s="406">
        <v>11057</v>
      </c>
    </row>
    <row r="140" spans="2:23" hidden="1" outlineLevel="1" x14ac:dyDescent="0.25">
      <c r="B140" s="404">
        <v>42948</v>
      </c>
      <c r="C140" s="405"/>
      <c r="D140" s="405"/>
      <c r="E140" s="405"/>
      <c r="F140" s="405"/>
      <c r="G140" s="405"/>
      <c r="H140" s="405"/>
      <c r="I140" s="405">
        <v>1753</v>
      </c>
      <c r="J140" s="405">
        <v>602</v>
      </c>
      <c r="K140" s="405">
        <v>2355</v>
      </c>
      <c r="L140" s="405">
        <v>692</v>
      </c>
      <c r="M140" s="405">
        <v>408</v>
      </c>
      <c r="N140" s="405">
        <v>1100</v>
      </c>
      <c r="O140" s="405">
        <v>4217</v>
      </c>
      <c r="P140" s="405">
        <v>3463</v>
      </c>
      <c r="Q140" s="405">
        <v>7680</v>
      </c>
      <c r="R140" s="405">
        <v>126</v>
      </c>
      <c r="S140" s="405">
        <v>147</v>
      </c>
      <c r="T140" s="405">
        <v>273</v>
      </c>
      <c r="U140" s="406">
        <v>6788</v>
      </c>
      <c r="V140" s="406">
        <v>4620</v>
      </c>
      <c r="W140" s="406">
        <v>11408</v>
      </c>
    </row>
    <row r="141" spans="2:23" hidden="1" outlineLevel="1" x14ac:dyDescent="0.25">
      <c r="B141" s="404">
        <v>42979</v>
      </c>
      <c r="C141" s="405"/>
      <c r="D141" s="405"/>
      <c r="E141" s="405"/>
      <c r="F141" s="405"/>
      <c r="G141" s="405"/>
      <c r="H141" s="405"/>
      <c r="I141" s="405">
        <v>1620</v>
      </c>
      <c r="J141" s="405">
        <v>571</v>
      </c>
      <c r="K141" s="405">
        <v>2191</v>
      </c>
      <c r="L141" s="405">
        <v>544</v>
      </c>
      <c r="M141" s="405">
        <v>365</v>
      </c>
      <c r="N141" s="405">
        <v>909</v>
      </c>
      <c r="O141" s="405">
        <v>3488</v>
      </c>
      <c r="P141" s="405">
        <v>2945</v>
      </c>
      <c r="Q141" s="405">
        <v>6433</v>
      </c>
      <c r="R141" s="405">
        <v>119</v>
      </c>
      <c r="S141" s="405">
        <v>117</v>
      </c>
      <c r="T141" s="405">
        <v>236</v>
      </c>
      <c r="U141" s="406">
        <v>5771</v>
      </c>
      <c r="V141" s="406">
        <v>3998</v>
      </c>
      <c r="W141" s="406">
        <v>9769</v>
      </c>
    </row>
    <row r="142" spans="2:23" hidden="1" outlineLevel="1" x14ac:dyDescent="0.25">
      <c r="B142" s="404">
        <v>43009</v>
      </c>
      <c r="C142" s="405"/>
      <c r="D142" s="405"/>
      <c r="E142" s="405"/>
      <c r="F142" s="405"/>
      <c r="G142" s="405"/>
      <c r="H142" s="405"/>
      <c r="I142" s="405">
        <v>1861</v>
      </c>
      <c r="J142" s="405">
        <v>582</v>
      </c>
      <c r="K142" s="405">
        <v>2443</v>
      </c>
      <c r="L142" s="405">
        <v>583</v>
      </c>
      <c r="M142" s="405">
        <v>401</v>
      </c>
      <c r="N142" s="405">
        <v>984</v>
      </c>
      <c r="O142" s="405">
        <v>4268</v>
      </c>
      <c r="P142" s="405">
        <v>3504</v>
      </c>
      <c r="Q142" s="405">
        <v>7772</v>
      </c>
      <c r="R142" s="405">
        <v>139</v>
      </c>
      <c r="S142" s="405">
        <v>135</v>
      </c>
      <c r="T142" s="405">
        <v>274</v>
      </c>
      <c r="U142" s="406">
        <v>6851</v>
      </c>
      <c r="V142" s="406">
        <v>4622</v>
      </c>
      <c r="W142" s="406">
        <v>11473</v>
      </c>
    </row>
    <row r="143" spans="2:23" hidden="1" outlineLevel="1" x14ac:dyDescent="0.25">
      <c r="B143" s="404">
        <v>43040</v>
      </c>
      <c r="C143" s="405"/>
      <c r="D143" s="405"/>
      <c r="E143" s="405"/>
      <c r="F143" s="405"/>
      <c r="G143" s="405"/>
      <c r="H143" s="405"/>
      <c r="I143" s="405">
        <v>1686</v>
      </c>
      <c r="J143" s="405">
        <v>552</v>
      </c>
      <c r="K143" s="405">
        <v>2238</v>
      </c>
      <c r="L143" s="405">
        <v>681</v>
      </c>
      <c r="M143" s="405">
        <v>426</v>
      </c>
      <c r="N143" s="405">
        <v>1107</v>
      </c>
      <c r="O143" s="405">
        <v>4011</v>
      </c>
      <c r="P143" s="405">
        <v>3278</v>
      </c>
      <c r="Q143" s="405">
        <v>7289</v>
      </c>
      <c r="R143" s="405">
        <v>128</v>
      </c>
      <c r="S143" s="405">
        <v>160</v>
      </c>
      <c r="T143" s="405">
        <v>288</v>
      </c>
      <c r="U143" s="406">
        <v>6506</v>
      </c>
      <c r="V143" s="406">
        <v>4416</v>
      </c>
      <c r="W143" s="406">
        <v>10922</v>
      </c>
    </row>
    <row r="144" spans="2:23" hidden="1" outlineLevel="1" x14ac:dyDescent="0.25">
      <c r="B144" s="404">
        <v>43070</v>
      </c>
      <c r="C144" s="405"/>
      <c r="D144" s="405"/>
      <c r="E144" s="405"/>
      <c r="F144" s="405"/>
      <c r="G144" s="405"/>
      <c r="H144" s="405"/>
      <c r="I144" s="405">
        <v>1604</v>
      </c>
      <c r="J144" s="405">
        <v>572</v>
      </c>
      <c r="K144" s="405">
        <v>2176</v>
      </c>
      <c r="L144" s="405">
        <v>555</v>
      </c>
      <c r="M144" s="405">
        <v>327</v>
      </c>
      <c r="N144" s="405">
        <v>882</v>
      </c>
      <c r="O144" s="405">
        <v>3720</v>
      </c>
      <c r="P144" s="405">
        <v>3362</v>
      </c>
      <c r="Q144" s="405">
        <v>7082</v>
      </c>
      <c r="R144" s="405">
        <v>121</v>
      </c>
      <c r="S144" s="405">
        <v>131</v>
      </c>
      <c r="T144" s="405">
        <v>252</v>
      </c>
      <c r="U144" s="406">
        <v>6000</v>
      </c>
      <c r="V144" s="406">
        <v>4392</v>
      </c>
      <c r="W144" s="406">
        <v>10392</v>
      </c>
    </row>
    <row r="145" spans="2:23" collapsed="1" x14ac:dyDescent="0.25">
      <c r="B145" s="407" t="s">
        <v>758</v>
      </c>
      <c r="C145" s="408" t="s">
        <v>916</v>
      </c>
      <c r="D145" s="408" t="s">
        <v>916</v>
      </c>
      <c r="E145" s="408" t="s">
        <v>916</v>
      </c>
      <c r="F145" s="408" t="s">
        <v>916</v>
      </c>
      <c r="G145" s="408" t="s">
        <v>916</v>
      </c>
      <c r="H145" s="408" t="s">
        <v>916</v>
      </c>
      <c r="I145" s="408">
        <v>1621</v>
      </c>
      <c r="J145" s="408">
        <v>560</v>
      </c>
      <c r="K145" s="408">
        <v>2180</v>
      </c>
      <c r="L145" s="408">
        <v>604</v>
      </c>
      <c r="M145" s="408">
        <v>388</v>
      </c>
      <c r="N145" s="408">
        <v>993</v>
      </c>
      <c r="O145" s="408">
        <v>3693</v>
      </c>
      <c r="P145" s="408">
        <v>3160</v>
      </c>
      <c r="Q145" s="408">
        <v>6853</v>
      </c>
      <c r="R145" s="408">
        <v>114</v>
      </c>
      <c r="S145" s="408">
        <v>120</v>
      </c>
      <c r="T145" s="408">
        <v>234</v>
      </c>
      <c r="U145" s="408">
        <v>6031</v>
      </c>
      <c r="V145" s="408">
        <v>4228</v>
      </c>
      <c r="W145" s="408">
        <v>10259</v>
      </c>
    </row>
    <row r="146" spans="2:23" hidden="1" outlineLevel="1" x14ac:dyDescent="0.25">
      <c r="B146" s="404">
        <v>43101</v>
      </c>
      <c r="C146" s="405"/>
      <c r="D146" s="405"/>
      <c r="E146" s="405"/>
      <c r="F146" s="405"/>
      <c r="G146" s="405"/>
      <c r="H146" s="405"/>
      <c r="I146" s="405">
        <v>1864</v>
      </c>
      <c r="J146" s="405">
        <v>602</v>
      </c>
      <c r="K146" s="405">
        <v>2466</v>
      </c>
      <c r="L146" s="405">
        <v>568</v>
      </c>
      <c r="M146" s="405">
        <v>379</v>
      </c>
      <c r="N146" s="405">
        <v>947</v>
      </c>
      <c r="O146" s="405">
        <v>5739</v>
      </c>
      <c r="P146" s="405">
        <v>4471</v>
      </c>
      <c r="Q146" s="405">
        <v>10210</v>
      </c>
      <c r="R146" s="405">
        <v>183</v>
      </c>
      <c r="S146" s="405">
        <v>179</v>
      </c>
      <c r="T146" s="405">
        <v>362</v>
      </c>
      <c r="U146" s="406">
        <v>8354</v>
      </c>
      <c r="V146" s="406">
        <v>5631</v>
      </c>
      <c r="W146" s="406">
        <v>13985</v>
      </c>
    </row>
    <row r="147" spans="2:23" hidden="1" outlineLevel="1" x14ac:dyDescent="0.25">
      <c r="B147" s="404">
        <v>43132</v>
      </c>
      <c r="C147" s="405"/>
      <c r="D147" s="405"/>
      <c r="E147" s="405"/>
      <c r="F147" s="405"/>
      <c r="G147" s="405"/>
      <c r="H147" s="405"/>
      <c r="I147" s="405">
        <v>1558</v>
      </c>
      <c r="J147" s="405">
        <v>545</v>
      </c>
      <c r="K147" s="405">
        <v>2103</v>
      </c>
      <c r="L147" s="405">
        <v>434</v>
      </c>
      <c r="M147" s="405">
        <v>300</v>
      </c>
      <c r="N147" s="405">
        <v>734</v>
      </c>
      <c r="O147" s="405">
        <v>5959</v>
      </c>
      <c r="P147" s="405">
        <v>4201</v>
      </c>
      <c r="Q147" s="405">
        <v>10160</v>
      </c>
      <c r="R147" s="405">
        <v>377</v>
      </c>
      <c r="S147" s="405">
        <v>334</v>
      </c>
      <c r="T147" s="405">
        <v>711</v>
      </c>
      <c r="U147" s="406">
        <v>8328</v>
      </c>
      <c r="V147" s="406">
        <v>5380</v>
      </c>
      <c r="W147" s="406">
        <v>13708</v>
      </c>
    </row>
    <row r="148" spans="2:23" hidden="1" outlineLevel="1" x14ac:dyDescent="0.25">
      <c r="B148" s="404">
        <v>43160</v>
      </c>
      <c r="C148" s="405"/>
      <c r="D148" s="405"/>
      <c r="E148" s="405"/>
      <c r="F148" s="405"/>
      <c r="G148" s="405"/>
      <c r="H148" s="405"/>
      <c r="I148" s="405">
        <v>1716</v>
      </c>
      <c r="J148" s="405">
        <v>615</v>
      </c>
      <c r="K148" s="405">
        <v>2331</v>
      </c>
      <c r="L148" s="405">
        <v>589</v>
      </c>
      <c r="M148" s="405">
        <v>345</v>
      </c>
      <c r="N148" s="405">
        <v>934</v>
      </c>
      <c r="O148" s="405">
        <v>5221</v>
      </c>
      <c r="P148" s="405">
        <v>4220</v>
      </c>
      <c r="Q148" s="405">
        <v>9441</v>
      </c>
      <c r="R148" s="405">
        <v>443</v>
      </c>
      <c r="S148" s="405">
        <v>448</v>
      </c>
      <c r="T148" s="405">
        <v>891</v>
      </c>
      <c r="U148" s="406">
        <v>7969</v>
      </c>
      <c r="V148" s="406">
        <v>5628</v>
      </c>
      <c r="W148" s="406">
        <v>13597</v>
      </c>
    </row>
    <row r="149" spans="2:23" hidden="1" outlineLevel="1" x14ac:dyDescent="0.25">
      <c r="B149" s="404">
        <v>43191</v>
      </c>
      <c r="C149" s="405"/>
      <c r="D149" s="405"/>
      <c r="E149" s="405"/>
      <c r="F149" s="405"/>
      <c r="G149" s="405"/>
      <c r="H149" s="405"/>
      <c r="I149" s="405">
        <v>1753</v>
      </c>
      <c r="J149" s="405">
        <v>567</v>
      </c>
      <c r="K149" s="405">
        <v>2320</v>
      </c>
      <c r="L149" s="405">
        <v>585</v>
      </c>
      <c r="M149" s="405">
        <v>386</v>
      </c>
      <c r="N149" s="405">
        <v>971</v>
      </c>
      <c r="O149" s="405">
        <v>4664</v>
      </c>
      <c r="P149" s="405">
        <v>4163</v>
      </c>
      <c r="Q149" s="405">
        <v>8827</v>
      </c>
      <c r="R149" s="405">
        <v>404</v>
      </c>
      <c r="S149" s="405">
        <v>394</v>
      </c>
      <c r="T149" s="405">
        <v>798</v>
      </c>
      <c r="U149" s="406">
        <v>7406</v>
      </c>
      <c r="V149" s="406">
        <v>5510</v>
      </c>
      <c r="W149" s="406">
        <v>12916</v>
      </c>
    </row>
    <row r="150" spans="2:23" hidden="1" outlineLevel="1" x14ac:dyDescent="0.25">
      <c r="B150" s="404">
        <v>43221</v>
      </c>
      <c r="C150" s="405"/>
      <c r="D150" s="405"/>
      <c r="E150" s="405"/>
      <c r="F150" s="405"/>
      <c r="G150" s="405"/>
      <c r="H150" s="405"/>
      <c r="I150" s="405">
        <v>1870</v>
      </c>
      <c r="J150" s="405">
        <v>560</v>
      </c>
      <c r="K150" s="405">
        <v>2430</v>
      </c>
      <c r="L150" s="405">
        <v>587</v>
      </c>
      <c r="M150" s="405">
        <v>338</v>
      </c>
      <c r="N150" s="405">
        <v>925</v>
      </c>
      <c r="O150" s="405">
        <v>4982</v>
      </c>
      <c r="P150" s="405">
        <v>5226</v>
      </c>
      <c r="Q150" s="405">
        <v>10208</v>
      </c>
      <c r="R150" s="405">
        <v>237</v>
      </c>
      <c r="S150" s="405">
        <v>285</v>
      </c>
      <c r="T150" s="405">
        <v>522</v>
      </c>
      <c r="U150" s="406">
        <v>7676</v>
      </c>
      <c r="V150" s="406">
        <v>6409</v>
      </c>
      <c r="W150" s="406">
        <v>14085</v>
      </c>
    </row>
    <row r="151" spans="2:23" hidden="1" outlineLevel="1" x14ac:dyDescent="0.25">
      <c r="B151" s="404">
        <v>43252</v>
      </c>
      <c r="C151" s="405"/>
      <c r="D151" s="405"/>
      <c r="E151" s="405"/>
      <c r="F151" s="405"/>
      <c r="G151" s="405"/>
      <c r="H151" s="405"/>
      <c r="I151" s="405">
        <v>1705</v>
      </c>
      <c r="J151" s="405">
        <v>540</v>
      </c>
      <c r="K151" s="405">
        <v>2245</v>
      </c>
      <c r="L151" s="405">
        <v>556</v>
      </c>
      <c r="M151" s="405">
        <v>352</v>
      </c>
      <c r="N151" s="405">
        <v>908</v>
      </c>
      <c r="O151" s="405">
        <v>4633</v>
      </c>
      <c r="P151" s="405">
        <v>4250</v>
      </c>
      <c r="Q151" s="405">
        <v>8883</v>
      </c>
      <c r="R151" s="405">
        <v>215</v>
      </c>
      <c r="S151" s="405">
        <v>276</v>
      </c>
      <c r="T151" s="405">
        <v>491</v>
      </c>
      <c r="U151" s="406">
        <v>7109</v>
      </c>
      <c r="V151" s="406">
        <v>5418</v>
      </c>
      <c r="W151" s="406">
        <v>12527</v>
      </c>
    </row>
    <row r="152" spans="2:23" hidden="1" outlineLevel="1" x14ac:dyDescent="0.25">
      <c r="B152" s="404">
        <v>43282</v>
      </c>
      <c r="C152" s="405"/>
      <c r="D152" s="405"/>
      <c r="E152" s="405"/>
      <c r="F152" s="405"/>
      <c r="G152" s="405"/>
      <c r="H152" s="405"/>
      <c r="I152" s="405">
        <v>1872</v>
      </c>
      <c r="J152" s="405">
        <v>604</v>
      </c>
      <c r="K152" s="405">
        <v>2476</v>
      </c>
      <c r="L152" s="405">
        <v>586</v>
      </c>
      <c r="M152" s="405">
        <v>396</v>
      </c>
      <c r="N152" s="405">
        <v>982</v>
      </c>
      <c r="O152" s="405">
        <v>5007</v>
      </c>
      <c r="P152" s="405">
        <v>4397</v>
      </c>
      <c r="Q152" s="405">
        <v>9404</v>
      </c>
      <c r="R152" s="405">
        <v>210</v>
      </c>
      <c r="S152" s="405">
        <v>235</v>
      </c>
      <c r="T152" s="405">
        <v>445</v>
      </c>
      <c r="U152" s="406">
        <v>7675</v>
      </c>
      <c r="V152" s="406">
        <v>5632</v>
      </c>
      <c r="W152" s="406">
        <v>13307</v>
      </c>
    </row>
    <row r="153" spans="2:23" hidden="1" outlineLevel="1" x14ac:dyDescent="0.25">
      <c r="B153" s="404">
        <v>43313</v>
      </c>
      <c r="C153" s="405"/>
      <c r="D153" s="405"/>
      <c r="E153" s="405"/>
      <c r="F153" s="405"/>
      <c r="G153" s="405"/>
      <c r="H153" s="405"/>
      <c r="I153" s="405">
        <v>2036</v>
      </c>
      <c r="J153" s="405">
        <v>641</v>
      </c>
      <c r="K153" s="405">
        <v>2677</v>
      </c>
      <c r="L153" s="405">
        <v>615</v>
      </c>
      <c r="M153" s="405">
        <v>397</v>
      </c>
      <c r="N153" s="405">
        <v>1012</v>
      </c>
      <c r="O153" s="405">
        <v>5455</v>
      </c>
      <c r="P153" s="405">
        <v>4515</v>
      </c>
      <c r="Q153" s="405">
        <v>9970</v>
      </c>
      <c r="R153" s="405">
        <v>186</v>
      </c>
      <c r="S153" s="405">
        <v>202</v>
      </c>
      <c r="T153" s="405">
        <v>388</v>
      </c>
      <c r="U153" s="406">
        <v>8292</v>
      </c>
      <c r="V153" s="406">
        <v>5755</v>
      </c>
      <c r="W153" s="406">
        <v>14047</v>
      </c>
    </row>
    <row r="154" spans="2:23" hidden="1" outlineLevel="1" x14ac:dyDescent="0.25">
      <c r="B154" s="404">
        <v>43344</v>
      </c>
      <c r="C154" s="405"/>
      <c r="D154" s="405"/>
      <c r="E154" s="405"/>
      <c r="F154" s="405"/>
      <c r="G154" s="405"/>
      <c r="H154" s="405"/>
      <c r="I154" s="405">
        <v>1477</v>
      </c>
      <c r="J154" s="405">
        <v>421</v>
      </c>
      <c r="K154" s="405">
        <v>1898</v>
      </c>
      <c r="L154" s="405">
        <v>531</v>
      </c>
      <c r="M154" s="405">
        <v>301</v>
      </c>
      <c r="N154" s="405">
        <v>832</v>
      </c>
      <c r="O154" s="405">
        <v>4304</v>
      </c>
      <c r="P154" s="405">
        <v>3386</v>
      </c>
      <c r="Q154" s="405">
        <v>7690</v>
      </c>
      <c r="R154" s="405">
        <v>142</v>
      </c>
      <c r="S154" s="405">
        <v>169</v>
      </c>
      <c r="T154" s="405">
        <v>311</v>
      </c>
      <c r="U154" s="406">
        <v>6454</v>
      </c>
      <c r="V154" s="406">
        <v>4277</v>
      </c>
      <c r="W154" s="406">
        <v>10731</v>
      </c>
    </row>
    <row r="155" spans="2:23" hidden="1" outlineLevel="1" x14ac:dyDescent="0.25">
      <c r="B155" s="404">
        <v>43374</v>
      </c>
      <c r="C155" s="405"/>
      <c r="D155" s="405"/>
      <c r="E155" s="405"/>
      <c r="F155" s="405"/>
      <c r="G155" s="405"/>
      <c r="H155" s="405"/>
      <c r="I155" s="405">
        <v>2156</v>
      </c>
      <c r="J155" s="405">
        <v>680</v>
      </c>
      <c r="K155" s="405">
        <v>2836</v>
      </c>
      <c r="L155" s="405">
        <v>605</v>
      </c>
      <c r="M155" s="405">
        <v>356</v>
      </c>
      <c r="N155" s="405">
        <v>961</v>
      </c>
      <c r="O155" s="405">
        <v>5980</v>
      </c>
      <c r="P155" s="405">
        <v>4709</v>
      </c>
      <c r="Q155" s="405">
        <v>10689</v>
      </c>
      <c r="R155" s="405">
        <v>166</v>
      </c>
      <c r="S155" s="405">
        <v>208</v>
      </c>
      <c r="T155" s="405">
        <v>374</v>
      </c>
      <c r="U155" s="406">
        <v>8907</v>
      </c>
      <c r="V155" s="406">
        <v>5953</v>
      </c>
      <c r="W155" s="406">
        <v>14860</v>
      </c>
    </row>
    <row r="156" spans="2:23" hidden="1" outlineLevel="1" x14ac:dyDescent="0.25">
      <c r="B156" s="404">
        <v>43405</v>
      </c>
      <c r="C156" s="405"/>
      <c r="D156" s="405"/>
      <c r="E156" s="405"/>
      <c r="F156" s="405"/>
      <c r="G156" s="405"/>
      <c r="H156" s="405"/>
      <c r="I156" s="405">
        <v>1804</v>
      </c>
      <c r="J156" s="405">
        <v>582</v>
      </c>
      <c r="K156" s="405">
        <v>2386</v>
      </c>
      <c r="L156" s="405">
        <v>498</v>
      </c>
      <c r="M156" s="405">
        <v>377</v>
      </c>
      <c r="N156" s="405">
        <v>875</v>
      </c>
      <c r="O156" s="405">
        <v>4722</v>
      </c>
      <c r="P156" s="405">
        <v>3912</v>
      </c>
      <c r="Q156" s="405">
        <v>8634</v>
      </c>
      <c r="R156" s="405">
        <v>130</v>
      </c>
      <c r="S156" s="405">
        <v>145</v>
      </c>
      <c r="T156" s="405">
        <v>275</v>
      </c>
      <c r="U156" s="406">
        <v>7154</v>
      </c>
      <c r="V156" s="406">
        <v>5016</v>
      </c>
      <c r="W156" s="406">
        <v>12170</v>
      </c>
    </row>
    <row r="157" spans="2:23" hidden="1" outlineLevel="1" x14ac:dyDescent="0.25">
      <c r="B157" s="404">
        <v>43435</v>
      </c>
      <c r="C157" s="405"/>
      <c r="D157" s="405"/>
      <c r="E157" s="405"/>
      <c r="F157" s="405"/>
      <c r="G157" s="405"/>
      <c r="H157" s="405"/>
      <c r="I157" s="405">
        <v>1669</v>
      </c>
      <c r="J157" s="405">
        <v>514</v>
      </c>
      <c r="K157" s="405">
        <v>2183</v>
      </c>
      <c r="L157" s="405">
        <v>531</v>
      </c>
      <c r="M157" s="405">
        <v>378</v>
      </c>
      <c r="N157" s="405">
        <v>909</v>
      </c>
      <c r="O157" s="405">
        <v>4099</v>
      </c>
      <c r="P157" s="405">
        <v>3729</v>
      </c>
      <c r="Q157" s="405">
        <v>7828</v>
      </c>
      <c r="R157" s="405">
        <v>147</v>
      </c>
      <c r="S157" s="405">
        <v>149</v>
      </c>
      <c r="T157" s="405">
        <v>296</v>
      </c>
      <c r="U157" s="406">
        <v>6446</v>
      </c>
      <c r="V157" s="406">
        <v>4770</v>
      </c>
      <c r="W157" s="406">
        <v>11216</v>
      </c>
    </row>
    <row r="158" spans="2:23" collapsed="1" x14ac:dyDescent="0.25">
      <c r="B158" s="407" t="s">
        <v>759</v>
      </c>
      <c r="C158" s="408" t="s">
        <v>916</v>
      </c>
      <c r="D158" s="408" t="s">
        <v>916</v>
      </c>
      <c r="E158" s="408" t="s">
        <v>916</v>
      </c>
      <c r="F158" s="408" t="s">
        <v>916</v>
      </c>
      <c r="G158" s="408" t="s">
        <v>916</v>
      </c>
      <c r="H158" s="408" t="s">
        <v>916</v>
      </c>
      <c r="I158" s="408">
        <v>1790</v>
      </c>
      <c r="J158" s="408">
        <v>573</v>
      </c>
      <c r="K158" s="408">
        <v>2363</v>
      </c>
      <c r="L158" s="408">
        <v>557</v>
      </c>
      <c r="M158" s="408">
        <v>359</v>
      </c>
      <c r="N158" s="408">
        <v>916</v>
      </c>
      <c r="O158" s="408">
        <v>5064</v>
      </c>
      <c r="P158" s="408">
        <v>4265</v>
      </c>
      <c r="Q158" s="408">
        <v>9329</v>
      </c>
      <c r="R158" s="408">
        <v>237</v>
      </c>
      <c r="S158" s="408">
        <v>252</v>
      </c>
      <c r="T158" s="408">
        <v>489</v>
      </c>
      <c r="U158" s="408">
        <v>7648</v>
      </c>
      <c r="V158" s="408">
        <v>5448</v>
      </c>
      <c r="W158" s="408">
        <v>13096</v>
      </c>
    </row>
    <row r="159" spans="2:23" hidden="1" outlineLevel="1" x14ac:dyDescent="0.25">
      <c r="B159" s="404">
        <v>43466</v>
      </c>
      <c r="C159" s="405"/>
      <c r="D159" s="405"/>
      <c r="E159" s="405"/>
      <c r="F159" s="405"/>
      <c r="G159" s="405"/>
      <c r="H159" s="405"/>
      <c r="I159" s="405">
        <v>1881</v>
      </c>
      <c r="J159" s="405">
        <v>606</v>
      </c>
      <c r="K159" s="405">
        <v>2487</v>
      </c>
      <c r="L159" s="405">
        <v>573</v>
      </c>
      <c r="M159" s="405">
        <v>381</v>
      </c>
      <c r="N159" s="405">
        <v>954</v>
      </c>
      <c r="O159" s="405">
        <v>4979</v>
      </c>
      <c r="P159" s="405">
        <v>4286</v>
      </c>
      <c r="Q159" s="405">
        <v>9265</v>
      </c>
      <c r="R159" s="405">
        <v>246</v>
      </c>
      <c r="S159" s="405">
        <v>272</v>
      </c>
      <c r="T159" s="405">
        <v>518</v>
      </c>
      <c r="U159" s="406">
        <v>7679</v>
      </c>
      <c r="V159" s="406">
        <v>5545</v>
      </c>
      <c r="W159" s="406">
        <v>13224</v>
      </c>
    </row>
    <row r="160" spans="2:23" hidden="1" outlineLevel="1" x14ac:dyDescent="0.25">
      <c r="B160" s="404">
        <v>43497</v>
      </c>
      <c r="C160" s="405"/>
      <c r="D160" s="405"/>
      <c r="E160" s="405"/>
      <c r="F160" s="405"/>
      <c r="G160" s="405"/>
      <c r="H160" s="405"/>
      <c r="I160" s="405">
        <v>1474</v>
      </c>
      <c r="J160" s="405">
        <v>488</v>
      </c>
      <c r="K160" s="405">
        <v>1962</v>
      </c>
      <c r="L160" s="405">
        <v>499</v>
      </c>
      <c r="M160" s="405">
        <v>344</v>
      </c>
      <c r="N160" s="405">
        <v>843</v>
      </c>
      <c r="O160" s="405">
        <v>4129</v>
      </c>
      <c r="P160" s="405">
        <v>3658</v>
      </c>
      <c r="Q160" s="405">
        <v>7787</v>
      </c>
      <c r="R160" s="405">
        <v>348</v>
      </c>
      <c r="S160" s="405">
        <v>298</v>
      </c>
      <c r="T160" s="405">
        <v>646</v>
      </c>
      <c r="U160" s="406">
        <v>6450</v>
      </c>
      <c r="V160" s="406">
        <v>4788</v>
      </c>
      <c r="W160" s="406">
        <v>11238</v>
      </c>
    </row>
    <row r="161" spans="2:23" hidden="1" outlineLevel="1" x14ac:dyDescent="0.25">
      <c r="B161" s="404">
        <v>43525</v>
      </c>
      <c r="C161" s="405"/>
      <c r="D161" s="405"/>
      <c r="E161" s="405"/>
      <c r="F161" s="405"/>
      <c r="G161" s="405"/>
      <c r="H161" s="405"/>
      <c r="I161" s="405">
        <v>1653</v>
      </c>
      <c r="J161" s="405">
        <v>571</v>
      </c>
      <c r="K161" s="405">
        <v>2224</v>
      </c>
      <c r="L161" s="405">
        <v>597</v>
      </c>
      <c r="M161" s="405">
        <v>367</v>
      </c>
      <c r="N161" s="405">
        <v>964</v>
      </c>
      <c r="O161" s="405">
        <v>4515</v>
      </c>
      <c r="P161" s="405">
        <v>3964</v>
      </c>
      <c r="Q161" s="405">
        <v>8479</v>
      </c>
      <c r="R161" s="405">
        <v>302</v>
      </c>
      <c r="S161" s="405">
        <v>297</v>
      </c>
      <c r="T161" s="405">
        <v>599</v>
      </c>
      <c r="U161" s="406">
        <v>7067</v>
      </c>
      <c r="V161" s="406">
        <v>5199</v>
      </c>
      <c r="W161" s="406">
        <v>12266</v>
      </c>
    </row>
    <row r="162" spans="2:23" hidden="1" outlineLevel="1" x14ac:dyDescent="0.25">
      <c r="B162" s="404">
        <v>43556</v>
      </c>
      <c r="C162" s="405"/>
      <c r="D162" s="405"/>
      <c r="E162" s="405"/>
      <c r="F162" s="405"/>
      <c r="G162" s="405"/>
      <c r="H162" s="405"/>
      <c r="I162" s="405">
        <v>1589</v>
      </c>
      <c r="J162" s="405">
        <v>545</v>
      </c>
      <c r="K162" s="405">
        <v>2134</v>
      </c>
      <c r="L162" s="405">
        <v>637</v>
      </c>
      <c r="M162" s="405">
        <v>352</v>
      </c>
      <c r="N162" s="405">
        <v>989</v>
      </c>
      <c r="O162" s="405">
        <v>4369</v>
      </c>
      <c r="P162" s="405">
        <v>3936</v>
      </c>
      <c r="Q162" s="405">
        <v>8305</v>
      </c>
      <c r="R162" s="405">
        <v>252</v>
      </c>
      <c r="S162" s="405">
        <v>287</v>
      </c>
      <c r="T162" s="405">
        <v>539</v>
      </c>
      <c r="U162" s="406">
        <v>6847</v>
      </c>
      <c r="V162" s="406">
        <v>5120</v>
      </c>
      <c r="W162" s="406">
        <v>11967</v>
      </c>
    </row>
    <row r="163" spans="2:23" hidden="1" outlineLevel="1" x14ac:dyDescent="0.25">
      <c r="B163" s="404">
        <v>43586</v>
      </c>
      <c r="C163" s="405"/>
      <c r="D163" s="405"/>
      <c r="E163" s="405"/>
      <c r="F163" s="405"/>
      <c r="G163" s="405"/>
      <c r="H163" s="405"/>
      <c r="I163" s="405">
        <v>1643</v>
      </c>
      <c r="J163" s="405">
        <v>553</v>
      </c>
      <c r="K163" s="405">
        <v>2196</v>
      </c>
      <c r="L163" s="405">
        <v>525</v>
      </c>
      <c r="M163" s="405">
        <v>340</v>
      </c>
      <c r="N163" s="405">
        <v>865</v>
      </c>
      <c r="O163" s="405">
        <v>4286</v>
      </c>
      <c r="P163" s="405">
        <v>4248</v>
      </c>
      <c r="Q163" s="405">
        <v>8534</v>
      </c>
      <c r="R163" s="405">
        <v>215</v>
      </c>
      <c r="S163" s="405">
        <v>235</v>
      </c>
      <c r="T163" s="405">
        <v>450</v>
      </c>
      <c r="U163" s="406">
        <v>6669</v>
      </c>
      <c r="V163" s="406">
        <v>5376</v>
      </c>
      <c r="W163" s="406">
        <v>12045</v>
      </c>
    </row>
    <row r="164" spans="2:23" hidden="1" outlineLevel="1" x14ac:dyDescent="0.25">
      <c r="B164" s="404">
        <v>43617</v>
      </c>
      <c r="C164" s="405"/>
      <c r="D164" s="405"/>
      <c r="E164" s="405"/>
      <c r="F164" s="405"/>
      <c r="G164" s="405"/>
      <c r="H164" s="405"/>
      <c r="I164" s="405">
        <v>1491</v>
      </c>
      <c r="J164" s="405">
        <v>488</v>
      </c>
      <c r="K164" s="405">
        <v>1979</v>
      </c>
      <c r="L164" s="405">
        <v>532</v>
      </c>
      <c r="M164" s="405">
        <v>393</v>
      </c>
      <c r="N164" s="405">
        <v>925</v>
      </c>
      <c r="O164" s="405">
        <v>3727</v>
      </c>
      <c r="P164" s="405">
        <v>3552</v>
      </c>
      <c r="Q164" s="405">
        <v>7279</v>
      </c>
      <c r="R164" s="405">
        <v>180</v>
      </c>
      <c r="S164" s="405">
        <v>185</v>
      </c>
      <c r="T164" s="405">
        <v>365</v>
      </c>
      <c r="U164" s="406">
        <v>5930</v>
      </c>
      <c r="V164" s="406">
        <v>4618</v>
      </c>
      <c r="W164" s="406">
        <v>10548</v>
      </c>
    </row>
    <row r="165" spans="2:23" hidden="1" outlineLevel="1" x14ac:dyDescent="0.25">
      <c r="B165" s="404">
        <v>43647</v>
      </c>
      <c r="C165" s="405"/>
      <c r="D165" s="405"/>
      <c r="E165" s="405"/>
      <c r="F165" s="405"/>
      <c r="G165" s="405"/>
      <c r="H165" s="405"/>
      <c r="I165" s="405">
        <v>1782</v>
      </c>
      <c r="J165" s="405">
        <v>573</v>
      </c>
      <c r="K165" s="405">
        <v>2355</v>
      </c>
      <c r="L165" s="405">
        <v>636</v>
      </c>
      <c r="M165" s="405">
        <v>393</v>
      </c>
      <c r="N165" s="405">
        <v>1029</v>
      </c>
      <c r="O165" s="405">
        <v>4872</v>
      </c>
      <c r="P165" s="405">
        <v>4418</v>
      </c>
      <c r="Q165" s="405">
        <v>9290</v>
      </c>
      <c r="R165" s="405">
        <v>222</v>
      </c>
      <c r="S165" s="405">
        <v>226</v>
      </c>
      <c r="T165" s="405">
        <v>448</v>
      </c>
      <c r="U165" s="406">
        <v>7512</v>
      </c>
      <c r="V165" s="406">
        <v>5610</v>
      </c>
      <c r="W165" s="406">
        <v>13122</v>
      </c>
    </row>
    <row r="166" spans="2:23" hidden="1" outlineLevel="1" x14ac:dyDescent="0.25">
      <c r="B166" s="404">
        <v>43678</v>
      </c>
      <c r="C166" s="405"/>
      <c r="D166" s="405"/>
      <c r="E166" s="405"/>
      <c r="F166" s="405"/>
      <c r="G166" s="405"/>
      <c r="H166" s="405"/>
      <c r="I166" s="405">
        <v>1783</v>
      </c>
      <c r="J166" s="405">
        <v>529</v>
      </c>
      <c r="K166" s="405">
        <v>2312</v>
      </c>
      <c r="L166" s="405">
        <v>597</v>
      </c>
      <c r="M166" s="405">
        <v>362</v>
      </c>
      <c r="N166" s="405">
        <v>959</v>
      </c>
      <c r="O166" s="405">
        <v>4660</v>
      </c>
      <c r="P166" s="405">
        <v>4045</v>
      </c>
      <c r="Q166" s="405">
        <v>8705</v>
      </c>
      <c r="R166" s="405">
        <v>189</v>
      </c>
      <c r="S166" s="405">
        <v>199</v>
      </c>
      <c r="T166" s="405">
        <v>388</v>
      </c>
      <c r="U166" s="406">
        <v>7229</v>
      </c>
      <c r="V166" s="406">
        <v>5135</v>
      </c>
      <c r="W166" s="406">
        <v>12364</v>
      </c>
    </row>
    <row r="167" spans="2:23" hidden="1" outlineLevel="1" x14ac:dyDescent="0.25">
      <c r="B167" s="404">
        <v>43709</v>
      </c>
      <c r="C167" s="405"/>
      <c r="D167" s="405"/>
      <c r="E167" s="405"/>
      <c r="F167" s="405"/>
      <c r="G167" s="405"/>
      <c r="H167" s="405"/>
      <c r="I167" s="405">
        <v>1744</v>
      </c>
      <c r="J167" s="405">
        <v>500</v>
      </c>
      <c r="K167" s="405">
        <v>2244</v>
      </c>
      <c r="L167" s="405">
        <v>453</v>
      </c>
      <c r="M167" s="405">
        <v>328</v>
      </c>
      <c r="N167" s="405">
        <v>781</v>
      </c>
      <c r="O167" s="405">
        <v>4286</v>
      </c>
      <c r="P167" s="405">
        <v>3657</v>
      </c>
      <c r="Q167" s="405">
        <v>7943</v>
      </c>
      <c r="R167" s="405">
        <v>197</v>
      </c>
      <c r="S167" s="405">
        <v>225</v>
      </c>
      <c r="T167" s="405">
        <v>422</v>
      </c>
      <c r="U167" s="406">
        <v>6680</v>
      </c>
      <c r="V167" s="406">
        <v>4710</v>
      </c>
      <c r="W167" s="406">
        <v>11390</v>
      </c>
    </row>
    <row r="168" spans="2:23" hidden="1" outlineLevel="1" x14ac:dyDescent="0.25">
      <c r="B168" s="404">
        <v>43739</v>
      </c>
      <c r="C168" s="405"/>
      <c r="D168" s="405"/>
      <c r="E168" s="405"/>
      <c r="F168" s="405"/>
      <c r="G168" s="405"/>
      <c r="H168" s="405"/>
      <c r="I168" s="405">
        <v>1670</v>
      </c>
      <c r="J168" s="405">
        <v>488</v>
      </c>
      <c r="K168" s="405">
        <v>2158</v>
      </c>
      <c r="L168" s="405">
        <v>472</v>
      </c>
      <c r="M168" s="405">
        <v>261</v>
      </c>
      <c r="N168" s="405">
        <v>733</v>
      </c>
      <c r="O168" s="405">
        <v>3924</v>
      </c>
      <c r="P168" s="405">
        <v>3177</v>
      </c>
      <c r="Q168" s="405">
        <v>7101</v>
      </c>
      <c r="R168" s="405">
        <v>169</v>
      </c>
      <c r="S168" s="405">
        <v>167</v>
      </c>
      <c r="T168" s="405">
        <v>336</v>
      </c>
      <c r="U168" s="406">
        <v>6235</v>
      </c>
      <c r="V168" s="406">
        <v>4093</v>
      </c>
      <c r="W168" s="406">
        <v>10328</v>
      </c>
    </row>
    <row r="169" spans="2:23" hidden="1" outlineLevel="1" x14ac:dyDescent="0.25">
      <c r="B169" s="404">
        <v>43770</v>
      </c>
      <c r="C169" s="405"/>
      <c r="D169" s="405"/>
      <c r="E169" s="405"/>
      <c r="F169" s="405"/>
      <c r="G169" s="405"/>
      <c r="H169" s="405"/>
      <c r="I169" s="405">
        <v>1552</v>
      </c>
      <c r="J169" s="405">
        <v>544</v>
      </c>
      <c r="K169" s="405">
        <v>2096</v>
      </c>
      <c r="L169" s="405">
        <v>440</v>
      </c>
      <c r="M169" s="405">
        <v>253</v>
      </c>
      <c r="N169" s="405">
        <v>693</v>
      </c>
      <c r="O169" s="405">
        <v>3985</v>
      </c>
      <c r="P169" s="405">
        <v>3242</v>
      </c>
      <c r="Q169" s="405">
        <v>7227</v>
      </c>
      <c r="R169" s="405">
        <v>181</v>
      </c>
      <c r="S169" s="405">
        <v>180</v>
      </c>
      <c r="T169" s="405">
        <v>361</v>
      </c>
      <c r="U169" s="406">
        <v>6158</v>
      </c>
      <c r="V169" s="406">
        <v>4219</v>
      </c>
      <c r="W169" s="406">
        <v>10377</v>
      </c>
    </row>
    <row r="170" spans="2:23" hidden="1" outlineLevel="1" x14ac:dyDescent="0.25">
      <c r="B170" s="404">
        <v>43800</v>
      </c>
      <c r="C170" s="405"/>
      <c r="D170" s="405"/>
      <c r="E170" s="405"/>
      <c r="F170" s="405"/>
      <c r="G170" s="405"/>
      <c r="H170" s="405"/>
      <c r="I170" s="405">
        <v>2003</v>
      </c>
      <c r="J170" s="405">
        <v>606</v>
      </c>
      <c r="K170" s="405">
        <v>2609</v>
      </c>
      <c r="L170" s="405">
        <v>668</v>
      </c>
      <c r="M170" s="405">
        <v>399</v>
      </c>
      <c r="N170" s="405">
        <v>1067</v>
      </c>
      <c r="O170" s="405">
        <v>6326</v>
      </c>
      <c r="P170" s="405">
        <v>5781</v>
      </c>
      <c r="Q170" s="405">
        <v>12107</v>
      </c>
      <c r="R170" s="405">
        <v>256</v>
      </c>
      <c r="S170" s="405">
        <v>301</v>
      </c>
      <c r="T170" s="405">
        <v>557</v>
      </c>
      <c r="U170" s="406">
        <v>9253</v>
      </c>
      <c r="V170" s="406">
        <v>7087</v>
      </c>
      <c r="W170" s="406">
        <v>16340</v>
      </c>
    </row>
    <row r="171" spans="2:23" collapsed="1" x14ac:dyDescent="0.25">
      <c r="B171" s="407" t="s">
        <v>760</v>
      </c>
      <c r="C171" s="408" t="s">
        <v>916</v>
      </c>
      <c r="D171" s="408" t="s">
        <v>916</v>
      </c>
      <c r="E171" s="408" t="s">
        <v>916</v>
      </c>
      <c r="F171" s="408" t="s">
        <v>916</v>
      </c>
      <c r="G171" s="408" t="s">
        <v>916</v>
      </c>
      <c r="H171" s="408" t="s">
        <v>916</v>
      </c>
      <c r="I171" s="408">
        <v>1689</v>
      </c>
      <c r="J171" s="408">
        <v>541</v>
      </c>
      <c r="K171" s="408">
        <v>2230</v>
      </c>
      <c r="L171" s="408">
        <v>552</v>
      </c>
      <c r="M171" s="408">
        <v>348</v>
      </c>
      <c r="N171" s="408">
        <v>900</v>
      </c>
      <c r="O171" s="408">
        <v>4505</v>
      </c>
      <c r="P171" s="408">
        <v>3997</v>
      </c>
      <c r="Q171" s="408">
        <v>8502</v>
      </c>
      <c r="R171" s="408">
        <v>230</v>
      </c>
      <c r="S171" s="408">
        <v>239</v>
      </c>
      <c r="T171" s="408">
        <v>469</v>
      </c>
      <c r="U171" s="408">
        <v>6976</v>
      </c>
      <c r="V171" s="408">
        <v>5125</v>
      </c>
      <c r="W171" s="408">
        <v>12101</v>
      </c>
    </row>
    <row r="172" spans="2:23" hidden="1" outlineLevel="1" x14ac:dyDescent="0.25">
      <c r="B172" s="404">
        <v>43831</v>
      </c>
      <c r="C172" s="405"/>
      <c r="D172" s="405"/>
      <c r="E172" s="405"/>
      <c r="F172" s="405"/>
      <c r="G172" s="405"/>
      <c r="H172" s="405"/>
      <c r="I172" s="405">
        <v>2040</v>
      </c>
      <c r="J172" s="405">
        <v>641</v>
      </c>
      <c r="K172" s="405">
        <v>2681</v>
      </c>
      <c r="L172" s="405">
        <v>670</v>
      </c>
      <c r="M172" s="405">
        <v>439</v>
      </c>
      <c r="N172" s="405">
        <v>1109</v>
      </c>
      <c r="O172" s="405">
        <v>8906</v>
      </c>
      <c r="P172" s="405">
        <v>9035</v>
      </c>
      <c r="Q172" s="405">
        <v>17941</v>
      </c>
      <c r="R172" s="405">
        <v>333</v>
      </c>
      <c r="S172" s="405">
        <v>331</v>
      </c>
      <c r="T172" s="405">
        <v>664</v>
      </c>
      <c r="U172" s="406">
        <v>11949</v>
      </c>
      <c r="V172" s="406">
        <v>10446</v>
      </c>
      <c r="W172" s="406">
        <v>22395</v>
      </c>
    </row>
    <row r="173" spans="2:23" hidden="1" outlineLevel="1" x14ac:dyDescent="0.25">
      <c r="B173" s="404">
        <v>43862</v>
      </c>
      <c r="C173" s="405"/>
      <c r="D173" s="405"/>
      <c r="E173" s="405"/>
      <c r="F173" s="405"/>
      <c r="G173" s="405"/>
      <c r="H173" s="405"/>
      <c r="I173" s="405">
        <v>1657</v>
      </c>
      <c r="J173" s="405">
        <v>542</v>
      </c>
      <c r="K173" s="405">
        <v>2199</v>
      </c>
      <c r="L173" s="405">
        <v>618</v>
      </c>
      <c r="M173" s="405">
        <v>393</v>
      </c>
      <c r="N173" s="405">
        <v>1011</v>
      </c>
      <c r="O173" s="405">
        <v>10944</v>
      </c>
      <c r="P173" s="405">
        <v>10429</v>
      </c>
      <c r="Q173" s="405">
        <v>21373</v>
      </c>
      <c r="R173" s="405">
        <v>360</v>
      </c>
      <c r="S173" s="405">
        <v>430</v>
      </c>
      <c r="T173" s="405">
        <v>790</v>
      </c>
      <c r="U173" s="406">
        <v>13579</v>
      </c>
      <c r="V173" s="406">
        <v>11794</v>
      </c>
      <c r="W173" s="406">
        <v>25373</v>
      </c>
    </row>
    <row r="174" spans="2:23" hidden="1" outlineLevel="1" x14ac:dyDescent="0.25">
      <c r="B174" s="404">
        <v>43891</v>
      </c>
      <c r="C174" s="405"/>
      <c r="D174" s="405"/>
      <c r="E174" s="405"/>
      <c r="F174" s="405"/>
      <c r="G174" s="405"/>
      <c r="H174" s="405"/>
      <c r="I174" s="405">
        <v>1342</v>
      </c>
      <c r="J174" s="405">
        <v>454</v>
      </c>
      <c r="K174" s="405">
        <v>1796</v>
      </c>
      <c r="L174" s="405">
        <v>418</v>
      </c>
      <c r="M174" s="405">
        <v>320</v>
      </c>
      <c r="N174" s="405">
        <v>738</v>
      </c>
      <c r="O174" s="405">
        <v>5750</v>
      </c>
      <c r="P174" s="405">
        <v>5595</v>
      </c>
      <c r="Q174" s="405">
        <v>11345</v>
      </c>
      <c r="R174" s="405">
        <v>237</v>
      </c>
      <c r="S174" s="405">
        <v>244</v>
      </c>
      <c r="T174" s="405">
        <v>481</v>
      </c>
      <c r="U174" s="406">
        <v>7747</v>
      </c>
      <c r="V174" s="406">
        <v>6613</v>
      </c>
      <c r="W174" s="406">
        <v>14360</v>
      </c>
    </row>
    <row r="175" spans="2:23" hidden="1" outlineLevel="1" x14ac:dyDescent="0.25">
      <c r="B175" s="404">
        <v>43922</v>
      </c>
      <c r="C175" s="405"/>
      <c r="D175" s="405"/>
      <c r="E175" s="405"/>
      <c r="F175" s="405"/>
      <c r="G175" s="405"/>
      <c r="H175" s="405"/>
      <c r="I175" s="405">
        <v>937</v>
      </c>
      <c r="J175" s="405">
        <v>343</v>
      </c>
      <c r="K175" s="405">
        <v>1280</v>
      </c>
      <c r="L175" s="405">
        <v>229</v>
      </c>
      <c r="M175" s="405">
        <v>141</v>
      </c>
      <c r="N175" s="405">
        <v>370</v>
      </c>
      <c r="O175" s="405">
        <v>3089</v>
      </c>
      <c r="P175" s="405">
        <v>3223</v>
      </c>
      <c r="Q175" s="405">
        <v>6312</v>
      </c>
      <c r="R175" s="405">
        <v>220</v>
      </c>
      <c r="S175" s="405">
        <v>215</v>
      </c>
      <c r="T175" s="405">
        <v>435</v>
      </c>
      <c r="U175" s="406">
        <v>4475</v>
      </c>
      <c r="V175" s="406">
        <v>3922</v>
      </c>
      <c r="W175" s="406">
        <v>8397</v>
      </c>
    </row>
    <row r="176" spans="2:23" hidden="1" outlineLevel="1" x14ac:dyDescent="0.25">
      <c r="B176" s="404">
        <v>43952</v>
      </c>
      <c r="C176" s="405"/>
      <c r="D176" s="405"/>
      <c r="E176" s="405"/>
      <c r="F176" s="405"/>
      <c r="G176" s="405"/>
      <c r="H176" s="405"/>
      <c r="I176" s="405">
        <v>1434</v>
      </c>
      <c r="J176" s="405">
        <v>436</v>
      </c>
      <c r="K176" s="405">
        <v>1870</v>
      </c>
      <c r="L176" s="405">
        <v>383</v>
      </c>
      <c r="M176" s="405">
        <v>218</v>
      </c>
      <c r="N176" s="405">
        <v>601</v>
      </c>
      <c r="O176" s="405">
        <v>4805</v>
      </c>
      <c r="P176" s="405">
        <v>5269</v>
      </c>
      <c r="Q176" s="405">
        <v>10074</v>
      </c>
      <c r="R176" s="405">
        <v>359</v>
      </c>
      <c r="S176" s="405">
        <v>331</v>
      </c>
      <c r="T176" s="405">
        <v>690</v>
      </c>
      <c r="U176" s="406">
        <v>6981</v>
      </c>
      <c r="V176" s="406">
        <v>6254</v>
      </c>
      <c r="W176" s="406">
        <v>13235</v>
      </c>
    </row>
    <row r="177" spans="2:23" hidden="1" outlineLevel="1" x14ac:dyDescent="0.25">
      <c r="B177" s="404">
        <v>43983</v>
      </c>
      <c r="C177" s="405"/>
      <c r="D177" s="405"/>
      <c r="E177" s="405"/>
      <c r="F177" s="405"/>
      <c r="G177" s="405"/>
      <c r="H177" s="405"/>
      <c r="I177" s="405">
        <v>1305</v>
      </c>
      <c r="J177" s="405">
        <v>434</v>
      </c>
      <c r="K177" s="405">
        <v>1739</v>
      </c>
      <c r="L177" s="405">
        <v>329</v>
      </c>
      <c r="M177" s="405">
        <v>221</v>
      </c>
      <c r="N177" s="405">
        <v>550</v>
      </c>
      <c r="O177" s="405">
        <v>4281</v>
      </c>
      <c r="P177" s="405">
        <v>4405</v>
      </c>
      <c r="Q177" s="405">
        <v>8686</v>
      </c>
      <c r="R177" s="405">
        <v>291</v>
      </c>
      <c r="S177" s="405">
        <v>316</v>
      </c>
      <c r="T177" s="405">
        <v>607</v>
      </c>
      <c r="U177" s="406">
        <v>6206</v>
      </c>
      <c r="V177" s="406">
        <v>5376</v>
      </c>
      <c r="W177" s="406">
        <v>11582</v>
      </c>
    </row>
    <row r="178" spans="2:23" hidden="1" outlineLevel="1" x14ac:dyDescent="0.25">
      <c r="B178" s="404">
        <v>44013</v>
      </c>
      <c r="C178" s="405"/>
      <c r="D178" s="405"/>
      <c r="E178" s="405"/>
      <c r="F178" s="405"/>
      <c r="G178" s="405"/>
      <c r="H178" s="405"/>
      <c r="I178" s="405">
        <v>1914</v>
      </c>
      <c r="J178" s="405">
        <v>613</v>
      </c>
      <c r="K178" s="405">
        <v>2527</v>
      </c>
      <c r="L178" s="405">
        <v>378</v>
      </c>
      <c r="M178" s="405">
        <v>271</v>
      </c>
      <c r="N178" s="405">
        <v>649</v>
      </c>
      <c r="O178" s="405">
        <v>5509</v>
      </c>
      <c r="P178" s="405">
        <v>4762</v>
      </c>
      <c r="Q178" s="405">
        <v>10271</v>
      </c>
      <c r="R178" s="405">
        <v>229</v>
      </c>
      <c r="S178" s="405">
        <v>268</v>
      </c>
      <c r="T178" s="405">
        <v>497</v>
      </c>
      <c r="U178" s="406">
        <v>8030</v>
      </c>
      <c r="V178" s="406">
        <v>5914</v>
      </c>
      <c r="W178" s="406">
        <v>13944</v>
      </c>
    </row>
    <row r="179" spans="2:23" hidden="1" outlineLevel="1" x14ac:dyDescent="0.25">
      <c r="B179" s="404">
        <v>44044</v>
      </c>
      <c r="C179" s="405"/>
      <c r="D179" s="405"/>
      <c r="E179" s="405"/>
      <c r="F179" s="405"/>
      <c r="G179" s="405"/>
      <c r="H179" s="405"/>
      <c r="I179" s="405">
        <v>2049</v>
      </c>
      <c r="J179" s="405">
        <v>662</v>
      </c>
      <c r="K179" s="405">
        <v>2711</v>
      </c>
      <c r="L179" s="405">
        <v>471</v>
      </c>
      <c r="M179" s="405">
        <v>320</v>
      </c>
      <c r="N179" s="405">
        <v>791</v>
      </c>
      <c r="O179" s="405">
        <v>6887</v>
      </c>
      <c r="P179" s="405">
        <v>6199</v>
      </c>
      <c r="Q179" s="405">
        <v>13086</v>
      </c>
      <c r="R179" s="405">
        <v>277</v>
      </c>
      <c r="S179" s="405">
        <v>316</v>
      </c>
      <c r="T179" s="405">
        <v>593</v>
      </c>
      <c r="U179" s="406">
        <v>9684</v>
      </c>
      <c r="V179" s="406">
        <v>7497</v>
      </c>
      <c r="W179" s="406">
        <v>17181</v>
      </c>
    </row>
    <row r="180" spans="2:23" hidden="1" outlineLevel="1" x14ac:dyDescent="0.25">
      <c r="B180" s="404">
        <v>44075</v>
      </c>
      <c r="C180" s="405"/>
      <c r="D180" s="405"/>
      <c r="E180" s="405"/>
      <c r="F180" s="405"/>
      <c r="G180" s="405"/>
      <c r="H180" s="405"/>
      <c r="I180" s="405">
        <v>2067</v>
      </c>
      <c r="J180" s="405">
        <v>589</v>
      </c>
      <c r="K180" s="405">
        <v>2656</v>
      </c>
      <c r="L180" s="405">
        <v>502</v>
      </c>
      <c r="M180" s="405">
        <v>414</v>
      </c>
      <c r="N180" s="405">
        <v>916</v>
      </c>
      <c r="O180" s="405">
        <v>7180</v>
      </c>
      <c r="P180" s="405">
        <v>5679</v>
      </c>
      <c r="Q180" s="405">
        <v>12859</v>
      </c>
      <c r="R180" s="405">
        <v>306</v>
      </c>
      <c r="S180" s="405">
        <v>364</v>
      </c>
      <c r="T180" s="405">
        <v>670</v>
      </c>
      <c r="U180" s="406">
        <v>10055</v>
      </c>
      <c r="V180" s="406">
        <v>7046</v>
      </c>
      <c r="W180" s="406">
        <v>17101</v>
      </c>
    </row>
    <row r="181" spans="2:23" hidden="1" outlineLevel="1" x14ac:dyDescent="0.25">
      <c r="B181" s="404">
        <v>44105</v>
      </c>
      <c r="C181" s="405"/>
      <c r="D181" s="405"/>
      <c r="E181" s="405"/>
      <c r="F181" s="405"/>
      <c r="G181" s="405"/>
      <c r="H181" s="405"/>
      <c r="I181" s="405">
        <v>2137</v>
      </c>
      <c r="J181" s="405">
        <v>710</v>
      </c>
      <c r="K181" s="405">
        <v>2847</v>
      </c>
      <c r="L181" s="405">
        <v>672</v>
      </c>
      <c r="M181" s="405">
        <v>475</v>
      </c>
      <c r="N181" s="405">
        <v>1147</v>
      </c>
      <c r="O181" s="405">
        <v>7858</v>
      </c>
      <c r="P181" s="405">
        <v>6105</v>
      </c>
      <c r="Q181" s="405">
        <v>13963</v>
      </c>
      <c r="R181" s="405">
        <v>321</v>
      </c>
      <c r="S181" s="405">
        <v>441</v>
      </c>
      <c r="T181" s="405">
        <v>762</v>
      </c>
      <c r="U181" s="406">
        <v>10988</v>
      </c>
      <c r="V181" s="406">
        <v>7731</v>
      </c>
      <c r="W181" s="406">
        <v>18719</v>
      </c>
    </row>
    <row r="182" spans="2:23" hidden="1" outlineLevel="1" x14ac:dyDescent="0.25">
      <c r="B182" s="404">
        <v>44136</v>
      </c>
      <c r="C182" s="405"/>
      <c r="D182" s="405"/>
      <c r="E182" s="405"/>
      <c r="F182" s="405"/>
      <c r="G182" s="405"/>
      <c r="H182" s="405"/>
      <c r="I182" s="405">
        <v>1881</v>
      </c>
      <c r="J182" s="405">
        <v>649</v>
      </c>
      <c r="K182" s="405">
        <v>2530</v>
      </c>
      <c r="L182" s="405">
        <v>557</v>
      </c>
      <c r="M182" s="405">
        <v>409</v>
      </c>
      <c r="N182" s="405">
        <v>966</v>
      </c>
      <c r="O182" s="405">
        <v>6960</v>
      </c>
      <c r="P182" s="405">
        <v>5617</v>
      </c>
      <c r="Q182" s="405">
        <v>12577</v>
      </c>
      <c r="R182" s="405">
        <v>240</v>
      </c>
      <c r="S182" s="405">
        <v>289</v>
      </c>
      <c r="T182" s="405">
        <v>529</v>
      </c>
      <c r="U182" s="406">
        <v>9638</v>
      </c>
      <c r="V182" s="406">
        <v>6964</v>
      </c>
      <c r="W182" s="406">
        <v>16602</v>
      </c>
    </row>
    <row r="183" spans="2:23" hidden="1" outlineLevel="1" x14ac:dyDescent="0.25">
      <c r="B183" s="404">
        <v>44166</v>
      </c>
      <c r="C183" s="405"/>
      <c r="D183" s="405"/>
      <c r="E183" s="405"/>
      <c r="F183" s="405"/>
      <c r="G183" s="405"/>
      <c r="H183" s="405"/>
      <c r="I183" s="405">
        <v>1760</v>
      </c>
      <c r="J183" s="405">
        <v>532</v>
      </c>
      <c r="K183" s="405">
        <v>2292</v>
      </c>
      <c r="L183" s="405">
        <v>531</v>
      </c>
      <c r="M183" s="405">
        <v>414</v>
      </c>
      <c r="N183" s="405">
        <v>945</v>
      </c>
      <c r="O183" s="405">
        <v>6020</v>
      </c>
      <c r="P183" s="405">
        <v>5110</v>
      </c>
      <c r="Q183" s="405">
        <v>11130</v>
      </c>
      <c r="R183" s="405">
        <v>204</v>
      </c>
      <c r="S183" s="405">
        <v>233</v>
      </c>
      <c r="T183" s="405">
        <v>437</v>
      </c>
      <c r="U183" s="406">
        <v>8515</v>
      </c>
      <c r="V183" s="406">
        <v>6289</v>
      </c>
      <c r="W183" s="406">
        <v>14804</v>
      </c>
    </row>
    <row r="184" spans="2:23" collapsed="1" x14ac:dyDescent="0.25">
      <c r="B184" s="407" t="s">
        <v>761</v>
      </c>
      <c r="C184" s="408" t="s">
        <v>916</v>
      </c>
      <c r="D184" s="408" t="s">
        <v>916</v>
      </c>
      <c r="E184" s="408" t="s">
        <v>916</v>
      </c>
      <c r="F184" s="408" t="s">
        <v>916</v>
      </c>
      <c r="G184" s="408" t="s">
        <v>916</v>
      </c>
      <c r="H184" s="408" t="s">
        <v>916</v>
      </c>
      <c r="I184" s="408">
        <v>1710</v>
      </c>
      <c r="J184" s="408">
        <v>550</v>
      </c>
      <c r="K184" s="408">
        <v>2261</v>
      </c>
      <c r="L184" s="408">
        <v>480</v>
      </c>
      <c r="M184" s="408">
        <v>336</v>
      </c>
      <c r="N184" s="408">
        <v>816</v>
      </c>
      <c r="O184" s="408">
        <v>6516</v>
      </c>
      <c r="P184" s="408">
        <v>5952</v>
      </c>
      <c r="Q184" s="408">
        <v>12468</v>
      </c>
      <c r="R184" s="408">
        <v>281</v>
      </c>
      <c r="S184" s="408">
        <v>315</v>
      </c>
      <c r="T184" s="408">
        <v>596</v>
      </c>
      <c r="U184" s="408">
        <v>8987</v>
      </c>
      <c r="V184" s="408">
        <v>7154</v>
      </c>
      <c r="W184" s="408">
        <v>16141</v>
      </c>
    </row>
    <row r="185" spans="2:23" outlineLevel="1" x14ac:dyDescent="0.25">
      <c r="B185" s="404">
        <v>44197</v>
      </c>
      <c r="C185" s="405"/>
      <c r="D185" s="405"/>
      <c r="E185" s="405"/>
      <c r="F185" s="405"/>
      <c r="G185" s="405"/>
      <c r="H185" s="405"/>
      <c r="I185" s="405">
        <v>1713</v>
      </c>
      <c r="J185" s="405">
        <v>562</v>
      </c>
      <c r="K185" s="405">
        <v>2275</v>
      </c>
      <c r="L185" s="405">
        <v>673</v>
      </c>
      <c r="M185" s="405">
        <v>605</v>
      </c>
      <c r="N185" s="405">
        <v>1278</v>
      </c>
      <c r="O185" s="405">
        <v>6427</v>
      </c>
      <c r="P185" s="405">
        <v>4940</v>
      </c>
      <c r="Q185" s="405">
        <v>11367</v>
      </c>
      <c r="R185" s="405">
        <v>372</v>
      </c>
      <c r="S185" s="405">
        <v>493</v>
      </c>
      <c r="T185" s="405">
        <v>865</v>
      </c>
      <c r="U185" s="406">
        <v>9185</v>
      </c>
      <c r="V185" s="406">
        <v>6600</v>
      </c>
      <c r="W185" s="406">
        <v>15785</v>
      </c>
    </row>
    <row r="186" spans="2:23" outlineLevel="1" x14ac:dyDescent="0.25">
      <c r="B186" s="404">
        <v>44228</v>
      </c>
      <c r="C186" s="405"/>
      <c r="D186" s="405"/>
      <c r="E186" s="405"/>
      <c r="F186" s="405"/>
      <c r="G186" s="405"/>
      <c r="H186" s="405"/>
      <c r="I186" s="405">
        <v>1538</v>
      </c>
      <c r="J186" s="405">
        <v>476</v>
      </c>
      <c r="K186" s="405">
        <v>2014</v>
      </c>
      <c r="L186" s="405">
        <v>577</v>
      </c>
      <c r="M186" s="405">
        <v>483</v>
      </c>
      <c r="N186" s="405">
        <v>1060</v>
      </c>
      <c r="O186" s="405">
        <v>5955</v>
      </c>
      <c r="P186" s="405">
        <v>4909</v>
      </c>
      <c r="Q186" s="405">
        <v>10864</v>
      </c>
      <c r="R186" s="405">
        <v>353</v>
      </c>
      <c r="S186" s="405">
        <v>440</v>
      </c>
      <c r="T186" s="405">
        <v>793</v>
      </c>
      <c r="U186" s="406">
        <v>8423</v>
      </c>
      <c r="V186" s="406">
        <v>6308</v>
      </c>
      <c r="W186" s="406">
        <v>14731</v>
      </c>
    </row>
    <row r="187" spans="2:23" outlineLevel="1" x14ac:dyDescent="0.25">
      <c r="B187" s="404">
        <v>44256</v>
      </c>
      <c r="C187" s="405"/>
      <c r="D187" s="405"/>
      <c r="E187" s="405"/>
      <c r="F187" s="405"/>
      <c r="G187" s="405"/>
      <c r="H187" s="405"/>
      <c r="I187" s="405">
        <v>1712</v>
      </c>
      <c r="J187" s="405">
        <v>621</v>
      </c>
      <c r="K187" s="405">
        <v>2333</v>
      </c>
      <c r="L187" s="405">
        <v>667</v>
      </c>
      <c r="M187" s="405">
        <v>516</v>
      </c>
      <c r="N187" s="405">
        <v>1183</v>
      </c>
      <c r="O187" s="405">
        <v>6882</v>
      </c>
      <c r="P187" s="405">
        <v>6035</v>
      </c>
      <c r="Q187" s="405">
        <v>12917</v>
      </c>
      <c r="R187" s="405">
        <v>1165</v>
      </c>
      <c r="S187" s="405">
        <v>1562</v>
      </c>
      <c r="T187" s="405">
        <v>2727</v>
      </c>
      <c r="U187" s="406">
        <v>10426</v>
      </c>
      <c r="V187" s="406">
        <v>8734</v>
      </c>
      <c r="W187" s="406">
        <v>19160</v>
      </c>
    </row>
    <row r="188" spans="2:23" outlineLevel="1" x14ac:dyDescent="0.25">
      <c r="B188" s="404">
        <v>44287</v>
      </c>
      <c r="C188" s="405"/>
      <c r="D188" s="405"/>
      <c r="E188" s="405"/>
      <c r="F188" s="405"/>
      <c r="G188" s="405"/>
      <c r="H188" s="405"/>
      <c r="I188" s="405">
        <v>1873</v>
      </c>
      <c r="J188" s="405">
        <v>639</v>
      </c>
      <c r="K188" s="405">
        <v>2512</v>
      </c>
      <c r="L188" s="405">
        <v>714</v>
      </c>
      <c r="M188" s="405">
        <v>510</v>
      </c>
      <c r="N188" s="405">
        <v>1224</v>
      </c>
      <c r="O188" s="405">
        <v>6529</v>
      </c>
      <c r="P188" s="405">
        <v>5358</v>
      </c>
      <c r="Q188" s="405">
        <v>11887</v>
      </c>
      <c r="R188" s="405">
        <v>1299</v>
      </c>
      <c r="S188" s="405">
        <v>1663</v>
      </c>
      <c r="T188" s="405">
        <v>2962</v>
      </c>
      <c r="U188" s="406">
        <v>10415</v>
      </c>
      <c r="V188" s="406">
        <v>8170</v>
      </c>
      <c r="W188" s="406">
        <v>18585</v>
      </c>
    </row>
    <row r="189" spans="2:23" outlineLevel="1" x14ac:dyDescent="0.25">
      <c r="B189" s="404">
        <v>44317</v>
      </c>
      <c r="C189" s="405"/>
      <c r="D189" s="405"/>
      <c r="E189" s="405"/>
      <c r="F189" s="405"/>
      <c r="G189" s="405"/>
      <c r="H189" s="405"/>
      <c r="I189" s="405">
        <v>2051</v>
      </c>
      <c r="J189" s="405">
        <v>780</v>
      </c>
      <c r="K189" s="405">
        <v>2831</v>
      </c>
      <c r="L189" s="405">
        <v>778</v>
      </c>
      <c r="M189" s="405">
        <v>628</v>
      </c>
      <c r="N189" s="405">
        <v>1406</v>
      </c>
      <c r="O189" s="405">
        <v>6451</v>
      </c>
      <c r="P189" s="405">
        <v>5206</v>
      </c>
      <c r="Q189" s="405">
        <v>11657</v>
      </c>
      <c r="R189" s="405">
        <v>820</v>
      </c>
      <c r="S189" s="405">
        <v>1188</v>
      </c>
      <c r="T189" s="405">
        <v>2008</v>
      </c>
      <c r="U189" s="406">
        <v>10100</v>
      </c>
      <c r="V189" s="406">
        <v>7802</v>
      </c>
      <c r="W189" s="406">
        <v>17902</v>
      </c>
    </row>
    <row r="190" spans="2:23" outlineLevel="1" x14ac:dyDescent="0.25">
      <c r="B190" s="404">
        <v>44348</v>
      </c>
      <c r="C190" s="405"/>
      <c r="D190" s="405"/>
      <c r="E190" s="405"/>
      <c r="F190" s="405"/>
      <c r="G190" s="405"/>
      <c r="H190" s="405"/>
      <c r="I190" s="405">
        <v>2152</v>
      </c>
      <c r="J190" s="405">
        <v>840</v>
      </c>
      <c r="K190" s="405">
        <v>2992</v>
      </c>
      <c r="L190" s="405">
        <v>741</v>
      </c>
      <c r="M190" s="405">
        <v>540</v>
      </c>
      <c r="N190" s="405">
        <v>1281</v>
      </c>
      <c r="O190" s="405">
        <v>6407</v>
      </c>
      <c r="P190" s="405">
        <v>5162</v>
      </c>
      <c r="Q190" s="405">
        <v>11569</v>
      </c>
      <c r="R190" s="405">
        <v>622</v>
      </c>
      <c r="S190" s="405">
        <v>959</v>
      </c>
      <c r="T190" s="405">
        <v>1581</v>
      </c>
      <c r="U190" s="406">
        <v>9922</v>
      </c>
      <c r="V190" s="406">
        <v>7501</v>
      </c>
      <c r="W190" s="406">
        <v>17423</v>
      </c>
    </row>
    <row r="191" spans="2:23" outlineLevel="1" x14ac:dyDescent="0.25">
      <c r="B191" s="404">
        <v>44378</v>
      </c>
      <c r="C191" s="405"/>
      <c r="D191" s="405"/>
      <c r="E191" s="405"/>
      <c r="F191" s="405"/>
      <c r="G191" s="405"/>
      <c r="H191" s="405"/>
      <c r="I191" s="405">
        <v>2506</v>
      </c>
      <c r="J191" s="405">
        <v>1010</v>
      </c>
      <c r="K191" s="405">
        <v>3516</v>
      </c>
      <c r="L191" s="405">
        <v>827</v>
      </c>
      <c r="M191" s="405">
        <v>609</v>
      </c>
      <c r="N191" s="405">
        <v>1436</v>
      </c>
      <c r="O191" s="405">
        <v>7751</v>
      </c>
      <c r="P191" s="405">
        <v>6034</v>
      </c>
      <c r="Q191" s="405">
        <v>13785</v>
      </c>
      <c r="R191" s="405">
        <v>560</v>
      </c>
      <c r="S191" s="405">
        <v>911</v>
      </c>
      <c r="T191" s="405">
        <v>1471</v>
      </c>
      <c r="U191" s="406">
        <v>11644</v>
      </c>
      <c r="V191" s="406">
        <v>8564</v>
      </c>
      <c r="W191" s="406">
        <v>20208</v>
      </c>
    </row>
    <row r="192" spans="2:23" outlineLevel="1" x14ac:dyDescent="0.25">
      <c r="B192" s="404">
        <v>44409</v>
      </c>
      <c r="C192" s="405"/>
      <c r="D192" s="405"/>
      <c r="E192" s="405"/>
      <c r="F192" s="405"/>
      <c r="G192" s="405"/>
      <c r="H192" s="405"/>
      <c r="I192" s="405">
        <v>2542</v>
      </c>
      <c r="J192" s="405">
        <v>1114</v>
      </c>
      <c r="K192" s="405">
        <v>3656</v>
      </c>
      <c r="L192" s="405">
        <v>908</v>
      </c>
      <c r="M192" s="405">
        <v>662</v>
      </c>
      <c r="N192" s="405">
        <v>1570</v>
      </c>
      <c r="O192" s="405">
        <v>8569</v>
      </c>
      <c r="P192" s="405">
        <v>7205</v>
      </c>
      <c r="Q192" s="405">
        <v>15774</v>
      </c>
      <c r="R192" s="405">
        <v>565</v>
      </c>
      <c r="S192" s="405">
        <v>842</v>
      </c>
      <c r="T192" s="405">
        <v>1407</v>
      </c>
      <c r="U192" s="406">
        <v>12584</v>
      </c>
      <c r="V192" s="406">
        <v>9823</v>
      </c>
      <c r="W192" s="406">
        <v>22407</v>
      </c>
    </row>
    <row r="193" spans="2:23" outlineLevel="1" x14ac:dyDescent="0.25">
      <c r="B193" s="404">
        <v>44440</v>
      </c>
      <c r="C193" s="405"/>
      <c r="D193" s="405"/>
      <c r="E193" s="405"/>
      <c r="F193" s="405"/>
      <c r="G193" s="405"/>
      <c r="H193" s="405"/>
      <c r="I193" s="405">
        <v>2770</v>
      </c>
      <c r="J193" s="405">
        <v>1138</v>
      </c>
      <c r="K193" s="405">
        <v>3908</v>
      </c>
      <c r="L193" s="405">
        <v>822</v>
      </c>
      <c r="M193" s="405">
        <v>561</v>
      </c>
      <c r="N193" s="405">
        <v>1383</v>
      </c>
      <c r="O193" s="405">
        <v>9500</v>
      </c>
      <c r="P193" s="405">
        <v>7883</v>
      </c>
      <c r="Q193" s="405">
        <v>17383</v>
      </c>
      <c r="R193" s="405">
        <v>497</v>
      </c>
      <c r="S193" s="405">
        <v>768</v>
      </c>
      <c r="T193" s="405">
        <v>1265</v>
      </c>
      <c r="U193" s="406">
        <v>13589</v>
      </c>
      <c r="V193" s="406">
        <v>10350</v>
      </c>
      <c r="W193" s="406">
        <v>23939</v>
      </c>
    </row>
    <row r="194" spans="2:23" outlineLevel="1" x14ac:dyDescent="0.25">
      <c r="B194" s="404">
        <v>44470</v>
      </c>
      <c r="C194" s="405"/>
      <c r="D194" s="405"/>
      <c r="E194" s="405"/>
      <c r="F194" s="405"/>
      <c r="G194" s="405"/>
      <c r="H194" s="405"/>
      <c r="I194" s="405">
        <v>2029</v>
      </c>
      <c r="J194" s="405">
        <v>882</v>
      </c>
      <c r="K194" s="405">
        <v>2911</v>
      </c>
      <c r="L194" s="405">
        <v>833</v>
      </c>
      <c r="M194" s="405">
        <v>550</v>
      </c>
      <c r="N194" s="405">
        <v>1383</v>
      </c>
      <c r="O194" s="405">
        <v>8512</v>
      </c>
      <c r="P194" s="405">
        <v>7020</v>
      </c>
      <c r="Q194" s="405">
        <v>15532</v>
      </c>
      <c r="R194" s="405">
        <v>483</v>
      </c>
      <c r="S194" s="405">
        <v>824</v>
      </c>
      <c r="T194" s="405">
        <v>1307</v>
      </c>
      <c r="U194" s="406">
        <v>11857</v>
      </c>
      <c r="V194" s="406">
        <v>9276</v>
      </c>
      <c r="W194" s="406">
        <v>21133</v>
      </c>
    </row>
    <row r="195" spans="2:23" outlineLevel="1" x14ac:dyDescent="0.25">
      <c r="B195" s="404">
        <v>44501</v>
      </c>
      <c r="C195" s="405"/>
      <c r="D195" s="405"/>
      <c r="E195" s="405"/>
      <c r="F195" s="405"/>
      <c r="G195" s="405"/>
      <c r="H195" s="405"/>
      <c r="I195" s="405">
        <v>2424</v>
      </c>
      <c r="J195" s="405">
        <v>956</v>
      </c>
      <c r="K195" s="405">
        <v>3380</v>
      </c>
      <c r="L195" s="405">
        <v>914</v>
      </c>
      <c r="M195" s="405">
        <v>601</v>
      </c>
      <c r="N195" s="405">
        <v>1515</v>
      </c>
      <c r="O195" s="405">
        <v>9787</v>
      </c>
      <c r="P195" s="405">
        <v>7690</v>
      </c>
      <c r="Q195" s="405">
        <v>17477</v>
      </c>
      <c r="R195" s="405">
        <v>500</v>
      </c>
      <c r="S195" s="405">
        <v>856</v>
      </c>
      <c r="T195" s="405">
        <v>1356</v>
      </c>
      <c r="U195" s="406">
        <v>13625</v>
      </c>
      <c r="V195" s="406">
        <v>10103</v>
      </c>
      <c r="W195" s="406">
        <v>23728</v>
      </c>
    </row>
    <row r="196" spans="2:23" outlineLevel="1" x14ac:dyDescent="0.25">
      <c r="B196" s="404">
        <v>44531</v>
      </c>
      <c r="C196" s="405"/>
      <c r="D196" s="405"/>
      <c r="E196" s="405"/>
      <c r="F196" s="405"/>
      <c r="G196" s="405"/>
      <c r="H196" s="405"/>
      <c r="I196" s="405">
        <v>2225</v>
      </c>
      <c r="J196" s="405">
        <v>957</v>
      </c>
      <c r="K196" s="405">
        <v>3182</v>
      </c>
      <c r="L196" s="405">
        <v>819</v>
      </c>
      <c r="M196" s="405">
        <v>523</v>
      </c>
      <c r="N196" s="405">
        <v>1342</v>
      </c>
      <c r="O196" s="405">
        <v>8590</v>
      </c>
      <c r="P196" s="405">
        <v>7659</v>
      </c>
      <c r="Q196" s="405">
        <v>16249</v>
      </c>
      <c r="R196" s="405">
        <v>534</v>
      </c>
      <c r="S196" s="405">
        <v>792</v>
      </c>
      <c r="T196" s="405">
        <v>1326</v>
      </c>
      <c r="U196" s="406">
        <v>12168</v>
      </c>
      <c r="V196" s="406">
        <v>9931</v>
      </c>
      <c r="W196" s="406">
        <v>22099</v>
      </c>
    </row>
    <row r="197" spans="2:23" x14ac:dyDescent="0.25">
      <c r="B197" s="407" t="s">
        <v>762</v>
      </c>
      <c r="C197" s="408" t="s">
        <v>916</v>
      </c>
      <c r="D197" s="408" t="s">
        <v>916</v>
      </c>
      <c r="E197" s="408" t="s">
        <v>916</v>
      </c>
      <c r="F197" s="408" t="s">
        <v>916</v>
      </c>
      <c r="G197" s="408" t="s">
        <v>916</v>
      </c>
      <c r="H197" s="408" t="s">
        <v>916</v>
      </c>
      <c r="I197" s="408">
        <v>2128</v>
      </c>
      <c r="J197" s="408">
        <v>831</v>
      </c>
      <c r="K197" s="408">
        <v>2959</v>
      </c>
      <c r="L197" s="408">
        <v>773</v>
      </c>
      <c r="M197" s="408">
        <v>566</v>
      </c>
      <c r="N197" s="408">
        <v>1338</v>
      </c>
      <c r="O197" s="408">
        <v>7613</v>
      </c>
      <c r="P197" s="408">
        <v>6258</v>
      </c>
      <c r="Q197" s="408">
        <v>13872</v>
      </c>
      <c r="R197" s="408">
        <v>648</v>
      </c>
      <c r="S197" s="408">
        <v>942</v>
      </c>
      <c r="T197" s="408">
        <v>1589</v>
      </c>
      <c r="U197" s="408">
        <v>11162</v>
      </c>
      <c r="V197" s="408">
        <v>8597</v>
      </c>
      <c r="W197" s="408">
        <v>19758</v>
      </c>
    </row>
    <row r="198" spans="2:23" outlineLevel="1" x14ac:dyDescent="0.25">
      <c r="B198" s="404">
        <v>44562</v>
      </c>
      <c r="C198" s="405"/>
      <c r="D198" s="405"/>
      <c r="E198" s="405"/>
      <c r="F198" s="405"/>
      <c r="G198" s="405"/>
      <c r="H198" s="405"/>
      <c r="I198" s="405">
        <v>3327</v>
      </c>
      <c r="J198" s="405">
        <v>1198</v>
      </c>
      <c r="K198" s="405">
        <v>4525</v>
      </c>
      <c r="L198" s="405">
        <v>1029</v>
      </c>
      <c r="M198" s="405">
        <v>642</v>
      </c>
      <c r="N198" s="405">
        <v>1671</v>
      </c>
      <c r="O198" s="405">
        <v>10904</v>
      </c>
      <c r="P198" s="405">
        <v>9744</v>
      </c>
      <c r="Q198" s="405">
        <v>20648</v>
      </c>
      <c r="R198" s="405">
        <v>579</v>
      </c>
      <c r="S198" s="405">
        <v>805</v>
      </c>
      <c r="T198" s="405">
        <v>1384</v>
      </c>
      <c r="U198" s="406">
        <v>15839</v>
      </c>
      <c r="V198" s="406">
        <v>12389</v>
      </c>
      <c r="W198" s="406">
        <v>28228</v>
      </c>
    </row>
    <row r="199" spans="2:23" outlineLevel="1" x14ac:dyDescent="0.25">
      <c r="B199" s="404">
        <v>44593</v>
      </c>
      <c r="C199" s="405">
        <v>6223</v>
      </c>
      <c r="D199" s="405">
        <v>1991</v>
      </c>
      <c r="E199" s="405">
        <v>8214</v>
      </c>
      <c r="F199" s="405">
        <v>58575</v>
      </c>
      <c r="G199" s="405">
        <v>60320</v>
      </c>
      <c r="H199" s="405">
        <v>118895</v>
      </c>
      <c r="I199" s="405"/>
      <c r="J199" s="405"/>
      <c r="K199" s="405"/>
      <c r="L199" s="405">
        <v>1008</v>
      </c>
      <c r="M199" s="405">
        <v>716</v>
      </c>
      <c r="N199" s="405">
        <v>1724</v>
      </c>
      <c r="O199" s="405"/>
      <c r="P199" s="405"/>
      <c r="Q199" s="405"/>
      <c r="R199" s="405">
        <v>1027</v>
      </c>
      <c r="S199" s="405">
        <v>1608</v>
      </c>
      <c r="T199" s="405">
        <v>2635</v>
      </c>
      <c r="U199" s="406">
        <v>66833</v>
      </c>
      <c r="V199" s="406">
        <v>64635</v>
      </c>
      <c r="W199" s="406">
        <v>131468</v>
      </c>
    </row>
    <row r="200" spans="2:23" outlineLevel="1" x14ac:dyDescent="0.25">
      <c r="B200" s="404">
        <v>44621</v>
      </c>
      <c r="C200" s="405">
        <v>1510</v>
      </c>
      <c r="D200" s="405">
        <v>978</v>
      </c>
      <c r="E200" s="405">
        <v>2488</v>
      </c>
      <c r="F200" s="405">
        <v>23540</v>
      </c>
      <c r="G200" s="405">
        <v>25243</v>
      </c>
      <c r="H200" s="405">
        <v>48783</v>
      </c>
      <c r="I200" s="405"/>
      <c r="J200" s="405"/>
      <c r="K200" s="405"/>
      <c r="L200" s="405">
        <v>1053</v>
      </c>
      <c r="M200" s="405">
        <v>742</v>
      </c>
      <c r="N200" s="405">
        <v>1795</v>
      </c>
      <c r="O200" s="405"/>
      <c r="P200" s="405"/>
      <c r="Q200" s="405"/>
      <c r="R200" s="405">
        <v>630</v>
      </c>
      <c r="S200" s="405">
        <v>1046</v>
      </c>
      <c r="T200" s="405">
        <v>1676</v>
      </c>
      <c r="U200" s="406">
        <v>26733</v>
      </c>
      <c r="V200" s="406">
        <v>28009</v>
      </c>
      <c r="W200" s="406">
        <v>54742</v>
      </c>
    </row>
    <row r="201" spans="2:23" outlineLevel="1" x14ac:dyDescent="0.25">
      <c r="B201" s="404">
        <v>44652</v>
      </c>
      <c r="C201" s="405">
        <v>1881</v>
      </c>
      <c r="D201" s="405">
        <v>1357</v>
      </c>
      <c r="E201" s="405">
        <v>3238</v>
      </c>
      <c r="F201" s="405">
        <v>13738</v>
      </c>
      <c r="G201" s="405">
        <v>15592</v>
      </c>
      <c r="H201" s="405">
        <v>29330</v>
      </c>
      <c r="I201" s="405"/>
      <c r="J201" s="405"/>
      <c r="K201" s="405"/>
      <c r="L201" s="405">
        <v>931</v>
      </c>
      <c r="M201" s="405">
        <v>606</v>
      </c>
      <c r="N201" s="405">
        <v>1537</v>
      </c>
      <c r="O201" s="405"/>
      <c r="P201" s="405"/>
      <c r="Q201" s="405"/>
      <c r="R201" s="405">
        <v>451</v>
      </c>
      <c r="S201" s="405">
        <v>707</v>
      </c>
      <c r="T201" s="405">
        <v>1158</v>
      </c>
      <c r="U201" s="406">
        <v>17001</v>
      </c>
      <c r="V201" s="406">
        <v>18262</v>
      </c>
      <c r="W201" s="406">
        <v>35263</v>
      </c>
    </row>
    <row r="202" spans="2:23" outlineLevel="1" x14ac:dyDescent="0.25">
      <c r="B202" s="404">
        <v>44682</v>
      </c>
      <c r="C202" s="405">
        <v>2725</v>
      </c>
      <c r="D202" s="405">
        <v>2002</v>
      </c>
      <c r="E202" s="405">
        <v>4727</v>
      </c>
      <c r="F202" s="405">
        <v>12146</v>
      </c>
      <c r="G202" s="405">
        <v>14434</v>
      </c>
      <c r="H202" s="405">
        <v>26580</v>
      </c>
      <c r="I202" s="405"/>
      <c r="J202" s="405"/>
      <c r="K202" s="405"/>
      <c r="L202" s="405">
        <v>879</v>
      </c>
      <c r="M202" s="405">
        <v>554</v>
      </c>
      <c r="N202" s="405">
        <v>1433</v>
      </c>
      <c r="O202" s="405"/>
      <c r="P202" s="405"/>
      <c r="Q202" s="405"/>
      <c r="R202" s="405">
        <v>417</v>
      </c>
      <c r="S202" s="405">
        <v>712</v>
      </c>
      <c r="T202" s="405">
        <v>1129</v>
      </c>
      <c r="U202" s="406">
        <v>16167</v>
      </c>
      <c r="V202" s="406">
        <v>17702</v>
      </c>
      <c r="W202" s="406">
        <v>33869</v>
      </c>
    </row>
    <row r="203" spans="2:23" outlineLevel="1" x14ac:dyDescent="0.25">
      <c r="B203" s="404">
        <v>44713</v>
      </c>
      <c r="C203" s="405">
        <v>2715</v>
      </c>
      <c r="D203" s="405">
        <v>2105</v>
      </c>
      <c r="E203" s="405">
        <v>4820</v>
      </c>
      <c r="F203" s="405">
        <v>12208</v>
      </c>
      <c r="G203" s="405">
        <v>14268</v>
      </c>
      <c r="H203" s="405">
        <v>26476</v>
      </c>
      <c r="I203" s="405"/>
      <c r="J203" s="405"/>
      <c r="K203" s="405"/>
      <c r="L203" s="405">
        <v>646</v>
      </c>
      <c r="M203" s="405">
        <v>454</v>
      </c>
      <c r="N203" s="405">
        <v>1100</v>
      </c>
      <c r="O203" s="405"/>
      <c r="P203" s="405"/>
      <c r="Q203" s="405"/>
      <c r="R203" s="405">
        <v>405</v>
      </c>
      <c r="S203" s="405">
        <v>721</v>
      </c>
      <c r="T203" s="405">
        <v>1126</v>
      </c>
      <c r="U203" s="406">
        <v>15974</v>
      </c>
      <c r="V203" s="406">
        <v>17548</v>
      </c>
      <c r="W203" s="406">
        <v>33522</v>
      </c>
    </row>
    <row r="204" spans="2:23" outlineLevel="1" x14ac:dyDescent="0.25">
      <c r="B204" s="404">
        <v>44743</v>
      </c>
      <c r="C204" s="405">
        <v>2912</v>
      </c>
      <c r="D204" s="405">
        <v>2614</v>
      </c>
      <c r="E204" s="405">
        <v>5526</v>
      </c>
      <c r="F204" s="405">
        <v>13466</v>
      </c>
      <c r="G204" s="405">
        <v>14277</v>
      </c>
      <c r="H204" s="405">
        <v>27743</v>
      </c>
      <c r="I204" s="405"/>
      <c r="J204" s="405"/>
      <c r="K204" s="405"/>
      <c r="L204" s="405">
        <v>676</v>
      </c>
      <c r="M204" s="405">
        <v>440</v>
      </c>
      <c r="N204" s="405">
        <v>1116</v>
      </c>
      <c r="O204" s="405"/>
      <c r="P204" s="405"/>
      <c r="Q204" s="405"/>
      <c r="R204" s="405">
        <v>451</v>
      </c>
      <c r="S204" s="405">
        <v>847</v>
      </c>
      <c r="T204" s="405">
        <v>1298</v>
      </c>
      <c r="U204" s="406">
        <v>17505</v>
      </c>
      <c r="V204" s="406">
        <v>18178</v>
      </c>
      <c r="W204" s="406">
        <v>35683</v>
      </c>
    </row>
    <row r="205" spans="2:23" outlineLevel="1" x14ac:dyDescent="0.25">
      <c r="B205" s="404">
        <v>44774</v>
      </c>
      <c r="C205" s="405">
        <v>4058</v>
      </c>
      <c r="D205" s="405">
        <v>4970</v>
      </c>
      <c r="E205" s="405">
        <v>9028</v>
      </c>
      <c r="F205" s="405">
        <v>17846</v>
      </c>
      <c r="G205" s="405">
        <v>19470</v>
      </c>
      <c r="H205" s="405">
        <v>37316</v>
      </c>
      <c r="I205" s="405"/>
      <c r="J205" s="405"/>
      <c r="K205" s="405"/>
      <c r="L205" s="405">
        <v>578</v>
      </c>
      <c r="M205" s="405">
        <v>386</v>
      </c>
      <c r="N205" s="405">
        <v>964</v>
      </c>
      <c r="O205" s="405"/>
      <c r="P205" s="405"/>
      <c r="Q205" s="405"/>
      <c r="R205" s="405">
        <v>610</v>
      </c>
      <c r="S205" s="405">
        <v>1038</v>
      </c>
      <c r="T205" s="405">
        <v>1648</v>
      </c>
      <c r="U205" s="406">
        <v>23092</v>
      </c>
      <c r="V205" s="406">
        <v>25864</v>
      </c>
      <c r="W205" s="406">
        <v>48956</v>
      </c>
    </row>
    <row r="206" spans="2:23" outlineLevel="1" x14ac:dyDescent="0.25">
      <c r="B206" s="404">
        <v>44805</v>
      </c>
      <c r="C206" s="405">
        <v>3319</v>
      </c>
      <c r="D206" s="405">
        <v>3736</v>
      </c>
      <c r="E206" s="405">
        <v>7055</v>
      </c>
      <c r="F206" s="405">
        <v>11287</v>
      </c>
      <c r="G206" s="405">
        <v>9806</v>
      </c>
      <c r="H206" s="405">
        <v>21093</v>
      </c>
      <c r="I206" s="405"/>
      <c r="J206" s="405"/>
      <c r="K206" s="405"/>
      <c r="L206" s="405">
        <v>338</v>
      </c>
      <c r="M206" s="405">
        <v>247</v>
      </c>
      <c r="N206" s="405">
        <v>585</v>
      </c>
      <c r="O206" s="405"/>
      <c r="P206" s="405"/>
      <c r="Q206" s="405"/>
      <c r="R206" s="405">
        <v>366</v>
      </c>
      <c r="S206" s="405">
        <v>681</v>
      </c>
      <c r="T206" s="405">
        <v>1047</v>
      </c>
      <c r="U206" s="406">
        <v>15310</v>
      </c>
      <c r="V206" s="406">
        <v>14470</v>
      </c>
      <c r="W206" s="406">
        <v>29780</v>
      </c>
    </row>
    <row r="207" spans="2:23" outlineLevel="1" x14ac:dyDescent="0.25">
      <c r="B207" s="404">
        <v>44835</v>
      </c>
      <c r="C207" s="405">
        <v>3952</v>
      </c>
      <c r="D207" s="405">
        <v>4817</v>
      </c>
      <c r="E207" s="405">
        <v>8769</v>
      </c>
      <c r="F207" s="405">
        <v>16073</v>
      </c>
      <c r="G207" s="405">
        <v>12734</v>
      </c>
      <c r="H207" s="405">
        <v>28807</v>
      </c>
      <c r="I207" s="405"/>
      <c r="J207" s="405"/>
      <c r="K207" s="405"/>
      <c r="L207" s="405">
        <v>258</v>
      </c>
      <c r="M207" s="405">
        <v>168</v>
      </c>
      <c r="N207" s="405">
        <v>426</v>
      </c>
      <c r="O207" s="405"/>
      <c r="P207" s="405"/>
      <c r="Q207" s="405"/>
      <c r="R207" s="405">
        <v>373</v>
      </c>
      <c r="S207" s="405">
        <v>612</v>
      </c>
      <c r="T207" s="405">
        <v>985</v>
      </c>
      <c r="U207" s="406">
        <v>20656</v>
      </c>
      <c r="V207" s="406">
        <v>18331</v>
      </c>
      <c r="W207" s="406">
        <v>38987</v>
      </c>
    </row>
    <row r="208" spans="2:23" outlineLevel="1" x14ac:dyDescent="0.25">
      <c r="B208" s="404">
        <v>44866</v>
      </c>
      <c r="C208" s="405">
        <v>4712</v>
      </c>
      <c r="D208" s="405">
        <v>6095</v>
      </c>
      <c r="E208" s="405">
        <v>10807</v>
      </c>
      <c r="F208" s="405">
        <v>14894</v>
      </c>
      <c r="G208" s="405">
        <v>11333</v>
      </c>
      <c r="H208" s="405">
        <v>26227</v>
      </c>
      <c r="I208" s="405"/>
      <c r="J208" s="405"/>
      <c r="K208" s="405"/>
      <c r="L208" s="405">
        <v>217</v>
      </c>
      <c r="M208" s="405">
        <v>164</v>
      </c>
      <c r="N208" s="405">
        <v>381</v>
      </c>
      <c r="O208" s="405"/>
      <c r="P208" s="405"/>
      <c r="Q208" s="405"/>
      <c r="R208" s="405">
        <v>379</v>
      </c>
      <c r="S208" s="405">
        <v>711</v>
      </c>
      <c r="T208" s="405">
        <v>1090</v>
      </c>
      <c r="U208" s="406">
        <v>20202</v>
      </c>
      <c r="V208" s="406">
        <v>18303</v>
      </c>
      <c r="W208" s="406">
        <v>38505</v>
      </c>
    </row>
    <row r="209" spans="2:23" outlineLevel="1" x14ac:dyDescent="0.25">
      <c r="B209" s="404">
        <v>44896</v>
      </c>
      <c r="C209" s="405">
        <v>4459</v>
      </c>
      <c r="D209" s="405">
        <v>5464</v>
      </c>
      <c r="E209" s="405">
        <v>9923</v>
      </c>
      <c r="F209" s="405">
        <v>12107</v>
      </c>
      <c r="G209" s="405">
        <v>9564</v>
      </c>
      <c r="H209" s="405">
        <v>21671</v>
      </c>
      <c r="I209" s="405"/>
      <c r="J209" s="405"/>
      <c r="K209" s="405"/>
      <c r="L209" s="405">
        <v>133</v>
      </c>
      <c r="M209" s="405">
        <v>116</v>
      </c>
      <c r="N209" s="405">
        <v>249</v>
      </c>
      <c r="O209" s="405"/>
      <c r="P209" s="405"/>
      <c r="Q209" s="405"/>
      <c r="R209" s="405">
        <v>365</v>
      </c>
      <c r="S209" s="405">
        <v>638</v>
      </c>
      <c r="T209" s="405">
        <v>1003</v>
      </c>
      <c r="U209" s="406">
        <v>17064</v>
      </c>
      <c r="V209" s="406">
        <v>15782</v>
      </c>
      <c r="W209" s="406">
        <v>32846</v>
      </c>
    </row>
    <row r="210" spans="2:23" x14ac:dyDescent="0.25">
      <c r="B210" s="407" t="s">
        <v>763</v>
      </c>
      <c r="C210" s="408">
        <v>3497</v>
      </c>
      <c r="D210" s="408">
        <v>3284</v>
      </c>
      <c r="E210" s="408">
        <v>6781</v>
      </c>
      <c r="F210" s="408">
        <v>18716</v>
      </c>
      <c r="G210" s="408">
        <v>18822</v>
      </c>
      <c r="H210" s="408">
        <v>37538</v>
      </c>
      <c r="I210" s="408">
        <v>3327</v>
      </c>
      <c r="J210" s="408">
        <v>1198</v>
      </c>
      <c r="K210" s="408">
        <v>4525</v>
      </c>
      <c r="L210" s="408">
        <v>646</v>
      </c>
      <c r="M210" s="408">
        <v>436</v>
      </c>
      <c r="N210" s="408">
        <v>1082</v>
      </c>
      <c r="O210" s="408">
        <v>10904</v>
      </c>
      <c r="P210" s="408">
        <v>9744</v>
      </c>
      <c r="Q210" s="408">
        <v>20648</v>
      </c>
      <c r="R210" s="408">
        <v>504</v>
      </c>
      <c r="S210" s="408">
        <v>844</v>
      </c>
      <c r="T210" s="408">
        <v>1348</v>
      </c>
      <c r="U210" s="408">
        <v>22698</v>
      </c>
      <c r="V210" s="408">
        <v>22456</v>
      </c>
      <c r="W210" s="408">
        <v>45154</v>
      </c>
    </row>
    <row r="211" spans="2:23" outlineLevel="1" x14ac:dyDescent="0.25">
      <c r="B211" s="404">
        <v>44927</v>
      </c>
      <c r="C211" s="405">
        <v>3635</v>
      </c>
      <c r="D211" s="405">
        <v>5217</v>
      </c>
      <c r="E211" s="405">
        <v>8852</v>
      </c>
      <c r="F211" s="405">
        <v>10362</v>
      </c>
      <c r="G211" s="405">
        <v>7601</v>
      </c>
      <c r="H211" s="405">
        <v>17963</v>
      </c>
      <c r="I211" s="405"/>
      <c r="J211" s="405"/>
      <c r="K211" s="405"/>
      <c r="L211" s="405">
        <v>127</v>
      </c>
      <c r="M211" s="405">
        <v>130</v>
      </c>
      <c r="N211" s="405">
        <v>257</v>
      </c>
      <c r="O211" s="405"/>
      <c r="P211" s="405"/>
      <c r="Q211" s="405"/>
      <c r="R211" s="405">
        <v>357</v>
      </c>
      <c r="S211" s="405">
        <v>685</v>
      </c>
      <c r="T211" s="405">
        <v>1042</v>
      </c>
      <c r="U211" s="406">
        <v>14481</v>
      </c>
      <c r="V211" s="406">
        <v>13633</v>
      </c>
      <c r="W211" s="406">
        <v>28114</v>
      </c>
    </row>
    <row r="212" spans="2:23" outlineLevel="1" x14ac:dyDescent="0.25">
      <c r="B212" s="404">
        <v>44958</v>
      </c>
      <c r="C212" s="405">
        <v>2083</v>
      </c>
      <c r="D212" s="405">
        <v>1957</v>
      </c>
      <c r="E212" s="405">
        <v>4040</v>
      </c>
      <c r="F212" s="405">
        <v>5539</v>
      </c>
      <c r="G212" s="405">
        <v>3805</v>
      </c>
      <c r="H212" s="405">
        <v>9344</v>
      </c>
      <c r="I212" s="405"/>
      <c r="J212" s="405"/>
      <c r="K212" s="405"/>
      <c r="L212" s="405">
        <v>17</v>
      </c>
      <c r="M212" s="405">
        <v>16</v>
      </c>
      <c r="N212" s="405">
        <v>33</v>
      </c>
      <c r="O212" s="405"/>
      <c r="P212" s="405"/>
      <c r="Q212" s="405"/>
      <c r="R212" s="405">
        <v>195</v>
      </c>
      <c r="S212" s="405">
        <v>299</v>
      </c>
      <c r="T212" s="405">
        <v>494</v>
      </c>
      <c r="U212" s="406">
        <v>7834</v>
      </c>
      <c r="V212" s="406">
        <v>6077</v>
      </c>
      <c r="W212" s="406">
        <v>13911</v>
      </c>
    </row>
    <row r="213" spans="2:23" outlineLevel="1" x14ac:dyDescent="0.25">
      <c r="B213" s="404">
        <v>44986</v>
      </c>
      <c r="C213" s="405">
        <v>1400</v>
      </c>
      <c r="D213" s="405">
        <v>1885</v>
      </c>
      <c r="E213" s="405">
        <v>3285</v>
      </c>
      <c r="F213" s="405">
        <v>3262</v>
      </c>
      <c r="G213" s="405">
        <v>1429</v>
      </c>
      <c r="H213" s="405">
        <v>4691</v>
      </c>
      <c r="I213" s="405"/>
      <c r="J213" s="405"/>
      <c r="K213" s="405"/>
      <c r="L213" s="405">
        <v>6</v>
      </c>
      <c r="M213" s="405">
        <v>13</v>
      </c>
      <c r="N213" s="405">
        <v>19</v>
      </c>
      <c r="O213" s="405"/>
      <c r="P213" s="405"/>
      <c r="Q213" s="405"/>
      <c r="R213" s="405">
        <v>84</v>
      </c>
      <c r="S213" s="405">
        <v>122</v>
      </c>
      <c r="T213" s="405">
        <v>206</v>
      </c>
      <c r="U213" s="406">
        <v>4752</v>
      </c>
      <c r="V213" s="406">
        <v>3449</v>
      </c>
      <c r="W213" s="406">
        <v>8201</v>
      </c>
    </row>
    <row r="214" spans="2:23" ht="30" x14ac:dyDescent="0.25">
      <c r="B214" s="407" t="s">
        <v>948</v>
      </c>
      <c r="C214" s="408">
        <v>2373</v>
      </c>
      <c r="D214" s="408">
        <v>3020</v>
      </c>
      <c r="E214" s="408">
        <v>5392</v>
      </c>
      <c r="F214" s="408">
        <v>6388</v>
      </c>
      <c r="G214" s="408">
        <v>4278</v>
      </c>
      <c r="H214" s="408">
        <v>10666</v>
      </c>
      <c r="I214" s="408" t="s">
        <v>916</v>
      </c>
      <c r="J214" s="408" t="s">
        <v>916</v>
      </c>
      <c r="K214" s="408" t="s">
        <v>916</v>
      </c>
      <c r="L214" s="408">
        <v>50</v>
      </c>
      <c r="M214" s="408">
        <v>53</v>
      </c>
      <c r="N214" s="408">
        <v>103</v>
      </c>
      <c r="O214" s="408" t="s">
        <v>916</v>
      </c>
      <c r="P214" s="408" t="s">
        <v>916</v>
      </c>
      <c r="Q214" s="408" t="s">
        <v>916</v>
      </c>
      <c r="R214" s="408">
        <v>212</v>
      </c>
      <c r="S214" s="408">
        <v>369</v>
      </c>
      <c r="T214" s="408">
        <v>581</v>
      </c>
      <c r="U214" s="408">
        <v>9022</v>
      </c>
      <c r="V214" s="408">
        <v>7720</v>
      </c>
      <c r="W214" s="408">
        <v>16742</v>
      </c>
    </row>
    <row r="215" spans="2:23" x14ac:dyDescent="0.25">
      <c r="B215" s="407" t="s">
        <v>955</v>
      </c>
      <c r="C215" s="408">
        <v>45584</v>
      </c>
      <c r="D215" s="408">
        <v>45188</v>
      </c>
      <c r="E215" s="408">
        <v>90772</v>
      </c>
      <c r="F215" s="408">
        <v>225043</v>
      </c>
      <c r="G215" s="408">
        <v>219876</v>
      </c>
      <c r="H215" s="408">
        <v>444919</v>
      </c>
      <c r="I215" s="408">
        <v>377035</v>
      </c>
      <c r="J215" s="408">
        <v>121062</v>
      </c>
      <c r="K215" s="408">
        <v>498097</v>
      </c>
      <c r="L215" s="408">
        <v>122186</v>
      </c>
      <c r="M215" s="408">
        <v>69519</v>
      </c>
      <c r="N215" s="408">
        <v>191705</v>
      </c>
      <c r="O215" s="408">
        <v>845641</v>
      </c>
      <c r="P215" s="408">
        <v>689812</v>
      </c>
      <c r="Q215" s="408">
        <v>1535453</v>
      </c>
      <c r="R215" s="408">
        <v>53875</v>
      </c>
      <c r="S215" s="408">
        <v>57191</v>
      </c>
      <c r="T215" s="408">
        <v>111066</v>
      </c>
      <c r="U215" s="408">
        <v>1669364</v>
      </c>
      <c r="V215" s="408">
        <v>1202648</v>
      </c>
      <c r="W215" s="408">
        <v>2872012</v>
      </c>
    </row>
    <row r="216" spans="2:23" ht="108" customHeight="1" x14ac:dyDescent="0.25">
      <c r="B216" s="471" t="s">
        <v>929</v>
      </c>
      <c r="C216" s="471"/>
      <c r="D216" s="471"/>
      <c r="E216" s="471"/>
      <c r="F216" s="471"/>
      <c r="G216" s="471"/>
      <c r="H216" s="471"/>
      <c r="I216" s="471"/>
      <c r="J216" s="471"/>
      <c r="K216" s="471"/>
      <c r="L216" s="471"/>
      <c r="M216" s="471"/>
      <c r="N216" s="471"/>
      <c r="O216" s="471"/>
      <c r="P216" s="471"/>
      <c r="Q216" s="471"/>
      <c r="R216" s="471"/>
      <c r="S216" s="471"/>
      <c r="T216" s="471"/>
      <c r="U216" s="471"/>
      <c r="V216" s="471"/>
      <c r="W216" s="471"/>
    </row>
    <row r="217" spans="2:23" x14ac:dyDescent="0.25">
      <c r="B217" s="3"/>
      <c r="C217" s="3"/>
      <c r="D217" s="3"/>
      <c r="E217" s="3"/>
      <c r="F217" s="3"/>
      <c r="G217" s="3"/>
      <c r="H217" s="3"/>
    </row>
    <row r="218" spans="2:23" x14ac:dyDescent="0.25">
      <c r="B218" s="3"/>
      <c r="C218" s="3"/>
      <c r="D218" s="3"/>
      <c r="E218" s="3"/>
      <c r="F218" s="3"/>
      <c r="G218" s="3"/>
      <c r="H218" s="3"/>
    </row>
    <row r="219" spans="2:23" x14ac:dyDescent="0.25">
      <c r="B219" s="3"/>
      <c r="C219" s="3"/>
      <c r="D219" s="3"/>
      <c r="E219" s="3"/>
      <c r="F219" s="3"/>
      <c r="G219" s="3"/>
      <c r="H219" s="3"/>
    </row>
    <row r="220" spans="2:23" x14ac:dyDescent="0.25">
      <c r="B220" s="3"/>
      <c r="C220" s="3"/>
      <c r="D220" s="3"/>
      <c r="E220" s="3"/>
      <c r="F220" s="3"/>
      <c r="G220" s="3"/>
      <c r="H220" s="3"/>
    </row>
    <row r="221" spans="2:23" x14ac:dyDescent="0.25">
      <c r="B221" s="3"/>
      <c r="C221" s="3"/>
      <c r="D221" s="3"/>
      <c r="E221" s="3"/>
      <c r="F221" s="3"/>
      <c r="G221" s="3"/>
      <c r="H221" s="3"/>
    </row>
    <row r="222" spans="2:23" x14ac:dyDescent="0.25">
      <c r="B222" s="3"/>
      <c r="C222" s="3"/>
      <c r="D222" s="3"/>
      <c r="E222" s="3"/>
      <c r="F222" s="3"/>
      <c r="G222" s="3"/>
      <c r="H222" s="3"/>
    </row>
    <row r="223" spans="2:23" x14ac:dyDescent="0.25">
      <c r="B223" s="3"/>
      <c r="C223" s="3"/>
      <c r="D223" s="3"/>
      <c r="E223" s="3"/>
      <c r="F223" s="3"/>
      <c r="G223" s="3"/>
      <c r="H223" s="3"/>
    </row>
    <row r="224" spans="2:23" x14ac:dyDescent="0.25">
      <c r="B224" s="100"/>
      <c r="C224" s="3"/>
      <c r="D224" s="3"/>
      <c r="E224" s="3"/>
      <c r="F224" s="3"/>
      <c r="G224" s="3"/>
      <c r="H224" s="3"/>
    </row>
  </sheetData>
  <mergeCells count="15">
    <mergeCell ref="B216:W216"/>
    <mergeCell ref="B5:H5"/>
    <mergeCell ref="C7:E7"/>
    <mergeCell ref="B7:B8"/>
    <mergeCell ref="C20:E20"/>
    <mergeCell ref="F20:H20"/>
    <mergeCell ref="I20:K20"/>
    <mergeCell ref="L20:N20"/>
    <mergeCell ref="O20:Q20"/>
    <mergeCell ref="B14:Q14"/>
    <mergeCell ref="B17:H17"/>
    <mergeCell ref="B19:B21"/>
    <mergeCell ref="R20:T20"/>
    <mergeCell ref="U19:W20"/>
    <mergeCell ref="C19:T19"/>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Q496"/>
  <sheetViews>
    <sheetView showGridLines="0" workbookViewId="0"/>
  </sheetViews>
  <sheetFormatPr baseColWidth="10" defaultColWidth="11.5703125" defaultRowHeight="15" x14ac:dyDescent="0.25"/>
  <cols>
    <col min="1" max="1" width="6.7109375" style="21" customWidth="1"/>
    <col min="2" max="2" width="39.5703125" style="21" customWidth="1"/>
    <col min="3" max="3" width="13.28515625" style="21" customWidth="1"/>
    <col min="4" max="4" width="13.5703125" style="21" bestFit="1" customWidth="1"/>
    <col min="5" max="5" width="13.85546875" style="21" customWidth="1"/>
    <col min="6" max="6" width="14.7109375" style="21" customWidth="1"/>
    <col min="7" max="7" width="10" style="21" customWidth="1"/>
    <col min="8" max="8" width="12.28515625" style="21" customWidth="1"/>
    <col min="9" max="16" width="11.5703125" style="21" customWidth="1"/>
    <col min="17" max="17" width="7.7109375" style="21" customWidth="1"/>
    <col min="18" max="16384" width="11.5703125" style="21"/>
  </cols>
  <sheetData>
    <row r="2" spans="2:17" ht="23.25" x14ac:dyDescent="0.25">
      <c r="B2" s="1" t="s">
        <v>767</v>
      </c>
    </row>
    <row r="4" spans="2:17" ht="18.75" x14ac:dyDescent="0.3">
      <c r="B4" s="2" t="s">
        <v>895</v>
      </c>
      <c r="C4" s="2"/>
      <c r="D4" s="2"/>
      <c r="E4" s="22"/>
      <c r="F4" s="22"/>
      <c r="G4" s="22"/>
    </row>
    <row r="5" spans="2:17" x14ac:dyDescent="0.25">
      <c r="B5" s="29" t="s">
        <v>867</v>
      </c>
    </row>
    <row r="7" spans="2:17" ht="15" customHeight="1" x14ac:dyDescent="0.25">
      <c r="B7" s="490" t="s">
        <v>533</v>
      </c>
      <c r="C7" s="479" t="s">
        <v>488</v>
      </c>
      <c r="D7" s="479"/>
      <c r="E7" s="479"/>
      <c r="F7" s="479"/>
      <c r="G7" s="479"/>
      <c r="H7" s="479"/>
      <c r="I7" s="479"/>
      <c r="J7" s="479"/>
      <c r="K7" s="479"/>
      <c r="L7" s="479"/>
      <c r="M7" s="479"/>
      <c r="N7" s="479"/>
      <c r="O7" s="483" t="s">
        <v>746</v>
      </c>
      <c r="P7" s="484"/>
      <c r="Q7" s="485"/>
    </row>
    <row r="8" spans="2:17" ht="15" customHeight="1" x14ac:dyDescent="0.25">
      <c r="B8" s="490"/>
      <c r="C8" s="479" t="s">
        <v>707</v>
      </c>
      <c r="D8" s="479"/>
      <c r="E8" s="479"/>
      <c r="F8" s="479" t="s">
        <v>497</v>
      </c>
      <c r="G8" s="479"/>
      <c r="H8" s="479"/>
      <c r="I8" s="479" t="s">
        <v>4</v>
      </c>
      <c r="J8" s="479"/>
      <c r="K8" s="479"/>
      <c r="L8" s="479" t="s">
        <v>6</v>
      </c>
      <c r="M8" s="479"/>
      <c r="N8" s="479"/>
      <c r="O8" s="486"/>
      <c r="P8" s="487"/>
      <c r="Q8" s="488"/>
    </row>
    <row r="9" spans="2:17" x14ac:dyDescent="0.25">
      <c r="B9" s="490"/>
      <c r="C9" s="175" t="s">
        <v>83</v>
      </c>
      <c r="D9" s="175" t="s">
        <v>84</v>
      </c>
      <c r="E9" s="175" t="s">
        <v>35</v>
      </c>
      <c r="F9" s="175" t="s">
        <v>83</v>
      </c>
      <c r="G9" s="175" t="s">
        <v>84</v>
      </c>
      <c r="H9" s="175" t="s">
        <v>35</v>
      </c>
      <c r="I9" s="175" t="s">
        <v>83</v>
      </c>
      <c r="J9" s="175" t="s">
        <v>84</v>
      </c>
      <c r="K9" s="175" t="s">
        <v>35</v>
      </c>
      <c r="L9" s="175" t="s">
        <v>83</v>
      </c>
      <c r="M9" s="175" t="s">
        <v>84</v>
      </c>
      <c r="N9" s="175" t="s">
        <v>35</v>
      </c>
      <c r="O9" s="262" t="s">
        <v>83</v>
      </c>
      <c r="P9" s="262" t="s">
        <v>84</v>
      </c>
      <c r="Q9" s="262" t="s">
        <v>35</v>
      </c>
    </row>
    <row r="10" spans="2:17" x14ac:dyDescent="0.25">
      <c r="B10" s="348" t="s">
        <v>517</v>
      </c>
      <c r="C10" s="310">
        <v>96</v>
      </c>
      <c r="D10" s="310">
        <v>132</v>
      </c>
      <c r="E10" s="310">
        <v>228</v>
      </c>
      <c r="F10" s="310">
        <v>228</v>
      </c>
      <c r="G10" s="310">
        <v>179</v>
      </c>
      <c r="H10" s="310">
        <v>407</v>
      </c>
      <c r="I10" s="305">
        <v>1</v>
      </c>
      <c r="J10" s="358">
        <v>3</v>
      </c>
      <c r="K10" s="310">
        <v>4</v>
      </c>
      <c r="L10" s="310">
        <v>8</v>
      </c>
      <c r="M10" s="305">
        <v>14</v>
      </c>
      <c r="N10" s="358">
        <v>22</v>
      </c>
      <c r="O10" s="302">
        <v>333</v>
      </c>
      <c r="P10" s="302">
        <v>328</v>
      </c>
      <c r="Q10" s="302">
        <v>661</v>
      </c>
    </row>
    <row r="11" spans="2:17" x14ac:dyDescent="0.25">
      <c r="B11" s="348" t="s">
        <v>518</v>
      </c>
      <c r="C11" s="310">
        <v>274</v>
      </c>
      <c r="D11" s="310">
        <v>267</v>
      </c>
      <c r="E11" s="310">
        <v>541</v>
      </c>
      <c r="F11" s="310">
        <v>588</v>
      </c>
      <c r="G11" s="310">
        <v>441</v>
      </c>
      <c r="H11" s="310">
        <v>1029</v>
      </c>
      <c r="I11" s="305">
        <v>4</v>
      </c>
      <c r="J11" s="358">
        <v>1</v>
      </c>
      <c r="K11" s="310">
        <v>5</v>
      </c>
      <c r="L11" s="310">
        <v>15</v>
      </c>
      <c r="M11" s="305">
        <v>23</v>
      </c>
      <c r="N11" s="358">
        <v>38</v>
      </c>
      <c r="O11" s="302">
        <v>881</v>
      </c>
      <c r="P11" s="302">
        <v>732</v>
      </c>
      <c r="Q11" s="302">
        <v>1613</v>
      </c>
    </row>
    <row r="12" spans="2:17" x14ac:dyDescent="0.25">
      <c r="B12" s="348" t="s">
        <v>519</v>
      </c>
      <c r="C12" s="310">
        <v>149</v>
      </c>
      <c r="D12" s="310">
        <v>172</v>
      </c>
      <c r="E12" s="310">
        <v>321</v>
      </c>
      <c r="F12" s="310">
        <v>284</v>
      </c>
      <c r="G12" s="310">
        <v>252</v>
      </c>
      <c r="H12" s="310">
        <v>536</v>
      </c>
      <c r="I12" s="305">
        <v>1</v>
      </c>
      <c r="J12" s="358">
        <v>3</v>
      </c>
      <c r="K12" s="310">
        <v>4</v>
      </c>
      <c r="L12" s="310">
        <v>6</v>
      </c>
      <c r="M12" s="305">
        <v>17</v>
      </c>
      <c r="N12" s="358">
        <v>23</v>
      </c>
      <c r="O12" s="302">
        <v>440</v>
      </c>
      <c r="P12" s="302">
        <v>444</v>
      </c>
      <c r="Q12" s="302">
        <v>884</v>
      </c>
    </row>
    <row r="13" spans="2:17" x14ac:dyDescent="0.25">
      <c r="B13" s="348" t="s">
        <v>520</v>
      </c>
      <c r="C13" s="310">
        <v>319</v>
      </c>
      <c r="D13" s="310">
        <v>454</v>
      </c>
      <c r="E13" s="310">
        <v>773</v>
      </c>
      <c r="F13" s="310">
        <v>840</v>
      </c>
      <c r="G13" s="310">
        <v>629</v>
      </c>
      <c r="H13" s="310">
        <v>1469</v>
      </c>
      <c r="I13" s="305">
        <v>10</v>
      </c>
      <c r="J13" s="358">
        <v>10</v>
      </c>
      <c r="K13" s="310">
        <v>20</v>
      </c>
      <c r="L13" s="310">
        <v>25</v>
      </c>
      <c r="M13" s="305">
        <v>50</v>
      </c>
      <c r="N13" s="358">
        <v>75</v>
      </c>
      <c r="O13" s="302">
        <v>1194</v>
      </c>
      <c r="P13" s="302">
        <v>1143</v>
      </c>
      <c r="Q13" s="302">
        <v>2337</v>
      </c>
    </row>
    <row r="14" spans="2:17" x14ac:dyDescent="0.25">
      <c r="B14" s="348" t="s">
        <v>521</v>
      </c>
      <c r="C14" s="310">
        <v>826</v>
      </c>
      <c r="D14" s="310">
        <v>1091</v>
      </c>
      <c r="E14" s="310">
        <v>1917</v>
      </c>
      <c r="F14" s="310">
        <v>2595</v>
      </c>
      <c r="G14" s="310">
        <v>1684</v>
      </c>
      <c r="H14" s="310">
        <v>4279</v>
      </c>
      <c r="I14" s="305">
        <v>11</v>
      </c>
      <c r="J14" s="358">
        <v>17</v>
      </c>
      <c r="K14" s="310">
        <v>28</v>
      </c>
      <c r="L14" s="310">
        <v>90</v>
      </c>
      <c r="M14" s="305">
        <v>108</v>
      </c>
      <c r="N14" s="358">
        <v>198</v>
      </c>
      <c r="O14" s="302">
        <v>3522</v>
      </c>
      <c r="P14" s="302">
        <v>2900</v>
      </c>
      <c r="Q14" s="302">
        <v>6422</v>
      </c>
    </row>
    <row r="15" spans="2:17" ht="30" x14ac:dyDescent="0.25">
      <c r="B15" s="174" t="s">
        <v>522</v>
      </c>
      <c r="C15" s="310">
        <v>411</v>
      </c>
      <c r="D15" s="310">
        <v>514</v>
      </c>
      <c r="E15" s="310">
        <v>925</v>
      </c>
      <c r="F15" s="310">
        <v>1217</v>
      </c>
      <c r="G15" s="310">
        <v>768</v>
      </c>
      <c r="H15" s="310">
        <v>1985</v>
      </c>
      <c r="I15" s="305">
        <v>13</v>
      </c>
      <c r="J15" s="358">
        <v>12</v>
      </c>
      <c r="K15" s="310">
        <v>25</v>
      </c>
      <c r="L15" s="310">
        <v>56</v>
      </c>
      <c r="M15" s="305">
        <v>84</v>
      </c>
      <c r="N15" s="358">
        <v>140</v>
      </c>
      <c r="O15" s="302">
        <v>1697</v>
      </c>
      <c r="P15" s="302">
        <v>1378</v>
      </c>
      <c r="Q15" s="302">
        <v>3075</v>
      </c>
    </row>
    <row r="16" spans="2:17" x14ac:dyDescent="0.25">
      <c r="B16" s="348" t="s">
        <v>523</v>
      </c>
      <c r="C16" s="310">
        <v>470</v>
      </c>
      <c r="D16" s="310">
        <v>602</v>
      </c>
      <c r="E16" s="310">
        <v>1072</v>
      </c>
      <c r="F16" s="310">
        <v>1056</v>
      </c>
      <c r="G16" s="310">
        <v>741</v>
      </c>
      <c r="H16" s="310">
        <v>1797</v>
      </c>
      <c r="I16" s="305">
        <v>15</v>
      </c>
      <c r="J16" s="358">
        <v>6</v>
      </c>
      <c r="K16" s="310">
        <v>21</v>
      </c>
      <c r="L16" s="310">
        <v>58</v>
      </c>
      <c r="M16" s="305">
        <v>92</v>
      </c>
      <c r="N16" s="358">
        <v>150</v>
      </c>
      <c r="O16" s="302">
        <v>1599</v>
      </c>
      <c r="P16" s="302">
        <v>1441</v>
      </c>
      <c r="Q16" s="302">
        <v>3040</v>
      </c>
    </row>
    <row r="17" spans="2:17" x14ac:dyDescent="0.25">
      <c r="B17" s="348" t="s">
        <v>524</v>
      </c>
      <c r="C17" s="310">
        <v>728</v>
      </c>
      <c r="D17" s="310">
        <v>747</v>
      </c>
      <c r="E17" s="310">
        <v>1475</v>
      </c>
      <c r="F17" s="310">
        <v>1635</v>
      </c>
      <c r="G17" s="310">
        <v>1129</v>
      </c>
      <c r="H17" s="310">
        <v>2764</v>
      </c>
      <c r="I17" s="305">
        <v>19</v>
      </c>
      <c r="J17" s="358">
        <v>18</v>
      </c>
      <c r="K17" s="310">
        <v>37</v>
      </c>
      <c r="L17" s="310">
        <v>59</v>
      </c>
      <c r="M17" s="305">
        <v>117</v>
      </c>
      <c r="N17" s="358">
        <v>176</v>
      </c>
      <c r="O17" s="302">
        <v>2441</v>
      </c>
      <c r="P17" s="302">
        <v>2011</v>
      </c>
      <c r="Q17" s="302">
        <v>4452</v>
      </c>
    </row>
    <row r="18" spans="2:17" x14ac:dyDescent="0.25">
      <c r="B18" s="348" t="s">
        <v>525</v>
      </c>
      <c r="C18" s="310">
        <v>490</v>
      </c>
      <c r="D18" s="310">
        <v>512</v>
      </c>
      <c r="E18" s="310">
        <v>1002</v>
      </c>
      <c r="F18" s="310">
        <v>844</v>
      </c>
      <c r="G18" s="310">
        <v>527</v>
      </c>
      <c r="H18" s="310">
        <v>1371</v>
      </c>
      <c r="I18" s="305">
        <v>6</v>
      </c>
      <c r="J18" s="358">
        <v>17</v>
      </c>
      <c r="K18" s="310">
        <v>23</v>
      </c>
      <c r="L18" s="310">
        <v>30</v>
      </c>
      <c r="M18" s="305">
        <v>72</v>
      </c>
      <c r="N18" s="358">
        <v>102</v>
      </c>
      <c r="O18" s="302">
        <v>1370</v>
      </c>
      <c r="P18" s="302">
        <v>1128</v>
      </c>
      <c r="Q18" s="302">
        <v>2498</v>
      </c>
    </row>
    <row r="19" spans="2:17" x14ac:dyDescent="0.25">
      <c r="B19" s="348" t="s">
        <v>526</v>
      </c>
      <c r="C19" s="310">
        <v>337</v>
      </c>
      <c r="D19" s="310">
        <v>436</v>
      </c>
      <c r="E19" s="310">
        <v>773</v>
      </c>
      <c r="F19" s="310">
        <v>697</v>
      </c>
      <c r="G19" s="310">
        <v>479</v>
      </c>
      <c r="H19" s="310">
        <v>1176</v>
      </c>
      <c r="I19" s="305">
        <v>5</v>
      </c>
      <c r="J19" s="358">
        <v>10</v>
      </c>
      <c r="K19" s="310">
        <v>15</v>
      </c>
      <c r="L19" s="310">
        <v>46</v>
      </c>
      <c r="M19" s="305">
        <v>86</v>
      </c>
      <c r="N19" s="358">
        <v>132</v>
      </c>
      <c r="O19" s="302">
        <v>1085</v>
      </c>
      <c r="P19" s="302">
        <v>1011</v>
      </c>
      <c r="Q19" s="302">
        <v>2096</v>
      </c>
    </row>
    <row r="20" spans="2:17" ht="30" x14ac:dyDescent="0.25">
      <c r="B20" s="174" t="s">
        <v>527</v>
      </c>
      <c r="C20" s="310">
        <v>36</v>
      </c>
      <c r="D20" s="310">
        <v>68</v>
      </c>
      <c r="E20" s="310">
        <v>104</v>
      </c>
      <c r="F20" s="310">
        <v>102</v>
      </c>
      <c r="G20" s="310">
        <v>75</v>
      </c>
      <c r="H20" s="310">
        <v>177</v>
      </c>
      <c r="I20" s="305">
        <v>2</v>
      </c>
      <c r="J20" s="361"/>
      <c r="K20" s="310">
        <v>2</v>
      </c>
      <c r="L20" s="310">
        <v>5</v>
      </c>
      <c r="M20" s="305">
        <v>10</v>
      </c>
      <c r="N20" s="361">
        <v>15</v>
      </c>
      <c r="O20" s="302">
        <v>145</v>
      </c>
      <c r="P20" s="302">
        <v>153</v>
      </c>
      <c r="Q20" s="302">
        <v>298</v>
      </c>
    </row>
    <row r="21" spans="2:17" x14ac:dyDescent="0.25">
      <c r="B21" s="348" t="s">
        <v>528</v>
      </c>
      <c r="C21" s="310">
        <v>74</v>
      </c>
      <c r="D21" s="310">
        <v>83</v>
      </c>
      <c r="E21" s="310">
        <v>157</v>
      </c>
      <c r="F21" s="310">
        <v>176</v>
      </c>
      <c r="G21" s="310">
        <v>129</v>
      </c>
      <c r="H21" s="310">
        <v>305</v>
      </c>
      <c r="I21" s="305">
        <v>2</v>
      </c>
      <c r="J21" s="358">
        <v>2</v>
      </c>
      <c r="K21" s="310">
        <v>4</v>
      </c>
      <c r="L21" s="310">
        <v>7</v>
      </c>
      <c r="M21" s="305">
        <v>3</v>
      </c>
      <c r="N21" s="358">
        <v>10</v>
      </c>
      <c r="O21" s="302">
        <v>259</v>
      </c>
      <c r="P21" s="302">
        <v>217</v>
      </c>
      <c r="Q21" s="302">
        <v>476</v>
      </c>
    </row>
    <row r="22" spans="2:17" x14ac:dyDescent="0.25">
      <c r="B22" s="348" t="s">
        <v>529</v>
      </c>
      <c r="C22" s="310">
        <v>2430</v>
      </c>
      <c r="D22" s="310">
        <v>3416</v>
      </c>
      <c r="E22" s="310">
        <v>5846</v>
      </c>
      <c r="F22" s="310">
        <v>7772</v>
      </c>
      <c r="G22" s="310">
        <v>5067</v>
      </c>
      <c r="H22" s="310">
        <v>12839</v>
      </c>
      <c r="I22" s="305">
        <v>42</v>
      </c>
      <c r="J22" s="358">
        <v>40</v>
      </c>
      <c r="K22" s="310">
        <v>82</v>
      </c>
      <c r="L22" s="310">
        <v>184</v>
      </c>
      <c r="M22" s="305">
        <v>295</v>
      </c>
      <c r="N22" s="358">
        <v>479</v>
      </c>
      <c r="O22" s="302">
        <v>10428</v>
      </c>
      <c r="P22" s="302">
        <v>8818</v>
      </c>
      <c r="Q22" s="302">
        <v>19246</v>
      </c>
    </row>
    <row r="23" spans="2:17" x14ac:dyDescent="0.25">
      <c r="B23" s="348" t="s">
        <v>530</v>
      </c>
      <c r="C23" s="310">
        <v>171</v>
      </c>
      <c r="D23" s="310">
        <v>222</v>
      </c>
      <c r="E23" s="310">
        <v>393</v>
      </c>
      <c r="F23" s="310">
        <v>413</v>
      </c>
      <c r="G23" s="310">
        <v>258</v>
      </c>
      <c r="H23" s="310">
        <v>671</v>
      </c>
      <c r="I23" s="305">
        <v>9</v>
      </c>
      <c r="J23" s="358">
        <v>9</v>
      </c>
      <c r="K23" s="310">
        <v>18</v>
      </c>
      <c r="L23" s="310">
        <v>17</v>
      </c>
      <c r="M23" s="305">
        <v>58</v>
      </c>
      <c r="N23" s="358">
        <v>75</v>
      </c>
      <c r="O23" s="302">
        <v>610</v>
      </c>
      <c r="P23" s="302">
        <v>547</v>
      </c>
      <c r="Q23" s="302">
        <v>1157</v>
      </c>
    </row>
    <row r="24" spans="2:17" x14ac:dyDescent="0.25">
      <c r="B24" s="348" t="s">
        <v>531</v>
      </c>
      <c r="C24" s="310">
        <v>82</v>
      </c>
      <c r="D24" s="310">
        <v>113</v>
      </c>
      <c r="E24" s="310">
        <v>195</v>
      </c>
      <c r="F24" s="310">
        <v>225</v>
      </c>
      <c r="G24" s="310">
        <v>170</v>
      </c>
      <c r="H24" s="310">
        <v>395</v>
      </c>
      <c r="I24" s="305">
        <v>4</v>
      </c>
      <c r="J24" s="358">
        <v>3</v>
      </c>
      <c r="K24" s="310">
        <v>7</v>
      </c>
      <c r="L24" s="310">
        <v>9</v>
      </c>
      <c r="M24" s="305">
        <v>12</v>
      </c>
      <c r="N24" s="358">
        <v>21</v>
      </c>
      <c r="O24" s="302">
        <v>320</v>
      </c>
      <c r="P24" s="302">
        <v>298</v>
      </c>
      <c r="Q24" s="302">
        <v>618</v>
      </c>
    </row>
    <row r="25" spans="2:17" x14ac:dyDescent="0.25">
      <c r="B25" s="348" t="s">
        <v>532</v>
      </c>
      <c r="C25" s="310">
        <v>225</v>
      </c>
      <c r="D25" s="310">
        <v>230</v>
      </c>
      <c r="E25" s="310">
        <v>455</v>
      </c>
      <c r="F25" s="310">
        <v>491</v>
      </c>
      <c r="G25" s="310">
        <v>307</v>
      </c>
      <c r="H25" s="310">
        <v>798</v>
      </c>
      <c r="I25" s="305">
        <v>6</v>
      </c>
      <c r="J25" s="358">
        <v>8</v>
      </c>
      <c r="K25" s="310">
        <v>14</v>
      </c>
      <c r="L25" s="310">
        <v>21</v>
      </c>
      <c r="M25" s="305">
        <v>65</v>
      </c>
      <c r="N25" s="358">
        <v>86</v>
      </c>
      <c r="O25" s="302">
        <v>743</v>
      </c>
      <c r="P25" s="302">
        <v>610</v>
      </c>
      <c r="Q25" s="302">
        <v>1353</v>
      </c>
    </row>
    <row r="26" spans="2:17" x14ac:dyDescent="0.25">
      <c r="B26" s="349" t="s">
        <v>35</v>
      </c>
      <c r="C26" s="302">
        <v>7118</v>
      </c>
      <c r="D26" s="302">
        <v>9059</v>
      </c>
      <c r="E26" s="302">
        <v>16177</v>
      </c>
      <c r="F26" s="302">
        <v>19163</v>
      </c>
      <c r="G26" s="302">
        <v>12835</v>
      </c>
      <c r="H26" s="302">
        <v>31998</v>
      </c>
      <c r="I26" s="302">
        <v>150</v>
      </c>
      <c r="J26" s="302">
        <v>159</v>
      </c>
      <c r="K26" s="302">
        <v>309</v>
      </c>
      <c r="L26" s="302">
        <v>636</v>
      </c>
      <c r="M26" s="302">
        <v>1106</v>
      </c>
      <c r="N26" s="302">
        <v>1742</v>
      </c>
      <c r="O26" s="302">
        <v>27067</v>
      </c>
      <c r="P26" s="302">
        <v>23159</v>
      </c>
      <c r="Q26" s="302">
        <v>50226</v>
      </c>
    </row>
    <row r="27" spans="2:17" ht="125.25" customHeight="1" x14ac:dyDescent="0.25">
      <c r="B27" s="469" t="s">
        <v>929</v>
      </c>
      <c r="C27" s="469"/>
      <c r="D27" s="469"/>
      <c r="E27" s="469"/>
      <c r="F27" s="469"/>
      <c r="G27" s="469"/>
      <c r="H27" s="469"/>
      <c r="I27" s="469"/>
      <c r="J27" s="469"/>
      <c r="K27" s="469"/>
      <c r="L27" s="469"/>
      <c r="M27" s="469"/>
      <c r="N27" s="469"/>
      <c r="O27" s="469"/>
      <c r="P27" s="469"/>
      <c r="Q27" s="469"/>
    </row>
    <row r="29" spans="2:17" ht="18.75" x14ac:dyDescent="0.3">
      <c r="B29" s="2" t="s">
        <v>896</v>
      </c>
      <c r="C29" s="2"/>
      <c r="D29" s="2"/>
      <c r="E29" s="22"/>
      <c r="F29" s="22"/>
      <c r="G29" s="22"/>
    </row>
    <row r="30" spans="2:17" x14ac:dyDescent="0.25">
      <c r="B30" s="29" t="s">
        <v>867</v>
      </c>
      <c r="C30"/>
      <c r="D30"/>
      <c r="E30"/>
      <c r="F30"/>
      <c r="G30"/>
    </row>
    <row r="31" spans="2:17" x14ac:dyDescent="0.25">
      <c r="B31" s="8"/>
      <c r="C31"/>
      <c r="D31"/>
      <c r="E31"/>
      <c r="F31"/>
      <c r="G31"/>
    </row>
    <row r="32" spans="2:17" x14ac:dyDescent="0.25">
      <c r="B32" s="201" t="s">
        <v>517</v>
      </c>
      <c r="C32"/>
      <c r="D32"/>
      <c r="E32"/>
      <c r="F32"/>
      <c r="G32"/>
    </row>
    <row r="33" spans="2:17" x14ac:dyDescent="0.25">
      <c r="B33" s="201"/>
      <c r="C33"/>
      <c r="D33"/>
      <c r="E33"/>
      <c r="F33"/>
      <c r="G33"/>
    </row>
    <row r="34" spans="2:17" ht="15" customHeight="1" x14ac:dyDescent="0.25">
      <c r="B34" s="466" t="s">
        <v>544</v>
      </c>
      <c r="C34" s="479" t="s">
        <v>488</v>
      </c>
      <c r="D34" s="479"/>
      <c r="E34" s="479"/>
      <c r="F34" s="479"/>
      <c r="G34" s="479"/>
      <c r="H34" s="479"/>
      <c r="I34" s="479"/>
      <c r="J34" s="479"/>
      <c r="K34" s="479"/>
      <c r="L34" s="479"/>
      <c r="M34" s="479"/>
      <c r="N34" s="479"/>
      <c r="O34" s="483" t="s">
        <v>746</v>
      </c>
      <c r="P34" s="484"/>
      <c r="Q34" s="485"/>
    </row>
    <row r="35" spans="2:17" ht="15" customHeight="1" x14ac:dyDescent="0.25">
      <c r="B35" s="467"/>
      <c r="C35" s="479" t="s">
        <v>707</v>
      </c>
      <c r="D35" s="479"/>
      <c r="E35" s="479"/>
      <c r="F35" s="479" t="s">
        <v>497</v>
      </c>
      <c r="G35" s="479"/>
      <c r="H35" s="479"/>
      <c r="I35" s="479" t="s">
        <v>4</v>
      </c>
      <c r="J35" s="479"/>
      <c r="K35" s="479"/>
      <c r="L35" s="479" t="s">
        <v>6</v>
      </c>
      <c r="M35" s="479"/>
      <c r="N35" s="479"/>
      <c r="O35" s="486"/>
      <c r="P35" s="487"/>
      <c r="Q35" s="488"/>
    </row>
    <row r="36" spans="2:17" x14ac:dyDescent="0.25">
      <c r="B36" s="468"/>
      <c r="C36" s="175" t="s">
        <v>83</v>
      </c>
      <c r="D36" s="175" t="s">
        <v>84</v>
      </c>
      <c r="E36" s="175" t="s">
        <v>35</v>
      </c>
      <c r="F36" s="175" t="s">
        <v>83</v>
      </c>
      <c r="G36" s="175" t="s">
        <v>84</v>
      </c>
      <c r="H36" s="175" t="s">
        <v>35</v>
      </c>
      <c r="I36" s="175" t="s">
        <v>83</v>
      </c>
      <c r="J36" s="175" t="s">
        <v>84</v>
      </c>
      <c r="K36" s="175" t="s">
        <v>35</v>
      </c>
      <c r="L36" s="175" t="s">
        <v>83</v>
      </c>
      <c r="M36" s="175" t="s">
        <v>84</v>
      </c>
      <c r="N36" s="175" t="s">
        <v>35</v>
      </c>
      <c r="O36" s="262" t="s">
        <v>83</v>
      </c>
      <c r="P36" s="262" t="s">
        <v>84</v>
      </c>
      <c r="Q36" s="262" t="s">
        <v>35</v>
      </c>
    </row>
    <row r="37" spans="2:17" x14ac:dyDescent="0.25">
      <c r="B37" s="254" t="s">
        <v>142</v>
      </c>
      <c r="C37" s="310">
        <v>23</v>
      </c>
      <c r="D37" s="310">
        <v>41</v>
      </c>
      <c r="E37" s="310">
        <v>64</v>
      </c>
      <c r="F37" s="310">
        <v>36</v>
      </c>
      <c r="G37" s="310">
        <v>27</v>
      </c>
      <c r="H37" s="303">
        <v>63</v>
      </c>
      <c r="I37" s="303">
        <v>1</v>
      </c>
      <c r="J37" s="298">
        <v>2</v>
      </c>
      <c r="K37" s="310">
        <v>3</v>
      </c>
      <c r="L37" s="303">
        <v>2</v>
      </c>
      <c r="M37" s="303">
        <v>3</v>
      </c>
      <c r="N37" s="298">
        <v>5</v>
      </c>
      <c r="O37" s="352">
        <v>62</v>
      </c>
      <c r="P37" s="352">
        <v>73</v>
      </c>
      <c r="Q37" s="352">
        <v>135</v>
      </c>
    </row>
    <row r="38" spans="2:17" x14ac:dyDescent="0.25">
      <c r="B38" s="255" t="s">
        <v>148</v>
      </c>
      <c r="C38" s="310">
        <v>1</v>
      </c>
      <c r="D38" s="310">
        <v>1</v>
      </c>
      <c r="E38" s="310">
        <v>2</v>
      </c>
      <c r="F38" s="310"/>
      <c r="G38" s="310"/>
      <c r="H38" s="303"/>
      <c r="I38" s="303"/>
      <c r="J38" s="298"/>
      <c r="K38" s="310"/>
      <c r="L38" s="303"/>
      <c r="M38" s="303"/>
      <c r="N38" s="298"/>
      <c r="O38" s="352">
        <v>1</v>
      </c>
      <c r="P38" s="352">
        <v>1</v>
      </c>
      <c r="Q38" s="352">
        <v>2</v>
      </c>
    </row>
    <row r="39" spans="2:17" x14ac:dyDescent="0.25">
      <c r="B39" s="255" t="s">
        <v>143</v>
      </c>
      <c r="C39" s="310"/>
      <c r="D39" s="310">
        <v>1</v>
      </c>
      <c r="E39" s="310">
        <v>1</v>
      </c>
      <c r="F39" s="310"/>
      <c r="G39" s="310"/>
      <c r="H39" s="303"/>
      <c r="I39" s="303"/>
      <c r="J39" s="298"/>
      <c r="K39" s="310"/>
      <c r="L39" s="303"/>
      <c r="M39" s="303"/>
      <c r="N39" s="298"/>
      <c r="O39" s="352"/>
      <c r="P39" s="352">
        <v>1</v>
      </c>
      <c r="Q39" s="352">
        <v>1</v>
      </c>
    </row>
    <row r="40" spans="2:17" x14ac:dyDescent="0.25">
      <c r="B40" s="255" t="s">
        <v>144</v>
      </c>
      <c r="C40" s="310">
        <v>3</v>
      </c>
      <c r="D40" s="310">
        <v>3</v>
      </c>
      <c r="E40" s="310">
        <v>6</v>
      </c>
      <c r="F40" s="310"/>
      <c r="G40" s="310">
        <v>5</v>
      </c>
      <c r="H40" s="303">
        <v>5</v>
      </c>
      <c r="I40" s="303"/>
      <c r="J40" s="298"/>
      <c r="K40" s="310"/>
      <c r="L40" s="303"/>
      <c r="M40" s="303"/>
      <c r="N40" s="298"/>
      <c r="O40" s="352">
        <v>3</v>
      </c>
      <c r="P40" s="352">
        <v>8</v>
      </c>
      <c r="Q40" s="352">
        <v>11</v>
      </c>
    </row>
    <row r="41" spans="2:17" x14ac:dyDescent="0.25">
      <c r="B41" s="256" t="s">
        <v>145</v>
      </c>
      <c r="C41" s="310">
        <v>58</v>
      </c>
      <c r="D41" s="310">
        <v>73</v>
      </c>
      <c r="E41" s="310">
        <v>131</v>
      </c>
      <c r="F41" s="310">
        <v>183</v>
      </c>
      <c r="G41" s="310">
        <v>135</v>
      </c>
      <c r="H41" s="303">
        <v>318</v>
      </c>
      <c r="I41" s="303"/>
      <c r="J41" s="298">
        <v>1</v>
      </c>
      <c r="K41" s="310">
        <v>1</v>
      </c>
      <c r="L41" s="303">
        <v>6</v>
      </c>
      <c r="M41" s="303">
        <v>11</v>
      </c>
      <c r="N41" s="298">
        <v>17</v>
      </c>
      <c r="O41" s="352">
        <v>247</v>
      </c>
      <c r="P41" s="352">
        <v>220</v>
      </c>
      <c r="Q41" s="352">
        <v>467</v>
      </c>
    </row>
    <row r="42" spans="2:17" x14ac:dyDescent="0.25">
      <c r="B42" s="190" t="s">
        <v>146</v>
      </c>
      <c r="C42" s="310">
        <v>2</v>
      </c>
      <c r="D42" s="310">
        <v>1</v>
      </c>
      <c r="E42" s="310">
        <v>3</v>
      </c>
      <c r="F42" s="310">
        <v>3</v>
      </c>
      <c r="G42" s="310">
        <v>3</v>
      </c>
      <c r="H42" s="303">
        <v>6</v>
      </c>
      <c r="I42" s="303"/>
      <c r="J42" s="298"/>
      <c r="K42" s="310"/>
      <c r="L42" s="303"/>
      <c r="M42" s="303"/>
      <c r="N42" s="298"/>
      <c r="O42" s="352">
        <v>5</v>
      </c>
      <c r="P42" s="352">
        <v>4</v>
      </c>
      <c r="Q42" s="352">
        <v>9</v>
      </c>
    </row>
    <row r="43" spans="2:17" x14ac:dyDescent="0.25">
      <c r="B43" s="190" t="s">
        <v>147</v>
      </c>
      <c r="C43" s="310">
        <v>9</v>
      </c>
      <c r="D43" s="310">
        <v>12</v>
      </c>
      <c r="E43" s="310">
        <v>21</v>
      </c>
      <c r="F43" s="310">
        <v>6</v>
      </c>
      <c r="G43" s="310">
        <v>9</v>
      </c>
      <c r="H43" s="303">
        <v>15</v>
      </c>
      <c r="I43" s="303"/>
      <c r="J43" s="298"/>
      <c r="K43" s="310"/>
      <c r="L43" s="303"/>
      <c r="M43" s="303"/>
      <c r="N43" s="298"/>
      <c r="O43" s="352">
        <v>15</v>
      </c>
      <c r="P43" s="352">
        <v>21</v>
      </c>
      <c r="Q43" s="352">
        <v>36</v>
      </c>
    </row>
    <row r="44" spans="2:17" x14ac:dyDescent="0.25">
      <c r="B44" s="351" t="s">
        <v>35</v>
      </c>
      <c r="C44" s="302">
        <v>96</v>
      </c>
      <c r="D44" s="302">
        <v>132</v>
      </c>
      <c r="E44" s="302">
        <v>228</v>
      </c>
      <c r="F44" s="302">
        <v>228</v>
      </c>
      <c r="G44" s="302">
        <v>179</v>
      </c>
      <c r="H44" s="300">
        <v>407</v>
      </c>
      <c r="I44" s="300">
        <v>1</v>
      </c>
      <c r="J44" s="300">
        <v>3</v>
      </c>
      <c r="K44" s="302">
        <v>4</v>
      </c>
      <c r="L44" s="300">
        <v>8</v>
      </c>
      <c r="M44" s="300">
        <v>14</v>
      </c>
      <c r="N44" s="300">
        <v>22</v>
      </c>
      <c r="O44" s="352">
        <v>333</v>
      </c>
      <c r="P44" s="352">
        <v>328</v>
      </c>
      <c r="Q44" s="352">
        <v>661</v>
      </c>
    </row>
    <row r="45" spans="2:17" ht="127.5" customHeight="1" x14ac:dyDescent="0.25">
      <c r="B45" s="469" t="s">
        <v>929</v>
      </c>
      <c r="C45" s="469"/>
      <c r="D45" s="469"/>
      <c r="E45" s="469"/>
      <c r="F45" s="469"/>
      <c r="G45" s="469"/>
      <c r="H45" s="469"/>
      <c r="I45" s="469"/>
      <c r="J45" s="469"/>
      <c r="K45" s="469"/>
      <c r="L45" s="469"/>
      <c r="M45" s="469"/>
      <c r="N45" s="469"/>
      <c r="O45" s="469"/>
      <c r="P45" s="469"/>
      <c r="Q45" s="469"/>
    </row>
    <row r="46" spans="2:17" x14ac:dyDescent="0.25">
      <c r="B46" s="172"/>
      <c r="C46" s="172"/>
      <c r="D46" s="172"/>
      <c r="E46" s="172"/>
      <c r="F46" s="172"/>
      <c r="G46"/>
    </row>
    <row r="47" spans="2:17" x14ac:dyDescent="0.25">
      <c r="B47" s="201" t="s">
        <v>518</v>
      </c>
      <c r="C47"/>
      <c r="D47"/>
      <c r="E47"/>
      <c r="F47"/>
      <c r="G47"/>
    </row>
    <row r="48" spans="2:17" x14ac:dyDescent="0.25">
      <c r="B48" s="201"/>
      <c r="C48"/>
      <c r="D48"/>
      <c r="E48"/>
      <c r="F48"/>
      <c r="G48"/>
    </row>
    <row r="49" spans="2:17" ht="15" customHeight="1" x14ac:dyDescent="0.25">
      <c r="B49" s="466" t="s">
        <v>544</v>
      </c>
      <c r="C49" s="479" t="s">
        <v>488</v>
      </c>
      <c r="D49" s="479"/>
      <c r="E49" s="479"/>
      <c r="F49" s="479"/>
      <c r="G49" s="479"/>
      <c r="H49" s="479"/>
      <c r="I49" s="479"/>
      <c r="J49" s="479"/>
      <c r="K49" s="479"/>
      <c r="L49" s="479"/>
      <c r="M49" s="479"/>
      <c r="N49" s="479"/>
      <c r="O49" s="483" t="s">
        <v>746</v>
      </c>
      <c r="P49" s="484"/>
      <c r="Q49" s="485"/>
    </row>
    <row r="50" spans="2:17" ht="15" customHeight="1" x14ac:dyDescent="0.25">
      <c r="B50" s="467"/>
      <c r="C50" s="479" t="s">
        <v>707</v>
      </c>
      <c r="D50" s="479"/>
      <c r="E50" s="479"/>
      <c r="F50" s="479" t="s">
        <v>497</v>
      </c>
      <c r="G50" s="479"/>
      <c r="H50" s="479"/>
      <c r="I50" s="479" t="s">
        <v>4</v>
      </c>
      <c r="J50" s="479"/>
      <c r="K50" s="479"/>
      <c r="L50" s="479" t="s">
        <v>6</v>
      </c>
      <c r="M50" s="479"/>
      <c r="N50" s="479"/>
      <c r="O50" s="486"/>
      <c r="P50" s="487"/>
      <c r="Q50" s="488"/>
    </row>
    <row r="51" spans="2:17" x14ac:dyDescent="0.25">
      <c r="B51" s="468"/>
      <c r="C51" s="175" t="s">
        <v>83</v>
      </c>
      <c r="D51" s="175" t="s">
        <v>84</v>
      </c>
      <c r="E51" s="175" t="s">
        <v>35</v>
      </c>
      <c r="F51" s="175" t="s">
        <v>83</v>
      </c>
      <c r="G51" s="175" t="s">
        <v>84</v>
      </c>
      <c r="H51" s="175" t="s">
        <v>35</v>
      </c>
      <c r="I51" s="175" t="s">
        <v>83</v>
      </c>
      <c r="J51" s="175" t="s">
        <v>84</v>
      </c>
      <c r="K51" s="175" t="s">
        <v>35</v>
      </c>
      <c r="L51" s="175" t="s">
        <v>83</v>
      </c>
      <c r="M51" s="175" t="s">
        <v>84</v>
      </c>
      <c r="N51" s="175" t="s">
        <v>35</v>
      </c>
      <c r="O51" s="262" t="s">
        <v>83</v>
      </c>
      <c r="P51" s="262" t="s">
        <v>84</v>
      </c>
      <c r="Q51" s="262" t="s">
        <v>35</v>
      </c>
    </row>
    <row r="52" spans="2:17" x14ac:dyDescent="0.25">
      <c r="B52" s="254" t="s">
        <v>150</v>
      </c>
      <c r="C52" s="310">
        <v>147</v>
      </c>
      <c r="D52" s="310">
        <v>156</v>
      </c>
      <c r="E52" s="310">
        <v>303</v>
      </c>
      <c r="F52" s="310">
        <v>386</v>
      </c>
      <c r="G52" s="310">
        <v>260</v>
      </c>
      <c r="H52" s="282">
        <v>646</v>
      </c>
      <c r="I52" s="310">
        <v>4</v>
      </c>
      <c r="J52" s="282">
        <v>1</v>
      </c>
      <c r="K52" s="310">
        <v>5</v>
      </c>
      <c r="L52" s="282">
        <v>13</v>
      </c>
      <c r="M52" s="310">
        <v>18</v>
      </c>
      <c r="N52" s="282">
        <v>31</v>
      </c>
      <c r="O52" s="300">
        <v>550</v>
      </c>
      <c r="P52" s="300">
        <v>435</v>
      </c>
      <c r="Q52" s="300">
        <v>985</v>
      </c>
    </row>
    <row r="53" spans="2:17" x14ac:dyDescent="0.25">
      <c r="B53" s="255" t="s">
        <v>151</v>
      </c>
      <c r="C53" s="310">
        <v>95</v>
      </c>
      <c r="D53" s="310">
        <v>55</v>
      </c>
      <c r="E53" s="310">
        <v>150</v>
      </c>
      <c r="F53" s="310">
        <v>147</v>
      </c>
      <c r="G53" s="310">
        <v>126</v>
      </c>
      <c r="H53" s="282">
        <v>273</v>
      </c>
      <c r="I53" s="310"/>
      <c r="J53" s="282"/>
      <c r="K53" s="310"/>
      <c r="L53" s="282">
        <v>2</v>
      </c>
      <c r="M53" s="310">
        <v>2</v>
      </c>
      <c r="N53" s="282">
        <v>4</v>
      </c>
      <c r="O53" s="300">
        <v>244</v>
      </c>
      <c r="P53" s="300">
        <v>183</v>
      </c>
      <c r="Q53" s="300">
        <v>427</v>
      </c>
    </row>
    <row r="54" spans="2:17" x14ac:dyDescent="0.25">
      <c r="B54" s="255" t="s">
        <v>152</v>
      </c>
      <c r="C54" s="310"/>
      <c r="D54" s="310">
        <v>4</v>
      </c>
      <c r="E54" s="310">
        <v>4</v>
      </c>
      <c r="F54" s="310">
        <v>4</v>
      </c>
      <c r="G54" s="310">
        <v>9</v>
      </c>
      <c r="H54" s="282">
        <v>13</v>
      </c>
      <c r="I54" s="310"/>
      <c r="J54" s="282"/>
      <c r="K54" s="310"/>
      <c r="L54" s="282"/>
      <c r="M54" s="310">
        <v>1</v>
      </c>
      <c r="N54" s="282">
        <v>1</v>
      </c>
      <c r="O54" s="300">
        <v>4</v>
      </c>
      <c r="P54" s="300">
        <v>14</v>
      </c>
      <c r="Q54" s="300">
        <v>18</v>
      </c>
    </row>
    <row r="55" spans="2:17" x14ac:dyDescent="0.25">
      <c r="B55" s="255" t="s">
        <v>153</v>
      </c>
      <c r="C55" s="310">
        <v>6</v>
      </c>
      <c r="D55" s="310">
        <v>8</v>
      </c>
      <c r="E55" s="310">
        <v>14</v>
      </c>
      <c r="F55" s="310">
        <v>10</v>
      </c>
      <c r="G55" s="310">
        <v>11</v>
      </c>
      <c r="H55" s="282">
        <v>21</v>
      </c>
      <c r="I55" s="310"/>
      <c r="J55" s="282"/>
      <c r="K55" s="310"/>
      <c r="L55" s="282"/>
      <c r="M55" s="310"/>
      <c r="N55" s="282"/>
      <c r="O55" s="300">
        <v>16</v>
      </c>
      <c r="P55" s="300">
        <v>19</v>
      </c>
      <c r="Q55" s="300">
        <v>35</v>
      </c>
    </row>
    <row r="56" spans="2:17" x14ac:dyDescent="0.25">
      <c r="B56" s="255" t="s">
        <v>154</v>
      </c>
      <c r="C56" s="310"/>
      <c r="D56" s="310">
        <v>2</v>
      </c>
      <c r="E56" s="310">
        <v>2</v>
      </c>
      <c r="F56" s="310"/>
      <c r="G56" s="310"/>
      <c r="H56" s="282"/>
      <c r="I56" s="310"/>
      <c r="J56" s="282"/>
      <c r="K56" s="310"/>
      <c r="L56" s="282"/>
      <c r="M56" s="310"/>
      <c r="N56" s="282"/>
      <c r="O56" s="300"/>
      <c r="P56" s="300">
        <v>2</v>
      </c>
      <c r="Q56" s="300">
        <v>2</v>
      </c>
    </row>
    <row r="57" spans="2:17" x14ac:dyDescent="0.25">
      <c r="B57" s="255" t="s">
        <v>155</v>
      </c>
      <c r="C57" s="310">
        <v>2</v>
      </c>
      <c r="D57" s="310">
        <v>3</v>
      </c>
      <c r="E57" s="310">
        <v>5</v>
      </c>
      <c r="F57" s="310">
        <v>2</v>
      </c>
      <c r="G57" s="310">
        <v>6</v>
      </c>
      <c r="H57" s="282">
        <v>8</v>
      </c>
      <c r="I57" s="310"/>
      <c r="J57" s="282"/>
      <c r="K57" s="310"/>
      <c r="L57" s="282"/>
      <c r="M57" s="310"/>
      <c r="N57" s="282"/>
      <c r="O57" s="300">
        <v>4</v>
      </c>
      <c r="P57" s="300">
        <v>9</v>
      </c>
      <c r="Q57" s="300">
        <v>13</v>
      </c>
    </row>
    <row r="58" spans="2:17" x14ac:dyDescent="0.25">
      <c r="B58" s="255" t="s">
        <v>156</v>
      </c>
      <c r="C58" s="310">
        <v>2</v>
      </c>
      <c r="D58" s="310">
        <v>1</v>
      </c>
      <c r="E58" s="310">
        <v>3</v>
      </c>
      <c r="F58" s="310">
        <v>1</v>
      </c>
      <c r="G58" s="310"/>
      <c r="H58" s="282">
        <v>1</v>
      </c>
      <c r="I58" s="310"/>
      <c r="J58" s="282"/>
      <c r="K58" s="310"/>
      <c r="L58" s="282"/>
      <c r="M58" s="310"/>
      <c r="N58" s="282"/>
      <c r="O58" s="300">
        <v>3</v>
      </c>
      <c r="P58" s="300">
        <v>1</v>
      </c>
      <c r="Q58" s="300">
        <v>4</v>
      </c>
    </row>
    <row r="59" spans="2:17" x14ac:dyDescent="0.25">
      <c r="B59" s="255" t="s">
        <v>157</v>
      </c>
      <c r="C59" s="310">
        <v>6</v>
      </c>
      <c r="D59" s="310">
        <v>22</v>
      </c>
      <c r="E59" s="310">
        <v>28</v>
      </c>
      <c r="F59" s="310">
        <v>14</v>
      </c>
      <c r="G59" s="310">
        <v>9</v>
      </c>
      <c r="H59" s="282">
        <v>23</v>
      </c>
      <c r="I59" s="310"/>
      <c r="J59" s="282"/>
      <c r="K59" s="310"/>
      <c r="L59" s="282"/>
      <c r="M59" s="310"/>
      <c r="N59" s="282"/>
      <c r="O59" s="300">
        <v>20</v>
      </c>
      <c r="P59" s="300">
        <v>31</v>
      </c>
      <c r="Q59" s="300">
        <v>51</v>
      </c>
    </row>
    <row r="60" spans="2:17" x14ac:dyDescent="0.25">
      <c r="B60" s="255" t="s">
        <v>158</v>
      </c>
      <c r="C60" s="310">
        <v>16</v>
      </c>
      <c r="D60" s="310">
        <v>16</v>
      </c>
      <c r="E60" s="310">
        <v>32</v>
      </c>
      <c r="F60" s="310">
        <v>24</v>
      </c>
      <c r="G60" s="310">
        <v>20</v>
      </c>
      <c r="H60" s="282">
        <v>44</v>
      </c>
      <c r="I60" s="310"/>
      <c r="J60" s="282"/>
      <c r="K60" s="310"/>
      <c r="L60" s="282"/>
      <c r="M60" s="310">
        <v>2</v>
      </c>
      <c r="N60" s="282">
        <v>2</v>
      </c>
      <c r="O60" s="300">
        <v>40</v>
      </c>
      <c r="P60" s="300">
        <v>38</v>
      </c>
      <c r="Q60" s="300">
        <v>78</v>
      </c>
    </row>
    <row r="61" spans="2:17" x14ac:dyDescent="0.25">
      <c r="B61" s="351" t="s">
        <v>35</v>
      </c>
      <c r="C61" s="302">
        <v>274</v>
      </c>
      <c r="D61" s="302">
        <v>267</v>
      </c>
      <c r="E61" s="302">
        <v>541</v>
      </c>
      <c r="F61" s="302">
        <v>588</v>
      </c>
      <c r="G61" s="302">
        <v>441</v>
      </c>
      <c r="H61" s="300">
        <v>1029</v>
      </c>
      <c r="I61" s="302">
        <v>4</v>
      </c>
      <c r="J61" s="300">
        <v>1</v>
      </c>
      <c r="K61" s="302">
        <v>5</v>
      </c>
      <c r="L61" s="300">
        <v>15</v>
      </c>
      <c r="M61" s="302">
        <v>23</v>
      </c>
      <c r="N61" s="300">
        <v>38</v>
      </c>
      <c r="O61" s="300">
        <v>881</v>
      </c>
      <c r="P61" s="300">
        <v>732</v>
      </c>
      <c r="Q61" s="300">
        <v>1613</v>
      </c>
    </row>
    <row r="62" spans="2:17" ht="126" customHeight="1" x14ac:dyDescent="0.25">
      <c r="B62" s="469" t="s">
        <v>929</v>
      </c>
      <c r="C62" s="469"/>
      <c r="D62" s="469"/>
      <c r="E62" s="469"/>
      <c r="F62" s="469"/>
      <c r="G62" s="469"/>
      <c r="H62" s="469"/>
      <c r="I62" s="469"/>
      <c r="J62" s="469"/>
      <c r="K62" s="469"/>
      <c r="L62" s="469"/>
      <c r="M62" s="469"/>
      <c r="N62" s="469"/>
      <c r="O62" s="469"/>
      <c r="P62" s="469"/>
      <c r="Q62" s="469"/>
    </row>
    <row r="63" spans="2:17" x14ac:dyDescent="0.25">
      <c r="B63" s="172"/>
      <c r="C63" s="172"/>
      <c r="D63" s="172"/>
      <c r="E63"/>
      <c r="F63"/>
      <c r="G63"/>
    </row>
    <row r="64" spans="2:17" x14ac:dyDescent="0.25">
      <c r="B64" s="201" t="s">
        <v>519</v>
      </c>
      <c r="C64"/>
      <c r="D64"/>
      <c r="E64"/>
      <c r="F64"/>
      <c r="G64"/>
    </row>
    <row r="65" spans="2:17" x14ac:dyDescent="0.25">
      <c r="B65" s="201"/>
      <c r="C65"/>
      <c r="D65"/>
      <c r="E65"/>
      <c r="F65"/>
      <c r="G65"/>
    </row>
    <row r="66" spans="2:17" ht="15" customHeight="1" x14ac:dyDescent="0.25">
      <c r="B66" s="466" t="s">
        <v>544</v>
      </c>
      <c r="C66" s="479" t="s">
        <v>488</v>
      </c>
      <c r="D66" s="479"/>
      <c r="E66" s="479"/>
      <c r="F66" s="479"/>
      <c r="G66" s="479"/>
      <c r="H66" s="479"/>
      <c r="I66" s="479"/>
      <c r="J66" s="479"/>
      <c r="K66" s="479"/>
      <c r="L66" s="479"/>
      <c r="M66" s="479"/>
      <c r="N66" s="479"/>
      <c r="O66" s="483" t="s">
        <v>746</v>
      </c>
      <c r="P66" s="484"/>
      <c r="Q66" s="485"/>
    </row>
    <row r="67" spans="2:17" ht="15" customHeight="1" x14ac:dyDescent="0.25">
      <c r="B67" s="467"/>
      <c r="C67" s="479" t="s">
        <v>707</v>
      </c>
      <c r="D67" s="479"/>
      <c r="E67" s="479"/>
      <c r="F67" s="479" t="s">
        <v>497</v>
      </c>
      <c r="G67" s="479"/>
      <c r="H67" s="479"/>
      <c r="I67" s="479" t="s">
        <v>4</v>
      </c>
      <c r="J67" s="479"/>
      <c r="K67" s="479"/>
      <c r="L67" s="479" t="s">
        <v>6</v>
      </c>
      <c r="M67" s="479"/>
      <c r="N67" s="479"/>
      <c r="O67" s="486"/>
      <c r="P67" s="487"/>
      <c r="Q67" s="488"/>
    </row>
    <row r="68" spans="2:17" x14ac:dyDescent="0.25">
      <c r="B68" s="468"/>
      <c r="C68" s="175" t="s">
        <v>83</v>
      </c>
      <c r="D68" s="175" t="s">
        <v>84</v>
      </c>
      <c r="E68" s="175" t="s">
        <v>35</v>
      </c>
      <c r="F68" s="175" t="s">
        <v>83</v>
      </c>
      <c r="G68" s="175" t="s">
        <v>84</v>
      </c>
      <c r="H68" s="175" t="s">
        <v>35</v>
      </c>
      <c r="I68" s="175" t="s">
        <v>83</v>
      </c>
      <c r="J68" s="175" t="s">
        <v>84</v>
      </c>
      <c r="K68" s="175" t="s">
        <v>35</v>
      </c>
      <c r="L68" s="175" t="s">
        <v>83</v>
      </c>
      <c r="M68" s="175" t="s">
        <v>84</v>
      </c>
      <c r="N68" s="175" t="s">
        <v>35</v>
      </c>
      <c r="O68" s="262" t="s">
        <v>83</v>
      </c>
      <c r="P68" s="262" t="s">
        <v>84</v>
      </c>
      <c r="Q68" s="262" t="s">
        <v>35</v>
      </c>
    </row>
    <row r="69" spans="2:17" x14ac:dyDescent="0.25">
      <c r="B69" s="255" t="s">
        <v>159</v>
      </c>
      <c r="C69" s="309">
        <v>3</v>
      </c>
      <c r="D69" s="309">
        <v>3</v>
      </c>
      <c r="E69" s="309">
        <v>6</v>
      </c>
      <c r="F69" s="309">
        <v>11</v>
      </c>
      <c r="G69" s="309">
        <v>2</v>
      </c>
      <c r="H69" s="295">
        <v>13</v>
      </c>
      <c r="I69" s="309"/>
      <c r="J69" s="295"/>
      <c r="K69" s="309"/>
      <c r="L69" s="295"/>
      <c r="M69" s="309"/>
      <c r="N69" s="295"/>
      <c r="O69" s="300">
        <v>14</v>
      </c>
      <c r="P69" s="300">
        <v>5</v>
      </c>
      <c r="Q69" s="300">
        <v>19</v>
      </c>
    </row>
    <row r="70" spans="2:17" x14ac:dyDescent="0.25">
      <c r="B70" s="255" t="s">
        <v>160</v>
      </c>
      <c r="C70" s="309">
        <v>9</v>
      </c>
      <c r="D70" s="309">
        <v>14</v>
      </c>
      <c r="E70" s="309">
        <v>23</v>
      </c>
      <c r="F70" s="309">
        <v>19</v>
      </c>
      <c r="G70" s="309">
        <v>19</v>
      </c>
      <c r="H70" s="295">
        <v>38</v>
      </c>
      <c r="I70" s="309"/>
      <c r="J70" s="295"/>
      <c r="K70" s="309"/>
      <c r="L70" s="295">
        <v>1</v>
      </c>
      <c r="M70" s="309"/>
      <c r="N70" s="295">
        <v>1</v>
      </c>
      <c r="O70" s="300">
        <v>29</v>
      </c>
      <c r="P70" s="300">
        <v>33</v>
      </c>
      <c r="Q70" s="300">
        <v>62</v>
      </c>
    </row>
    <row r="71" spans="2:17" x14ac:dyDescent="0.25">
      <c r="B71" s="255" t="s">
        <v>502</v>
      </c>
      <c r="C71" s="309">
        <v>10</v>
      </c>
      <c r="D71" s="309">
        <v>10</v>
      </c>
      <c r="E71" s="309">
        <v>20</v>
      </c>
      <c r="F71" s="309">
        <v>15</v>
      </c>
      <c r="G71" s="309">
        <v>10</v>
      </c>
      <c r="H71" s="295">
        <v>25</v>
      </c>
      <c r="I71" s="309"/>
      <c r="J71" s="295"/>
      <c r="K71" s="309"/>
      <c r="L71" s="295"/>
      <c r="M71" s="309"/>
      <c r="N71" s="295"/>
      <c r="O71" s="300">
        <v>25</v>
      </c>
      <c r="P71" s="300">
        <v>20</v>
      </c>
      <c r="Q71" s="300">
        <v>45</v>
      </c>
    </row>
    <row r="72" spans="2:17" x14ac:dyDescent="0.25">
      <c r="B72" s="255" t="s">
        <v>161</v>
      </c>
      <c r="C72" s="309">
        <v>61</v>
      </c>
      <c r="D72" s="309">
        <v>89</v>
      </c>
      <c r="E72" s="309">
        <v>150</v>
      </c>
      <c r="F72" s="309">
        <v>149</v>
      </c>
      <c r="G72" s="309">
        <v>142</v>
      </c>
      <c r="H72" s="295">
        <v>291</v>
      </c>
      <c r="I72" s="309">
        <v>1</v>
      </c>
      <c r="J72" s="295">
        <v>2</v>
      </c>
      <c r="K72" s="309">
        <v>3</v>
      </c>
      <c r="L72" s="295">
        <v>3</v>
      </c>
      <c r="M72" s="309">
        <v>13</v>
      </c>
      <c r="N72" s="295">
        <v>16</v>
      </c>
      <c r="O72" s="300">
        <v>214</v>
      </c>
      <c r="P72" s="300">
        <v>246</v>
      </c>
      <c r="Q72" s="300">
        <v>460</v>
      </c>
    </row>
    <row r="73" spans="2:17" x14ac:dyDescent="0.25">
      <c r="B73" s="255" t="s">
        <v>162</v>
      </c>
      <c r="C73" s="309">
        <v>6</v>
      </c>
      <c r="D73" s="309">
        <v>7</v>
      </c>
      <c r="E73" s="309">
        <v>13</v>
      </c>
      <c r="F73" s="309">
        <v>10</v>
      </c>
      <c r="G73" s="309">
        <v>6</v>
      </c>
      <c r="H73" s="295">
        <v>16</v>
      </c>
      <c r="I73" s="309"/>
      <c r="J73" s="295">
        <v>1</v>
      </c>
      <c r="K73" s="309">
        <v>1</v>
      </c>
      <c r="L73" s="295"/>
      <c r="M73" s="309">
        <v>1</v>
      </c>
      <c r="N73" s="295">
        <v>1</v>
      </c>
      <c r="O73" s="300">
        <v>16</v>
      </c>
      <c r="P73" s="300">
        <v>15</v>
      </c>
      <c r="Q73" s="300">
        <v>31</v>
      </c>
    </row>
    <row r="74" spans="2:17" x14ac:dyDescent="0.25">
      <c r="B74" s="255" t="s">
        <v>163</v>
      </c>
      <c r="C74" s="309">
        <v>3</v>
      </c>
      <c r="D74" s="309">
        <v>2</v>
      </c>
      <c r="E74" s="309">
        <v>5</v>
      </c>
      <c r="F74" s="309">
        <v>5</v>
      </c>
      <c r="G74" s="309">
        <v>5</v>
      </c>
      <c r="H74" s="295">
        <v>10</v>
      </c>
      <c r="I74" s="309"/>
      <c r="J74" s="295"/>
      <c r="K74" s="309"/>
      <c r="L74" s="295"/>
      <c r="M74" s="309"/>
      <c r="N74" s="295"/>
      <c r="O74" s="300">
        <v>8</v>
      </c>
      <c r="P74" s="300">
        <v>7</v>
      </c>
      <c r="Q74" s="300">
        <v>15</v>
      </c>
    </row>
    <row r="75" spans="2:17" x14ac:dyDescent="0.25">
      <c r="B75" s="255" t="s">
        <v>164</v>
      </c>
      <c r="C75" s="309">
        <v>8</v>
      </c>
      <c r="D75" s="309">
        <v>5</v>
      </c>
      <c r="E75" s="309">
        <v>13</v>
      </c>
      <c r="F75" s="309">
        <v>8</v>
      </c>
      <c r="G75" s="309">
        <v>8</v>
      </c>
      <c r="H75" s="295">
        <v>16</v>
      </c>
      <c r="I75" s="309"/>
      <c r="J75" s="295"/>
      <c r="K75" s="309"/>
      <c r="L75" s="295"/>
      <c r="M75" s="309">
        <v>2</v>
      </c>
      <c r="N75" s="295">
        <v>2</v>
      </c>
      <c r="O75" s="300">
        <v>16</v>
      </c>
      <c r="P75" s="300">
        <v>15</v>
      </c>
      <c r="Q75" s="300">
        <v>31</v>
      </c>
    </row>
    <row r="76" spans="2:17" x14ac:dyDescent="0.25">
      <c r="B76" s="255" t="s">
        <v>165</v>
      </c>
      <c r="C76" s="309">
        <v>3</v>
      </c>
      <c r="D76" s="309">
        <v>6</v>
      </c>
      <c r="E76" s="309">
        <v>9</v>
      </c>
      <c r="F76" s="309">
        <v>4</v>
      </c>
      <c r="G76" s="309">
        <v>8</v>
      </c>
      <c r="H76" s="295">
        <v>12</v>
      </c>
      <c r="I76" s="309"/>
      <c r="J76" s="295"/>
      <c r="K76" s="309"/>
      <c r="L76" s="295">
        <v>1</v>
      </c>
      <c r="M76" s="309"/>
      <c r="N76" s="295">
        <v>1</v>
      </c>
      <c r="O76" s="300">
        <v>8</v>
      </c>
      <c r="P76" s="300">
        <v>14</v>
      </c>
      <c r="Q76" s="300">
        <v>22</v>
      </c>
    </row>
    <row r="77" spans="2:17" x14ac:dyDescent="0.25">
      <c r="B77" s="256" t="s">
        <v>166</v>
      </c>
      <c r="C77" s="309">
        <v>46</v>
      </c>
      <c r="D77" s="309">
        <v>36</v>
      </c>
      <c r="E77" s="309">
        <v>82</v>
      </c>
      <c r="F77" s="309">
        <v>63</v>
      </c>
      <c r="G77" s="309">
        <v>52</v>
      </c>
      <c r="H77" s="295">
        <v>115</v>
      </c>
      <c r="I77" s="309"/>
      <c r="J77" s="295"/>
      <c r="K77" s="309"/>
      <c r="L77" s="295">
        <v>1</v>
      </c>
      <c r="M77" s="309">
        <v>1</v>
      </c>
      <c r="N77" s="295">
        <v>2</v>
      </c>
      <c r="O77" s="300">
        <v>110</v>
      </c>
      <c r="P77" s="300">
        <v>89</v>
      </c>
      <c r="Q77" s="300">
        <v>199</v>
      </c>
    </row>
    <row r="78" spans="2:17" x14ac:dyDescent="0.25">
      <c r="B78" s="351" t="s">
        <v>35</v>
      </c>
      <c r="C78" s="362">
        <v>149</v>
      </c>
      <c r="D78" s="362">
        <v>172</v>
      </c>
      <c r="E78" s="362">
        <v>321</v>
      </c>
      <c r="F78" s="362">
        <v>284</v>
      </c>
      <c r="G78" s="362">
        <v>252</v>
      </c>
      <c r="H78" s="363">
        <v>536</v>
      </c>
      <c r="I78" s="362">
        <v>1</v>
      </c>
      <c r="J78" s="363">
        <v>3</v>
      </c>
      <c r="K78" s="362">
        <v>4</v>
      </c>
      <c r="L78" s="363">
        <v>6</v>
      </c>
      <c r="M78" s="362">
        <v>17</v>
      </c>
      <c r="N78" s="363">
        <v>23</v>
      </c>
      <c r="O78" s="300">
        <v>440</v>
      </c>
      <c r="P78" s="300">
        <v>444</v>
      </c>
      <c r="Q78" s="300">
        <v>884</v>
      </c>
    </row>
    <row r="79" spans="2:17" ht="122.25" customHeight="1" x14ac:dyDescent="0.25">
      <c r="B79" s="469" t="s">
        <v>929</v>
      </c>
      <c r="C79" s="469"/>
      <c r="D79" s="469"/>
      <c r="E79" s="469"/>
      <c r="F79" s="469"/>
      <c r="G79" s="469"/>
      <c r="H79" s="469"/>
      <c r="I79" s="469"/>
      <c r="J79" s="469"/>
      <c r="K79" s="469"/>
      <c r="L79" s="469"/>
      <c r="M79" s="469"/>
      <c r="N79" s="469"/>
      <c r="O79" s="469"/>
      <c r="P79" s="469"/>
      <c r="Q79" s="469"/>
    </row>
    <row r="80" spans="2:17" x14ac:dyDescent="0.25">
      <c r="B80" s="172"/>
      <c r="C80" s="172"/>
      <c r="D80" s="172"/>
      <c r="E80"/>
      <c r="F80"/>
      <c r="G80"/>
    </row>
    <row r="81" spans="2:17" x14ac:dyDescent="0.25">
      <c r="B81" s="201" t="s">
        <v>520</v>
      </c>
      <c r="C81"/>
      <c r="D81"/>
      <c r="E81"/>
      <c r="F81"/>
      <c r="G81"/>
    </row>
    <row r="82" spans="2:17" x14ac:dyDescent="0.25">
      <c r="B82" s="201"/>
      <c r="C82"/>
      <c r="D82"/>
      <c r="E82"/>
      <c r="F82"/>
      <c r="G82"/>
    </row>
    <row r="83" spans="2:17" ht="15" customHeight="1" x14ac:dyDescent="0.25">
      <c r="B83" s="466" t="s">
        <v>544</v>
      </c>
      <c r="C83" s="479" t="s">
        <v>488</v>
      </c>
      <c r="D83" s="479"/>
      <c r="E83" s="479"/>
      <c r="F83" s="479"/>
      <c r="G83" s="479"/>
      <c r="H83" s="479"/>
      <c r="I83" s="479"/>
      <c r="J83" s="479"/>
      <c r="K83" s="479"/>
      <c r="L83" s="479"/>
      <c r="M83" s="479"/>
      <c r="N83" s="479"/>
      <c r="O83" s="483" t="s">
        <v>746</v>
      </c>
      <c r="P83" s="484"/>
      <c r="Q83" s="485"/>
    </row>
    <row r="84" spans="2:17" ht="15" customHeight="1" x14ac:dyDescent="0.25">
      <c r="B84" s="467"/>
      <c r="C84" s="479" t="s">
        <v>707</v>
      </c>
      <c r="D84" s="479"/>
      <c r="E84" s="479"/>
      <c r="F84" s="479" t="s">
        <v>497</v>
      </c>
      <c r="G84" s="479"/>
      <c r="H84" s="479"/>
      <c r="I84" s="479" t="s">
        <v>4</v>
      </c>
      <c r="J84" s="479"/>
      <c r="K84" s="479"/>
      <c r="L84" s="479" t="s">
        <v>6</v>
      </c>
      <c r="M84" s="479"/>
      <c r="N84" s="479"/>
      <c r="O84" s="486"/>
      <c r="P84" s="487"/>
      <c r="Q84" s="488"/>
    </row>
    <row r="85" spans="2:17" x14ac:dyDescent="0.25">
      <c r="B85" s="468"/>
      <c r="C85" s="175" t="s">
        <v>83</v>
      </c>
      <c r="D85" s="175" t="s">
        <v>84</v>
      </c>
      <c r="E85" s="175" t="s">
        <v>35</v>
      </c>
      <c r="F85" s="175" t="s">
        <v>83</v>
      </c>
      <c r="G85" s="175" t="s">
        <v>84</v>
      </c>
      <c r="H85" s="175" t="s">
        <v>35</v>
      </c>
      <c r="I85" s="175" t="s">
        <v>83</v>
      </c>
      <c r="J85" s="175" t="s">
        <v>84</v>
      </c>
      <c r="K85" s="175" t="s">
        <v>35</v>
      </c>
      <c r="L85" s="175" t="s">
        <v>83</v>
      </c>
      <c r="M85" s="175" t="s">
        <v>84</v>
      </c>
      <c r="N85" s="175" t="s">
        <v>35</v>
      </c>
      <c r="O85" s="262" t="s">
        <v>83</v>
      </c>
      <c r="P85" s="262" t="s">
        <v>84</v>
      </c>
      <c r="Q85" s="262" t="s">
        <v>35</v>
      </c>
    </row>
    <row r="86" spans="2:17" x14ac:dyDescent="0.25">
      <c r="B86" s="254" t="s">
        <v>167</v>
      </c>
      <c r="C86" s="310">
        <v>7</v>
      </c>
      <c r="D86" s="310">
        <v>11</v>
      </c>
      <c r="E86" s="310">
        <v>18</v>
      </c>
      <c r="F86" s="310">
        <v>7</v>
      </c>
      <c r="G86" s="310">
        <v>4</v>
      </c>
      <c r="H86" s="282">
        <v>11</v>
      </c>
      <c r="I86" s="310"/>
      <c r="J86" s="282"/>
      <c r="K86" s="310"/>
      <c r="L86" s="282">
        <v>2</v>
      </c>
      <c r="M86" s="310"/>
      <c r="N86" s="282">
        <v>2</v>
      </c>
      <c r="O86" s="352">
        <v>16</v>
      </c>
      <c r="P86" s="352">
        <v>15</v>
      </c>
      <c r="Q86" s="352">
        <v>31</v>
      </c>
    </row>
    <row r="87" spans="2:17" x14ac:dyDescent="0.25">
      <c r="B87" s="255" t="s">
        <v>168</v>
      </c>
      <c r="C87" s="310">
        <v>9</v>
      </c>
      <c r="D87" s="310">
        <v>12</v>
      </c>
      <c r="E87" s="310">
        <v>21</v>
      </c>
      <c r="F87" s="310">
        <v>6</v>
      </c>
      <c r="G87" s="310">
        <v>5</v>
      </c>
      <c r="H87" s="282">
        <v>11</v>
      </c>
      <c r="I87" s="310"/>
      <c r="J87" s="282"/>
      <c r="K87" s="310"/>
      <c r="L87" s="282"/>
      <c r="M87" s="310">
        <v>2</v>
      </c>
      <c r="N87" s="282">
        <v>2</v>
      </c>
      <c r="O87" s="352">
        <v>15</v>
      </c>
      <c r="P87" s="352">
        <v>19</v>
      </c>
      <c r="Q87" s="352">
        <v>34</v>
      </c>
    </row>
    <row r="88" spans="2:17" x14ac:dyDescent="0.25">
      <c r="B88" s="255" t="s">
        <v>169</v>
      </c>
      <c r="C88" s="310">
        <v>10</v>
      </c>
      <c r="D88" s="310">
        <v>4</v>
      </c>
      <c r="E88" s="310">
        <v>14</v>
      </c>
      <c r="F88" s="310">
        <v>11</v>
      </c>
      <c r="G88" s="310">
        <v>7</v>
      </c>
      <c r="H88" s="282">
        <v>18</v>
      </c>
      <c r="I88" s="310">
        <v>1</v>
      </c>
      <c r="J88" s="282"/>
      <c r="K88" s="310">
        <v>1</v>
      </c>
      <c r="L88" s="282"/>
      <c r="M88" s="310"/>
      <c r="N88" s="282"/>
      <c r="O88" s="352">
        <v>22</v>
      </c>
      <c r="P88" s="352">
        <v>11</v>
      </c>
      <c r="Q88" s="352">
        <v>33</v>
      </c>
    </row>
    <row r="89" spans="2:17" x14ac:dyDescent="0.25">
      <c r="B89" s="255" t="s">
        <v>170</v>
      </c>
      <c r="C89" s="310">
        <v>99</v>
      </c>
      <c r="D89" s="310">
        <v>138</v>
      </c>
      <c r="E89" s="310">
        <v>237</v>
      </c>
      <c r="F89" s="310">
        <v>270</v>
      </c>
      <c r="G89" s="310">
        <v>207</v>
      </c>
      <c r="H89" s="282">
        <v>477</v>
      </c>
      <c r="I89" s="310">
        <v>3</v>
      </c>
      <c r="J89" s="282">
        <v>3</v>
      </c>
      <c r="K89" s="310">
        <v>6</v>
      </c>
      <c r="L89" s="282">
        <v>7</v>
      </c>
      <c r="M89" s="310">
        <v>12</v>
      </c>
      <c r="N89" s="282">
        <v>19</v>
      </c>
      <c r="O89" s="352">
        <v>379</v>
      </c>
      <c r="P89" s="352">
        <v>360</v>
      </c>
      <c r="Q89" s="352">
        <v>739</v>
      </c>
    </row>
    <row r="90" spans="2:17" x14ac:dyDescent="0.25">
      <c r="B90" s="255" t="s">
        <v>171</v>
      </c>
      <c r="C90" s="310">
        <v>21</v>
      </c>
      <c r="D90" s="310">
        <v>20</v>
      </c>
      <c r="E90" s="310">
        <v>41</v>
      </c>
      <c r="F90" s="310">
        <v>25</v>
      </c>
      <c r="G90" s="310">
        <v>23</v>
      </c>
      <c r="H90" s="282">
        <v>48</v>
      </c>
      <c r="I90" s="310"/>
      <c r="J90" s="282"/>
      <c r="K90" s="310"/>
      <c r="L90" s="282"/>
      <c r="M90" s="310">
        <v>2</v>
      </c>
      <c r="N90" s="282">
        <v>2</v>
      </c>
      <c r="O90" s="352">
        <v>46</v>
      </c>
      <c r="P90" s="352">
        <v>45</v>
      </c>
      <c r="Q90" s="352">
        <v>91</v>
      </c>
    </row>
    <row r="91" spans="2:17" x14ac:dyDescent="0.25">
      <c r="B91" s="255" t="s">
        <v>172</v>
      </c>
      <c r="C91" s="310">
        <v>2</v>
      </c>
      <c r="D91" s="310">
        <v>4</v>
      </c>
      <c r="E91" s="310">
        <v>6</v>
      </c>
      <c r="F91" s="310">
        <v>7</v>
      </c>
      <c r="G91" s="310">
        <v>8</v>
      </c>
      <c r="H91" s="282">
        <v>15</v>
      </c>
      <c r="I91" s="310"/>
      <c r="J91" s="282"/>
      <c r="K91" s="310"/>
      <c r="L91" s="282"/>
      <c r="M91" s="310"/>
      <c r="N91" s="282"/>
      <c r="O91" s="352">
        <v>9</v>
      </c>
      <c r="P91" s="352">
        <v>12</v>
      </c>
      <c r="Q91" s="352">
        <v>21</v>
      </c>
    </row>
    <row r="92" spans="2:17" x14ac:dyDescent="0.25">
      <c r="B92" s="255" t="s">
        <v>173</v>
      </c>
      <c r="C92" s="310">
        <v>83</v>
      </c>
      <c r="D92" s="310">
        <v>88</v>
      </c>
      <c r="E92" s="310">
        <v>171</v>
      </c>
      <c r="F92" s="310">
        <v>262</v>
      </c>
      <c r="G92" s="310">
        <v>178</v>
      </c>
      <c r="H92" s="282">
        <v>440</v>
      </c>
      <c r="I92" s="310">
        <v>4</v>
      </c>
      <c r="J92" s="282">
        <v>4</v>
      </c>
      <c r="K92" s="310">
        <v>8</v>
      </c>
      <c r="L92" s="282">
        <v>8</v>
      </c>
      <c r="M92" s="310">
        <v>17</v>
      </c>
      <c r="N92" s="282">
        <v>25</v>
      </c>
      <c r="O92" s="352">
        <v>357</v>
      </c>
      <c r="P92" s="352">
        <v>287</v>
      </c>
      <c r="Q92" s="352">
        <v>644</v>
      </c>
    </row>
    <row r="93" spans="2:17" x14ac:dyDescent="0.25">
      <c r="B93" s="255" t="s">
        <v>174</v>
      </c>
      <c r="C93" s="310">
        <v>7</v>
      </c>
      <c r="D93" s="310">
        <v>15</v>
      </c>
      <c r="E93" s="310">
        <v>22</v>
      </c>
      <c r="F93" s="310">
        <v>26</v>
      </c>
      <c r="G93" s="310">
        <v>17</v>
      </c>
      <c r="H93" s="282">
        <v>43</v>
      </c>
      <c r="I93" s="310"/>
      <c r="J93" s="282">
        <v>1</v>
      </c>
      <c r="K93" s="310">
        <v>1</v>
      </c>
      <c r="L93" s="282"/>
      <c r="M93" s="310">
        <v>1</v>
      </c>
      <c r="N93" s="282">
        <v>1</v>
      </c>
      <c r="O93" s="352">
        <v>33</v>
      </c>
      <c r="P93" s="352">
        <v>34</v>
      </c>
      <c r="Q93" s="352">
        <v>67</v>
      </c>
    </row>
    <row r="94" spans="2:17" x14ac:dyDescent="0.25">
      <c r="B94" s="255" t="s">
        <v>175</v>
      </c>
      <c r="C94" s="310">
        <v>10</v>
      </c>
      <c r="D94" s="310">
        <v>19</v>
      </c>
      <c r="E94" s="310">
        <v>29</v>
      </c>
      <c r="F94" s="310">
        <v>18</v>
      </c>
      <c r="G94" s="310">
        <v>19</v>
      </c>
      <c r="H94" s="282">
        <v>37</v>
      </c>
      <c r="I94" s="310">
        <v>1</v>
      </c>
      <c r="J94" s="282"/>
      <c r="K94" s="310">
        <v>1</v>
      </c>
      <c r="L94" s="282">
        <v>4</v>
      </c>
      <c r="M94" s="310">
        <v>1</v>
      </c>
      <c r="N94" s="282">
        <v>5</v>
      </c>
      <c r="O94" s="352">
        <v>33</v>
      </c>
      <c r="P94" s="352">
        <v>39</v>
      </c>
      <c r="Q94" s="352">
        <v>72</v>
      </c>
    </row>
    <row r="95" spans="2:17" x14ac:dyDescent="0.25">
      <c r="B95" s="255" t="s">
        <v>176</v>
      </c>
      <c r="C95" s="310">
        <v>38</v>
      </c>
      <c r="D95" s="310">
        <v>88</v>
      </c>
      <c r="E95" s="310">
        <v>126</v>
      </c>
      <c r="F95" s="310">
        <v>129</v>
      </c>
      <c r="G95" s="310">
        <v>97</v>
      </c>
      <c r="H95" s="282">
        <v>226</v>
      </c>
      <c r="I95" s="310">
        <v>1</v>
      </c>
      <c r="J95" s="282">
        <v>2</v>
      </c>
      <c r="K95" s="310">
        <v>3</v>
      </c>
      <c r="L95" s="282">
        <v>3</v>
      </c>
      <c r="M95" s="310">
        <v>12</v>
      </c>
      <c r="N95" s="282">
        <v>15</v>
      </c>
      <c r="O95" s="352">
        <v>171</v>
      </c>
      <c r="P95" s="352">
        <v>199</v>
      </c>
      <c r="Q95" s="352">
        <v>370</v>
      </c>
    </row>
    <row r="96" spans="2:17" x14ac:dyDescent="0.25">
      <c r="B96" s="255" t="s">
        <v>177</v>
      </c>
      <c r="C96" s="310">
        <v>6</v>
      </c>
      <c r="D96" s="310">
        <v>6</v>
      </c>
      <c r="E96" s="310">
        <v>12</v>
      </c>
      <c r="F96" s="310">
        <v>10</v>
      </c>
      <c r="G96" s="310">
        <v>3</v>
      </c>
      <c r="H96" s="282">
        <v>13</v>
      </c>
      <c r="I96" s="310"/>
      <c r="J96" s="282"/>
      <c r="K96" s="310"/>
      <c r="L96" s="282"/>
      <c r="M96" s="310"/>
      <c r="N96" s="282"/>
      <c r="O96" s="352">
        <v>16</v>
      </c>
      <c r="P96" s="352">
        <v>9</v>
      </c>
      <c r="Q96" s="352">
        <v>25</v>
      </c>
    </row>
    <row r="97" spans="2:17" x14ac:dyDescent="0.25">
      <c r="B97" s="255" t="s">
        <v>178</v>
      </c>
      <c r="C97" s="310">
        <v>6</v>
      </c>
      <c r="D97" s="310">
        <v>10</v>
      </c>
      <c r="E97" s="310">
        <v>16</v>
      </c>
      <c r="F97" s="310">
        <v>9</v>
      </c>
      <c r="G97" s="310">
        <v>5</v>
      </c>
      <c r="H97" s="282">
        <v>14</v>
      </c>
      <c r="I97" s="310"/>
      <c r="J97" s="282"/>
      <c r="K97" s="310"/>
      <c r="L97" s="282"/>
      <c r="M97" s="310"/>
      <c r="N97" s="282"/>
      <c r="O97" s="352">
        <v>15</v>
      </c>
      <c r="P97" s="352">
        <v>15</v>
      </c>
      <c r="Q97" s="352">
        <v>30</v>
      </c>
    </row>
    <row r="98" spans="2:17" x14ac:dyDescent="0.25">
      <c r="B98" s="255" t="s">
        <v>179</v>
      </c>
      <c r="C98" s="310">
        <v>3</v>
      </c>
      <c r="D98" s="310">
        <v>3</v>
      </c>
      <c r="E98" s="310">
        <v>6</v>
      </c>
      <c r="F98" s="310">
        <v>4</v>
      </c>
      <c r="G98" s="310">
        <v>2</v>
      </c>
      <c r="H98" s="282">
        <v>6</v>
      </c>
      <c r="I98" s="310"/>
      <c r="J98" s="282"/>
      <c r="K98" s="310"/>
      <c r="L98" s="282"/>
      <c r="M98" s="310"/>
      <c r="N98" s="282"/>
      <c r="O98" s="352">
        <v>7</v>
      </c>
      <c r="P98" s="352">
        <v>5</v>
      </c>
      <c r="Q98" s="352">
        <v>12</v>
      </c>
    </row>
    <row r="99" spans="2:17" x14ac:dyDescent="0.25">
      <c r="B99" s="256" t="s">
        <v>180</v>
      </c>
      <c r="C99" s="310">
        <v>8</v>
      </c>
      <c r="D99" s="310">
        <v>19</v>
      </c>
      <c r="E99" s="310">
        <v>27</v>
      </c>
      <c r="F99" s="310">
        <v>20</v>
      </c>
      <c r="G99" s="310">
        <v>25</v>
      </c>
      <c r="H99" s="282">
        <v>45</v>
      </c>
      <c r="I99" s="310"/>
      <c r="J99" s="282"/>
      <c r="K99" s="310"/>
      <c r="L99" s="282"/>
      <c r="M99" s="310">
        <v>2</v>
      </c>
      <c r="N99" s="282">
        <v>2</v>
      </c>
      <c r="O99" s="352">
        <v>28</v>
      </c>
      <c r="P99" s="352">
        <v>46</v>
      </c>
      <c r="Q99" s="352">
        <v>74</v>
      </c>
    </row>
    <row r="100" spans="2:17" x14ac:dyDescent="0.25">
      <c r="B100" s="190" t="s">
        <v>503</v>
      </c>
      <c r="C100" s="310">
        <v>10</v>
      </c>
      <c r="D100" s="310">
        <v>17</v>
      </c>
      <c r="E100" s="310">
        <v>27</v>
      </c>
      <c r="F100" s="310">
        <v>36</v>
      </c>
      <c r="G100" s="310">
        <v>29</v>
      </c>
      <c r="H100" s="282">
        <v>65</v>
      </c>
      <c r="I100" s="310"/>
      <c r="J100" s="282"/>
      <c r="K100" s="310"/>
      <c r="L100" s="282">
        <v>1</v>
      </c>
      <c r="M100" s="310">
        <v>1</v>
      </c>
      <c r="N100" s="282">
        <v>2</v>
      </c>
      <c r="O100" s="352">
        <v>47</v>
      </c>
      <c r="P100" s="352">
        <v>47</v>
      </c>
      <c r="Q100" s="352">
        <v>94</v>
      </c>
    </row>
    <row r="101" spans="2:17" x14ac:dyDescent="0.25">
      <c r="B101" s="351" t="s">
        <v>35</v>
      </c>
      <c r="C101" s="302">
        <v>319</v>
      </c>
      <c r="D101" s="302">
        <v>454</v>
      </c>
      <c r="E101" s="302">
        <v>773</v>
      </c>
      <c r="F101" s="302">
        <v>840</v>
      </c>
      <c r="G101" s="302">
        <v>629</v>
      </c>
      <c r="H101" s="300">
        <v>1469</v>
      </c>
      <c r="I101" s="302">
        <v>10</v>
      </c>
      <c r="J101" s="300">
        <v>10</v>
      </c>
      <c r="K101" s="302">
        <v>20</v>
      </c>
      <c r="L101" s="300">
        <v>25</v>
      </c>
      <c r="M101" s="302">
        <v>50</v>
      </c>
      <c r="N101" s="300">
        <v>75</v>
      </c>
      <c r="O101" s="352">
        <v>1194</v>
      </c>
      <c r="P101" s="352">
        <v>1143</v>
      </c>
      <c r="Q101" s="352">
        <v>2337</v>
      </c>
    </row>
    <row r="102" spans="2:17" ht="123" customHeight="1" x14ac:dyDescent="0.25">
      <c r="B102" s="469" t="s">
        <v>929</v>
      </c>
      <c r="C102" s="469"/>
      <c r="D102" s="469"/>
      <c r="E102" s="469"/>
      <c r="F102" s="469"/>
      <c r="G102" s="469"/>
      <c r="H102" s="469"/>
      <c r="I102" s="469"/>
      <c r="J102" s="469"/>
      <c r="K102" s="469"/>
      <c r="L102" s="469"/>
      <c r="M102" s="469"/>
      <c r="N102" s="469"/>
      <c r="O102" s="469"/>
      <c r="P102" s="469"/>
      <c r="Q102" s="469"/>
    </row>
    <row r="103" spans="2:17" x14ac:dyDescent="0.25">
      <c r="B103" s="172"/>
      <c r="C103" s="204"/>
      <c r="D103" s="204"/>
      <c r="E103" s="204"/>
      <c r="F103" s="204"/>
      <c r="G103"/>
    </row>
    <row r="104" spans="2:17" x14ac:dyDescent="0.25">
      <c r="B104" s="201" t="s">
        <v>521</v>
      </c>
      <c r="C104"/>
      <c r="D104"/>
      <c r="E104"/>
      <c r="F104"/>
      <c r="G104"/>
    </row>
    <row r="105" spans="2:17" x14ac:dyDescent="0.25">
      <c r="B105" s="201"/>
      <c r="C105"/>
      <c r="D105"/>
      <c r="E105"/>
      <c r="F105"/>
      <c r="G105"/>
    </row>
    <row r="106" spans="2:17" ht="15" customHeight="1" x14ac:dyDescent="0.25">
      <c r="B106" s="466" t="s">
        <v>544</v>
      </c>
      <c r="C106" s="479" t="s">
        <v>488</v>
      </c>
      <c r="D106" s="479"/>
      <c r="E106" s="479"/>
      <c r="F106" s="479"/>
      <c r="G106" s="479"/>
      <c r="H106" s="479"/>
      <c r="I106" s="479"/>
      <c r="J106" s="479"/>
      <c r="K106" s="479"/>
      <c r="L106" s="479"/>
      <c r="M106" s="479"/>
      <c r="N106" s="479"/>
      <c r="O106" s="483" t="s">
        <v>746</v>
      </c>
      <c r="P106" s="484"/>
      <c r="Q106" s="485"/>
    </row>
    <row r="107" spans="2:17" ht="15" customHeight="1" x14ac:dyDescent="0.25">
      <c r="B107" s="467"/>
      <c r="C107" s="479" t="s">
        <v>707</v>
      </c>
      <c r="D107" s="479"/>
      <c r="E107" s="479"/>
      <c r="F107" s="479" t="s">
        <v>497</v>
      </c>
      <c r="G107" s="479"/>
      <c r="H107" s="479"/>
      <c r="I107" s="479" t="s">
        <v>4</v>
      </c>
      <c r="J107" s="479"/>
      <c r="K107" s="479"/>
      <c r="L107" s="479" t="s">
        <v>6</v>
      </c>
      <c r="M107" s="479"/>
      <c r="N107" s="479"/>
      <c r="O107" s="486"/>
      <c r="P107" s="487"/>
      <c r="Q107" s="488"/>
    </row>
    <row r="108" spans="2:17" x14ac:dyDescent="0.25">
      <c r="B108" s="468"/>
      <c r="C108" s="175" t="s">
        <v>83</v>
      </c>
      <c r="D108" s="175" t="s">
        <v>84</v>
      </c>
      <c r="E108" s="175" t="s">
        <v>35</v>
      </c>
      <c r="F108" s="175" t="s">
        <v>83</v>
      </c>
      <c r="G108" s="175" t="s">
        <v>84</v>
      </c>
      <c r="H108" s="175" t="s">
        <v>35</v>
      </c>
      <c r="I108" s="175" t="s">
        <v>83</v>
      </c>
      <c r="J108" s="175" t="s">
        <v>84</v>
      </c>
      <c r="K108" s="175" t="s">
        <v>35</v>
      </c>
      <c r="L108" s="175" t="s">
        <v>83</v>
      </c>
      <c r="M108" s="175" t="s">
        <v>84</v>
      </c>
      <c r="N108" s="175" t="s">
        <v>35</v>
      </c>
      <c r="O108" s="262" t="s">
        <v>83</v>
      </c>
      <c r="P108" s="262" t="s">
        <v>84</v>
      </c>
      <c r="Q108" s="262" t="s">
        <v>35</v>
      </c>
    </row>
    <row r="109" spans="2:17" x14ac:dyDescent="0.25">
      <c r="B109" s="255" t="s">
        <v>181</v>
      </c>
      <c r="C109" s="310">
        <v>7</v>
      </c>
      <c r="D109" s="310">
        <v>13</v>
      </c>
      <c r="E109" s="310">
        <v>20</v>
      </c>
      <c r="F109" s="310">
        <v>42</v>
      </c>
      <c r="G109" s="310">
        <v>29</v>
      </c>
      <c r="H109" s="282">
        <v>71</v>
      </c>
      <c r="I109" s="310"/>
      <c r="J109" s="282"/>
      <c r="K109" s="310"/>
      <c r="L109" s="310"/>
      <c r="M109" s="282"/>
      <c r="N109" s="310"/>
      <c r="O109" s="300">
        <v>49</v>
      </c>
      <c r="P109" s="300">
        <v>42</v>
      </c>
      <c r="Q109" s="300">
        <v>91</v>
      </c>
    </row>
    <row r="110" spans="2:17" x14ac:dyDescent="0.25">
      <c r="B110" s="255" t="s">
        <v>182</v>
      </c>
      <c r="C110" s="310">
        <v>7</v>
      </c>
      <c r="D110" s="310">
        <v>14</v>
      </c>
      <c r="E110" s="310">
        <v>21</v>
      </c>
      <c r="F110" s="310">
        <v>22</v>
      </c>
      <c r="G110" s="310">
        <v>15</v>
      </c>
      <c r="H110" s="282">
        <v>37</v>
      </c>
      <c r="I110" s="310"/>
      <c r="J110" s="282"/>
      <c r="K110" s="310"/>
      <c r="L110" s="310">
        <v>1</v>
      </c>
      <c r="M110" s="282"/>
      <c r="N110" s="310">
        <v>1</v>
      </c>
      <c r="O110" s="300">
        <v>30</v>
      </c>
      <c r="P110" s="300">
        <v>29</v>
      </c>
      <c r="Q110" s="300">
        <v>59</v>
      </c>
    </row>
    <row r="111" spans="2:17" x14ac:dyDescent="0.25">
      <c r="B111" s="255" t="s">
        <v>183</v>
      </c>
      <c r="C111" s="310">
        <v>5</v>
      </c>
      <c r="D111" s="310">
        <v>4</v>
      </c>
      <c r="E111" s="310">
        <v>9</v>
      </c>
      <c r="F111" s="310">
        <v>13</v>
      </c>
      <c r="G111" s="310">
        <v>10</v>
      </c>
      <c r="H111" s="282">
        <v>23</v>
      </c>
      <c r="I111" s="310"/>
      <c r="J111" s="282"/>
      <c r="K111" s="310"/>
      <c r="L111" s="310"/>
      <c r="M111" s="282">
        <v>2</v>
      </c>
      <c r="N111" s="310">
        <v>2</v>
      </c>
      <c r="O111" s="300">
        <v>18</v>
      </c>
      <c r="P111" s="300">
        <v>16</v>
      </c>
      <c r="Q111" s="300">
        <v>34</v>
      </c>
    </row>
    <row r="112" spans="2:17" x14ac:dyDescent="0.25">
      <c r="B112" s="255" t="s">
        <v>184</v>
      </c>
      <c r="C112" s="310">
        <v>14</v>
      </c>
      <c r="D112" s="310">
        <v>19</v>
      </c>
      <c r="E112" s="310">
        <v>33</v>
      </c>
      <c r="F112" s="310">
        <v>22</v>
      </c>
      <c r="G112" s="310">
        <v>29</v>
      </c>
      <c r="H112" s="282">
        <v>51</v>
      </c>
      <c r="I112" s="310"/>
      <c r="J112" s="282"/>
      <c r="K112" s="310"/>
      <c r="L112" s="310">
        <v>2</v>
      </c>
      <c r="M112" s="282">
        <v>3</v>
      </c>
      <c r="N112" s="310">
        <v>5</v>
      </c>
      <c r="O112" s="300">
        <v>38</v>
      </c>
      <c r="P112" s="300">
        <v>51</v>
      </c>
      <c r="Q112" s="300">
        <v>89</v>
      </c>
    </row>
    <row r="113" spans="2:17" x14ac:dyDescent="0.25">
      <c r="B113" s="255" t="s">
        <v>185</v>
      </c>
      <c r="C113" s="310">
        <v>12</v>
      </c>
      <c r="D113" s="310">
        <v>20</v>
      </c>
      <c r="E113" s="310">
        <v>32</v>
      </c>
      <c r="F113" s="310">
        <v>27</v>
      </c>
      <c r="G113" s="310">
        <v>22</v>
      </c>
      <c r="H113" s="282">
        <v>49</v>
      </c>
      <c r="I113" s="310"/>
      <c r="J113" s="282"/>
      <c r="K113" s="310"/>
      <c r="L113" s="310">
        <v>3</v>
      </c>
      <c r="M113" s="282">
        <v>1</v>
      </c>
      <c r="N113" s="310">
        <v>4</v>
      </c>
      <c r="O113" s="300">
        <v>42</v>
      </c>
      <c r="P113" s="300">
        <v>43</v>
      </c>
      <c r="Q113" s="300">
        <v>85</v>
      </c>
    </row>
    <row r="114" spans="2:17" x14ac:dyDescent="0.25">
      <c r="B114" s="255" t="s">
        <v>186</v>
      </c>
      <c r="C114" s="310">
        <v>12</v>
      </c>
      <c r="D114" s="310">
        <v>13</v>
      </c>
      <c r="E114" s="310">
        <v>25</v>
      </c>
      <c r="F114" s="310">
        <v>17</v>
      </c>
      <c r="G114" s="310">
        <v>12</v>
      </c>
      <c r="H114" s="282">
        <v>29</v>
      </c>
      <c r="I114" s="310"/>
      <c r="J114" s="282"/>
      <c r="K114" s="310"/>
      <c r="L114" s="310"/>
      <c r="M114" s="282">
        <v>1</v>
      </c>
      <c r="N114" s="310">
        <v>1</v>
      </c>
      <c r="O114" s="300">
        <v>29</v>
      </c>
      <c r="P114" s="300">
        <v>26</v>
      </c>
      <c r="Q114" s="300">
        <v>55</v>
      </c>
    </row>
    <row r="115" spans="2:17" x14ac:dyDescent="0.25">
      <c r="B115" s="255" t="s">
        <v>187</v>
      </c>
      <c r="C115" s="310">
        <v>19</v>
      </c>
      <c r="D115" s="310">
        <v>22</v>
      </c>
      <c r="E115" s="310">
        <v>41</v>
      </c>
      <c r="F115" s="310">
        <v>88</v>
      </c>
      <c r="G115" s="310">
        <v>46</v>
      </c>
      <c r="H115" s="282">
        <v>134</v>
      </c>
      <c r="I115" s="310"/>
      <c r="J115" s="282">
        <v>1</v>
      </c>
      <c r="K115" s="310">
        <v>1</v>
      </c>
      <c r="L115" s="310">
        <v>2</v>
      </c>
      <c r="M115" s="282"/>
      <c r="N115" s="310">
        <v>2</v>
      </c>
      <c r="O115" s="300">
        <v>109</v>
      </c>
      <c r="P115" s="300">
        <v>69</v>
      </c>
      <c r="Q115" s="300">
        <v>178</v>
      </c>
    </row>
    <row r="116" spans="2:17" x14ac:dyDescent="0.25">
      <c r="B116" s="255" t="s">
        <v>188</v>
      </c>
      <c r="C116" s="310">
        <v>15</v>
      </c>
      <c r="D116" s="310">
        <v>12</v>
      </c>
      <c r="E116" s="310">
        <v>27</v>
      </c>
      <c r="F116" s="310">
        <v>44</v>
      </c>
      <c r="G116" s="310">
        <v>33</v>
      </c>
      <c r="H116" s="282">
        <v>77</v>
      </c>
      <c r="I116" s="310"/>
      <c r="J116" s="282">
        <v>1</v>
      </c>
      <c r="K116" s="310">
        <v>1</v>
      </c>
      <c r="L116" s="310"/>
      <c r="M116" s="282">
        <v>2</v>
      </c>
      <c r="N116" s="310">
        <v>2</v>
      </c>
      <c r="O116" s="300">
        <v>59</v>
      </c>
      <c r="P116" s="300">
        <v>48</v>
      </c>
      <c r="Q116" s="300">
        <v>107</v>
      </c>
    </row>
    <row r="117" spans="2:17" x14ac:dyDescent="0.25">
      <c r="B117" s="255" t="s">
        <v>189</v>
      </c>
      <c r="C117" s="310">
        <v>9</v>
      </c>
      <c r="D117" s="310">
        <v>12</v>
      </c>
      <c r="E117" s="310">
        <v>21</v>
      </c>
      <c r="F117" s="310">
        <v>32</v>
      </c>
      <c r="G117" s="310">
        <v>14</v>
      </c>
      <c r="H117" s="282">
        <v>46</v>
      </c>
      <c r="I117" s="310"/>
      <c r="J117" s="282"/>
      <c r="K117" s="310"/>
      <c r="L117" s="310">
        <v>2</v>
      </c>
      <c r="M117" s="282">
        <v>2</v>
      </c>
      <c r="N117" s="310">
        <v>4</v>
      </c>
      <c r="O117" s="300">
        <v>43</v>
      </c>
      <c r="P117" s="300">
        <v>28</v>
      </c>
      <c r="Q117" s="300">
        <v>71</v>
      </c>
    </row>
    <row r="118" spans="2:17" x14ac:dyDescent="0.25">
      <c r="B118" s="255" t="s">
        <v>190</v>
      </c>
      <c r="C118" s="310">
        <v>6</v>
      </c>
      <c r="D118" s="310">
        <v>16</v>
      </c>
      <c r="E118" s="310">
        <v>22</v>
      </c>
      <c r="F118" s="310">
        <v>15</v>
      </c>
      <c r="G118" s="310">
        <v>9</v>
      </c>
      <c r="H118" s="282">
        <v>24</v>
      </c>
      <c r="I118" s="310"/>
      <c r="J118" s="282"/>
      <c r="K118" s="310"/>
      <c r="L118" s="310">
        <v>1</v>
      </c>
      <c r="M118" s="282">
        <v>2</v>
      </c>
      <c r="N118" s="310">
        <v>3</v>
      </c>
      <c r="O118" s="300">
        <v>22</v>
      </c>
      <c r="P118" s="300">
        <v>27</v>
      </c>
      <c r="Q118" s="300">
        <v>49</v>
      </c>
    </row>
    <row r="119" spans="2:17" x14ac:dyDescent="0.25">
      <c r="B119" s="255" t="s">
        <v>191</v>
      </c>
      <c r="C119" s="310">
        <v>2</v>
      </c>
      <c r="D119" s="310">
        <v>2</v>
      </c>
      <c r="E119" s="310">
        <v>4</v>
      </c>
      <c r="F119" s="310">
        <v>9</v>
      </c>
      <c r="G119" s="310">
        <v>4</v>
      </c>
      <c r="H119" s="282">
        <v>13</v>
      </c>
      <c r="I119" s="310"/>
      <c r="J119" s="282"/>
      <c r="K119" s="310"/>
      <c r="L119" s="310"/>
      <c r="M119" s="282"/>
      <c r="N119" s="310"/>
      <c r="O119" s="300">
        <v>11</v>
      </c>
      <c r="P119" s="300">
        <v>6</v>
      </c>
      <c r="Q119" s="300">
        <v>17</v>
      </c>
    </row>
    <row r="120" spans="2:17" x14ac:dyDescent="0.25">
      <c r="B120" s="255" t="s">
        <v>192</v>
      </c>
      <c r="C120" s="310">
        <v>1</v>
      </c>
      <c r="D120" s="310">
        <v>1</v>
      </c>
      <c r="E120" s="310">
        <v>2</v>
      </c>
      <c r="F120" s="310">
        <v>1</v>
      </c>
      <c r="G120" s="310">
        <v>1</v>
      </c>
      <c r="H120" s="282">
        <v>2</v>
      </c>
      <c r="I120" s="310"/>
      <c r="J120" s="282"/>
      <c r="K120" s="310"/>
      <c r="L120" s="310"/>
      <c r="M120" s="282"/>
      <c r="N120" s="310"/>
      <c r="O120" s="300">
        <v>2</v>
      </c>
      <c r="P120" s="300">
        <v>2</v>
      </c>
      <c r="Q120" s="300">
        <v>4</v>
      </c>
    </row>
    <row r="121" spans="2:17" x14ac:dyDescent="0.25">
      <c r="B121" s="255" t="s">
        <v>193</v>
      </c>
      <c r="C121" s="310">
        <v>23</v>
      </c>
      <c r="D121" s="310">
        <v>30</v>
      </c>
      <c r="E121" s="310">
        <v>53</v>
      </c>
      <c r="F121" s="310">
        <v>68</v>
      </c>
      <c r="G121" s="310">
        <v>46</v>
      </c>
      <c r="H121" s="282">
        <v>114</v>
      </c>
      <c r="I121" s="310">
        <v>1</v>
      </c>
      <c r="J121" s="282"/>
      <c r="K121" s="310">
        <v>1</v>
      </c>
      <c r="L121" s="310"/>
      <c r="M121" s="282">
        <v>3</v>
      </c>
      <c r="N121" s="310">
        <v>3</v>
      </c>
      <c r="O121" s="300">
        <v>92</v>
      </c>
      <c r="P121" s="300">
        <v>79</v>
      </c>
      <c r="Q121" s="300">
        <v>171</v>
      </c>
    </row>
    <row r="122" spans="2:17" x14ac:dyDescent="0.25">
      <c r="B122" s="255" t="s">
        <v>194</v>
      </c>
      <c r="C122" s="310">
        <v>7</v>
      </c>
      <c r="D122" s="310">
        <v>9</v>
      </c>
      <c r="E122" s="310">
        <v>16</v>
      </c>
      <c r="F122" s="310">
        <v>17</v>
      </c>
      <c r="G122" s="310">
        <v>25</v>
      </c>
      <c r="H122" s="282">
        <v>42</v>
      </c>
      <c r="I122" s="310"/>
      <c r="J122" s="282"/>
      <c r="K122" s="310"/>
      <c r="L122" s="310">
        <v>1</v>
      </c>
      <c r="M122" s="282">
        <v>1</v>
      </c>
      <c r="N122" s="310">
        <v>2</v>
      </c>
      <c r="O122" s="300">
        <v>25</v>
      </c>
      <c r="P122" s="300">
        <v>35</v>
      </c>
      <c r="Q122" s="300">
        <v>60</v>
      </c>
    </row>
    <row r="123" spans="2:17" x14ac:dyDescent="0.25">
      <c r="B123" s="255" t="s">
        <v>195</v>
      </c>
      <c r="C123" s="310">
        <v>18</v>
      </c>
      <c r="D123" s="310">
        <v>33</v>
      </c>
      <c r="E123" s="310">
        <v>51</v>
      </c>
      <c r="F123" s="310">
        <v>42</v>
      </c>
      <c r="G123" s="310">
        <v>25</v>
      </c>
      <c r="H123" s="282">
        <v>67</v>
      </c>
      <c r="I123" s="310"/>
      <c r="J123" s="282">
        <v>1</v>
      </c>
      <c r="K123" s="310">
        <v>1</v>
      </c>
      <c r="L123" s="310">
        <v>1</v>
      </c>
      <c r="M123" s="282">
        <v>2</v>
      </c>
      <c r="N123" s="310">
        <v>3</v>
      </c>
      <c r="O123" s="300">
        <v>61</v>
      </c>
      <c r="P123" s="300">
        <v>61</v>
      </c>
      <c r="Q123" s="300">
        <v>122</v>
      </c>
    </row>
    <row r="124" spans="2:17" x14ac:dyDescent="0.25">
      <c r="B124" s="255" t="s">
        <v>196</v>
      </c>
      <c r="C124" s="310">
        <v>21</v>
      </c>
      <c r="D124" s="310">
        <v>28</v>
      </c>
      <c r="E124" s="310">
        <v>49</v>
      </c>
      <c r="F124" s="310">
        <v>57</v>
      </c>
      <c r="G124" s="310">
        <v>41</v>
      </c>
      <c r="H124" s="282">
        <v>98</v>
      </c>
      <c r="I124" s="310"/>
      <c r="J124" s="282"/>
      <c r="K124" s="310"/>
      <c r="L124" s="310">
        <v>3</v>
      </c>
      <c r="M124" s="282">
        <v>2</v>
      </c>
      <c r="N124" s="310">
        <v>5</v>
      </c>
      <c r="O124" s="300">
        <v>81</v>
      </c>
      <c r="P124" s="300">
        <v>71</v>
      </c>
      <c r="Q124" s="300">
        <v>152</v>
      </c>
    </row>
    <row r="125" spans="2:17" x14ac:dyDescent="0.25">
      <c r="B125" s="255" t="s">
        <v>197</v>
      </c>
      <c r="C125" s="310">
        <v>11</v>
      </c>
      <c r="D125" s="310">
        <v>15</v>
      </c>
      <c r="E125" s="310">
        <v>26</v>
      </c>
      <c r="F125" s="310">
        <v>27</v>
      </c>
      <c r="G125" s="310">
        <v>21</v>
      </c>
      <c r="H125" s="282">
        <v>48</v>
      </c>
      <c r="I125" s="310"/>
      <c r="J125" s="282"/>
      <c r="K125" s="310"/>
      <c r="L125" s="310"/>
      <c r="M125" s="282">
        <v>2</v>
      </c>
      <c r="N125" s="310">
        <v>2</v>
      </c>
      <c r="O125" s="300">
        <v>38</v>
      </c>
      <c r="P125" s="300">
        <v>38</v>
      </c>
      <c r="Q125" s="300">
        <v>76</v>
      </c>
    </row>
    <row r="126" spans="2:17" x14ac:dyDescent="0.25">
      <c r="B126" s="255" t="s">
        <v>198</v>
      </c>
      <c r="C126" s="310">
        <v>24</v>
      </c>
      <c r="D126" s="310">
        <v>30</v>
      </c>
      <c r="E126" s="310">
        <v>54</v>
      </c>
      <c r="F126" s="310">
        <v>82</v>
      </c>
      <c r="G126" s="310">
        <v>58</v>
      </c>
      <c r="H126" s="282">
        <v>140</v>
      </c>
      <c r="I126" s="310"/>
      <c r="J126" s="282"/>
      <c r="K126" s="310"/>
      <c r="L126" s="310">
        <v>3</v>
      </c>
      <c r="M126" s="282">
        <v>5</v>
      </c>
      <c r="N126" s="310">
        <v>8</v>
      </c>
      <c r="O126" s="300">
        <v>109</v>
      </c>
      <c r="P126" s="300">
        <v>93</v>
      </c>
      <c r="Q126" s="300">
        <v>202</v>
      </c>
    </row>
    <row r="127" spans="2:17" x14ac:dyDescent="0.25">
      <c r="B127" s="255" t="s">
        <v>199</v>
      </c>
      <c r="C127" s="310">
        <v>16</v>
      </c>
      <c r="D127" s="310">
        <v>15</v>
      </c>
      <c r="E127" s="310">
        <v>31</v>
      </c>
      <c r="F127" s="310">
        <v>27</v>
      </c>
      <c r="G127" s="310">
        <v>33</v>
      </c>
      <c r="H127" s="282">
        <v>60</v>
      </c>
      <c r="I127" s="310"/>
      <c r="J127" s="282"/>
      <c r="K127" s="310"/>
      <c r="L127" s="310">
        <v>4</v>
      </c>
      <c r="M127" s="282">
        <v>2</v>
      </c>
      <c r="N127" s="310">
        <v>6</v>
      </c>
      <c r="O127" s="300">
        <v>47</v>
      </c>
      <c r="P127" s="300">
        <v>50</v>
      </c>
      <c r="Q127" s="300">
        <v>97</v>
      </c>
    </row>
    <row r="128" spans="2:17" x14ac:dyDescent="0.25">
      <c r="B128" s="255" t="s">
        <v>200</v>
      </c>
      <c r="C128" s="310">
        <v>15</v>
      </c>
      <c r="D128" s="310">
        <v>11</v>
      </c>
      <c r="E128" s="310">
        <v>26</v>
      </c>
      <c r="F128" s="310">
        <v>36</v>
      </c>
      <c r="G128" s="310">
        <v>20</v>
      </c>
      <c r="H128" s="282">
        <v>56</v>
      </c>
      <c r="I128" s="310"/>
      <c r="J128" s="282"/>
      <c r="K128" s="310"/>
      <c r="L128" s="310">
        <v>1</v>
      </c>
      <c r="M128" s="282">
        <v>2</v>
      </c>
      <c r="N128" s="310">
        <v>3</v>
      </c>
      <c r="O128" s="300">
        <v>52</v>
      </c>
      <c r="P128" s="300">
        <v>33</v>
      </c>
      <c r="Q128" s="300">
        <v>85</v>
      </c>
    </row>
    <row r="129" spans="2:17" x14ac:dyDescent="0.25">
      <c r="B129" s="255" t="s">
        <v>201</v>
      </c>
      <c r="C129" s="310">
        <v>3</v>
      </c>
      <c r="D129" s="310">
        <v>2</v>
      </c>
      <c r="E129" s="310">
        <v>5</v>
      </c>
      <c r="F129" s="310">
        <v>6</v>
      </c>
      <c r="G129" s="310">
        <v>11</v>
      </c>
      <c r="H129" s="282">
        <v>17</v>
      </c>
      <c r="I129" s="310"/>
      <c r="J129" s="282"/>
      <c r="K129" s="310"/>
      <c r="L129" s="310">
        <v>1</v>
      </c>
      <c r="M129" s="282"/>
      <c r="N129" s="310">
        <v>1</v>
      </c>
      <c r="O129" s="300">
        <v>10</v>
      </c>
      <c r="P129" s="300">
        <v>13</v>
      </c>
      <c r="Q129" s="300">
        <v>23</v>
      </c>
    </row>
    <row r="130" spans="2:17" x14ac:dyDescent="0.25">
      <c r="B130" s="255" t="s">
        <v>202</v>
      </c>
      <c r="C130" s="310">
        <v>6</v>
      </c>
      <c r="D130" s="310">
        <v>12</v>
      </c>
      <c r="E130" s="310">
        <v>18</v>
      </c>
      <c r="F130" s="310">
        <v>8</v>
      </c>
      <c r="G130" s="310">
        <v>7</v>
      </c>
      <c r="H130" s="282">
        <v>15</v>
      </c>
      <c r="I130" s="310"/>
      <c r="J130" s="282"/>
      <c r="K130" s="310"/>
      <c r="L130" s="310"/>
      <c r="M130" s="282"/>
      <c r="N130" s="310"/>
      <c r="O130" s="300">
        <v>14</v>
      </c>
      <c r="P130" s="300">
        <v>19</v>
      </c>
      <c r="Q130" s="300">
        <v>33</v>
      </c>
    </row>
    <row r="131" spans="2:17" x14ac:dyDescent="0.25">
      <c r="B131" s="255" t="s">
        <v>203</v>
      </c>
      <c r="C131" s="310"/>
      <c r="D131" s="310">
        <v>9</v>
      </c>
      <c r="E131" s="310">
        <v>9</v>
      </c>
      <c r="F131" s="310">
        <v>10</v>
      </c>
      <c r="G131" s="310">
        <v>11</v>
      </c>
      <c r="H131" s="282">
        <v>21</v>
      </c>
      <c r="I131" s="310"/>
      <c r="J131" s="282">
        <v>1</v>
      </c>
      <c r="K131" s="310">
        <v>1</v>
      </c>
      <c r="L131" s="310"/>
      <c r="M131" s="282"/>
      <c r="N131" s="310"/>
      <c r="O131" s="300">
        <v>10</v>
      </c>
      <c r="P131" s="300">
        <v>21</v>
      </c>
      <c r="Q131" s="300">
        <v>31</v>
      </c>
    </row>
    <row r="132" spans="2:17" x14ac:dyDescent="0.25">
      <c r="B132" s="255" t="s">
        <v>204</v>
      </c>
      <c r="C132" s="310">
        <v>12</v>
      </c>
      <c r="D132" s="310">
        <v>13</v>
      </c>
      <c r="E132" s="310">
        <v>25</v>
      </c>
      <c r="F132" s="310">
        <v>27</v>
      </c>
      <c r="G132" s="310">
        <v>28</v>
      </c>
      <c r="H132" s="282">
        <v>55</v>
      </c>
      <c r="I132" s="310"/>
      <c r="J132" s="282"/>
      <c r="K132" s="310"/>
      <c r="L132" s="310">
        <v>3</v>
      </c>
      <c r="M132" s="282">
        <v>1</v>
      </c>
      <c r="N132" s="310">
        <v>4</v>
      </c>
      <c r="O132" s="300">
        <v>42</v>
      </c>
      <c r="P132" s="300">
        <v>42</v>
      </c>
      <c r="Q132" s="300">
        <v>84</v>
      </c>
    </row>
    <row r="133" spans="2:17" x14ac:dyDescent="0.25">
      <c r="B133" s="255" t="s">
        <v>205</v>
      </c>
      <c r="C133" s="310">
        <v>6</v>
      </c>
      <c r="D133" s="310">
        <v>10</v>
      </c>
      <c r="E133" s="310">
        <v>16</v>
      </c>
      <c r="F133" s="310">
        <v>20</v>
      </c>
      <c r="G133" s="310">
        <v>27</v>
      </c>
      <c r="H133" s="282">
        <v>47</v>
      </c>
      <c r="I133" s="310"/>
      <c r="J133" s="282"/>
      <c r="K133" s="310"/>
      <c r="L133" s="310"/>
      <c r="M133" s="282">
        <v>1</v>
      </c>
      <c r="N133" s="310">
        <v>1</v>
      </c>
      <c r="O133" s="300">
        <v>26</v>
      </c>
      <c r="P133" s="300">
        <v>38</v>
      </c>
      <c r="Q133" s="300">
        <v>64</v>
      </c>
    </row>
    <row r="134" spans="2:17" x14ac:dyDescent="0.25">
      <c r="B134" s="255" t="s">
        <v>206</v>
      </c>
      <c r="C134" s="310">
        <v>34</v>
      </c>
      <c r="D134" s="310">
        <v>55</v>
      </c>
      <c r="E134" s="310">
        <v>89</v>
      </c>
      <c r="F134" s="310">
        <v>123</v>
      </c>
      <c r="G134" s="310">
        <v>72</v>
      </c>
      <c r="H134" s="282">
        <v>195</v>
      </c>
      <c r="I134" s="310">
        <v>1</v>
      </c>
      <c r="J134" s="282">
        <v>2</v>
      </c>
      <c r="K134" s="310">
        <v>3</v>
      </c>
      <c r="L134" s="310">
        <v>2</v>
      </c>
      <c r="M134" s="282">
        <v>4</v>
      </c>
      <c r="N134" s="310">
        <v>6</v>
      </c>
      <c r="O134" s="300">
        <v>160</v>
      </c>
      <c r="P134" s="300">
        <v>133</v>
      </c>
      <c r="Q134" s="300">
        <v>293</v>
      </c>
    </row>
    <row r="135" spans="2:17" x14ac:dyDescent="0.25">
      <c r="B135" s="255" t="s">
        <v>207</v>
      </c>
      <c r="C135" s="310">
        <v>80</v>
      </c>
      <c r="D135" s="310">
        <v>88</v>
      </c>
      <c r="E135" s="310">
        <v>168</v>
      </c>
      <c r="F135" s="310">
        <v>275</v>
      </c>
      <c r="G135" s="310">
        <v>165</v>
      </c>
      <c r="H135" s="282">
        <v>440</v>
      </c>
      <c r="I135" s="310"/>
      <c r="J135" s="282"/>
      <c r="K135" s="310"/>
      <c r="L135" s="310">
        <v>9</v>
      </c>
      <c r="M135" s="282">
        <v>7</v>
      </c>
      <c r="N135" s="310">
        <v>16</v>
      </c>
      <c r="O135" s="300">
        <v>364</v>
      </c>
      <c r="P135" s="300">
        <v>260</v>
      </c>
      <c r="Q135" s="300">
        <v>624</v>
      </c>
    </row>
    <row r="136" spans="2:17" x14ac:dyDescent="0.25">
      <c r="B136" s="255" t="s">
        <v>208</v>
      </c>
      <c r="C136" s="310">
        <v>16</v>
      </c>
      <c r="D136" s="310">
        <v>24</v>
      </c>
      <c r="E136" s="310">
        <v>40</v>
      </c>
      <c r="F136" s="310">
        <v>43</v>
      </c>
      <c r="G136" s="310">
        <v>37</v>
      </c>
      <c r="H136" s="282">
        <v>80</v>
      </c>
      <c r="I136" s="310"/>
      <c r="J136" s="282"/>
      <c r="K136" s="310"/>
      <c r="L136" s="310">
        <v>3</v>
      </c>
      <c r="M136" s="282">
        <v>2</v>
      </c>
      <c r="N136" s="310">
        <v>5</v>
      </c>
      <c r="O136" s="300">
        <v>62</v>
      </c>
      <c r="P136" s="300">
        <v>63</v>
      </c>
      <c r="Q136" s="300">
        <v>125</v>
      </c>
    </row>
    <row r="137" spans="2:17" x14ac:dyDescent="0.25">
      <c r="B137" s="255" t="s">
        <v>209</v>
      </c>
      <c r="C137" s="310">
        <v>1</v>
      </c>
      <c r="D137" s="310">
        <v>5</v>
      </c>
      <c r="E137" s="310">
        <v>6</v>
      </c>
      <c r="F137" s="310">
        <v>14</v>
      </c>
      <c r="G137" s="310">
        <v>10</v>
      </c>
      <c r="H137" s="282">
        <v>24</v>
      </c>
      <c r="I137" s="310"/>
      <c r="J137" s="282"/>
      <c r="K137" s="310"/>
      <c r="L137" s="310"/>
      <c r="M137" s="282">
        <v>1</v>
      </c>
      <c r="N137" s="310">
        <v>1</v>
      </c>
      <c r="O137" s="300">
        <v>15</v>
      </c>
      <c r="P137" s="300">
        <v>16</v>
      </c>
      <c r="Q137" s="300">
        <v>31</v>
      </c>
    </row>
    <row r="138" spans="2:17" x14ac:dyDescent="0.25">
      <c r="B138" s="255" t="s">
        <v>210</v>
      </c>
      <c r="C138" s="310">
        <v>55</v>
      </c>
      <c r="D138" s="310">
        <v>63</v>
      </c>
      <c r="E138" s="310">
        <v>118</v>
      </c>
      <c r="F138" s="310">
        <v>107</v>
      </c>
      <c r="G138" s="310">
        <v>80</v>
      </c>
      <c r="H138" s="282">
        <v>187</v>
      </c>
      <c r="I138" s="310">
        <v>2</v>
      </c>
      <c r="J138" s="282">
        <v>1</v>
      </c>
      <c r="K138" s="310">
        <v>3</v>
      </c>
      <c r="L138" s="310">
        <v>7</v>
      </c>
      <c r="M138" s="282">
        <v>8</v>
      </c>
      <c r="N138" s="310">
        <v>15</v>
      </c>
      <c r="O138" s="300">
        <v>171</v>
      </c>
      <c r="P138" s="300">
        <v>152</v>
      </c>
      <c r="Q138" s="300">
        <v>323</v>
      </c>
    </row>
    <row r="139" spans="2:17" x14ac:dyDescent="0.25">
      <c r="B139" s="255" t="s">
        <v>211</v>
      </c>
      <c r="C139" s="310">
        <v>8</v>
      </c>
      <c r="D139" s="310">
        <v>8</v>
      </c>
      <c r="E139" s="310">
        <v>16</v>
      </c>
      <c r="F139" s="310">
        <v>14</v>
      </c>
      <c r="G139" s="310">
        <v>14</v>
      </c>
      <c r="H139" s="282">
        <v>28</v>
      </c>
      <c r="I139" s="310"/>
      <c r="J139" s="282"/>
      <c r="K139" s="310"/>
      <c r="L139" s="310">
        <v>1</v>
      </c>
      <c r="M139" s="282">
        <v>2</v>
      </c>
      <c r="N139" s="310">
        <v>3</v>
      </c>
      <c r="O139" s="300">
        <v>23</v>
      </c>
      <c r="P139" s="300">
        <v>24</v>
      </c>
      <c r="Q139" s="300">
        <v>47</v>
      </c>
    </row>
    <row r="140" spans="2:17" x14ac:dyDescent="0.25">
      <c r="B140" s="255" t="s">
        <v>212</v>
      </c>
      <c r="C140" s="310">
        <v>23</v>
      </c>
      <c r="D140" s="310">
        <v>40</v>
      </c>
      <c r="E140" s="310">
        <v>63</v>
      </c>
      <c r="F140" s="310">
        <v>94</v>
      </c>
      <c r="G140" s="310">
        <v>59</v>
      </c>
      <c r="H140" s="282">
        <v>153</v>
      </c>
      <c r="I140" s="310"/>
      <c r="J140" s="282">
        <v>1</v>
      </c>
      <c r="K140" s="310">
        <v>1</v>
      </c>
      <c r="L140" s="310">
        <v>3</v>
      </c>
      <c r="M140" s="282">
        <v>4</v>
      </c>
      <c r="N140" s="310">
        <v>7</v>
      </c>
      <c r="O140" s="300">
        <v>120</v>
      </c>
      <c r="P140" s="300">
        <v>104</v>
      </c>
      <c r="Q140" s="300">
        <v>224</v>
      </c>
    </row>
    <row r="141" spans="2:17" x14ac:dyDescent="0.25">
      <c r="B141" s="255" t="s">
        <v>213</v>
      </c>
      <c r="C141" s="310">
        <v>7</v>
      </c>
      <c r="D141" s="310">
        <v>10</v>
      </c>
      <c r="E141" s="310">
        <v>17</v>
      </c>
      <c r="F141" s="310">
        <v>11</v>
      </c>
      <c r="G141" s="310">
        <v>10</v>
      </c>
      <c r="H141" s="282">
        <v>21</v>
      </c>
      <c r="I141" s="310"/>
      <c r="J141" s="282"/>
      <c r="K141" s="310"/>
      <c r="L141" s="310"/>
      <c r="M141" s="282"/>
      <c r="N141" s="310"/>
      <c r="O141" s="300">
        <v>18</v>
      </c>
      <c r="P141" s="300">
        <v>20</v>
      </c>
      <c r="Q141" s="300">
        <v>38</v>
      </c>
    </row>
    <row r="142" spans="2:17" x14ac:dyDescent="0.25">
      <c r="B142" s="255" t="s">
        <v>214</v>
      </c>
      <c r="C142" s="310">
        <v>6</v>
      </c>
      <c r="D142" s="310">
        <v>7</v>
      </c>
      <c r="E142" s="310">
        <v>13</v>
      </c>
      <c r="F142" s="310">
        <v>30</v>
      </c>
      <c r="G142" s="310">
        <v>15</v>
      </c>
      <c r="H142" s="282">
        <v>45</v>
      </c>
      <c r="I142" s="310"/>
      <c r="J142" s="282">
        <v>1</v>
      </c>
      <c r="K142" s="310">
        <v>1</v>
      </c>
      <c r="L142" s="310"/>
      <c r="M142" s="282">
        <v>1</v>
      </c>
      <c r="N142" s="310">
        <v>1</v>
      </c>
      <c r="O142" s="300">
        <v>36</v>
      </c>
      <c r="P142" s="300">
        <v>24</v>
      </c>
      <c r="Q142" s="300">
        <v>60</v>
      </c>
    </row>
    <row r="143" spans="2:17" x14ac:dyDescent="0.25">
      <c r="B143" s="255" t="s">
        <v>215</v>
      </c>
      <c r="C143" s="310">
        <v>104</v>
      </c>
      <c r="D143" s="310">
        <v>196</v>
      </c>
      <c r="E143" s="310">
        <v>300</v>
      </c>
      <c r="F143" s="310">
        <v>394</v>
      </c>
      <c r="G143" s="310">
        <v>245</v>
      </c>
      <c r="H143" s="282">
        <v>639</v>
      </c>
      <c r="I143" s="310">
        <v>5</v>
      </c>
      <c r="J143" s="282">
        <v>5</v>
      </c>
      <c r="K143" s="310">
        <v>10</v>
      </c>
      <c r="L143" s="310">
        <v>11</v>
      </c>
      <c r="M143" s="282">
        <v>23</v>
      </c>
      <c r="N143" s="310">
        <v>34</v>
      </c>
      <c r="O143" s="300">
        <v>514</v>
      </c>
      <c r="P143" s="300">
        <v>469</v>
      </c>
      <c r="Q143" s="300">
        <v>983</v>
      </c>
    </row>
    <row r="144" spans="2:17" x14ac:dyDescent="0.25">
      <c r="B144" s="255" t="s">
        <v>216</v>
      </c>
      <c r="C144" s="310">
        <v>70</v>
      </c>
      <c r="D144" s="310">
        <v>62</v>
      </c>
      <c r="E144" s="310">
        <v>132</v>
      </c>
      <c r="F144" s="310">
        <v>155</v>
      </c>
      <c r="G144" s="310">
        <v>96</v>
      </c>
      <c r="H144" s="282">
        <v>251</v>
      </c>
      <c r="I144" s="310"/>
      <c r="J144" s="282">
        <v>1</v>
      </c>
      <c r="K144" s="310">
        <v>1</v>
      </c>
      <c r="L144" s="310">
        <v>10</v>
      </c>
      <c r="M144" s="282">
        <v>10</v>
      </c>
      <c r="N144" s="310">
        <v>20</v>
      </c>
      <c r="O144" s="300">
        <v>235</v>
      </c>
      <c r="P144" s="300">
        <v>169</v>
      </c>
      <c r="Q144" s="300">
        <v>404</v>
      </c>
    </row>
    <row r="145" spans="2:17" x14ac:dyDescent="0.25">
      <c r="B145" s="256" t="s">
        <v>504</v>
      </c>
      <c r="C145" s="310">
        <v>147</v>
      </c>
      <c r="D145" s="310">
        <v>161</v>
      </c>
      <c r="E145" s="310">
        <v>308</v>
      </c>
      <c r="F145" s="310">
        <v>560</v>
      </c>
      <c r="G145" s="310">
        <v>290</v>
      </c>
      <c r="H145" s="282">
        <v>850</v>
      </c>
      <c r="I145" s="310">
        <v>1</v>
      </c>
      <c r="J145" s="282">
        <v>2</v>
      </c>
      <c r="K145" s="310">
        <v>3</v>
      </c>
      <c r="L145" s="310">
        <v>16</v>
      </c>
      <c r="M145" s="282">
        <v>12</v>
      </c>
      <c r="N145" s="310">
        <v>28</v>
      </c>
      <c r="O145" s="300">
        <v>724</v>
      </c>
      <c r="P145" s="300">
        <v>465</v>
      </c>
      <c r="Q145" s="300">
        <v>1189</v>
      </c>
    </row>
    <row r="146" spans="2:17" x14ac:dyDescent="0.25">
      <c r="B146" s="190" t="s">
        <v>217</v>
      </c>
      <c r="C146" s="310">
        <v>4</v>
      </c>
      <c r="D146" s="310">
        <v>7</v>
      </c>
      <c r="E146" s="310">
        <v>11</v>
      </c>
      <c r="F146" s="310">
        <v>16</v>
      </c>
      <c r="G146" s="310">
        <v>14</v>
      </c>
      <c r="H146" s="282">
        <v>30</v>
      </c>
      <c r="I146" s="310">
        <v>1</v>
      </c>
      <c r="J146" s="282"/>
      <c r="K146" s="310">
        <v>1</v>
      </c>
      <c r="L146" s="310"/>
      <c r="M146" s="282"/>
      <c r="N146" s="310"/>
      <c r="O146" s="300">
        <v>21</v>
      </c>
      <c r="P146" s="300">
        <v>21</v>
      </c>
      <c r="Q146" s="300">
        <v>42</v>
      </c>
    </row>
    <row r="147" spans="2:17" x14ac:dyDescent="0.25">
      <c r="B147" s="351" t="s">
        <v>35</v>
      </c>
      <c r="C147" s="302">
        <v>826</v>
      </c>
      <c r="D147" s="302">
        <v>1091</v>
      </c>
      <c r="E147" s="302">
        <v>1917</v>
      </c>
      <c r="F147" s="302">
        <v>2595</v>
      </c>
      <c r="G147" s="302">
        <v>1684</v>
      </c>
      <c r="H147" s="300">
        <v>4279</v>
      </c>
      <c r="I147" s="302">
        <v>11</v>
      </c>
      <c r="J147" s="300">
        <v>17</v>
      </c>
      <c r="K147" s="302">
        <v>28</v>
      </c>
      <c r="L147" s="302">
        <v>90</v>
      </c>
      <c r="M147" s="300">
        <v>108</v>
      </c>
      <c r="N147" s="302">
        <v>198</v>
      </c>
      <c r="O147" s="300">
        <v>3522</v>
      </c>
      <c r="P147" s="300">
        <v>2900</v>
      </c>
      <c r="Q147" s="300">
        <v>6422</v>
      </c>
    </row>
    <row r="148" spans="2:17" ht="123" customHeight="1" x14ac:dyDescent="0.25">
      <c r="B148" s="469" t="s">
        <v>929</v>
      </c>
      <c r="C148" s="469"/>
      <c r="D148" s="469"/>
      <c r="E148" s="469"/>
      <c r="F148" s="469"/>
      <c r="G148" s="469"/>
      <c r="H148" s="469"/>
      <c r="I148" s="469"/>
      <c r="J148" s="469"/>
      <c r="K148" s="469"/>
      <c r="L148" s="469"/>
      <c r="M148" s="469"/>
      <c r="N148" s="469"/>
      <c r="O148" s="469"/>
      <c r="P148" s="469"/>
      <c r="Q148" s="469"/>
    </row>
    <row r="149" spans="2:17" x14ac:dyDescent="0.25">
      <c r="B149" s="172"/>
      <c r="C149" s="172"/>
      <c r="D149" s="172"/>
      <c r="E149" s="172"/>
      <c r="F149" s="172"/>
      <c r="G149"/>
    </row>
    <row r="150" spans="2:17" x14ac:dyDescent="0.25">
      <c r="B150" s="201" t="s">
        <v>522</v>
      </c>
      <c r="C150"/>
      <c r="D150"/>
      <c r="E150"/>
      <c r="F150"/>
      <c r="G150"/>
    </row>
    <row r="151" spans="2:17" x14ac:dyDescent="0.25">
      <c r="B151" s="201"/>
      <c r="C151"/>
      <c r="D151"/>
      <c r="E151"/>
      <c r="F151"/>
      <c r="G151"/>
    </row>
    <row r="152" spans="2:17" ht="15" customHeight="1" x14ac:dyDescent="0.25">
      <c r="B152" s="466" t="s">
        <v>544</v>
      </c>
      <c r="C152" s="479" t="s">
        <v>488</v>
      </c>
      <c r="D152" s="479"/>
      <c r="E152" s="479"/>
      <c r="F152" s="479"/>
      <c r="G152" s="479"/>
      <c r="H152" s="479"/>
      <c r="I152" s="479"/>
      <c r="J152" s="479"/>
      <c r="K152" s="479"/>
      <c r="L152" s="479"/>
      <c r="M152" s="479"/>
      <c r="N152" s="479"/>
      <c r="O152" s="483" t="s">
        <v>746</v>
      </c>
      <c r="P152" s="484"/>
      <c r="Q152" s="485"/>
    </row>
    <row r="153" spans="2:17" ht="15" customHeight="1" x14ac:dyDescent="0.25">
      <c r="B153" s="467"/>
      <c r="C153" s="479" t="s">
        <v>707</v>
      </c>
      <c r="D153" s="479"/>
      <c r="E153" s="479"/>
      <c r="F153" s="479" t="s">
        <v>497</v>
      </c>
      <c r="G153" s="479"/>
      <c r="H153" s="479"/>
      <c r="I153" s="479" t="s">
        <v>4</v>
      </c>
      <c r="J153" s="479"/>
      <c r="K153" s="479"/>
      <c r="L153" s="479" t="s">
        <v>6</v>
      </c>
      <c r="M153" s="479"/>
      <c r="N153" s="479"/>
      <c r="O153" s="486"/>
      <c r="P153" s="487"/>
      <c r="Q153" s="488"/>
    </row>
    <row r="154" spans="2:17" x14ac:dyDescent="0.25">
      <c r="B154" s="468"/>
      <c r="C154" s="175" t="s">
        <v>83</v>
      </c>
      <c r="D154" s="175" t="s">
        <v>84</v>
      </c>
      <c r="E154" s="175" t="s">
        <v>35</v>
      </c>
      <c r="F154" s="175" t="s">
        <v>83</v>
      </c>
      <c r="G154" s="175" t="s">
        <v>84</v>
      </c>
      <c r="H154" s="175" t="s">
        <v>35</v>
      </c>
      <c r="I154" s="175" t="s">
        <v>83</v>
      </c>
      <c r="J154" s="175" t="s">
        <v>84</v>
      </c>
      <c r="K154" s="175" t="s">
        <v>35</v>
      </c>
      <c r="L154" s="175" t="s">
        <v>83</v>
      </c>
      <c r="M154" s="175" t="s">
        <v>84</v>
      </c>
      <c r="N154" s="175" t="s">
        <v>35</v>
      </c>
      <c r="O154" s="262" t="s">
        <v>83</v>
      </c>
      <c r="P154" s="262" t="s">
        <v>84</v>
      </c>
      <c r="Q154" s="262" t="s">
        <v>35</v>
      </c>
    </row>
    <row r="155" spans="2:17" x14ac:dyDescent="0.25">
      <c r="B155" s="254" t="s">
        <v>218</v>
      </c>
      <c r="C155" s="310">
        <v>10</v>
      </c>
      <c r="D155" s="310">
        <v>9</v>
      </c>
      <c r="E155" s="310">
        <v>19</v>
      </c>
      <c r="F155" s="310">
        <v>20</v>
      </c>
      <c r="G155" s="310">
        <v>6</v>
      </c>
      <c r="H155" s="282">
        <v>26</v>
      </c>
      <c r="I155" s="310"/>
      <c r="J155" s="282">
        <v>1</v>
      </c>
      <c r="K155" s="310">
        <v>1</v>
      </c>
      <c r="L155" s="282">
        <v>3</v>
      </c>
      <c r="M155" s="310">
        <v>1</v>
      </c>
      <c r="N155" s="282">
        <v>4</v>
      </c>
      <c r="O155" s="300">
        <v>33</v>
      </c>
      <c r="P155" s="300">
        <v>17</v>
      </c>
      <c r="Q155" s="300">
        <v>50</v>
      </c>
    </row>
    <row r="156" spans="2:17" x14ac:dyDescent="0.25">
      <c r="B156" s="255" t="s">
        <v>219</v>
      </c>
      <c r="C156" s="310">
        <v>8</v>
      </c>
      <c r="D156" s="310">
        <v>21</v>
      </c>
      <c r="E156" s="310">
        <v>29</v>
      </c>
      <c r="F156" s="310">
        <v>47</v>
      </c>
      <c r="G156" s="310">
        <v>16</v>
      </c>
      <c r="H156" s="282">
        <v>63</v>
      </c>
      <c r="I156" s="310">
        <v>1</v>
      </c>
      <c r="J156" s="282">
        <v>1</v>
      </c>
      <c r="K156" s="310">
        <v>2</v>
      </c>
      <c r="L156" s="282">
        <v>2</v>
      </c>
      <c r="M156" s="310">
        <v>1</v>
      </c>
      <c r="N156" s="282">
        <v>3</v>
      </c>
      <c r="O156" s="300">
        <v>58</v>
      </c>
      <c r="P156" s="300">
        <v>39</v>
      </c>
      <c r="Q156" s="300">
        <v>97</v>
      </c>
    </row>
    <row r="157" spans="2:17" x14ac:dyDescent="0.25">
      <c r="B157" s="255" t="s">
        <v>220</v>
      </c>
      <c r="C157" s="310">
        <v>4</v>
      </c>
      <c r="D157" s="310">
        <v>6</v>
      </c>
      <c r="E157" s="310">
        <v>10</v>
      </c>
      <c r="F157" s="310">
        <v>11</v>
      </c>
      <c r="G157" s="310">
        <v>13</v>
      </c>
      <c r="H157" s="282">
        <v>24</v>
      </c>
      <c r="I157" s="310">
        <v>1</v>
      </c>
      <c r="J157" s="282"/>
      <c r="K157" s="310">
        <v>1</v>
      </c>
      <c r="L157" s="282">
        <v>2</v>
      </c>
      <c r="M157" s="310"/>
      <c r="N157" s="282">
        <v>2</v>
      </c>
      <c r="O157" s="300">
        <v>18</v>
      </c>
      <c r="P157" s="300">
        <v>19</v>
      </c>
      <c r="Q157" s="300">
        <v>37</v>
      </c>
    </row>
    <row r="158" spans="2:17" x14ac:dyDescent="0.25">
      <c r="B158" s="255" t="s">
        <v>221</v>
      </c>
      <c r="C158" s="310">
        <v>7</v>
      </c>
      <c r="D158" s="310">
        <v>1</v>
      </c>
      <c r="E158" s="310">
        <v>8</v>
      </c>
      <c r="F158" s="310">
        <v>7</v>
      </c>
      <c r="G158" s="310">
        <v>9</v>
      </c>
      <c r="H158" s="282">
        <v>16</v>
      </c>
      <c r="I158" s="310"/>
      <c r="J158" s="282"/>
      <c r="K158" s="310"/>
      <c r="L158" s="282">
        <v>1</v>
      </c>
      <c r="M158" s="310"/>
      <c r="N158" s="282">
        <v>1</v>
      </c>
      <c r="O158" s="300">
        <v>15</v>
      </c>
      <c r="P158" s="300">
        <v>10</v>
      </c>
      <c r="Q158" s="300">
        <v>25</v>
      </c>
    </row>
    <row r="159" spans="2:17" x14ac:dyDescent="0.25">
      <c r="B159" s="255" t="s">
        <v>222</v>
      </c>
      <c r="C159" s="310">
        <v>8</v>
      </c>
      <c r="D159" s="310">
        <v>11</v>
      </c>
      <c r="E159" s="310">
        <v>19</v>
      </c>
      <c r="F159" s="310">
        <v>29</v>
      </c>
      <c r="G159" s="310">
        <v>16</v>
      </c>
      <c r="H159" s="282">
        <v>45</v>
      </c>
      <c r="I159" s="310"/>
      <c r="J159" s="282">
        <v>1</v>
      </c>
      <c r="K159" s="310">
        <v>1</v>
      </c>
      <c r="L159" s="282">
        <v>1</v>
      </c>
      <c r="M159" s="310">
        <v>2</v>
      </c>
      <c r="N159" s="282">
        <v>3</v>
      </c>
      <c r="O159" s="300">
        <v>38</v>
      </c>
      <c r="P159" s="300">
        <v>30</v>
      </c>
      <c r="Q159" s="300">
        <v>68</v>
      </c>
    </row>
    <row r="160" spans="2:17" x14ac:dyDescent="0.25">
      <c r="B160" s="255" t="s">
        <v>505</v>
      </c>
      <c r="C160" s="310">
        <v>14</v>
      </c>
      <c r="D160" s="310">
        <v>14</v>
      </c>
      <c r="E160" s="310">
        <v>28</v>
      </c>
      <c r="F160" s="310">
        <v>32</v>
      </c>
      <c r="G160" s="310">
        <v>21</v>
      </c>
      <c r="H160" s="282">
        <v>53</v>
      </c>
      <c r="I160" s="310">
        <v>2</v>
      </c>
      <c r="J160" s="282">
        <v>1</v>
      </c>
      <c r="K160" s="310">
        <v>3</v>
      </c>
      <c r="L160" s="282">
        <v>1</v>
      </c>
      <c r="M160" s="310">
        <v>3</v>
      </c>
      <c r="N160" s="282">
        <v>4</v>
      </c>
      <c r="O160" s="300">
        <v>49</v>
      </c>
      <c r="P160" s="300">
        <v>39</v>
      </c>
      <c r="Q160" s="300">
        <v>88</v>
      </c>
    </row>
    <row r="161" spans="2:17" x14ac:dyDescent="0.25">
      <c r="B161" s="255" t="s">
        <v>223</v>
      </c>
      <c r="C161" s="310">
        <v>10</v>
      </c>
      <c r="D161" s="310">
        <v>16</v>
      </c>
      <c r="E161" s="310">
        <v>26</v>
      </c>
      <c r="F161" s="310">
        <v>41</v>
      </c>
      <c r="G161" s="310">
        <v>29</v>
      </c>
      <c r="H161" s="282">
        <v>70</v>
      </c>
      <c r="I161" s="310"/>
      <c r="J161" s="282"/>
      <c r="K161" s="310"/>
      <c r="L161" s="282">
        <v>1</v>
      </c>
      <c r="M161" s="310">
        <v>1</v>
      </c>
      <c r="N161" s="282">
        <v>2</v>
      </c>
      <c r="O161" s="300">
        <v>52</v>
      </c>
      <c r="P161" s="300">
        <v>46</v>
      </c>
      <c r="Q161" s="300">
        <v>98</v>
      </c>
    </row>
    <row r="162" spans="2:17" x14ac:dyDescent="0.25">
      <c r="B162" s="255" t="s">
        <v>224</v>
      </c>
      <c r="C162" s="310">
        <v>3</v>
      </c>
      <c r="D162" s="310">
        <v>1</v>
      </c>
      <c r="E162" s="310">
        <v>4</v>
      </c>
      <c r="F162" s="310">
        <v>2</v>
      </c>
      <c r="G162" s="310">
        <v>1</v>
      </c>
      <c r="H162" s="282">
        <v>3</v>
      </c>
      <c r="I162" s="310">
        <v>1</v>
      </c>
      <c r="J162" s="282"/>
      <c r="K162" s="310">
        <v>1</v>
      </c>
      <c r="L162" s="282"/>
      <c r="M162" s="310"/>
      <c r="N162" s="282"/>
      <c r="O162" s="300">
        <v>6</v>
      </c>
      <c r="P162" s="300">
        <v>2</v>
      </c>
      <c r="Q162" s="300">
        <v>8</v>
      </c>
    </row>
    <row r="163" spans="2:17" x14ac:dyDescent="0.25">
      <c r="B163" s="255" t="s">
        <v>225</v>
      </c>
      <c r="C163" s="310">
        <v>14</v>
      </c>
      <c r="D163" s="310">
        <v>24</v>
      </c>
      <c r="E163" s="310">
        <v>38</v>
      </c>
      <c r="F163" s="310">
        <v>35</v>
      </c>
      <c r="G163" s="310">
        <v>20</v>
      </c>
      <c r="H163" s="282">
        <v>55</v>
      </c>
      <c r="I163" s="310">
        <v>1</v>
      </c>
      <c r="J163" s="282"/>
      <c r="K163" s="310">
        <v>1</v>
      </c>
      <c r="L163" s="282">
        <v>1</v>
      </c>
      <c r="M163" s="310">
        <v>4</v>
      </c>
      <c r="N163" s="282">
        <v>5</v>
      </c>
      <c r="O163" s="300">
        <v>51</v>
      </c>
      <c r="P163" s="300">
        <v>48</v>
      </c>
      <c r="Q163" s="300">
        <v>99</v>
      </c>
    </row>
    <row r="164" spans="2:17" x14ac:dyDescent="0.25">
      <c r="B164" s="255" t="s">
        <v>226</v>
      </c>
      <c r="C164" s="310">
        <v>4</v>
      </c>
      <c r="D164" s="310">
        <v>7</v>
      </c>
      <c r="E164" s="310">
        <v>11</v>
      </c>
      <c r="F164" s="310">
        <v>11</v>
      </c>
      <c r="G164" s="310">
        <v>7</v>
      </c>
      <c r="H164" s="282">
        <v>18</v>
      </c>
      <c r="I164" s="310"/>
      <c r="J164" s="282"/>
      <c r="K164" s="310"/>
      <c r="L164" s="282"/>
      <c r="M164" s="310">
        <v>1</v>
      </c>
      <c r="N164" s="282">
        <v>1</v>
      </c>
      <c r="O164" s="300">
        <v>15</v>
      </c>
      <c r="P164" s="300">
        <v>15</v>
      </c>
      <c r="Q164" s="300">
        <v>30</v>
      </c>
    </row>
    <row r="165" spans="2:17" x14ac:dyDescent="0.25">
      <c r="B165" s="255" t="s">
        <v>227</v>
      </c>
      <c r="C165" s="310">
        <v>5</v>
      </c>
      <c r="D165" s="310">
        <v>1</v>
      </c>
      <c r="E165" s="310">
        <v>6</v>
      </c>
      <c r="F165" s="310">
        <v>3</v>
      </c>
      <c r="G165" s="310">
        <v>5</v>
      </c>
      <c r="H165" s="282">
        <v>8</v>
      </c>
      <c r="I165" s="310"/>
      <c r="J165" s="282"/>
      <c r="K165" s="310"/>
      <c r="L165" s="282"/>
      <c r="M165" s="310">
        <v>3</v>
      </c>
      <c r="N165" s="282">
        <v>3</v>
      </c>
      <c r="O165" s="300">
        <v>8</v>
      </c>
      <c r="P165" s="300">
        <v>9</v>
      </c>
      <c r="Q165" s="300">
        <v>17</v>
      </c>
    </row>
    <row r="166" spans="2:17" x14ac:dyDescent="0.25">
      <c r="B166" s="255" t="s">
        <v>228</v>
      </c>
      <c r="C166" s="310">
        <v>26</v>
      </c>
      <c r="D166" s="310">
        <v>18</v>
      </c>
      <c r="E166" s="310">
        <v>44</v>
      </c>
      <c r="F166" s="310">
        <v>60</v>
      </c>
      <c r="G166" s="310">
        <v>47</v>
      </c>
      <c r="H166" s="282">
        <v>107</v>
      </c>
      <c r="I166" s="310">
        <v>1</v>
      </c>
      <c r="J166" s="282"/>
      <c r="K166" s="310">
        <v>1</v>
      </c>
      <c r="L166" s="282">
        <v>2</v>
      </c>
      <c r="M166" s="310">
        <v>2</v>
      </c>
      <c r="N166" s="282">
        <v>4</v>
      </c>
      <c r="O166" s="300">
        <v>89</v>
      </c>
      <c r="P166" s="300">
        <v>67</v>
      </c>
      <c r="Q166" s="300">
        <v>156</v>
      </c>
    </row>
    <row r="167" spans="2:17" x14ac:dyDescent="0.25">
      <c r="B167" s="255" t="s">
        <v>229</v>
      </c>
      <c r="C167" s="310">
        <v>1</v>
      </c>
      <c r="D167" s="310">
        <v>9</v>
      </c>
      <c r="E167" s="310">
        <v>10</v>
      </c>
      <c r="F167" s="310">
        <v>13</v>
      </c>
      <c r="G167" s="310">
        <v>13</v>
      </c>
      <c r="H167" s="282">
        <v>26</v>
      </c>
      <c r="I167" s="310"/>
      <c r="J167" s="282"/>
      <c r="K167" s="310"/>
      <c r="L167" s="282">
        <v>1</v>
      </c>
      <c r="M167" s="310">
        <v>5</v>
      </c>
      <c r="N167" s="282">
        <v>6</v>
      </c>
      <c r="O167" s="300">
        <v>15</v>
      </c>
      <c r="P167" s="300">
        <v>27</v>
      </c>
      <c r="Q167" s="300">
        <v>42</v>
      </c>
    </row>
    <row r="168" spans="2:17" x14ac:dyDescent="0.25">
      <c r="B168" s="255" t="s">
        <v>230</v>
      </c>
      <c r="C168" s="310">
        <v>5</v>
      </c>
      <c r="D168" s="310">
        <v>8</v>
      </c>
      <c r="E168" s="310">
        <v>13</v>
      </c>
      <c r="F168" s="310">
        <v>11</v>
      </c>
      <c r="G168" s="310">
        <v>6</v>
      </c>
      <c r="H168" s="282">
        <v>17</v>
      </c>
      <c r="I168" s="310"/>
      <c r="J168" s="282"/>
      <c r="K168" s="310"/>
      <c r="L168" s="282"/>
      <c r="M168" s="310"/>
      <c r="N168" s="282"/>
      <c r="O168" s="300">
        <v>16</v>
      </c>
      <c r="P168" s="300">
        <v>14</v>
      </c>
      <c r="Q168" s="300">
        <v>30</v>
      </c>
    </row>
    <row r="169" spans="2:17" x14ac:dyDescent="0.25">
      <c r="B169" s="255" t="s">
        <v>231</v>
      </c>
      <c r="C169" s="310">
        <v>10</v>
      </c>
      <c r="D169" s="310">
        <v>15</v>
      </c>
      <c r="E169" s="310">
        <v>25</v>
      </c>
      <c r="F169" s="310">
        <v>35</v>
      </c>
      <c r="G169" s="310">
        <v>17</v>
      </c>
      <c r="H169" s="282">
        <v>52</v>
      </c>
      <c r="I169" s="310"/>
      <c r="J169" s="282">
        <v>2</v>
      </c>
      <c r="K169" s="310">
        <v>2</v>
      </c>
      <c r="L169" s="282"/>
      <c r="M169" s="310">
        <v>1</v>
      </c>
      <c r="N169" s="282">
        <v>1</v>
      </c>
      <c r="O169" s="300">
        <v>45</v>
      </c>
      <c r="P169" s="300">
        <v>35</v>
      </c>
      <c r="Q169" s="300">
        <v>80</v>
      </c>
    </row>
    <row r="170" spans="2:17" x14ac:dyDescent="0.25">
      <c r="B170" s="255" t="s">
        <v>232</v>
      </c>
      <c r="C170" s="310">
        <v>5</v>
      </c>
      <c r="D170" s="310">
        <v>5</v>
      </c>
      <c r="E170" s="310">
        <v>10</v>
      </c>
      <c r="F170" s="310">
        <v>19</v>
      </c>
      <c r="G170" s="310">
        <v>13</v>
      </c>
      <c r="H170" s="282">
        <v>32</v>
      </c>
      <c r="I170" s="310"/>
      <c r="J170" s="282"/>
      <c r="K170" s="310"/>
      <c r="L170" s="282">
        <v>1</v>
      </c>
      <c r="M170" s="310"/>
      <c r="N170" s="282">
        <v>1</v>
      </c>
      <c r="O170" s="300">
        <v>25</v>
      </c>
      <c r="P170" s="300">
        <v>18</v>
      </c>
      <c r="Q170" s="300">
        <v>43</v>
      </c>
    </row>
    <row r="171" spans="2:17" x14ac:dyDescent="0.25">
      <c r="B171" s="255" t="s">
        <v>233</v>
      </c>
      <c r="C171" s="310">
        <v>2</v>
      </c>
      <c r="D171" s="310">
        <v>8</v>
      </c>
      <c r="E171" s="310">
        <v>10</v>
      </c>
      <c r="F171" s="310">
        <v>7</v>
      </c>
      <c r="G171" s="310">
        <v>6</v>
      </c>
      <c r="H171" s="282">
        <v>13</v>
      </c>
      <c r="I171" s="310"/>
      <c r="J171" s="282"/>
      <c r="K171" s="310"/>
      <c r="L171" s="282"/>
      <c r="M171" s="310"/>
      <c r="N171" s="282"/>
      <c r="O171" s="300">
        <v>9</v>
      </c>
      <c r="P171" s="300">
        <v>14</v>
      </c>
      <c r="Q171" s="300">
        <v>23</v>
      </c>
    </row>
    <row r="172" spans="2:17" x14ac:dyDescent="0.25">
      <c r="B172" s="255" t="s">
        <v>234</v>
      </c>
      <c r="C172" s="310">
        <v>2</v>
      </c>
      <c r="D172" s="310">
        <v>8</v>
      </c>
      <c r="E172" s="310">
        <v>10</v>
      </c>
      <c r="F172" s="310">
        <v>27</v>
      </c>
      <c r="G172" s="310">
        <v>16</v>
      </c>
      <c r="H172" s="282">
        <v>43</v>
      </c>
      <c r="I172" s="310"/>
      <c r="J172" s="282"/>
      <c r="K172" s="310"/>
      <c r="L172" s="282"/>
      <c r="M172" s="310"/>
      <c r="N172" s="282"/>
      <c r="O172" s="300">
        <v>29</v>
      </c>
      <c r="P172" s="300">
        <v>24</v>
      </c>
      <c r="Q172" s="300">
        <v>53</v>
      </c>
    </row>
    <row r="173" spans="2:17" x14ac:dyDescent="0.25">
      <c r="B173" s="255" t="s">
        <v>235</v>
      </c>
      <c r="C173" s="310">
        <v>6</v>
      </c>
      <c r="D173" s="310">
        <v>3</v>
      </c>
      <c r="E173" s="310">
        <v>9</v>
      </c>
      <c r="F173" s="310">
        <v>10</v>
      </c>
      <c r="G173" s="310">
        <v>11</v>
      </c>
      <c r="H173" s="282">
        <v>21</v>
      </c>
      <c r="I173" s="310"/>
      <c r="J173" s="282"/>
      <c r="K173" s="310"/>
      <c r="L173" s="282"/>
      <c r="M173" s="310">
        <v>5</v>
      </c>
      <c r="N173" s="282">
        <v>5</v>
      </c>
      <c r="O173" s="300">
        <v>16</v>
      </c>
      <c r="P173" s="300">
        <v>19</v>
      </c>
      <c r="Q173" s="300">
        <v>35</v>
      </c>
    </row>
    <row r="174" spans="2:17" x14ac:dyDescent="0.25">
      <c r="B174" s="255" t="s">
        <v>236</v>
      </c>
      <c r="C174" s="310">
        <v>6</v>
      </c>
      <c r="D174" s="310">
        <v>6</v>
      </c>
      <c r="E174" s="310">
        <v>12</v>
      </c>
      <c r="F174" s="310">
        <v>7</v>
      </c>
      <c r="G174" s="310">
        <v>5</v>
      </c>
      <c r="H174" s="282">
        <v>12</v>
      </c>
      <c r="I174" s="310"/>
      <c r="J174" s="282"/>
      <c r="K174" s="310"/>
      <c r="L174" s="282"/>
      <c r="M174" s="310">
        <v>2</v>
      </c>
      <c r="N174" s="282">
        <v>2</v>
      </c>
      <c r="O174" s="300">
        <v>13</v>
      </c>
      <c r="P174" s="300">
        <v>13</v>
      </c>
      <c r="Q174" s="300">
        <v>26</v>
      </c>
    </row>
    <row r="175" spans="2:17" x14ac:dyDescent="0.25">
      <c r="B175" s="255" t="s">
        <v>237</v>
      </c>
      <c r="C175" s="310">
        <v>8</v>
      </c>
      <c r="D175" s="310">
        <v>8</v>
      </c>
      <c r="E175" s="310">
        <v>16</v>
      </c>
      <c r="F175" s="310">
        <v>11</v>
      </c>
      <c r="G175" s="310">
        <v>20</v>
      </c>
      <c r="H175" s="282">
        <v>31</v>
      </c>
      <c r="I175" s="310"/>
      <c r="J175" s="282"/>
      <c r="K175" s="310"/>
      <c r="L175" s="282"/>
      <c r="M175" s="310"/>
      <c r="N175" s="282"/>
      <c r="O175" s="300">
        <v>19</v>
      </c>
      <c r="P175" s="300">
        <v>28</v>
      </c>
      <c r="Q175" s="300">
        <v>47</v>
      </c>
    </row>
    <row r="176" spans="2:17" x14ac:dyDescent="0.25">
      <c r="B176" s="255" t="s">
        <v>238</v>
      </c>
      <c r="C176" s="310">
        <v>4</v>
      </c>
      <c r="D176" s="310">
        <v>11</v>
      </c>
      <c r="E176" s="310">
        <v>15</v>
      </c>
      <c r="F176" s="310">
        <v>15</v>
      </c>
      <c r="G176" s="310">
        <v>10</v>
      </c>
      <c r="H176" s="282">
        <v>25</v>
      </c>
      <c r="I176" s="310"/>
      <c r="J176" s="282"/>
      <c r="K176" s="310"/>
      <c r="L176" s="282">
        <v>1</v>
      </c>
      <c r="M176" s="310">
        <v>3</v>
      </c>
      <c r="N176" s="282">
        <v>4</v>
      </c>
      <c r="O176" s="300">
        <v>20</v>
      </c>
      <c r="P176" s="300">
        <v>24</v>
      </c>
      <c r="Q176" s="300">
        <v>44</v>
      </c>
    </row>
    <row r="177" spans="2:17" x14ac:dyDescent="0.25">
      <c r="B177" s="255" t="s">
        <v>239</v>
      </c>
      <c r="C177" s="310">
        <v>9</v>
      </c>
      <c r="D177" s="310">
        <v>13</v>
      </c>
      <c r="E177" s="310">
        <v>22</v>
      </c>
      <c r="F177" s="310">
        <v>19</v>
      </c>
      <c r="G177" s="310">
        <v>15</v>
      </c>
      <c r="H177" s="282">
        <v>34</v>
      </c>
      <c r="I177" s="310"/>
      <c r="J177" s="282"/>
      <c r="K177" s="310"/>
      <c r="L177" s="282"/>
      <c r="M177" s="310">
        <v>2</v>
      </c>
      <c r="N177" s="282">
        <v>2</v>
      </c>
      <c r="O177" s="300">
        <v>28</v>
      </c>
      <c r="P177" s="300">
        <v>30</v>
      </c>
      <c r="Q177" s="300">
        <v>58</v>
      </c>
    </row>
    <row r="178" spans="2:17" x14ac:dyDescent="0.25">
      <c r="B178" s="255" t="s">
        <v>240</v>
      </c>
      <c r="C178" s="310">
        <v>12</v>
      </c>
      <c r="D178" s="310">
        <v>7</v>
      </c>
      <c r="E178" s="310">
        <v>19</v>
      </c>
      <c r="F178" s="310">
        <v>28</v>
      </c>
      <c r="G178" s="310">
        <v>12</v>
      </c>
      <c r="H178" s="282">
        <v>40</v>
      </c>
      <c r="I178" s="310"/>
      <c r="J178" s="282"/>
      <c r="K178" s="310"/>
      <c r="L178" s="282"/>
      <c r="M178" s="310">
        <v>2</v>
      </c>
      <c r="N178" s="282">
        <v>2</v>
      </c>
      <c r="O178" s="300">
        <v>40</v>
      </c>
      <c r="P178" s="300">
        <v>21</v>
      </c>
      <c r="Q178" s="300">
        <v>61</v>
      </c>
    </row>
    <row r="179" spans="2:17" x14ac:dyDescent="0.25">
      <c r="B179" s="255" t="s">
        <v>241</v>
      </c>
      <c r="C179" s="310">
        <v>3</v>
      </c>
      <c r="D179" s="310">
        <v>5</v>
      </c>
      <c r="E179" s="310">
        <v>8</v>
      </c>
      <c r="F179" s="310">
        <v>6</v>
      </c>
      <c r="G179" s="310">
        <v>5</v>
      </c>
      <c r="H179" s="282">
        <v>11</v>
      </c>
      <c r="I179" s="310"/>
      <c r="J179" s="282"/>
      <c r="K179" s="310"/>
      <c r="L179" s="282">
        <v>1</v>
      </c>
      <c r="M179" s="310"/>
      <c r="N179" s="282">
        <v>1</v>
      </c>
      <c r="O179" s="300">
        <v>10</v>
      </c>
      <c r="P179" s="300">
        <v>10</v>
      </c>
      <c r="Q179" s="300">
        <v>20</v>
      </c>
    </row>
    <row r="180" spans="2:17" x14ac:dyDescent="0.25">
      <c r="B180" s="255" t="s">
        <v>242</v>
      </c>
      <c r="C180" s="310">
        <v>3</v>
      </c>
      <c r="D180" s="310">
        <v>5</v>
      </c>
      <c r="E180" s="310">
        <v>8</v>
      </c>
      <c r="F180" s="310">
        <v>3</v>
      </c>
      <c r="G180" s="310">
        <v>8</v>
      </c>
      <c r="H180" s="282">
        <v>11</v>
      </c>
      <c r="I180" s="310"/>
      <c r="J180" s="282"/>
      <c r="K180" s="310"/>
      <c r="L180" s="282"/>
      <c r="M180" s="310">
        <v>2</v>
      </c>
      <c r="N180" s="282">
        <v>2</v>
      </c>
      <c r="O180" s="300">
        <v>6</v>
      </c>
      <c r="P180" s="300">
        <v>15</v>
      </c>
      <c r="Q180" s="300">
        <v>21</v>
      </c>
    </row>
    <row r="181" spans="2:17" x14ac:dyDescent="0.25">
      <c r="B181" s="255" t="s">
        <v>243</v>
      </c>
      <c r="C181" s="310">
        <v>8</v>
      </c>
      <c r="D181" s="310">
        <v>4</v>
      </c>
      <c r="E181" s="310">
        <v>12</v>
      </c>
      <c r="F181" s="310">
        <v>12</v>
      </c>
      <c r="G181" s="310">
        <v>10</v>
      </c>
      <c r="H181" s="282">
        <v>22</v>
      </c>
      <c r="I181" s="310">
        <v>1</v>
      </c>
      <c r="J181" s="282"/>
      <c r="K181" s="310">
        <v>1</v>
      </c>
      <c r="L181" s="282">
        <v>1</v>
      </c>
      <c r="M181" s="310"/>
      <c r="N181" s="282">
        <v>1</v>
      </c>
      <c r="O181" s="300">
        <v>22</v>
      </c>
      <c r="P181" s="300">
        <v>14</v>
      </c>
      <c r="Q181" s="300">
        <v>36</v>
      </c>
    </row>
    <row r="182" spans="2:17" x14ac:dyDescent="0.25">
      <c r="B182" s="255" t="s">
        <v>244</v>
      </c>
      <c r="C182" s="310">
        <v>135</v>
      </c>
      <c r="D182" s="310">
        <v>135</v>
      </c>
      <c r="E182" s="310">
        <v>270</v>
      </c>
      <c r="F182" s="310">
        <v>432</v>
      </c>
      <c r="G182" s="310">
        <v>226</v>
      </c>
      <c r="H182" s="282">
        <v>658</v>
      </c>
      <c r="I182" s="310">
        <v>2</v>
      </c>
      <c r="J182" s="282">
        <v>3</v>
      </c>
      <c r="K182" s="310">
        <v>5</v>
      </c>
      <c r="L182" s="282">
        <v>23</v>
      </c>
      <c r="M182" s="310">
        <v>24</v>
      </c>
      <c r="N182" s="282">
        <v>47</v>
      </c>
      <c r="O182" s="300">
        <v>592</v>
      </c>
      <c r="P182" s="300">
        <v>388</v>
      </c>
      <c r="Q182" s="300">
        <v>980</v>
      </c>
    </row>
    <row r="183" spans="2:17" x14ac:dyDescent="0.25">
      <c r="B183" s="255" t="s">
        <v>245</v>
      </c>
      <c r="C183" s="310">
        <v>18</v>
      </c>
      <c r="D183" s="310">
        <v>40</v>
      </c>
      <c r="E183" s="310">
        <v>58</v>
      </c>
      <c r="F183" s="310">
        <v>61</v>
      </c>
      <c r="G183" s="310">
        <v>44</v>
      </c>
      <c r="H183" s="282">
        <v>105</v>
      </c>
      <c r="I183" s="310"/>
      <c r="J183" s="282"/>
      <c r="K183" s="310"/>
      <c r="L183" s="282">
        <v>4</v>
      </c>
      <c r="M183" s="310">
        <v>4</v>
      </c>
      <c r="N183" s="282">
        <v>8</v>
      </c>
      <c r="O183" s="300">
        <v>83</v>
      </c>
      <c r="P183" s="300">
        <v>88</v>
      </c>
      <c r="Q183" s="300">
        <v>171</v>
      </c>
    </row>
    <row r="184" spans="2:17" x14ac:dyDescent="0.25">
      <c r="B184" s="255" t="s">
        <v>246</v>
      </c>
      <c r="C184" s="310">
        <v>8</v>
      </c>
      <c r="D184" s="310">
        <v>18</v>
      </c>
      <c r="E184" s="310">
        <v>26</v>
      </c>
      <c r="F184" s="310">
        <v>31</v>
      </c>
      <c r="G184" s="310">
        <v>29</v>
      </c>
      <c r="H184" s="282">
        <v>60</v>
      </c>
      <c r="I184" s="310">
        <v>1</v>
      </c>
      <c r="J184" s="282"/>
      <c r="K184" s="310">
        <v>1</v>
      </c>
      <c r="L184" s="282">
        <v>1</v>
      </c>
      <c r="M184" s="310">
        <v>3</v>
      </c>
      <c r="N184" s="282">
        <v>4</v>
      </c>
      <c r="O184" s="300">
        <v>41</v>
      </c>
      <c r="P184" s="300">
        <v>50</v>
      </c>
      <c r="Q184" s="300">
        <v>91</v>
      </c>
    </row>
    <row r="185" spans="2:17" x14ac:dyDescent="0.25">
      <c r="B185" s="255" t="s">
        <v>247</v>
      </c>
      <c r="C185" s="310">
        <v>23</v>
      </c>
      <c r="D185" s="310">
        <v>29</v>
      </c>
      <c r="E185" s="310">
        <v>52</v>
      </c>
      <c r="F185" s="310">
        <v>88</v>
      </c>
      <c r="G185" s="310">
        <v>56</v>
      </c>
      <c r="H185" s="282">
        <v>144</v>
      </c>
      <c r="I185" s="310"/>
      <c r="J185" s="282">
        <v>2</v>
      </c>
      <c r="K185" s="310">
        <v>2</v>
      </c>
      <c r="L185" s="282">
        <v>8</v>
      </c>
      <c r="M185" s="310">
        <v>6</v>
      </c>
      <c r="N185" s="282">
        <v>14</v>
      </c>
      <c r="O185" s="300">
        <v>119</v>
      </c>
      <c r="P185" s="300">
        <v>93</v>
      </c>
      <c r="Q185" s="300">
        <v>212</v>
      </c>
    </row>
    <row r="186" spans="2:17" x14ac:dyDescent="0.25">
      <c r="B186" s="255" t="s">
        <v>248</v>
      </c>
      <c r="C186" s="310">
        <v>22</v>
      </c>
      <c r="D186" s="310">
        <v>28</v>
      </c>
      <c r="E186" s="310">
        <v>50</v>
      </c>
      <c r="F186" s="310">
        <v>45</v>
      </c>
      <c r="G186" s="310">
        <v>41</v>
      </c>
      <c r="H186" s="282">
        <v>86</v>
      </c>
      <c r="I186" s="310">
        <v>1</v>
      </c>
      <c r="J186" s="282"/>
      <c r="K186" s="310">
        <v>1</v>
      </c>
      <c r="L186" s="282"/>
      <c r="M186" s="310">
        <v>3</v>
      </c>
      <c r="N186" s="282">
        <v>3</v>
      </c>
      <c r="O186" s="300">
        <v>68</v>
      </c>
      <c r="P186" s="300">
        <v>72</v>
      </c>
      <c r="Q186" s="300">
        <v>140</v>
      </c>
    </row>
    <row r="187" spans="2:17" x14ac:dyDescent="0.25">
      <c r="B187" s="256" t="s">
        <v>249</v>
      </c>
      <c r="C187" s="310">
        <v>8</v>
      </c>
      <c r="D187" s="310">
        <v>20</v>
      </c>
      <c r="E187" s="310">
        <v>28</v>
      </c>
      <c r="F187" s="310">
        <v>39</v>
      </c>
      <c r="G187" s="310">
        <v>15</v>
      </c>
      <c r="H187" s="282">
        <v>54</v>
      </c>
      <c r="I187" s="310">
        <v>1</v>
      </c>
      <c r="J187" s="282">
        <v>1</v>
      </c>
      <c r="K187" s="310">
        <v>2</v>
      </c>
      <c r="L187" s="282">
        <v>1</v>
      </c>
      <c r="M187" s="310">
        <v>4</v>
      </c>
      <c r="N187" s="282">
        <v>5</v>
      </c>
      <c r="O187" s="300">
        <v>49</v>
      </c>
      <c r="P187" s="300">
        <v>40</v>
      </c>
      <c r="Q187" s="300">
        <v>89</v>
      </c>
    </row>
    <row r="188" spans="2:17" x14ac:dyDescent="0.25">
      <c r="B188" s="351" t="s">
        <v>35</v>
      </c>
      <c r="C188" s="302">
        <v>411</v>
      </c>
      <c r="D188" s="302">
        <v>514</v>
      </c>
      <c r="E188" s="302">
        <v>925</v>
      </c>
      <c r="F188" s="302">
        <v>1217</v>
      </c>
      <c r="G188" s="302">
        <v>768</v>
      </c>
      <c r="H188" s="300">
        <v>1985</v>
      </c>
      <c r="I188" s="302">
        <v>13</v>
      </c>
      <c r="J188" s="300">
        <v>12</v>
      </c>
      <c r="K188" s="302">
        <v>25</v>
      </c>
      <c r="L188" s="300">
        <v>56</v>
      </c>
      <c r="M188" s="302">
        <v>84</v>
      </c>
      <c r="N188" s="300">
        <v>140</v>
      </c>
      <c r="O188" s="300">
        <v>1697</v>
      </c>
      <c r="P188" s="300">
        <v>1378</v>
      </c>
      <c r="Q188" s="300">
        <v>3075</v>
      </c>
    </row>
    <row r="189" spans="2:17" ht="124.5" customHeight="1" x14ac:dyDescent="0.25">
      <c r="B189" s="469" t="s">
        <v>929</v>
      </c>
      <c r="C189" s="469"/>
      <c r="D189" s="469"/>
      <c r="E189" s="469"/>
      <c r="F189" s="469"/>
      <c r="G189" s="469"/>
      <c r="H189" s="469"/>
      <c r="I189" s="469"/>
      <c r="J189" s="469"/>
      <c r="K189" s="469"/>
      <c r="L189" s="469"/>
      <c r="M189" s="469"/>
      <c r="N189" s="469"/>
      <c r="O189" s="469"/>
      <c r="P189" s="469"/>
      <c r="Q189" s="469"/>
    </row>
    <row r="190" spans="2:17" x14ac:dyDescent="0.25">
      <c r="B190" s="172"/>
      <c r="C190" s="172"/>
      <c r="D190" s="172"/>
      <c r="E190"/>
      <c r="F190"/>
      <c r="G190"/>
    </row>
    <row r="191" spans="2:17" x14ac:dyDescent="0.25">
      <c r="B191" s="201" t="s">
        <v>523</v>
      </c>
      <c r="C191"/>
      <c r="D191"/>
      <c r="E191"/>
      <c r="F191"/>
      <c r="G191"/>
    </row>
    <row r="192" spans="2:17" x14ac:dyDescent="0.25">
      <c r="B192" s="201"/>
      <c r="C192"/>
      <c r="D192"/>
      <c r="E192"/>
      <c r="F192"/>
      <c r="G192"/>
    </row>
    <row r="193" spans="2:17" ht="15" customHeight="1" x14ac:dyDescent="0.25">
      <c r="B193" s="466" t="s">
        <v>544</v>
      </c>
      <c r="C193" s="479" t="s">
        <v>488</v>
      </c>
      <c r="D193" s="479"/>
      <c r="E193" s="479"/>
      <c r="F193" s="479"/>
      <c r="G193" s="479"/>
      <c r="H193" s="479"/>
      <c r="I193" s="479"/>
      <c r="J193" s="479"/>
      <c r="K193" s="479"/>
      <c r="L193" s="479"/>
      <c r="M193" s="479"/>
      <c r="N193" s="479"/>
      <c r="O193" s="483" t="s">
        <v>746</v>
      </c>
      <c r="P193" s="484"/>
      <c r="Q193" s="485"/>
    </row>
    <row r="194" spans="2:17" ht="15" customHeight="1" x14ac:dyDescent="0.25">
      <c r="B194" s="467"/>
      <c r="C194" s="479" t="s">
        <v>707</v>
      </c>
      <c r="D194" s="479"/>
      <c r="E194" s="479"/>
      <c r="F194" s="479" t="s">
        <v>497</v>
      </c>
      <c r="G194" s="479"/>
      <c r="H194" s="479"/>
      <c r="I194" s="479" t="s">
        <v>4</v>
      </c>
      <c r="J194" s="479"/>
      <c r="K194" s="479"/>
      <c r="L194" s="479" t="s">
        <v>6</v>
      </c>
      <c r="M194" s="479"/>
      <c r="N194" s="479"/>
      <c r="O194" s="486"/>
      <c r="P194" s="487"/>
      <c r="Q194" s="488"/>
    </row>
    <row r="195" spans="2:17" x14ac:dyDescent="0.25">
      <c r="B195" s="468"/>
      <c r="C195" s="175" t="s">
        <v>83</v>
      </c>
      <c r="D195" s="175" t="s">
        <v>84</v>
      </c>
      <c r="E195" s="175" t="s">
        <v>35</v>
      </c>
      <c r="F195" s="175" t="s">
        <v>83</v>
      </c>
      <c r="G195" s="175" t="s">
        <v>84</v>
      </c>
      <c r="H195" s="175" t="s">
        <v>35</v>
      </c>
      <c r="I195" s="175" t="s">
        <v>83</v>
      </c>
      <c r="J195" s="175" t="s">
        <v>84</v>
      </c>
      <c r="K195" s="175" t="s">
        <v>35</v>
      </c>
      <c r="L195" s="175" t="s">
        <v>83</v>
      </c>
      <c r="M195" s="175" t="s">
        <v>84</v>
      </c>
      <c r="N195" s="175" t="s">
        <v>35</v>
      </c>
      <c r="O195" s="262" t="s">
        <v>83</v>
      </c>
      <c r="P195" s="262" t="s">
        <v>84</v>
      </c>
      <c r="Q195" s="262" t="s">
        <v>35</v>
      </c>
    </row>
    <row r="196" spans="2:17" x14ac:dyDescent="0.25">
      <c r="B196" s="254" t="s">
        <v>250</v>
      </c>
      <c r="C196" s="310">
        <v>25</v>
      </c>
      <c r="D196" s="310">
        <v>20</v>
      </c>
      <c r="E196" s="310">
        <v>45</v>
      </c>
      <c r="F196" s="310">
        <v>37</v>
      </c>
      <c r="G196" s="310">
        <v>35</v>
      </c>
      <c r="H196" s="282">
        <v>72</v>
      </c>
      <c r="I196" s="310"/>
      <c r="J196" s="282">
        <v>1</v>
      </c>
      <c r="K196" s="310">
        <v>1</v>
      </c>
      <c r="L196" s="282">
        <v>3</v>
      </c>
      <c r="M196" s="310">
        <v>7</v>
      </c>
      <c r="N196" s="282">
        <v>10</v>
      </c>
      <c r="O196" s="300">
        <v>65</v>
      </c>
      <c r="P196" s="300">
        <v>63</v>
      </c>
      <c r="Q196" s="300">
        <v>128</v>
      </c>
    </row>
    <row r="197" spans="2:17" x14ac:dyDescent="0.25">
      <c r="B197" s="255" t="s">
        <v>251</v>
      </c>
      <c r="C197" s="310">
        <v>4</v>
      </c>
      <c r="D197" s="310">
        <v>4</v>
      </c>
      <c r="E197" s="310">
        <v>8</v>
      </c>
      <c r="F197" s="310">
        <v>4</v>
      </c>
      <c r="G197" s="310">
        <v>3</v>
      </c>
      <c r="H197" s="282">
        <v>7</v>
      </c>
      <c r="I197" s="310"/>
      <c r="J197" s="282"/>
      <c r="K197" s="310"/>
      <c r="L197" s="282"/>
      <c r="M197" s="310"/>
      <c r="N197" s="282"/>
      <c r="O197" s="300">
        <v>8</v>
      </c>
      <c r="P197" s="300">
        <v>7</v>
      </c>
      <c r="Q197" s="300">
        <v>15</v>
      </c>
    </row>
    <row r="198" spans="2:17" x14ac:dyDescent="0.25">
      <c r="B198" s="255" t="s">
        <v>252</v>
      </c>
      <c r="C198" s="310">
        <v>12</v>
      </c>
      <c r="D198" s="310">
        <v>20</v>
      </c>
      <c r="E198" s="310">
        <v>32</v>
      </c>
      <c r="F198" s="310">
        <v>23</v>
      </c>
      <c r="G198" s="310">
        <v>9</v>
      </c>
      <c r="H198" s="282">
        <v>32</v>
      </c>
      <c r="I198" s="310"/>
      <c r="J198" s="282">
        <v>1</v>
      </c>
      <c r="K198" s="310">
        <v>1</v>
      </c>
      <c r="L198" s="282">
        <v>2</v>
      </c>
      <c r="M198" s="310">
        <v>1</v>
      </c>
      <c r="N198" s="282">
        <v>3</v>
      </c>
      <c r="O198" s="300">
        <v>37</v>
      </c>
      <c r="P198" s="300">
        <v>31</v>
      </c>
      <c r="Q198" s="300">
        <v>68</v>
      </c>
    </row>
    <row r="199" spans="2:17" x14ac:dyDescent="0.25">
      <c r="B199" s="255" t="s">
        <v>253</v>
      </c>
      <c r="C199" s="310">
        <v>29</v>
      </c>
      <c r="D199" s="310">
        <v>25</v>
      </c>
      <c r="E199" s="310">
        <v>54</v>
      </c>
      <c r="F199" s="310">
        <v>34</v>
      </c>
      <c r="G199" s="310">
        <v>29</v>
      </c>
      <c r="H199" s="282">
        <v>63</v>
      </c>
      <c r="I199" s="310">
        <v>1</v>
      </c>
      <c r="J199" s="282">
        <v>1</v>
      </c>
      <c r="K199" s="310">
        <v>2</v>
      </c>
      <c r="L199" s="282">
        <v>3</v>
      </c>
      <c r="M199" s="310">
        <v>2</v>
      </c>
      <c r="N199" s="282">
        <v>5</v>
      </c>
      <c r="O199" s="300">
        <v>67</v>
      </c>
      <c r="P199" s="300">
        <v>57</v>
      </c>
      <c r="Q199" s="300">
        <v>124</v>
      </c>
    </row>
    <row r="200" spans="2:17" x14ac:dyDescent="0.25">
      <c r="B200" s="255" t="s">
        <v>254</v>
      </c>
      <c r="C200" s="310">
        <v>8</v>
      </c>
      <c r="D200" s="310">
        <v>6</v>
      </c>
      <c r="E200" s="310">
        <v>14</v>
      </c>
      <c r="F200" s="310">
        <v>9</v>
      </c>
      <c r="G200" s="310">
        <v>5</v>
      </c>
      <c r="H200" s="282">
        <v>14</v>
      </c>
      <c r="I200" s="310"/>
      <c r="J200" s="282"/>
      <c r="K200" s="310"/>
      <c r="L200" s="282">
        <v>1</v>
      </c>
      <c r="M200" s="310"/>
      <c r="N200" s="282">
        <v>1</v>
      </c>
      <c r="O200" s="300">
        <v>18</v>
      </c>
      <c r="P200" s="300">
        <v>11</v>
      </c>
      <c r="Q200" s="300">
        <v>29</v>
      </c>
    </row>
    <row r="201" spans="2:17" x14ac:dyDescent="0.25">
      <c r="B201" s="255" t="s">
        <v>255</v>
      </c>
      <c r="C201" s="310">
        <v>53</v>
      </c>
      <c r="D201" s="310">
        <v>80</v>
      </c>
      <c r="E201" s="310">
        <v>133</v>
      </c>
      <c r="F201" s="310">
        <v>200</v>
      </c>
      <c r="G201" s="310">
        <v>107</v>
      </c>
      <c r="H201" s="282">
        <v>307</v>
      </c>
      <c r="I201" s="310">
        <v>4</v>
      </c>
      <c r="J201" s="282"/>
      <c r="K201" s="310">
        <v>4</v>
      </c>
      <c r="L201" s="282">
        <v>5</v>
      </c>
      <c r="M201" s="310">
        <v>20</v>
      </c>
      <c r="N201" s="282">
        <v>25</v>
      </c>
      <c r="O201" s="300">
        <v>262</v>
      </c>
      <c r="P201" s="300">
        <v>207</v>
      </c>
      <c r="Q201" s="300">
        <v>469</v>
      </c>
    </row>
    <row r="202" spans="2:17" x14ac:dyDescent="0.25">
      <c r="B202" s="255" t="s">
        <v>256</v>
      </c>
      <c r="C202" s="310">
        <v>1</v>
      </c>
      <c r="D202" s="310">
        <v>1</v>
      </c>
      <c r="E202" s="310">
        <v>2</v>
      </c>
      <c r="F202" s="310">
        <v>2</v>
      </c>
      <c r="G202" s="310">
        <v>2</v>
      </c>
      <c r="H202" s="282">
        <v>4</v>
      </c>
      <c r="I202" s="310"/>
      <c r="J202" s="282"/>
      <c r="K202" s="310"/>
      <c r="L202" s="282"/>
      <c r="M202" s="310"/>
      <c r="N202" s="282"/>
      <c r="O202" s="300">
        <v>3</v>
      </c>
      <c r="P202" s="300">
        <v>3</v>
      </c>
      <c r="Q202" s="300">
        <v>6</v>
      </c>
    </row>
    <row r="203" spans="2:17" x14ac:dyDescent="0.25">
      <c r="B203" s="255" t="s">
        <v>506</v>
      </c>
      <c r="C203" s="310">
        <v>4</v>
      </c>
      <c r="D203" s="310">
        <v>5</v>
      </c>
      <c r="E203" s="310">
        <v>9</v>
      </c>
      <c r="F203" s="310">
        <v>9</v>
      </c>
      <c r="G203" s="310">
        <v>8</v>
      </c>
      <c r="H203" s="282">
        <v>17</v>
      </c>
      <c r="I203" s="310"/>
      <c r="J203" s="282">
        <v>1</v>
      </c>
      <c r="K203" s="310">
        <v>1</v>
      </c>
      <c r="L203" s="282">
        <v>1</v>
      </c>
      <c r="M203" s="310"/>
      <c r="N203" s="282">
        <v>1</v>
      </c>
      <c r="O203" s="300">
        <v>14</v>
      </c>
      <c r="P203" s="300">
        <v>14</v>
      </c>
      <c r="Q203" s="300">
        <v>28</v>
      </c>
    </row>
    <row r="204" spans="2:17" x14ac:dyDescent="0.25">
      <c r="B204" s="255" t="s">
        <v>257</v>
      </c>
      <c r="C204" s="310">
        <v>7</v>
      </c>
      <c r="D204" s="310">
        <v>5</v>
      </c>
      <c r="E204" s="310">
        <v>12</v>
      </c>
      <c r="F204" s="310">
        <v>8</v>
      </c>
      <c r="G204" s="310">
        <v>2</v>
      </c>
      <c r="H204" s="282">
        <v>10</v>
      </c>
      <c r="I204" s="310"/>
      <c r="J204" s="282"/>
      <c r="K204" s="310"/>
      <c r="L204" s="282"/>
      <c r="M204" s="310">
        <v>1</v>
      </c>
      <c r="N204" s="282">
        <v>1</v>
      </c>
      <c r="O204" s="300">
        <v>15</v>
      </c>
      <c r="P204" s="300">
        <v>8</v>
      </c>
      <c r="Q204" s="300">
        <v>23</v>
      </c>
    </row>
    <row r="205" spans="2:17" x14ac:dyDescent="0.25">
      <c r="B205" s="255" t="s">
        <v>258</v>
      </c>
      <c r="C205" s="310">
        <v>46</v>
      </c>
      <c r="D205" s="310">
        <v>60</v>
      </c>
      <c r="E205" s="310">
        <v>106</v>
      </c>
      <c r="F205" s="310">
        <v>124</v>
      </c>
      <c r="G205" s="310">
        <v>69</v>
      </c>
      <c r="H205" s="282">
        <v>193</v>
      </c>
      <c r="I205" s="310">
        <v>3</v>
      </c>
      <c r="J205" s="282">
        <v>1</v>
      </c>
      <c r="K205" s="310">
        <v>4</v>
      </c>
      <c r="L205" s="282">
        <v>8</v>
      </c>
      <c r="M205" s="310">
        <v>7</v>
      </c>
      <c r="N205" s="282">
        <v>15</v>
      </c>
      <c r="O205" s="300">
        <v>181</v>
      </c>
      <c r="P205" s="300">
        <v>137</v>
      </c>
      <c r="Q205" s="300">
        <v>318</v>
      </c>
    </row>
    <row r="206" spans="2:17" x14ac:dyDescent="0.25">
      <c r="B206" s="255" t="s">
        <v>259</v>
      </c>
      <c r="C206" s="310">
        <v>12</v>
      </c>
      <c r="D206" s="310">
        <v>34</v>
      </c>
      <c r="E206" s="310">
        <v>46</v>
      </c>
      <c r="F206" s="310">
        <v>24</v>
      </c>
      <c r="G206" s="310">
        <v>27</v>
      </c>
      <c r="H206" s="282">
        <v>51</v>
      </c>
      <c r="I206" s="310"/>
      <c r="J206" s="282"/>
      <c r="K206" s="310"/>
      <c r="L206" s="282"/>
      <c r="M206" s="310">
        <v>5</v>
      </c>
      <c r="N206" s="282">
        <v>5</v>
      </c>
      <c r="O206" s="300">
        <v>36</v>
      </c>
      <c r="P206" s="300">
        <v>66</v>
      </c>
      <c r="Q206" s="300">
        <v>102</v>
      </c>
    </row>
    <row r="207" spans="2:17" x14ac:dyDescent="0.25">
      <c r="B207" s="255" t="s">
        <v>260</v>
      </c>
      <c r="C207" s="310">
        <v>10</v>
      </c>
      <c r="D207" s="310">
        <v>17</v>
      </c>
      <c r="E207" s="310">
        <v>27</v>
      </c>
      <c r="F207" s="310">
        <v>33</v>
      </c>
      <c r="G207" s="310">
        <v>29</v>
      </c>
      <c r="H207" s="282">
        <v>62</v>
      </c>
      <c r="I207" s="310"/>
      <c r="J207" s="282"/>
      <c r="K207" s="310"/>
      <c r="L207" s="282">
        <v>4</v>
      </c>
      <c r="M207" s="310">
        <v>3</v>
      </c>
      <c r="N207" s="282">
        <v>7</v>
      </c>
      <c r="O207" s="300">
        <v>47</v>
      </c>
      <c r="P207" s="300">
        <v>49</v>
      </c>
      <c r="Q207" s="300">
        <v>96</v>
      </c>
    </row>
    <row r="208" spans="2:17" x14ac:dyDescent="0.25">
      <c r="B208" s="255" t="s">
        <v>261</v>
      </c>
      <c r="C208" s="310">
        <v>13</v>
      </c>
      <c r="D208" s="310">
        <v>25</v>
      </c>
      <c r="E208" s="310">
        <v>38</v>
      </c>
      <c r="F208" s="310">
        <v>38</v>
      </c>
      <c r="G208" s="310">
        <v>36</v>
      </c>
      <c r="H208" s="282">
        <v>74</v>
      </c>
      <c r="I208" s="310">
        <v>1</v>
      </c>
      <c r="J208" s="282"/>
      <c r="K208" s="310">
        <v>1</v>
      </c>
      <c r="L208" s="282">
        <v>2</v>
      </c>
      <c r="M208" s="310">
        <v>6</v>
      </c>
      <c r="N208" s="282">
        <v>8</v>
      </c>
      <c r="O208" s="300">
        <v>54</v>
      </c>
      <c r="P208" s="300">
        <v>67</v>
      </c>
      <c r="Q208" s="300">
        <v>121</v>
      </c>
    </row>
    <row r="209" spans="2:17" x14ac:dyDescent="0.25">
      <c r="B209" s="255" t="s">
        <v>262</v>
      </c>
      <c r="C209" s="310">
        <v>13</v>
      </c>
      <c r="D209" s="310">
        <v>35</v>
      </c>
      <c r="E209" s="310">
        <v>48</v>
      </c>
      <c r="F209" s="310">
        <v>39</v>
      </c>
      <c r="G209" s="310">
        <v>30</v>
      </c>
      <c r="H209" s="282">
        <v>69</v>
      </c>
      <c r="I209" s="310">
        <v>1</v>
      </c>
      <c r="J209" s="282"/>
      <c r="K209" s="310">
        <v>1</v>
      </c>
      <c r="L209" s="282"/>
      <c r="M209" s="310">
        <v>6</v>
      </c>
      <c r="N209" s="282">
        <v>6</v>
      </c>
      <c r="O209" s="300">
        <v>53</v>
      </c>
      <c r="P209" s="300">
        <v>71</v>
      </c>
      <c r="Q209" s="300">
        <v>124</v>
      </c>
    </row>
    <row r="210" spans="2:17" x14ac:dyDescent="0.25">
      <c r="B210" s="255" t="s">
        <v>263</v>
      </c>
      <c r="C210" s="310">
        <v>1</v>
      </c>
      <c r="D210" s="310">
        <v>4</v>
      </c>
      <c r="E210" s="310">
        <v>5</v>
      </c>
      <c r="F210" s="310">
        <v>4</v>
      </c>
      <c r="G210" s="310">
        <v>12</v>
      </c>
      <c r="H210" s="282">
        <v>16</v>
      </c>
      <c r="I210" s="310"/>
      <c r="J210" s="282"/>
      <c r="K210" s="310"/>
      <c r="L210" s="282">
        <v>1</v>
      </c>
      <c r="M210" s="310"/>
      <c r="N210" s="282">
        <v>1</v>
      </c>
      <c r="O210" s="300">
        <v>6</v>
      </c>
      <c r="P210" s="300">
        <v>16</v>
      </c>
      <c r="Q210" s="300">
        <v>22</v>
      </c>
    </row>
    <row r="211" spans="2:17" x14ac:dyDescent="0.25">
      <c r="B211" s="255" t="s">
        <v>264</v>
      </c>
      <c r="C211" s="310">
        <v>3</v>
      </c>
      <c r="D211" s="310">
        <v>8</v>
      </c>
      <c r="E211" s="310">
        <v>11</v>
      </c>
      <c r="F211" s="310">
        <v>6</v>
      </c>
      <c r="G211" s="310">
        <v>5</v>
      </c>
      <c r="H211" s="282">
        <v>11</v>
      </c>
      <c r="I211" s="310"/>
      <c r="J211" s="282"/>
      <c r="K211" s="310"/>
      <c r="L211" s="282"/>
      <c r="M211" s="310"/>
      <c r="N211" s="282"/>
      <c r="O211" s="300">
        <v>9</v>
      </c>
      <c r="P211" s="300">
        <v>13</v>
      </c>
      <c r="Q211" s="300">
        <v>22</v>
      </c>
    </row>
    <row r="212" spans="2:17" x14ac:dyDescent="0.25">
      <c r="B212" s="255" t="s">
        <v>265</v>
      </c>
      <c r="C212" s="310">
        <v>3</v>
      </c>
      <c r="D212" s="310">
        <v>4</v>
      </c>
      <c r="E212" s="310">
        <v>7</v>
      </c>
      <c r="F212" s="310">
        <v>14</v>
      </c>
      <c r="G212" s="310">
        <v>8</v>
      </c>
      <c r="H212" s="282">
        <v>22</v>
      </c>
      <c r="I212" s="310"/>
      <c r="J212" s="282"/>
      <c r="K212" s="310"/>
      <c r="L212" s="282"/>
      <c r="M212" s="310"/>
      <c r="N212" s="282"/>
      <c r="O212" s="300">
        <v>17</v>
      </c>
      <c r="P212" s="300">
        <v>12</v>
      </c>
      <c r="Q212" s="300">
        <v>29</v>
      </c>
    </row>
    <row r="213" spans="2:17" x14ac:dyDescent="0.25">
      <c r="B213" s="255" t="s">
        <v>266</v>
      </c>
      <c r="C213" s="310">
        <v>3</v>
      </c>
      <c r="D213" s="310">
        <v>5</v>
      </c>
      <c r="E213" s="310">
        <v>8</v>
      </c>
      <c r="F213" s="310">
        <v>12</v>
      </c>
      <c r="G213" s="310">
        <v>9</v>
      </c>
      <c r="H213" s="282">
        <v>21</v>
      </c>
      <c r="I213" s="310"/>
      <c r="J213" s="282"/>
      <c r="K213" s="310"/>
      <c r="L213" s="282">
        <v>1</v>
      </c>
      <c r="M213" s="310"/>
      <c r="N213" s="282">
        <v>1</v>
      </c>
      <c r="O213" s="300">
        <v>16</v>
      </c>
      <c r="P213" s="300">
        <v>14</v>
      </c>
      <c r="Q213" s="300">
        <v>30</v>
      </c>
    </row>
    <row r="214" spans="2:17" x14ac:dyDescent="0.25">
      <c r="B214" s="255" t="s">
        <v>267</v>
      </c>
      <c r="C214" s="310">
        <v>8</v>
      </c>
      <c r="D214" s="310">
        <v>17</v>
      </c>
      <c r="E214" s="310">
        <v>25</v>
      </c>
      <c r="F214" s="310">
        <v>28</v>
      </c>
      <c r="G214" s="310">
        <v>18</v>
      </c>
      <c r="H214" s="282">
        <v>46</v>
      </c>
      <c r="I214" s="310"/>
      <c r="J214" s="282"/>
      <c r="K214" s="310"/>
      <c r="L214" s="282"/>
      <c r="M214" s="310">
        <v>1</v>
      </c>
      <c r="N214" s="282">
        <v>1</v>
      </c>
      <c r="O214" s="300">
        <v>36</v>
      </c>
      <c r="P214" s="300">
        <v>36</v>
      </c>
      <c r="Q214" s="300">
        <v>72</v>
      </c>
    </row>
    <row r="215" spans="2:17" x14ac:dyDescent="0.25">
      <c r="B215" s="255" t="s">
        <v>268</v>
      </c>
      <c r="C215" s="310">
        <v>5</v>
      </c>
      <c r="D215" s="310">
        <v>8</v>
      </c>
      <c r="E215" s="310">
        <v>13</v>
      </c>
      <c r="F215" s="310">
        <v>13</v>
      </c>
      <c r="G215" s="310">
        <v>10</v>
      </c>
      <c r="H215" s="282">
        <v>23</v>
      </c>
      <c r="I215" s="310">
        <v>1</v>
      </c>
      <c r="J215" s="282"/>
      <c r="K215" s="310">
        <v>1</v>
      </c>
      <c r="L215" s="282">
        <v>2</v>
      </c>
      <c r="M215" s="310">
        <v>1</v>
      </c>
      <c r="N215" s="282">
        <v>3</v>
      </c>
      <c r="O215" s="300">
        <v>21</v>
      </c>
      <c r="P215" s="300">
        <v>19</v>
      </c>
      <c r="Q215" s="300">
        <v>40</v>
      </c>
    </row>
    <row r="216" spans="2:17" x14ac:dyDescent="0.25">
      <c r="B216" s="255" t="s">
        <v>269</v>
      </c>
      <c r="C216" s="310">
        <v>6</v>
      </c>
      <c r="D216" s="310">
        <v>9</v>
      </c>
      <c r="E216" s="310">
        <v>15</v>
      </c>
      <c r="F216" s="310">
        <v>13</v>
      </c>
      <c r="G216" s="310">
        <v>11</v>
      </c>
      <c r="H216" s="282">
        <v>24</v>
      </c>
      <c r="I216" s="310"/>
      <c r="J216" s="282"/>
      <c r="K216" s="310"/>
      <c r="L216" s="282">
        <v>1</v>
      </c>
      <c r="M216" s="310">
        <v>1</v>
      </c>
      <c r="N216" s="282">
        <v>2</v>
      </c>
      <c r="O216" s="300">
        <v>20</v>
      </c>
      <c r="P216" s="300">
        <v>21</v>
      </c>
      <c r="Q216" s="300">
        <v>41</v>
      </c>
    </row>
    <row r="217" spans="2:17" x14ac:dyDescent="0.25">
      <c r="B217" s="255" t="s">
        <v>270</v>
      </c>
      <c r="C217" s="310">
        <v>7</v>
      </c>
      <c r="D217" s="310">
        <v>15</v>
      </c>
      <c r="E217" s="310">
        <v>22</v>
      </c>
      <c r="F217" s="310">
        <v>7</v>
      </c>
      <c r="G217" s="310">
        <v>12</v>
      </c>
      <c r="H217" s="282">
        <v>19</v>
      </c>
      <c r="I217" s="310"/>
      <c r="J217" s="282"/>
      <c r="K217" s="310"/>
      <c r="L217" s="282"/>
      <c r="M217" s="310">
        <v>2</v>
      </c>
      <c r="N217" s="282">
        <v>2</v>
      </c>
      <c r="O217" s="300">
        <v>14</v>
      </c>
      <c r="P217" s="300">
        <v>29</v>
      </c>
      <c r="Q217" s="300">
        <v>43</v>
      </c>
    </row>
    <row r="218" spans="2:17" x14ac:dyDescent="0.25">
      <c r="B218" s="255" t="s">
        <v>271</v>
      </c>
      <c r="C218" s="310">
        <v>26</v>
      </c>
      <c r="D218" s="310">
        <v>20</v>
      </c>
      <c r="E218" s="310">
        <v>46</v>
      </c>
      <c r="F218" s="310">
        <v>28</v>
      </c>
      <c r="G218" s="310">
        <v>28</v>
      </c>
      <c r="H218" s="282">
        <v>56</v>
      </c>
      <c r="I218" s="310"/>
      <c r="J218" s="282"/>
      <c r="K218" s="310"/>
      <c r="L218" s="282">
        <v>6</v>
      </c>
      <c r="M218" s="310">
        <v>4</v>
      </c>
      <c r="N218" s="282">
        <v>10</v>
      </c>
      <c r="O218" s="300">
        <v>60</v>
      </c>
      <c r="P218" s="300">
        <v>52</v>
      </c>
      <c r="Q218" s="300">
        <v>112</v>
      </c>
    </row>
    <row r="219" spans="2:17" x14ac:dyDescent="0.25">
      <c r="B219" s="255" t="s">
        <v>272</v>
      </c>
      <c r="C219" s="310">
        <v>18</v>
      </c>
      <c r="D219" s="310">
        <v>19</v>
      </c>
      <c r="E219" s="310">
        <v>37</v>
      </c>
      <c r="F219" s="310">
        <v>31</v>
      </c>
      <c r="G219" s="310">
        <v>17</v>
      </c>
      <c r="H219" s="282">
        <v>48</v>
      </c>
      <c r="I219" s="310"/>
      <c r="J219" s="282"/>
      <c r="K219" s="310"/>
      <c r="L219" s="282">
        <v>3</v>
      </c>
      <c r="M219" s="310">
        <v>1</v>
      </c>
      <c r="N219" s="282">
        <v>4</v>
      </c>
      <c r="O219" s="300">
        <v>52</v>
      </c>
      <c r="P219" s="300">
        <v>37</v>
      </c>
      <c r="Q219" s="300">
        <v>89</v>
      </c>
    </row>
    <row r="220" spans="2:17" x14ac:dyDescent="0.25">
      <c r="B220" s="255" t="s">
        <v>273</v>
      </c>
      <c r="C220" s="310">
        <v>5</v>
      </c>
      <c r="D220" s="310">
        <v>11</v>
      </c>
      <c r="E220" s="310">
        <v>16</v>
      </c>
      <c r="F220" s="310">
        <v>7</v>
      </c>
      <c r="G220" s="310">
        <v>7</v>
      </c>
      <c r="H220" s="282">
        <v>14</v>
      </c>
      <c r="I220" s="310"/>
      <c r="J220" s="282"/>
      <c r="K220" s="310"/>
      <c r="L220" s="282"/>
      <c r="M220" s="310">
        <v>1</v>
      </c>
      <c r="N220" s="282">
        <v>1</v>
      </c>
      <c r="O220" s="300">
        <v>12</v>
      </c>
      <c r="P220" s="300">
        <v>19</v>
      </c>
      <c r="Q220" s="300">
        <v>31</v>
      </c>
    </row>
    <row r="221" spans="2:17" x14ac:dyDescent="0.25">
      <c r="B221" s="255" t="s">
        <v>274</v>
      </c>
      <c r="C221" s="310">
        <v>113</v>
      </c>
      <c r="D221" s="310">
        <v>109</v>
      </c>
      <c r="E221" s="310">
        <v>222</v>
      </c>
      <c r="F221" s="310">
        <v>252</v>
      </c>
      <c r="G221" s="310">
        <v>157</v>
      </c>
      <c r="H221" s="282">
        <v>409</v>
      </c>
      <c r="I221" s="310">
        <v>1</v>
      </c>
      <c r="J221" s="282">
        <v>1</v>
      </c>
      <c r="K221" s="310">
        <v>2</v>
      </c>
      <c r="L221" s="282">
        <v>13</v>
      </c>
      <c r="M221" s="310">
        <v>15</v>
      </c>
      <c r="N221" s="282">
        <v>28</v>
      </c>
      <c r="O221" s="300">
        <v>379</v>
      </c>
      <c r="P221" s="300">
        <v>282</v>
      </c>
      <c r="Q221" s="300">
        <v>661</v>
      </c>
    </row>
    <row r="222" spans="2:17" x14ac:dyDescent="0.25">
      <c r="B222" s="255" t="s">
        <v>275</v>
      </c>
      <c r="C222" s="310">
        <v>11</v>
      </c>
      <c r="D222" s="310">
        <v>12</v>
      </c>
      <c r="E222" s="310">
        <v>23</v>
      </c>
      <c r="F222" s="310">
        <v>16</v>
      </c>
      <c r="G222" s="310">
        <v>19</v>
      </c>
      <c r="H222" s="282">
        <v>35</v>
      </c>
      <c r="I222" s="310">
        <v>1</v>
      </c>
      <c r="J222" s="282"/>
      <c r="K222" s="310">
        <v>1</v>
      </c>
      <c r="L222" s="282">
        <v>1</v>
      </c>
      <c r="M222" s="310">
        <v>5</v>
      </c>
      <c r="N222" s="282">
        <v>6</v>
      </c>
      <c r="O222" s="300">
        <v>29</v>
      </c>
      <c r="P222" s="300">
        <v>36</v>
      </c>
      <c r="Q222" s="300">
        <v>65</v>
      </c>
    </row>
    <row r="223" spans="2:17" x14ac:dyDescent="0.25">
      <c r="B223" s="255" t="s">
        <v>276</v>
      </c>
      <c r="C223" s="310">
        <v>2</v>
      </c>
      <c r="D223" s="310">
        <v>1</v>
      </c>
      <c r="E223" s="310">
        <v>3</v>
      </c>
      <c r="F223" s="310">
        <v>5</v>
      </c>
      <c r="G223" s="310">
        <v>2</v>
      </c>
      <c r="H223" s="282">
        <v>7</v>
      </c>
      <c r="I223" s="310"/>
      <c r="J223" s="282"/>
      <c r="K223" s="310"/>
      <c r="L223" s="282"/>
      <c r="M223" s="310">
        <v>1</v>
      </c>
      <c r="N223" s="282">
        <v>1</v>
      </c>
      <c r="O223" s="300">
        <v>7</v>
      </c>
      <c r="P223" s="300">
        <v>4</v>
      </c>
      <c r="Q223" s="300">
        <v>11</v>
      </c>
    </row>
    <row r="224" spans="2:17" x14ac:dyDescent="0.25">
      <c r="B224" s="255" t="s">
        <v>277</v>
      </c>
      <c r="C224" s="310">
        <v>13</v>
      </c>
      <c r="D224" s="310">
        <v>10</v>
      </c>
      <c r="E224" s="310">
        <v>23</v>
      </c>
      <c r="F224" s="310">
        <v>21</v>
      </c>
      <c r="G224" s="310">
        <v>16</v>
      </c>
      <c r="H224" s="282">
        <v>37</v>
      </c>
      <c r="I224" s="310">
        <v>1</v>
      </c>
      <c r="J224" s="282"/>
      <c r="K224" s="310">
        <v>1</v>
      </c>
      <c r="L224" s="282">
        <v>1</v>
      </c>
      <c r="M224" s="310"/>
      <c r="N224" s="282">
        <v>1</v>
      </c>
      <c r="O224" s="300">
        <v>36</v>
      </c>
      <c r="P224" s="300">
        <v>26</v>
      </c>
      <c r="Q224" s="300">
        <v>62</v>
      </c>
    </row>
    <row r="225" spans="2:17" x14ac:dyDescent="0.25">
      <c r="B225" s="256" t="s">
        <v>278</v>
      </c>
      <c r="C225" s="310">
        <v>9</v>
      </c>
      <c r="D225" s="310">
        <v>13</v>
      </c>
      <c r="E225" s="310">
        <v>22</v>
      </c>
      <c r="F225" s="310">
        <v>15</v>
      </c>
      <c r="G225" s="310">
        <v>19</v>
      </c>
      <c r="H225" s="282">
        <v>34</v>
      </c>
      <c r="I225" s="310">
        <v>1</v>
      </c>
      <c r="J225" s="282"/>
      <c r="K225" s="310">
        <v>1</v>
      </c>
      <c r="L225" s="282"/>
      <c r="M225" s="310">
        <v>2</v>
      </c>
      <c r="N225" s="282">
        <v>2</v>
      </c>
      <c r="O225" s="300">
        <v>25</v>
      </c>
      <c r="P225" s="300">
        <v>34</v>
      </c>
      <c r="Q225" s="300">
        <v>59</v>
      </c>
    </row>
    <row r="226" spans="2:17" x14ac:dyDescent="0.25">
      <c r="B226" s="351" t="s">
        <v>35</v>
      </c>
      <c r="C226" s="302">
        <v>470</v>
      </c>
      <c r="D226" s="302">
        <v>602</v>
      </c>
      <c r="E226" s="302">
        <v>1072</v>
      </c>
      <c r="F226" s="302">
        <v>1056</v>
      </c>
      <c r="G226" s="302">
        <v>741</v>
      </c>
      <c r="H226" s="300">
        <v>1797</v>
      </c>
      <c r="I226" s="302">
        <v>15</v>
      </c>
      <c r="J226" s="300">
        <v>6</v>
      </c>
      <c r="K226" s="302">
        <v>21</v>
      </c>
      <c r="L226" s="300">
        <v>58</v>
      </c>
      <c r="M226" s="302">
        <v>92</v>
      </c>
      <c r="N226" s="300">
        <v>150</v>
      </c>
      <c r="O226" s="300">
        <v>1599</v>
      </c>
      <c r="P226" s="300">
        <v>1441</v>
      </c>
      <c r="Q226" s="300">
        <v>3040</v>
      </c>
    </row>
    <row r="227" spans="2:17" ht="126" customHeight="1" x14ac:dyDescent="0.25">
      <c r="B227" s="469" t="s">
        <v>929</v>
      </c>
      <c r="C227" s="469"/>
      <c r="D227" s="469"/>
      <c r="E227" s="469"/>
      <c r="F227" s="469"/>
      <c r="G227" s="469"/>
      <c r="H227" s="469"/>
      <c r="I227" s="469"/>
      <c r="J227" s="469"/>
      <c r="K227" s="469"/>
      <c r="L227" s="469"/>
      <c r="M227" s="469"/>
      <c r="N227" s="469"/>
      <c r="O227" s="469"/>
      <c r="P227" s="469"/>
      <c r="Q227" s="469"/>
    </row>
    <row r="228" spans="2:17" x14ac:dyDescent="0.25">
      <c r="B228" s="172"/>
      <c r="C228" s="172"/>
      <c r="D228" s="172"/>
      <c r="E228"/>
      <c r="F228"/>
      <c r="G228"/>
    </row>
    <row r="229" spans="2:17" x14ac:dyDescent="0.25">
      <c r="B229" s="201" t="s">
        <v>524</v>
      </c>
      <c r="C229"/>
      <c r="D229"/>
      <c r="E229"/>
      <c r="F229"/>
      <c r="G229"/>
    </row>
    <row r="230" spans="2:17" x14ac:dyDescent="0.25">
      <c r="B230" s="201"/>
      <c r="C230"/>
      <c r="D230"/>
      <c r="E230"/>
      <c r="F230"/>
      <c r="G230"/>
    </row>
    <row r="231" spans="2:17" ht="15" customHeight="1" x14ac:dyDescent="0.25">
      <c r="B231" s="466" t="s">
        <v>544</v>
      </c>
      <c r="C231" s="479" t="s">
        <v>488</v>
      </c>
      <c r="D231" s="479"/>
      <c r="E231" s="479"/>
      <c r="F231" s="479"/>
      <c r="G231" s="479"/>
      <c r="H231" s="479"/>
      <c r="I231" s="479"/>
      <c r="J231" s="479"/>
      <c r="K231" s="479"/>
      <c r="L231" s="479"/>
      <c r="M231" s="479"/>
      <c r="N231" s="479"/>
      <c r="O231" s="483" t="s">
        <v>746</v>
      </c>
      <c r="P231" s="484"/>
      <c r="Q231" s="485"/>
    </row>
    <row r="232" spans="2:17" ht="15" customHeight="1" x14ac:dyDescent="0.25">
      <c r="B232" s="467"/>
      <c r="C232" s="479" t="s">
        <v>707</v>
      </c>
      <c r="D232" s="479"/>
      <c r="E232" s="479"/>
      <c r="F232" s="479" t="s">
        <v>497</v>
      </c>
      <c r="G232" s="479"/>
      <c r="H232" s="479"/>
      <c r="I232" s="479" t="s">
        <v>4</v>
      </c>
      <c r="J232" s="479"/>
      <c r="K232" s="479"/>
      <c r="L232" s="479" t="s">
        <v>6</v>
      </c>
      <c r="M232" s="479"/>
      <c r="N232" s="479"/>
      <c r="O232" s="486"/>
      <c r="P232" s="487"/>
      <c r="Q232" s="488"/>
    </row>
    <row r="233" spans="2:17" x14ac:dyDescent="0.25">
      <c r="B233" s="468"/>
      <c r="C233" s="175" t="s">
        <v>83</v>
      </c>
      <c r="D233" s="175" t="s">
        <v>84</v>
      </c>
      <c r="E233" s="175" t="s">
        <v>35</v>
      </c>
      <c r="F233" s="175" t="s">
        <v>83</v>
      </c>
      <c r="G233" s="175" t="s">
        <v>84</v>
      </c>
      <c r="H233" s="175" t="s">
        <v>35</v>
      </c>
      <c r="I233" s="175" t="s">
        <v>83</v>
      </c>
      <c r="J233" s="175" t="s">
        <v>84</v>
      </c>
      <c r="K233" s="175" t="s">
        <v>35</v>
      </c>
      <c r="L233" s="175" t="s">
        <v>83</v>
      </c>
      <c r="M233" s="175" t="s">
        <v>84</v>
      </c>
      <c r="N233" s="175" t="s">
        <v>35</v>
      </c>
      <c r="O233" s="262" t="s">
        <v>83</v>
      </c>
      <c r="P233" s="262" t="s">
        <v>84</v>
      </c>
      <c r="Q233" s="262" t="s">
        <v>35</v>
      </c>
    </row>
    <row r="234" spans="2:17" x14ac:dyDescent="0.25">
      <c r="B234" s="171" t="s">
        <v>280</v>
      </c>
      <c r="C234" s="308">
        <v>2</v>
      </c>
      <c r="D234" s="308">
        <v>5</v>
      </c>
      <c r="E234" s="308">
        <v>7</v>
      </c>
      <c r="F234" s="314">
        <v>3</v>
      </c>
      <c r="G234" s="310">
        <v>2</v>
      </c>
      <c r="H234" s="282">
        <v>5</v>
      </c>
      <c r="I234" s="310"/>
      <c r="J234" s="282">
        <v>1</v>
      </c>
      <c r="K234" s="310">
        <v>1</v>
      </c>
      <c r="L234" s="282"/>
      <c r="M234" s="310">
        <v>2</v>
      </c>
      <c r="N234" s="282">
        <v>2</v>
      </c>
      <c r="O234" s="300">
        <v>5</v>
      </c>
      <c r="P234" s="300">
        <v>10</v>
      </c>
      <c r="Q234" s="300">
        <v>15</v>
      </c>
    </row>
    <row r="235" spans="2:17" x14ac:dyDescent="0.25">
      <c r="B235" s="150" t="s">
        <v>281</v>
      </c>
      <c r="C235" s="308">
        <v>4</v>
      </c>
      <c r="D235" s="308">
        <v>1</v>
      </c>
      <c r="E235" s="308">
        <v>5</v>
      </c>
      <c r="F235" s="314">
        <v>8</v>
      </c>
      <c r="G235" s="310">
        <v>4</v>
      </c>
      <c r="H235" s="282">
        <v>12</v>
      </c>
      <c r="I235" s="310"/>
      <c r="J235" s="282"/>
      <c r="K235" s="310"/>
      <c r="L235" s="282"/>
      <c r="M235" s="310"/>
      <c r="N235" s="282"/>
      <c r="O235" s="300">
        <v>12</v>
      </c>
      <c r="P235" s="300">
        <v>5</v>
      </c>
      <c r="Q235" s="300">
        <v>17</v>
      </c>
    </row>
    <row r="236" spans="2:17" x14ac:dyDescent="0.25">
      <c r="B236" s="150" t="s">
        <v>282</v>
      </c>
      <c r="C236" s="308">
        <v>30</v>
      </c>
      <c r="D236" s="308">
        <v>15</v>
      </c>
      <c r="E236" s="308">
        <v>45</v>
      </c>
      <c r="F236" s="314">
        <v>27</v>
      </c>
      <c r="G236" s="310">
        <v>33</v>
      </c>
      <c r="H236" s="282">
        <v>60</v>
      </c>
      <c r="I236" s="310"/>
      <c r="J236" s="282"/>
      <c r="K236" s="310"/>
      <c r="L236" s="282"/>
      <c r="M236" s="310">
        <v>2</v>
      </c>
      <c r="N236" s="282">
        <v>2</v>
      </c>
      <c r="O236" s="300">
        <v>57</v>
      </c>
      <c r="P236" s="300">
        <v>50</v>
      </c>
      <c r="Q236" s="300">
        <v>107</v>
      </c>
    </row>
    <row r="237" spans="2:17" x14ac:dyDescent="0.25">
      <c r="B237" s="150" t="s">
        <v>283</v>
      </c>
      <c r="C237" s="308">
        <v>12</v>
      </c>
      <c r="D237" s="308">
        <v>13</v>
      </c>
      <c r="E237" s="308">
        <v>25</v>
      </c>
      <c r="F237" s="314">
        <v>15</v>
      </c>
      <c r="G237" s="310">
        <v>9</v>
      </c>
      <c r="H237" s="282">
        <v>24</v>
      </c>
      <c r="I237" s="310">
        <v>2</v>
      </c>
      <c r="J237" s="282"/>
      <c r="K237" s="310">
        <v>2</v>
      </c>
      <c r="L237" s="282">
        <v>2</v>
      </c>
      <c r="M237" s="310">
        <v>3</v>
      </c>
      <c r="N237" s="282">
        <v>5</v>
      </c>
      <c r="O237" s="300">
        <v>31</v>
      </c>
      <c r="P237" s="300">
        <v>25</v>
      </c>
      <c r="Q237" s="300">
        <v>56</v>
      </c>
    </row>
    <row r="238" spans="2:17" x14ac:dyDescent="0.25">
      <c r="B238" s="150" t="s">
        <v>507</v>
      </c>
      <c r="C238" s="308">
        <v>23</v>
      </c>
      <c r="D238" s="308">
        <v>18</v>
      </c>
      <c r="E238" s="308">
        <v>41</v>
      </c>
      <c r="F238" s="314">
        <v>21</v>
      </c>
      <c r="G238" s="310">
        <v>16</v>
      </c>
      <c r="H238" s="282">
        <v>37</v>
      </c>
      <c r="I238" s="310">
        <v>1</v>
      </c>
      <c r="J238" s="282">
        <v>2</v>
      </c>
      <c r="K238" s="310">
        <v>3</v>
      </c>
      <c r="L238" s="282"/>
      <c r="M238" s="310">
        <v>2</v>
      </c>
      <c r="N238" s="282">
        <v>2</v>
      </c>
      <c r="O238" s="300">
        <v>45</v>
      </c>
      <c r="P238" s="300">
        <v>38</v>
      </c>
      <c r="Q238" s="300">
        <v>83</v>
      </c>
    </row>
    <row r="239" spans="2:17" x14ac:dyDescent="0.25">
      <c r="B239" s="150" t="s">
        <v>284</v>
      </c>
      <c r="C239" s="308">
        <v>38</v>
      </c>
      <c r="D239" s="308">
        <v>48</v>
      </c>
      <c r="E239" s="308">
        <v>86</v>
      </c>
      <c r="F239" s="314">
        <v>121</v>
      </c>
      <c r="G239" s="310">
        <v>77</v>
      </c>
      <c r="H239" s="282">
        <v>198</v>
      </c>
      <c r="I239" s="310"/>
      <c r="J239" s="282"/>
      <c r="K239" s="310"/>
      <c r="L239" s="282">
        <v>1</v>
      </c>
      <c r="M239" s="310"/>
      <c r="N239" s="282">
        <v>1</v>
      </c>
      <c r="O239" s="300">
        <v>160</v>
      </c>
      <c r="P239" s="300">
        <v>125</v>
      </c>
      <c r="Q239" s="300">
        <v>285</v>
      </c>
    </row>
    <row r="240" spans="2:17" x14ac:dyDescent="0.25">
      <c r="B240" s="150" t="s">
        <v>285</v>
      </c>
      <c r="C240" s="308">
        <v>80</v>
      </c>
      <c r="D240" s="308">
        <v>112</v>
      </c>
      <c r="E240" s="308">
        <v>192</v>
      </c>
      <c r="F240" s="314">
        <v>339</v>
      </c>
      <c r="G240" s="310">
        <v>182</v>
      </c>
      <c r="H240" s="282">
        <v>521</v>
      </c>
      <c r="I240" s="310">
        <v>1</v>
      </c>
      <c r="J240" s="282">
        <v>3</v>
      </c>
      <c r="K240" s="310">
        <v>4</v>
      </c>
      <c r="L240" s="282">
        <v>5</v>
      </c>
      <c r="M240" s="310">
        <v>9</v>
      </c>
      <c r="N240" s="282">
        <v>14</v>
      </c>
      <c r="O240" s="300">
        <v>425</v>
      </c>
      <c r="P240" s="300">
        <v>306</v>
      </c>
      <c r="Q240" s="300">
        <v>731</v>
      </c>
    </row>
    <row r="241" spans="2:17" x14ac:dyDescent="0.25">
      <c r="B241" s="150" t="s">
        <v>286</v>
      </c>
      <c r="C241" s="308">
        <v>3</v>
      </c>
      <c r="D241" s="308">
        <v>2</v>
      </c>
      <c r="E241" s="308">
        <v>5</v>
      </c>
      <c r="F241" s="314">
        <v>8</v>
      </c>
      <c r="G241" s="310">
        <v>1</v>
      </c>
      <c r="H241" s="282">
        <v>9</v>
      </c>
      <c r="I241" s="310"/>
      <c r="J241" s="282"/>
      <c r="K241" s="310"/>
      <c r="L241" s="282"/>
      <c r="M241" s="310">
        <v>1</v>
      </c>
      <c r="N241" s="282">
        <v>1</v>
      </c>
      <c r="O241" s="300">
        <v>11</v>
      </c>
      <c r="P241" s="300">
        <v>4</v>
      </c>
      <c r="Q241" s="300">
        <v>15</v>
      </c>
    </row>
    <row r="242" spans="2:17" x14ac:dyDescent="0.25">
      <c r="B242" s="150" t="s">
        <v>287</v>
      </c>
      <c r="C242" s="308">
        <v>58</v>
      </c>
      <c r="D242" s="308">
        <v>46</v>
      </c>
      <c r="E242" s="308">
        <v>104</v>
      </c>
      <c r="F242" s="314">
        <v>85</v>
      </c>
      <c r="G242" s="310">
        <v>70</v>
      </c>
      <c r="H242" s="282">
        <v>155</v>
      </c>
      <c r="I242" s="310">
        <v>2</v>
      </c>
      <c r="J242" s="282"/>
      <c r="K242" s="310">
        <v>2</v>
      </c>
      <c r="L242" s="282">
        <v>4</v>
      </c>
      <c r="M242" s="310">
        <v>7</v>
      </c>
      <c r="N242" s="282">
        <v>11</v>
      </c>
      <c r="O242" s="300">
        <v>149</v>
      </c>
      <c r="P242" s="300">
        <v>123</v>
      </c>
      <c r="Q242" s="300">
        <v>272</v>
      </c>
    </row>
    <row r="243" spans="2:17" x14ac:dyDescent="0.25">
      <c r="B243" s="150" t="s">
        <v>288</v>
      </c>
      <c r="C243" s="308">
        <v>25</v>
      </c>
      <c r="D243" s="308">
        <v>24</v>
      </c>
      <c r="E243" s="308">
        <v>49</v>
      </c>
      <c r="F243" s="314">
        <v>26</v>
      </c>
      <c r="G243" s="310">
        <v>20</v>
      </c>
      <c r="H243" s="282">
        <v>46</v>
      </c>
      <c r="I243" s="310"/>
      <c r="J243" s="282"/>
      <c r="K243" s="310"/>
      <c r="L243" s="282"/>
      <c r="M243" s="310">
        <v>2</v>
      </c>
      <c r="N243" s="282">
        <v>2</v>
      </c>
      <c r="O243" s="300">
        <v>51</v>
      </c>
      <c r="P243" s="300">
        <v>46</v>
      </c>
      <c r="Q243" s="300">
        <v>97</v>
      </c>
    </row>
    <row r="244" spans="2:17" x14ac:dyDescent="0.25">
      <c r="B244" s="150" t="s">
        <v>289</v>
      </c>
      <c r="C244" s="308">
        <v>2</v>
      </c>
      <c r="D244" s="308">
        <v>7</v>
      </c>
      <c r="E244" s="308">
        <v>9</v>
      </c>
      <c r="F244" s="314">
        <v>7</v>
      </c>
      <c r="G244" s="310">
        <v>9</v>
      </c>
      <c r="H244" s="282">
        <v>16</v>
      </c>
      <c r="I244" s="310"/>
      <c r="J244" s="282"/>
      <c r="K244" s="310"/>
      <c r="L244" s="282">
        <v>1</v>
      </c>
      <c r="M244" s="310">
        <v>1</v>
      </c>
      <c r="N244" s="282">
        <v>2</v>
      </c>
      <c r="O244" s="300">
        <v>10</v>
      </c>
      <c r="P244" s="300">
        <v>17</v>
      </c>
      <c r="Q244" s="300">
        <v>27</v>
      </c>
    </row>
    <row r="245" spans="2:17" x14ac:dyDescent="0.25">
      <c r="B245" s="150" t="s">
        <v>290</v>
      </c>
      <c r="C245" s="308">
        <v>32</v>
      </c>
      <c r="D245" s="308">
        <v>40</v>
      </c>
      <c r="E245" s="308">
        <v>72</v>
      </c>
      <c r="F245" s="314">
        <v>111</v>
      </c>
      <c r="G245" s="310">
        <v>63</v>
      </c>
      <c r="H245" s="282">
        <v>174</v>
      </c>
      <c r="I245" s="310">
        <v>1</v>
      </c>
      <c r="J245" s="282"/>
      <c r="K245" s="310">
        <v>1</v>
      </c>
      <c r="L245" s="282">
        <v>3</v>
      </c>
      <c r="M245" s="310">
        <v>9</v>
      </c>
      <c r="N245" s="282">
        <v>12</v>
      </c>
      <c r="O245" s="300">
        <v>147</v>
      </c>
      <c r="P245" s="300">
        <v>112</v>
      </c>
      <c r="Q245" s="300">
        <v>259</v>
      </c>
    </row>
    <row r="246" spans="2:17" x14ac:dyDescent="0.25">
      <c r="B246" s="150" t="s">
        <v>291</v>
      </c>
      <c r="C246" s="308">
        <v>16</v>
      </c>
      <c r="D246" s="308">
        <v>17</v>
      </c>
      <c r="E246" s="308">
        <v>33</v>
      </c>
      <c r="F246" s="314">
        <v>12</v>
      </c>
      <c r="G246" s="310">
        <v>17</v>
      </c>
      <c r="H246" s="282">
        <v>29</v>
      </c>
      <c r="I246" s="310"/>
      <c r="J246" s="282"/>
      <c r="K246" s="310"/>
      <c r="L246" s="282">
        <v>2</v>
      </c>
      <c r="M246" s="310"/>
      <c r="N246" s="282">
        <v>2</v>
      </c>
      <c r="O246" s="300">
        <v>30</v>
      </c>
      <c r="P246" s="300">
        <v>34</v>
      </c>
      <c r="Q246" s="300">
        <v>64</v>
      </c>
    </row>
    <row r="247" spans="2:17" x14ac:dyDescent="0.25">
      <c r="B247" s="150" t="s">
        <v>292</v>
      </c>
      <c r="C247" s="308">
        <v>7</v>
      </c>
      <c r="D247" s="308">
        <v>18</v>
      </c>
      <c r="E247" s="308">
        <v>25</v>
      </c>
      <c r="F247" s="314">
        <v>10</v>
      </c>
      <c r="G247" s="310">
        <v>16</v>
      </c>
      <c r="H247" s="282">
        <v>26</v>
      </c>
      <c r="I247" s="310"/>
      <c r="J247" s="282">
        <v>2</v>
      </c>
      <c r="K247" s="310">
        <v>2</v>
      </c>
      <c r="L247" s="282">
        <v>2</v>
      </c>
      <c r="M247" s="310">
        <v>2</v>
      </c>
      <c r="N247" s="282">
        <v>4</v>
      </c>
      <c r="O247" s="300">
        <v>19</v>
      </c>
      <c r="P247" s="300">
        <v>38</v>
      </c>
      <c r="Q247" s="300">
        <v>57</v>
      </c>
    </row>
    <row r="248" spans="2:17" x14ac:dyDescent="0.25">
      <c r="B248" s="150" t="s">
        <v>293</v>
      </c>
      <c r="C248" s="308">
        <v>14</v>
      </c>
      <c r="D248" s="308">
        <v>15</v>
      </c>
      <c r="E248" s="308">
        <v>29</v>
      </c>
      <c r="F248" s="314">
        <v>18</v>
      </c>
      <c r="G248" s="310">
        <v>17</v>
      </c>
      <c r="H248" s="282">
        <v>35</v>
      </c>
      <c r="I248" s="310">
        <v>1</v>
      </c>
      <c r="J248" s="282"/>
      <c r="K248" s="310">
        <v>1</v>
      </c>
      <c r="L248" s="282">
        <v>2</v>
      </c>
      <c r="M248" s="310"/>
      <c r="N248" s="282">
        <v>2</v>
      </c>
      <c r="O248" s="300">
        <v>35</v>
      </c>
      <c r="P248" s="300">
        <v>32</v>
      </c>
      <c r="Q248" s="300">
        <v>67</v>
      </c>
    </row>
    <row r="249" spans="2:17" x14ac:dyDescent="0.25">
      <c r="B249" s="150" t="s">
        <v>294</v>
      </c>
      <c r="C249" s="308">
        <v>14</v>
      </c>
      <c r="D249" s="308">
        <v>7</v>
      </c>
      <c r="E249" s="308">
        <v>21</v>
      </c>
      <c r="F249" s="314">
        <v>14</v>
      </c>
      <c r="G249" s="310">
        <v>17</v>
      </c>
      <c r="H249" s="282">
        <v>31</v>
      </c>
      <c r="I249" s="310"/>
      <c r="J249" s="282"/>
      <c r="K249" s="310"/>
      <c r="L249" s="282"/>
      <c r="M249" s="310">
        <v>3</v>
      </c>
      <c r="N249" s="282">
        <v>3</v>
      </c>
      <c r="O249" s="300">
        <v>28</v>
      </c>
      <c r="P249" s="300">
        <v>27</v>
      </c>
      <c r="Q249" s="300">
        <v>55</v>
      </c>
    </row>
    <row r="250" spans="2:17" x14ac:dyDescent="0.25">
      <c r="B250" s="150" t="s">
        <v>295</v>
      </c>
      <c r="C250" s="308">
        <v>84</v>
      </c>
      <c r="D250" s="308">
        <v>99</v>
      </c>
      <c r="E250" s="308">
        <v>183</v>
      </c>
      <c r="F250" s="314">
        <v>186</v>
      </c>
      <c r="G250" s="310">
        <v>159</v>
      </c>
      <c r="H250" s="282">
        <v>345</v>
      </c>
      <c r="I250" s="310">
        <v>6</v>
      </c>
      <c r="J250" s="282"/>
      <c r="K250" s="310">
        <v>6</v>
      </c>
      <c r="L250" s="282">
        <v>17</v>
      </c>
      <c r="M250" s="310">
        <v>28</v>
      </c>
      <c r="N250" s="282">
        <v>45</v>
      </c>
      <c r="O250" s="300">
        <v>293</v>
      </c>
      <c r="P250" s="300">
        <v>286</v>
      </c>
      <c r="Q250" s="300">
        <v>579</v>
      </c>
    </row>
    <row r="251" spans="2:17" x14ac:dyDescent="0.25">
      <c r="B251" s="150" t="s">
        <v>296</v>
      </c>
      <c r="C251" s="308">
        <v>31</v>
      </c>
      <c r="D251" s="308">
        <v>18</v>
      </c>
      <c r="E251" s="308">
        <v>49</v>
      </c>
      <c r="F251" s="314">
        <v>46</v>
      </c>
      <c r="G251" s="310">
        <v>49</v>
      </c>
      <c r="H251" s="282">
        <v>95</v>
      </c>
      <c r="I251" s="310">
        <v>1</v>
      </c>
      <c r="J251" s="282"/>
      <c r="K251" s="310">
        <v>1</v>
      </c>
      <c r="L251" s="282">
        <v>1</v>
      </c>
      <c r="M251" s="310">
        <v>2</v>
      </c>
      <c r="N251" s="282">
        <v>3</v>
      </c>
      <c r="O251" s="300">
        <v>79</v>
      </c>
      <c r="P251" s="300">
        <v>69</v>
      </c>
      <c r="Q251" s="300">
        <v>148</v>
      </c>
    </row>
    <row r="252" spans="2:17" x14ac:dyDescent="0.25">
      <c r="B252" s="150" t="s">
        <v>297</v>
      </c>
      <c r="C252" s="308">
        <v>21</v>
      </c>
      <c r="D252" s="308">
        <v>14</v>
      </c>
      <c r="E252" s="308">
        <v>35</v>
      </c>
      <c r="F252" s="314">
        <v>31</v>
      </c>
      <c r="G252" s="310">
        <v>13</v>
      </c>
      <c r="H252" s="282">
        <v>44</v>
      </c>
      <c r="I252" s="310">
        <v>1</v>
      </c>
      <c r="J252" s="282">
        <v>1</v>
      </c>
      <c r="K252" s="310">
        <v>2</v>
      </c>
      <c r="L252" s="282">
        <v>1</v>
      </c>
      <c r="M252" s="310">
        <v>3</v>
      </c>
      <c r="N252" s="282">
        <v>4</v>
      </c>
      <c r="O252" s="300">
        <v>54</v>
      </c>
      <c r="P252" s="300">
        <v>31</v>
      </c>
      <c r="Q252" s="300">
        <v>85</v>
      </c>
    </row>
    <row r="253" spans="2:17" x14ac:dyDescent="0.25">
      <c r="B253" s="150" t="s">
        <v>298</v>
      </c>
      <c r="C253" s="308">
        <v>12</v>
      </c>
      <c r="D253" s="308">
        <v>15</v>
      </c>
      <c r="E253" s="308">
        <v>27</v>
      </c>
      <c r="F253" s="314">
        <v>13</v>
      </c>
      <c r="G253" s="310">
        <v>25</v>
      </c>
      <c r="H253" s="282">
        <v>38</v>
      </c>
      <c r="I253" s="310"/>
      <c r="J253" s="282"/>
      <c r="K253" s="310"/>
      <c r="L253" s="282">
        <v>2</v>
      </c>
      <c r="M253" s="310">
        <v>5</v>
      </c>
      <c r="N253" s="282">
        <v>7</v>
      </c>
      <c r="O253" s="300">
        <v>27</v>
      </c>
      <c r="P253" s="300">
        <v>45</v>
      </c>
      <c r="Q253" s="300">
        <v>72</v>
      </c>
    </row>
    <row r="254" spans="2:17" x14ac:dyDescent="0.25">
      <c r="B254" s="150" t="s">
        <v>299</v>
      </c>
      <c r="C254" s="308">
        <v>4</v>
      </c>
      <c r="D254" s="308">
        <v>4</v>
      </c>
      <c r="E254" s="308">
        <v>8</v>
      </c>
      <c r="F254" s="314">
        <v>7</v>
      </c>
      <c r="G254" s="310">
        <v>8</v>
      </c>
      <c r="H254" s="282">
        <v>15</v>
      </c>
      <c r="I254" s="310"/>
      <c r="J254" s="282"/>
      <c r="K254" s="310"/>
      <c r="L254" s="282"/>
      <c r="M254" s="310">
        <v>5</v>
      </c>
      <c r="N254" s="282">
        <v>5</v>
      </c>
      <c r="O254" s="300">
        <v>11</v>
      </c>
      <c r="P254" s="300">
        <v>17</v>
      </c>
      <c r="Q254" s="300">
        <v>28</v>
      </c>
    </row>
    <row r="255" spans="2:17" x14ac:dyDescent="0.25">
      <c r="B255" s="150" t="s">
        <v>300</v>
      </c>
      <c r="C255" s="308">
        <v>24</v>
      </c>
      <c r="D255" s="308">
        <v>31</v>
      </c>
      <c r="E255" s="308">
        <v>55</v>
      </c>
      <c r="F255" s="314">
        <v>47</v>
      </c>
      <c r="G255" s="310">
        <v>29</v>
      </c>
      <c r="H255" s="282">
        <v>76</v>
      </c>
      <c r="I255" s="310"/>
      <c r="J255" s="282">
        <v>1</v>
      </c>
      <c r="K255" s="310">
        <v>1</v>
      </c>
      <c r="L255" s="282"/>
      <c r="M255" s="310">
        <v>3</v>
      </c>
      <c r="N255" s="282">
        <v>3</v>
      </c>
      <c r="O255" s="300">
        <v>71</v>
      </c>
      <c r="P255" s="300">
        <v>64</v>
      </c>
      <c r="Q255" s="300">
        <v>135</v>
      </c>
    </row>
    <row r="256" spans="2:17" x14ac:dyDescent="0.25">
      <c r="B256" s="150" t="s">
        <v>301</v>
      </c>
      <c r="C256" s="308"/>
      <c r="D256" s="308">
        <v>1</v>
      </c>
      <c r="E256" s="308">
        <v>1</v>
      </c>
      <c r="F256" s="314">
        <v>4</v>
      </c>
      <c r="G256" s="310">
        <v>6</v>
      </c>
      <c r="H256" s="282">
        <v>10</v>
      </c>
      <c r="I256" s="310"/>
      <c r="J256" s="282"/>
      <c r="K256" s="310"/>
      <c r="L256" s="282"/>
      <c r="M256" s="310"/>
      <c r="N256" s="282"/>
      <c r="O256" s="300">
        <v>4</v>
      </c>
      <c r="P256" s="300">
        <v>7</v>
      </c>
      <c r="Q256" s="300">
        <v>11</v>
      </c>
    </row>
    <row r="257" spans="2:17" x14ac:dyDescent="0.25">
      <c r="B257" s="150" t="s">
        <v>302</v>
      </c>
      <c r="C257" s="308"/>
      <c r="D257" s="308">
        <v>5</v>
      </c>
      <c r="E257" s="308">
        <v>5</v>
      </c>
      <c r="F257" s="314">
        <v>5</v>
      </c>
      <c r="G257" s="310">
        <v>2</v>
      </c>
      <c r="H257" s="282">
        <v>7</v>
      </c>
      <c r="I257" s="310"/>
      <c r="J257" s="282"/>
      <c r="K257" s="310"/>
      <c r="L257" s="282"/>
      <c r="M257" s="310">
        <v>3</v>
      </c>
      <c r="N257" s="282">
        <v>3</v>
      </c>
      <c r="O257" s="300">
        <v>5</v>
      </c>
      <c r="P257" s="300">
        <v>10</v>
      </c>
      <c r="Q257" s="300">
        <v>15</v>
      </c>
    </row>
    <row r="258" spans="2:17" x14ac:dyDescent="0.25">
      <c r="B258" s="150" t="s">
        <v>303</v>
      </c>
      <c r="C258" s="308">
        <v>62</v>
      </c>
      <c r="D258" s="308">
        <v>35</v>
      </c>
      <c r="E258" s="308">
        <v>97</v>
      </c>
      <c r="F258" s="314">
        <v>134</v>
      </c>
      <c r="G258" s="310">
        <v>67</v>
      </c>
      <c r="H258" s="282">
        <v>201</v>
      </c>
      <c r="I258" s="310"/>
      <c r="J258" s="282">
        <v>3</v>
      </c>
      <c r="K258" s="310">
        <v>3</v>
      </c>
      <c r="L258" s="282">
        <v>3</v>
      </c>
      <c r="M258" s="310">
        <v>6</v>
      </c>
      <c r="N258" s="282">
        <v>9</v>
      </c>
      <c r="O258" s="300">
        <v>199</v>
      </c>
      <c r="P258" s="300">
        <v>111</v>
      </c>
      <c r="Q258" s="300">
        <v>310</v>
      </c>
    </row>
    <row r="259" spans="2:17" x14ac:dyDescent="0.25">
      <c r="B259" s="150" t="s">
        <v>304</v>
      </c>
      <c r="C259" s="308">
        <v>1</v>
      </c>
      <c r="D259" s="308"/>
      <c r="E259" s="308">
        <v>1</v>
      </c>
      <c r="F259" s="314">
        <v>1</v>
      </c>
      <c r="G259" s="310">
        <v>1</v>
      </c>
      <c r="H259" s="282">
        <v>2</v>
      </c>
      <c r="I259" s="310"/>
      <c r="J259" s="282"/>
      <c r="K259" s="310"/>
      <c r="L259" s="282"/>
      <c r="M259" s="310">
        <v>1</v>
      </c>
      <c r="N259" s="282">
        <v>1</v>
      </c>
      <c r="O259" s="300">
        <v>2</v>
      </c>
      <c r="P259" s="300">
        <v>2</v>
      </c>
      <c r="Q259" s="300">
        <v>4</v>
      </c>
    </row>
    <row r="260" spans="2:17" x14ac:dyDescent="0.25">
      <c r="B260" s="150" t="s">
        <v>305</v>
      </c>
      <c r="C260" s="308">
        <v>5</v>
      </c>
      <c r="D260" s="308">
        <v>10</v>
      </c>
      <c r="E260" s="308">
        <v>15</v>
      </c>
      <c r="F260" s="314">
        <v>13</v>
      </c>
      <c r="G260" s="310">
        <v>9</v>
      </c>
      <c r="H260" s="282">
        <v>22</v>
      </c>
      <c r="I260" s="310"/>
      <c r="J260" s="282">
        <v>2</v>
      </c>
      <c r="K260" s="310">
        <v>2</v>
      </c>
      <c r="L260" s="282">
        <v>2</v>
      </c>
      <c r="M260" s="310">
        <v>4</v>
      </c>
      <c r="N260" s="282">
        <v>6</v>
      </c>
      <c r="O260" s="300">
        <v>20</v>
      </c>
      <c r="P260" s="300">
        <v>25</v>
      </c>
      <c r="Q260" s="300">
        <v>45</v>
      </c>
    </row>
    <row r="261" spans="2:17" x14ac:dyDescent="0.25">
      <c r="B261" s="150" t="s">
        <v>306</v>
      </c>
      <c r="C261" s="308">
        <v>3</v>
      </c>
      <c r="D261" s="308">
        <v>10</v>
      </c>
      <c r="E261" s="308">
        <v>13</v>
      </c>
      <c r="F261" s="314">
        <v>13</v>
      </c>
      <c r="G261" s="310">
        <v>7</v>
      </c>
      <c r="H261" s="282">
        <v>20</v>
      </c>
      <c r="I261" s="310"/>
      <c r="J261" s="282">
        <v>1</v>
      </c>
      <c r="K261" s="310">
        <v>1</v>
      </c>
      <c r="L261" s="282"/>
      <c r="M261" s="310">
        <v>1</v>
      </c>
      <c r="N261" s="282">
        <v>1</v>
      </c>
      <c r="O261" s="300">
        <v>16</v>
      </c>
      <c r="P261" s="300">
        <v>19</v>
      </c>
      <c r="Q261" s="300">
        <v>35</v>
      </c>
    </row>
    <row r="262" spans="2:17" x14ac:dyDescent="0.25">
      <c r="B262" s="150" t="s">
        <v>307</v>
      </c>
      <c r="C262" s="308">
        <v>81</v>
      </c>
      <c r="D262" s="308">
        <v>61</v>
      </c>
      <c r="E262" s="308">
        <v>142</v>
      </c>
      <c r="F262" s="314">
        <v>204</v>
      </c>
      <c r="G262" s="310">
        <v>135</v>
      </c>
      <c r="H262" s="282">
        <v>339</v>
      </c>
      <c r="I262" s="310">
        <v>2</v>
      </c>
      <c r="J262" s="282"/>
      <c r="K262" s="310">
        <v>2</v>
      </c>
      <c r="L262" s="282">
        <v>6</v>
      </c>
      <c r="M262" s="310">
        <v>6</v>
      </c>
      <c r="N262" s="282">
        <v>12</v>
      </c>
      <c r="O262" s="300">
        <v>293</v>
      </c>
      <c r="P262" s="300">
        <v>202</v>
      </c>
      <c r="Q262" s="300">
        <v>495</v>
      </c>
    </row>
    <row r="263" spans="2:17" x14ac:dyDescent="0.25">
      <c r="B263" s="150" t="s">
        <v>308</v>
      </c>
      <c r="C263" s="308">
        <v>5</v>
      </c>
      <c r="D263" s="308">
        <v>4</v>
      </c>
      <c r="E263" s="308">
        <v>9</v>
      </c>
      <c r="F263" s="314">
        <v>5</v>
      </c>
      <c r="G263" s="310">
        <v>3</v>
      </c>
      <c r="H263" s="282">
        <v>8</v>
      </c>
      <c r="I263" s="310"/>
      <c r="J263" s="282"/>
      <c r="K263" s="310"/>
      <c r="L263" s="282"/>
      <c r="M263" s="310"/>
      <c r="N263" s="282"/>
      <c r="O263" s="300">
        <v>10</v>
      </c>
      <c r="P263" s="300">
        <v>7</v>
      </c>
      <c r="Q263" s="300">
        <v>17</v>
      </c>
    </row>
    <row r="264" spans="2:17" x14ac:dyDescent="0.25">
      <c r="B264" s="150" t="s">
        <v>309</v>
      </c>
      <c r="C264" s="308">
        <v>18</v>
      </c>
      <c r="D264" s="308">
        <v>27</v>
      </c>
      <c r="E264" s="308">
        <v>45</v>
      </c>
      <c r="F264" s="314">
        <v>67</v>
      </c>
      <c r="G264" s="310">
        <v>38</v>
      </c>
      <c r="H264" s="282">
        <v>105</v>
      </c>
      <c r="I264" s="310">
        <v>1</v>
      </c>
      <c r="J264" s="282">
        <v>2</v>
      </c>
      <c r="K264" s="310">
        <v>3</v>
      </c>
      <c r="L264" s="282">
        <v>3</v>
      </c>
      <c r="M264" s="310">
        <v>3</v>
      </c>
      <c r="N264" s="282">
        <v>6</v>
      </c>
      <c r="O264" s="300">
        <v>89</v>
      </c>
      <c r="P264" s="300">
        <v>70</v>
      </c>
      <c r="Q264" s="300">
        <v>159</v>
      </c>
    </row>
    <row r="265" spans="2:17" x14ac:dyDescent="0.25">
      <c r="B265" s="170" t="s">
        <v>310</v>
      </c>
      <c r="C265" s="312">
        <v>6</v>
      </c>
      <c r="D265" s="312">
        <v>10</v>
      </c>
      <c r="E265" s="312">
        <v>16</v>
      </c>
      <c r="F265" s="315">
        <v>14</v>
      </c>
      <c r="G265" s="310">
        <v>9</v>
      </c>
      <c r="H265" s="282">
        <v>23</v>
      </c>
      <c r="I265" s="310"/>
      <c r="J265" s="282"/>
      <c r="K265" s="310"/>
      <c r="L265" s="282">
        <v>1</v>
      </c>
      <c r="M265" s="310">
        <v>2</v>
      </c>
      <c r="N265" s="282">
        <v>3</v>
      </c>
      <c r="O265" s="300">
        <v>21</v>
      </c>
      <c r="P265" s="300">
        <v>21</v>
      </c>
      <c r="Q265" s="300">
        <v>42</v>
      </c>
    </row>
    <row r="266" spans="2:17" x14ac:dyDescent="0.25">
      <c r="B266" s="173" t="s">
        <v>311</v>
      </c>
      <c r="C266" s="310">
        <v>11</v>
      </c>
      <c r="D266" s="310">
        <v>15</v>
      </c>
      <c r="E266" s="310">
        <v>26</v>
      </c>
      <c r="F266" s="316">
        <v>20</v>
      </c>
      <c r="G266" s="310">
        <v>16</v>
      </c>
      <c r="H266" s="282">
        <v>36</v>
      </c>
      <c r="I266" s="310"/>
      <c r="J266" s="282"/>
      <c r="K266" s="310"/>
      <c r="L266" s="282">
        <v>1</v>
      </c>
      <c r="M266" s="310">
        <v>2</v>
      </c>
      <c r="N266" s="282">
        <v>3</v>
      </c>
      <c r="O266" s="300">
        <v>32</v>
      </c>
      <c r="P266" s="300">
        <v>33</v>
      </c>
      <c r="Q266" s="300">
        <v>65</v>
      </c>
    </row>
    <row r="267" spans="2:17" x14ac:dyDescent="0.25">
      <c r="B267" s="351" t="s">
        <v>35</v>
      </c>
      <c r="C267" s="302">
        <v>728</v>
      </c>
      <c r="D267" s="302">
        <v>747</v>
      </c>
      <c r="E267" s="302">
        <v>1475</v>
      </c>
      <c r="F267" s="302">
        <v>1635</v>
      </c>
      <c r="G267" s="302">
        <v>1129</v>
      </c>
      <c r="H267" s="300">
        <v>2764</v>
      </c>
      <c r="I267" s="302">
        <v>19</v>
      </c>
      <c r="J267" s="300">
        <v>18</v>
      </c>
      <c r="K267" s="302">
        <v>37</v>
      </c>
      <c r="L267" s="300">
        <v>59</v>
      </c>
      <c r="M267" s="302">
        <v>117</v>
      </c>
      <c r="N267" s="300">
        <v>176</v>
      </c>
      <c r="O267" s="300">
        <v>2441</v>
      </c>
      <c r="P267" s="300">
        <v>2011</v>
      </c>
      <c r="Q267" s="300">
        <v>4452</v>
      </c>
    </row>
    <row r="268" spans="2:17" ht="126" customHeight="1" x14ac:dyDescent="0.25">
      <c r="B268" s="469" t="s">
        <v>929</v>
      </c>
      <c r="C268" s="469"/>
      <c r="D268" s="469"/>
      <c r="E268" s="469"/>
      <c r="F268" s="469"/>
      <c r="G268" s="469"/>
      <c r="H268" s="469"/>
      <c r="I268" s="469"/>
      <c r="J268" s="469"/>
      <c r="K268" s="469"/>
      <c r="L268" s="469"/>
      <c r="M268" s="469"/>
      <c r="N268" s="469"/>
      <c r="O268" s="469"/>
      <c r="P268" s="469"/>
      <c r="Q268" s="469"/>
    </row>
    <row r="269" spans="2:17" x14ac:dyDescent="0.25">
      <c r="B269" s="172"/>
      <c r="C269" s="172"/>
      <c r="D269" s="172"/>
      <c r="E269"/>
      <c r="F269"/>
      <c r="G269"/>
    </row>
    <row r="270" spans="2:17" x14ac:dyDescent="0.25">
      <c r="B270" s="201" t="s">
        <v>525</v>
      </c>
      <c r="C270"/>
      <c r="D270"/>
      <c r="E270"/>
      <c r="F270"/>
      <c r="G270"/>
    </row>
    <row r="271" spans="2:17" x14ac:dyDescent="0.25">
      <c r="B271" s="201"/>
      <c r="C271"/>
      <c r="D271"/>
      <c r="E271"/>
      <c r="F271"/>
      <c r="G271"/>
    </row>
    <row r="272" spans="2:17" ht="15" customHeight="1" x14ac:dyDescent="0.25">
      <c r="B272" s="466" t="s">
        <v>544</v>
      </c>
      <c r="C272" s="479" t="s">
        <v>488</v>
      </c>
      <c r="D272" s="479"/>
      <c r="E272" s="479"/>
      <c r="F272" s="479"/>
      <c r="G272" s="479"/>
      <c r="H272" s="479"/>
      <c r="I272" s="479"/>
      <c r="J272" s="479"/>
      <c r="K272" s="479"/>
      <c r="L272" s="479"/>
      <c r="M272" s="479"/>
      <c r="N272" s="479"/>
      <c r="O272" s="483" t="s">
        <v>746</v>
      </c>
      <c r="P272" s="484"/>
      <c r="Q272" s="485"/>
    </row>
    <row r="273" spans="2:17" ht="15" customHeight="1" x14ac:dyDescent="0.25">
      <c r="B273" s="467"/>
      <c r="C273" s="479" t="s">
        <v>707</v>
      </c>
      <c r="D273" s="479"/>
      <c r="E273" s="479"/>
      <c r="F273" s="479" t="s">
        <v>497</v>
      </c>
      <c r="G273" s="479"/>
      <c r="H273" s="479"/>
      <c r="I273" s="479" t="s">
        <v>4</v>
      </c>
      <c r="J273" s="479"/>
      <c r="K273" s="479"/>
      <c r="L273" s="479" t="s">
        <v>6</v>
      </c>
      <c r="M273" s="479"/>
      <c r="N273" s="479"/>
      <c r="O273" s="486"/>
      <c r="P273" s="487"/>
      <c r="Q273" s="488"/>
    </row>
    <row r="274" spans="2:17" x14ac:dyDescent="0.25">
      <c r="B274" s="468"/>
      <c r="C274" s="175" t="s">
        <v>83</v>
      </c>
      <c r="D274" s="175" t="s">
        <v>84</v>
      </c>
      <c r="E274" s="175" t="s">
        <v>35</v>
      </c>
      <c r="F274" s="175" t="s">
        <v>83</v>
      </c>
      <c r="G274" s="175" t="s">
        <v>84</v>
      </c>
      <c r="H274" s="175" t="s">
        <v>35</v>
      </c>
      <c r="I274" s="175" t="s">
        <v>83</v>
      </c>
      <c r="J274" s="175" t="s">
        <v>84</v>
      </c>
      <c r="K274" s="175" t="s">
        <v>35</v>
      </c>
      <c r="L274" s="175" t="s">
        <v>83</v>
      </c>
      <c r="M274" s="175" t="s">
        <v>84</v>
      </c>
      <c r="N274" s="175" t="s">
        <v>35</v>
      </c>
      <c r="O274" s="262" t="s">
        <v>83</v>
      </c>
      <c r="P274" s="262" t="s">
        <v>84</v>
      </c>
      <c r="Q274" s="262" t="s">
        <v>35</v>
      </c>
    </row>
    <row r="275" spans="2:17" x14ac:dyDescent="0.25">
      <c r="B275" s="254" t="s">
        <v>312</v>
      </c>
      <c r="C275" s="310">
        <v>27</v>
      </c>
      <c r="D275" s="310">
        <v>22</v>
      </c>
      <c r="E275" s="310">
        <v>49</v>
      </c>
      <c r="F275" s="310">
        <v>53</v>
      </c>
      <c r="G275" s="310">
        <v>53</v>
      </c>
      <c r="H275" s="282">
        <v>106</v>
      </c>
      <c r="I275" s="310"/>
      <c r="J275" s="282"/>
      <c r="K275" s="310"/>
      <c r="L275" s="282">
        <v>1</v>
      </c>
      <c r="M275" s="310">
        <v>5</v>
      </c>
      <c r="N275" s="282">
        <v>6</v>
      </c>
      <c r="O275" s="300">
        <v>81</v>
      </c>
      <c r="P275" s="300">
        <v>80</v>
      </c>
      <c r="Q275" s="300">
        <v>161</v>
      </c>
    </row>
    <row r="276" spans="2:17" x14ac:dyDescent="0.25">
      <c r="B276" s="255" t="s">
        <v>313</v>
      </c>
      <c r="C276" s="310">
        <v>17</v>
      </c>
      <c r="D276" s="310">
        <v>23</v>
      </c>
      <c r="E276" s="310">
        <v>40</v>
      </c>
      <c r="F276" s="310">
        <v>12</v>
      </c>
      <c r="G276" s="310">
        <v>2</v>
      </c>
      <c r="H276" s="282">
        <v>14</v>
      </c>
      <c r="I276" s="310">
        <v>1</v>
      </c>
      <c r="J276" s="282">
        <v>2</v>
      </c>
      <c r="K276" s="310">
        <v>3</v>
      </c>
      <c r="L276" s="282"/>
      <c r="M276" s="310">
        <v>3</v>
      </c>
      <c r="N276" s="282">
        <v>3</v>
      </c>
      <c r="O276" s="300">
        <v>30</v>
      </c>
      <c r="P276" s="300">
        <v>30</v>
      </c>
      <c r="Q276" s="300">
        <v>60</v>
      </c>
    </row>
    <row r="277" spans="2:17" x14ac:dyDescent="0.25">
      <c r="B277" s="255" t="s">
        <v>314</v>
      </c>
      <c r="C277" s="310">
        <v>6</v>
      </c>
      <c r="D277" s="310">
        <v>4</v>
      </c>
      <c r="E277" s="310">
        <v>10</v>
      </c>
      <c r="F277" s="310">
        <v>12</v>
      </c>
      <c r="G277" s="310">
        <v>2</v>
      </c>
      <c r="H277" s="282">
        <v>14</v>
      </c>
      <c r="I277" s="310"/>
      <c r="J277" s="282"/>
      <c r="K277" s="310"/>
      <c r="L277" s="282">
        <v>1</v>
      </c>
      <c r="M277" s="310">
        <v>1</v>
      </c>
      <c r="N277" s="282">
        <v>2</v>
      </c>
      <c r="O277" s="300">
        <v>19</v>
      </c>
      <c r="P277" s="300">
        <v>7</v>
      </c>
      <c r="Q277" s="300">
        <v>26</v>
      </c>
    </row>
    <row r="278" spans="2:17" x14ac:dyDescent="0.25">
      <c r="B278" s="255" t="s">
        <v>315</v>
      </c>
      <c r="C278" s="310">
        <v>12</v>
      </c>
      <c r="D278" s="310">
        <v>9</v>
      </c>
      <c r="E278" s="310">
        <v>21</v>
      </c>
      <c r="F278" s="310">
        <v>22</v>
      </c>
      <c r="G278" s="310">
        <v>7</v>
      </c>
      <c r="H278" s="282">
        <v>29</v>
      </c>
      <c r="I278" s="310"/>
      <c r="J278" s="282"/>
      <c r="K278" s="310"/>
      <c r="L278" s="282">
        <v>1</v>
      </c>
      <c r="M278" s="310">
        <v>2</v>
      </c>
      <c r="N278" s="282">
        <v>3</v>
      </c>
      <c r="O278" s="300">
        <v>35</v>
      </c>
      <c r="P278" s="300">
        <v>18</v>
      </c>
      <c r="Q278" s="300">
        <v>53</v>
      </c>
    </row>
    <row r="279" spans="2:17" x14ac:dyDescent="0.25">
      <c r="B279" s="255" t="s">
        <v>316</v>
      </c>
      <c r="C279" s="310">
        <v>11</v>
      </c>
      <c r="D279" s="310">
        <v>11</v>
      </c>
      <c r="E279" s="310">
        <v>22</v>
      </c>
      <c r="F279" s="310">
        <v>15</v>
      </c>
      <c r="G279" s="310">
        <v>6</v>
      </c>
      <c r="H279" s="282">
        <v>21</v>
      </c>
      <c r="I279" s="310"/>
      <c r="J279" s="282"/>
      <c r="K279" s="310"/>
      <c r="L279" s="282"/>
      <c r="M279" s="310">
        <v>1</v>
      </c>
      <c r="N279" s="282">
        <v>1</v>
      </c>
      <c r="O279" s="300">
        <v>26</v>
      </c>
      <c r="P279" s="300">
        <v>18</v>
      </c>
      <c r="Q279" s="300">
        <v>44</v>
      </c>
    </row>
    <row r="280" spans="2:17" x14ac:dyDescent="0.25">
      <c r="B280" s="255" t="s">
        <v>317</v>
      </c>
      <c r="C280" s="310">
        <v>22</v>
      </c>
      <c r="D280" s="310">
        <v>16</v>
      </c>
      <c r="E280" s="310">
        <v>38</v>
      </c>
      <c r="F280" s="310">
        <v>22</v>
      </c>
      <c r="G280" s="310">
        <v>10</v>
      </c>
      <c r="H280" s="282">
        <v>32</v>
      </c>
      <c r="I280" s="310"/>
      <c r="J280" s="282"/>
      <c r="K280" s="310"/>
      <c r="L280" s="282">
        <v>2</v>
      </c>
      <c r="M280" s="310"/>
      <c r="N280" s="282">
        <v>2</v>
      </c>
      <c r="O280" s="300">
        <v>46</v>
      </c>
      <c r="P280" s="300">
        <v>26</v>
      </c>
      <c r="Q280" s="300">
        <v>72</v>
      </c>
    </row>
    <row r="281" spans="2:17" x14ac:dyDescent="0.25">
      <c r="B281" s="255" t="s">
        <v>318</v>
      </c>
      <c r="C281" s="310">
        <v>6</v>
      </c>
      <c r="D281" s="310">
        <v>11</v>
      </c>
      <c r="E281" s="310">
        <v>17</v>
      </c>
      <c r="F281" s="310">
        <v>5</v>
      </c>
      <c r="G281" s="310"/>
      <c r="H281" s="282">
        <v>5</v>
      </c>
      <c r="I281" s="310"/>
      <c r="J281" s="282"/>
      <c r="K281" s="310"/>
      <c r="L281" s="282">
        <v>1</v>
      </c>
      <c r="M281" s="310"/>
      <c r="N281" s="282">
        <v>1</v>
      </c>
      <c r="O281" s="300">
        <v>12</v>
      </c>
      <c r="P281" s="300">
        <v>11</v>
      </c>
      <c r="Q281" s="300">
        <v>23</v>
      </c>
    </row>
    <row r="282" spans="2:17" x14ac:dyDescent="0.25">
      <c r="B282" s="255" t="s">
        <v>319</v>
      </c>
      <c r="C282" s="310">
        <v>4</v>
      </c>
      <c r="D282" s="310">
        <v>2</v>
      </c>
      <c r="E282" s="310">
        <v>6</v>
      </c>
      <c r="F282" s="310">
        <v>3</v>
      </c>
      <c r="G282" s="310">
        <v>6</v>
      </c>
      <c r="H282" s="282">
        <v>9</v>
      </c>
      <c r="I282" s="310"/>
      <c r="J282" s="282"/>
      <c r="K282" s="310"/>
      <c r="L282" s="282"/>
      <c r="M282" s="310">
        <v>1</v>
      </c>
      <c r="N282" s="282">
        <v>1</v>
      </c>
      <c r="O282" s="300">
        <v>7</v>
      </c>
      <c r="P282" s="300">
        <v>9</v>
      </c>
      <c r="Q282" s="300">
        <v>16</v>
      </c>
    </row>
    <row r="283" spans="2:17" x14ac:dyDescent="0.25">
      <c r="B283" s="255" t="s">
        <v>320</v>
      </c>
      <c r="C283" s="310">
        <v>12</v>
      </c>
      <c r="D283" s="310">
        <v>16</v>
      </c>
      <c r="E283" s="310">
        <v>28</v>
      </c>
      <c r="F283" s="310">
        <v>18</v>
      </c>
      <c r="G283" s="310">
        <v>12</v>
      </c>
      <c r="H283" s="282">
        <v>30</v>
      </c>
      <c r="I283" s="310"/>
      <c r="J283" s="282">
        <v>1</v>
      </c>
      <c r="K283" s="310">
        <v>1</v>
      </c>
      <c r="L283" s="282">
        <v>1</v>
      </c>
      <c r="M283" s="310">
        <v>1</v>
      </c>
      <c r="N283" s="282">
        <v>2</v>
      </c>
      <c r="O283" s="300">
        <v>31</v>
      </c>
      <c r="P283" s="300">
        <v>30</v>
      </c>
      <c r="Q283" s="300">
        <v>61</v>
      </c>
    </row>
    <row r="284" spans="2:17" x14ac:dyDescent="0.25">
      <c r="B284" s="255" t="s">
        <v>321</v>
      </c>
      <c r="C284" s="310">
        <v>6</v>
      </c>
      <c r="D284" s="310">
        <v>12</v>
      </c>
      <c r="E284" s="310">
        <v>18</v>
      </c>
      <c r="F284" s="310">
        <v>3</v>
      </c>
      <c r="G284" s="310">
        <v>4</v>
      </c>
      <c r="H284" s="282">
        <v>7</v>
      </c>
      <c r="I284" s="310"/>
      <c r="J284" s="282">
        <v>1</v>
      </c>
      <c r="K284" s="310">
        <v>1</v>
      </c>
      <c r="L284" s="282">
        <v>1</v>
      </c>
      <c r="M284" s="310">
        <v>2</v>
      </c>
      <c r="N284" s="282">
        <v>3</v>
      </c>
      <c r="O284" s="300">
        <v>10</v>
      </c>
      <c r="P284" s="300">
        <v>19</v>
      </c>
      <c r="Q284" s="300">
        <v>29</v>
      </c>
    </row>
    <row r="285" spans="2:17" x14ac:dyDescent="0.25">
      <c r="B285" s="255" t="s">
        <v>322</v>
      </c>
      <c r="C285" s="310">
        <v>4</v>
      </c>
      <c r="D285" s="310">
        <v>6</v>
      </c>
      <c r="E285" s="310">
        <v>10</v>
      </c>
      <c r="F285" s="310">
        <v>31</v>
      </c>
      <c r="G285" s="310">
        <v>7</v>
      </c>
      <c r="H285" s="282">
        <v>38</v>
      </c>
      <c r="I285" s="310"/>
      <c r="J285" s="282"/>
      <c r="K285" s="310"/>
      <c r="L285" s="282"/>
      <c r="M285" s="310">
        <v>4</v>
      </c>
      <c r="N285" s="282">
        <v>4</v>
      </c>
      <c r="O285" s="300">
        <v>35</v>
      </c>
      <c r="P285" s="300">
        <v>17</v>
      </c>
      <c r="Q285" s="300">
        <v>52</v>
      </c>
    </row>
    <row r="286" spans="2:17" x14ac:dyDescent="0.25">
      <c r="B286" s="255" t="s">
        <v>323</v>
      </c>
      <c r="C286" s="310">
        <v>19</v>
      </c>
      <c r="D286" s="310">
        <v>14</v>
      </c>
      <c r="E286" s="310">
        <v>33</v>
      </c>
      <c r="F286" s="310">
        <v>27</v>
      </c>
      <c r="G286" s="310">
        <v>16</v>
      </c>
      <c r="H286" s="282">
        <v>43</v>
      </c>
      <c r="I286" s="310"/>
      <c r="J286" s="282"/>
      <c r="K286" s="310"/>
      <c r="L286" s="282">
        <v>2</v>
      </c>
      <c r="M286" s="310">
        <v>2</v>
      </c>
      <c r="N286" s="282">
        <v>4</v>
      </c>
      <c r="O286" s="300">
        <v>48</v>
      </c>
      <c r="P286" s="300">
        <v>32</v>
      </c>
      <c r="Q286" s="300">
        <v>80</v>
      </c>
    </row>
    <row r="287" spans="2:17" x14ac:dyDescent="0.25">
      <c r="B287" s="255" t="s">
        <v>324</v>
      </c>
      <c r="C287" s="310">
        <v>8</v>
      </c>
      <c r="D287" s="310">
        <v>15</v>
      </c>
      <c r="E287" s="310">
        <v>23</v>
      </c>
      <c r="F287" s="310">
        <v>21</v>
      </c>
      <c r="G287" s="310">
        <v>14</v>
      </c>
      <c r="H287" s="282">
        <v>35</v>
      </c>
      <c r="I287" s="310"/>
      <c r="J287" s="282"/>
      <c r="K287" s="310"/>
      <c r="L287" s="282"/>
      <c r="M287" s="310">
        <v>2</v>
      </c>
      <c r="N287" s="282">
        <v>2</v>
      </c>
      <c r="O287" s="300">
        <v>29</v>
      </c>
      <c r="P287" s="300">
        <v>31</v>
      </c>
      <c r="Q287" s="300">
        <v>60</v>
      </c>
    </row>
    <row r="288" spans="2:17" x14ac:dyDescent="0.25">
      <c r="B288" s="255" t="s">
        <v>325</v>
      </c>
      <c r="C288" s="310">
        <v>10</v>
      </c>
      <c r="D288" s="310">
        <v>12</v>
      </c>
      <c r="E288" s="310">
        <v>22</v>
      </c>
      <c r="F288" s="310">
        <v>6</v>
      </c>
      <c r="G288" s="310">
        <v>3</v>
      </c>
      <c r="H288" s="282">
        <v>9</v>
      </c>
      <c r="I288" s="310">
        <v>1</v>
      </c>
      <c r="J288" s="282"/>
      <c r="K288" s="310">
        <v>1</v>
      </c>
      <c r="L288" s="282">
        <v>1</v>
      </c>
      <c r="M288" s="310"/>
      <c r="N288" s="282">
        <v>1</v>
      </c>
      <c r="O288" s="300">
        <v>18</v>
      </c>
      <c r="P288" s="300">
        <v>15</v>
      </c>
      <c r="Q288" s="300">
        <v>33</v>
      </c>
    </row>
    <row r="289" spans="2:17" x14ac:dyDescent="0.25">
      <c r="B289" s="255" t="s">
        <v>326</v>
      </c>
      <c r="C289" s="310">
        <v>2</v>
      </c>
      <c r="D289" s="310">
        <v>3</v>
      </c>
      <c r="E289" s="310">
        <v>5</v>
      </c>
      <c r="F289" s="310">
        <v>1</v>
      </c>
      <c r="G289" s="310">
        <v>3</v>
      </c>
      <c r="H289" s="282">
        <v>4</v>
      </c>
      <c r="I289" s="310">
        <v>1</v>
      </c>
      <c r="J289" s="282"/>
      <c r="K289" s="310">
        <v>1</v>
      </c>
      <c r="L289" s="282"/>
      <c r="M289" s="310">
        <v>1</v>
      </c>
      <c r="N289" s="282">
        <v>1</v>
      </c>
      <c r="O289" s="300">
        <v>4</v>
      </c>
      <c r="P289" s="300">
        <v>7</v>
      </c>
      <c r="Q289" s="300">
        <v>11</v>
      </c>
    </row>
    <row r="290" spans="2:17" x14ac:dyDescent="0.25">
      <c r="B290" s="255" t="s">
        <v>327</v>
      </c>
      <c r="C290" s="310">
        <v>3</v>
      </c>
      <c r="D290" s="310">
        <v>6</v>
      </c>
      <c r="E290" s="310">
        <v>9</v>
      </c>
      <c r="F290" s="310">
        <v>8</v>
      </c>
      <c r="G290" s="310">
        <v>5</v>
      </c>
      <c r="H290" s="282">
        <v>13</v>
      </c>
      <c r="I290" s="310"/>
      <c r="J290" s="282">
        <v>1</v>
      </c>
      <c r="K290" s="310">
        <v>1</v>
      </c>
      <c r="L290" s="282"/>
      <c r="M290" s="310">
        <v>1</v>
      </c>
      <c r="N290" s="282">
        <v>1</v>
      </c>
      <c r="O290" s="300">
        <v>11</v>
      </c>
      <c r="P290" s="300">
        <v>13</v>
      </c>
      <c r="Q290" s="300">
        <v>24</v>
      </c>
    </row>
    <row r="291" spans="2:17" x14ac:dyDescent="0.25">
      <c r="B291" s="255" t="s">
        <v>328</v>
      </c>
      <c r="C291" s="310">
        <v>9</v>
      </c>
      <c r="D291" s="310">
        <v>5</v>
      </c>
      <c r="E291" s="310">
        <v>14</v>
      </c>
      <c r="F291" s="310">
        <v>7</v>
      </c>
      <c r="G291" s="310">
        <v>3</v>
      </c>
      <c r="H291" s="282">
        <v>10</v>
      </c>
      <c r="I291" s="310"/>
      <c r="J291" s="282">
        <v>1</v>
      </c>
      <c r="K291" s="310">
        <v>1</v>
      </c>
      <c r="L291" s="282"/>
      <c r="M291" s="310"/>
      <c r="N291" s="282"/>
      <c r="O291" s="300">
        <v>16</v>
      </c>
      <c r="P291" s="300">
        <v>9</v>
      </c>
      <c r="Q291" s="300">
        <v>25</v>
      </c>
    </row>
    <row r="292" spans="2:17" x14ac:dyDescent="0.25">
      <c r="B292" s="255" t="s">
        <v>329</v>
      </c>
      <c r="C292" s="310">
        <v>14</v>
      </c>
      <c r="D292" s="310">
        <v>17</v>
      </c>
      <c r="E292" s="310">
        <v>31</v>
      </c>
      <c r="F292" s="310">
        <v>21</v>
      </c>
      <c r="G292" s="310">
        <v>12</v>
      </c>
      <c r="H292" s="282">
        <v>33</v>
      </c>
      <c r="I292" s="310"/>
      <c r="J292" s="282">
        <v>1</v>
      </c>
      <c r="K292" s="310">
        <v>1</v>
      </c>
      <c r="L292" s="282"/>
      <c r="M292" s="310">
        <v>1</v>
      </c>
      <c r="N292" s="282">
        <v>1</v>
      </c>
      <c r="O292" s="300">
        <v>35</v>
      </c>
      <c r="P292" s="300">
        <v>31</v>
      </c>
      <c r="Q292" s="300">
        <v>66</v>
      </c>
    </row>
    <row r="293" spans="2:17" x14ac:dyDescent="0.25">
      <c r="B293" s="255" t="s">
        <v>330</v>
      </c>
      <c r="C293" s="310">
        <v>33</v>
      </c>
      <c r="D293" s="310">
        <v>39</v>
      </c>
      <c r="E293" s="310">
        <v>72</v>
      </c>
      <c r="F293" s="310">
        <v>44</v>
      </c>
      <c r="G293" s="310">
        <v>31</v>
      </c>
      <c r="H293" s="282">
        <v>75</v>
      </c>
      <c r="I293" s="310"/>
      <c r="J293" s="282">
        <v>2</v>
      </c>
      <c r="K293" s="310">
        <v>2</v>
      </c>
      <c r="L293" s="282">
        <v>2</v>
      </c>
      <c r="M293" s="310">
        <v>6</v>
      </c>
      <c r="N293" s="282">
        <v>8</v>
      </c>
      <c r="O293" s="300">
        <v>79</v>
      </c>
      <c r="P293" s="300">
        <v>78</v>
      </c>
      <c r="Q293" s="300">
        <v>157</v>
      </c>
    </row>
    <row r="294" spans="2:17" x14ac:dyDescent="0.25">
      <c r="B294" s="255" t="s">
        <v>331</v>
      </c>
      <c r="C294" s="310">
        <v>4</v>
      </c>
      <c r="D294" s="310">
        <v>4</v>
      </c>
      <c r="E294" s="310">
        <v>8</v>
      </c>
      <c r="F294" s="310">
        <v>8</v>
      </c>
      <c r="G294" s="310">
        <v>6</v>
      </c>
      <c r="H294" s="282">
        <v>14</v>
      </c>
      <c r="I294" s="310"/>
      <c r="J294" s="282"/>
      <c r="K294" s="310"/>
      <c r="L294" s="282"/>
      <c r="M294" s="310">
        <v>1</v>
      </c>
      <c r="N294" s="282">
        <v>1</v>
      </c>
      <c r="O294" s="300">
        <v>12</v>
      </c>
      <c r="P294" s="300">
        <v>11</v>
      </c>
      <c r="Q294" s="300">
        <v>23</v>
      </c>
    </row>
    <row r="295" spans="2:17" x14ac:dyDescent="0.25">
      <c r="B295" s="255" t="s">
        <v>332</v>
      </c>
      <c r="C295" s="310">
        <v>19</v>
      </c>
      <c r="D295" s="310">
        <v>15</v>
      </c>
      <c r="E295" s="310">
        <v>34</v>
      </c>
      <c r="F295" s="310">
        <v>22</v>
      </c>
      <c r="G295" s="310">
        <v>13</v>
      </c>
      <c r="H295" s="282">
        <v>35</v>
      </c>
      <c r="I295" s="310"/>
      <c r="J295" s="282">
        <v>1</v>
      </c>
      <c r="K295" s="310">
        <v>1</v>
      </c>
      <c r="L295" s="282">
        <v>2</v>
      </c>
      <c r="M295" s="310">
        <v>3</v>
      </c>
      <c r="N295" s="282">
        <v>5</v>
      </c>
      <c r="O295" s="300">
        <v>43</v>
      </c>
      <c r="P295" s="300">
        <v>32</v>
      </c>
      <c r="Q295" s="300">
        <v>75</v>
      </c>
    </row>
    <row r="296" spans="2:17" x14ac:dyDescent="0.25">
      <c r="B296" s="255" t="s">
        <v>333</v>
      </c>
      <c r="C296" s="310">
        <v>13</v>
      </c>
      <c r="D296" s="310">
        <v>19</v>
      </c>
      <c r="E296" s="310">
        <v>32</v>
      </c>
      <c r="F296" s="310">
        <v>37</v>
      </c>
      <c r="G296" s="310">
        <v>18</v>
      </c>
      <c r="H296" s="282">
        <v>55</v>
      </c>
      <c r="I296" s="310"/>
      <c r="J296" s="282">
        <v>1</v>
      </c>
      <c r="K296" s="310">
        <v>1</v>
      </c>
      <c r="L296" s="282"/>
      <c r="M296" s="310">
        <v>3</v>
      </c>
      <c r="N296" s="282">
        <v>3</v>
      </c>
      <c r="O296" s="300">
        <v>50</v>
      </c>
      <c r="P296" s="300">
        <v>41</v>
      </c>
      <c r="Q296" s="300">
        <v>91</v>
      </c>
    </row>
    <row r="297" spans="2:17" x14ac:dyDescent="0.25">
      <c r="B297" s="255" t="s">
        <v>334</v>
      </c>
      <c r="C297" s="310">
        <v>6</v>
      </c>
      <c r="D297" s="310">
        <v>9</v>
      </c>
      <c r="E297" s="310">
        <v>15</v>
      </c>
      <c r="F297" s="310">
        <v>9</v>
      </c>
      <c r="G297" s="310">
        <v>3</v>
      </c>
      <c r="H297" s="282">
        <v>12</v>
      </c>
      <c r="I297" s="310"/>
      <c r="J297" s="282"/>
      <c r="K297" s="310"/>
      <c r="L297" s="282"/>
      <c r="M297" s="310">
        <v>1</v>
      </c>
      <c r="N297" s="282">
        <v>1</v>
      </c>
      <c r="O297" s="300">
        <v>15</v>
      </c>
      <c r="P297" s="300">
        <v>13</v>
      </c>
      <c r="Q297" s="300">
        <v>28</v>
      </c>
    </row>
    <row r="298" spans="2:17" x14ac:dyDescent="0.25">
      <c r="B298" s="255" t="s">
        <v>335</v>
      </c>
      <c r="C298" s="310">
        <v>2</v>
      </c>
      <c r="D298" s="310">
        <v>4</v>
      </c>
      <c r="E298" s="310">
        <v>6</v>
      </c>
      <c r="F298" s="310">
        <v>5</v>
      </c>
      <c r="G298" s="310">
        <v>11</v>
      </c>
      <c r="H298" s="282">
        <v>16</v>
      </c>
      <c r="I298" s="310"/>
      <c r="J298" s="282">
        <v>1</v>
      </c>
      <c r="K298" s="310">
        <v>1</v>
      </c>
      <c r="L298" s="282"/>
      <c r="M298" s="310">
        <v>1</v>
      </c>
      <c r="N298" s="282">
        <v>1</v>
      </c>
      <c r="O298" s="300">
        <v>7</v>
      </c>
      <c r="P298" s="300">
        <v>17</v>
      </c>
      <c r="Q298" s="300">
        <v>24</v>
      </c>
    </row>
    <row r="299" spans="2:17" x14ac:dyDescent="0.25">
      <c r="B299" s="255" t="s">
        <v>336</v>
      </c>
      <c r="C299" s="310">
        <v>7</v>
      </c>
      <c r="D299" s="310">
        <v>8</v>
      </c>
      <c r="E299" s="310">
        <v>15</v>
      </c>
      <c r="F299" s="310">
        <v>6</v>
      </c>
      <c r="G299" s="310">
        <v>6</v>
      </c>
      <c r="H299" s="282">
        <v>12</v>
      </c>
      <c r="I299" s="310"/>
      <c r="J299" s="282"/>
      <c r="K299" s="310"/>
      <c r="L299" s="282">
        <v>1</v>
      </c>
      <c r="M299" s="310"/>
      <c r="N299" s="282">
        <v>1</v>
      </c>
      <c r="O299" s="300">
        <v>14</v>
      </c>
      <c r="P299" s="300">
        <v>14</v>
      </c>
      <c r="Q299" s="300">
        <v>28</v>
      </c>
    </row>
    <row r="300" spans="2:17" x14ac:dyDescent="0.25">
      <c r="B300" s="255" t="s">
        <v>337</v>
      </c>
      <c r="C300" s="310">
        <v>116</v>
      </c>
      <c r="D300" s="310">
        <v>127</v>
      </c>
      <c r="E300" s="310">
        <v>243</v>
      </c>
      <c r="F300" s="310">
        <v>281</v>
      </c>
      <c r="G300" s="310">
        <v>161</v>
      </c>
      <c r="H300" s="282">
        <v>442</v>
      </c>
      <c r="I300" s="310">
        <v>1</v>
      </c>
      <c r="J300" s="282">
        <v>5</v>
      </c>
      <c r="K300" s="310">
        <v>6</v>
      </c>
      <c r="L300" s="282">
        <v>10</v>
      </c>
      <c r="M300" s="310">
        <v>24</v>
      </c>
      <c r="N300" s="282">
        <v>34</v>
      </c>
      <c r="O300" s="300">
        <v>408</v>
      </c>
      <c r="P300" s="300">
        <v>317</v>
      </c>
      <c r="Q300" s="300">
        <v>725</v>
      </c>
    </row>
    <row r="301" spans="2:17" x14ac:dyDescent="0.25">
      <c r="B301" s="255" t="s">
        <v>338</v>
      </c>
      <c r="C301" s="310">
        <v>9</v>
      </c>
      <c r="D301" s="310">
        <v>6</v>
      </c>
      <c r="E301" s="310">
        <v>15</v>
      </c>
      <c r="F301" s="310">
        <v>14</v>
      </c>
      <c r="G301" s="310">
        <v>6</v>
      </c>
      <c r="H301" s="282">
        <v>20</v>
      </c>
      <c r="I301" s="310"/>
      <c r="J301" s="282"/>
      <c r="K301" s="310"/>
      <c r="L301" s="282">
        <v>1</v>
      </c>
      <c r="M301" s="310"/>
      <c r="N301" s="282">
        <v>1</v>
      </c>
      <c r="O301" s="300">
        <v>24</v>
      </c>
      <c r="P301" s="300">
        <v>12</v>
      </c>
      <c r="Q301" s="300">
        <v>36</v>
      </c>
    </row>
    <row r="302" spans="2:17" x14ac:dyDescent="0.25">
      <c r="B302" s="255" t="s">
        <v>339</v>
      </c>
      <c r="C302" s="310">
        <v>5</v>
      </c>
      <c r="D302" s="310">
        <v>4</v>
      </c>
      <c r="E302" s="310">
        <v>9</v>
      </c>
      <c r="F302" s="310">
        <v>4</v>
      </c>
      <c r="G302" s="310">
        <v>1</v>
      </c>
      <c r="H302" s="282">
        <v>5</v>
      </c>
      <c r="I302" s="310"/>
      <c r="J302" s="282"/>
      <c r="K302" s="310"/>
      <c r="L302" s="282"/>
      <c r="M302" s="310">
        <v>1</v>
      </c>
      <c r="N302" s="282">
        <v>1</v>
      </c>
      <c r="O302" s="300">
        <v>9</v>
      </c>
      <c r="P302" s="300">
        <v>6</v>
      </c>
      <c r="Q302" s="300">
        <v>15</v>
      </c>
    </row>
    <row r="303" spans="2:17" x14ac:dyDescent="0.25">
      <c r="B303" s="255" t="s">
        <v>340</v>
      </c>
      <c r="C303" s="310">
        <v>13</v>
      </c>
      <c r="D303" s="310">
        <v>9</v>
      </c>
      <c r="E303" s="310">
        <v>22</v>
      </c>
      <c r="F303" s="310">
        <v>17</v>
      </c>
      <c r="G303" s="310">
        <v>18</v>
      </c>
      <c r="H303" s="282">
        <v>35</v>
      </c>
      <c r="I303" s="310"/>
      <c r="J303" s="282"/>
      <c r="K303" s="310"/>
      <c r="L303" s="282"/>
      <c r="M303" s="310"/>
      <c r="N303" s="282"/>
      <c r="O303" s="300">
        <v>30</v>
      </c>
      <c r="P303" s="300">
        <v>27</v>
      </c>
      <c r="Q303" s="300">
        <v>57</v>
      </c>
    </row>
    <row r="304" spans="2:17" x14ac:dyDescent="0.25">
      <c r="B304" s="255" t="s">
        <v>341</v>
      </c>
      <c r="C304" s="310">
        <v>19</v>
      </c>
      <c r="D304" s="310">
        <v>16</v>
      </c>
      <c r="E304" s="310">
        <v>35</v>
      </c>
      <c r="F304" s="310">
        <v>36</v>
      </c>
      <c r="G304" s="310">
        <v>28</v>
      </c>
      <c r="H304" s="282">
        <v>64</v>
      </c>
      <c r="I304" s="310"/>
      <c r="J304" s="282"/>
      <c r="K304" s="310"/>
      <c r="L304" s="282">
        <v>1</v>
      </c>
      <c r="M304" s="310">
        <v>1</v>
      </c>
      <c r="N304" s="282">
        <v>2</v>
      </c>
      <c r="O304" s="300">
        <v>56</v>
      </c>
      <c r="P304" s="300">
        <v>45</v>
      </c>
      <c r="Q304" s="300">
        <v>101</v>
      </c>
    </row>
    <row r="305" spans="2:17" x14ac:dyDescent="0.25">
      <c r="B305" s="255" t="s">
        <v>342</v>
      </c>
      <c r="C305" s="310">
        <v>22</v>
      </c>
      <c r="D305" s="310">
        <v>13</v>
      </c>
      <c r="E305" s="310">
        <v>35</v>
      </c>
      <c r="F305" s="310">
        <v>22</v>
      </c>
      <c r="G305" s="310">
        <v>29</v>
      </c>
      <c r="H305" s="282">
        <v>51</v>
      </c>
      <c r="I305" s="310"/>
      <c r="J305" s="282"/>
      <c r="K305" s="310"/>
      <c r="L305" s="282"/>
      <c r="M305" s="310">
        <v>2</v>
      </c>
      <c r="N305" s="282">
        <v>2</v>
      </c>
      <c r="O305" s="300">
        <v>44</v>
      </c>
      <c r="P305" s="300">
        <v>44</v>
      </c>
      <c r="Q305" s="300">
        <v>88</v>
      </c>
    </row>
    <row r="306" spans="2:17" x14ac:dyDescent="0.25">
      <c r="B306" s="255" t="s">
        <v>343</v>
      </c>
      <c r="C306" s="310">
        <v>30</v>
      </c>
      <c r="D306" s="310">
        <v>35</v>
      </c>
      <c r="E306" s="310">
        <v>65</v>
      </c>
      <c r="F306" s="310">
        <v>52</v>
      </c>
      <c r="G306" s="310">
        <v>31</v>
      </c>
      <c r="H306" s="282">
        <v>83</v>
      </c>
      <c r="I306" s="310">
        <v>2</v>
      </c>
      <c r="J306" s="282"/>
      <c r="K306" s="310">
        <v>2</v>
      </c>
      <c r="L306" s="282">
        <v>2</v>
      </c>
      <c r="M306" s="310">
        <v>2</v>
      </c>
      <c r="N306" s="282">
        <v>4</v>
      </c>
      <c r="O306" s="300">
        <v>86</v>
      </c>
      <c r="P306" s="300">
        <v>68</v>
      </c>
      <c r="Q306" s="300">
        <v>154</v>
      </c>
    </row>
    <row r="307" spans="2:17" x14ac:dyDescent="0.25">
      <c r="B307" s="351" t="s">
        <v>35</v>
      </c>
      <c r="C307" s="302">
        <v>490</v>
      </c>
      <c r="D307" s="302">
        <v>512</v>
      </c>
      <c r="E307" s="302">
        <v>1002</v>
      </c>
      <c r="F307" s="302">
        <v>844</v>
      </c>
      <c r="G307" s="302">
        <v>527</v>
      </c>
      <c r="H307" s="300">
        <v>1371</v>
      </c>
      <c r="I307" s="302">
        <v>6</v>
      </c>
      <c r="J307" s="300">
        <v>17</v>
      </c>
      <c r="K307" s="302">
        <v>23</v>
      </c>
      <c r="L307" s="300">
        <v>30</v>
      </c>
      <c r="M307" s="302">
        <v>72</v>
      </c>
      <c r="N307" s="300">
        <v>102</v>
      </c>
      <c r="O307" s="300">
        <v>1370</v>
      </c>
      <c r="P307" s="300">
        <v>1128</v>
      </c>
      <c r="Q307" s="300">
        <v>2498</v>
      </c>
    </row>
    <row r="308" spans="2:17" ht="126.75" customHeight="1" x14ac:dyDescent="0.25">
      <c r="B308" s="469" t="s">
        <v>929</v>
      </c>
      <c r="C308" s="469"/>
      <c r="D308" s="469"/>
      <c r="E308" s="469"/>
      <c r="F308" s="469"/>
      <c r="G308" s="469"/>
      <c r="H308" s="469"/>
      <c r="I308" s="469"/>
      <c r="J308" s="469"/>
      <c r="K308" s="469"/>
      <c r="L308" s="469"/>
      <c r="M308" s="469"/>
      <c r="N308" s="469"/>
      <c r="O308" s="469"/>
      <c r="P308" s="469"/>
      <c r="Q308" s="469"/>
    </row>
    <row r="309" spans="2:17" x14ac:dyDescent="0.25">
      <c r="B309" s="172"/>
      <c r="C309" s="172"/>
      <c r="D309" s="172"/>
      <c r="E309"/>
      <c r="F309"/>
      <c r="G309"/>
    </row>
    <row r="310" spans="2:17" x14ac:dyDescent="0.25">
      <c r="B310" s="201" t="s">
        <v>526</v>
      </c>
      <c r="C310"/>
      <c r="D310"/>
      <c r="E310"/>
      <c r="F310"/>
      <c r="G310"/>
    </row>
    <row r="311" spans="2:17" x14ac:dyDescent="0.25">
      <c r="B311" s="201"/>
      <c r="C311"/>
      <c r="D311"/>
      <c r="E311"/>
      <c r="F311"/>
      <c r="G311"/>
    </row>
    <row r="312" spans="2:17" ht="15" customHeight="1" x14ac:dyDescent="0.25">
      <c r="B312" s="466" t="s">
        <v>544</v>
      </c>
      <c r="C312" s="479" t="s">
        <v>488</v>
      </c>
      <c r="D312" s="479"/>
      <c r="E312" s="479"/>
      <c r="F312" s="479"/>
      <c r="G312" s="479"/>
      <c r="H312" s="479"/>
      <c r="I312" s="479"/>
      <c r="J312" s="479"/>
      <c r="K312" s="479"/>
      <c r="L312" s="479"/>
      <c r="M312" s="479"/>
      <c r="N312" s="479"/>
      <c r="O312" s="483" t="s">
        <v>746</v>
      </c>
      <c r="P312" s="484"/>
      <c r="Q312" s="485"/>
    </row>
    <row r="313" spans="2:17" ht="15" customHeight="1" x14ac:dyDescent="0.25">
      <c r="B313" s="467"/>
      <c r="C313" s="479" t="s">
        <v>707</v>
      </c>
      <c r="D313" s="479"/>
      <c r="E313" s="479"/>
      <c r="F313" s="479" t="s">
        <v>497</v>
      </c>
      <c r="G313" s="479"/>
      <c r="H313" s="479"/>
      <c r="I313" s="479" t="s">
        <v>4</v>
      </c>
      <c r="J313" s="479"/>
      <c r="K313" s="479"/>
      <c r="L313" s="479" t="s">
        <v>6</v>
      </c>
      <c r="M313" s="479"/>
      <c r="N313" s="479"/>
      <c r="O313" s="486"/>
      <c r="P313" s="487"/>
      <c r="Q313" s="488"/>
    </row>
    <row r="314" spans="2:17" x14ac:dyDescent="0.25">
      <c r="B314" s="468"/>
      <c r="C314" s="175" t="s">
        <v>83</v>
      </c>
      <c r="D314" s="175" t="s">
        <v>84</v>
      </c>
      <c r="E314" s="175" t="s">
        <v>35</v>
      </c>
      <c r="F314" s="175" t="s">
        <v>83</v>
      </c>
      <c r="G314" s="175" t="s">
        <v>84</v>
      </c>
      <c r="H314" s="175" t="s">
        <v>35</v>
      </c>
      <c r="I314" s="175" t="s">
        <v>83</v>
      </c>
      <c r="J314" s="175" t="s">
        <v>84</v>
      </c>
      <c r="K314" s="175" t="s">
        <v>35</v>
      </c>
      <c r="L314" s="175" t="s">
        <v>83</v>
      </c>
      <c r="M314" s="175" t="s">
        <v>84</v>
      </c>
      <c r="N314" s="175" t="s">
        <v>35</v>
      </c>
      <c r="O314" s="262" t="s">
        <v>83</v>
      </c>
      <c r="P314" s="262" t="s">
        <v>84</v>
      </c>
      <c r="Q314" s="262" t="s">
        <v>35</v>
      </c>
    </row>
    <row r="315" spans="2:17" x14ac:dyDescent="0.25">
      <c r="B315" s="254" t="s">
        <v>345</v>
      </c>
      <c r="C315" s="310">
        <v>21</v>
      </c>
      <c r="D315" s="310">
        <v>36</v>
      </c>
      <c r="E315" s="310">
        <v>57</v>
      </c>
      <c r="F315" s="310">
        <v>40</v>
      </c>
      <c r="G315" s="310">
        <v>28</v>
      </c>
      <c r="H315" s="282">
        <v>68</v>
      </c>
      <c r="I315" s="310"/>
      <c r="J315" s="282">
        <v>4</v>
      </c>
      <c r="K315" s="310">
        <v>4</v>
      </c>
      <c r="L315" s="282">
        <v>4</v>
      </c>
      <c r="M315" s="310">
        <v>9</v>
      </c>
      <c r="N315" s="282">
        <v>13</v>
      </c>
      <c r="O315" s="300">
        <v>65</v>
      </c>
      <c r="P315" s="300">
        <v>77</v>
      </c>
      <c r="Q315" s="300">
        <v>142</v>
      </c>
    </row>
    <row r="316" spans="2:17" x14ac:dyDescent="0.25">
      <c r="B316" s="255" t="s">
        <v>346</v>
      </c>
      <c r="C316" s="310">
        <v>13</v>
      </c>
      <c r="D316" s="310">
        <v>20</v>
      </c>
      <c r="E316" s="310">
        <v>33</v>
      </c>
      <c r="F316" s="310">
        <v>25</v>
      </c>
      <c r="G316" s="310">
        <v>13</v>
      </c>
      <c r="H316" s="282">
        <v>38</v>
      </c>
      <c r="I316" s="310"/>
      <c r="J316" s="282"/>
      <c r="K316" s="310"/>
      <c r="L316" s="282">
        <v>1</v>
      </c>
      <c r="M316" s="310">
        <v>3</v>
      </c>
      <c r="N316" s="282">
        <v>4</v>
      </c>
      <c r="O316" s="300">
        <v>39</v>
      </c>
      <c r="P316" s="300">
        <v>36</v>
      </c>
      <c r="Q316" s="300">
        <v>75</v>
      </c>
    </row>
    <row r="317" spans="2:17" x14ac:dyDescent="0.25">
      <c r="B317" s="255" t="s">
        <v>347</v>
      </c>
      <c r="C317" s="310">
        <v>15</v>
      </c>
      <c r="D317" s="310">
        <v>26</v>
      </c>
      <c r="E317" s="310">
        <v>41</v>
      </c>
      <c r="F317" s="310">
        <v>28</v>
      </c>
      <c r="G317" s="310">
        <v>18</v>
      </c>
      <c r="H317" s="282">
        <v>46</v>
      </c>
      <c r="I317" s="310"/>
      <c r="J317" s="282"/>
      <c r="K317" s="310"/>
      <c r="L317" s="282">
        <v>5</v>
      </c>
      <c r="M317" s="310">
        <v>6</v>
      </c>
      <c r="N317" s="282">
        <v>11</v>
      </c>
      <c r="O317" s="300">
        <v>48</v>
      </c>
      <c r="P317" s="300">
        <v>50</v>
      </c>
      <c r="Q317" s="300">
        <v>98</v>
      </c>
    </row>
    <row r="318" spans="2:17" x14ac:dyDescent="0.25">
      <c r="B318" s="255" t="s">
        <v>348</v>
      </c>
      <c r="C318" s="310">
        <v>5</v>
      </c>
      <c r="D318" s="310">
        <v>2</v>
      </c>
      <c r="E318" s="310">
        <v>7</v>
      </c>
      <c r="F318" s="310">
        <v>1</v>
      </c>
      <c r="G318" s="310"/>
      <c r="H318" s="282">
        <v>1</v>
      </c>
      <c r="I318" s="310"/>
      <c r="J318" s="282"/>
      <c r="K318" s="310"/>
      <c r="L318" s="282"/>
      <c r="M318" s="310">
        <v>1</v>
      </c>
      <c r="N318" s="282">
        <v>1</v>
      </c>
      <c r="O318" s="300">
        <v>6</v>
      </c>
      <c r="P318" s="300">
        <v>3</v>
      </c>
      <c r="Q318" s="300">
        <v>9</v>
      </c>
    </row>
    <row r="319" spans="2:17" x14ac:dyDescent="0.25">
      <c r="B319" s="255" t="s">
        <v>349</v>
      </c>
      <c r="C319" s="310">
        <v>9</v>
      </c>
      <c r="D319" s="310">
        <v>4</v>
      </c>
      <c r="E319" s="310">
        <v>13</v>
      </c>
      <c r="F319" s="310">
        <v>9</v>
      </c>
      <c r="G319" s="310">
        <v>14</v>
      </c>
      <c r="H319" s="282">
        <v>23</v>
      </c>
      <c r="I319" s="310"/>
      <c r="J319" s="282"/>
      <c r="K319" s="310"/>
      <c r="L319" s="282">
        <v>2</v>
      </c>
      <c r="M319" s="310">
        <v>1</v>
      </c>
      <c r="N319" s="282">
        <v>3</v>
      </c>
      <c r="O319" s="300">
        <v>20</v>
      </c>
      <c r="P319" s="300">
        <v>19</v>
      </c>
      <c r="Q319" s="300">
        <v>39</v>
      </c>
    </row>
    <row r="320" spans="2:17" x14ac:dyDescent="0.25">
      <c r="B320" s="255" t="s">
        <v>350</v>
      </c>
      <c r="C320" s="310">
        <v>2</v>
      </c>
      <c r="D320" s="310">
        <v>3</v>
      </c>
      <c r="E320" s="310">
        <v>5</v>
      </c>
      <c r="F320" s="310">
        <v>2</v>
      </c>
      <c r="G320" s="310">
        <v>4</v>
      </c>
      <c r="H320" s="282">
        <v>6</v>
      </c>
      <c r="I320" s="310"/>
      <c r="J320" s="282"/>
      <c r="K320" s="310"/>
      <c r="L320" s="282"/>
      <c r="M320" s="310"/>
      <c r="N320" s="282"/>
      <c r="O320" s="300">
        <v>4</v>
      </c>
      <c r="P320" s="300">
        <v>7</v>
      </c>
      <c r="Q320" s="300">
        <v>11</v>
      </c>
    </row>
    <row r="321" spans="2:17" x14ac:dyDescent="0.25">
      <c r="B321" s="255" t="s">
        <v>351</v>
      </c>
      <c r="C321" s="310">
        <v>3</v>
      </c>
      <c r="D321" s="310">
        <v>1</v>
      </c>
      <c r="E321" s="310">
        <v>4</v>
      </c>
      <c r="F321" s="310">
        <v>2</v>
      </c>
      <c r="G321" s="310">
        <v>1</v>
      </c>
      <c r="H321" s="282">
        <v>3</v>
      </c>
      <c r="I321" s="310"/>
      <c r="J321" s="282"/>
      <c r="K321" s="310"/>
      <c r="L321" s="282"/>
      <c r="M321" s="310">
        <v>1</v>
      </c>
      <c r="N321" s="282">
        <v>1</v>
      </c>
      <c r="O321" s="300">
        <v>5</v>
      </c>
      <c r="P321" s="300">
        <v>3</v>
      </c>
      <c r="Q321" s="300">
        <v>8</v>
      </c>
    </row>
    <row r="322" spans="2:17" x14ac:dyDescent="0.25">
      <c r="B322" s="255" t="s">
        <v>352</v>
      </c>
      <c r="C322" s="310">
        <v>4</v>
      </c>
      <c r="D322" s="310">
        <v>10</v>
      </c>
      <c r="E322" s="310">
        <v>14</v>
      </c>
      <c r="F322" s="310">
        <v>11</v>
      </c>
      <c r="G322" s="310">
        <v>6</v>
      </c>
      <c r="H322" s="282">
        <v>17</v>
      </c>
      <c r="I322" s="310">
        <v>1</v>
      </c>
      <c r="J322" s="282"/>
      <c r="K322" s="310">
        <v>1</v>
      </c>
      <c r="L322" s="282">
        <v>1</v>
      </c>
      <c r="M322" s="310">
        <v>3</v>
      </c>
      <c r="N322" s="282">
        <v>4</v>
      </c>
      <c r="O322" s="300">
        <v>17</v>
      </c>
      <c r="P322" s="300">
        <v>19</v>
      </c>
      <c r="Q322" s="300">
        <v>36</v>
      </c>
    </row>
    <row r="323" spans="2:17" x14ac:dyDescent="0.25">
      <c r="B323" s="255" t="s">
        <v>353</v>
      </c>
      <c r="C323" s="310">
        <v>3</v>
      </c>
      <c r="D323" s="310">
        <v>6</v>
      </c>
      <c r="E323" s="310">
        <v>9</v>
      </c>
      <c r="F323" s="310">
        <v>8</v>
      </c>
      <c r="G323" s="310">
        <v>8</v>
      </c>
      <c r="H323" s="282">
        <v>16</v>
      </c>
      <c r="I323" s="310"/>
      <c r="J323" s="282"/>
      <c r="K323" s="310"/>
      <c r="L323" s="282"/>
      <c r="M323" s="310"/>
      <c r="N323" s="282"/>
      <c r="O323" s="300">
        <v>11</v>
      </c>
      <c r="P323" s="300">
        <v>14</v>
      </c>
      <c r="Q323" s="300">
        <v>25</v>
      </c>
    </row>
    <row r="324" spans="2:17" x14ac:dyDescent="0.25">
      <c r="B324" s="255" t="s">
        <v>354</v>
      </c>
      <c r="C324" s="310">
        <v>7</v>
      </c>
      <c r="D324" s="310">
        <v>9</v>
      </c>
      <c r="E324" s="310">
        <v>16</v>
      </c>
      <c r="F324" s="310">
        <v>21</v>
      </c>
      <c r="G324" s="310">
        <v>14</v>
      </c>
      <c r="H324" s="282">
        <v>35</v>
      </c>
      <c r="I324" s="310"/>
      <c r="J324" s="282"/>
      <c r="K324" s="310"/>
      <c r="L324" s="282"/>
      <c r="M324" s="310">
        <v>5</v>
      </c>
      <c r="N324" s="282">
        <v>5</v>
      </c>
      <c r="O324" s="300">
        <v>28</v>
      </c>
      <c r="P324" s="300">
        <v>28</v>
      </c>
      <c r="Q324" s="300">
        <v>56</v>
      </c>
    </row>
    <row r="325" spans="2:17" x14ac:dyDescent="0.25">
      <c r="B325" s="255" t="s">
        <v>355</v>
      </c>
      <c r="C325" s="310">
        <v>2</v>
      </c>
      <c r="D325" s="310">
        <v>1</v>
      </c>
      <c r="E325" s="310">
        <v>3</v>
      </c>
      <c r="F325" s="310">
        <v>2</v>
      </c>
      <c r="G325" s="310">
        <v>1</v>
      </c>
      <c r="H325" s="282">
        <v>3</v>
      </c>
      <c r="I325" s="310"/>
      <c r="J325" s="282"/>
      <c r="K325" s="310"/>
      <c r="L325" s="282"/>
      <c r="M325" s="310"/>
      <c r="N325" s="282"/>
      <c r="O325" s="300">
        <v>4</v>
      </c>
      <c r="P325" s="300">
        <v>2</v>
      </c>
      <c r="Q325" s="300">
        <v>6</v>
      </c>
    </row>
    <row r="326" spans="2:17" x14ac:dyDescent="0.25">
      <c r="B326" s="255" t="s">
        <v>356</v>
      </c>
      <c r="C326" s="310">
        <v>1</v>
      </c>
      <c r="D326" s="310">
        <v>9</v>
      </c>
      <c r="E326" s="310">
        <v>10</v>
      </c>
      <c r="F326" s="310">
        <v>7</v>
      </c>
      <c r="G326" s="310">
        <v>2</v>
      </c>
      <c r="H326" s="282">
        <v>9</v>
      </c>
      <c r="I326" s="310"/>
      <c r="J326" s="282"/>
      <c r="K326" s="310"/>
      <c r="L326" s="282"/>
      <c r="M326" s="310">
        <v>1</v>
      </c>
      <c r="N326" s="282">
        <v>1</v>
      </c>
      <c r="O326" s="300">
        <v>8</v>
      </c>
      <c r="P326" s="300">
        <v>12</v>
      </c>
      <c r="Q326" s="300">
        <v>20</v>
      </c>
    </row>
    <row r="327" spans="2:17" x14ac:dyDescent="0.25">
      <c r="B327" s="255" t="s">
        <v>357</v>
      </c>
      <c r="C327" s="310">
        <v>8</v>
      </c>
      <c r="D327" s="310">
        <v>3</v>
      </c>
      <c r="E327" s="310">
        <v>11</v>
      </c>
      <c r="F327" s="310">
        <v>19</v>
      </c>
      <c r="G327" s="310">
        <v>12</v>
      </c>
      <c r="H327" s="282">
        <v>31</v>
      </c>
      <c r="I327" s="310"/>
      <c r="J327" s="282"/>
      <c r="K327" s="310"/>
      <c r="L327" s="282"/>
      <c r="M327" s="310">
        <v>1</v>
      </c>
      <c r="N327" s="282">
        <v>1</v>
      </c>
      <c r="O327" s="300">
        <v>27</v>
      </c>
      <c r="P327" s="300">
        <v>16</v>
      </c>
      <c r="Q327" s="300">
        <v>43</v>
      </c>
    </row>
    <row r="328" spans="2:17" x14ac:dyDescent="0.25">
      <c r="B328" s="255" t="s">
        <v>358</v>
      </c>
      <c r="C328" s="310">
        <v>22</v>
      </c>
      <c r="D328" s="310">
        <v>15</v>
      </c>
      <c r="E328" s="310">
        <v>37</v>
      </c>
      <c r="F328" s="310">
        <v>9</v>
      </c>
      <c r="G328" s="310">
        <v>10</v>
      </c>
      <c r="H328" s="282">
        <v>19</v>
      </c>
      <c r="I328" s="310"/>
      <c r="J328" s="282"/>
      <c r="K328" s="310"/>
      <c r="L328" s="282"/>
      <c r="M328" s="310">
        <v>1</v>
      </c>
      <c r="N328" s="282">
        <v>1</v>
      </c>
      <c r="O328" s="300">
        <v>31</v>
      </c>
      <c r="P328" s="300">
        <v>26</v>
      </c>
      <c r="Q328" s="300">
        <v>57</v>
      </c>
    </row>
    <row r="329" spans="2:17" x14ac:dyDescent="0.25">
      <c r="B329" s="255" t="s">
        <v>359</v>
      </c>
      <c r="C329" s="310">
        <v>7</v>
      </c>
      <c r="D329" s="310">
        <v>10</v>
      </c>
      <c r="E329" s="310">
        <v>17</v>
      </c>
      <c r="F329" s="310">
        <v>8</v>
      </c>
      <c r="G329" s="310">
        <v>10</v>
      </c>
      <c r="H329" s="282">
        <v>18</v>
      </c>
      <c r="I329" s="310"/>
      <c r="J329" s="282"/>
      <c r="K329" s="310"/>
      <c r="L329" s="282">
        <v>1</v>
      </c>
      <c r="M329" s="310"/>
      <c r="N329" s="282">
        <v>1</v>
      </c>
      <c r="O329" s="300">
        <v>16</v>
      </c>
      <c r="P329" s="300">
        <v>20</v>
      </c>
      <c r="Q329" s="300">
        <v>36</v>
      </c>
    </row>
    <row r="330" spans="2:17" x14ac:dyDescent="0.25">
      <c r="B330" s="255" t="s">
        <v>360</v>
      </c>
      <c r="C330" s="310">
        <v>76</v>
      </c>
      <c r="D330" s="310">
        <v>86</v>
      </c>
      <c r="E330" s="310">
        <v>162</v>
      </c>
      <c r="F330" s="310">
        <v>187</v>
      </c>
      <c r="G330" s="310">
        <v>114</v>
      </c>
      <c r="H330" s="282">
        <v>301</v>
      </c>
      <c r="I330" s="310">
        <v>1</v>
      </c>
      <c r="J330" s="282">
        <v>1</v>
      </c>
      <c r="K330" s="310">
        <v>2</v>
      </c>
      <c r="L330" s="282">
        <v>13</v>
      </c>
      <c r="M330" s="310">
        <v>21</v>
      </c>
      <c r="N330" s="282">
        <v>34</v>
      </c>
      <c r="O330" s="300">
        <v>277</v>
      </c>
      <c r="P330" s="300">
        <v>222</v>
      </c>
      <c r="Q330" s="300">
        <v>499</v>
      </c>
    </row>
    <row r="331" spans="2:17" x14ac:dyDescent="0.25">
      <c r="B331" s="255" t="s">
        <v>361</v>
      </c>
      <c r="C331" s="310">
        <v>2</v>
      </c>
      <c r="D331" s="310">
        <v>1</v>
      </c>
      <c r="E331" s="310">
        <v>3</v>
      </c>
      <c r="F331" s="310">
        <v>1</v>
      </c>
      <c r="G331" s="310"/>
      <c r="H331" s="282">
        <v>1</v>
      </c>
      <c r="I331" s="310"/>
      <c r="J331" s="282"/>
      <c r="K331" s="310"/>
      <c r="L331" s="282"/>
      <c r="M331" s="310"/>
      <c r="N331" s="282"/>
      <c r="O331" s="300">
        <v>3</v>
      </c>
      <c r="P331" s="300">
        <v>1</v>
      </c>
      <c r="Q331" s="300">
        <v>4</v>
      </c>
    </row>
    <row r="332" spans="2:17" x14ac:dyDescent="0.25">
      <c r="B332" s="255" t="s">
        <v>362</v>
      </c>
      <c r="C332" s="310">
        <v>72</v>
      </c>
      <c r="D332" s="310">
        <v>111</v>
      </c>
      <c r="E332" s="310">
        <v>183</v>
      </c>
      <c r="F332" s="310">
        <v>191</v>
      </c>
      <c r="G332" s="310">
        <v>130</v>
      </c>
      <c r="H332" s="282">
        <v>321</v>
      </c>
      <c r="I332" s="310">
        <v>2</v>
      </c>
      <c r="J332" s="282">
        <v>1</v>
      </c>
      <c r="K332" s="310">
        <v>3</v>
      </c>
      <c r="L332" s="282">
        <v>10</v>
      </c>
      <c r="M332" s="310">
        <v>19</v>
      </c>
      <c r="N332" s="282">
        <v>29</v>
      </c>
      <c r="O332" s="300">
        <v>275</v>
      </c>
      <c r="P332" s="300">
        <v>261</v>
      </c>
      <c r="Q332" s="300">
        <v>536</v>
      </c>
    </row>
    <row r="333" spans="2:17" x14ac:dyDescent="0.25">
      <c r="B333" s="255" t="s">
        <v>363</v>
      </c>
      <c r="C333" s="310">
        <v>5</v>
      </c>
      <c r="D333" s="310">
        <v>3</v>
      </c>
      <c r="E333" s="310">
        <v>8</v>
      </c>
      <c r="F333" s="310">
        <v>9</v>
      </c>
      <c r="G333" s="310">
        <v>1</v>
      </c>
      <c r="H333" s="282">
        <v>10</v>
      </c>
      <c r="I333" s="310"/>
      <c r="J333" s="282"/>
      <c r="K333" s="310"/>
      <c r="L333" s="282"/>
      <c r="M333" s="310"/>
      <c r="N333" s="282"/>
      <c r="O333" s="300">
        <v>14</v>
      </c>
      <c r="P333" s="300">
        <v>4</v>
      </c>
      <c r="Q333" s="300">
        <v>18</v>
      </c>
    </row>
    <row r="334" spans="2:17" x14ac:dyDescent="0.25">
      <c r="B334" s="255" t="s">
        <v>364</v>
      </c>
      <c r="C334" s="310">
        <v>15</v>
      </c>
      <c r="D334" s="310">
        <v>13</v>
      </c>
      <c r="E334" s="310">
        <v>28</v>
      </c>
      <c r="F334" s="310">
        <v>43</v>
      </c>
      <c r="G334" s="310">
        <v>27</v>
      </c>
      <c r="H334" s="282">
        <v>70</v>
      </c>
      <c r="I334" s="310"/>
      <c r="J334" s="282"/>
      <c r="K334" s="310"/>
      <c r="L334" s="282">
        <v>2</v>
      </c>
      <c r="M334" s="310">
        <v>2</v>
      </c>
      <c r="N334" s="282">
        <v>4</v>
      </c>
      <c r="O334" s="300">
        <v>60</v>
      </c>
      <c r="P334" s="300">
        <v>42</v>
      </c>
      <c r="Q334" s="300">
        <v>102</v>
      </c>
    </row>
    <row r="335" spans="2:17" x14ac:dyDescent="0.25">
      <c r="B335" s="255" t="s">
        <v>365</v>
      </c>
      <c r="C335" s="310">
        <v>3</v>
      </c>
      <c r="D335" s="310">
        <v>3</v>
      </c>
      <c r="E335" s="310">
        <v>6</v>
      </c>
      <c r="F335" s="310">
        <v>5</v>
      </c>
      <c r="G335" s="310"/>
      <c r="H335" s="282">
        <v>5</v>
      </c>
      <c r="I335" s="310"/>
      <c r="J335" s="282"/>
      <c r="K335" s="310"/>
      <c r="L335" s="282"/>
      <c r="M335" s="310">
        <v>1</v>
      </c>
      <c r="N335" s="282">
        <v>1</v>
      </c>
      <c r="O335" s="300">
        <v>8</v>
      </c>
      <c r="P335" s="300">
        <v>4</v>
      </c>
      <c r="Q335" s="300">
        <v>12</v>
      </c>
    </row>
    <row r="336" spans="2:17" x14ac:dyDescent="0.25">
      <c r="B336" s="255" t="s">
        <v>366</v>
      </c>
      <c r="C336" s="310">
        <v>8</v>
      </c>
      <c r="D336" s="310">
        <v>7</v>
      </c>
      <c r="E336" s="310">
        <v>15</v>
      </c>
      <c r="F336" s="310">
        <v>14</v>
      </c>
      <c r="G336" s="310">
        <v>11</v>
      </c>
      <c r="H336" s="282">
        <v>25</v>
      </c>
      <c r="I336" s="310"/>
      <c r="J336" s="282"/>
      <c r="K336" s="310"/>
      <c r="L336" s="282"/>
      <c r="M336" s="310">
        <v>2</v>
      </c>
      <c r="N336" s="282">
        <v>2</v>
      </c>
      <c r="O336" s="300">
        <v>22</v>
      </c>
      <c r="P336" s="300">
        <v>20</v>
      </c>
      <c r="Q336" s="300">
        <v>42</v>
      </c>
    </row>
    <row r="337" spans="2:17" x14ac:dyDescent="0.25">
      <c r="B337" s="255" t="s">
        <v>367</v>
      </c>
      <c r="C337" s="310">
        <v>4</v>
      </c>
      <c r="D337" s="310">
        <v>10</v>
      </c>
      <c r="E337" s="310">
        <v>14</v>
      </c>
      <c r="F337" s="310">
        <v>9</v>
      </c>
      <c r="G337" s="310">
        <v>9</v>
      </c>
      <c r="H337" s="282">
        <v>18</v>
      </c>
      <c r="I337" s="310"/>
      <c r="J337" s="282">
        <v>2</v>
      </c>
      <c r="K337" s="310">
        <v>2</v>
      </c>
      <c r="L337" s="282">
        <v>1</v>
      </c>
      <c r="M337" s="310">
        <v>1</v>
      </c>
      <c r="N337" s="282">
        <v>2</v>
      </c>
      <c r="O337" s="300">
        <v>14</v>
      </c>
      <c r="P337" s="300">
        <v>22</v>
      </c>
      <c r="Q337" s="300">
        <v>36</v>
      </c>
    </row>
    <row r="338" spans="2:17" x14ac:dyDescent="0.25">
      <c r="B338" s="255" t="s">
        <v>368</v>
      </c>
      <c r="C338" s="310">
        <v>2</v>
      </c>
      <c r="D338" s="310">
        <v>6</v>
      </c>
      <c r="E338" s="310">
        <v>8</v>
      </c>
      <c r="F338" s="310">
        <v>4</v>
      </c>
      <c r="G338" s="310">
        <v>3</v>
      </c>
      <c r="H338" s="282">
        <v>7</v>
      </c>
      <c r="I338" s="310"/>
      <c r="J338" s="282"/>
      <c r="K338" s="310"/>
      <c r="L338" s="282"/>
      <c r="M338" s="310"/>
      <c r="N338" s="282"/>
      <c r="O338" s="300">
        <v>6</v>
      </c>
      <c r="P338" s="300">
        <v>9</v>
      </c>
      <c r="Q338" s="300">
        <v>15</v>
      </c>
    </row>
    <row r="339" spans="2:17" x14ac:dyDescent="0.25">
      <c r="B339" s="255" t="s">
        <v>369</v>
      </c>
      <c r="C339" s="310">
        <v>7</v>
      </c>
      <c r="D339" s="310">
        <v>17</v>
      </c>
      <c r="E339" s="310">
        <v>24</v>
      </c>
      <c r="F339" s="310">
        <v>13</v>
      </c>
      <c r="G339" s="310">
        <v>9</v>
      </c>
      <c r="H339" s="282">
        <v>22</v>
      </c>
      <c r="I339" s="310"/>
      <c r="J339" s="282"/>
      <c r="K339" s="310"/>
      <c r="L339" s="282">
        <v>1</v>
      </c>
      <c r="M339" s="310">
        <v>2</v>
      </c>
      <c r="N339" s="282">
        <v>3</v>
      </c>
      <c r="O339" s="300">
        <v>21</v>
      </c>
      <c r="P339" s="300">
        <v>28</v>
      </c>
      <c r="Q339" s="300">
        <v>49</v>
      </c>
    </row>
    <row r="340" spans="2:17" x14ac:dyDescent="0.25">
      <c r="B340" s="255" t="s">
        <v>370</v>
      </c>
      <c r="C340" s="310">
        <v>8</v>
      </c>
      <c r="D340" s="310">
        <v>2</v>
      </c>
      <c r="E340" s="310">
        <v>10</v>
      </c>
      <c r="F340" s="310">
        <v>2</v>
      </c>
      <c r="G340" s="310">
        <v>4</v>
      </c>
      <c r="H340" s="282">
        <v>6</v>
      </c>
      <c r="I340" s="310"/>
      <c r="J340" s="282">
        <v>1</v>
      </c>
      <c r="K340" s="310">
        <v>1</v>
      </c>
      <c r="L340" s="282"/>
      <c r="M340" s="310">
        <v>1</v>
      </c>
      <c r="N340" s="282">
        <v>1</v>
      </c>
      <c r="O340" s="300">
        <v>10</v>
      </c>
      <c r="P340" s="300">
        <v>8</v>
      </c>
      <c r="Q340" s="300">
        <v>18</v>
      </c>
    </row>
    <row r="341" spans="2:17" x14ac:dyDescent="0.25">
      <c r="B341" s="255" t="s">
        <v>371</v>
      </c>
      <c r="C341" s="310">
        <v>3</v>
      </c>
      <c r="D341" s="310">
        <v>9</v>
      </c>
      <c r="E341" s="310">
        <v>12</v>
      </c>
      <c r="F341" s="310">
        <v>6</v>
      </c>
      <c r="G341" s="310">
        <v>8</v>
      </c>
      <c r="H341" s="282">
        <v>14</v>
      </c>
      <c r="I341" s="310">
        <v>1</v>
      </c>
      <c r="J341" s="282"/>
      <c r="K341" s="310">
        <v>1</v>
      </c>
      <c r="L341" s="282">
        <v>1</v>
      </c>
      <c r="M341" s="310">
        <v>2</v>
      </c>
      <c r="N341" s="282">
        <v>3</v>
      </c>
      <c r="O341" s="300">
        <v>11</v>
      </c>
      <c r="P341" s="300">
        <v>19</v>
      </c>
      <c r="Q341" s="300">
        <v>30</v>
      </c>
    </row>
    <row r="342" spans="2:17" x14ac:dyDescent="0.25">
      <c r="B342" s="255" t="s">
        <v>372</v>
      </c>
      <c r="C342" s="310">
        <v>5</v>
      </c>
      <c r="D342" s="310">
        <v>8</v>
      </c>
      <c r="E342" s="310">
        <v>13</v>
      </c>
      <c r="F342" s="310">
        <v>10</v>
      </c>
      <c r="G342" s="310">
        <v>13</v>
      </c>
      <c r="H342" s="282">
        <v>23</v>
      </c>
      <c r="I342" s="310"/>
      <c r="J342" s="282">
        <v>1</v>
      </c>
      <c r="K342" s="310">
        <v>1</v>
      </c>
      <c r="L342" s="282">
        <v>2</v>
      </c>
      <c r="M342" s="310">
        <v>2</v>
      </c>
      <c r="N342" s="282">
        <v>4</v>
      </c>
      <c r="O342" s="300">
        <v>17</v>
      </c>
      <c r="P342" s="300">
        <v>24</v>
      </c>
      <c r="Q342" s="300">
        <v>41</v>
      </c>
    </row>
    <row r="343" spans="2:17" x14ac:dyDescent="0.25">
      <c r="B343" s="255" t="s">
        <v>373</v>
      </c>
      <c r="C343" s="310"/>
      <c r="D343" s="310">
        <v>2</v>
      </c>
      <c r="E343" s="310">
        <v>2</v>
      </c>
      <c r="F343" s="310">
        <v>3</v>
      </c>
      <c r="G343" s="310">
        <v>3</v>
      </c>
      <c r="H343" s="282">
        <v>6</v>
      </c>
      <c r="I343" s="310"/>
      <c r="J343" s="282"/>
      <c r="K343" s="310"/>
      <c r="L343" s="282"/>
      <c r="M343" s="310">
        <v>1</v>
      </c>
      <c r="N343" s="282">
        <v>1</v>
      </c>
      <c r="O343" s="300">
        <v>3</v>
      </c>
      <c r="P343" s="300">
        <v>6</v>
      </c>
      <c r="Q343" s="300">
        <v>9</v>
      </c>
    </row>
    <row r="344" spans="2:17" x14ac:dyDescent="0.25">
      <c r="B344" s="255" t="s">
        <v>374</v>
      </c>
      <c r="C344" s="310">
        <v>5</v>
      </c>
      <c r="D344" s="310">
        <v>3</v>
      </c>
      <c r="E344" s="310">
        <v>8</v>
      </c>
      <c r="F344" s="310">
        <v>8</v>
      </c>
      <c r="G344" s="310">
        <v>6</v>
      </c>
      <c r="H344" s="282">
        <v>14</v>
      </c>
      <c r="I344" s="310"/>
      <c r="J344" s="282"/>
      <c r="K344" s="310"/>
      <c r="L344" s="282">
        <v>2</v>
      </c>
      <c r="M344" s="310"/>
      <c r="N344" s="282">
        <v>2</v>
      </c>
      <c r="O344" s="300">
        <v>15</v>
      </c>
      <c r="P344" s="300">
        <v>9</v>
      </c>
      <c r="Q344" s="300">
        <v>24</v>
      </c>
    </row>
    <row r="345" spans="2:17" x14ac:dyDescent="0.25">
      <c r="B345" s="351" t="s">
        <v>35</v>
      </c>
      <c r="C345" s="302">
        <v>337</v>
      </c>
      <c r="D345" s="302">
        <v>436</v>
      </c>
      <c r="E345" s="302">
        <v>773</v>
      </c>
      <c r="F345" s="302">
        <v>697</v>
      </c>
      <c r="G345" s="302">
        <v>479</v>
      </c>
      <c r="H345" s="300">
        <v>1176</v>
      </c>
      <c r="I345" s="302">
        <v>5</v>
      </c>
      <c r="J345" s="300">
        <v>10</v>
      </c>
      <c r="K345" s="302">
        <v>15</v>
      </c>
      <c r="L345" s="300">
        <v>46</v>
      </c>
      <c r="M345" s="302">
        <v>86</v>
      </c>
      <c r="N345" s="300">
        <v>132</v>
      </c>
      <c r="O345" s="300">
        <v>1085</v>
      </c>
      <c r="P345" s="300">
        <v>1011</v>
      </c>
      <c r="Q345" s="300">
        <v>2096</v>
      </c>
    </row>
    <row r="346" spans="2:17" ht="123" customHeight="1" x14ac:dyDescent="0.25">
      <c r="B346" s="469" t="s">
        <v>929</v>
      </c>
      <c r="C346" s="469"/>
      <c r="D346" s="469"/>
      <c r="E346" s="469"/>
      <c r="F346" s="469"/>
      <c r="G346" s="469"/>
      <c r="H346" s="469"/>
      <c r="I346" s="469"/>
      <c r="J346" s="469"/>
      <c r="K346" s="469"/>
      <c r="L346" s="469"/>
      <c r="M346" s="469"/>
      <c r="N346" s="469"/>
      <c r="O346" s="469"/>
      <c r="P346" s="469"/>
      <c r="Q346" s="469"/>
    </row>
    <row r="347" spans="2:17" x14ac:dyDescent="0.25">
      <c r="B347" s="172"/>
      <c r="C347" s="172"/>
      <c r="D347" s="172"/>
      <c r="E347" s="172"/>
      <c r="F347" s="172"/>
      <c r="G347"/>
    </row>
    <row r="348" spans="2:17" x14ac:dyDescent="0.25">
      <c r="B348" s="201" t="s">
        <v>527</v>
      </c>
      <c r="C348"/>
      <c r="D348"/>
      <c r="E348"/>
      <c r="F348"/>
      <c r="G348"/>
    </row>
    <row r="349" spans="2:17" x14ac:dyDescent="0.25">
      <c r="B349" s="201"/>
      <c r="C349"/>
      <c r="D349"/>
      <c r="E349"/>
      <c r="F349"/>
      <c r="G349"/>
    </row>
    <row r="350" spans="2:17" ht="15" customHeight="1" x14ac:dyDescent="0.25">
      <c r="B350" s="466" t="s">
        <v>544</v>
      </c>
      <c r="C350" s="479" t="s">
        <v>488</v>
      </c>
      <c r="D350" s="479"/>
      <c r="E350" s="479"/>
      <c r="F350" s="479"/>
      <c r="G350" s="479"/>
      <c r="H350" s="479"/>
      <c r="I350" s="479"/>
      <c r="J350" s="479"/>
      <c r="K350" s="479"/>
      <c r="L350" s="479"/>
      <c r="M350" s="479"/>
      <c r="N350" s="479"/>
      <c r="O350" s="483" t="s">
        <v>746</v>
      </c>
      <c r="P350" s="484"/>
      <c r="Q350" s="485"/>
    </row>
    <row r="351" spans="2:17" ht="15" customHeight="1" x14ac:dyDescent="0.25">
      <c r="B351" s="467"/>
      <c r="C351" s="479" t="s">
        <v>707</v>
      </c>
      <c r="D351" s="479"/>
      <c r="E351" s="479"/>
      <c r="F351" s="479" t="s">
        <v>497</v>
      </c>
      <c r="G351" s="479"/>
      <c r="H351" s="479"/>
      <c r="I351" s="479" t="s">
        <v>4</v>
      </c>
      <c r="J351" s="479"/>
      <c r="K351" s="479"/>
      <c r="L351" s="479" t="s">
        <v>6</v>
      </c>
      <c r="M351" s="479"/>
      <c r="N351" s="479"/>
      <c r="O351" s="486"/>
      <c r="P351" s="487"/>
      <c r="Q351" s="488"/>
    </row>
    <row r="352" spans="2:17" x14ac:dyDescent="0.25">
      <c r="B352" s="468"/>
      <c r="C352" s="175" t="s">
        <v>83</v>
      </c>
      <c r="D352" s="175" t="s">
        <v>84</v>
      </c>
      <c r="E352" s="175" t="s">
        <v>35</v>
      </c>
      <c r="F352" s="175" t="s">
        <v>83</v>
      </c>
      <c r="G352" s="175" t="s">
        <v>84</v>
      </c>
      <c r="H352" s="175" t="s">
        <v>35</v>
      </c>
      <c r="I352" s="175" t="s">
        <v>83</v>
      </c>
      <c r="J352" s="175" t="s">
        <v>84</v>
      </c>
      <c r="K352" s="175" t="s">
        <v>35</v>
      </c>
      <c r="L352" s="175" t="s">
        <v>83</v>
      </c>
      <c r="M352" s="175" t="s">
        <v>84</v>
      </c>
      <c r="N352" s="175" t="s">
        <v>35</v>
      </c>
      <c r="O352" s="262" t="s">
        <v>83</v>
      </c>
      <c r="P352" s="262" t="s">
        <v>84</v>
      </c>
      <c r="Q352" s="262" t="s">
        <v>35</v>
      </c>
    </row>
    <row r="353" spans="2:17" x14ac:dyDescent="0.25">
      <c r="B353" s="254" t="s">
        <v>375</v>
      </c>
      <c r="C353" s="310">
        <v>5</v>
      </c>
      <c r="D353" s="310">
        <v>6</v>
      </c>
      <c r="E353" s="310">
        <v>11</v>
      </c>
      <c r="F353" s="310">
        <v>7</v>
      </c>
      <c r="G353" s="310">
        <v>5</v>
      </c>
      <c r="H353" s="282">
        <v>12</v>
      </c>
      <c r="I353" s="310"/>
      <c r="J353" s="282"/>
      <c r="K353" s="310"/>
      <c r="L353" s="282"/>
      <c r="M353" s="310"/>
      <c r="N353" s="282"/>
      <c r="O353" s="300">
        <v>12</v>
      </c>
      <c r="P353" s="300">
        <v>11</v>
      </c>
      <c r="Q353" s="300">
        <v>23</v>
      </c>
    </row>
    <row r="354" spans="2:17" x14ac:dyDescent="0.25">
      <c r="B354" s="255" t="s">
        <v>376</v>
      </c>
      <c r="C354" s="310"/>
      <c r="D354" s="310">
        <v>4</v>
      </c>
      <c r="E354" s="310">
        <v>4</v>
      </c>
      <c r="F354" s="310">
        <v>6</v>
      </c>
      <c r="G354" s="310">
        <v>4</v>
      </c>
      <c r="H354" s="282">
        <v>10</v>
      </c>
      <c r="I354" s="310"/>
      <c r="J354" s="282"/>
      <c r="K354" s="310"/>
      <c r="L354" s="282"/>
      <c r="M354" s="310"/>
      <c r="N354" s="282"/>
      <c r="O354" s="300">
        <v>6</v>
      </c>
      <c r="P354" s="300">
        <v>8</v>
      </c>
      <c r="Q354" s="300">
        <v>14</v>
      </c>
    </row>
    <row r="355" spans="2:17" x14ac:dyDescent="0.25">
      <c r="B355" s="255" t="s">
        <v>377</v>
      </c>
      <c r="C355" s="310">
        <v>2</v>
      </c>
      <c r="D355" s="310">
        <v>4</v>
      </c>
      <c r="E355" s="310">
        <v>6</v>
      </c>
      <c r="F355" s="310">
        <v>5</v>
      </c>
      <c r="G355" s="310">
        <v>3</v>
      </c>
      <c r="H355" s="282">
        <v>8</v>
      </c>
      <c r="I355" s="310"/>
      <c r="J355" s="282"/>
      <c r="K355" s="310"/>
      <c r="L355" s="282"/>
      <c r="M355" s="310"/>
      <c r="N355" s="282"/>
      <c r="O355" s="300">
        <v>7</v>
      </c>
      <c r="P355" s="300">
        <v>7</v>
      </c>
      <c r="Q355" s="300">
        <v>14</v>
      </c>
    </row>
    <row r="356" spans="2:17" x14ac:dyDescent="0.25">
      <c r="B356" s="255" t="s">
        <v>378</v>
      </c>
      <c r="C356" s="310">
        <v>21</v>
      </c>
      <c r="D356" s="310">
        <v>36</v>
      </c>
      <c r="E356" s="310">
        <v>57</v>
      </c>
      <c r="F356" s="310">
        <v>63</v>
      </c>
      <c r="G356" s="310">
        <v>47</v>
      </c>
      <c r="H356" s="282">
        <v>110</v>
      </c>
      <c r="I356" s="310">
        <v>2</v>
      </c>
      <c r="J356" s="282"/>
      <c r="K356" s="310">
        <v>2</v>
      </c>
      <c r="L356" s="282">
        <v>4</v>
      </c>
      <c r="M356" s="310">
        <v>5</v>
      </c>
      <c r="N356" s="282">
        <v>9</v>
      </c>
      <c r="O356" s="300">
        <v>90</v>
      </c>
      <c r="P356" s="300">
        <v>88</v>
      </c>
      <c r="Q356" s="300">
        <v>178</v>
      </c>
    </row>
    <row r="357" spans="2:17" x14ac:dyDescent="0.25">
      <c r="B357" s="255" t="s">
        <v>379</v>
      </c>
      <c r="C357" s="310">
        <v>1</v>
      </c>
      <c r="D357" s="310"/>
      <c r="E357" s="310">
        <v>1</v>
      </c>
      <c r="F357" s="310">
        <v>1</v>
      </c>
      <c r="G357" s="310"/>
      <c r="H357" s="282">
        <v>1</v>
      </c>
      <c r="I357" s="310"/>
      <c r="J357" s="282"/>
      <c r="K357" s="310"/>
      <c r="L357" s="282"/>
      <c r="M357" s="310">
        <v>2</v>
      </c>
      <c r="N357" s="282">
        <v>2</v>
      </c>
      <c r="O357" s="300">
        <v>2</v>
      </c>
      <c r="P357" s="300">
        <v>2</v>
      </c>
      <c r="Q357" s="300">
        <v>4</v>
      </c>
    </row>
    <row r="358" spans="2:17" x14ac:dyDescent="0.25">
      <c r="B358" s="255" t="s">
        <v>380</v>
      </c>
      <c r="C358" s="310"/>
      <c r="D358" s="310"/>
      <c r="E358" s="310"/>
      <c r="F358" s="310">
        <v>1</v>
      </c>
      <c r="G358" s="310">
        <v>2</v>
      </c>
      <c r="H358" s="282">
        <v>3</v>
      </c>
      <c r="I358" s="310"/>
      <c r="J358" s="282"/>
      <c r="K358" s="310"/>
      <c r="L358" s="282"/>
      <c r="M358" s="310"/>
      <c r="N358" s="282"/>
      <c r="O358" s="300">
        <v>1</v>
      </c>
      <c r="P358" s="300">
        <v>2</v>
      </c>
      <c r="Q358" s="300">
        <v>3</v>
      </c>
    </row>
    <row r="359" spans="2:17" x14ac:dyDescent="0.25">
      <c r="B359" s="255" t="s">
        <v>382</v>
      </c>
      <c r="C359" s="310">
        <v>7</v>
      </c>
      <c r="D359" s="310">
        <v>13</v>
      </c>
      <c r="E359" s="310">
        <v>20</v>
      </c>
      <c r="F359" s="310">
        <v>17</v>
      </c>
      <c r="G359" s="310">
        <v>12</v>
      </c>
      <c r="H359" s="282">
        <v>29</v>
      </c>
      <c r="I359" s="310"/>
      <c r="J359" s="282"/>
      <c r="K359" s="310"/>
      <c r="L359" s="282">
        <v>1</v>
      </c>
      <c r="M359" s="310">
        <v>2</v>
      </c>
      <c r="N359" s="282">
        <v>3</v>
      </c>
      <c r="O359" s="300">
        <v>25</v>
      </c>
      <c r="P359" s="300">
        <v>27</v>
      </c>
      <c r="Q359" s="300">
        <v>52</v>
      </c>
    </row>
    <row r="360" spans="2:17" x14ac:dyDescent="0.25">
      <c r="B360" s="255" t="s">
        <v>508</v>
      </c>
      <c r="C360" s="310"/>
      <c r="D360" s="310">
        <v>4</v>
      </c>
      <c r="E360" s="310">
        <v>4</v>
      </c>
      <c r="F360" s="310">
        <v>2</v>
      </c>
      <c r="G360" s="310">
        <v>2</v>
      </c>
      <c r="H360" s="282">
        <v>4</v>
      </c>
      <c r="I360" s="310"/>
      <c r="J360" s="282"/>
      <c r="K360" s="310"/>
      <c r="L360" s="282"/>
      <c r="M360" s="310">
        <v>1</v>
      </c>
      <c r="N360" s="282">
        <v>1</v>
      </c>
      <c r="O360" s="300">
        <v>2</v>
      </c>
      <c r="P360" s="300">
        <v>7</v>
      </c>
      <c r="Q360" s="300">
        <v>9</v>
      </c>
    </row>
    <row r="361" spans="2:17" x14ac:dyDescent="0.25">
      <c r="B361" s="255" t="s">
        <v>383</v>
      </c>
      <c r="C361" s="310"/>
      <c r="D361" s="310">
        <v>1</v>
      </c>
      <c r="E361" s="310">
        <v>1</v>
      </c>
      <c r="F361" s="310"/>
      <c r="G361" s="310"/>
      <c r="H361" s="282"/>
      <c r="I361" s="310"/>
      <c r="J361" s="282"/>
      <c r="K361" s="310"/>
      <c r="L361" s="282"/>
      <c r="M361" s="310"/>
      <c r="N361" s="282"/>
      <c r="O361" s="300"/>
      <c r="P361" s="300">
        <v>1</v>
      </c>
      <c r="Q361" s="300">
        <v>1</v>
      </c>
    </row>
    <row r="362" spans="2:17" x14ac:dyDescent="0.25">
      <c r="B362" s="351" t="s">
        <v>35</v>
      </c>
      <c r="C362" s="302">
        <v>36</v>
      </c>
      <c r="D362" s="302">
        <v>68</v>
      </c>
      <c r="E362" s="302">
        <v>104</v>
      </c>
      <c r="F362" s="302">
        <v>102</v>
      </c>
      <c r="G362" s="302">
        <v>75</v>
      </c>
      <c r="H362" s="300">
        <v>177</v>
      </c>
      <c r="I362" s="302">
        <v>2</v>
      </c>
      <c r="J362" s="300"/>
      <c r="K362" s="302">
        <v>2</v>
      </c>
      <c r="L362" s="300">
        <v>5</v>
      </c>
      <c r="M362" s="302">
        <v>10</v>
      </c>
      <c r="N362" s="300">
        <v>15</v>
      </c>
      <c r="O362" s="300">
        <v>145</v>
      </c>
      <c r="P362" s="300">
        <v>153</v>
      </c>
      <c r="Q362" s="300">
        <v>298</v>
      </c>
    </row>
    <row r="363" spans="2:17" ht="123.75" customHeight="1" x14ac:dyDescent="0.25">
      <c r="B363" s="469" t="s">
        <v>929</v>
      </c>
      <c r="C363" s="469"/>
      <c r="D363" s="469"/>
      <c r="E363" s="469"/>
      <c r="F363" s="469"/>
      <c r="G363" s="469"/>
      <c r="H363" s="469"/>
      <c r="I363" s="469"/>
      <c r="J363" s="469"/>
      <c r="K363" s="469"/>
      <c r="L363" s="469"/>
      <c r="M363" s="469"/>
      <c r="N363" s="469"/>
      <c r="O363" s="469"/>
      <c r="P363" s="469"/>
      <c r="Q363" s="469"/>
    </row>
    <row r="364" spans="2:17" x14ac:dyDescent="0.25">
      <c r="B364" s="172"/>
      <c r="C364" s="172"/>
      <c r="D364" s="172"/>
      <c r="E364"/>
      <c r="F364"/>
      <c r="G364"/>
    </row>
    <row r="365" spans="2:17" x14ac:dyDescent="0.25">
      <c r="B365" s="201" t="s">
        <v>528</v>
      </c>
      <c r="C365"/>
      <c r="D365"/>
      <c r="E365"/>
      <c r="F365"/>
      <c r="G365"/>
    </row>
    <row r="366" spans="2:17" x14ac:dyDescent="0.25">
      <c r="B366" s="201"/>
      <c r="C366"/>
      <c r="D366"/>
      <c r="E366"/>
      <c r="F366"/>
      <c r="G366"/>
    </row>
    <row r="367" spans="2:17" ht="15" customHeight="1" x14ac:dyDescent="0.25">
      <c r="B367" s="466" t="s">
        <v>544</v>
      </c>
      <c r="C367" s="479" t="s">
        <v>488</v>
      </c>
      <c r="D367" s="479"/>
      <c r="E367" s="479"/>
      <c r="F367" s="479"/>
      <c r="G367" s="479"/>
      <c r="H367" s="479"/>
      <c r="I367" s="479"/>
      <c r="J367" s="479"/>
      <c r="K367" s="479"/>
      <c r="L367" s="479"/>
      <c r="M367" s="479"/>
      <c r="N367" s="479"/>
      <c r="O367" s="483" t="s">
        <v>746</v>
      </c>
      <c r="P367" s="484"/>
      <c r="Q367" s="485"/>
    </row>
    <row r="368" spans="2:17" ht="15" customHeight="1" x14ac:dyDescent="0.25">
      <c r="B368" s="467"/>
      <c r="C368" s="479" t="s">
        <v>707</v>
      </c>
      <c r="D368" s="479"/>
      <c r="E368" s="479"/>
      <c r="F368" s="479" t="s">
        <v>497</v>
      </c>
      <c r="G368" s="479"/>
      <c r="H368" s="479"/>
      <c r="I368" s="479" t="s">
        <v>4</v>
      </c>
      <c r="J368" s="479"/>
      <c r="K368" s="479"/>
      <c r="L368" s="479" t="s">
        <v>6</v>
      </c>
      <c r="M368" s="479"/>
      <c r="N368" s="479"/>
      <c r="O368" s="486"/>
      <c r="P368" s="487"/>
      <c r="Q368" s="488"/>
    </row>
    <row r="369" spans="2:17" x14ac:dyDescent="0.25">
      <c r="B369" s="468"/>
      <c r="C369" s="175" t="s">
        <v>83</v>
      </c>
      <c r="D369" s="175" t="s">
        <v>84</v>
      </c>
      <c r="E369" s="175" t="s">
        <v>35</v>
      </c>
      <c r="F369" s="175" t="s">
        <v>83</v>
      </c>
      <c r="G369" s="175" t="s">
        <v>84</v>
      </c>
      <c r="H369" s="175" t="s">
        <v>35</v>
      </c>
      <c r="I369" s="175" t="s">
        <v>83</v>
      </c>
      <c r="J369" s="175" t="s">
        <v>84</v>
      </c>
      <c r="K369" s="175" t="s">
        <v>35</v>
      </c>
      <c r="L369" s="175" t="s">
        <v>83</v>
      </c>
      <c r="M369" s="175" t="s">
        <v>84</v>
      </c>
      <c r="N369" s="175" t="s">
        <v>35</v>
      </c>
      <c r="O369" s="262" t="s">
        <v>83</v>
      </c>
      <c r="P369" s="262" t="s">
        <v>84</v>
      </c>
      <c r="Q369" s="262" t="s">
        <v>35</v>
      </c>
    </row>
    <row r="370" spans="2:17" x14ac:dyDescent="0.25">
      <c r="B370" s="254" t="s">
        <v>384</v>
      </c>
      <c r="C370" s="310"/>
      <c r="D370" s="310">
        <v>1</v>
      </c>
      <c r="E370" s="310">
        <v>1</v>
      </c>
      <c r="F370" s="310">
        <v>2</v>
      </c>
      <c r="G370" s="310">
        <v>1</v>
      </c>
      <c r="H370" s="282">
        <v>3</v>
      </c>
      <c r="I370" s="310"/>
      <c r="J370" s="282"/>
      <c r="K370" s="310"/>
      <c r="L370" s="282"/>
      <c r="M370" s="310"/>
      <c r="N370" s="282"/>
      <c r="O370" s="300">
        <v>2</v>
      </c>
      <c r="P370" s="300">
        <v>2</v>
      </c>
      <c r="Q370" s="300">
        <v>4</v>
      </c>
    </row>
    <row r="371" spans="2:17" x14ac:dyDescent="0.25">
      <c r="B371" s="255" t="s">
        <v>387</v>
      </c>
      <c r="C371" s="310">
        <v>13</v>
      </c>
      <c r="D371" s="310">
        <v>21</v>
      </c>
      <c r="E371" s="310">
        <v>34</v>
      </c>
      <c r="F371" s="310">
        <v>20</v>
      </c>
      <c r="G371" s="310">
        <v>16</v>
      </c>
      <c r="H371" s="282">
        <v>36</v>
      </c>
      <c r="I371" s="310"/>
      <c r="J371" s="282"/>
      <c r="K371" s="310"/>
      <c r="L371" s="282"/>
      <c r="M371" s="310">
        <v>1</v>
      </c>
      <c r="N371" s="282">
        <v>1</v>
      </c>
      <c r="O371" s="300">
        <v>33</v>
      </c>
      <c r="P371" s="300">
        <v>38</v>
      </c>
      <c r="Q371" s="300">
        <v>71</v>
      </c>
    </row>
    <row r="372" spans="2:17" x14ac:dyDescent="0.25">
      <c r="B372" s="255" t="s">
        <v>388</v>
      </c>
      <c r="C372" s="310">
        <v>2</v>
      </c>
      <c r="D372" s="310">
        <v>1</v>
      </c>
      <c r="E372" s="310">
        <v>3</v>
      </c>
      <c r="F372" s="310"/>
      <c r="G372" s="310">
        <v>7</v>
      </c>
      <c r="H372" s="282">
        <v>7</v>
      </c>
      <c r="I372" s="310"/>
      <c r="J372" s="282"/>
      <c r="K372" s="310"/>
      <c r="L372" s="282"/>
      <c r="M372" s="310"/>
      <c r="N372" s="282"/>
      <c r="O372" s="300">
        <v>2</v>
      </c>
      <c r="P372" s="300">
        <v>8</v>
      </c>
      <c r="Q372" s="300">
        <v>10</v>
      </c>
    </row>
    <row r="373" spans="2:17" x14ac:dyDescent="0.25">
      <c r="B373" s="255" t="s">
        <v>390</v>
      </c>
      <c r="C373" s="310">
        <v>59</v>
      </c>
      <c r="D373" s="310">
        <v>60</v>
      </c>
      <c r="E373" s="310">
        <v>119</v>
      </c>
      <c r="F373" s="310">
        <v>153</v>
      </c>
      <c r="G373" s="310">
        <v>105</v>
      </c>
      <c r="H373" s="282">
        <v>258</v>
      </c>
      <c r="I373" s="310">
        <v>2</v>
      </c>
      <c r="J373" s="282">
        <v>2</v>
      </c>
      <c r="K373" s="310">
        <v>4</v>
      </c>
      <c r="L373" s="282">
        <v>7</v>
      </c>
      <c r="M373" s="310">
        <v>2</v>
      </c>
      <c r="N373" s="282">
        <v>9</v>
      </c>
      <c r="O373" s="300">
        <v>221</v>
      </c>
      <c r="P373" s="300">
        <v>169</v>
      </c>
      <c r="Q373" s="300">
        <v>390</v>
      </c>
    </row>
    <row r="374" spans="2:17" x14ac:dyDescent="0.25">
      <c r="B374" s="255" t="s">
        <v>392</v>
      </c>
      <c r="C374" s="310"/>
      <c r="D374" s="310"/>
      <c r="E374" s="310"/>
      <c r="F374" s="310">
        <v>1</v>
      </c>
      <c r="G374" s="310"/>
      <c r="H374" s="282">
        <v>1</v>
      </c>
      <c r="I374" s="310"/>
      <c r="J374" s="282"/>
      <c r="K374" s="310"/>
      <c r="L374" s="282"/>
      <c r="M374" s="310"/>
      <c r="N374" s="282"/>
      <c r="O374" s="300">
        <v>1</v>
      </c>
      <c r="P374" s="300"/>
      <c r="Q374" s="300">
        <v>1</v>
      </c>
    </row>
    <row r="375" spans="2:17" x14ac:dyDescent="0.25">
      <c r="B375" s="351" t="s">
        <v>35</v>
      </c>
      <c r="C375" s="302">
        <v>74</v>
      </c>
      <c r="D375" s="302">
        <v>83</v>
      </c>
      <c r="E375" s="302">
        <v>157</v>
      </c>
      <c r="F375" s="302">
        <v>176</v>
      </c>
      <c r="G375" s="302">
        <v>129</v>
      </c>
      <c r="H375" s="300">
        <v>305</v>
      </c>
      <c r="I375" s="302">
        <v>2</v>
      </c>
      <c r="J375" s="300">
        <v>2</v>
      </c>
      <c r="K375" s="302">
        <v>4</v>
      </c>
      <c r="L375" s="300">
        <v>7</v>
      </c>
      <c r="M375" s="302">
        <v>3</v>
      </c>
      <c r="N375" s="300">
        <v>10</v>
      </c>
      <c r="O375" s="300">
        <v>259</v>
      </c>
      <c r="P375" s="300">
        <v>217</v>
      </c>
      <c r="Q375" s="300">
        <v>476</v>
      </c>
    </row>
    <row r="376" spans="2:17" ht="124.5" customHeight="1" x14ac:dyDescent="0.25">
      <c r="B376" s="469" t="s">
        <v>929</v>
      </c>
      <c r="C376" s="469"/>
      <c r="D376" s="469"/>
      <c r="E376" s="469"/>
      <c r="F376" s="469"/>
      <c r="G376" s="469"/>
      <c r="H376" s="469"/>
      <c r="I376" s="469"/>
      <c r="J376" s="469"/>
      <c r="K376" s="469"/>
      <c r="L376" s="469"/>
      <c r="M376" s="469"/>
      <c r="N376" s="469"/>
      <c r="O376" s="469"/>
      <c r="P376" s="469"/>
      <c r="Q376" s="469"/>
    </row>
    <row r="377" spans="2:17" x14ac:dyDescent="0.25">
      <c r="B377" s="172"/>
      <c r="C377" s="172"/>
      <c r="D377" s="172"/>
      <c r="E377"/>
      <c r="F377"/>
      <c r="G377"/>
    </row>
    <row r="378" spans="2:17" x14ac:dyDescent="0.25">
      <c r="B378" s="201" t="s">
        <v>529</v>
      </c>
      <c r="C378"/>
      <c r="D378"/>
      <c r="E378"/>
      <c r="F378"/>
      <c r="G378"/>
    </row>
    <row r="379" spans="2:17" x14ac:dyDescent="0.25">
      <c r="B379" s="201"/>
      <c r="C379"/>
      <c r="D379"/>
      <c r="E379"/>
      <c r="F379"/>
      <c r="G379"/>
    </row>
    <row r="380" spans="2:17" ht="15" customHeight="1" x14ac:dyDescent="0.25">
      <c r="B380" s="466" t="s">
        <v>544</v>
      </c>
      <c r="C380" s="479" t="s">
        <v>488</v>
      </c>
      <c r="D380" s="479"/>
      <c r="E380" s="479"/>
      <c r="F380" s="479"/>
      <c r="G380" s="479"/>
      <c r="H380" s="479"/>
      <c r="I380" s="479"/>
      <c r="J380" s="479"/>
      <c r="K380" s="479"/>
      <c r="L380" s="479"/>
      <c r="M380" s="479"/>
      <c r="N380" s="479"/>
      <c r="O380" s="483" t="s">
        <v>746</v>
      </c>
      <c r="P380" s="484"/>
      <c r="Q380" s="485"/>
    </row>
    <row r="381" spans="2:17" ht="15" customHeight="1" x14ac:dyDescent="0.25">
      <c r="B381" s="467"/>
      <c r="C381" s="479" t="s">
        <v>707</v>
      </c>
      <c r="D381" s="479"/>
      <c r="E381" s="479"/>
      <c r="F381" s="479" t="s">
        <v>497</v>
      </c>
      <c r="G381" s="479"/>
      <c r="H381" s="479"/>
      <c r="I381" s="479" t="s">
        <v>4</v>
      </c>
      <c r="J381" s="479"/>
      <c r="K381" s="479"/>
      <c r="L381" s="479" t="s">
        <v>6</v>
      </c>
      <c r="M381" s="479"/>
      <c r="N381" s="479"/>
      <c r="O381" s="486"/>
      <c r="P381" s="487"/>
      <c r="Q381" s="488"/>
    </row>
    <row r="382" spans="2:17" x14ac:dyDescent="0.25">
      <c r="B382" s="468"/>
      <c r="C382" s="175" t="s">
        <v>83</v>
      </c>
      <c r="D382" s="175" t="s">
        <v>84</v>
      </c>
      <c r="E382" s="175" t="s">
        <v>35</v>
      </c>
      <c r="F382" s="175" t="s">
        <v>83</v>
      </c>
      <c r="G382" s="175" t="s">
        <v>84</v>
      </c>
      <c r="H382" s="175" t="s">
        <v>35</v>
      </c>
      <c r="I382" s="175" t="s">
        <v>83</v>
      </c>
      <c r="J382" s="175" t="s">
        <v>84</v>
      </c>
      <c r="K382" s="175" t="s">
        <v>35</v>
      </c>
      <c r="L382" s="175" t="s">
        <v>83</v>
      </c>
      <c r="M382" s="175" t="s">
        <v>84</v>
      </c>
      <c r="N382" s="175" t="s">
        <v>35</v>
      </c>
      <c r="O382" s="262" t="s">
        <v>83</v>
      </c>
      <c r="P382" s="262" t="s">
        <v>84</v>
      </c>
      <c r="Q382" s="262" t="s">
        <v>35</v>
      </c>
    </row>
    <row r="383" spans="2:17" x14ac:dyDescent="0.25">
      <c r="B383" s="254" t="s">
        <v>396</v>
      </c>
      <c r="C383" s="310">
        <v>5</v>
      </c>
      <c r="D383" s="310">
        <v>5</v>
      </c>
      <c r="E383" s="310">
        <v>10</v>
      </c>
      <c r="F383" s="310">
        <v>2</v>
      </c>
      <c r="G383" s="310">
        <v>5</v>
      </c>
      <c r="H383" s="282">
        <v>7</v>
      </c>
      <c r="I383" s="310"/>
      <c r="J383" s="282"/>
      <c r="K383" s="310"/>
      <c r="L383" s="282"/>
      <c r="M383" s="310">
        <v>1</v>
      </c>
      <c r="N383" s="282">
        <v>1</v>
      </c>
      <c r="O383" s="300">
        <v>7</v>
      </c>
      <c r="P383" s="300">
        <v>11</v>
      </c>
      <c r="Q383" s="300">
        <v>18</v>
      </c>
    </row>
    <row r="384" spans="2:17" x14ac:dyDescent="0.25">
      <c r="B384" s="255" t="s">
        <v>397</v>
      </c>
      <c r="C384" s="310">
        <v>25</v>
      </c>
      <c r="D384" s="310">
        <v>54</v>
      </c>
      <c r="E384" s="310">
        <v>79</v>
      </c>
      <c r="F384" s="310">
        <v>104</v>
      </c>
      <c r="G384" s="310">
        <v>61</v>
      </c>
      <c r="H384" s="282">
        <v>165</v>
      </c>
      <c r="I384" s="310">
        <v>4</v>
      </c>
      <c r="J384" s="282"/>
      <c r="K384" s="310">
        <v>4</v>
      </c>
      <c r="L384" s="282">
        <v>5</v>
      </c>
      <c r="M384" s="310">
        <v>4</v>
      </c>
      <c r="N384" s="282">
        <v>9</v>
      </c>
      <c r="O384" s="300">
        <v>138</v>
      </c>
      <c r="P384" s="300">
        <v>119</v>
      </c>
      <c r="Q384" s="300">
        <v>257</v>
      </c>
    </row>
    <row r="385" spans="2:17" x14ac:dyDescent="0.25">
      <c r="B385" s="255" t="s">
        <v>398</v>
      </c>
      <c r="C385" s="310">
        <v>13</v>
      </c>
      <c r="D385" s="310">
        <v>9</v>
      </c>
      <c r="E385" s="310">
        <v>22</v>
      </c>
      <c r="F385" s="310">
        <v>17</v>
      </c>
      <c r="G385" s="310">
        <v>22</v>
      </c>
      <c r="H385" s="282">
        <v>39</v>
      </c>
      <c r="I385" s="310">
        <v>1</v>
      </c>
      <c r="J385" s="282"/>
      <c r="K385" s="310">
        <v>1</v>
      </c>
      <c r="L385" s="282"/>
      <c r="M385" s="310"/>
      <c r="N385" s="282"/>
      <c r="O385" s="300">
        <v>31</v>
      </c>
      <c r="P385" s="300">
        <v>31</v>
      </c>
      <c r="Q385" s="300">
        <v>62</v>
      </c>
    </row>
    <row r="386" spans="2:17" x14ac:dyDescent="0.25">
      <c r="B386" s="255" t="s">
        <v>399</v>
      </c>
      <c r="C386" s="310">
        <v>31</v>
      </c>
      <c r="D386" s="310">
        <v>28</v>
      </c>
      <c r="E386" s="310">
        <v>59</v>
      </c>
      <c r="F386" s="310">
        <v>74</v>
      </c>
      <c r="G386" s="310">
        <v>71</v>
      </c>
      <c r="H386" s="282">
        <v>145</v>
      </c>
      <c r="I386" s="310"/>
      <c r="J386" s="282"/>
      <c r="K386" s="310"/>
      <c r="L386" s="282">
        <v>5</v>
      </c>
      <c r="M386" s="310">
        <v>1</v>
      </c>
      <c r="N386" s="282">
        <v>6</v>
      </c>
      <c r="O386" s="300">
        <v>110</v>
      </c>
      <c r="P386" s="300">
        <v>100</v>
      </c>
      <c r="Q386" s="300">
        <v>210</v>
      </c>
    </row>
    <row r="387" spans="2:17" x14ac:dyDescent="0.25">
      <c r="B387" s="255" t="s">
        <v>400</v>
      </c>
      <c r="C387" s="310">
        <v>40</v>
      </c>
      <c r="D387" s="310">
        <v>67</v>
      </c>
      <c r="E387" s="310">
        <v>107</v>
      </c>
      <c r="F387" s="310">
        <v>93</v>
      </c>
      <c r="G387" s="310">
        <v>75</v>
      </c>
      <c r="H387" s="282">
        <v>168</v>
      </c>
      <c r="I387" s="310">
        <v>3</v>
      </c>
      <c r="J387" s="282">
        <v>3</v>
      </c>
      <c r="K387" s="310">
        <v>6</v>
      </c>
      <c r="L387" s="282">
        <v>6</v>
      </c>
      <c r="M387" s="310">
        <v>6</v>
      </c>
      <c r="N387" s="282">
        <v>12</v>
      </c>
      <c r="O387" s="300">
        <v>142</v>
      </c>
      <c r="P387" s="300">
        <v>151</v>
      </c>
      <c r="Q387" s="300">
        <v>293</v>
      </c>
    </row>
    <row r="388" spans="2:17" x14ac:dyDescent="0.25">
      <c r="B388" s="255" t="s">
        <v>401</v>
      </c>
      <c r="C388" s="310">
        <v>25</v>
      </c>
      <c r="D388" s="310">
        <v>48</v>
      </c>
      <c r="E388" s="310">
        <v>73</v>
      </c>
      <c r="F388" s="310">
        <v>94</v>
      </c>
      <c r="G388" s="310">
        <v>58</v>
      </c>
      <c r="H388" s="282">
        <v>152</v>
      </c>
      <c r="I388" s="310"/>
      <c r="J388" s="282"/>
      <c r="K388" s="310"/>
      <c r="L388" s="282">
        <v>4</v>
      </c>
      <c r="M388" s="310">
        <v>5</v>
      </c>
      <c r="N388" s="282">
        <v>9</v>
      </c>
      <c r="O388" s="300">
        <v>123</v>
      </c>
      <c r="P388" s="300">
        <v>111</v>
      </c>
      <c r="Q388" s="300">
        <v>234</v>
      </c>
    </row>
    <row r="389" spans="2:17" x14ac:dyDescent="0.25">
      <c r="B389" s="255" t="s">
        <v>402</v>
      </c>
      <c r="C389" s="310">
        <v>40</v>
      </c>
      <c r="D389" s="310">
        <v>74</v>
      </c>
      <c r="E389" s="310">
        <v>114</v>
      </c>
      <c r="F389" s="310">
        <v>123</v>
      </c>
      <c r="G389" s="310">
        <v>85</v>
      </c>
      <c r="H389" s="282">
        <v>208</v>
      </c>
      <c r="I389" s="310"/>
      <c r="J389" s="282">
        <v>1</v>
      </c>
      <c r="K389" s="310">
        <v>1</v>
      </c>
      <c r="L389" s="282">
        <v>5</v>
      </c>
      <c r="M389" s="310">
        <v>7</v>
      </c>
      <c r="N389" s="282">
        <v>12</v>
      </c>
      <c r="O389" s="300">
        <v>168</v>
      </c>
      <c r="P389" s="300">
        <v>167</v>
      </c>
      <c r="Q389" s="300">
        <v>335</v>
      </c>
    </row>
    <row r="390" spans="2:17" x14ac:dyDescent="0.25">
      <c r="B390" s="255" t="s">
        <v>403</v>
      </c>
      <c r="C390" s="310">
        <v>19</v>
      </c>
      <c r="D390" s="310">
        <v>30</v>
      </c>
      <c r="E390" s="310">
        <v>49</v>
      </c>
      <c r="F390" s="310">
        <v>41</v>
      </c>
      <c r="G390" s="310">
        <v>41</v>
      </c>
      <c r="H390" s="282">
        <v>82</v>
      </c>
      <c r="I390" s="310">
        <v>1</v>
      </c>
      <c r="J390" s="282"/>
      <c r="K390" s="310">
        <v>1</v>
      </c>
      <c r="L390" s="282">
        <v>1</v>
      </c>
      <c r="M390" s="310">
        <v>1</v>
      </c>
      <c r="N390" s="282">
        <v>2</v>
      </c>
      <c r="O390" s="300">
        <v>62</v>
      </c>
      <c r="P390" s="300">
        <v>72</v>
      </c>
      <c r="Q390" s="300">
        <v>134</v>
      </c>
    </row>
    <row r="391" spans="2:17" x14ac:dyDescent="0.25">
      <c r="B391" s="255" t="s">
        <v>404</v>
      </c>
      <c r="C391" s="310">
        <v>60</v>
      </c>
      <c r="D391" s="310">
        <v>91</v>
      </c>
      <c r="E391" s="310">
        <v>151</v>
      </c>
      <c r="F391" s="310">
        <v>152</v>
      </c>
      <c r="G391" s="310">
        <v>120</v>
      </c>
      <c r="H391" s="282">
        <v>272</v>
      </c>
      <c r="I391" s="310"/>
      <c r="J391" s="282">
        <v>2</v>
      </c>
      <c r="K391" s="310">
        <v>2</v>
      </c>
      <c r="L391" s="282">
        <v>4</v>
      </c>
      <c r="M391" s="310">
        <v>7</v>
      </c>
      <c r="N391" s="282">
        <v>11</v>
      </c>
      <c r="O391" s="300">
        <v>216</v>
      </c>
      <c r="P391" s="300">
        <v>220</v>
      </c>
      <c r="Q391" s="300">
        <v>436</v>
      </c>
    </row>
    <row r="392" spans="2:17" x14ac:dyDescent="0.25">
      <c r="B392" s="255" t="s">
        <v>405</v>
      </c>
      <c r="C392" s="310">
        <v>11</v>
      </c>
      <c r="D392" s="310">
        <v>20</v>
      </c>
      <c r="E392" s="310">
        <v>31</v>
      </c>
      <c r="F392" s="310">
        <v>32</v>
      </c>
      <c r="G392" s="310">
        <v>23</v>
      </c>
      <c r="H392" s="282">
        <v>55</v>
      </c>
      <c r="I392" s="310">
        <v>1</v>
      </c>
      <c r="J392" s="282">
        <v>1</v>
      </c>
      <c r="K392" s="310">
        <v>2</v>
      </c>
      <c r="L392" s="282"/>
      <c r="M392" s="310">
        <v>3</v>
      </c>
      <c r="N392" s="282">
        <v>3</v>
      </c>
      <c r="O392" s="300">
        <v>44</v>
      </c>
      <c r="P392" s="300">
        <v>47</v>
      </c>
      <c r="Q392" s="300">
        <v>91</v>
      </c>
    </row>
    <row r="393" spans="2:17" x14ac:dyDescent="0.25">
      <c r="B393" s="255" t="s">
        <v>406</v>
      </c>
      <c r="C393" s="310">
        <v>45</v>
      </c>
      <c r="D393" s="310">
        <v>72</v>
      </c>
      <c r="E393" s="310">
        <v>117</v>
      </c>
      <c r="F393" s="310">
        <v>144</v>
      </c>
      <c r="G393" s="310">
        <v>81</v>
      </c>
      <c r="H393" s="282">
        <v>225</v>
      </c>
      <c r="I393" s="310"/>
      <c r="J393" s="282"/>
      <c r="K393" s="310"/>
      <c r="L393" s="282">
        <v>5</v>
      </c>
      <c r="M393" s="310">
        <v>11</v>
      </c>
      <c r="N393" s="282">
        <v>16</v>
      </c>
      <c r="O393" s="300">
        <v>194</v>
      </c>
      <c r="P393" s="300">
        <v>164</v>
      </c>
      <c r="Q393" s="300">
        <v>358</v>
      </c>
    </row>
    <row r="394" spans="2:17" x14ac:dyDescent="0.25">
      <c r="B394" s="255" t="s">
        <v>407</v>
      </c>
      <c r="C394" s="310">
        <v>24</v>
      </c>
      <c r="D394" s="310">
        <v>48</v>
      </c>
      <c r="E394" s="310">
        <v>72</v>
      </c>
      <c r="F394" s="310">
        <v>76</v>
      </c>
      <c r="G394" s="310">
        <v>42</v>
      </c>
      <c r="H394" s="282">
        <v>118</v>
      </c>
      <c r="I394" s="310">
        <v>1</v>
      </c>
      <c r="J394" s="282"/>
      <c r="K394" s="310">
        <v>1</v>
      </c>
      <c r="L394" s="282">
        <v>2</v>
      </c>
      <c r="M394" s="310">
        <v>2</v>
      </c>
      <c r="N394" s="282">
        <v>4</v>
      </c>
      <c r="O394" s="300">
        <v>103</v>
      </c>
      <c r="P394" s="300">
        <v>92</v>
      </c>
      <c r="Q394" s="300">
        <v>195</v>
      </c>
    </row>
    <row r="395" spans="2:17" x14ac:dyDescent="0.25">
      <c r="B395" s="255" t="s">
        <v>408</v>
      </c>
      <c r="C395" s="310">
        <v>24</v>
      </c>
      <c r="D395" s="310">
        <v>47</v>
      </c>
      <c r="E395" s="310">
        <v>71</v>
      </c>
      <c r="F395" s="310">
        <v>85</v>
      </c>
      <c r="G395" s="310">
        <v>63</v>
      </c>
      <c r="H395" s="282">
        <v>148</v>
      </c>
      <c r="I395" s="310"/>
      <c r="J395" s="282"/>
      <c r="K395" s="310"/>
      <c r="L395" s="282"/>
      <c r="M395" s="310">
        <v>4</v>
      </c>
      <c r="N395" s="282">
        <v>4</v>
      </c>
      <c r="O395" s="300">
        <v>109</v>
      </c>
      <c r="P395" s="300">
        <v>114</v>
      </c>
      <c r="Q395" s="300">
        <v>223</v>
      </c>
    </row>
    <row r="396" spans="2:17" x14ac:dyDescent="0.25">
      <c r="B396" s="255" t="s">
        <v>409</v>
      </c>
      <c r="C396" s="310">
        <v>7</v>
      </c>
      <c r="D396" s="310">
        <v>17</v>
      </c>
      <c r="E396" s="310">
        <v>24</v>
      </c>
      <c r="F396" s="310">
        <v>42</v>
      </c>
      <c r="G396" s="310">
        <v>38</v>
      </c>
      <c r="H396" s="282">
        <v>80</v>
      </c>
      <c r="I396" s="310">
        <v>1</v>
      </c>
      <c r="J396" s="282"/>
      <c r="K396" s="310">
        <v>1</v>
      </c>
      <c r="L396" s="282">
        <v>1</v>
      </c>
      <c r="M396" s="310">
        <v>5</v>
      </c>
      <c r="N396" s="282">
        <v>6</v>
      </c>
      <c r="O396" s="300">
        <v>51</v>
      </c>
      <c r="P396" s="300">
        <v>60</v>
      </c>
      <c r="Q396" s="300">
        <v>111</v>
      </c>
    </row>
    <row r="397" spans="2:17" x14ac:dyDescent="0.25">
      <c r="B397" s="255" t="s">
        <v>410</v>
      </c>
      <c r="C397" s="310">
        <v>39</v>
      </c>
      <c r="D397" s="310">
        <v>56</v>
      </c>
      <c r="E397" s="310">
        <v>95</v>
      </c>
      <c r="F397" s="310">
        <v>112</v>
      </c>
      <c r="G397" s="310">
        <v>57</v>
      </c>
      <c r="H397" s="282">
        <v>169</v>
      </c>
      <c r="I397" s="310"/>
      <c r="J397" s="282"/>
      <c r="K397" s="310"/>
      <c r="L397" s="282">
        <v>3</v>
      </c>
      <c r="M397" s="310">
        <v>4</v>
      </c>
      <c r="N397" s="282">
        <v>7</v>
      </c>
      <c r="O397" s="300">
        <v>154</v>
      </c>
      <c r="P397" s="300">
        <v>117</v>
      </c>
      <c r="Q397" s="300">
        <v>271</v>
      </c>
    </row>
    <row r="398" spans="2:17" x14ac:dyDescent="0.25">
      <c r="B398" s="255" t="s">
        <v>411</v>
      </c>
      <c r="C398" s="310">
        <v>167</v>
      </c>
      <c r="D398" s="310">
        <v>168</v>
      </c>
      <c r="E398" s="310">
        <v>335</v>
      </c>
      <c r="F398" s="310">
        <v>504</v>
      </c>
      <c r="G398" s="310">
        <v>358</v>
      </c>
      <c r="H398" s="282">
        <v>862</v>
      </c>
      <c r="I398" s="310">
        <v>2</v>
      </c>
      <c r="J398" s="282">
        <v>2</v>
      </c>
      <c r="K398" s="310">
        <v>4</v>
      </c>
      <c r="L398" s="282">
        <v>6</v>
      </c>
      <c r="M398" s="310">
        <v>12</v>
      </c>
      <c r="N398" s="282">
        <v>18</v>
      </c>
      <c r="O398" s="300">
        <v>679</v>
      </c>
      <c r="P398" s="300">
        <v>540</v>
      </c>
      <c r="Q398" s="300">
        <v>1219</v>
      </c>
    </row>
    <row r="399" spans="2:17" x14ac:dyDescent="0.25">
      <c r="B399" s="255" t="s">
        <v>412</v>
      </c>
      <c r="C399" s="310">
        <v>62</v>
      </c>
      <c r="D399" s="310">
        <v>83</v>
      </c>
      <c r="E399" s="310">
        <v>145</v>
      </c>
      <c r="F399" s="310">
        <v>136</v>
      </c>
      <c r="G399" s="310">
        <v>109</v>
      </c>
      <c r="H399" s="282">
        <v>245</v>
      </c>
      <c r="I399" s="310"/>
      <c r="J399" s="282">
        <v>2</v>
      </c>
      <c r="K399" s="310">
        <v>2</v>
      </c>
      <c r="L399" s="282">
        <v>3</v>
      </c>
      <c r="M399" s="310">
        <v>4</v>
      </c>
      <c r="N399" s="282">
        <v>7</v>
      </c>
      <c r="O399" s="300">
        <v>201</v>
      </c>
      <c r="P399" s="300">
        <v>198</v>
      </c>
      <c r="Q399" s="300">
        <v>399</v>
      </c>
    </row>
    <row r="400" spans="2:17" x14ac:dyDescent="0.25">
      <c r="B400" s="255" t="s">
        <v>413</v>
      </c>
      <c r="C400" s="310">
        <v>65</v>
      </c>
      <c r="D400" s="310">
        <v>102</v>
      </c>
      <c r="E400" s="310">
        <v>167</v>
      </c>
      <c r="F400" s="310">
        <v>148</v>
      </c>
      <c r="G400" s="310">
        <v>105</v>
      </c>
      <c r="H400" s="282">
        <v>253</v>
      </c>
      <c r="I400" s="310">
        <v>1</v>
      </c>
      <c r="J400" s="282">
        <v>2</v>
      </c>
      <c r="K400" s="310">
        <v>3</v>
      </c>
      <c r="L400" s="282">
        <v>8</v>
      </c>
      <c r="M400" s="310">
        <v>15</v>
      </c>
      <c r="N400" s="282">
        <v>23</v>
      </c>
      <c r="O400" s="300">
        <v>222</v>
      </c>
      <c r="P400" s="300">
        <v>224</v>
      </c>
      <c r="Q400" s="300">
        <v>446</v>
      </c>
    </row>
    <row r="401" spans="2:17" x14ac:dyDescent="0.25">
      <c r="B401" s="255" t="s">
        <v>414</v>
      </c>
      <c r="C401" s="310">
        <v>34</v>
      </c>
      <c r="D401" s="310">
        <v>31</v>
      </c>
      <c r="E401" s="310">
        <v>65</v>
      </c>
      <c r="F401" s="310">
        <v>151</v>
      </c>
      <c r="G401" s="310">
        <v>88</v>
      </c>
      <c r="H401" s="282">
        <v>239</v>
      </c>
      <c r="I401" s="310">
        <v>1</v>
      </c>
      <c r="J401" s="282"/>
      <c r="K401" s="310">
        <v>1</v>
      </c>
      <c r="L401" s="282">
        <v>2</v>
      </c>
      <c r="M401" s="310">
        <v>1</v>
      </c>
      <c r="N401" s="282">
        <v>3</v>
      </c>
      <c r="O401" s="300">
        <v>188</v>
      </c>
      <c r="P401" s="300">
        <v>120</v>
      </c>
      <c r="Q401" s="300">
        <v>308</v>
      </c>
    </row>
    <row r="402" spans="2:17" x14ac:dyDescent="0.25">
      <c r="B402" s="255" t="s">
        <v>415</v>
      </c>
      <c r="C402" s="310">
        <v>27</v>
      </c>
      <c r="D402" s="310">
        <v>56</v>
      </c>
      <c r="E402" s="310">
        <v>83</v>
      </c>
      <c r="F402" s="310">
        <v>63</v>
      </c>
      <c r="G402" s="310">
        <v>49</v>
      </c>
      <c r="H402" s="282">
        <v>112</v>
      </c>
      <c r="I402" s="310">
        <v>2</v>
      </c>
      <c r="J402" s="282"/>
      <c r="K402" s="310">
        <v>2</v>
      </c>
      <c r="L402" s="282">
        <v>1</v>
      </c>
      <c r="M402" s="310">
        <v>4</v>
      </c>
      <c r="N402" s="282">
        <v>5</v>
      </c>
      <c r="O402" s="300">
        <v>93</v>
      </c>
      <c r="P402" s="300">
        <v>109</v>
      </c>
      <c r="Q402" s="300">
        <v>202</v>
      </c>
    </row>
    <row r="403" spans="2:17" x14ac:dyDescent="0.25">
      <c r="B403" s="255" t="s">
        <v>416</v>
      </c>
      <c r="C403" s="310">
        <v>100</v>
      </c>
      <c r="D403" s="310">
        <v>59</v>
      </c>
      <c r="E403" s="310">
        <v>159</v>
      </c>
      <c r="F403" s="310">
        <v>672</v>
      </c>
      <c r="G403" s="310">
        <v>255</v>
      </c>
      <c r="H403" s="282">
        <v>927</v>
      </c>
      <c r="I403" s="310">
        <v>1</v>
      </c>
      <c r="J403" s="282">
        <v>3</v>
      </c>
      <c r="K403" s="310">
        <v>4</v>
      </c>
      <c r="L403" s="282">
        <v>4</v>
      </c>
      <c r="M403" s="310">
        <v>3</v>
      </c>
      <c r="N403" s="282">
        <v>7</v>
      </c>
      <c r="O403" s="300">
        <v>777</v>
      </c>
      <c r="P403" s="300">
        <v>320</v>
      </c>
      <c r="Q403" s="300">
        <v>1097</v>
      </c>
    </row>
    <row r="404" spans="2:17" x14ac:dyDescent="0.25">
      <c r="B404" s="255" t="s">
        <v>417</v>
      </c>
      <c r="C404" s="310">
        <v>23</v>
      </c>
      <c r="D404" s="310">
        <v>27</v>
      </c>
      <c r="E404" s="310">
        <v>50</v>
      </c>
      <c r="F404" s="310">
        <v>85</v>
      </c>
      <c r="G404" s="310">
        <v>50</v>
      </c>
      <c r="H404" s="282">
        <v>135</v>
      </c>
      <c r="I404" s="310"/>
      <c r="J404" s="282"/>
      <c r="K404" s="310"/>
      <c r="L404" s="282">
        <v>1</v>
      </c>
      <c r="M404" s="310">
        <v>2</v>
      </c>
      <c r="N404" s="282">
        <v>3</v>
      </c>
      <c r="O404" s="300">
        <v>109</v>
      </c>
      <c r="P404" s="300">
        <v>79</v>
      </c>
      <c r="Q404" s="300">
        <v>188</v>
      </c>
    </row>
    <row r="405" spans="2:17" x14ac:dyDescent="0.25">
      <c r="B405" s="255" t="s">
        <v>418</v>
      </c>
      <c r="C405" s="310">
        <v>30</v>
      </c>
      <c r="D405" s="310">
        <v>64</v>
      </c>
      <c r="E405" s="310">
        <v>94</v>
      </c>
      <c r="F405" s="310">
        <v>88</v>
      </c>
      <c r="G405" s="310">
        <v>69</v>
      </c>
      <c r="H405" s="282">
        <v>157</v>
      </c>
      <c r="I405" s="310">
        <v>1</v>
      </c>
      <c r="J405" s="282"/>
      <c r="K405" s="310">
        <v>1</v>
      </c>
      <c r="L405" s="282">
        <v>4</v>
      </c>
      <c r="M405" s="310">
        <v>7</v>
      </c>
      <c r="N405" s="282">
        <v>11</v>
      </c>
      <c r="O405" s="300">
        <v>123</v>
      </c>
      <c r="P405" s="300">
        <v>140</v>
      </c>
      <c r="Q405" s="300">
        <v>263</v>
      </c>
    </row>
    <row r="406" spans="2:17" x14ac:dyDescent="0.25">
      <c r="B406" s="255" t="s">
        <v>419</v>
      </c>
      <c r="C406" s="310">
        <v>37</v>
      </c>
      <c r="D406" s="310">
        <v>48</v>
      </c>
      <c r="E406" s="310">
        <v>85</v>
      </c>
      <c r="F406" s="310">
        <v>88</v>
      </c>
      <c r="G406" s="310">
        <v>54</v>
      </c>
      <c r="H406" s="282">
        <v>142</v>
      </c>
      <c r="I406" s="310"/>
      <c r="J406" s="282"/>
      <c r="K406" s="310"/>
      <c r="L406" s="282">
        <v>1</v>
      </c>
      <c r="M406" s="310">
        <v>7</v>
      </c>
      <c r="N406" s="282">
        <v>8</v>
      </c>
      <c r="O406" s="300">
        <v>126</v>
      </c>
      <c r="P406" s="300">
        <v>109</v>
      </c>
      <c r="Q406" s="300">
        <v>235</v>
      </c>
    </row>
    <row r="407" spans="2:17" x14ac:dyDescent="0.25">
      <c r="B407" s="255" t="s">
        <v>420</v>
      </c>
      <c r="C407" s="310">
        <v>46</v>
      </c>
      <c r="D407" s="310">
        <v>69</v>
      </c>
      <c r="E407" s="310">
        <v>115</v>
      </c>
      <c r="F407" s="310">
        <v>167</v>
      </c>
      <c r="G407" s="310">
        <v>103</v>
      </c>
      <c r="H407" s="282">
        <v>270</v>
      </c>
      <c r="I407" s="310"/>
      <c r="J407" s="282"/>
      <c r="K407" s="310"/>
      <c r="L407" s="282"/>
      <c r="M407" s="310">
        <v>7</v>
      </c>
      <c r="N407" s="282">
        <v>7</v>
      </c>
      <c r="O407" s="300">
        <v>213</v>
      </c>
      <c r="P407" s="300">
        <v>179</v>
      </c>
      <c r="Q407" s="300">
        <v>392</v>
      </c>
    </row>
    <row r="408" spans="2:17" x14ac:dyDescent="0.25">
      <c r="B408" s="255" t="s">
        <v>421</v>
      </c>
      <c r="C408" s="310">
        <v>213</v>
      </c>
      <c r="D408" s="310">
        <v>258</v>
      </c>
      <c r="E408" s="310">
        <v>471</v>
      </c>
      <c r="F408" s="310">
        <v>636</v>
      </c>
      <c r="G408" s="310">
        <v>459</v>
      </c>
      <c r="H408" s="282">
        <v>1095</v>
      </c>
      <c r="I408" s="310">
        <v>4</v>
      </c>
      <c r="J408" s="282">
        <v>2</v>
      </c>
      <c r="K408" s="310">
        <v>6</v>
      </c>
      <c r="L408" s="282">
        <v>16</v>
      </c>
      <c r="M408" s="310">
        <v>22</v>
      </c>
      <c r="N408" s="282">
        <v>38</v>
      </c>
      <c r="O408" s="300">
        <v>869</v>
      </c>
      <c r="P408" s="300">
        <v>741</v>
      </c>
      <c r="Q408" s="300">
        <v>1610</v>
      </c>
    </row>
    <row r="409" spans="2:17" x14ac:dyDescent="0.25">
      <c r="B409" s="255" t="s">
        <v>422</v>
      </c>
      <c r="C409" s="310">
        <v>3</v>
      </c>
      <c r="D409" s="310">
        <v>7</v>
      </c>
      <c r="E409" s="310">
        <v>10</v>
      </c>
      <c r="F409" s="310">
        <v>9</v>
      </c>
      <c r="G409" s="310">
        <v>13</v>
      </c>
      <c r="H409" s="282">
        <v>22</v>
      </c>
      <c r="I409" s="310"/>
      <c r="J409" s="282"/>
      <c r="K409" s="310"/>
      <c r="L409" s="282">
        <v>1</v>
      </c>
      <c r="M409" s="310"/>
      <c r="N409" s="282">
        <v>1</v>
      </c>
      <c r="O409" s="300">
        <v>13</v>
      </c>
      <c r="P409" s="300">
        <v>20</v>
      </c>
      <c r="Q409" s="300">
        <v>33</v>
      </c>
    </row>
    <row r="410" spans="2:17" x14ac:dyDescent="0.25">
      <c r="B410" s="255" t="s">
        <v>423</v>
      </c>
      <c r="C410" s="310">
        <v>54</v>
      </c>
      <c r="D410" s="310">
        <v>69</v>
      </c>
      <c r="E410" s="310">
        <v>123</v>
      </c>
      <c r="F410" s="310">
        <v>138</v>
      </c>
      <c r="G410" s="310">
        <v>100</v>
      </c>
      <c r="H410" s="282">
        <v>238</v>
      </c>
      <c r="I410" s="310"/>
      <c r="J410" s="282">
        <v>2</v>
      </c>
      <c r="K410" s="310">
        <v>2</v>
      </c>
      <c r="L410" s="282">
        <v>2</v>
      </c>
      <c r="M410" s="310">
        <v>7</v>
      </c>
      <c r="N410" s="282">
        <v>9</v>
      </c>
      <c r="O410" s="300">
        <v>194</v>
      </c>
      <c r="P410" s="300">
        <v>178</v>
      </c>
      <c r="Q410" s="300">
        <v>372</v>
      </c>
    </row>
    <row r="411" spans="2:17" x14ac:dyDescent="0.25">
      <c r="B411" s="255" t="s">
        <v>424</v>
      </c>
      <c r="C411" s="310">
        <v>23</v>
      </c>
      <c r="D411" s="310">
        <v>40</v>
      </c>
      <c r="E411" s="310">
        <v>63</v>
      </c>
      <c r="F411" s="310">
        <v>55</v>
      </c>
      <c r="G411" s="310">
        <v>40</v>
      </c>
      <c r="H411" s="282">
        <v>95</v>
      </c>
      <c r="I411" s="310">
        <v>2</v>
      </c>
      <c r="J411" s="282"/>
      <c r="K411" s="310">
        <v>2</v>
      </c>
      <c r="L411" s="282">
        <v>3</v>
      </c>
      <c r="M411" s="310">
        <v>4</v>
      </c>
      <c r="N411" s="282">
        <v>7</v>
      </c>
      <c r="O411" s="300">
        <v>83</v>
      </c>
      <c r="P411" s="300">
        <v>84</v>
      </c>
      <c r="Q411" s="300">
        <v>167</v>
      </c>
    </row>
    <row r="412" spans="2:17" x14ac:dyDescent="0.25">
      <c r="B412" s="255" t="s">
        <v>425</v>
      </c>
      <c r="C412" s="310">
        <v>33</v>
      </c>
      <c r="D412" s="310">
        <v>47</v>
      </c>
      <c r="E412" s="310">
        <v>80</v>
      </c>
      <c r="F412" s="310">
        <v>57</v>
      </c>
      <c r="G412" s="310">
        <v>47</v>
      </c>
      <c r="H412" s="282">
        <v>104</v>
      </c>
      <c r="I412" s="310"/>
      <c r="J412" s="282">
        <v>1</v>
      </c>
      <c r="K412" s="310">
        <v>1</v>
      </c>
      <c r="L412" s="282">
        <v>1</v>
      </c>
      <c r="M412" s="310">
        <v>7</v>
      </c>
      <c r="N412" s="282">
        <v>8</v>
      </c>
      <c r="O412" s="300">
        <v>91</v>
      </c>
      <c r="P412" s="300">
        <v>102</v>
      </c>
      <c r="Q412" s="300">
        <v>193</v>
      </c>
    </row>
    <row r="413" spans="2:17" x14ac:dyDescent="0.25">
      <c r="B413" s="255" t="s">
        <v>426</v>
      </c>
      <c r="C413" s="310">
        <v>51</v>
      </c>
      <c r="D413" s="310">
        <v>82</v>
      </c>
      <c r="E413" s="310">
        <v>133</v>
      </c>
      <c r="F413" s="310">
        <v>116</v>
      </c>
      <c r="G413" s="310">
        <v>83</v>
      </c>
      <c r="H413" s="282">
        <v>199</v>
      </c>
      <c r="I413" s="310"/>
      <c r="J413" s="282">
        <v>1</v>
      </c>
      <c r="K413" s="310">
        <v>1</v>
      </c>
      <c r="L413" s="282">
        <v>4</v>
      </c>
      <c r="M413" s="310">
        <v>5</v>
      </c>
      <c r="N413" s="282">
        <v>9</v>
      </c>
      <c r="O413" s="300">
        <v>171</v>
      </c>
      <c r="P413" s="300">
        <v>171</v>
      </c>
      <c r="Q413" s="300">
        <v>342</v>
      </c>
    </row>
    <row r="414" spans="2:17" x14ac:dyDescent="0.25">
      <c r="B414" s="255" t="s">
        <v>509</v>
      </c>
      <c r="C414" s="310">
        <v>29</v>
      </c>
      <c r="D414" s="310">
        <v>39</v>
      </c>
      <c r="E414" s="310">
        <v>68</v>
      </c>
      <c r="F414" s="310">
        <v>81</v>
      </c>
      <c r="G414" s="310">
        <v>49</v>
      </c>
      <c r="H414" s="282">
        <v>130</v>
      </c>
      <c r="I414" s="310">
        <v>1</v>
      </c>
      <c r="J414" s="282">
        <v>1</v>
      </c>
      <c r="K414" s="310">
        <v>2</v>
      </c>
      <c r="L414" s="282">
        <v>4</v>
      </c>
      <c r="M414" s="310">
        <v>3</v>
      </c>
      <c r="N414" s="282">
        <v>7</v>
      </c>
      <c r="O414" s="300">
        <v>115</v>
      </c>
      <c r="P414" s="300">
        <v>92</v>
      </c>
      <c r="Q414" s="300">
        <v>207</v>
      </c>
    </row>
    <row r="415" spans="2:17" x14ac:dyDescent="0.25">
      <c r="B415" s="255" t="s">
        <v>510</v>
      </c>
      <c r="C415" s="310">
        <v>68</v>
      </c>
      <c r="D415" s="310">
        <v>92</v>
      </c>
      <c r="E415" s="310">
        <v>160</v>
      </c>
      <c r="F415" s="310">
        <v>210</v>
      </c>
      <c r="G415" s="310">
        <v>133</v>
      </c>
      <c r="H415" s="282">
        <v>343</v>
      </c>
      <c r="I415" s="310">
        <v>1</v>
      </c>
      <c r="J415" s="282">
        <v>1</v>
      </c>
      <c r="K415" s="310">
        <v>2</v>
      </c>
      <c r="L415" s="282">
        <v>9</v>
      </c>
      <c r="M415" s="310">
        <v>8</v>
      </c>
      <c r="N415" s="282">
        <v>17</v>
      </c>
      <c r="O415" s="300">
        <v>288</v>
      </c>
      <c r="P415" s="300">
        <v>234</v>
      </c>
      <c r="Q415" s="300">
        <v>522</v>
      </c>
    </row>
    <row r="416" spans="2:17" x14ac:dyDescent="0.25">
      <c r="B416" s="255" t="s">
        <v>427</v>
      </c>
      <c r="C416" s="310">
        <v>15</v>
      </c>
      <c r="D416" s="310">
        <v>16</v>
      </c>
      <c r="E416" s="310">
        <v>31</v>
      </c>
      <c r="F416" s="310">
        <v>31</v>
      </c>
      <c r="G416" s="310">
        <v>28</v>
      </c>
      <c r="H416" s="282">
        <v>59</v>
      </c>
      <c r="I416" s="310"/>
      <c r="J416" s="282">
        <v>1</v>
      </c>
      <c r="K416" s="310">
        <v>1</v>
      </c>
      <c r="L416" s="282"/>
      <c r="M416" s="310">
        <v>1</v>
      </c>
      <c r="N416" s="282">
        <v>1</v>
      </c>
      <c r="O416" s="300">
        <v>46</v>
      </c>
      <c r="P416" s="300">
        <v>46</v>
      </c>
      <c r="Q416" s="300">
        <v>92</v>
      </c>
    </row>
    <row r="417" spans="2:17" x14ac:dyDescent="0.25">
      <c r="B417" s="255" t="s">
        <v>428</v>
      </c>
      <c r="C417" s="310">
        <v>32</v>
      </c>
      <c r="D417" s="310">
        <v>40</v>
      </c>
      <c r="E417" s="310">
        <v>72</v>
      </c>
      <c r="F417" s="310">
        <v>259</v>
      </c>
      <c r="G417" s="310">
        <v>109</v>
      </c>
      <c r="H417" s="282">
        <v>368</v>
      </c>
      <c r="I417" s="310"/>
      <c r="J417" s="282"/>
      <c r="K417" s="310"/>
      <c r="L417" s="282"/>
      <c r="M417" s="310"/>
      <c r="N417" s="282"/>
      <c r="O417" s="300">
        <v>291</v>
      </c>
      <c r="P417" s="300">
        <v>149</v>
      </c>
      <c r="Q417" s="300">
        <v>440</v>
      </c>
    </row>
    <row r="418" spans="2:17" x14ac:dyDescent="0.25">
      <c r="B418" s="255" t="s">
        <v>429</v>
      </c>
      <c r="C418" s="310">
        <v>79</v>
      </c>
      <c r="D418" s="310">
        <v>134</v>
      </c>
      <c r="E418" s="310">
        <v>213</v>
      </c>
      <c r="F418" s="310">
        <v>182</v>
      </c>
      <c r="G418" s="310">
        <v>141</v>
      </c>
      <c r="H418" s="282">
        <v>323</v>
      </c>
      <c r="I418" s="310"/>
      <c r="J418" s="282">
        <v>2</v>
      </c>
      <c r="K418" s="310">
        <v>2</v>
      </c>
      <c r="L418" s="282">
        <v>5</v>
      </c>
      <c r="M418" s="310">
        <v>16</v>
      </c>
      <c r="N418" s="282">
        <v>21</v>
      </c>
      <c r="O418" s="300">
        <v>266</v>
      </c>
      <c r="P418" s="300">
        <v>293</v>
      </c>
      <c r="Q418" s="300">
        <v>559</v>
      </c>
    </row>
    <row r="419" spans="2:17" x14ac:dyDescent="0.25">
      <c r="B419" s="255" t="s">
        <v>430</v>
      </c>
      <c r="C419" s="310">
        <v>201</v>
      </c>
      <c r="D419" s="310">
        <v>286</v>
      </c>
      <c r="E419" s="310">
        <v>487</v>
      </c>
      <c r="F419" s="310">
        <v>568</v>
      </c>
      <c r="G419" s="310">
        <v>387</v>
      </c>
      <c r="H419" s="282">
        <v>955</v>
      </c>
      <c r="I419" s="310">
        <v>2</v>
      </c>
      <c r="J419" s="282">
        <v>3</v>
      </c>
      <c r="K419" s="310">
        <v>5</v>
      </c>
      <c r="L419" s="282">
        <v>16</v>
      </c>
      <c r="M419" s="310">
        <v>26</v>
      </c>
      <c r="N419" s="282">
        <v>42</v>
      </c>
      <c r="O419" s="300">
        <v>787</v>
      </c>
      <c r="P419" s="300">
        <v>702</v>
      </c>
      <c r="Q419" s="300">
        <v>1489</v>
      </c>
    </row>
    <row r="420" spans="2:17" x14ac:dyDescent="0.25">
      <c r="B420" s="255" t="s">
        <v>431</v>
      </c>
      <c r="C420" s="310">
        <v>50</v>
      </c>
      <c r="D420" s="310">
        <v>96</v>
      </c>
      <c r="E420" s="310">
        <v>146</v>
      </c>
      <c r="F420" s="310">
        <v>162</v>
      </c>
      <c r="G420" s="310">
        <v>147</v>
      </c>
      <c r="H420" s="282">
        <v>309</v>
      </c>
      <c r="I420" s="310"/>
      <c r="J420" s="282">
        <v>2</v>
      </c>
      <c r="K420" s="310">
        <v>2</v>
      </c>
      <c r="L420" s="282">
        <v>8</v>
      </c>
      <c r="M420" s="310">
        <v>8</v>
      </c>
      <c r="N420" s="282">
        <v>16</v>
      </c>
      <c r="O420" s="300">
        <v>220</v>
      </c>
      <c r="P420" s="300">
        <v>253</v>
      </c>
      <c r="Q420" s="300">
        <v>473</v>
      </c>
    </row>
    <row r="421" spans="2:17" x14ac:dyDescent="0.25">
      <c r="B421" s="255" t="s">
        <v>432</v>
      </c>
      <c r="C421" s="310">
        <v>46</v>
      </c>
      <c r="D421" s="310">
        <v>63</v>
      </c>
      <c r="E421" s="310">
        <v>109</v>
      </c>
      <c r="F421" s="310">
        <v>96</v>
      </c>
      <c r="G421" s="310">
        <v>87</v>
      </c>
      <c r="H421" s="282">
        <v>183</v>
      </c>
      <c r="I421" s="310"/>
      <c r="J421" s="282">
        <v>1</v>
      </c>
      <c r="K421" s="310">
        <v>1</v>
      </c>
      <c r="L421" s="282">
        <v>1</v>
      </c>
      <c r="M421" s="310">
        <v>6</v>
      </c>
      <c r="N421" s="282">
        <v>7</v>
      </c>
      <c r="O421" s="300">
        <v>143</v>
      </c>
      <c r="P421" s="300">
        <v>157</v>
      </c>
      <c r="Q421" s="300">
        <v>300</v>
      </c>
    </row>
    <row r="422" spans="2:17" x14ac:dyDescent="0.25">
      <c r="B422" s="255" t="s">
        <v>433</v>
      </c>
      <c r="C422" s="310">
        <v>59</v>
      </c>
      <c r="D422" s="310">
        <v>88</v>
      </c>
      <c r="E422" s="310">
        <v>147</v>
      </c>
      <c r="F422" s="310">
        <v>140</v>
      </c>
      <c r="G422" s="310">
        <v>101</v>
      </c>
      <c r="H422" s="282">
        <v>241</v>
      </c>
      <c r="I422" s="310"/>
      <c r="J422" s="282">
        <v>2</v>
      </c>
      <c r="K422" s="310">
        <v>2</v>
      </c>
      <c r="L422" s="282">
        <v>1</v>
      </c>
      <c r="M422" s="310">
        <v>5</v>
      </c>
      <c r="N422" s="282">
        <v>6</v>
      </c>
      <c r="O422" s="300">
        <v>200</v>
      </c>
      <c r="P422" s="300">
        <v>196</v>
      </c>
      <c r="Q422" s="300">
        <v>396</v>
      </c>
    </row>
    <row r="423" spans="2:17" x14ac:dyDescent="0.25">
      <c r="B423" s="255" t="s">
        <v>434</v>
      </c>
      <c r="C423" s="310">
        <v>46</v>
      </c>
      <c r="D423" s="310">
        <v>85</v>
      </c>
      <c r="E423" s="310">
        <v>131</v>
      </c>
      <c r="F423" s="310">
        <v>113</v>
      </c>
      <c r="G423" s="310">
        <v>90</v>
      </c>
      <c r="H423" s="282">
        <v>203</v>
      </c>
      <c r="I423" s="310">
        <v>1</v>
      </c>
      <c r="J423" s="282"/>
      <c r="K423" s="310">
        <v>1</v>
      </c>
      <c r="L423" s="282">
        <v>6</v>
      </c>
      <c r="M423" s="310">
        <v>11</v>
      </c>
      <c r="N423" s="282">
        <v>17</v>
      </c>
      <c r="O423" s="300">
        <v>166</v>
      </c>
      <c r="P423" s="300">
        <v>186</v>
      </c>
      <c r="Q423" s="300">
        <v>352</v>
      </c>
    </row>
    <row r="424" spans="2:17" x14ac:dyDescent="0.25">
      <c r="B424" s="255" t="s">
        <v>435</v>
      </c>
      <c r="C424" s="310">
        <v>107</v>
      </c>
      <c r="D424" s="310">
        <v>164</v>
      </c>
      <c r="E424" s="310">
        <v>271</v>
      </c>
      <c r="F424" s="310">
        <v>256</v>
      </c>
      <c r="G424" s="310">
        <v>179</v>
      </c>
      <c r="H424" s="282">
        <v>435</v>
      </c>
      <c r="I424" s="310">
        <v>4</v>
      </c>
      <c r="J424" s="282">
        <v>2</v>
      </c>
      <c r="K424" s="310">
        <v>6</v>
      </c>
      <c r="L424" s="282">
        <v>13</v>
      </c>
      <c r="M424" s="310">
        <v>12</v>
      </c>
      <c r="N424" s="282">
        <v>25</v>
      </c>
      <c r="O424" s="300">
        <v>380</v>
      </c>
      <c r="P424" s="300">
        <v>357</v>
      </c>
      <c r="Q424" s="300">
        <v>737</v>
      </c>
    </row>
    <row r="425" spans="2:17" x14ac:dyDescent="0.25">
      <c r="B425" s="255" t="s">
        <v>436</v>
      </c>
      <c r="C425" s="310">
        <v>31</v>
      </c>
      <c r="D425" s="310">
        <v>59</v>
      </c>
      <c r="E425" s="310">
        <v>90</v>
      </c>
      <c r="F425" s="310">
        <v>119</v>
      </c>
      <c r="G425" s="310">
        <v>70</v>
      </c>
      <c r="H425" s="282">
        <v>189</v>
      </c>
      <c r="I425" s="310"/>
      <c r="J425" s="282"/>
      <c r="K425" s="310"/>
      <c r="L425" s="282">
        <v>6</v>
      </c>
      <c r="M425" s="310">
        <v>9</v>
      </c>
      <c r="N425" s="282">
        <v>15</v>
      </c>
      <c r="O425" s="300">
        <v>156</v>
      </c>
      <c r="P425" s="300">
        <v>138</v>
      </c>
      <c r="Q425" s="300">
        <v>294</v>
      </c>
    </row>
    <row r="426" spans="2:17" x14ac:dyDescent="0.25">
      <c r="B426" s="255" t="s">
        <v>437</v>
      </c>
      <c r="C426" s="310">
        <v>11</v>
      </c>
      <c r="D426" s="310">
        <v>9</v>
      </c>
      <c r="E426" s="310">
        <v>20</v>
      </c>
      <c r="F426" s="310">
        <v>19</v>
      </c>
      <c r="G426" s="310">
        <v>15</v>
      </c>
      <c r="H426" s="282">
        <v>34</v>
      </c>
      <c r="I426" s="310"/>
      <c r="J426" s="282"/>
      <c r="K426" s="310"/>
      <c r="L426" s="282"/>
      <c r="M426" s="310"/>
      <c r="N426" s="282"/>
      <c r="O426" s="300">
        <v>30</v>
      </c>
      <c r="P426" s="300">
        <v>24</v>
      </c>
      <c r="Q426" s="300">
        <v>54</v>
      </c>
    </row>
    <row r="427" spans="2:17" x14ac:dyDescent="0.25">
      <c r="B427" s="255" t="s">
        <v>438</v>
      </c>
      <c r="C427" s="310">
        <v>42</v>
      </c>
      <c r="D427" s="310">
        <v>42</v>
      </c>
      <c r="E427" s="310">
        <v>84</v>
      </c>
      <c r="F427" s="310">
        <v>142</v>
      </c>
      <c r="G427" s="310">
        <v>94</v>
      </c>
      <c r="H427" s="282">
        <v>236</v>
      </c>
      <c r="I427" s="310"/>
      <c r="J427" s="282"/>
      <c r="K427" s="310"/>
      <c r="L427" s="282">
        <v>2</v>
      </c>
      <c r="M427" s="310">
        <v>5</v>
      </c>
      <c r="N427" s="282">
        <v>7</v>
      </c>
      <c r="O427" s="300">
        <v>186</v>
      </c>
      <c r="P427" s="300">
        <v>141</v>
      </c>
      <c r="Q427" s="300">
        <v>327</v>
      </c>
    </row>
    <row r="428" spans="2:17" x14ac:dyDescent="0.25">
      <c r="B428" s="255" t="s">
        <v>439</v>
      </c>
      <c r="C428" s="310">
        <v>9</v>
      </c>
      <c r="D428" s="310">
        <v>6</v>
      </c>
      <c r="E428" s="310">
        <v>15</v>
      </c>
      <c r="F428" s="310">
        <v>3</v>
      </c>
      <c r="G428" s="310">
        <v>7</v>
      </c>
      <c r="H428" s="282">
        <v>10</v>
      </c>
      <c r="I428" s="310"/>
      <c r="J428" s="282"/>
      <c r="K428" s="310"/>
      <c r="L428" s="282">
        <v>1</v>
      </c>
      <c r="M428" s="310"/>
      <c r="N428" s="282">
        <v>1</v>
      </c>
      <c r="O428" s="300">
        <v>13</v>
      </c>
      <c r="P428" s="300">
        <v>13</v>
      </c>
      <c r="Q428" s="300">
        <v>26</v>
      </c>
    </row>
    <row r="429" spans="2:17" x14ac:dyDescent="0.25">
      <c r="B429" s="255" t="s">
        <v>440</v>
      </c>
      <c r="C429" s="310">
        <v>24</v>
      </c>
      <c r="D429" s="310">
        <v>42</v>
      </c>
      <c r="E429" s="310">
        <v>66</v>
      </c>
      <c r="F429" s="310">
        <v>73</v>
      </c>
      <c r="G429" s="310">
        <v>59</v>
      </c>
      <c r="H429" s="282">
        <v>132</v>
      </c>
      <c r="I429" s="310">
        <v>3</v>
      </c>
      <c r="J429" s="282"/>
      <c r="K429" s="310">
        <v>3</v>
      </c>
      <c r="L429" s="282">
        <v>2</v>
      </c>
      <c r="M429" s="310">
        <v>4</v>
      </c>
      <c r="N429" s="282">
        <v>6</v>
      </c>
      <c r="O429" s="300">
        <v>102</v>
      </c>
      <c r="P429" s="300">
        <v>105</v>
      </c>
      <c r="Q429" s="300">
        <v>207</v>
      </c>
    </row>
    <row r="430" spans="2:17" x14ac:dyDescent="0.25">
      <c r="B430" s="255" t="s">
        <v>441</v>
      </c>
      <c r="C430" s="310">
        <v>82</v>
      </c>
      <c r="D430" s="310">
        <v>142</v>
      </c>
      <c r="E430" s="310">
        <v>224</v>
      </c>
      <c r="F430" s="310">
        <v>358</v>
      </c>
      <c r="G430" s="310">
        <v>240</v>
      </c>
      <c r="H430" s="282">
        <v>598</v>
      </c>
      <c r="I430" s="310">
        <v>1</v>
      </c>
      <c r="J430" s="282">
        <v>2</v>
      </c>
      <c r="K430" s="310">
        <v>3</v>
      </c>
      <c r="L430" s="282">
        <v>6</v>
      </c>
      <c r="M430" s="310">
        <v>8</v>
      </c>
      <c r="N430" s="282">
        <v>14</v>
      </c>
      <c r="O430" s="300">
        <v>447</v>
      </c>
      <c r="P430" s="300">
        <v>392</v>
      </c>
      <c r="Q430" s="300">
        <v>839</v>
      </c>
    </row>
    <row r="431" spans="2:17" x14ac:dyDescent="0.25">
      <c r="B431" s="255" t="s">
        <v>442</v>
      </c>
      <c r="C431" s="310">
        <v>26</v>
      </c>
      <c r="D431" s="310">
        <v>50</v>
      </c>
      <c r="E431" s="310">
        <v>76</v>
      </c>
      <c r="F431" s="310">
        <v>91</v>
      </c>
      <c r="G431" s="310">
        <v>48</v>
      </c>
      <c r="H431" s="282">
        <v>139</v>
      </c>
      <c r="I431" s="310"/>
      <c r="J431" s="282"/>
      <c r="K431" s="310"/>
      <c r="L431" s="282">
        <v>2</v>
      </c>
      <c r="M431" s="310">
        <v>4</v>
      </c>
      <c r="N431" s="282">
        <v>6</v>
      </c>
      <c r="O431" s="300">
        <v>119</v>
      </c>
      <c r="P431" s="300">
        <v>102</v>
      </c>
      <c r="Q431" s="300">
        <v>221</v>
      </c>
    </row>
    <row r="432" spans="2:17" x14ac:dyDescent="0.25">
      <c r="B432" s="255" t="s">
        <v>443</v>
      </c>
      <c r="C432" s="310">
        <v>10</v>
      </c>
      <c r="D432" s="310">
        <v>17</v>
      </c>
      <c r="E432" s="310">
        <v>27</v>
      </c>
      <c r="F432" s="310">
        <v>14</v>
      </c>
      <c r="G432" s="310">
        <v>15</v>
      </c>
      <c r="H432" s="282">
        <v>29</v>
      </c>
      <c r="I432" s="310"/>
      <c r="J432" s="282"/>
      <c r="K432" s="310"/>
      <c r="L432" s="282">
        <v>1</v>
      </c>
      <c r="M432" s="310"/>
      <c r="N432" s="282">
        <v>1</v>
      </c>
      <c r="O432" s="300">
        <v>25</v>
      </c>
      <c r="P432" s="300">
        <v>32</v>
      </c>
      <c r="Q432" s="300">
        <v>57</v>
      </c>
    </row>
    <row r="433" spans="2:17" x14ac:dyDescent="0.25">
      <c r="B433" s="255" t="s">
        <v>444</v>
      </c>
      <c r="C433" s="310">
        <v>22</v>
      </c>
      <c r="D433" s="310">
        <v>12</v>
      </c>
      <c r="E433" s="310">
        <v>34</v>
      </c>
      <c r="F433" s="310">
        <v>122</v>
      </c>
      <c r="G433" s="310">
        <v>64</v>
      </c>
      <c r="H433" s="282">
        <v>186</v>
      </c>
      <c r="I433" s="310">
        <v>1</v>
      </c>
      <c r="J433" s="282"/>
      <c r="K433" s="310">
        <v>1</v>
      </c>
      <c r="L433" s="282"/>
      <c r="M433" s="310"/>
      <c r="N433" s="282"/>
      <c r="O433" s="300">
        <v>145</v>
      </c>
      <c r="P433" s="300">
        <v>76</v>
      </c>
      <c r="Q433" s="300">
        <v>221</v>
      </c>
    </row>
    <row r="434" spans="2:17" x14ac:dyDescent="0.25">
      <c r="B434" s="255" t="s">
        <v>511</v>
      </c>
      <c r="C434" s="310">
        <v>65</v>
      </c>
      <c r="D434" s="310">
        <v>58</v>
      </c>
      <c r="E434" s="310">
        <v>123</v>
      </c>
      <c r="F434" s="310">
        <v>429</v>
      </c>
      <c r="G434" s="310">
        <v>180</v>
      </c>
      <c r="H434" s="282">
        <v>609</v>
      </c>
      <c r="I434" s="310">
        <v>2</v>
      </c>
      <c r="J434" s="282">
        <v>1</v>
      </c>
      <c r="K434" s="310">
        <v>3</v>
      </c>
      <c r="L434" s="282">
        <v>3</v>
      </c>
      <c r="M434" s="310">
        <v>1</v>
      </c>
      <c r="N434" s="282">
        <v>4</v>
      </c>
      <c r="O434" s="300">
        <v>499</v>
      </c>
      <c r="P434" s="300">
        <v>240</v>
      </c>
      <c r="Q434" s="300">
        <v>739</v>
      </c>
    </row>
    <row r="435" spans="2:17" x14ac:dyDescent="0.25">
      <c r="B435" s="351" t="s">
        <v>35</v>
      </c>
      <c r="C435" s="302">
        <v>2430</v>
      </c>
      <c r="D435" s="302">
        <v>3416</v>
      </c>
      <c r="E435" s="302">
        <v>5846</v>
      </c>
      <c r="F435" s="302">
        <v>7772</v>
      </c>
      <c r="G435" s="302">
        <v>5067</v>
      </c>
      <c r="H435" s="300">
        <v>12839</v>
      </c>
      <c r="I435" s="302">
        <v>42</v>
      </c>
      <c r="J435" s="300">
        <v>40</v>
      </c>
      <c r="K435" s="302">
        <v>82</v>
      </c>
      <c r="L435" s="300">
        <v>184</v>
      </c>
      <c r="M435" s="302">
        <v>295</v>
      </c>
      <c r="N435" s="300">
        <v>479</v>
      </c>
      <c r="O435" s="300">
        <v>10428</v>
      </c>
      <c r="P435" s="300">
        <v>8818</v>
      </c>
      <c r="Q435" s="300">
        <v>19246</v>
      </c>
    </row>
    <row r="436" spans="2:17" ht="123" customHeight="1" x14ac:dyDescent="0.25">
      <c r="B436" s="469" t="s">
        <v>929</v>
      </c>
      <c r="C436" s="469"/>
      <c r="D436" s="469"/>
      <c r="E436" s="469"/>
      <c r="F436" s="469"/>
      <c r="G436" s="469"/>
      <c r="H436" s="469"/>
      <c r="I436" s="469"/>
      <c r="J436" s="469"/>
      <c r="K436" s="469"/>
      <c r="L436" s="469"/>
      <c r="M436" s="469"/>
      <c r="N436" s="469"/>
      <c r="O436" s="469"/>
      <c r="P436" s="469"/>
      <c r="Q436" s="469"/>
    </row>
    <row r="437" spans="2:17" x14ac:dyDescent="0.25">
      <c r="B437" s="172"/>
      <c r="C437" s="172"/>
      <c r="D437" s="172"/>
      <c r="E437"/>
      <c r="F437"/>
      <c r="G437"/>
    </row>
    <row r="438" spans="2:17" x14ac:dyDescent="0.25">
      <c r="B438" s="201" t="s">
        <v>530</v>
      </c>
      <c r="C438"/>
      <c r="D438"/>
      <c r="E438"/>
      <c r="F438"/>
      <c r="G438"/>
    </row>
    <row r="439" spans="2:17" x14ac:dyDescent="0.25">
      <c r="B439" s="201"/>
      <c r="C439"/>
      <c r="D439"/>
      <c r="E439"/>
      <c r="F439"/>
      <c r="G439"/>
    </row>
    <row r="440" spans="2:17" ht="15" customHeight="1" x14ac:dyDescent="0.25">
      <c r="B440" s="466" t="s">
        <v>544</v>
      </c>
      <c r="C440" s="479" t="s">
        <v>488</v>
      </c>
      <c r="D440" s="479"/>
      <c r="E440" s="479"/>
      <c r="F440" s="479"/>
      <c r="G440" s="479"/>
      <c r="H440" s="479"/>
      <c r="I440" s="479"/>
      <c r="J440" s="479"/>
      <c r="K440" s="479"/>
      <c r="L440" s="479"/>
      <c r="M440" s="479"/>
      <c r="N440" s="479"/>
      <c r="O440" s="483" t="s">
        <v>746</v>
      </c>
      <c r="P440" s="484"/>
      <c r="Q440" s="485"/>
    </row>
    <row r="441" spans="2:17" ht="15" customHeight="1" x14ac:dyDescent="0.25">
      <c r="B441" s="467"/>
      <c r="C441" s="479" t="s">
        <v>707</v>
      </c>
      <c r="D441" s="479"/>
      <c r="E441" s="479"/>
      <c r="F441" s="479" t="s">
        <v>497</v>
      </c>
      <c r="G441" s="479"/>
      <c r="H441" s="479"/>
      <c r="I441" s="479" t="s">
        <v>4</v>
      </c>
      <c r="J441" s="479"/>
      <c r="K441" s="479"/>
      <c r="L441" s="479" t="s">
        <v>6</v>
      </c>
      <c r="M441" s="479"/>
      <c r="N441" s="479"/>
      <c r="O441" s="486"/>
      <c r="P441" s="487"/>
      <c r="Q441" s="488"/>
    </row>
    <row r="442" spans="2:17" x14ac:dyDescent="0.25">
      <c r="B442" s="468"/>
      <c r="C442" s="175" t="s">
        <v>83</v>
      </c>
      <c r="D442" s="175" t="s">
        <v>84</v>
      </c>
      <c r="E442" s="175" t="s">
        <v>35</v>
      </c>
      <c r="F442" s="175" t="s">
        <v>83</v>
      </c>
      <c r="G442" s="175" t="s">
        <v>84</v>
      </c>
      <c r="H442" s="175" t="s">
        <v>35</v>
      </c>
      <c r="I442" s="175" t="s">
        <v>83</v>
      </c>
      <c r="J442" s="175" t="s">
        <v>84</v>
      </c>
      <c r="K442" s="175" t="s">
        <v>35</v>
      </c>
      <c r="L442" s="175" t="s">
        <v>83</v>
      </c>
      <c r="M442" s="175" t="s">
        <v>84</v>
      </c>
      <c r="N442" s="175" t="s">
        <v>35</v>
      </c>
      <c r="O442" s="262" t="s">
        <v>83</v>
      </c>
      <c r="P442" s="262" t="s">
        <v>84</v>
      </c>
      <c r="Q442" s="262" t="s">
        <v>35</v>
      </c>
    </row>
    <row r="443" spans="2:17" x14ac:dyDescent="0.25">
      <c r="B443" s="254" t="s">
        <v>446</v>
      </c>
      <c r="C443" s="310"/>
      <c r="D443" s="310"/>
      <c r="E443" s="310"/>
      <c r="F443" s="310">
        <v>6</v>
      </c>
      <c r="G443" s="310">
        <v>5</v>
      </c>
      <c r="H443" s="282">
        <v>11</v>
      </c>
      <c r="I443" s="310"/>
      <c r="J443" s="282"/>
      <c r="K443" s="310"/>
      <c r="L443" s="282"/>
      <c r="M443" s="310"/>
      <c r="N443" s="282"/>
      <c r="O443" s="300">
        <v>6</v>
      </c>
      <c r="P443" s="300">
        <v>5</v>
      </c>
      <c r="Q443" s="300">
        <v>11</v>
      </c>
    </row>
    <row r="444" spans="2:17" x14ac:dyDescent="0.25">
      <c r="B444" s="255" t="s">
        <v>447</v>
      </c>
      <c r="C444" s="310">
        <v>7</v>
      </c>
      <c r="D444" s="310">
        <v>9</v>
      </c>
      <c r="E444" s="310">
        <v>16</v>
      </c>
      <c r="F444" s="310">
        <v>9</v>
      </c>
      <c r="G444" s="310">
        <v>6</v>
      </c>
      <c r="H444" s="282">
        <v>15</v>
      </c>
      <c r="I444" s="310"/>
      <c r="J444" s="282"/>
      <c r="K444" s="310"/>
      <c r="L444" s="282"/>
      <c r="M444" s="310">
        <v>1</v>
      </c>
      <c r="N444" s="282">
        <v>1</v>
      </c>
      <c r="O444" s="300">
        <v>16</v>
      </c>
      <c r="P444" s="300">
        <v>16</v>
      </c>
      <c r="Q444" s="300">
        <v>32</v>
      </c>
    </row>
    <row r="445" spans="2:17" x14ac:dyDescent="0.25">
      <c r="B445" s="255" t="s">
        <v>448</v>
      </c>
      <c r="C445" s="310">
        <v>11</v>
      </c>
      <c r="D445" s="310">
        <v>24</v>
      </c>
      <c r="E445" s="310">
        <v>35</v>
      </c>
      <c r="F445" s="310">
        <v>37</v>
      </c>
      <c r="G445" s="310">
        <v>27</v>
      </c>
      <c r="H445" s="282">
        <v>64</v>
      </c>
      <c r="I445" s="310">
        <v>2</v>
      </c>
      <c r="J445" s="282"/>
      <c r="K445" s="310">
        <v>2</v>
      </c>
      <c r="L445" s="282">
        <v>2</v>
      </c>
      <c r="M445" s="310">
        <v>7</v>
      </c>
      <c r="N445" s="282">
        <v>9</v>
      </c>
      <c r="O445" s="300">
        <v>52</v>
      </c>
      <c r="P445" s="300">
        <v>58</v>
      </c>
      <c r="Q445" s="300">
        <v>110</v>
      </c>
    </row>
    <row r="446" spans="2:17" x14ac:dyDescent="0.25">
      <c r="B446" s="255" t="s">
        <v>449</v>
      </c>
      <c r="C446" s="310">
        <v>6</v>
      </c>
      <c r="D446" s="310">
        <v>5</v>
      </c>
      <c r="E446" s="310">
        <v>11</v>
      </c>
      <c r="F446" s="310">
        <v>10</v>
      </c>
      <c r="G446" s="310">
        <v>4</v>
      </c>
      <c r="H446" s="282">
        <v>14</v>
      </c>
      <c r="I446" s="310"/>
      <c r="J446" s="282">
        <v>2</v>
      </c>
      <c r="K446" s="310">
        <v>2</v>
      </c>
      <c r="L446" s="282"/>
      <c r="M446" s="310">
        <v>4</v>
      </c>
      <c r="N446" s="282">
        <v>4</v>
      </c>
      <c r="O446" s="300">
        <v>16</v>
      </c>
      <c r="P446" s="300">
        <v>15</v>
      </c>
      <c r="Q446" s="300">
        <v>31</v>
      </c>
    </row>
    <row r="447" spans="2:17" x14ac:dyDescent="0.25">
      <c r="B447" s="255" t="s">
        <v>450</v>
      </c>
      <c r="C447" s="310">
        <v>8</v>
      </c>
      <c r="D447" s="310">
        <v>7</v>
      </c>
      <c r="E447" s="310">
        <v>15</v>
      </c>
      <c r="F447" s="310">
        <v>15</v>
      </c>
      <c r="G447" s="310">
        <v>10</v>
      </c>
      <c r="H447" s="282">
        <v>25</v>
      </c>
      <c r="I447" s="310"/>
      <c r="J447" s="282"/>
      <c r="K447" s="310"/>
      <c r="L447" s="282">
        <v>1</v>
      </c>
      <c r="M447" s="310">
        <v>1</v>
      </c>
      <c r="N447" s="282">
        <v>2</v>
      </c>
      <c r="O447" s="300">
        <v>24</v>
      </c>
      <c r="P447" s="300">
        <v>18</v>
      </c>
      <c r="Q447" s="300">
        <v>42</v>
      </c>
    </row>
    <row r="448" spans="2:17" x14ac:dyDescent="0.25">
      <c r="B448" s="255" t="s">
        <v>451</v>
      </c>
      <c r="C448" s="310">
        <v>13</v>
      </c>
      <c r="D448" s="310">
        <v>13</v>
      </c>
      <c r="E448" s="310">
        <v>26</v>
      </c>
      <c r="F448" s="310">
        <v>14</v>
      </c>
      <c r="G448" s="310">
        <v>10</v>
      </c>
      <c r="H448" s="282">
        <v>24</v>
      </c>
      <c r="I448" s="310"/>
      <c r="J448" s="282">
        <v>1</v>
      </c>
      <c r="K448" s="310">
        <v>1</v>
      </c>
      <c r="L448" s="282"/>
      <c r="M448" s="310">
        <v>3</v>
      </c>
      <c r="N448" s="282">
        <v>3</v>
      </c>
      <c r="O448" s="300">
        <v>27</v>
      </c>
      <c r="P448" s="300">
        <v>27</v>
      </c>
      <c r="Q448" s="300">
        <v>54</v>
      </c>
    </row>
    <row r="449" spans="2:17" x14ac:dyDescent="0.25">
      <c r="B449" s="255" t="s">
        <v>452</v>
      </c>
      <c r="C449" s="310">
        <v>4</v>
      </c>
      <c r="D449" s="310">
        <v>2</v>
      </c>
      <c r="E449" s="310">
        <v>6</v>
      </c>
      <c r="F449" s="310">
        <v>5</v>
      </c>
      <c r="G449" s="310">
        <v>6</v>
      </c>
      <c r="H449" s="282">
        <v>11</v>
      </c>
      <c r="I449" s="310"/>
      <c r="J449" s="282"/>
      <c r="K449" s="310"/>
      <c r="L449" s="282"/>
      <c r="M449" s="310">
        <v>4</v>
      </c>
      <c r="N449" s="282">
        <v>4</v>
      </c>
      <c r="O449" s="300">
        <v>9</v>
      </c>
      <c r="P449" s="300">
        <v>12</v>
      </c>
      <c r="Q449" s="300">
        <v>21</v>
      </c>
    </row>
    <row r="450" spans="2:17" x14ac:dyDescent="0.25">
      <c r="B450" s="255" t="s">
        <v>453</v>
      </c>
      <c r="C450" s="310">
        <v>14</v>
      </c>
      <c r="D450" s="310">
        <v>17</v>
      </c>
      <c r="E450" s="310">
        <v>31</v>
      </c>
      <c r="F450" s="310">
        <v>20</v>
      </c>
      <c r="G450" s="310">
        <v>13</v>
      </c>
      <c r="H450" s="282">
        <v>33</v>
      </c>
      <c r="I450" s="310">
        <v>1</v>
      </c>
      <c r="J450" s="282"/>
      <c r="K450" s="310">
        <v>1</v>
      </c>
      <c r="L450" s="282">
        <v>1</v>
      </c>
      <c r="M450" s="310">
        <v>4</v>
      </c>
      <c r="N450" s="282">
        <v>5</v>
      </c>
      <c r="O450" s="300">
        <v>36</v>
      </c>
      <c r="P450" s="300">
        <v>34</v>
      </c>
      <c r="Q450" s="300">
        <v>70</v>
      </c>
    </row>
    <row r="451" spans="2:17" x14ac:dyDescent="0.25">
      <c r="B451" s="255" t="s">
        <v>454</v>
      </c>
      <c r="C451" s="310">
        <v>24</v>
      </c>
      <c r="D451" s="310">
        <v>34</v>
      </c>
      <c r="E451" s="310">
        <v>58</v>
      </c>
      <c r="F451" s="310">
        <v>37</v>
      </c>
      <c r="G451" s="310">
        <v>32</v>
      </c>
      <c r="H451" s="282">
        <v>69</v>
      </c>
      <c r="I451" s="310"/>
      <c r="J451" s="282">
        <v>3</v>
      </c>
      <c r="K451" s="310">
        <v>3</v>
      </c>
      <c r="L451" s="282">
        <v>1</v>
      </c>
      <c r="M451" s="310">
        <v>6</v>
      </c>
      <c r="N451" s="282">
        <v>7</v>
      </c>
      <c r="O451" s="300">
        <v>62</v>
      </c>
      <c r="P451" s="300">
        <v>75</v>
      </c>
      <c r="Q451" s="300">
        <v>137</v>
      </c>
    </row>
    <row r="452" spans="2:17" x14ac:dyDescent="0.25">
      <c r="B452" s="255" t="s">
        <v>455</v>
      </c>
      <c r="C452" s="310">
        <v>12</v>
      </c>
      <c r="D452" s="310">
        <v>18</v>
      </c>
      <c r="E452" s="310">
        <v>30</v>
      </c>
      <c r="F452" s="310">
        <v>36</v>
      </c>
      <c r="G452" s="310">
        <v>16</v>
      </c>
      <c r="H452" s="282">
        <v>52</v>
      </c>
      <c r="I452" s="310">
        <v>2</v>
      </c>
      <c r="J452" s="282"/>
      <c r="K452" s="310">
        <v>2</v>
      </c>
      <c r="L452" s="282">
        <v>1</v>
      </c>
      <c r="M452" s="310">
        <v>2</v>
      </c>
      <c r="N452" s="282">
        <v>3</v>
      </c>
      <c r="O452" s="300">
        <v>51</v>
      </c>
      <c r="P452" s="300">
        <v>36</v>
      </c>
      <c r="Q452" s="300">
        <v>87</v>
      </c>
    </row>
    <row r="453" spans="2:17" x14ac:dyDescent="0.25">
      <c r="B453" s="255" t="s">
        <v>893</v>
      </c>
      <c r="C453" s="310">
        <v>9</v>
      </c>
      <c r="D453" s="310">
        <v>9</v>
      </c>
      <c r="E453" s="310">
        <v>18</v>
      </c>
      <c r="F453" s="310">
        <v>20</v>
      </c>
      <c r="G453" s="310">
        <v>15</v>
      </c>
      <c r="H453" s="282">
        <v>35</v>
      </c>
      <c r="I453" s="310">
        <v>1</v>
      </c>
      <c r="J453" s="282"/>
      <c r="K453" s="310">
        <v>1</v>
      </c>
      <c r="L453" s="282">
        <v>2</v>
      </c>
      <c r="M453" s="310">
        <v>3</v>
      </c>
      <c r="N453" s="282">
        <v>5</v>
      </c>
      <c r="O453" s="300">
        <v>32</v>
      </c>
      <c r="P453" s="300">
        <v>27</v>
      </c>
      <c r="Q453" s="300">
        <v>59</v>
      </c>
    </row>
    <row r="454" spans="2:17" x14ac:dyDescent="0.25">
      <c r="B454" s="255" t="s">
        <v>457</v>
      </c>
      <c r="C454" s="310">
        <v>63</v>
      </c>
      <c r="D454" s="310">
        <v>84</v>
      </c>
      <c r="E454" s="310">
        <v>147</v>
      </c>
      <c r="F454" s="310">
        <v>204</v>
      </c>
      <c r="G454" s="310">
        <v>114</v>
      </c>
      <c r="H454" s="282">
        <v>318</v>
      </c>
      <c r="I454" s="310">
        <v>3</v>
      </c>
      <c r="J454" s="282">
        <v>3</v>
      </c>
      <c r="K454" s="310">
        <v>6</v>
      </c>
      <c r="L454" s="282">
        <v>9</v>
      </c>
      <c r="M454" s="310">
        <v>23</v>
      </c>
      <c r="N454" s="282">
        <v>32</v>
      </c>
      <c r="O454" s="300">
        <v>279</v>
      </c>
      <c r="P454" s="300">
        <v>224</v>
      </c>
      <c r="Q454" s="300">
        <v>503</v>
      </c>
    </row>
    <row r="455" spans="2:17" x14ac:dyDescent="0.25">
      <c r="B455" s="351" t="s">
        <v>35</v>
      </c>
      <c r="C455" s="302">
        <v>171</v>
      </c>
      <c r="D455" s="302">
        <v>222</v>
      </c>
      <c r="E455" s="302">
        <v>393</v>
      </c>
      <c r="F455" s="302">
        <v>413</v>
      </c>
      <c r="G455" s="302">
        <v>258</v>
      </c>
      <c r="H455" s="300">
        <v>671</v>
      </c>
      <c r="I455" s="302">
        <v>9</v>
      </c>
      <c r="J455" s="300">
        <v>9</v>
      </c>
      <c r="K455" s="302">
        <v>18</v>
      </c>
      <c r="L455" s="300">
        <v>17</v>
      </c>
      <c r="M455" s="302">
        <v>58</v>
      </c>
      <c r="N455" s="300">
        <v>75</v>
      </c>
      <c r="O455" s="300">
        <v>610</v>
      </c>
      <c r="P455" s="300">
        <v>547</v>
      </c>
      <c r="Q455" s="300">
        <v>1157</v>
      </c>
    </row>
    <row r="456" spans="2:17" ht="126.75" customHeight="1" x14ac:dyDescent="0.25">
      <c r="B456" s="469" t="s">
        <v>929</v>
      </c>
      <c r="C456" s="469"/>
      <c r="D456" s="469"/>
      <c r="E456" s="469"/>
      <c r="F456" s="469"/>
      <c r="G456" s="469"/>
      <c r="H456" s="469"/>
      <c r="I456" s="469"/>
      <c r="J456" s="469"/>
      <c r="K456" s="469"/>
      <c r="L456" s="469"/>
      <c r="M456" s="469"/>
      <c r="N456" s="469"/>
      <c r="O456" s="469"/>
      <c r="P456" s="469"/>
      <c r="Q456" s="469"/>
    </row>
    <row r="457" spans="2:17" x14ac:dyDescent="0.25">
      <c r="B457" s="172"/>
      <c r="C457" s="172"/>
      <c r="D457" s="172"/>
      <c r="E457"/>
      <c r="F457"/>
      <c r="G457"/>
    </row>
    <row r="458" spans="2:17" x14ac:dyDescent="0.25">
      <c r="B458" s="201" t="s">
        <v>531</v>
      </c>
      <c r="C458"/>
      <c r="D458"/>
      <c r="E458"/>
      <c r="F458"/>
      <c r="G458"/>
    </row>
    <row r="459" spans="2:17" x14ac:dyDescent="0.25">
      <c r="B459" s="201"/>
      <c r="C459"/>
      <c r="D459"/>
      <c r="E459"/>
      <c r="F459"/>
      <c r="G459"/>
    </row>
    <row r="460" spans="2:17" ht="15" customHeight="1" x14ac:dyDescent="0.25">
      <c r="B460" s="466" t="s">
        <v>544</v>
      </c>
      <c r="C460" s="479" t="s">
        <v>488</v>
      </c>
      <c r="D460" s="479"/>
      <c r="E460" s="479"/>
      <c r="F460" s="479"/>
      <c r="G460" s="479"/>
      <c r="H460" s="479"/>
      <c r="I460" s="479"/>
      <c r="J460" s="479"/>
      <c r="K460" s="479"/>
      <c r="L460" s="479"/>
      <c r="M460" s="479"/>
      <c r="N460" s="479"/>
      <c r="O460" s="483" t="s">
        <v>746</v>
      </c>
      <c r="P460" s="484"/>
      <c r="Q460" s="485"/>
    </row>
    <row r="461" spans="2:17" ht="15" customHeight="1" x14ac:dyDescent="0.25">
      <c r="B461" s="467"/>
      <c r="C461" s="479" t="s">
        <v>707</v>
      </c>
      <c r="D461" s="479"/>
      <c r="E461" s="479"/>
      <c r="F461" s="479" t="s">
        <v>497</v>
      </c>
      <c r="G461" s="479"/>
      <c r="H461" s="479"/>
      <c r="I461" s="479" t="s">
        <v>4</v>
      </c>
      <c r="J461" s="479"/>
      <c r="K461" s="479"/>
      <c r="L461" s="479" t="s">
        <v>6</v>
      </c>
      <c r="M461" s="479"/>
      <c r="N461" s="479"/>
      <c r="O461" s="486"/>
      <c r="P461" s="487"/>
      <c r="Q461" s="488"/>
    </row>
    <row r="462" spans="2:17" x14ac:dyDescent="0.25">
      <c r="B462" s="468"/>
      <c r="C462" s="175" t="s">
        <v>83</v>
      </c>
      <c r="D462" s="175" t="s">
        <v>84</v>
      </c>
      <c r="E462" s="175" t="s">
        <v>35</v>
      </c>
      <c r="F462" s="175" t="s">
        <v>83</v>
      </c>
      <c r="G462" s="175" t="s">
        <v>84</v>
      </c>
      <c r="H462" s="175" t="s">
        <v>35</v>
      </c>
      <c r="I462" s="175" t="s">
        <v>83</v>
      </c>
      <c r="J462" s="175" t="s">
        <v>84</v>
      </c>
      <c r="K462" s="175" t="s">
        <v>35</v>
      </c>
      <c r="L462" s="175" t="s">
        <v>83</v>
      </c>
      <c r="M462" s="175" t="s">
        <v>84</v>
      </c>
      <c r="N462" s="175" t="s">
        <v>35</v>
      </c>
      <c r="O462" s="262" t="s">
        <v>83</v>
      </c>
      <c r="P462" s="262" t="s">
        <v>84</v>
      </c>
      <c r="Q462" s="262" t="s">
        <v>35</v>
      </c>
    </row>
    <row r="463" spans="2:17" x14ac:dyDescent="0.25">
      <c r="B463" s="254" t="s">
        <v>458</v>
      </c>
      <c r="C463" s="310">
        <v>81</v>
      </c>
      <c r="D463" s="310">
        <v>111</v>
      </c>
      <c r="E463" s="310">
        <v>192</v>
      </c>
      <c r="F463" s="310">
        <v>223</v>
      </c>
      <c r="G463" s="310">
        <v>169</v>
      </c>
      <c r="H463" s="282">
        <v>392</v>
      </c>
      <c r="I463" s="310">
        <v>4</v>
      </c>
      <c r="J463" s="282">
        <v>3</v>
      </c>
      <c r="K463" s="310">
        <v>7</v>
      </c>
      <c r="L463" s="282">
        <v>9</v>
      </c>
      <c r="M463" s="310">
        <v>12</v>
      </c>
      <c r="N463" s="282">
        <v>21</v>
      </c>
      <c r="O463" s="300">
        <v>317</v>
      </c>
      <c r="P463" s="300">
        <v>295</v>
      </c>
      <c r="Q463" s="300">
        <v>612</v>
      </c>
    </row>
    <row r="464" spans="2:17" x14ac:dyDescent="0.25">
      <c r="B464" s="254" t="s">
        <v>459</v>
      </c>
      <c r="C464" s="310"/>
      <c r="D464" s="310">
        <v>1</v>
      </c>
      <c r="E464" s="310">
        <v>1</v>
      </c>
      <c r="F464" s="310">
        <v>1</v>
      </c>
      <c r="G464" s="310"/>
      <c r="H464" s="282">
        <v>1</v>
      </c>
      <c r="I464" s="310"/>
      <c r="J464" s="282"/>
      <c r="K464" s="310"/>
      <c r="L464" s="282"/>
      <c r="M464" s="310"/>
      <c r="N464" s="282"/>
      <c r="O464" s="300">
        <v>1</v>
      </c>
      <c r="P464" s="300">
        <v>1</v>
      </c>
      <c r="Q464" s="300">
        <v>2</v>
      </c>
    </row>
    <row r="465" spans="2:17" x14ac:dyDescent="0.25">
      <c r="B465" s="255" t="s">
        <v>461</v>
      </c>
      <c r="C465" s="310">
        <v>1</v>
      </c>
      <c r="D465" s="310">
        <v>1</v>
      </c>
      <c r="E465" s="310">
        <v>2</v>
      </c>
      <c r="F465" s="310">
        <v>1</v>
      </c>
      <c r="G465" s="310">
        <v>1</v>
      </c>
      <c r="H465" s="282">
        <v>2</v>
      </c>
      <c r="I465" s="310"/>
      <c r="J465" s="282"/>
      <c r="K465" s="310"/>
      <c r="L465" s="282"/>
      <c r="M465" s="310"/>
      <c r="N465" s="282"/>
      <c r="O465" s="300">
        <v>2</v>
      </c>
      <c r="P465" s="300">
        <v>2</v>
      </c>
      <c r="Q465" s="300">
        <v>4</v>
      </c>
    </row>
    <row r="466" spans="2:17" x14ac:dyDescent="0.25">
      <c r="B466" s="351" t="s">
        <v>35</v>
      </c>
      <c r="C466" s="302">
        <v>82</v>
      </c>
      <c r="D466" s="302">
        <v>113</v>
      </c>
      <c r="E466" s="302">
        <v>195</v>
      </c>
      <c r="F466" s="302">
        <v>225</v>
      </c>
      <c r="G466" s="302">
        <v>170</v>
      </c>
      <c r="H466" s="300">
        <v>395</v>
      </c>
      <c r="I466" s="302">
        <v>4</v>
      </c>
      <c r="J466" s="300">
        <v>3</v>
      </c>
      <c r="K466" s="302">
        <v>7</v>
      </c>
      <c r="L466" s="300">
        <v>9</v>
      </c>
      <c r="M466" s="302">
        <v>12</v>
      </c>
      <c r="N466" s="300">
        <v>21</v>
      </c>
      <c r="O466" s="300">
        <v>320</v>
      </c>
      <c r="P466" s="300">
        <v>298</v>
      </c>
      <c r="Q466" s="300">
        <v>618</v>
      </c>
    </row>
    <row r="467" spans="2:17" ht="121.5" customHeight="1" x14ac:dyDescent="0.25">
      <c r="B467" s="469" t="s">
        <v>929</v>
      </c>
      <c r="C467" s="469"/>
      <c r="D467" s="469"/>
      <c r="E467" s="469"/>
      <c r="F467" s="469"/>
      <c r="G467" s="469"/>
      <c r="H467" s="469"/>
      <c r="I467" s="469"/>
      <c r="J467" s="469"/>
      <c r="K467" s="469"/>
      <c r="L467" s="469"/>
      <c r="M467" s="469"/>
      <c r="N467" s="469"/>
      <c r="O467" s="469"/>
      <c r="P467" s="469"/>
      <c r="Q467" s="469"/>
    </row>
    <row r="468" spans="2:17" x14ac:dyDescent="0.25">
      <c r="B468" s="172"/>
      <c r="C468" s="172"/>
      <c r="D468" s="172"/>
      <c r="E468"/>
      <c r="F468"/>
      <c r="G468"/>
    </row>
    <row r="469" spans="2:17" x14ac:dyDescent="0.25">
      <c r="B469" s="201" t="s">
        <v>532</v>
      </c>
      <c r="C469"/>
      <c r="D469"/>
      <c r="E469"/>
      <c r="F469"/>
      <c r="G469"/>
    </row>
    <row r="470" spans="2:17" x14ac:dyDescent="0.25">
      <c r="B470" s="201"/>
      <c r="C470"/>
      <c r="D470"/>
      <c r="E470"/>
      <c r="F470"/>
      <c r="G470"/>
    </row>
    <row r="471" spans="2:17" ht="15" customHeight="1" x14ac:dyDescent="0.25">
      <c r="B471" s="466" t="s">
        <v>544</v>
      </c>
      <c r="C471" s="479" t="s">
        <v>488</v>
      </c>
      <c r="D471" s="479"/>
      <c r="E471" s="479"/>
      <c r="F471" s="479"/>
      <c r="G471" s="479"/>
      <c r="H471" s="479"/>
      <c r="I471" s="479"/>
      <c r="J471" s="479"/>
      <c r="K471" s="479"/>
      <c r="L471" s="479"/>
      <c r="M471" s="479"/>
      <c r="N471" s="479"/>
      <c r="O471" s="483" t="s">
        <v>746</v>
      </c>
      <c r="P471" s="484"/>
      <c r="Q471" s="485"/>
    </row>
    <row r="472" spans="2:17" ht="15" customHeight="1" x14ac:dyDescent="0.25">
      <c r="B472" s="467"/>
      <c r="C472" s="479" t="s">
        <v>707</v>
      </c>
      <c r="D472" s="479"/>
      <c r="E472" s="479"/>
      <c r="F472" s="479" t="s">
        <v>497</v>
      </c>
      <c r="G472" s="479"/>
      <c r="H472" s="479"/>
      <c r="I472" s="479" t="s">
        <v>4</v>
      </c>
      <c r="J472" s="479"/>
      <c r="K472" s="479"/>
      <c r="L472" s="479" t="s">
        <v>6</v>
      </c>
      <c r="M472" s="479"/>
      <c r="N472" s="479"/>
      <c r="O472" s="486"/>
      <c r="P472" s="487"/>
      <c r="Q472" s="488"/>
    </row>
    <row r="473" spans="2:17" x14ac:dyDescent="0.25">
      <c r="B473" s="468"/>
      <c r="C473" s="175" t="s">
        <v>83</v>
      </c>
      <c r="D473" s="175" t="s">
        <v>84</v>
      </c>
      <c r="E473" s="175" t="s">
        <v>35</v>
      </c>
      <c r="F473" s="175" t="s">
        <v>83</v>
      </c>
      <c r="G473" s="175" t="s">
        <v>84</v>
      </c>
      <c r="H473" s="175" t="s">
        <v>35</v>
      </c>
      <c r="I473" s="175" t="s">
        <v>83</v>
      </c>
      <c r="J473" s="175" t="s">
        <v>84</v>
      </c>
      <c r="K473" s="175" t="s">
        <v>35</v>
      </c>
      <c r="L473" s="175" t="s">
        <v>83</v>
      </c>
      <c r="M473" s="175" t="s">
        <v>84</v>
      </c>
      <c r="N473" s="175" t="s">
        <v>35</v>
      </c>
      <c r="O473" s="262" t="s">
        <v>83</v>
      </c>
      <c r="P473" s="262" t="s">
        <v>84</v>
      </c>
      <c r="Q473" s="262" t="s">
        <v>35</v>
      </c>
    </row>
    <row r="474" spans="2:17" x14ac:dyDescent="0.25">
      <c r="B474" s="254" t="s">
        <v>462</v>
      </c>
      <c r="C474" s="310">
        <v>10</v>
      </c>
      <c r="D474" s="310">
        <v>18</v>
      </c>
      <c r="E474" s="310">
        <v>28</v>
      </c>
      <c r="F474" s="310">
        <v>21</v>
      </c>
      <c r="G474" s="310">
        <v>18</v>
      </c>
      <c r="H474" s="282">
        <v>39</v>
      </c>
      <c r="I474" s="310"/>
      <c r="J474" s="282"/>
      <c r="K474" s="310"/>
      <c r="L474" s="282">
        <v>1</v>
      </c>
      <c r="M474" s="310">
        <v>2</v>
      </c>
      <c r="N474" s="282">
        <v>3</v>
      </c>
      <c r="O474" s="300">
        <v>32</v>
      </c>
      <c r="P474" s="300">
        <v>38</v>
      </c>
      <c r="Q474" s="300">
        <v>70</v>
      </c>
    </row>
    <row r="475" spans="2:17" x14ac:dyDescent="0.25">
      <c r="B475" s="255" t="s">
        <v>463</v>
      </c>
      <c r="C475" s="310">
        <v>86</v>
      </c>
      <c r="D475" s="310">
        <v>83</v>
      </c>
      <c r="E475" s="310">
        <v>169</v>
      </c>
      <c r="F475" s="310">
        <v>219</v>
      </c>
      <c r="G475" s="310">
        <v>116</v>
      </c>
      <c r="H475" s="282">
        <v>335</v>
      </c>
      <c r="I475" s="310">
        <v>2</v>
      </c>
      <c r="J475" s="282">
        <v>3</v>
      </c>
      <c r="K475" s="310">
        <v>5</v>
      </c>
      <c r="L475" s="282">
        <v>11</v>
      </c>
      <c r="M475" s="310">
        <v>29</v>
      </c>
      <c r="N475" s="282">
        <v>40</v>
      </c>
      <c r="O475" s="300">
        <v>318</v>
      </c>
      <c r="P475" s="300">
        <v>231</v>
      </c>
      <c r="Q475" s="300">
        <v>549</v>
      </c>
    </row>
    <row r="476" spans="2:17" x14ac:dyDescent="0.25">
      <c r="B476" s="255" t="s">
        <v>464</v>
      </c>
      <c r="C476" s="310">
        <v>6</v>
      </c>
      <c r="D476" s="310">
        <v>9</v>
      </c>
      <c r="E476" s="310">
        <v>15</v>
      </c>
      <c r="F476" s="310">
        <v>16</v>
      </c>
      <c r="G476" s="310">
        <v>16</v>
      </c>
      <c r="H476" s="282">
        <v>32</v>
      </c>
      <c r="I476" s="310"/>
      <c r="J476" s="282">
        <v>1</v>
      </c>
      <c r="K476" s="310">
        <v>1</v>
      </c>
      <c r="L476" s="282">
        <v>3</v>
      </c>
      <c r="M476" s="310">
        <v>6</v>
      </c>
      <c r="N476" s="282">
        <v>9</v>
      </c>
      <c r="O476" s="300">
        <v>25</v>
      </c>
      <c r="P476" s="300">
        <v>32</v>
      </c>
      <c r="Q476" s="300">
        <v>57</v>
      </c>
    </row>
    <row r="477" spans="2:17" x14ac:dyDescent="0.25">
      <c r="B477" s="255" t="s">
        <v>465</v>
      </c>
      <c r="C477" s="310">
        <v>1</v>
      </c>
      <c r="D477" s="310">
        <v>5</v>
      </c>
      <c r="E477" s="310">
        <v>6</v>
      </c>
      <c r="F477" s="310">
        <v>2</v>
      </c>
      <c r="G477" s="310">
        <v>3</v>
      </c>
      <c r="H477" s="282">
        <v>5</v>
      </c>
      <c r="I477" s="310"/>
      <c r="J477" s="282"/>
      <c r="K477" s="310"/>
      <c r="L477" s="282"/>
      <c r="M477" s="310"/>
      <c r="N477" s="282"/>
      <c r="O477" s="300">
        <v>3</v>
      </c>
      <c r="P477" s="300">
        <v>8</v>
      </c>
      <c r="Q477" s="300">
        <v>11</v>
      </c>
    </row>
    <row r="478" spans="2:17" x14ac:dyDescent="0.25">
      <c r="B478" s="255" t="s">
        <v>466</v>
      </c>
      <c r="C478" s="310">
        <v>14</v>
      </c>
      <c r="D478" s="310">
        <v>9</v>
      </c>
      <c r="E478" s="310">
        <v>23</v>
      </c>
      <c r="F478" s="310">
        <v>16</v>
      </c>
      <c r="G478" s="310">
        <v>12</v>
      </c>
      <c r="H478" s="282">
        <v>28</v>
      </c>
      <c r="I478" s="310"/>
      <c r="J478" s="282"/>
      <c r="K478" s="310"/>
      <c r="L478" s="282"/>
      <c r="M478" s="310">
        <v>2</v>
      </c>
      <c r="N478" s="282">
        <v>2</v>
      </c>
      <c r="O478" s="300">
        <v>30</v>
      </c>
      <c r="P478" s="300">
        <v>23</v>
      </c>
      <c r="Q478" s="300">
        <v>53</v>
      </c>
    </row>
    <row r="479" spans="2:17" x14ac:dyDescent="0.25">
      <c r="B479" s="255" t="s">
        <v>467</v>
      </c>
      <c r="C479" s="310">
        <v>12</v>
      </c>
      <c r="D479" s="310">
        <v>11</v>
      </c>
      <c r="E479" s="310">
        <v>23</v>
      </c>
      <c r="F479" s="310">
        <v>24</v>
      </c>
      <c r="G479" s="310">
        <v>10</v>
      </c>
      <c r="H479" s="282">
        <v>34</v>
      </c>
      <c r="I479" s="310"/>
      <c r="J479" s="282"/>
      <c r="K479" s="310"/>
      <c r="L479" s="282">
        <v>1</v>
      </c>
      <c r="M479" s="310">
        <v>6</v>
      </c>
      <c r="N479" s="282">
        <v>7</v>
      </c>
      <c r="O479" s="300">
        <v>37</v>
      </c>
      <c r="P479" s="300">
        <v>27</v>
      </c>
      <c r="Q479" s="300">
        <v>64</v>
      </c>
    </row>
    <row r="480" spans="2:17" x14ac:dyDescent="0.25">
      <c r="B480" s="255" t="s">
        <v>468</v>
      </c>
      <c r="C480" s="310">
        <v>5</v>
      </c>
      <c r="D480" s="310">
        <v>5</v>
      </c>
      <c r="E480" s="310">
        <v>10</v>
      </c>
      <c r="F480" s="310">
        <v>8</v>
      </c>
      <c r="G480" s="310">
        <v>4</v>
      </c>
      <c r="H480" s="282">
        <v>12</v>
      </c>
      <c r="I480" s="310"/>
      <c r="J480" s="282"/>
      <c r="K480" s="310"/>
      <c r="L480" s="282">
        <v>1</v>
      </c>
      <c r="M480" s="310">
        <v>1</v>
      </c>
      <c r="N480" s="282">
        <v>2</v>
      </c>
      <c r="O480" s="300">
        <v>14</v>
      </c>
      <c r="P480" s="300">
        <v>10</v>
      </c>
      <c r="Q480" s="300">
        <v>24</v>
      </c>
    </row>
    <row r="481" spans="2:17" x14ac:dyDescent="0.25">
      <c r="B481" s="255" t="s">
        <v>469</v>
      </c>
      <c r="C481" s="310">
        <v>4</v>
      </c>
      <c r="D481" s="310">
        <v>2</v>
      </c>
      <c r="E481" s="310">
        <v>6</v>
      </c>
      <c r="F481" s="310">
        <v>3</v>
      </c>
      <c r="G481" s="310">
        <v>4</v>
      </c>
      <c r="H481" s="282">
        <v>7</v>
      </c>
      <c r="I481" s="310"/>
      <c r="J481" s="282"/>
      <c r="K481" s="310"/>
      <c r="L481" s="282"/>
      <c r="M481" s="310">
        <v>1</v>
      </c>
      <c r="N481" s="282">
        <v>1</v>
      </c>
      <c r="O481" s="300">
        <v>7</v>
      </c>
      <c r="P481" s="300">
        <v>7</v>
      </c>
      <c r="Q481" s="300">
        <v>14</v>
      </c>
    </row>
    <row r="482" spans="2:17" x14ac:dyDescent="0.25">
      <c r="B482" s="255" t="s">
        <v>470</v>
      </c>
      <c r="C482" s="310">
        <v>6</v>
      </c>
      <c r="D482" s="310">
        <v>4</v>
      </c>
      <c r="E482" s="310">
        <v>10</v>
      </c>
      <c r="F482" s="310">
        <v>10</v>
      </c>
      <c r="G482" s="310">
        <v>4</v>
      </c>
      <c r="H482" s="282">
        <v>14</v>
      </c>
      <c r="I482" s="310"/>
      <c r="J482" s="282"/>
      <c r="K482" s="310"/>
      <c r="L482" s="282"/>
      <c r="M482" s="310">
        <v>2</v>
      </c>
      <c r="N482" s="282">
        <v>2</v>
      </c>
      <c r="O482" s="300">
        <v>16</v>
      </c>
      <c r="P482" s="300">
        <v>10</v>
      </c>
      <c r="Q482" s="300">
        <v>26</v>
      </c>
    </row>
    <row r="483" spans="2:17" x14ac:dyDescent="0.25">
      <c r="B483" s="255" t="s">
        <v>471</v>
      </c>
      <c r="C483" s="310">
        <v>7</v>
      </c>
      <c r="D483" s="310">
        <v>6</v>
      </c>
      <c r="E483" s="310">
        <v>13</v>
      </c>
      <c r="F483" s="310">
        <v>10</v>
      </c>
      <c r="G483" s="310">
        <v>6</v>
      </c>
      <c r="H483" s="282">
        <v>16</v>
      </c>
      <c r="I483" s="310">
        <v>1</v>
      </c>
      <c r="J483" s="282">
        <v>1</v>
      </c>
      <c r="K483" s="310">
        <v>2</v>
      </c>
      <c r="L483" s="282"/>
      <c r="M483" s="310"/>
      <c r="N483" s="282"/>
      <c r="O483" s="300">
        <v>18</v>
      </c>
      <c r="P483" s="300">
        <v>13</v>
      </c>
      <c r="Q483" s="300">
        <v>31</v>
      </c>
    </row>
    <row r="484" spans="2:17" x14ac:dyDescent="0.25">
      <c r="B484" s="255" t="s">
        <v>472</v>
      </c>
      <c r="C484" s="310">
        <v>1</v>
      </c>
      <c r="D484" s="310">
        <v>3</v>
      </c>
      <c r="E484" s="310">
        <v>4</v>
      </c>
      <c r="F484" s="310">
        <v>4</v>
      </c>
      <c r="G484" s="310">
        <v>6</v>
      </c>
      <c r="H484" s="282">
        <v>10</v>
      </c>
      <c r="I484" s="310"/>
      <c r="J484" s="282"/>
      <c r="K484" s="310"/>
      <c r="L484" s="282"/>
      <c r="M484" s="310"/>
      <c r="N484" s="282"/>
      <c r="O484" s="300">
        <v>5</v>
      </c>
      <c r="P484" s="300">
        <v>9</v>
      </c>
      <c r="Q484" s="300">
        <v>14</v>
      </c>
    </row>
    <row r="485" spans="2:17" x14ac:dyDescent="0.25">
      <c r="B485" s="255" t="s">
        <v>473</v>
      </c>
      <c r="C485" s="310">
        <v>8</v>
      </c>
      <c r="D485" s="310">
        <v>10</v>
      </c>
      <c r="E485" s="310">
        <v>18</v>
      </c>
      <c r="F485" s="310">
        <v>23</v>
      </c>
      <c r="G485" s="310">
        <v>15</v>
      </c>
      <c r="H485" s="282">
        <v>38</v>
      </c>
      <c r="I485" s="310"/>
      <c r="J485" s="282"/>
      <c r="K485" s="310"/>
      <c r="L485" s="282">
        <v>2</v>
      </c>
      <c r="M485" s="310">
        <v>1</v>
      </c>
      <c r="N485" s="282">
        <v>3</v>
      </c>
      <c r="O485" s="300">
        <v>33</v>
      </c>
      <c r="P485" s="300">
        <v>26</v>
      </c>
      <c r="Q485" s="300">
        <v>59</v>
      </c>
    </row>
    <row r="486" spans="2:17" x14ac:dyDescent="0.25">
      <c r="B486" s="255" t="s">
        <v>474</v>
      </c>
      <c r="C486" s="310">
        <v>14</v>
      </c>
      <c r="D486" s="310">
        <v>6</v>
      </c>
      <c r="E486" s="310">
        <v>20</v>
      </c>
      <c r="F486" s="310">
        <v>12</v>
      </c>
      <c r="G486" s="310">
        <v>10</v>
      </c>
      <c r="H486" s="282">
        <v>22</v>
      </c>
      <c r="I486" s="310"/>
      <c r="J486" s="282"/>
      <c r="K486" s="310"/>
      <c r="L486" s="282"/>
      <c r="M486" s="310">
        <v>1</v>
      </c>
      <c r="N486" s="282">
        <v>1</v>
      </c>
      <c r="O486" s="300">
        <v>26</v>
      </c>
      <c r="P486" s="300">
        <v>17</v>
      </c>
      <c r="Q486" s="300">
        <v>43</v>
      </c>
    </row>
    <row r="487" spans="2:17" x14ac:dyDescent="0.25">
      <c r="B487" s="255" t="s">
        <v>475</v>
      </c>
      <c r="C487" s="310">
        <v>3</v>
      </c>
      <c r="D487" s="310">
        <v>5</v>
      </c>
      <c r="E487" s="310">
        <v>8</v>
      </c>
      <c r="F487" s="310">
        <v>4</v>
      </c>
      <c r="G487" s="310">
        <v>3</v>
      </c>
      <c r="H487" s="282">
        <v>7</v>
      </c>
      <c r="I487" s="310"/>
      <c r="J487" s="282"/>
      <c r="K487" s="310"/>
      <c r="L487" s="282"/>
      <c r="M487" s="310">
        <v>2</v>
      </c>
      <c r="N487" s="282">
        <v>2</v>
      </c>
      <c r="O487" s="300">
        <v>7</v>
      </c>
      <c r="P487" s="300">
        <v>10</v>
      </c>
      <c r="Q487" s="300">
        <v>17</v>
      </c>
    </row>
    <row r="488" spans="2:17" x14ac:dyDescent="0.25">
      <c r="B488" s="255" t="s">
        <v>476</v>
      </c>
      <c r="C488" s="310">
        <v>14</v>
      </c>
      <c r="D488" s="310">
        <v>12</v>
      </c>
      <c r="E488" s="310">
        <v>26</v>
      </c>
      <c r="F488" s="310">
        <v>60</v>
      </c>
      <c r="G488" s="310">
        <v>38</v>
      </c>
      <c r="H488" s="282">
        <v>98</v>
      </c>
      <c r="I488" s="310">
        <v>3</v>
      </c>
      <c r="J488" s="282">
        <v>1</v>
      </c>
      <c r="K488" s="310">
        <v>4</v>
      </c>
      <c r="L488" s="282">
        <v>2</v>
      </c>
      <c r="M488" s="310">
        <v>5</v>
      </c>
      <c r="N488" s="282">
        <v>7</v>
      </c>
      <c r="O488" s="300">
        <v>79</v>
      </c>
      <c r="P488" s="300">
        <v>56</v>
      </c>
      <c r="Q488" s="300">
        <v>135</v>
      </c>
    </row>
    <row r="489" spans="2:17" x14ac:dyDescent="0.25">
      <c r="B489" s="255" t="s">
        <v>477</v>
      </c>
      <c r="C489" s="310">
        <v>3</v>
      </c>
      <c r="D489" s="310">
        <v>4</v>
      </c>
      <c r="E489" s="310">
        <v>7</v>
      </c>
      <c r="F489" s="310">
        <v>6</v>
      </c>
      <c r="G489" s="310">
        <v>2</v>
      </c>
      <c r="H489" s="282">
        <v>8</v>
      </c>
      <c r="I489" s="310"/>
      <c r="J489" s="282"/>
      <c r="K489" s="310"/>
      <c r="L489" s="282"/>
      <c r="M489" s="310">
        <v>1</v>
      </c>
      <c r="N489" s="282">
        <v>1</v>
      </c>
      <c r="O489" s="300">
        <v>9</v>
      </c>
      <c r="P489" s="300">
        <v>7</v>
      </c>
      <c r="Q489" s="300">
        <v>16</v>
      </c>
    </row>
    <row r="490" spans="2:17" x14ac:dyDescent="0.25">
      <c r="B490" s="255" t="s">
        <v>478</v>
      </c>
      <c r="C490" s="310">
        <v>8</v>
      </c>
      <c r="D490" s="310">
        <v>9</v>
      </c>
      <c r="E490" s="310">
        <v>17</v>
      </c>
      <c r="F490" s="310">
        <v>8</v>
      </c>
      <c r="G490" s="310">
        <v>4</v>
      </c>
      <c r="H490" s="282">
        <v>12</v>
      </c>
      <c r="I490" s="310"/>
      <c r="J490" s="282">
        <v>1</v>
      </c>
      <c r="K490" s="310">
        <v>1</v>
      </c>
      <c r="L490" s="282"/>
      <c r="M490" s="310">
        <v>1</v>
      </c>
      <c r="N490" s="282">
        <v>1</v>
      </c>
      <c r="O490" s="300">
        <v>16</v>
      </c>
      <c r="P490" s="300">
        <v>15</v>
      </c>
      <c r="Q490" s="300">
        <v>31</v>
      </c>
    </row>
    <row r="491" spans="2:17" x14ac:dyDescent="0.25">
      <c r="B491" s="255" t="s">
        <v>479</v>
      </c>
      <c r="C491" s="310">
        <v>6</v>
      </c>
      <c r="D491" s="310">
        <v>8</v>
      </c>
      <c r="E491" s="310">
        <v>14</v>
      </c>
      <c r="F491" s="310">
        <v>13</v>
      </c>
      <c r="G491" s="310">
        <v>16</v>
      </c>
      <c r="H491" s="282">
        <v>29</v>
      </c>
      <c r="I491" s="310"/>
      <c r="J491" s="282"/>
      <c r="K491" s="310"/>
      <c r="L491" s="282"/>
      <c r="M491" s="310">
        <v>2</v>
      </c>
      <c r="N491" s="282">
        <v>2</v>
      </c>
      <c r="O491" s="300">
        <v>19</v>
      </c>
      <c r="P491" s="300">
        <v>26</v>
      </c>
      <c r="Q491" s="300">
        <v>45</v>
      </c>
    </row>
    <row r="492" spans="2:17" x14ac:dyDescent="0.25">
      <c r="B492" s="255" t="s">
        <v>480</v>
      </c>
      <c r="C492" s="310">
        <v>5</v>
      </c>
      <c r="D492" s="310">
        <v>3</v>
      </c>
      <c r="E492" s="310">
        <v>8</v>
      </c>
      <c r="F492" s="310">
        <v>1</v>
      </c>
      <c r="G492" s="310"/>
      <c r="H492" s="282">
        <v>1</v>
      </c>
      <c r="I492" s="310"/>
      <c r="J492" s="282"/>
      <c r="K492" s="310"/>
      <c r="L492" s="282"/>
      <c r="M492" s="310"/>
      <c r="N492" s="282"/>
      <c r="O492" s="300">
        <v>6</v>
      </c>
      <c r="P492" s="300">
        <v>3</v>
      </c>
      <c r="Q492" s="300">
        <v>9</v>
      </c>
    </row>
    <row r="493" spans="2:17" x14ac:dyDescent="0.25">
      <c r="B493" s="255" t="s">
        <v>481</v>
      </c>
      <c r="C493" s="310">
        <v>6</v>
      </c>
      <c r="D493" s="310">
        <v>12</v>
      </c>
      <c r="E493" s="310">
        <v>18</v>
      </c>
      <c r="F493" s="310">
        <v>22</v>
      </c>
      <c r="G493" s="310">
        <v>11</v>
      </c>
      <c r="H493" s="282">
        <v>33</v>
      </c>
      <c r="I493" s="310"/>
      <c r="J493" s="282"/>
      <c r="K493" s="310"/>
      <c r="L493" s="282"/>
      <c r="M493" s="310">
        <v>1</v>
      </c>
      <c r="N493" s="282">
        <v>1</v>
      </c>
      <c r="O493" s="300">
        <v>28</v>
      </c>
      <c r="P493" s="300">
        <v>24</v>
      </c>
      <c r="Q493" s="300">
        <v>52</v>
      </c>
    </row>
    <row r="494" spans="2:17" x14ac:dyDescent="0.25">
      <c r="B494" s="255" t="s">
        <v>482</v>
      </c>
      <c r="C494" s="310">
        <v>6</v>
      </c>
      <c r="D494" s="310">
        <v>6</v>
      </c>
      <c r="E494" s="310">
        <v>12</v>
      </c>
      <c r="F494" s="310">
        <v>9</v>
      </c>
      <c r="G494" s="310">
        <v>9</v>
      </c>
      <c r="H494" s="282">
        <v>18</v>
      </c>
      <c r="I494" s="310"/>
      <c r="J494" s="282">
        <v>1</v>
      </c>
      <c r="K494" s="310">
        <v>1</v>
      </c>
      <c r="L494" s="282"/>
      <c r="M494" s="310">
        <v>2</v>
      </c>
      <c r="N494" s="282">
        <v>2</v>
      </c>
      <c r="O494" s="300">
        <v>15</v>
      </c>
      <c r="P494" s="300">
        <v>18</v>
      </c>
      <c r="Q494" s="300">
        <v>33</v>
      </c>
    </row>
    <row r="495" spans="2:17" x14ac:dyDescent="0.25">
      <c r="B495" s="351" t="s">
        <v>35</v>
      </c>
      <c r="C495" s="302">
        <v>225</v>
      </c>
      <c r="D495" s="302">
        <v>230</v>
      </c>
      <c r="E495" s="302">
        <v>455</v>
      </c>
      <c r="F495" s="302">
        <v>491</v>
      </c>
      <c r="G495" s="302">
        <v>307</v>
      </c>
      <c r="H495" s="300">
        <v>798</v>
      </c>
      <c r="I495" s="302">
        <v>6</v>
      </c>
      <c r="J495" s="300">
        <v>8</v>
      </c>
      <c r="K495" s="302">
        <v>14</v>
      </c>
      <c r="L495" s="300">
        <v>21</v>
      </c>
      <c r="M495" s="302">
        <v>65</v>
      </c>
      <c r="N495" s="300">
        <v>86</v>
      </c>
      <c r="O495" s="300">
        <v>743</v>
      </c>
      <c r="P495" s="300">
        <v>610</v>
      </c>
      <c r="Q495" s="300">
        <v>1353</v>
      </c>
    </row>
    <row r="496" spans="2:17" ht="126.75" customHeight="1" x14ac:dyDescent="0.25">
      <c r="B496" s="469" t="s">
        <v>929</v>
      </c>
      <c r="C496" s="469"/>
      <c r="D496" s="469"/>
      <c r="E496" s="469"/>
      <c r="F496" s="469"/>
      <c r="G496" s="469"/>
      <c r="H496" s="469"/>
      <c r="I496" s="469"/>
      <c r="J496" s="469"/>
      <c r="K496" s="469"/>
      <c r="L496" s="469"/>
      <c r="M496" s="469"/>
      <c r="N496" s="469"/>
      <c r="O496" s="469"/>
      <c r="P496" s="469"/>
      <c r="Q496" s="469"/>
    </row>
  </sheetData>
  <mergeCells count="136">
    <mergeCell ref="B363:Q363"/>
    <mergeCell ref="B7:B9"/>
    <mergeCell ref="B34:B36"/>
    <mergeCell ref="B49:B51"/>
    <mergeCell ref="B193:B195"/>
    <mergeCell ref="B152:B154"/>
    <mergeCell ref="B106:B108"/>
    <mergeCell ref="B83:B85"/>
    <mergeCell ref="C49:N49"/>
    <mergeCell ref="C83:N83"/>
    <mergeCell ref="C152:N152"/>
    <mergeCell ref="B45:Q45"/>
    <mergeCell ref="O7:Q8"/>
    <mergeCell ref="C7:N7"/>
    <mergeCell ref="C8:E8"/>
    <mergeCell ref="F8:H8"/>
    <mergeCell ref="I8:K8"/>
    <mergeCell ref="L8:N8"/>
    <mergeCell ref="C34:N34"/>
    <mergeCell ref="O34:Q35"/>
    <mergeCell ref="C35:E35"/>
    <mergeCell ref="F35:H35"/>
    <mergeCell ref="I35:K35"/>
    <mergeCell ref="B436:Q436"/>
    <mergeCell ref="B496:Q496"/>
    <mergeCell ref="B350:B352"/>
    <mergeCell ref="B312:B314"/>
    <mergeCell ref="B272:B274"/>
    <mergeCell ref="B231:B233"/>
    <mergeCell ref="C231:N231"/>
    <mergeCell ref="C312:N312"/>
    <mergeCell ref="C367:N367"/>
    <mergeCell ref="C272:N272"/>
    <mergeCell ref="O272:Q273"/>
    <mergeCell ref="C273:E273"/>
    <mergeCell ref="F273:H273"/>
    <mergeCell ref="I273:K273"/>
    <mergeCell ref="L273:N273"/>
    <mergeCell ref="B268:Q268"/>
    <mergeCell ref="O312:Q313"/>
    <mergeCell ref="C313:E313"/>
    <mergeCell ref="F313:H313"/>
    <mergeCell ref="I313:K313"/>
    <mergeCell ref="L313:N313"/>
    <mergeCell ref="C350:N350"/>
    <mergeCell ref="O350:Q351"/>
    <mergeCell ref="C351:E351"/>
    <mergeCell ref="L35:N35"/>
    <mergeCell ref="B27:Q27"/>
    <mergeCell ref="O49:Q50"/>
    <mergeCell ref="C50:E50"/>
    <mergeCell ref="F50:H50"/>
    <mergeCell ref="I50:K50"/>
    <mergeCell ref="L50:N50"/>
    <mergeCell ref="C66:N66"/>
    <mergeCell ref="O66:Q67"/>
    <mergeCell ref="C67:E67"/>
    <mergeCell ref="F67:H67"/>
    <mergeCell ref="I67:K67"/>
    <mergeCell ref="L67:N67"/>
    <mergeCell ref="B62:Q62"/>
    <mergeCell ref="B66:B68"/>
    <mergeCell ref="O83:Q84"/>
    <mergeCell ref="C84:E84"/>
    <mergeCell ref="F84:H84"/>
    <mergeCell ref="I84:K84"/>
    <mergeCell ref="L84:N84"/>
    <mergeCell ref="B79:Q79"/>
    <mergeCell ref="C106:N106"/>
    <mergeCell ref="O106:Q107"/>
    <mergeCell ref="C107:E107"/>
    <mergeCell ref="F107:H107"/>
    <mergeCell ref="I107:K107"/>
    <mergeCell ref="L107:N107"/>
    <mergeCell ref="B102:Q102"/>
    <mergeCell ref="O152:Q153"/>
    <mergeCell ref="C153:E153"/>
    <mergeCell ref="F153:H153"/>
    <mergeCell ref="I153:K153"/>
    <mergeCell ref="L153:N153"/>
    <mergeCell ref="B148:Q148"/>
    <mergeCell ref="C193:N193"/>
    <mergeCell ref="O193:Q194"/>
    <mergeCell ref="C194:E194"/>
    <mergeCell ref="F194:H194"/>
    <mergeCell ref="I194:K194"/>
    <mergeCell ref="L194:N194"/>
    <mergeCell ref="B189:Q189"/>
    <mergeCell ref="O231:Q232"/>
    <mergeCell ref="C232:E232"/>
    <mergeCell ref="F232:H232"/>
    <mergeCell ref="I232:K232"/>
    <mergeCell ref="L232:N232"/>
    <mergeCell ref="B227:Q227"/>
    <mergeCell ref="F351:H351"/>
    <mergeCell ref="I351:K351"/>
    <mergeCell ref="L351:N351"/>
    <mergeCell ref="B346:Q346"/>
    <mergeCell ref="B308:Q308"/>
    <mergeCell ref="O367:Q368"/>
    <mergeCell ref="C368:E368"/>
    <mergeCell ref="F368:H368"/>
    <mergeCell ref="I368:K368"/>
    <mergeCell ref="L368:N368"/>
    <mergeCell ref="C380:N380"/>
    <mergeCell ref="O380:Q381"/>
    <mergeCell ref="C381:E381"/>
    <mergeCell ref="F381:H381"/>
    <mergeCell ref="I381:K381"/>
    <mergeCell ref="L381:N381"/>
    <mergeCell ref="B376:Q376"/>
    <mergeCell ref="B380:B382"/>
    <mergeCell ref="B367:B369"/>
    <mergeCell ref="O471:Q472"/>
    <mergeCell ref="C472:E472"/>
    <mergeCell ref="F472:H472"/>
    <mergeCell ref="I472:K472"/>
    <mergeCell ref="L472:N472"/>
    <mergeCell ref="C440:N440"/>
    <mergeCell ref="O440:Q441"/>
    <mergeCell ref="C441:E441"/>
    <mergeCell ref="F441:H441"/>
    <mergeCell ref="I441:K441"/>
    <mergeCell ref="L441:N441"/>
    <mergeCell ref="C460:N460"/>
    <mergeCell ref="O460:Q461"/>
    <mergeCell ref="C461:E461"/>
    <mergeCell ref="F461:H461"/>
    <mergeCell ref="I461:K461"/>
    <mergeCell ref="L461:N461"/>
    <mergeCell ref="B456:Q456"/>
    <mergeCell ref="B467:Q467"/>
    <mergeCell ref="B471:B473"/>
    <mergeCell ref="B460:B462"/>
    <mergeCell ref="B440:B442"/>
    <mergeCell ref="C471:N47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W232"/>
  <sheetViews>
    <sheetView showGridLines="0" topLeftCell="A5" workbookViewId="0">
      <selection activeCell="B208" sqref="B208"/>
    </sheetView>
  </sheetViews>
  <sheetFormatPr baseColWidth="10" defaultColWidth="11.5703125" defaultRowHeight="15" outlineLevelRow="1" x14ac:dyDescent="0.25"/>
  <cols>
    <col min="1" max="1" width="8.140625" style="21" customWidth="1"/>
    <col min="2" max="2" width="25.140625" style="21" customWidth="1"/>
    <col min="3" max="4" width="11.5703125" style="21"/>
    <col min="5" max="5" width="13.5703125" style="21" bestFit="1" customWidth="1"/>
    <col min="6" max="6" width="13" style="21" customWidth="1"/>
    <col min="7" max="7" width="11.5703125" style="21"/>
    <col min="8" max="8" width="13.5703125" style="21" bestFit="1" customWidth="1"/>
    <col min="9" max="9" width="13.140625" style="21" customWidth="1"/>
    <col min="10" max="10" width="11.7109375" style="21" customWidth="1"/>
    <col min="11" max="11" width="12.42578125" style="21" customWidth="1"/>
    <col min="12" max="12" width="12" style="21" customWidth="1"/>
    <col min="13" max="16384" width="11.5703125" style="21"/>
  </cols>
  <sheetData>
    <row r="2" spans="2:20" ht="23.25" x14ac:dyDescent="0.25">
      <c r="B2" s="1" t="s">
        <v>793</v>
      </c>
    </row>
    <row r="3" spans="2:20" ht="23.25" x14ac:dyDescent="0.25">
      <c r="B3" s="1"/>
    </row>
    <row r="4" spans="2:20" ht="18.75" x14ac:dyDescent="0.3">
      <c r="B4" s="501" t="s">
        <v>920</v>
      </c>
      <c r="C4" s="501"/>
      <c r="D4" s="501"/>
      <c r="E4" s="501"/>
      <c r="F4" s="501"/>
      <c r="G4" s="501"/>
      <c r="H4" s="501"/>
    </row>
    <row r="5" spans="2:20" x14ac:dyDescent="0.25">
      <c r="B5" s="492" t="s">
        <v>867</v>
      </c>
      <c r="C5" s="492"/>
      <c r="D5" s="492"/>
      <c r="E5" s="492"/>
      <c r="F5" s="492"/>
      <c r="G5" s="492"/>
      <c r="H5" s="492"/>
    </row>
    <row r="6" spans="2:20" x14ac:dyDescent="0.25">
      <c r="B6" s="3"/>
      <c r="C6" s="3"/>
      <c r="D6" s="3"/>
      <c r="E6" s="3"/>
      <c r="F6" s="3"/>
      <c r="G6" s="3"/>
      <c r="H6" s="3"/>
      <c r="I6" s="3"/>
    </row>
    <row r="7" spans="2:20" x14ac:dyDescent="0.25">
      <c r="B7" s="479" t="s">
        <v>888</v>
      </c>
      <c r="C7" s="479"/>
      <c r="D7" s="479"/>
      <c r="E7" s="479"/>
      <c r="F7" s="479" t="s">
        <v>488</v>
      </c>
      <c r="G7" s="479"/>
      <c r="H7" s="479"/>
      <c r="I7" s="479"/>
      <c r="J7" s="479"/>
      <c r="K7" s="479"/>
      <c r="L7" s="479"/>
      <c r="M7" s="479"/>
      <c r="N7" s="479"/>
      <c r="O7" s="479"/>
      <c r="P7" s="479"/>
      <c r="Q7" s="479"/>
      <c r="R7" s="499" t="s">
        <v>35</v>
      </c>
      <c r="S7" s="499"/>
      <c r="T7" s="499"/>
    </row>
    <row r="8" spans="2:20" x14ac:dyDescent="0.25">
      <c r="B8" s="479"/>
      <c r="C8" s="479"/>
      <c r="D8" s="479"/>
      <c r="E8" s="479"/>
      <c r="F8" s="500" t="s">
        <v>707</v>
      </c>
      <c r="G8" s="500"/>
      <c r="H8" s="500"/>
      <c r="I8" s="500" t="s">
        <v>497</v>
      </c>
      <c r="J8" s="500"/>
      <c r="K8" s="500"/>
      <c r="L8" s="500" t="s">
        <v>4</v>
      </c>
      <c r="M8" s="500"/>
      <c r="N8" s="500"/>
      <c r="O8" s="500" t="s">
        <v>6</v>
      </c>
      <c r="P8" s="500"/>
      <c r="Q8" s="500"/>
      <c r="R8" s="499"/>
      <c r="S8" s="499"/>
      <c r="T8" s="499"/>
    </row>
    <row r="9" spans="2:20" x14ac:dyDescent="0.25">
      <c r="B9" s="479"/>
      <c r="C9" s="479"/>
      <c r="D9" s="479"/>
      <c r="E9" s="479"/>
      <c r="F9" s="258" t="s">
        <v>83</v>
      </c>
      <c r="G9" s="258" t="s">
        <v>84</v>
      </c>
      <c r="H9" s="258" t="s">
        <v>35</v>
      </c>
      <c r="I9" s="258" t="s">
        <v>83</v>
      </c>
      <c r="J9" s="258" t="s">
        <v>84</v>
      </c>
      <c r="K9" s="258" t="s">
        <v>35</v>
      </c>
      <c r="L9" s="258" t="s">
        <v>83</v>
      </c>
      <c r="M9" s="258" t="s">
        <v>84</v>
      </c>
      <c r="N9" s="258" t="s">
        <v>35</v>
      </c>
      <c r="O9" s="258" t="s">
        <v>83</v>
      </c>
      <c r="P9" s="258" t="s">
        <v>84</v>
      </c>
      <c r="Q9" s="258" t="s">
        <v>35</v>
      </c>
      <c r="R9" s="364" t="s">
        <v>83</v>
      </c>
      <c r="S9" s="364" t="s">
        <v>84</v>
      </c>
      <c r="T9" s="364" t="s">
        <v>35</v>
      </c>
    </row>
    <row r="10" spans="2:20" x14ac:dyDescent="0.25">
      <c r="B10" s="495" t="s">
        <v>897</v>
      </c>
      <c r="C10" s="495"/>
      <c r="D10" s="495"/>
      <c r="E10" s="495"/>
      <c r="F10" s="368"/>
      <c r="G10" s="369"/>
      <c r="H10" s="369"/>
      <c r="I10" s="369"/>
      <c r="J10" s="369"/>
      <c r="K10" s="369"/>
      <c r="L10" s="369"/>
      <c r="M10" s="369"/>
      <c r="N10" s="369"/>
      <c r="O10" s="369">
        <v>89</v>
      </c>
      <c r="P10" s="369">
        <v>8</v>
      </c>
      <c r="Q10" s="369">
        <v>97</v>
      </c>
      <c r="R10" s="370">
        <v>89</v>
      </c>
      <c r="S10" s="370">
        <v>8</v>
      </c>
      <c r="T10" s="370">
        <v>97</v>
      </c>
    </row>
    <row r="11" spans="2:20" x14ac:dyDescent="0.25">
      <c r="B11" s="495" t="s">
        <v>898</v>
      </c>
      <c r="C11" s="495"/>
      <c r="D11" s="495"/>
      <c r="E11" s="495"/>
      <c r="F11" s="369"/>
      <c r="G11" s="369"/>
      <c r="H11" s="369"/>
      <c r="I11" s="369">
        <v>4</v>
      </c>
      <c r="J11" s="369">
        <v>10</v>
      </c>
      <c r="K11" s="369">
        <v>14</v>
      </c>
      <c r="L11" s="369"/>
      <c r="M11" s="369"/>
      <c r="N11" s="369"/>
      <c r="O11" s="369"/>
      <c r="P11" s="369"/>
      <c r="Q11" s="369"/>
      <c r="R11" s="370">
        <v>4</v>
      </c>
      <c r="S11" s="370">
        <v>10</v>
      </c>
      <c r="T11" s="370">
        <v>14</v>
      </c>
    </row>
    <row r="12" spans="2:20" ht="32.25" customHeight="1" x14ac:dyDescent="0.25">
      <c r="B12" s="495" t="s">
        <v>899</v>
      </c>
      <c r="C12" s="495"/>
      <c r="D12" s="495"/>
      <c r="E12" s="495"/>
      <c r="F12" s="369">
        <v>4</v>
      </c>
      <c r="G12" s="369">
        <v>2</v>
      </c>
      <c r="H12" s="369">
        <v>6</v>
      </c>
      <c r="I12" s="369">
        <v>3</v>
      </c>
      <c r="J12" s="369">
        <v>4</v>
      </c>
      <c r="K12" s="369">
        <v>7</v>
      </c>
      <c r="L12" s="369"/>
      <c r="M12" s="369"/>
      <c r="N12" s="369"/>
      <c r="O12" s="369"/>
      <c r="P12" s="369"/>
      <c r="Q12" s="369"/>
      <c r="R12" s="370">
        <v>7</v>
      </c>
      <c r="S12" s="370">
        <v>6</v>
      </c>
      <c r="T12" s="370">
        <v>13</v>
      </c>
    </row>
    <row r="13" spans="2:20" ht="30" customHeight="1" x14ac:dyDescent="0.25">
      <c r="B13" s="495" t="s">
        <v>900</v>
      </c>
      <c r="C13" s="495"/>
      <c r="D13" s="495"/>
      <c r="E13" s="495"/>
      <c r="F13" s="369"/>
      <c r="G13" s="369"/>
      <c r="H13" s="369"/>
      <c r="I13" s="369"/>
      <c r="J13" s="369"/>
      <c r="K13" s="369"/>
      <c r="L13" s="369">
        <v>1</v>
      </c>
      <c r="M13" s="369">
        <v>1</v>
      </c>
      <c r="N13" s="369">
        <v>2</v>
      </c>
      <c r="O13" s="369"/>
      <c r="P13" s="369">
        <v>1</v>
      </c>
      <c r="Q13" s="369">
        <v>1</v>
      </c>
      <c r="R13" s="370">
        <v>1</v>
      </c>
      <c r="S13" s="370">
        <v>2</v>
      </c>
      <c r="T13" s="370">
        <v>3</v>
      </c>
    </row>
    <row r="14" spans="2:20" x14ac:dyDescent="0.25">
      <c r="B14" s="495" t="s">
        <v>901</v>
      </c>
      <c r="C14" s="495"/>
      <c r="D14" s="495"/>
      <c r="E14" s="495"/>
      <c r="F14" s="369"/>
      <c r="G14" s="369"/>
      <c r="H14" s="369"/>
      <c r="I14" s="369">
        <v>7</v>
      </c>
      <c r="J14" s="369">
        <v>4</v>
      </c>
      <c r="K14" s="369">
        <v>11</v>
      </c>
      <c r="L14" s="369">
        <v>11</v>
      </c>
      <c r="M14" s="369">
        <v>5</v>
      </c>
      <c r="N14" s="369">
        <v>16</v>
      </c>
      <c r="O14" s="369">
        <v>4</v>
      </c>
      <c r="P14" s="369">
        <v>13</v>
      </c>
      <c r="Q14" s="369">
        <v>17</v>
      </c>
      <c r="R14" s="370">
        <v>22</v>
      </c>
      <c r="S14" s="370">
        <v>22</v>
      </c>
      <c r="T14" s="370">
        <v>44</v>
      </c>
    </row>
    <row r="15" spans="2:20" x14ac:dyDescent="0.25">
      <c r="B15" s="495" t="s">
        <v>902</v>
      </c>
      <c r="C15" s="495"/>
      <c r="D15" s="495"/>
      <c r="E15" s="495"/>
      <c r="F15" s="369">
        <v>3</v>
      </c>
      <c r="G15" s="369">
        <v>3</v>
      </c>
      <c r="H15" s="369">
        <v>6</v>
      </c>
      <c r="I15" s="369">
        <v>15</v>
      </c>
      <c r="J15" s="369">
        <v>15</v>
      </c>
      <c r="K15" s="369">
        <v>30</v>
      </c>
      <c r="L15" s="369">
        <v>5</v>
      </c>
      <c r="M15" s="369">
        <v>1</v>
      </c>
      <c r="N15" s="369">
        <v>6</v>
      </c>
      <c r="O15" s="369"/>
      <c r="P15" s="369"/>
      <c r="Q15" s="369"/>
      <c r="R15" s="370">
        <v>23</v>
      </c>
      <c r="S15" s="370">
        <v>19</v>
      </c>
      <c r="T15" s="370">
        <v>42</v>
      </c>
    </row>
    <row r="16" spans="2:20" x14ac:dyDescent="0.25">
      <c r="B16" s="495" t="s">
        <v>903</v>
      </c>
      <c r="C16" s="495"/>
      <c r="D16" s="495"/>
      <c r="E16" s="495"/>
      <c r="F16" s="369"/>
      <c r="G16" s="369"/>
      <c r="H16" s="369"/>
      <c r="I16" s="369"/>
      <c r="J16" s="369">
        <v>2</v>
      </c>
      <c r="K16" s="369">
        <v>2</v>
      </c>
      <c r="L16" s="369"/>
      <c r="M16" s="369"/>
      <c r="N16" s="369"/>
      <c r="O16" s="369">
        <v>18</v>
      </c>
      <c r="P16" s="369">
        <v>23</v>
      </c>
      <c r="Q16" s="369">
        <v>41</v>
      </c>
      <c r="R16" s="370">
        <v>18</v>
      </c>
      <c r="S16" s="370">
        <v>25</v>
      </c>
      <c r="T16" s="370">
        <v>43</v>
      </c>
    </row>
    <row r="17" spans="2:20" x14ac:dyDescent="0.25">
      <c r="B17" s="495" t="s">
        <v>904</v>
      </c>
      <c r="C17" s="495"/>
      <c r="D17" s="495"/>
      <c r="E17" s="495"/>
      <c r="F17" s="369"/>
      <c r="G17" s="369"/>
      <c r="H17" s="369"/>
      <c r="I17" s="369"/>
      <c r="J17" s="369"/>
      <c r="K17" s="369"/>
      <c r="L17" s="369">
        <v>3</v>
      </c>
      <c r="M17" s="369"/>
      <c r="N17" s="369">
        <v>3</v>
      </c>
      <c r="O17" s="369"/>
      <c r="P17" s="369"/>
      <c r="Q17" s="369"/>
      <c r="R17" s="370">
        <v>3</v>
      </c>
      <c r="S17" s="370"/>
      <c r="T17" s="370">
        <v>3</v>
      </c>
    </row>
    <row r="18" spans="2:20" ht="30" customHeight="1" x14ac:dyDescent="0.25">
      <c r="B18" s="495" t="s">
        <v>905</v>
      </c>
      <c r="C18" s="495"/>
      <c r="D18" s="495"/>
      <c r="E18" s="495"/>
      <c r="F18" s="369"/>
      <c r="G18" s="369">
        <v>6</v>
      </c>
      <c r="H18" s="369">
        <v>6</v>
      </c>
      <c r="I18" s="369">
        <v>11</v>
      </c>
      <c r="J18" s="369">
        <v>40</v>
      </c>
      <c r="K18" s="369">
        <v>51</v>
      </c>
      <c r="L18" s="369"/>
      <c r="M18" s="369"/>
      <c r="N18" s="369"/>
      <c r="O18" s="369">
        <v>3</v>
      </c>
      <c r="P18" s="369">
        <v>16</v>
      </c>
      <c r="Q18" s="369">
        <v>19</v>
      </c>
      <c r="R18" s="370">
        <v>14</v>
      </c>
      <c r="S18" s="370">
        <v>62</v>
      </c>
      <c r="T18" s="370">
        <v>76</v>
      </c>
    </row>
    <row r="19" spans="2:20" ht="30" customHeight="1" x14ac:dyDescent="0.25">
      <c r="B19" s="495" t="s">
        <v>906</v>
      </c>
      <c r="C19" s="495"/>
      <c r="D19" s="495"/>
      <c r="E19" s="495"/>
      <c r="F19" s="369"/>
      <c r="G19" s="369"/>
      <c r="H19" s="369"/>
      <c r="I19" s="369"/>
      <c r="J19" s="369"/>
      <c r="K19" s="369"/>
      <c r="L19" s="369"/>
      <c r="M19" s="369"/>
      <c r="N19" s="369"/>
      <c r="O19" s="369">
        <v>18</v>
      </c>
      <c r="P19" s="369">
        <v>68</v>
      </c>
      <c r="Q19" s="369">
        <v>86</v>
      </c>
      <c r="R19" s="370">
        <v>18</v>
      </c>
      <c r="S19" s="370">
        <v>68</v>
      </c>
      <c r="T19" s="370">
        <v>86</v>
      </c>
    </row>
    <row r="20" spans="2:20" ht="30" customHeight="1" x14ac:dyDescent="0.25">
      <c r="B20" s="495" t="s">
        <v>907</v>
      </c>
      <c r="C20" s="495"/>
      <c r="D20" s="495"/>
      <c r="E20" s="495"/>
      <c r="F20" s="369"/>
      <c r="G20" s="369"/>
      <c r="H20" s="369"/>
      <c r="I20" s="369">
        <v>3</v>
      </c>
      <c r="J20" s="369"/>
      <c r="K20" s="369">
        <v>3</v>
      </c>
      <c r="L20" s="369"/>
      <c r="M20" s="369"/>
      <c r="N20" s="369"/>
      <c r="O20" s="369"/>
      <c r="P20" s="369"/>
      <c r="Q20" s="369"/>
      <c r="R20" s="370">
        <v>3</v>
      </c>
      <c r="S20" s="370"/>
      <c r="T20" s="370">
        <v>3</v>
      </c>
    </row>
    <row r="21" spans="2:20" x14ac:dyDescent="0.25">
      <c r="B21" s="495" t="s">
        <v>908</v>
      </c>
      <c r="C21" s="495"/>
      <c r="D21" s="495"/>
      <c r="E21" s="495"/>
      <c r="F21" s="369"/>
      <c r="G21" s="369"/>
      <c r="H21" s="369"/>
      <c r="I21" s="369">
        <v>5</v>
      </c>
      <c r="J21" s="369">
        <v>2</v>
      </c>
      <c r="K21" s="369">
        <v>7</v>
      </c>
      <c r="L21" s="369"/>
      <c r="M21" s="369"/>
      <c r="N21" s="369"/>
      <c r="O21" s="369"/>
      <c r="P21" s="369"/>
      <c r="Q21" s="369"/>
      <c r="R21" s="370">
        <v>5</v>
      </c>
      <c r="S21" s="370">
        <v>2</v>
      </c>
      <c r="T21" s="370">
        <v>7</v>
      </c>
    </row>
    <row r="22" spans="2:20" x14ac:dyDescent="0.25">
      <c r="B22" s="495" t="s">
        <v>909</v>
      </c>
      <c r="C22" s="495"/>
      <c r="D22" s="495"/>
      <c r="E22" s="495"/>
      <c r="F22" s="369"/>
      <c r="G22" s="369"/>
      <c r="H22" s="369"/>
      <c r="I22" s="369"/>
      <c r="J22" s="369">
        <v>2</v>
      </c>
      <c r="K22" s="369">
        <v>2</v>
      </c>
      <c r="L22" s="369"/>
      <c r="M22" s="369"/>
      <c r="N22" s="369"/>
      <c r="O22" s="369"/>
      <c r="P22" s="369"/>
      <c r="Q22" s="369"/>
      <c r="R22" s="370"/>
      <c r="S22" s="370">
        <v>2</v>
      </c>
      <c r="T22" s="370">
        <v>2</v>
      </c>
    </row>
    <row r="23" spans="2:20" x14ac:dyDescent="0.25">
      <c r="B23" s="495" t="s">
        <v>910</v>
      </c>
      <c r="C23" s="495"/>
      <c r="D23" s="495"/>
      <c r="E23" s="495"/>
      <c r="F23" s="369">
        <v>2</v>
      </c>
      <c r="G23" s="369">
        <v>1</v>
      </c>
      <c r="H23" s="369">
        <v>3</v>
      </c>
      <c r="I23" s="369"/>
      <c r="J23" s="369"/>
      <c r="K23" s="369"/>
      <c r="L23" s="369"/>
      <c r="M23" s="369"/>
      <c r="N23" s="369"/>
      <c r="O23" s="369"/>
      <c r="P23" s="369"/>
      <c r="Q23" s="369"/>
      <c r="R23" s="370">
        <v>2</v>
      </c>
      <c r="S23" s="370">
        <v>1</v>
      </c>
      <c r="T23" s="370">
        <v>3</v>
      </c>
    </row>
    <row r="24" spans="2:20" ht="30" customHeight="1" x14ac:dyDescent="0.25">
      <c r="B24" s="495" t="s">
        <v>911</v>
      </c>
      <c r="C24" s="495"/>
      <c r="D24" s="495"/>
      <c r="E24" s="495"/>
      <c r="F24" s="369"/>
      <c r="G24" s="369"/>
      <c r="H24" s="369"/>
      <c r="I24" s="369">
        <v>1</v>
      </c>
      <c r="J24" s="369"/>
      <c r="K24" s="369">
        <v>1</v>
      </c>
      <c r="L24" s="369"/>
      <c r="M24" s="369"/>
      <c r="N24" s="369"/>
      <c r="O24" s="369">
        <v>2</v>
      </c>
      <c r="P24" s="369"/>
      <c r="Q24" s="369">
        <v>2</v>
      </c>
      <c r="R24" s="370">
        <v>3</v>
      </c>
      <c r="S24" s="370"/>
      <c r="T24" s="370">
        <v>3</v>
      </c>
    </row>
    <row r="25" spans="2:20" x14ac:dyDescent="0.25">
      <c r="B25" s="495" t="s">
        <v>912</v>
      </c>
      <c r="C25" s="495"/>
      <c r="D25" s="495"/>
      <c r="E25" s="495"/>
      <c r="F25" s="369"/>
      <c r="G25" s="369"/>
      <c r="H25" s="369"/>
      <c r="I25" s="369"/>
      <c r="J25" s="369"/>
      <c r="K25" s="369"/>
      <c r="L25" s="369"/>
      <c r="M25" s="369"/>
      <c r="N25" s="369"/>
      <c r="O25" s="369">
        <v>1</v>
      </c>
      <c r="P25" s="369"/>
      <c r="Q25" s="369">
        <v>1</v>
      </c>
      <c r="R25" s="370">
        <v>1</v>
      </c>
      <c r="S25" s="370"/>
      <c r="T25" s="370">
        <v>1</v>
      </c>
    </row>
    <row r="26" spans="2:20" x14ac:dyDescent="0.25">
      <c r="B26" s="495" t="s">
        <v>913</v>
      </c>
      <c r="C26" s="495"/>
      <c r="D26" s="495"/>
      <c r="E26" s="495"/>
      <c r="F26" s="369">
        <v>1</v>
      </c>
      <c r="G26" s="369">
        <v>4</v>
      </c>
      <c r="H26" s="369">
        <v>5</v>
      </c>
      <c r="I26" s="369">
        <v>5</v>
      </c>
      <c r="J26" s="369">
        <v>18</v>
      </c>
      <c r="K26" s="369">
        <v>23</v>
      </c>
      <c r="L26" s="369"/>
      <c r="M26" s="369"/>
      <c r="N26" s="369"/>
      <c r="O26" s="369"/>
      <c r="P26" s="369"/>
      <c r="Q26" s="369"/>
      <c r="R26" s="370">
        <v>6</v>
      </c>
      <c r="S26" s="370">
        <v>22</v>
      </c>
      <c r="T26" s="370">
        <v>28</v>
      </c>
    </row>
    <row r="27" spans="2:20" x14ac:dyDescent="0.25">
      <c r="B27" s="495" t="s">
        <v>914</v>
      </c>
      <c r="C27" s="495"/>
      <c r="D27" s="495"/>
      <c r="E27" s="495"/>
      <c r="F27" s="369"/>
      <c r="G27" s="369"/>
      <c r="H27" s="369"/>
      <c r="I27" s="369"/>
      <c r="J27" s="369"/>
      <c r="K27" s="369"/>
      <c r="L27" s="369"/>
      <c r="M27" s="369"/>
      <c r="N27" s="369"/>
      <c r="O27" s="369">
        <v>5</v>
      </c>
      <c r="P27" s="369">
        <v>2</v>
      </c>
      <c r="Q27" s="369">
        <v>7</v>
      </c>
      <c r="R27" s="370">
        <v>5</v>
      </c>
      <c r="S27" s="370">
        <v>2</v>
      </c>
      <c r="T27" s="370">
        <v>7</v>
      </c>
    </row>
    <row r="28" spans="2:20" x14ac:dyDescent="0.25">
      <c r="B28" s="496" t="s">
        <v>35</v>
      </c>
      <c r="C28" s="497"/>
      <c r="D28" s="497"/>
      <c r="E28" s="498"/>
      <c r="F28" s="367">
        <v>10</v>
      </c>
      <c r="G28" s="367">
        <v>16</v>
      </c>
      <c r="H28" s="367">
        <v>26</v>
      </c>
      <c r="I28" s="367">
        <v>54</v>
      </c>
      <c r="J28" s="367">
        <v>97</v>
      </c>
      <c r="K28" s="367">
        <v>151</v>
      </c>
      <c r="L28" s="367">
        <v>20</v>
      </c>
      <c r="M28" s="367">
        <v>7</v>
      </c>
      <c r="N28" s="367">
        <v>27</v>
      </c>
      <c r="O28" s="367">
        <v>140</v>
      </c>
      <c r="P28" s="367">
        <v>131</v>
      </c>
      <c r="Q28" s="367">
        <v>271</v>
      </c>
      <c r="R28" s="367">
        <v>224</v>
      </c>
      <c r="S28" s="367">
        <v>251</v>
      </c>
      <c r="T28" s="367">
        <v>475</v>
      </c>
    </row>
    <row r="29" spans="2:20" ht="113.25" customHeight="1" x14ac:dyDescent="0.25">
      <c r="B29" s="471" t="s">
        <v>928</v>
      </c>
      <c r="C29" s="471"/>
      <c r="D29" s="471"/>
      <c r="E29" s="471"/>
      <c r="F29" s="471"/>
      <c r="G29" s="471"/>
      <c r="H29" s="471"/>
      <c r="I29" s="471"/>
      <c r="J29" s="471"/>
      <c r="K29" s="471"/>
      <c r="L29" s="471"/>
      <c r="M29" s="471"/>
      <c r="N29" s="471"/>
      <c r="O29" s="471"/>
      <c r="P29" s="471"/>
      <c r="Q29" s="471"/>
      <c r="R29" s="471"/>
      <c r="S29" s="471"/>
      <c r="T29" s="471"/>
    </row>
    <row r="31" spans="2:20" ht="18.75" x14ac:dyDescent="0.3">
      <c r="B31" s="501" t="s">
        <v>921</v>
      </c>
      <c r="C31" s="501"/>
      <c r="D31" s="501"/>
      <c r="E31" s="501"/>
      <c r="F31" s="501"/>
      <c r="G31" s="501"/>
      <c r="H31" s="501"/>
    </row>
    <row r="32" spans="2:20" x14ac:dyDescent="0.25">
      <c r="B32" s="492" t="s">
        <v>872</v>
      </c>
      <c r="C32" s="492"/>
      <c r="D32" s="492"/>
      <c r="E32" s="492"/>
      <c r="F32" s="492"/>
      <c r="G32" s="492"/>
      <c r="H32" s="492"/>
    </row>
    <row r="33" spans="2:23" x14ac:dyDescent="0.25">
      <c r="B33" s="3"/>
      <c r="C33" s="3"/>
      <c r="D33" s="3"/>
      <c r="E33" s="3"/>
      <c r="F33" s="3"/>
      <c r="G33" s="3"/>
      <c r="H33" s="3"/>
    </row>
    <row r="34" spans="2:23" x14ac:dyDescent="0.25">
      <c r="B34" s="475" t="s">
        <v>483</v>
      </c>
      <c r="C34" s="472" t="s">
        <v>488</v>
      </c>
      <c r="D34" s="473"/>
      <c r="E34" s="473"/>
      <c r="F34" s="473"/>
      <c r="G34" s="473"/>
      <c r="H34" s="473"/>
      <c r="I34" s="473"/>
      <c r="J34" s="473"/>
      <c r="K34" s="473"/>
      <c r="L34" s="473"/>
      <c r="M34" s="473"/>
      <c r="N34" s="473"/>
      <c r="O34" s="473"/>
      <c r="P34" s="473"/>
      <c r="Q34" s="473"/>
      <c r="R34" s="473"/>
      <c r="S34" s="473"/>
      <c r="T34" s="474"/>
      <c r="U34" s="464" t="s">
        <v>487</v>
      </c>
      <c r="V34" s="464"/>
      <c r="W34" s="464"/>
    </row>
    <row r="35" spans="2:23" x14ac:dyDescent="0.25">
      <c r="B35" s="475"/>
      <c r="C35" s="465" t="s">
        <v>707</v>
      </c>
      <c r="D35" s="465"/>
      <c r="E35" s="465"/>
      <c r="F35" s="465" t="s">
        <v>497</v>
      </c>
      <c r="G35" s="465"/>
      <c r="H35" s="465"/>
      <c r="I35" s="465" t="s">
        <v>3</v>
      </c>
      <c r="J35" s="465"/>
      <c r="K35" s="465"/>
      <c r="L35" s="465" t="s">
        <v>4</v>
      </c>
      <c r="M35" s="465"/>
      <c r="N35" s="465"/>
      <c r="O35" s="465" t="s">
        <v>5</v>
      </c>
      <c r="P35" s="465"/>
      <c r="Q35" s="465"/>
      <c r="R35" s="465" t="s">
        <v>6</v>
      </c>
      <c r="S35" s="465"/>
      <c r="T35" s="465"/>
      <c r="U35" s="464"/>
      <c r="V35" s="464"/>
      <c r="W35" s="464"/>
    </row>
    <row r="36" spans="2:23" x14ac:dyDescent="0.25">
      <c r="B36" s="475"/>
      <c r="C36" s="257" t="s">
        <v>83</v>
      </c>
      <c r="D36" s="257" t="s">
        <v>84</v>
      </c>
      <c r="E36" s="257" t="s">
        <v>35</v>
      </c>
      <c r="F36" s="257" t="s">
        <v>83</v>
      </c>
      <c r="G36" s="257" t="s">
        <v>84</v>
      </c>
      <c r="H36" s="257" t="s">
        <v>35</v>
      </c>
      <c r="I36" s="257" t="s">
        <v>83</v>
      </c>
      <c r="J36" s="257" t="s">
        <v>84</v>
      </c>
      <c r="K36" s="257" t="s">
        <v>35</v>
      </c>
      <c r="L36" s="257" t="s">
        <v>83</v>
      </c>
      <c r="M36" s="257" t="s">
        <v>84</v>
      </c>
      <c r="N36" s="257" t="s">
        <v>35</v>
      </c>
      <c r="O36" s="257" t="s">
        <v>83</v>
      </c>
      <c r="P36" s="257" t="s">
        <v>84</v>
      </c>
      <c r="Q36" s="257" t="s">
        <v>35</v>
      </c>
      <c r="R36" s="257" t="s">
        <v>83</v>
      </c>
      <c r="S36" s="257" t="s">
        <v>84</v>
      </c>
      <c r="T36" s="257" t="s">
        <v>35</v>
      </c>
      <c r="U36" s="374" t="s">
        <v>83</v>
      </c>
      <c r="V36" s="374" t="s">
        <v>84</v>
      </c>
      <c r="W36" s="374" t="s">
        <v>35</v>
      </c>
    </row>
    <row r="37" spans="2:23" hidden="1" outlineLevel="1" x14ac:dyDescent="0.25">
      <c r="B37" s="404">
        <v>39630</v>
      </c>
      <c r="C37" s="405"/>
      <c r="D37" s="405"/>
      <c r="E37" s="405"/>
      <c r="F37" s="405"/>
      <c r="G37" s="405"/>
      <c r="H37" s="405"/>
      <c r="I37" s="405">
        <v>207</v>
      </c>
      <c r="J37" s="405">
        <v>85</v>
      </c>
      <c r="K37" s="405">
        <v>292</v>
      </c>
      <c r="L37" s="405">
        <v>3765</v>
      </c>
      <c r="M37" s="405">
        <v>503</v>
      </c>
      <c r="N37" s="405">
        <v>4268</v>
      </c>
      <c r="O37" s="405">
        <v>647</v>
      </c>
      <c r="P37" s="405">
        <v>385</v>
      </c>
      <c r="Q37" s="405">
        <v>1032</v>
      </c>
      <c r="R37" s="405">
        <v>1050</v>
      </c>
      <c r="S37" s="405">
        <v>470</v>
      </c>
      <c r="T37" s="405">
        <v>1520</v>
      </c>
      <c r="U37" s="406">
        <v>5669</v>
      </c>
      <c r="V37" s="406">
        <v>1443</v>
      </c>
      <c r="W37" s="406">
        <v>7112</v>
      </c>
    </row>
    <row r="38" spans="2:23" hidden="1" outlineLevel="1" x14ac:dyDescent="0.25">
      <c r="B38" s="404">
        <v>39661</v>
      </c>
      <c r="C38" s="405"/>
      <c r="D38" s="405"/>
      <c r="E38" s="405"/>
      <c r="F38" s="405"/>
      <c r="G38" s="405"/>
      <c r="H38" s="405"/>
      <c r="I38" s="405">
        <v>151</v>
      </c>
      <c r="J38" s="405">
        <v>33</v>
      </c>
      <c r="K38" s="405">
        <v>184</v>
      </c>
      <c r="L38" s="405">
        <v>3018</v>
      </c>
      <c r="M38" s="405">
        <v>485</v>
      </c>
      <c r="N38" s="405">
        <v>3503</v>
      </c>
      <c r="O38" s="405">
        <v>302</v>
      </c>
      <c r="P38" s="405">
        <v>250</v>
      </c>
      <c r="Q38" s="405">
        <v>552</v>
      </c>
      <c r="R38" s="405">
        <v>813</v>
      </c>
      <c r="S38" s="405">
        <v>436</v>
      </c>
      <c r="T38" s="405">
        <v>1249</v>
      </c>
      <c r="U38" s="406">
        <v>4284</v>
      </c>
      <c r="V38" s="406">
        <v>1204</v>
      </c>
      <c r="W38" s="406">
        <v>5488</v>
      </c>
    </row>
    <row r="39" spans="2:23" hidden="1" outlineLevel="1" x14ac:dyDescent="0.25">
      <c r="B39" s="404">
        <v>39692</v>
      </c>
      <c r="C39" s="405"/>
      <c r="D39" s="405"/>
      <c r="E39" s="405"/>
      <c r="F39" s="405"/>
      <c r="G39" s="405"/>
      <c r="H39" s="405"/>
      <c r="I39" s="405">
        <v>70</v>
      </c>
      <c r="J39" s="405">
        <v>35</v>
      </c>
      <c r="K39" s="405">
        <v>105</v>
      </c>
      <c r="L39" s="405">
        <v>2097</v>
      </c>
      <c r="M39" s="405">
        <v>348</v>
      </c>
      <c r="N39" s="405">
        <v>2445</v>
      </c>
      <c r="O39" s="405">
        <v>282</v>
      </c>
      <c r="P39" s="405">
        <v>249</v>
      </c>
      <c r="Q39" s="405">
        <v>531</v>
      </c>
      <c r="R39" s="405">
        <v>447</v>
      </c>
      <c r="S39" s="405">
        <v>209</v>
      </c>
      <c r="T39" s="405">
        <v>656</v>
      </c>
      <c r="U39" s="406">
        <v>2896</v>
      </c>
      <c r="V39" s="406">
        <v>841</v>
      </c>
      <c r="W39" s="406">
        <v>3737</v>
      </c>
    </row>
    <row r="40" spans="2:23" hidden="1" outlineLevel="1" x14ac:dyDescent="0.25">
      <c r="B40" s="404">
        <v>39722</v>
      </c>
      <c r="C40" s="405"/>
      <c r="D40" s="405"/>
      <c r="E40" s="405"/>
      <c r="F40" s="405"/>
      <c r="G40" s="405"/>
      <c r="H40" s="405"/>
      <c r="I40" s="405">
        <v>84</v>
      </c>
      <c r="J40" s="405">
        <v>20</v>
      </c>
      <c r="K40" s="405">
        <v>104</v>
      </c>
      <c r="L40" s="405">
        <v>2204</v>
      </c>
      <c r="M40" s="405">
        <v>383</v>
      </c>
      <c r="N40" s="405">
        <v>2587</v>
      </c>
      <c r="O40" s="405">
        <v>237</v>
      </c>
      <c r="P40" s="405">
        <v>240</v>
      </c>
      <c r="Q40" s="405">
        <v>477</v>
      </c>
      <c r="R40" s="405">
        <v>243</v>
      </c>
      <c r="S40" s="405">
        <v>106</v>
      </c>
      <c r="T40" s="405">
        <v>349</v>
      </c>
      <c r="U40" s="406">
        <v>2768</v>
      </c>
      <c r="V40" s="406">
        <v>749</v>
      </c>
      <c r="W40" s="406">
        <v>3517</v>
      </c>
    </row>
    <row r="41" spans="2:23" hidden="1" outlineLevel="1" x14ac:dyDescent="0.25">
      <c r="B41" s="404">
        <v>39753</v>
      </c>
      <c r="C41" s="405"/>
      <c r="D41" s="405"/>
      <c r="E41" s="405"/>
      <c r="F41" s="405"/>
      <c r="G41" s="405"/>
      <c r="H41" s="405"/>
      <c r="I41" s="405">
        <v>37</v>
      </c>
      <c r="J41" s="405">
        <v>21</v>
      </c>
      <c r="K41" s="405">
        <v>58</v>
      </c>
      <c r="L41" s="405">
        <v>1225</v>
      </c>
      <c r="M41" s="405">
        <v>216</v>
      </c>
      <c r="N41" s="405">
        <v>1441</v>
      </c>
      <c r="O41" s="405">
        <v>156</v>
      </c>
      <c r="P41" s="405">
        <v>127</v>
      </c>
      <c r="Q41" s="405">
        <v>283</v>
      </c>
      <c r="R41" s="405">
        <v>226</v>
      </c>
      <c r="S41" s="405">
        <v>79</v>
      </c>
      <c r="T41" s="405">
        <v>305</v>
      </c>
      <c r="U41" s="406">
        <v>1644</v>
      </c>
      <c r="V41" s="406">
        <v>443</v>
      </c>
      <c r="W41" s="406">
        <v>2087</v>
      </c>
    </row>
    <row r="42" spans="2:23" hidden="1" outlineLevel="1" x14ac:dyDescent="0.25">
      <c r="B42" s="404">
        <v>39783</v>
      </c>
      <c r="C42" s="405"/>
      <c r="D42" s="405"/>
      <c r="E42" s="405"/>
      <c r="F42" s="405"/>
      <c r="G42" s="405"/>
      <c r="H42" s="405"/>
      <c r="I42" s="405">
        <v>11</v>
      </c>
      <c r="J42" s="405">
        <v>4</v>
      </c>
      <c r="K42" s="405">
        <v>15</v>
      </c>
      <c r="L42" s="405">
        <v>1150</v>
      </c>
      <c r="M42" s="405">
        <v>234</v>
      </c>
      <c r="N42" s="405">
        <v>1384</v>
      </c>
      <c r="O42" s="405">
        <v>178</v>
      </c>
      <c r="P42" s="405">
        <v>163</v>
      </c>
      <c r="Q42" s="405">
        <v>341</v>
      </c>
      <c r="R42" s="405">
        <v>204</v>
      </c>
      <c r="S42" s="405">
        <v>105</v>
      </c>
      <c r="T42" s="405">
        <v>309</v>
      </c>
      <c r="U42" s="406">
        <v>1543</v>
      </c>
      <c r="V42" s="406">
        <v>506</v>
      </c>
      <c r="W42" s="406">
        <v>2049</v>
      </c>
    </row>
    <row r="43" spans="2:23" collapsed="1" x14ac:dyDescent="0.25">
      <c r="B43" s="407" t="s">
        <v>749</v>
      </c>
      <c r="C43" s="408" t="s">
        <v>916</v>
      </c>
      <c r="D43" s="408" t="s">
        <v>916</v>
      </c>
      <c r="E43" s="408" t="s">
        <v>916</v>
      </c>
      <c r="F43" s="408" t="s">
        <v>916</v>
      </c>
      <c r="G43" s="408" t="s">
        <v>916</v>
      </c>
      <c r="H43" s="408" t="s">
        <v>916</v>
      </c>
      <c r="I43" s="408">
        <v>93</v>
      </c>
      <c r="J43" s="408">
        <v>33</v>
      </c>
      <c r="K43" s="408">
        <v>126</v>
      </c>
      <c r="L43" s="408">
        <v>2243</v>
      </c>
      <c r="M43" s="408">
        <v>362</v>
      </c>
      <c r="N43" s="408">
        <v>2605</v>
      </c>
      <c r="O43" s="408">
        <v>300</v>
      </c>
      <c r="P43" s="408">
        <v>236</v>
      </c>
      <c r="Q43" s="408">
        <v>536</v>
      </c>
      <c r="R43" s="408">
        <v>497</v>
      </c>
      <c r="S43" s="408">
        <v>234</v>
      </c>
      <c r="T43" s="408">
        <v>731</v>
      </c>
      <c r="U43" s="408">
        <v>3134</v>
      </c>
      <c r="V43" s="408">
        <v>864</v>
      </c>
      <c r="W43" s="408">
        <v>3998</v>
      </c>
    </row>
    <row r="44" spans="2:23" hidden="1" outlineLevel="1" x14ac:dyDescent="0.25">
      <c r="B44" s="404">
        <v>39814</v>
      </c>
      <c r="C44" s="405"/>
      <c r="D44" s="405"/>
      <c r="E44" s="405"/>
      <c r="F44" s="405"/>
      <c r="G44" s="405"/>
      <c r="H44" s="405"/>
      <c r="I44" s="405">
        <v>9</v>
      </c>
      <c r="J44" s="405">
        <v>13</v>
      </c>
      <c r="K44" s="405">
        <v>22</v>
      </c>
      <c r="L44" s="405">
        <v>1012</v>
      </c>
      <c r="M44" s="405">
        <v>184</v>
      </c>
      <c r="N44" s="405">
        <v>1196</v>
      </c>
      <c r="O44" s="405">
        <v>104</v>
      </c>
      <c r="P44" s="405">
        <v>120</v>
      </c>
      <c r="Q44" s="405">
        <v>224</v>
      </c>
      <c r="R44" s="405">
        <v>160</v>
      </c>
      <c r="S44" s="405">
        <v>68</v>
      </c>
      <c r="T44" s="405">
        <v>228</v>
      </c>
      <c r="U44" s="406">
        <v>1285</v>
      </c>
      <c r="V44" s="406">
        <v>385</v>
      </c>
      <c r="W44" s="406">
        <v>1670</v>
      </c>
    </row>
    <row r="45" spans="2:23" hidden="1" outlineLevel="1" x14ac:dyDescent="0.25">
      <c r="B45" s="404">
        <v>39845</v>
      </c>
      <c r="C45" s="405"/>
      <c r="D45" s="405"/>
      <c r="E45" s="405"/>
      <c r="F45" s="405"/>
      <c r="G45" s="405"/>
      <c r="H45" s="405"/>
      <c r="I45" s="405">
        <v>2</v>
      </c>
      <c r="J45" s="405">
        <v>2</v>
      </c>
      <c r="K45" s="405">
        <v>4</v>
      </c>
      <c r="L45" s="405">
        <v>777</v>
      </c>
      <c r="M45" s="405">
        <v>140</v>
      </c>
      <c r="N45" s="405">
        <v>917</v>
      </c>
      <c r="O45" s="405">
        <v>36</v>
      </c>
      <c r="P45" s="405">
        <v>25</v>
      </c>
      <c r="Q45" s="405">
        <v>61</v>
      </c>
      <c r="R45" s="405">
        <v>101</v>
      </c>
      <c r="S45" s="405">
        <v>36</v>
      </c>
      <c r="T45" s="405">
        <v>137</v>
      </c>
      <c r="U45" s="406">
        <v>916</v>
      </c>
      <c r="V45" s="406">
        <v>203</v>
      </c>
      <c r="W45" s="406">
        <v>1119</v>
      </c>
    </row>
    <row r="46" spans="2:23" hidden="1" outlineLevel="1" x14ac:dyDescent="0.25">
      <c r="B46" s="404">
        <v>39873</v>
      </c>
      <c r="C46" s="405"/>
      <c r="D46" s="405"/>
      <c r="E46" s="405"/>
      <c r="F46" s="405"/>
      <c r="G46" s="405"/>
      <c r="H46" s="405"/>
      <c r="I46" s="405">
        <v>2</v>
      </c>
      <c r="J46" s="405">
        <v>3</v>
      </c>
      <c r="K46" s="405">
        <v>5</v>
      </c>
      <c r="L46" s="405">
        <v>1115</v>
      </c>
      <c r="M46" s="405">
        <v>196</v>
      </c>
      <c r="N46" s="405">
        <v>1311</v>
      </c>
      <c r="O46" s="405">
        <v>53</v>
      </c>
      <c r="P46" s="405">
        <v>31</v>
      </c>
      <c r="Q46" s="405">
        <v>84</v>
      </c>
      <c r="R46" s="405">
        <v>140</v>
      </c>
      <c r="S46" s="405">
        <v>51</v>
      </c>
      <c r="T46" s="405">
        <v>191</v>
      </c>
      <c r="U46" s="406">
        <v>1310</v>
      </c>
      <c r="V46" s="406">
        <v>281</v>
      </c>
      <c r="W46" s="406">
        <v>1591</v>
      </c>
    </row>
    <row r="47" spans="2:23" hidden="1" outlineLevel="1" x14ac:dyDescent="0.25">
      <c r="B47" s="404">
        <v>39904</v>
      </c>
      <c r="C47" s="405"/>
      <c r="D47" s="405"/>
      <c r="E47" s="405"/>
      <c r="F47" s="405"/>
      <c r="G47" s="405"/>
      <c r="H47" s="405"/>
      <c r="I47" s="405">
        <v>12</v>
      </c>
      <c r="J47" s="405">
        <v>6</v>
      </c>
      <c r="K47" s="405">
        <v>18</v>
      </c>
      <c r="L47" s="405">
        <v>897</v>
      </c>
      <c r="M47" s="405">
        <v>150</v>
      </c>
      <c r="N47" s="405">
        <v>1047</v>
      </c>
      <c r="O47" s="405">
        <v>33</v>
      </c>
      <c r="P47" s="405">
        <v>24</v>
      </c>
      <c r="Q47" s="405">
        <v>57</v>
      </c>
      <c r="R47" s="405">
        <v>78</v>
      </c>
      <c r="S47" s="405">
        <v>41</v>
      </c>
      <c r="T47" s="405">
        <v>119</v>
      </c>
      <c r="U47" s="406">
        <v>1020</v>
      </c>
      <c r="V47" s="406">
        <v>221</v>
      </c>
      <c r="W47" s="406">
        <v>1241</v>
      </c>
    </row>
    <row r="48" spans="2:23" hidden="1" outlineLevel="1" x14ac:dyDescent="0.25">
      <c r="B48" s="404">
        <v>39934</v>
      </c>
      <c r="C48" s="405"/>
      <c r="D48" s="405"/>
      <c r="E48" s="405"/>
      <c r="F48" s="405"/>
      <c r="G48" s="405"/>
      <c r="H48" s="405"/>
      <c r="I48" s="405">
        <v>60</v>
      </c>
      <c r="J48" s="405">
        <v>8</v>
      </c>
      <c r="K48" s="405">
        <v>68</v>
      </c>
      <c r="L48" s="405">
        <v>821</v>
      </c>
      <c r="M48" s="405">
        <v>158</v>
      </c>
      <c r="N48" s="405">
        <v>979</v>
      </c>
      <c r="O48" s="405">
        <v>26</v>
      </c>
      <c r="P48" s="405">
        <v>28</v>
      </c>
      <c r="Q48" s="405">
        <v>54</v>
      </c>
      <c r="R48" s="405">
        <v>54</v>
      </c>
      <c r="S48" s="405">
        <v>42</v>
      </c>
      <c r="T48" s="405">
        <v>96</v>
      </c>
      <c r="U48" s="406">
        <v>961</v>
      </c>
      <c r="V48" s="406">
        <v>236</v>
      </c>
      <c r="W48" s="406">
        <v>1197</v>
      </c>
    </row>
    <row r="49" spans="2:23" hidden="1" outlineLevel="1" x14ac:dyDescent="0.25">
      <c r="B49" s="404">
        <v>39965</v>
      </c>
      <c r="C49" s="405"/>
      <c r="D49" s="405"/>
      <c r="E49" s="405"/>
      <c r="F49" s="405"/>
      <c r="G49" s="405"/>
      <c r="H49" s="405"/>
      <c r="I49" s="405">
        <v>65</v>
      </c>
      <c r="J49" s="405">
        <v>58</v>
      </c>
      <c r="K49" s="405">
        <v>123</v>
      </c>
      <c r="L49" s="405">
        <v>831</v>
      </c>
      <c r="M49" s="405">
        <v>169</v>
      </c>
      <c r="N49" s="405">
        <v>1000</v>
      </c>
      <c r="O49" s="405">
        <v>10641</v>
      </c>
      <c r="P49" s="405">
        <v>980</v>
      </c>
      <c r="Q49" s="405">
        <v>11621</v>
      </c>
      <c r="R49" s="405">
        <v>53</v>
      </c>
      <c r="S49" s="405">
        <v>31</v>
      </c>
      <c r="T49" s="405">
        <v>84</v>
      </c>
      <c r="U49" s="406">
        <v>11590</v>
      </c>
      <c r="V49" s="406">
        <v>1238</v>
      </c>
      <c r="W49" s="406">
        <v>12828</v>
      </c>
    </row>
    <row r="50" spans="2:23" hidden="1" outlineLevel="1" x14ac:dyDescent="0.25">
      <c r="B50" s="404">
        <v>39995</v>
      </c>
      <c r="C50" s="405"/>
      <c r="D50" s="405"/>
      <c r="E50" s="405"/>
      <c r="F50" s="405"/>
      <c r="G50" s="405"/>
      <c r="H50" s="405"/>
      <c r="I50" s="405">
        <v>197</v>
      </c>
      <c r="J50" s="405">
        <v>36</v>
      </c>
      <c r="K50" s="405">
        <v>233</v>
      </c>
      <c r="L50" s="405">
        <v>1131</v>
      </c>
      <c r="M50" s="405">
        <v>167</v>
      </c>
      <c r="N50" s="405">
        <v>1298</v>
      </c>
      <c r="O50" s="405">
        <v>2145</v>
      </c>
      <c r="P50" s="405">
        <v>740</v>
      </c>
      <c r="Q50" s="405">
        <v>2885</v>
      </c>
      <c r="R50" s="405">
        <v>30</v>
      </c>
      <c r="S50" s="405">
        <v>30</v>
      </c>
      <c r="T50" s="405">
        <v>60</v>
      </c>
      <c r="U50" s="406">
        <v>3503</v>
      </c>
      <c r="V50" s="406">
        <v>973</v>
      </c>
      <c r="W50" s="406">
        <v>4476</v>
      </c>
    </row>
    <row r="51" spans="2:23" hidden="1" outlineLevel="1" x14ac:dyDescent="0.25">
      <c r="B51" s="404">
        <v>40026</v>
      </c>
      <c r="C51" s="405"/>
      <c r="D51" s="405"/>
      <c r="E51" s="405"/>
      <c r="F51" s="405"/>
      <c r="G51" s="405"/>
      <c r="H51" s="405"/>
      <c r="I51" s="405">
        <v>108</v>
      </c>
      <c r="J51" s="405">
        <v>28</v>
      </c>
      <c r="K51" s="405">
        <v>136</v>
      </c>
      <c r="L51" s="405">
        <v>1218</v>
      </c>
      <c r="M51" s="405">
        <v>225</v>
      </c>
      <c r="N51" s="405">
        <v>1443</v>
      </c>
      <c r="O51" s="405">
        <v>693</v>
      </c>
      <c r="P51" s="405">
        <v>478</v>
      </c>
      <c r="Q51" s="405">
        <v>1171</v>
      </c>
      <c r="R51" s="405">
        <v>207</v>
      </c>
      <c r="S51" s="405">
        <v>65</v>
      </c>
      <c r="T51" s="405">
        <v>272</v>
      </c>
      <c r="U51" s="406">
        <v>2226</v>
      </c>
      <c r="V51" s="406">
        <v>796</v>
      </c>
      <c r="W51" s="406">
        <v>3022</v>
      </c>
    </row>
    <row r="52" spans="2:23" hidden="1" outlineLevel="1" x14ac:dyDescent="0.25">
      <c r="B52" s="404">
        <v>40057</v>
      </c>
      <c r="C52" s="405"/>
      <c r="D52" s="405"/>
      <c r="E52" s="405"/>
      <c r="F52" s="405"/>
      <c r="G52" s="405"/>
      <c r="H52" s="405"/>
      <c r="I52" s="405">
        <v>136</v>
      </c>
      <c r="J52" s="405">
        <v>96</v>
      </c>
      <c r="K52" s="405">
        <v>232</v>
      </c>
      <c r="L52" s="405">
        <v>1146</v>
      </c>
      <c r="M52" s="405">
        <v>223</v>
      </c>
      <c r="N52" s="405">
        <v>1369</v>
      </c>
      <c r="O52" s="405">
        <v>1012</v>
      </c>
      <c r="P52" s="405">
        <v>562</v>
      </c>
      <c r="Q52" s="405">
        <v>1574</v>
      </c>
      <c r="R52" s="405">
        <v>136</v>
      </c>
      <c r="S52" s="405">
        <v>91</v>
      </c>
      <c r="T52" s="405">
        <v>227</v>
      </c>
      <c r="U52" s="406">
        <v>2430</v>
      </c>
      <c r="V52" s="406">
        <v>972</v>
      </c>
      <c r="W52" s="406">
        <v>3402</v>
      </c>
    </row>
    <row r="53" spans="2:23" hidden="1" outlineLevel="1" x14ac:dyDescent="0.25">
      <c r="B53" s="404">
        <v>40087</v>
      </c>
      <c r="C53" s="405"/>
      <c r="D53" s="405"/>
      <c r="E53" s="405"/>
      <c r="F53" s="405"/>
      <c r="G53" s="405"/>
      <c r="H53" s="405"/>
      <c r="I53" s="405">
        <v>152</v>
      </c>
      <c r="J53" s="405">
        <v>94</v>
      </c>
      <c r="K53" s="405">
        <v>246</v>
      </c>
      <c r="L53" s="405">
        <v>1125</v>
      </c>
      <c r="M53" s="405">
        <v>207</v>
      </c>
      <c r="N53" s="405">
        <v>1332</v>
      </c>
      <c r="O53" s="405">
        <v>783</v>
      </c>
      <c r="P53" s="405">
        <v>454</v>
      </c>
      <c r="Q53" s="405">
        <v>1237</v>
      </c>
      <c r="R53" s="405">
        <v>85</v>
      </c>
      <c r="S53" s="405">
        <v>65</v>
      </c>
      <c r="T53" s="405">
        <v>150</v>
      </c>
      <c r="U53" s="406">
        <v>2145</v>
      </c>
      <c r="V53" s="406">
        <v>820</v>
      </c>
      <c r="W53" s="406">
        <v>2965</v>
      </c>
    </row>
    <row r="54" spans="2:23" hidden="1" outlineLevel="1" x14ac:dyDescent="0.25">
      <c r="B54" s="404">
        <v>40118</v>
      </c>
      <c r="C54" s="405"/>
      <c r="D54" s="405"/>
      <c r="E54" s="405"/>
      <c r="F54" s="405"/>
      <c r="G54" s="405"/>
      <c r="H54" s="405"/>
      <c r="I54" s="405">
        <v>73</v>
      </c>
      <c r="J54" s="405">
        <v>30</v>
      </c>
      <c r="K54" s="405">
        <v>103</v>
      </c>
      <c r="L54" s="405">
        <v>972</v>
      </c>
      <c r="M54" s="405">
        <v>143</v>
      </c>
      <c r="N54" s="405">
        <v>1115</v>
      </c>
      <c r="O54" s="405">
        <v>526</v>
      </c>
      <c r="P54" s="405">
        <v>272</v>
      </c>
      <c r="Q54" s="405">
        <v>798</v>
      </c>
      <c r="R54" s="405">
        <v>79</v>
      </c>
      <c r="S54" s="405">
        <v>29</v>
      </c>
      <c r="T54" s="405">
        <v>108</v>
      </c>
      <c r="U54" s="406">
        <v>1650</v>
      </c>
      <c r="V54" s="406">
        <v>474</v>
      </c>
      <c r="W54" s="406">
        <v>2124</v>
      </c>
    </row>
    <row r="55" spans="2:23" hidden="1" outlineLevel="1" x14ac:dyDescent="0.25">
      <c r="B55" s="404">
        <v>40148</v>
      </c>
      <c r="C55" s="405"/>
      <c r="D55" s="405"/>
      <c r="E55" s="405"/>
      <c r="F55" s="405"/>
      <c r="G55" s="405"/>
      <c r="H55" s="405"/>
      <c r="I55" s="405">
        <v>41</v>
      </c>
      <c r="J55" s="405">
        <v>16</v>
      </c>
      <c r="K55" s="405">
        <v>57</v>
      </c>
      <c r="L55" s="405">
        <v>926</v>
      </c>
      <c r="M55" s="405">
        <v>178</v>
      </c>
      <c r="N55" s="405">
        <v>1104</v>
      </c>
      <c r="O55" s="405">
        <v>465</v>
      </c>
      <c r="P55" s="405">
        <v>578</v>
      </c>
      <c r="Q55" s="405">
        <v>1043</v>
      </c>
      <c r="R55" s="405">
        <v>74</v>
      </c>
      <c r="S55" s="405">
        <v>44</v>
      </c>
      <c r="T55" s="405">
        <v>118</v>
      </c>
      <c r="U55" s="406">
        <v>1506</v>
      </c>
      <c r="V55" s="406">
        <v>816</v>
      </c>
      <c r="W55" s="406">
        <v>2322</v>
      </c>
    </row>
    <row r="56" spans="2:23" collapsed="1" x14ac:dyDescent="0.25">
      <c r="B56" s="407" t="s">
        <v>750</v>
      </c>
      <c r="C56" s="408" t="s">
        <v>916</v>
      </c>
      <c r="D56" s="408" t="s">
        <v>916</v>
      </c>
      <c r="E56" s="408" t="s">
        <v>916</v>
      </c>
      <c r="F56" s="408" t="s">
        <v>916</v>
      </c>
      <c r="G56" s="408" t="s">
        <v>916</v>
      </c>
      <c r="H56" s="408" t="s">
        <v>916</v>
      </c>
      <c r="I56" s="408">
        <v>71</v>
      </c>
      <c r="J56" s="408">
        <v>33</v>
      </c>
      <c r="K56" s="408">
        <v>104</v>
      </c>
      <c r="L56" s="408">
        <v>998</v>
      </c>
      <c r="M56" s="408">
        <v>178</v>
      </c>
      <c r="N56" s="408">
        <v>1176</v>
      </c>
      <c r="O56" s="408">
        <v>1376</v>
      </c>
      <c r="P56" s="408">
        <v>358</v>
      </c>
      <c r="Q56" s="408">
        <v>1734</v>
      </c>
      <c r="R56" s="408">
        <v>100</v>
      </c>
      <c r="S56" s="408">
        <v>49</v>
      </c>
      <c r="T56" s="408">
        <v>149</v>
      </c>
      <c r="U56" s="408">
        <v>2545</v>
      </c>
      <c r="V56" s="408">
        <v>618</v>
      </c>
      <c r="W56" s="408">
        <v>3163</v>
      </c>
    </row>
    <row r="57" spans="2:23" hidden="1" outlineLevel="1" x14ac:dyDescent="0.25">
      <c r="B57" s="404">
        <v>40179</v>
      </c>
      <c r="C57" s="405"/>
      <c r="D57" s="405"/>
      <c r="E57" s="405"/>
      <c r="F57" s="405"/>
      <c r="G57" s="405"/>
      <c r="H57" s="405"/>
      <c r="I57" s="405">
        <v>12</v>
      </c>
      <c r="J57" s="405">
        <v>7</v>
      </c>
      <c r="K57" s="405">
        <v>19</v>
      </c>
      <c r="L57" s="405">
        <v>797</v>
      </c>
      <c r="M57" s="405">
        <v>158</v>
      </c>
      <c r="N57" s="405">
        <v>955</v>
      </c>
      <c r="O57" s="405">
        <v>254</v>
      </c>
      <c r="P57" s="405">
        <v>389</v>
      </c>
      <c r="Q57" s="405">
        <v>643</v>
      </c>
      <c r="R57" s="405">
        <v>56</v>
      </c>
      <c r="S57" s="405">
        <v>8</v>
      </c>
      <c r="T57" s="405">
        <v>64</v>
      </c>
      <c r="U57" s="406">
        <v>1119</v>
      </c>
      <c r="V57" s="406">
        <v>562</v>
      </c>
      <c r="W57" s="406">
        <v>1681</v>
      </c>
    </row>
    <row r="58" spans="2:23" hidden="1" outlineLevel="1" x14ac:dyDescent="0.25">
      <c r="B58" s="404">
        <v>40210</v>
      </c>
      <c r="C58" s="405"/>
      <c r="D58" s="405"/>
      <c r="E58" s="405"/>
      <c r="F58" s="405"/>
      <c r="G58" s="405"/>
      <c r="H58" s="405"/>
      <c r="I58" s="405">
        <v>15</v>
      </c>
      <c r="J58" s="405">
        <v>20</v>
      </c>
      <c r="K58" s="405">
        <v>35</v>
      </c>
      <c r="L58" s="405">
        <v>712</v>
      </c>
      <c r="M58" s="405">
        <v>125</v>
      </c>
      <c r="N58" s="405">
        <v>837</v>
      </c>
      <c r="O58" s="405">
        <v>119</v>
      </c>
      <c r="P58" s="405">
        <v>152</v>
      </c>
      <c r="Q58" s="405">
        <v>271</v>
      </c>
      <c r="R58" s="405">
        <v>38</v>
      </c>
      <c r="S58" s="405">
        <v>18</v>
      </c>
      <c r="T58" s="405">
        <v>56</v>
      </c>
      <c r="U58" s="406">
        <v>884</v>
      </c>
      <c r="V58" s="406">
        <v>315</v>
      </c>
      <c r="W58" s="406">
        <v>1199</v>
      </c>
    </row>
    <row r="59" spans="2:23" hidden="1" outlineLevel="1" x14ac:dyDescent="0.25">
      <c r="B59" s="404">
        <v>40238</v>
      </c>
      <c r="C59" s="405"/>
      <c r="D59" s="405"/>
      <c r="E59" s="405"/>
      <c r="F59" s="405"/>
      <c r="G59" s="405"/>
      <c r="H59" s="405"/>
      <c r="I59" s="405">
        <v>18</v>
      </c>
      <c r="J59" s="405">
        <v>21</v>
      </c>
      <c r="K59" s="405">
        <v>39</v>
      </c>
      <c r="L59" s="405">
        <v>603</v>
      </c>
      <c r="M59" s="405">
        <v>133</v>
      </c>
      <c r="N59" s="405">
        <v>736</v>
      </c>
      <c r="O59" s="405">
        <v>141</v>
      </c>
      <c r="P59" s="405">
        <v>164</v>
      </c>
      <c r="Q59" s="405">
        <v>305</v>
      </c>
      <c r="R59" s="405">
        <v>37</v>
      </c>
      <c r="S59" s="405">
        <v>9</v>
      </c>
      <c r="T59" s="405">
        <v>46</v>
      </c>
      <c r="U59" s="406">
        <v>799</v>
      </c>
      <c r="V59" s="406">
        <v>327</v>
      </c>
      <c r="W59" s="406">
        <v>1126</v>
      </c>
    </row>
    <row r="60" spans="2:23" hidden="1" outlineLevel="1" x14ac:dyDescent="0.25">
      <c r="B60" s="404">
        <v>40269</v>
      </c>
      <c r="C60" s="405"/>
      <c r="D60" s="405"/>
      <c r="E60" s="405"/>
      <c r="F60" s="405"/>
      <c r="G60" s="405"/>
      <c r="H60" s="405"/>
      <c r="I60" s="405">
        <v>16</v>
      </c>
      <c r="J60" s="405">
        <v>15</v>
      </c>
      <c r="K60" s="405">
        <v>31</v>
      </c>
      <c r="L60" s="405">
        <v>815</v>
      </c>
      <c r="M60" s="405">
        <v>156</v>
      </c>
      <c r="N60" s="405">
        <v>971</v>
      </c>
      <c r="O60" s="405">
        <v>172</v>
      </c>
      <c r="P60" s="405">
        <v>219</v>
      </c>
      <c r="Q60" s="405">
        <v>391</v>
      </c>
      <c r="R60" s="405">
        <v>52</v>
      </c>
      <c r="S60" s="405">
        <v>8</v>
      </c>
      <c r="T60" s="405">
        <v>60</v>
      </c>
      <c r="U60" s="406">
        <v>1055</v>
      </c>
      <c r="V60" s="406">
        <v>398</v>
      </c>
      <c r="W60" s="406">
        <v>1453</v>
      </c>
    </row>
    <row r="61" spans="2:23" hidden="1" outlineLevel="1" x14ac:dyDescent="0.25">
      <c r="B61" s="404">
        <v>40299</v>
      </c>
      <c r="C61" s="405"/>
      <c r="D61" s="405"/>
      <c r="E61" s="405"/>
      <c r="F61" s="405"/>
      <c r="G61" s="405"/>
      <c r="H61" s="405"/>
      <c r="I61" s="405">
        <v>16</v>
      </c>
      <c r="J61" s="405">
        <v>8</v>
      </c>
      <c r="K61" s="405">
        <v>24</v>
      </c>
      <c r="L61" s="405">
        <v>790</v>
      </c>
      <c r="M61" s="405">
        <v>137</v>
      </c>
      <c r="N61" s="405">
        <v>927</v>
      </c>
      <c r="O61" s="405">
        <v>113</v>
      </c>
      <c r="P61" s="405">
        <v>133</v>
      </c>
      <c r="Q61" s="405">
        <v>246</v>
      </c>
      <c r="R61" s="405">
        <v>44</v>
      </c>
      <c r="S61" s="405">
        <v>9</v>
      </c>
      <c r="T61" s="405">
        <v>53</v>
      </c>
      <c r="U61" s="406">
        <v>963</v>
      </c>
      <c r="V61" s="406">
        <v>287</v>
      </c>
      <c r="W61" s="406">
        <v>1250</v>
      </c>
    </row>
    <row r="62" spans="2:23" hidden="1" outlineLevel="1" x14ac:dyDescent="0.25">
      <c r="B62" s="404">
        <v>40330</v>
      </c>
      <c r="C62" s="405"/>
      <c r="D62" s="405"/>
      <c r="E62" s="405"/>
      <c r="F62" s="405"/>
      <c r="G62" s="405"/>
      <c r="H62" s="405"/>
      <c r="I62" s="405">
        <v>4</v>
      </c>
      <c r="J62" s="405">
        <v>9</v>
      </c>
      <c r="K62" s="405">
        <v>13</v>
      </c>
      <c r="L62" s="405">
        <v>826</v>
      </c>
      <c r="M62" s="405">
        <v>153</v>
      </c>
      <c r="N62" s="405">
        <v>979</v>
      </c>
      <c r="O62" s="405">
        <v>242</v>
      </c>
      <c r="P62" s="405">
        <v>205</v>
      </c>
      <c r="Q62" s="405">
        <v>447</v>
      </c>
      <c r="R62" s="405">
        <v>77</v>
      </c>
      <c r="S62" s="405">
        <v>28</v>
      </c>
      <c r="T62" s="405">
        <v>105</v>
      </c>
      <c r="U62" s="406">
        <v>1149</v>
      </c>
      <c r="V62" s="406">
        <v>395</v>
      </c>
      <c r="W62" s="406">
        <v>1544</v>
      </c>
    </row>
    <row r="63" spans="2:23" hidden="1" outlineLevel="1" x14ac:dyDescent="0.25">
      <c r="B63" s="404">
        <v>40360</v>
      </c>
      <c r="C63" s="405"/>
      <c r="D63" s="405"/>
      <c r="E63" s="405"/>
      <c r="F63" s="405"/>
      <c r="G63" s="405"/>
      <c r="H63" s="405"/>
      <c r="I63" s="405">
        <v>659</v>
      </c>
      <c r="J63" s="405">
        <v>96</v>
      </c>
      <c r="K63" s="405">
        <v>755</v>
      </c>
      <c r="L63" s="405">
        <v>874</v>
      </c>
      <c r="M63" s="405">
        <v>221</v>
      </c>
      <c r="N63" s="405">
        <v>1095</v>
      </c>
      <c r="O63" s="405">
        <v>4092</v>
      </c>
      <c r="P63" s="405">
        <v>2474</v>
      </c>
      <c r="Q63" s="405">
        <v>6566</v>
      </c>
      <c r="R63" s="405">
        <v>203</v>
      </c>
      <c r="S63" s="405">
        <v>150</v>
      </c>
      <c r="T63" s="405">
        <v>353</v>
      </c>
      <c r="U63" s="406">
        <v>5828</v>
      </c>
      <c r="V63" s="406">
        <v>2941</v>
      </c>
      <c r="W63" s="406">
        <v>8769</v>
      </c>
    </row>
    <row r="64" spans="2:23" hidden="1" outlineLevel="1" x14ac:dyDescent="0.25">
      <c r="B64" s="404">
        <v>40391</v>
      </c>
      <c r="C64" s="405"/>
      <c r="D64" s="405"/>
      <c r="E64" s="405"/>
      <c r="F64" s="405"/>
      <c r="G64" s="405"/>
      <c r="H64" s="405"/>
      <c r="I64" s="405">
        <v>819</v>
      </c>
      <c r="J64" s="405">
        <v>137</v>
      </c>
      <c r="K64" s="405">
        <v>956</v>
      </c>
      <c r="L64" s="405">
        <v>1030</v>
      </c>
      <c r="M64" s="405">
        <v>228</v>
      </c>
      <c r="N64" s="405">
        <v>1258</v>
      </c>
      <c r="O64" s="405">
        <v>4273</v>
      </c>
      <c r="P64" s="405">
        <v>2578</v>
      </c>
      <c r="Q64" s="405">
        <v>6851</v>
      </c>
      <c r="R64" s="405">
        <v>144</v>
      </c>
      <c r="S64" s="405">
        <v>125</v>
      </c>
      <c r="T64" s="405">
        <v>269</v>
      </c>
      <c r="U64" s="406">
        <v>6266</v>
      </c>
      <c r="V64" s="406">
        <v>3068</v>
      </c>
      <c r="W64" s="406">
        <v>9334</v>
      </c>
    </row>
    <row r="65" spans="2:23" hidden="1" outlineLevel="1" x14ac:dyDescent="0.25">
      <c r="B65" s="404">
        <v>40422</v>
      </c>
      <c r="C65" s="405"/>
      <c r="D65" s="405"/>
      <c r="E65" s="405"/>
      <c r="F65" s="405"/>
      <c r="G65" s="405"/>
      <c r="H65" s="405"/>
      <c r="I65" s="405">
        <v>594</v>
      </c>
      <c r="J65" s="405">
        <v>96</v>
      </c>
      <c r="K65" s="405">
        <v>690</v>
      </c>
      <c r="L65" s="405">
        <v>758</v>
      </c>
      <c r="M65" s="405">
        <v>145</v>
      </c>
      <c r="N65" s="405">
        <v>903</v>
      </c>
      <c r="O65" s="405">
        <v>2652</v>
      </c>
      <c r="P65" s="405">
        <v>1728</v>
      </c>
      <c r="Q65" s="405">
        <v>4380</v>
      </c>
      <c r="R65" s="405">
        <v>132</v>
      </c>
      <c r="S65" s="405">
        <v>106</v>
      </c>
      <c r="T65" s="405">
        <v>238</v>
      </c>
      <c r="U65" s="406">
        <v>4136</v>
      </c>
      <c r="V65" s="406">
        <v>2075</v>
      </c>
      <c r="W65" s="406">
        <v>6211</v>
      </c>
    </row>
    <row r="66" spans="2:23" hidden="1" outlineLevel="1" x14ac:dyDescent="0.25">
      <c r="B66" s="404">
        <v>40452</v>
      </c>
      <c r="C66" s="405"/>
      <c r="D66" s="405"/>
      <c r="E66" s="405"/>
      <c r="F66" s="405"/>
      <c r="G66" s="405"/>
      <c r="H66" s="405"/>
      <c r="I66" s="405">
        <v>634</v>
      </c>
      <c r="J66" s="405">
        <v>84</v>
      </c>
      <c r="K66" s="405">
        <v>718</v>
      </c>
      <c r="L66" s="405">
        <v>855</v>
      </c>
      <c r="M66" s="405">
        <v>239</v>
      </c>
      <c r="N66" s="405">
        <v>1094</v>
      </c>
      <c r="O66" s="405">
        <v>2351</v>
      </c>
      <c r="P66" s="405">
        <v>1454</v>
      </c>
      <c r="Q66" s="405">
        <v>3805</v>
      </c>
      <c r="R66" s="405">
        <v>153</v>
      </c>
      <c r="S66" s="405">
        <v>121</v>
      </c>
      <c r="T66" s="405">
        <v>274</v>
      </c>
      <c r="U66" s="406">
        <v>3993</v>
      </c>
      <c r="V66" s="406">
        <v>1898</v>
      </c>
      <c r="W66" s="406">
        <v>5891</v>
      </c>
    </row>
    <row r="67" spans="2:23" hidden="1" outlineLevel="1" x14ac:dyDescent="0.25">
      <c r="B67" s="404">
        <v>40483</v>
      </c>
      <c r="C67" s="405"/>
      <c r="D67" s="405"/>
      <c r="E67" s="405"/>
      <c r="F67" s="405"/>
      <c r="G67" s="405"/>
      <c r="H67" s="405"/>
      <c r="I67" s="405">
        <v>580</v>
      </c>
      <c r="J67" s="405">
        <v>88</v>
      </c>
      <c r="K67" s="405">
        <v>668</v>
      </c>
      <c r="L67" s="405">
        <v>926</v>
      </c>
      <c r="M67" s="405">
        <v>197</v>
      </c>
      <c r="N67" s="405">
        <v>1123</v>
      </c>
      <c r="O67" s="405">
        <v>1953</v>
      </c>
      <c r="P67" s="405">
        <v>1147</v>
      </c>
      <c r="Q67" s="405">
        <v>3100</v>
      </c>
      <c r="R67" s="405">
        <v>120</v>
      </c>
      <c r="S67" s="405">
        <v>84</v>
      </c>
      <c r="T67" s="405">
        <v>204</v>
      </c>
      <c r="U67" s="406">
        <v>3579</v>
      </c>
      <c r="V67" s="406">
        <v>1516</v>
      </c>
      <c r="W67" s="406">
        <v>5095</v>
      </c>
    </row>
    <row r="68" spans="2:23" hidden="1" outlineLevel="1" x14ac:dyDescent="0.25">
      <c r="B68" s="404">
        <v>40513</v>
      </c>
      <c r="C68" s="405"/>
      <c r="D68" s="405"/>
      <c r="E68" s="405"/>
      <c r="F68" s="405"/>
      <c r="G68" s="405"/>
      <c r="H68" s="405"/>
      <c r="I68" s="405">
        <v>471</v>
      </c>
      <c r="J68" s="405">
        <v>76</v>
      </c>
      <c r="K68" s="405">
        <v>547</v>
      </c>
      <c r="L68" s="405">
        <v>562</v>
      </c>
      <c r="M68" s="405">
        <v>120</v>
      </c>
      <c r="N68" s="405">
        <v>682</v>
      </c>
      <c r="O68" s="405">
        <v>1477</v>
      </c>
      <c r="P68" s="405">
        <v>882</v>
      </c>
      <c r="Q68" s="405">
        <v>2359</v>
      </c>
      <c r="R68" s="405">
        <v>80</v>
      </c>
      <c r="S68" s="405">
        <v>56</v>
      </c>
      <c r="T68" s="405">
        <v>136</v>
      </c>
      <c r="U68" s="406">
        <v>2590</v>
      </c>
      <c r="V68" s="406">
        <v>1134</v>
      </c>
      <c r="W68" s="406">
        <v>3724</v>
      </c>
    </row>
    <row r="69" spans="2:23" collapsed="1" x14ac:dyDescent="0.25">
      <c r="B69" s="407" t="s">
        <v>751</v>
      </c>
      <c r="C69" s="408" t="s">
        <v>916</v>
      </c>
      <c r="D69" s="408" t="s">
        <v>916</v>
      </c>
      <c r="E69" s="408" t="s">
        <v>916</v>
      </c>
      <c r="F69" s="408" t="s">
        <v>916</v>
      </c>
      <c r="G69" s="408" t="s">
        <v>916</v>
      </c>
      <c r="H69" s="408" t="s">
        <v>916</v>
      </c>
      <c r="I69" s="408">
        <v>320</v>
      </c>
      <c r="J69" s="408">
        <v>55</v>
      </c>
      <c r="K69" s="408">
        <v>375</v>
      </c>
      <c r="L69" s="408">
        <v>796</v>
      </c>
      <c r="M69" s="408">
        <v>168</v>
      </c>
      <c r="N69" s="408">
        <v>963</v>
      </c>
      <c r="O69" s="408">
        <v>1487</v>
      </c>
      <c r="P69" s="408">
        <v>960</v>
      </c>
      <c r="Q69" s="408">
        <v>2447</v>
      </c>
      <c r="R69" s="408">
        <v>95</v>
      </c>
      <c r="S69" s="408">
        <v>60</v>
      </c>
      <c r="T69" s="408">
        <v>155</v>
      </c>
      <c r="U69" s="408">
        <v>2697</v>
      </c>
      <c r="V69" s="408">
        <v>1243</v>
      </c>
      <c r="W69" s="408">
        <v>3940</v>
      </c>
    </row>
    <row r="70" spans="2:23" hidden="1" outlineLevel="1" x14ac:dyDescent="0.25">
      <c r="B70" s="404">
        <v>40544</v>
      </c>
      <c r="C70" s="405"/>
      <c r="D70" s="405"/>
      <c r="E70" s="405"/>
      <c r="F70" s="405"/>
      <c r="G70" s="405"/>
      <c r="H70" s="405"/>
      <c r="I70" s="405">
        <v>709</v>
      </c>
      <c r="J70" s="405">
        <v>108</v>
      </c>
      <c r="K70" s="405">
        <v>817</v>
      </c>
      <c r="L70" s="405">
        <v>775</v>
      </c>
      <c r="M70" s="405">
        <v>141</v>
      </c>
      <c r="N70" s="405">
        <v>916</v>
      </c>
      <c r="O70" s="405">
        <v>1860</v>
      </c>
      <c r="P70" s="405">
        <v>1178</v>
      </c>
      <c r="Q70" s="405">
        <v>3038</v>
      </c>
      <c r="R70" s="405">
        <v>91</v>
      </c>
      <c r="S70" s="405">
        <v>42</v>
      </c>
      <c r="T70" s="405">
        <v>133</v>
      </c>
      <c r="U70" s="406">
        <v>3435</v>
      </c>
      <c r="V70" s="406">
        <v>1469</v>
      </c>
      <c r="W70" s="406">
        <v>4904</v>
      </c>
    </row>
    <row r="71" spans="2:23" hidden="1" outlineLevel="1" x14ac:dyDescent="0.25">
      <c r="B71" s="404">
        <v>40575</v>
      </c>
      <c r="C71" s="405"/>
      <c r="D71" s="405"/>
      <c r="E71" s="405"/>
      <c r="F71" s="405"/>
      <c r="G71" s="405"/>
      <c r="H71" s="405"/>
      <c r="I71" s="405">
        <v>543</v>
      </c>
      <c r="J71" s="405">
        <v>96</v>
      </c>
      <c r="K71" s="405">
        <v>639</v>
      </c>
      <c r="L71" s="405">
        <v>697</v>
      </c>
      <c r="M71" s="405">
        <v>136</v>
      </c>
      <c r="N71" s="405">
        <v>833</v>
      </c>
      <c r="O71" s="405">
        <v>1508</v>
      </c>
      <c r="P71" s="405">
        <v>1036</v>
      </c>
      <c r="Q71" s="405">
        <v>2544</v>
      </c>
      <c r="R71" s="405">
        <v>87</v>
      </c>
      <c r="S71" s="405">
        <v>30</v>
      </c>
      <c r="T71" s="405">
        <v>117</v>
      </c>
      <c r="U71" s="406">
        <v>2835</v>
      </c>
      <c r="V71" s="406">
        <v>1298</v>
      </c>
      <c r="W71" s="406">
        <v>4133</v>
      </c>
    </row>
    <row r="72" spans="2:23" hidden="1" outlineLevel="1" x14ac:dyDescent="0.25">
      <c r="B72" s="404">
        <v>40603</v>
      </c>
      <c r="C72" s="405"/>
      <c r="D72" s="405"/>
      <c r="E72" s="405"/>
      <c r="F72" s="405"/>
      <c r="G72" s="405"/>
      <c r="H72" s="405"/>
      <c r="I72" s="405">
        <v>617</v>
      </c>
      <c r="J72" s="405">
        <v>72</v>
      </c>
      <c r="K72" s="405">
        <v>689</v>
      </c>
      <c r="L72" s="405">
        <v>941</v>
      </c>
      <c r="M72" s="405">
        <v>159</v>
      </c>
      <c r="N72" s="405">
        <v>1100</v>
      </c>
      <c r="O72" s="405">
        <v>1633</v>
      </c>
      <c r="P72" s="405">
        <v>1056</v>
      </c>
      <c r="Q72" s="405">
        <v>2689</v>
      </c>
      <c r="R72" s="405">
        <v>111</v>
      </c>
      <c r="S72" s="405">
        <v>53</v>
      </c>
      <c r="T72" s="405">
        <v>164</v>
      </c>
      <c r="U72" s="406">
        <v>3302</v>
      </c>
      <c r="V72" s="406">
        <v>1340</v>
      </c>
      <c r="W72" s="406">
        <v>4642</v>
      </c>
    </row>
    <row r="73" spans="2:23" hidden="1" outlineLevel="1" x14ac:dyDescent="0.25">
      <c r="B73" s="404">
        <v>40634</v>
      </c>
      <c r="C73" s="405"/>
      <c r="D73" s="405"/>
      <c r="E73" s="405"/>
      <c r="F73" s="405"/>
      <c r="G73" s="405"/>
      <c r="H73" s="405"/>
      <c r="I73" s="405">
        <v>454</v>
      </c>
      <c r="J73" s="405">
        <v>75</v>
      </c>
      <c r="K73" s="405">
        <v>529</v>
      </c>
      <c r="L73" s="405">
        <v>746</v>
      </c>
      <c r="M73" s="405">
        <v>122</v>
      </c>
      <c r="N73" s="405">
        <v>868</v>
      </c>
      <c r="O73" s="405">
        <v>1213</v>
      </c>
      <c r="P73" s="405">
        <v>729</v>
      </c>
      <c r="Q73" s="405">
        <v>1942</v>
      </c>
      <c r="R73" s="405">
        <v>66</v>
      </c>
      <c r="S73" s="405">
        <v>32</v>
      </c>
      <c r="T73" s="405">
        <v>98</v>
      </c>
      <c r="U73" s="406">
        <v>2479</v>
      </c>
      <c r="V73" s="406">
        <v>958</v>
      </c>
      <c r="W73" s="406">
        <v>3437</v>
      </c>
    </row>
    <row r="74" spans="2:23" hidden="1" outlineLevel="1" x14ac:dyDescent="0.25">
      <c r="B74" s="404">
        <v>40664</v>
      </c>
      <c r="C74" s="405"/>
      <c r="D74" s="405"/>
      <c r="E74" s="405"/>
      <c r="F74" s="405"/>
      <c r="G74" s="405"/>
      <c r="H74" s="405"/>
      <c r="I74" s="405">
        <v>639</v>
      </c>
      <c r="J74" s="405">
        <v>81</v>
      </c>
      <c r="K74" s="405">
        <v>720</v>
      </c>
      <c r="L74" s="405">
        <v>815</v>
      </c>
      <c r="M74" s="405">
        <v>168</v>
      </c>
      <c r="N74" s="405">
        <v>983</v>
      </c>
      <c r="O74" s="405">
        <v>1662</v>
      </c>
      <c r="P74" s="405">
        <v>953</v>
      </c>
      <c r="Q74" s="405">
        <v>2615</v>
      </c>
      <c r="R74" s="405">
        <v>114</v>
      </c>
      <c r="S74" s="405">
        <v>43</v>
      </c>
      <c r="T74" s="405">
        <v>157</v>
      </c>
      <c r="U74" s="406">
        <v>3230</v>
      </c>
      <c r="V74" s="406">
        <v>1245</v>
      </c>
      <c r="W74" s="406">
        <v>4475</v>
      </c>
    </row>
    <row r="75" spans="2:23" hidden="1" outlineLevel="1" x14ac:dyDescent="0.25">
      <c r="B75" s="404">
        <v>40695</v>
      </c>
      <c r="C75" s="405"/>
      <c r="D75" s="405"/>
      <c r="E75" s="405"/>
      <c r="F75" s="405"/>
      <c r="G75" s="405"/>
      <c r="H75" s="405"/>
      <c r="I75" s="405">
        <v>582</v>
      </c>
      <c r="J75" s="405">
        <v>95</v>
      </c>
      <c r="K75" s="405">
        <v>677</v>
      </c>
      <c r="L75" s="405">
        <v>687</v>
      </c>
      <c r="M75" s="405">
        <v>156</v>
      </c>
      <c r="N75" s="405">
        <v>843</v>
      </c>
      <c r="O75" s="405">
        <v>1591</v>
      </c>
      <c r="P75" s="405">
        <v>908</v>
      </c>
      <c r="Q75" s="405">
        <v>2499</v>
      </c>
      <c r="R75" s="405">
        <v>116</v>
      </c>
      <c r="S75" s="405">
        <v>44</v>
      </c>
      <c r="T75" s="405">
        <v>160</v>
      </c>
      <c r="U75" s="406">
        <v>2976</v>
      </c>
      <c r="V75" s="406">
        <v>1203</v>
      </c>
      <c r="W75" s="406">
        <v>4179</v>
      </c>
    </row>
    <row r="76" spans="2:23" hidden="1" outlineLevel="1" x14ac:dyDescent="0.25">
      <c r="B76" s="404">
        <v>40725</v>
      </c>
      <c r="C76" s="405"/>
      <c r="D76" s="405"/>
      <c r="E76" s="405"/>
      <c r="F76" s="405"/>
      <c r="G76" s="405"/>
      <c r="H76" s="405"/>
      <c r="I76" s="405">
        <v>712</v>
      </c>
      <c r="J76" s="405">
        <v>82</v>
      </c>
      <c r="K76" s="405">
        <v>794</v>
      </c>
      <c r="L76" s="405">
        <v>760</v>
      </c>
      <c r="M76" s="405">
        <v>145</v>
      </c>
      <c r="N76" s="405">
        <v>905</v>
      </c>
      <c r="O76" s="405">
        <v>3028</v>
      </c>
      <c r="P76" s="405">
        <v>1924</v>
      </c>
      <c r="Q76" s="405">
        <v>4952</v>
      </c>
      <c r="R76" s="405">
        <v>138</v>
      </c>
      <c r="S76" s="405">
        <v>64</v>
      </c>
      <c r="T76" s="405">
        <v>202</v>
      </c>
      <c r="U76" s="406">
        <v>4638</v>
      </c>
      <c r="V76" s="406">
        <v>2215</v>
      </c>
      <c r="W76" s="406">
        <v>6853</v>
      </c>
    </row>
    <row r="77" spans="2:23" hidden="1" outlineLevel="1" x14ac:dyDescent="0.25">
      <c r="B77" s="404">
        <v>40756</v>
      </c>
      <c r="C77" s="405"/>
      <c r="D77" s="405"/>
      <c r="E77" s="405"/>
      <c r="F77" s="405"/>
      <c r="G77" s="405"/>
      <c r="H77" s="405"/>
      <c r="I77" s="405">
        <v>567</v>
      </c>
      <c r="J77" s="405">
        <v>84</v>
      </c>
      <c r="K77" s="405">
        <v>651</v>
      </c>
      <c r="L77" s="405">
        <v>733</v>
      </c>
      <c r="M77" s="405">
        <v>153</v>
      </c>
      <c r="N77" s="405">
        <v>886</v>
      </c>
      <c r="O77" s="405">
        <v>2404</v>
      </c>
      <c r="P77" s="405">
        <v>1632</v>
      </c>
      <c r="Q77" s="405">
        <v>4036</v>
      </c>
      <c r="R77" s="405">
        <v>127</v>
      </c>
      <c r="S77" s="405">
        <v>55</v>
      </c>
      <c r="T77" s="405">
        <v>182</v>
      </c>
      <c r="U77" s="406">
        <v>3831</v>
      </c>
      <c r="V77" s="406">
        <v>1924</v>
      </c>
      <c r="W77" s="406">
        <v>5755</v>
      </c>
    </row>
    <row r="78" spans="2:23" hidden="1" outlineLevel="1" x14ac:dyDescent="0.25">
      <c r="B78" s="404">
        <v>40787</v>
      </c>
      <c r="C78" s="405"/>
      <c r="D78" s="405"/>
      <c r="E78" s="405"/>
      <c r="F78" s="405"/>
      <c r="G78" s="405"/>
      <c r="H78" s="405"/>
      <c r="I78" s="405">
        <v>497</v>
      </c>
      <c r="J78" s="405">
        <v>79</v>
      </c>
      <c r="K78" s="405">
        <v>576</v>
      </c>
      <c r="L78" s="405">
        <v>637</v>
      </c>
      <c r="M78" s="405">
        <v>146</v>
      </c>
      <c r="N78" s="405">
        <v>783</v>
      </c>
      <c r="O78" s="405">
        <v>1599</v>
      </c>
      <c r="P78" s="405">
        <v>1052</v>
      </c>
      <c r="Q78" s="405">
        <v>2651</v>
      </c>
      <c r="R78" s="405">
        <v>85</v>
      </c>
      <c r="S78" s="405">
        <v>37</v>
      </c>
      <c r="T78" s="405">
        <v>122</v>
      </c>
      <c r="U78" s="406">
        <v>2818</v>
      </c>
      <c r="V78" s="406">
        <v>1314</v>
      </c>
      <c r="W78" s="406">
        <v>4132</v>
      </c>
    </row>
    <row r="79" spans="2:23" hidden="1" outlineLevel="1" x14ac:dyDescent="0.25">
      <c r="B79" s="404">
        <v>40817</v>
      </c>
      <c r="C79" s="405"/>
      <c r="D79" s="405"/>
      <c r="E79" s="405"/>
      <c r="F79" s="405"/>
      <c r="G79" s="405"/>
      <c r="H79" s="405"/>
      <c r="I79" s="405">
        <v>346</v>
      </c>
      <c r="J79" s="405">
        <v>40</v>
      </c>
      <c r="K79" s="405">
        <v>386</v>
      </c>
      <c r="L79" s="405">
        <v>612</v>
      </c>
      <c r="M79" s="405">
        <v>123</v>
      </c>
      <c r="N79" s="405">
        <v>735</v>
      </c>
      <c r="O79" s="405">
        <v>1328</v>
      </c>
      <c r="P79" s="405">
        <v>698</v>
      </c>
      <c r="Q79" s="405">
        <v>2026</v>
      </c>
      <c r="R79" s="405">
        <v>76</v>
      </c>
      <c r="S79" s="405">
        <v>24</v>
      </c>
      <c r="T79" s="405">
        <v>100</v>
      </c>
      <c r="U79" s="406">
        <v>2362</v>
      </c>
      <c r="V79" s="406">
        <v>885</v>
      </c>
      <c r="W79" s="406">
        <v>3247</v>
      </c>
    </row>
    <row r="80" spans="2:23" hidden="1" outlineLevel="1" x14ac:dyDescent="0.25">
      <c r="B80" s="404">
        <v>40848</v>
      </c>
      <c r="C80" s="405"/>
      <c r="D80" s="405"/>
      <c r="E80" s="405"/>
      <c r="F80" s="405"/>
      <c r="G80" s="405"/>
      <c r="H80" s="405"/>
      <c r="I80" s="405">
        <v>400</v>
      </c>
      <c r="J80" s="405">
        <v>51</v>
      </c>
      <c r="K80" s="405">
        <v>451</v>
      </c>
      <c r="L80" s="405">
        <v>726</v>
      </c>
      <c r="M80" s="405">
        <v>132</v>
      </c>
      <c r="N80" s="405">
        <v>858</v>
      </c>
      <c r="O80" s="405">
        <v>2064</v>
      </c>
      <c r="P80" s="405">
        <v>1262</v>
      </c>
      <c r="Q80" s="405">
        <v>3326</v>
      </c>
      <c r="R80" s="405">
        <v>79</v>
      </c>
      <c r="S80" s="405">
        <v>25</v>
      </c>
      <c r="T80" s="405">
        <v>104</v>
      </c>
      <c r="U80" s="406">
        <v>3269</v>
      </c>
      <c r="V80" s="406">
        <v>1470</v>
      </c>
      <c r="W80" s="406">
        <v>4739</v>
      </c>
    </row>
    <row r="81" spans="2:23" hidden="1" outlineLevel="1" x14ac:dyDescent="0.25">
      <c r="B81" s="404">
        <v>40878</v>
      </c>
      <c r="C81" s="405"/>
      <c r="D81" s="405"/>
      <c r="E81" s="405"/>
      <c r="F81" s="405"/>
      <c r="G81" s="405"/>
      <c r="H81" s="405"/>
      <c r="I81" s="405">
        <v>324</v>
      </c>
      <c r="J81" s="405">
        <v>29</v>
      </c>
      <c r="K81" s="405">
        <v>353</v>
      </c>
      <c r="L81" s="405">
        <v>560</v>
      </c>
      <c r="M81" s="405">
        <v>102</v>
      </c>
      <c r="N81" s="405">
        <v>662</v>
      </c>
      <c r="O81" s="405">
        <v>1595</v>
      </c>
      <c r="P81" s="405">
        <v>1019</v>
      </c>
      <c r="Q81" s="405">
        <v>2614</v>
      </c>
      <c r="R81" s="405">
        <v>45</v>
      </c>
      <c r="S81" s="405">
        <v>26</v>
      </c>
      <c r="T81" s="405">
        <v>71</v>
      </c>
      <c r="U81" s="406">
        <v>2524</v>
      </c>
      <c r="V81" s="406">
        <v>1176</v>
      </c>
      <c r="W81" s="406">
        <v>3700</v>
      </c>
    </row>
    <row r="82" spans="2:23" collapsed="1" x14ac:dyDescent="0.25">
      <c r="B82" s="407" t="s">
        <v>752</v>
      </c>
      <c r="C82" s="408" t="s">
        <v>916</v>
      </c>
      <c r="D82" s="408" t="s">
        <v>916</v>
      </c>
      <c r="E82" s="408" t="s">
        <v>916</v>
      </c>
      <c r="F82" s="408" t="s">
        <v>916</v>
      </c>
      <c r="G82" s="408" t="s">
        <v>916</v>
      </c>
      <c r="H82" s="408" t="s">
        <v>916</v>
      </c>
      <c r="I82" s="408">
        <v>533</v>
      </c>
      <c r="J82" s="408">
        <v>74</v>
      </c>
      <c r="K82" s="408">
        <v>607</v>
      </c>
      <c r="L82" s="408">
        <v>724</v>
      </c>
      <c r="M82" s="408">
        <v>140</v>
      </c>
      <c r="N82" s="408">
        <v>864</v>
      </c>
      <c r="O82" s="408">
        <v>1790</v>
      </c>
      <c r="P82" s="408">
        <v>1121</v>
      </c>
      <c r="Q82" s="408">
        <v>2911</v>
      </c>
      <c r="R82" s="408">
        <v>95</v>
      </c>
      <c r="S82" s="408">
        <v>40</v>
      </c>
      <c r="T82" s="408">
        <v>134</v>
      </c>
      <c r="U82" s="408">
        <v>3142</v>
      </c>
      <c r="V82" s="408">
        <v>1375</v>
      </c>
      <c r="W82" s="408">
        <v>4516</v>
      </c>
    </row>
    <row r="83" spans="2:23" hidden="1" outlineLevel="1" x14ac:dyDescent="0.25">
      <c r="B83" s="404">
        <v>40909</v>
      </c>
      <c r="C83" s="405"/>
      <c r="D83" s="405"/>
      <c r="E83" s="405"/>
      <c r="F83" s="405"/>
      <c r="G83" s="405"/>
      <c r="H83" s="405"/>
      <c r="I83" s="405">
        <v>355</v>
      </c>
      <c r="J83" s="405">
        <v>43</v>
      </c>
      <c r="K83" s="405">
        <v>398</v>
      </c>
      <c r="L83" s="405">
        <v>564</v>
      </c>
      <c r="M83" s="405">
        <v>124</v>
      </c>
      <c r="N83" s="405">
        <v>688</v>
      </c>
      <c r="O83" s="405">
        <v>1640</v>
      </c>
      <c r="P83" s="405">
        <v>954</v>
      </c>
      <c r="Q83" s="405">
        <v>2594</v>
      </c>
      <c r="R83" s="405">
        <v>66</v>
      </c>
      <c r="S83" s="405">
        <v>28</v>
      </c>
      <c r="T83" s="405">
        <v>94</v>
      </c>
      <c r="U83" s="406">
        <v>2625</v>
      </c>
      <c r="V83" s="406">
        <v>1149</v>
      </c>
      <c r="W83" s="406">
        <v>3774</v>
      </c>
    </row>
    <row r="84" spans="2:23" hidden="1" outlineLevel="1" x14ac:dyDescent="0.25">
      <c r="B84" s="404">
        <v>40940</v>
      </c>
      <c r="C84" s="405"/>
      <c r="D84" s="405"/>
      <c r="E84" s="405"/>
      <c r="F84" s="405"/>
      <c r="G84" s="405"/>
      <c r="H84" s="405"/>
      <c r="I84" s="405">
        <v>295</v>
      </c>
      <c r="J84" s="405">
        <v>35</v>
      </c>
      <c r="K84" s="405">
        <v>330</v>
      </c>
      <c r="L84" s="405">
        <v>525</v>
      </c>
      <c r="M84" s="405">
        <v>117</v>
      </c>
      <c r="N84" s="405">
        <v>642</v>
      </c>
      <c r="O84" s="405">
        <v>1029</v>
      </c>
      <c r="P84" s="405">
        <v>640</v>
      </c>
      <c r="Q84" s="405">
        <v>1669</v>
      </c>
      <c r="R84" s="405">
        <v>66</v>
      </c>
      <c r="S84" s="405">
        <v>23</v>
      </c>
      <c r="T84" s="405">
        <v>89</v>
      </c>
      <c r="U84" s="406">
        <v>1915</v>
      </c>
      <c r="V84" s="406">
        <v>815</v>
      </c>
      <c r="W84" s="406">
        <v>2730</v>
      </c>
    </row>
    <row r="85" spans="2:23" hidden="1" outlineLevel="1" x14ac:dyDescent="0.25">
      <c r="B85" s="404">
        <v>40969</v>
      </c>
      <c r="C85" s="405"/>
      <c r="D85" s="405"/>
      <c r="E85" s="405"/>
      <c r="F85" s="405"/>
      <c r="G85" s="405"/>
      <c r="H85" s="405"/>
      <c r="I85" s="405">
        <v>346</v>
      </c>
      <c r="J85" s="405">
        <v>41</v>
      </c>
      <c r="K85" s="405">
        <v>387</v>
      </c>
      <c r="L85" s="405">
        <v>646</v>
      </c>
      <c r="M85" s="405">
        <v>121</v>
      </c>
      <c r="N85" s="405">
        <v>767</v>
      </c>
      <c r="O85" s="405">
        <v>1089</v>
      </c>
      <c r="P85" s="405">
        <v>600</v>
      </c>
      <c r="Q85" s="405">
        <v>1689</v>
      </c>
      <c r="R85" s="405">
        <v>74</v>
      </c>
      <c r="S85" s="405">
        <v>24</v>
      </c>
      <c r="T85" s="405">
        <v>98</v>
      </c>
      <c r="U85" s="406">
        <v>2155</v>
      </c>
      <c r="V85" s="406">
        <v>786</v>
      </c>
      <c r="W85" s="406">
        <v>2941</v>
      </c>
    </row>
    <row r="86" spans="2:23" hidden="1" outlineLevel="1" x14ac:dyDescent="0.25">
      <c r="B86" s="404">
        <v>41000</v>
      </c>
      <c r="C86" s="405"/>
      <c r="D86" s="405"/>
      <c r="E86" s="405"/>
      <c r="F86" s="405"/>
      <c r="G86" s="405"/>
      <c r="H86" s="405"/>
      <c r="I86" s="405">
        <v>280</v>
      </c>
      <c r="J86" s="405">
        <v>33</v>
      </c>
      <c r="K86" s="405">
        <v>313</v>
      </c>
      <c r="L86" s="405">
        <v>579</v>
      </c>
      <c r="M86" s="405">
        <v>128</v>
      </c>
      <c r="N86" s="405">
        <v>707</v>
      </c>
      <c r="O86" s="405">
        <v>909</v>
      </c>
      <c r="P86" s="405">
        <v>580</v>
      </c>
      <c r="Q86" s="405">
        <v>1489</v>
      </c>
      <c r="R86" s="405">
        <v>53</v>
      </c>
      <c r="S86" s="405">
        <v>19</v>
      </c>
      <c r="T86" s="405">
        <v>72</v>
      </c>
      <c r="U86" s="406">
        <v>1821</v>
      </c>
      <c r="V86" s="406">
        <v>760</v>
      </c>
      <c r="W86" s="406">
        <v>2581</v>
      </c>
    </row>
    <row r="87" spans="2:23" hidden="1" outlineLevel="1" x14ac:dyDescent="0.25">
      <c r="B87" s="404">
        <v>41030</v>
      </c>
      <c r="C87" s="405"/>
      <c r="D87" s="405"/>
      <c r="E87" s="405"/>
      <c r="F87" s="405"/>
      <c r="G87" s="405"/>
      <c r="H87" s="405"/>
      <c r="I87" s="405">
        <v>339</v>
      </c>
      <c r="J87" s="405">
        <v>46</v>
      </c>
      <c r="K87" s="405">
        <v>385</v>
      </c>
      <c r="L87" s="405">
        <v>710</v>
      </c>
      <c r="M87" s="405">
        <v>156</v>
      </c>
      <c r="N87" s="405">
        <v>866</v>
      </c>
      <c r="O87" s="405">
        <v>1364</v>
      </c>
      <c r="P87" s="405">
        <v>737</v>
      </c>
      <c r="Q87" s="405">
        <v>2101</v>
      </c>
      <c r="R87" s="405">
        <v>56</v>
      </c>
      <c r="S87" s="405">
        <v>33</v>
      </c>
      <c r="T87" s="405">
        <v>89</v>
      </c>
      <c r="U87" s="406">
        <v>2469</v>
      </c>
      <c r="V87" s="406">
        <v>972</v>
      </c>
      <c r="W87" s="406">
        <v>3441</v>
      </c>
    </row>
    <row r="88" spans="2:23" hidden="1" outlineLevel="1" x14ac:dyDescent="0.25">
      <c r="B88" s="404">
        <v>41061</v>
      </c>
      <c r="C88" s="405"/>
      <c r="D88" s="405"/>
      <c r="E88" s="405"/>
      <c r="F88" s="405"/>
      <c r="G88" s="405"/>
      <c r="H88" s="405"/>
      <c r="I88" s="405">
        <v>312</v>
      </c>
      <c r="J88" s="405">
        <v>45</v>
      </c>
      <c r="K88" s="405">
        <v>357</v>
      </c>
      <c r="L88" s="405">
        <v>615</v>
      </c>
      <c r="M88" s="405">
        <v>145</v>
      </c>
      <c r="N88" s="405">
        <v>760</v>
      </c>
      <c r="O88" s="405">
        <v>1176</v>
      </c>
      <c r="P88" s="405">
        <v>712</v>
      </c>
      <c r="Q88" s="405">
        <v>1888</v>
      </c>
      <c r="R88" s="405">
        <v>84</v>
      </c>
      <c r="S88" s="405">
        <v>26</v>
      </c>
      <c r="T88" s="405">
        <v>110</v>
      </c>
      <c r="U88" s="406">
        <v>2187</v>
      </c>
      <c r="V88" s="406">
        <v>928</v>
      </c>
      <c r="W88" s="406">
        <v>3115</v>
      </c>
    </row>
    <row r="89" spans="2:23" hidden="1" outlineLevel="1" x14ac:dyDescent="0.25">
      <c r="B89" s="404">
        <v>41091</v>
      </c>
      <c r="C89" s="405"/>
      <c r="D89" s="405"/>
      <c r="E89" s="405"/>
      <c r="F89" s="405"/>
      <c r="G89" s="405"/>
      <c r="H89" s="405"/>
      <c r="I89" s="405">
        <v>296</v>
      </c>
      <c r="J89" s="405">
        <v>48</v>
      </c>
      <c r="K89" s="405">
        <v>344</v>
      </c>
      <c r="L89" s="405">
        <v>598</v>
      </c>
      <c r="M89" s="405">
        <v>136</v>
      </c>
      <c r="N89" s="405">
        <v>734</v>
      </c>
      <c r="O89" s="405">
        <v>471</v>
      </c>
      <c r="P89" s="405">
        <v>305</v>
      </c>
      <c r="Q89" s="405">
        <v>776</v>
      </c>
      <c r="R89" s="405">
        <v>89</v>
      </c>
      <c r="S89" s="405">
        <v>22</v>
      </c>
      <c r="T89" s="405">
        <v>111</v>
      </c>
      <c r="U89" s="406">
        <v>1454</v>
      </c>
      <c r="V89" s="406">
        <v>511</v>
      </c>
      <c r="W89" s="406">
        <v>1965</v>
      </c>
    </row>
    <row r="90" spans="2:23" hidden="1" outlineLevel="1" x14ac:dyDescent="0.25">
      <c r="B90" s="404">
        <v>41122</v>
      </c>
      <c r="C90" s="405"/>
      <c r="D90" s="405"/>
      <c r="E90" s="405"/>
      <c r="F90" s="405"/>
      <c r="G90" s="405"/>
      <c r="H90" s="405"/>
      <c r="I90" s="405">
        <v>484</v>
      </c>
      <c r="J90" s="405">
        <v>63</v>
      </c>
      <c r="K90" s="405">
        <v>547</v>
      </c>
      <c r="L90" s="405">
        <v>738</v>
      </c>
      <c r="M90" s="405">
        <v>142</v>
      </c>
      <c r="N90" s="405">
        <v>880</v>
      </c>
      <c r="O90" s="405">
        <v>466</v>
      </c>
      <c r="P90" s="405">
        <v>329</v>
      </c>
      <c r="Q90" s="405">
        <v>795</v>
      </c>
      <c r="R90" s="405">
        <v>78</v>
      </c>
      <c r="S90" s="405">
        <v>45</v>
      </c>
      <c r="T90" s="405">
        <v>123</v>
      </c>
      <c r="U90" s="406">
        <v>1766</v>
      </c>
      <c r="V90" s="406">
        <v>579</v>
      </c>
      <c r="W90" s="406">
        <v>2345</v>
      </c>
    </row>
    <row r="91" spans="2:23" hidden="1" outlineLevel="1" x14ac:dyDescent="0.25">
      <c r="B91" s="404">
        <v>41153</v>
      </c>
      <c r="C91" s="405"/>
      <c r="D91" s="405"/>
      <c r="E91" s="405"/>
      <c r="F91" s="405"/>
      <c r="G91" s="405"/>
      <c r="H91" s="405"/>
      <c r="I91" s="405">
        <v>385</v>
      </c>
      <c r="J91" s="405">
        <v>43</v>
      </c>
      <c r="K91" s="405">
        <v>428</v>
      </c>
      <c r="L91" s="405">
        <v>532</v>
      </c>
      <c r="M91" s="405">
        <v>84</v>
      </c>
      <c r="N91" s="405">
        <v>616</v>
      </c>
      <c r="O91" s="405">
        <v>568</v>
      </c>
      <c r="P91" s="405">
        <v>474</v>
      </c>
      <c r="Q91" s="405">
        <v>1042</v>
      </c>
      <c r="R91" s="405">
        <v>52</v>
      </c>
      <c r="S91" s="405">
        <v>30</v>
      </c>
      <c r="T91" s="405">
        <v>82</v>
      </c>
      <c r="U91" s="406">
        <v>1537</v>
      </c>
      <c r="V91" s="406">
        <v>631</v>
      </c>
      <c r="W91" s="406">
        <v>2168</v>
      </c>
    </row>
    <row r="92" spans="2:23" hidden="1" outlineLevel="1" x14ac:dyDescent="0.25">
      <c r="B92" s="404">
        <v>41183</v>
      </c>
      <c r="C92" s="405"/>
      <c r="D92" s="405"/>
      <c r="E92" s="405"/>
      <c r="F92" s="405"/>
      <c r="G92" s="405"/>
      <c r="H92" s="405"/>
      <c r="I92" s="405">
        <v>539</v>
      </c>
      <c r="J92" s="405">
        <v>78</v>
      </c>
      <c r="K92" s="405">
        <v>617</v>
      </c>
      <c r="L92" s="405">
        <v>782</v>
      </c>
      <c r="M92" s="405">
        <v>126</v>
      </c>
      <c r="N92" s="405">
        <v>908</v>
      </c>
      <c r="O92" s="405">
        <v>486</v>
      </c>
      <c r="P92" s="405">
        <v>371</v>
      </c>
      <c r="Q92" s="405">
        <v>857</v>
      </c>
      <c r="R92" s="405">
        <v>81</v>
      </c>
      <c r="S92" s="405">
        <v>37</v>
      </c>
      <c r="T92" s="405">
        <v>118</v>
      </c>
      <c r="U92" s="406">
        <v>1888</v>
      </c>
      <c r="V92" s="406">
        <v>612</v>
      </c>
      <c r="W92" s="406">
        <v>2500</v>
      </c>
    </row>
    <row r="93" spans="2:23" hidden="1" outlineLevel="1" x14ac:dyDescent="0.25">
      <c r="B93" s="404">
        <v>41214</v>
      </c>
      <c r="C93" s="405"/>
      <c r="D93" s="405"/>
      <c r="E93" s="405"/>
      <c r="F93" s="405"/>
      <c r="G93" s="405"/>
      <c r="H93" s="405"/>
      <c r="I93" s="405">
        <v>187</v>
      </c>
      <c r="J93" s="405">
        <v>25</v>
      </c>
      <c r="K93" s="405">
        <v>212</v>
      </c>
      <c r="L93" s="405">
        <v>610</v>
      </c>
      <c r="M93" s="405">
        <v>120</v>
      </c>
      <c r="N93" s="405">
        <v>730</v>
      </c>
      <c r="O93" s="405">
        <v>312</v>
      </c>
      <c r="P93" s="405">
        <v>244</v>
      </c>
      <c r="Q93" s="405">
        <v>556</v>
      </c>
      <c r="R93" s="405">
        <v>65</v>
      </c>
      <c r="S93" s="405">
        <v>31</v>
      </c>
      <c r="T93" s="405">
        <v>96</v>
      </c>
      <c r="U93" s="406">
        <v>1174</v>
      </c>
      <c r="V93" s="406">
        <v>420</v>
      </c>
      <c r="W93" s="406">
        <v>1594</v>
      </c>
    </row>
    <row r="94" spans="2:23" hidden="1" outlineLevel="1" x14ac:dyDescent="0.25">
      <c r="B94" s="404">
        <v>41244</v>
      </c>
      <c r="C94" s="405"/>
      <c r="D94" s="405"/>
      <c r="E94" s="405"/>
      <c r="F94" s="405"/>
      <c r="G94" s="405"/>
      <c r="H94" s="405"/>
      <c r="I94" s="405">
        <v>193</v>
      </c>
      <c r="J94" s="405">
        <v>38</v>
      </c>
      <c r="K94" s="405">
        <v>231</v>
      </c>
      <c r="L94" s="405">
        <v>517</v>
      </c>
      <c r="M94" s="405">
        <v>129</v>
      </c>
      <c r="N94" s="405">
        <v>646</v>
      </c>
      <c r="O94" s="405">
        <v>550</v>
      </c>
      <c r="P94" s="405">
        <v>465</v>
      </c>
      <c r="Q94" s="405">
        <v>1015</v>
      </c>
      <c r="R94" s="405">
        <v>37</v>
      </c>
      <c r="S94" s="405">
        <v>17</v>
      </c>
      <c r="T94" s="405">
        <v>54</v>
      </c>
      <c r="U94" s="406">
        <v>1297</v>
      </c>
      <c r="V94" s="406">
        <v>649</v>
      </c>
      <c r="W94" s="406">
        <v>1946</v>
      </c>
    </row>
    <row r="95" spans="2:23" collapsed="1" x14ac:dyDescent="0.25">
      <c r="B95" s="407" t="s">
        <v>753</v>
      </c>
      <c r="C95" s="408" t="s">
        <v>916</v>
      </c>
      <c r="D95" s="408" t="s">
        <v>916</v>
      </c>
      <c r="E95" s="408" t="s">
        <v>916</v>
      </c>
      <c r="F95" s="408" t="s">
        <v>916</v>
      </c>
      <c r="G95" s="408" t="s">
        <v>916</v>
      </c>
      <c r="H95" s="408" t="s">
        <v>916</v>
      </c>
      <c r="I95" s="408">
        <v>334</v>
      </c>
      <c r="J95" s="408">
        <v>45</v>
      </c>
      <c r="K95" s="408">
        <v>379</v>
      </c>
      <c r="L95" s="408">
        <v>618</v>
      </c>
      <c r="M95" s="408">
        <v>127</v>
      </c>
      <c r="N95" s="408">
        <v>745</v>
      </c>
      <c r="O95" s="408">
        <v>838</v>
      </c>
      <c r="P95" s="408">
        <v>534</v>
      </c>
      <c r="Q95" s="408">
        <v>1373</v>
      </c>
      <c r="R95" s="408">
        <v>67</v>
      </c>
      <c r="S95" s="408">
        <v>28</v>
      </c>
      <c r="T95" s="408">
        <v>95</v>
      </c>
      <c r="U95" s="408">
        <v>1857</v>
      </c>
      <c r="V95" s="408">
        <v>734</v>
      </c>
      <c r="W95" s="408">
        <v>2592</v>
      </c>
    </row>
    <row r="96" spans="2:23" hidden="1" outlineLevel="1" x14ac:dyDescent="0.25">
      <c r="B96" s="404">
        <v>41275</v>
      </c>
      <c r="C96" s="405"/>
      <c r="D96" s="405"/>
      <c r="E96" s="405"/>
      <c r="F96" s="405"/>
      <c r="G96" s="405"/>
      <c r="H96" s="405"/>
      <c r="I96" s="405">
        <v>193</v>
      </c>
      <c r="J96" s="405">
        <v>41</v>
      </c>
      <c r="K96" s="405">
        <v>234</v>
      </c>
      <c r="L96" s="405">
        <v>499</v>
      </c>
      <c r="M96" s="405">
        <v>115</v>
      </c>
      <c r="N96" s="405">
        <v>614</v>
      </c>
      <c r="O96" s="405">
        <v>666</v>
      </c>
      <c r="P96" s="405">
        <v>514</v>
      </c>
      <c r="Q96" s="405">
        <v>1180</v>
      </c>
      <c r="R96" s="405">
        <v>47</v>
      </c>
      <c r="S96" s="405">
        <v>36</v>
      </c>
      <c r="T96" s="405">
        <v>83</v>
      </c>
      <c r="U96" s="406">
        <v>1405</v>
      </c>
      <c r="V96" s="406">
        <v>706</v>
      </c>
      <c r="W96" s="406">
        <v>2111</v>
      </c>
    </row>
    <row r="97" spans="2:23" hidden="1" outlineLevel="1" x14ac:dyDescent="0.25">
      <c r="B97" s="404">
        <v>41306</v>
      </c>
      <c r="C97" s="405"/>
      <c r="D97" s="405"/>
      <c r="E97" s="405"/>
      <c r="F97" s="405"/>
      <c r="G97" s="405"/>
      <c r="H97" s="405"/>
      <c r="I97" s="405">
        <v>155</v>
      </c>
      <c r="J97" s="405">
        <v>41</v>
      </c>
      <c r="K97" s="405">
        <v>196</v>
      </c>
      <c r="L97" s="405">
        <v>456</v>
      </c>
      <c r="M97" s="405">
        <v>104</v>
      </c>
      <c r="N97" s="405">
        <v>560</v>
      </c>
      <c r="O97" s="405">
        <v>425</v>
      </c>
      <c r="P97" s="405">
        <v>304</v>
      </c>
      <c r="Q97" s="405">
        <v>729</v>
      </c>
      <c r="R97" s="405">
        <v>37</v>
      </c>
      <c r="S97" s="405">
        <v>16</v>
      </c>
      <c r="T97" s="405">
        <v>53</v>
      </c>
      <c r="U97" s="406">
        <v>1073</v>
      </c>
      <c r="V97" s="406">
        <v>465</v>
      </c>
      <c r="W97" s="406">
        <v>1538</v>
      </c>
    </row>
    <row r="98" spans="2:23" hidden="1" outlineLevel="1" x14ac:dyDescent="0.25">
      <c r="B98" s="404">
        <v>41334</v>
      </c>
      <c r="C98" s="405"/>
      <c r="D98" s="405"/>
      <c r="E98" s="405"/>
      <c r="F98" s="405"/>
      <c r="G98" s="405"/>
      <c r="H98" s="405"/>
      <c r="I98" s="405">
        <v>107</v>
      </c>
      <c r="J98" s="405">
        <v>25</v>
      </c>
      <c r="K98" s="405">
        <v>132</v>
      </c>
      <c r="L98" s="405">
        <v>594</v>
      </c>
      <c r="M98" s="405">
        <v>121</v>
      </c>
      <c r="N98" s="405">
        <v>715</v>
      </c>
      <c r="O98" s="405">
        <v>328</v>
      </c>
      <c r="P98" s="405">
        <v>285</v>
      </c>
      <c r="Q98" s="405">
        <v>613</v>
      </c>
      <c r="R98" s="405">
        <v>61</v>
      </c>
      <c r="S98" s="405">
        <v>31</v>
      </c>
      <c r="T98" s="405">
        <v>92</v>
      </c>
      <c r="U98" s="406">
        <v>1090</v>
      </c>
      <c r="V98" s="406">
        <v>462</v>
      </c>
      <c r="W98" s="406">
        <v>1552</v>
      </c>
    </row>
    <row r="99" spans="2:23" hidden="1" outlineLevel="1" x14ac:dyDescent="0.25">
      <c r="B99" s="404">
        <v>41365</v>
      </c>
      <c r="C99" s="405"/>
      <c r="D99" s="405"/>
      <c r="E99" s="405"/>
      <c r="F99" s="405"/>
      <c r="G99" s="405"/>
      <c r="H99" s="405"/>
      <c r="I99" s="405">
        <v>126</v>
      </c>
      <c r="J99" s="405">
        <v>30</v>
      </c>
      <c r="K99" s="405">
        <v>156</v>
      </c>
      <c r="L99" s="405">
        <v>663</v>
      </c>
      <c r="M99" s="405">
        <v>127</v>
      </c>
      <c r="N99" s="405">
        <v>790</v>
      </c>
      <c r="O99" s="405">
        <v>271</v>
      </c>
      <c r="P99" s="405">
        <v>256</v>
      </c>
      <c r="Q99" s="405">
        <v>527</v>
      </c>
      <c r="R99" s="405">
        <v>63</v>
      </c>
      <c r="S99" s="405">
        <v>37</v>
      </c>
      <c r="T99" s="405">
        <v>100</v>
      </c>
      <c r="U99" s="406">
        <v>1123</v>
      </c>
      <c r="V99" s="406">
        <v>450</v>
      </c>
      <c r="W99" s="406">
        <v>1573</v>
      </c>
    </row>
    <row r="100" spans="2:23" hidden="1" outlineLevel="1" x14ac:dyDescent="0.25">
      <c r="B100" s="404">
        <v>41395</v>
      </c>
      <c r="C100" s="405"/>
      <c r="D100" s="405"/>
      <c r="E100" s="405"/>
      <c r="F100" s="405"/>
      <c r="G100" s="405"/>
      <c r="H100" s="405"/>
      <c r="I100" s="405">
        <v>94</v>
      </c>
      <c r="J100" s="405">
        <v>37</v>
      </c>
      <c r="K100" s="405">
        <v>131</v>
      </c>
      <c r="L100" s="405">
        <v>544</v>
      </c>
      <c r="M100" s="405">
        <v>89</v>
      </c>
      <c r="N100" s="405">
        <v>633</v>
      </c>
      <c r="O100" s="405">
        <v>245</v>
      </c>
      <c r="P100" s="405">
        <v>361</v>
      </c>
      <c r="Q100" s="405">
        <v>606</v>
      </c>
      <c r="R100" s="405">
        <v>68</v>
      </c>
      <c r="S100" s="405">
        <v>35</v>
      </c>
      <c r="T100" s="405">
        <v>103</v>
      </c>
      <c r="U100" s="406">
        <v>951</v>
      </c>
      <c r="V100" s="406">
        <v>522</v>
      </c>
      <c r="W100" s="406">
        <v>1473</v>
      </c>
    </row>
    <row r="101" spans="2:23" hidden="1" outlineLevel="1" x14ac:dyDescent="0.25">
      <c r="B101" s="404">
        <v>41426</v>
      </c>
      <c r="C101" s="405"/>
      <c r="D101" s="405"/>
      <c r="E101" s="405"/>
      <c r="F101" s="405"/>
      <c r="G101" s="405"/>
      <c r="H101" s="405"/>
      <c r="I101" s="405">
        <v>274</v>
      </c>
      <c r="J101" s="405">
        <v>68</v>
      </c>
      <c r="K101" s="405">
        <v>342</v>
      </c>
      <c r="L101" s="405">
        <v>567</v>
      </c>
      <c r="M101" s="405">
        <v>119</v>
      </c>
      <c r="N101" s="405">
        <v>686</v>
      </c>
      <c r="O101" s="405">
        <v>632</v>
      </c>
      <c r="P101" s="405">
        <v>542</v>
      </c>
      <c r="Q101" s="405">
        <v>1174</v>
      </c>
      <c r="R101" s="405">
        <v>88</v>
      </c>
      <c r="S101" s="405">
        <v>42</v>
      </c>
      <c r="T101" s="405">
        <v>130</v>
      </c>
      <c r="U101" s="406">
        <v>1561</v>
      </c>
      <c r="V101" s="406">
        <v>771</v>
      </c>
      <c r="W101" s="406">
        <v>2332</v>
      </c>
    </row>
    <row r="102" spans="2:23" hidden="1" outlineLevel="1" x14ac:dyDescent="0.25">
      <c r="B102" s="404">
        <v>41456</v>
      </c>
      <c r="C102" s="405"/>
      <c r="D102" s="405"/>
      <c r="E102" s="405"/>
      <c r="F102" s="405"/>
      <c r="G102" s="405"/>
      <c r="H102" s="405"/>
      <c r="I102" s="405">
        <v>83</v>
      </c>
      <c r="J102" s="405">
        <v>36</v>
      </c>
      <c r="K102" s="405">
        <v>119</v>
      </c>
      <c r="L102" s="405">
        <v>552</v>
      </c>
      <c r="M102" s="405">
        <v>105</v>
      </c>
      <c r="N102" s="405">
        <v>657</v>
      </c>
      <c r="O102" s="405">
        <v>207</v>
      </c>
      <c r="P102" s="405">
        <v>222</v>
      </c>
      <c r="Q102" s="405">
        <v>429</v>
      </c>
      <c r="R102" s="405">
        <v>54</v>
      </c>
      <c r="S102" s="405">
        <v>39</v>
      </c>
      <c r="T102" s="405">
        <v>93</v>
      </c>
      <c r="U102" s="406">
        <v>896</v>
      </c>
      <c r="V102" s="406">
        <v>402</v>
      </c>
      <c r="W102" s="406">
        <v>1298</v>
      </c>
    </row>
    <row r="103" spans="2:23" hidden="1" outlineLevel="1" x14ac:dyDescent="0.25">
      <c r="B103" s="404">
        <v>41487</v>
      </c>
      <c r="C103" s="405"/>
      <c r="D103" s="405"/>
      <c r="E103" s="405"/>
      <c r="F103" s="405"/>
      <c r="G103" s="405"/>
      <c r="H103" s="405"/>
      <c r="I103" s="405">
        <v>137</v>
      </c>
      <c r="J103" s="405">
        <v>42</v>
      </c>
      <c r="K103" s="405">
        <v>179</v>
      </c>
      <c r="L103" s="405">
        <v>604</v>
      </c>
      <c r="M103" s="405">
        <v>108</v>
      </c>
      <c r="N103" s="405">
        <v>712</v>
      </c>
      <c r="O103" s="405">
        <v>751</v>
      </c>
      <c r="P103" s="405">
        <v>569</v>
      </c>
      <c r="Q103" s="405">
        <v>1320</v>
      </c>
      <c r="R103" s="405">
        <v>94</v>
      </c>
      <c r="S103" s="405">
        <v>44</v>
      </c>
      <c r="T103" s="405">
        <v>138</v>
      </c>
      <c r="U103" s="406">
        <v>1586</v>
      </c>
      <c r="V103" s="406">
        <v>763</v>
      </c>
      <c r="W103" s="406">
        <v>2349</v>
      </c>
    </row>
    <row r="104" spans="2:23" hidden="1" outlineLevel="1" x14ac:dyDescent="0.25">
      <c r="B104" s="404">
        <v>41518</v>
      </c>
      <c r="C104" s="405"/>
      <c r="D104" s="405"/>
      <c r="E104" s="405"/>
      <c r="F104" s="405"/>
      <c r="G104" s="405"/>
      <c r="H104" s="405"/>
      <c r="I104" s="405">
        <v>287</v>
      </c>
      <c r="J104" s="405">
        <v>79</v>
      </c>
      <c r="K104" s="405">
        <v>366</v>
      </c>
      <c r="L104" s="405">
        <v>444</v>
      </c>
      <c r="M104" s="405">
        <v>87</v>
      </c>
      <c r="N104" s="405">
        <v>531</v>
      </c>
      <c r="O104" s="405">
        <v>661</v>
      </c>
      <c r="P104" s="405">
        <v>468</v>
      </c>
      <c r="Q104" s="405">
        <v>1129</v>
      </c>
      <c r="R104" s="405">
        <v>93</v>
      </c>
      <c r="S104" s="405">
        <v>28</v>
      </c>
      <c r="T104" s="405">
        <v>121</v>
      </c>
      <c r="U104" s="406">
        <v>1485</v>
      </c>
      <c r="V104" s="406">
        <v>662</v>
      </c>
      <c r="W104" s="406">
        <v>2147</v>
      </c>
    </row>
    <row r="105" spans="2:23" hidden="1" outlineLevel="1" x14ac:dyDescent="0.25">
      <c r="B105" s="404">
        <v>41548</v>
      </c>
      <c r="C105" s="405"/>
      <c r="D105" s="405"/>
      <c r="E105" s="405"/>
      <c r="F105" s="405"/>
      <c r="G105" s="405"/>
      <c r="H105" s="405"/>
      <c r="I105" s="405">
        <v>412</v>
      </c>
      <c r="J105" s="405">
        <v>93</v>
      </c>
      <c r="K105" s="405">
        <v>505</v>
      </c>
      <c r="L105" s="405">
        <v>564</v>
      </c>
      <c r="M105" s="405">
        <v>108</v>
      </c>
      <c r="N105" s="405">
        <v>672</v>
      </c>
      <c r="O105" s="405">
        <v>790</v>
      </c>
      <c r="P105" s="405">
        <v>523</v>
      </c>
      <c r="Q105" s="405">
        <v>1313</v>
      </c>
      <c r="R105" s="405">
        <v>109</v>
      </c>
      <c r="S105" s="405">
        <v>40</v>
      </c>
      <c r="T105" s="405">
        <v>149</v>
      </c>
      <c r="U105" s="406">
        <v>1875</v>
      </c>
      <c r="V105" s="406">
        <v>764</v>
      </c>
      <c r="W105" s="406">
        <v>2639</v>
      </c>
    </row>
    <row r="106" spans="2:23" hidden="1" outlineLevel="1" x14ac:dyDescent="0.25">
      <c r="B106" s="404">
        <v>41579</v>
      </c>
      <c r="C106" s="405"/>
      <c r="D106" s="405"/>
      <c r="E106" s="405"/>
      <c r="F106" s="405"/>
      <c r="G106" s="405"/>
      <c r="H106" s="405"/>
      <c r="I106" s="405">
        <v>193</v>
      </c>
      <c r="J106" s="405">
        <v>53</v>
      </c>
      <c r="K106" s="405">
        <v>246</v>
      </c>
      <c r="L106" s="405">
        <v>295</v>
      </c>
      <c r="M106" s="405">
        <v>73</v>
      </c>
      <c r="N106" s="405">
        <v>368</v>
      </c>
      <c r="O106" s="405">
        <v>471</v>
      </c>
      <c r="P106" s="405">
        <v>402</v>
      </c>
      <c r="Q106" s="405">
        <v>873</v>
      </c>
      <c r="R106" s="405">
        <v>33</v>
      </c>
      <c r="S106" s="405">
        <v>9</v>
      </c>
      <c r="T106" s="405">
        <v>42</v>
      </c>
      <c r="U106" s="406">
        <v>992</v>
      </c>
      <c r="V106" s="406">
        <v>537</v>
      </c>
      <c r="W106" s="406">
        <v>1529</v>
      </c>
    </row>
    <row r="107" spans="2:23" hidden="1" outlineLevel="1" x14ac:dyDescent="0.25">
      <c r="B107" s="404">
        <v>41609</v>
      </c>
      <c r="C107" s="405"/>
      <c r="D107" s="405"/>
      <c r="E107" s="405"/>
      <c r="F107" s="405"/>
      <c r="G107" s="405"/>
      <c r="H107" s="405"/>
      <c r="I107" s="405">
        <v>398</v>
      </c>
      <c r="J107" s="405">
        <v>107</v>
      </c>
      <c r="K107" s="405">
        <v>505</v>
      </c>
      <c r="L107" s="405">
        <v>583</v>
      </c>
      <c r="M107" s="405">
        <v>136</v>
      </c>
      <c r="N107" s="405">
        <v>719</v>
      </c>
      <c r="O107" s="405">
        <v>713</v>
      </c>
      <c r="P107" s="405">
        <v>611</v>
      </c>
      <c r="Q107" s="405">
        <v>1324</v>
      </c>
      <c r="R107" s="405">
        <v>61</v>
      </c>
      <c r="S107" s="405">
        <v>16</v>
      </c>
      <c r="T107" s="405">
        <v>77</v>
      </c>
      <c r="U107" s="406">
        <v>1755</v>
      </c>
      <c r="V107" s="406">
        <v>870</v>
      </c>
      <c r="W107" s="406">
        <v>2625</v>
      </c>
    </row>
    <row r="108" spans="2:23" collapsed="1" x14ac:dyDescent="0.25">
      <c r="B108" s="407" t="s">
        <v>754</v>
      </c>
      <c r="C108" s="408" t="s">
        <v>916</v>
      </c>
      <c r="D108" s="408" t="s">
        <v>916</v>
      </c>
      <c r="E108" s="408" t="s">
        <v>916</v>
      </c>
      <c r="F108" s="408" t="s">
        <v>916</v>
      </c>
      <c r="G108" s="408" t="s">
        <v>916</v>
      </c>
      <c r="H108" s="408" t="s">
        <v>916</v>
      </c>
      <c r="I108" s="408">
        <v>205</v>
      </c>
      <c r="J108" s="408">
        <v>54</v>
      </c>
      <c r="K108" s="408">
        <v>259</v>
      </c>
      <c r="L108" s="408">
        <v>530</v>
      </c>
      <c r="M108" s="408">
        <v>108</v>
      </c>
      <c r="N108" s="408">
        <v>638</v>
      </c>
      <c r="O108" s="408">
        <v>513</v>
      </c>
      <c r="P108" s="408">
        <v>421</v>
      </c>
      <c r="Q108" s="408">
        <v>935</v>
      </c>
      <c r="R108" s="408">
        <v>67</v>
      </c>
      <c r="S108" s="408">
        <v>31</v>
      </c>
      <c r="T108" s="408">
        <v>98</v>
      </c>
      <c r="U108" s="408">
        <v>1316</v>
      </c>
      <c r="V108" s="408">
        <v>615</v>
      </c>
      <c r="W108" s="408">
        <v>1931</v>
      </c>
    </row>
    <row r="109" spans="2:23" hidden="1" outlineLevel="1" x14ac:dyDescent="0.25">
      <c r="B109" s="404">
        <v>41640</v>
      </c>
      <c r="C109" s="405"/>
      <c r="D109" s="405"/>
      <c r="E109" s="405"/>
      <c r="F109" s="405"/>
      <c r="G109" s="405"/>
      <c r="H109" s="405"/>
      <c r="I109" s="405">
        <v>422</v>
      </c>
      <c r="J109" s="405">
        <v>90</v>
      </c>
      <c r="K109" s="405">
        <v>512</v>
      </c>
      <c r="L109" s="405">
        <v>516</v>
      </c>
      <c r="M109" s="405">
        <v>91</v>
      </c>
      <c r="N109" s="405">
        <v>607</v>
      </c>
      <c r="O109" s="405">
        <v>770</v>
      </c>
      <c r="P109" s="405">
        <v>586</v>
      </c>
      <c r="Q109" s="405">
        <v>1356</v>
      </c>
      <c r="R109" s="405">
        <v>47</v>
      </c>
      <c r="S109" s="405">
        <v>15</v>
      </c>
      <c r="T109" s="405">
        <v>62</v>
      </c>
      <c r="U109" s="406">
        <v>1755</v>
      </c>
      <c r="V109" s="406">
        <v>782</v>
      </c>
      <c r="W109" s="406">
        <v>2537</v>
      </c>
    </row>
    <row r="110" spans="2:23" hidden="1" outlineLevel="1" x14ac:dyDescent="0.25">
      <c r="B110" s="404">
        <v>41671</v>
      </c>
      <c r="C110" s="405"/>
      <c r="D110" s="405"/>
      <c r="E110" s="405"/>
      <c r="F110" s="405"/>
      <c r="G110" s="405"/>
      <c r="H110" s="405"/>
      <c r="I110" s="405">
        <v>520</v>
      </c>
      <c r="J110" s="405">
        <v>102</v>
      </c>
      <c r="K110" s="405">
        <v>622</v>
      </c>
      <c r="L110" s="405">
        <v>400</v>
      </c>
      <c r="M110" s="405">
        <v>93</v>
      </c>
      <c r="N110" s="405">
        <v>493</v>
      </c>
      <c r="O110" s="405">
        <v>696</v>
      </c>
      <c r="P110" s="405">
        <v>535</v>
      </c>
      <c r="Q110" s="405">
        <v>1231</v>
      </c>
      <c r="R110" s="405">
        <v>38</v>
      </c>
      <c r="S110" s="405">
        <v>17</v>
      </c>
      <c r="T110" s="405">
        <v>55</v>
      </c>
      <c r="U110" s="406">
        <v>1654</v>
      </c>
      <c r="V110" s="406">
        <v>747</v>
      </c>
      <c r="W110" s="406">
        <v>2401</v>
      </c>
    </row>
    <row r="111" spans="2:23" hidden="1" outlineLevel="1" x14ac:dyDescent="0.25">
      <c r="B111" s="404">
        <v>41699</v>
      </c>
      <c r="C111" s="405"/>
      <c r="D111" s="405"/>
      <c r="E111" s="405"/>
      <c r="F111" s="405"/>
      <c r="G111" s="405"/>
      <c r="H111" s="405"/>
      <c r="I111" s="405">
        <v>655</v>
      </c>
      <c r="J111" s="405">
        <v>116</v>
      </c>
      <c r="K111" s="405">
        <v>771</v>
      </c>
      <c r="L111" s="405">
        <v>565</v>
      </c>
      <c r="M111" s="405">
        <v>125</v>
      </c>
      <c r="N111" s="405">
        <v>690</v>
      </c>
      <c r="O111" s="405">
        <v>898</v>
      </c>
      <c r="P111" s="405">
        <v>618</v>
      </c>
      <c r="Q111" s="405">
        <v>1516</v>
      </c>
      <c r="R111" s="405">
        <v>72</v>
      </c>
      <c r="S111" s="405">
        <v>20</v>
      </c>
      <c r="T111" s="405">
        <v>92</v>
      </c>
      <c r="U111" s="406">
        <v>2190</v>
      </c>
      <c r="V111" s="406">
        <v>879</v>
      </c>
      <c r="W111" s="406">
        <v>3069</v>
      </c>
    </row>
    <row r="112" spans="2:23" hidden="1" outlineLevel="1" x14ac:dyDescent="0.25">
      <c r="B112" s="404">
        <v>41730</v>
      </c>
      <c r="C112" s="405"/>
      <c r="D112" s="405"/>
      <c r="E112" s="405"/>
      <c r="F112" s="405"/>
      <c r="G112" s="405"/>
      <c r="H112" s="405"/>
      <c r="I112" s="405">
        <v>613</v>
      </c>
      <c r="J112" s="405">
        <v>98</v>
      </c>
      <c r="K112" s="405">
        <v>711</v>
      </c>
      <c r="L112" s="405">
        <v>530</v>
      </c>
      <c r="M112" s="405">
        <v>113</v>
      </c>
      <c r="N112" s="405">
        <v>643</v>
      </c>
      <c r="O112" s="405">
        <v>858</v>
      </c>
      <c r="P112" s="405">
        <v>656</v>
      </c>
      <c r="Q112" s="405">
        <v>1514</v>
      </c>
      <c r="R112" s="405">
        <v>50</v>
      </c>
      <c r="S112" s="405">
        <v>23</v>
      </c>
      <c r="T112" s="405">
        <v>73</v>
      </c>
      <c r="U112" s="406">
        <v>2051</v>
      </c>
      <c r="V112" s="406">
        <v>890</v>
      </c>
      <c r="W112" s="406">
        <v>2941</v>
      </c>
    </row>
    <row r="113" spans="2:23" hidden="1" outlineLevel="1" x14ac:dyDescent="0.25">
      <c r="B113" s="404">
        <v>41760</v>
      </c>
      <c r="C113" s="405"/>
      <c r="D113" s="405"/>
      <c r="E113" s="405"/>
      <c r="F113" s="405"/>
      <c r="G113" s="405"/>
      <c r="H113" s="405"/>
      <c r="I113" s="405">
        <v>597</v>
      </c>
      <c r="J113" s="405">
        <v>121</v>
      </c>
      <c r="K113" s="405">
        <v>718</v>
      </c>
      <c r="L113" s="405">
        <v>556</v>
      </c>
      <c r="M113" s="405">
        <v>95</v>
      </c>
      <c r="N113" s="405">
        <v>651</v>
      </c>
      <c r="O113" s="405">
        <v>1066</v>
      </c>
      <c r="P113" s="405">
        <v>1088</v>
      </c>
      <c r="Q113" s="405">
        <v>2154</v>
      </c>
      <c r="R113" s="405">
        <v>62</v>
      </c>
      <c r="S113" s="405">
        <v>16</v>
      </c>
      <c r="T113" s="405">
        <v>78</v>
      </c>
      <c r="U113" s="406">
        <v>2281</v>
      </c>
      <c r="V113" s="406">
        <v>1320</v>
      </c>
      <c r="W113" s="406">
        <v>3601</v>
      </c>
    </row>
    <row r="114" spans="2:23" hidden="1" outlineLevel="1" x14ac:dyDescent="0.25">
      <c r="B114" s="404">
        <v>41791</v>
      </c>
      <c r="C114" s="405"/>
      <c r="D114" s="405"/>
      <c r="E114" s="405"/>
      <c r="F114" s="405"/>
      <c r="G114" s="405"/>
      <c r="H114" s="405"/>
      <c r="I114" s="405">
        <v>450</v>
      </c>
      <c r="J114" s="405">
        <v>110</v>
      </c>
      <c r="K114" s="405">
        <v>560</v>
      </c>
      <c r="L114" s="405">
        <v>499</v>
      </c>
      <c r="M114" s="405">
        <v>106</v>
      </c>
      <c r="N114" s="405">
        <v>605</v>
      </c>
      <c r="O114" s="405">
        <v>834</v>
      </c>
      <c r="P114" s="405">
        <v>765</v>
      </c>
      <c r="Q114" s="405">
        <v>1599</v>
      </c>
      <c r="R114" s="405">
        <v>59</v>
      </c>
      <c r="S114" s="405">
        <v>30</v>
      </c>
      <c r="T114" s="405">
        <v>89</v>
      </c>
      <c r="U114" s="406">
        <v>1842</v>
      </c>
      <c r="V114" s="406">
        <v>1011</v>
      </c>
      <c r="W114" s="406">
        <v>2853</v>
      </c>
    </row>
    <row r="115" spans="2:23" hidden="1" outlineLevel="1" x14ac:dyDescent="0.25">
      <c r="B115" s="404">
        <v>41821</v>
      </c>
      <c r="C115" s="405"/>
      <c r="D115" s="405"/>
      <c r="E115" s="405"/>
      <c r="F115" s="405"/>
      <c r="G115" s="405"/>
      <c r="H115" s="405"/>
      <c r="I115" s="405">
        <v>502</v>
      </c>
      <c r="J115" s="405">
        <v>90</v>
      </c>
      <c r="K115" s="405">
        <v>592</v>
      </c>
      <c r="L115" s="405">
        <v>559</v>
      </c>
      <c r="M115" s="405">
        <v>102</v>
      </c>
      <c r="N115" s="405">
        <v>661</v>
      </c>
      <c r="O115" s="405">
        <v>835</v>
      </c>
      <c r="P115" s="405">
        <v>705</v>
      </c>
      <c r="Q115" s="405">
        <v>1540</v>
      </c>
      <c r="R115" s="405">
        <v>46</v>
      </c>
      <c r="S115" s="405">
        <v>16</v>
      </c>
      <c r="T115" s="405">
        <v>62</v>
      </c>
      <c r="U115" s="406">
        <v>1942</v>
      </c>
      <c r="V115" s="406">
        <v>913</v>
      </c>
      <c r="W115" s="406">
        <v>2855</v>
      </c>
    </row>
    <row r="116" spans="2:23" hidden="1" outlineLevel="1" x14ac:dyDescent="0.25">
      <c r="B116" s="404">
        <v>41852</v>
      </c>
      <c r="C116" s="405"/>
      <c r="D116" s="405"/>
      <c r="E116" s="405"/>
      <c r="F116" s="405"/>
      <c r="G116" s="405"/>
      <c r="H116" s="405"/>
      <c r="I116" s="405">
        <v>538</v>
      </c>
      <c r="J116" s="405">
        <v>120</v>
      </c>
      <c r="K116" s="405">
        <v>658</v>
      </c>
      <c r="L116" s="405">
        <v>599</v>
      </c>
      <c r="M116" s="405">
        <v>117</v>
      </c>
      <c r="N116" s="405">
        <v>716</v>
      </c>
      <c r="O116" s="405">
        <v>929</v>
      </c>
      <c r="P116" s="405">
        <v>797</v>
      </c>
      <c r="Q116" s="405">
        <v>1726</v>
      </c>
      <c r="R116" s="405">
        <v>50</v>
      </c>
      <c r="S116" s="405">
        <v>14</v>
      </c>
      <c r="T116" s="405">
        <v>64</v>
      </c>
      <c r="U116" s="406">
        <v>2116</v>
      </c>
      <c r="V116" s="406">
        <v>1048</v>
      </c>
      <c r="W116" s="406">
        <v>3164</v>
      </c>
    </row>
    <row r="117" spans="2:23" hidden="1" outlineLevel="1" x14ac:dyDescent="0.25">
      <c r="B117" s="404">
        <v>41883</v>
      </c>
      <c r="C117" s="405"/>
      <c r="D117" s="405"/>
      <c r="E117" s="405"/>
      <c r="F117" s="405"/>
      <c r="G117" s="405"/>
      <c r="H117" s="405"/>
      <c r="I117" s="405">
        <v>343</v>
      </c>
      <c r="J117" s="405">
        <v>83</v>
      </c>
      <c r="K117" s="405">
        <v>426</v>
      </c>
      <c r="L117" s="405">
        <v>482</v>
      </c>
      <c r="M117" s="405">
        <v>109</v>
      </c>
      <c r="N117" s="405">
        <v>591</v>
      </c>
      <c r="O117" s="405">
        <v>793</v>
      </c>
      <c r="P117" s="405">
        <v>616</v>
      </c>
      <c r="Q117" s="405">
        <v>1409</v>
      </c>
      <c r="R117" s="405">
        <v>24</v>
      </c>
      <c r="S117" s="405">
        <v>13</v>
      </c>
      <c r="T117" s="405">
        <v>37</v>
      </c>
      <c r="U117" s="406">
        <v>1642</v>
      </c>
      <c r="V117" s="406">
        <v>821</v>
      </c>
      <c r="W117" s="406">
        <v>2463</v>
      </c>
    </row>
    <row r="118" spans="2:23" hidden="1" outlineLevel="1" x14ac:dyDescent="0.25">
      <c r="B118" s="404">
        <v>41913</v>
      </c>
      <c r="C118" s="405"/>
      <c r="D118" s="405"/>
      <c r="E118" s="405"/>
      <c r="F118" s="405"/>
      <c r="G118" s="405"/>
      <c r="H118" s="405"/>
      <c r="I118" s="405">
        <v>448</v>
      </c>
      <c r="J118" s="405">
        <v>92</v>
      </c>
      <c r="K118" s="405">
        <v>540</v>
      </c>
      <c r="L118" s="405">
        <v>584</v>
      </c>
      <c r="M118" s="405">
        <v>117</v>
      </c>
      <c r="N118" s="405">
        <v>701</v>
      </c>
      <c r="O118" s="405">
        <v>1106</v>
      </c>
      <c r="P118" s="405">
        <v>734</v>
      </c>
      <c r="Q118" s="405">
        <v>1840</v>
      </c>
      <c r="R118" s="405">
        <v>41</v>
      </c>
      <c r="S118" s="405">
        <v>13</v>
      </c>
      <c r="T118" s="405">
        <v>54</v>
      </c>
      <c r="U118" s="406">
        <v>2179</v>
      </c>
      <c r="V118" s="406">
        <v>956</v>
      </c>
      <c r="W118" s="406">
        <v>3135</v>
      </c>
    </row>
    <row r="119" spans="2:23" hidden="1" outlineLevel="1" x14ac:dyDescent="0.25">
      <c r="B119" s="404">
        <v>41944</v>
      </c>
      <c r="C119" s="405"/>
      <c r="D119" s="405"/>
      <c r="E119" s="405"/>
      <c r="F119" s="405"/>
      <c r="G119" s="405"/>
      <c r="H119" s="405"/>
      <c r="I119" s="405">
        <v>315</v>
      </c>
      <c r="J119" s="405">
        <v>85</v>
      </c>
      <c r="K119" s="405">
        <v>400</v>
      </c>
      <c r="L119" s="405">
        <v>530</v>
      </c>
      <c r="M119" s="405">
        <v>118</v>
      </c>
      <c r="N119" s="405">
        <v>648</v>
      </c>
      <c r="O119" s="405">
        <v>867</v>
      </c>
      <c r="P119" s="405">
        <v>550</v>
      </c>
      <c r="Q119" s="405">
        <v>1417</v>
      </c>
      <c r="R119" s="405">
        <v>30</v>
      </c>
      <c r="S119" s="405">
        <v>17</v>
      </c>
      <c r="T119" s="405">
        <v>47</v>
      </c>
      <c r="U119" s="406">
        <v>1742</v>
      </c>
      <c r="V119" s="406">
        <v>770</v>
      </c>
      <c r="W119" s="406">
        <v>2512</v>
      </c>
    </row>
    <row r="120" spans="2:23" hidden="1" outlineLevel="1" x14ac:dyDescent="0.25">
      <c r="B120" s="404">
        <v>41974</v>
      </c>
      <c r="C120" s="405"/>
      <c r="D120" s="405"/>
      <c r="E120" s="405"/>
      <c r="F120" s="405"/>
      <c r="G120" s="405"/>
      <c r="H120" s="405"/>
      <c r="I120" s="405">
        <v>215</v>
      </c>
      <c r="J120" s="405">
        <v>49</v>
      </c>
      <c r="K120" s="405">
        <v>264</v>
      </c>
      <c r="L120" s="405">
        <v>431</v>
      </c>
      <c r="M120" s="405">
        <v>89</v>
      </c>
      <c r="N120" s="405">
        <v>520</v>
      </c>
      <c r="O120" s="405">
        <v>637</v>
      </c>
      <c r="P120" s="405">
        <v>423</v>
      </c>
      <c r="Q120" s="405">
        <v>1060</v>
      </c>
      <c r="R120" s="405">
        <v>21</v>
      </c>
      <c r="S120" s="405">
        <v>12</v>
      </c>
      <c r="T120" s="405">
        <v>33</v>
      </c>
      <c r="U120" s="406">
        <v>1304</v>
      </c>
      <c r="V120" s="406">
        <v>573</v>
      </c>
      <c r="W120" s="406">
        <v>1877</v>
      </c>
    </row>
    <row r="121" spans="2:23" collapsed="1" x14ac:dyDescent="0.25">
      <c r="B121" s="407" t="s">
        <v>755</v>
      </c>
      <c r="C121" s="408" t="s">
        <v>916</v>
      </c>
      <c r="D121" s="408" t="s">
        <v>916</v>
      </c>
      <c r="E121" s="408" t="s">
        <v>916</v>
      </c>
      <c r="F121" s="408" t="s">
        <v>916</v>
      </c>
      <c r="G121" s="408" t="s">
        <v>916</v>
      </c>
      <c r="H121" s="408" t="s">
        <v>916</v>
      </c>
      <c r="I121" s="408">
        <v>468</v>
      </c>
      <c r="J121" s="408">
        <v>96</v>
      </c>
      <c r="K121" s="408">
        <v>565</v>
      </c>
      <c r="L121" s="408">
        <v>521</v>
      </c>
      <c r="M121" s="408">
        <v>106</v>
      </c>
      <c r="N121" s="408">
        <v>627</v>
      </c>
      <c r="O121" s="408">
        <v>857</v>
      </c>
      <c r="P121" s="408">
        <v>673</v>
      </c>
      <c r="Q121" s="408">
        <v>1530</v>
      </c>
      <c r="R121" s="408">
        <v>45</v>
      </c>
      <c r="S121" s="408">
        <v>17</v>
      </c>
      <c r="T121" s="408">
        <v>62</v>
      </c>
      <c r="U121" s="408">
        <v>1892</v>
      </c>
      <c r="V121" s="408">
        <v>893</v>
      </c>
      <c r="W121" s="408">
        <v>2784</v>
      </c>
    </row>
    <row r="122" spans="2:23" hidden="1" outlineLevel="1" x14ac:dyDescent="0.25">
      <c r="B122" s="404">
        <v>42005</v>
      </c>
      <c r="C122" s="405"/>
      <c r="D122" s="405"/>
      <c r="E122" s="405"/>
      <c r="F122" s="405"/>
      <c r="G122" s="405"/>
      <c r="H122" s="405"/>
      <c r="I122" s="405">
        <v>377</v>
      </c>
      <c r="J122" s="405">
        <v>87</v>
      </c>
      <c r="K122" s="405">
        <v>464</v>
      </c>
      <c r="L122" s="405">
        <v>454</v>
      </c>
      <c r="M122" s="405">
        <v>88</v>
      </c>
      <c r="N122" s="405">
        <v>542</v>
      </c>
      <c r="O122" s="405">
        <v>905</v>
      </c>
      <c r="P122" s="405">
        <v>623</v>
      </c>
      <c r="Q122" s="405">
        <v>1528</v>
      </c>
      <c r="R122" s="405">
        <v>29</v>
      </c>
      <c r="S122" s="405">
        <v>14</v>
      </c>
      <c r="T122" s="405">
        <v>43</v>
      </c>
      <c r="U122" s="406">
        <v>1765</v>
      </c>
      <c r="V122" s="406">
        <v>812</v>
      </c>
      <c r="W122" s="406">
        <v>2577</v>
      </c>
    </row>
    <row r="123" spans="2:23" hidden="1" outlineLevel="1" x14ac:dyDescent="0.25">
      <c r="B123" s="404">
        <v>42036</v>
      </c>
      <c r="C123" s="405"/>
      <c r="D123" s="405"/>
      <c r="E123" s="405"/>
      <c r="F123" s="405"/>
      <c r="G123" s="405"/>
      <c r="H123" s="405"/>
      <c r="I123" s="405">
        <v>272</v>
      </c>
      <c r="J123" s="405">
        <v>72</v>
      </c>
      <c r="K123" s="405">
        <v>344</v>
      </c>
      <c r="L123" s="405">
        <v>439</v>
      </c>
      <c r="M123" s="405">
        <v>95</v>
      </c>
      <c r="N123" s="405">
        <v>534</v>
      </c>
      <c r="O123" s="405">
        <v>696</v>
      </c>
      <c r="P123" s="405">
        <v>506</v>
      </c>
      <c r="Q123" s="405">
        <v>1202</v>
      </c>
      <c r="R123" s="405">
        <v>22</v>
      </c>
      <c r="S123" s="405">
        <v>9</v>
      </c>
      <c r="T123" s="405">
        <v>31</v>
      </c>
      <c r="U123" s="406">
        <v>1429</v>
      </c>
      <c r="V123" s="406">
        <v>682</v>
      </c>
      <c r="W123" s="406">
        <v>2111</v>
      </c>
    </row>
    <row r="124" spans="2:23" hidden="1" outlineLevel="1" x14ac:dyDescent="0.25">
      <c r="B124" s="404">
        <v>42064</v>
      </c>
      <c r="C124" s="405"/>
      <c r="D124" s="405"/>
      <c r="E124" s="405"/>
      <c r="F124" s="405"/>
      <c r="G124" s="405"/>
      <c r="H124" s="405"/>
      <c r="I124" s="405">
        <v>344</v>
      </c>
      <c r="J124" s="405">
        <v>86</v>
      </c>
      <c r="K124" s="405">
        <v>430</v>
      </c>
      <c r="L124" s="405">
        <v>559</v>
      </c>
      <c r="M124" s="405">
        <v>105</v>
      </c>
      <c r="N124" s="405">
        <v>664</v>
      </c>
      <c r="O124" s="405">
        <v>952</v>
      </c>
      <c r="P124" s="405">
        <v>655</v>
      </c>
      <c r="Q124" s="405">
        <v>1607</v>
      </c>
      <c r="R124" s="405">
        <v>24</v>
      </c>
      <c r="S124" s="405">
        <v>18</v>
      </c>
      <c r="T124" s="405">
        <v>42</v>
      </c>
      <c r="U124" s="406">
        <v>1879</v>
      </c>
      <c r="V124" s="406">
        <v>864</v>
      </c>
      <c r="W124" s="406">
        <v>2743</v>
      </c>
    </row>
    <row r="125" spans="2:23" hidden="1" outlineLevel="1" x14ac:dyDescent="0.25">
      <c r="B125" s="404">
        <v>42095</v>
      </c>
      <c r="C125" s="405"/>
      <c r="D125" s="405"/>
      <c r="E125" s="405"/>
      <c r="F125" s="405"/>
      <c r="G125" s="405"/>
      <c r="H125" s="405"/>
      <c r="I125" s="405">
        <v>303</v>
      </c>
      <c r="J125" s="405">
        <v>60</v>
      </c>
      <c r="K125" s="405">
        <v>363</v>
      </c>
      <c r="L125" s="405">
        <v>464</v>
      </c>
      <c r="M125" s="405">
        <v>95</v>
      </c>
      <c r="N125" s="405">
        <v>559</v>
      </c>
      <c r="O125" s="405">
        <v>820</v>
      </c>
      <c r="P125" s="405">
        <v>531</v>
      </c>
      <c r="Q125" s="405">
        <v>1351</v>
      </c>
      <c r="R125" s="405">
        <v>24</v>
      </c>
      <c r="S125" s="405">
        <v>11</v>
      </c>
      <c r="T125" s="405">
        <v>35</v>
      </c>
      <c r="U125" s="406">
        <v>1611</v>
      </c>
      <c r="V125" s="406">
        <v>697</v>
      </c>
      <c r="W125" s="406">
        <v>2308</v>
      </c>
    </row>
    <row r="126" spans="2:23" hidden="1" outlineLevel="1" x14ac:dyDescent="0.25">
      <c r="B126" s="404">
        <v>42125</v>
      </c>
      <c r="C126" s="405"/>
      <c r="D126" s="405"/>
      <c r="E126" s="405"/>
      <c r="F126" s="405"/>
      <c r="G126" s="405"/>
      <c r="H126" s="405"/>
      <c r="I126" s="405">
        <v>234</v>
      </c>
      <c r="J126" s="405">
        <v>66</v>
      </c>
      <c r="K126" s="405">
        <v>300</v>
      </c>
      <c r="L126" s="405">
        <v>402</v>
      </c>
      <c r="M126" s="405">
        <v>77</v>
      </c>
      <c r="N126" s="405">
        <v>479</v>
      </c>
      <c r="O126" s="405">
        <v>755</v>
      </c>
      <c r="P126" s="405">
        <v>638</v>
      </c>
      <c r="Q126" s="405">
        <v>1393</v>
      </c>
      <c r="R126" s="405">
        <v>11</v>
      </c>
      <c r="S126" s="405">
        <v>9</v>
      </c>
      <c r="T126" s="405">
        <v>20</v>
      </c>
      <c r="U126" s="406">
        <v>1402</v>
      </c>
      <c r="V126" s="406">
        <v>790</v>
      </c>
      <c r="W126" s="406">
        <v>2192</v>
      </c>
    </row>
    <row r="127" spans="2:23" hidden="1" outlineLevel="1" x14ac:dyDescent="0.25">
      <c r="B127" s="404">
        <v>42156</v>
      </c>
      <c r="C127" s="405"/>
      <c r="D127" s="405"/>
      <c r="E127" s="405"/>
      <c r="F127" s="405"/>
      <c r="G127" s="405"/>
      <c r="H127" s="405"/>
      <c r="I127" s="405">
        <v>294</v>
      </c>
      <c r="J127" s="405">
        <v>92</v>
      </c>
      <c r="K127" s="405">
        <v>386</v>
      </c>
      <c r="L127" s="405">
        <v>445</v>
      </c>
      <c r="M127" s="405">
        <v>90</v>
      </c>
      <c r="N127" s="405">
        <v>535</v>
      </c>
      <c r="O127" s="405">
        <v>855</v>
      </c>
      <c r="P127" s="405">
        <v>618</v>
      </c>
      <c r="Q127" s="405">
        <v>1473</v>
      </c>
      <c r="R127" s="405">
        <v>22</v>
      </c>
      <c r="S127" s="405">
        <v>18</v>
      </c>
      <c r="T127" s="405">
        <v>40</v>
      </c>
      <c r="U127" s="406">
        <v>1616</v>
      </c>
      <c r="V127" s="406">
        <v>818</v>
      </c>
      <c r="W127" s="406">
        <v>2434</v>
      </c>
    </row>
    <row r="128" spans="2:23" hidden="1" outlineLevel="1" x14ac:dyDescent="0.25">
      <c r="B128" s="404">
        <v>42186</v>
      </c>
      <c r="C128" s="405"/>
      <c r="D128" s="405"/>
      <c r="E128" s="405"/>
      <c r="F128" s="405"/>
      <c r="G128" s="405"/>
      <c r="H128" s="405"/>
      <c r="I128" s="405">
        <v>360</v>
      </c>
      <c r="J128" s="405">
        <v>87</v>
      </c>
      <c r="K128" s="405">
        <v>447</v>
      </c>
      <c r="L128" s="405">
        <v>503</v>
      </c>
      <c r="M128" s="405">
        <v>108</v>
      </c>
      <c r="N128" s="405">
        <v>611</v>
      </c>
      <c r="O128" s="405">
        <v>1027</v>
      </c>
      <c r="P128" s="405">
        <v>645</v>
      </c>
      <c r="Q128" s="405">
        <v>1672</v>
      </c>
      <c r="R128" s="405">
        <v>31</v>
      </c>
      <c r="S128" s="405">
        <v>15</v>
      </c>
      <c r="T128" s="405">
        <v>46</v>
      </c>
      <c r="U128" s="406">
        <v>1921</v>
      </c>
      <c r="V128" s="406">
        <v>855</v>
      </c>
      <c r="W128" s="406">
        <v>2776</v>
      </c>
    </row>
    <row r="129" spans="2:23" hidden="1" outlineLevel="1" x14ac:dyDescent="0.25">
      <c r="B129" s="404">
        <v>42217</v>
      </c>
      <c r="C129" s="405"/>
      <c r="D129" s="405"/>
      <c r="E129" s="405"/>
      <c r="F129" s="405"/>
      <c r="G129" s="405"/>
      <c r="H129" s="405"/>
      <c r="I129" s="405">
        <v>296</v>
      </c>
      <c r="J129" s="405">
        <v>77</v>
      </c>
      <c r="K129" s="405">
        <v>373</v>
      </c>
      <c r="L129" s="405">
        <v>496</v>
      </c>
      <c r="M129" s="405">
        <v>109</v>
      </c>
      <c r="N129" s="405">
        <v>605</v>
      </c>
      <c r="O129" s="405">
        <v>884</v>
      </c>
      <c r="P129" s="405">
        <v>541</v>
      </c>
      <c r="Q129" s="405">
        <v>1425</v>
      </c>
      <c r="R129" s="405">
        <v>16</v>
      </c>
      <c r="S129" s="405">
        <v>11</v>
      </c>
      <c r="T129" s="405">
        <v>27</v>
      </c>
      <c r="U129" s="406">
        <v>1692</v>
      </c>
      <c r="V129" s="406">
        <v>738</v>
      </c>
      <c r="W129" s="406">
        <v>2430</v>
      </c>
    </row>
    <row r="130" spans="2:23" hidden="1" outlineLevel="1" x14ac:dyDescent="0.25">
      <c r="B130" s="404">
        <v>42248</v>
      </c>
      <c r="C130" s="405"/>
      <c r="D130" s="405"/>
      <c r="E130" s="405"/>
      <c r="F130" s="405"/>
      <c r="G130" s="405"/>
      <c r="H130" s="405"/>
      <c r="I130" s="405">
        <v>322</v>
      </c>
      <c r="J130" s="405">
        <v>76</v>
      </c>
      <c r="K130" s="405">
        <v>398</v>
      </c>
      <c r="L130" s="405">
        <v>456</v>
      </c>
      <c r="M130" s="405">
        <v>122</v>
      </c>
      <c r="N130" s="405">
        <v>578</v>
      </c>
      <c r="O130" s="405">
        <v>897</v>
      </c>
      <c r="P130" s="405">
        <v>568</v>
      </c>
      <c r="Q130" s="405">
        <v>1465</v>
      </c>
      <c r="R130" s="405">
        <v>11</v>
      </c>
      <c r="S130" s="405">
        <v>16</v>
      </c>
      <c r="T130" s="405">
        <v>27</v>
      </c>
      <c r="U130" s="406">
        <v>1686</v>
      </c>
      <c r="V130" s="406">
        <v>782</v>
      </c>
      <c r="W130" s="406">
        <v>2468</v>
      </c>
    </row>
    <row r="131" spans="2:23" hidden="1" outlineLevel="1" x14ac:dyDescent="0.25">
      <c r="B131" s="404">
        <v>42278</v>
      </c>
      <c r="C131" s="405"/>
      <c r="D131" s="405"/>
      <c r="E131" s="405"/>
      <c r="F131" s="405"/>
      <c r="G131" s="405"/>
      <c r="H131" s="405"/>
      <c r="I131" s="405">
        <v>362</v>
      </c>
      <c r="J131" s="405">
        <v>90</v>
      </c>
      <c r="K131" s="405">
        <v>452</v>
      </c>
      <c r="L131" s="405">
        <v>493</v>
      </c>
      <c r="M131" s="405">
        <v>90</v>
      </c>
      <c r="N131" s="405">
        <v>583</v>
      </c>
      <c r="O131" s="405">
        <v>996</v>
      </c>
      <c r="P131" s="405">
        <v>568</v>
      </c>
      <c r="Q131" s="405">
        <v>1564</v>
      </c>
      <c r="R131" s="405">
        <v>18</v>
      </c>
      <c r="S131" s="405">
        <v>18</v>
      </c>
      <c r="T131" s="405">
        <v>36</v>
      </c>
      <c r="U131" s="406">
        <v>1869</v>
      </c>
      <c r="V131" s="406">
        <v>766</v>
      </c>
      <c r="W131" s="406">
        <v>2635</v>
      </c>
    </row>
    <row r="132" spans="2:23" hidden="1" outlineLevel="1" x14ac:dyDescent="0.25">
      <c r="B132" s="404">
        <v>42309</v>
      </c>
      <c r="C132" s="405"/>
      <c r="D132" s="405"/>
      <c r="E132" s="405"/>
      <c r="F132" s="405"/>
      <c r="G132" s="405"/>
      <c r="H132" s="405"/>
      <c r="I132" s="405">
        <v>277</v>
      </c>
      <c r="J132" s="405">
        <v>76</v>
      </c>
      <c r="K132" s="405">
        <v>353</v>
      </c>
      <c r="L132" s="405">
        <v>503</v>
      </c>
      <c r="M132" s="405">
        <v>110</v>
      </c>
      <c r="N132" s="405">
        <v>613</v>
      </c>
      <c r="O132" s="405">
        <v>900</v>
      </c>
      <c r="P132" s="405">
        <v>568</v>
      </c>
      <c r="Q132" s="405">
        <v>1468</v>
      </c>
      <c r="R132" s="405">
        <v>20</v>
      </c>
      <c r="S132" s="405">
        <v>10</v>
      </c>
      <c r="T132" s="405">
        <v>30</v>
      </c>
      <c r="U132" s="406">
        <v>1700</v>
      </c>
      <c r="V132" s="406">
        <v>764</v>
      </c>
      <c r="W132" s="406">
        <v>2464</v>
      </c>
    </row>
    <row r="133" spans="2:23" hidden="1" outlineLevel="1" x14ac:dyDescent="0.25">
      <c r="B133" s="404">
        <v>42339</v>
      </c>
      <c r="C133" s="405"/>
      <c r="D133" s="405"/>
      <c r="E133" s="405"/>
      <c r="F133" s="405"/>
      <c r="G133" s="405"/>
      <c r="H133" s="405"/>
      <c r="I133" s="405">
        <v>256</v>
      </c>
      <c r="J133" s="405">
        <v>54</v>
      </c>
      <c r="K133" s="405">
        <v>310</v>
      </c>
      <c r="L133" s="405">
        <v>403</v>
      </c>
      <c r="M133" s="405">
        <v>88</v>
      </c>
      <c r="N133" s="405">
        <v>491</v>
      </c>
      <c r="O133" s="405">
        <v>851</v>
      </c>
      <c r="P133" s="405">
        <v>586</v>
      </c>
      <c r="Q133" s="405">
        <v>1437</v>
      </c>
      <c r="R133" s="405">
        <v>22</v>
      </c>
      <c r="S133" s="405">
        <v>11</v>
      </c>
      <c r="T133" s="405">
        <v>33</v>
      </c>
      <c r="U133" s="406">
        <v>1532</v>
      </c>
      <c r="V133" s="406">
        <v>739</v>
      </c>
      <c r="W133" s="406">
        <v>2271</v>
      </c>
    </row>
    <row r="134" spans="2:23" collapsed="1" x14ac:dyDescent="0.25">
      <c r="B134" s="407" t="s">
        <v>756</v>
      </c>
      <c r="C134" s="408" t="s">
        <v>916</v>
      </c>
      <c r="D134" s="408" t="s">
        <v>916</v>
      </c>
      <c r="E134" s="408" t="s">
        <v>916</v>
      </c>
      <c r="F134" s="408" t="s">
        <v>916</v>
      </c>
      <c r="G134" s="408" t="s">
        <v>916</v>
      </c>
      <c r="H134" s="408" t="s">
        <v>916</v>
      </c>
      <c r="I134" s="408">
        <v>308</v>
      </c>
      <c r="J134" s="408">
        <v>77</v>
      </c>
      <c r="K134" s="408">
        <v>385</v>
      </c>
      <c r="L134" s="408">
        <v>468</v>
      </c>
      <c r="M134" s="408">
        <v>98</v>
      </c>
      <c r="N134" s="408">
        <v>566</v>
      </c>
      <c r="O134" s="408">
        <v>878</v>
      </c>
      <c r="P134" s="408">
        <v>587</v>
      </c>
      <c r="Q134" s="408">
        <v>1465</v>
      </c>
      <c r="R134" s="408">
        <v>21</v>
      </c>
      <c r="S134" s="408">
        <v>13</v>
      </c>
      <c r="T134" s="408">
        <v>34</v>
      </c>
      <c r="U134" s="408">
        <v>1675</v>
      </c>
      <c r="V134" s="408">
        <v>776</v>
      </c>
      <c r="W134" s="408">
        <v>2451</v>
      </c>
    </row>
    <row r="135" spans="2:23" hidden="1" outlineLevel="1" x14ac:dyDescent="0.25">
      <c r="B135" s="404">
        <v>42370</v>
      </c>
      <c r="C135" s="405"/>
      <c r="D135" s="405"/>
      <c r="E135" s="405"/>
      <c r="F135" s="405"/>
      <c r="G135" s="405"/>
      <c r="H135" s="405"/>
      <c r="I135" s="405">
        <v>317</v>
      </c>
      <c r="J135" s="405">
        <v>78</v>
      </c>
      <c r="K135" s="405">
        <v>395</v>
      </c>
      <c r="L135" s="405">
        <v>407</v>
      </c>
      <c r="M135" s="405">
        <v>101</v>
      </c>
      <c r="N135" s="405">
        <v>508</v>
      </c>
      <c r="O135" s="405">
        <v>1007</v>
      </c>
      <c r="P135" s="405">
        <v>581</v>
      </c>
      <c r="Q135" s="405">
        <v>1588</v>
      </c>
      <c r="R135" s="405">
        <v>20</v>
      </c>
      <c r="S135" s="405">
        <v>19</v>
      </c>
      <c r="T135" s="405">
        <v>39</v>
      </c>
      <c r="U135" s="406">
        <v>1751</v>
      </c>
      <c r="V135" s="406">
        <v>779</v>
      </c>
      <c r="W135" s="406">
        <v>2530</v>
      </c>
    </row>
    <row r="136" spans="2:23" hidden="1" outlineLevel="1" x14ac:dyDescent="0.25">
      <c r="B136" s="404">
        <v>42401</v>
      </c>
      <c r="C136" s="405"/>
      <c r="D136" s="405"/>
      <c r="E136" s="405"/>
      <c r="F136" s="405"/>
      <c r="G136" s="405"/>
      <c r="H136" s="405"/>
      <c r="I136" s="405">
        <v>373</v>
      </c>
      <c r="J136" s="405">
        <v>72</v>
      </c>
      <c r="K136" s="405">
        <v>445</v>
      </c>
      <c r="L136" s="405">
        <v>415</v>
      </c>
      <c r="M136" s="405">
        <v>99</v>
      </c>
      <c r="N136" s="405">
        <v>514</v>
      </c>
      <c r="O136" s="405">
        <v>1093</v>
      </c>
      <c r="P136" s="405">
        <v>666</v>
      </c>
      <c r="Q136" s="405">
        <v>1759</v>
      </c>
      <c r="R136" s="405">
        <v>19</v>
      </c>
      <c r="S136" s="405">
        <v>11</v>
      </c>
      <c r="T136" s="405">
        <v>30</v>
      </c>
      <c r="U136" s="406">
        <v>1900</v>
      </c>
      <c r="V136" s="406">
        <v>848</v>
      </c>
      <c r="W136" s="406">
        <v>2748</v>
      </c>
    </row>
    <row r="137" spans="2:23" hidden="1" outlineLevel="1" x14ac:dyDescent="0.25">
      <c r="B137" s="404">
        <v>42430</v>
      </c>
      <c r="C137" s="405"/>
      <c r="D137" s="405"/>
      <c r="E137" s="405"/>
      <c r="F137" s="405"/>
      <c r="G137" s="405"/>
      <c r="H137" s="405"/>
      <c r="I137" s="405">
        <v>367</v>
      </c>
      <c r="J137" s="405">
        <v>64</v>
      </c>
      <c r="K137" s="405">
        <v>431</v>
      </c>
      <c r="L137" s="405">
        <v>433</v>
      </c>
      <c r="M137" s="405">
        <v>88</v>
      </c>
      <c r="N137" s="405">
        <v>521</v>
      </c>
      <c r="O137" s="405">
        <v>945</v>
      </c>
      <c r="P137" s="405">
        <v>569</v>
      </c>
      <c r="Q137" s="405">
        <v>1514</v>
      </c>
      <c r="R137" s="405">
        <v>14</v>
      </c>
      <c r="S137" s="405">
        <v>14</v>
      </c>
      <c r="T137" s="405">
        <v>28</v>
      </c>
      <c r="U137" s="406">
        <v>1759</v>
      </c>
      <c r="V137" s="406">
        <v>735</v>
      </c>
      <c r="W137" s="406">
        <v>2494</v>
      </c>
    </row>
    <row r="138" spans="2:23" hidden="1" outlineLevel="1" x14ac:dyDescent="0.25">
      <c r="B138" s="404">
        <v>42461</v>
      </c>
      <c r="C138" s="405"/>
      <c r="D138" s="405"/>
      <c r="E138" s="405"/>
      <c r="F138" s="405"/>
      <c r="G138" s="405"/>
      <c r="H138" s="405"/>
      <c r="I138" s="405">
        <v>416</v>
      </c>
      <c r="J138" s="405">
        <v>110</v>
      </c>
      <c r="K138" s="405">
        <v>526</v>
      </c>
      <c r="L138" s="405">
        <v>482</v>
      </c>
      <c r="M138" s="405">
        <v>91</v>
      </c>
      <c r="N138" s="405">
        <v>573</v>
      </c>
      <c r="O138" s="405">
        <v>1057</v>
      </c>
      <c r="P138" s="405">
        <v>638</v>
      </c>
      <c r="Q138" s="405">
        <v>1695</v>
      </c>
      <c r="R138" s="405">
        <v>17</v>
      </c>
      <c r="S138" s="405">
        <v>17</v>
      </c>
      <c r="T138" s="405">
        <v>34</v>
      </c>
      <c r="U138" s="406">
        <v>1972</v>
      </c>
      <c r="V138" s="406">
        <v>856</v>
      </c>
      <c r="W138" s="406">
        <v>2828</v>
      </c>
    </row>
    <row r="139" spans="2:23" hidden="1" outlineLevel="1" x14ac:dyDescent="0.25">
      <c r="B139" s="404">
        <v>42491</v>
      </c>
      <c r="C139" s="405"/>
      <c r="D139" s="405"/>
      <c r="E139" s="405"/>
      <c r="F139" s="405"/>
      <c r="G139" s="405"/>
      <c r="H139" s="405"/>
      <c r="I139" s="405">
        <v>452</v>
      </c>
      <c r="J139" s="405">
        <v>105</v>
      </c>
      <c r="K139" s="405">
        <v>557</v>
      </c>
      <c r="L139" s="405">
        <v>463</v>
      </c>
      <c r="M139" s="405">
        <v>108</v>
      </c>
      <c r="N139" s="405">
        <v>571</v>
      </c>
      <c r="O139" s="405">
        <v>1167</v>
      </c>
      <c r="P139" s="405">
        <v>954</v>
      </c>
      <c r="Q139" s="405">
        <v>2121</v>
      </c>
      <c r="R139" s="405">
        <v>18</v>
      </c>
      <c r="S139" s="405">
        <v>8</v>
      </c>
      <c r="T139" s="405">
        <v>26</v>
      </c>
      <c r="U139" s="406">
        <v>2100</v>
      </c>
      <c r="V139" s="406">
        <v>1175</v>
      </c>
      <c r="W139" s="406">
        <v>3275</v>
      </c>
    </row>
    <row r="140" spans="2:23" hidden="1" outlineLevel="1" x14ac:dyDescent="0.25">
      <c r="B140" s="404">
        <v>42522</v>
      </c>
      <c r="C140" s="405"/>
      <c r="D140" s="405"/>
      <c r="E140" s="405"/>
      <c r="F140" s="405"/>
      <c r="G140" s="405"/>
      <c r="H140" s="405"/>
      <c r="I140" s="405">
        <v>420</v>
      </c>
      <c r="J140" s="405">
        <v>79</v>
      </c>
      <c r="K140" s="405">
        <v>499</v>
      </c>
      <c r="L140" s="405">
        <v>423</v>
      </c>
      <c r="M140" s="405">
        <v>98</v>
      </c>
      <c r="N140" s="405">
        <v>521</v>
      </c>
      <c r="O140" s="405">
        <v>991</v>
      </c>
      <c r="P140" s="405">
        <v>708</v>
      </c>
      <c r="Q140" s="405">
        <v>1699</v>
      </c>
      <c r="R140" s="405">
        <v>24</v>
      </c>
      <c r="S140" s="405">
        <v>14</v>
      </c>
      <c r="T140" s="405">
        <v>38</v>
      </c>
      <c r="U140" s="406">
        <v>1858</v>
      </c>
      <c r="V140" s="406">
        <v>899</v>
      </c>
      <c r="W140" s="406">
        <v>2757</v>
      </c>
    </row>
    <row r="141" spans="2:23" hidden="1" outlineLevel="1" x14ac:dyDescent="0.25">
      <c r="B141" s="404">
        <v>42552</v>
      </c>
      <c r="C141" s="405"/>
      <c r="D141" s="405"/>
      <c r="E141" s="405"/>
      <c r="F141" s="405"/>
      <c r="G141" s="405"/>
      <c r="H141" s="405"/>
      <c r="I141" s="405">
        <v>485</v>
      </c>
      <c r="J141" s="405">
        <v>84</v>
      </c>
      <c r="K141" s="405">
        <v>569</v>
      </c>
      <c r="L141" s="405">
        <v>399</v>
      </c>
      <c r="M141" s="405">
        <v>95</v>
      </c>
      <c r="N141" s="405">
        <v>494</v>
      </c>
      <c r="O141" s="405">
        <v>881</v>
      </c>
      <c r="P141" s="405">
        <v>619</v>
      </c>
      <c r="Q141" s="405">
        <v>1500</v>
      </c>
      <c r="R141" s="405">
        <v>12</v>
      </c>
      <c r="S141" s="405">
        <v>10</v>
      </c>
      <c r="T141" s="405">
        <v>22</v>
      </c>
      <c r="U141" s="406">
        <v>1777</v>
      </c>
      <c r="V141" s="406">
        <v>808</v>
      </c>
      <c r="W141" s="406">
        <v>2585</v>
      </c>
    </row>
    <row r="142" spans="2:23" hidden="1" outlineLevel="1" x14ac:dyDescent="0.25">
      <c r="B142" s="404">
        <v>42583</v>
      </c>
      <c r="C142" s="405"/>
      <c r="D142" s="405"/>
      <c r="E142" s="405"/>
      <c r="F142" s="405"/>
      <c r="G142" s="405"/>
      <c r="H142" s="405"/>
      <c r="I142" s="405">
        <v>536</v>
      </c>
      <c r="J142" s="405">
        <v>114</v>
      </c>
      <c r="K142" s="405">
        <v>650</v>
      </c>
      <c r="L142" s="405">
        <v>574</v>
      </c>
      <c r="M142" s="405">
        <v>105</v>
      </c>
      <c r="N142" s="405">
        <v>679</v>
      </c>
      <c r="O142" s="405">
        <v>1195</v>
      </c>
      <c r="P142" s="405">
        <v>854</v>
      </c>
      <c r="Q142" s="405">
        <v>2049</v>
      </c>
      <c r="R142" s="405">
        <v>23</v>
      </c>
      <c r="S142" s="405">
        <v>17</v>
      </c>
      <c r="T142" s="405">
        <v>40</v>
      </c>
      <c r="U142" s="406">
        <v>2328</v>
      </c>
      <c r="V142" s="406">
        <v>1090</v>
      </c>
      <c r="W142" s="406">
        <v>3418</v>
      </c>
    </row>
    <row r="143" spans="2:23" hidden="1" outlineLevel="1" x14ac:dyDescent="0.25">
      <c r="B143" s="404">
        <v>42614</v>
      </c>
      <c r="C143" s="405"/>
      <c r="D143" s="405"/>
      <c r="E143" s="405"/>
      <c r="F143" s="405"/>
      <c r="G143" s="405"/>
      <c r="H143" s="405"/>
      <c r="I143" s="405">
        <v>372</v>
      </c>
      <c r="J143" s="405">
        <v>77</v>
      </c>
      <c r="K143" s="405">
        <v>449</v>
      </c>
      <c r="L143" s="405">
        <v>465</v>
      </c>
      <c r="M143" s="405">
        <v>95</v>
      </c>
      <c r="N143" s="405">
        <v>560</v>
      </c>
      <c r="O143" s="405">
        <v>980</v>
      </c>
      <c r="P143" s="405">
        <v>701</v>
      </c>
      <c r="Q143" s="405">
        <v>1681</v>
      </c>
      <c r="R143" s="405">
        <v>19</v>
      </c>
      <c r="S143" s="405">
        <v>6</v>
      </c>
      <c r="T143" s="405">
        <v>25</v>
      </c>
      <c r="U143" s="406">
        <v>1836</v>
      </c>
      <c r="V143" s="406">
        <v>879</v>
      </c>
      <c r="W143" s="406">
        <v>2715</v>
      </c>
    </row>
    <row r="144" spans="2:23" hidden="1" outlineLevel="1" x14ac:dyDescent="0.25">
      <c r="B144" s="404">
        <v>42644</v>
      </c>
      <c r="C144" s="405"/>
      <c r="D144" s="405"/>
      <c r="E144" s="405"/>
      <c r="F144" s="405"/>
      <c r="G144" s="405"/>
      <c r="H144" s="405"/>
      <c r="I144" s="405">
        <v>300</v>
      </c>
      <c r="J144" s="405">
        <v>68</v>
      </c>
      <c r="K144" s="405">
        <v>368</v>
      </c>
      <c r="L144" s="405">
        <v>345</v>
      </c>
      <c r="M144" s="405">
        <v>70</v>
      </c>
      <c r="N144" s="405">
        <v>415</v>
      </c>
      <c r="O144" s="405">
        <v>839</v>
      </c>
      <c r="P144" s="405">
        <v>482</v>
      </c>
      <c r="Q144" s="405">
        <v>1321</v>
      </c>
      <c r="R144" s="405">
        <v>13</v>
      </c>
      <c r="S144" s="405">
        <v>9</v>
      </c>
      <c r="T144" s="405">
        <v>22</v>
      </c>
      <c r="U144" s="406">
        <v>1497</v>
      </c>
      <c r="V144" s="406">
        <v>629</v>
      </c>
      <c r="W144" s="406">
        <v>2126</v>
      </c>
    </row>
    <row r="145" spans="2:23" hidden="1" outlineLevel="1" x14ac:dyDescent="0.25">
      <c r="B145" s="404">
        <v>42675</v>
      </c>
      <c r="C145" s="405"/>
      <c r="D145" s="405"/>
      <c r="E145" s="405"/>
      <c r="F145" s="405"/>
      <c r="G145" s="405"/>
      <c r="H145" s="405"/>
      <c r="I145" s="405">
        <v>304</v>
      </c>
      <c r="J145" s="405">
        <v>62</v>
      </c>
      <c r="K145" s="405">
        <v>366</v>
      </c>
      <c r="L145" s="405">
        <v>324</v>
      </c>
      <c r="M145" s="405">
        <v>72</v>
      </c>
      <c r="N145" s="405">
        <v>396</v>
      </c>
      <c r="O145" s="405">
        <v>727</v>
      </c>
      <c r="P145" s="405">
        <v>505</v>
      </c>
      <c r="Q145" s="405">
        <v>1232</v>
      </c>
      <c r="R145" s="405">
        <v>7</v>
      </c>
      <c r="S145" s="405">
        <v>2</v>
      </c>
      <c r="T145" s="405">
        <v>9</v>
      </c>
      <c r="U145" s="406">
        <v>1362</v>
      </c>
      <c r="V145" s="406">
        <v>641</v>
      </c>
      <c r="W145" s="406">
        <v>2003</v>
      </c>
    </row>
    <row r="146" spans="2:23" hidden="1" outlineLevel="1" x14ac:dyDescent="0.25">
      <c r="B146" s="404">
        <v>42705</v>
      </c>
      <c r="C146" s="405"/>
      <c r="D146" s="405"/>
      <c r="E146" s="405"/>
      <c r="F146" s="405"/>
      <c r="G146" s="405"/>
      <c r="H146" s="405"/>
      <c r="I146" s="405">
        <v>317</v>
      </c>
      <c r="J146" s="405">
        <v>72</v>
      </c>
      <c r="K146" s="405">
        <v>389</v>
      </c>
      <c r="L146" s="405">
        <v>400</v>
      </c>
      <c r="M146" s="405">
        <v>87</v>
      </c>
      <c r="N146" s="405">
        <v>487</v>
      </c>
      <c r="O146" s="405">
        <v>843</v>
      </c>
      <c r="P146" s="405">
        <v>600</v>
      </c>
      <c r="Q146" s="405">
        <v>1443</v>
      </c>
      <c r="R146" s="405">
        <v>19</v>
      </c>
      <c r="S146" s="405">
        <v>20</v>
      </c>
      <c r="T146" s="405">
        <v>39</v>
      </c>
      <c r="U146" s="406">
        <v>1579</v>
      </c>
      <c r="V146" s="406">
        <v>779</v>
      </c>
      <c r="W146" s="406">
        <v>2358</v>
      </c>
    </row>
    <row r="147" spans="2:23" collapsed="1" x14ac:dyDescent="0.25">
      <c r="B147" s="407" t="s">
        <v>757</v>
      </c>
      <c r="C147" s="408" t="s">
        <v>916</v>
      </c>
      <c r="D147" s="408" t="s">
        <v>916</v>
      </c>
      <c r="E147" s="408" t="s">
        <v>916</v>
      </c>
      <c r="F147" s="408" t="s">
        <v>916</v>
      </c>
      <c r="G147" s="408" t="s">
        <v>916</v>
      </c>
      <c r="H147" s="408" t="s">
        <v>916</v>
      </c>
      <c r="I147" s="408">
        <v>388</v>
      </c>
      <c r="J147" s="408">
        <v>82</v>
      </c>
      <c r="K147" s="408">
        <v>470</v>
      </c>
      <c r="L147" s="408">
        <v>428</v>
      </c>
      <c r="M147" s="408">
        <v>92</v>
      </c>
      <c r="N147" s="408">
        <v>520</v>
      </c>
      <c r="O147" s="408">
        <v>977</v>
      </c>
      <c r="P147" s="408">
        <v>656</v>
      </c>
      <c r="Q147" s="408">
        <v>1634</v>
      </c>
      <c r="R147" s="408">
        <v>17</v>
      </c>
      <c r="S147" s="408">
        <v>12</v>
      </c>
      <c r="T147" s="408">
        <v>29</v>
      </c>
      <c r="U147" s="408">
        <v>1810</v>
      </c>
      <c r="V147" s="408">
        <v>843</v>
      </c>
      <c r="W147" s="408">
        <v>2653</v>
      </c>
    </row>
    <row r="148" spans="2:23" hidden="1" outlineLevel="1" x14ac:dyDescent="0.25">
      <c r="B148" s="404">
        <v>42736</v>
      </c>
      <c r="C148" s="405"/>
      <c r="D148" s="405"/>
      <c r="E148" s="405"/>
      <c r="F148" s="405"/>
      <c r="G148" s="405"/>
      <c r="H148" s="405"/>
      <c r="I148" s="405">
        <v>372</v>
      </c>
      <c r="J148" s="405">
        <v>93</v>
      </c>
      <c r="K148" s="405">
        <v>465</v>
      </c>
      <c r="L148" s="405">
        <v>416</v>
      </c>
      <c r="M148" s="405">
        <v>92</v>
      </c>
      <c r="N148" s="405">
        <v>508</v>
      </c>
      <c r="O148" s="405">
        <v>976</v>
      </c>
      <c r="P148" s="405">
        <v>666</v>
      </c>
      <c r="Q148" s="405">
        <v>1642</v>
      </c>
      <c r="R148" s="405">
        <v>25</v>
      </c>
      <c r="S148" s="405">
        <v>18</v>
      </c>
      <c r="T148" s="405">
        <v>43</v>
      </c>
      <c r="U148" s="406">
        <v>1789</v>
      </c>
      <c r="V148" s="406">
        <v>869</v>
      </c>
      <c r="W148" s="406">
        <v>2658</v>
      </c>
    </row>
    <row r="149" spans="2:23" hidden="1" outlineLevel="1" x14ac:dyDescent="0.25">
      <c r="B149" s="404">
        <v>42767</v>
      </c>
      <c r="C149" s="405"/>
      <c r="D149" s="405"/>
      <c r="E149" s="405"/>
      <c r="F149" s="405"/>
      <c r="G149" s="405"/>
      <c r="H149" s="405"/>
      <c r="I149" s="405">
        <v>365</v>
      </c>
      <c r="J149" s="405">
        <v>82</v>
      </c>
      <c r="K149" s="405">
        <v>447</v>
      </c>
      <c r="L149" s="405">
        <v>396</v>
      </c>
      <c r="M149" s="405">
        <v>68</v>
      </c>
      <c r="N149" s="405">
        <v>464</v>
      </c>
      <c r="O149" s="405">
        <v>916</v>
      </c>
      <c r="P149" s="405">
        <v>675</v>
      </c>
      <c r="Q149" s="405">
        <v>1591</v>
      </c>
      <c r="R149" s="405">
        <v>12</v>
      </c>
      <c r="S149" s="405">
        <v>16</v>
      </c>
      <c r="T149" s="405">
        <v>28</v>
      </c>
      <c r="U149" s="406">
        <v>1689</v>
      </c>
      <c r="V149" s="406">
        <v>841</v>
      </c>
      <c r="W149" s="406">
        <v>2530</v>
      </c>
    </row>
    <row r="150" spans="2:23" hidden="1" outlineLevel="1" x14ac:dyDescent="0.25">
      <c r="B150" s="404">
        <v>42795</v>
      </c>
      <c r="C150" s="405"/>
      <c r="D150" s="405"/>
      <c r="E150" s="405"/>
      <c r="F150" s="405"/>
      <c r="G150" s="405"/>
      <c r="H150" s="405"/>
      <c r="I150" s="405">
        <v>421</v>
      </c>
      <c r="J150" s="405">
        <v>86</v>
      </c>
      <c r="K150" s="405">
        <v>507</v>
      </c>
      <c r="L150" s="405">
        <v>509</v>
      </c>
      <c r="M150" s="405">
        <v>100</v>
      </c>
      <c r="N150" s="405">
        <v>609</v>
      </c>
      <c r="O150" s="405">
        <v>1206</v>
      </c>
      <c r="P150" s="405">
        <v>736</v>
      </c>
      <c r="Q150" s="405">
        <v>1942</v>
      </c>
      <c r="R150" s="405">
        <v>18</v>
      </c>
      <c r="S150" s="405">
        <v>11</v>
      </c>
      <c r="T150" s="405">
        <v>29</v>
      </c>
      <c r="U150" s="406">
        <v>2154</v>
      </c>
      <c r="V150" s="406">
        <v>933</v>
      </c>
      <c r="W150" s="406">
        <v>3087</v>
      </c>
    </row>
    <row r="151" spans="2:23" hidden="1" outlineLevel="1" x14ac:dyDescent="0.25">
      <c r="B151" s="404">
        <v>42826</v>
      </c>
      <c r="C151" s="405"/>
      <c r="D151" s="405"/>
      <c r="E151" s="405"/>
      <c r="F151" s="405"/>
      <c r="G151" s="405"/>
      <c r="H151" s="405"/>
      <c r="I151" s="405">
        <v>346</v>
      </c>
      <c r="J151" s="405">
        <v>84</v>
      </c>
      <c r="K151" s="405">
        <v>430</v>
      </c>
      <c r="L151" s="405">
        <v>404</v>
      </c>
      <c r="M151" s="405">
        <v>79</v>
      </c>
      <c r="N151" s="405">
        <v>483</v>
      </c>
      <c r="O151" s="405">
        <v>897</v>
      </c>
      <c r="P151" s="405">
        <v>593</v>
      </c>
      <c r="Q151" s="405">
        <v>1490</v>
      </c>
      <c r="R151" s="405">
        <v>13</v>
      </c>
      <c r="S151" s="405">
        <v>7</v>
      </c>
      <c r="T151" s="405">
        <v>20</v>
      </c>
      <c r="U151" s="406">
        <v>1660</v>
      </c>
      <c r="V151" s="406">
        <v>763</v>
      </c>
      <c r="W151" s="406">
        <v>2423</v>
      </c>
    </row>
    <row r="152" spans="2:23" hidden="1" outlineLevel="1" x14ac:dyDescent="0.25">
      <c r="B152" s="404">
        <v>42856</v>
      </c>
      <c r="C152" s="405"/>
      <c r="D152" s="405"/>
      <c r="E152" s="405"/>
      <c r="F152" s="405"/>
      <c r="G152" s="405"/>
      <c r="H152" s="405"/>
      <c r="I152" s="405">
        <v>386</v>
      </c>
      <c r="J152" s="405">
        <v>95</v>
      </c>
      <c r="K152" s="405">
        <v>481</v>
      </c>
      <c r="L152" s="405">
        <v>503</v>
      </c>
      <c r="M152" s="405">
        <v>91</v>
      </c>
      <c r="N152" s="405">
        <v>594</v>
      </c>
      <c r="O152" s="405">
        <v>1155</v>
      </c>
      <c r="P152" s="405">
        <v>953</v>
      </c>
      <c r="Q152" s="405">
        <v>2108</v>
      </c>
      <c r="R152" s="405">
        <v>21</v>
      </c>
      <c r="S152" s="405">
        <v>15</v>
      </c>
      <c r="T152" s="405">
        <v>36</v>
      </c>
      <c r="U152" s="406">
        <v>2065</v>
      </c>
      <c r="V152" s="406">
        <v>1154</v>
      </c>
      <c r="W152" s="406">
        <v>3219</v>
      </c>
    </row>
    <row r="153" spans="2:23" hidden="1" outlineLevel="1" x14ac:dyDescent="0.25">
      <c r="B153" s="404">
        <v>42887</v>
      </c>
      <c r="C153" s="405"/>
      <c r="D153" s="405"/>
      <c r="E153" s="405"/>
      <c r="F153" s="405"/>
      <c r="G153" s="405"/>
      <c r="H153" s="405"/>
      <c r="I153" s="405">
        <v>362</v>
      </c>
      <c r="J153" s="405">
        <v>91</v>
      </c>
      <c r="K153" s="405">
        <v>453</v>
      </c>
      <c r="L153" s="405">
        <v>464</v>
      </c>
      <c r="M153" s="405">
        <v>94</v>
      </c>
      <c r="N153" s="405">
        <v>558</v>
      </c>
      <c r="O153" s="405">
        <v>1065</v>
      </c>
      <c r="P153" s="405">
        <v>784</v>
      </c>
      <c r="Q153" s="405">
        <v>1849</v>
      </c>
      <c r="R153" s="405">
        <v>22</v>
      </c>
      <c r="S153" s="405">
        <v>4</v>
      </c>
      <c r="T153" s="405">
        <v>26</v>
      </c>
      <c r="U153" s="406">
        <v>1913</v>
      </c>
      <c r="V153" s="406">
        <v>973</v>
      </c>
      <c r="W153" s="406">
        <v>2886</v>
      </c>
    </row>
    <row r="154" spans="2:23" hidden="1" outlineLevel="1" x14ac:dyDescent="0.25">
      <c r="B154" s="404">
        <v>42917</v>
      </c>
      <c r="C154" s="405"/>
      <c r="D154" s="405"/>
      <c r="E154" s="405"/>
      <c r="F154" s="405"/>
      <c r="G154" s="405"/>
      <c r="H154" s="405"/>
      <c r="I154" s="405">
        <v>429</v>
      </c>
      <c r="J154" s="405">
        <v>113</v>
      </c>
      <c r="K154" s="405">
        <v>542</v>
      </c>
      <c r="L154" s="405">
        <v>483</v>
      </c>
      <c r="M154" s="405">
        <v>91</v>
      </c>
      <c r="N154" s="405">
        <v>574</v>
      </c>
      <c r="O154" s="405">
        <v>1238</v>
      </c>
      <c r="P154" s="405">
        <v>780</v>
      </c>
      <c r="Q154" s="405">
        <v>2018</v>
      </c>
      <c r="R154" s="405">
        <v>24</v>
      </c>
      <c r="S154" s="405">
        <v>12</v>
      </c>
      <c r="T154" s="405">
        <v>36</v>
      </c>
      <c r="U154" s="406">
        <v>2174</v>
      </c>
      <c r="V154" s="406">
        <v>996</v>
      </c>
      <c r="W154" s="406">
        <v>3170</v>
      </c>
    </row>
    <row r="155" spans="2:23" hidden="1" outlineLevel="1" x14ac:dyDescent="0.25">
      <c r="B155" s="404">
        <v>42948</v>
      </c>
      <c r="C155" s="405"/>
      <c r="D155" s="405"/>
      <c r="E155" s="405"/>
      <c r="F155" s="405"/>
      <c r="G155" s="405"/>
      <c r="H155" s="405"/>
      <c r="I155" s="405">
        <v>521</v>
      </c>
      <c r="J155" s="405">
        <v>105</v>
      </c>
      <c r="K155" s="405">
        <v>626</v>
      </c>
      <c r="L155" s="405">
        <v>462</v>
      </c>
      <c r="M155" s="405">
        <v>107</v>
      </c>
      <c r="N155" s="405">
        <v>569</v>
      </c>
      <c r="O155" s="405">
        <v>1335</v>
      </c>
      <c r="P155" s="405">
        <v>922</v>
      </c>
      <c r="Q155" s="405">
        <v>2257</v>
      </c>
      <c r="R155" s="405">
        <v>17</v>
      </c>
      <c r="S155" s="405">
        <v>15</v>
      </c>
      <c r="T155" s="405">
        <v>32</v>
      </c>
      <c r="U155" s="406">
        <v>2335</v>
      </c>
      <c r="V155" s="406">
        <v>1149</v>
      </c>
      <c r="W155" s="406">
        <v>3484</v>
      </c>
    </row>
    <row r="156" spans="2:23" hidden="1" outlineLevel="1" x14ac:dyDescent="0.25">
      <c r="B156" s="404">
        <v>42979</v>
      </c>
      <c r="C156" s="405"/>
      <c r="D156" s="405"/>
      <c r="E156" s="405"/>
      <c r="F156" s="405"/>
      <c r="G156" s="405"/>
      <c r="H156" s="405"/>
      <c r="I156" s="405">
        <v>379</v>
      </c>
      <c r="J156" s="405">
        <v>98</v>
      </c>
      <c r="K156" s="405">
        <v>477</v>
      </c>
      <c r="L156" s="405">
        <v>374</v>
      </c>
      <c r="M156" s="405">
        <v>85</v>
      </c>
      <c r="N156" s="405">
        <v>459</v>
      </c>
      <c r="O156" s="405">
        <v>1080</v>
      </c>
      <c r="P156" s="405">
        <v>734</v>
      </c>
      <c r="Q156" s="405">
        <v>1814</v>
      </c>
      <c r="R156" s="405">
        <v>17</v>
      </c>
      <c r="S156" s="405">
        <v>6</v>
      </c>
      <c r="T156" s="405">
        <v>23</v>
      </c>
      <c r="U156" s="406">
        <v>1850</v>
      </c>
      <c r="V156" s="406">
        <v>923</v>
      </c>
      <c r="W156" s="406">
        <v>2773</v>
      </c>
    </row>
    <row r="157" spans="2:23" hidden="1" outlineLevel="1" x14ac:dyDescent="0.25">
      <c r="B157" s="404">
        <v>43009</v>
      </c>
      <c r="C157" s="405"/>
      <c r="D157" s="405"/>
      <c r="E157" s="405"/>
      <c r="F157" s="405"/>
      <c r="G157" s="405"/>
      <c r="H157" s="405"/>
      <c r="I157" s="405">
        <v>479</v>
      </c>
      <c r="J157" s="405">
        <v>103</v>
      </c>
      <c r="K157" s="405">
        <v>582</v>
      </c>
      <c r="L157" s="405">
        <v>487</v>
      </c>
      <c r="M157" s="405">
        <v>111</v>
      </c>
      <c r="N157" s="405">
        <v>598</v>
      </c>
      <c r="O157" s="405">
        <v>1111</v>
      </c>
      <c r="P157" s="405">
        <v>789</v>
      </c>
      <c r="Q157" s="405">
        <v>1900</v>
      </c>
      <c r="R157" s="405">
        <v>25</v>
      </c>
      <c r="S157" s="405">
        <v>12</v>
      </c>
      <c r="T157" s="405">
        <v>37</v>
      </c>
      <c r="U157" s="406">
        <v>2102</v>
      </c>
      <c r="V157" s="406">
        <v>1015</v>
      </c>
      <c r="W157" s="406">
        <v>3117</v>
      </c>
    </row>
    <row r="158" spans="2:23" hidden="1" outlineLevel="1" x14ac:dyDescent="0.25">
      <c r="B158" s="404">
        <v>43040</v>
      </c>
      <c r="C158" s="405"/>
      <c r="D158" s="405"/>
      <c r="E158" s="405"/>
      <c r="F158" s="405"/>
      <c r="G158" s="405"/>
      <c r="H158" s="405"/>
      <c r="I158" s="405">
        <v>427</v>
      </c>
      <c r="J158" s="405">
        <v>87</v>
      </c>
      <c r="K158" s="405">
        <v>514</v>
      </c>
      <c r="L158" s="405">
        <v>464</v>
      </c>
      <c r="M158" s="405">
        <v>92</v>
      </c>
      <c r="N158" s="405">
        <v>556</v>
      </c>
      <c r="O158" s="405">
        <v>1097</v>
      </c>
      <c r="P158" s="405">
        <v>660</v>
      </c>
      <c r="Q158" s="405">
        <v>1757</v>
      </c>
      <c r="R158" s="405">
        <v>22</v>
      </c>
      <c r="S158" s="405">
        <v>6</v>
      </c>
      <c r="T158" s="405">
        <v>28</v>
      </c>
      <c r="U158" s="406">
        <v>2010</v>
      </c>
      <c r="V158" s="406">
        <v>845</v>
      </c>
      <c r="W158" s="406">
        <v>2855</v>
      </c>
    </row>
    <row r="159" spans="2:23" hidden="1" outlineLevel="1" x14ac:dyDescent="0.25">
      <c r="B159" s="404">
        <v>43070</v>
      </c>
      <c r="C159" s="405"/>
      <c r="D159" s="405"/>
      <c r="E159" s="405"/>
      <c r="F159" s="405"/>
      <c r="G159" s="405"/>
      <c r="H159" s="405"/>
      <c r="I159" s="405">
        <v>184</v>
      </c>
      <c r="J159" s="405">
        <v>34</v>
      </c>
      <c r="K159" s="405">
        <v>218</v>
      </c>
      <c r="L159" s="405">
        <v>341</v>
      </c>
      <c r="M159" s="405">
        <v>64</v>
      </c>
      <c r="N159" s="405">
        <v>405</v>
      </c>
      <c r="O159" s="405">
        <v>524</v>
      </c>
      <c r="P159" s="405">
        <v>287</v>
      </c>
      <c r="Q159" s="405">
        <v>811</v>
      </c>
      <c r="R159" s="405">
        <v>14</v>
      </c>
      <c r="S159" s="405">
        <v>9</v>
      </c>
      <c r="T159" s="405">
        <v>23</v>
      </c>
      <c r="U159" s="406">
        <v>1063</v>
      </c>
      <c r="V159" s="406">
        <v>394</v>
      </c>
      <c r="W159" s="406">
        <v>1457</v>
      </c>
    </row>
    <row r="160" spans="2:23" collapsed="1" x14ac:dyDescent="0.25">
      <c r="B160" s="407" t="s">
        <v>758</v>
      </c>
      <c r="C160" s="408" t="s">
        <v>916</v>
      </c>
      <c r="D160" s="408" t="s">
        <v>916</v>
      </c>
      <c r="E160" s="408" t="s">
        <v>916</v>
      </c>
      <c r="F160" s="408" t="s">
        <v>916</v>
      </c>
      <c r="G160" s="408" t="s">
        <v>916</v>
      </c>
      <c r="H160" s="408" t="s">
        <v>916</v>
      </c>
      <c r="I160" s="408">
        <v>389</v>
      </c>
      <c r="J160" s="408">
        <v>89</v>
      </c>
      <c r="K160" s="408">
        <v>479</v>
      </c>
      <c r="L160" s="408">
        <v>442</v>
      </c>
      <c r="M160" s="408">
        <v>90</v>
      </c>
      <c r="N160" s="408">
        <v>531</v>
      </c>
      <c r="O160" s="408">
        <v>1050</v>
      </c>
      <c r="P160" s="408">
        <v>715</v>
      </c>
      <c r="Q160" s="408">
        <v>1765</v>
      </c>
      <c r="R160" s="408">
        <v>19</v>
      </c>
      <c r="S160" s="408">
        <v>11</v>
      </c>
      <c r="T160" s="408">
        <v>30</v>
      </c>
      <c r="U160" s="408">
        <v>1900</v>
      </c>
      <c r="V160" s="408">
        <v>905</v>
      </c>
      <c r="W160" s="408">
        <v>2805</v>
      </c>
    </row>
    <row r="161" spans="2:23" hidden="1" outlineLevel="1" x14ac:dyDescent="0.25">
      <c r="B161" s="404">
        <v>43101</v>
      </c>
      <c r="C161" s="405"/>
      <c r="D161" s="405"/>
      <c r="E161" s="405"/>
      <c r="F161" s="405"/>
      <c r="G161" s="405"/>
      <c r="H161" s="405"/>
      <c r="I161" s="405">
        <v>219</v>
      </c>
      <c r="J161" s="405">
        <v>33</v>
      </c>
      <c r="K161" s="405">
        <v>252</v>
      </c>
      <c r="L161" s="405">
        <v>417</v>
      </c>
      <c r="M161" s="405">
        <v>86</v>
      </c>
      <c r="N161" s="405">
        <v>503</v>
      </c>
      <c r="O161" s="405">
        <v>637</v>
      </c>
      <c r="P161" s="405">
        <v>305</v>
      </c>
      <c r="Q161" s="405">
        <v>942</v>
      </c>
      <c r="R161" s="405">
        <v>22</v>
      </c>
      <c r="S161" s="405">
        <v>16</v>
      </c>
      <c r="T161" s="405">
        <v>38</v>
      </c>
      <c r="U161" s="406">
        <v>1295</v>
      </c>
      <c r="V161" s="406">
        <v>440</v>
      </c>
      <c r="W161" s="406">
        <v>1735</v>
      </c>
    </row>
    <row r="162" spans="2:23" hidden="1" outlineLevel="1" x14ac:dyDescent="0.25">
      <c r="B162" s="404">
        <v>43132</v>
      </c>
      <c r="C162" s="405"/>
      <c r="D162" s="405"/>
      <c r="E162" s="405"/>
      <c r="F162" s="405"/>
      <c r="G162" s="405"/>
      <c r="H162" s="405"/>
      <c r="I162" s="405">
        <v>169</v>
      </c>
      <c r="J162" s="405">
        <v>21</v>
      </c>
      <c r="K162" s="405">
        <v>190</v>
      </c>
      <c r="L162" s="405">
        <v>370</v>
      </c>
      <c r="M162" s="405">
        <v>66</v>
      </c>
      <c r="N162" s="405">
        <v>436</v>
      </c>
      <c r="O162" s="405">
        <v>572</v>
      </c>
      <c r="P162" s="405">
        <v>310</v>
      </c>
      <c r="Q162" s="405">
        <v>882</v>
      </c>
      <c r="R162" s="405">
        <v>16</v>
      </c>
      <c r="S162" s="405">
        <v>4</v>
      </c>
      <c r="T162" s="405">
        <v>20</v>
      </c>
      <c r="U162" s="406">
        <v>1127</v>
      </c>
      <c r="V162" s="406">
        <v>401</v>
      </c>
      <c r="W162" s="406">
        <v>1528</v>
      </c>
    </row>
    <row r="163" spans="2:23" hidden="1" outlineLevel="1" x14ac:dyDescent="0.25">
      <c r="B163" s="404">
        <v>43160</v>
      </c>
      <c r="C163" s="405"/>
      <c r="D163" s="405"/>
      <c r="E163" s="405"/>
      <c r="F163" s="405"/>
      <c r="G163" s="405"/>
      <c r="H163" s="405"/>
      <c r="I163" s="405">
        <v>253</v>
      </c>
      <c r="J163" s="405">
        <v>34</v>
      </c>
      <c r="K163" s="405">
        <v>287</v>
      </c>
      <c r="L163" s="405">
        <v>431</v>
      </c>
      <c r="M163" s="405">
        <v>91</v>
      </c>
      <c r="N163" s="405">
        <v>522</v>
      </c>
      <c r="O163" s="405">
        <v>576</v>
      </c>
      <c r="P163" s="405">
        <v>367</v>
      </c>
      <c r="Q163" s="405">
        <v>943</v>
      </c>
      <c r="R163" s="405">
        <v>21</v>
      </c>
      <c r="S163" s="405">
        <v>9</v>
      </c>
      <c r="T163" s="405">
        <v>30</v>
      </c>
      <c r="U163" s="406">
        <v>1281</v>
      </c>
      <c r="V163" s="406">
        <v>501</v>
      </c>
      <c r="W163" s="406">
        <v>1782</v>
      </c>
    </row>
    <row r="164" spans="2:23" hidden="1" outlineLevel="1" x14ac:dyDescent="0.25">
      <c r="B164" s="404">
        <v>43191</v>
      </c>
      <c r="C164" s="405"/>
      <c r="D164" s="405"/>
      <c r="E164" s="405"/>
      <c r="F164" s="405"/>
      <c r="G164" s="405"/>
      <c r="H164" s="405"/>
      <c r="I164" s="405">
        <v>202</v>
      </c>
      <c r="J164" s="405">
        <v>35</v>
      </c>
      <c r="K164" s="405">
        <v>237</v>
      </c>
      <c r="L164" s="405">
        <v>444</v>
      </c>
      <c r="M164" s="405">
        <v>86</v>
      </c>
      <c r="N164" s="405">
        <v>530</v>
      </c>
      <c r="O164" s="405">
        <v>615</v>
      </c>
      <c r="P164" s="405">
        <v>310</v>
      </c>
      <c r="Q164" s="405">
        <v>925</v>
      </c>
      <c r="R164" s="405">
        <v>24</v>
      </c>
      <c r="S164" s="405">
        <v>15</v>
      </c>
      <c r="T164" s="405">
        <v>39</v>
      </c>
      <c r="U164" s="406">
        <v>1285</v>
      </c>
      <c r="V164" s="406">
        <v>446</v>
      </c>
      <c r="W164" s="406">
        <v>1731</v>
      </c>
    </row>
    <row r="165" spans="2:23" hidden="1" outlineLevel="1" x14ac:dyDescent="0.25">
      <c r="B165" s="404">
        <v>43221</v>
      </c>
      <c r="C165" s="405"/>
      <c r="D165" s="405"/>
      <c r="E165" s="405"/>
      <c r="F165" s="405"/>
      <c r="G165" s="405"/>
      <c r="H165" s="405"/>
      <c r="I165" s="405">
        <v>235</v>
      </c>
      <c r="J165" s="405">
        <v>52</v>
      </c>
      <c r="K165" s="405">
        <v>287</v>
      </c>
      <c r="L165" s="405">
        <v>373</v>
      </c>
      <c r="M165" s="405">
        <v>72</v>
      </c>
      <c r="N165" s="405">
        <v>445</v>
      </c>
      <c r="O165" s="405">
        <v>724</v>
      </c>
      <c r="P165" s="405">
        <v>395</v>
      </c>
      <c r="Q165" s="405">
        <v>1119</v>
      </c>
      <c r="R165" s="405">
        <v>16</v>
      </c>
      <c r="S165" s="405">
        <v>19</v>
      </c>
      <c r="T165" s="405">
        <v>35</v>
      </c>
      <c r="U165" s="406">
        <v>1348</v>
      </c>
      <c r="V165" s="406">
        <v>538</v>
      </c>
      <c r="W165" s="406">
        <v>1886</v>
      </c>
    </row>
    <row r="166" spans="2:23" hidden="1" outlineLevel="1" x14ac:dyDescent="0.25">
      <c r="B166" s="404">
        <v>43252</v>
      </c>
      <c r="C166" s="405"/>
      <c r="D166" s="405"/>
      <c r="E166" s="405"/>
      <c r="F166" s="405"/>
      <c r="G166" s="405"/>
      <c r="H166" s="405"/>
      <c r="I166" s="405">
        <v>213</v>
      </c>
      <c r="J166" s="405">
        <v>39</v>
      </c>
      <c r="K166" s="405">
        <v>252</v>
      </c>
      <c r="L166" s="405">
        <v>421</v>
      </c>
      <c r="M166" s="405">
        <v>80</v>
      </c>
      <c r="N166" s="405">
        <v>501</v>
      </c>
      <c r="O166" s="405">
        <v>624</v>
      </c>
      <c r="P166" s="405">
        <v>312</v>
      </c>
      <c r="Q166" s="405">
        <v>936</v>
      </c>
      <c r="R166" s="405">
        <v>22</v>
      </c>
      <c r="S166" s="405">
        <v>10</v>
      </c>
      <c r="T166" s="405">
        <v>32</v>
      </c>
      <c r="U166" s="406">
        <v>1280</v>
      </c>
      <c r="V166" s="406">
        <v>441</v>
      </c>
      <c r="W166" s="406">
        <v>1721</v>
      </c>
    </row>
    <row r="167" spans="2:23" hidden="1" outlineLevel="1" x14ac:dyDescent="0.25">
      <c r="B167" s="404">
        <v>43282</v>
      </c>
      <c r="C167" s="405"/>
      <c r="D167" s="405"/>
      <c r="E167" s="405"/>
      <c r="F167" s="405"/>
      <c r="G167" s="405"/>
      <c r="H167" s="405"/>
      <c r="I167" s="405">
        <v>237</v>
      </c>
      <c r="J167" s="405">
        <v>42</v>
      </c>
      <c r="K167" s="405">
        <v>279</v>
      </c>
      <c r="L167" s="405">
        <v>380</v>
      </c>
      <c r="M167" s="405">
        <v>90</v>
      </c>
      <c r="N167" s="405">
        <v>470</v>
      </c>
      <c r="O167" s="405">
        <v>653</v>
      </c>
      <c r="P167" s="405">
        <v>327</v>
      </c>
      <c r="Q167" s="405">
        <v>980</v>
      </c>
      <c r="R167" s="405">
        <v>21</v>
      </c>
      <c r="S167" s="405">
        <v>13</v>
      </c>
      <c r="T167" s="405">
        <v>34</v>
      </c>
      <c r="U167" s="406">
        <v>1291</v>
      </c>
      <c r="V167" s="406">
        <v>472</v>
      </c>
      <c r="W167" s="406">
        <v>1763</v>
      </c>
    </row>
    <row r="168" spans="2:23" hidden="1" outlineLevel="1" x14ac:dyDescent="0.25">
      <c r="B168" s="404">
        <v>43313</v>
      </c>
      <c r="C168" s="405"/>
      <c r="D168" s="405"/>
      <c r="E168" s="405"/>
      <c r="F168" s="405"/>
      <c r="G168" s="405"/>
      <c r="H168" s="405"/>
      <c r="I168" s="405">
        <v>297</v>
      </c>
      <c r="J168" s="405">
        <v>47</v>
      </c>
      <c r="K168" s="405">
        <v>344</v>
      </c>
      <c r="L168" s="405">
        <v>507</v>
      </c>
      <c r="M168" s="405">
        <v>112</v>
      </c>
      <c r="N168" s="405">
        <v>619</v>
      </c>
      <c r="O168" s="405">
        <v>683</v>
      </c>
      <c r="P168" s="405">
        <v>359</v>
      </c>
      <c r="Q168" s="405">
        <v>1042</v>
      </c>
      <c r="R168" s="405">
        <v>24</v>
      </c>
      <c r="S168" s="405">
        <v>13</v>
      </c>
      <c r="T168" s="405">
        <v>37</v>
      </c>
      <c r="U168" s="406">
        <v>1511</v>
      </c>
      <c r="V168" s="406">
        <v>531</v>
      </c>
      <c r="W168" s="406">
        <v>2042</v>
      </c>
    </row>
    <row r="169" spans="2:23" hidden="1" outlineLevel="1" x14ac:dyDescent="0.25">
      <c r="B169" s="404">
        <v>43344</v>
      </c>
      <c r="C169" s="405"/>
      <c r="D169" s="405"/>
      <c r="E169" s="405"/>
      <c r="F169" s="405"/>
      <c r="G169" s="405"/>
      <c r="H169" s="405"/>
      <c r="I169" s="405">
        <v>198</v>
      </c>
      <c r="J169" s="405">
        <v>23</v>
      </c>
      <c r="K169" s="405">
        <v>221</v>
      </c>
      <c r="L169" s="405">
        <v>331</v>
      </c>
      <c r="M169" s="405">
        <v>85</v>
      </c>
      <c r="N169" s="405">
        <v>416</v>
      </c>
      <c r="O169" s="405">
        <v>578</v>
      </c>
      <c r="P169" s="405">
        <v>300</v>
      </c>
      <c r="Q169" s="405">
        <v>878</v>
      </c>
      <c r="R169" s="405">
        <v>17</v>
      </c>
      <c r="S169" s="405">
        <v>11</v>
      </c>
      <c r="T169" s="405">
        <v>28</v>
      </c>
      <c r="U169" s="406">
        <v>1124</v>
      </c>
      <c r="V169" s="406">
        <v>419</v>
      </c>
      <c r="W169" s="406">
        <v>1543</v>
      </c>
    </row>
    <row r="170" spans="2:23" hidden="1" outlineLevel="1" x14ac:dyDescent="0.25">
      <c r="B170" s="404">
        <v>43374</v>
      </c>
      <c r="C170" s="405"/>
      <c r="D170" s="405"/>
      <c r="E170" s="405"/>
      <c r="F170" s="405"/>
      <c r="G170" s="405"/>
      <c r="H170" s="405"/>
      <c r="I170" s="405">
        <v>290</v>
      </c>
      <c r="J170" s="405">
        <v>42</v>
      </c>
      <c r="K170" s="405">
        <v>332</v>
      </c>
      <c r="L170" s="405">
        <v>443</v>
      </c>
      <c r="M170" s="405">
        <v>112</v>
      </c>
      <c r="N170" s="405">
        <v>555</v>
      </c>
      <c r="O170" s="405">
        <v>794</v>
      </c>
      <c r="P170" s="405">
        <v>384</v>
      </c>
      <c r="Q170" s="405">
        <v>1178</v>
      </c>
      <c r="R170" s="405">
        <v>29</v>
      </c>
      <c r="S170" s="405">
        <v>16</v>
      </c>
      <c r="T170" s="405">
        <v>45</v>
      </c>
      <c r="U170" s="406">
        <v>1556</v>
      </c>
      <c r="V170" s="406">
        <v>554</v>
      </c>
      <c r="W170" s="406">
        <v>2110</v>
      </c>
    </row>
    <row r="171" spans="2:23" hidden="1" outlineLevel="1" x14ac:dyDescent="0.25">
      <c r="B171" s="404">
        <v>43405</v>
      </c>
      <c r="C171" s="405"/>
      <c r="D171" s="405"/>
      <c r="E171" s="405"/>
      <c r="F171" s="405"/>
      <c r="G171" s="405"/>
      <c r="H171" s="405"/>
      <c r="I171" s="405">
        <v>196</v>
      </c>
      <c r="J171" s="405">
        <v>41</v>
      </c>
      <c r="K171" s="405">
        <v>237</v>
      </c>
      <c r="L171" s="405">
        <v>425</v>
      </c>
      <c r="M171" s="405">
        <v>96</v>
      </c>
      <c r="N171" s="405">
        <v>521</v>
      </c>
      <c r="O171" s="405">
        <v>610</v>
      </c>
      <c r="P171" s="405">
        <v>246</v>
      </c>
      <c r="Q171" s="405">
        <v>856</v>
      </c>
      <c r="R171" s="405">
        <v>17</v>
      </c>
      <c r="S171" s="405">
        <v>16</v>
      </c>
      <c r="T171" s="405">
        <v>33</v>
      </c>
      <c r="U171" s="406">
        <v>1248</v>
      </c>
      <c r="V171" s="406">
        <v>399</v>
      </c>
      <c r="W171" s="406">
        <v>1647</v>
      </c>
    </row>
    <row r="172" spans="2:23" hidden="1" outlineLevel="1" x14ac:dyDescent="0.25">
      <c r="B172" s="404">
        <v>43435</v>
      </c>
      <c r="C172" s="405"/>
      <c r="D172" s="405"/>
      <c r="E172" s="405"/>
      <c r="F172" s="405"/>
      <c r="G172" s="405"/>
      <c r="H172" s="405"/>
      <c r="I172" s="405">
        <v>161</v>
      </c>
      <c r="J172" s="405">
        <v>21</v>
      </c>
      <c r="K172" s="405">
        <v>182</v>
      </c>
      <c r="L172" s="405">
        <v>324</v>
      </c>
      <c r="M172" s="405">
        <v>94</v>
      </c>
      <c r="N172" s="405">
        <v>418</v>
      </c>
      <c r="O172" s="405">
        <v>530</v>
      </c>
      <c r="P172" s="405">
        <v>273</v>
      </c>
      <c r="Q172" s="405">
        <v>803</v>
      </c>
      <c r="R172" s="405">
        <v>21</v>
      </c>
      <c r="S172" s="405">
        <v>10</v>
      </c>
      <c r="T172" s="405">
        <v>31</v>
      </c>
      <c r="U172" s="406">
        <v>1036</v>
      </c>
      <c r="V172" s="406">
        <v>398</v>
      </c>
      <c r="W172" s="406">
        <v>1434</v>
      </c>
    </row>
    <row r="173" spans="2:23" collapsed="1" x14ac:dyDescent="0.25">
      <c r="B173" s="407" t="s">
        <v>759</v>
      </c>
      <c r="C173" s="408" t="s">
        <v>916</v>
      </c>
      <c r="D173" s="408" t="s">
        <v>916</v>
      </c>
      <c r="E173" s="408" t="s">
        <v>916</v>
      </c>
      <c r="F173" s="408" t="s">
        <v>916</v>
      </c>
      <c r="G173" s="408" t="s">
        <v>916</v>
      </c>
      <c r="H173" s="408" t="s">
        <v>916</v>
      </c>
      <c r="I173" s="408">
        <v>223</v>
      </c>
      <c r="J173" s="408">
        <v>36</v>
      </c>
      <c r="K173" s="408">
        <v>258</v>
      </c>
      <c r="L173" s="408">
        <v>406</v>
      </c>
      <c r="M173" s="408">
        <v>89</v>
      </c>
      <c r="N173" s="408">
        <v>495</v>
      </c>
      <c r="O173" s="408">
        <v>633</v>
      </c>
      <c r="P173" s="408">
        <v>324</v>
      </c>
      <c r="Q173" s="408">
        <v>957</v>
      </c>
      <c r="R173" s="408">
        <v>21</v>
      </c>
      <c r="S173" s="408">
        <v>13</v>
      </c>
      <c r="T173" s="408">
        <v>34</v>
      </c>
      <c r="U173" s="408">
        <v>1282</v>
      </c>
      <c r="V173" s="408">
        <v>462</v>
      </c>
      <c r="W173" s="408">
        <v>1744</v>
      </c>
    </row>
    <row r="174" spans="2:23" hidden="1" outlineLevel="1" x14ac:dyDescent="0.25">
      <c r="B174" s="404">
        <v>43466</v>
      </c>
      <c r="C174" s="405"/>
      <c r="D174" s="405"/>
      <c r="E174" s="405"/>
      <c r="F174" s="405"/>
      <c r="G174" s="405"/>
      <c r="H174" s="405"/>
      <c r="I174" s="405">
        <v>225</v>
      </c>
      <c r="J174" s="405">
        <v>31</v>
      </c>
      <c r="K174" s="405">
        <v>256</v>
      </c>
      <c r="L174" s="405">
        <v>401</v>
      </c>
      <c r="M174" s="405">
        <v>95</v>
      </c>
      <c r="N174" s="405">
        <v>496</v>
      </c>
      <c r="O174" s="405">
        <v>656</v>
      </c>
      <c r="P174" s="405">
        <v>264</v>
      </c>
      <c r="Q174" s="405">
        <v>920</v>
      </c>
      <c r="R174" s="405">
        <v>25</v>
      </c>
      <c r="S174" s="405">
        <v>22</v>
      </c>
      <c r="T174" s="405">
        <v>47</v>
      </c>
      <c r="U174" s="406">
        <v>1307</v>
      </c>
      <c r="V174" s="406">
        <v>412</v>
      </c>
      <c r="W174" s="406">
        <v>1719</v>
      </c>
    </row>
    <row r="175" spans="2:23" hidden="1" outlineLevel="1" x14ac:dyDescent="0.25">
      <c r="B175" s="404">
        <v>43497</v>
      </c>
      <c r="C175" s="405"/>
      <c r="D175" s="405"/>
      <c r="E175" s="405"/>
      <c r="F175" s="405"/>
      <c r="G175" s="405"/>
      <c r="H175" s="405"/>
      <c r="I175" s="405">
        <v>190</v>
      </c>
      <c r="J175" s="405">
        <v>29</v>
      </c>
      <c r="K175" s="405">
        <v>219</v>
      </c>
      <c r="L175" s="405">
        <v>347</v>
      </c>
      <c r="M175" s="405">
        <v>86</v>
      </c>
      <c r="N175" s="405">
        <v>433</v>
      </c>
      <c r="O175" s="405">
        <v>543</v>
      </c>
      <c r="P175" s="405">
        <v>252</v>
      </c>
      <c r="Q175" s="405">
        <v>795</v>
      </c>
      <c r="R175" s="405">
        <v>29</v>
      </c>
      <c r="S175" s="405">
        <v>9</v>
      </c>
      <c r="T175" s="405">
        <v>38</v>
      </c>
      <c r="U175" s="406">
        <v>1109</v>
      </c>
      <c r="V175" s="406">
        <v>376</v>
      </c>
      <c r="W175" s="406">
        <v>1485</v>
      </c>
    </row>
    <row r="176" spans="2:23" hidden="1" outlineLevel="1" x14ac:dyDescent="0.25">
      <c r="B176" s="404">
        <v>43525</v>
      </c>
      <c r="C176" s="405"/>
      <c r="D176" s="405"/>
      <c r="E176" s="405"/>
      <c r="F176" s="405"/>
      <c r="G176" s="405"/>
      <c r="H176" s="405"/>
      <c r="I176" s="405">
        <v>235</v>
      </c>
      <c r="J176" s="405">
        <v>28</v>
      </c>
      <c r="K176" s="405">
        <v>263</v>
      </c>
      <c r="L176" s="405">
        <v>428</v>
      </c>
      <c r="M176" s="405">
        <v>72</v>
      </c>
      <c r="N176" s="405">
        <v>500</v>
      </c>
      <c r="O176" s="405">
        <v>662</v>
      </c>
      <c r="P176" s="405">
        <v>268</v>
      </c>
      <c r="Q176" s="405">
        <v>930</v>
      </c>
      <c r="R176" s="405">
        <v>26</v>
      </c>
      <c r="S176" s="405">
        <v>13</v>
      </c>
      <c r="T176" s="405">
        <v>39</v>
      </c>
      <c r="U176" s="406">
        <v>1351</v>
      </c>
      <c r="V176" s="406">
        <v>381</v>
      </c>
      <c r="W176" s="406">
        <v>1732</v>
      </c>
    </row>
    <row r="177" spans="2:23" hidden="1" outlineLevel="1" x14ac:dyDescent="0.25">
      <c r="B177" s="404">
        <v>43556</v>
      </c>
      <c r="C177" s="405"/>
      <c r="D177" s="405"/>
      <c r="E177" s="405"/>
      <c r="F177" s="405"/>
      <c r="G177" s="405"/>
      <c r="H177" s="405"/>
      <c r="I177" s="405">
        <v>206</v>
      </c>
      <c r="J177" s="405">
        <v>29</v>
      </c>
      <c r="K177" s="405">
        <v>235</v>
      </c>
      <c r="L177" s="405">
        <v>453</v>
      </c>
      <c r="M177" s="405">
        <v>98</v>
      </c>
      <c r="N177" s="405">
        <v>551</v>
      </c>
      <c r="O177" s="405">
        <v>611</v>
      </c>
      <c r="P177" s="405">
        <v>263</v>
      </c>
      <c r="Q177" s="405">
        <v>874</v>
      </c>
      <c r="R177" s="405">
        <v>25</v>
      </c>
      <c r="S177" s="405">
        <v>20</v>
      </c>
      <c r="T177" s="405">
        <v>45</v>
      </c>
      <c r="U177" s="406">
        <v>1295</v>
      </c>
      <c r="V177" s="406">
        <v>410</v>
      </c>
      <c r="W177" s="406">
        <v>1705</v>
      </c>
    </row>
    <row r="178" spans="2:23" hidden="1" outlineLevel="1" x14ac:dyDescent="0.25">
      <c r="B178" s="404">
        <v>43586</v>
      </c>
      <c r="C178" s="405"/>
      <c r="D178" s="405"/>
      <c r="E178" s="405"/>
      <c r="F178" s="405"/>
      <c r="G178" s="405"/>
      <c r="H178" s="405"/>
      <c r="I178" s="405">
        <v>200</v>
      </c>
      <c r="J178" s="405">
        <v>23</v>
      </c>
      <c r="K178" s="405">
        <v>223</v>
      </c>
      <c r="L178" s="405">
        <v>411</v>
      </c>
      <c r="M178" s="405">
        <v>86</v>
      </c>
      <c r="N178" s="405">
        <v>497</v>
      </c>
      <c r="O178" s="405">
        <v>602</v>
      </c>
      <c r="P178" s="405">
        <v>310</v>
      </c>
      <c r="Q178" s="405">
        <v>912</v>
      </c>
      <c r="R178" s="405">
        <v>16</v>
      </c>
      <c r="S178" s="405">
        <v>16</v>
      </c>
      <c r="T178" s="405">
        <v>32</v>
      </c>
      <c r="U178" s="406">
        <v>1229</v>
      </c>
      <c r="V178" s="406">
        <v>435</v>
      </c>
      <c r="W178" s="406">
        <v>1664</v>
      </c>
    </row>
    <row r="179" spans="2:23" hidden="1" outlineLevel="1" x14ac:dyDescent="0.25">
      <c r="B179" s="404">
        <v>43617</v>
      </c>
      <c r="C179" s="405"/>
      <c r="D179" s="405"/>
      <c r="E179" s="405"/>
      <c r="F179" s="405"/>
      <c r="G179" s="405"/>
      <c r="H179" s="405"/>
      <c r="I179" s="405">
        <v>205</v>
      </c>
      <c r="J179" s="405">
        <v>28</v>
      </c>
      <c r="K179" s="405">
        <v>233</v>
      </c>
      <c r="L179" s="405">
        <v>361</v>
      </c>
      <c r="M179" s="405">
        <v>75</v>
      </c>
      <c r="N179" s="405">
        <v>436</v>
      </c>
      <c r="O179" s="405">
        <v>524</v>
      </c>
      <c r="P179" s="405">
        <v>233</v>
      </c>
      <c r="Q179" s="405">
        <v>757</v>
      </c>
      <c r="R179" s="405">
        <v>22</v>
      </c>
      <c r="S179" s="405">
        <v>14</v>
      </c>
      <c r="T179" s="405">
        <v>36</v>
      </c>
      <c r="U179" s="406">
        <v>1112</v>
      </c>
      <c r="V179" s="406">
        <v>350</v>
      </c>
      <c r="W179" s="406">
        <v>1462</v>
      </c>
    </row>
    <row r="180" spans="2:23" hidden="1" outlineLevel="1" x14ac:dyDescent="0.25">
      <c r="B180" s="404">
        <v>43647</v>
      </c>
      <c r="C180" s="405"/>
      <c r="D180" s="405"/>
      <c r="E180" s="405"/>
      <c r="F180" s="405"/>
      <c r="G180" s="405"/>
      <c r="H180" s="405"/>
      <c r="I180" s="405">
        <v>214</v>
      </c>
      <c r="J180" s="405">
        <v>29</v>
      </c>
      <c r="K180" s="405">
        <v>243</v>
      </c>
      <c r="L180" s="405">
        <v>417</v>
      </c>
      <c r="M180" s="405">
        <v>117</v>
      </c>
      <c r="N180" s="405">
        <v>534</v>
      </c>
      <c r="O180" s="405">
        <v>612</v>
      </c>
      <c r="P180" s="405">
        <v>277</v>
      </c>
      <c r="Q180" s="405">
        <v>889</v>
      </c>
      <c r="R180" s="405">
        <v>16</v>
      </c>
      <c r="S180" s="405">
        <v>6</v>
      </c>
      <c r="T180" s="405">
        <v>22</v>
      </c>
      <c r="U180" s="406">
        <v>1259</v>
      </c>
      <c r="V180" s="406">
        <v>429</v>
      </c>
      <c r="W180" s="406">
        <v>1688</v>
      </c>
    </row>
    <row r="181" spans="2:23" hidden="1" outlineLevel="1" x14ac:dyDescent="0.25">
      <c r="B181" s="404">
        <v>43678</v>
      </c>
      <c r="C181" s="405"/>
      <c r="D181" s="405"/>
      <c r="E181" s="405"/>
      <c r="F181" s="405"/>
      <c r="G181" s="405"/>
      <c r="H181" s="405"/>
      <c r="I181" s="405">
        <v>224</v>
      </c>
      <c r="J181" s="405">
        <v>33</v>
      </c>
      <c r="K181" s="405">
        <v>257</v>
      </c>
      <c r="L181" s="405">
        <v>420</v>
      </c>
      <c r="M181" s="405">
        <v>104</v>
      </c>
      <c r="N181" s="405">
        <v>524</v>
      </c>
      <c r="O181" s="405">
        <v>686</v>
      </c>
      <c r="P181" s="405">
        <v>307</v>
      </c>
      <c r="Q181" s="405">
        <v>993</v>
      </c>
      <c r="R181" s="405">
        <v>20</v>
      </c>
      <c r="S181" s="405">
        <v>15</v>
      </c>
      <c r="T181" s="405">
        <v>35</v>
      </c>
      <c r="U181" s="406">
        <v>1350</v>
      </c>
      <c r="V181" s="406">
        <v>459</v>
      </c>
      <c r="W181" s="406">
        <v>1809</v>
      </c>
    </row>
    <row r="182" spans="2:23" hidden="1" outlineLevel="1" x14ac:dyDescent="0.25">
      <c r="B182" s="404">
        <v>43709</v>
      </c>
      <c r="C182" s="405"/>
      <c r="D182" s="405"/>
      <c r="E182" s="405"/>
      <c r="F182" s="405"/>
      <c r="G182" s="405"/>
      <c r="H182" s="405"/>
      <c r="I182" s="405">
        <v>185</v>
      </c>
      <c r="J182" s="405">
        <v>25</v>
      </c>
      <c r="K182" s="405">
        <v>210</v>
      </c>
      <c r="L182" s="405">
        <v>347</v>
      </c>
      <c r="M182" s="405">
        <v>85</v>
      </c>
      <c r="N182" s="405">
        <v>432</v>
      </c>
      <c r="O182" s="405">
        <v>563</v>
      </c>
      <c r="P182" s="405">
        <v>278</v>
      </c>
      <c r="Q182" s="405">
        <v>841</v>
      </c>
      <c r="R182" s="405">
        <v>20</v>
      </c>
      <c r="S182" s="405">
        <v>13</v>
      </c>
      <c r="T182" s="405">
        <v>33</v>
      </c>
      <c r="U182" s="406">
        <v>1115</v>
      </c>
      <c r="V182" s="406">
        <v>401</v>
      </c>
      <c r="W182" s="406">
        <v>1516</v>
      </c>
    </row>
    <row r="183" spans="2:23" hidden="1" outlineLevel="1" x14ac:dyDescent="0.25">
      <c r="B183" s="404">
        <v>43739</v>
      </c>
      <c r="C183" s="405"/>
      <c r="D183" s="405"/>
      <c r="E183" s="405"/>
      <c r="F183" s="405"/>
      <c r="G183" s="405"/>
      <c r="H183" s="405"/>
      <c r="I183" s="405">
        <v>182</v>
      </c>
      <c r="J183" s="405">
        <v>29</v>
      </c>
      <c r="K183" s="405">
        <v>211</v>
      </c>
      <c r="L183" s="405">
        <v>361</v>
      </c>
      <c r="M183" s="405">
        <v>76</v>
      </c>
      <c r="N183" s="405">
        <v>437</v>
      </c>
      <c r="O183" s="405">
        <v>515</v>
      </c>
      <c r="P183" s="405">
        <v>227</v>
      </c>
      <c r="Q183" s="405">
        <v>742</v>
      </c>
      <c r="R183" s="405">
        <v>15</v>
      </c>
      <c r="S183" s="405">
        <v>9</v>
      </c>
      <c r="T183" s="405">
        <v>24</v>
      </c>
      <c r="U183" s="406">
        <v>1073</v>
      </c>
      <c r="V183" s="406">
        <v>341</v>
      </c>
      <c r="W183" s="406">
        <v>1414</v>
      </c>
    </row>
    <row r="184" spans="2:23" hidden="1" outlineLevel="1" x14ac:dyDescent="0.25">
      <c r="B184" s="404">
        <v>43770</v>
      </c>
      <c r="C184" s="405"/>
      <c r="D184" s="405"/>
      <c r="E184" s="405"/>
      <c r="F184" s="405"/>
      <c r="G184" s="405"/>
      <c r="H184" s="405"/>
      <c r="I184" s="405">
        <v>145</v>
      </c>
      <c r="J184" s="405">
        <v>16</v>
      </c>
      <c r="K184" s="405">
        <v>161</v>
      </c>
      <c r="L184" s="405">
        <v>247</v>
      </c>
      <c r="M184" s="405">
        <v>61</v>
      </c>
      <c r="N184" s="405">
        <v>308</v>
      </c>
      <c r="O184" s="405">
        <v>415</v>
      </c>
      <c r="P184" s="405">
        <v>229</v>
      </c>
      <c r="Q184" s="405">
        <v>644</v>
      </c>
      <c r="R184" s="405">
        <v>16</v>
      </c>
      <c r="S184" s="405">
        <v>11</v>
      </c>
      <c r="T184" s="405">
        <v>27</v>
      </c>
      <c r="U184" s="406">
        <v>823</v>
      </c>
      <c r="V184" s="406">
        <v>317</v>
      </c>
      <c r="W184" s="406">
        <v>1140</v>
      </c>
    </row>
    <row r="185" spans="2:23" hidden="1" outlineLevel="1" x14ac:dyDescent="0.25">
      <c r="B185" s="404">
        <v>43800</v>
      </c>
      <c r="C185" s="405"/>
      <c r="D185" s="405"/>
      <c r="E185" s="405"/>
      <c r="F185" s="405"/>
      <c r="G185" s="405"/>
      <c r="H185" s="405"/>
      <c r="I185" s="405">
        <v>286</v>
      </c>
      <c r="J185" s="405">
        <v>42</v>
      </c>
      <c r="K185" s="405">
        <v>328</v>
      </c>
      <c r="L185" s="405">
        <v>482</v>
      </c>
      <c r="M185" s="405">
        <v>109</v>
      </c>
      <c r="N185" s="405">
        <v>591</v>
      </c>
      <c r="O185" s="405">
        <v>924</v>
      </c>
      <c r="P185" s="405">
        <v>485</v>
      </c>
      <c r="Q185" s="405">
        <v>1409</v>
      </c>
      <c r="R185" s="405">
        <v>34</v>
      </c>
      <c r="S185" s="405">
        <v>29</v>
      </c>
      <c r="T185" s="405">
        <v>63</v>
      </c>
      <c r="U185" s="406">
        <v>1726</v>
      </c>
      <c r="V185" s="406">
        <v>665</v>
      </c>
      <c r="W185" s="406">
        <v>2391</v>
      </c>
    </row>
    <row r="186" spans="2:23" collapsed="1" x14ac:dyDescent="0.25">
      <c r="B186" s="407" t="s">
        <v>760</v>
      </c>
      <c r="C186" s="408" t="s">
        <v>916</v>
      </c>
      <c r="D186" s="408" t="s">
        <v>916</v>
      </c>
      <c r="E186" s="408" t="s">
        <v>916</v>
      </c>
      <c r="F186" s="408" t="s">
        <v>916</v>
      </c>
      <c r="G186" s="408" t="s">
        <v>916</v>
      </c>
      <c r="H186" s="408" t="s">
        <v>916</v>
      </c>
      <c r="I186" s="408">
        <v>208</v>
      </c>
      <c r="J186" s="408">
        <v>29</v>
      </c>
      <c r="K186" s="408">
        <v>237</v>
      </c>
      <c r="L186" s="408">
        <v>390</v>
      </c>
      <c r="M186" s="408">
        <v>89</v>
      </c>
      <c r="N186" s="408">
        <v>478</v>
      </c>
      <c r="O186" s="408">
        <v>609</v>
      </c>
      <c r="P186" s="408">
        <v>283</v>
      </c>
      <c r="Q186" s="408">
        <v>892</v>
      </c>
      <c r="R186" s="408">
        <v>22</v>
      </c>
      <c r="S186" s="408">
        <v>15</v>
      </c>
      <c r="T186" s="408">
        <v>37</v>
      </c>
      <c r="U186" s="408">
        <v>1229</v>
      </c>
      <c r="V186" s="408">
        <v>415</v>
      </c>
      <c r="W186" s="408">
        <v>1644</v>
      </c>
    </row>
    <row r="187" spans="2:23" hidden="1" outlineLevel="1" x14ac:dyDescent="0.25">
      <c r="B187" s="404">
        <v>43831</v>
      </c>
      <c r="C187" s="405"/>
      <c r="D187" s="405"/>
      <c r="E187" s="405"/>
      <c r="F187" s="405"/>
      <c r="G187" s="405"/>
      <c r="H187" s="405"/>
      <c r="I187" s="405">
        <v>265</v>
      </c>
      <c r="J187" s="405">
        <v>52</v>
      </c>
      <c r="K187" s="405">
        <v>317</v>
      </c>
      <c r="L187" s="405">
        <v>522</v>
      </c>
      <c r="M187" s="405">
        <v>115</v>
      </c>
      <c r="N187" s="405">
        <v>637</v>
      </c>
      <c r="O187" s="405">
        <v>1339</v>
      </c>
      <c r="P187" s="405">
        <v>593</v>
      </c>
      <c r="Q187" s="405">
        <v>1932</v>
      </c>
      <c r="R187" s="405">
        <v>37</v>
      </c>
      <c r="S187" s="405">
        <v>39</v>
      </c>
      <c r="T187" s="405">
        <v>76</v>
      </c>
      <c r="U187" s="406">
        <v>2163</v>
      </c>
      <c r="V187" s="406">
        <v>799</v>
      </c>
      <c r="W187" s="406">
        <v>2962</v>
      </c>
    </row>
    <row r="188" spans="2:23" hidden="1" outlineLevel="1" x14ac:dyDescent="0.25">
      <c r="B188" s="404">
        <v>43862</v>
      </c>
      <c r="C188" s="405"/>
      <c r="D188" s="405"/>
      <c r="E188" s="405"/>
      <c r="F188" s="405"/>
      <c r="G188" s="405"/>
      <c r="H188" s="405"/>
      <c r="I188" s="405">
        <v>276</v>
      </c>
      <c r="J188" s="405">
        <v>33</v>
      </c>
      <c r="K188" s="405">
        <v>309</v>
      </c>
      <c r="L188" s="405">
        <v>438</v>
      </c>
      <c r="M188" s="405">
        <v>105</v>
      </c>
      <c r="N188" s="405">
        <v>543</v>
      </c>
      <c r="O188" s="405">
        <v>1948</v>
      </c>
      <c r="P188" s="405">
        <v>823</v>
      </c>
      <c r="Q188" s="405">
        <v>2771</v>
      </c>
      <c r="R188" s="405">
        <v>36</v>
      </c>
      <c r="S188" s="405">
        <v>19</v>
      </c>
      <c r="T188" s="405">
        <v>55</v>
      </c>
      <c r="U188" s="406">
        <v>2698</v>
      </c>
      <c r="V188" s="406">
        <v>980</v>
      </c>
      <c r="W188" s="406">
        <v>3678</v>
      </c>
    </row>
    <row r="189" spans="2:23" hidden="1" outlineLevel="1" x14ac:dyDescent="0.25">
      <c r="B189" s="404">
        <v>43891</v>
      </c>
      <c r="C189" s="405"/>
      <c r="D189" s="405"/>
      <c r="E189" s="405"/>
      <c r="F189" s="405"/>
      <c r="G189" s="405"/>
      <c r="H189" s="405"/>
      <c r="I189" s="405">
        <v>153</v>
      </c>
      <c r="J189" s="405">
        <v>36</v>
      </c>
      <c r="K189" s="405">
        <v>189</v>
      </c>
      <c r="L189" s="405">
        <v>295</v>
      </c>
      <c r="M189" s="405">
        <v>78</v>
      </c>
      <c r="N189" s="405">
        <v>373</v>
      </c>
      <c r="O189" s="405">
        <v>779</v>
      </c>
      <c r="P189" s="405">
        <v>510</v>
      </c>
      <c r="Q189" s="405">
        <v>1289</v>
      </c>
      <c r="R189" s="405">
        <v>26</v>
      </c>
      <c r="S189" s="405">
        <v>20</v>
      </c>
      <c r="T189" s="405">
        <v>46</v>
      </c>
      <c r="U189" s="406">
        <v>1253</v>
      </c>
      <c r="V189" s="406">
        <v>644</v>
      </c>
      <c r="W189" s="406">
        <v>1897</v>
      </c>
    </row>
    <row r="190" spans="2:23" hidden="1" outlineLevel="1" x14ac:dyDescent="0.25">
      <c r="B190" s="404">
        <v>43922</v>
      </c>
      <c r="C190" s="405"/>
      <c r="D190" s="405"/>
      <c r="E190" s="405"/>
      <c r="F190" s="405"/>
      <c r="G190" s="405"/>
      <c r="H190" s="405"/>
      <c r="I190" s="405">
        <v>63</v>
      </c>
      <c r="J190" s="405">
        <v>15</v>
      </c>
      <c r="K190" s="405">
        <v>78</v>
      </c>
      <c r="L190" s="405">
        <v>82</v>
      </c>
      <c r="M190" s="405">
        <v>10</v>
      </c>
      <c r="N190" s="405">
        <v>92</v>
      </c>
      <c r="O190" s="405">
        <v>294</v>
      </c>
      <c r="P190" s="405">
        <v>200</v>
      </c>
      <c r="Q190" s="405">
        <v>494</v>
      </c>
      <c r="R190" s="405">
        <v>9</v>
      </c>
      <c r="S190" s="405">
        <v>6</v>
      </c>
      <c r="T190" s="405">
        <v>15</v>
      </c>
      <c r="U190" s="406">
        <v>448</v>
      </c>
      <c r="V190" s="406">
        <v>231</v>
      </c>
      <c r="W190" s="406">
        <v>679</v>
      </c>
    </row>
    <row r="191" spans="2:23" hidden="1" outlineLevel="1" x14ac:dyDescent="0.25">
      <c r="B191" s="404">
        <v>43952</v>
      </c>
      <c r="C191" s="405"/>
      <c r="D191" s="405"/>
      <c r="E191" s="405"/>
      <c r="F191" s="405"/>
      <c r="G191" s="405"/>
      <c r="H191" s="405"/>
      <c r="I191" s="405">
        <v>137</v>
      </c>
      <c r="J191" s="405">
        <v>35</v>
      </c>
      <c r="K191" s="405">
        <v>172</v>
      </c>
      <c r="L191" s="405">
        <v>190</v>
      </c>
      <c r="M191" s="405">
        <v>51</v>
      </c>
      <c r="N191" s="405">
        <v>241</v>
      </c>
      <c r="O191" s="405">
        <v>434</v>
      </c>
      <c r="P191" s="405">
        <v>363</v>
      </c>
      <c r="Q191" s="405">
        <v>797</v>
      </c>
      <c r="R191" s="405">
        <v>20</v>
      </c>
      <c r="S191" s="405">
        <v>7</v>
      </c>
      <c r="T191" s="405">
        <v>27</v>
      </c>
      <c r="U191" s="406">
        <v>781</v>
      </c>
      <c r="V191" s="406">
        <v>456</v>
      </c>
      <c r="W191" s="406">
        <v>1237</v>
      </c>
    </row>
    <row r="192" spans="2:23" hidden="1" outlineLevel="1" x14ac:dyDescent="0.25">
      <c r="B192" s="404">
        <v>43983</v>
      </c>
      <c r="C192" s="405"/>
      <c r="D192" s="405"/>
      <c r="E192" s="405"/>
      <c r="F192" s="405"/>
      <c r="G192" s="405"/>
      <c r="H192" s="405"/>
      <c r="I192" s="405">
        <v>125</v>
      </c>
      <c r="J192" s="405">
        <v>28</v>
      </c>
      <c r="K192" s="405">
        <v>153</v>
      </c>
      <c r="L192" s="405">
        <v>172</v>
      </c>
      <c r="M192" s="405">
        <v>44</v>
      </c>
      <c r="N192" s="405">
        <v>216</v>
      </c>
      <c r="O192" s="405">
        <v>526</v>
      </c>
      <c r="P192" s="405">
        <v>332</v>
      </c>
      <c r="Q192" s="405">
        <v>858</v>
      </c>
      <c r="R192" s="405">
        <v>13</v>
      </c>
      <c r="S192" s="405">
        <v>15</v>
      </c>
      <c r="T192" s="405">
        <v>28</v>
      </c>
      <c r="U192" s="406">
        <v>836</v>
      </c>
      <c r="V192" s="406">
        <v>419</v>
      </c>
      <c r="W192" s="406">
        <v>1255</v>
      </c>
    </row>
    <row r="193" spans="2:23" hidden="1" outlineLevel="1" x14ac:dyDescent="0.25">
      <c r="B193" s="404">
        <v>44013</v>
      </c>
      <c r="C193" s="405"/>
      <c r="D193" s="405"/>
      <c r="E193" s="405"/>
      <c r="F193" s="405"/>
      <c r="G193" s="405"/>
      <c r="H193" s="405"/>
      <c r="I193" s="405">
        <v>205</v>
      </c>
      <c r="J193" s="405">
        <v>53</v>
      </c>
      <c r="K193" s="405">
        <v>258</v>
      </c>
      <c r="L193" s="405">
        <v>234</v>
      </c>
      <c r="M193" s="405">
        <v>50</v>
      </c>
      <c r="N193" s="405">
        <v>284</v>
      </c>
      <c r="O193" s="405">
        <v>705</v>
      </c>
      <c r="P193" s="405">
        <v>399</v>
      </c>
      <c r="Q193" s="405">
        <v>1104</v>
      </c>
      <c r="R193" s="405">
        <v>20</v>
      </c>
      <c r="S193" s="405">
        <v>12</v>
      </c>
      <c r="T193" s="405">
        <v>32</v>
      </c>
      <c r="U193" s="406">
        <v>1164</v>
      </c>
      <c r="V193" s="406">
        <v>514</v>
      </c>
      <c r="W193" s="406">
        <v>1678</v>
      </c>
    </row>
    <row r="194" spans="2:23" hidden="1" outlineLevel="1" x14ac:dyDescent="0.25">
      <c r="B194" s="404">
        <v>44044</v>
      </c>
      <c r="C194" s="405"/>
      <c r="D194" s="405"/>
      <c r="E194" s="405"/>
      <c r="F194" s="405"/>
      <c r="G194" s="405"/>
      <c r="H194" s="405"/>
      <c r="I194" s="405">
        <v>295</v>
      </c>
      <c r="J194" s="405">
        <v>38</v>
      </c>
      <c r="K194" s="405">
        <v>333</v>
      </c>
      <c r="L194" s="405">
        <v>306</v>
      </c>
      <c r="M194" s="405">
        <v>81</v>
      </c>
      <c r="N194" s="405">
        <v>387</v>
      </c>
      <c r="O194" s="405">
        <v>1115</v>
      </c>
      <c r="P194" s="405">
        <v>590</v>
      </c>
      <c r="Q194" s="405">
        <v>1705</v>
      </c>
      <c r="R194" s="405">
        <v>23</v>
      </c>
      <c r="S194" s="405">
        <v>11</v>
      </c>
      <c r="T194" s="405">
        <v>34</v>
      </c>
      <c r="U194" s="406">
        <v>1739</v>
      </c>
      <c r="V194" s="406">
        <v>720</v>
      </c>
      <c r="W194" s="406">
        <v>2459</v>
      </c>
    </row>
    <row r="195" spans="2:23" hidden="1" outlineLevel="1" x14ac:dyDescent="0.25">
      <c r="B195" s="404">
        <v>44075</v>
      </c>
      <c r="C195" s="405"/>
      <c r="D195" s="405"/>
      <c r="E195" s="405"/>
      <c r="F195" s="405"/>
      <c r="G195" s="405"/>
      <c r="H195" s="405"/>
      <c r="I195" s="405">
        <v>283</v>
      </c>
      <c r="J195" s="405">
        <v>50</v>
      </c>
      <c r="K195" s="405">
        <v>333</v>
      </c>
      <c r="L195" s="405">
        <v>394</v>
      </c>
      <c r="M195" s="405">
        <v>104</v>
      </c>
      <c r="N195" s="405">
        <v>498</v>
      </c>
      <c r="O195" s="405">
        <v>1020</v>
      </c>
      <c r="P195" s="405">
        <v>522</v>
      </c>
      <c r="Q195" s="405">
        <v>1542</v>
      </c>
      <c r="R195" s="405">
        <v>27</v>
      </c>
      <c r="S195" s="405">
        <v>34</v>
      </c>
      <c r="T195" s="405">
        <v>61</v>
      </c>
      <c r="U195" s="406">
        <v>1724</v>
      </c>
      <c r="V195" s="406">
        <v>710</v>
      </c>
      <c r="W195" s="406">
        <v>2434</v>
      </c>
    </row>
    <row r="196" spans="2:23" hidden="1" outlineLevel="1" x14ac:dyDescent="0.25">
      <c r="B196" s="404">
        <v>44105</v>
      </c>
      <c r="C196" s="405"/>
      <c r="D196" s="405"/>
      <c r="E196" s="405"/>
      <c r="F196" s="405"/>
      <c r="G196" s="405"/>
      <c r="H196" s="405"/>
      <c r="I196" s="405">
        <v>312</v>
      </c>
      <c r="J196" s="405">
        <v>56</v>
      </c>
      <c r="K196" s="405">
        <v>368</v>
      </c>
      <c r="L196" s="405">
        <v>550</v>
      </c>
      <c r="M196" s="405">
        <v>102</v>
      </c>
      <c r="N196" s="405">
        <v>652</v>
      </c>
      <c r="O196" s="405">
        <v>985</v>
      </c>
      <c r="P196" s="405">
        <v>461</v>
      </c>
      <c r="Q196" s="405">
        <v>1446</v>
      </c>
      <c r="R196" s="405">
        <v>43</v>
      </c>
      <c r="S196" s="405">
        <v>29</v>
      </c>
      <c r="T196" s="405">
        <v>72</v>
      </c>
      <c r="U196" s="406">
        <v>1890</v>
      </c>
      <c r="V196" s="406">
        <v>648</v>
      </c>
      <c r="W196" s="406">
        <v>2538</v>
      </c>
    </row>
    <row r="197" spans="2:23" hidden="1" outlineLevel="1" x14ac:dyDescent="0.25">
      <c r="B197" s="404">
        <v>44136</v>
      </c>
      <c r="C197" s="405"/>
      <c r="D197" s="405"/>
      <c r="E197" s="405"/>
      <c r="F197" s="405"/>
      <c r="G197" s="405"/>
      <c r="H197" s="405"/>
      <c r="I197" s="405">
        <v>279</v>
      </c>
      <c r="J197" s="405">
        <v>37</v>
      </c>
      <c r="K197" s="405">
        <v>316</v>
      </c>
      <c r="L197" s="405">
        <v>517</v>
      </c>
      <c r="M197" s="405">
        <v>111</v>
      </c>
      <c r="N197" s="405">
        <v>628</v>
      </c>
      <c r="O197" s="405">
        <v>960</v>
      </c>
      <c r="P197" s="405">
        <v>435</v>
      </c>
      <c r="Q197" s="405">
        <v>1395</v>
      </c>
      <c r="R197" s="405">
        <v>47</v>
      </c>
      <c r="S197" s="405">
        <v>28</v>
      </c>
      <c r="T197" s="405">
        <v>75</v>
      </c>
      <c r="U197" s="406">
        <v>1803</v>
      </c>
      <c r="V197" s="406">
        <v>611</v>
      </c>
      <c r="W197" s="406">
        <v>2414</v>
      </c>
    </row>
    <row r="198" spans="2:23" hidden="1" outlineLevel="1" x14ac:dyDescent="0.25">
      <c r="B198" s="404">
        <v>44166</v>
      </c>
      <c r="C198" s="405"/>
      <c r="D198" s="405"/>
      <c r="E198" s="405"/>
      <c r="F198" s="405"/>
      <c r="G198" s="405"/>
      <c r="H198" s="405"/>
      <c r="I198" s="405">
        <v>269</v>
      </c>
      <c r="J198" s="405">
        <v>49</v>
      </c>
      <c r="K198" s="405">
        <v>318</v>
      </c>
      <c r="L198" s="405">
        <v>487</v>
      </c>
      <c r="M198" s="405">
        <v>98</v>
      </c>
      <c r="N198" s="405">
        <v>585</v>
      </c>
      <c r="O198" s="405">
        <v>935</v>
      </c>
      <c r="P198" s="405">
        <v>482</v>
      </c>
      <c r="Q198" s="405">
        <v>1417</v>
      </c>
      <c r="R198" s="405">
        <v>30</v>
      </c>
      <c r="S198" s="405">
        <v>24</v>
      </c>
      <c r="T198" s="405">
        <v>54</v>
      </c>
      <c r="U198" s="406">
        <v>1721</v>
      </c>
      <c r="V198" s="406">
        <v>653</v>
      </c>
      <c r="W198" s="406">
        <v>2374</v>
      </c>
    </row>
    <row r="199" spans="2:23" collapsed="1" x14ac:dyDescent="0.25">
      <c r="B199" s="407" t="s">
        <v>761</v>
      </c>
      <c r="C199" s="408" t="s">
        <v>916</v>
      </c>
      <c r="D199" s="408" t="s">
        <v>916</v>
      </c>
      <c r="E199" s="408" t="s">
        <v>916</v>
      </c>
      <c r="F199" s="408" t="s">
        <v>916</v>
      </c>
      <c r="G199" s="408" t="s">
        <v>916</v>
      </c>
      <c r="H199" s="408" t="s">
        <v>916</v>
      </c>
      <c r="I199" s="408">
        <v>222</v>
      </c>
      <c r="J199" s="408">
        <v>40</v>
      </c>
      <c r="K199" s="408">
        <v>262</v>
      </c>
      <c r="L199" s="408">
        <v>349</v>
      </c>
      <c r="M199" s="408">
        <v>79</v>
      </c>
      <c r="N199" s="408">
        <v>428</v>
      </c>
      <c r="O199" s="408">
        <v>920</v>
      </c>
      <c r="P199" s="408">
        <v>476</v>
      </c>
      <c r="Q199" s="408">
        <v>1396</v>
      </c>
      <c r="R199" s="408">
        <v>28</v>
      </c>
      <c r="S199" s="408">
        <v>20</v>
      </c>
      <c r="T199" s="408">
        <v>48</v>
      </c>
      <c r="U199" s="408">
        <v>1518</v>
      </c>
      <c r="V199" s="408">
        <v>615</v>
      </c>
      <c r="W199" s="408">
        <v>2134</v>
      </c>
    </row>
    <row r="200" spans="2:23" outlineLevel="1" x14ac:dyDescent="0.25">
      <c r="B200" s="404">
        <v>44197</v>
      </c>
      <c r="C200" s="405"/>
      <c r="D200" s="405"/>
      <c r="E200" s="405"/>
      <c r="F200" s="405"/>
      <c r="G200" s="405"/>
      <c r="H200" s="405"/>
      <c r="I200" s="405">
        <v>301</v>
      </c>
      <c r="J200" s="405">
        <v>40</v>
      </c>
      <c r="K200" s="405">
        <v>341</v>
      </c>
      <c r="L200" s="405">
        <v>482</v>
      </c>
      <c r="M200" s="405">
        <v>113</v>
      </c>
      <c r="N200" s="405">
        <v>595</v>
      </c>
      <c r="O200" s="405">
        <v>913</v>
      </c>
      <c r="P200" s="405">
        <v>410</v>
      </c>
      <c r="Q200" s="405">
        <v>1323</v>
      </c>
      <c r="R200" s="405">
        <v>54</v>
      </c>
      <c r="S200" s="405">
        <v>24</v>
      </c>
      <c r="T200" s="405">
        <v>78</v>
      </c>
      <c r="U200" s="406">
        <v>1750</v>
      </c>
      <c r="V200" s="406">
        <v>587</v>
      </c>
      <c r="W200" s="406">
        <v>2337</v>
      </c>
    </row>
    <row r="201" spans="2:23" outlineLevel="1" x14ac:dyDescent="0.25">
      <c r="B201" s="404">
        <v>44228</v>
      </c>
      <c r="C201" s="405"/>
      <c r="D201" s="405"/>
      <c r="E201" s="405"/>
      <c r="F201" s="405"/>
      <c r="G201" s="405"/>
      <c r="H201" s="405"/>
      <c r="I201" s="405">
        <v>288</v>
      </c>
      <c r="J201" s="405">
        <v>40</v>
      </c>
      <c r="K201" s="405">
        <v>328</v>
      </c>
      <c r="L201" s="405">
        <v>442</v>
      </c>
      <c r="M201" s="405">
        <v>90</v>
      </c>
      <c r="N201" s="405">
        <v>532</v>
      </c>
      <c r="O201" s="405">
        <v>897</v>
      </c>
      <c r="P201" s="405">
        <v>434</v>
      </c>
      <c r="Q201" s="405">
        <v>1331</v>
      </c>
      <c r="R201" s="405">
        <v>46</v>
      </c>
      <c r="S201" s="405">
        <v>20</v>
      </c>
      <c r="T201" s="405">
        <v>66</v>
      </c>
      <c r="U201" s="406">
        <v>1673</v>
      </c>
      <c r="V201" s="406">
        <v>584</v>
      </c>
      <c r="W201" s="406">
        <v>2257</v>
      </c>
    </row>
    <row r="202" spans="2:23" outlineLevel="1" x14ac:dyDescent="0.25">
      <c r="B202" s="404">
        <v>44256</v>
      </c>
      <c r="C202" s="405"/>
      <c r="D202" s="405"/>
      <c r="E202" s="405"/>
      <c r="F202" s="405"/>
      <c r="G202" s="405"/>
      <c r="H202" s="405"/>
      <c r="I202" s="405">
        <v>271</v>
      </c>
      <c r="J202" s="405">
        <v>62</v>
      </c>
      <c r="K202" s="405">
        <v>333</v>
      </c>
      <c r="L202" s="405">
        <v>595</v>
      </c>
      <c r="M202" s="405">
        <v>135</v>
      </c>
      <c r="N202" s="405">
        <v>730</v>
      </c>
      <c r="O202" s="405">
        <v>1098</v>
      </c>
      <c r="P202" s="405">
        <v>566</v>
      </c>
      <c r="Q202" s="405">
        <v>1664</v>
      </c>
      <c r="R202" s="405">
        <v>40</v>
      </c>
      <c r="S202" s="405">
        <v>32</v>
      </c>
      <c r="T202" s="405">
        <v>72</v>
      </c>
      <c r="U202" s="406">
        <v>2004</v>
      </c>
      <c r="V202" s="406">
        <v>795</v>
      </c>
      <c r="W202" s="406">
        <v>2799</v>
      </c>
    </row>
    <row r="203" spans="2:23" outlineLevel="1" x14ac:dyDescent="0.25">
      <c r="B203" s="404">
        <v>44287</v>
      </c>
      <c r="C203" s="405"/>
      <c r="D203" s="405"/>
      <c r="E203" s="405"/>
      <c r="F203" s="405"/>
      <c r="G203" s="405"/>
      <c r="H203" s="405"/>
      <c r="I203" s="405">
        <v>379</v>
      </c>
      <c r="J203" s="405">
        <v>51</v>
      </c>
      <c r="K203" s="405">
        <v>430</v>
      </c>
      <c r="L203" s="405">
        <v>706</v>
      </c>
      <c r="M203" s="405">
        <v>175</v>
      </c>
      <c r="N203" s="405">
        <v>881</v>
      </c>
      <c r="O203" s="405">
        <v>1191</v>
      </c>
      <c r="P203" s="405">
        <v>661</v>
      </c>
      <c r="Q203" s="405">
        <v>1852</v>
      </c>
      <c r="R203" s="405">
        <v>52</v>
      </c>
      <c r="S203" s="405">
        <v>49</v>
      </c>
      <c r="T203" s="405">
        <v>101</v>
      </c>
      <c r="U203" s="406">
        <v>2328</v>
      </c>
      <c r="V203" s="406">
        <v>936</v>
      </c>
      <c r="W203" s="406">
        <v>3264</v>
      </c>
    </row>
    <row r="204" spans="2:23" outlineLevel="1" x14ac:dyDescent="0.25">
      <c r="B204" s="404">
        <v>44317</v>
      </c>
      <c r="C204" s="405"/>
      <c r="D204" s="405"/>
      <c r="E204" s="405"/>
      <c r="F204" s="405"/>
      <c r="G204" s="405"/>
      <c r="H204" s="405"/>
      <c r="I204" s="405">
        <v>445</v>
      </c>
      <c r="J204" s="405">
        <v>63</v>
      </c>
      <c r="K204" s="405">
        <v>508</v>
      </c>
      <c r="L204" s="405">
        <v>668</v>
      </c>
      <c r="M204" s="405">
        <v>183</v>
      </c>
      <c r="N204" s="405">
        <v>851</v>
      </c>
      <c r="O204" s="405">
        <v>1364</v>
      </c>
      <c r="P204" s="405">
        <v>695</v>
      </c>
      <c r="Q204" s="405">
        <v>2059</v>
      </c>
      <c r="R204" s="405">
        <v>52</v>
      </c>
      <c r="S204" s="405">
        <v>55</v>
      </c>
      <c r="T204" s="405">
        <v>107</v>
      </c>
      <c r="U204" s="406">
        <v>2529</v>
      </c>
      <c r="V204" s="406">
        <v>996</v>
      </c>
      <c r="W204" s="406">
        <v>3525</v>
      </c>
    </row>
    <row r="205" spans="2:23" outlineLevel="1" x14ac:dyDescent="0.25">
      <c r="B205" s="404">
        <v>44348</v>
      </c>
      <c r="C205" s="405"/>
      <c r="D205" s="405"/>
      <c r="E205" s="405"/>
      <c r="F205" s="405"/>
      <c r="G205" s="405"/>
      <c r="H205" s="405"/>
      <c r="I205" s="405">
        <v>514</v>
      </c>
      <c r="J205" s="405">
        <v>59</v>
      </c>
      <c r="K205" s="405">
        <v>573</v>
      </c>
      <c r="L205" s="405">
        <v>638</v>
      </c>
      <c r="M205" s="405">
        <v>188</v>
      </c>
      <c r="N205" s="405">
        <v>826</v>
      </c>
      <c r="O205" s="405">
        <v>1309</v>
      </c>
      <c r="P205" s="405">
        <v>596</v>
      </c>
      <c r="Q205" s="405">
        <v>1905</v>
      </c>
      <c r="R205" s="405">
        <v>80</v>
      </c>
      <c r="S205" s="405">
        <v>71</v>
      </c>
      <c r="T205" s="405">
        <v>151</v>
      </c>
      <c r="U205" s="406">
        <v>2541</v>
      </c>
      <c r="V205" s="406">
        <v>914</v>
      </c>
      <c r="W205" s="406">
        <v>3455</v>
      </c>
    </row>
    <row r="206" spans="2:23" outlineLevel="1" x14ac:dyDescent="0.25">
      <c r="B206" s="404">
        <v>44378</v>
      </c>
      <c r="C206" s="405"/>
      <c r="D206" s="405"/>
      <c r="E206" s="405"/>
      <c r="F206" s="405"/>
      <c r="G206" s="405"/>
      <c r="H206" s="405"/>
      <c r="I206" s="405">
        <v>487</v>
      </c>
      <c r="J206" s="405">
        <v>67</v>
      </c>
      <c r="K206" s="405">
        <v>554</v>
      </c>
      <c r="L206" s="405">
        <v>750</v>
      </c>
      <c r="M206" s="405">
        <v>211</v>
      </c>
      <c r="N206" s="405">
        <v>961</v>
      </c>
      <c r="O206" s="405">
        <v>1382</v>
      </c>
      <c r="P206" s="405">
        <v>640</v>
      </c>
      <c r="Q206" s="405">
        <v>2022</v>
      </c>
      <c r="R206" s="405">
        <v>72</v>
      </c>
      <c r="S206" s="405">
        <v>63</v>
      </c>
      <c r="T206" s="405">
        <v>135</v>
      </c>
      <c r="U206" s="406">
        <v>2691</v>
      </c>
      <c r="V206" s="406">
        <v>981</v>
      </c>
      <c r="W206" s="406">
        <v>3672</v>
      </c>
    </row>
    <row r="207" spans="2:23" outlineLevel="1" x14ac:dyDescent="0.25">
      <c r="B207" s="404">
        <v>44409</v>
      </c>
      <c r="C207" s="405"/>
      <c r="D207" s="405"/>
      <c r="E207" s="405"/>
      <c r="F207" s="405"/>
      <c r="G207" s="405"/>
      <c r="H207" s="405"/>
      <c r="I207" s="405">
        <v>548</v>
      </c>
      <c r="J207" s="405">
        <v>77</v>
      </c>
      <c r="K207" s="405">
        <v>625</v>
      </c>
      <c r="L207" s="405">
        <v>802</v>
      </c>
      <c r="M207" s="405">
        <v>253</v>
      </c>
      <c r="N207" s="405">
        <v>1055</v>
      </c>
      <c r="O207" s="405">
        <v>1662</v>
      </c>
      <c r="P207" s="405">
        <v>770</v>
      </c>
      <c r="Q207" s="405">
        <v>2432</v>
      </c>
      <c r="R207" s="405">
        <v>80</v>
      </c>
      <c r="S207" s="405">
        <v>64</v>
      </c>
      <c r="T207" s="405">
        <v>144</v>
      </c>
      <c r="U207" s="406">
        <v>3092</v>
      </c>
      <c r="V207" s="406">
        <v>1164</v>
      </c>
      <c r="W207" s="406">
        <v>4256</v>
      </c>
    </row>
    <row r="208" spans="2:23" outlineLevel="1" x14ac:dyDescent="0.25">
      <c r="B208" s="404">
        <v>44440</v>
      </c>
      <c r="C208" s="405"/>
      <c r="D208" s="405"/>
      <c r="E208" s="405"/>
      <c r="F208" s="405"/>
      <c r="G208" s="405"/>
      <c r="H208" s="405"/>
      <c r="I208" s="405">
        <v>522</v>
      </c>
      <c r="J208" s="405">
        <v>76</v>
      </c>
      <c r="K208" s="405">
        <v>598</v>
      </c>
      <c r="L208" s="405">
        <v>756</v>
      </c>
      <c r="M208" s="405">
        <v>178</v>
      </c>
      <c r="N208" s="405">
        <v>934</v>
      </c>
      <c r="O208" s="405">
        <v>1640</v>
      </c>
      <c r="P208" s="405">
        <v>770</v>
      </c>
      <c r="Q208" s="405">
        <v>2410</v>
      </c>
      <c r="R208" s="405">
        <v>106</v>
      </c>
      <c r="S208" s="405">
        <v>72</v>
      </c>
      <c r="T208" s="405">
        <v>178</v>
      </c>
      <c r="U208" s="406">
        <v>3024</v>
      </c>
      <c r="V208" s="406">
        <v>1096</v>
      </c>
      <c r="W208" s="406">
        <v>4120</v>
      </c>
    </row>
    <row r="209" spans="2:23" outlineLevel="1" x14ac:dyDescent="0.25">
      <c r="B209" s="404">
        <v>44470</v>
      </c>
      <c r="C209" s="405"/>
      <c r="D209" s="405"/>
      <c r="E209" s="405"/>
      <c r="F209" s="405"/>
      <c r="G209" s="405"/>
      <c r="H209" s="405"/>
      <c r="I209" s="405">
        <v>480</v>
      </c>
      <c r="J209" s="405">
        <v>81</v>
      </c>
      <c r="K209" s="405">
        <v>561</v>
      </c>
      <c r="L209" s="405">
        <v>830</v>
      </c>
      <c r="M209" s="405">
        <v>216</v>
      </c>
      <c r="N209" s="405">
        <v>1046</v>
      </c>
      <c r="O209" s="405">
        <v>1463</v>
      </c>
      <c r="P209" s="405">
        <v>700</v>
      </c>
      <c r="Q209" s="405">
        <v>2163</v>
      </c>
      <c r="R209" s="405">
        <v>78</v>
      </c>
      <c r="S209" s="405">
        <v>47</v>
      </c>
      <c r="T209" s="405">
        <v>125</v>
      </c>
      <c r="U209" s="406">
        <v>2851</v>
      </c>
      <c r="V209" s="406">
        <v>1044</v>
      </c>
      <c r="W209" s="406">
        <v>3895</v>
      </c>
    </row>
    <row r="210" spans="2:23" outlineLevel="1" x14ac:dyDescent="0.25">
      <c r="B210" s="404">
        <v>44501</v>
      </c>
      <c r="C210" s="405"/>
      <c r="D210" s="405"/>
      <c r="E210" s="405"/>
      <c r="F210" s="405"/>
      <c r="G210" s="405"/>
      <c r="H210" s="405"/>
      <c r="I210" s="405">
        <v>443</v>
      </c>
      <c r="J210" s="405">
        <v>45</v>
      </c>
      <c r="K210" s="405">
        <v>488</v>
      </c>
      <c r="L210" s="405">
        <v>910</v>
      </c>
      <c r="M210" s="405">
        <v>198</v>
      </c>
      <c r="N210" s="405">
        <v>1108</v>
      </c>
      <c r="O210" s="405">
        <v>1827</v>
      </c>
      <c r="P210" s="405">
        <v>824</v>
      </c>
      <c r="Q210" s="405">
        <v>2651</v>
      </c>
      <c r="R210" s="405">
        <v>74</v>
      </c>
      <c r="S210" s="405">
        <v>66</v>
      </c>
      <c r="T210" s="405">
        <v>140</v>
      </c>
      <c r="U210" s="406">
        <v>3254</v>
      </c>
      <c r="V210" s="406">
        <v>1133</v>
      </c>
      <c r="W210" s="406">
        <v>4387</v>
      </c>
    </row>
    <row r="211" spans="2:23" outlineLevel="1" x14ac:dyDescent="0.25">
      <c r="B211" s="404">
        <v>44531</v>
      </c>
      <c r="C211" s="405"/>
      <c r="D211" s="405"/>
      <c r="E211" s="405"/>
      <c r="F211" s="405"/>
      <c r="G211" s="405"/>
      <c r="H211" s="405"/>
      <c r="I211" s="405">
        <v>521</v>
      </c>
      <c r="J211" s="405">
        <v>72</v>
      </c>
      <c r="K211" s="405">
        <v>593</v>
      </c>
      <c r="L211" s="405">
        <v>875</v>
      </c>
      <c r="M211" s="405">
        <v>234</v>
      </c>
      <c r="N211" s="405">
        <v>1109</v>
      </c>
      <c r="O211" s="405">
        <v>1747</v>
      </c>
      <c r="P211" s="405">
        <v>888</v>
      </c>
      <c r="Q211" s="405">
        <v>2635</v>
      </c>
      <c r="R211" s="405">
        <v>66</v>
      </c>
      <c r="S211" s="405">
        <v>54</v>
      </c>
      <c r="T211" s="405">
        <v>120</v>
      </c>
      <c r="U211" s="406">
        <v>3209</v>
      </c>
      <c r="V211" s="406">
        <v>1248</v>
      </c>
      <c r="W211" s="406">
        <v>4457</v>
      </c>
    </row>
    <row r="212" spans="2:23" x14ac:dyDescent="0.25">
      <c r="B212" s="407" t="s">
        <v>762</v>
      </c>
      <c r="C212" s="408" t="s">
        <v>916</v>
      </c>
      <c r="D212" s="408" t="s">
        <v>916</v>
      </c>
      <c r="E212" s="408" t="s">
        <v>916</v>
      </c>
      <c r="F212" s="408" t="s">
        <v>916</v>
      </c>
      <c r="G212" s="408" t="s">
        <v>916</v>
      </c>
      <c r="H212" s="408" t="s">
        <v>916</v>
      </c>
      <c r="I212" s="408">
        <v>433</v>
      </c>
      <c r="J212" s="408">
        <v>61</v>
      </c>
      <c r="K212" s="408">
        <v>494</v>
      </c>
      <c r="L212" s="408">
        <v>705</v>
      </c>
      <c r="M212" s="408">
        <v>181</v>
      </c>
      <c r="N212" s="408">
        <v>886</v>
      </c>
      <c r="O212" s="408">
        <v>1374</v>
      </c>
      <c r="P212" s="408">
        <v>663</v>
      </c>
      <c r="Q212" s="408">
        <v>2037</v>
      </c>
      <c r="R212" s="408">
        <v>67</v>
      </c>
      <c r="S212" s="408">
        <v>51</v>
      </c>
      <c r="T212" s="408">
        <v>118</v>
      </c>
      <c r="U212" s="408">
        <v>2579</v>
      </c>
      <c r="V212" s="408">
        <v>957</v>
      </c>
      <c r="W212" s="408">
        <v>3535</v>
      </c>
    </row>
    <row r="213" spans="2:23" outlineLevel="1" x14ac:dyDescent="0.25">
      <c r="B213" s="404">
        <v>44562</v>
      </c>
      <c r="C213" s="405"/>
      <c r="D213" s="405"/>
      <c r="E213" s="405"/>
      <c r="F213" s="405"/>
      <c r="G213" s="405"/>
      <c r="H213" s="405"/>
      <c r="I213" s="405">
        <v>230</v>
      </c>
      <c r="J213" s="405">
        <v>59</v>
      </c>
      <c r="K213" s="405">
        <v>289</v>
      </c>
      <c r="L213" s="405">
        <v>1135</v>
      </c>
      <c r="M213" s="405">
        <v>271</v>
      </c>
      <c r="N213" s="405">
        <v>1406</v>
      </c>
      <c r="O213" s="405">
        <v>654</v>
      </c>
      <c r="P213" s="405">
        <v>471</v>
      </c>
      <c r="Q213" s="405">
        <v>1125</v>
      </c>
      <c r="R213" s="405">
        <v>97</v>
      </c>
      <c r="S213" s="405">
        <v>73</v>
      </c>
      <c r="T213" s="405">
        <v>170</v>
      </c>
      <c r="U213" s="406">
        <v>2116</v>
      </c>
      <c r="V213" s="406">
        <v>874</v>
      </c>
      <c r="W213" s="406">
        <v>2990</v>
      </c>
    </row>
    <row r="214" spans="2:23" outlineLevel="1" x14ac:dyDescent="0.25">
      <c r="B214" s="404">
        <v>44593</v>
      </c>
      <c r="C214" s="405">
        <v>1071</v>
      </c>
      <c r="D214" s="405">
        <v>394</v>
      </c>
      <c r="E214" s="405">
        <v>1465</v>
      </c>
      <c r="F214" s="405">
        <v>7857</v>
      </c>
      <c r="G214" s="405">
        <v>8969</v>
      </c>
      <c r="H214" s="405">
        <v>16826</v>
      </c>
      <c r="I214" s="405"/>
      <c r="J214" s="405"/>
      <c r="K214" s="405"/>
      <c r="L214" s="405">
        <v>905</v>
      </c>
      <c r="M214" s="405">
        <v>249</v>
      </c>
      <c r="N214" s="405">
        <v>1154</v>
      </c>
      <c r="O214" s="405"/>
      <c r="P214" s="405"/>
      <c r="Q214" s="405"/>
      <c r="R214" s="405">
        <v>288</v>
      </c>
      <c r="S214" s="405">
        <v>413</v>
      </c>
      <c r="T214" s="405">
        <v>701</v>
      </c>
      <c r="U214" s="406">
        <v>10121</v>
      </c>
      <c r="V214" s="406">
        <v>10025</v>
      </c>
      <c r="W214" s="406">
        <v>20146</v>
      </c>
    </row>
    <row r="215" spans="2:23" outlineLevel="1" x14ac:dyDescent="0.25">
      <c r="B215" s="404">
        <v>44621</v>
      </c>
      <c r="C215" s="405">
        <v>218</v>
      </c>
      <c r="D215" s="405">
        <v>57</v>
      </c>
      <c r="E215" s="405">
        <v>275</v>
      </c>
      <c r="F215" s="405">
        <v>2145</v>
      </c>
      <c r="G215" s="405">
        <v>2870</v>
      </c>
      <c r="H215" s="405">
        <v>5015</v>
      </c>
      <c r="I215" s="405"/>
      <c r="J215" s="405"/>
      <c r="K215" s="405"/>
      <c r="L215" s="405">
        <v>1085</v>
      </c>
      <c r="M215" s="405">
        <v>280</v>
      </c>
      <c r="N215" s="405">
        <v>1365</v>
      </c>
      <c r="O215" s="405"/>
      <c r="P215" s="405"/>
      <c r="Q215" s="405"/>
      <c r="R215" s="405">
        <v>121</v>
      </c>
      <c r="S215" s="405">
        <v>108</v>
      </c>
      <c r="T215" s="405">
        <v>229</v>
      </c>
      <c r="U215" s="406">
        <v>3569</v>
      </c>
      <c r="V215" s="406">
        <v>3315</v>
      </c>
      <c r="W215" s="406">
        <v>6884</v>
      </c>
    </row>
    <row r="216" spans="2:23" outlineLevel="1" x14ac:dyDescent="0.25">
      <c r="B216" s="404">
        <v>44652</v>
      </c>
      <c r="C216" s="405">
        <v>175</v>
      </c>
      <c r="D216" s="405">
        <v>69</v>
      </c>
      <c r="E216" s="405">
        <v>244</v>
      </c>
      <c r="F216" s="405">
        <v>1295</v>
      </c>
      <c r="G216" s="405">
        <v>1729</v>
      </c>
      <c r="H216" s="405">
        <v>3024</v>
      </c>
      <c r="I216" s="405"/>
      <c r="J216" s="405"/>
      <c r="K216" s="405"/>
      <c r="L216" s="405">
        <v>958</v>
      </c>
      <c r="M216" s="405">
        <v>245</v>
      </c>
      <c r="N216" s="405">
        <v>1203</v>
      </c>
      <c r="O216" s="405"/>
      <c r="P216" s="405"/>
      <c r="Q216" s="405"/>
      <c r="R216" s="405">
        <v>97</v>
      </c>
      <c r="S216" s="405">
        <v>70</v>
      </c>
      <c r="T216" s="405">
        <v>167</v>
      </c>
      <c r="U216" s="406">
        <v>2525</v>
      </c>
      <c r="V216" s="406">
        <v>2113</v>
      </c>
      <c r="W216" s="406">
        <v>4638</v>
      </c>
    </row>
    <row r="217" spans="2:23" outlineLevel="1" x14ac:dyDescent="0.25">
      <c r="B217" s="404">
        <v>44682</v>
      </c>
      <c r="C217" s="405">
        <v>226</v>
      </c>
      <c r="D217" s="405">
        <v>132</v>
      </c>
      <c r="E217" s="405">
        <v>358</v>
      </c>
      <c r="F217" s="405">
        <v>1111</v>
      </c>
      <c r="G217" s="405">
        <v>1657</v>
      </c>
      <c r="H217" s="405">
        <v>2768</v>
      </c>
      <c r="I217" s="405"/>
      <c r="J217" s="405"/>
      <c r="K217" s="405"/>
      <c r="L217" s="405">
        <v>865</v>
      </c>
      <c r="M217" s="405">
        <v>219</v>
      </c>
      <c r="N217" s="405">
        <v>1084</v>
      </c>
      <c r="O217" s="405"/>
      <c r="P217" s="405"/>
      <c r="Q217" s="405"/>
      <c r="R217" s="405">
        <v>116</v>
      </c>
      <c r="S217" s="405">
        <v>119</v>
      </c>
      <c r="T217" s="405">
        <v>235</v>
      </c>
      <c r="U217" s="406">
        <v>2318</v>
      </c>
      <c r="V217" s="406">
        <v>2127</v>
      </c>
      <c r="W217" s="406">
        <v>4445</v>
      </c>
    </row>
    <row r="218" spans="2:23" outlineLevel="1" x14ac:dyDescent="0.25">
      <c r="B218" s="404">
        <v>44713</v>
      </c>
      <c r="C218" s="405">
        <v>178</v>
      </c>
      <c r="D218" s="405">
        <v>134</v>
      </c>
      <c r="E218" s="405">
        <v>312</v>
      </c>
      <c r="F218" s="405">
        <v>1228</v>
      </c>
      <c r="G218" s="405">
        <v>2022</v>
      </c>
      <c r="H218" s="405">
        <v>3250</v>
      </c>
      <c r="I218" s="405"/>
      <c r="J218" s="405"/>
      <c r="K218" s="405"/>
      <c r="L218" s="405">
        <v>696</v>
      </c>
      <c r="M218" s="405">
        <v>188</v>
      </c>
      <c r="N218" s="405">
        <v>884</v>
      </c>
      <c r="O218" s="405"/>
      <c r="P218" s="405"/>
      <c r="Q218" s="405"/>
      <c r="R218" s="405">
        <v>95</v>
      </c>
      <c r="S218" s="405">
        <v>89</v>
      </c>
      <c r="T218" s="405">
        <v>184</v>
      </c>
      <c r="U218" s="406">
        <v>2197</v>
      </c>
      <c r="V218" s="406">
        <v>2433</v>
      </c>
      <c r="W218" s="406">
        <v>4630</v>
      </c>
    </row>
    <row r="219" spans="2:23" outlineLevel="1" x14ac:dyDescent="0.25">
      <c r="B219" s="404">
        <v>44743</v>
      </c>
      <c r="C219" s="405">
        <v>182</v>
      </c>
      <c r="D219" s="405">
        <v>100</v>
      </c>
      <c r="E219" s="405">
        <v>282</v>
      </c>
      <c r="F219" s="405">
        <v>1658</v>
      </c>
      <c r="G219" s="405">
        <v>3002</v>
      </c>
      <c r="H219" s="405">
        <v>4660</v>
      </c>
      <c r="I219" s="405"/>
      <c r="J219" s="405"/>
      <c r="K219" s="405"/>
      <c r="L219" s="405">
        <v>647</v>
      </c>
      <c r="M219" s="405">
        <v>182</v>
      </c>
      <c r="N219" s="405">
        <v>829</v>
      </c>
      <c r="O219" s="405"/>
      <c r="P219" s="405"/>
      <c r="Q219" s="405"/>
      <c r="R219" s="405">
        <v>100</v>
      </c>
      <c r="S219" s="405">
        <v>93</v>
      </c>
      <c r="T219" s="405">
        <v>193</v>
      </c>
      <c r="U219" s="406">
        <v>2587</v>
      </c>
      <c r="V219" s="406">
        <v>3377</v>
      </c>
      <c r="W219" s="406">
        <v>5964</v>
      </c>
    </row>
    <row r="220" spans="2:23" outlineLevel="1" x14ac:dyDescent="0.25">
      <c r="B220" s="404">
        <v>44774</v>
      </c>
      <c r="C220" s="405">
        <v>255</v>
      </c>
      <c r="D220" s="405">
        <v>102</v>
      </c>
      <c r="E220" s="405">
        <v>357</v>
      </c>
      <c r="F220" s="405">
        <v>2898</v>
      </c>
      <c r="G220" s="405">
        <v>4230</v>
      </c>
      <c r="H220" s="405">
        <v>7128</v>
      </c>
      <c r="I220" s="405"/>
      <c r="J220" s="405"/>
      <c r="K220" s="405"/>
      <c r="L220" s="405">
        <v>685</v>
      </c>
      <c r="M220" s="405">
        <v>147</v>
      </c>
      <c r="N220" s="405">
        <v>832</v>
      </c>
      <c r="O220" s="405"/>
      <c r="P220" s="405"/>
      <c r="Q220" s="405"/>
      <c r="R220" s="405">
        <v>88</v>
      </c>
      <c r="S220" s="405">
        <v>132</v>
      </c>
      <c r="T220" s="405">
        <v>220</v>
      </c>
      <c r="U220" s="406">
        <v>3926</v>
      </c>
      <c r="V220" s="406">
        <v>4611</v>
      </c>
      <c r="W220" s="406">
        <v>8537</v>
      </c>
    </row>
    <row r="221" spans="2:23" outlineLevel="1" x14ac:dyDescent="0.25">
      <c r="B221" s="404">
        <v>44805</v>
      </c>
      <c r="C221" s="405">
        <v>201</v>
      </c>
      <c r="D221" s="405">
        <v>354</v>
      </c>
      <c r="E221" s="405">
        <v>555</v>
      </c>
      <c r="F221" s="405">
        <v>1158</v>
      </c>
      <c r="G221" s="405">
        <v>1471</v>
      </c>
      <c r="H221" s="405">
        <v>2629</v>
      </c>
      <c r="I221" s="405"/>
      <c r="J221" s="405"/>
      <c r="K221" s="405"/>
      <c r="L221" s="405">
        <v>300</v>
      </c>
      <c r="M221" s="405">
        <v>93</v>
      </c>
      <c r="N221" s="405">
        <v>393</v>
      </c>
      <c r="O221" s="405"/>
      <c r="P221" s="405"/>
      <c r="Q221" s="405"/>
      <c r="R221" s="405">
        <v>60</v>
      </c>
      <c r="S221" s="405">
        <v>84</v>
      </c>
      <c r="T221" s="405">
        <v>144</v>
      </c>
      <c r="U221" s="406">
        <v>1719</v>
      </c>
      <c r="V221" s="406">
        <v>2002</v>
      </c>
      <c r="W221" s="406">
        <v>3721</v>
      </c>
    </row>
    <row r="222" spans="2:23" outlineLevel="1" x14ac:dyDescent="0.25">
      <c r="B222" s="404">
        <v>44835</v>
      </c>
      <c r="C222" s="405">
        <v>202</v>
      </c>
      <c r="D222" s="405">
        <v>350</v>
      </c>
      <c r="E222" s="405">
        <v>552</v>
      </c>
      <c r="F222" s="405">
        <v>1667</v>
      </c>
      <c r="G222" s="405">
        <v>1629</v>
      </c>
      <c r="H222" s="405">
        <v>3296</v>
      </c>
      <c r="I222" s="405"/>
      <c r="J222" s="405"/>
      <c r="K222" s="405"/>
      <c r="L222" s="405">
        <v>169</v>
      </c>
      <c r="M222" s="405">
        <v>35</v>
      </c>
      <c r="N222" s="405">
        <v>204</v>
      </c>
      <c r="O222" s="405"/>
      <c r="P222" s="405"/>
      <c r="Q222" s="405"/>
      <c r="R222" s="405">
        <v>53</v>
      </c>
      <c r="S222" s="405">
        <v>100</v>
      </c>
      <c r="T222" s="405">
        <v>153</v>
      </c>
      <c r="U222" s="406">
        <v>2091</v>
      </c>
      <c r="V222" s="406">
        <v>2114</v>
      </c>
      <c r="W222" s="406">
        <v>4205</v>
      </c>
    </row>
    <row r="223" spans="2:23" outlineLevel="1" x14ac:dyDescent="0.25">
      <c r="B223" s="404">
        <v>44866</v>
      </c>
      <c r="C223" s="405">
        <v>168</v>
      </c>
      <c r="D223" s="405">
        <v>315</v>
      </c>
      <c r="E223" s="405">
        <v>483</v>
      </c>
      <c r="F223" s="405">
        <v>1002</v>
      </c>
      <c r="G223" s="405">
        <v>1114</v>
      </c>
      <c r="H223" s="405">
        <v>2116</v>
      </c>
      <c r="I223" s="405"/>
      <c r="J223" s="405"/>
      <c r="K223" s="405"/>
      <c r="L223" s="405">
        <v>99</v>
      </c>
      <c r="M223" s="405">
        <v>24</v>
      </c>
      <c r="N223" s="405">
        <v>123</v>
      </c>
      <c r="O223" s="405"/>
      <c r="P223" s="405"/>
      <c r="Q223" s="405"/>
      <c r="R223" s="405">
        <v>39</v>
      </c>
      <c r="S223" s="405">
        <v>83</v>
      </c>
      <c r="T223" s="405">
        <v>122</v>
      </c>
      <c r="U223" s="406">
        <v>1308</v>
      </c>
      <c r="V223" s="406">
        <v>1536</v>
      </c>
      <c r="W223" s="406">
        <v>2844</v>
      </c>
    </row>
    <row r="224" spans="2:23" outlineLevel="1" x14ac:dyDescent="0.25">
      <c r="B224" s="404">
        <v>44896</v>
      </c>
      <c r="C224" s="405">
        <v>4</v>
      </c>
      <c r="D224" s="405">
        <v>31</v>
      </c>
      <c r="E224" s="405">
        <v>35</v>
      </c>
      <c r="F224" s="405">
        <v>38</v>
      </c>
      <c r="G224" s="405">
        <v>51</v>
      </c>
      <c r="H224" s="405">
        <v>89</v>
      </c>
      <c r="I224" s="405"/>
      <c r="J224" s="405"/>
      <c r="K224" s="405"/>
      <c r="L224" s="405">
        <v>24</v>
      </c>
      <c r="M224" s="405">
        <v>11</v>
      </c>
      <c r="N224" s="405">
        <v>35</v>
      </c>
      <c r="O224" s="405"/>
      <c r="P224" s="405"/>
      <c r="Q224" s="405"/>
      <c r="R224" s="405">
        <v>34</v>
      </c>
      <c r="S224" s="405">
        <v>63</v>
      </c>
      <c r="T224" s="405">
        <v>97</v>
      </c>
      <c r="U224" s="406">
        <v>100</v>
      </c>
      <c r="V224" s="406">
        <v>156</v>
      </c>
      <c r="W224" s="406">
        <v>256</v>
      </c>
    </row>
    <row r="225" spans="2:23" x14ac:dyDescent="0.25">
      <c r="B225" s="407" t="s">
        <v>763</v>
      </c>
      <c r="C225" s="408">
        <v>262</v>
      </c>
      <c r="D225" s="408">
        <v>185</v>
      </c>
      <c r="E225" s="408">
        <v>447</v>
      </c>
      <c r="F225" s="408">
        <v>2005</v>
      </c>
      <c r="G225" s="408">
        <v>2613</v>
      </c>
      <c r="H225" s="408">
        <v>4618</v>
      </c>
      <c r="I225" s="408">
        <v>230</v>
      </c>
      <c r="J225" s="408">
        <v>59</v>
      </c>
      <c r="K225" s="408">
        <v>289</v>
      </c>
      <c r="L225" s="408">
        <v>631</v>
      </c>
      <c r="M225" s="408">
        <v>162</v>
      </c>
      <c r="N225" s="408">
        <v>793</v>
      </c>
      <c r="O225" s="408">
        <v>654</v>
      </c>
      <c r="P225" s="408">
        <v>471</v>
      </c>
      <c r="Q225" s="408">
        <v>1125</v>
      </c>
      <c r="R225" s="408">
        <v>99</v>
      </c>
      <c r="S225" s="408">
        <v>119</v>
      </c>
      <c r="T225" s="408">
        <v>218</v>
      </c>
      <c r="U225" s="408">
        <v>2881</v>
      </c>
      <c r="V225" s="408">
        <v>2890</v>
      </c>
      <c r="W225" s="408">
        <v>5772</v>
      </c>
    </row>
    <row r="226" spans="2:23" outlineLevel="1" x14ac:dyDescent="0.25">
      <c r="B226" s="404">
        <v>44927</v>
      </c>
      <c r="C226" s="405">
        <v>6</v>
      </c>
      <c r="D226" s="405">
        <v>13</v>
      </c>
      <c r="E226" s="405">
        <v>19</v>
      </c>
      <c r="F226" s="405">
        <v>35</v>
      </c>
      <c r="G226" s="405">
        <v>52</v>
      </c>
      <c r="H226" s="405">
        <v>87</v>
      </c>
      <c r="I226" s="405"/>
      <c r="J226" s="405"/>
      <c r="K226" s="405"/>
      <c r="L226" s="405">
        <v>14</v>
      </c>
      <c r="M226" s="405">
        <v>3</v>
      </c>
      <c r="N226" s="405">
        <v>17</v>
      </c>
      <c r="O226" s="405"/>
      <c r="P226" s="405"/>
      <c r="Q226" s="405"/>
      <c r="R226" s="405">
        <v>56</v>
      </c>
      <c r="S226" s="405">
        <v>76</v>
      </c>
      <c r="T226" s="405">
        <v>132</v>
      </c>
      <c r="U226" s="406">
        <v>111</v>
      </c>
      <c r="V226" s="406">
        <v>144</v>
      </c>
      <c r="W226" s="406">
        <v>255</v>
      </c>
    </row>
    <row r="227" spans="2:23" outlineLevel="1" x14ac:dyDescent="0.25">
      <c r="B227" s="404">
        <v>44958</v>
      </c>
      <c r="C227" s="405">
        <v>3</v>
      </c>
      <c r="D227" s="405">
        <v>2</v>
      </c>
      <c r="E227" s="405">
        <v>5</v>
      </c>
      <c r="F227" s="405">
        <v>13</v>
      </c>
      <c r="G227" s="405">
        <v>27</v>
      </c>
      <c r="H227" s="405">
        <v>40</v>
      </c>
      <c r="I227" s="405"/>
      <c r="J227" s="405"/>
      <c r="K227" s="405"/>
      <c r="L227" s="405">
        <v>6</v>
      </c>
      <c r="M227" s="405">
        <v>4</v>
      </c>
      <c r="N227" s="405">
        <v>10</v>
      </c>
      <c r="O227" s="405"/>
      <c r="P227" s="405"/>
      <c r="Q227" s="405"/>
      <c r="R227" s="405">
        <v>59</v>
      </c>
      <c r="S227" s="405">
        <v>45</v>
      </c>
      <c r="T227" s="405">
        <v>104</v>
      </c>
      <c r="U227" s="406">
        <v>81</v>
      </c>
      <c r="V227" s="406">
        <v>78</v>
      </c>
      <c r="W227" s="406">
        <v>159</v>
      </c>
    </row>
    <row r="228" spans="2:23" outlineLevel="1" x14ac:dyDescent="0.25">
      <c r="B228" s="404">
        <v>44986</v>
      </c>
      <c r="C228" s="405">
        <v>1</v>
      </c>
      <c r="D228" s="405">
        <v>1</v>
      </c>
      <c r="E228" s="405">
        <v>2</v>
      </c>
      <c r="F228" s="405">
        <v>6</v>
      </c>
      <c r="G228" s="405">
        <v>18</v>
      </c>
      <c r="H228" s="405">
        <v>24</v>
      </c>
      <c r="I228" s="405"/>
      <c r="J228" s="405"/>
      <c r="K228" s="405"/>
      <c r="L228" s="405"/>
      <c r="M228" s="405"/>
      <c r="N228" s="405"/>
      <c r="O228" s="405"/>
      <c r="P228" s="405"/>
      <c r="Q228" s="405"/>
      <c r="R228" s="405">
        <v>25</v>
      </c>
      <c r="S228" s="405">
        <v>10</v>
      </c>
      <c r="T228" s="405">
        <v>35</v>
      </c>
      <c r="U228" s="406">
        <v>32</v>
      </c>
      <c r="V228" s="406">
        <v>29</v>
      </c>
      <c r="W228" s="406">
        <v>61</v>
      </c>
    </row>
    <row r="229" spans="2:23" ht="30" x14ac:dyDescent="0.25">
      <c r="B229" s="407" t="s">
        <v>948</v>
      </c>
      <c r="C229" s="408">
        <v>3</v>
      </c>
      <c r="D229" s="408">
        <v>5</v>
      </c>
      <c r="E229" s="408">
        <v>9</v>
      </c>
      <c r="F229" s="408">
        <v>18</v>
      </c>
      <c r="G229" s="408">
        <v>32</v>
      </c>
      <c r="H229" s="408">
        <v>50</v>
      </c>
      <c r="I229" s="408" t="s">
        <v>916</v>
      </c>
      <c r="J229" s="408" t="s">
        <v>916</v>
      </c>
      <c r="K229" s="408" t="s">
        <v>916</v>
      </c>
      <c r="L229" s="408">
        <v>10</v>
      </c>
      <c r="M229" s="408">
        <v>4</v>
      </c>
      <c r="N229" s="408">
        <v>14</v>
      </c>
      <c r="O229" s="408" t="s">
        <v>916</v>
      </c>
      <c r="P229" s="408" t="s">
        <v>916</v>
      </c>
      <c r="Q229" s="408" t="s">
        <v>916</v>
      </c>
      <c r="R229" s="408">
        <v>47</v>
      </c>
      <c r="S229" s="408">
        <v>44</v>
      </c>
      <c r="T229" s="408">
        <v>90</v>
      </c>
      <c r="U229" s="408">
        <v>75</v>
      </c>
      <c r="V229" s="408">
        <v>84</v>
      </c>
      <c r="W229" s="408">
        <v>158</v>
      </c>
    </row>
    <row r="230" spans="2:23" x14ac:dyDescent="0.25">
      <c r="B230" s="407" t="s">
        <v>956</v>
      </c>
      <c r="C230" s="408">
        <v>2890</v>
      </c>
      <c r="D230" s="408">
        <v>2054</v>
      </c>
      <c r="E230" s="408">
        <v>4944</v>
      </c>
      <c r="F230" s="408">
        <v>22111</v>
      </c>
      <c r="G230" s="408">
        <v>28841</v>
      </c>
      <c r="H230" s="408">
        <v>50952</v>
      </c>
      <c r="I230" s="408">
        <v>50018</v>
      </c>
      <c r="J230" s="408">
        <v>9508</v>
      </c>
      <c r="K230" s="408">
        <v>59526</v>
      </c>
      <c r="L230" s="408">
        <v>109519</v>
      </c>
      <c r="M230" s="408">
        <v>22667</v>
      </c>
      <c r="N230" s="408">
        <v>132186</v>
      </c>
      <c r="O230" s="408">
        <v>162111</v>
      </c>
      <c r="P230" s="408">
        <v>95138</v>
      </c>
      <c r="Q230" s="408">
        <v>257249</v>
      </c>
      <c r="R230" s="408">
        <v>12258</v>
      </c>
      <c r="S230" s="408">
        <v>7295</v>
      </c>
      <c r="T230" s="408">
        <v>19553</v>
      </c>
      <c r="U230" s="408">
        <v>358907</v>
      </c>
      <c r="V230" s="408">
        <v>165503</v>
      </c>
      <c r="W230" s="408">
        <v>524410</v>
      </c>
    </row>
    <row r="231" spans="2:23" ht="103.5" customHeight="1" x14ac:dyDescent="0.25">
      <c r="B231" s="471" t="s">
        <v>928</v>
      </c>
      <c r="C231" s="471"/>
      <c r="D231" s="471"/>
      <c r="E231" s="471"/>
      <c r="F231" s="471"/>
      <c r="G231" s="471"/>
      <c r="H231" s="471"/>
      <c r="I231" s="471"/>
      <c r="J231" s="471"/>
      <c r="K231" s="471"/>
      <c r="L231" s="471"/>
      <c r="M231" s="471"/>
      <c r="N231" s="471"/>
      <c r="O231" s="471"/>
      <c r="P231" s="471"/>
      <c r="Q231" s="471"/>
      <c r="R231" s="471"/>
      <c r="S231" s="471"/>
      <c r="T231" s="471"/>
    </row>
    <row r="232" spans="2:23" ht="30" customHeight="1" x14ac:dyDescent="0.25">
      <c r="B232" s="3"/>
      <c r="C232" s="3"/>
      <c r="D232" s="3"/>
      <c r="E232" s="3"/>
      <c r="F232" s="3"/>
      <c r="G232" s="3"/>
      <c r="H232" s="3"/>
    </row>
  </sheetData>
  <mergeCells count="41">
    <mergeCell ref="B34:B36"/>
    <mergeCell ref="U34:W35"/>
    <mergeCell ref="C35:E35"/>
    <mergeCell ref="F35:H35"/>
    <mergeCell ref="I35:K35"/>
    <mergeCell ref="L35:N35"/>
    <mergeCell ref="O35:Q35"/>
    <mergeCell ref="R35:T35"/>
    <mergeCell ref="C34:T34"/>
    <mergeCell ref="B19:E19"/>
    <mergeCell ref="B231:T231"/>
    <mergeCell ref="B4:H4"/>
    <mergeCell ref="B5:H5"/>
    <mergeCell ref="B12:E12"/>
    <mergeCell ref="B15:E15"/>
    <mergeCell ref="B14:E14"/>
    <mergeCell ref="B13:E13"/>
    <mergeCell ref="B11:E11"/>
    <mergeCell ref="B21:E21"/>
    <mergeCell ref="B22:E22"/>
    <mergeCell ref="B23:E23"/>
    <mergeCell ref="B24:E24"/>
    <mergeCell ref="B25:E25"/>
    <mergeCell ref="B31:H31"/>
    <mergeCell ref="B32:H32"/>
    <mergeCell ref="B20:E20"/>
    <mergeCell ref="B29:T29"/>
    <mergeCell ref="B28:E28"/>
    <mergeCell ref="F7:Q7"/>
    <mergeCell ref="R7:T8"/>
    <mergeCell ref="B7:E9"/>
    <mergeCell ref="B10:E10"/>
    <mergeCell ref="B18:E18"/>
    <mergeCell ref="F8:H8"/>
    <mergeCell ref="I8:K8"/>
    <mergeCell ref="L8:N8"/>
    <mergeCell ref="O8:Q8"/>
    <mergeCell ref="B16:E16"/>
    <mergeCell ref="B17:E17"/>
    <mergeCell ref="B26:E26"/>
    <mergeCell ref="B27:E27"/>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W238"/>
  <sheetViews>
    <sheetView showGridLines="0" zoomScaleNormal="100" workbookViewId="0"/>
  </sheetViews>
  <sheetFormatPr baseColWidth="10" defaultColWidth="11.42578125" defaultRowHeight="15" outlineLevelRow="1" x14ac:dyDescent="0.25"/>
  <cols>
    <col min="1" max="1" width="7.5703125" style="21" customWidth="1"/>
    <col min="2" max="2" width="23.42578125" style="21" customWidth="1"/>
    <col min="3" max="3" width="19.85546875" style="21" customWidth="1"/>
    <col min="4" max="5" width="14.5703125" style="21" customWidth="1"/>
    <col min="6" max="6" width="14.140625" style="21" customWidth="1"/>
    <col min="7" max="8" width="11.42578125" style="21"/>
    <col min="9" max="9" width="13.5703125" style="21" customWidth="1"/>
    <col min="10" max="11" width="11.42578125" style="21"/>
    <col min="12" max="12" width="11.140625" style="21" customWidth="1"/>
    <col min="13" max="16384" width="11.42578125" style="21"/>
  </cols>
  <sheetData>
    <row r="2" spans="2:17" ht="23.25" x14ac:dyDescent="0.25">
      <c r="B2" s="1" t="s">
        <v>87</v>
      </c>
    </row>
    <row r="4" spans="2:17" ht="18.75" x14ac:dyDescent="0.3">
      <c r="B4" s="2" t="s">
        <v>922</v>
      </c>
      <c r="C4" s="2"/>
      <c r="D4" s="2"/>
      <c r="E4" s="2"/>
      <c r="F4" s="2"/>
      <c r="G4" s="2"/>
      <c r="H4" s="2"/>
      <c r="I4" s="22"/>
    </row>
    <row r="5" spans="2:17" x14ac:dyDescent="0.25">
      <c r="B5" s="8" t="s">
        <v>867</v>
      </c>
      <c r="C5" s="177"/>
      <c r="D5" s="177"/>
      <c r="E5" s="177"/>
      <c r="F5" s="177"/>
      <c r="G5" s="177"/>
      <c r="H5" s="177"/>
    </row>
    <row r="6" spans="2:17" x14ac:dyDescent="0.25">
      <c r="B6" s="229"/>
      <c r="C6" s="177"/>
      <c r="D6" s="177"/>
      <c r="E6" s="178"/>
      <c r="F6" s="178"/>
      <c r="G6" s="178"/>
      <c r="H6" s="178"/>
    </row>
    <row r="7" spans="2:17" x14ac:dyDescent="0.25">
      <c r="B7" s="490" t="s">
        <v>533</v>
      </c>
      <c r="C7" s="479" t="s">
        <v>488</v>
      </c>
      <c r="D7" s="479"/>
      <c r="E7" s="479"/>
      <c r="F7" s="479"/>
      <c r="G7" s="479"/>
      <c r="H7" s="479"/>
      <c r="I7" s="479"/>
      <c r="J7" s="479"/>
      <c r="K7" s="479"/>
      <c r="L7" s="479"/>
      <c r="M7" s="479"/>
      <c r="N7" s="479"/>
      <c r="O7" s="503" t="s">
        <v>746</v>
      </c>
      <c r="P7" s="504"/>
      <c r="Q7" s="505"/>
    </row>
    <row r="8" spans="2:17" ht="15" customHeight="1" x14ac:dyDescent="0.25">
      <c r="B8" s="490"/>
      <c r="C8" s="479" t="s">
        <v>707</v>
      </c>
      <c r="D8" s="479"/>
      <c r="E8" s="479"/>
      <c r="F8" s="479" t="s">
        <v>497</v>
      </c>
      <c r="G8" s="479"/>
      <c r="H8" s="479"/>
      <c r="I8" s="479" t="s">
        <v>4</v>
      </c>
      <c r="J8" s="479"/>
      <c r="K8" s="479"/>
      <c r="L8" s="479" t="s">
        <v>6</v>
      </c>
      <c r="M8" s="479"/>
      <c r="N8" s="479"/>
      <c r="O8" s="506"/>
      <c r="P8" s="507"/>
      <c r="Q8" s="508"/>
    </row>
    <row r="9" spans="2:17" x14ac:dyDescent="0.25">
      <c r="B9" s="490"/>
      <c r="C9" s="175" t="s">
        <v>83</v>
      </c>
      <c r="D9" s="175" t="s">
        <v>84</v>
      </c>
      <c r="E9" s="175" t="s">
        <v>35</v>
      </c>
      <c r="F9" s="175" t="s">
        <v>83</v>
      </c>
      <c r="G9" s="175" t="s">
        <v>84</v>
      </c>
      <c r="H9" s="175" t="s">
        <v>35</v>
      </c>
      <c r="I9" s="175" t="s">
        <v>83</v>
      </c>
      <c r="J9" s="175" t="s">
        <v>84</v>
      </c>
      <c r="K9" s="175" t="s">
        <v>35</v>
      </c>
      <c r="L9" s="175" t="s">
        <v>83</v>
      </c>
      <c r="M9" s="175" t="s">
        <v>84</v>
      </c>
      <c r="N9" s="175" t="s">
        <v>35</v>
      </c>
      <c r="O9" s="373" t="s">
        <v>83</v>
      </c>
      <c r="P9" s="373" t="s">
        <v>84</v>
      </c>
      <c r="Q9" s="373" t="s">
        <v>35</v>
      </c>
    </row>
    <row r="10" spans="2:17" x14ac:dyDescent="0.25">
      <c r="B10" s="371" t="s">
        <v>517</v>
      </c>
      <c r="C10" s="317">
        <f>IFERROR('2.4'!C10/'2.2'!C10,"")</f>
        <v>0.53333333333333333</v>
      </c>
      <c r="D10" s="317">
        <f>IFERROR('2.4'!D10/'2.2'!D10,"")</f>
        <v>0.5641025641025641</v>
      </c>
      <c r="E10" s="317">
        <f>IFERROR('2.4'!E10/'2.2'!E10,"")</f>
        <v>0.55072463768115942</v>
      </c>
      <c r="F10" s="317">
        <f>IFERROR('2.4'!F10/'2.2'!F10,"")</f>
        <v>0.58461538461538465</v>
      </c>
      <c r="G10" s="317">
        <f>IFERROR('2.4'!G10/'2.2'!G10,"")</f>
        <v>0.4877384196185286</v>
      </c>
      <c r="H10" s="317">
        <f>IFERROR('2.4'!H10/'2.2'!H10,"")</f>
        <v>0.53764861294583888</v>
      </c>
      <c r="I10" s="317">
        <f>IFERROR('2.4'!I10/'2.2'!I10,"")</f>
        <v>1.4084507042253521E-2</v>
      </c>
      <c r="J10" s="317">
        <f>IFERROR('2.4'!J10/'2.2'!J10,"")</f>
        <v>7.1428571428571425E-2</v>
      </c>
      <c r="K10" s="317">
        <f>IFERROR('2.4'!K10/'2.2'!K10,"")</f>
        <v>3.5398230088495575E-2</v>
      </c>
      <c r="L10" s="317">
        <f>IFERROR('2.4'!L10/'2.2'!L10,"")</f>
        <v>0.38095238095238093</v>
      </c>
      <c r="M10" s="317">
        <f>IFERROR('2.4'!M10/'2.2'!M10,"")</f>
        <v>0.30434782608695654</v>
      </c>
      <c r="N10" s="317">
        <f>IFERROR('2.4'!N10/'2.2'!N10,"")</f>
        <v>0.32835820895522388</v>
      </c>
      <c r="O10" s="372">
        <f>IFERROR('2.4'!O10/'2.2'!O10,"")</f>
        <v>0.50302114803625375</v>
      </c>
      <c r="P10" s="372">
        <f>IFERROR('2.4'!P10/'2.2'!P10,"")</f>
        <v>0.47605224963715531</v>
      </c>
      <c r="Q10" s="372">
        <f>IFERROR('2.4'!Q10/'2.2'!Q10,"")</f>
        <v>0.48926720947446334</v>
      </c>
    </row>
    <row r="11" spans="2:17" x14ac:dyDescent="0.25">
      <c r="B11" s="365" t="s">
        <v>518</v>
      </c>
      <c r="C11" s="317">
        <f>IFERROR('2.4'!C11/'2.2'!C11,"")</f>
        <v>0.66829268292682931</v>
      </c>
      <c r="D11" s="317">
        <f>IFERROR('2.4'!D11/'2.2'!D11,"")</f>
        <v>0.63571428571428568</v>
      </c>
      <c r="E11" s="317">
        <f>IFERROR('2.4'!E11/'2.2'!E11,"")</f>
        <v>0.65180722891566267</v>
      </c>
      <c r="F11" s="317">
        <f>IFERROR('2.4'!F11/'2.2'!F11,"")</f>
        <v>0.60618556701030923</v>
      </c>
      <c r="G11" s="317">
        <f>IFERROR('2.4'!G11/'2.2'!G11,"")</f>
        <v>0.51518691588785048</v>
      </c>
      <c r="H11" s="317">
        <f>IFERROR('2.4'!H11/'2.2'!H11,"")</f>
        <v>0.56352683461117192</v>
      </c>
      <c r="I11" s="317">
        <f>IFERROR('2.4'!I11/'2.2'!I11,"")</f>
        <v>2.5477707006369428E-2</v>
      </c>
      <c r="J11" s="317">
        <f>IFERROR('2.4'!J11/'2.2'!J11,"")</f>
        <v>1.5384615384615385E-2</v>
      </c>
      <c r="K11" s="317">
        <f>IFERROR('2.4'!K11/'2.2'!K11,"")</f>
        <v>2.2522522522522521E-2</v>
      </c>
      <c r="L11" s="317">
        <f>IFERROR('2.4'!L11/'2.2'!L11,"")</f>
        <v>0.41666666666666669</v>
      </c>
      <c r="M11" s="317">
        <f>IFERROR('2.4'!M11/'2.2'!M11,"")</f>
        <v>0.56097560975609762</v>
      </c>
      <c r="N11" s="317">
        <f>IFERROR('2.4'!N11/'2.2'!N11,"")</f>
        <v>0.4935064935064935</v>
      </c>
      <c r="O11" s="372">
        <f>IFERROR('2.4'!O11/'2.2'!O11,"")</f>
        <v>0.5600762873490146</v>
      </c>
      <c r="P11" s="372">
        <f>IFERROR('2.4'!P11/'2.2'!P11,"")</f>
        <v>0.52966714905933432</v>
      </c>
      <c r="Q11" s="372">
        <f>IFERROR('2.4'!Q11/'2.2'!Q11,"")</f>
        <v>0.54585448392554992</v>
      </c>
    </row>
    <row r="12" spans="2:17" x14ac:dyDescent="0.25">
      <c r="B12" s="365" t="s">
        <v>519</v>
      </c>
      <c r="C12" s="317">
        <f>IFERROR('2.4'!C12/'2.2'!C12,"")</f>
        <v>0.74129353233830841</v>
      </c>
      <c r="D12" s="317">
        <f>IFERROR('2.4'!D12/'2.2'!D12,"")</f>
        <v>0.62318840579710144</v>
      </c>
      <c r="E12" s="317">
        <f>IFERROR('2.4'!E12/'2.2'!E12,"")</f>
        <v>0.67295597484276726</v>
      </c>
      <c r="F12" s="317">
        <f>IFERROR('2.4'!F12/'2.2'!F12,"")</f>
        <v>0.64692482915717542</v>
      </c>
      <c r="G12" s="317">
        <f>IFERROR('2.4'!G12/'2.2'!G12,"")</f>
        <v>0.56629213483146068</v>
      </c>
      <c r="H12" s="317">
        <f>IFERROR('2.4'!H12/'2.2'!H12,"")</f>
        <v>0.60633484162895923</v>
      </c>
      <c r="I12" s="317">
        <f>IFERROR('2.4'!I12/'2.2'!I12,"")</f>
        <v>1.0526315789473684E-2</v>
      </c>
      <c r="J12" s="317">
        <f>IFERROR('2.4'!J12/'2.2'!J12,"")</f>
        <v>8.5714285714285715E-2</v>
      </c>
      <c r="K12" s="317">
        <f>IFERROR('2.4'!K12/'2.2'!K12,"")</f>
        <v>3.0769230769230771E-2</v>
      </c>
      <c r="L12" s="317">
        <f>IFERROR('2.4'!L12/'2.2'!L12,"")</f>
        <v>0.4</v>
      </c>
      <c r="M12" s="317">
        <f>IFERROR('2.4'!M12/'2.2'!M12,"")</f>
        <v>0.56666666666666665</v>
      </c>
      <c r="N12" s="317">
        <f>IFERROR('2.4'!N12/'2.2'!N12,"")</f>
        <v>0.51111111111111107</v>
      </c>
      <c r="O12" s="372">
        <f>IFERROR('2.4'!O12/'2.2'!O12,"")</f>
        <v>0.58666666666666667</v>
      </c>
      <c r="P12" s="372">
        <f>IFERROR('2.4'!P12/'2.2'!P12,"")</f>
        <v>0.56488549618320616</v>
      </c>
      <c r="Q12" s="372">
        <f>IFERROR('2.4'!Q12/'2.2'!Q12,"")</f>
        <v>0.57552083333333337</v>
      </c>
    </row>
    <row r="13" spans="2:17" x14ac:dyDescent="0.25">
      <c r="B13" s="365" t="s">
        <v>520</v>
      </c>
      <c r="C13" s="317">
        <f>IFERROR('2.4'!C13/'2.2'!C13,"")</f>
        <v>0.67157894736842105</v>
      </c>
      <c r="D13" s="317">
        <f>IFERROR('2.4'!D13/'2.2'!D13,"")</f>
        <v>0.62534435261707988</v>
      </c>
      <c r="E13" s="317">
        <f>IFERROR('2.4'!E13/'2.2'!E13,"")</f>
        <v>0.64363030807660282</v>
      </c>
      <c r="F13" s="317">
        <f>IFERROR('2.4'!F13/'2.2'!F13,"")</f>
        <v>0.63926940639269403</v>
      </c>
      <c r="G13" s="317">
        <f>IFERROR('2.4'!G13/'2.2'!G13,"")</f>
        <v>0.56311548791405552</v>
      </c>
      <c r="H13" s="317">
        <f>IFERROR('2.4'!H13/'2.2'!H13,"")</f>
        <v>0.60427807486631013</v>
      </c>
      <c r="I13" s="317">
        <f>IFERROR('2.4'!I13/'2.2'!I13,"")</f>
        <v>3.2051282051282048E-2</v>
      </c>
      <c r="J13" s="317">
        <f>IFERROR('2.4'!J13/'2.2'!J13,"")</f>
        <v>7.5187969924812026E-2</v>
      </c>
      <c r="K13" s="317">
        <f>IFERROR('2.4'!K13/'2.2'!K13,"")</f>
        <v>4.49438202247191E-2</v>
      </c>
      <c r="L13" s="317">
        <f>IFERROR('2.4'!L13/'2.2'!L13,"")</f>
        <v>0.30120481927710846</v>
      </c>
      <c r="M13" s="317">
        <f>IFERROR('2.4'!M13/'2.2'!M13,"")</f>
        <v>0.46728971962616822</v>
      </c>
      <c r="N13" s="317">
        <f>IFERROR('2.4'!N13/'2.2'!N13,"")</f>
        <v>0.39473684210526316</v>
      </c>
      <c r="O13" s="372">
        <f>IFERROR('2.4'!O13/'2.2'!O13,"")</f>
        <v>0.54670329670329665</v>
      </c>
      <c r="P13" s="372">
        <f>IFERROR('2.4'!P13/'2.2'!P13,"")</f>
        <v>0.54872779644743164</v>
      </c>
      <c r="Q13" s="372">
        <f>IFERROR('2.4'!Q13/'2.2'!Q13,"")</f>
        <v>0.54769158659479733</v>
      </c>
    </row>
    <row r="14" spans="2:17" x14ac:dyDescent="0.25">
      <c r="B14" s="365" t="s">
        <v>521</v>
      </c>
      <c r="C14" s="317">
        <f>IFERROR('2.4'!C14/'2.2'!C14,"")</f>
        <v>0.69411764705882351</v>
      </c>
      <c r="D14" s="317">
        <f>IFERROR('2.4'!D14/'2.2'!D14,"")</f>
        <v>0.63356562137049943</v>
      </c>
      <c r="E14" s="317">
        <f>IFERROR('2.4'!E14/'2.2'!E14,"")</f>
        <v>0.65831043956043955</v>
      </c>
      <c r="F14" s="317">
        <f>IFERROR('2.4'!F14/'2.2'!F14,"")</f>
        <v>0.63916256157635465</v>
      </c>
      <c r="G14" s="317">
        <f>IFERROR('2.4'!G14/'2.2'!G14,"")</f>
        <v>0.57046070460704612</v>
      </c>
      <c r="H14" s="317">
        <f>IFERROR('2.4'!H14/'2.2'!H14,"")</f>
        <v>0.61023958927552768</v>
      </c>
      <c r="I14" s="317">
        <f>IFERROR('2.4'!I14/'2.2'!I14,"")</f>
        <v>1.8363939899833055E-2</v>
      </c>
      <c r="J14" s="317">
        <f>IFERROR('2.4'!J14/'2.2'!J14,"")</f>
        <v>6.7460317460317457E-2</v>
      </c>
      <c r="K14" s="317">
        <f>IFERROR('2.4'!K14/'2.2'!K14,"")</f>
        <v>3.2902467685076382E-2</v>
      </c>
      <c r="L14" s="317">
        <f>IFERROR('2.4'!L14/'2.2'!L14,"")</f>
        <v>0.42056074766355139</v>
      </c>
      <c r="M14" s="317">
        <f>IFERROR('2.4'!M14/'2.2'!M14,"")</f>
        <v>0.4044943820224719</v>
      </c>
      <c r="N14" s="317">
        <f>IFERROR('2.4'!N14/'2.2'!N14,"")</f>
        <v>0.41164241164241167</v>
      </c>
      <c r="O14" s="372">
        <f>IFERROR('2.4'!O14/'2.2'!O14,"")</f>
        <v>0.58090054428500737</v>
      </c>
      <c r="P14" s="372">
        <f>IFERROR('2.4'!P14/'2.2'!P14,"")</f>
        <v>0.55844405931061047</v>
      </c>
      <c r="Q14" s="372">
        <f>IFERROR('2.4'!Q14/'2.2'!Q14,"")</f>
        <v>0.57054015636105193</v>
      </c>
    </row>
    <row r="15" spans="2:17" ht="45" x14ac:dyDescent="0.25">
      <c r="B15" s="365" t="s">
        <v>522</v>
      </c>
      <c r="C15" s="317">
        <f>IFERROR('2.4'!C15/'2.2'!C15,"")</f>
        <v>0.68500000000000005</v>
      </c>
      <c r="D15" s="317">
        <f>IFERROR('2.4'!D15/'2.2'!D15,"")</f>
        <v>0.62227602905569013</v>
      </c>
      <c r="E15" s="317">
        <f>IFERROR('2.4'!E15/'2.2'!E15,"")</f>
        <v>0.6486676016830295</v>
      </c>
      <c r="F15" s="317">
        <f>IFERROR('2.4'!F15/'2.2'!F15,"")</f>
        <v>0.65962059620596203</v>
      </c>
      <c r="G15" s="317">
        <f>IFERROR('2.4'!G15/'2.2'!G15,"")</f>
        <v>0.5622254758418741</v>
      </c>
      <c r="H15" s="317">
        <f>IFERROR('2.4'!H15/'2.2'!H15,"")</f>
        <v>0.61818748053565864</v>
      </c>
      <c r="I15" s="317">
        <f>IFERROR('2.4'!I15/'2.2'!I15,"")</f>
        <v>3.0878859857482184E-2</v>
      </c>
      <c r="J15" s="317">
        <f>IFERROR('2.4'!J15/'2.2'!J15,"")</f>
        <v>9.4488188976377951E-2</v>
      </c>
      <c r="K15" s="317">
        <f>IFERROR('2.4'!K15/'2.2'!K15,"")</f>
        <v>4.5620437956204379E-2</v>
      </c>
      <c r="L15" s="317">
        <f>IFERROR('2.4'!L15/'2.2'!L15,"")</f>
        <v>0.35</v>
      </c>
      <c r="M15" s="317">
        <f>IFERROR('2.4'!M15/'2.2'!M15,"")</f>
        <v>0.4375</v>
      </c>
      <c r="N15" s="317">
        <f>IFERROR('2.4'!N15/'2.2'!N15,"")</f>
        <v>0.39772727272727271</v>
      </c>
      <c r="O15" s="372">
        <f>IFERROR('2.4'!O15/'2.2'!O15,"")</f>
        <v>0.56080634500991411</v>
      </c>
      <c r="P15" s="372">
        <f>IFERROR('2.4'!P15/'2.2'!P15,"")</f>
        <v>0.54878534448426919</v>
      </c>
      <c r="Q15" s="372">
        <f>IFERROR('2.4'!Q15/'2.2'!Q15,"")</f>
        <v>0.55535488531695865</v>
      </c>
    </row>
    <row r="16" spans="2:17" x14ac:dyDescent="0.25">
      <c r="B16" s="365" t="s">
        <v>523</v>
      </c>
      <c r="C16" s="317">
        <f>IFERROR('2.4'!C16/'2.2'!C16,"")</f>
        <v>0.66478076379066475</v>
      </c>
      <c r="D16" s="317">
        <f>IFERROR('2.4'!D16/'2.2'!D16,"")</f>
        <v>0.60869565217391308</v>
      </c>
      <c r="E16" s="317">
        <f>IFERROR('2.4'!E16/'2.2'!E16,"")</f>
        <v>0.63207547169811318</v>
      </c>
      <c r="F16" s="317">
        <f>IFERROR('2.4'!F16/'2.2'!F16,"")</f>
        <v>0.62337662337662336</v>
      </c>
      <c r="G16" s="317">
        <f>IFERROR('2.4'!G16/'2.2'!G16,"")</f>
        <v>0.54127100073046019</v>
      </c>
      <c r="H16" s="317">
        <f>IFERROR('2.4'!H16/'2.2'!H16,"")</f>
        <v>0.5866797257590598</v>
      </c>
      <c r="I16" s="317">
        <f>IFERROR('2.4'!I16/'2.2'!I16,"")</f>
        <v>3.4562211981566823E-2</v>
      </c>
      <c r="J16" s="317">
        <f>IFERROR('2.4'!J16/'2.2'!J16,"")</f>
        <v>3.896103896103896E-2</v>
      </c>
      <c r="K16" s="317">
        <f>IFERROR('2.4'!K16/'2.2'!K16,"")</f>
        <v>3.5714285714285712E-2</v>
      </c>
      <c r="L16" s="317">
        <f>IFERROR('2.4'!L16/'2.2'!L16,"")</f>
        <v>0.37662337662337664</v>
      </c>
      <c r="M16" s="317">
        <f>IFERROR('2.4'!M16/'2.2'!M16,"")</f>
        <v>0.45771144278606968</v>
      </c>
      <c r="N16" s="317">
        <f>IFERROR('2.4'!N16/'2.2'!N16,"")</f>
        <v>0.42253521126760563</v>
      </c>
      <c r="O16" s="372">
        <f>IFERROR('2.4'!O16/'2.2'!O16,"")</f>
        <v>0.53496152559384413</v>
      </c>
      <c r="P16" s="372">
        <f>IFERROR('2.4'!P16/'2.2'!P16,"")</f>
        <v>0.53114633247327681</v>
      </c>
      <c r="Q16" s="372">
        <f>IFERROR('2.4'!Q16/'2.2'!Q16,"")</f>
        <v>0.53314626446860747</v>
      </c>
    </row>
    <row r="17" spans="2:23" x14ac:dyDescent="0.25">
      <c r="B17" s="365" t="s">
        <v>524</v>
      </c>
      <c r="C17" s="317">
        <f>IFERROR('2.4'!C17/'2.2'!C17,"")</f>
        <v>0.71794871794871795</v>
      </c>
      <c r="D17" s="317">
        <f>IFERROR('2.4'!D17/'2.2'!D17,"")</f>
        <v>0.61029411764705888</v>
      </c>
      <c r="E17" s="317">
        <f>IFERROR('2.4'!E17/'2.2'!E17,"")</f>
        <v>0.65907059874888296</v>
      </c>
      <c r="F17" s="317">
        <f>IFERROR('2.4'!F17/'2.2'!F17,"")</f>
        <v>0.64752475247524754</v>
      </c>
      <c r="G17" s="317">
        <f>IFERROR('2.4'!G17/'2.2'!G17,"")</f>
        <v>0.55451866404715122</v>
      </c>
      <c r="H17" s="317">
        <f>IFERROR('2.4'!H17/'2.2'!H17,"")</f>
        <v>0.6060074545055909</v>
      </c>
      <c r="I17" s="317">
        <f>IFERROR('2.4'!I17/'2.2'!I17,"")</f>
        <v>2.5265957446808509E-2</v>
      </c>
      <c r="J17" s="317">
        <f>IFERROR('2.4'!J17/'2.2'!J17,"")</f>
        <v>7.407407407407407E-2</v>
      </c>
      <c r="K17" s="317">
        <f>IFERROR('2.4'!K17/'2.2'!K17,"")</f>
        <v>3.7185929648241203E-2</v>
      </c>
      <c r="L17" s="317">
        <f>IFERROR('2.4'!L17/'2.2'!L17,"")</f>
        <v>0.3619631901840491</v>
      </c>
      <c r="M17" s="317">
        <f>IFERROR('2.4'!M17/'2.2'!M17,"")</f>
        <v>0.45</v>
      </c>
      <c r="N17" s="317">
        <f>IFERROR('2.4'!N17/'2.2'!N17,"")</f>
        <v>0.4160756501182033</v>
      </c>
      <c r="O17" s="372">
        <f>IFERROR('2.4'!O17/'2.2'!O17,"")</f>
        <v>0.54804669959586894</v>
      </c>
      <c r="P17" s="372">
        <f>IFERROR('2.4'!P17/'2.2'!P17,"")</f>
        <v>0.53441403135795906</v>
      </c>
      <c r="Q17" s="372">
        <f>IFERROR('2.4'!Q17/'2.2'!Q17,"")</f>
        <v>0.54180357794815626</v>
      </c>
    </row>
    <row r="18" spans="2:23" x14ac:dyDescent="0.25">
      <c r="B18" s="365" t="s">
        <v>525</v>
      </c>
      <c r="C18" s="317">
        <f>IFERROR('2.4'!C18/'2.2'!C18,"")</f>
        <v>0.6703146374829001</v>
      </c>
      <c r="D18" s="317">
        <f>IFERROR('2.4'!D18/'2.2'!D18,"")</f>
        <v>0.57079152731326643</v>
      </c>
      <c r="E18" s="317">
        <f>IFERROR('2.4'!E18/'2.2'!E18,"")</f>
        <v>0.61547911547911549</v>
      </c>
      <c r="F18" s="317">
        <f>IFERROR('2.4'!F18/'2.2'!F18,"")</f>
        <v>0.62844378257632172</v>
      </c>
      <c r="G18" s="317">
        <f>IFERROR('2.4'!G18/'2.2'!G18,"")</f>
        <v>0.52911646586345384</v>
      </c>
      <c r="H18" s="317">
        <f>IFERROR('2.4'!H18/'2.2'!H18,"")</f>
        <v>0.58614792646430103</v>
      </c>
      <c r="I18" s="317">
        <f>IFERROR('2.4'!I18/'2.2'!I18,"")</f>
        <v>1.411764705882353E-2</v>
      </c>
      <c r="J18" s="317">
        <f>IFERROR('2.4'!J18/'2.2'!J18,"")</f>
        <v>8.6294416243654817E-2</v>
      </c>
      <c r="K18" s="317">
        <f>IFERROR('2.4'!K18/'2.2'!K18,"")</f>
        <v>3.6977491961414789E-2</v>
      </c>
      <c r="L18" s="317">
        <f>IFERROR('2.4'!L18/'2.2'!L18,"")</f>
        <v>0.30303030303030304</v>
      </c>
      <c r="M18" s="317">
        <f>IFERROR('2.4'!M18/'2.2'!M18,"")</f>
        <v>0.48</v>
      </c>
      <c r="N18" s="317">
        <f>IFERROR('2.4'!N18/'2.2'!N18,"")</f>
        <v>0.40963855421686746</v>
      </c>
      <c r="O18" s="372">
        <f>IFERROR('2.4'!O18/'2.2'!O18,"")</f>
        <v>0.52732871439568896</v>
      </c>
      <c r="P18" s="372">
        <f>IFERROR('2.4'!P18/'2.2'!P18,"")</f>
        <v>0.50357142857142856</v>
      </c>
      <c r="Q18" s="372">
        <f>IFERROR('2.4'!Q18/'2.2'!Q18,"")</f>
        <v>0.51632906159570069</v>
      </c>
    </row>
    <row r="19" spans="2:23" x14ac:dyDescent="0.25">
      <c r="B19" s="365" t="s">
        <v>526</v>
      </c>
      <c r="C19" s="317">
        <f>IFERROR('2.4'!C19/'2.2'!C19,"")</f>
        <v>0.61050724637681164</v>
      </c>
      <c r="D19" s="317">
        <f>IFERROR('2.4'!D19/'2.2'!D19,"")</f>
        <v>0.57978723404255317</v>
      </c>
      <c r="E19" s="317">
        <f>IFERROR('2.4'!E19/'2.2'!E19,"")</f>
        <v>0.59279141104294475</v>
      </c>
      <c r="F19" s="317">
        <f>IFERROR('2.4'!F19/'2.2'!F19,"")</f>
        <v>0.61140350877192984</v>
      </c>
      <c r="G19" s="317">
        <f>IFERROR('2.4'!G19/'2.2'!G19,"")</f>
        <v>0.53400222965440358</v>
      </c>
      <c r="H19" s="317">
        <f>IFERROR('2.4'!H19/'2.2'!H19,"")</f>
        <v>0.57731958762886593</v>
      </c>
      <c r="I19" s="317">
        <f>IFERROR('2.4'!I19/'2.2'!I19,"")</f>
        <v>1.3020833333333334E-2</v>
      </c>
      <c r="J19" s="317">
        <f>IFERROR('2.4'!J19/'2.2'!J19,"")</f>
        <v>5.5248618784530384E-2</v>
      </c>
      <c r="K19" s="317">
        <f>IFERROR('2.4'!K19/'2.2'!K19,"")</f>
        <v>2.6548672566371681E-2</v>
      </c>
      <c r="L19" s="317">
        <f>IFERROR('2.4'!L19/'2.2'!L19,"")</f>
        <v>0.4107142857142857</v>
      </c>
      <c r="M19" s="317">
        <f>IFERROR('2.4'!M19/'2.2'!M19,"")</f>
        <v>0.50588235294117645</v>
      </c>
      <c r="N19" s="317">
        <f>IFERROR('2.4'!N19/'2.2'!N19,"")</f>
        <v>0.46808510638297873</v>
      </c>
      <c r="O19" s="372">
        <f>IFERROR('2.4'!O19/'2.2'!O19,"")</f>
        <v>0.49588665447897623</v>
      </c>
      <c r="P19" s="372">
        <f>IFERROR('2.4'!P19/'2.2'!P19,"")</f>
        <v>0.50549999999999995</v>
      </c>
      <c r="Q19" s="372">
        <f>IFERROR('2.4'!Q19/'2.2'!Q19,"")</f>
        <v>0.50047755491881563</v>
      </c>
    </row>
    <row r="20" spans="2:23" ht="45" x14ac:dyDescent="0.25">
      <c r="B20" s="365" t="s">
        <v>527</v>
      </c>
      <c r="C20" s="317">
        <f>IFERROR('2.4'!C20/'2.2'!C20,"")</f>
        <v>0.53731343283582089</v>
      </c>
      <c r="D20" s="317">
        <f>IFERROR('2.4'!D20/'2.2'!D20,"")</f>
        <v>0.59130434782608698</v>
      </c>
      <c r="E20" s="317">
        <f>IFERROR('2.4'!E20/'2.2'!E20,"")</f>
        <v>0.5714285714285714</v>
      </c>
      <c r="F20" s="317">
        <f>IFERROR('2.4'!F20/'2.2'!F20,"")</f>
        <v>0.61818181818181817</v>
      </c>
      <c r="G20" s="317">
        <f>IFERROR('2.4'!G20/'2.2'!G20,"")</f>
        <v>0.53956834532374098</v>
      </c>
      <c r="H20" s="317">
        <f>IFERROR('2.4'!H20/'2.2'!H20,"")</f>
        <v>0.58223684210526316</v>
      </c>
      <c r="I20" s="317">
        <f>IFERROR('2.4'!I20/'2.2'!I20,"")</f>
        <v>0.05</v>
      </c>
      <c r="J20" s="317">
        <f>IFERROR('2.4'!J20/'2.2'!J20,"")</f>
        <v>0</v>
      </c>
      <c r="K20" s="317">
        <f>IFERROR('2.4'!K20/'2.2'!K20,"")</f>
        <v>3.9215686274509803E-2</v>
      </c>
      <c r="L20" s="317">
        <f>IFERROR('2.4'!L20/'2.2'!L20,"")</f>
        <v>0.7142857142857143</v>
      </c>
      <c r="M20" s="317">
        <f>IFERROR('2.4'!M20/'2.2'!M20,"")</f>
        <v>0.625</v>
      </c>
      <c r="N20" s="317">
        <f>IFERROR('2.4'!N20/'2.2'!N20,"")</f>
        <v>0.65217391304347827</v>
      </c>
      <c r="O20" s="372">
        <f>IFERROR('2.4'!O20/'2.2'!O20,"")</f>
        <v>0.51971326164874554</v>
      </c>
      <c r="P20" s="372">
        <f>IFERROR('2.4'!P20/'2.2'!P20,"")</f>
        <v>0.54448398576512458</v>
      </c>
      <c r="Q20" s="372">
        <f>IFERROR('2.4'!Q20/'2.2'!Q20,"")</f>
        <v>0.53214285714285714</v>
      </c>
    </row>
    <row r="21" spans="2:23" ht="30" x14ac:dyDescent="0.25">
      <c r="B21" s="365" t="s">
        <v>528</v>
      </c>
      <c r="C21" s="317">
        <f>IFERROR('2.4'!C21/'2.2'!C21,"")</f>
        <v>0.6607142857142857</v>
      </c>
      <c r="D21" s="317">
        <f>IFERROR('2.4'!D21/'2.2'!D21,"")</f>
        <v>0.53896103896103897</v>
      </c>
      <c r="E21" s="317">
        <f>IFERROR('2.4'!E21/'2.2'!E21,"")</f>
        <v>0.59022556390977443</v>
      </c>
      <c r="F21" s="317">
        <f>IFERROR('2.4'!F21/'2.2'!F21,"")</f>
        <v>0.59060402684563762</v>
      </c>
      <c r="G21" s="317">
        <f>IFERROR('2.4'!G21/'2.2'!G21,"")</f>
        <v>0.49615384615384617</v>
      </c>
      <c r="H21" s="317">
        <f>IFERROR('2.4'!H21/'2.2'!H21,"")</f>
        <v>0.54659498207885304</v>
      </c>
      <c r="I21" s="317">
        <f>IFERROR('2.4'!I21/'2.2'!I21,"")</f>
        <v>5.8823529411764705E-2</v>
      </c>
      <c r="J21" s="317">
        <f>IFERROR('2.4'!J21/'2.2'!J21,"")</f>
        <v>0.1111111111111111</v>
      </c>
      <c r="K21" s="317">
        <f>IFERROR('2.4'!K21/'2.2'!K21,"")</f>
        <v>7.6923076923076927E-2</v>
      </c>
      <c r="L21" s="317">
        <f>IFERROR('2.4'!L21/'2.2'!L21,"")</f>
        <v>0.35</v>
      </c>
      <c r="M21" s="317">
        <f>IFERROR('2.4'!M21/'2.2'!M21,"")</f>
        <v>0.2</v>
      </c>
      <c r="N21" s="317">
        <f>IFERROR('2.4'!N21/'2.2'!N21,"")</f>
        <v>0.2857142857142857</v>
      </c>
      <c r="O21" s="372">
        <f>IFERROR('2.4'!O21/'2.2'!O21,"")</f>
        <v>0.55818965517241381</v>
      </c>
      <c r="P21" s="372">
        <f>IFERROR('2.4'!P21/'2.2'!P21,"")</f>
        <v>0.4854586129753915</v>
      </c>
      <c r="Q21" s="372">
        <f>IFERROR('2.4'!Q21/'2.2'!Q21,"")</f>
        <v>0.52250274423710208</v>
      </c>
    </row>
    <row r="22" spans="2:23" ht="30" x14ac:dyDescent="0.25">
      <c r="B22" s="365" t="s">
        <v>529</v>
      </c>
      <c r="C22" s="317">
        <f>IFERROR('2.4'!C22/'2.2'!C22,"")</f>
        <v>0.58667310478029933</v>
      </c>
      <c r="D22" s="317">
        <f>IFERROR('2.4'!D22/'2.2'!D22,"")</f>
        <v>0.58845822566752803</v>
      </c>
      <c r="E22" s="317">
        <f>IFERROR('2.4'!E22/'2.2'!E22,"")</f>
        <v>0.58771488891122947</v>
      </c>
      <c r="F22" s="317">
        <f>IFERROR('2.4'!F22/'2.2'!F22,"")</f>
        <v>0.61516542662656326</v>
      </c>
      <c r="G22" s="317">
        <f>IFERROR('2.4'!G22/'2.2'!G22,"")</f>
        <v>0.54654298349692587</v>
      </c>
      <c r="H22" s="317">
        <f>IFERROR('2.4'!H22/'2.2'!H22,"")</f>
        <v>0.5861218899794568</v>
      </c>
      <c r="I22" s="317">
        <f>IFERROR('2.4'!I22/'2.2'!I22,"")</f>
        <v>2.3823028927963699E-2</v>
      </c>
      <c r="J22" s="317">
        <f>IFERROR('2.4'!J22/'2.2'!J22,"")</f>
        <v>5.0188205771643665E-2</v>
      </c>
      <c r="K22" s="317">
        <f>IFERROR('2.4'!K22/'2.2'!K22,"")</f>
        <v>3.2031249999999997E-2</v>
      </c>
      <c r="L22" s="317">
        <f>IFERROR('2.4'!L22/'2.2'!L22,"")</f>
        <v>0.36580516898608351</v>
      </c>
      <c r="M22" s="317">
        <f>IFERROR('2.4'!M22/'2.2'!M22,"")</f>
        <v>0.45384615384615384</v>
      </c>
      <c r="N22" s="317">
        <f>IFERROR('2.4'!N22/'2.2'!N22,"")</f>
        <v>0.41543798785776237</v>
      </c>
      <c r="O22" s="372">
        <f>IFERROR('2.4'!O22/'2.2'!O22,"")</f>
        <v>0.54763155130763574</v>
      </c>
      <c r="P22" s="372">
        <f>IFERROR('2.4'!P22/'2.2'!P22,"")</f>
        <v>0.53368032439629609</v>
      </c>
      <c r="Q22" s="372">
        <f>IFERROR('2.4'!Q22/'2.2'!Q22,"")</f>
        <v>0.54115000702938287</v>
      </c>
    </row>
    <row r="23" spans="2:23" x14ac:dyDescent="0.25">
      <c r="B23" s="365" t="s">
        <v>530</v>
      </c>
      <c r="C23" s="317">
        <f>IFERROR('2.4'!C23/'2.2'!C23,"")</f>
        <v>0.59375</v>
      </c>
      <c r="D23" s="317">
        <f>IFERROR('2.4'!D23/'2.2'!D23,"")</f>
        <v>0.5508684863523573</v>
      </c>
      <c r="E23" s="317">
        <f>IFERROR('2.4'!E23/'2.2'!E23,"")</f>
        <v>0.56874095513748191</v>
      </c>
      <c r="F23" s="317">
        <f>IFERROR('2.4'!F23/'2.2'!F23,"")</f>
        <v>0.59510086455331412</v>
      </c>
      <c r="G23" s="317">
        <f>IFERROR('2.4'!G23/'2.2'!G23,"")</f>
        <v>0.48224299065420562</v>
      </c>
      <c r="H23" s="317">
        <f>IFERROR('2.4'!H23/'2.2'!H23,"")</f>
        <v>0.54597233523189581</v>
      </c>
      <c r="I23" s="317">
        <f>IFERROR('2.4'!I23/'2.2'!I23,"")</f>
        <v>5.0847457627118647E-2</v>
      </c>
      <c r="J23" s="317">
        <f>IFERROR('2.4'!J23/'2.2'!J23,"")</f>
        <v>0.15789473684210525</v>
      </c>
      <c r="K23" s="317">
        <f>IFERROR('2.4'!K23/'2.2'!K23,"")</f>
        <v>7.6923076923076927E-2</v>
      </c>
      <c r="L23" s="317">
        <f>IFERROR('2.4'!L23/'2.2'!L23,"")</f>
        <v>0.2982456140350877</v>
      </c>
      <c r="M23" s="317">
        <f>IFERROR('2.4'!M23/'2.2'!M23,"")</f>
        <v>0.56310679611650483</v>
      </c>
      <c r="N23" s="317">
        <f>IFERROR('2.4'!N23/'2.2'!N23,"")</f>
        <v>0.46875</v>
      </c>
      <c r="O23" s="372">
        <f>IFERROR('2.4'!O23/'2.2'!O23,"")</f>
        <v>0.50164473684210531</v>
      </c>
      <c r="P23" s="372">
        <f>IFERROR('2.4'!P23/'2.2'!P23,"")</f>
        <v>0.4981785063752277</v>
      </c>
      <c r="Q23" s="372">
        <f>IFERROR('2.4'!Q23/'2.2'!Q23,"")</f>
        <v>0.5</v>
      </c>
    </row>
    <row r="24" spans="2:23" ht="30" x14ac:dyDescent="0.25">
      <c r="B24" s="365" t="s">
        <v>531</v>
      </c>
      <c r="C24" s="317">
        <f>IFERROR('2.4'!C24/'2.2'!C24,"")</f>
        <v>0.47953216374269003</v>
      </c>
      <c r="D24" s="317">
        <f>IFERROR('2.4'!D24/'2.2'!D24,"")</f>
        <v>0.551219512195122</v>
      </c>
      <c r="E24" s="317">
        <f>IFERROR('2.4'!E24/'2.2'!E24,"")</f>
        <v>0.5186170212765957</v>
      </c>
      <c r="F24" s="317">
        <f>IFERROR('2.4'!F24/'2.2'!F24,"")</f>
        <v>0.60483870967741937</v>
      </c>
      <c r="G24" s="317">
        <f>IFERROR('2.4'!G24/'2.2'!G24,"")</f>
        <v>0.57239057239057234</v>
      </c>
      <c r="H24" s="317">
        <f>IFERROR('2.4'!H24/'2.2'!H24,"")</f>
        <v>0.59043348281016439</v>
      </c>
      <c r="I24" s="317">
        <f>IFERROR('2.4'!I24/'2.2'!I24,"")</f>
        <v>6.1538461538461542E-2</v>
      </c>
      <c r="J24" s="317">
        <f>IFERROR('2.4'!J24/'2.2'!J24,"")</f>
        <v>0.10344827586206896</v>
      </c>
      <c r="K24" s="317">
        <f>IFERROR('2.4'!K24/'2.2'!K24,"")</f>
        <v>7.4468085106382975E-2</v>
      </c>
      <c r="L24" s="317">
        <f>IFERROR('2.4'!L24/'2.2'!L24,"")</f>
        <v>0.40909090909090912</v>
      </c>
      <c r="M24" s="317">
        <f>IFERROR('2.4'!M24/'2.2'!M24,"")</f>
        <v>0.27906976744186046</v>
      </c>
      <c r="N24" s="317">
        <f>IFERROR('2.4'!N24/'2.2'!N24,"")</f>
        <v>0.32307692307692309</v>
      </c>
      <c r="O24" s="372">
        <f>IFERROR('2.4'!O24/'2.2'!O24,"")</f>
        <v>0.50793650793650791</v>
      </c>
      <c r="P24" s="372">
        <f>IFERROR('2.4'!P24/'2.2'!P24,"")</f>
        <v>0.51916376306620204</v>
      </c>
      <c r="Q24" s="372">
        <f>IFERROR('2.4'!Q24/'2.2'!Q24,"")</f>
        <v>0.51328903654485047</v>
      </c>
    </row>
    <row r="25" spans="2:23" x14ac:dyDescent="0.25">
      <c r="B25" s="365" t="s">
        <v>532</v>
      </c>
      <c r="C25" s="317">
        <f>IFERROR('2.4'!C25/'2.2'!C25,"")</f>
        <v>0.67567567567567566</v>
      </c>
      <c r="D25" s="317">
        <f>IFERROR('2.4'!D25/'2.2'!D25,"")</f>
        <v>0.58080808080808077</v>
      </c>
      <c r="E25" s="317">
        <f>IFERROR('2.4'!E25/'2.2'!E25,"")</f>
        <v>0.62414266117969819</v>
      </c>
      <c r="F25" s="317">
        <f>IFERROR('2.4'!F25/'2.2'!F25,"")</f>
        <v>0.6511936339522546</v>
      </c>
      <c r="G25" s="317">
        <f>IFERROR('2.4'!G25/'2.2'!G25,"")</f>
        <v>0.50493421052631582</v>
      </c>
      <c r="H25" s="317">
        <f>IFERROR('2.4'!H25/'2.2'!H25,"")</f>
        <v>0.58590308370044053</v>
      </c>
      <c r="I25" s="317">
        <f>IFERROR('2.4'!I25/'2.2'!I25,"")</f>
        <v>1.507537688442211E-2</v>
      </c>
      <c r="J25" s="317">
        <f>IFERROR('2.4'!J25/'2.2'!J25,"")</f>
        <v>6.0606060606060608E-2</v>
      </c>
      <c r="K25" s="317">
        <f>IFERROR('2.4'!K25/'2.2'!K25,"")</f>
        <v>2.6415094339622643E-2</v>
      </c>
      <c r="L25" s="317">
        <f>IFERROR('2.4'!L25/'2.2'!L25,"")</f>
        <v>0.24705882352941178</v>
      </c>
      <c r="M25" s="317">
        <f>IFERROR('2.4'!M25/'2.2'!M25,"")</f>
        <v>0.55555555555555558</v>
      </c>
      <c r="N25" s="317">
        <f>IFERROR('2.4'!N25/'2.2'!N25,"")</f>
        <v>0.42574257425742573</v>
      </c>
      <c r="O25" s="372">
        <f>IFERROR('2.4'!O25/'2.2'!O25,"")</f>
        <v>0.47324840764331211</v>
      </c>
      <c r="P25" s="372">
        <f>IFERROR('2.4'!P25/'2.2'!P25,"")</f>
        <v>0.4868316041500399</v>
      </c>
      <c r="Q25" s="372">
        <f>IFERROR('2.4'!Q25/'2.2'!Q25,"")</f>
        <v>0.47927736450584485</v>
      </c>
    </row>
    <row r="26" spans="2:23" x14ac:dyDescent="0.25">
      <c r="B26" s="366" t="s">
        <v>35</v>
      </c>
      <c r="C26" s="372">
        <f>IFERROR('2.4'!C26/'2.2'!C26,"")</f>
        <v>0.63707151167994269</v>
      </c>
      <c r="D26" s="372">
        <f>IFERROR('2.4'!D26/'2.2'!D26,"")</f>
        <v>0.59819070258848384</v>
      </c>
      <c r="E26" s="372">
        <f>IFERROR('2.4'!E26/'2.2'!E26,"")</f>
        <v>0.61469772390470034</v>
      </c>
      <c r="F26" s="372">
        <f>IFERROR('2.4'!F26/'2.2'!F26,"")</f>
        <v>0.62548552403956004</v>
      </c>
      <c r="G26" s="372">
        <f>IFERROR('2.4'!G26/'2.2'!G26,"")</f>
        <v>0.54591467823571949</v>
      </c>
      <c r="H26" s="372">
        <f>IFERROR('2.4'!H26/'2.2'!H26,"")</f>
        <v>0.59093595331314175</v>
      </c>
      <c r="I26" s="372">
        <f>IFERROR('2.4'!I26/'2.2'!I26,"")</f>
        <v>2.448180186061694E-2</v>
      </c>
      <c r="J26" s="372">
        <f>IFERROR('2.4'!J26/'2.2'!J26,"")</f>
        <v>6.4294379296401138E-2</v>
      </c>
      <c r="K26" s="372">
        <f>IFERROR('2.4'!K26/'2.2'!K26,"")</f>
        <v>3.5930232558139534E-2</v>
      </c>
      <c r="L26" s="372">
        <f>IFERROR('2.4'!L26/'2.2'!L26,"")</f>
        <v>0.36322101656196459</v>
      </c>
      <c r="M26" s="372">
        <f>IFERROR('2.4'!M26/'2.2'!M26,"")</f>
        <v>0.45930232558139533</v>
      </c>
      <c r="N26" s="372">
        <f>IFERROR('2.4'!N26/'2.2'!N26,"")</f>
        <v>0.41885068526088004</v>
      </c>
      <c r="O26" s="372">
        <f>IFERROR('2.4'!O26/'2.2'!O26,"")</f>
        <v>0.54473917243600067</v>
      </c>
      <c r="P26" s="372">
        <f>IFERROR('2.4'!P26/'2.2'!P26,"")</f>
        <v>0.53195056964351339</v>
      </c>
      <c r="Q26" s="372">
        <f>IFERROR('2.4'!Q26/'2.2'!Q26,"")</f>
        <v>0.53876684115678364</v>
      </c>
    </row>
    <row r="27" spans="2:23" ht="100.5" customHeight="1" x14ac:dyDescent="0.25">
      <c r="B27" s="502" t="s">
        <v>928</v>
      </c>
      <c r="C27" s="502"/>
      <c r="D27" s="502"/>
      <c r="E27" s="502"/>
      <c r="F27" s="502"/>
      <c r="G27" s="502"/>
      <c r="H27" s="502"/>
      <c r="I27" s="502"/>
      <c r="J27" s="502"/>
      <c r="K27" s="502"/>
      <c r="L27" s="502"/>
      <c r="M27" s="502"/>
      <c r="N27" s="502"/>
      <c r="O27" s="502"/>
      <c r="P27" s="502"/>
      <c r="Q27" s="502"/>
    </row>
    <row r="29" spans="2:23" ht="18.75" x14ac:dyDescent="0.3">
      <c r="B29" s="2" t="s">
        <v>923</v>
      </c>
      <c r="C29" s="2"/>
      <c r="D29" s="2"/>
      <c r="E29" s="2"/>
      <c r="F29" s="2"/>
      <c r="G29" s="22"/>
      <c r="H29" s="22"/>
      <c r="I29" s="22"/>
    </row>
    <row r="30" spans="2:23" x14ac:dyDescent="0.25">
      <c r="B30" s="29" t="s">
        <v>887</v>
      </c>
    </row>
    <row r="31" spans="2:23" x14ac:dyDescent="0.25">
      <c r="B31" s="29"/>
    </row>
    <row r="32" spans="2:23" x14ac:dyDescent="0.25">
      <c r="B32" s="475" t="s">
        <v>483</v>
      </c>
      <c r="C32" s="472" t="s">
        <v>488</v>
      </c>
      <c r="D32" s="473"/>
      <c r="E32" s="473"/>
      <c r="F32" s="473"/>
      <c r="G32" s="473"/>
      <c r="H32" s="473"/>
      <c r="I32" s="473"/>
      <c r="J32" s="473"/>
      <c r="K32" s="473"/>
      <c r="L32" s="473"/>
      <c r="M32" s="473"/>
      <c r="N32" s="473"/>
      <c r="O32" s="473"/>
      <c r="P32" s="473"/>
      <c r="Q32" s="473"/>
      <c r="R32" s="473"/>
      <c r="S32" s="473"/>
      <c r="T32" s="474"/>
      <c r="U32" s="464" t="s">
        <v>487</v>
      </c>
      <c r="V32" s="464"/>
      <c r="W32" s="464"/>
    </row>
    <row r="33" spans="2:23" x14ac:dyDescent="0.25">
      <c r="B33" s="475"/>
      <c r="C33" s="465" t="s">
        <v>707</v>
      </c>
      <c r="D33" s="465"/>
      <c r="E33" s="465"/>
      <c r="F33" s="465" t="s">
        <v>497</v>
      </c>
      <c r="G33" s="465"/>
      <c r="H33" s="465"/>
      <c r="I33" s="465" t="s">
        <v>3</v>
      </c>
      <c r="J33" s="465"/>
      <c r="K33" s="465"/>
      <c r="L33" s="465" t="s">
        <v>4</v>
      </c>
      <c r="M33" s="465"/>
      <c r="N33" s="465"/>
      <c r="O33" s="465" t="s">
        <v>5</v>
      </c>
      <c r="P33" s="465"/>
      <c r="Q33" s="465"/>
      <c r="R33" s="465" t="s">
        <v>6</v>
      </c>
      <c r="S33" s="465"/>
      <c r="T33" s="465"/>
      <c r="U33" s="464"/>
      <c r="V33" s="464"/>
      <c r="W33" s="464"/>
    </row>
    <row r="34" spans="2:23" x14ac:dyDescent="0.25">
      <c r="B34" s="475"/>
      <c r="C34" s="257" t="s">
        <v>83</v>
      </c>
      <c r="D34" s="257" t="s">
        <v>84</v>
      </c>
      <c r="E34" s="257" t="s">
        <v>35</v>
      </c>
      <c r="F34" s="257" t="s">
        <v>83</v>
      </c>
      <c r="G34" s="257" t="s">
        <v>84</v>
      </c>
      <c r="H34" s="257" t="s">
        <v>35</v>
      </c>
      <c r="I34" s="257" t="s">
        <v>83</v>
      </c>
      <c r="J34" s="257" t="s">
        <v>84</v>
      </c>
      <c r="K34" s="257" t="s">
        <v>35</v>
      </c>
      <c r="L34" s="257" t="s">
        <v>83</v>
      </c>
      <c r="M34" s="257" t="s">
        <v>84</v>
      </c>
      <c r="N34" s="257" t="s">
        <v>35</v>
      </c>
      <c r="O34" s="257" t="s">
        <v>83</v>
      </c>
      <c r="P34" s="257" t="s">
        <v>84</v>
      </c>
      <c r="Q34" s="257" t="s">
        <v>35</v>
      </c>
      <c r="R34" s="257" t="s">
        <v>83</v>
      </c>
      <c r="S34" s="257" t="s">
        <v>84</v>
      </c>
      <c r="T34" s="257" t="s">
        <v>35</v>
      </c>
      <c r="U34" s="374" t="s">
        <v>83</v>
      </c>
      <c r="V34" s="374" t="s">
        <v>84</v>
      </c>
      <c r="W34" s="374" t="s">
        <v>35</v>
      </c>
    </row>
    <row r="35" spans="2:23" hidden="1" outlineLevel="1" x14ac:dyDescent="0.25">
      <c r="B35" s="404">
        <v>39630</v>
      </c>
      <c r="C35" s="409" t="str">
        <f>IFERROR('2.3'!C22/'2.1'!C33,"")</f>
        <v/>
      </c>
      <c r="D35" s="409" t="str">
        <f>IFERROR('2.3'!D22/'2.1'!D33,"")</f>
        <v/>
      </c>
      <c r="E35" s="409" t="str">
        <f>IFERROR('2.3'!E22/'2.1'!E33,"")</f>
        <v/>
      </c>
      <c r="F35" s="409" t="str">
        <f>IFERROR('2.3'!F22/'2.1'!F33,"")</f>
        <v/>
      </c>
      <c r="G35" s="409" t="str">
        <f>IFERROR('2.3'!G22/'2.1'!G33,"")</f>
        <v/>
      </c>
      <c r="H35" s="409" t="str">
        <f>IFERROR('2.3'!H22/'2.1'!H33,"")</f>
        <v/>
      </c>
      <c r="I35" s="409">
        <f>IFERROR('2.3'!I22/'2.1'!I33,"")</f>
        <v>0.99289811526905214</v>
      </c>
      <c r="J35" s="409">
        <f>IFERROR('2.3'!J22/'2.1'!J33,"")</f>
        <v>0.9884349465744815</v>
      </c>
      <c r="K35" s="409">
        <f>IFERROR('2.3'!K22/'2.1'!K33,"")</f>
        <v>0.99210142488499942</v>
      </c>
      <c r="L35" s="409">
        <f>IFERROR('2.3'!L22/'2.1'!L33,"")</f>
        <v>0.56160890228352844</v>
      </c>
      <c r="M35" s="409">
        <f>IFERROR('2.3'!M22/'2.1'!M33,"")</f>
        <v>0.77382012466607297</v>
      </c>
      <c r="N35" s="409">
        <f>IFERROR('2.3'!N22/'2.1'!N33,"")</f>
        <v>0.60544467948128389</v>
      </c>
      <c r="O35" s="409">
        <f>IFERROR('2.3'!O22/'2.1'!O33,"")</f>
        <v>0.75074515648286144</v>
      </c>
      <c r="P35" s="409">
        <f>IFERROR('2.3'!P22/'2.1'!P33,"")</f>
        <v>0.66694630872483218</v>
      </c>
      <c r="Q35" s="409">
        <f>IFERROR('2.3'!Q22/'2.1'!Q33,"")</f>
        <v>0.72497420020639836</v>
      </c>
      <c r="R35" s="409">
        <f>IFERROR('2.3'!R22/'2.1'!R33,"")</f>
        <v>0.15831344470962611</v>
      </c>
      <c r="S35" s="409">
        <f>IFERROR('2.3'!S22/'2.1'!S33,"")</f>
        <v>0.26438569206842921</v>
      </c>
      <c r="T35" s="409">
        <f>IFERROR('2.3'!T22/'2.1'!T33,"")</f>
        <v>0.19421052631578947</v>
      </c>
      <c r="U35" s="409">
        <f>IFERROR('2.3'!U22/'2.1'!X33,"")</f>
        <v>0.88269144739517669</v>
      </c>
      <c r="V35" s="409">
        <f>IFERROR('2.3'!V22/'2.1'!Y33,"")</f>
        <v>0.87786640079760714</v>
      </c>
      <c r="W35" s="409">
        <f>IFERROR('2.3'!W22/'2.1'!Z33,"")</f>
        <v>0.88174273858921159</v>
      </c>
    </row>
    <row r="36" spans="2:23" hidden="1" outlineLevel="1" x14ac:dyDescent="0.25">
      <c r="B36" s="404">
        <v>39661</v>
      </c>
      <c r="C36" s="409" t="str">
        <f>IFERROR('2.3'!C23/'2.1'!C34,"")</f>
        <v/>
      </c>
      <c r="D36" s="409" t="str">
        <f>IFERROR('2.3'!D23/'2.1'!D34,"")</f>
        <v/>
      </c>
      <c r="E36" s="409" t="str">
        <f>IFERROR('2.3'!E23/'2.1'!E34,"")</f>
        <v/>
      </c>
      <c r="F36" s="409" t="str">
        <f>IFERROR('2.3'!F23/'2.1'!F34,"")</f>
        <v/>
      </c>
      <c r="G36" s="409" t="str">
        <f>IFERROR('2.3'!G23/'2.1'!G34,"")</f>
        <v/>
      </c>
      <c r="H36" s="409" t="str">
        <f>IFERROR('2.3'!H23/'2.1'!H34,"")</f>
        <v/>
      </c>
      <c r="I36" s="409">
        <f>IFERROR('2.3'!I23/'2.1'!I34,"")</f>
        <v>0.98170184104176017</v>
      </c>
      <c r="J36" s="409">
        <f>IFERROR('2.3'!J23/'2.1'!J34,"")</f>
        <v>0.98622689380210216</v>
      </c>
      <c r="K36" s="409">
        <f>IFERROR('2.3'!K23/'2.1'!K34,"")</f>
        <v>0.98277192080226283</v>
      </c>
      <c r="L36" s="409">
        <f>IFERROR('2.3'!L23/'2.1'!L34,"")</f>
        <v>0.54985882003269426</v>
      </c>
      <c r="M36" s="409">
        <f>IFERROR('2.3'!M23/'2.1'!M34,"")</f>
        <v>0.74385781495033976</v>
      </c>
      <c r="N36" s="409">
        <f>IFERROR('2.3'!N23/'2.1'!N34,"")</f>
        <v>0.59280259199259433</v>
      </c>
      <c r="O36" s="409">
        <f>IFERROR('2.3'!O23/'2.1'!O34,"")</f>
        <v>0.80338134001252348</v>
      </c>
      <c r="P36" s="409">
        <f>IFERROR('2.3'!P23/'2.1'!P34,"")</f>
        <v>0.67227979274611394</v>
      </c>
      <c r="Q36" s="409">
        <f>IFERROR('2.3'!Q23/'2.1'!Q34,"")</f>
        <v>0.76065850569860705</v>
      </c>
      <c r="R36" s="409">
        <f>IFERROR('2.3'!R23/'2.1'!R34,"")</f>
        <v>0.1111111111111111</v>
      </c>
      <c r="S36" s="409">
        <f>IFERROR('2.3'!S23/'2.1'!S34,"")</f>
        <v>0.22695035460992907</v>
      </c>
      <c r="T36" s="409">
        <f>IFERROR('2.3'!T23/'2.1'!T34,"")</f>
        <v>0.15519568151147098</v>
      </c>
      <c r="U36" s="409">
        <f>IFERROR('2.3'!U23/'2.1'!X34,"")</f>
        <v>0.76189951520493604</v>
      </c>
      <c r="V36" s="409">
        <f>IFERROR('2.3'!V23/'2.1'!Y34,"")</f>
        <v>0.7974367509986684</v>
      </c>
      <c r="W36" s="409">
        <f>IFERROR('2.3'!W23/'2.1'!Z34,"")</f>
        <v>0.77073675496688743</v>
      </c>
    </row>
    <row r="37" spans="2:23" hidden="1" outlineLevel="1" x14ac:dyDescent="0.25">
      <c r="B37" s="404">
        <v>39692</v>
      </c>
      <c r="C37" s="409" t="str">
        <f>IFERROR('2.3'!C24/'2.1'!C35,"")</f>
        <v/>
      </c>
      <c r="D37" s="409" t="str">
        <f>IFERROR('2.3'!D24/'2.1'!D35,"")</f>
        <v/>
      </c>
      <c r="E37" s="409" t="str">
        <f>IFERROR('2.3'!E24/'2.1'!E35,"")</f>
        <v/>
      </c>
      <c r="F37" s="409" t="str">
        <f>IFERROR('2.3'!F24/'2.1'!F35,"")</f>
        <v/>
      </c>
      <c r="G37" s="409" t="str">
        <f>IFERROR('2.3'!G24/'2.1'!G35,"")</f>
        <v/>
      </c>
      <c r="H37" s="409" t="str">
        <f>IFERROR('2.3'!H24/'2.1'!H35,"")</f>
        <v/>
      </c>
      <c r="I37" s="409">
        <f>IFERROR('2.3'!I24/'2.1'!I35,"")</f>
        <v>0.989733950260266</v>
      </c>
      <c r="J37" s="409">
        <f>IFERROR('2.3'!J24/'2.1'!J35,"")</f>
        <v>0.98305084745762716</v>
      </c>
      <c r="K37" s="409">
        <f>IFERROR('2.3'!K24/'2.1'!K35,"")</f>
        <v>0.98819730542255868</v>
      </c>
      <c r="L37" s="409">
        <f>IFERROR('2.3'!L24/'2.1'!L35,"")</f>
        <v>0.49108863198458574</v>
      </c>
      <c r="M37" s="409">
        <f>IFERROR('2.3'!M24/'2.1'!M35,"")</f>
        <v>0.67863554757630162</v>
      </c>
      <c r="N37" s="409">
        <f>IFERROR('2.3'!N24/'2.1'!N35,"")</f>
        <v>0.53076338777060383</v>
      </c>
      <c r="O37" s="409">
        <f>IFERROR('2.3'!O24/'2.1'!O35,"")</f>
        <v>0.74520069808027922</v>
      </c>
      <c r="P37" s="409">
        <f>IFERROR('2.3'!P24/'2.1'!P35,"")</f>
        <v>0.61136712749615973</v>
      </c>
      <c r="Q37" s="409">
        <f>IFERROR('2.3'!Q24/'2.1'!Q35,"")</f>
        <v>0.69671675013912071</v>
      </c>
      <c r="R37" s="409">
        <f>IFERROR('2.3'!R24/'2.1'!R35,"")</f>
        <v>0.15311909262759923</v>
      </c>
      <c r="S37" s="409">
        <f>IFERROR('2.3'!S24/'2.1'!S35,"")</f>
        <v>0.31921824104234525</v>
      </c>
      <c r="T37" s="409">
        <f>IFERROR('2.3'!T24/'2.1'!T35,"")</f>
        <v>0.21411483253588517</v>
      </c>
      <c r="U37" s="409">
        <f>IFERROR('2.3'!U24/'2.1'!X35,"")</f>
        <v>0.77054068900572859</v>
      </c>
      <c r="V37" s="409">
        <f>IFERROR('2.3'!V24/'2.1'!Y35,"")</f>
        <v>0.79332849891225521</v>
      </c>
      <c r="W37" s="409">
        <f>IFERROR('2.3'!W24/'2.1'!Z35,"")</f>
        <v>0.77612559241706158</v>
      </c>
    </row>
    <row r="38" spans="2:23" hidden="1" outlineLevel="1" x14ac:dyDescent="0.25">
      <c r="B38" s="404">
        <v>39722</v>
      </c>
      <c r="C38" s="409" t="str">
        <f>IFERROR('2.3'!C25/'2.1'!C36,"")</f>
        <v/>
      </c>
      <c r="D38" s="409" t="str">
        <f>IFERROR('2.3'!D25/'2.1'!D36,"")</f>
        <v/>
      </c>
      <c r="E38" s="409" t="str">
        <f>IFERROR('2.3'!E25/'2.1'!E36,"")</f>
        <v/>
      </c>
      <c r="F38" s="409" t="str">
        <f>IFERROR('2.3'!F25/'2.1'!F36,"")</f>
        <v/>
      </c>
      <c r="G38" s="409" t="str">
        <f>IFERROR('2.3'!G25/'2.1'!G36,"")</f>
        <v/>
      </c>
      <c r="H38" s="409" t="str">
        <f>IFERROR('2.3'!H25/'2.1'!H36,"")</f>
        <v/>
      </c>
      <c r="I38" s="409">
        <f>IFERROR('2.3'!I25/'2.1'!I36,"")</f>
        <v>0.98578595317725748</v>
      </c>
      <c r="J38" s="409">
        <f>IFERROR('2.3'!J25/'2.1'!J36,"")</f>
        <v>0.98863636363636365</v>
      </c>
      <c r="K38" s="409">
        <f>IFERROR('2.3'!K25/'2.1'!K36,"")</f>
        <v>0.98643410852713176</v>
      </c>
      <c r="L38" s="409">
        <f>IFERROR('2.3'!L25/'2.1'!L36,"")</f>
        <v>0.47659574468085109</v>
      </c>
      <c r="M38" s="409">
        <f>IFERROR('2.3'!M25/'2.1'!M36,"")</f>
        <v>0.66695059625212949</v>
      </c>
      <c r="N38" s="409">
        <f>IFERROR('2.3'!N25/'2.1'!N36,"")</f>
        <v>0.5179496669133975</v>
      </c>
      <c r="O38" s="409">
        <f>IFERROR('2.3'!O25/'2.1'!O36,"")</f>
        <v>0.76585365853658538</v>
      </c>
      <c r="P38" s="409">
        <f>IFERROR('2.3'!P25/'2.1'!P36,"")</f>
        <v>0.63414634146341464</v>
      </c>
      <c r="Q38" s="409">
        <f>IFERROR('2.3'!Q25/'2.1'!Q36,"")</f>
        <v>0.71445568114217728</v>
      </c>
      <c r="R38" s="409">
        <f>IFERROR('2.3'!R25/'2.1'!R36,"")</f>
        <v>0.2656716417910448</v>
      </c>
      <c r="S38" s="409">
        <f>IFERROR('2.3'!S25/'2.1'!S36,"")</f>
        <v>0.40331491712707185</v>
      </c>
      <c r="T38" s="409">
        <f>IFERROR('2.3'!T25/'2.1'!T36,"")</f>
        <v>0.31395348837209303</v>
      </c>
      <c r="U38" s="409">
        <f>IFERROR('2.3'!U25/'2.1'!X36,"")</f>
        <v>0.75929127052722556</v>
      </c>
      <c r="V38" s="409">
        <f>IFERROR('2.3'!V25/'2.1'!Y36,"")</f>
        <v>0.79872712808273671</v>
      </c>
      <c r="W38" s="409">
        <f>IFERROR('2.3'!W25/'2.1'!Z36,"")</f>
        <v>0.76898507268105076</v>
      </c>
    </row>
    <row r="39" spans="2:23" hidden="1" outlineLevel="1" x14ac:dyDescent="0.25">
      <c r="B39" s="404">
        <v>39753</v>
      </c>
      <c r="C39" s="409" t="str">
        <f>IFERROR('2.3'!C26/'2.1'!C37,"")</f>
        <v/>
      </c>
      <c r="D39" s="409" t="str">
        <f>IFERROR('2.3'!D26/'2.1'!D37,"")</f>
        <v/>
      </c>
      <c r="E39" s="409" t="str">
        <f>IFERROR('2.3'!E26/'2.1'!E37,"")</f>
        <v/>
      </c>
      <c r="F39" s="409" t="str">
        <f>IFERROR('2.3'!F26/'2.1'!F37,"")</f>
        <v/>
      </c>
      <c r="G39" s="409" t="str">
        <f>IFERROR('2.3'!G26/'2.1'!G37,"")</f>
        <v/>
      </c>
      <c r="H39" s="409" t="str">
        <f>IFERROR('2.3'!H26/'2.1'!H37,"")</f>
        <v/>
      </c>
      <c r="I39" s="409">
        <f>IFERROR('2.3'!I26/'2.1'!I37,"")</f>
        <v>0.99156791248860532</v>
      </c>
      <c r="J39" s="409">
        <f>IFERROR('2.3'!J26/'2.1'!J37,"")</f>
        <v>0.98361934477379098</v>
      </c>
      <c r="K39" s="409">
        <f>IFERROR('2.3'!K26/'2.1'!K37,"")</f>
        <v>0.98977072310405645</v>
      </c>
      <c r="L39" s="409">
        <f>IFERROR('2.3'!L26/'2.1'!L37,"")</f>
        <v>0.51611635220125784</v>
      </c>
      <c r="M39" s="409">
        <f>IFERROR('2.3'!M26/'2.1'!M37,"")</f>
        <v>0.72982885085574567</v>
      </c>
      <c r="N39" s="409">
        <f>IFERROR('2.3'!N26/'2.1'!N37,"")</f>
        <v>0.56811421772754311</v>
      </c>
      <c r="O39" s="409">
        <f>IFERROR('2.3'!O26/'2.1'!O37,"")</f>
        <v>0.81077844311377245</v>
      </c>
      <c r="P39" s="409">
        <f>IFERROR('2.3'!P26/'2.1'!P37,"")</f>
        <v>0.76305970149253732</v>
      </c>
      <c r="Q39" s="409">
        <f>IFERROR('2.3'!Q26/'2.1'!Q37,"")</f>
        <v>0.79212253829321666</v>
      </c>
      <c r="R39" s="409">
        <f>IFERROR('2.3'!R26/'2.1'!R37,"")</f>
        <v>0.39736842105263159</v>
      </c>
      <c r="S39" s="409">
        <f>IFERROR('2.3'!S26/'2.1'!S37,"")</f>
        <v>0.6</v>
      </c>
      <c r="T39" s="409">
        <f>IFERROR('2.3'!T26/'2.1'!T37,"")</f>
        <v>0.46837606837606838</v>
      </c>
      <c r="U39" s="409">
        <f>IFERROR('2.3'!U26/'2.1'!X37,"")</f>
        <v>0.79685773904504731</v>
      </c>
      <c r="V39" s="409">
        <f>IFERROR('2.3'!V26/'2.1'!Y37,"")</f>
        <v>0.84125307990144316</v>
      </c>
      <c r="W39" s="409">
        <f>IFERROR('2.3'!W26/'2.1'!Z37,"")</f>
        <v>0.80833636694575906</v>
      </c>
    </row>
    <row r="40" spans="2:23" hidden="1" outlineLevel="1" x14ac:dyDescent="0.25">
      <c r="B40" s="404">
        <v>39783</v>
      </c>
      <c r="C40" s="409" t="str">
        <f>IFERROR('2.3'!C27/'2.1'!C38,"")</f>
        <v/>
      </c>
      <c r="D40" s="409" t="str">
        <f>IFERROR('2.3'!D27/'2.1'!D38,"")</f>
        <v/>
      </c>
      <c r="E40" s="409" t="str">
        <f>IFERROR('2.3'!E27/'2.1'!E38,"")</f>
        <v/>
      </c>
      <c r="F40" s="409" t="str">
        <f>IFERROR('2.3'!F27/'2.1'!F38,"")</f>
        <v/>
      </c>
      <c r="G40" s="409" t="str">
        <f>IFERROR('2.3'!G27/'2.1'!G38,"")</f>
        <v/>
      </c>
      <c r="H40" s="409" t="str">
        <f>IFERROR('2.3'!H27/'2.1'!H38,"")</f>
        <v/>
      </c>
      <c r="I40" s="409">
        <f>IFERROR('2.3'!I27/'2.1'!I38,"")</f>
        <v>0.99704579025110784</v>
      </c>
      <c r="J40" s="409">
        <f>IFERROR('2.3'!J27/'2.1'!J38,"")</f>
        <v>0.99589490968801309</v>
      </c>
      <c r="K40" s="409">
        <f>IFERROR('2.3'!K27/'2.1'!K38,"")</f>
        <v>0.99678030303030307</v>
      </c>
      <c r="L40" s="409">
        <f>IFERROR('2.3'!L27/'2.1'!L38,"")</f>
        <v>0.53597122302158273</v>
      </c>
      <c r="M40" s="409">
        <f>IFERROR('2.3'!M27/'2.1'!M38,"")</f>
        <v>0.7069377990430622</v>
      </c>
      <c r="N40" s="409">
        <f>IFERROR('2.3'!N27/'2.1'!N38,"")</f>
        <v>0.57878969442780104</v>
      </c>
      <c r="O40" s="409">
        <f>IFERROR('2.3'!O27/'2.1'!O38,"")</f>
        <v>0.8006718924972005</v>
      </c>
      <c r="P40" s="409">
        <f>IFERROR('2.3'!P27/'2.1'!P38,"")</f>
        <v>0.74650077760497668</v>
      </c>
      <c r="Q40" s="409">
        <f>IFERROR('2.3'!Q27/'2.1'!Q38,"")</f>
        <v>0.77799479166666663</v>
      </c>
      <c r="R40" s="409">
        <f>IFERROR('2.3'!R27/'2.1'!R38,"")</f>
        <v>0.47837150127226463</v>
      </c>
      <c r="S40" s="409">
        <f>IFERROR('2.3'!S27/'2.1'!S38,"")</f>
        <v>0.54741379310344829</v>
      </c>
      <c r="T40" s="409">
        <f>IFERROR('2.3'!T27/'2.1'!T38,"")</f>
        <v>0.504</v>
      </c>
      <c r="U40" s="409">
        <f>IFERROR('2.3'!U27/'2.1'!X38,"")</f>
        <v>0.80178343949044584</v>
      </c>
      <c r="V40" s="409">
        <f>IFERROR('2.3'!V27/'2.1'!Y38,"")</f>
        <v>0.82314783202458175</v>
      </c>
      <c r="W40" s="409">
        <f>IFERROR('2.3'!W27/'2.1'!Z38,"")</f>
        <v>0.80758883013266536</v>
      </c>
    </row>
    <row r="41" spans="2:23" collapsed="1" x14ac:dyDescent="0.25">
      <c r="B41" s="407" t="s">
        <v>749</v>
      </c>
      <c r="C41" s="410" t="str">
        <f>IFERROR('2.3'!C28/'2.1'!C39,"")</f>
        <v/>
      </c>
      <c r="D41" s="410" t="str">
        <f>IFERROR('2.3'!D28/'2.1'!D39,"")</f>
        <v/>
      </c>
      <c r="E41" s="410" t="str">
        <f>IFERROR('2.3'!E28/'2.1'!E39,"")</f>
        <v/>
      </c>
      <c r="F41" s="410" t="str">
        <f>IFERROR('2.3'!F28/'2.1'!F39,"")</f>
        <v/>
      </c>
      <c r="G41" s="410" t="str">
        <f>IFERROR('2.3'!G28/'2.1'!G39,"")</f>
        <v/>
      </c>
      <c r="H41" s="410" t="str">
        <f>IFERROR('2.3'!H28/'2.1'!H39,"")</f>
        <v/>
      </c>
      <c r="I41" s="410">
        <f>IFERROR('2.3'!I28/'2.1'!I39,"")</f>
        <v>0.99057788944723613</v>
      </c>
      <c r="J41" s="410">
        <f>IFERROR('2.3'!J28/'2.1'!J39,"")</f>
        <v>0.98767605633802813</v>
      </c>
      <c r="K41" s="410">
        <f>IFERROR('2.3'!K28/'2.1'!K39,"")</f>
        <v>0.98998855835240274</v>
      </c>
      <c r="L41" s="410">
        <f>IFERROR('2.3'!L28/'2.1'!L39,"")</f>
        <v>0.52991452991452992</v>
      </c>
      <c r="M41" s="410">
        <f>IFERROR('2.3'!M28/'2.1'!M39,"")</f>
        <v>0.72666666666666668</v>
      </c>
      <c r="N41" s="410">
        <f>IFERROR('2.3'!N28/'2.1'!N39,"")</f>
        <v>0.5731945348080677</v>
      </c>
      <c r="O41" s="410">
        <f>IFERROR('2.3'!O28/'2.1'!O39,"")</f>
        <v>0.77402787967718267</v>
      </c>
      <c r="P41" s="410">
        <f>IFERROR('2.3'!P28/'2.1'!P39,"")</f>
        <v>0.67789757412398921</v>
      </c>
      <c r="Q41" s="410">
        <f>IFERROR('2.3'!Q28/'2.1'!Q39,"")</f>
        <v>0.74014251781472684</v>
      </c>
      <c r="R41" s="410">
        <f>IFERROR('2.3'!R28/'2.1'!R39,"")</f>
        <v>0.2125984251968504</v>
      </c>
      <c r="S41" s="410">
        <f>IFERROR('2.3'!S28/'2.1'!S39,"")</f>
        <v>0.3380281690140845</v>
      </c>
      <c r="T41" s="410">
        <f>IFERROR('2.3'!T28/'2.1'!T39,"")</f>
        <v>0.25731584258324924</v>
      </c>
      <c r="U41" s="410">
        <f>IFERROR('2.3'!U28/'2.1'!X39,"")</f>
        <v>0.82341137123745822</v>
      </c>
      <c r="V41" s="410">
        <f>IFERROR('2.3'!V28/'2.1'!Y39,"")</f>
        <v>0.83393228674106301</v>
      </c>
      <c r="W41" s="410">
        <f>IFERROR('2.3'!W28/'2.1'!Z39,"")</f>
        <v>0.82576312050630729</v>
      </c>
    </row>
    <row r="42" spans="2:23" hidden="1" outlineLevel="1" x14ac:dyDescent="0.25">
      <c r="B42" s="404">
        <v>39814</v>
      </c>
      <c r="C42" s="409" t="str">
        <f>IFERROR('2.3'!C29/'2.1'!C40,"")</f>
        <v/>
      </c>
      <c r="D42" s="409" t="str">
        <f>IFERROR('2.3'!D29/'2.1'!D40,"")</f>
        <v/>
      </c>
      <c r="E42" s="409" t="str">
        <f>IFERROR('2.3'!E29/'2.1'!E40,"")</f>
        <v/>
      </c>
      <c r="F42" s="409" t="str">
        <f>IFERROR('2.3'!F29/'2.1'!F40,"")</f>
        <v/>
      </c>
      <c r="G42" s="409" t="str">
        <f>IFERROR('2.3'!G29/'2.1'!G40,"")</f>
        <v/>
      </c>
      <c r="H42" s="409" t="str">
        <f>IFERROR('2.3'!H29/'2.1'!H40,"")</f>
        <v/>
      </c>
      <c r="I42" s="409">
        <f>IFERROR('2.3'!I29/'2.1'!I40,"")</f>
        <v>0.9972384166922369</v>
      </c>
      <c r="J42" s="409">
        <f>IFERROR('2.3'!J29/'2.1'!J40,"")</f>
        <v>0.98900169204737731</v>
      </c>
      <c r="K42" s="409">
        <f>IFERROR('2.3'!K29/'2.1'!K40,"")</f>
        <v>0.99504616077460029</v>
      </c>
      <c r="L42" s="409">
        <f>IFERROR('2.3'!L29/'2.1'!L40,"")</f>
        <v>0.55024133391838526</v>
      </c>
      <c r="M42" s="409">
        <f>IFERROR('2.3'!M29/'2.1'!M40,"")</f>
        <v>0.71802325581395354</v>
      </c>
      <c r="N42" s="409">
        <f>IFERROR('2.3'!N29/'2.1'!N40,"")</f>
        <v>0.58914728682170547</v>
      </c>
      <c r="O42" s="409">
        <f>IFERROR('2.3'!O29/'2.1'!O40,"")</f>
        <v>0.86632390745501286</v>
      </c>
      <c r="P42" s="409">
        <f>IFERROR('2.3'!P29/'2.1'!P40,"")</f>
        <v>0.81873111782477337</v>
      </c>
      <c r="Q42" s="409">
        <f>IFERROR('2.3'!Q29/'2.1'!Q40,"")</f>
        <v>0.84444444444444444</v>
      </c>
      <c r="R42" s="409">
        <f>IFERROR('2.3'!R29/'2.1'!R40,"")</f>
        <v>0.61630695443645089</v>
      </c>
      <c r="S42" s="409">
        <f>IFERROR('2.3'!S29/'2.1'!S40,"")</f>
        <v>0.70434782608695656</v>
      </c>
      <c r="T42" s="409">
        <f>IFERROR('2.3'!T29/'2.1'!T40,"")</f>
        <v>0.6476043276661515</v>
      </c>
      <c r="U42" s="409">
        <f>IFERROR('2.3'!U29/'2.1'!X40,"")</f>
        <v>0.80721817911777816</v>
      </c>
      <c r="V42" s="409">
        <f>IFERROR('2.3'!V29/'2.1'!Y40,"")</f>
        <v>0.85698769007965248</v>
      </c>
      <c r="W42" s="409">
        <f>IFERROR('2.3'!W29/'2.1'!Z40,"")</f>
        <v>0.82169562927856765</v>
      </c>
    </row>
    <row r="43" spans="2:23" hidden="1" outlineLevel="1" x14ac:dyDescent="0.25">
      <c r="B43" s="404">
        <v>39845</v>
      </c>
      <c r="C43" s="409" t="str">
        <f>IFERROR('2.3'!C30/'2.1'!C41,"")</f>
        <v/>
      </c>
      <c r="D43" s="409" t="str">
        <f>IFERROR('2.3'!D30/'2.1'!D41,"")</f>
        <v/>
      </c>
      <c r="E43" s="409" t="str">
        <f>IFERROR('2.3'!E30/'2.1'!E41,"")</f>
        <v/>
      </c>
      <c r="F43" s="409" t="str">
        <f>IFERROR('2.3'!F30/'2.1'!F41,"")</f>
        <v/>
      </c>
      <c r="G43" s="409" t="str">
        <f>IFERROR('2.3'!G30/'2.1'!G41,"")</f>
        <v/>
      </c>
      <c r="H43" s="409" t="str">
        <f>IFERROR('2.3'!H30/'2.1'!H41,"")</f>
        <v/>
      </c>
      <c r="I43" s="409">
        <f>IFERROR('2.3'!I30/'2.1'!I41,"")</f>
        <v>0.99918300653594772</v>
      </c>
      <c r="J43" s="409">
        <f>IFERROR('2.3'!J30/'2.1'!J41,"")</f>
        <v>0.99770114942528731</v>
      </c>
      <c r="K43" s="409">
        <f>IFERROR('2.3'!K30/'2.1'!K41,"")</f>
        <v>0.99879445449065707</v>
      </c>
      <c r="L43" s="409">
        <f>IFERROR('2.3'!L30/'2.1'!L41,"")</f>
        <v>0.54434072345390894</v>
      </c>
      <c r="M43" s="409">
        <f>IFERROR('2.3'!M30/'2.1'!M41,"")</f>
        <v>0.77742448330683622</v>
      </c>
      <c r="N43" s="409">
        <f>IFERROR('2.3'!N30/'2.1'!N41,"")</f>
        <v>0.60691421254801536</v>
      </c>
      <c r="O43" s="409">
        <f>IFERROR('2.3'!O30/'2.1'!O41,"")</f>
        <v>0.94249201277955275</v>
      </c>
      <c r="P43" s="409">
        <f>IFERROR('2.3'!P30/'2.1'!P41,"")</f>
        <v>0.95238095238095233</v>
      </c>
      <c r="Q43" s="409">
        <f>IFERROR('2.3'!Q30/'2.1'!Q41,"")</f>
        <v>0.94700260642919198</v>
      </c>
      <c r="R43" s="409">
        <f>IFERROR('2.3'!R30/'2.1'!R41,"")</f>
        <v>0.72628726287262868</v>
      </c>
      <c r="S43" s="409">
        <f>IFERROR('2.3'!S30/'2.1'!S41,"")</f>
        <v>0.84070796460176989</v>
      </c>
      <c r="T43" s="409">
        <f>IFERROR('2.3'!T30/'2.1'!T41,"")</f>
        <v>0.76974789915966391</v>
      </c>
      <c r="U43" s="409">
        <f>IFERROR('2.3'!U30/'2.1'!X41,"")</f>
        <v>0.82160170641846031</v>
      </c>
      <c r="V43" s="409">
        <f>IFERROR('2.3'!V30/'2.1'!Y41,"")</f>
        <v>0.9097777777777778</v>
      </c>
      <c r="W43" s="409">
        <f>IFERROR('2.3'!W30/'2.1'!Z41,"")</f>
        <v>0.84838666126636963</v>
      </c>
    </row>
    <row r="44" spans="2:23" hidden="1" outlineLevel="1" x14ac:dyDescent="0.25">
      <c r="B44" s="404">
        <v>39873</v>
      </c>
      <c r="C44" s="409" t="str">
        <f>IFERROR('2.3'!C31/'2.1'!C42,"")</f>
        <v/>
      </c>
      <c r="D44" s="409" t="str">
        <f>IFERROR('2.3'!D31/'2.1'!D42,"")</f>
        <v/>
      </c>
      <c r="E44" s="409" t="str">
        <f>IFERROR('2.3'!E31/'2.1'!E42,"")</f>
        <v/>
      </c>
      <c r="F44" s="409" t="str">
        <f>IFERROR('2.3'!F31/'2.1'!F42,"")</f>
        <v/>
      </c>
      <c r="G44" s="409" t="str">
        <f>IFERROR('2.3'!G31/'2.1'!G42,"")</f>
        <v/>
      </c>
      <c r="H44" s="409" t="str">
        <f>IFERROR('2.3'!H31/'2.1'!H42,"")</f>
        <v/>
      </c>
      <c r="I44" s="409">
        <f>IFERROR('2.3'!I31/'2.1'!I42,"")</f>
        <v>0.99936868686868685</v>
      </c>
      <c r="J44" s="409">
        <f>IFERROR('2.3'!J31/'2.1'!J42,"")</f>
        <v>0.99716446124763702</v>
      </c>
      <c r="K44" s="409">
        <f>IFERROR('2.3'!K31/'2.1'!K42,"")</f>
        <v>0.99881684808329385</v>
      </c>
      <c r="L44" s="409">
        <f>IFERROR('2.3'!L31/'2.1'!L42,"")</f>
        <v>0.54110429447852759</v>
      </c>
      <c r="M44" s="409">
        <f>IFERROR('2.3'!M31/'2.1'!M42,"")</f>
        <v>0.73614775725593673</v>
      </c>
      <c r="N44" s="409">
        <f>IFERROR('2.3'!N31/'2.1'!N42,"")</f>
        <v>0.58726194192944114</v>
      </c>
      <c r="O44" s="409">
        <f>IFERROR('2.3'!O31/'2.1'!O42,"")</f>
        <v>0.92914438502673802</v>
      </c>
      <c r="P44" s="409">
        <f>IFERROR('2.3'!P31/'2.1'!P42,"")</f>
        <v>0.95359281437125754</v>
      </c>
      <c r="Q44" s="409">
        <f>IFERROR('2.3'!Q31/'2.1'!Q42,"")</f>
        <v>0.94067796610169496</v>
      </c>
      <c r="R44" s="409">
        <f>IFERROR('2.3'!R31/'2.1'!R42,"")</f>
        <v>0.68680089485458617</v>
      </c>
      <c r="S44" s="409">
        <f>IFERROR('2.3'!S31/'2.1'!S42,"")</f>
        <v>0.83168316831683164</v>
      </c>
      <c r="T44" s="409">
        <f>IFERROR('2.3'!T31/'2.1'!T42,"")</f>
        <v>0.74533333333333329</v>
      </c>
      <c r="U44" s="409">
        <f>IFERROR('2.3'!U31/'2.1'!X42,"")</f>
        <v>0.806551116333725</v>
      </c>
      <c r="V44" s="409">
        <f>IFERROR('2.3'!V31/'2.1'!Y42,"")</f>
        <v>0.89773950484391818</v>
      </c>
      <c r="W44" s="409">
        <f>IFERROR('2.3'!W31/'2.1'!Z42,"")</f>
        <v>0.83303804064616993</v>
      </c>
    </row>
    <row r="45" spans="2:23" hidden="1" outlineLevel="1" x14ac:dyDescent="0.25">
      <c r="B45" s="404">
        <v>39904</v>
      </c>
      <c r="C45" s="409" t="str">
        <f>IFERROR('2.3'!C32/'2.1'!C43,"")</f>
        <v/>
      </c>
      <c r="D45" s="409" t="str">
        <f>IFERROR('2.3'!D32/'2.1'!D43,"")</f>
        <v/>
      </c>
      <c r="E45" s="409" t="str">
        <f>IFERROR('2.3'!E32/'2.1'!E43,"")</f>
        <v/>
      </c>
      <c r="F45" s="409" t="str">
        <f>IFERROR('2.3'!F32/'2.1'!F43,"")</f>
        <v/>
      </c>
      <c r="G45" s="409" t="str">
        <f>IFERROR('2.3'!G32/'2.1'!G43,"")</f>
        <v/>
      </c>
      <c r="H45" s="409" t="str">
        <f>IFERROR('2.3'!H32/'2.1'!H43,"")</f>
        <v/>
      </c>
      <c r="I45" s="409">
        <f>IFERROR('2.3'!I32/'2.1'!I43,"")</f>
        <v>0.99543218552354185</v>
      </c>
      <c r="J45" s="409">
        <f>IFERROR('2.3'!J32/'2.1'!J43,"")</f>
        <v>0.99360341151385922</v>
      </c>
      <c r="K45" s="409">
        <f>IFERROR('2.3'!K32/'2.1'!K43,"")</f>
        <v>0.99497885835095135</v>
      </c>
      <c r="L45" s="409">
        <f>IFERROR('2.3'!L32/'2.1'!L43,"")</f>
        <v>0.57464788732394367</v>
      </c>
      <c r="M45" s="409">
        <f>IFERROR('2.3'!M32/'2.1'!M43,"")</f>
        <v>0.77544910179640714</v>
      </c>
      <c r="N45" s="409">
        <f>IFERROR('2.3'!N32/'2.1'!N43,"")</f>
        <v>0.62258756254467473</v>
      </c>
      <c r="O45" s="409">
        <f>IFERROR('2.3'!O32/'2.1'!O43,"")</f>
        <v>0.95272206303724927</v>
      </c>
      <c r="P45" s="409">
        <f>IFERROR('2.3'!P32/'2.1'!P43,"")</f>
        <v>0.95777027027027029</v>
      </c>
      <c r="Q45" s="409">
        <f>IFERROR('2.3'!Q32/'2.1'!Q43,"")</f>
        <v>0.95503875968992247</v>
      </c>
      <c r="R45" s="409">
        <f>IFERROR('2.3'!R32/'2.1'!R43,"")</f>
        <v>0.81067961165048541</v>
      </c>
      <c r="S45" s="409">
        <f>IFERROR('2.3'!S32/'2.1'!S43,"")</f>
        <v>0.85563380281690138</v>
      </c>
      <c r="T45" s="409">
        <f>IFERROR('2.3'!T32/'2.1'!T43,"")</f>
        <v>0.82902298850574707</v>
      </c>
      <c r="U45" s="409">
        <f>IFERROR('2.3'!U32/'2.1'!X43,"")</f>
        <v>0.83075911929017421</v>
      </c>
      <c r="V45" s="409">
        <f>IFERROR('2.3'!V32/'2.1'!Y43,"")</f>
        <v>0.91055600322320707</v>
      </c>
      <c r="W45" s="409">
        <f>IFERROR('2.3'!W32/'2.1'!Z43,"")</f>
        <v>0.85387488328664796</v>
      </c>
    </row>
    <row r="46" spans="2:23" hidden="1" outlineLevel="1" x14ac:dyDescent="0.25">
      <c r="B46" s="404">
        <v>39934</v>
      </c>
      <c r="C46" s="409" t="str">
        <f>IFERROR('2.3'!C33/'2.1'!C44,"")</f>
        <v/>
      </c>
      <c r="D46" s="409" t="str">
        <f>IFERROR('2.3'!D33/'2.1'!D44,"")</f>
        <v/>
      </c>
      <c r="E46" s="409" t="str">
        <f>IFERROR('2.3'!E33/'2.1'!E44,"")</f>
        <v/>
      </c>
      <c r="F46" s="409" t="str">
        <f>IFERROR('2.3'!F33/'2.1'!F44,"")</f>
        <v/>
      </c>
      <c r="G46" s="409" t="str">
        <f>IFERROR('2.3'!G33/'2.1'!G44,"")</f>
        <v/>
      </c>
      <c r="H46" s="409" t="str">
        <f>IFERROR('2.3'!H33/'2.1'!H44,"")</f>
        <v/>
      </c>
      <c r="I46" s="409">
        <f>IFERROR('2.3'!I33/'2.1'!I44,"")</f>
        <v>0.97560975609756095</v>
      </c>
      <c r="J46" s="409">
        <f>IFERROR('2.3'!J33/'2.1'!J44,"")</f>
        <v>0.99096045197740112</v>
      </c>
      <c r="K46" s="409">
        <f>IFERROR('2.3'!K33/'2.1'!K44,"")</f>
        <v>0.97943661971830986</v>
      </c>
      <c r="L46" s="409">
        <f>IFERROR('2.3'!L33/'2.1'!L44,"")</f>
        <v>0.55781584582441113</v>
      </c>
      <c r="M46" s="409">
        <f>IFERROR('2.3'!M33/'2.1'!M44,"")</f>
        <v>0.73421926910299007</v>
      </c>
      <c r="N46" s="409">
        <f>IFERROR('2.3'!N33/'2.1'!N44,"")</f>
        <v>0.60080971659919025</v>
      </c>
      <c r="O46" s="409">
        <f>IFERROR('2.3'!O33/'2.1'!O44,"")</f>
        <v>0.95180722891566261</v>
      </c>
      <c r="P46" s="409">
        <f>IFERROR('2.3'!P33/'2.1'!P44,"")</f>
        <v>0.94965277777777779</v>
      </c>
      <c r="Q46" s="409">
        <f>IFERROR('2.3'!Q33/'2.1'!Q44,"")</f>
        <v>0.95073465859982709</v>
      </c>
      <c r="R46" s="409">
        <f>IFERROR('2.3'!R33/'2.1'!R44,"")</f>
        <v>0.87782805429864252</v>
      </c>
      <c r="S46" s="409">
        <f>IFERROR('2.3'!S33/'2.1'!S44,"")</f>
        <v>0.85761589403973515</v>
      </c>
      <c r="T46" s="409">
        <f>IFERROR('2.3'!T33/'2.1'!T44,"")</f>
        <v>0.8696236559139785</v>
      </c>
      <c r="U46" s="409">
        <f>IFERROR('2.3'!U33/'2.1'!X44,"")</f>
        <v>0.8248740100791937</v>
      </c>
      <c r="V46" s="409">
        <f>IFERROR('2.3'!V33/'2.1'!Y44,"")</f>
        <v>0.89852008456659616</v>
      </c>
      <c r="W46" s="409">
        <f>IFERROR('2.3'!W33/'2.1'!Z44,"")</f>
        <v>0.84686276985229136</v>
      </c>
    </row>
    <row r="47" spans="2:23" hidden="1" outlineLevel="1" x14ac:dyDescent="0.25">
      <c r="B47" s="404">
        <v>39965</v>
      </c>
      <c r="C47" s="409" t="str">
        <f>IFERROR('2.3'!C34/'2.1'!C45,"")</f>
        <v/>
      </c>
      <c r="D47" s="409" t="str">
        <f>IFERROR('2.3'!D34/'2.1'!D45,"")</f>
        <v/>
      </c>
      <c r="E47" s="409" t="str">
        <f>IFERROR('2.3'!E34/'2.1'!E45,"")</f>
        <v/>
      </c>
      <c r="F47" s="409" t="str">
        <f>IFERROR('2.3'!F34/'2.1'!F45,"")</f>
        <v/>
      </c>
      <c r="G47" s="409" t="str">
        <f>IFERROR('2.3'!G34/'2.1'!G45,"")</f>
        <v/>
      </c>
      <c r="H47" s="409" t="str">
        <f>IFERROR('2.3'!H34/'2.1'!H45,"")</f>
        <v/>
      </c>
      <c r="I47" s="409">
        <f>IFERROR('2.3'!I34/'2.1'!I45,"")</f>
        <v>0.94102694458566349</v>
      </c>
      <c r="J47" s="409">
        <f>IFERROR('2.3'!J34/'2.1'!J45,"")</f>
        <v>0.9437439379243453</v>
      </c>
      <c r="K47" s="409">
        <f>IFERROR('2.3'!K34/'2.1'!K45,"")</f>
        <v>0.94196130753835894</v>
      </c>
      <c r="L47" s="409">
        <f>IFERROR('2.3'!L34/'2.1'!L45,"")</f>
        <v>0.59266503667481663</v>
      </c>
      <c r="M47" s="409">
        <f>IFERROR('2.3'!M34/'2.1'!M45,"")</f>
        <v>0.76430517711171664</v>
      </c>
      <c r="N47" s="409">
        <f>IFERROR('2.3'!N34/'2.1'!N45,"")</f>
        <v>0.63799928031666064</v>
      </c>
      <c r="O47" s="409">
        <f>IFERROR('2.3'!O34/'2.1'!O45,"")</f>
        <v>0.70383459483526267</v>
      </c>
      <c r="P47" s="409">
        <f>IFERROR('2.3'!P34/'2.1'!P45,"")</f>
        <v>0.94699665696106983</v>
      </c>
      <c r="Q47" s="409">
        <f>IFERROR('2.3'!Q34/'2.1'!Q45,"")</f>
        <v>0.78660842112991447</v>
      </c>
      <c r="R47" s="409">
        <f>IFERROR('2.3'!R34/'2.1'!R45,"")</f>
        <v>0.87073170731707317</v>
      </c>
      <c r="S47" s="409">
        <f>IFERROR('2.3'!S34/'2.1'!S45,"")</f>
        <v>0.90883190883190879</v>
      </c>
      <c r="T47" s="409">
        <f>IFERROR('2.3'!T34/'2.1'!T45,"")</f>
        <v>0.88830486202365311</v>
      </c>
      <c r="U47" s="409">
        <f>IFERROR('2.3'!U34/'2.1'!X45,"")</f>
        <v>0.71145745577085084</v>
      </c>
      <c r="V47" s="409">
        <f>IFERROR('2.3'!V34/'2.1'!Y45,"")</f>
        <v>0.93969606040073561</v>
      </c>
      <c r="W47" s="409">
        <f>IFERROR('2.3'!W34/'2.1'!Z45,"")</f>
        <v>0.78874139626352013</v>
      </c>
    </row>
    <row r="48" spans="2:23" hidden="1" outlineLevel="1" x14ac:dyDescent="0.25">
      <c r="B48" s="404">
        <v>39995</v>
      </c>
      <c r="C48" s="409" t="str">
        <f>IFERROR('2.3'!C35/'2.1'!C46,"")</f>
        <v/>
      </c>
      <c r="D48" s="409" t="str">
        <f>IFERROR('2.3'!D35/'2.1'!D46,"")</f>
        <v/>
      </c>
      <c r="E48" s="409" t="str">
        <f>IFERROR('2.3'!E35/'2.1'!E46,"")</f>
        <v/>
      </c>
      <c r="F48" s="409" t="str">
        <f>IFERROR('2.3'!F35/'2.1'!F46,"")</f>
        <v/>
      </c>
      <c r="G48" s="409" t="str">
        <f>IFERROR('2.3'!G35/'2.1'!G46,"")</f>
        <v/>
      </c>
      <c r="H48" s="409" t="str">
        <f>IFERROR('2.3'!H35/'2.1'!H46,"")</f>
        <v/>
      </c>
      <c r="I48" s="409">
        <f>IFERROR('2.3'!I35/'2.1'!I46,"")</f>
        <v>0.9748489705338429</v>
      </c>
      <c r="J48" s="409">
        <f>IFERROR('2.3'!J35/'2.1'!J46,"")</f>
        <v>0.96660808435852374</v>
      </c>
      <c r="K48" s="409">
        <f>IFERROR('2.3'!K35/'2.1'!K46,"")</f>
        <v>0.97383500919018273</v>
      </c>
      <c r="L48" s="409">
        <f>IFERROR('2.3'!L35/'2.1'!L46,"")</f>
        <v>0.57894736842105265</v>
      </c>
      <c r="M48" s="409">
        <f>IFERROR('2.3'!M35/'2.1'!M46,"")</f>
        <v>0.76839237057220711</v>
      </c>
      <c r="N48" s="409">
        <f>IFERROR('2.3'!N35/'2.1'!N46,"")</f>
        <v>0.61946386946386944</v>
      </c>
      <c r="O48" s="409">
        <f>IFERROR('2.3'!O35/'2.1'!O46,"")</f>
        <v>0.88928828181164632</v>
      </c>
      <c r="P48" s="409">
        <f>IFERROR('2.3'!P35/'2.1'!P46,"")</f>
        <v>0.95486549918757901</v>
      </c>
      <c r="Q48" s="409">
        <f>IFERROR('2.3'!Q35/'2.1'!Q46,"")</f>
        <v>0.91948131113019871</v>
      </c>
      <c r="R48" s="409">
        <f>IFERROR('2.3'!R35/'2.1'!R46,"")</f>
        <v>0.92500000000000004</v>
      </c>
      <c r="S48" s="409">
        <f>IFERROR('2.3'!S35/'2.1'!S46,"")</f>
        <v>0.90909090909090906</v>
      </c>
      <c r="T48" s="409">
        <f>IFERROR('2.3'!T35/'2.1'!T46,"")</f>
        <v>0.9178082191780822</v>
      </c>
      <c r="U48" s="409">
        <f>IFERROR('2.3'!U35/'2.1'!X46,"")</f>
        <v>0.88508294495323148</v>
      </c>
      <c r="V48" s="409">
        <f>IFERROR('2.3'!V35/'2.1'!Y46,"")</f>
        <v>0.94749986715553425</v>
      </c>
      <c r="W48" s="409">
        <f>IFERROR('2.3'!W35/'2.1'!Z46,"")</f>
        <v>0.90881176518120477</v>
      </c>
    </row>
    <row r="49" spans="2:23" hidden="1" outlineLevel="1" x14ac:dyDescent="0.25">
      <c r="B49" s="404">
        <v>40026</v>
      </c>
      <c r="C49" s="409" t="str">
        <f>IFERROR('2.3'!C36/'2.1'!C47,"")</f>
        <v/>
      </c>
      <c r="D49" s="409" t="str">
        <f>IFERROR('2.3'!D36/'2.1'!D47,"")</f>
        <v/>
      </c>
      <c r="E49" s="409" t="str">
        <f>IFERROR('2.3'!E36/'2.1'!E47,"")</f>
        <v/>
      </c>
      <c r="F49" s="409" t="str">
        <f>IFERROR('2.3'!F36/'2.1'!F47,"")</f>
        <v/>
      </c>
      <c r="G49" s="409" t="str">
        <f>IFERROR('2.3'!G36/'2.1'!G47,"")</f>
        <v/>
      </c>
      <c r="H49" s="409" t="str">
        <f>IFERROR('2.3'!H36/'2.1'!H47,"")</f>
        <v/>
      </c>
      <c r="I49" s="409">
        <f>IFERROR('2.3'!I36/'2.1'!I47,"")</f>
        <v>0.97861751152073728</v>
      </c>
      <c r="J49" s="409">
        <f>IFERROR('2.3'!J36/'2.1'!J47,"")</f>
        <v>0.97918112421929215</v>
      </c>
      <c r="K49" s="409">
        <f>IFERROR('2.3'!K36/'2.1'!K47,"")</f>
        <v>0.97873579959219337</v>
      </c>
      <c r="L49" s="409">
        <f>IFERROR('2.3'!L36/'2.1'!L47,"")</f>
        <v>0.5661842569714084</v>
      </c>
      <c r="M49" s="409">
        <f>IFERROR('2.3'!M36/'2.1'!M47,"")</f>
        <v>0.73108265424912688</v>
      </c>
      <c r="N49" s="409">
        <f>IFERROR('2.3'!N36/'2.1'!N47,"")</f>
        <v>0.60455037919826649</v>
      </c>
      <c r="O49" s="409">
        <f>IFERROR('2.3'!O36/'2.1'!O47,"")</f>
        <v>0.97865600492080573</v>
      </c>
      <c r="P49" s="409">
        <f>IFERROR('2.3'!P36/'2.1'!P47,"")</f>
        <v>0.97889646076060677</v>
      </c>
      <c r="Q49" s="409">
        <f>IFERROR('2.3'!Q36/'2.1'!Q47,"")</f>
        <v>0.97875497647484622</v>
      </c>
      <c r="R49" s="409">
        <f>IFERROR('2.3'!R36/'2.1'!R47,"")</f>
        <v>0.76715410573678289</v>
      </c>
      <c r="S49" s="409">
        <f>IFERROR('2.3'!S36/'2.1'!S47,"")</f>
        <v>0.88695652173913042</v>
      </c>
      <c r="T49" s="409">
        <f>IFERROR('2.3'!T36/'2.1'!T47,"")</f>
        <v>0.81420765027322406</v>
      </c>
      <c r="U49" s="409">
        <f>IFERROR('2.3'!U36/'2.1'!X47,"")</f>
        <v>0.94608996207575247</v>
      </c>
      <c r="V49" s="409">
        <f>IFERROR('2.3'!V36/'2.1'!Y47,"")</f>
        <v>0.96854020296643251</v>
      </c>
      <c r="W49" s="409">
        <f>IFERROR('2.3'!W36/'2.1'!Z47,"")</f>
        <v>0.95463868493802206</v>
      </c>
    </row>
    <row r="50" spans="2:23" hidden="1" outlineLevel="1" x14ac:dyDescent="0.25">
      <c r="B50" s="404">
        <v>40057</v>
      </c>
      <c r="C50" s="409" t="str">
        <f>IFERROR('2.3'!C37/'2.1'!C48,"")</f>
        <v/>
      </c>
      <c r="D50" s="409" t="str">
        <f>IFERROR('2.3'!D37/'2.1'!D48,"")</f>
        <v/>
      </c>
      <c r="E50" s="409" t="str">
        <f>IFERROR('2.3'!E37/'2.1'!E48,"")</f>
        <v/>
      </c>
      <c r="F50" s="409" t="str">
        <f>IFERROR('2.3'!F37/'2.1'!F48,"")</f>
        <v/>
      </c>
      <c r="G50" s="409" t="str">
        <f>IFERROR('2.3'!G37/'2.1'!G48,"")</f>
        <v/>
      </c>
      <c r="H50" s="409" t="str">
        <f>IFERROR('2.3'!H37/'2.1'!H48,"")</f>
        <v/>
      </c>
      <c r="I50" s="409">
        <f>IFERROR('2.3'!I37/'2.1'!I48,"")</f>
        <v>0.97145138750249549</v>
      </c>
      <c r="J50" s="409">
        <f>IFERROR('2.3'!J37/'2.1'!J48,"")</f>
        <v>0.93535353535353538</v>
      </c>
      <c r="K50" s="409">
        <f>IFERROR('2.3'!K37/'2.1'!K48,"")</f>
        <v>0.96319679704342465</v>
      </c>
      <c r="L50" s="409">
        <f>IFERROR('2.3'!L37/'2.1'!L48,"")</f>
        <v>0.54488188976377949</v>
      </c>
      <c r="M50" s="409">
        <f>IFERROR('2.3'!M37/'2.1'!M48,"")</f>
        <v>0.73768613974799546</v>
      </c>
      <c r="N50" s="409">
        <f>IFERROR('2.3'!N37/'2.1'!N48,"")</f>
        <v>0.59419865221213009</v>
      </c>
      <c r="O50" s="409">
        <f>IFERROR('2.3'!O37/'2.1'!O48,"")</f>
        <v>0.97623952432229977</v>
      </c>
      <c r="P50" s="409">
        <f>IFERROR('2.3'!P37/'2.1'!P48,"")</f>
        <v>0.98140228097459825</v>
      </c>
      <c r="Q50" s="409">
        <f>IFERROR('2.3'!Q37/'2.1'!Q48,"")</f>
        <v>0.97840504471202194</v>
      </c>
      <c r="R50" s="409">
        <f>IFERROR('2.3'!R37/'2.1'!R48,"")</f>
        <v>0.85876288659793809</v>
      </c>
      <c r="S50" s="409">
        <f>IFERROR('2.3'!S37/'2.1'!S48,"")</f>
        <v>0.88288288288288286</v>
      </c>
      <c r="T50" s="409">
        <f>IFERROR('2.3'!T37/'2.1'!T48,"")</f>
        <v>0.86949055523755003</v>
      </c>
      <c r="U50" s="409">
        <f>IFERROR('2.3'!U37/'2.1'!X48,"")</f>
        <v>0.95216347561332626</v>
      </c>
      <c r="V50" s="409">
        <f>IFERROR('2.3'!V37/'2.1'!Y48,"")</f>
        <v>0.97088149651460343</v>
      </c>
      <c r="W50" s="409">
        <f>IFERROR('2.3'!W37/'2.1'!Z48,"")</f>
        <v>0.95962973391524709</v>
      </c>
    </row>
    <row r="51" spans="2:23" hidden="1" outlineLevel="1" x14ac:dyDescent="0.25">
      <c r="B51" s="404">
        <v>40087</v>
      </c>
      <c r="C51" s="409" t="str">
        <f>IFERROR('2.3'!C38/'2.1'!C49,"")</f>
        <v/>
      </c>
      <c r="D51" s="409" t="str">
        <f>IFERROR('2.3'!D38/'2.1'!D49,"")</f>
        <v/>
      </c>
      <c r="E51" s="409" t="str">
        <f>IFERROR('2.3'!E38/'2.1'!E49,"")</f>
        <v/>
      </c>
      <c r="F51" s="409" t="str">
        <f>IFERROR('2.3'!F38/'2.1'!F49,"")</f>
        <v/>
      </c>
      <c r="G51" s="409" t="str">
        <f>IFERROR('2.3'!G38/'2.1'!G49,"")</f>
        <v/>
      </c>
      <c r="H51" s="409" t="str">
        <f>IFERROR('2.3'!H38/'2.1'!H49,"")</f>
        <v/>
      </c>
      <c r="I51" s="409">
        <f>IFERROR('2.3'!I38/'2.1'!I49,"")</f>
        <v>0.96211389961389959</v>
      </c>
      <c r="J51" s="409">
        <f>IFERROR('2.3'!J38/'2.1'!J49,"")</f>
        <v>0.9311827956989247</v>
      </c>
      <c r="K51" s="409">
        <f>IFERROR('2.3'!K38/'2.1'!K49,"")</f>
        <v>0.95432388517782996</v>
      </c>
      <c r="L51" s="409">
        <f>IFERROR('2.3'!L38/'2.1'!L49,"")</f>
        <v>0.53739272578667752</v>
      </c>
      <c r="M51" s="409">
        <f>IFERROR('2.3'!M38/'2.1'!M49,"")</f>
        <v>0.73880597014925375</v>
      </c>
      <c r="N51" s="409">
        <f>IFERROR('2.3'!N38/'2.1'!N49,"")</f>
        <v>0.58720393725007691</v>
      </c>
      <c r="O51" s="409">
        <f>IFERROR('2.3'!O38/'2.1'!O49,"")</f>
        <v>0.95948293480482316</v>
      </c>
      <c r="P51" s="409">
        <f>IFERROR('2.3'!P38/'2.1'!P49,"")</f>
        <v>0.96955890121500266</v>
      </c>
      <c r="Q51" s="409">
        <f>IFERROR('2.3'!Q38/'2.1'!Q49,"")</f>
        <v>0.96387832699619769</v>
      </c>
      <c r="R51" s="409">
        <f>IFERROR('2.3'!R38/'2.1'!R49,"")</f>
        <v>0.87221396731054979</v>
      </c>
      <c r="S51" s="409">
        <f>IFERROR('2.3'!S38/'2.1'!S49,"")</f>
        <v>0.8764044943820225</v>
      </c>
      <c r="T51" s="409">
        <f>IFERROR('2.3'!T38/'2.1'!T49,"")</f>
        <v>0.87406793703396857</v>
      </c>
      <c r="U51" s="409">
        <f>IFERROR('2.3'!U38/'2.1'!X49,"")</f>
        <v>0.91921299746609031</v>
      </c>
      <c r="V51" s="409">
        <f>IFERROR('2.3'!V38/'2.1'!Y49,"")</f>
        <v>0.95340381495776694</v>
      </c>
      <c r="W51" s="409">
        <f>IFERROR('2.3'!W38/'2.1'!Z49,"")</f>
        <v>0.93288305414532691</v>
      </c>
    </row>
    <row r="52" spans="2:23" hidden="1" outlineLevel="1" x14ac:dyDescent="0.25">
      <c r="B52" s="404">
        <v>40118</v>
      </c>
      <c r="C52" s="409" t="str">
        <f>IFERROR('2.3'!C39/'2.1'!C50,"")</f>
        <v/>
      </c>
      <c r="D52" s="409" t="str">
        <f>IFERROR('2.3'!D39/'2.1'!D50,"")</f>
        <v/>
      </c>
      <c r="E52" s="409" t="str">
        <f>IFERROR('2.3'!E39/'2.1'!E50,"")</f>
        <v/>
      </c>
      <c r="F52" s="409" t="str">
        <f>IFERROR('2.3'!F39/'2.1'!F50,"")</f>
        <v/>
      </c>
      <c r="G52" s="409" t="str">
        <f>IFERROR('2.3'!G39/'2.1'!G50,"")</f>
        <v/>
      </c>
      <c r="H52" s="409" t="str">
        <f>IFERROR('2.3'!H39/'2.1'!H50,"")</f>
        <v/>
      </c>
      <c r="I52" s="409">
        <f>IFERROR('2.3'!I39/'2.1'!I50,"")</f>
        <v>0.97840676976947771</v>
      </c>
      <c r="J52" s="409">
        <f>IFERROR('2.3'!J39/'2.1'!J50,"")</f>
        <v>0.9737072743207712</v>
      </c>
      <c r="K52" s="409">
        <f>IFERROR('2.3'!K39/'2.1'!K50,"")</f>
        <v>0.97723292469352019</v>
      </c>
      <c r="L52" s="409">
        <f>IFERROR('2.3'!L39/'2.1'!L50,"")</f>
        <v>0.50476668339187158</v>
      </c>
      <c r="M52" s="409">
        <f>IFERROR('2.3'!M39/'2.1'!M50,"")</f>
        <v>0.75407166123778502</v>
      </c>
      <c r="N52" s="409">
        <f>IFERROR('2.3'!N39/'2.1'!N50,"")</f>
        <v>0.5634829305715382</v>
      </c>
      <c r="O52" s="409">
        <f>IFERROR('2.3'!O39/'2.1'!O50,"")</f>
        <v>0.95859847592112502</v>
      </c>
      <c r="P52" s="409">
        <f>IFERROR('2.3'!P39/'2.1'!P50,"")</f>
        <v>0.96682350102545545</v>
      </c>
      <c r="Q52" s="409">
        <f>IFERROR('2.3'!Q39/'2.1'!Q50,"")</f>
        <v>0.96184223046912165</v>
      </c>
      <c r="R52" s="409">
        <f>IFERROR('2.3'!R39/'2.1'!R50,"")</f>
        <v>0.87519025875190259</v>
      </c>
      <c r="S52" s="409">
        <f>IFERROR('2.3'!S39/'2.1'!S50,"")</f>
        <v>0.91827956989247317</v>
      </c>
      <c r="T52" s="409">
        <f>IFERROR('2.3'!T39/'2.1'!T50,"")</f>
        <v>0.89304812834224601</v>
      </c>
      <c r="U52" s="409">
        <f>IFERROR('2.3'!U39/'2.1'!X50,"")</f>
        <v>0.91119855365308944</v>
      </c>
      <c r="V52" s="409">
        <f>IFERROR('2.3'!V39/'2.1'!Y50,"")</f>
        <v>0.95299267294699785</v>
      </c>
      <c r="W52" s="409">
        <f>IFERROR('2.3'!W39/'2.1'!Z50,"")</f>
        <v>0.9261811359372335</v>
      </c>
    </row>
    <row r="53" spans="2:23" hidden="1" outlineLevel="1" x14ac:dyDescent="0.25">
      <c r="B53" s="404">
        <v>40148</v>
      </c>
      <c r="C53" s="409" t="str">
        <f>IFERROR('2.3'!C40/'2.1'!C51,"")</f>
        <v/>
      </c>
      <c r="D53" s="409" t="str">
        <f>IFERROR('2.3'!D40/'2.1'!D51,"")</f>
        <v/>
      </c>
      <c r="E53" s="409" t="str">
        <f>IFERROR('2.3'!E40/'2.1'!E51,"")</f>
        <v/>
      </c>
      <c r="F53" s="409" t="str">
        <f>IFERROR('2.3'!F40/'2.1'!F51,"")</f>
        <v/>
      </c>
      <c r="G53" s="409" t="str">
        <f>IFERROR('2.3'!G40/'2.1'!G51,"")</f>
        <v/>
      </c>
      <c r="H53" s="409" t="str">
        <f>IFERROR('2.3'!H40/'2.1'!H51,"")</f>
        <v/>
      </c>
      <c r="I53" s="409">
        <f>IFERROR('2.3'!I40/'2.1'!I51,"")</f>
        <v>0.98544303797468358</v>
      </c>
      <c r="J53" s="409">
        <f>IFERROR('2.3'!J40/'2.1'!J51,"")</f>
        <v>0.98231009365244537</v>
      </c>
      <c r="K53" s="409">
        <f>IFERROR('2.3'!K40/'2.1'!K51,"")</f>
        <v>0.98471244843484595</v>
      </c>
      <c r="L53" s="409">
        <f>IFERROR('2.3'!L40/'2.1'!L51,"")</f>
        <v>0.50160599571734477</v>
      </c>
      <c r="M53" s="409">
        <f>IFERROR('2.3'!M40/'2.1'!M51,"")</f>
        <v>0.71653543307086609</v>
      </c>
      <c r="N53" s="409">
        <f>IFERROR('2.3'!N40/'2.1'!N51,"")</f>
        <v>0.55613264083100278</v>
      </c>
      <c r="O53" s="409">
        <f>IFERROR('2.3'!O40/'2.1'!O51,"")</f>
        <v>0.94143540669856463</v>
      </c>
      <c r="P53" s="409">
        <f>IFERROR('2.3'!P40/'2.1'!P51,"")</f>
        <v>0.90309822017139085</v>
      </c>
      <c r="Q53" s="409">
        <f>IFERROR('2.3'!Q40/'2.1'!Q51,"")</f>
        <v>0.92735197965855432</v>
      </c>
      <c r="R53" s="409">
        <f>IFERROR('2.3'!R40/'2.1'!R51,"")</f>
        <v>0.85419734904270983</v>
      </c>
      <c r="S53" s="409">
        <f>IFERROR('2.3'!S40/'2.1'!S51,"")</f>
        <v>0.8884955752212389</v>
      </c>
      <c r="T53" s="409">
        <f>IFERROR('2.3'!T40/'2.1'!T51,"")</f>
        <v>0.86977491961414788</v>
      </c>
      <c r="U53" s="409">
        <f>IFERROR('2.3'!U40/'2.1'!X51,"")</f>
        <v>0.89552515937364607</v>
      </c>
      <c r="V53" s="409">
        <f>IFERROR('2.3'!V40/'2.1'!Y51,"")</f>
        <v>0.8969498116417548</v>
      </c>
      <c r="W53" s="409">
        <f>IFERROR('2.3'!W40/'2.1'!Z51,"")</f>
        <v>0.89600590502747479</v>
      </c>
    </row>
    <row r="54" spans="2:23" collapsed="1" x14ac:dyDescent="0.25">
      <c r="B54" s="407" t="s">
        <v>750</v>
      </c>
      <c r="C54" s="410" t="str">
        <f>IFERROR('2.3'!C41/'2.1'!C52,"")</f>
        <v/>
      </c>
      <c r="D54" s="410" t="str">
        <f>IFERROR('2.3'!D41/'2.1'!D52,"")</f>
        <v/>
      </c>
      <c r="E54" s="410" t="str">
        <f>IFERROR('2.3'!E41/'2.1'!E52,"")</f>
        <v/>
      </c>
      <c r="F54" s="410" t="str">
        <f>IFERROR('2.3'!F41/'2.1'!F52,"")</f>
        <v/>
      </c>
      <c r="G54" s="410" t="str">
        <f>IFERROR('2.3'!G41/'2.1'!G52,"")</f>
        <v/>
      </c>
      <c r="H54" s="410" t="str">
        <f>IFERROR('2.3'!H41/'2.1'!H52,"")</f>
        <v/>
      </c>
      <c r="I54" s="410">
        <f>IFERROR('2.3'!I41/'2.1'!I52,"")</f>
        <v>0.97948448185165704</v>
      </c>
      <c r="J54" s="410">
        <f>IFERROR('2.3'!J41/'2.1'!J52,"")</f>
        <v>0.97071872227151734</v>
      </c>
      <c r="K54" s="410">
        <f>IFERROR('2.3'!K41/'2.1'!K52,"")</f>
        <v>0.97728194726166329</v>
      </c>
      <c r="L54" s="410">
        <f>IFERROR('2.3'!L41/'2.1'!L52,"")</f>
        <v>0.55093833780160861</v>
      </c>
      <c r="M54" s="410">
        <f>IFERROR('2.3'!M41/'2.1'!M52,"")</f>
        <v>0.74476987447698739</v>
      </c>
      <c r="N54" s="410">
        <f>IFERROR('2.3'!N41/'2.1'!N52,"")</f>
        <v>0.59796954314720807</v>
      </c>
      <c r="O54" s="410">
        <f>IFERROR('2.3'!O41/'2.1'!O52,"")</f>
        <v>0.90559891414998306</v>
      </c>
      <c r="P54" s="410">
        <f>IFERROR('2.3'!P41/'2.1'!P52,"")</f>
        <v>0.96418678274633951</v>
      </c>
      <c r="Q54" s="410">
        <f>IFERROR('2.3'!Q41/'2.1'!Q52,"")</f>
        <v>0.92947711629030305</v>
      </c>
      <c r="R54" s="410">
        <f>IFERROR('2.3'!R41/'2.1'!R52,"")</f>
        <v>0.81914893617021278</v>
      </c>
      <c r="S54" s="410">
        <f>IFERROR('2.3'!S41/'2.1'!S52,"")</f>
        <v>0.87378640776699024</v>
      </c>
      <c r="T54" s="410">
        <f>IFERROR('2.3'!T41/'2.1'!T52,"")</f>
        <v>0.84118852459016391</v>
      </c>
      <c r="U54" s="410">
        <f>IFERROR('2.3'!U41/'2.1'!X52,"")</f>
        <v>0.87919400187441421</v>
      </c>
      <c r="V54" s="410">
        <f>IFERROR('2.3'!V41/'2.1'!Y52,"")</f>
        <v>0.94912238129903748</v>
      </c>
      <c r="W54" s="410">
        <f>IFERROR('2.3'!W41/'2.1'!Z52,"")</f>
        <v>0.90487493694923304</v>
      </c>
    </row>
    <row r="55" spans="2:23" hidden="1" outlineLevel="1" x14ac:dyDescent="0.25">
      <c r="B55" s="404">
        <v>40179</v>
      </c>
      <c r="C55" s="409" t="str">
        <f>IFERROR('2.3'!C42/'2.1'!C53,"")</f>
        <v/>
      </c>
      <c r="D55" s="409" t="str">
        <f>IFERROR('2.3'!D42/'2.1'!D53,"")</f>
        <v/>
      </c>
      <c r="E55" s="409" t="str">
        <f>IFERROR('2.3'!E42/'2.1'!E53,"")</f>
        <v/>
      </c>
      <c r="F55" s="409" t="str">
        <f>IFERROR('2.3'!F42/'2.1'!F53,"")</f>
        <v/>
      </c>
      <c r="G55" s="409" t="str">
        <f>IFERROR('2.3'!G42/'2.1'!G53,"")</f>
        <v/>
      </c>
      <c r="H55" s="409" t="str">
        <f>IFERROR('2.3'!H42/'2.1'!H53,"")</f>
        <v/>
      </c>
      <c r="I55" s="409">
        <f>IFERROR('2.3'!I42/'2.1'!I53,"")</f>
        <v>0.99537366548042705</v>
      </c>
      <c r="J55" s="409">
        <f>IFERROR('2.3'!J42/'2.1'!J53,"")</f>
        <v>0.99228224917309815</v>
      </c>
      <c r="K55" s="409">
        <f>IFERROR('2.3'!K42/'2.1'!K53,"")</f>
        <v>0.99461931665321501</v>
      </c>
      <c r="L55" s="409">
        <f>IFERROR('2.3'!L42/'2.1'!L53,"")</f>
        <v>0.53410404624277452</v>
      </c>
      <c r="M55" s="409">
        <f>IFERROR('2.3'!M42/'2.1'!M53,"")</f>
        <v>0.73397435897435892</v>
      </c>
      <c r="N55" s="409">
        <f>IFERROR('2.3'!N42/'2.1'!N53,"")</f>
        <v>0.58708581138487681</v>
      </c>
      <c r="O55" s="409">
        <f>IFERROR('2.3'!O42/'2.1'!O53,"")</f>
        <v>0.965134328358209</v>
      </c>
      <c r="P55" s="409">
        <f>IFERROR('2.3'!P42/'2.1'!P53,"")</f>
        <v>0.92137297944522056</v>
      </c>
      <c r="Q55" s="409">
        <f>IFERROR('2.3'!Q42/'2.1'!Q53,"")</f>
        <v>0.94875242790975645</v>
      </c>
      <c r="R55" s="409">
        <f>IFERROR('2.3'!R42/'2.1'!R53,"")</f>
        <v>0.90666666666666662</v>
      </c>
      <c r="S55" s="409">
        <f>IFERROR('2.3'!S42/'2.1'!S53,"")</f>
        <v>0.96961325966850831</v>
      </c>
      <c r="T55" s="409">
        <f>IFERROR('2.3'!T42/'2.1'!T53,"")</f>
        <v>0.93035343035343032</v>
      </c>
      <c r="U55" s="409">
        <f>IFERROR('2.3'!U42/'2.1'!X53,"")</f>
        <v>0.91365149833518311</v>
      </c>
      <c r="V55" s="409">
        <f>IFERROR('2.3'!V42/'2.1'!Y53,"")</f>
        <v>0.91628041714947861</v>
      </c>
      <c r="W55" s="409">
        <f>IFERROR('2.3'!W42/'2.1'!Z53,"")</f>
        <v>0.91454037905871977</v>
      </c>
    </row>
    <row r="56" spans="2:23" hidden="1" outlineLevel="1" x14ac:dyDescent="0.25">
      <c r="B56" s="404">
        <v>40210</v>
      </c>
      <c r="C56" s="409" t="str">
        <f>IFERROR('2.3'!C43/'2.1'!C54,"")</f>
        <v/>
      </c>
      <c r="D56" s="409" t="str">
        <f>IFERROR('2.3'!D43/'2.1'!D54,"")</f>
        <v/>
      </c>
      <c r="E56" s="409" t="str">
        <f>IFERROR('2.3'!E43/'2.1'!E54,"")</f>
        <v/>
      </c>
      <c r="F56" s="409" t="str">
        <f>IFERROR('2.3'!F43/'2.1'!F54,"")</f>
        <v/>
      </c>
      <c r="G56" s="409" t="str">
        <f>IFERROR('2.3'!G43/'2.1'!G54,"")</f>
        <v/>
      </c>
      <c r="H56" s="409" t="str">
        <f>IFERROR('2.3'!H43/'2.1'!H54,"")</f>
        <v/>
      </c>
      <c r="I56" s="409">
        <f>IFERROR('2.3'!I43/'2.1'!I54,"")</f>
        <v>0.99309392265193375</v>
      </c>
      <c r="J56" s="409">
        <f>IFERROR('2.3'!J43/'2.1'!J54,"")</f>
        <v>0.9728729963008631</v>
      </c>
      <c r="K56" s="409">
        <f>IFERROR('2.3'!K43/'2.1'!K54,"")</f>
        <v>0.98759637948374124</v>
      </c>
      <c r="L56" s="409">
        <f>IFERROR('2.3'!L43/'2.1'!L54,"")</f>
        <v>0.52471984179301256</v>
      </c>
      <c r="M56" s="409">
        <f>IFERROR('2.3'!M43/'2.1'!M54,"")</f>
        <v>0.74446680080482897</v>
      </c>
      <c r="N56" s="409">
        <f>IFERROR('2.3'!N43/'2.1'!N54,"")</f>
        <v>0.57894736842105265</v>
      </c>
      <c r="O56" s="409">
        <f>IFERROR('2.3'!O43/'2.1'!O54,"")</f>
        <v>0.98047127178825044</v>
      </c>
      <c r="P56" s="409">
        <f>IFERROR('2.3'!P43/'2.1'!P54,"")</f>
        <v>0.95922174840085284</v>
      </c>
      <c r="Q56" s="409">
        <f>IFERROR('2.3'!Q43/'2.1'!Q54,"")</f>
        <v>0.97245677523120222</v>
      </c>
      <c r="R56" s="409">
        <f>IFERROR('2.3'!R43/'2.1'!R54,"")</f>
        <v>0.93202146690518783</v>
      </c>
      <c r="S56" s="409">
        <f>IFERROR('2.3'!S43/'2.1'!S54,"")</f>
        <v>0.9513513513513514</v>
      </c>
      <c r="T56" s="409">
        <f>IFERROR('2.3'!T43/'2.1'!T54,"")</f>
        <v>0.93972012917115177</v>
      </c>
      <c r="U56" s="409">
        <f>IFERROR('2.3'!U43/'2.1'!X54,"")</f>
        <v>0.91430486403676747</v>
      </c>
      <c r="V56" s="409">
        <f>IFERROR('2.3'!V43/'2.1'!Y54,"")</f>
        <v>0.94106813996316763</v>
      </c>
      <c r="W56" s="409">
        <f>IFERROR('2.3'!W43/'2.1'!Z54,"")</f>
        <v>0.92345974549577925</v>
      </c>
    </row>
    <row r="57" spans="2:23" hidden="1" outlineLevel="1" x14ac:dyDescent="0.25">
      <c r="B57" s="404">
        <v>40238</v>
      </c>
      <c r="C57" s="409" t="str">
        <f>IFERROR('2.3'!C44/'2.1'!C55,"")</f>
        <v/>
      </c>
      <c r="D57" s="409" t="str">
        <f>IFERROR('2.3'!D44/'2.1'!D55,"")</f>
        <v/>
      </c>
      <c r="E57" s="409" t="str">
        <f>IFERROR('2.3'!E44/'2.1'!E55,"")</f>
        <v/>
      </c>
      <c r="F57" s="409" t="str">
        <f>IFERROR('2.3'!F44/'2.1'!F55,"")</f>
        <v/>
      </c>
      <c r="G57" s="409" t="str">
        <f>IFERROR('2.3'!G44/'2.1'!G55,"")</f>
        <v/>
      </c>
      <c r="H57" s="409" t="str">
        <f>IFERROR('2.3'!H44/'2.1'!H55,"")</f>
        <v/>
      </c>
      <c r="I57" s="409">
        <f>IFERROR('2.3'!I44/'2.1'!I55,"")</f>
        <v>0.99150382327952424</v>
      </c>
      <c r="J57" s="409">
        <f>IFERROR('2.3'!J44/'2.1'!J55,"")</f>
        <v>0.97549591598599772</v>
      </c>
      <c r="K57" s="409">
        <f>IFERROR('2.3'!K44/'2.1'!K55,"")</f>
        <v>0.98723139208969168</v>
      </c>
      <c r="L57" s="409">
        <f>IFERROR('2.3'!L44/'2.1'!L55,"")</f>
        <v>0.55942028985507242</v>
      </c>
      <c r="M57" s="409">
        <f>IFERROR('2.3'!M44/'2.1'!M55,"")</f>
        <v>0.73570019723865876</v>
      </c>
      <c r="N57" s="409">
        <f>IFERROR('2.3'!N44/'2.1'!N55,"")</f>
        <v>0.60678325384207732</v>
      </c>
      <c r="O57" s="409">
        <f>IFERROR('2.3'!O44/'2.1'!O55,"")</f>
        <v>0.96668685645063601</v>
      </c>
      <c r="P57" s="409">
        <f>IFERROR('2.3'!P44/'2.1'!P55,"")</f>
        <v>0.95064252336448596</v>
      </c>
      <c r="Q57" s="409">
        <f>IFERROR('2.3'!Q44/'2.1'!Q55,"")</f>
        <v>0.96012892443595554</v>
      </c>
      <c r="R57" s="409">
        <f>IFERROR('2.3'!R44/'2.1'!R55,"")</f>
        <v>0.94108527131782949</v>
      </c>
      <c r="S57" s="409">
        <f>IFERROR('2.3'!S44/'2.1'!S55,"")</f>
        <v>0.97945205479452058</v>
      </c>
      <c r="T57" s="409">
        <f>IFERROR('2.3'!T44/'2.1'!T55,"")</f>
        <v>0.95660203139427513</v>
      </c>
      <c r="U57" s="409">
        <f>IFERROR('2.3'!U44/'2.1'!X55,"")</f>
        <v>0.91095156450921555</v>
      </c>
      <c r="V57" s="409">
        <f>IFERROR('2.3'!V44/'2.1'!Y55,"")</f>
        <v>0.93628013777267505</v>
      </c>
      <c r="W57" s="409">
        <f>IFERROR('2.3'!W44/'2.1'!Z55,"")</f>
        <v>0.92004396208270367</v>
      </c>
    </row>
    <row r="58" spans="2:23" hidden="1" outlineLevel="1" x14ac:dyDescent="0.25">
      <c r="B58" s="404">
        <v>40269</v>
      </c>
      <c r="C58" s="409" t="str">
        <f>IFERROR('2.3'!C45/'2.1'!C56,"")</f>
        <v/>
      </c>
      <c r="D58" s="409" t="str">
        <f>IFERROR('2.3'!D45/'2.1'!D56,"")</f>
        <v/>
      </c>
      <c r="E58" s="409" t="str">
        <f>IFERROR('2.3'!E45/'2.1'!E56,"")</f>
        <v/>
      </c>
      <c r="F58" s="409" t="str">
        <f>IFERROR('2.3'!F45/'2.1'!F56,"")</f>
        <v/>
      </c>
      <c r="G58" s="409" t="str">
        <f>IFERROR('2.3'!G45/'2.1'!G56,"")</f>
        <v/>
      </c>
      <c r="H58" s="409" t="str">
        <f>IFERROR('2.3'!H45/'2.1'!H56,"")</f>
        <v/>
      </c>
      <c r="I58" s="409">
        <f>IFERROR('2.3'!I45/'2.1'!I56,"")</f>
        <v>0.99245283018867925</v>
      </c>
      <c r="J58" s="409">
        <f>IFERROR('2.3'!J45/'2.1'!J56,"")</f>
        <v>0.9796696315120712</v>
      </c>
      <c r="K58" s="409">
        <f>IFERROR('2.3'!K45/'2.1'!K56,"")</f>
        <v>0.98928121059268603</v>
      </c>
      <c r="L58" s="409">
        <f>IFERROR('2.3'!L45/'2.1'!L56,"")</f>
        <v>0.49816625916870416</v>
      </c>
      <c r="M58" s="409">
        <f>IFERROR('2.3'!M45/'2.1'!M56,"")</f>
        <v>0.734006734006734</v>
      </c>
      <c r="N58" s="409">
        <f>IFERROR('2.3'!N45/'2.1'!N56,"")</f>
        <v>0.56098654708520179</v>
      </c>
      <c r="O58" s="409">
        <f>IFERROR('2.3'!O45/'2.1'!O56,"")</f>
        <v>0.9634167385677308</v>
      </c>
      <c r="P58" s="409">
        <f>IFERROR('2.3'!P45/'2.1'!P56,"")</f>
        <v>0.95561204536566291</v>
      </c>
      <c r="Q58" s="409">
        <f>IFERROR('2.3'!Q45/'2.1'!Q56,"")</f>
        <v>0.95975799798331651</v>
      </c>
      <c r="R58" s="409">
        <f>IFERROR('2.3'!R45/'2.1'!R56,"")</f>
        <v>0.91167192429022081</v>
      </c>
      <c r="S58" s="409">
        <f>IFERROR('2.3'!S45/'2.1'!S56,"")</f>
        <v>0.96981891348088534</v>
      </c>
      <c r="T58" s="409">
        <f>IFERROR('2.3'!T45/'2.1'!T56,"")</f>
        <v>0.93722369584438547</v>
      </c>
      <c r="U58" s="409">
        <f>IFERROR('2.3'!U45/'2.1'!X56,"")</f>
        <v>0.89406698564593301</v>
      </c>
      <c r="V58" s="409">
        <f>IFERROR('2.3'!V45/'2.1'!Y56,"")</f>
        <v>0.94050343249427915</v>
      </c>
      <c r="W58" s="409">
        <f>IFERROR('2.3'!W45/'2.1'!Z56,"")</f>
        <v>0.9126820318770783</v>
      </c>
    </row>
    <row r="59" spans="2:23" hidden="1" outlineLevel="1" x14ac:dyDescent="0.25">
      <c r="B59" s="404">
        <v>40299</v>
      </c>
      <c r="C59" s="409" t="str">
        <f>IFERROR('2.3'!C46/'2.1'!C57,"")</f>
        <v/>
      </c>
      <c r="D59" s="409" t="str">
        <f>IFERROR('2.3'!D46/'2.1'!D57,"")</f>
        <v/>
      </c>
      <c r="E59" s="409" t="str">
        <f>IFERROR('2.3'!E46/'2.1'!E57,"")</f>
        <v/>
      </c>
      <c r="F59" s="409" t="str">
        <f>IFERROR('2.3'!F46/'2.1'!F57,"")</f>
        <v/>
      </c>
      <c r="G59" s="409" t="str">
        <f>IFERROR('2.3'!G46/'2.1'!G57,"")</f>
        <v/>
      </c>
      <c r="H59" s="409" t="str">
        <f>IFERROR('2.3'!H46/'2.1'!H57,"")</f>
        <v/>
      </c>
      <c r="I59" s="409">
        <f>IFERROR('2.3'!I46/'2.1'!I57,"")</f>
        <v>0.99260969976905311</v>
      </c>
      <c r="J59" s="409">
        <f>IFERROR('2.3'!J46/'2.1'!J57,"")</f>
        <v>0.98873591989987486</v>
      </c>
      <c r="K59" s="409">
        <f>IFERROR('2.3'!K46/'2.1'!K57,"")</f>
        <v>0.99156545209176783</v>
      </c>
      <c r="L59" s="409">
        <f>IFERROR('2.3'!L46/'2.1'!L57,"")</f>
        <v>0.50156152404747034</v>
      </c>
      <c r="M59" s="409">
        <f>IFERROR('2.3'!M46/'2.1'!M57,"")</f>
        <v>0.7392120075046904</v>
      </c>
      <c r="N59" s="409">
        <f>IFERROR('2.3'!N46/'2.1'!N57,"")</f>
        <v>0.56091846298031867</v>
      </c>
      <c r="O59" s="409">
        <f>IFERROR('2.3'!O46/'2.1'!O57,"")</f>
        <v>0.97210657785179022</v>
      </c>
      <c r="P59" s="409">
        <f>IFERROR('2.3'!P46/'2.1'!P57,"")</f>
        <v>0.96992481203007519</v>
      </c>
      <c r="Q59" s="409">
        <f>IFERROR('2.3'!Q46/'2.1'!Q57,"")</f>
        <v>0.97101751459549623</v>
      </c>
      <c r="R59" s="409">
        <f>IFERROR('2.3'!R46/'2.1'!R57,"")</f>
        <v>0.91979522184300344</v>
      </c>
      <c r="S59" s="409">
        <f>IFERROR('2.3'!S46/'2.1'!S57,"")</f>
        <v>0.96955503512880559</v>
      </c>
      <c r="T59" s="409">
        <f>IFERROR('2.3'!T46/'2.1'!T57,"")</f>
        <v>0.94076999012833173</v>
      </c>
      <c r="U59" s="409">
        <f>IFERROR('2.3'!U46/'2.1'!X57,"")</f>
        <v>0.89132809086937526</v>
      </c>
      <c r="V59" s="409">
        <f>IFERROR('2.3'!V46/'2.1'!Y57,"")</f>
        <v>0.95341377730258137</v>
      </c>
      <c r="W59" s="409">
        <f>IFERROR('2.3'!W46/'2.1'!Z57,"")</f>
        <v>0.91721327134942365</v>
      </c>
    </row>
    <row r="60" spans="2:23" hidden="1" outlineLevel="1" x14ac:dyDescent="0.25">
      <c r="B60" s="404">
        <v>40330</v>
      </c>
      <c r="C60" s="409" t="str">
        <f>IFERROR('2.3'!C47/'2.1'!C58,"")</f>
        <v/>
      </c>
      <c r="D60" s="409" t="str">
        <f>IFERROR('2.3'!D47/'2.1'!D58,"")</f>
        <v/>
      </c>
      <c r="E60" s="409" t="str">
        <f>IFERROR('2.3'!E47/'2.1'!E58,"")</f>
        <v/>
      </c>
      <c r="F60" s="409" t="str">
        <f>IFERROR('2.3'!F47/'2.1'!F58,"")</f>
        <v/>
      </c>
      <c r="G60" s="409" t="str">
        <f>IFERROR('2.3'!G47/'2.1'!G58,"")</f>
        <v/>
      </c>
      <c r="H60" s="409" t="str">
        <f>IFERROR('2.3'!H47/'2.1'!H58,"")</f>
        <v/>
      </c>
      <c r="I60" s="409">
        <f>IFERROR('2.3'!I47/'2.1'!I58,"")</f>
        <v>0.99774977497749773</v>
      </c>
      <c r="J60" s="409">
        <f>IFERROR('2.3'!J47/'2.1'!J58,"")</f>
        <v>0.9893111638954869</v>
      </c>
      <c r="K60" s="409">
        <f>IFERROR('2.3'!K47/'2.1'!K58,"")</f>
        <v>0.99543080939947781</v>
      </c>
      <c r="L60" s="409">
        <f>IFERROR('2.3'!L47/'2.1'!L58,"")</f>
        <v>0.49114233353695785</v>
      </c>
      <c r="M60" s="409">
        <f>IFERROR('2.3'!M47/'2.1'!M58,"")</f>
        <v>0.70149253731343286</v>
      </c>
      <c r="N60" s="409">
        <f>IFERROR('2.3'!N47/'2.1'!N58,"")</f>
        <v>0.54302807179015189</v>
      </c>
      <c r="O60" s="409">
        <f>IFERROR('2.3'!O47/'2.1'!O58,"")</f>
        <v>0.97142857142857142</v>
      </c>
      <c r="P60" s="409">
        <f>IFERROR('2.3'!P47/'2.1'!P58,"")</f>
        <v>0.96987780619494179</v>
      </c>
      <c r="Q60" s="409">
        <f>IFERROR('2.3'!Q47/'2.1'!Q58,"")</f>
        <v>0.97074931540950959</v>
      </c>
      <c r="R60" s="409">
        <f>IFERROR('2.3'!R47/'2.1'!R58,"")</f>
        <v>0.8537477148080439</v>
      </c>
      <c r="S60" s="409">
        <f>IFERROR('2.3'!S47/'2.1'!S58,"")</f>
        <v>0.92091836734693877</v>
      </c>
      <c r="T60" s="409">
        <f>IFERROR('2.3'!T47/'2.1'!T58,"")</f>
        <v>0.88178913738019171</v>
      </c>
      <c r="U60" s="409">
        <f>IFERROR('2.3'!U47/'2.1'!X58,"")</f>
        <v>0.91247395058052994</v>
      </c>
      <c r="V60" s="409">
        <f>IFERROR('2.3'!V47/'2.1'!Y58,"")</f>
        <v>0.95322434150772029</v>
      </c>
      <c r="W60" s="409">
        <f>IFERROR('2.3'!W47/'2.1'!Z58,"")</f>
        <v>0.92860996223700776</v>
      </c>
    </row>
    <row r="61" spans="2:23" hidden="1" outlineLevel="1" x14ac:dyDescent="0.25">
      <c r="B61" s="404">
        <v>40360</v>
      </c>
      <c r="C61" s="409" t="str">
        <f>IFERROR('2.3'!C48/'2.1'!C59,"")</f>
        <v/>
      </c>
      <c r="D61" s="409" t="str">
        <f>IFERROR('2.3'!D48/'2.1'!D59,"")</f>
        <v/>
      </c>
      <c r="E61" s="409" t="str">
        <f>IFERROR('2.3'!E48/'2.1'!E59,"")</f>
        <v/>
      </c>
      <c r="F61" s="409" t="str">
        <f>IFERROR('2.3'!F48/'2.1'!F59,"")</f>
        <v/>
      </c>
      <c r="G61" s="409" t="str">
        <f>IFERROR('2.3'!G48/'2.1'!G59,"")</f>
        <v/>
      </c>
      <c r="H61" s="409" t="str">
        <f>IFERROR('2.3'!H48/'2.1'!H59,"")</f>
        <v/>
      </c>
      <c r="I61" s="409">
        <f>IFERROR('2.3'!I48/'2.1'!I59,"")</f>
        <v>0.77721774193548387</v>
      </c>
      <c r="J61" s="409">
        <f>IFERROR('2.3'!J48/'2.1'!J59,"")</f>
        <v>0.89640591966173366</v>
      </c>
      <c r="K61" s="409">
        <f>IFERROR('2.3'!K48/'2.1'!K59,"")</f>
        <v>0.80596634370219278</v>
      </c>
      <c r="L61" s="409">
        <f>IFERROR('2.3'!L48/'2.1'!L59,"")</f>
        <v>0.46391752577319589</v>
      </c>
      <c r="M61" s="409">
        <f>IFERROR('2.3'!M48/'2.1'!M59,"")</f>
        <v>0.58888888888888891</v>
      </c>
      <c r="N61" s="409">
        <f>IFERROR('2.3'!N48/'2.1'!N59,"")</f>
        <v>0.49474645957058017</v>
      </c>
      <c r="O61" s="409">
        <f>IFERROR('2.3'!O48/'2.1'!O59,"")</f>
        <v>0.73971128276560716</v>
      </c>
      <c r="P61" s="409">
        <f>IFERROR('2.3'!P48/'2.1'!P59,"")</f>
        <v>0.80325408735486925</v>
      </c>
      <c r="Q61" s="409">
        <f>IFERROR('2.3'!Q48/'2.1'!Q59,"")</f>
        <v>0.767984536988227</v>
      </c>
      <c r="R61" s="409">
        <f>IFERROR('2.3'!R48/'2.1'!R59,"")</f>
        <v>0.66293929712460065</v>
      </c>
      <c r="S61" s="409">
        <f>IFERROR('2.3'!S48/'2.1'!S59,"")</f>
        <v>0.65532879818594103</v>
      </c>
      <c r="T61" s="409">
        <f>IFERROR('2.3'!T48/'2.1'!T59,"")</f>
        <v>0.65979381443298968</v>
      </c>
      <c r="U61" s="409">
        <f>IFERROR('2.3'!U48/'2.1'!X59,"")</f>
        <v>0.72112140650985979</v>
      </c>
      <c r="V61" s="409">
        <f>IFERROR('2.3'!V48/'2.1'!Y59,"")</f>
        <v>0.79688785302988763</v>
      </c>
      <c r="W61" s="409">
        <f>IFERROR('2.3'!W48/'2.1'!Z59,"")</f>
        <v>0.75213987034490504</v>
      </c>
    </row>
    <row r="62" spans="2:23" hidden="1" outlineLevel="1" x14ac:dyDescent="0.25">
      <c r="B62" s="404">
        <v>40391</v>
      </c>
      <c r="C62" s="409" t="str">
        <f>IFERROR('2.3'!C49/'2.1'!C60,"")</f>
        <v/>
      </c>
      <c r="D62" s="409" t="str">
        <f>IFERROR('2.3'!D49/'2.1'!D60,"")</f>
        <v/>
      </c>
      <c r="E62" s="409" t="str">
        <f>IFERROR('2.3'!E49/'2.1'!E60,"")</f>
        <v/>
      </c>
      <c r="F62" s="409" t="str">
        <f>IFERROR('2.3'!F49/'2.1'!F60,"")</f>
        <v/>
      </c>
      <c r="G62" s="409" t="str">
        <f>IFERROR('2.3'!G49/'2.1'!G60,"")</f>
        <v/>
      </c>
      <c r="H62" s="409" t="str">
        <f>IFERROR('2.3'!H49/'2.1'!H60,"")</f>
        <v/>
      </c>
      <c r="I62" s="409">
        <f>IFERROR('2.3'!I49/'2.1'!I60,"")</f>
        <v>0.74207718857860061</v>
      </c>
      <c r="J62" s="409">
        <f>IFERROR('2.3'!J49/'2.1'!J60,"")</f>
        <v>0.86692381870781099</v>
      </c>
      <c r="K62" s="409">
        <f>IFERROR('2.3'!K49/'2.1'!K60,"")</f>
        <v>0.77272727272727271</v>
      </c>
      <c r="L62" s="409">
        <f>IFERROR('2.3'!L49/'2.1'!L60,"")</f>
        <v>0.43831168831168832</v>
      </c>
      <c r="M62" s="409">
        <f>IFERROR('2.3'!M49/'2.1'!M60,"")</f>
        <v>0.62677165354330711</v>
      </c>
      <c r="N62" s="409">
        <f>IFERROR('2.3'!N49/'2.1'!N60,"")</f>
        <v>0.48650825614176402</v>
      </c>
      <c r="O62" s="409">
        <f>IFERROR('2.3'!O49/'2.1'!O60,"")</f>
        <v>0.69454131378549566</v>
      </c>
      <c r="P62" s="409">
        <f>IFERROR('2.3'!P49/'2.1'!P60,"")</f>
        <v>0.7577593438344673</v>
      </c>
      <c r="Q62" s="409">
        <f>IFERROR('2.3'!Q49/'2.1'!Q60,"")</f>
        <v>0.72191283292978203</v>
      </c>
      <c r="R62" s="409">
        <f>IFERROR('2.3'!R49/'2.1'!R60,"")</f>
        <v>0.75367047308319735</v>
      </c>
      <c r="S62" s="409">
        <f>IFERROR('2.3'!S49/'2.1'!S60,"")</f>
        <v>0.72062084257206205</v>
      </c>
      <c r="T62" s="409">
        <f>IFERROR('2.3'!T49/'2.1'!T60,"")</f>
        <v>0.73966165413533835</v>
      </c>
      <c r="U62" s="409">
        <f>IFERROR('2.3'!U49/'2.1'!X60,"")</f>
        <v>0.68003451951875726</v>
      </c>
      <c r="V62" s="409">
        <f>IFERROR('2.3'!V49/'2.1'!Y60,"")</f>
        <v>0.75879240585122942</v>
      </c>
      <c r="W62" s="409">
        <f>IFERROR('2.3'!W49/'2.1'!Z60,"")</f>
        <v>0.71113022641393508</v>
      </c>
    </row>
    <row r="63" spans="2:23" hidden="1" outlineLevel="1" x14ac:dyDescent="0.25">
      <c r="B63" s="404">
        <v>40422</v>
      </c>
      <c r="C63" s="409" t="str">
        <f>IFERROR('2.3'!C50/'2.1'!C61,"")</f>
        <v/>
      </c>
      <c r="D63" s="409" t="str">
        <f>IFERROR('2.3'!D50/'2.1'!D61,"")</f>
        <v/>
      </c>
      <c r="E63" s="409" t="str">
        <f>IFERROR('2.3'!E50/'2.1'!E61,"")</f>
        <v/>
      </c>
      <c r="F63" s="409" t="str">
        <f>IFERROR('2.3'!F50/'2.1'!F61,"")</f>
        <v/>
      </c>
      <c r="G63" s="409" t="str">
        <f>IFERROR('2.3'!G50/'2.1'!G61,"")</f>
        <v/>
      </c>
      <c r="H63" s="409" t="str">
        <f>IFERROR('2.3'!H50/'2.1'!H61,"")</f>
        <v/>
      </c>
      <c r="I63" s="409">
        <f>IFERROR('2.3'!I50/'2.1'!I61,"")</f>
        <v>0.77878022374594014</v>
      </c>
      <c r="J63" s="409">
        <f>IFERROR('2.3'!J50/'2.1'!J61,"")</f>
        <v>0.88249118683901295</v>
      </c>
      <c r="K63" s="409">
        <f>IFERROR('2.3'!K50/'2.1'!K61,"")</f>
        <v>0.80314743235781338</v>
      </c>
      <c r="L63" s="409">
        <f>IFERROR('2.3'!L50/'2.1'!L61,"")</f>
        <v>0.46965517241379312</v>
      </c>
      <c r="M63" s="409">
        <f>IFERROR('2.3'!M50/'2.1'!M61,"")</f>
        <v>0.68993839835728954</v>
      </c>
      <c r="N63" s="409">
        <f>IFERROR('2.3'!N50/'2.1'!N61,"")</f>
        <v>0.52503871966959215</v>
      </c>
      <c r="O63" s="409">
        <f>IFERROR('2.3'!O50/'2.1'!O61,"")</f>
        <v>0.68322909427843415</v>
      </c>
      <c r="P63" s="409">
        <f>IFERROR('2.3'!P50/'2.1'!P61,"")</f>
        <v>0.70264867566216893</v>
      </c>
      <c r="Q63" s="409">
        <f>IFERROR('2.3'!Q50/'2.1'!Q61,"")</f>
        <v>0.6911935505909681</v>
      </c>
      <c r="R63" s="409">
        <f>IFERROR('2.3'!R50/'2.1'!R61,"")</f>
        <v>0.73603082851637769</v>
      </c>
      <c r="S63" s="409">
        <f>IFERROR('2.3'!S50/'2.1'!S61,"")</f>
        <v>0.69333333333333336</v>
      </c>
      <c r="T63" s="409">
        <f>IFERROR('2.3'!T50/'2.1'!T61,"")</f>
        <v>0.71812080536912748</v>
      </c>
      <c r="U63" s="409">
        <f>IFERROR('2.3'!U50/'2.1'!X61,"")</f>
        <v>0.68192014356213548</v>
      </c>
      <c r="V63" s="409">
        <f>IFERROR('2.3'!V50/'2.1'!Y61,"")</f>
        <v>0.72122861586314158</v>
      </c>
      <c r="W63" s="409">
        <f>IFERROR('2.3'!W50/'2.1'!Z61,"")</f>
        <v>0.69630156472261739</v>
      </c>
    </row>
    <row r="64" spans="2:23" hidden="1" outlineLevel="1" x14ac:dyDescent="0.25">
      <c r="B64" s="404">
        <v>40452</v>
      </c>
      <c r="C64" s="409" t="str">
        <f>IFERROR('2.3'!C51/'2.1'!C62,"")</f>
        <v/>
      </c>
      <c r="D64" s="409" t="str">
        <f>IFERROR('2.3'!D51/'2.1'!D62,"")</f>
        <v/>
      </c>
      <c r="E64" s="409" t="str">
        <f>IFERROR('2.3'!E51/'2.1'!E62,"")</f>
        <v/>
      </c>
      <c r="F64" s="409" t="str">
        <f>IFERROR('2.3'!F51/'2.1'!F62,"")</f>
        <v/>
      </c>
      <c r="G64" s="409" t="str">
        <f>IFERROR('2.3'!G51/'2.1'!G62,"")</f>
        <v/>
      </c>
      <c r="H64" s="409" t="str">
        <f>IFERROR('2.3'!H51/'2.1'!H62,"")</f>
        <v/>
      </c>
      <c r="I64" s="409">
        <f>IFERROR('2.3'!I51/'2.1'!I62,"")</f>
        <v>0.77579573277369707</v>
      </c>
      <c r="J64" s="409">
        <f>IFERROR('2.3'!J51/'2.1'!J62,"")</f>
        <v>0.90252293577981646</v>
      </c>
      <c r="K64" s="409">
        <f>IFERROR('2.3'!K51/'2.1'!K62,"")</f>
        <v>0.80541409809702491</v>
      </c>
      <c r="L64" s="409">
        <f>IFERROR('2.3'!L51/'2.1'!L62,"")</f>
        <v>0.44803548795944231</v>
      </c>
      <c r="M64" s="409">
        <f>IFERROR('2.3'!M51/'2.1'!M62,"")</f>
        <v>0.52601156069364163</v>
      </c>
      <c r="N64" s="409">
        <f>IFERROR('2.3'!N51/'2.1'!N62,"")</f>
        <v>0.46733428707677632</v>
      </c>
      <c r="O64" s="409">
        <f>IFERROR('2.3'!O51/'2.1'!O62,"")</f>
        <v>0.69345911949685535</v>
      </c>
      <c r="P64" s="409">
        <f>IFERROR('2.3'!P51/'2.1'!P62,"")</f>
        <v>0.71737933565791889</v>
      </c>
      <c r="Q64" s="409">
        <f>IFERROR('2.3'!Q51/'2.1'!Q62,"")</f>
        <v>0.70318680498544672</v>
      </c>
      <c r="R64" s="409">
        <f>IFERROR('2.3'!R51/'2.1'!R62,"")</f>
        <v>0.69344262295081971</v>
      </c>
      <c r="S64" s="409">
        <f>IFERROR('2.3'!S51/'2.1'!S62,"")</f>
        <v>0.71047227926078027</v>
      </c>
      <c r="T64" s="409">
        <f>IFERROR('2.3'!T51/'2.1'!T62,"")</f>
        <v>0.70100273473108476</v>
      </c>
      <c r="U64" s="409">
        <f>IFERROR('2.3'!U51/'2.1'!X62,"")</f>
        <v>0.68177271678079554</v>
      </c>
      <c r="V64" s="409">
        <f>IFERROR('2.3'!V51/'2.1'!Y62,"")</f>
        <v>0.7253992084072608</v>
      </c>
      <c r="W64" s="409">
        <f>IFERROR('2.3'!W51/'2.1'!Z62,"")</f>
        <v>0.69750049202912812</v>
      </c>
    </row>
    <row r="65" spans="2:23" hidden="1" outlineLevel="1" x14ac:dyDescent="0.25">
      <c r="B65" s="404">
        <v>40483</v>
      </c>
      <c r="C65" s="409" t="str">
        <f>IFERROR('2.3'!C52/'2.1'!C63,"")</f>
        <v/>
      </c>
      <c r="D65" s="409" t="str">
        <f>IFERROR('2.3'!D52/'2.1'!D63,"")</f>
        <v/>
      </c>
      <c r="E65" s="409" t="str">
        <f>IFERROR('2.3'!E52/'2.1'!E63,"")</f>
        <v/>
      </c>
      <c r="F65" s="409" t="str">
        <f>IFERROR('2.3'!F52/'2.1'!F63,"")</f>
        <v/>
      </c>
      <c r="G65" s="409" t="str">
        <f>IFERROR('2.3'!G52/'2.1'!G63,"")</f>
        <v/>
      </c>
      <c r="H65" s="409" t="str">
        <f>IFERROR('2.3'!H52/'2.1'!H63,"")</f>
        <v/>
      </c>
      <c r="I65" s="409">
        <f>IFERROR('2.3'!I52/'2.1'!I63,"")</f>
        <v>0.77413127413127414</v>
      </c>
      <c r="J65" s="409">
        <f>IFERROR('2.3'!J52/'2.1'!J63,"")</f>
        <v>0.88669950738916259</v>
      </c>
      <c r="K65" s="409">
        <f>IFERROR('2.3'!K52/'2.1'!K63,"")</f>
        <v>0.80099941211052317</v>
      </c>
      <c r="L65" s="409">
        <f>IFERROR('2.3'!L52/'2.1'!L63,"")</f>
        <v>0.39743589743589741</v>
      </c>
      <c r="M65" s="409">
        <f>IFERROR('2.3'!M52/'2.1'!M63,"")</f>
        <v>0.60279441117764476</v>
      </c>
      <c r="N65" s="409">
        <f>IFERROR('2.3'!N52/'2.1'!N63,"")</f>
        <v>0.44735565259582727</v>
      </c>
      <c r="O65" s="409">
        <f>IFERROR('2.3'!O52/'2.1'!O63,"")</f>
        <v>0.69438134181432687</v>
      </c>
      <c r="P65" s="409">
        <f>IFERROR('2.3'!P52/'2.1'!P63,"")</f>
        <v>0.71924882629107978</v>
      </c>
      <c r="Q65" s="409">
        <f>IFERROR('2.3'!Q52/'2.1'!Q63,"")</f>
        <v>0.70413329651109269</v>
      </c>
      <c r="R65" s="409">
        <f>IFERROR('2.3'!R52/'2.1'!R63,"")</f>
        <v>0.71314741035856577</v>
      </c>
      <c r="S65" s="409">
        <f>IFERROR('2.3'!S52/'2.1'!S63,"")</f>
        <v>0.7183908045977011</v>
      </c>
      <c r="T65" s="409">
        <f>IFERROR('2.3'!T52/'2.1'!T63,"")</f>
        <v>0.71529411764705886</v>
      </c>
      <c r="U65" s="409">
        <f>IFERROR('2.3'!U52/'2.1'!X63,"")</f>
        <v>0.67241226121723674</v>
      </c>
      <c r="V65" s="409">
        <f>IFERROR('2.3'!V52/'2.1'!Y63,"")</f>
        <v>0.73230873163317012</v>
      </c>
      <c r="W65" s="409">
        <f>IFERROR('2.3'!W52/'2.1'!Z63,"")</f>
        <v>0.6930600838379134</v>
      </c>
    </row>
    <row r="66" spans="2:23" hidden="1" outlineLevel="1" x14ac:dyDescent="0.25">
      <c r="B66" s="404">
        <v>40513</v>
      </c>
      <c r="C66" s="409" t="str">
        <f>IFERROR('2.3'!C53/'2.1'!C64,"")</f>
        <v/>
      </c>
      <c r="D66" s="409" t="str">
        <f>IFERROR('2.3'!D53/'2.1'!D64,"")</f>
        <v/>
      </c>
      <c r="E66" s="409" t="str">
        <f>IFERROR('2.3'!E53/'2.1'!E64,"")</f>
        <v/>
      </c>
      <c r="F66" s="409" t="str">
        <f>IFERROR('2.3'!F53/'2.1'!F64,"")</f>
        <v/>
      </c>
      <c r="G66" s="409" t="str">
        <f>IFERROR('2.3'!G53/'2.1'!G64,"")</f>
        <v/>
      </c>
      <c r="H66" s="409" t="str">
        <f>IFERROR('2.3'!H53/'2.1'!H64,"")</f>
        <v/>
      </c>
      <c r="I66" s="409">
        <f>IFERROR('2.3'!I53/'2.1'!I64,"")</f>
        <v>0.75244140625</v>
      </c>
      <c r="J66" s="409">
        <f>IFERROR('2.3'!J53/'2.1'!J64,"")</f>
        <v>0.86181277860326899</v>
      </c>
      <c r="K66" s="409">
        <f>IFERROR('2.3'!K53/'2.1'!K64,"")</f>
        <v>0.77949283351708931</v>
      </c>
      <c r="L66" s="409">
        <f>IFERROR('2.3'!L53/'2.1'!L64,"")</f>
        <v>0.44314868804664725</v>
      </c>
      <c r="M66" s="409">
        <f>IFERROR('2.3'!M53/'2.1'!M64,"")</f>
        <v>0.68073878627968343</v>
      </c>
      <c r="N66" s="409">
        <f>IFERROR('2.3'!N53/'2.1'!N64,"")</f>
        <v>0.50710227272727271</v>
      </c>
      <c r="O66" s="409">
        <f>IFERROR('2.3'!O53/'2.1'!O64,"")</f>
        <v>0.65871964679911699</v>
      </c>
      <c r="P66" s="409">
        <f>IFERROR('2.3'!P53/'2.1'!P64,"")</f>
        <v>0.70051579626047711</v>
      </c>
      <c r="Q66" s="409">
        <f>IFERROR('2.3'!Q53/'2.1'!Q64,"")</f>
        <v>0.6757075471698113</v>
      </c>
      <c r="R66" s="409">
        <f>IFERROR('2.3'!R53/'2.1'!R64,"")</f>
        <v>0.83401639344262291</v>
      </c>
      <c r="S66" s="409">
        <f>IFERROR('2.3'!S53/'2.1'!S64,"")</f>
        <v>0.85436893203883491</v>
      </c>
      <c r="T66" s="409">
        <f>IFERROR('2.3'!T53/'2.1'!T64,"")</f>
        <v>0.84333333333333338</v>
      </c>
      <c r="U66" s="409">
        <f>IFERROR('2.3'!U53/'2.1'!X64,"")</f>
        <v>0.66559604694255714</v>
      </c>
      <c r="V66" s="409">
        <f>IFERROR('2.3'!V53/'2.1'!Y64,"")</f>
        <v>0.7365308804204993</v>
      </c>
      <c r="W66" s="409">
        <f>IFERROR('2.3'!W53/'2.1'!Z64,"")</f>
        <v>0.69117763209857042</v>
      </c>
    </row>
    <row r="67" spans="2:23" collapsed="1" x14ac:dyDescent="0.25">
      <c r="B67" s="407" t="s">
        <v>751</v>
      </c>
      <c r="C67" s="410" t="str">
        <f>IFERROR('2.3'!C54/'2.1'!C65,"")</f>
        <v/>
      </c>
      <c r="D67" s="410" t="str">
        <f>IFERROR('2.3'!D54/'2.1'!D65,"")</f>
        <v/>
      </c>
      <c r="E67" s="410" t="str">
        <f>IFERROR('2.3'!E54/'2.1'!E65,"")</f>
        <v/>
      </c>
      <c r="F67" s="410" t="str">
        <f>IFERROR('2.3'!F54/'2.1'!F65,"")</f>
        <v/>
      </c>
      <c r="G67" s="410" t="str">
        <f>IFERROR('2.3'!G54/'2.1'!G65,"")</f>
        <v/>
      </c>
      <c r="H67" s="410" t="str">
        <f>IFERROR('2.3'!H54/'2.1'!H65,"")</f>
        <v/>
      </c>
      <c r="I67" s="410">
        <f>IFERROR('2.3'!I54/'2.1'!I65,"")</f>
        <v>0.87151277013752459</v>
      </c>
      <c r="J67" s="410">
        <f>IFERROR('2.3'!J54/'2.1'!J65,"")</f>
        <v>0.93176470588235294</v>
      </c>
      <c r="K67" s="410">
        <f>IFERROR('2.3'!K54/'2.1'!K65,"")</f>
        <v>0.88685916322922809</v>
      </c>
      <c r="L67" s="410">
        <f>IFERROR('2.3'!L54/'2.1'!L65,"")</f>
        <v>0.48098001289490649</v>
      </c>
      <c r="M67" s="410">
        <f>IFERROR('2.3'!M54/'2.1'!M65,"")</f>
        <v>0.67674858223062384</v>
      </c>
      <c r="N67" s="410">
        <f>IFERROR('2.3'!N54/'2.1'!N65,"")</f>
        <v>0.53051417587698224</v>
      </c>
      <c r="O67" s="410">
        <f>IFERROR('2.3'!O54/'2.1'!O65,"")</f>
        <v>0.81054590570719598</v>
      </c>
      <c r="P67" s="410">
        <f>IFERROR('2.3'!P54/'2.1'!P65,"")</f>
        <v>0.8341184387617766</v>
      </c>
      <c r="Q67" s="410">
        <f>IFERROR('2.3'!Q54/'2.1'!Q65,"")</f>
        <v>0.82055127106540993</v>
      </c>
      <c r="R67" s="410">
        <f>IFERROR('2.3'!R54/'2.1'!R65,"")</f>
        <v>0.8232235701906413</v>
      </c>
      <c r="S67" s="410">
        <f>IFERROR('2.3'!S54/'2.1'!S65,"")</f>
        <v>0.84172661870503596</v>
      </c>
      <c r="T67" s="410">
        <f>IFERROR('2.3'!T54/'2.1'!T65,"")</f>
        <v>0.83098591549295775</v>
      </c>
      <c r="U67" s="410">
        <f>IFERROR('2.3'!U54/'2.1'!X65,"")</f>
        <v>0.78324039896332365</v>
      </c>
      <c r="V67" s="410">
        <f>IFERROR('2.3'!V54/'2.1'!Y65,"")</f>
        <v>0.83436692506459953</v>
      </c>
      <c r="W67" s="410">
        <f>IFERROR('2.3'!W54/'2.1'!Z65,"")</f>
        <v>0.80256923753235965</v>
      </c>
    </row>
    <row r="68" spans="2:23" hidden="1" outlineLevel="1" x14ac:dyDescent="0.25">
      <c r="B68" s="404">
        <v>40544</v>
      </c>
      <c r="C68" s="409" t="str">
        <f>IFERROR('2.3'!C55/'2.1'!C66,"")</f>
        <v/>
      </c>
      <c r="D68" s="409" t="str">
        <f>IFERROR('2.3'!D55/'2.1'!D66,"")</f>
        <v/>
      </c>
      <c r="E68" s="409" t="str">
        <f>IFERROR('2.3'!E55/'2.1'!E66,"")</f>
        <v/>
      </c>
      <c r="F68" s="409" t="str">
        <f>IFERROR('2.3'!F55/'2.1'!F66,"")</f>
        <v/>
      </c>
      <c r="G68" s="409" t="str">
        <f>IFERROR('2.3'!G55/'2.1'!G66,"")</f>
        <v/>
      </c>
      <c r="H68" s="409" t="str">
        <f>IFERROR('2.3'!H55/'2.1'!H66,"")</f>
        <v/>
      </c>
      <c r="I68" s="409">
        <f>IFERROR('2.3'!I55/'2.1'!I66,"")</f>
        <v>0.70309361189232622</v>
      </c>
      <c r="J68" s="409">
        <f>IFERROR('2.3'!J55/'2.1'!J66,"")</f>
        <v>0.859375</v>
      </c>
      <c r="K68" s="409">
        <f>IFERROR('2.3'!K55/'2.1'!K66,"")</f>
        <v>0.74446085672082718</v>
      </c>
      <c r="L68" s="409">
        <f>IFERROR('2.3'!L55/'2.1'!L66,"")</f>
        <v>0.4345025053686471</v>
      </c>
      <c r="M68" s="409">
        <f>IFERROR('2.3'!M55/'2.1'!M66,"")</f>
        <v>0.689873417721519</v>
      </c>
      <c r="N68" s="409">
        <f>IFERROR('2.3'!N55/'2.1'!N66,"")</f>
        <v>0.49919828968466062</v>
      </c>
      <c r="O68" s="409">
        <f>IFERROR('2.3'!O55/'2.1'!O66,"")</f>
        <v>0.69808356896010049</v>
      </c>
      <c r="P68" s="409">
        <f>IFERROR('2.3'!P55/'2.1'!P66,"")</f>
        <v>0.73546574454290037</v>
      </c>
      <c r="Q68" s="409">
        <f>IFERROR('2.3'!Q55/'2.1'!Q66,"")</f>
        <v>0.71381788410806879</v>
      </c>
      <c r="R68" s="409">
        <f>IFERROR('2.3'!R55/'2.1'!R66,"")</f>
        <v>0.83539823008849556</v>
      </c>
      <c r="S68" s="409">
        <f>IFERROR('2.3'!S55/'2.1'!S66,"")</f>
        <v>0.89743589743589747</v>
      </c>
      <c r="T68" s="409">
        <f>IFERROR('2.3'!T55/'2.1'!T66,"")</f>
        <v>0.8621730382293763</v>
      </c>
      <c r="U68" s="409">
        <f>IFERROR('2.3'!U55/'2.1'!X66,"")</f>
        <v>0.67236756956642318</v>
      </c>
      <c r="V68" s="409">
        <f>IFERROR('2.3'!V55/'2.1'!Y66,"")</f>
        <v>0.76019296607531905</v>
      </c>
      <c r="W68" s="409">
        <f>IFERROR('2.3'!W55/'2.1'!Z66,"")</f>
        <v>0.70509772081424349</v>
      </c>
    </row>
    <row r="69" spans="2:23" hidden="1" outlineLevel="1" x14ac:dyDescent="0.25">
      <c r="B69" s="404">
        <v>40575</v>
      </c>
      <c r="C69" s="409" t="str">
        <f>IFERROR('2.3'!C56/'2.1'!C67,"")</f>
        <v/>
      </c>
      <c r="D69" s="409" t="str">
        <f>IFERROR('2.3'!D56/'2.1'!D67,"")</f>
        <v/>
      </c>
      <c r="E69" s="409" t="str">
        <f>IFERROR('2.3'!E56/'2.1'!E67,"")</f>
        <v/>
      </c>
      <c r="F69" s="409" t="str">
        <f>IFERROR('2.3'!F56/'2.1'!F67,"")</f>
        <v/>
      </c>
      <c r="G69" s="409" t="str">
        <f>IFERROR('2.3'!G56/'2.1'!G67,"")</f>
        <v/>
      </c>
      <c r="H69" s="409" t="str">
        <f>IFERROR('2.3'!H56/'2.1'!H67,"")</f>
        <v/>
      </c>
      <c r="I69" s="409">
        <f>IFERROR('2.3'!I56/'2.1'!I67,"")</f>
        <v>0.74977127172918567</v>
      </c>
      <c r="J69" s="409">
        <f>IFERROR('2.3'!J56/'2.1'!J67,"")</f>
        <v>0.86810228802153433</v>
      </c>
      <c r="K69" s="409">
        <f>IFERROR('2.3'!K56/'2.1'!K67,"")</f>
        <v>0.77978832365995221</v>
      </c>
      <c r="L69" s="409">
        <f>IFERROR('2.3'!L56/'2.1'!L67,"")</f>
        <v>0.39108061749571182</v>
      </c>
      <c r="M69" s="409">
        <f>IFERROR('2.3'!M56/'2.1'!M67,"")</f>
        <v>0.66974595842956119</v>
      </c>
      <c r="N69" s="409">
        <f>IFERROR('2.3'!N56/'2.1'!N67,"")</f>
        <v>0.46654158849280802</v>
      </c>
      <c r="O69" s="409">
        <f>IFERROR('2.3'!O56/'2.1'!O67,"")</f>
        <v>0.70392042129900523</v>
      </c>
      <c r="P69" s="409">
        <f>IFERROR('2.3'!P56/'2.1'!P67,"")</f>
        <v>0.71675675675675676</v>
      </c>
      <c r="Q69" s="409">
        <f>IFERROR('2.3'!Q56/'2.1'!Q67,"")</f>
        <v>0.70930100827008047</v>
      </c>
      <c r="R69" s="409">
        <f>IFERROR('2.3'!R56/'2.1'!R67,"")</f>
        <v>0.80982905982905984</v>
      </c>
      <c r="S69" s="409">
        <f>IFERROR('2.3'!S56/'2.1'!S67,"")</f>
        <v>0.91689750692520777</v>
      </c>
      <c r="T69" s="409">
        <f>IFERROR('2.3'!T56/'2.1'!T67,"")</f>
        <v>0.856453558504222</v>
      </c>
      <c r="U69" s="409">
        <f>IFERROR('2.3'!U56/'2.1'!X67,"")</f>
        <v>0.67989270146417791</v>
      </c>
      <c r="V69" s="409">
        <f>IFERROR('2.3'!V56/'2.1'!Y67,"")</f>
        <v>0.74813824708802745</v>
      </c>
      <c r="W69" s="409">
        <f>IFERROR('2.3'!W56/'2.1'!Z67,"")</f>
        <v>0.70509024252679076</v>
      </c>
    </row>
    <row r="70" spans="2:23" hidden="1" outlineLevel="1" x14ac:dyDescent="0.25">
      <c r="B70" s="404">
        <v>40603</v>
      </c>
      <c r="C70" s="409" t="str">
        <f>IFERROR('2.3'!C57/'2.1'!C68,"")</f>
        <v/>
      </c>
      <c r="D70" s="409" t="str">
        <f>IFERROR('2.3'!D57/'2.1'!D68,"")</f>
        <v/>
      </c>
      <c r="E70" s="409" t="str">
        <f>IFERROR('2.3'!E57/'2.1'!E68,"")</f>
        <v/>
      </c>
      <c r="F70" s="409" t="str">
        <f>IFERROR('2.3'!F57/'2.1'!F68,"")</f>
        <v/>
      </c>
      <c r="G70" s="409" t="str">
        <f>IFERROR('2.3'!G57/'2.1'!G68,"")</f>
        <v/>
      </c>
      <c r="H70" s="409" t="str">
        <f>IFERROR('2.3'!H57/'2.1'!H68,"")</f>
        <v/>
      </c>
      <c r="I70" s="409">
        <f>IFERROR('2.3'!I57/'2.1'!I68,"")</f>
        <v>0.75494853523357086</v>
      </c>
      <c r="J70" s="409">
        <f>IFERROR('2.3'!J57/'2.1'!J68,"")</f>
        <v>0.90500641848523744</v>
      </c>
      <c r="K70" s="409">
        <f>IFERROR('2.3'!K57/'2.1'!K68,"")</f>
        <v>0.79031770045385774</v>
      </c>
      <c r="L70" s="409">
        <f>IFERROR('2.3'!L57/'2.1'!L68,"")</f>
        <v>0.41482843137254904</v>
      </c>
      <c r="M70" s="409">
        <f>IFERROR('2.3'!M57/'2.1'!M68,"")</f>
        <v>0.6962962962962963</v>
      </c>
      <c r="N70" s="409">
        <f>IFERROR('2.3'!N57/'2.1'!N68,"")</f>
        <v>0.48480662983425415</v>
      </c>
      <c r="O70" s="409">
        <f>IFERROR('2.3'!O57/'2.1'!O68,"")</f>
        <v>0.71947082767978288</v>
      </c>
      <c r="P70" s="409">
        <f>IFERROR('2.3'!P57/'2.1'!P68,"")</f>
        <v>0.7229134266459305</v>
      </c>
      <c r="Q70" s="409">
        <f>IFERROR('2.3'!Q57/'2.1'!Q68,"")</f>
        <v>0.72083247898298131</v>
      </c>
      <c r="R70" s="409">
        <f>IFERROR('2.3'!R57/'2.1'!R68,"")</f>
        <v>0.81874999999999998</v>
      </c>
      <c r="S70" s="409">
        <f>IFERROR('2.3'!S57/'2.1'!S68,"")</f>
        <v>0.8764044943820225</v>
      </c>
      <c r="T70" s="409">
        <f>IFERROR('2.3'!T57/'2.1'!T68,"")</f>
        <v>0.84239631336405529</v>
      </c>
      <c r="U70" s="409">
        <f>IFERROR('2.3'!U57/'2.1'!X68,"")</f>
        <v>0.68730129044323918</v>
      </c>
      <c r="V70" s="409">
        <f>IFERROR('2.3'!V57/'2.1'!Y68,"")</f>
        <v>0.75773745997865527</v>
      </c>
      <c r="W70" s="409">
        <f>IFERROR('2.3'!W57/'2.1'!Z68,"")</f>
        <v>0.71157146359401813</v>
      </c>
    </row>
    <row r="71" spans="2:23" hidden="1" outlineLevel="1" x14ac:dyDescent="0.25">
      <c r="B71" s="404">
        <v>40634</v>
      </c>
      <c r="C71" s="409" t="str">
        <f>IFERROR('2.3'!C58/'2.1'!C69,"")</f>
        <v/>
      </c>
      <c r="D71" s="409" t="str">
        <f>IFERROR('2.3'!D58/'2.1'!D69,"")</f>
        <v/>
      </c>
      <c r="E71" s="409" t="str">
        <f>IFERROR('2.3'!E58/'2.1'!E69,"")</f>
        <v/>
      </c>
      <c r="F71" s="409" t="str">
        <f>IFERROR('2.3'!F58/'2.1'!F69,"")</f>
        <v/>
      </c>
      <c r="G71" s="409" t="str">
        <f>IFERROR('2.3'!G58/'2.1'!G69,"")</f>
        <v/>
      </c>
      <c r="H71" s="409" t="str">
        <f>IFERROR('2.3'!H58/'2.1'!H69,"")</f>
        <v/>
      </c>
      <c r="I71" s="409">
        <f>IFERROR('2.3'!I58/'2.1'!I69,"")</f>
        <v>0.74986286341195829</v>
      </c>
      <c r="J71" s="409">
        <f>IFERROR('2.3'!J58/'2.1'!J69,"")</f>
        <v>0.87874015748031498</v>
      </c>
      <c r="K71" s="409">
        <f>IFERROR('2.3'!K58/'2.1'!K69,"")</f>
        <v>0.78315703824247351</v>
      </c>
      <c r="L71" s="409">
        <f>IFERROR('2.3'!L58/'2.1'!L69,"")</f>
        <v>0.42442748091603055</v>
      </c>
      <c r="M71" s="409">
        <f>IFERROR('2.3'!M58/'2.1'!M69,"")</f>
        <v>0.70207852193995379</v>
      </c>
      <c r="N71" s="409">
        <f>IFERROR('2.3'!N58/'2.1'!N69,"")</f>
        <v>0.49340218014916809</v>
      </c>
      <c r="O71" s="409">
        <f>IFERROR('2.3'!O58/'2.1'!O69,"")</f>
        <v>0.71896316507503411</v>
      </c>
      <c r="P71" s="409">
        <f>IFERROR('2.3'!P58/'2.1'!P69,"")</f>
        <v>0.72549742078113488</v>
      </c>
      <c r="Q71" s="409">
        <f>IFERROR('2.3'!Q58/'2.1'!Q69,"")</f>
        <v>0.72145669291338588</v>
      </c>
      <c r="R71" s="409">
        <f>IFERROR('2.3'!R58/'2.1'!R69,"")</f>
        <v>0.83</v>
      </c>
      <c r="S71" s="409">
        <f>IFERROR('2.3'!S58/'2.1'!S69,"")</f>
        <v>0.89846153846153842</v>
      </c>
      <c r="T71" s="409">
        <f>IFERROR('2.3'!T58/'2.1'!T69,"")</f>
        <v>0.8606896551724138</v>
      </c>
      <c r="U71" s="409">
        <f>IFERROR('2.3'!U58/'2.1'!X69,"")</f>
        <v>0.68301601311310045</v>
      </c>
      <c r="V71" s="409">
        <f>IFERROR('2.3'!V58/'2.1'!Y69,"")</f>
        <v>0.76040905770635503</v>
      </c>
      <c r="W71" s="409">
        <f>IFERROR('2.3'!W58/'2.1'!Z69,"")</f>
        <v>0.70942016946336606</v>
      </c>
    </row>
    <row r="72" spans="2:23" hidden="1" outlineLevel="1" x14ac:dyDescent="0.25">
      <c r="B72" s="404">
        <v>40664</v>
      </c>
      <c r="C72" s="409" t="str">
        <f>IFERROR('2.3'!C59/'2.1'!C70,"")</f>
        <v/>
      </c>
      <c r="D72" s="409" t="str">
        <f>IFERROR('2.3'!D59/'2.1'!D70,"")</f>
        <v/>
      </c>
      <c r="E72" s="409" t="str">
        <f>IFERROR('2.3'!E59/'2.1'!E70,"")</f>
        <v/>
      </c>
      <c r="F72" s="409" t="str">
        <f>IFERROR('2.3'!F59/'2.1'!F70,"")</f>
        <v/>
      </c>
      <c r="G72" s="409" t="str">
        <f>IFERROR('2.3'!G59/'2.1'!G70,"")</f>
        <v/>
      </c>
      <c r="H72" s="409" t="str">
        <f>IFERROR('2.3'!H59/'2.1'!H70,"")</f>
        <v/>
      </c>
      <c r="I72" s="409">
        <f>IFERROR('2.3'!I59/'2.1'!I70,"")</f>
        <v>0.71802706241815806</v>
      </c>
      <c r="J72" s="409">
        <f>IFERROR('2.3'!J59/'2.1'!J70,"")</f>
        <v>0.89095744680851063</v>
      </c>
      <c r="K72" s="409">
        <f>IFERROR('2.3'!K59/'2.1'!K70,"")</f>
        <v>0.7607624055208676</v>
      </c>
      <c r="L72" s="409">
        <f>IFERROR('2.3'!L59/'2.1'!L70,"")</f>
        <v>0.42398884239888424</v>
      </c>
      <c r="M72" s="409">
        <f>IFERROR('2.3'!M59/'2.1'!M70,"")</f>
        <v>0.64600000000000002</v>
      </c>
      <c r="N72" s="409">
        <f>IFERROR('2.3'!N59/'2.1'!N70,"")</f>
        <v>0.48138572905894517</v>
      </c>
      <c r="O72" s="409">
        <f>IFERROR('2.3'!O59/'2.1'!O70,"")</f>
        <v>0.68921389396709321</v>
      </c>
      <c r="P72" s="409">
        <f>IFERROR('2.3'!P59/'2.1'!P70,"")</f>
        <v>0.71791940554444122</v>
      </c>
      <c r="Q72" s="409">
        <f>IFERROR('2.3'!Q59/'2.1'!Q70,"")</f>
        <v>0.70041253205485565</v>
      </c>
      <c r="R72" s="409">
        <f>IFERROR('2.3'!R59/'2.1'!R70,"")</f>
        <v>0.7657841140529531</v>
      </c>
      <c r="S72" s="409">
        <f>IFERROR('2.3'!S59/'2.1'!S70,"")</f>
        <v>0.85882352941176465</v>
      </c>
      <c r="T72" s="409">
        <f>IFERROR('2.3'!T59/'2.1'!T70,"")</f>
        <v>0.8038507821901324</v>
      </c>
      <c r="U72" s="409">
        <f>IFERROR('2.3'!U59/'2.1'!X70,"")</f>
        <v>0.66064422878381168</v>
      </c>
      <c r="V72" s="409">
        <f>IFERROR('2.3'!V59/'2.1'!Y70,"")</f>
        <v>0.74582596739343943</v>
      </c>
      <c r="W72" s="409">
        <f>IFERROR('2.3'!W59/'2.1'!Z70,"")</f>
        <v>0.68999120254449486</v>
      </c>
    </row>
    <row r="73" spans="2:23" hidden="1" outlineLevel="1" x14ac:dyDescent="0.25">
      <c r="B73" s="404">
        <v>40695</v>
      </c>
      <c r="C73" s="409" t="str">
        <f>IFERROR('2.3'!C60/'2.1'!C71,"")</f>
        <v/>
      </c>
      <c r="D73" s="409" t="str">
        <f>IFERROR('2.3'!D60/'2.1'!D71,"")</f>
        <v/>
      </c>
      <c r="E73" s="409" t="str">
        <f>IFERROR('2.3'!E60/'2.1'!E71,"")</f>
        <v/>
      </c>
      <c r="F73" s="409" t="str">
        <f>IFERROR('2.3'!F60/'2.1'!F71,"")</f>
        <v/>
      </c>
      <c r="G73" s="409" t="str">
        <f>IFERROR('2.3'!G60/'2.1'!G71,"")</f>
        <v/>
      </c>
      <c r="H73" s="409" t="str">
        <f>IFERROR('2.3'!H60/'2.1'!H71,"")</f>
        <v/>
      </c>
      <c r="I73" s="409">
        <f>IFERROR('2.3'!I60/'2.1'!I71,"")</f>
        <v>0.72415413533834583</v>
      </c>
      <c r="J73" s="409">
        <f>IFERROR('2.3'!J60/'2.1'!J71,"")</f>
        <v>0.86524822695035464</v>
      </c>
      <c r="K73" s="409">
        <f>IFERROR('2.3'!K60/'2.1'!K71,"")</f>
        <v>0.75926579597599719</v>
      </c>
      <c r="L73" s="409">
        <f>IFERROR('2.3'!L60/'2.1'!L71,"")</f>
        <v>0.4275184275184275</v>
      </c>
      <c r="M73" s="409">
        <f>IFERROR('2.3'!M60/'2.1'!M71,"")</f>
        <v>0.63436123348017626</v>
      </c>
      <c r="N73" s="409">
        <f>IFERROR('2.3'!N60/'2.1'!N71,"")</f>
        <v>0.4835820895522388</v>
      </c>
      <c r="O73" s="409">
        <f>IFERROR('2.3'!O60/'2.1'!O71,"")</f>
        <v>0.66330520683268157</v>
      </c>
      <c r="P73" s="409">
        <f>IFERROR('2.3'!P60/'2.1'!P71,"")</f>
        <v>0.71213517665130566</v>
      </c>
      <c r="Q73" s="409">
        <f>IFERROR('2.3'!Q60/'2.1'!Q71,"")</f>
        <v>0.68289376386492484</v>
      </c>
      <c r="R73" s="409">
        <f>IFERROR('2.3'!R60/'2.1'!R71,"")</f>
        <v>0.73051224944320714</v>
      </c>
      <c r="S73" s="409">
        <f>IFERROR('2.3'!S60/'2.1'!S71,"")</f>
        <v>0.85443037974683544</v>
      </c>
      <c r="T73" s="409">
        <f>IFERROR('2.3'!T60/'2.1'!T71,"")</f>
        <v>0.78169934640522876</v>
      </c>
      <c r="U73" s="409">
        <f>IFERROR('2.3'!U60/'2.1'!X71,"")</f>
        <v>0.64849254938200296</v>
      </c>
      <c r="V73" s="409">
        <f>IFERROR('2.3'!V60/'2.1'!Y71,"")</f>
        <v>0.73699788583509518</v>
      </c>
      <c r="W73" s="409">
        <f>IFERROR('2.3'!W60/'2.1'!Z71,"")</f>
        <v>0.67976395010084412</v>
      </c>
    </row>
    <row r="74" spans="2:23" hidden="1" outlineLevel="1" x14ac:dyDescent="0.25">
      <c r="B74" s="404">
        <v>40725</v>
      </c>
      <c r="C74" s="409" t="str">
        <f>IFERROR('2.3'!C61/'2.1'!C72,"")</f>
        <v/>
      </c>
      <c r="D74" s="409" t="str">
        <f>IFERROR('2.3'!D61/'2.1'!D72,"")</f>
        <v/>
      </c>
      <c r="E74" s="409" t="str">
        <f>IFERROR('2.3'!E61/'2.1'!E72,"")</f>
        <v/>
      </c>
      <c r="F74" s="409" t="str">
        <f>IFERROR('2.3'!F61/'2.1'!F72,"")</f>
        <v/>
      </c>
      <c r="G74" s="409" t="str">
        <f>IFERROR('2.3'!G61/'2.1'!G72,"")</f>
        <v/>
      </c>
      <c r="H74" s="409" t="str">
        <f>IFERROR('2.3'!H61/'2.1'!H72,"")</f>
        <v/>
      </c>
      <c r="I74" s="409">
        <f>IFERROR('2.3'!I61/'2.1'!I72,"")</f>
        <v>0.72367409684857797</v>
      </c>
      <c r="J74" s="409">
        <f>IFERROR('2.3'!J61/'2.1'!J72,"")</f>
        <v>0.88624338624338628</v>
      </c>
      <c r="K74" s="409">
        <f>IFERROR('2.3'!K61/'2.1'!K72,"")</f>
        <v>0.76027397260273977</v>
      </c>
      <c r="L74" s="409">
        <f>IFERROR('2.3'!L61/'2.1'!L72,"")</f>
        <v>0.41302681992337165</v>
      </c>
      <c r="M74" s="409">
        <f>IFERROR('2.3'!M61/'2.1'!M72,"")</f>
        <v>0.68410041841004188</v>
      </c>
      <c r="N74" s="409">
        <f>IFERROR('2.3'!N61/'2.1'!N72,"")</f>
        <v>0.48569826135726302</v>
      </c>
      <c r="O74" s="409">
        <f>IFERROR('2.3'!O61/'2.1'!O72,"")</f>
        <v>0.62777777777777777</v>
      </c>
      <c r="P74" s="409">
        <f>IFERROR('2.3'!P61/'2.1'!P72,"")</f>
        <v>0.71231484170781301</v>
      </c>
      <c r="Q74" s="409">
        <f>IFERROR('2.3'!Q61/'2.1'!Q72,"")</f>
        <v>0.66616114994065678</v>
      </c>
      <c r="R74" s="409">
        <f>IFERROR('2.3'!R61/'2.1'!R72,"")</f>
        <v>0.75268817204301075</v>
      </c>
      <c r="S74" s="409">
        <f>IFERROR('2.3'!S61/'2.1'!S72,"")</f>
        <v>0.83790523690773067</v>
      </c>
      <c r="T74" s="409">
        <f>IFERROR('2.3'!T61/'2.1'!T72,"")</f>
        <v>0.78832116788321172</v>
      </c>
      <c r="U74" s="409">
        <f>IFERROR('2.3'!U61/'2.1'!X72,"")</f>
        <v>0.63083562181247543</v>
      </c>
      <c r="V74" s="409">
        <f>IFERROR('2.3'!V61/'2.1'!Y72,"")</f>
        <v>0.73207370026992136</v>
      </c>
      <c r="W74" s="409">
        <f>IFERROR('2.3'!W61/'2.1'!Z72,"")</f>
        <v>0.67140035737797421</v>
      </c>
    </row>
    <row r="75" spans="2:23" hidden="1" outlineLevel="1" x14ac:dyDescent="0.25">
      <c r="B75" s="404">
        <v>40756</v>
      </c>
      <c r="C75" s="409" t="str">
        <f>IFERROR('2.3'!C62/'2.1'!C73,"")</f>
        <v/>
      </c>
      <c r="D75" s="409" t="str">
        <f>IFERROR('2.3'!D62/'2.1'!D73,"")</f>
        <v/>
      </c>
      <c r="E75" s="409" t="str">
        <f>IFERROR('2.3'!E62/'2.1'!E73,"")</f>
        <v/>
      </c>
      <c r="F75" s="409" t="str">
        <f>IFERROR('2.3'!F62/'2.1'!F73,"")</f>
        <v/>
      </c>
      <c r="G75" s="409" t="str">
        <f>IFERROR('2.3'!G62/'2.1'!G73,"")</f>
        <v/>
      </c>
      <c r="H75" s="409" t="str">
        <f>IFERROR('2.3'!H62/'2.1'!H73,"")</f>
        <v/>
      </c>
      <c r="I75" s="409">
        <f>IFERROR('2.3'!I62/'2.1'!I73,"")</f>
        <v>0.77871362940275646</v>
      </c>
      <c r="J75" s="409">
        <f>IFERROR('2.3'!J62/'2.1'!J73,"")</f>
        <v>0.8847631241997439</v>
      </c>
      <c r="K75" s="409">
        <f>IFERROR('2.3'!K62/'2.1'!K73,"")</f>
        <v>0.8031240789861479</v>
      </c>
      <c r="L75" s="409">
        <f>IFERROR('2.3'!L62/'2.1'!L73,"")</f>
        <v>0.43376230128690385</v>
      </c>
      <c r="M75" s="409">
        <f>IFERROR('2.3'!M62/'2.1'!M73,"")</f>
        <v>0.67088607594936711</v>
      </c>
      <c r="N75" s="409">
        <f>IFERROR('2.3'!N62/'2.1'!N73,"")</f>
        <v>0.49637883008356548</v>
      </c>
      <c r="O75" s="409">
        <f>IFERROR('2.3'!O62/'2.1'!O73,"")</f>
        <v>0.66959531416400431</v>
      </c>
      <c r="P75" s="409">
        <f>IFERROR('2.3'!P62/'2.1'!P73,"")</f>
        <v>0.71138493578618534</v>
      </c>
      <c r="Q75" s="409">
        <f>IFERROR('2.3'!Q62/'2.1'!Q73,"")</f>
        <v>0.68773542263070664</v>
      </c>
      <c r="R75" s="409">
        <f>IFERROR('2.3'!R62/'2.1'!R73,"")</f>
        <v>0.7571942446043165</v>
      </c>
      <c r="S75" s="409">
        <f>IFERROR('2.3'!S62/'2.1'!S73,"")</f>
        <v>0.83333333333333337</v>
      </c>
      <c r="T75" s="409">
        <f>IFERROR('2.3'!T62/'2.1'!T73,"")</f>
        <v>0.78681318681318679</v>
      </c>
      <c r="U75" s="409">
        <f>IFERROR('2.3'!U62/'2.1'!X73,"")</f>
        <v>0.67144404632947252</v>
      </c>
      <c r="V75" s="409">
        <f>IFERROR('2.3'!V62/'2.1'!Y73,"")</f>
        <v>0.73300773300773303</v>
      </c>
      <c r="W75" s="409">
        <f>IFERROR('2.3'!W62/'2.1'!Z73,"")</f>
        <v>0.69486888292380755</v>
      </c>
    </row>
    <row r="76" spans="2:23" hidden="1" outlineLevel="1" x14ac:dyDescent="0.25">
      <c r="B76" s="404">
        <v>40787</v>
      </c>
      <c r="C76" s="409" t="str">
        <f>IFERROR('2.3'!C63/'2.1'!C74,"")</f>
        <v/>
      </c>
      <c r="D76" s="409" t="str">
        <f>IFERROR('2.3'!D63/'2.1'!D74,"")</f>
        <v/>
      </c>
      <c r="E76" s="409" t="str">
        <f>IFERROR('2.3'!E63/'2.1'!E74,"")</f>
        <v/>
      </c>
      <c r="F76" s="409" t="str">
        <f>IFERROR('2.3'!F63/'2.1'!F74,"")</f>
        <v/>
      </c>
      <c r="G76" s="409" t="str">
        <f>IFERROR('2.3'!G63/'2.1'!G74,"")</f>
        <v/>
      </c>
      <c r="H76" s="409" t="str">
        <f>IFERROR('2.3'!H63/'2.1'!H74,"")</f>
        <v/>
      </c>
      <c r="I76" s="409">
        <f>IFERROR('2.3'!I63/'2.1'!I74,"")</f>
        <v>0.81354051054384013</v>
      </c>
      <c r="J76" s="409">
        <f>IFERROR('2.3'!J63/'2.1'!J74,"")</f>
        <v>0.90371229698375866</v>
      </c>
      <c r="K76" s="409">
        <f>IFERROR('2.3'!K63/'2.1'!K74,"")</f>
        <v>0.83534361851332395</v>
      </c>
      <c r="L76" s="409">
        <f>IFERROR('2.3'!L63/'2.1'!L74,"")</f>
        <v>0.43295354951796672</v>
      </c>
      <c r="M76" s="409">
        <f>IFERROR('2.3'!M63/'2.1'!M74,"")</f>
        <v>0.66818181818181821</v>
      </c>
      <c r="N76" s="409">
        <f>IFERROR('2.3'!N63/'2.1'!N74,"")</f>
        <v>0.49841872232764073</v>
      </c>
      <c r="O76" s="409">
        <f>IFERROR('2.3'!O63/'2.1'!O74,"")</f>
        <v>0.70976207137858638</v>
      </c>
      <c r="P76" s="409">
        <f>IFERROR('2.3'!P63/'2.1'!P74,"")</f>
        <v>0.7306245297215952</v>
      </c>
      <c r="Q76" s="409">
        <f>IFERROR('2.3'!Q63/'2.1'!Q74,"")</f>
        <v>0.71833453571060502</v>
      </c>
      <c r="R76" s="409">
        <f>IFERROR('2.3'!R63/'2.1'!R74,"")</f>
        <v>0.78708133971291872</v>
      </c>
      <c r="S76" s="409">
        <f>IFERROR('2.3'!S63/'2.1'!S74,"")</f>
        <v>0.86458333333333337</v>
      </c>
      <c r="T76" s="409">
        <f>IFERROR('2.3'!T63/'2.1'!T74,"")</f>
        <v>0.81869688385269124</v>
      </c>
      <c r="U76" s="409">
        <f>IFERROR('2.3'!U63/'2.1'!X74,"")</f>
        <v>0.70946081379033876</v>
      </c>
      <c r="V76" s="409">
        <f>IFERROR('2.3'!V63/'2.1'!Y74,"")</f>
        <v>0.75936883629191321</v>
      </c>
      <c r="W76" s="409">
        <f>IFERROR('2.3'!W63/'2.1'!Z74,"")</f>
        <v>0.72735454837672775</v>
      </c>
    </row>
    <row r="77" spans="2:23" hidden="1" outlineLevel="1" x14ac:dyDescent="0.25">
      <c r="B77" s="404">
        <v>40817</v>
      </c>
      <c r="C77" s="409" t="str">
        <f>IFERROR('2.3'!C64/'2.1'!C75,"")</f>
        <v/>
      </c>
      <c r="D77" s="409" t="str">
        <f>IFERROR('2.3'!D64/'2.1'!D75,"")</f>
        <v/>
      </c>
      <c r="E77" s="409" t="str">
        <f>IFERROR('2.3'!E64/'2.1'!E75,"")</f>
        <v/>
      </c>
      <c r="F77" s="409" t="str">
        <f>IFERROR('2.3'!F64/'2.1'!F75,"")</f>
        <v/>
      </c>
      <c r="G77" s="409" t="str">
        <f>IFERROR('2.3'!G64/'2.1'!G75,"")</f>
        <v/>
      </c>
      <c r="H77" s="409" t="str">
        <f>IFERROR('2.3'!H64/'2.1'!H75,"")</f>
        <v/>
      </c>
      <c r="I77" s="409">
        <f>IFERROR('2.3'!I64/'2.1'!I75,"")</f>
        <v>0.83166904422253918</v>
      </c>
      <c r="J77" s="409">
        <f>IFERROR('2.3'!J64/'2.1'!J75,"")</f>
        <v>0.93481481481481477</v>
      </c>
      <c r="K77" s="409">
        <f>IFERROR('2.3'!K64/'2.1'!K75,"")</f>
        <v>0.85673146148308132</v>
      </c>
      <c r="L77" s="409">
        <f>IFERROR('2.3'!L64/'2.1'!L75,"")</f>
        <v>0.46735395189003437</v>
      </c>
      <c r="M77" s="409">
        <f>IFERROR('2.3'!M64/'2.1'!M75,"")</f>
        <v>0.69267139479905437</v>
      </c>
      <c r="N77" s="409">
        <f>IFERROR('2.3'!N64/'2.1'!N75,"")</f>
        <v>0.52741020793950855</v>
      </c>
      <c r="O77" s="409">
        <f>IFERROR('2.3'!O64/'2.1'!O75,"")</f>
        <v>0.75725593667546176</v>
      </c>
      <c r="P77" s="409">
        <f>IFERROR('2.3'!P64/'2.1'!P75,"")</f>
        <v>0.79763246899661777</v>
      </c>
      <c r="Q77" s="409">
        <f>IFERROR('2.3'!Q64/'2.1'!Q75,"")</f>
        <v>0.77277158020145131</v>
      </c>
      <c r="R77" s="409">
        <f>IFERROR('2.3'!R64/'2.1'!R75,"")</f>
        <v>0.84381338742393508</v>
      </c>
      <c r="S77" s="409">
        <f>IFERROR('2.3'!S64/'2.1'!S75,"")</f>
        <v>0.91925465838509313</v>
      </c>
      <c r="T77" s="409">
        <f>IFERROR('2.3'!T64/'2.1'!T75,"")</f>
        <v>0.87361963190184044</v>
      </c>
      <c r="U77" s="409">
        <f>IFERROR('2.3'!U64/'2.1'!X75,"")</f>
        <v>0.7426151402858655</v>
      </c>
      <c r="V77" s="409">
        <f>IFERROR('2.3'!V64/'2.1'!Y75,"")</f>
        <v>0.81521739130434778</v>
      </c>
      <c r="W77" s="409">
        <f>IFERROR('2.3'!W64/'2.1'!Z75,"")</f>
        <v>0.76764032470686183</v>
      </c>
    </row>
    <row r="78" spans="2:23" hidden="1" outlineLevel="1" x14ac:dyDescent="0.25">
      <c r="B78" s="404">
        <v>40848</v>
      </c>
      <c r="C78" s="409" t="str">
        <f>IFERROR('2.3'!C65/'2.1'!C76,"")</f>
        <v/>
      </c>
      <c r="D78" s="409" t="str">
        <f>IFERROR('2.3'!D65/'2.1'!D76,"")</f>
        <v/>
      </c>
      <c r="E78" s="409" t="str">
        <f>IFERROR('2.3'!E65/'2.1'!E76,"")</f>
        <v/>
      </c>
      <c r="F78" s="409" t="str">
        <f>IFERROR('2.3'!F65/'2.1'!F76,"")</f>
        <v/>
      </c>
      <c r="G78" s="409" t="str">
        <f>IFERROR('2.3'!G65/'2.1'!G76,"")</f>
        <v/>
      </c>
      <c r="H78" s="409" t="str">
        <f>IFERROR('2.3'!H65/'2.1'!H76,"")</f>
        <v/>
      </c>
      <c r="I78" s="409">
        <f>IFERROR('2.3'!I65/'2.1'!I76,"")</f>
        <v>0.84846266471449483</v>
      </c>
      <c r="J78" s="409">
        <f>IFERROR('2.3'!J65/'2.1'!J76,"")</f>
        <v>0.93742889647326511</v>
      </c>
      <c r="K78" s="409">
        <f>IFERROR('2.3'!K65/'2.1'!K76,"")</f>
        <v>0.87011908058709497</v>
      </c>
      <c r="L78" s="409">
        <f>IFERROR('2.3'!L65/'2.1'!L76,"")</f>
        <v>0.46407624633431083</v>
      </c>
      <c r="M78" s="409">
        <f>IFERROR('2.3'!M65/'2.1'!M76,"")</f>
        <v>0.68160377358490565</v>
      </c>
      <c r="N78" s="409">
        <f>IFERROR('2.3'!N65/'2.1'!N76,"")</f>
        <v>0.51565995525727071</v>
      </c>
      <c r="O78" s="409">
        <f>IFERROR('2.3'!O65/'2.1'!O76,"")</f>
        <v>0.72944162436548221</v>
      </c>
      <c r="P78" s="409">
        <f>IFERROR('2.3'!P65/'2.1'!P76,"")</f>
        <v>0.78160723426036516</v>
      </c>
      <c r="Q78" s="409">
        <f>IFERROR('2.3'!Q65/'2.1'!Q76,"")</f>
        <v>0.75169201659267881</v>
      </c>
      <c r="R78" s="409">
        <f>IFERROR('2.3'!R65/'2.1'!R76,"")</f>
        <v>0.85185185185185186</v>
      </c>
      <c r="S78" s="409">
        <f>IFERROR('2.3'!S65/'2.1'!S76,"")</f>
        <v>0.94252873563218387</v>
      </c>
      <c r="T78" s="409">
        <f>IFERROR('2.3'!T65/'2.1'!T76,"")</f>
        <v>0.89121756487025949</v>
      </c>
      <c r="U78" s="409">
        <f>IFERROR('2.3'!U65/'2.1'!X76,"")</f>
        <v>0.73204177628956391</v>
      </c>
      <c r="V78" s="409">
        <f>IFERROR('2.3'!V65/'2.1'!Y76,"")</f>
        <v>0.80326358731412029</v>
      </c>
      <c r="W78" s="409">
        <f>IFERROR('2.3'!W65/'2.1'!Z76,"")</f>
        <v>0.75891172674014495</v>
      </c>
    </row>
    <row r="79" spans="2:23" hidden="1" outlineLevel="1" x14ac:dyDescent="0.25">
      <c r="B79" s="404">
        <v>40878</v>
      </c>
      <c r="C79" s="409" t="str">
        <f>IFERROR('2.3'!C66/'2.1'!C77,"")</f>
        <v/>
      </c>
      <c r="D79" s="409" t="str">
        <f>IFERROR('2.3'!D66/'2.1'!D77,"")</f>
        <v/>
      </c>
      <c r="E79" s="409" t="str">
        <f>IFERROR('2.3'!E66/'2.1'!E77,"")</f>
        <v/>
      </c>
      <c r="F79" s="409" t="str">
        <f>IFERROR('2.3'!F66/'2.1'!F77,"")</f>
        <v/>
      </c>
      <c r="G79" s="409" t="str">
        <f>IFERROR('2.3'!G66/'2.1'!G77,"")</f>
        <v/>
      </c>
      <c r="H79" s="409" t="str">
        <f>IFERROR('2.3'!H66/'2.1'!H77,"")</f>
        <v/>
      </c>
      <c r="I79" s="409">
        <f>IFERROR('2.3'!I66/'2.1'!I77,"")</f>
        <v>0.84099616858237547</v>
      </c>
      <c r="J79" s="409">
        <f>IFERROR('2.3'!J66/'2.1'!J77,"")</f>
        <v>0.95059880239520955</v>
      </c>
      <c r="K79" s="409">
        <f>IFERROR('2.3'!K66/'2.1'!K77,"")</f>
        <v>0.86756168359941943</v>
      </c>
      <c r="L79" s="409">
        <f>IFERROR('2.3'!L66/'2.1'!L77,"")</f>
        <v>0.43968871595330739</v>
      </c>
      <c r="M79" s="409">
        <f>IFERROR('2.3'!M66/'2.1'!M77,"")</f>
        <v>0.7172774869109948</v>
      </c>
      <c r="N79" s="409">
        <f>IFERROR('2.3'!N66/'2.1'!N77,"")</f>
        <v>0.51489361702127656</v>
      </c>
      <c r="O79" s="409">
        <f>IFERROR('2.3'!O66/'2.1'!O77,"")</f>
        <v>0.74273210378243204</v>
      </c>
      <c r="P79" s="409">
        <f>IFERROR('2.3'!P66/'2.1'!P77,"")</f>
        <v>0.78462502611238771</v>
      </c>
      <c r="Q79" s="409">
        <f>IFERROR('2.3'!Q66/'2.1'!Q77,"")</f>
        <v>0.76066160035762187</v>
      </c>
      <c r="R79" s="409">
        <f>IFERROR('2.3'!R66/'2.1'!R77,"")</f>
        <v>0.88277511961722488</v>
      </c>
      <c r="S79" s="409">
        <f>IFERROR('2.3'!S66/'2.1'!S77,"")</f>
        <v>0.91793313069908811</v>
      </c>
      <c r="T79" s="409">
        <f>IFERROR('2.3'!T66/'2.1'!T77,"")</f>
        <v>0.89825970548862111</v>
      </c>
      <c r="U79" s="409">
        <f>IFERROR('2.3'!U66/'2.1'!X77,"")</f>
        <v>0.7379178413209827</v>
      </c>
      <c r="V79" s="409">
        <f>IFERROR('2.3'!V66/'2.1'!Y77,"")</f>
        <v>0.80554654557249428</v>
      </c>
      <c r="W79" s="409">
        <f>IFERROR('2.3'!W66/'2.1'!Z77,"")</f>
        <v>0.76382159274444028</v>
      </c>
    </row>
    <row r="80" spans="2:23" collapsed="1" x14ac:dyDescent="0.25">
      <c r="B80" s="407" t="s">
        <v>752</v>
      </c>
      <c r="C80" s="410" t="str">
        <f>IFERROR('2.3'!C67/'2.1'!C78,"")</f>
        <v/>
      </c>
      <c r="D80" s="410" t="str">
        <f>IFERROR('2.3'!D67/'2.1'!D78,"")</f>
        <v/>
      </c>
      <c r="E80" s="410" t="str">
        <f>IFERROR('2.3'!E67/'2.1'!E78,"")</f>
        <v/>
      </c>
      <c r="F80" s="410" t="str">
        <f>IFERROR('2.3'!F67/'2.1'!F78,"")</f>
        <v/>
      </c>
      <c r="G80" s="410" t="str">
        <f>IFERROR('2.3'!G67/'2.1'!G78,"")</f>
        <v/>
      </c>
      <c r="H80" s="410" t="str">
        <f>IFERROR('2.3'!H67/'2.1'!H78,"")</f>
        <v/>
      </c>
      <c r="I80" s="410">
        <f>IFERROR('2.3'!I67/'2.1'!I78,"")</f>
        <v>0.77047093763258379</v>
      </c>
      <c r="J80" s="410">
        <f>IFERROR('2.3'!J67/'2.1'!J78,"")</f>
        <v>0.89618922470433637</v>
      </c>
      <c r="K80" s="410">
        <f>IFERROR('2.3'!K67/'2.1'!K78,"")</f>
        <v>0.80115458627325209</v>
      </c>
      <c r="L80" s="410">
        <f>IFERROR('2.3'!L67/'2.1'!L78,"")</f>
        <v>0.43023255813953487</v>
      </c>
      <c r="M80" s="410">
        <f>IFERROR('2.3'!M67/'2.1'!M78,"")</f>
        <v>0.67912087912087915</v>
      </c>
      <c r="N80" s="410">
        <f>IFERROR('2.3'!N67/'2.1'!N78,"")</f>
        <v>0.49512893982808021</v>
      </c>
      <c r="O80" s="410">
        <f>IFERROR('2.3'!O67/'2.1'!O78,"")</f>
        <v>0.70042400521852577</v>
      </c>
      <c r="P80" s="410">
        <f>IFERROR('2.3'!P67/'2.1'!P78,"")</f>
        <v>0.7377686328303612</v>
      </c>
      <c r="Q80" s="410">
        <f>IFERROR('2.3'!Q67/'2.1'!Q78,"")</f>
        <v>0.7159718256234533</v>
      </c>
      <c r="R80" s="410">
        <f>IFERROR('2.3'!R67/'2.1'!R78,"")</f>
        <v>0.80478087649402386</v>
      </c>
      <c r="S80" s="410">
        <f>IFERROR('2.3'!S67/'2.1'!S78,"")</f>
        <v>0.88674033149171272</v>
      </c>
      <c r="T80" s="410">
        <f>IFERROR('2.3'!T67/'2.1'!T78,"")</f>
        <v>0.83912037037037035</v>
      </c>
      <c r="U80" s="410">
        <f>IFERROR('2.3'!U67/'2.1'!X78,"")</f>
        <v>0.6876762960801478</v>
      </c>
      <c r="V80" s="410">
        <f>IFERROR('2.3'!V67/'2.1'!Y78,"")</f>
        <v>0.76272895311712319</v>
      </c>
      <c r="W80" s="410">
        <f>IFERROR('2.3'!W67/'2.1'!Z78,"")</f>
        <v>0.71514815499291562</v>
      </c>
    </row>
    <row r="81" spans="2:23" hidden="1" outlineLevel="1" x14ac:dyDescent="0.25">
      <c r="B81" s="404">
        <v>40909</v>
      </c>
      <c r="C81" s="409" t="str">
        <f>IFERROR('2.3'!C68/'2.1'!C79,"")</f>
        <v/>
      </c>
      <c r="D81" s="409" t="str">
        <f>IFERROR('2.3'!D68/'2.1'!D79,"")</f>
        <v/>
      </c>
      <c r="E81" s="409" t="str">
        <f>IFERROR('2.3'!E68/'2.1'!E79,"")</f>
        <v/>
      </c>
      <c r="F81" s="409" t="str">
        <f>IFERROR('2.3'!F68/'2.1'!F79,"")</f>
        <v/>
      </c>
      <c r="G81" s="409" t="str">
        <f>IFERROR('2.3'!G68/'2.1'!G79,"")</f>
        <v/>
      </c>
      <c r="H81" s="409" t="str">
        <f>IFERROR('2.3'!H68/'2.1'!H79,"")</f>
        <v/>
      </c>
      <c r="I81" s="409">
        <f>IFERROR('2.3'!I68/'2.1'!I79,"")</f>
        <v>0.84224364592462753</v>
      </c>
      <c r="J81" s="409">
        <f>IFERROR('2.3'!J68/'2.1'!J79,"")</f>
        <v>0.93955321944809467</v>
      </c>
      <c r="K81" s="409">
        <f>IFERROR('2.3'!K68/'2.1'!K79,"")</f>
        <v>0.86657903384817614</v>
      </c>
      <c r="L81" s="409">
        <f>IFERROR('2.3'!L68/'2.1'!L79,"")</f>
        <v>0.47927927927927927</v>
      </c>
      <c r="M81" s="409">
        <f>IFERROR('2.3'!M68/'2.1'!M79,"")</f>
        <v>0.68674698795180722</v>
      </c>
      <c r="N81" s="409">
        <f>IFERROR('2.3'!N68/'2.1'!N79,"")</f>
        <v>0.53573770491803274</v>
      </c>
      <c r="O81" s="409">
        <f>IFERROR('2.3'!O68/'2.1'!O79,"")</f>
        <v>0.75129918337045287</v>
      </c>
      <c r="P81" s="409">
        <f>IFERROR('2.3'!P68/'2.1'!P79,"")</f>
        <v>0.7996285596368139</v>
      </c>
      <c r="Q81" s="409">
        <f>IFERROR('2.3'!Q68/'2.1'!Q79,"")</f>
        <v>0.77152232104308782</v>
      </c>
      <c r="R81" s="409">
        <f>IFERROR('2.3'!R68/'2.1'!R79,"")</f>
        <v>0.84549356223175964</v>
      </c>
      <c r="S81" s="409">
        <f>IFERROR('2.3'!S68/'2.1'!S79,"")</f>
        <v>0.90740740740740744</v>
      </c>
      <c r="T81" s="409">
        <f>IFERROR('2.3'!T68/'2.1'!T79,"")</f>
        <v>0.87088607594936707</v>
      </c>
      <c r="U81" s="409">
        <f>IFERROR('2.3'!U68/'2.1'!X79,"")</f>
        <v>0.7465307278391391</v>
      </c>
      <c r="V81" s="409">
        <f>IFERROR('2.3'!V68/'2.1'!Y79,"")</f>
        <v>0.81452883706271673</v>
      </c>
      <c r="W81" s="409">
        <f>IFERROR('2.3'!W68/'2.1'!Z79,"")</f>
        <v>0.77200543125332077</v>
      </c>
    </row>
    <row r="82" spans="2:23" hidden="1" outlineLevel="1" x14ac:dyDescent="0.25">
      <c r="B82" s="404">
        <v>40940</v>
      </c>
      <c r="C82" s="409" t="str">
        <f>IFERROR('2.3'!C69/'2.1'!C80,"")</f>
        <v/>
      </c>
      <c r="D82" s="409" t="str">
        <f>IFERROR('2.3'!D69/'2.1'!D80,"")</f>
        <v/>
      </c>
      <c r="E82" s="409" t="str">
        <f>IFERROR('2.3'!E69/'2.1'!E80,"")</f>
        <v/>
      </c>
      <c r="F82" s="409" t="str">
        <f>IFERROR('2.3'!F69/'2.1'!F80,"")</f>
        <v/>
      </c>
      <c r="G82" s="409" t="str">
        <f>IFERROR('2.3'!G69/'2.1'!G80,"")</f>
        <v/>
      </c>
      <c r="H82" s="409" t="str">
        <f>IFERROR('2.3'!H69/'2.1'!H80,"")</f>
        <v/>
      </c>
      <c r="I82" s="409">
        <f>IFERROR('2.3'!I69/'2.1'!I80,"")</f>
        <v>0.83422746781115875</v>
      </c>
      <c r="J82" s="409">
        <f>IFERROR('2.3'!J69/'2.1'!J80,"")</f>
        <v>0.93729903536977488</v>
      </c>
      <c r="K82" s="409">
        <f>IFERROR('2.3'!K69/'2.1'!K80,"")</f>
        <v>0.86001609010458568</v>
      </c>
      <c r="L82" s="409">
        <f>IFERROR('2.3'!L69/'2.1'!L80,"")</f>
        <v>0.44712041884816756</v>
      </c>
      <c r="M82" s="409">
        <f>IFERROR('2.3'!M69/'2.1'!M80,"")</f>
        <v>0.67292225201072386</v>
      </c>
      <c r="N82" s="409">
        <f>IFERROR('2.3'!N69/'2.1'!N80,"")</f>
        <v>0.51054216867469882</v>
      </c>
      <c r="O82" s="409">
        <f>IFERROR('2.3'!O69/'2.1'!O80,"")</f>
        <v>0.80994099767566596</v>
      </c>
      <c r="P82" s="409">
        <f>IFERROR('2.3'!P69/'2.1'!P80,"")</f>
        <v>0.82113373692900382</v>
      </c>
      <c r="Q82" s="409">
        <f>IFERROR('2.3'!Q69/'2.1'!Q80,"")</f>
        <v>0.81434919258697303</v>
      </c>
      <c r="R82" s="409">
        <f>IFERROR('2.3'!R69/'2.1'!R80,"")</f>
        <v>0.84478935698447899</v>
      </c>
      <c r="S82" s="409">
        <f>IFERROR('2.3'!S69/'2.1'!S80,"")</f>
        <v>0.92814371257485029</v>
      </c>
      <c r="T82" s="409">
        <f>IFERROR('2.3'!T69/'2.1'!T80,"")</f>
        <v>0.88025477707006372</v>
      </c>
      <c r="U82" s="409">
        <f>IFERROR('2.3'!U69/'2.1'!X80,"")</f>
        <v>0.77772763172740611</v>
      </c>
      <c r="V82" s="409">
        <f>IFERROR('2.3'!V69/'2.1'!Y80,"")</f>
        <v>0.8317549869030828</v>
      </c>
      <c r="W82" s="409">
        <f>IFERROR('2.3'!W69/'2.1'!Z80,"")</f>
        <v>0.79712136554317947</v>
      </c>
    </row>
    <row r="83" spans="2:23" hidden="1" outlineLevel="1" x14ac:dyDescent="0.25">
      <c r="B83" s="404">
        <v>40969</v>
      </c>
      <c r="C83" s="409" t="str">
        <f>IFERROR('2.3'!C70/'2.1'!C81,"")</f>
        <v/>
      </c>
      <c r="D83" s="409" t="str">
        <f>IFERROR('2.3'!D70/'2.1'!D81,"")</f>
        <v/>
      </c>
      <c r="E83" s="409" t="str">
        <f>IFERROR('2.3'!E70/'2.1'!E81,"")</f>
        <v/>
      </c>
      <c r="F83" s="409" t="str">
        <f>IFERROR('2.3'!F70/'2.1'!F81,"")</f>
        <v/>
      </c>
      <c r="G83" s="409" t="str">
        <f>IFERROR('2.3'!G70/'2.1'!G81,"")</f>
        <v/>
      </c>
      <c r="H83" s="409" t="str">
        <f>IFERROR('2.3'!H70/'2.1'!H81,"")</f>
        <v/>
      </c>
      <c r="I83" s="409">
        <f>IFERROR('2.3'!I70/'2.1'!I81,"")</f>
        <v>0.83403656821378336</v>
      </c>
      <c r="J83" s="409">
        <f>IFERROR('2.3'!J70/'2.1'!J81,"")</f>
        <v>0.93519882179675995</v>
      </c>
      <c r="K83" s="409">
        <f>IFERROR('2.3'!K70/'2.1'!K81,"")</f>
        <v>0.85846372688477957</v>
      </c>
      <c r="L83" s="409">
        <f>IFERROR('2.3'!L70/'2.1'!L81,"")</f>
        <v>0.44957983193277312</v>
      </c>
      <c r="M83" s="409">
        <f>IFERROR('2.3'!M70/'2.1'!M81,"")</f>
        <v>0.68888888888888888</v>
      </c>
      <c r="N83" s="409">
        <f>IFERROR('2.3'!N70/'2.1'!N81,"")</f>
        <v>0.51034482758620692</v>
      </c>
      <c r="O83" s="409">
        <f>IFERROR('2.3'!O70/'2.1'!O81,"")</f>
        <v>0.80929839391377856</v>
      </c>
      <c r="P83" s="409">
        <f>IFERROR('2.3'!P70/'2.1'!P81,"")</f>
        <v>0.8462897526501767</v>
      </c>
      <c r="Q83" s="409">
        <f>IFERROR('2.3'!Q70/'2.1'!Q81,"")</f>
        <v>0.82413688366913029</v>
      </c>
      <c r="R83" s="409">
        <f>IFERROR('2.3'!R70/'2.1'!R81,"")</f>
        <v>0.82705099778270508</v>
      </c>
      <c r="S83" s="409">
        <f>IFERROR('2.3'!S70/'2.1'!S81,"")</f>
        <v>0.92668621700879761</v>
      </c>
      <c r="T83" s="409">
        <f>IFERROR('2.3'!T70/'2.1'!T81,"")</f>
        <v>0.86994949494949492</v>
      </c>
      <c r="U83" s="409">
        <f>IFERROR('2.3'!U70/'2.1'!X81,"")</f>
        <v>0.77139023635050052</v>
      </c>
      <c r="V83" s="409">
        <f>IFERROR('2.3'!V70/'2.1'!Y81,"")</f>
        <v>0.8507518099127529</v>
      </c>
      <c r="W83" s="409">
        <f>IFERROR('2.3'!W70/'2.1'!Z81,"")</f>
        <v>0.79974794375165825</v>
      </c>
    </row>
    <row r="84" spans="2:23" hidden="1" outlineLevel="1" x14ac:dyDescent="0.25">
      <c r="B84" s="404">
        <v>41000</v>
      </c>
      <c r="C84" s="409" t="str">
        <f>IFERROR('2.3'!C71/'2.1'!C82,"")</f>
        <v/>
      </c>
      <c r="D84" s="409" t="str">
        <f>IFERROR('2.3'!D71/'2.1'!D82,"")</f>
        <v/>
      </c>
      <c r="E84" s="409" t="str">
        <f>IFERROR('2.3'!E71/'2.1'!E82,"")</f>
        <v/>
      </c>
      <c r="F84" s="409" t="str">
        <f>IFERROR('2.3'!F71/'2.1'!F82,"")</f>
        <v/>
      </c>
      <c r="G84" s="409" t="str">
        <f>IFERROR('2.3'!G71/'2.1'!G82,"")</f>
        <v/>
      </c>
      <c r="H84" s="409" t="str">
        <f>IFERROR('2.3'!H71/'2.1'!H82,"")</f>
        <v/>
      </c>
      <c r="I84" s="409">
        <f>IFERROR('2.3'!I71/'2.1'!I82,"")</f>
        <v>0.83789954337899542</v>
      </c>
      <c r="J84" s="409">
        <f>IFERROR('2.3'!J71/'2.1'!J82,"")</f>
        <v>0.94516129032258067</v>
      </c>
      <c r="K84" s="409">
        <f>IFERROR('2.3'!K71/'2.1'!K82,"")</f>
        <v>0.86593591905564926</v>
      </c>
      <c r="L84" s="409">
        <f>IFERROR('2.3'!L71/'2.1'!L82,"")</f>
        <v>0.48767605633802819</v>
      </c>
      <c r="M84" s="409">
        <f>IFERROR('2.3'!M71/'2.1'!M82,"")</f>
        <v>0.67733990147783252</v>
      </c>
      <c r="N84" s="409">
        <f>IFERROR('2.3'!N71/'2.1'!N82,"")</f>
        <v>0.53761348897535666</v>
      </c>
      <c r="O84" s="409">
        <f>IFERROR('2.3'!O71/'2.1'!O82,"")</f>
        <v>0.80559006211180129</v>
      </c>
      <c r="P84" s="409">
        <f>IFERROR('2.3'!P71/'2.1'!P82,"")</f>
        <v>0.8210270434518383</v>
      </c>
      <c r="Q84" s="409">
        <f>IFERROR('2.3'!Q71/'2.1'!Q82,"")</f>
        <v>0.81184583179411407</v>
      </c>
      <c r="R84" s="409">
        <f>IFERROR('2.3'!R71/'2.1'!R82,"")</f>
        <v>0.83957219251336901</v>
      </c>
      <c r="S84" s="409">
        <f>IFERROR('2.3'!S71/'2.1'!S82,"")</f>
        <v>0.9119718309859155</v>
      </c>
      <c r="T84" s="409">
        <f>IFERROR('2.3'!T71/'2.1'!T82,"")</f>
        <v>0.87082066869300911</v>
      </c>
      <c r="U84" s="409">
        <f>IFERROR('2.3'!U71/'2.1'!X82,"")</f>
        <v>0.76952545724172017</v>
      </c>
      <c r="V84" s="409">
        <f>IFERROR('2.3'!V71/'2.1'!Y82,"")</f>
        <v>0.83068898065637908</v>
      </c>
      <c r="W84" s="409">
        <f>IFERROR('2.3'!W71/'2.1'!Z82,"")</f>
        <v>0.79169621050972983</v>
      </c>
    </row>
    <row r="85" spans="2:23" hidden="1" outlineLevel="1" x14ac:dyDescent="0.25">
      <c r="B85" s="404">
        <v>41030</v>
      </c>
      <c r="C85" s="409" t="str">
        <f>IFERROR('2.3'!C72/'2.1'!C83,"")</f>
        <v/>
      </c>
      <c r="D85" s="409" t="str">
        <f>IFERROR('2.3'!D72/'2.1'!D83,"")</f>
        <v/>
      </c>
      <c r="E85" s="409" t="str">
        <f>IFERROR('2.3'!E72/'2.1'!E83,"")</f>
        <v/>
      </c>
      <c r="F85" s="409" t="str">
        <f>IFERROR('2.3'!F72/'2.1'!F83,"")</f>
        <v/>
      </c>
      <c r="G85" s="409" t="str">
        <f>IFERROR('2.3'!G72/'2.1'!G83,"")</f>
        <v/>
      </c>
      <c r="H85" s="409" t="str">
        <f>IFERROR('2.3'!H72/'2.1'!H83,"")</f>
        <v/>
      </c>
      <c r="I85" s="409">
        <f>IFERROR('2.3'!I72/'2.1'!I83,"")</f>
        <v>0.83921933085501854</v>
      </c>
      <c r="J85" s="409">
        <f>IFERROR('2.3'!J72/'2.1'!J83,"")</f>
        <v>0.9290882778581766</v>
      </c>
      <c r="K85" s="409">
        <f>IFERROR('2.3'!K72/'2.1'!K83,"")</f>
        <v>0.86106225817798099</v>
      </c>
      <c r="L85" s="409">
        <f>IFERROR('2.3'!L72/'2.1'!L83,"")</f>
        <v>0.4790764790764791</v>
      </c>
      <c r="M85" s="409">
        <f>IFERROR('2.3'!M72/'2.1'!M83,"")</f>
        <v>0.70425138632162665</v>
      </c>
      <c r="N85" s="409">
        <f>IFERROR('2.3'!N72/'2.1'!N83,"")</f>
        <v>0.54229372080954852</v>
      </c>
      <c r="O85" s="409">
        <f>IFERROR('2.3'!O72/'2.1'!O83,"")</f>
        <v>0.74725274725274726</v>
      </c>
      <c r="P85" s="409">
        <f>IFERROR('2.3'!P72/'2.1'!P83,"")</f>
        <v>0.80603117812420133</v>
      </c>
      <c r="Q85" s="409">
        <f>IFERROR('2.3'!Q72/'2.1'!Q83,"")</f>
        <v>0.77155536770921385</v>
      </c>
      <c r="R85" s="409">
        <f>IFERROR('2.3'!R72/'2.1'!R83,"")</f>
        <v>0.8381962864721485</v>
      </c>
      <c r="S85" s="409">
        <f>IFERROR('2.3'!S72/'2.1'!S83,"")</f>
        <v>0.88356164383561642</v>
      </c>
      <c r="T85" s="409">
        <f>IFERROR('2.3'!T72/'2.1'!T83,"")</f>
        <v>0.85799701046337817</v>
      </c>
      <c r="U85" s="409">
        <f>IFERROR('2.3'!U72/'2.1'!X83,"")</f>
        <v>0.7325163743925629</v>
      </c>
      <c r="V85" s="409">
        <f>IFERROR('2.3'!V72/'2.1'!Y83,"")</f>
        <v>0.81570719146588189</v>
      </c>
      <c r="W85" s="409">
        <f>IFERROR('2.3'!W72/'2.1'!Z83,"")</f>
        <v>0.76286653693887141</v>
      </c>
    </row>
    <row r="86" spans="2:23" hidden="1" outlineLevel="1" x14ac:dyDescent="0.25">
      <c r="B86" s="404">
        <v>41061</v>
      </c>
      <c r="C86" s="409" t="str">
        <f>IFERROR('2.3'!C73/'2.1'!C84,"")</f>
        <v/>
      </c>
      <c r="D86" s="409" t="str">
        <f>IFERROR('2.3'!D73/'2.1'!D84,"")</f>
        <v/>
      </c>
      <c r="E86" s="409" t="str">
        <f>IFERROR('2.3'!E73/'2.1'!E84,"")</f>
        <v/>
      </c>
      <c r="F86" s="409" t="str">
        <f>IFERROR('2.3'!F73/'2.1'!F84,"")</f>
        <v/>
      </c>
      <c r="G86" s="409" t="str">
        <f>IFERROR('2.3'!G73/'2.1'!G84,"")</f>
        <v/>
      </c>
      <c r="H86" s="409" t="str">
        <f>IFERROR('2.3'!H73/'2.1'!H84,"")</f>
        <v/>
      </c>
      <c r="I86" s="409">
        <f>IFERROR('2.3'!I73/'2.1'!I84,"")</f>
        <v>0.83899176954732513</v>
      </c>
      <c r="J86" s="409">
        <f>IFERROR('2.3'!J73/'2.1'!J84,"")</f>
        <v>0.92541856925418564</v>
      </c>
      <c r="K86" s="409">
        <f>IFERROR('2.3'!K73/'2.1'!K84,"")</f>
        <v>0.86082276047673967</v>
      </c>
      <c r="L86" s="409">
        <f>IFERROR('2.3'!L73/'2.1'!L84,"")</f>
        <v>0.49880095923261392</v>
      </c>
      <c r="M86" s="409">
        <f>IFERROR('2.3'!M73/'2.1'!M84,"")</f>
        <v>0.72106261859582543</v>
      </c>
      <c r="N86" s="409">
        <f>IFERROR('2.3'!N73/'2.1'!N84,"")</f>
        <v>0.56467941507311581</v>
      </c>
      <c r="O86" s="409">
        <f>IFERROR('2.3'!O73/'2.1'!O84,"")</f>
        <v>0.75810324129651863</v>
      </c>
      <c r="P86" s="409">
        <f>IFERROR('2.3'!P73/'2.1'!P84,"")</f>
        <v>0.81033578174186782</v>
      </c>
      <c r="Q86" s="409">
        <f>IFERROR('2.3'!Q73/'2.1'!Q84,"")</f>
        <v>0.78070374574347334</v>
      </c>
      <c r="R86" s="409">
        <f>IFERROR('2.3'!R73/'2.1'!R84,"")</f>
        <v>0.7321428571428571</v>
      </c>
      <c r="S86" s="409">
        <f>IFERROR('2.3'!S73/'2.1'!S84,"")</f>
        <v>0.88715953307392992</v>
      </c>
      <c r="T86" s="409">
        <f>IFERROR('2.3'!T73/'2.1'!T84,"")</f>
        <v>0.79932546374367619</v>
      </c>
      <c r="U86" s="409">
        <f>IFERROR('2.3'!U73/'2.1'!X84,"")</f>
        <v>0.73748387853206709</v>
      </c>
      <c r="V86" s="409">
        <f>IFERROR('2.3'!V73/'2.1'!Y84,"")</f>
        <v>0.8195316961736151</v>
      </c>
      <c r="W86" s="409">
        <f>IFERROR('2.3'!W73/'2.1'!Z84,"")</f>
        <v>0.76875634886083299</v>
      </c>
    </row>
    <row r="87" spans="2:23" hidden="1" outlineLevel="1" x14ac:dyDescent="0.25">
      <c r="B87" s="404">
        <v>41091</v>
      </c>
      <c r="C87" s="409" t="str">
        <f>IFERROR('2.3'!C74/'2.1'!C85,"")</f>
        <v/>
      </c>
      <c r="D87" s="409" t="str">
        <f>IFERROR('2.3'!D74/'2.1'!D85,"")</f>
        <v/>
      </c>
      <c r="E87" s="409" t="str">
        <f>IFERROR('2.3'!E74/'2.1'!E85,"")</f>
        <v/>
      </c>
      <c r="F87" s="409" t="str">
        <f>IFERROR('2.3'!F74/'2.1'!F85,"")</f>
        <v/>
      </c>
      <c r="G87" s="409" t="str">
        <f>IFERROR('2.3'!G74/'2.1'!G85,"")</f>
        <v/>
      </c>
      <c r="H87" s="409" t="str">
        <f>IFERROR('2.3'!H74/'2.1'!H85,"")</f>
        <v/>
      </c>
      <c r="I87" s="409">
        <f>IFERROR('2.3'!I74/'2.1'!I85,"")</f>
        <v>0.86083853702051738</v>
      </c>
      <c r="J87" s="409">
        <f>IFERROR('2.3'!J74/'2.1'!J85,"")</f>
        <v>0.9261939218523878</v>
      </c>
      <c r="K87" s="409">
        <f>IFERROR('2.3'!K74/'2.1'!K85,"")</f>
        <v>0.87623593590180704</v>
      </c>
      <c r="L87" s="409">
        <f>IFERROR('2.3'!L74/'2.1'!L85,"")</f>
        <v>0.49124270225187655</v>
      </c>
      <c r="M87" s="409">
        <f>IFERROR('2.3'!M74/'2.1'!M85,"")</f>
        <v>0.72</v>
      </c>
      <c r="N87" s="409">
        <f>IFERROR('2.3'!N74/'2.1'!N85,"")</f>
        <v>0.55856386109476164</v>
      </c>
      <c r="O87" s="409">
        <f>IFERROR('2.3'!O74/'2.1'!O85,"")</f>
        <v>0.90680335507921717</v>
      </c>
      <c r="P87" s="409">
        <f>IFERROR('2.3'!P74/'2.1'!P85,"")</f>
        <v>0.92324668955370282</v>
      </c>
      <c r="Q87" s="409">
        <f>IFERROR('2.3'!Q74/'2.1'!Q85,"")</f>
        <v>0.91390447950863074</v>
      </c>
      <c r="R87" s="409">
        <f>IFERROR('2.3'!R74/'2.1'!R85,"")</f>
        <v>0.79325842696629212</v>
      </c>
      <c r="S87" s="409">
        <f>IFERROR('2.3'!S74/'2.1'!S85,"")</f>
        <v>0.91785714285714282</v>
      </c>
      <c r="T87" s="409">
        <f>IFERROR('2.3'!T74/'2.1'!T85,"")</f>
        <v>0.8413793103448276</v>
      </c>
      <c r="U87" s="409">
        <f>IFERROR('2.3'!U74/'2.1'!X85,"")</f>
        <v>0.83634201707923472</v>
      </c>
      <c r="V87" s="409">
        <f>IFERROR('2.3'!V74/'2.1'!Y85,"")</f>
        <v>0.9050279329608939</v>
      </c>
      <c r="W87" s="409">
        <f>IFERROR('2.3'!W74/'2.1'!Z85,"")</f>
        <v>0.86209459459459459</v>
      </c>
    </row>
    <row r="88" spans="2:23" hidden="1" outlineLevel="1" x14ac:dyDescent="0.25">
      <c r="B88" s="404">
        <v>41122</v>
      </c>
      <c r="C88" s="409" t="str">
        <f>IFERROR('2.3'!C75/'2.1'!C86,"")</f>
        <v/>
      </c>
      <c r="D88" s="409" t="str">
        <f>IFERROR('2.3'!D75/'2.1'!D86,"")</f>
        <v/>
      </c>
      <c r="E88" s="409" t="str">
        <f>IFERROR('2.3'!E75/'2.1'!E86,"")</f>
        <v/>
      </c>
      <c r="F88" s="409" t="str">
        <f>IFERROR('2.3'!F75/'2.1'!F86,"")</f>
        <v/>
      </c>
      <c r="G88" s="409" t="str">
        <f>IFERROR('2.3'!G75/'2.1'!G86,"")</f>
        <v/>
      </c>
      <c r="H88" s="409" t="str">
        <f>IFERROR('2.3'!H75/'2.1'!H86,"")</f>
        <v/>
      </c>
      <c r="I88" s="409">
        <f>IFERROR('2.3'!I75/'2.1'!I86,"")</f>
        <v>0.79445350734094622</v>
      </c>
      <c r="J88" s="409">
        <f>IFERROR('2.3'!J75/'2.1'!J86,"")</f>
        <v>0.91264667535853972</v>
      </c>
      <c r="K88" s="409">
        <f>IFERROR('2.3'!K75/'2.1'!K86,"")</f>
        <v>0.82261571916744336</v>
      </c>
      <c r="L88" s="409">
        <f>IFERROR('2.3'!L75/'2.1'!L86,"")</f>
        <v>0.47408963585434172</v>
      </c>
      <c r="M88" s="409">
        <f>IFERROR('2.3'!M75/'2.1'!M86,"")</f>
        <v>0.71985157699443414</v>
      </c>
      <c r="N88" s="409">
        <f>IFERROR('2.3'!N75/'2.1'!N86,"")</f>
        <v>0.54143365531265886</v>
      </c>
      <c r="O88" s="409">
        <f>IFERROR('2.3'!O75/'2.1'!O86,"")</f>
        <v>0.94741843522331326</v>
      </c>
      <c r="P88" s="409">
        <f>IFERROR('2.3'!P75/'2.1'!P86,"")</f>
        <v>0.95573622402890701</v>
      </c>
      <c r="Q88" s="409">
        <f>IFERROR('2.3'!Q75/'2.1'!Q86,"")</f>
        <v>0.95116144018583038</v>
      </c>
      <c r="R88" s="409">
        <f>IFERROR('2.3'!R75/'2.1'!R86,"")</f>
        <v>0.81050228310502281</v>
      </c>
      <c r="S88" s="409">
        <f>IFERROR('2.3'!S75/'2.1'!S86,"")</f>
        <v>0.8517350157728707</v>
      </c>
      <c r="T88" s="409">
        <f>IFERROR('2.3'!T75/'2.1'!T86,"")</f>
        <v>0.82781456953642385</v>
      </c>
      <c r="U88" s="409">
        <f>IFERROR('2.3'!U75/'2.1'!X86,"")</f>
        <v>0.86685038799042713</v>
      </c>
      <c r="V88" s="409">
        <f>IFERROR('2.3'!V75/'2.1'!Y86,"")</f>
        <v>0.9351259069568929</v>
      </c>
      <c r="W88" s="409">
        <f>IFERROR('2.3'!W75/'2.1'!Z86,"")</f>
        <v>0.89447778593324989</v>
      </c>
    </row>
    <row r="89" spans="2:23" hidden="1" outlineLevel="1" x14ac:dyDescent="0.25">
      <c r="B89" s="404">
        <v>41153</v>
      </c>
      <c r="C89" s="409" t="str">
        <f>IFERROR('2.3'!C76/'2.1'!C87,"")</f>
        <v/>
      </c>
      <c r="D89" s="409" t="str">
        <f>IFERROR('2.3'!D76/'2.1'!D87,"")</f>
        <v/>
      </c>
      <c r="E89" s="409" t="str">
        <f>IFERROR('2.3'!E76/'2.1'!E87,"")</f>
        <v/>
      </c>
      <c r="F89" s="409" t="str">
        <f>IFERROR('2.3'!F76/'2.1'!F87,"")</f>
        <v/>
      </c>
      <c r="G89" s="409" t="str">
        <f>IFERROR('2.3'!G76/'2.1'!G87,"")</f>
        <v/>
      </c>
      <c r="H89" s="409" t="str">
        <f>IFERROR('2.3'!H76/'2.1'!H87,"")</f>
        <v/>
      </c>
      <c r="I89" s="409">
        <f>IFERROR('2.3'!I76/'2.1'!I87,"")</f>
        <v>0.80651530108588354</v>
      </c>
      <c r="J89" s="409">
        <f>IFERROR('2.3'!J76/'2.1'!J87,"")</f>
        <v>0.92990654205607481</v>
      </c>
      <c r="K89" s="409">
        <f>IFERROR('2.3'!K76/'2.1'!K87,"")</f>
        <v>0.83620689655172409</v>
      </c>
      <c r="L89" s="409">
        <f>IFERROR('2.3'!L76/'2.1'!L87,"")</f>
        <v>0.43762993762993763</v>
      </c>
      <c r="M89" s="409">
        <f>IFERROR('2.3'!M76/'2.1'!M87,"")</f>
        <v>0.75213675213675213</v>
      </c>
      <c r="N89" s="409">
        <f>IFERROR('2.3'!N76/'2.1'!N87,"")</f>
        <v>0.52170601675552175</v>
      </c>
      <c r="O89" s="409">
        <f>IFERROR('2.3'!O76/'2.1'!O87,"")</f>
        <v>0.94598275079437133</v>
      </c>
      <c r="P89" s="409">
        <f>IFERROR('2.3'!P76/'2.1'!P87,"")</f>
        <v>0.93930778739184173</v>
      </c>
      <c r="Q89" s="409">
        <f>IFERROR('2.3'!Q76/'2.1'!Q87,"")</f>
        <v>0.9431562418215127</v>
      </c>
      <c r="R89" s="409">
        <f>IFERROR('2.3'!R76/'2.1'!R87,"")</f>
        <v>0.8202614379084967</v>
      </c>
      <c r="S89" s="409">
        <f>IFERROR('2.3'!S76/'2.1'!S87,"")</f>
        <v>0.86382978723404258</v>
      </c>
      <c r="T89" s="409">
        <f>IFERROR('2.3'!T76/'2.1'!T87,"")</f>
        <v>0.83918669131238444</v>
      </c>
      <c r="U89" s="409">
        <f>IFERROR('2.3'!U76/'2.1'!X87,"")</f>
        <v>0.88937032636802016</v>
      </c>
      <c r="V89" s="409">
        <f>IFERROR('2.3'!V76/'2.1'!Y87,"")</f>
        <v>0.92970594548186303</v>
      </c>
      <c r="W89" s="409">
        <f>IFERROR('2.3'!W76/'2.1'!Z87,"")</f>
        <v>0.9052778600753375</v>
      </c>
    </row>
    <row r="90" spans="2:23" hidden="1" outlineLevel="1" x14ac:dyDescent="0.25">
      <c r="B90" s="404">
        <v>41183</v>
      </c>
      <c r="C90" s="409" t="str">
        <f>IFERROR('2.3'!C77/'2.1'!C88,"")</f>
        <v/>
      </c>
      <c r="D90" s="409" t="str">
        <f>IFERROR('2.3'!D77/'2.1'!D88,"")</f>
        <v/>
      </c>
      <c r="E90" s="409" t="str">
        <f>IFERROR('2.3'!E77/'2.1'!E88,"")</f>
        <v/>
      </c>
      <c r="F90" s="409" t="str">
        <f>IFERROR('2.3'!F77/'2.1'!F88,"")</f>
        <v/>
      </c>
      <c r="G90" s="409" t="str">
        <f>IFERROR('2.3'!G77/'2.1'!G88,"")</f>
        <v/>
      </c>
      <c r="H90" s="409" t="str">
        <f>IFERROR('2.3'!H77/'2.1'!H88,"")</f>
        <v/>
      </c>
      <c r="I90" s="409">
        <f>IFERROR('2.3'!I77/'2.1'!I88,"")</f>
        <v>0.8042253521126761</v>
      </c>
      <c r="J90" s="409">
        <f>IFERROR('2.3'!J77/'2.1'!J88,"")</f>
        <v>0.89543269230769229</v>
      </c>
      <c r="K90" s="409">
        <f>IFERROR('2.3'!K77/'2.1'!K88,"")</f>
        <v>0.82489106753812635</v>
      </c>
      <c r="L90" s="409">
        <f>IFERROR('2.3'!L77/'2.1'!L88,"")</f>
        <v>0.42604387827317763</v>
      </c>
      <c r="M90" s="409">
        <f>IFERROR('2.3'!M77/'2.1'!M88,"")</f>
        <v>0.71372549019607845</v>
      </c>
      <c r="N90" s="409">
        <f>IFERROR('2.3'!N77/'2.1'!N88,"")</f>
        <v>0.5023400936037441</v>
      </c>
      <c r="O90" s="409">
        <f>IFERROR('2.3'!O77/'2.1'!O88,"")</f>
        <v>0.92437855645402811</v>
      </c>
      <c r="P90" s="409">
        <f>IFERROR('2.3'!P77/'2.1'!P88,"")</f>
        <v>0.92398009950248761</v>
      </c>
      <c r="Q90" s="409">
        <f>IFERROR('2.3'!Q77/'2.1'!Q88,"")</f>
        <v>0.92420746817055455</v>
      </c>
      <c r="R90" s="409">
        <f>IFERROR('2.3'!R77/'2.1'!R88,"")</f>
        <v>0.80281690140845074</v>
      </c>
      <c r="S90" s="409">
        <f>IFERROR('2.3'!S77/'2.1'!S88,"")</f>
        <v>0.87577639751552794</v>
      </c>
      <c r="T90" s="409">
        <f>IFERROR('2.3'!T77/'2.1'!T88,"")</f>
        <v>0.83422459893048129</v>
      </c>
      <c r="U90" s="409">
        <f>IFERROR('2.3'!U77/'2.1'!X88,"")</f>
        <v>0.82777141850840896</v>
      </c>
      <c r="V90" s="409">
        <f>IFERROR('2.3'!V77/'2.1'!Y88,"")</f>
        <v>0.90207803857078783</v>
      </c>
      <c r="W90" s="409">
        <f>IFERROR('2.3'!W77/'2.1'!Z88,"")</f>
        <v>0.85531419705197831</v>
      </c>
    </row>
    <row r="91" spans="2:23" hidden="1" outlineLevel="1" x14ac:dyDescent="0.25">
      <c r="B91" s="404">
        <v>41214</v>
      </c>
      <c r="C91" s="409" t="str">
        <f>IFERROR('2.3'!C78/'2.1'!C89,"")</f>
        <v/>
      </c>
      <c r="D91" s="409" t="str">
        <f>IFERROR('2.3'!D78/'2.1'!D89,"")</f>
        <v/>
      </c>
      <c r="E91" s="409" t="str">
        <f>IFERROR('2.3'!E78/'2.1'!E89,"")</f>
        <v/>
      </c>
      <c r="F91" s="409" t="str">
        <f>IFERROR('2.3'!F78/'2.1'!F89,"")</f>
        <v/>
      </c>
      <c r="G91" s="409" t="str">
        <f>IFERROR('2.3'!G78/'2.1'!G89,"")</f>
        <v/>
      </c>
      <c r="H91" s="409" t="str">
        <f>IFERROR('2.3'!H78/'2.1'!H89,"")</f>
        <v/>
      </c>
      <c r="I91" s="409">
        <f>IFERROR('2.3'!I78/'2.1'!I89,"")</f>
        <v>0.90709156193895868</v>
      </c>
      <c r="J91" s="409">
        <f>IFERROR('2.3'!J78/'2.1'!J89,"")</f>
        <v>0.95149786019971472</v>
      </c>
      <c r="K91" s="409">
        <f>IFERROR('2.3'!K78/'2.1'!K89,"")</f>
        <v>0.91771935814271077</v>
      </c>
      <c r="L91" s="409">
        <f>IFERROR('2.3'!L78/'2.1'!L89,"")</f>
        <v>0.44310344827586207</v>
      </c>
      <c r="M91" s="409">
        <f>IFERROR('2.3'!M78/'2.1'!M89,"")</f>
        <v>0.66101694915254239</v>
      </c>
      <c r="N91" s="409">
        <f>IFERROR('2.3'!N78/'2.1'!N89,"")</f>
        <v>0.50031786395422762</v>
      </c>
      <c r="O91" s="409">
        <f>IFERROR('2.3'!O78/'2.1'!O89,"")</f>
        <v>0.92005676442762541</v>
      </c>
      <c r="P91" s="409">
        <f>IFERROR('2.3'!P78/'2.1'!P89,"")</f>
        <v>0.94039735099337751</v>
      </c>
      <c r="Q91" s="409">
        <f>IFERROR('2.3'!Q78/'2.1'!Q89,"")</f>
        <v>0.9302270577105014</v>
      </c>
      <c r="R91" s="409">
        <f>IFERROR('2.3'!R78/'2.1'!R89,"")</f>
        <v>0.80845070422535215</v>
      </c>
      <c r="S91" s="409">
        <f>IFERROR('2.3'!S78/'2.1'!S89,"")</f>
        <v>0.87786259541984735</v>
      </c>
      <c r="T91" s="409">
        <f>IFERROR('2.3'!T78/'2.1'!T89,"")</f>
        <v>0.83792544570502436</v>
      </c>
      <c r="U91" s="409">
        <f>IFERROR('2.3'!U78/'2.1'!X89,"")</f>
        <v>0.84205244009534563</v>
      </c>
      <c r="V91" s="409">
        <f>IFERROR('2.3'!V78/'2.1'!Y89,"")</f>
        <v>0.9182726623840114</v>
      </c>
      <c r="W91" s="409">
        <f>IFERROR('2.3'!W78/'2.1'!Z89,"")</f>
        <v>0.87351749539594847</v>
      </c>
    </row>
    <row r="92" spans="2:23" hidden="1" outlineLevel="1" x14ac:dyDescent="0.25">
      <c r="B92" s="404">
        <v>41244</v>
      </c>
      <c r="C92" s="409" t="str">
        <f>IFERROR('2.3'!C79/'2.1'!C90,"")</f>
        <v/>
      </c>
      <c r="D92" s="409" t="str">
        <f>IFERROR('2.3'!D79/'2.1'!D90,"")</f>
        <v/>
      </c>
      <c r="E92" s="409" t="str">
        <f>IFERROR('2.3'!E79/'2.1'!E90,"")</f>
        <v/>
      </c>
      <c r="F92" s="409" t="str">
        <f>IFERROR('2.3'!F79/'2.1'!F90,"")</f>
        <v/>
      </c>
      <c r="G92" s="409" t="str">
        <f>IFERROR('2.3'!G79/'2.1'!G90,"")</f>
        <v/>
      </c>
      <c r="H92" s="409" t="str">
        <f>IFERROR('2.3'!H79/'2.1'!H90,"")</f>
        <v/>
      </c>
      <c r="I92" s="409">
        <f>IFERROR('2.3'!I79/'2.1'!I90,"")</f>
        <v>0.88946015424164526</v>
      </c>
      <c r="J92" s="409">
        <f>IFERROR('2.3'!J79/'2.1'!J90,"")</f>
        <v>0.92346938775510201</v>
      </c>
      <c r="K92" s="409">
        <f>IFERROR('2.3'!K79/'2.1'!K90,"")</f>
        <v>0.89735491512041055</v>
      </c>
      <c r="L92" s="409">
        <f>IFERROR('2.3'!L79/'2.1'!L90,"")</f>
        <v>0.45336008024072216</v>
      </c>
      <c r="M92" s="409">
        <f>IFERROR('2.3'!M79/'2.1'!M90,"")</f>
        <v>0.6768149882903981</v>
      </c>
      <c r="N92" s="409">
        <f>IFERROR('2.3'!N79/'2.1'!N90,"")</f>
        <v>0.5203651685393258</v>
      </c>
      <c r="O92" s="409">
        <f>IFERROR('2.3'!O79/'2.1'!O90,"")</f>
        <v>0.84280565566953147</v>
      </c>
      <c r="P92" s="409">
        <f>IFERROR('2.3'!P79/'2.1'!P90,"")</f>
        <v>0.87302013422818792</v>
      </c>
      <c r="Q92" s="409">
        <f>IFERROR('2.3'!Q79/'2.1'!Q90,"")</f>
        <v>0.85815602836879434</v>
      </c>
      <c r="R92" s="409">
        <f>IFERROR('2.3'!R79/'2.1'!R90,"")</f>
        <v>0.87539936102236426</v>
      </c>
      <c r="S92" s="409">
        <f>IFERROR('2.3'!S79/'2.1'!S90,"")</f>
        <v>0.92083333333333328</v>
      </c>
      <c r="T92" s="409">
        <f>IFERROR('2.3'!T79/'2.1'!T90,"")</f>
        <v>0.89511754068716098</v>
      </c>
      <c r="U92" s="409">
        <f>IFERROR('2.3'!U79/'2.1'!X90,"")</f>
        <v>0.80093267269017776</v>
      </c>
      <c r="V92" s="409">
        <f>IFERROR('2.3'!V79/'2.1'!Y90,"")</f>
        <v>0.86445783132530118</v>
      </c>
      <c r="W92" s="409">
        <f>IFERROR('2.3'!W79/'2.1'!Z90,"")</f>
        <v>0.82764735686539437</v>
      </c>
    </row>
    <row r="93" spans="2:23" collapsed="1" x14ac:dyDescent="0.25">
      <c r="B93" s="407" t="s">
        <v>753</v>
      </c>
      <c r="C93" s="410" t="str">
        <f>IFERROR('2.3'!C80/'2.1'!C91,"")</f>
        <v/>
      </c>
      <c r="D93" s="410" t="str">
        <f>IFERROR('2.3'!D80/'2.1'!D91,"")</f>
        <v/>
      </c>
      <c r="E93" s="410" t="str">
        <f>IFERROR('2.3'!E80/'2.1'!E91,"")</f>
        <v/>
      </c>
      <c r="F93" s="410" t="str">
        <f>IFERROR('2.3'!F80/'2.1'!F91,"")</f>
        <v/>
      </c>
      <c r="G93" s="410" t="str">
        <f>IFERROR('2.3'!G80/'2.1'!G91,"")</f>
        <v/>
      </c>
      <c r="H93" s="410" t="str">
        <f>IFERROR('2.3'!H80/'2.1'!H91,"")</f>
        <v/>
      </c>
      <c r="I93" s="410">
        <f>IFERROR('2.3'!I80/'2.1'!I91,"")</f>
        <v>0.8394431554524362</v>
      </c>
      <c r="J93" s="410">
        <f>IFERROR('2.3'!J80/'2.1'!J91,"")</f>
        <v>0.92732558139534882</v>
      </c>
      <c r="K93" s="410">
        <f>IFERROR('2.3'!K80/'2.1'!K91,"")</f>
        <v>0.86071051705944424</v>
      </c>
      <c r="L93" s="410">
        <f>IFERROR('2.3'!L80/'2.1'!L91,"")</f>
        <v>0.46446700507614214</v>
      </c>
      <c r="M93" s="410">
        <f>IFERROR('2.3'!M80/'2.1'!M91,"")</f>
        <v>0.70066518847006654</v>
      </c>
      <c r="N93" s="410">
        <f>IFERROR('2.3'!N80/'2.1'!N91,"")</f>
        <v>0.52969993876301291</v>
      </c>
      <c r="O93" s="410">
        <f>IFERROR('2.3'!O80/'2.1'!O91,"")</f>
        <v>0.85906584495621152</v>
      </c>
      <c r="P93" s="410">
        <f>IFERROR('2.3'!P80/'2.1'!P91,"")</f>
        <v>0.88373083475298131</v>
      </c>
      <c r="Q93" s="410">
        <f>IFERROR('2.3'!Q80/'2.1'!Q91,"")</f>
        <v>0.86972933161480392</v>
      </c>
      <c r="R93" s="410">
        <f>IFERROR('2.3'!R80/'2.1'!R91,"")</f>
        <v>0.82025316455696207</v>
      </c>
      <c r="S93" s="410">
        <f>IFERROR('2.3'!S80/'2.1'!S91,"")</f>
        <v>0.89690721649484539</v>
      </c>
      <c r="T93" s="410">
        <f>IFERROR('2.3'!T80/'2.1'!T91,"")</f>
        <v>0.85276967930029157</v>
      </c>
      <c r="U93" s="410">
        <f>IFERROR('2.3'!U80/'2.1'!X91,"")</f>
        <v>0.80612244897959184</v>
      </c>
      <c r="V93" s="410">
        <f>IFERROR('2.3'!V80/'2.1'!Y91,"")</f>
        <v>0.87591836734693873</v>
      </c>
      <c r="W93" s="410">
        <f>IFERROR('2.3'!W80/'2.1'!Z91,"")</f>
        <v>0.83280284590900577</v>
      </c>
    </row>
    <row r="94" spans="2:23" hidden="1" outlineLevel="1" x14ac:dyDescent="0.25">
      <c r="B94" s="404">
        <v>41275</v>
      </c>
      <c r="C94" s="409" t="str">
        <f>IFERROR('2.3'!C81/'2.1'!C92,"")</f>
        <v/>
      </c>
      <c r="D94" s="409" t="str">
        <f>IFERROR('2.3'!D81/'2.1'!D92,"")</f>
        <v/>
      </c>
      <c r="E94" s="409" t="str">
        <f>IFERROR('2.3'!E81/'2.1'!E92,"")</f>
        <v/>
      </c>
      <c r="F94" s="409" t="str">
        <f>IFERROR('2.3'!F81/'2.1'!F92,"")</f>
        <v/>
      </c>
      <c r="G94" s="409" t="str">
        <f>IFERROR('2.3'!G81/'2.1'!G92,"")</f>
        <v/>
      </c>
      <c r="H94" s="409" t="str">
        <f>IFERROR('2.3'!H81/'2.1'!H92,"")</f>
        <v/>
      </c>
      <c r="I94" s="409">
        <f>IFERROR('2.3'!I81/'2.1'!I92,"")</f>
        <v>0.90664905328049317</v>
      </c>
      <c r="J94" s="409">
        <f>IFERROR('2.3'!J81/'2.1'!J92,"")</f>
        <v>0.93783783783783781</v>
      </c>
      <c r="K94" s="409">
        <f>IFERROR('2.3'!K81/'2.1'!K92,"")</f>
        <v>0.91431418133510467</v>
      </c>
      <c r="L94" s="409">
        <f>IFERROR('2.3'!L81/'2.1'!L92,"")</f>
        <v>0.51154201292705448</v>
      </c>
      <c r="M94" s="409">
        <f>IFERROR('2.3'!M81/'2.1'!M92,"")</f>
        <v>0.69401330376940129</v>
      </c>
      <c r="N94" s="409">
        <f>IFERROR('2.3'!N81/'2.1'!N92,"")</f>
        <v>0.56518904823989569</v>
      </c>
      <c r="O94" s="409">
        <f>IFERROR('2.3'!O81/'2.1'!O92,"")</f>
        <v>0.83725396063370139</v>
      </c>
      <c r="P94" s="409">
        <f>IFERROR('2.3'!P81/'2.1'!P92,"")</f>
        <v>0.84464023494860496</v>
      </c>
      <c r="Q94" s="409">
        <f>IFERROR('2.3'!Q81/'2.1'!Q92,"")</f>
        <v>0.84057588165367847</v>
      </c>
      <c r="R94" s="409">
        <f>IFERROR('2.3'!R81/'2.1'!R92,"")</f>
        <v>0.84795321637426901</v>
      </c>
      <c r="S94" s="409">
        <f>IFERROR('2.3'!S81/'2.1'!S92,"")</f>
        <v>0.86567164179104472</v>
      </c>
      <c r="T94" s="409">
        <f>IFERROR('2.3'!T81/'2.1'!T92,"")</f>
        <v>0.8557377049180328</v>
      </c>
      <c r="U94" s="409">
        <f>IFERROR('2.3'!U81/'2.1'!X92,"")</f>
        <v>0.81289748155685582</v>
      </c>
      <c r="V94" s="409">
        <f>IFERROR('2.3'!V81/'2.1'!Y92,"")</f>
        <v>0.84601151315789469</v>
      </c>
      <c r="W94" s="409">
        <f>IFERROR('2.3'!W81/'2.1'!Z92,"")</f>
        <v>0.8255539839698256</v>
      </c>
    </row>
    <row r="95" spans="2:23" hidden="1" outlineLevel="1" x14ac:dyDescent="0.25">
      <c r="B95" s="404">
        <v>41306</v>
      </c>
      <c r="C95" s="409" t="str">
        <f>IFERROR('2.3'!C82/'2.1'!C93,"")</f>
        <v/>
      </c>
      <c r="D95" s="409" t="str">
        <f>IFERROR('2.3'!D82/'2.1'!D93,"")</f>
        <v/>
      </c>
      <c r="E95" s="409" t="str">
        <f>IFERROR('2.3'!E82/'2.1'!E93,"")</f>
        <v/>
      </c>
      <c r="F95" s="409" t="str">
        <f>IFERROR('2.3'!F82/'2.1'!F93,"")</f>
        <v/>
      </c>
      <c r="G95" s="409" t="str">
        <f>IFERROR('2.3'!G82/'2.1'!G93,"")</f>
        <v/>
      </c>
      <c r="H95" s="409" t="str">
        <f>IFERROR('2.3'!H82/'2.1'!H93,"")</f>
        <v/>
      </c>
      <c r="I95" s="409">
        <f>IFERROR('2.3'!I82/'2.1'!I93,"")</f>
        <v>0.9</v>
      </c>
      <c r="J95" s="409">
        <f>IFERROR('2.3'!J82/'2.1'!J93,"")</f>
        <v>0.91924398625429549</v>
      </c>
      <c r="K95" s="409">
        <f>IFERROR('2.3'!K82/'2.1'!K93,"")</f>
        <v>0.90501792114695345</v>
      </c>
      <c r="L95" s="409">
        <f>IFERROR('2.3'!L82/'2.1'!L93,"")</f>
        <v>0.47762747138397504</v>
      </c>
      <c r="M95" s="409">
        <f>IFERROR('2.3'!M82/'2.1'!M93,"")</f>
        <v>0.67307692307692313</v>
      </c>
      <c r="N95" s="409">
        <f>IFERROR('2.3'!N82/'2.1'!N93,"")</f>
        <v>0.53132075471698115</v>
      </c>
      <c r="O95" s="409">
        <f>IFERROR('2.3'!O82/'2.1'!O93,"")</f>
        <v>0.85112832603570221</v>
      </c>
      <c r="P95" s="409">
        <f>IFERROR('2.3'!P82/'2.1'!P93,"")</f>
        <v>0.87867078825347755</v>
      </c>
      <c r="Q95" s="409">
        <f>IFERROR('2.3'!Q82/'2.1'!Q93,"")</f>
        <v>0.86395537160338309</v>
      </c>
      <c r="R95" s="409">
        <f>IFERROR('2.3'!R82/'2.1'!R93,"")</f>
        <v>0.84108527131782951</v>
      </c>
      <c r="S95" s="409">
        <f>IFERROR('2.3'!S82/'2.1'!S93,"")</f>
        <v>0.9247787610619469</v>
      </c>
      <c r="T95" s="409">
        <f>IFERROR('2.3'!T82/'2.1'!T93,"")</f>
        <v>0.8801652892561983</v>
      </c>
      <c r="U95" s="409">
        <f>IFERROR('2.3'!U82/'2.1'!X93,"")</f>
        <v>0.80301473107228505</v>
      </c>
      <c r="V95" s="409">
        <f>IFERROR('2.3'!V82/'2.1'!Y93,"")</f>
        <v>0.86781914893617018</v>
      </c>
      <c r="W95" s="409">
        <f>IFERROR('2.3'!W82/'2.1'!Z93,"")</f>
        <v>0.82840175036465935</v>
      </c>
    </row>
    <row r="96" spans="2:23" hidden="1" outlineLevel="1" x14ac:dyDescent="0.25">
      <c r="B96" s="404">
        <v>41334</v>
      </c>
      <c r="C96" s="409" t="str">
        <f>IFERROR('2.3'!C83/'2.1'!C94,"")</f>
        <v/>
      </c>
      <c r="D96" s="409" t="str">
        <f>IFERROR('2.3'!D83/'2.1'!D94,"")</f>
        <v/>
      </c>
      <c r="E96" s="409" t="str">
        <f>IFERROR('2.3'!E83/'2.1'!E94,"")</f>
        <v/>
      </c>
      <c r="F96" s="409" t="str">
        <f>IFERROR('2.3'!F83/'2.1'!F94,"")</f>
        <v/>
      </c>
      <c r="G96" s="409" t="str">
        <f>IFERROR('2.3'!G83/'2.1'!G94,"")</f>
        <v/>
      </c>
      <c r="H96" s="409" t="str">
        <f>IFERROR('2.3'!H83/'2.1'!H94,"")</f>
        <v/>
      </c>
      <c r="I96" s="409">
        <f>IFERROR('2.3'!I83/'2.1'!I94,"")</f>
        <v>0.93600867678958788</v>
      </c>
      <c r="J96" s="409">
        <f>IFERROR('2.3'!J83/'2.1'!J94,"")</f>
        <v>0.94736842105263153</v>
      </c>
      <c r="K96" s="409">
        <f>IFERROR('2.3'!K83/'2.1'!K94,"")</f>
        <v>0.93862212943632573</v>
      </c>
      <c r="L96" s="409">
        <f>IFERROR('2.3'!L83/'2.1'!L94,"")</f>
        <v>0.44405897658282739</v>
      </c>
      <c r="M96" s="409">
        <f>IFERROR('2.3'!M83/'2.1'!M94,"")</f>
        <v>0.69069767441860463</v>
      </c>
      <c r="N96" s="409">
        <f>IFERROR('2.3'!N83/'2.1'!N94,"")</f>
        <v>0.51105495893872399</v>
      </c>
      <c r="O96" s="409">
        <f>IFERROR('2.3'!O83/'2.1'!O94,"")</f>
        <v>0.8892166502785972</v>
      </c>
      <c r="P96" s="409">
        <f>IFERROR('2.3'!P83/'2.1'!P94,"")</f>
        <v>0.88298722044728439</v>
      </c>
      <c r="Q96" s="409">
        <f>IFERROR('2.3'!Q83/'2.1'!Q94,"")</f>
        <v>0.88640864086408644</v>
      </c>
      <c r="R96" s="409">
        <f>IFERROR('2.3'!R83/'2.1'!R94,"")</f>
        <v>0.80579710144927541</v>
      </c>
      <c r="S96" s="409">
        <f>IFERROR('2.3'!S83/'2.1'!S94,"")</f>
        <v>0.87356321839080464</v>
      </c>
      <c r="T96" s="409">
        <f>IFERROR('2.3'!T83/'2.1'!T94,"")</f>
        <v>0.83498349834983498</v>
      </c>
      <c r="U96" s="409">
        <f>IFERROR('2.3'!U83/'2.1'!X94,"")</f>
        <v>0.81792585640544346</v>
      </c>
      <c r="V96" s="409">
        <f>IFERROR('2.3'!V83/'2.1'!Y94,"")</f>
        <v>0.86972770955686063</v>
      </c>
      <c r="W96" s="409">
        <f>IFERROR('2.3'!W83/'2.1'!Z94,"")</f>
        <v>0.83706479928987076</v>
      </c>
    </row>
    <row r="97" spans="2:23" hidden="1" outlineLevel="1" x14ac:dyDescent="0.25">
      <c r="B97" s="404">
        <v>41365</v>
      </c>
      <c r="C97" s="409" t="str">
        <f>IFERROR('2.3'!C84/'2.1'!C95,"")</f>
        <v/>
      </c>
      <c r="D97" s="409" t="str">
        <f>IFERROR('2.3'!D84/'2.1'!D95,"")</f>
        <v/>
      </c>
      <c r="E97" s="409" t="str">
        <f>IFERROR('2.3'!E84/'2.1'!E95,"")</f>
        <v/>
      </c>
      <c r="F97" s="409" t="str">
        <f>IFERROR('2.3'!F84/'2.1'!F95,"")</f>
        <v/>
      </c>
      <c r="G97" s="409" t="str">
        <f>IFERROR('2.3'!G84/'2.1'!G95,"")</f>
        <v/>
      </c>
      <c r="H97" s="409" t="str">
        <f>IFERROR('2.3'!H84/'2.1'!H95,"")</f>
        <v/>
      </c>
      <c r="I97" s="409">
        <f>IFERROR('2.3'!I84/'2.1'!I95,"")</f>
        <v>0.92576419213973804</v>
      </c>
      <c r="J97" s="409">
        <f>IFERROR('2.3'!J84/'2.1'!J95,"")</f>
        <v>0.94545454545454544</v>
      </c>
      <c r="K97" s="409">
        <f>IFERROR('2.3'!K84/'2.1'!K95,"")</f>
        <v>0.93065244152646698</v>
      </c>
      <c r="L97" s="409">
        <f>IFERROR('2.3'!L84/'2.1'!L95,"")</f>
        <v>0.42947702060221871</v>
      </c>
      <c r="M97" s="409">
        <f>IFERROR('2.3'!M84/'2.1'!M95,"")</f>
        <v>0.65609756097560978</v>
      </c>
      <c r="N97" s="409">
        <f>IFERROR('2.3'!N84/'2.1'!N95,"")</f>
        <v>0.48504784688995217</v>
      </c>
      <c r="O97" s="409">
        <f>IFERROR('2.3'!O84/'2.1'!O95,"")</f>
        <v>0.90568561872909703</v>
      </c>
      <c r="P97" s="409">
        <f>IFERROR('2.3'!P84/'2.1'!P95,"")</f>
        <v>0.90827586206896549</v>
      </c>
      <c r="Q97" s="409">
        <f>IFERROR('2.3'!Q84/'2.1'!Q95,"")</f>
        <v>0.90696095076400685</v>
      </c>
      <c r="R97" s="409">
        <f>IFERROR('2.3'!R84/'2.1'!R95,"")</f>
        <v>0.81081081081081086</v>
      </c>
      <c r="S97" s="409">
        <f>IFERROR('2.3'!S84/'2.1'!S95,"")</f>
        <v>0.84251968503937003</v>
      </c>
      <c r="T97" s="409">
        <f>IFERROR('2.3'!T84/'2.1'!T95,"")</f>
        <v>0.82371794871794868</v>
      </c>
      <c r="U97" s="409">
        <f>IFERROR('2.3'!U84/'2.1'!X95,"")</f>
        <v>0.81282925317632471</v>
      </c>
      <c r="V97" s="409">
        <f>IFERROR('2.3'!V84/'2.1'!Y95,"")</f>
        <v>0.88486447589349959</v>
      </c>
      <c r="W97" s="409">
        <f>IFERROR('2.3'!W84/'2.1'!Z95,"")</f>
        <v>0.84109950108255671</v>
      </c>
    </row>
    <row r="98" spans="2:23" hidden="1" outlineLevel="1" x14ac:dyDescent="0.25">
      <c r="B98" s="404">
        <v>41395</v>
      </c>
      <c r="C98" s="409" t="str">
        <f>IFERROR('2.3'!C85/'2.1'!C96,"")</f>
        <v/>
      </c>
      <c r="D98" s="409" t="str">
        <f>IFERROR('2.3'!D85/'2.1'!D96,"")</f>
        <v/>
      </c>
      <c r="E98" s="409" t="str">
        <f>IFERROR('2.3'!E85/'2.1'!E96,"")</f>
        <v/>
      </c>
      <c r="F98" s="409" t="str">
        <f>IFERROR('2.3'!F85/'2.1'!F96,"")</f>
        <v/>
      </c>
      <c r="G98" s="409" t="str">
        <f>IFERROR('2.3'!G85/'2.1'!G96,"")</f>
        <v/>
      </c>
      <c r="H98" s="409" t="str">
        <f>IFERROR('2.3'!H85/'2.1'!H96,"")</f>
        <v/>
      </c>
      <c r="I98" s="409">
        <f>IFERROR('2.3'!I85/'2.1'!I96,"")</f>
        <v>0.94100294985250732</v>
      </c>
      <c r="J98" s="409">
        <f>IFERROR('2.3'!J85/'2.1'!J96,"")</f>
        <v>0.93378607809847203</v>
      </c>
      <c r="K98" s="409">
        <f>IFERROR('2.3'!K85/'2.1'!K96,"")</f>
        <v>0.93914185639229419</v>
      </c>
      <c r="L98" s="409">
        <f>IFERROR('2.3'!L85/'2.1'!L96,"")</f>
        <v>0.45244956772334294</v>
      </c>
      <c r="M98" s="409">
        <f>IFERROR('2.3'!M85/'2.1'!M96,"")</f>
        <v>0.73670212765957444</v>
      </c>
      <c r="N98" s="409">
        <f>IFERROR('2.3'!N85/'2.1'!N96,"")</f>
        <v>0.52787579393083983</v>
      </c>
      <c r="O98" s="409">
        <f>IFERROR('2.3'!O85/'2.1'!O96,"")</f>
        <v>0.91120658789831721</v>
      </c>
      <c r="P98" s="409">
        <f>IFERROR('2.3'!P85/'2.1'!P96,"")</f>
        <v>0.88902291917973464</v>
      </c>
      <c r="Q98" s="409">
        <f>IFERROR('2.3'!Q85/'2.1'!Q96,"")</f>
        <v>0.89916516614830577</v>
      </c>
      <c r="R98" s="409">
        <f>IFERROR('2.3'!R85/'2.1'!R96,"")</f>
        <v>0.79289940828402372</v>
      </c>
      <c r="S98" s="409">
        <f>IFERROR('2.3'!S85/'2.1'!S96,"")</f>
        <v>0.85984848484848486</v>
      </c>
      <c r="T98" s="409">
        <f>IFERROR('2.3'!T85/'2.1'!T96,"")</f>
        <v>0.82225913621262459</v>
      </c>
      <c r="U98" s="409">
        <f>IFERROR('2.3'!U85/'2.1'!X96,"")</f>
        <v>0.83160047724561104</v>
      </c>
      <c r="V98" s="409">
        <f>IFERROR('2.3'!V85/'2.1'!Y96,"")</f>
        <v>0.88052805280528057</v>
      </c>
      <c r="W98" s="409">
        <f>IFERROR('2.3'!W85/'2.1'!Z96,"")</f>
        <v>0.85295812524010761</v>
      </c>
    </row>
    <row r="99" spans="2:23" hidden="1" outlineLevel="1" x14ac:dyDescent="0.25">
      <c r="B99" s="404">
        <v>41426</v>
      </c>
      <c r="C99" s="409" t="str">
        <f>IFERROR('2.3'!C86/'2.1'!C97,"")</f>
        <v/>
      </c>
      <c r="D99" s="409" t="str">
        <f>IFERROR('2.3'!D86/'2.1'!D97,"")</f>
        <v/>
      </c>
      <c r="E99" s="409" t="str">
        <f>IFERROR('2.3'!E86/'2.1'!E97,"")</f>
        <v/>
      </c>
      <c r="F99" s="409" t="str">
        <f>IFERROR('2.3'!F86/'2.1'!F97,"")</f>
        <v/>
      </c>
      <c r="G99" s="409" t="str">
        <f>IFERROR('2.3'!G86/'2.1'!G97,"")</f>
        <v/>
      </c>
      <c r="H99" s="409" t="str">
        <f>IFERROR('2.3'!H86/'2.1'!H97,"")</f>
        <v/>
      </c>
      <c r="I99" s="409">
        <f>IFERROR('2.3'!I86/'2.1'!I97,"")</f>
        <v>0.84762424904423816</v>
      </c>
      <c r="J99" s="409">
        <f>IFERROR('2.3'!J86/'2.1'!J97,"")</f>
        <v>0.87630662020905925</v>
      </c>
      <c r="K99" s="409">
        <f>IFERROR('2.3'!K86/'2.1'!K97,"")</f>
        <v>0.85446985446985446</v>
      </c>
      <c r="L99" s="409">
        <f>IFERROR('2.3'!L86/'2.1'!L97,"")</f>
        <v>0.45479962721342032</v>
      </c>
      <c r="M99" s="409">
        <f>IFERROR('2.3'!M86/'2.1'!M97,"")</f>
        <v>0.67616580310880825</v>
      </c>
      <c r="N99" s="409">
        <f>IFERROR('2.3'!N86/'2.1'!N97,"")</f>
        <v>0.51336531871144619</v>
      </c>
      <c r="O99" s="409">
        <f>IFERROR('2.3'!O86/'2.1'!O97,"")</f>
        <v>0.79081797607500803</v>
      </c>
      <c r="P99" s="409">
        <f>IFERROR('2.3'!P86/'2.1'!P97,"")</f>
        <v>0.82301740812379109</v>
      </c>
      <c r="Q99" s="409">
        <f>IFERROR('2.3'!Q86/'2.1'!Q97,"")</f>
        <v>0.80694108151735267</v>
      </c>
      <c r="R99" s="409">
        <f>IFERROR('2.3'!R86/'2.1'!R97,"")</f>
        <v>0.75141242937853103</v>
      </c>
      <c r="S99" s="409">
        <f>IFERROR('2.3'!S86/'2.1'!S97,"")</f>
        <v>0.83396226415094343</v>
      </c>
      <c r="T99" s="409">
        <f>IFERROR('2.3'!T86/'2.1'!T97,"")</f>
        <v>0.78675282714054928</v>
      </c>
      <c r="U99" s="409">
        <f>IFERROR('2.3'!U86/'2.1'!X97,"")</f>
        <v>0.74822862541332069</v>
      </c>
      <c r="V99" s="409">
        <f>IFERROR('2.3'!V86/'2.1'!Y97,"")</f>
        <v>0.81765657499422228</v>
      </c>
      <c r="W99" s="409">
        <f>IFERROR('2.3'!W86/'2.1'!Z97,"")</f>
        <v>0.77636261472185808</v>
      </c>
    </row>
    <row r="100" spans="2:23" hidden="1" outlineLevel="1" x14ac:dyDescent="0.25">
      <c r="B100" s="404">
        <v>41456</v>
      </c>
      <c r="C100" s="409" t="str">
        <f>IFERROR('2.3'!C87/'2.1'!C98,"")</f>
        <v/>
      </c>
      <c r="D100" s="409" t="str">
        <f>IFERROR('2.3'!D87/'2.1'!D98,"")</f>
        <v/>
      </c>
      <c r="E100" s="409" t="str">
        <f>IFERROR('2.3'!E87/'2.1'!E98,"")</f>
        <v/>
      </c>
      <c r="F100" s="409" t="str">
        <f>IFERROR('2.3'!F87/'2.1'!F98,"")</f>
        <v/>
      </c>
      <c r="G100" s="409" t="str">
        <f>IFERROR('2.3'!G87/'2.1'!G98,"")</f>
        <v/>
      </c>
      <c r="H100" s="409" t="str">
        <f>IFERROR('2.3'!H87/'2.1'!H98,"")</f>
        <v/>
      </c>
      <c r="I100" s="409">
        <f>IFERROR('2.3'!I87/'2.1'!I98,"")</f>
        <v>0.95879786718371307</v>
      </c>
      <c r="J100" s="409">
        <f>IFERROR('2.3'!J87/'2.1'!J98,"")</f>
        <v>0.93819334389857367</v>
      </c>
      <c r="K100" s="409">
        <f>IFERROR('2.3'!K87/'2.1'!K98,"")</f>
        <v>0.9539717891610987</v>
      </c>
      <c r="L100" s="409">
        <f>IFERROR('2.3'!L87/'2.1'!L98,"")</f>
        <v>0.46227316141356256</v>
      </c>
      <c r="M100" s="409">
        <f>IFERROR('2.3'!M87/'2.1'!M98,"")</f>
        <v>0.71279373368146215</v>
      </c>
      <c r="N100" s="409">
        <f>IFERROR('2.3'!N87/'2.1'!N98,"")</f>
        <v>0.5293706293706294</v>
      </c>
      <c r="O100" s="409">
        <f>IFERROR('2.3'!O87/'2.1'!O98,"")</f>
        <v>0.9267796610169492</v>
      </c>
      <c r="P100" s="409">
        <f>IFERROR('2.3'!P87/'2.1'!P98,"")</f>
        <v>0.91717028083896202</v>
      </c>
      <c r="Q100" s="409">
        <f>IFERROR('2.3'!Q87/'2.1'!Q98,"")</f>
        <v>0.92208918965816411</v>
      </c>
      <c r="R100" s="409">
        <f>IFERROR('2.3'!R87/'2.1'!R98,"")</f>
        <v>0.83720930232558144</v>
      </c>
      <c r="S100" s="409">
        <f>IFERROR('2.3'!S87/'2.1'!S98,"")</f>
        <v>0.84758364312267653</v>
      </c>
      <c r="T100" s="409">
        <f>IFERROR('2.3'!T87/'2.1'!T98,"")</f>
        <v>0.84176182707993474</v>
      </c>
      <c r="U100" s="409">
        <f>IFERROR('2.3'!U87/'2.1'!X98,"")</f>
        <v>0.85633978763272955</v>
      </c>
      <c r="V100" s="409">
        <f>IFERROR('2.3'!V87/'2.1'!Y98,"")</f>
        <v>0.896728515625</v>
      </c>
      <c r="W100" s="409">
        <f>IFERROR('2.3'!W87/'2.1'!Z98,"")</f>
        <v>0.87209523809523815</v>
      </c>
    </row>
    <row r="101" spans="2:23" hidden="1" outlineLevel="1" x14ac:dyDescent="0.25">
      <c r="B101" s="404">
        <v>41487</v>
      </c>
      <c r="C101" s="409" t="str">
        <f>IFERROR('2.3'!C88/'2.1'!C99,"")</f>
        <v/>
      </c>
      <c r="D101" s="409" t="str">
        <f>IFERROR('2.3'!D88/'2.1'!D99,"")</f>
        <v/>
      </c>
      <c r="E101" s="409" t="str">
        <f>IFERROR('2.3'!E88/'2.1'!E99,"")</f>
        <v/>
      </c>
      <c r="F101" s="409" t="str">
        <f>IFERROR('2.3'!F88/'2.1'!F99,"")</f>
        <v/>
      </c>
      <c r="G101" s="409" t="str">
        <f>IFERROR('2.3'!G88/'2.1'!G99,"")</f>
        <v/>
      </c>
      <c r="H101" s="409" t="str">
        <f>IFERROR('2.3'!H88/'2.1'!H99,"")</f>
        <v/>
      </c>
      <c r="I101" s="409">
        <f>IFERROR('2.3'!I88/'2.1'!I99,"")</f>
        <v>0.93575920934411505</v>
      </c>
      <c r="J101" s="409">
        <f>IFERROR('2.3'!J88/'2.1'!J99,"")</f>
        <v>0.94046008119079838</v>
      </c>
      <c r="K101" s="409">
        <f>IFERROR('2.3'!K88/'2.1'!K99,"")</f>
        <v>0.93693086003372683</v>
      </c>
      <c r="L101" s="409">
        <f>IFERROR('2.3'!L88/'2.1'!L99,"")</f>
        <v>0.45276292335115864</v>
      </c>
      <c r="M101" s="409">
        <f>IFERROR('2.3'!M88/'2.1'!M99,"")</f>
        <v>0.68144044321329644</v>
      </c>
      <c r="N101" s="409">
        <f>IFERROR('2.3'!N88/'2.1'!N99,"")</f>
        <v>0.50842886041807145</v>
      </c>
      <c r="O101" s="409">
        <f>IFERROR('2.3'!O88/'2.1'!O99,"")</f>
        <v>0.80194123819517316</v>
      </c>
      <c r="P101" s="409">
        <f>IFERROR('2.3'!P88/'2.1'!P99,"")</f>
        <v>0.82056825200741201</v>
      </c>
      <c r="Q101" s="409">
        <f>IFERROR('2.3'!Q88/'2.1'!Q99,"")</f>
        <v>0.81049645390070924</v>
      </c>
      <c r="R101" s="409">
        <f>IFERROR('2.3'!R88/'2.1'!R99,"")</f>
        <v>0.77049180327868849</v>
      </c>
      <c r="S101" s="409">
        <f>IFERROR('2.3'!S88/'2.1'!S99,"")</f>
        <v>0.86119873817034698</v>
      </c>
      <c r="T101" s="409">
        <f>IFERROR('2.3'!T88/'2.1'!T99,"")</f>
        <v>0.80913978494623651</v>
      </c>
      <c r="U101" s="409">
        <f>IFERROR('2.3'!U88/'2.1'!X99,"")</f>
        <v>0.78779491235007248</v>
      </c>
      <c r="V101" s="409">
        <f>IFERROR('2.3'!V88/'2.1'!Y99,"")</f>
        <v>0.83157894736842108</v>
      </c>
      <c r="W101" s="409">
        <f>IFERROR('2.3'!W88/'2.1'!Z99,"")</f>
        <v>0.80444371834667538</v>
      </c>
    </row>
    <row r="102" spans="2:23" hidden="1" outlineLevel="1" x14ac:dyDescent="0.25">
      <c r="B102" s="404">
        <v>41518</v>
      </c>
      <c r="C102" s="409" t="str">
        <f>IFERROR('2.3'!C89/'2.1'!C100,"")</f>
        <v/>
      </c>
      <c r="D102" s="409" t="str">
        <f>IFERROR('2.3'!D89/'2.1'!D100,"")</f>
        <v/>
      </c>
      <c r="E102" s="409" t="str">
        <f>IFERROR('2.3'!E89/'2.1'!E100,"")</f>
        <v/>
      </c>
      <c r="F102" s="409" t="str">
        <f>IFERROR('2.3'!F89/'2.1'!F100,"")</f>
        <v/>
      </c>
      <c r="G102" s="409" t="str">
        <f>IFERROR('2.3'!G89/'2.1'!G100,"")</f>
        <v/>
      </c>
      <c r="H102" s="409" t="str">
        <f>IFERROR('2.3'!H89/'2.1'!H100,"")</f>
        <v/>
      </c>
      <c r="I102" s="409">
        <f>IFERROR('2.3'!I89/'2.1'!I100,"")</f>
        <v>0.87039502885042164</v>
      </c>
      <c r="J102" s="409">
        <f>IFERROR('2.3'!J89/'2.1'!J100,"")</f>
        <v>0.88304093567251463</v>
      </c>
      <c r="K102" s="409">
        <f>IFERROR('2.3'!K89/'2.1'!K100,"")</f>
        <v>0.8733401430030644</v>
      </c>
      <c r="L102" s="409">
        <f>IFERROR('2.3'!L89/'2.1'!L100,"")</f>
        <v>0.49043869516310462</v>
      </c>
      <c r="M102" s="409">
        <f>IFERROR('2.3'!M89/'2.1'!M100,"")</f>
        <v>0.71381578947368418</v>
      </c>
      <c r="N102" s="409">
        <f>IFERROR('2.3'!N89/'2.1'!N100,"")</f>
        <v>0.5473595976529757</v>
      </c>
      <c r="O102" s="409">
        <f>IFERROR('2.3'!O89/'2.1'!O100,"")</f>
        <v>0.80207715133531154</v>
      </c>
      <c r="P102" s="409">
        <f>IFERROR('2.3'!P89/'2.1'!P100,"")</f>
        <v>0.8418041063614945</v>
      </c>
      <c r="Q102" s="409">
        <f>IFERROR('2.3'!Q89/'2.1'!Q100,"")</f>
        <v>0.82069074278504972</v>
      </c>
      <c r="R102" s="409">
        <f>IFERROR('2.3'!R89/'2.1'!R100,"")</f>
        <v>0.69480519480519476</v>
      </c>
      <c r="S102" s="409">
        <f>IFERROR('2.3'!S89/'2.1'!S100,"")</f>
        <v>0.88888888888888884</v>
      </c>
      <c r="T102" s="409">
        <f>IFERROR('2.3'!T89/'2.1'!T100,"")</f>
        <v>0.78214285714285714</v>
      </c>
      <c r="U102" s="409">
        <f>IFERROR('2.3'!U89/'2.1'!X100,"")</f>
        <v>0.77917888563049853</v>
      </c>
      <c r="V102" s="409">
        <f>IFERROR('2.3'!V89/'2.1'!Y100,"")</f>
        <v>0.84208026597007835</v>
      </c>
      <c r="W102" s="409">
        <f>IFERROR('2.3'!W89/'2.1'!Z100,"")</f>
        <v>0.80319100716163538</v>
      </c>
    </row>
    <row r="103" spans="2:23" hidden="1" outlineLevel="1" x14ac:dyDescent="0.25">
      <c r="B103" s="404">
        <v>41548</v>
      </c>
      <c r="C103" s="409" t="str">
        <f>IFERROR('2.3'!C90/'2.1'!C101,"")</f>
        <v/>
      </c>
      <c r="D103" s="409" t="str">
        <f>IFERROR('2.3'!D90/'2.1'!D101,"")</f>
        <v/>
      </c>
      <c r="E103" s="409" t="str">
        <f>IFERROR('2.3'!E90/'2.1'!E101,"")</f>
        <v/>
      </c>
      <c r="F103" s="409" t="str">
        <f>IFERROR('2.3'!F90/'2.1'!F101,"")</f>
        <v/>
      </c>
      <c r="G103" s="409" t="str">
        <f>IFERROR('2.3'!G90/'2.1'!G101,"")</f>
        <v/>
      </c>
      <c r="H103" s="409" t="str">
        <f>IFERROR('2.3'!H90/'2.1'!H101,"")</f>
        <v/>
      </c>
      <c r="I103" s="409">
        <f>IFERROR('2.3'!I90/'2.1'!I101,"")</f>
        <v>0.83969465648854957</v>
      </c>
      <c r="J103" s="409">
        <f>IFERROR('2.3'!J90/'2.1'!J101,"")</f>
        <v>0.87016574585635365</v>
      </c>
      <c r="K103" s="409">
        <f>IFERROR('2.3'!K90/'2.1'!K101,"")</f>
        <v>0.8462918660287081</v>
      </c>
      <c r="L103" s="409">
        <f>IFERROR('2.3'!L90/'2.1'!L101,"")</f>
        <v>0.45681381957773515</v>
      </c>
      <c r="M103" s="409">
        <f>IFERROR('2.3'!M90/'2.1'!M101,"")</f>
        <v>0.72681704260651625</v>
      </c>
      <c r="N103" s="409">
        <f>IFERROR('2.3'!N90/'2.1'!N101,"")</f>
        <v>0.53157529493407352</v>
      </c>
      <c r="O103" s="409">
        <f>IFERROR('2.3'!O90/'2.1'!O101,"")</f>
        <v>0.81873865698729587</v>
      </c>
      <c r="P103" s="409">
        <f>IFERROR('2.3'!P90/'2.1'!P101,"")</f>
        <v>0.85683472634133184</v>
      </c>
      <c r="Q103" s="409">
        <f>IFERROR('2.3'!Q90/'2.1'!Q101,"")</f>
        <v>0.83614635949242333</v>
      </c>
      <c r="R103" s="409">
        <f>IFERROR('2.3'!R90/'2.1'!R101,"")</f>
        <v>0.73493975903614461</v>
      </c>
      <c r="S103" s="409">
        <f>IFERROR('2.3'!S90/'2.1'!S101,"")</f>
        <v>0.8571428571428571</v>
      </c>
      <c r="T103" s="409">
        <f>IFERROR('2.3'!T90/'2.1'!T101,"")</f>
        <v>0.78561354019746121</v>
      </c>
      <c r="U103" s="409">
        <f>IFERROR('2.3'!U90/'2.1'!X101,"")</f>
        <v>0.77666470241602825</v>
      </c>
      <c r="V103" s="409">
        <f>IFERROR('2.3'!V90/'2.1'!Y101,"")</f>
        <v>0.84861490440889586</v>
      </c>
      <c r="W103" s="409">
        <f>IFERROR('2.3'!W90/'2.1'!Z101,"")</f>
        <v>0.80376166336051724</v>
      </c>
    </row>
    <row r="104" spans="2:23" hidden="1" outlineLevel="1" x14ac:dyDescent="0.25">
      <c r="B104" s="404">
        <v>41579</v>
      </c>
      <c r="C104" s="409" t="str">
        <f>IFERROR('2.3'!C91/'2.1'!C102,"")</f>
        <v/>
      </c>
      <c r="D104" s="409" t="str">
        <f>IFERROR('2.3'!D91/'2.1'!D102,"")</f>
        <v/>
      </c>
      <c r="E104" s="409" t="str">
        <f>IFERROR('2.3'!E91/'2.1'!E102,"")</f>
        <v/>
      </c>
      <c r="F104" s="409" t="str">
        <f>IFERROR('2.3'!F91/'2.1'!F102,"")</f>
        <v/>
      </c>
      <c r="G104" s="409" t="str">
        <f>IFERROR('2.3'!G91/'2.1'!G102,"")</f>
        <v/>
      </c>
      <c r="H104" s="409" t="str">
        <f>IFERROR('2.3'!H91/'2.1'!H102,"")</f>
        <v/>
      </c>
      <c r="I104" s="409">
        <f>IFERROR('2.3'!I91/'2.1'!I102,"")</f>
        <v>0.88721804511278191</v>
      </c>
      <c r="J104" s="409">
        <f>IFERROR('2.3'!J91/'2.1'!J102,"")</f>
        <v>0.88095238095238093</v>
      </c>
      <c r="K104" s="409">
        <f>IFERROR('2.3'!K91/'2.1'!K102,"")</f>
        <v>0.88589685075308078</v>
      </c>
      <c r="L104" s="409">
        <f>IFERROR('2.3'!L91/'2.1'!L102,"")</f>
        <v>0.51876019575856447</v>
      </c>
      <c r="M104" s="409">
        <f>IFERROR('2.3'!M91/'2.1'!M102,"")</f>
        <v>0.70930232558139539</v>
      </c>
      <c r="N104" s="409">
        <f>IFERROR('2.3'!N91/'2.1'!N102,"")</f>
        <v>0.57520091848450061</v>
      </c>
      <c r="O104" s="409">
        <f>IFERROR('2.3'!O91/'2.1'!O102,"")</f>
        <v>0.82749817651349378</v>
      </c>
      <c r="P104" s="409">
        <f>IFERROR('2.3'!P91/'2.1'!P102,"")</f>
        <v>0.8311092577147623</v>
      </c>
      <c r="Q104" s="409">
        <f>IFERROR('2.3'!Q91/'2.1'!Q102,"")</f>
        <v>0.82918287937743196</v>
      </c>
      <c r="R104" s="409">
        <f>IFERROR('2.3'!R91/'2.1'!R102,"")</f>
        <v>0.84642857142857142</v>
      </c>
      <c r="S104" s="409">
        <f>IFERROR('2.3'!S91/'2.1'!S102,"")</f>
        <v>0.94174757281553401</v>
      </c>
      <c r="T104" s="409">
        <f>IFERROR('2.3'!T91/'2.1'!T102,"")</f>
        <v>0.88683127572016462</v>
      </c>
      <c r="U104" s="409">
        <f>IFERROR('2.3'!U91/'2.1'!X102,"")</f>
        <v>0.81245339299030572</v>
      </c>
      <c r="V104" s="409">
        <f>IFERROR('2.3'!V91/'2.1'!Y102,"")</f>
        <v>0.835439229843562</v>
      </c>
      <c r="W104" s="409">
        <f>IFERROR('2.3'!W91/'2.1'!Z102,"")</f>
        <v>0.82124769797421726</v>
      </c>
    </row>
    <row r="105" spans="2:23" hidden="1" outlineLevel="1" x14ac:dyDescent="0.25">
      <c r="B105" s="404">
        <v>41609</v>
      </c>
      <c r="C105" s="409" t="str">
        <f>IFERROR('2.3'!C92/'2.1'!C103,"")</f>
        <v/>
      </c>
      <c r="D105" s="409" t="str">
        <f>IFERROR('2.3'!D92/'2.1'!D103,"")</f>
        <v/>
      </c>
      <c r="E105" s="409" t="str">
        <f>IFERROR('2.3'!E92/'2.1'!E103,"")</f>
        <v/>
      </c>
      <c r="F105" s="409" t="str">
        <f>IFERROR('2.3'!F92/'2.1'!F103,"")</f>
        <v/>
      </c>
      <c r="G105" s="409" t="str">
        <f>IFERROR('2.3'!G92/'2.1'!G103,"")</f>
        <v/>
      </c>
      <c r="H105" s="409" t="str">
        <f>IFERROR('2.3'!H92/'2.1'!H103,"")</f>
        <v/>
      </c>
      <c r="I105" s="409">
        <f>IFERROR('2.3'!I92/'2.1'!I103,"")</f>
        <v>0.86290322580645162</v>
      </c>
      <c r="J105" s="409">
        <f>IFERROR('2.3'!J92/'2.1'!J103,"")</f>
        <v>0.87131050767414409</v>
      </c>
      <c r="K105" s="409">
        <f>IFERROR('2.3'!K92/'2.1'!K103,"")</f>
        <v>0.86476589066178389</v>
      </c>
      <c r="L105" s="409">
        <f>IFERROR('2.3'!L92/'2.1'!L103,"")</f>
        <v>0.48378615249780893</v>
      </c>
      <c r="M105" s="409">
        <f>IFERROR('2.3'!M92/'2.1'!M103,"")</f>
        <v>0.71014492753623193</v>
      </c>
      <c r="N105" s="409">
        <f>IFERROR('2.3'!N92/'2.1'!N103,"")</f>
        <v>0.55110837438423643</v>
      </c>
      <c r="O105" s="409">
        <f>IFERROR('2.3'!O92/'2.1'!O103,"")</f>
        <v>0.82653799758745472</v>
      </c>
      <c r="P105" s="409">
        <f>IFERROR('2.3'!P92/'2.1'!P103,"")</f>
        <v>0.8259280089988752</v>
      </c>
      <c r="Q105" s="409">
        <f>IFERROR('2.3'!Q92/'2.1'!Q103,"")</f>
        <v>0.8262563303467082</v>
      </c>
      <c r="R105" s="409">
        <f>IFERROR('2.3'!R92/'2.1'!R103,"")</f>
        <v>0.81894150417827294</v>
      </c>
      <c r="S105" s="409">
        <f>IFERROR('2.3'!S92/'2.1'!S103,"")</f>
        <v>0.93189964157706096</v>
      </c>
      <c r="T105" s="409">
        <f>IFERROR('2.3'!T92/'2.1'!T103,"")</f>
        <v>0.86833855799373039</v>
      </c>
      <c r="U105" s="409">
        <f>IFERROR('2.3'!U92/'2.1'!X103,"")</f>
        <v>0.79341143718826124</v>
      </c>
      <c r="V105" s="409">
        <f>IFERROR('2.3'!V92/'2.1'!Y103,"")</f>
        <v>0.82826718296224588</v>
      </c>
      <c r="W105" s="409">
        <f>IFERROR('2.3'!W92/'2.1'!Z103,"")</f>
        <v>0.80647033222109388</v>
      </c>
    </row>
    <row r="106" spans="2:23" collapsed="1" x14ac:dyDescent="0.25">
      <c r="B106" s="407" t="s">
        <v>754</v>
      </c>
      <c r="C106" s="410" t="str">
        <f>IFERROR('2.3'!C93/'2.1'!C104,"")</f>
        <v/>
      </c>
      <c r="D106" s="410" t="str">
        <f>IFERROR('2.3'!D93/'2.1'!D104,"")</f>
        <v/>
      </c>
      <c r="E106" s="410" t="str">
        <f>IFERROR('2.3'!E93/'2.1'!E104,"")</f>
        <v/>
      </c>
      <c r="F106" s="410" t="str">
        <f>IFERROR('2.3'!F93/'2.1'!F104,"")</f>
        <v/>
      </c>
      <c r="G106" s="410" t="str">
        <f>IFERROR('2.3'!G93/'2.1'!G104,"")</f>
        <v/>
      </c>
      <c r="H106" s="410" t="str">
        <f>IFERROR('2.3'!H93/'2.1'!H104,"")</f>
        <v/>
      </c>
      <c r="I106" s="410">
        <f>IFERROR('2.3'!I93/'2.1'!I104,"")</f>
        <v>0.89774363898223719</v>
      </c>
      <c r="J106" s="410">
        <f>IFERROR('2.3'!J93/'2.1'!J104,"")</f>
        <v>0.91149068322981364</v>
      </c>
      <c r="K106" s="410">
        <f>IFERROR('2.3'!K93/'2.1'!K104,"")</f>
        <v>0.90099009900990101</v>
      </c>
      <c r="L106" s="410">
        <f>IFERROR('2.3'!L93/'2.1'!L104,"")</f>
        <v>0.46621621621621623</v>
      </c>
      <c r="M106" s="410">
        <f>IFERROR('2.3'!M93/'2.1'!M104,"")</f>
        <v>0.69791666666666663</v>
      </c>
      <c r="N106" s="410">
        <f>IFERROR('2.3'!N93/'2.1'!N104,"")</f>
        <v>0.52924594785059897</v>
      </c>
      <c r="O106" s="410">
        <f>IFERROR('2.3'!O93/'2.1'!O104,"")</f>
        <v>0.84528749259039715</v>
      </c>
      <c r="P106" s="410">
        <f>IFERROR('2.3'!P93/'2.1'!P104,"")</f>
        <v>0.85864562787639709</v>
      </c>
      <c r="Q106" s="410">
        <f>IFERROR('2.3'!Q93/'2.1'!Q104,"")</f>
        <v>0.85162094763092266</v>
      </c>
      <c r="R106" s="410">
        <f>IFERROR('2.3'!R93/'2.1'!R104,"")</f>
        <v>0.79420289855072468</v>
      </c>
      <c r="S106" s="410">
        <f>IFERROR('2.3'!S93/'2.1'!S104,"")</f>
        <v>0.87452471482889738</v>
      </c>
      <c r="T106" s="410">
        <f>IFERROR('2.3'!T93/'2.1'!T104,"")</f>
        <v>0.82894736842105265</v>
      </c>
      <c r="U106" s="410">
        <f>IFERROR('2.3'!U93/'2.1'!X104,"")</f>
        <v>0.80137487201989177</v>
      </c>
      <c r="V106" s="410">
        <f>IFERROR('2.3'!V93/'2.1'!Y104,"")</f>
        <v>0.85341643582640814</v>
      </c>
      <c r="W106" s="410">
        <f>IFERROR('2.3'!W93/'2.1'!Z104,"")</f>
        <v>0.82148612354521033</v>
      </c>
    </row>
    <row r="107" spans="2:23" hidden="1" outlineLevel="1" x14ac:dyDescent="0.25">
      <c r="B107" s="404">
        <v>41640</v>
      </c>
      <c r="C107" s="409" t="str">
        <f>IFERROR('2.3'!C94/'2.1'!C105,"")</f>
        <v/>
      </c>
      <c r="D107" s="409" t="str">
        <f>IFERROR('2.3'!D94/'2.1'!D105,"")</f>
        <v/>
      </c>
      <c r="E107" s="409" t="str">
        <f>IFERROR('2.3'!E94/'2.1'!E105,"")</f>
        <v/>
      </c>
      <c r="F107" s="409" t="str">
        <f>IFERROR('2.3'!F94/'2.1'!F105,"")</f>
        <v/>
      </c>
      <c r="G107" s="409" t="str">
        <f>IFERROR('2.3'!G94/'2.1'!G105,"")</f>
        <v/>
      </c>
      <c r="H107" s="409" t="str">
        <f>IFERROR('2.3'!H94/'2.1'!H105,"")</f>
        <v/>
      </c>
      <c r="I107" s="409">
        <f>IFERROR('2.3'!I94/'2.1'!I105,"")</f>
        <v>0.83565891472868215</v>
      </c>
      <c r="J107" s="409">
        <f>IFERROR('2.3'!J94/'2.1'!J105,"")</f>
        <v>0.88451776649746194</v>
      </c>
      <c r="K107" s="409">
        <f>IFERROR('2.3'!K94/'2.1'!K105,"")</f>
        <v>0.8470902612826603</v>
      </c>
      <c r="L107" s="409">
        <f>IFERROR('2.3'!L94/'2.1'!L105,"")</f>
        <v>0.49065880039331367</v>
      </c>
      <c r="M107" s="409">
        <f>IFERROR('2.3'!M94/'2.1'!M105,"")</f>
        <v>0.74450549450549453</v>
      </c>
      <c r="N107" s="409">
        <f>IFERROR('2.3'!N94/'2.1'!N105,"")</f>
        <v>0.55756698044895003</v>
      </c>
      <c r="O107" s="409">
        <f>IFERROR('2.3'!O94/'2.1'!O105,"")</f>
        <v>0.7951078379800105</v>
      </c>
      <c r="P107" s="409">
        <f>IFERROR('2.3'!P94/'2.1'!P105,"")</f>
        <v>0.82321268321866592</v>
      </c>
      <c r="Q107" s="409">
        <f>IFERROR('2.3'!Q94/'2.1'!Q105,"")</f>
        <v>0.80825752274317708</v>
      </c>
      <c r="R107" s="409">
        <f>IFERROR('2.3'!R94/'2.1'!R105,"")</f>
        <v>0.86702127659574468</v>
      </c>
      <c r="S107" s="409">
        <f>IFERROR('2.3'!S94/'2.1'!S105,"")</f>
        <v>0.93090909090909091</v>
      </c>
      <c r="T107" s="409">
        <f>IFERROR('2.3'!T94/'2.1'!T105,"")</f>
        <v>0.89400921658986177</v>
      </c>
      <c r="U107" s="409">
        <f>IFERROR('2.3'!U94/'2.1'!X105,"")</f>
        <v>0.77221864951768493</v>
      </c>
      <c r="V107" s="409">
        <f>IFERROR('2.3'!V94/'2.1'!Y105,"")</f>
        <v>0.83354297693920332</v>
      </c>
      <c r="W107" s="409">
        <f>IFERROR('2.3'!W94/'2.1'!Z105,"")</f>
        <v>0.79553607014746908</v>
      </c>
    </row>
    <row r="108" spans="2:23" hidden="1" outlineLevel="1" x14ac:dyDescent="0.25">
      <c r="B108" s="404">
        <v>41671</v>
      </c>
      <c r="C108" s="409" t="str">
        <f>IFERROR('2.3'!C95/'2.1'!C106,"")</f>
        <v/>
      </c>
      <c r="D108" s="409" t="str">
        <f>IFERROR('2.3'!D95/'2.1'!D106,"")</f>
        <v/>
      </c>
      <c r="E108" s="409" t="str">
        <f>IFERROR('2.3'!E95/'2.1'!E106,"")</f>
        <v/>
      </c>
      <c r="F108" s="409" t="str">
        <f>IFERROR('2.3'!F95/'2.1'!F106,"")</f>
        <v/>
      </c>
      <c r="G108" s="409" t="str">
        <f>IFERROR('2.3'!G95/'2.1'!G106,"")</f>
        <v/>
      </c>
      <c r="H108" s="409" t="str">
        <f>IFERROR('2.3'!H95/'2.1'!H106,"")</f>
        <v/>
      </c>
      <c r="I108" s="409">
        <f>IFERROR('2.3'!I95/'2.1'!I106,"")</f>
        <v>0.77470867501078977</v>
      </c>
      <c r="J108" s="409">
        <f>IFERROR('2.3'!J95/'2.1'!J106,"")</f>
        <v>0.84977908689248893</v>
      </c>
      <c r="K108" s="409">
        <f>IFERROR('2.3'!K95/'2.1'!K106,"")</f>
        <v>0.79172229639519354</v>
      </c>
      <c r="L108" s="409">
        <f>IFERROR('2.3'!L95/'2.1'!L106,"")</f>
        <v>0.52858809801633611</v>
      </c>
      <c r="M108" s="409">
        <f>IFERROR('2.3'!M95/'2.1'!M106,"")</f>
        <v>0.7168674698795181</v>
      </c>
      <c r="N108" s="409">
        <f>IFERROR('2.3'!N95/'2.1'!N106,"")</f>
        <v>0.58116063919259886</v>
      </c>
      <c r="O108" s="409">
        <f>IFERROR('2.3'!O95/'2.1'!O106,"")</f>
        <v>0.77742549143944195</v>
      </c>
      <c r="P108" s="409">
        <f>IFERROR('2.3'!P95/'2.1'!P106,"")</f>
        <v>0.80854821617802897</v>
      </c>
      <c r="Q108" s="409">
        <f>IFERROR('2.3'!Q95/'2.1'!Q106,"")</f>
        <v>0.79214703425229738</v>
      </c>
      <c r="R108" s="409">
        <f>IFERROR('2.3'!R95/'2.1'!R106,"")</f>
        <v>0.8481481481481481</v>
      </c>
      <c r="S108" s="409">
        <f>IFERROR('2.3'!S95/'2.1'!S106,"")</f>
        <v>0.90566037735849059</v>
      </c>
      <c r="T108" s="409">
        <f>IFERROR('2.3'!T95/'2.1'!T106,"")</f>
        <v>0.87344398340248963</v>
      </c>
      <c r="U108" s="409">
        <f>IFERROR('2.3'!U95/'2.1'!X106,"")</f>
        <v>0.74704455895725974</v>
      </c>
      <c r="V108" s="409">
        <f>IFERROR('2.3'!V95/'2.1'!Y106,"")</f>
        <v>0.81302417365564872</v>
      </c>
      <c r="W108" s="409">
        <f>IFERROR('2.3'!W95/'2.1'!Z106,"")</f>
        <v>0.77215546376267363</v>
      </c>
    </row>
    <row r="109" spans="2:23" hidden="1" outlineLevel="1" x14ac:dyDescent="0.25">
      <c r="B109" s="404">
        <v>41699</v>
      </c>
      <c r="C109" s="409" t="str">
        <f>IFERROR('2.3'!C96/'2.1'!C107,"")</f>
        <v/>
      </c>
      <c r="D109" s="409" t="str">
        <f>IFERROR('2.3'!D96/'2.1'!D107,"")</f>
        <v/>
      </c>
      <c r="E109" s="409" t="str">
        <f>IFERROR('2.3'!E96/'2.1'!E107,"")</f>
        <v/>
      </c>
      <c r="F109" s="409" t="str">
        <f>IFERROR('2.3'!F96/'2.1'!F107,"")</f>
        <v/>
      </c>
      <c r="G109" s="409" t="str">
        <f>IFERROR('2.3'!G96/'2.1'!G107,"")</f>
        <v/>
      </c>
      <c r="H109" s="409" t="str">
        <f>IFERROR('2.3'!H96/'2.1'!H107,"")</f>
        <v/>
      </c>
      <c r="I109" s="409">
        <f>IFERROR('2.3'!I96/'2.1'!I107,"")</f>
        <v>0.77550324121460257</v>
      </c>
      <c r="J109" s="409">
        <f>IFERROR('2.3'!J96/'2.1'!J107,"")</f>
        <v>0.85467980295566504</v>
      </c>
      <c r="K109" s="409">
        <f>IFERROR('2.3'!K96/'2.1'!K107,"")</f>
        <v>0.79267966871493456</v>
      </c>
      <c r="L109" s="409">
        <f>IFERROR('2.3'!L96/'2.1'!L107,"")</f>
        <v>0.50436300174520066</v>
      </c>
      <c r="M109" s="409">
        <f>IFERROR('2.3'!M96/'2.1'!M107,"")</f>
        <v>0.71875</v>
      </c>
      <c r="N109" s="409">
        <f>IFERROR('2.3'!N96/'2.1'!N107,"")</f>
        <v>0.56461731493099121</v>
      </c>
      <c r="O109" s="409">
        <f>IFERROR('2.3'!O96/'2.1'!O107,"")</f>
        <v>0.7499307671005262</v>
      </c>
      <c r="P109" s="409">
        <f>IFERROR('2.3'!P96/'2.1'!P107,"")</f>
        <v>0.80837408312958436</v>
      </c>
      <c r="Q109" s="409">
        <f>IFERROR('2.3'!Q96/'2.1'!Q107,"")</f>
        <v>0.77771320645067554</v>
      </c>
      <c r="R109" s="409">
        <f>IFERROR('2.3'!R96/'2.1'!R107,"")</f>
        <v>0.81047381546134667</v>
      </c>
      <c r="S109" s="409">
        <f>IFERROR('2.3'!S96/'2.1'!S107,"")</f>
        <v>0.9083665338645418</v>
      </c>
      <c r="T109" s="409">
        <f>IFERROR('2.3'!T96/'2.1'!T107,"")</f>
        <v>0.84815950920245398</v>
      </c>
      <c r="U109" s="409">
        <f>IFERROR('2.3'!U96/'2.1'!X107,"")</f>
        <v>0.72740759055507476</v>
      </c>
      <c r="V109" s="409">
        <f>IFERROR('2.3'!V96/'2.1'!Y107,"")</f>
        <v>0.81308802007108505</v>
      </c>
      <c r="W109" s="409">
        <f>IFERROR('2.3'!W96/'2.1'!Z107,"")</f>
        <v>0.75924487259167184</v>
      </c>
    </row>
    <row r="110" spans="2:23" hidden="1" outlineLevel="1" x14ac:dyDescent="0.25">
      <c r="B110" s="404">
        <v>41730</v>
      </c>
      <c r="C110" s="409" t="str">
        <f>IFERROR('2.3'!C97/'2.1'!C108,"")</f>
        <v/>
      </c>
      <c r="D110" s="409" t="str">
        <f>IFERROR('2.3'!D97/'2.1'!D108,"")</f>
        <v/>
      </c>
      <c r="E110" s="409" t="str">
        <f>IFERROR('2.3'!E97/'2.1'!E108,"")</f>
        <v/>
      </c>
      <c r="F110" s="409" t="str">
        <f>IFERROR('2.3'!F97/'2.1'!F108,"")</f>
        <v/>
      </c>
      <c r="G110" s="409" t="str">
        <f>IFERROR('2.3'!G97/'2.1'!G108,"")</f>
        <v/>
      </c>
      <c r="H110" s="409" t="str">
        <f>IFERROR('2.3'!H97/'2.1'!H108,"")</f>
        <v/>
      </c>
      <c r="I110" s="409">
        <f>IFERROR('2.3'!I97/'2.1'!I108,"")</f>
        <v>0.75409181636726552</v>
      </c>
      <c r="J110" s="409">
        <f>IFERROR('2.3'!J97/'2.1'!J108,"")</f>
        <v>0.85931034482758617</v>
      </c>
      <c r="K110" s="409">
        <f>IFERROR('2.3'!K97/'2.1'!K108,"")</f>
        <v>0.77770897832817343</v>
      </c>
      <c r="L110" s="409">
        <f>IFERROR('2.3'!L97/'2.1'!L108,"")</f>
        <v>0.49716981132075472</v>
      </c>
      <c r="M110" s="409">
        <f>IFERROR('2.3'!M97/'2.1'!M108,"")</f>
        <v>0.69870129870129871</v>
      </c>
      <c r="N110" s="409">
        <f>IFERROR('2.3'!N97/'2.1'!N108,"")</f>
        <v>0.55086505190311419</v>
      </c>
      <c r="O110" s="409">
        <f>IFERROR('2.3'!O97/'2.1'!O108,"")</f>
        <v>0.74238805970149258</v>
      </c>
      <c r="P110" s="409">
        <f>IFERROR('2.3'!P97/'2.1'!P108,"")</f>
        <v>0.78952411370169273</v>
      </c>
      <c r="Q110" s="409">
        <f>IFERROR('2.3'!Q97/'2.1'!Q108,"")</f>
        <v>0.76515969757753433</v>
      </c>
      <c r="R110" s="409">
        <f>IFERROR('2.3'!R97/'2.1'!R108,"")</f>
        <v>0.8529411764705882</v>
      </c>
      <c r="S110" s="409">
        <f>IFERROR('2.3'!S97/'2.1'!S108,"")</f>
        <v>0.91814946619217086</v>
      </c>
      <c r="T110" s="409">
        <f>IFERROR('2.3'!T97/'2.1'!T108,"")</f>
        <v>0.88091603053435119</v>
      </c>
      <c r="U110" s="409">
        <f>IFERROR('2.3'!U97/'2.1'!X108,"")</f>
        <v>0.71642200576210724</v>
      </c>
      <c r="V110" s="409">
        <f>IFERROR('2.3'!V97/'2.1'!Y108,"")</f>
        <v>0.80097302078726229</v>
      </c>
      <c r="W110" s="409">
        <f>IFERROR('2.3'!W97/'2.1'!Z108,"")</f>
        <v>0.7487934975869952</v>
      </c>
    </row>
    <row r="111" spans="2:23" hidden="1" outlineLevel="1" x14ac:dyDescent="0.25">
      <c r="B111" s="404">
        <v>41760</v>
      </c>
      <c r="C111" s="409" t="str">
        <f>IFERROR('2.3'!C98/'2.1'!C109,"")</f>
        <v/>
      </c>
      <c r="D111" s="409" t="str">
        <f>IFERROR('2.3'!D98/'2.1'!D109,"")</f>
        <v/>
      </c>
      <c r="E111" s="409" t="str">
        <f>IFERROR('2.3'!E98/'2.1'!E109,"")</f>
        <v/>
      </c>
      <c r="F111" s="409" t="str">
        <f>IFERROR('2.3'!F98/'2.1'!F109,"")</f>
        <v/>
      </c>
      <c r="G111" s="409" t="str">
        <f>IFERROR('2.3'!G98/'2.1'!G109,"")</f>
        <v/>
      </c>
      <c r="H111" s="409" t="str">
        <f>IFERROR('2.3'!H98/'2.1'!H109,"")</f>
        <v/>
      </c>
      <c r="I111" s="409">
        <f>IFERROR('2.3'!I98/'2.1'!I109,"")</f>
        <v>0.79562542720437457</v>
      </c>
      <c r="J111" s="409">
        <f>IFERROR('2.3'!J98/'2.1'!J109,"")</f>
        <v>0.8481481481481481</v>
      </c>
      <c r="K111" s="409">
        <f>IFERROR('2.3'!K98/'2.1'!K109,"")</f>
        <v>0.8070128479657388</v>
      </c>
      <c r="L111" s="409">
        <f>IFERROR('2.3'!L98/'2.1'!L109,"")</f>
        <v>0.48479262672811058</v>
      </c>
      <c r="M111" s="409">
        <f>IFERROR('2.3'!M98/'2.1'!M109,"")</f>
        <v>0.75257731958762886</v>
      </c>
      <c r="N111" s="409">
        <f>IFERROR('2.3'!N98/'2.1'!N109,"")</f>
        <v>0.55532926001357774</v>
      </c>
      <c r="O111" s="409">
        <f>IFERROR('2.3'!O98/'2.1'!O109,"")</f>
        <v>0.738472798243474</v>
      </c>
      <c r="P111" s="409">
        <f>IFERROR('2.3'!P98/'2.1'!P109,"")</f>
        <v>0.77891979040709391</v>
      </c>
      <c r="Q111" s="409">
        <f>IFERROR('2.3'!Q98/'2.1'!Q109,"")</f>
        <v>0.7606224478534378</v>
      </c>
      <c r="R111" s="409">
        <f>IFERROR('2.3'!R98/'2.1'!R109,"")</f>
        <v>0.80441640378548895</v>
      </c>
      <c r="S111" s="409">
        <f>IFERROR('2.3'!S98/'2.1'!S109,"")</f>
        <v>0.93442622950819676</v>
      </c>
      <c r="T111" s="409">
        <f>IFERROR('2.3'!T98/'2.1'!T109,"")</f>
        <v>0.86096256684491979</v>
      </c>
      <c r="U111" s="409">
        <f>IFERROR('2.3'!U98/'2.1'!X109,"")</f>
        <v>0.72813575412365017</v>
      </c>
      <c r="V111" s="409">
        <f>IFERROR('2.3'!V98/'2.1'!Y109,"")</f>
        <v>0.79200499687695192</v>
      </c>
      <c r="W111" s="409">
        <f>IFERROR('2.3'!W98/'2.1'!Z109,"")</f>
        <v>0.75571438203762387</v>
      </c>
    </row>
    <row r="112" spans="2:23" hidden="1" outlineLevel="1" x14ac:dyDescent="0.25">
      <c r="B112" s="404">
        <v>41791</v>
      </c>
      <c r="C112" s="409" t="str">
        <f>IFERROR('2.3'!C99/'2.1'!C110,"")</f>
        <v/>
      </c>
      <c r="D112" s="409" t="str">
        <f>IFERROR('2.3'!D99/'2.1'!D110,"")</f>
        <v/>
      </c>
      <c r="E112" s="409" t="str">
        <f>IFERROR('2.3'!E99/'2.1'!E110,"")</f>
        <v/>
      </c>
      <c r="F112" s="409" t="str">
        <f>IFERROR('2.3'!F99/'2.1'!F110,"")</f>
        <v/>
      </c>
      <c r="G112" s="409" t="str">
        <f>IFERROR('2.3'!G99/'2.1'!G110,"")</f>
        <v/>
      </c>
      <c r="H112" s="409" t="str">
        <f>IFERROR('2.3'!H99/'2.1'!H110,"")</f>
        <v/>
      </c>
      <c r="I112" s="409">
        <f>IFERROR('2.3'!I99/'2.1'!I110,"")</f>
        <v>0.81096800997091811</v>
      </c>
      <c r="J112" s="409">
        <f>IFERROR('2.3'!J99/'2.1'!J110,"")</f>
        <v>0.84836065573770492</v>
      </c>
      <c r="K112" s="409">
        <f>IFERROR('2.3'!K99/'2.1'!K110,"")</f>
        <v>0.81968779866199426</v>
      </c>
      <c r="L112" s="409">
        <f>IFERROR('2.3'!L99/'2.1'!L110,"")</f>
        <v>0.49495967741935482</v>
      </c>
      <c r="M112" s="409">
        <f>IFERROR('2.3'!M99/'2.1'!M110,"")</f>
        <v>0.73860911270983209</v>
      </c>
      <c r="N112" s="409">
        <f>IFERROR('2.3'!N99/'2.1'!N110,"")</f>
        <v>0.56706884315117101</v>
      </c>
      <c r="O112" s="409">
        <f>IFERROR('2.3'!O99/'2.1'!O110,"")</f>
        <v>0.77191072400653238</v>
      </c>
      <c r="P112" s="409">
        <f>IFERROR('2.3'!P99/'2.1'!P110,"")</f>
        <v>0.79868938401048495</v>
      </c>
      <c r="Q112" s="409">
        <f>IFERROR('2.3'!Q99/'2.1'!Q110,"")</f>
        <v>0.78555214314327682</v>
      </c>
      <c r="R112" s="409">
        <f>IFERROR('2.3'!R99/'2.1'!R110,"")</f>
        <v>0.7769784172661871</v>
      </c>
      <c r="S112" s="409">
        <f>IFERROR('2.3'!S99/'2.1'!S110,"")</f>
        <v>0.86363636363636365</v>
      </c>
      <c r="T112" s="409">
        <f>IFERROR('2.3'!T99/'2.1'!T110,"")</f>
        <v>0.81526104417670686</v>
      </c>
      <c r="U112" s="409">
        <f>IFERROR('2.3'!U99/'2.1'!X110,"")</f>
        <v>0.7475173445789689</v>
      </c>
      <c r="V112" s="409">
        <f>IFERROR('2.3'!V99/'2.1'!Y110,"")</f>
        <v>0.80362654320987659</v>
      </c>
      <c r="W112" s="409">
        <f>IFERROR('2.3'!W99/'2.1'!Z110,"")</f>
        <v>0.7707219784603111</v>
      </c>
    </row>
    <row r="113" spans="2:23" hidden="1" outlineLevel="1" x14ac:dyDescent="0.25">
      <c r="B113" s="404">
        <v>41821</v>
      </c>
      <c r="C113" s="409" t="str">
        <f>IFERROR('2.3'!C100/'2.1'!C111,"")</f>
        <v/>
      </c>
      <c r="D113" s="409" t="str">
        <f>IFERROR('2.3'!D100/'2.1'!D111,"")</f>
        <v/>
      </c>
      <c r="E113" s="409" t="str">
        <f>IFERROR('2.3'!E100/'2.1'!E111,"")</f>
        <v/>
      </c>
      <c r="F113" s="409" t="str">
        <f>IFERROR('2.3'!F100/'2.1'!F111,"")</f>
        <v/>
      </c>
      <c r="G113" s="409" t="str">
        <f>IFERROR('2.3'!G100/'2.1'!G111,"")</f>
        <v/>
      </c>
      <c r="H113" s="409" t="str">
        <f>IFERROR('2.3'!H100/'2.1'!H111,"")</f>
        <v/>
      </c>
      <c r="I113" s="409">
        <f>IFERROR('2.3'!I100/'2.1'!I111,"")</f>
        <v>0.79490291262135926</v>
      </c>
      <c r="J113" s="409">
        <f>IFERROR('2.3'!J100/'2.1'!J111,"")</f>
        <v>0.86894586894586889</v>
      </c>
      <c r="K113" s="409">
        <f>IFERROR('2.3'!K100/'2.1'!K111,"")</f>
        <v>0.81127914303717708</v>
      </c>
      <c r="L113" s="409">
        <f>IFERROR('2.3'!L100/'2.1'!L111,"")</f>
        <v>0.50133096716947645</v>
      </c>
      <c r="M113" s="409">
        <f>IFERROR('2.3'!M100/'2.1'!M111,"")</f>
        <v>0.76279069767441865</v>
      </c>
      <c r="N113" s="409">
        <f>IFERROR('2.3'!N100/'2.1'!N111,"")</f>
        <v>0.57353885677585104</v>
      </c>
      <c r="O113" s="409">
        <f>IFERROR('2.3'!O100/'2.1'!O111,"")</f>
        <v>0.79060469765117436</v>
      </c>
      <c r="P113" s="409">
        <f>IFERROR('2.3'!P100/'2.1'!P111,"")</f>
        <v>0.79590660132603053</v>
      </c>
      <c r="Q113" s="409">
        <f>IFERROR('2.3'!Q100/'2.1'!Q111,"")</f>
        <v>0.79306652389238386</v>
      </c>
      <c r="R113" s="409">
        <f>IFERROR('2.3'!R100/'2.1'!R111,"")</f>
        <v>0.80916030534351147</v>
      </c>
      <c r="S113" s="409">
        <f>IFERROR('2.3'!S100/'2.1'!S111,"")</f>
        <v>0.90952380952380951</v>
      </c>
      <c r="T113" s="409">
        <f>IFERROR('2.3'!T100/'2.1'!T111,"")</f>
        <v>0.85381355932203384</v>
      </c>
      <c r="U113" s="409">
        <f>IFERROR('2.3'!U100/'2.1'!X111,"")</f>
        <v>0.75111280681673664</v>
      </c>
      <c r="V113" s="409">
        <f>IFERROR('2.3'!V100/'2.1'!Y111,"")</f>
        <v>0.80856370816877987</v>
      </c>
      <c r="W113" s="409">
        <f>IFERROR('2.3'!W100/'2.1'!Z111,"")</f>
        <v>0.77292094050812687</v>
      </c>
    </row>
    <row r="114" spans="2:23" hidden="1" outlineLevel="1" x14ac:dyDescent="0.25">
      <c r="B114" s="404">
        <v>41852</v>
      </c>
      <c r="C114" s="409" t="str">
        <f>IFERROR('2.3'!C101/'2.1'!C112,"")</f>
        <v/>
      </c>
      <c r="D114" s="409" t="str">
        <f>IFERROR('2.3'!D101/'2.1'!D112,"")</f>
        <v/>
      </c>
      <c r="E114" s="409" t="str">
        <f>IFERROR('2.3'!E101/'2.1'!E112,"")</f>
        <v/>
      </c>
      <c r="F114" s="409" t="str">
        <f>IFERROR('2.3'!F101/'2.1'!F112,"")</f>
        <v/>
      </c>
      <c r="G114" s="409" t="str">
        <f>IFERROR('2.3'!G101/'2.1'!G112,"")</f>
        <v/>
      </c>
      <c r="H114" s="409" t="str">
        <f>IFERROR('2.3'!H101/'2.1'!H112,"")</f>
        <v/>
      </c>
      <c r="I114" s="409">
        <f>IFERROR('2.3'!I101/'2.1'!I112,"")</f>
        <v>0.80312386487468213</v>
      </c>
      <c r="J114" s="409">
        <f>IFERROR('2.3'!J101/'2.1'!J112,"")</f>
        <v>0.85563380281690138</v>
      </c>
      <c r="K114" s="409">
        <f>IFERROR('2.3'!K101/'2.1'!K112,"")</f>
        <v>0.81553398058252424</v>
      </c>
      <c r="L114" s="409">
        <f>IFERROR('2.3'!L101/'2.1'!L112,"")</f>
        <v>0.48231233822260572</v>
      </c>
      <c r="M114" s="409">
        <f>IFERROR('2.3'!M101/'2.1'!M112,"")</f>
        <v>0.7478813559322034</v>
      </c>
      <c r="N114" s="409">
        <f>IFERROR('2.3'!N101/'2.1'!N112,"")</f>
        <v>0.55916615573267936</v>
      </c>
      <c r="O114" s="409">
        <f>IFERROR('2.3'!O101/'2.1'!O112,"")</f>
        <v>0.78250755989765064</v>
      </c>
      <c r="P114" s="409">
        <f>IFERROR('2.3'!P101/'2.1'!P112,"")</f>
        <v>0.78422900351066704</v>
      </c>
      <c r="Q114" s="409">
        <f>IFERROR('2.3'!Q101/'2.1'!Q112,"")</f>
        <v>0.78330417395651086</v>
      </c>
      <c r="R114" s="409">
        <f>IFERROR('2.3'!R101/'2.1'!R112,"")</f>
        <v>0.81132075471698117</v>
      </c>
      <c r="S114" s="409">
        <f>IFERROR('2.3'!S101/'2.1'!S112,"")</f>
        <v>0.93506493506493504</v>
      </c>
      <c r="T114" s="409">
        <f>IFERROR('2.3'!T101/'2.1'!T112,"")</f>
        <v>0.86895161290322576</v>
      </c>
      <c r="U114" s="409">
        <f>IFERROR('2.3'!U101/'2.1'!X112,"")</f>
        <v>0.74905615856536101</v>
      </c>
      <c r="V114" s="409">
        <f>IFERROR('2.3'!V101/'2.1'!Y112,"")</f>
        <v>0.79916317991631802</v>
      </c>
      <c r="W114" s="409">
        <f>IFERROR('2.3'!W101/'2.1'!Z112,"")</f>
        <v>0.76823940585408479</v>
      </c>
    </row>
    <row r="115" spans="2:23" hidden="1" outlineLevel="1" x14ac:dyDescent="0.25">
      <c r="B115" s="404">
        <v>41883</v>
      </c>
      <c r="C115" s="409" t="str">
        <f>IFERROR('2.3'!C102/'2.1'!C113,"")</f>
        <v/>
      </c>
      <c r="D115" s="409" t="str">
        <f>IFERROR('2.3'!D102/'2.1'!D113,"")</f>
        <v/>
      </c>
      <c r="E115" s="409" t="str">
        <f>IFERROR('2.3'!E102/'2.1'!E113,"")</f>
        <v/>
      </c>
      <c r="F115" s="409" t="str">
        <f>IFERROR('2.3'!F102/'2.1'!F113,"")</f>
        <v/>
      </c>
      <c r="G115" s="409" t="str">
        <f>IFERROR('2.3'!G102/'2.1'!G113,"")</f>
        <v/>
      </c>
      <c r="H115" s="409" t="str">
        <f>IFERROR('2.3'!H102/'2.1'!H113,"")</f>
        <v/>
      </c>
      <c r="I115" s="409">
        <f>IFERROR('2.3'!I102/'2.1'!I113,"")</f>
        <v>0.85737908226539894</v>
      </c>
      <c r="J115" s="409">
        <f>IFERROR('2.3'!J102/'2.1'!J113,"")</f>
        <v>0.88739946380697055</v>
      </c>
      <c r="K115" s="409">
        <f>IFERROR('2.3'!K102/'2.1'!K113,"")</f>
        <v>0.86445497630331758</v>
      </c>
      <c r="L115" s="409">
        <f>IFERROR('2.3'!L102/'2.1'!L113,"")</f>
        <v>0.48731501057082455</v>
      </c>
      <c r="M115" s="409">
        <f>IFERROR('2.3'!M102/'2.1'!M113,"")</f>
        <v>0.75442477876106195</v>
      </c>
      <c r="N115" s="409">
        <f>IFERROR('2.3'!N102/'2.1'!N113,"")</f>
        <v>0.57367668097281832</v>
      </c>
      <c r="O115" s="409">
        <f>IFERROR('2.3'!O102/'2.1'!O113,"")</f>
        <v>0.80488400488400491</v>
      </c>
      <c r="P115" s="409">
        <f>IFERROR('2.3'!P102/'2.1'!P113,"")</f>
        <v>0.82081762829805738</v>
      </c>
      <c r="Q115" s="409">
        <f>IFERROR('2.3'!Q102/'2.1'!Q113,"")</f>
        <v>0.8121686108165429</v>
      </c>
      <c r="R115" s="409">
        <f>IFERROR('2.3'!R102/'2.1'!R113,"")</f>
        <v>0.88349514563106801</v>
      </c>
      <c r="S115" s="409">
        <f>IFERROR('2.3'!S102/'2.1'!S113,"")</f>
        <v>0.93048128342245995</v>
      </c>
      <c r="T115" s="409">
        <f>IFERROR('2.3'!T102/'2.1'!T113,"")</f>
        <v>0.90585241730279897</v>
      </c>
      <c r="U115" s="409">
        <f>IFERROR('2.3'!U102/'2.1'!X113,"")</f>
        <v>0.78437255413514217</v>
      </c>
      <c r="V115" s="409">
        <f>IFERROR('2.3'!V102/'2.1'!Y113,"")</f>
        <v>0.82912701696317748</v>
      </c>
      <c r="W115" s="409">
        <f>IFERROR('2.3'!W102/'2.1'!Z113,"")</f>
        <v>0.80167999999999995</v>
      </c>
    </row>
    <row r="116" spans="2:23" hidden="1" outlineLevel="1" x14ac:dyDescent="0.25">
      <c r="B116" s="404">
        <v>41913</v>
      </c>
      <c r="C116" s="409" t="str">
        <f>IFERROR('2.3'!C103/'2.1'!C114,"")</f>
        <v/>
      </c>
      <c r="D116" s="409" t="str">
        <f>IFERROR('2.3'!D103/'2.1'!D114,"")</f>
        <v/>
      </c>
      <c r="E116" s="409" t="str">
        <f>IFERROR('2.3'!E103/'2.1'!E114,"")</f>
        <v/>
      </c>
      <c r="F116" s="409" t="str">
        <f>IFERROR('2.3'!F103/'2.1'!F114,"")</f>
        <v/>
      </c>
      <c r="G116" s="409" t="str">
        <f>IFERROR('2.3'!G103/'2.1'!G114,"")</f>
        <v/>
      </c>
      <c r="H116" s="409" t="str">
        <f>IFERROR('2.3'!H103/'2.1'!H114,"")</f>
        <v/>
      </c>
      <c r="I116" s="409">
        <f>IFERROR('2.3'!I103/'2.1'!I114,"")</f>
        <v>0.83221225710014946</v>
      </c>
      <c r="J116" s="409">
        <f>IFERROR('2.3'!J103/'2.1'!J114,"")</f>
        <v>0.88485607008760947</v>
      </c>
      <c r="K116" s="409">
        <f>IFERROR('2.3'!K103/'2.1'!K114,"")</f>
        <v>0.84431654676258994</v>
      </c>
      <c r="L116" s="409">
        <f>IFERROR('2.3'!L103/'2.1'!L114,"")</f>
        <v>0.5136026380873866</v>
      </c>
      <c r="M116" s="409">
        <f>IFERROR('2.3'!M103/'2.1'!M114,"")</f>
        <v>0.74358974358974361</v>
      </c>
      <c r="N116" s="409">
        <f>IFERROR('2.3'!N103/'2.1'!N114,"")</f>
        <v>0.57763236168947052</v>
      </c>
      <c r="O116" s="409">
        <f>IFERROR('2.3'!O103/'2.1'!O114,"")</f>
        <v>0.76981833195706029</v>
      </c>
      <c r="P116" s="409">
        <f>IFERROR('2.3'!P103/'2.1'!P114,"")</f>
        <v>0.81674487527784634</v>
      </c>
      <c r="Q116" s="409">
        <f>IFERROR('2.3'!Q103/'2.1'!Q114,"")</f>
        <v>0.79118407736421903</v>
      </c>
      <c r="R116" s="409">
        <f>IFERROR('2.3'!R103/'2.1'!R114,"")</f>
        <v>0.83127572016460904</v>
      </c>
      <c r="S116" s="409">
        <f>IFERROR('2.3'!S103/'2.1'!S114,"")</f>
        <v>0.92972972972972978</v>
      </c>
      <c r="T116" s="409">
        <f>IFERROR('2.3'!T103/'2.1'!T114,"")</f>
        <v>0.87383177570093462</v>
      </c>
      <c r="U116" s="409">
        <f>IFERROR('2.3'!U103/'2.1'!X114,"")</f>
        <v>0.75545900178253123</v>
      </c>
      <c r="V116" s="409">
        <f>IFERROR('2.3'!V103/'2.1'!Y114,"")</f>
        <v>0.82421377931285222</v>
      </c>
      <c r="W116" s="409">
        <f>IFERROR('2.3'!W103/'2.1'!Z114,"")</f>
        <v>0.78158458244111351</v>
      </c>
    </row>
    <row r="117" spans="2:23" hidden="1" outlineLevel="1" x14ac:dyDescent="0.25">
      <c r="B117" s="404">
        <v>41944</v>
      </c>
      <c r="C117" s="409" t="str">
        <f>IFERROR('2.3'!C104/'2.1'!C115,"")</f>
        <v/>
      </c>
      <c r="D117" s="409" t="str">
        <f>IFERROR('2.3'!D104/'2.1'!D115,"")</f>
        <v/>
      </c>
      <c r="E117" s="409" t="str">
        <f>IFERROR('2.3'!E104/'2.1'!E115,"")</f>
        <v/>
      </c>
      <c r="F117" s="409" t="str">
        <f>IFERROR('2.3'!F104/'2.1'!F115,"")</f>
        <v/>
      </c>
      <c r="G117" s="409" t="str">
        <f>IFERROR('2.3'!G104/'2.1'!G115,"")</f>
        <v/>
      </c>
      <c r="H117" s="409" t="str">
        <f>IFERROR('2.3'!H104/'2.1'!H115,"")</f>
        <v/>
      </c>
      <c r="I117" s="409">
        <f>IFERROR('2.3'!I104/'2.1'!I115,"")</f>
        <v>0.86229365768896615</v>
      </c>
      <c r="J117" s="409">
        <f>IFERROR('2.3'!J104/'2.1'!J115,"")</f>
        <v>0.88128491620111726</v>
      </c>
      <c r="K117" s="409">
        <f>IFERROR('2.3'!K104/'2.1'!K115,"")</f>
        <v>0.86679920477137173</v>
      </c>
      <c r="L117" s="409">
        <f>IFERROR('2.3'!L104/'2.1'!L115,"")</f>
        <v>0.49287749287749288</v>
      </c>
      <c r="M117" s="409">
        <f>IFERROR('2.3'!M104/'2.1'!M115,"")</f>
        <v>0.72747747747747749</v>
      </c>
      <c r="N117" s="409">
        <f>IFERROR('2.3'!N104/'2.1'!N115,"")</f>
        <v>0.5624582498329993</v>
      </c>
      <c r="O117" s="409">
        <f>IFERROR('2.3'!O104/'2.1'!O115,"")</f>
        <v>0.79334916864608074</v>
      </c>
      <c r="P117" s="409">
        <f>IFERROR('2.3'!P104/'2.1'!P115,"")</f>
        <v>0.83197093551316981</v>
      </c>
      <c r="Q117" s="409">
        <f>IFERROR('2.3'!Q104/'2.1'!Q115,"")</f>
        <v>0.81032876347664051</v>
      </c>
      <c r="R117" s="409">
        <f>IFERROR('2.3'!R104/'2.1'!R115,"")</f>
        <v>0.87068965517241381</v>
      </c>
      <c r="S117" s="409">
        <f>IFERROR('2.3'!S104/'2.1'!S115,"")</f>
        <v>0.88953488372093026</v>
      </c>
      <c r="T117" s="409">
        <f>IFERROR('2.3'!T104/'2.1'!T115,"")</f>
        <v>0.87871287128712872</v>
      </c>
      <c r="U117" s="409">
        <f>IFERROR('2.3'!U104/'2.1'!X115,"")</f>
        <v>0.77542644606900091</v>
      </c>
      <c r="V117" s="409">
        <f>IFERROR('2.3'!V104/'2.1'!Y115,"")</f>
        <v>0.83171521035598706</v>
      </c>
      <c r="W117" s="409">
        <f>IFERROR('2.3'!W104/'2.1'!Z115,"")</f>
        <v>0.79641248391248387</v>
      </c>
    </row>
    <row r="118" spans="2:23" hidden="1" outlineLevel="1" x14ac:dyDescent="0.25">
      <c r="B118" s="404">
        <v>41974</v>
      </c>
      <c r="C118" s="409" t="str">
        <f>IFERROR('2.3'!C105/'2.1'!C116,"")</f>
        <v/>
      </c>
      <c r="D118" s="409" t="str">
        <f>IFERROR('2.3'!D105/'2.1'!D116,"")</f>
        <v/>
      </c>
      <c r="E118" s="409" t="str">
        <f>IFERROR('2.3'!E105/'2.1'!E116,"")</f>
        <v/>
      </c>
      <c r="F118" s="409" t="str">
        <f>IFERROR('2.3'!F105/'2.1'!F116,"")</f>
        <v/>
      </c>
      <c r="G118" s="409" t="str">
        <f>IFERROR('2.3'!G105/'2.1'!G116,"")</f>
        <v/>
      </c>
      <c r="H118" s="409" t="str">
        <f>IFERROR('2.3'!H105/'2.1'!H116,"")</f>
        <v/>
      </c>
      <c r="I118" s="409">
        <f>IFERROR('2.3'!I105/'2.1'!I116,"")</f>
        <v>0.89797837329572172</v>
      </c>
      <c r="J118" s="409">
        <f>IFERROR('2.3'!J105/'2.1'!J116,"")</f>
        <v>0.91558441558441561</v>
      </c>
      <c r="K118" s="409">
        <f>IFERROR('2.3'!K105/'2.1'!K116,"")</f>
        <v>0.90193219103171707</v>
      </c>
      <c r="L118" s="409">
        <f>IFERROR('2.3'!L105/'2.1'!L116,"")</f>
        <v>0.52826086956521734</v>
      </c>
      <c r="M118" s="409">
        <f>IFERROR('2.3'!M105/'2.1'!M116,"")</f>
        <v>0.77386934673366836</v>
      </c>
      <c r="N118" s="409">
        <f>IFERROR('2.3'!N105/'2.1'!N116,"")</f>
        <v>0.60242792109256449</v>
      </c>
      <c r="O118" s="409">
        <f>IFERROR('2.3'!O105/'2.1'!O116,"")</f>
        <v>0.80676328502415462</v>
      </c>
      <c r="P118" s="409">
        <f>IFERROR('2.3'!P105/'2.1'!P116,"")</f>
        <v>0.8463485177151121</v>
      </c>
      <c r="Q118" s="409">
        <f>IFERROR('2.3'!Q105/'2.1'!Q116,"")</f>
        <v>0.8247778874629812</v>
      </c>
      <c r="R118" s="409">
        <f>IFERROR('2.3'!R105/'2.1'!R116,"")</f>
        <v>0.890625</v>
      </c>
      <c r="S118" s="409">
        <f>IFERROR('2.3'!S105/'2.1'!S116,"")</f>
        <v>0.92941176470588238</v>
      </c>
      <c r="T118" s="409">
        <f>IFERROR('2.3'!T105/'2.1'!T116,"")</f>
        <v>0.90883977900552482</v>
      </c>
      <c r="U118" s="409">
        <f>IFERROR('2.3'!U105/'2.1'!X116,"")</f>
        <v>0.79972523278888719</v>
      </c>
      <c r="V118" s="409">
        <f>IFERROR('2.3'!V105/'2.1'!Y116,"")</f>
        <v>0.85341772151898732</v>
      </c>
      <c r="W118" s="409">
        <f>IFERROR('2.3'!W105/'2.1'!Z116,"")</f>
        <v>0.81992191219883825</v>
      </c>
    </row>
    <row r="119" spans="2:23" collapsed="1" x14ac:dyDescent="0.25">
      <c r="B119" s="407" t="s">
        <v>755</v>
      </c>
      <c r="C119" s="410" t="str">
        <f>IFERROR('2.3'!C106/'2.1'!C117,"")</f>
        <v/>
      </c>
      <c r="D119" s="410" t="str">
        <f>IFERROR('2.3'!D106/'2.1'!D117,"")</f>
        <v/>
      </c>
      <c r="E119" s="410" t="str">
        <f>IFERROR('2.3'!E106/'2.1'!E117,"")</f>
        <v/>
      </c>
      <c r="F119" s="410" t="str">
        <f>IFERROR('2.3'!F106/'2.1'!F117,"")</f>
        <v/>
      </c>
      <c r="G119" s="410" t="str">
        <f>IFERROR('2.3'!G106/'2.1'!G117,"")</f>
        <v/>
      </c>
      <c r="H119" s="410" t="str">
        <f>IFERROR('2.3'!H106/'2.1'!H117,"")</f>
        <v/>
      </c>
      <c r="I119" s="410">
        <f>IFERROR('2.3'!I106/'2.1'!I117,"")</f>
        <v>0.81420118343195269</v>
      </c>
      <c r="J119" s="410">
        <f>IFERROR('2.3'!J106/'2.1'!J117,"")</f>
        <v>0.86898395721925137</v>
      </c>
      <c r="K119" s="410">
        <f>IFERROR('2.3'!K106/'2.1'!K117,"")</f>
        <v>0.82668291197075849</v>
      </c>
      <c r="L119" s="410">
        <f>IFERROR('2.3'!L106/'2.1'!L117,"")</f>
        <v>0.5</v>
      </c>
      <c r="M119" s="410">
        <f>IFERROR('2.3'!M106/'2.1'!M117,"")</f>
        <v>0.73860911270983209</v>
      </c>
      <c r="N119" s="410">
        <f>IFERROR('2.3'!N106/'2.1'!N117,"")</f>
        <v>0.56830601092896171</v>
      </c>
      <c r="O119" s="410">
        <f>IFERROR('2.3'!O106/'2.1'!O117,"")</f>
        <v>0.77706019116507363</v>
      </c>
      <c r="P119" s="410">
        <f>IFERROR('2.3'!P106/'2.1'!P117,"")</f>
        <v>0.80672748004561001</v>
      </c>
      <c r="Q119" s="410">
        <f>IFERROR('2.3'!Q106/'2.1'!Q117,"")</f>
        <v>0.79116411437864209</v>
      </c>
      <c r="R119" s="410">
        <f>IFERROR('2.3'!R106/'2.1'!R117,"")</f>
        <v>0.83508771929824566</v>
      </c>
      <c r="S119" s="410">
        <f>IFERROR('2.3'!S106/'2.1'!S117,"")</f>
        <v>0.91363636363636369</v>
      </c>
      <c r="T119" s="410">
        <f>IFERROR('2.3'!T106/'2.1'!T117,"")</f>
        <v>0.8693069306930693</v>
      </c>
      <c r="U119" s="410">
        <f>IFERROR('2.3'!U106/'2.1'!X117,"")</f>
        <v>0.7539415869733781</v>
      </c>
      <c r="V119" s="410">
        <f>IFERROR('2.3'!V106/'2.1'!Y117,"")</f>
        <v>0.81561733442354867</v>
      </c>
      <c r="W119" s="410">
        <f>IFERROR('2.3'!W106/'2.1'!Z117,"")</f>
        <v>0.77783056215360258</v>
      </c>
    </row>
    <row r="120" spans="2:23" hidden="1" outlineLevel="1" x14ac:dyDescent="0.25">
      <c r="B120" s="404">
        <v>42005</v>
      </c>
      <c r="C120" s="409" t="str">
        <f>IFERROR('2.3'!C107/'2.1'!C118,"")</f>
        <v/>
      </c>
      <c r="D120" s="409" t="str">
        <f>IFERROR('2.3'!D107/'2.1'!D118,"")</f>
        <v/>
      </c>
      <c r="E120" s="409" t="str">
        <f>IFERROR('2.3'!E107/'2.1'!E118,"")</f>
        <v/>
      </c>
      <c r="F120" s="409" t="str">
        <f>IFERROR('2.3'!F107/'2.1'!F118,"")</f>
        <v/>
      </c>
      <c r="G120" s="409" t="str">
        <f>IFERROR('2.3'!G107/'2.1'!G118,"")</f>
        <v/>
      </c>
      <c r="H120" s="409" t="str">
        <f>IFERROR('2.3'!H107/'2.1'!H118,"")</f>
        <v/>
      </c>
      <c r="I120" s="409">
        <f>IFERROR('2.3'!I107/'2.1'!I118,"")</f>
        <v>0.83140569395017794</v>
      </c>
      <c r="J120" s="409">
        <f>IFERROR('2.3'!J107/'2.1'!J118,"")</f>
        <v>0.86626139817629177</v>
      </c>
      <c r="K120" s="409">
        <f>IFERROR('2.3'!K107/'2.1'!K118,"")</f>
        <v>0.83929800412938749</v>
      </c>
      <c r="L120" s="409">
        <f>IFERROR('2.3'!L107/'2.1'!L118,"")</f>
        <v>0.56393129770992367</v>
      </c>
      <c r="M120" s="409">
        <f>IFERROR('2.3'!M107/'2.1'!M118,"")</f>
        <v>0.81352459016393441</v>
      </c>
      <c r="N120" s="409">
        <f>IFERROR('2.3'!N107/'2.1'!N118,"")</f>
        <v>0.64322916666666663</v>
      </c>
      <c r="O120" s="409">
        <f>IFERROR('2.3'!O107/'2.1'!O118,"")</f>
        <v>0.75533617929562435</v>
      </c>
      <c r="P120" s="409">
        <f>IFERROR('2.3'!P107/'2.1'!P118,"")</f>
        <v>0.78470547709266281</v>
      </c>
      <c r="Q120" s="409">
        <f>IFERROR('2.3'!Q107/'2.1'!Q118,"")</f>
        <v>0.7681551646368967</v>
      </c>
      <c r="R120" s="409">
        <f>IFERROR('2.3'!R107/'2.1'!R118,"")</f>
        <v>0.74576271186440679</v>
      </c>
      <c r="S120" s="409">
        <f>IFERROR('2.3'!S107/'2.1'!S118,"")</f>
        <v>0.85858585858585856</v>
      </c>
      <c r="T120" s="409">
        <f>IFERROR('2.3'!T107/'2.1'!T118,"")</f>
        <v>0.79723502304147464</v>
      </c>
      <c r="U120" s="409">
        <f>IFERROR('2.3'!U107/'2.1'!X118,"")</f>
        <v>0.75104719352136273</v>
      </c>
      <c r="V120" s="409">
        <f>IFERROR('2.3'!V107/'2.1'!Y118,"")</f>
        <v>0.80279652844744454</v>
      </c>
      <c r="W120" s="409">
        <f>IFERROR('2.3'!W107/'2.1'!Z118,"")</f>
        <v>0.77002652519893899</v>
      </c>
    </row>
    <row r="121" spans="2:23" hidden="1" outlineLevel="1" x14ac:dyDescent="0.25">
      <c r="B121" s="404">
        <v>42036</v>
      </c>
      <c r="C121" s="409" t="str">
        <f>IFERROR('2.3'!C108/'2.1'!C119,"")</f>
        <v/>
      </c>
      <c r="D121" s="409" t="str">
        <f>IFERROR('2.3'!D108/'2.1'!D119,"")</f>
        <v/>
      </c>
      <c r="E121" s="409" t="str">
        <f>IFERROR('2.3'!E108/'2.1'!E119,"")</f>
        <v/>
      </c>
      <c r="F121" s="409" t="str">
        <f>IFERROR('2.3'!F108/'2.1'!F119,"")</f>
        <v/>
      </c>
      <c r="G121" s="409" t="str">
        <f>IFERROR('2.3'!G108/'2.1'!G119,"")</f>
        <v/>
      </c>
      <c r="H121" s="409" t="str">
        <f>IFERROR('2.3'!H108/'2.1'!H119,"")</f>
        <v/>
      </c>
      <c r="I121" s="409">
        <f>IFERROR('2.3'!I108/'2.1'!I119,"")</f>
        <v>0.85963114754098358</v>
      </c>
      <c r="J121" s="409">
        <f>IFERROR('2.3'!J108/'2.1'!J119,"")</f>
        <v>0.87175043327556323</v>
      </c>
      <c r="K121" s="409">
        <f>IFERROR('2.3'!K108/'2.1'!K119,"")</f>
        <v>0.86239620403321471</v>
      </c>
      <c r="L121" s="409">
        <f>IFERROR('2.3'!L108/'2.1'!L119,"")</f>
        <v>0.54573484069886946</v>
      </c>
      <c r="M121" s="409">
        <f>IFERROR('2.3'!M108/'2.1'!M119,"")</f>
        <v>0.77701149425287352</v>
      </c>
      <c r="N121" s="409">
        <f>IFERROR('2.3'!N108/'2.1'!N119,"")</f>
        <v>0.6171875</v>
      </c>
      <c r="O121" s="409">
        <f>IFERROR('2.3'!O108/'2.1'!O119,"")</f>
        <v>0.79686593151479979</v>
      </c>
      <c r="P121" s="409">
        <f>IFERROR('2.3'!P108/'2.1'!P119,"")</f>
        <v>0.82010582010582012</v>
      </c>
      <c r="Q121" s="409">
        <f>IFERROR('2.3'!Q108/'2.1'!Q119,"")</f>
        <v>0.80735551663747807</v>
      </c>
      <c r="R121" s="409">
        <f>IFERROR('2.3'!R108/'2.1'!R119,"")</f>
        <v>0.75824175824175821</v>
      </c>
      <c r="S121" s="409">
        <f>IFERROR('2.3'!S108/'2.1'!S119,"")</f>
        <v>0.89411764705882357</v>
      </c>
      <c r="T121" s="409">
        <f>IFERROR('2.3'!T108/'2.1'!T119,"")</f>
        <v>0.82386363636363635</v>
      </c>
      <c r="U121" s="409">
        <f>IFERROR('2.3'!U108/'2.1'!X119,"")</f>
        <v>0.77746827607551838</v>
      </c>
      <c r="V121" s="409">
        <f>IFERROR('2.3'!V108/'2.1'!Y119,"")</f>
        <v>0.8245167853509664</v>
      </c>
      <c r="W121" s="409">
        <f>IFERROR('2.3'!W108/'2.1'!Z119,"")</f>
        <v>0.79526649990379061</v>
      </c>
    </row>
    <row r="122" spans="2:23" hidden="1" outlineLevel="1" x14ac:dyDescent="0.25">
      <c r="B122" s="404">
        <v>42064</v>
      </c>
      <c r="C122" s="409" t="str">
        <f>IFERROR('2.3'!C109/'2.1'!C120,"")</f>
        <v/>
      </c>
      <c r="D122" s="409" t="str">
        <f>IFERROR('2.3'!D109/'2.1'!D120,"")</f>
        <v/>
      </c>
      <c r="E122" s="409" t="str">
        <f>IFERROR('2.3'!E109/'2.1'!E120,"")</f>
        <v/>
      </c>
      <c r="F122" s="409" t="str">
        <f>IFERROR('2.3'!F109/'2.1'!F120,"")</f>
        <v/>
      </c>
      <c r="G122" s="409" t="str">
        <f>IFERROR('2.3'!G109/'2.1'!G120,"")</f>
        <v/>
      </c>
      <c r="H122" s="409" t="str">
        <f>IFERROR('2.3'!H109/'2.1'!H120,"")</f>
        <v/>
      </c>
      <c r="I122" s="409">
        <f>IFERROR('2.3'!I109/'2.1'!I120,"")</f>
        <v>0.84253393665158371</v>
      </c>
      <c r="J122" s="409">
        <f>IFERROR('2.3'!J109/'2.1'!J120,"")</f>
        <v>0.86535552193645993</v>
      </c>
      <c r="K122" s="409">
        <f>IFERROR('2.3'!K109/'2.1'!K120,"")</f>
        <v>0.84778822709857193</v>
      </c>
      <c r="L122" s="409">
        <f>IFERROR('2.3'!L109/'2.1'!L120,"")</f>
        <v>0.54903536977491962</v>
      </c>
      <c r="M122" s="409">
        <f>IFERROR('2.3'!M109/'2.1'!M120,"")</f>
        <v>0.80148423005565861</v>
      </c>
      <c r="N122" s="409">
        <f>IFERROR('2.3'!N109/'2.1'!N120,"")</f>
        <v>0.62535053280987096</v>
      </c>
      <c r="O122" s="409">
        <f>IFERROR('2.3'!O109/'2.1'!O120,"")</f>
        <v>0.77154452136548102</v>
      </c>
      <c r="P122" s="409">
        <f>IFERROR('2.3'!P109/'2.1'!P120,"")</f>
        <v>0.81221461187214616</v>
      </c>
      <c r="Q122" s="409">
        <f>IFERROR('2.3'!Q109/'2.1'!Q120,"")</f>
        <v>0.79006889379955803</v>
      </c>
      <c r="R122" s="409">
        <f>IFERROR('2.3'!R109/'2.1'!R120,"")</f>
        <v>0.79130434782608694</v>
      </c>
      <c r="S122" s="409">
        <f>IFERROR('2.3'!S109/'2.1'!S120,"")</f>
        <v>0.84745762711864403</v>
      </c>
      <c r="T122" s="409">
        <f>IFERROR('2.3'!T109/'2.1'!T120,"")</f>
        <v>0.81974248927038629</v>
      </c>
      <c r="U122" s="409">
        <f>IFERROR('2.3'!U109/'2.1'!X120,"")</f>
        <v>0.75638051044083532</v>
      </c>
      <c r="V122" s="409">
        <f>IFERROR('2.3'!V109/'2.1'!Y120,"")</f>
        <v>0.81916217337204478</v>
      </c>
      <c r="W122" s="409">
        <f>IFERROR('2.3'!W109/'2.1'!Z120,"")</f>
        <v>0.7804451510333863</v>
      </c>
    </row>
    <row r="123" spans="2:23" hidden="1" outlineLevel="1" x14ac:dyDescent="0.25">
      <c r="B123" s="404">
        <v>42095</v>
      </c>
      <c r="C123" s="409" t="str">
        <f>IFERROR('2.3'!C110/'2.1'!C121,"")</f>
        <v/>
      </c>
      <c r="D123" s="409" t="str">
        <f>IFERROR('2.3'!D110/'2.1'!D121,"")</f>
        <v/>
      </c>
      <c r="E123" s="409" t="str">
        <f>IFERROR('2.3'!E110/'2.1'!E121,"")</f>
        <v/>
      </c>
      <c r="F123" s="409" t="str">
        <f>IFERROR('2.3'!F110/'2.1'!F121,"")</f>
        <v/>
      </c>
      <c r="G123" s="409" t="str">
        <f>IFERROR('2.3'!G110/'2.1'!G121,"")</f>
        <v/>
      </c>
      <c r="H123" s="409" t="str">
        <f>IFERROR('2.3'!H110/'2.1'!H121,"")</f>
        <v/>
      </c>
      <c r="I123" s="409">
        <f>IFERROR('2.3'!I110/'2.1'!I121,"")</f>
        <v>0.8378812199036918</v>
      </c>
      <c r="J123" s="409">
        <f>IFERROR('2.3'!J110/'2.1'!J121,"")</f>
        <v>0.89455184534270649</v>
      </c>
      <c r="K123" s="409">
        <f>IFERROR('2.3'!K110/'2.1'!K121,"")</f>
        <v>0.85110746513535684</v>
      </c>
      <c r="L123" s="409">
        <f>IFERROR('2.3'!L110/'2.1'!L121,"")</f>
        <v>0.5476419634263715</v>
      </c>
      <c r="M123" s="409">
        <f>IFERROR('2.3'!M110/'2.1'!M121,"")</f>
        <v>0.79958246346555328</v>
      </c>
      <c r="N123" s="409">
        <f>IFERROR('2.3'!N110/'2.1'!N121,"")</f>
        <v>0.62714097496706189</v>
      </c>
      <c r="O123" s="409">
        <f>IFERROR('2.3'!O110/'2.1'!O121,"")</f>
        <v>0.77452054794520553</v>
      </c>
      <c r="P123" s="409">
        <f>IFERROR('2.3'!P110/'2.1'!P121,"")</f>
        <v>0.81568088033012376</v>
      </c>
      <c r="Q123" s="409">
        <f>IFERROR('2.3'!Q110/'2.1'!Q121,"")</f>
        <v>0.79277218664226901</v>
      </c>
      <c r="R123" s="409">
        <f>IFERROR('2.3'!R110/'2.1'!R121,"")</f>
        <v>0.75257731958762886</v>
      </c>
      <c r="S123" s="409">
        <f>IFERROR('2.3'!S110/'2.1'!S121,"")</f>
        <v>0.87096774193548387</v>
      </c>
      <c r="T123" s="409">
        <f>IFERROR('2.3'!T110/'2.1'!T121,"")</f>
        <v>0.81052631578947365</v>
      </c>
      <c r="U123" s="409">
        <f>IFERROR('2.3'!U110/'2.1'!X121,"")</f>
        <v>0.75657400450788881</v>
      </c>
      <c r="V123" s="409">
        <f>IFERROR('2.3'!V110/'2.1'!Y121,"")</f>
        <v>0.82612990861941216</v>
      </c>
      <c r="W123" s="409">
        <f>IFERROR('2.3'!W110/'2.1'!Z121,"")</f>
        <v>0.78288490284005974</v>
      </c>
    </row>
    <row r="124" spans="2:23" hidden="1" outlineLevel="1" x14ac:dyDescent="0.25">
      <c r="B124" s="404">
        <v>42125</v>
      </c>
      <c r="C124" s="409" t="str">
        <f>IFERROR('2.3'!C111/'2.1'!C122,"")</f>
        <v/>
      </c>
      <c r="D124" s="409" t="str">
        <f>IFERROR('2.3'!D111/'2.1'!D122,"")</f>
        <v/>
      </c>
      <c r="E124" s="409" t="str">
        <f>IFERROR('2.3'!E111/'2.1'!E122,"")</f>
        <v/>
      </c>
      <c r="F124" s="409" t="str">
        <f>IFERROR('2.3'!F111/'2.1'!F122,"")</f>
        <v/>
      </c>
      <c r="G124" s="409" t="str">
        <f>IFERROR('2.3'!G111/'2.1'!G122,"")</f>
        <v/>
      </c>
      <c r="H124" s="409" t="str">
        <f>IFERROR('2.3'!H111/'2.1'!H122,"")</f>
        <v/>
      </c>
      <c r="I124" s="409">
        <f>IFERROR('2.3'!I111/'2.1'!I122,"")</f>
        <v>0.86078199052132698</v>
      </c>
      <c r="J124" s="409">
        <f>IFERROR('2.3'!J111/'2.1'!J122,"")</f>
        <v>0.8908507223113965</v>
      </c>
      <c r="K124" s="409">
        <f>IFERROR('2.3'!K111/'2.1'!K122,"")</f>
        <v>0.86888792730419728</v>
      </c>
      <c r="L124" s="409">
        <f>IFERROR('2.3'!L111/'2.1'!L122,"")</f>
        <v>0.57471264367816088</v>
      </c>
      <c r="M124" s="409">
        <f>IFERROR('2.3'!M111/'2.1'!M122,"")</f>
        <v>0.79591836734693877</v>
      </c>
      <c r="N124" s="409">
        <f>IFERROR('2.3'!N111/'2.1'!N122,"")</f>
        <v>0.63899184581171242</v>
      </c>
      <c r="O124" s="409">
        <f>IFERROR('2.3'!O111/'2.1'!O122,"")</f>
        <v>0.81411192214111927</v>
      </c>
      <c r="P124" s="409">
        <f>IFERROR('2.3'!P111/'2.1'!P122,"")</f>
        <v>0.85908393600701294</v>
      </c>
      <c r="Q124" s="409">
        <f>IFERROR('2.3'!Q111/'2.1'!Q122,"")</f>
        <v>0.83777239709443097</v>
      </c>
      <c r="R124" s="409">
        <f>IFERROR('2.3'!R111/'2.1'!R122,"")</f>
        <v>0.91129032258064513</v>
      </c>
      <c r="S124" s="409">
        <f>IFERROR('2.3'!S111/'2.1'!S122,"")</f>
        <v>0.9107142857142857</v>
      </c>
      <c r="T124" s="409">
        <f>IFERROR('2.3'!T111/'2.1'!T122,"")</f>
        <v>0.91101694915254239</v>
      </c>
      <c r="U124" s="409">
        <f>IFERROR('2.3'!U111/'2.1'!X122,"")</f>
        <v>0.7940107573775258</v>
      </c>
      <c r="V124" s="409">
        <f>IFERROR('2.3'!V111/'2.1'!Y122,"")</f>
        <v>0.85922671353251323</v>
      </c>
      <c r="W124" s="409">
        <f>IFERROR('2.3'!W111/'2.1'!Z122,"")</f>
        <v>0.82353409181319115</v>
      </c>
    </row>
    <row r="125" spans="2:23" hidden="1" outlineLevel="1" x14ac:dyDescent="0.25">
      <c r="B125" s="404">
        <v>42156</v>
      </c>
      <c r="C125" s="409" t="str">
        <f>IFERROR('2.3'!C112/'2.1'!C123,"")</f>
        <v/>
      </c>
      <c r="D125" s="409" t="str">
        <f>IFERROR('2.3'!D112/'2.1'!D123,"")</f>
        <v/>
      </c>
      <c r="E125" s="409" t="str">
        <f>IFERROR('2.3'!E112/'2.1'!E123,"")</f>
        <v/>
      </c>
      <c r="F125" s="409" t="str">
        <f>IFERROR('2.3'!F112/'2.1'!F123,"")</f>
        <v/>
      </c>
      <c r="G125" s="409" t="str">
        <f>IFERROR('2.3'!G112/'2.1'!G123,"")</f>
        <v/>
      </c>
      <c r="H125" s="409" t="str">
        <f>IFERROR('2.3'!H112/'2.1'!H123,"")</f>
        <v/>
      </c>
      <c r="I125" s="409">
        <f>IFERROR('2.3'!I112/'2.1'!I123,"")</f>
        <v>0.83479212253829327</v>
      </c>
      <c r="J125" s="409">
        <f>IFERROR('2.3'!J112/'2.1'!J123,"")</f>
        <v>0.84653465346534651</v>
      </c>
      <c r="K125" s="409">
        <f>IFERROR('2.3'!K112/'2.1'!K123,"")</f>
        <v>0.83771569433032045</v>
      </c>
      <c r="L125" s="409">
        <f>IFERROR('2.3'!L112/'2.1'!L123,"")</f>
        <v>0.56003937007874016</v>
      </c>
      <c r="M125" s="409">
        <f>IFERROR('2.3'!M112/'2.1'!M123,"")</f>
        <v>0.8</v>
      </c>
      <c r="N125" s="409">
        <f>IFERROR('2.3'!N112/'2.1'!N123,"")</f>
        <v>0.63369713506139158</v>
      </c>
      <c r="O125" s="409">
        <f>IFERROR('2.3'!O112/'2.1'!O123,"")</f>
        <v>0.79056190707856966</v>
      </c>
      <c r="P125" s="409">
        <f>IFERROR('2.3'!P112/'2.1'!P123,"")</f>
        <v>0.83247909360669003</v>
      </c>
      <c r="Q125" s="409">
        <f>IFERROR('2.3'!Q112/'2.1'!Q123,"")</f>
        <v>0.81043745203376827</v>
      </c>
      <c r="R125" s="409">
        <f>IFERROR('2.3'!R112/'2.1'!R123,"")</f>
        <v>0.80180180180180183</v>
      </c>
      <c r="S125" s="409">
        <f>IFERROR('2.3'!S112/'2.1'!S123,"")</f>
        <v>0.84297520661157022</v>
      </c>
      <c r="T125" s="409">
        <f>IFERROR('2.3'!T112/'2.1'!T123,"")</f>
        <v>0.82327586206896552</v>
      </c>
      <c r="U125" s="409">
        <f>IFERROR('2.3'!U112/'2.1'!X123,"")</f>
        <v>0.76903481460515144</v>
      </c>
      <c r="V125" s="409">
        <f>IFERROR('2.3'!V112/'2.1'!Y123,"")</f>
        <v>0.83149058149058153</v>
      </c>
      <c r="W125" s="409">
        <f>IFERROR('2.3'!W112/'2.1'!Z123,"")</f>
        <v>0.79456066945606696</v>
      </c>
    </row>
    <row r="126" spans="2:23" hidden="1" outlineLevel="1" x14ac:dyDescent="0.25">
      <c r="B126" s="404">
        <v>42186</v>
      </c>
      <c r="C126" s="409" t="str">
        <f>IFERROR('2.3'!C113/'2.1'!C124,"")</f>
        <v/>
      </c>
      <c r="D126" s="409" t="str">
        <f>IFERROR('2.3'!D113/'2.1'!D124,"")</f>
        <v/>
      </c>
      <c r="E126" s="409" t="str">
        <f>IFERROR('2.3'!E113/'2.1'!E124,"")</f>
        <v/>
      </c>
      <c r="F126" s="409" t="str">
        <f>IFERROR('2.3'!F113/'2.1'!F124,"")</f>
        <v/>
      </c>
      <c r="G126" s="409" t="str">
        <f>IFERROR('2.3'!G113/'2.1'!G124,"")</f>
        <v/>
      </c>
      <c r="H126" s="409" t="str">
        <f>IFERROR('2.3'!H113/'2.1'!H124,"")</f>
        <v/>
      </c>
      <c r="I126" s="409">
        <f>IFERROR('2.3'!I113/'2.1'!I124,"")</f>
        <v>0.81867858917039249</v>
      </c>
      <c r="J126" s="409">
        <f>IFERROR('2.3'!J113/'2.1'!J124,"")</f>
        <v>0.87303851640513552</v>
      </c>
      <c r="K126" s="409">
        <f>IFERROR('2.3'!K113/'2.1'!K124,"")</f>
        <v>0.83271923360353717</v>
      </c>
      <c r="L126" s="409">
        <f>IFERROR('2.3'!L113/'2.1'!L124,"")</f>
        <v>0.54223433242506813</v>
      </c>
      <c r="M126" s="409">
        <f>IFERROR('2.3'!M113/'2.1'!M124,"")</f>
        <v>0.77844311377245512</v>
      </c>
      <c r="N126" s="409">
        <f>IFERROR('2.3'!N113/'2.1'!N124,"")</f>
        <v>0.61610486891385763</v>
      </c>
      <c r="O126" s="409">
        <f>IFERROR('2.3'!O113/'2.1'!O124,"")</f>
        <v>0.77782571182053495</v>
      </c>
      <c r="P126" s="409">
        <f>IFERROR('2.3'!P113/'2.1'!P124,"")</f>
        <v>0.81148018648018649</v>
      </c>
      <c r="Q126" s="409">
        <f>IFERROR('2.3'!Q113/'2.1'!Q124,"")</f>
        <v>0.79214179474467028</v>
      </c>
      <c r="R126" s="409">
        <f>IFERROR('2.3'!R113/'2.1'!R124,"")</f>
        <v>0.72566371681415931</v>
      </c>
      <c r="S126" s="409">
        <f>IFERROR('2.3'!S113/'2.1'!S124,"")</f>
        <v>0.84</v>
      </c>
      <c r="T126" s="409">
        <f>IFERROR('2.3'!T113/'2.1'!T124,"")</f>
        <v>0.77934272300469487</v>
      </c>
      <c r="U126" s="409">
        <f>IFERROR('2.3'!U113/'2.1'!X124,"")</f>
        <v>0.75454661070838103</v>
      </c>
      <c r="V126" s="409">
        <f>IFERROR('2.3'!V113/'2.1'!Y124,"")</f>
        <v>0.81770173215040132</v>
      </c>
      <c r="W126" s="409">
        <f>IFERROR('2.3'!W113/'2.1'!Z124,"")</f>
        <v>0.77828054298642535</v>
      </c>
    </row>
    <row r="127" spans="2:23" hidden="1" outlineLevel="1" x14ac:dyDescent="0.25">
      <c r="B127" s="404">
        <v>42217</v>
      </c>
      <c r="C127" s="409" t="str">
        <f>IFERROR('2.3'!C114/'2.1'!C125,"")</f>
        <v/>
      </c>
      <c r="D127" s="409" t="str">
        <f>IFERROR('2.3'!D114/'2.1'!D125,"")</f>
        <v/>
      </c>
      <c r="E127" s="409" t="str">
        <f>IFERROR('2.3'!E114/'2.1'!E125,"")</f>
        <v/>
      </c>
      <c r="F127" s="409" t="str">
        <f>IFERROR('2.3'!F114/'2.1'!F125,"")</f>
        <v/>
      </c>
      <c r="G127" s="409" t="str">
        <f>IFERROR('2.3'!G114/'2.1'!G125,"")</f>
        <v/>
      </c>
      <c r="H127" s="409" t="str">
        <f>IFERROR('2.3'!H114/'2.1'!H125,"")</f>
        <v/>
      </c>
      <c r="I127" s="409">
        <f>IFERROR('2.3'!I114/'2.1'!I125,"")</f>
        <v>0.85017249876786594</v>
      </c>
      <c r="J127" s="409">
        <f>IFERROR('2.3'!J114/'2.1'!J125,"")</f>
        <v>0.88091603053435119</v>
      </c>
      <c r="K127" s="409">
        <f>IFERROR('2.3'!K114/'2.1'!K125,"")</f>
        <v>0.85767511177347244</v>
      </c>
      <c r="L127" s="409">
        <f>IFERROR('2.3'!L114/'2.1'!L125,"")</f>
        <v>0.55225225225225227</v>
      </c>
      <c r="M127" s="409">
        <f>IFERROR('2.3'!M114/'2.1'!M125,"")</f>
        <v>0.77066115702479343</v>
      </c>
      <c r="N127" s="409">
        <f>IFERROR('2.3'!N114/'2.1'!N125,"")</f>
        <v>0.61856963613550819</v>
      </c>
      <c r="O127" s="409">
        <f>IFERROR('2.3'!O114/'2.1'!O125,"")</f>
        <v>0.79331941544885176</v>
      </c>
      <c r="P127" s="409">
        <f>IFERROR('2.3'!P114/'2.1'!P125,"")</f>
        <v>0.83741781231320978</v>
      </c>
      <c r="Q127" s="409">
        <f>IFERROR('2.3'!Q114/'2.1'!Q125,"")</f>
        <v>0.81258978712289409</v>
      </c>
      <c r="R127" s="409">
        <f>IFERROR('2.3'!R114/'2.1'!R125,"")</f>
        <v>0.85185185185185186</v>
      </c>
      <c r="S127" s="409">
        <f>IFERROR('2.3'!S114/'2.1'!S125,"")</f>
        <v>0.87755102040816324</v>
      </c>
      <c r="T127" s="409">
        <f>IFERROR('2.3'!T114/'2.1'!T125,"")</f>
        <v>0.86407766990291257</v>
      </c>
      <c r="U127" s="409">
        <f>IFERROR('2.3'!U114/'2.1'!X125,"")</f>
        <v>0.77401428949457529</v>
      </c>
      <c r="V127" s="409">
        <f>IFERROR('2.3'!V114/'2.1'!Y125,"")</f>
        <v>0.83744272310713508</v>
      </c>
      <c r="W127" s="409">
        <f>IFERROR('2.3'!W114/'2.1'!Z125,"")</f>
        <v>0.7979573346511819</v>
      </c>
    </row>
    <row r="128" spans="2:23" hidden="1" outlineLevel="1" x14ac:dyDescent="0.25">
      <c r="B128" s="404">
        <v>42248</v>
      </c>
      <c r="C128" s="409" t="str">
        <f>IFERROR('2.3'!C115/'2.1'!C126,"")</f>
        <v/>
      </c>
      <c r="D128" s="409" t="str">
        <f>IFERROR('2.3'!D115/'2.1'!D126,"")</f>
        <v/>
      </c>
      <c r="E128" s="409" t="str">
        <f>IFERROR('2.3'!E115/'2.1'!E126,"")</f>
        <v/>
      </c>
      <c r="F128" s="409" t="str">
        <f>IFERROR('2.3'!F115/'2.1'!F126,"")</f>
        <v/>
      </c>
      <c r="G128" s="409" t="str">
        <f>IFERROR('2.3'!G115/'2.1'!G126,"")</f>
        <v/>
      </c>
      <c r="H128" s="409" t="str">
        <f>IFERROR('2.3'!H115/'2.1'!H126,"")</f>
        <v/>
      </c>
      <c r="I128" s="409">
        <f>IFERROR('2.3'!I115/'2.1'!I126,"")</f>
        <v>0.83586626139817632</v>
      </c>
      <c r="J128" s="409">
        <f>IFERROR('2.3'!J115/'2.1'!J126,"")</f>
        <v>0.87878787878787878</v>
      </c>
      <c r="K128" s="409">
        <f>IFERROR('2.3'!K115/'2.1'!K126,"")</f>
        <v>0.84621299500192237</v>
      </c>
      <c r="L128" s="409">
        <f>IFERROR('2.3'!L115/'2.1'!L126,"")</f>
        <v>0.57706422018348624</v>
      </c>
      <c r="M128" s="409">
        <f>IFERROR('2.3'!M115/'2.1'!M126,"")</f>
        <v>0.77389705882352944</v>
      </c>
      <c r="N128" s="409">
        <f>IFERROR('2.3'!N115/'2.1'!N126,"")</f>
        <v>0.64259485924112603</v>
      </c>
      <c r="O128" s="409">
        <f>IFERROR('2.3'!O115/'2.1'!O126,"")</f>
        <v>0.78559543617779892</v>
      </c>
      <c r="P128" s="409">
        <f>IFERROR('2.3'!P115/'2.1'!P126,"")</f>
        <v>0.82770066385033192</v>
      </c>
      <c r="Q128" s="409">
        <f>IFERROR('2.3'!Q115/'2.1'!Q126,"")</f>
        <v>0.8041483845233347</v>
      </c>
      <c r="R128" s="409">
        <f>IFERROR('2.3'!R115/'2.1'!R126,"")</f>
        <v>0.86250000000000004</v>
      </c>
      <c r="S128" s="409">
        <f>IFERROR('2.3'!S115/'2.1'!S126,"")</f>
        <v>0.80952380952380953</v>
      </c>
      <c r="T128" s="409">
        <f>IFERROR('2.3'!T115/'2.1'!T126,"")</f>
        <v>0.83536585365853655</v>
      </c>
      <c r="U128" s="409">
        <f>IFERROR('2.3'!U115/'2.1'!X126,"")</f>
        <v>0.76901101890899193</v>
      </c>
      <c r="V128" s="409">
        <f>IFERROR('2.3'!V115/'2.1'!Y126,"")</f>
        <v>0.8279711096520026</v>
      </c>
      <c r="W128" s="409">
        <f>IFERROR('2.3'!W115/'2.1'!Z126,"")</f>
        <v>0.79161073825503359</v>
      </c>
    </row>
    <row r="129" spans="2:23" hidden="1" outlineLevel="1" x14ac:dyDescent="0.25">
      <c r="B129" s="404">
        <v>42278</v>
      </c>
      <c r="C129" s="409" t="str">
        <f>IFERROR('2.3'!C116/'2.1'!C127,"")</f>
        <v/>
      </c>
      <c r="D129" s="409" t="str">
        <f>IFERROR('2.3'!D116/'2.1'!D127,"")</f>
        <v/>
      </c>
      <c r="E129" s="409" t="str">
        <f>IFERROR('2.3'!E116/'2.1'!E127,"")</f>
        <v/>
      </c>
      <c r="F129" s="409" t="str">
        <f>IFERROR('2.3'!F116/'2.1'!F127,"")</f>
        <v/>
      </c>
      <c r="G129" s="409" t="str">
        <f>IFERROR('2.3'!G116/'2.1'!G127,"")</f>
        <v/>
      </c>
      <c r="H129" s="409" t="str">
        <f>IFERROR('2.3'!H116/'2.1'!H127,"")</f>
        <v/>
      </c>
      <c r="I129" s="409">
        <f>IFERROR('2.3'!I116/'2.1'!I127,"")</f>
        <v>0.82132424537487825</v>
      </c>
      <c r="J129" s="409">
        <f>IFERROR('2.3'!J116/'2.1'!J127,"")</f>
        <v>0.86906474820143886</v>
      </c>
      <c r="K129" s="409">
        <f>IFERROR('2.3'!K116/'2.1'!K127,"")</f>
        <v>0.8333939614405238</v>
      </c>
      <c r="L129" s="409">
        <f>IFERROR('2.3'!L116/'2.1'!L127,"")</f>
        <v>0.55774395702775292</v>
      </c>
      <c r="M129" s="409">
        <f>IFERROR('2.3'!M116/'2.1'!M127,"")</f>
        <v>0.8026030368763557</v>
      </c>
      <c r="N129" s="409">
        <f>IFERROR('2.3'!N116/'2.1'!N127,"")</f>
        <v>0.62927756653992395</v>
      </c>
      <c r="O129" s="409">
        <f>IFERROR('2.3'!O116/'2.1'!O127,"")</f>
        <v>0.76488513830285987</v>
      </c>
      <c r="P129" s="409">
        <f>IFERROR('2.3'!P116/'2.1'!P127,"")</f>
        <v>0.82447466007416559</v>
      </c>
      <c r="Q129" s="409">
        <f>IFERROR('2.3'!Q116/'2.1'!Q127,"")</f>
        <v>0.79058917621967473</v>
      </c>
      <c r="R129" s="409">
        <f>IFERROR('2.3'!R116/'2.1'!R127,"")</f>
        <v>0.84210526315789469</v>
      </c>
      <c r="S129" s="409">
        <f>IFERROR('2.3'!S116/'2.1'!S127,"")</f>
        <v>0.82692307692307687</v>
      </c>
      <c r="T129" s="409">
        <f>IFERROR('2.3'!T116/'2.1'!T127,"")</f>
        <v>0.83486238532110091</v>
      </c>
      <c r="U129" s="409">
        <f>IFERROR('2.3'!U116/'2.1'!X127,"")</f>
        <v>0.75076148854456359</v>
      </c>
      <c r="V129" s="409">
        <f>IFERROR('2.3'!V116/'2.1'!Y127,"")</f>
        <v>0.8291814946619217</v>
      </c>
      <c r="W129" s="409">
        <f>IFERROR('2.3'!W116/'2.1'!Z127,"")</f>
        <v>0.78002822279405659</v>
      </c>
    </row>
    <row r="130" spans="2:23" hidden="1" outlineLevel="1" x14ac:dyDescent="0.25">
      <c r="B130" s="404">
        <v>42309</v>
      </c>
      <c r="C130" s="409" t="str">
        <f>IFERROR('2.3'!C117/'2.1'!C128,"")</f>
        <v/>
      </c>
      <c r="D130" s="409" t="str">
        <f>IFERROR('2.3'!D117/'2.1'!D128,"")</f>
        <v/>
      </c>
      <c r="E130" s="409" t="str">
        <f>IFERROR('2.3'!E117/'2.1'!E128,"")</f>
        <v/>
      </c>
      <c r="F130" s="409" t="str">
        <f>IFERROR('2.3'!F117/'2.1'!F128,"")</f>
        <v/>
      </c>
      <c r="G130" s="409" t="str">
        <f>IFERROR('2.3'!G117/'2.1'!G128,"")</f>
        <v/>
      </c>
      <c r="H130" s="409" t="str">
        <f>IFERROR('2.3'!H117/'2.1'!H128,"")</f>
        <v/>
      </c>
      <c r="I130" s="409">
        <f>IFERROR('2.3'!I117/'2.1'!I128,"")</f>
        <v>0.85034373347435221</v>
      </c>
      <c r="J130" s="409">
        <f>IFERROR('2.3'!J117/'2.1'!J128,"")</f>
        <v>0.8900144717800289</v>
      </c>
      <c r="K130" s="409">
        <f>IFERROR('2.3'!K117/'2.1'!K128,"")</f>
        <v>0.86096049573973665</v>
      </c>
      <c r="L130" s="409">
        <f>IFERROR('2.3'!L117/'2.1'!L128,"")</f>
        <v>0.55828220858895705</v>
      </c>
      <c r="M130" s="409">
        <f>IFERROR('2.3'!M117/'2.1'!M128,"")</f>
        <v>0.77393075356415475</v>
      </c>
      <c r="N130" s="409">
        <f>IFERROR('2.3'!N117/'2.1'!N128,"")</f>
        <v>0.62316176470588236</v>
      </c>
      <c r="O130" s="409">
        <f>IFERROR('2.3'!O117/'2.1'!O128,"")</f>
        <v>0.79639639639639637</v>
      </c>
      <c r="P130" s="409">
        <f>IFERROR('2.3'!P117/'2.1'!P128,"")</f>
        <v>0.84126984126984128</v>
      </c>
      <c r="Q130" s="409">
        <f>IFERROR('2.3'!Q117/'2.1'!Q128,"")</f>
        <v>0.81646121280039841</v>
      </c>
      <c r="R130" s="409">
        <f>IFERROR('2.3'!R117/'2.1'!R128,"")</f>
        <v>0.81308411214953269</v>
      </c>
      <c r="S130" s="409">
        <f>IFERROR('2.3'!S117/'2.1'!S128,"")</f>
        <v>0.8839285714285714</v>
      </c>
      <c r="T130" s="409">
        <f>IFERROR('2.3'!T117/'2.1'!T128,"")</f>
        <v>0.84931506849315064</v>
      </c>
      <c r="U130" s="409">
        <f>IFERROR('2.3'!U117/'2.1'!X128,"")</f>
        <v>0.77424462330122712</v>
      </c>
      <c r="V130" s="409">
        <f>IFERROR('2.3'!V117/'2.1'!Y128,"")</f>
        <v>0.84237461617195497</v>
      </c>
      <c r="W130" s="409">
        <f>IFERROR('2.3'!W117/'2.1'!Z128,"")</f>
        <v>0.80094672657252886</v>
      </c>
    </row>
    <row r="131" spans="2:23" hidden="1" outlineLevel="1" x14ac:dyDescent="0.25">
      <c r="B131" s="404">
        <v>42339</v>
      </c>
      <c r="C131" s="409" t="str">
        <f>IFERROR('2.3'!C118/'2.1'!C129,"")</f>
        <v/>
      </c>
      <c r="D131" s="409" t="str">
        <f>IFERROR('2.3'!D118/'2.1'!D129,"")</f>
        <v/>
      </c>
      <c r="E131" s="409" t="str">
        <f>IFERROR('2.3'!E118/'2.1'!E129,"")</f>
        <v/>
      </c>
      <c r="F131" s="409" t="str">
        <f>IFERROR('2.3'!F118/'2.1'!F129,"")</f>
        <v/>
      </c>
      <c r="G131" s="409" t="str">
        <f>IFERROR('2.3'!G118/'2.1'!G129,"")</f>
        <v/>
      </c>
      <c r="H131" s="409" t="str">
        <f>IFERROR('2.3'!H118/'2.1'!H129,"")</f>
        <v/>
      </c>
      <c r="I131" s="409">
        <f>IFERROR('2.3'!I118/'2.1'!I129,"")</f>
        <v>0.84638196915776986</v>
      </c>
      <c r="J131" s="409">
        <f>IFERROR('2.3'!J118/'2.1'!J129,"")</f>
        <v>0.8994413407821229</v>
      </c>
      <c r="K131" s="409">
        <f>IFERROR('2.3'!K118/'2.1'!K129,"")</f>
        <v>0.85919928025191183</v>
      </c>
      <c r="L131" s="409">
        <f>IFERROR('2.3'!L118/'2.1'!L129,"")</f>
        <v>0.59334006054490418</v>
      </c>
      <c r="M131" s="409">
        <f>IFERROR('2.3'!M118/'2.1'!M129,"")</f>
        <v>0.80472103004291851</v>
      </c>
      <c r="N131" s="409">
        <f>IFERROR('2.3'!N118/'2.1'!N129,"")</f>
        <v>0.66094715168153739</v>
      </c>
      <c r="O131" s="409">
        <f>IFERROR('2.3'!O118/'2.1'!O129,"")</f>
        <v>0.76065022421524664</v>
      </c>
      <c r="P131" s="409">
        <f>IFERROR('2.3'!P118/'2.1'!P129,"")</f>
        <v>0.79383969198459925</v>
      </c>
      <c r="Q131" s="409">
        <f>IFERROR('2.3'!Q118/'2.1'!Q129,"")</f>
        <v>0.77540856031128402</v>
      </c>
      <c r="R131" s="409">
        <f>IFERROR('2.3'!R118/'2.1'!R129,"")</f>
        <v>0.78899082568807344</v>
      </c>
      <c r="S131" s="409">
        <f>IFERROR('2.3'!S118/'2.1'!S129,"")</f>
        <v>0.875</v>
      </c>
      <c r="T131" s="409">
        <f>IFERROR('2.3'!T118/'2.1'!T129,"")</f>
        <v>0.82741116751269039</v>
      </c>
      <c r="U131" s="409">
        <f>IFERROR('2.3'!U118/'2.1'!X129,"")</f>
        <v>0.75779036827195467</v>
      </c>
      <c r="V131" s="409">
        <f>IFERROR('2.3'!V118/'2.1'!Y129,"")</f>
        <v>0.81129685916919958</v>
      </c>
      <c r="W131" s="409">
        <f>IFERROR('2.3'!W118/'2.1'!Z129,"")</f>
        <v>0.77829547660648413</v>
      </c>
    </row>
    <row r="132" spans="2:23" collapsed="1" x14ac:dyDescent="0.25">
      <c r="B132" s="407" t="s">
        <v>756</v>
      </c>
      <c r="C132" s="410" t="str">
        <f>IFERROR('2.3'!C119/'2.1'!C130,"")</f>
        <v/>
      </c>
      <c r="D132" s="410" t="str">
        <f>IFERROR('2.3'!D119/'2.1'!D130,"")</f>
        <v/>
      </c>
      <c r="E132" s="410" t="str">
        <f>IFERROR('2.3'!E119/'2.1'!E130,"")</f>
        <v/>
      </c>
      <c r="F132" s="410" t="str">
        <f>IFERROR('2.3'!F119/'2.1'!F130,"")</f>
        <v/>
      </c>
      <c r="G132" s="410" t="str">
        <f>IFERROR('2.3'!G119/'2.1'!G130,"")</f>
        <v/>
      </c>
      <c r="H132" s="410" t="str">
        <f>IFERROR('2.3'!H119/'2.1'!H130,"")</f>
        <v/>
      </c>
      <c r="I132" s="410">
        <f>IFERROR('2.3'!I119/'2.1'!I130,"")</f>
        <v>0.84032753326509724</v>
      </c>
      <c r="J132" s="410">
        <f>IFERROR('2.3'!J119/'2.1'!J130,"")</f>
        <v>0.87677725118483407</v>
      </c>
      <c r="K132" s="410">
        <f>IFERROR('2.3'!K119/'2.1'!K130,"")</f>
        <v>0.84924623115577891</v>
      </c>
      <c r="L132" s="410">
        <f>IFERROR('2.3'!L119/'2.1'!L130,"")</f>
        <v>0.55940130963517309</v>
      </c>
      <c r="M132" s="410">
        <f>IFERROR('2.3'!M119/'2.1'!M130,"")</f>
        <v>0.79079497907949792</v>
      </c>
      <c r="N132" s="410">
        <f>IFERROR('2.3'!N119/'2.1'!N130,"")</f>
        <v>0.63130659767141006</v>
      </c>
      <c r="O132" s="410">
        <f>IFERROR('2.3'!O119/'2.1'!O130,"")</f>
        <v>0.78210500369731328</v>
      </c>
      <c r="P132" s="410">
        <f>IFERROR('2.3'!P119/'2.1'!P130,"")</f>
        <v>0.82388059701492533</v>
      </c>
      <c r="Q132" s="410">
        <f>IFERROR('2.3'!Q119/'2.1'!Q130,"")</f>
        <v>0.80099905494802215</v>
      </c>
      <c r="R132" s="410">
        <f>IFERROR('2.3'!R119/'2.1'!R130,"")</f>
        <v>0.80373831775700932</v>
      </c>
      <c r="S132" s="410">
        <f>IFERROR('2.3'!S119/'2.1'!S130,"")</f>
        <v>0.86138613861386137</v>
      </c>
      <c r="T132" s="410">
        <f>IFERROR('2.3'!T119/'2.1'!T130,"")</f>
        <v>0.83173076923076927</v>
      </c>
      <c r="U132" s="410">
        <f>IFERROR('2.3'!U119/'2.1'!X130,"")</f>
        <v>0.76513148740781967</v>
      </c>
      <c r="V132" s="410">
        <f>IFERROR('2.3'!V119/'2.1'!Y130,"")</f>
        <v>0.82858395440596233</v>
      </c>
      <c r="W132" s="410">
        <f>IFERROR('2.3'!W119/'2.1'!Z130,"")</f>
        <v>0.78983656792645551</v>
      </c>
    </row>
    <row r="133" spans="2:23" hidden="1" outlineLevel="1" x14ac:dyDescent="0.25">
      <c r="B133" s="404">
        <v>42370</v>
      </c>
      <c r="C133" s="409" t="str">
        <f>IFERROR('2.3'!C120/'2.1'!C131,"")</f>
        <v/>
      </c>
      <c r="D133" s="409" t="str">
        <f>IFERROR('2.3'!D120/'2.1'!D131,"")</f>
        <v/>
      </c>
      <c r="E133" s="409" t="str">
        <f>IFERROR('2.3'!E120/'2.1'!E131,"")</f>
        <v/>
      </c>
      <c r="F133" s="409" t="str">
        <f>IFERROR('2.3'!F120/'2.1'!F131,"")</f>
        <v/>
      </c>
      <c r="G133" s="409" t="str">
        <f>IFERROR('2.3'!G120/'2.1'!G131,"")</f>
        <v/>
      </c>
      <c r="H133" s="409" t="str">
        <f>IFERROR('2.3'!H120/'2.1'!H131,"")</f>
        <v/>
      </c>
      <c r="I133" s="409">
        <f>IFERROR('2.3'!I120/'2.1'!I131,"")</f>
        <v>0.80989272943980928</v>
      </c>
      <c r="J133" s="409">
        <f>IFERROR('2.3'!J120/'2.1'!J131,"")</f>
        <v>0.84242424242424241</v>
      </c>
      <c r="K133" s="409">
        <f>IFERROR('2.3'!K120/'2.1'!K131,"")</f>
        <v>0.81730326737229642</v>
      </c>
      <c r="L133" s="409">
        <f>IFERROR('2.3'!L120/'2.1'!L131,"")</f>
        <v>0.60019646365422397</v>
      </c>
      <c r="M133" s="409">
        <f>IFERROR('2.3'!M120/'2.1'!M131,"")</f>
        <v>0.78838174273858919</v>
      </c>
      <c r="N133" s="409">
        <f>IFERROR('2.3'!N120/'2.1'!N131,"")</f>
        <v>0.66066666666666662</v>
      </c>
      <c r="O133" s="409">
        <f>IFERROR('2.3'!O120/'2.1'!O131,"")</f>
        <v>0.71641371557054523</v>
      </c>
      <c r="P133" s="409">
        <f>IFERROR('2.3'!P120/'2.1'!P131,"")</f>
        <v>0.78078078078078073</v>
      </c>
      <c r="Q133" s="409">
        <f>IFERROR('2.3'!Q120/'2.1'!Q131,"")</f>
        <v>0.74397299903567982</v>
      </c>
      <c r="R133" s="409">
        <f>IFERROR('2.3'!R120/'2.1'!R131,"")</f>
        <v>0.82758620689655171</v>
      </c>
      <c r="S133" s="409">
        <f>IFERROR('2.3'!S120/'2.1'!S131,"")</f>
        <v>0.81481481481481477</v>
      </c>
      <c r="T133" s="409">
        <f>IFERROR('2.3'!T120/'2.1'!T131,"")</f>
        <v>0.8214285714285714</v>
      </c>
      <c r="U133" s="409">
        <f>IFERROR('2.3'!U120/'2.1'!X131,"")</f>
        <v>0.72448979591836737</v>
      </c>
      <c r="V133" s="409">
        <f>IFERROR('2.3'!V120/'2.1'!Y131,"")</f>
        <v>0.79087756735129366</v>
      </c>
      <c r="W133" s="409">
        <f>IFERROR('2.3'!W120/'2.1'!Z131,"")</f>
        <v>0.74908587805119087</v>
      </c>
    </row>
    <row r="134" spans="2:23" hidden="1" outlineLevel="1" x14ac:dyDescent="0.25">
      <c r="B134" s="404">
        <v>42401</v>
      </c>
      <c r="C134" s="409" t="str">
        <f>IFERROR('2.3'!C121/'2.1'!C132,"")</f>
        <v/>
      </c>
      <c r="D134" s="409" t="str">
        <f>IFERROR('2.3'!D121/'2.1'!D132,"")</f>
        <v/>
      </c>
      <c r="E134" s="409" t="str">
        <f>IFERROR('2.3'!E121/'2.1'!E132,"")</f>
        <v/>
      </c>
      <c r="F134" s="409" t="str">
        <f>IFERROR('2.3'!F121/'2.1'!F132,"")</f>
        <v/>
      </c>
      <c r="G134" s="409" t="str">
        <f>IFERROR('2.3'!G121/'2.1'!G132,"")</f>
        <v/>
      </c>
      <c r="H134" s="409" t="str">
        <f>IFERROR('2.3'!H121/'2.1'!H132,"")</f>
        <v/>
      </c>
      <c r="I134" s="409">
        <f>IFERROR('2.3'!I121/'2.1'!I132,"")</f>
        <v>0.7784921098772648</v>
      </c>
      <c r="J134" s="409">
        <f>IFERROR('2.3'!J121/'2.1'!J132,"")</f>
        <v>0.85964912280701755</v>
      </c>
      <c r="K134" s="409">
        <f>IFERROR('2.3'!K121/'2.1'!K132,"")</f>
        <v>0.79721223021582732</v>
      </c>
      <c r="L134" s="409">
        <f>IFERROR('2.3'!L121/'2.1'!L132,"")</f>
        <v>0.57260556127703399</v>
      </c>
      <c r="M134" s="409">
        <f>IFERROR('2.3'!M121/'2.1'!M132,"")</f>
        <v>0.76851851851851849</v>
      </c>
      <c r="N134" s="409">
        <f>IFERROR('2.3'!N121/'2.1'!N132,"")</f>
        <v>0.63292943692088377</v>
      </c>
      <c r="O134" s="409">
        <f>IFERROR('2.3'!O121/'2.1'!O132,"")</f>
        <v>0.72278481012658224</v>
      </c>
      <c r="P134" s="409">
        <f>IFERROR('2.3'!P121/'2.1'!P132,"")</f>
        <v>0.76507713884992989</v>
      </c>
      <c r="Q134" s="409">
        <f>IFERROR('2.3'!Q121/'2.1'!Q132,"")</f>
        <v>0.74051749485445462</v>
      </c>
      <c r="R134" s="409">
        <f>IFERROR('2.3'!R121/'2.1'!R132,"")</f>
        <v>0.84552845528455289</v>
      </c>
      <c r="S134" s="409">
        <f>IFERROR('2.3'!S121/'2.1'!S132,"")</f>
        <v>0.87096774193548387</v>
      </c>
      <c r="T134" s="409">
        <f>IFERROR('2.3'!T121/'2.1'!T132,"")</f>
        <v>0.85648148148148151</v>
      </c>
      <c r="U134" s="409">
        <f>IFERROR('2.3'!U121/'2.1'!X132,"")</f>
        <v>0.7175425610658771</v>
      </c>
      <c r="V134" s="409">
        <f>IFERROR('2.3'!V121/'2.1'!Y132,"")</f>
        <v>0.78046272493573265</v>
      </c>
      <c r="W134" s="409">
        <f>IFERROR('2.3'!W121/'2.1'!Z132,"")</f>
        <v>0.7405354626585251</v>
      </c>
    </row>
    <row r="135" spans="2:23" hidden="1" outlineLevel="1" x14ac:dyDescent="0.25">
      <c r="B135" s="404">
        <v>42430</v>
      </c>
      <c r="C135" s="409" t="str">
        <f>IFERROR('2.3'!C122/'2.1'!C133,"")</f>
        <v/>
      </c>
      <c r="D135" s="409" t="str">
        <f>IFERROR('2.3'!D122/'2.1'!D133,"")</f>
        <v/>
      </c>
      <c r="E135" s="409" t="str">
        <f>IFERROR('2.3'!E122/'2.1'!E133,"")</f>
        <v/>
      </c>
      <c r="F135" s="409" t="str">
        <f>IFERROR('2.3'!F122/'2.1'!F133,"")</f>
        <v/>
      </c>
      <c r="G135" s="409" t="str">
        <f>IFERROR('2.3'!G122/'2.1'!G133,"")</f>
        <v/>
      </c>
      <c r="H135" s="409" t="str">
        <f>IFERROR('2.3'!H122/'2.1'!H133,"")</f>
        <v/>
      </c>
      <c r="I135" s="409">
        <f>IFERROR('2.3'!I122/'2.1'!I133,"")</f>
        <v>0.79691799669785357</v>
      </c>
      <c r="J135" s="409">
        <f>IFERROR('2.3'!J122/'2.1'!J133,"")</f>
        <v>0.87992495309568475</v>
      </c>
      <c r="K135" s="409">
        <f>IFERROR('2.3'!K122/'2.1'!K133,"")</f>
        <v>0.81574468085106377</v>
      </c>
      <c r="L135" s="409">
        <f>IFERROR('2.3'!L122/'2.1'!L133,"")</f>
        <v>0.6149068322981367</v>
      </c>
      <c r="M135" s="409">
        <f>IFERROR('2.3'!M122/'2.1'!M133,"")</f>
        <v>0.810126582278481</v>
      </c>
      <c r="N135" s="409">
        <f>IFERROR('2.3'!N122/'2.1'!N133,"")</f>
        <v>0.67270455965021858</v>
      </c>
      <c r="O135" s="409">
        <f>IFERROR('2.3'!O122/'2.1'!O133,"")</f>
        <v>0.76066649835900024</v>
      </c>
      <c r="P135" s="409">
        <f>IFERROR('2.3'!P122/'2.1'!P133,"")</f>
        <v>0.80701754385964908</v>
      </c>
      <c r="Q135" s="409">
        <f>IFERROR('2.3'!Q122/'2.1'!Q133,"")</f>
        <v>0.78050541516245486</v>
      </c>
      <c r="R135" s="409">
        <f>IFERROR('2.3'!R122/'2.1'!R133,"")</f>
        <v>0.87387387387387383</v>
      </c>
      <c r="S135" s="409">
        <f>IFERROR('2.3'!S122/'2.1'!S133,"")</f>
        <v>0.85416666666666663</v>
      </c>
      <c r="T135" s="409">
        <f>IFERROR('2.3'!T122/'2.1'!T133,"")</f>
        <v>0.86473429951690817</v>
      </c>
      <c r="U135" s="409">
        <f>IFERROR('2.3'!U122/'2.1'!X133,"")</f>
        <v>0.74843215507411631</v>
      </c>
      <c r="V135" s="409">
        <f>IFERROR('2.3'!V122/'2.1'!Y133,"")</f>
        <v>0.81804770100811408</v>
      </c>
      <c r="W135" s="409">
        <f>IFERROR('2.3'!W122/'2.1'!Z133,"")</f>
        <v>0.77397816475683479</v>
      </c>
    </row>
    <row r="136" spans="2:23" hidden="1" outlineLevel="1" x14ac:dyDescent="0.25">
      <c r="B136" s="404">
        <v>42461</v>
      </c>
      <c r="C136" s="409" t="str">
        <f>IFERROR('2.3'!C123/'2.1'!C134,"")</f>
        <v/>
      </c>
      <c r="D136" s="409" t="str">
        <f>IFERROR('2.3'!D123/'2.1'!D134,"")</f>
        <v/>
      </c>
      <c r="E136" s="409" t="str">
        <f>IFERROR('2.3'!E123/'2.1'!E134,"")</f>
        <v/>
      </c>
      <c r="F136" s="409" t="str">
        <f>IFERROR('2.3'!F123/'2.1'!F134,"")</f>
        <v/>
      </c>
      <c r="G136" s="409" t="str">
        <f>IFERROR('2.3'!G123/'2.1'!G134,"")</f>
        <v/>
      </c>
      <c r="H136" s="409" t="str">
        <f>IFERROR('2.3'!H123/'2.1'!H134,"")</f>
        <v/>
      </c>
      <c r="I136" s="409">
        <f>IFERROR('2.3'!I123/'2.1'!I134,"")</f>
        <v>0.82655158240854909</v>
      </c>
      <c r="J136" s="409">
        <f>IFERROR('2.3'!J123/'2.1'!J134,"")</f>
        <v>0.86486486486486491</v>
      </c>
      <c r="K136" s="409">
        <f>IFERROR('2.3'!K123/'2.1'!K134,"")</f>
        <v>0.83647990255785631</v>
      </c>
      <c r="L136" s="409">
        <f>IFERROR('2.3'!L123/'2.1'!L134,"")</f>
        <v>0.54115421002838227</v>
      </c>
      <c r="M136" s="409">
        <f>IFERROR('2.3'!M123/'2.1'!M134,"")</f>
        <v>0.80379746835443033</v>
      </c>
      <c r="N136" s="409">
        <f>IFERROR('2.3'!N123/'2.1'!N134,"")</f>
        <v>0.62246897452645333</v>
      </c>
      <c r="O136" s="409">
        <f>IFERROR('2.3'!O123/'2.1'!O134,"")</f>
        <v>0.74994113491876624</v>
      </c>
      <c r="P136" s="409">
        <f>IFERROR('2.3'!P123/'2.1'!P134,"")</f>
        <v>0.80313267813267808</v>
      </c>
      <c r="Q136" s="409">
        <f>IFERROR('2.3'!Q123/'2.1'!Q134,"")</f>
        <v>0.77302412368385975</v>
      </c>
      <c r="R136" s="409">
        <f>IFERROR('2.3'!R123/'2.1'!R134,"")</f>
        <v>0.83168316831683164</v>
      </c>
      <c r="S136" s="409">
        <f>IFERROR('2.3'!S123/'2.1'!S134,"")</f>
        <v>0.83653846153846156</v>
      </c>
      <c r="T136" s="409">
        <f>IFERROR('2.3'!T123/'2.1'!T134,"")</f>
        <v>0.8341463414634146</v>
      </c>
      <c r="U136" s="409">
        <f>IFERROR('2.3'!U123/'2.1'!X134,"")</f>
        <v>0.74661903546823172</v>
      </c>
      <c r="V136" s="409">
        <f>IFERROR('2.3'!V123/'2.1'!Y134,"")</f>
        <v>0.81515474919957309</v>
      </c>
      <c r="W136" s="409">
        <f>IFERROR('2.3'!W123/'2.1'!Z134,"")</f>
        <v>0.77225904336021722</v>
      </c>
    </row>
    <row r="137" spans="2:23" hidden="1" outlineLevel="1" x14ac:dyDescent="0.25">
      <c r="B137" s="404">
        <v>42491</v>
      </c>
      <c r="C137" s="409" t="str">
        <f>IFERROR('2.3'!C124/'2.1'!C135,"")</f>
        <v/>
      </c>
      <c r="D137" s="409" t="str">
        <f>IFERROR('2.3'!D124/'2.1'!D135,"")</f>
        <v/>
      </c>
      <c r="E137" s="409" t="str">
        <f>IFERROR('2.3'!E124/'2.1'!E135,"")</f>
        <v/>
      </c>
      <c r="F137" s="409" t="str">
        <f>IFERROR('2.3'!F124/'2.1'!F135,"")</f>
        <v/>
      </c>
      <c r="G137" s="409" t="str">
        <f>IFERROR('2.3'!G124/'2.1'!G135,"")</f>
        <v/>
      </c>
      <c r="H137" s="409" t="str">
        <f>IFERROR('2.3'!H124/'2.1'!H135,"")</f>
        <v/>
      </c>
      <c r="I137" s="409">
        <f>IFERROR('2.3'!I124/'2.1'!I135,"")</f>
        <v>0.78087457952907258</v>
      </c>
      <c r="J137" s="409">
        <f>IFERROR('2.3'!J124/'2.1'!J135,"")</f>
        <v>0.84187408491947291</v>
      </c>
      <c r="K137" s="409">
        <f>IFERROR('2.3'!K124/'2.1'!K135,"")</f>
        <v>0.79594790159189577</v>
      </c>
      <c r="L137" s="409">
        <f>IFERROR('2.3'!L124/'2.1'!L135,"")</f>
        <v>0.57520510483135823</v>
      </c>
      <c r="M137" s="409">
        <f>IFERROR('2.3'!M124/'2.1'!M135,"")</f>
        <v>0.77178423236514526</v>
      </c>
      <c r="N137" s="409">
        <f>IFERROR('2.3'!N124/'2.1'!N135,"")</f>
        <v>0.63521215959468014</v>
      </c>
      <c r="O137" s="409">
        <f>IFERROR('2.3'!O124/'2.1'!O135,"")</f>
        <v>0.74967907573812576</v>
      </c>
      <c r="P137" s="409">
        <f>IFERROR('2.3'!P124/'2.1'!P135,"")</f>
        <v>0.79150326797385617</v>
      </c>
      <c r="Q137" s="409">
        <f>IFERROR('2.3'!Q124/'2.1'!Q135,"")</f>
        <v>0.77040155440414504</v>
      </c>
      <c r="R137" s="409">
        <f>IFERROR('2.3'!R124/'2.1'!R135,"")</f>
        <v>0.83870967741935487</v>
      </c>
      <c r="S137" s="409">
        <f>IFERROR('2.3'!S124/'2.1'!S135,"")</f>
        <v>0.92</v>
      </c>
      <c r="T137" s="409">
        <f>IFERROR('2.3'!T124/'2.1'!T135,"")</f>
        <v>0.875</v>
      </c>
      <c r="U137" s="409">
        <f>IFERROR('2.3'!U124/'2.1'!X135,"")</f>
        <v>0.73520561685055164</v>
      </c>
      <c r="V137" s="409">
        <f>IFERROR('2.3'!V124/'2.1'!Y135,"")</f>
        <v>0.79795046968403072</v>
      </c>
      <c r="W137" s="409">
        <f>IFERROR('2.3'!W124/'2.1'!Z135,"")</f>
        <v>0.76176704504374226</v>
      </c>
    </row>
    <row r="138" spans="2:23" hidden="1" outlineLevel="1" x14ac:dyDescent="0.25">
      <c r="B138" s="404">
        <v>42522</v>
      </c>
      <c r="C138" s="409" t="str">
        <f>IFERROR('2.3'!C125/'2.1'!C136,"")</f>
        <v/>
      </c>
      <c r="D138" s="409" t="str">
        <f>IFERROR('2.3'!D125/'2.1'!D136,"")</f>
        <v/>
      </c>
      <c r="E138" s="409" t="str">
        <f>IFERROR('2.3'!E125/'2.1'!E136,"")</f>
        <v/>
      </c>
      <c r="F138" s="409" t="str">
        <f>IFERROR('2.3'!F125/'2.1'!F136,"")</f>
        <v/>
      </c>
      <c r="G138" s="409" t="str">
        <f>IFERROR('2.3'!G125/'2.1'!G136,"")</f>
        <v/>
      </c>
      <c r="H138" s="409" t="str">
        <f>IFERROR('2.3'!H125/'2.1'!H136,"")</f>
        <v/>
      </c>
      <c r="I138" s="409">
        <f>IFERROR('2.3'!I125/'2.1'!I136,"")</f>
        <v>0.76632487857528331</v>
      </c>
      <c r="J138" s="409">
        <f>IFERROR('2.3'!J125/'2.1'!J136,"")</f>
        <v>0.86719999999999997</v>
      </c>
      <c r="K138" s="409">
        <f>IFERROR('2.3'!K125/'2.1'!K136,"")</f>
        <v>0.79176755447941893</v>
      </c>
      <c r="L138" s="409">
        <f>IFERROR('2.3'!L125/'2.1'!L136,"")</f>
        <v>0.56230690010298656</v>
      </c>
      <c r="M138" s="409">
        <f>IFERROR('2.3'!M125/'2.1'!M136,"")</f>
        <v>0.7932489451476793</v>
      </c>
      <c r="N138" s="409">
        <f>IFERROR('2.3'!N125/'2.1'!N136,"")</f>
        <v>0.63806228373702423</v>
      </c>
      <c r="O138" s="409">
        <f>IFERROR('2.3'!O125/'2.1'!O136,"")</f>
        <v>0.74532889685180448</v>
      </c>
      <c r="P138" s="409">
        <f>IFERROR('2.3'!P125/'2.1'!P136,"")</f>
        <v>0.76369067374709587</v>
      </c>
      <c r="Q138" s="409">
        <f>IFERROR('2.3'!Q125/'2.1'!Q136,"")</f>
        <v>0.75332369942196531</v>
      </c>
      <c r="R138" s="409">
        <f>IFERROR('2.3'!R125/'2.1'!R136,"")</f>
        <v>0.70238095238095233</v>
      </c>
      <c r="S138" s="409">
        <f>IFERROR('2.3'!S125/'2.1'!S136,"")</f>
        <v>0.84444444444444444</v>
      </c>
      <c r="T138" s="409">
        <f>IFERROR('2.3'!T125/'2.1'!T136,"")</f>
        <v>0.77586206896551724</v>
      </c>
      <c r="U138" s="409">
        <f>IFERROR('2.3'!U125/'2.1'!X136,"")</f>
        <v>0.72443140132061634</v>
      </c>
      <c r="V138" s="409">
        <f>IFERROR('2.3'!V125/'2.1'!Y136,"")</f>
        <v>0.78415040456925278</v>
      </c>
      <c r="W138" s="409">
        <f>IFERROR('2.3'!W125/'2.1'!Z136,"")</f>
        <v>0.74720885903603518</v>
      </c>
    </row>
    <row r="139" spans="2:23" hidden="1" outlineLevel="1" x14ac:dyDescent="0.25">
      <c r="B139" s="404">
        <v>42552</v>
      </c>
      <c r="C139" s="409" t="str">
        <f>IFERROR('2.3'!C126/'2.1'!C137,"")</f>
        <v/>
      </c>
      <c r="D139" s="409" t="str">
        <f>IFERROR('2.3'!D126/'2.1'!D137,"")</f>
        <v/>
      </c>
      <c r="E139" s="409" t="str">
        <f>IFERROR('2.3'!E126/'2.1'!E137,"")</f>
        <v/>
      </c>
      <c r="F139" s="409" t="str">
        <f>IFERROR('2.3'!F126/'2.1'!F137,"")</f>
        <v/>
      </c>
      <c r="G139" s="409" t="str">
        <f>IFERROR('2.3'!G126/'2.1'!G137,"")</f>
        <v/>
      </c>
      <c r="H139" s="409" t="str">
        <f>IFERROR('2.3'!H126/'2.1'!H137,"")</f>
        <v/>
      </c>
      <c r="I139" s="409">
        <f>IFERROR('2.3'!I126/'2.1'!I137,"")</f>
        <v>0.75442043222003929</v>
      </c>
      <c r="J139" s="409">
        <f>IFERROR('2.3'!J126/'2.1'!J137,"")</f>
        <v>0.84848484848484851</v>
      </c>
      <c r="K139" s="409">
        <f>IFERROR('2.3'!K126/'2.1'!K137,"")</f>
        <v>0.77656778069846033</v>
      </c>
      <c r="L139" s="409">
        <f>IFERROR('2.3'!L126/'2.1'!L137,"")</f>
        <v>0.60315893385982233</v>
      </c>
      <c r="M139" s="409">
        <f>IFERROR('2.3'!M126/'2.1'!M137,"")</f>
        <v>0.81037924151696605</v>
      </c>
      <c r="N139" s="409">
        <f>IFERROR('2.3'!N126/'2.1'!N137,"")</f>
        <v>0.67173051519154559</v>
      </c>
      <c r="O139" s="409">
        <f>IFERROR('2.3'!O126/'2.1'!O137,"")</f>
        <v>0.77654196157735089</v>
      </c>
      <c r="P139" s="409">
        <f>IFERROR('2.3'!P126/'2.1'!P137,"")</f>
        <v>0.79506578947368423</v>
      </c>
      <c r="Q139" s="409">
        <f>IFERROR('2.3'!Q126/'2.1'!Q137,"")</f>
        <v>0.78459119496855345</v>
      </c>
      <c r="R139" s="409">
        <f>IFERROR('2.3'!R126/'2.1'!R137,"")</f>
        <v>0.87368421052631584</v>
      </c>
      <c r="S139" s="409">
        <f>IFERROR('2.3'!S126/'2.1'!S137,"")</f>
        <v>0.90291262135922334</v>
      </c>
      <c r="T139" s="409">
        <f>IFERROR('2.3'!T126/'2.1'!T137,"")</f>
        <v>0.88888888888888884</v>
      </c>
      <c r="U139" s="409">
        <f>IFERROR('2.3'!U126/'2.1'!X137,"")</f>
        <v>0.74676056338028174</v>
      </c>
      <c r="V139" s="409">
        <f>IFERROR('2.3'!V126/'2.1'!Y137,"")</f>
        <v>0.80730508077733554</v>
      </c>
      <c r="W139" s="409">
        <f>IFERROR('2.3'!W126/'2.1'!Z137,"")</f>
        <v>0.76950136311670037</v>
      </c>
    </row>
    <row r="140" spans="2:23" hidden="1" outlineLevel="1" x14ac:dyDescent="0.25">
      <c r="B140" s="404">
        <v>42583</v>
      </c>
      <c r="C140" s="409" t="str">
        <f>IFERROR('2.3'!C127/'2.1'!C138,"")</f>
        <v/>
      </c>
      <c r="D140" s="409" t="str">
        <f>IFERROR('2.3'!D127/'2.1'!D138,"")</f>
        <v/>
      </c>
      <c r="E140" s="409" t="str">
        <f>IFERROR('2.3'!E127/'2.1'!E138,"")</f>
        <v/>
      </c>
      <c r="F140" s="409" t="str">
        <f>IFERROR('2.3'!F127/'2.1'!F138,"")</f>
        <v/>
      </c>
      <c r="G140" s="409" t="str">
        <f>IFERROR('2.3'!G127/'2.1'!G138,"")</f>
        <v/>
      </c>
      <c r="H140" s="409" t="str">
        <f>IFERROR('2.3'!H127/'2.1'!H138,"")</f>
        <v/>
      </c>
      <c r="I140" s="409">
        <f>IFERROR('2.3'!I127/'2.1'!I138,"")</f>
        <v>0.75437808711270771</v>
      </c>
      <c r="J140" s="409">
        <f>IFERROR('2.3'!J127/'2.1'!J138,"")</f>
        <v>0.83379501385041555</v>
      </c>
      <c r="K140" s="409">
        <f>IFERROR('2.3'!K127/'2.1'!K138,"")</f>
        <v>0.77382163445235674</v>
      </c>
      <c r="L140" s="409">
        <f>IFERROR('2.3'!L127/'2.1'!L138,"")</f>
        <v>0.53937947494033411</v>
      </c>
      <c r="M140" s="409">
        <f>IFERROR('2.3'!M127/'2.1'!M138,"")</f>
        <v>0.81787521079258008</v>
      </c>
      <c r="N140" s="409">
        <f>IFERROR('2.3'!N127/'2.1'!N138,"")</f>
        <v>0.62864864864864867</v>
      </c>
      <c r="O140" s="409">
        <f>IFERROR('2.3'!O127/'2.1'!O138,"")</f>
        <v>0.7645902927883671</v>
      </c>
      <c r="P140" s="409">
        <f>IFERROR('2.3'!P127/'2.1'!P138,"")</f>
        <v>0.78043143297380591</v>
      </c>
      <c r="Q140" s="409">
        <f>IFERROR('2.3'!Q127/'2.1'!Q138,"")</f>
        <v>0.77145719692752979</v>
      </c>
      <c r="R140" s="409">
        <f>IFERROR('2.3'!R127/'2.1'!R138,"")</f>
        <v>0.82442748091603058</v>
      </c>
      <c r="S140" s="409">
        <f>IFERROR('2.3'!S127/'2.1'!S138,"")</f>
        <v>0.84210526315789469</v>
      </c>
      <c r="T140" s="409">
        <f>IFERROR('2.3'!T127/'2.1'!T138,"")</f>
        <v>0.83265306122448979</v>
      </c>
      <c r="U140" s="409">
        <f>IFERROR('2.3'!U127/'2.1'!X138,"")</f>
        <v>0.73035386029411764</v>
      </c>
      <c r="V140" s="409">
        <f>IFERROR('2.3'!V127/'2.1'!Y138,"")</f>
        <v>0.79316175089235397</v>
      </c>
      <c r="W140" s="409">
        <f>IFERROR('2.3'!W127/'2.1'!Z138,"")</f>
        <v>0.75418835103728521</v>
      </c>
    </row>
    <row r="141" spans="2:23" hidden="1" outlineLevel="1" x14ac:dyDescent="0.25">
      <c r="B141" s="404">
        <v>42614</v>
      </c>
      <c r="C141" s="409" t="str">
        <f>IFERROR('2.3'!C128/'2.1'!C139,"")</f>
        <v/>
      </c>
      <c r="D141" s="409" t="str">
        <f>IFERROR('2.3'!D128/'2.1'!D139,"")</f>
        <v/>
      </c>
      <c r="E141" s="409" t="str">
        <f>IFERROR('2.3'!E128/'2.1'!E139,"")</f>
        <v/>
      </c>
      <c r="F141" s="409" t="str">
        <f>IFERROR('2.3'!F128/'2.1'!F139,"")</f>
        <v/>
      </c>
      <c r="G141" s="409" t="str">
        <f>IFERROR('2.3'!G128/'2.1'!G139,"")</f>
        <v/>
      </c>
      <c r="H141" s="409" t="str">
        <f>IFERROR('2.3'!H128/'2.1'!H139,"")</f>
        <v/>
      </c>
      <c r="I141" s="409">
        <f>IFERROR('2.3'!I128/'2.1'!I139,"")</f>
        <v>0.81423695758166748</v>
      </c>
      <c r="J141" s="409">
        <f>IFERROR('2.3'!J128/'2.1'!J139,"")</f>
        <v>0.87951807228915657</v>
      </c>
      <c r="K141" s="409">
        <f>IFERROR('2.3'!K128/'2.1'!K139,"")</f>
        <v>0.83020257826887656</v>
      </c>
      <c r="L141" s="409">
        <f>IFERROR('2.3'!L128/'2.1'!L139,"")</f>
        <v>0.57182067703568162</v>
      </c>
      <c r="M141" s="409">
        <f>IFERROR('2.3'!M128/'2.1'!M139,"")</f>
        <v>0.81381957773512481</v>
      </c>
      <c r="N141" s="409">
        <f>IFERROR('2.3'!N128/'2.1'!N139,"")</f>
        <v>0.64993804213135065</v>
      </c>
      <c r="O141" s="409">
        <f>IFERROR('2.3'!O128/'2.1'!O139,"")</f>
        <v>0.78424056189640035</v>
      </c>
      <c r="P141" s="409">
        <f>IFERROR('2.3'!P128/'2.1'!P139,"")</f>
        <v>0.78601694915254239</v>
      </c>
      <c r="Q141" s="409">
        <f>IFERROR('2.3'!Q128/'2.1'!Q139,"")</f>
        <v>0.78498727735368956</v>
      </c>
      <c r="R141" s="409">
        <f>IFERROR('2.3'!R128/'2.1'!R139,"")</f>
        <v>0.82727272727272727</v>
      </c>
      <c r="S141" s="409">
        <f>IFERROR('2.3'!S128/'2.1'!S139,"")</f>
        <v>0.94174757281553401</v>
      </c>
      <c r="T141" s="409">
        <f>IFERROR('2.3'!T128/'2.1'!T139,"")</f>
        <v>0.88262910798122063</v>
      </c>
      <c r="U141" s="409">
        <f>IFERROR('2.3'!U128/'2.1'!X139,"")</f>
        <v>0.76299615877080662</v>
      </c>
      <c r="V141" s="409">
        <f>IFERROR('2.3'!V128/'2.1'!Y139,"")</f>
        <v>0.80618466898954699</v>
      </c>
      <c r="W141" s="409">
        <f>IFERROR('2.3'!W128/'2.1'!Z139,"")</f>
        <v>0.77898726011933561</v>
      </c>
    </row>
    <row r="142" spans="2:23" hidden="1" outlineLevel="1" x14ac:dyDescent="0.25">
      <c r="B142" s="404">
        <v>42644</v>
      </c>
      <c r="C142" s="409" t="str">
        <f>IFERROR('2.3'!C129/'2.1'!C140,"")</f>
        <v/>
      </c>
      <c r="D142" s="409" t="str">
        <f>IFERROR('2.3'!D129/'2.1'!D140,"")</f>
        <v/>
      </c>
      <c r="E142" s="409" t="str">
        <f>IFERROR('2.3'!E129/'2.1'!E140,"")</f>
        <v/>
      </c>
      <c r="F142" s="409" t="str">
        <f>IFERROR('2.3'!F129/'2.1'!F140,"")</f>
        <v/>
      </c>
      <c r="G142" s="409" t="str">
        <f>IFERROR('2.3'!G129/'2.1'!G140,"")</f>
        <v/>
      </c>
      <c r="H142" s="409" t="str">
        <f>IFERROR('2.3'!H129/'2.1'!H140,"")</f>
        <v/>
      </c>
      <c r="I142" s="409">
        <f>IFERROR('2.3'!I129/'2.1'!I140,"")</f>
        <v>0.81818181818181823</v>
      </c>
      <c r="J142" s="409">
        <f>IFERROR('2.3'!J129/'2.1'!J140,"")</f>
        <v>0.87873462214411246</v>
      </c>
      <c r="K142" s="409">
        <f>IFERROR('2.3'!K129/'2.1'!K140,"")</f>
        <v>0.83333333333333337</v>
      </c>
      <c r="L142" s="409">
        <f>IFERROR('2.3'!L129/'2.1'!L140,"")</f>
        <v>0.61024498886414258</v>
      </c>
      <c r="M142" s="409">
        <f>IFERROR('2.3'!M129/'2.1'!M140,"")</f>
        <v>0.83371824480369516</v>
      </c>
      <c r="N142" s="409">
        <f>IFERROR('2.3'!N129/'2.1'!N140,"")</f>
        <v>0.68294515401953415</v>
      </c>
      <c r="O142" s="409">
        <f>IFERROR('2.3'!O129/'2.1'!O140,"")</f>
        <v>0.78268733850129202</v>
      </c>
      <c r="P142" s="409">
        <f>IFERROR('2.3'!P129/'2.1'!P140,"")</f>
        <v>0.82822523164647188</v>
      </c>
      <c r="Q142" s="409">
        <f>IFERROR('2.3'!Q129/'2.1'!Q140,"")</f>
        <v>0.80182744158178554</v>
      </c>
      <c r="R142" s="409">
        <f>IFERROR('2.3'!R129/'2.1'!R140,"")</f>
        <v>0.87619047619047619</v>
      </c>
      <c r="S142" s="409">
        <f>IFERROR('2.3'!S129/'2.1'!S140,"")</f>
        <v>0.91818181818181821</v>
      </c>
      <c r="T142" s="409">
        <f>IFERROR('2.3'!T129/'2.1'!T140,"")</f>
        <v>0.89767441860465114</v>
      </c>
      <c r="U142" s="409">
        <f>IFERROR('2.3'!U129/'2.1'!X140,"")</f>
        <v>0.76983885679537856</v>
      </c>
      <c r="V142" s="409">
        <f>IFERROR('2.3'!V129/'2.1'!Y140,"")</f>
        <v>0.83869321082184789</v>
      </c>
      <c r="W142" s="409">
        <f>IFERROR('2.3'!W129/'2.1'!Z140,"")</f>
        <v>0.79554115853658536</v>
      </c>
    </row>
    <row r="143" spans="2:23" hidden="1" outlineLevel="1" x14ac:dyDescent="0.25">
      <c r="B143" s="404">
        <v>42675</v>
      </c>
      <c r="C143" s="409" t="str">
        <f>IFERROR('2.3'!C130/'2.1'!C141,"")</f>
        <v/>
      </c>
      <c r="D143" s="409" t="str">
        <f>IFERROR('2.3'!D130/'2.1'!D141,"")</f>
        <v/>
      </c>
      <c r="E143" s="409" t="str">
        <f>IFERROR('2.3'!E130/'2.1'!E141,"")</f>
        <v/>
      </c>
      <c r="F143" s="409" t="str">
        <f>IFERROR('2.3'!F130/'2.1'!F141,"")</f>
        <v/>
      </c>
      <c r="G143" s="409" t="str">
        <f>IFERROR('2.3'!G130/'2.1'!G141,"")</f>
        <v/>
      </c>
      <c r="H143" s="409" t="str">
        <f>IFERROR('2.3'!H130/'2.1'!H141,"")</f>
        <v/>
      </c>
      <c r="I143" s="409">
        <f>IFERROR('2.3'!I130/'2.1'!I141,"")</f>
        <v>0.83433242506811989</v>
      </c>
      <c r="J143" s="409">
        <f>IFERROR('2.3'!J130/'2.1'!J141,"")</f>
        <v>0.88539741219963031</v>
      </c>
      <c r="K143" s="409">
        <f>IFERROR('2.3'!K130/'2.1'!K141,"")</f>
        <v>0.84595959595959591</v>
      </c>
      <c r="L143" s="409">
        <f>IFERROR('2.3'!L130/'2.1'!L141,"")</f>
        <v>0.60722891566265058</v>
      </c>
      <c r="M143" s="409">
        <f>IFERROR('2.3'!M130/'2.1'!M141,"")</f>
        <v>0.82517482517482521</v>
      </c>
      <c r="N143" s="409">
        <f>IFERROR('2.3'!N130/'2.1'!N141,"")</f>
        <v>0.68149324861000793</v>
      </c>
      <c r="O143" s="409">
        <f>IFERROR('2.3'!O130/'2.1'!O141,"")</f>
        <v>0.81153050672182003</v>
      </c>
      <c r="P143" s="409">
        <f>IFERROR('2.3'!P130/'2.1'!P141,"")</f>
        <v>0.81963713980789754</v>
      </c>
      <c r="Q143" s="409">
        <f>IFERROR('2.3'!Q130/'2.1'!Q141,"")</f>
        <v>0.81494235664021564</v>
      </c>
      <c r="R143" s="409">
        <f>IFERROR('2.3'!R130/'2.1'!R141,"")</f>
        <v>0.93693693693693691</v>
      </c>
      <c r="S143" s="409">
        <f>IFERROR('2.3'!S130/'2.1'!S141,"")</f>
        <v>0.97938144329896903</v>
      </c>
      <c r="T143" s="409">
        <f>IFERROR('2.3'!T130/'2.1'!T141,"")</f>
        <v>0.95673076923076927</v>
      </c>
      <c r="U143" s="409">
        <f>IFERROR('2.3'!U130/'2.1'!X141,"")</f>
        <v>0.79440096327513543</v>
      </c>
      <c r="V143" s="409">
        <f>IFERROR('2.3'!V130/'2.1'!Y141,"")</f>
        <v>0.83341928829293455</v>
      </c>
      <c r="W143" s="409">
        <f>IFERROR('2.3'!W130/'2.1'!Z141,"")</f>
        <v>0.80878160045618708</v>
      </c>
    </row>
    <row r="144" spans="2:23" hidden="1" outlineLevel="1" x14ac:dyDescent="0.25">
      <c r="B144" s="404">
        <v>42705</v>
      </c>
      <c r="C144" s="409" t="str">
        <f>IFERROR('2.3'!C131/'2.1'!C142,"")</f>
        <v/>
      </c>
      <c r="D144" s="409" t="str">
        <f>IFERROR('2.3'!D131/'2.1'!D142,"")</f>
        <v/>
      </c>
      <c r="E144" s="409" t="str">
        <f>IFERROR('2.3'!E131/'2.1'!E142,"")</f>
        <v/>
      </c>
      <c r="F144" s="409" t="str">
        <f>IFERROR('2.3'!F131/'2.1'!F142,"")</f>
        <v/>
      </c>
      <c r="G144" s="409" t="str">
        <f>IFERROR('2.3'!G131/'2.1'!G142,"")</f>
        <v/>
      </c>
      <c r="H144" s="409" t="str">
        <f>IFERROR('2.3'!H131/'2.1'!H142,"")</f>
        <v/>
      </c>
      <c r="I144" s="409">
        <f>IFERROR('2.3'!I131/'2.1'!I142,"")</f>
        <v>0.8207904710341094</v>
      </c>
      <c r="J144" s="409">
        <f>IFERROR('2.3'!J131/'2.1'!J142,"")</f>
        <v>0.87244897959183676</v>
      </c>
      <c r="K144" s="409">
        <f>IFERROR('2.3'!K131/'2.1'!K142,"")</f>
        <v>0.83326488706365498</v>
      </c>
      <c r="L144" s="409">
        <f>IFERROR('2.3'!L131/'2.1'!L142,"")</f>
        <v>0.59959959959959963</v>
      </c>
      <c r="M144" s="409">
        <f>IFERROR('2.3'!M131/'2.1'!M142,"")</f>
        <v>0.81196581196581197</v>
      </c>
      <c r="N144" s="409">
        <f>IFERROR('2.3'!N131/'2.1'!N142,"")</f>
        <v>0.66734832992501703</v>
      </c>
      <c r="O144" s="409">
        <f>IFERROR('2.3'!O131/'2.1'!O142,"")</f>
        <v>0.77792343995804925</v>
      </c>
      <c r="P144" s="409">
        <f>IFERROR('2.3'!P131/'2.1'!P142,"")</f>
        <v>0.78371592539454804</v>
      </c>
      <c r="Q144" s="409">
        <f>IFERROR('2.3'!Q131/'2.1'!Q142,"")</f>
        <v>0.78036958497425024</v>
      </c>
      <c r="R144" s="409">
        <f>IFERROR('2.3'!R131/'2.1'!R142,"")</f>
        <v>0.82905982905982911</v>
      </c>
      <c r="S144" s="409">
        <f>IFERROR('2.3'!S131/'2.1'!S142,"")</f>
        <v>0.84732824427480913</v>
      </c>
      <c r="T144" s="409">
        <f>IFERROR('2.3'!T131/'2.1'!T142,"")</f>
        <v>0.83870967741935487</v>
      </c>
      <c r="U144" s="409">
        <f>IFERROR('2.3'!U131/'2.1'!X142,"")</f>
        <v>0.76420244946141358</v>
      </c>
      <c r="V144" s="409">
        <f>IFERROR('2.3'!V131/'2.1'!Y142,"")</f>
        <v>0.8022641509433962</v>
      </c>
      <c r="W144" s="409">
        <f>IFERROR('2.3'!W131/'2.1'!Z142,"")</f>
        <v>0.77827380952380953</v>
      </c>
    </row>
    <row r="145" spans="2:23" collapsed="1" x14ac:dyDescent="0.25">
      <c r="B145" s="407" t="s">
        <v>757</v>
      </c>
      <c r="C145" s="410" t="str">
        <f>IFERROR('2.3'!C132/'2.1'!C143,"")</f>
        <v/>
      </c>
      <c r="D145" s="410" t="str">
        <f>IFERROR('2.3'!D132/'2.1'!D143,"")</f>
        <v/>
      </c>
      <c r="E145" s="410" t="str">
        <f>IFERROR('2.3'!E132/'2.1'!E143,"")</f>
        <v/>
      </c>
      <c r="F145" s="410" t="str">
        <f>IFERROR('2.3'!F132/'2.1'!F143,"")</f>
        <v/>
      </c>
      <c r="G145" s="410" t="str">
        <f>IFERROR('2.3'!G132/'2.1'!G143,"")</f>
        <v/>
      </c>
      <c r="H145" s="410" t="str">
        <f>IFERROR('2.3'!H132/'2.1'!H143,"")</f>
        <v/>
      </c>
      <c r="I145" s="410">
        <f>IFERROR('2.3'!I132/'2.1'!I143,"")</f>
        <v>0.79587628865979376</v>
      </c>
      <c r="J145" s="410">
        <f>IFERROR('2.3'!J132/'2.1'!J143,"")</f>
        <v>0.86245954692556637</v>
      </c>
      <c r="K145" s="410">
        <f>IFERROR('2.3'!K132/'2.1'!K143,"")</f>
        <v>0.81188893234258896</v>
      </c>
      <c r="L145" s="410">
        <f>IFERROR('2.3'!L132/'2.1'!L143,"")</f>
        <v>0.58171206225680938</v>
      </c>
      <c r="M145" s="410">
        <f>IFERROR('2.3'!M132/'2.1'!M143,"")</f>
        <v>0.8041666666666667</v>
      </c>
      <c r="N145" s="410">
        <f>IFERROR('2.3'!N132/'2.1'!N143,"")</f>
        <v>0.65251989389920428</v>
      </c>
      <c r="O145" s="410">
        <f>IFERROR('2.3'!O132/'2.1'!O143,"")</f>
        <v>0.76219364231982534</v>
      </c>
      <c r="P145" s="410">
        <f>IFERROR('2.3'!P132/'2.1'!P143,"")</f>
        <v>0.79178515007898898</v>
      </c>
      <c r="Q145" s="410">
        <f>IFERROR('2.3'!Q132/'2.1'!Q143,"")</f>
        <v>0.77504803733186933</v>
      </c>
      <c r="R145" s="410">
        <f>IFERROR('2.3'!R132/'2.1'!R143,"")</f>
        <v>0.83783783783783783</v>
      </c>
      <c r="S145" s="410">
        <f>IFERROR('2.3'!S132/'2.1'!S143,"")</f>
        <v>0.88461538461538458</v>
      </c>
      <c r="T145" s="410">
        <f>IFERROR('2.3'!T132/'2.1'!T143,"")</f>
        <v>0.86046511627906974</v>
      </c>
      <c r="U145" s="410">
        <f>IFERROR('2.3'!U132/'2.1'!X143,"")</f>
        <v>0.74663147659397133</v>
      </c>
      <c r="V145" s="410">
        <f>IFERROR('2.3'!V132/'2.1'!Y143,"")</f>
        <v>0.80512937943668417</v>
      </c>
      <c r="W145" s="410">
        <f>IFERROR('2.3'!W132/'2.1'!Z143,"")</f>
        <v>0.76880511845063115</v>
      </c>
    </row>
    <row r="146" spans="2:23" hidden="1" outlineLevel="1" x14ac:dyDescent="0.25">
      <c r="B146" s="404">
        <v>42736</v>
      </c>
      <c r="C146" s="409" t="str">
        <f>IFERROR('2.3'!C133/'2.1'!C144,"")</f>
        <v/>
      </c>
      <c r="D146" s="409" t="str">
        <f>IFERROR('2.3'!D133/'2.1'!D144,"")</f>
        <v/>
      </c>
      <c r="E146" s="409" t="str">
        <f>IFERROR('2.3'!E133/'2.1'!E144,"")</f>
        <v/>
      </c>
      <c r="F146" s="409" t="str">
        <f>IFERROR('2.3'!F133/'2.1'!F144,"")</f>
        <v/>
      </c>
      <c r="G146" s="409" t="str">
        <f>IFERROR('2.3'!G133/'2.1'!G144,"")</f>
        <v/>
      </c>
      <c r="H146" s="409" t="str">
        <f>IFERROR('2.3'!H133/'2.1'!H144,"")</f>
        <v/>
      </c>
      <c r="I146" s="409">
        <f>IFERROR('2.3'!I133/'2.1'!I144,"")</f>
        <v>0.83947479881406184</v>
      </c>
      <c r="J146" s="409">
        <f>IFERROR('2.3'!J133/'2.1'!J144,"")</f>
        <v>0.87516425755584759</v>
      </c>
      <c r="K146" s="409">
        <f>IFERROR('2.3'!K133/'2.1'!K144,"")</f>
        <v>0.84817424727738633</v>
      </c>
      <c r="L146" s="409">
        <f>IFERROR('2.3'!L133/'2.1'!L144,"")</f>
        <v>0.58250497017892644</v>
      </c>
      <c r="M146" s="409">
        <f>IFERROR('2.3'!M133/'2.1'!M144,"")</f>
        <v>0.81673306772908372</v>
      </c>
      <c r="N146" s="409">
        <f>IFERROR('2.3'!N133/'2.1'!N144,"")</f>
        <v>0.66047745358090182</v>
      </c>
      <c r="O146" s="409">
        <f>IFERROR('2.3'!O133/'2.1'!O144,"")</f>
        <v>0.78393290664312509</v>
      </c>
      <c r="P146" s="409">
        <f>IFERROR('2.3'!P133/'2.1'!P144,"")</f>
        <v>0.80568445475638051</v>
      </c>
      <c r="Q146" s="409">
        <f>IFERROR('2.3'!Q133/'2.1'!Q144,"")</f>
        <v>0.79333249780674275</v>
      </c>
      <c r="R146" s="409">
        <f>IFERROR('2.3'!R133/'2.1'!R144,"")</f>
        <v>0.82068965517241377</v>
      </c>
      <c r="S146" s="409">
        <f>IFERROR('2.3'!S133/'2.1'!S144,"")</f>
        <v>0.85483870967741937</v>
      </c>
      <c r="T146" s="409">
        <f>IFERROR('2.3'!T133/'2.1'!T144,"")</f>
        <v>0.83643122676579928</v>
      </c>
      <c r="U146" s="409">
        <f>IFERROR('2.3'!U133/'2.1'!X144,"")</f>
        <v>0.77570558249409427</v>
      </c>
      <c r="V146" s="409">
        <f>IFERROR('2.3'!V133/'2.1'!Y144,"")</f>
        <v>0.81902792140641156</v>
      </c>
      <c r="W146" s="409">
        <f>IFERROR('2.3'!W133/'2.1'!Z144,"")</f>
        <v>0.79197080291970801</v>
      </c>
    </row>
    <row r="147" spans="2:23" hidden="1" outlineLevel="1" x14ac:dyDescent="0.25">
      <c r="B147" s="404">
        <v>42767</v>
      </c>
      <c r="C147" s="409" t="str">
        <f>IFERROR('2.3'!C134/'2.1'!C145,"")</f>
        <v/>
      </c>
      <c r="D147" s="409" t="str">
        <f>IFERROR('2.3'!D134/'2.1'!D145,"")</f>
        <v/>
      </c>
      <c r="E147" s="409" t="str">
        <f>IFERROR('2.3'!E134/'2.1'!E145,"")</f>
        <v/>
      </c>
      <c r="F147" s="409" t="str">
        <f>IFERROR('2.3'!F134/'2.1'!F145,"")</f>
        <v/>
      </c>
      <c r="G147" s="409" t="str">
        <f>IFERROR('2.3'!G134/'2.1'!G145,"")</f>
        <v/>
      </c>
      <c r="H147" s="409" t="str">
        <f>IFERROR('2.3'!H134/'2.1'!H145,"")</f>
        <v/>
      </c>
      <c r="I147" s="409">
        <f>IFERROR('2.3'!I134/'2.1'!I145,"")</f>
        <v>0.79262157629960872</v>
      </c>
      <c r="J147" s="409">
        <f>IFERROR('2.3'!J134/'2.1'!J145,"")</f>
        <v>0.85544217687074831</v>
      </c>
      <c r="K147" s="409">
        <f>IFERROR('2.3'!K134/'2.1'!K145,"")</f>
        <v>0.80816154816996211</v>
      </c>
      <c r="L147" s="409">
        <f>IFERROR('2.3'!L134/'2.1'!L145,"")</f>
        <v>0.5787234042553191</v>
      </c>
      <c r="M147" s="409">
        <f>IFERROR('2.3'!M134/'2.1'!M145,"")</f>
        <v>0.8413793103448276</v>
      </c>
      <c r="N147" s="409">
        <f>IFERROR('2.3'!N134/'2.1'!N145,"")</f>
        <v>0.66181818181818186</v>
      </c>
      <c r="O147" s="409">
        <f>IFERROR('2.3'!O134/'2.1'!O145,"")</f>
        <v>0.77494483942142678</v>
      </c>
      <c r="P147" s="409">
        <f>IFERROR('2.3'!P134/'2.1'!P145,"")</f>
        <v>0.78801123946300344</v>
      </c>
      <c r="Q147" s="409">
        <f>IFERROR('2.3'!Q134/'2.1'!Q145,"")</f>
        <v>0.78069211755012358</v>
      </c>
      <c r="R147" s="409">
        <f>IFERROR('2.3'!R134/'2.1'!R145,"")</f>
        <v>0.88118811881188119</v>
      </c>
      <c r="S147" s="409">
        <f>IFERROR('2.3'!S134/'2.1'!S145,"")</f>
        <v>0.8482142857142857</v>
      </c>
      <c r="T147" s="409">
        <f>IFERROR('2.3'!T134/'2.1'!T145,"")</f>
        <v>0.863849765258216</v>
      </c>
      <c r="U147" s="409">
        <f>IFERROR('2.3'!U134/'2.1'!X145,"")</f>
        <v>0.75437834708351426</v>
      </c>
      <c r="V147" s="409">
        <f>IFERROR('2.3'!V134/'2.1'!Y145,"")</f>
        <v>0.80405716920239745</v>
      </c>
      <c r="W147" s="409">
        <f>IFERROR('2.3'!W134/'2.1'!Z145,"")</f>
        <v>0.77353961056281673</v>
      </c>
    </row>
    <row r="148" spans="2:23" hidden="1" outlineLevel="1" x14ac:dyDescent="0.25">
      <c r="B148" s="404">
        <v>42795</v>
      </c>
      <c r="C148" s="409" t="str">
        <f>IFERROR('2.3'!C135/'2.1'!C146,"")</f>
        <v/>
      </c>
      <c r="D148" s="409" t="str">
        <f>IFERROR('2.3'!D135/'2.1'!D146,"")</f>
        <v/>
      </c>
      <c r="E148" s="409" t="str">
        <f>IFERROR('2.3'!E135/'2.1'!E146,"")</f>
        <v/>
      </c>
      <c r="F148" s="409" t="str">
        <f>IFERROR('2.3'!F135/'2.1'!F146,"")</f>
        <v/>
      </c>
      <c r="G148" s="409" t="str">
        <f>IFERROR('2.3'!G135/'2.1'!G146,"")</f>
        <v/>
      </c>
      <c r="H148" s="409" t="str">
        <f>IFERROR('2.3'!H135/'2.1'!H146,"")</f>
        <v/>
      </c>
      <c r="I148" s="409">
        <f>IFERROR('2.3'!I135/'2.1'!I146,"")</f>
        <v>0.75909090909090904</v>
      </c>
      <c r="J148" s="409">
        <f>IFERROR('2.3'!J135/'2.1'!J146,"")</f>
        <v>0.84655172413793101</v>
      </c>
      <c r="K148" s="409">
        <f>IFERROR('2.3'!K135/'2.1'!K146,"")</f>
        <v>0.78076923076923077</v>
      </c>
      <c r="L148" s="409">
        <f>IFERROR('2.3'!L135/'2.1'!L146,"")</f>
        <v>0.57985257985257987</v>
      </c>
      <c r="M148" s="409">
        <f>IFERROR('2.3'!M135/'2.1'!M146,"")</f>
        <v>0.80591497227356745</v>
      </c>
      <c r="N148" s="409">
        <f>IFERROR('2.3'!N135/'2.1'!N146,"")</f>
        <v>0.64926220204313279</v>
      </c>
      <c r="O148" s="409">
        <f>IFERROR('2.3'!O135/'2.1'!O146,"")</f>
        <v>0.75847626645392896</v>
      </c>
      <c r="P148" s="409">
        <f>IFERROR('2.3'!P135/'2.1'!P146,"")</f>
        <v>0.81325910931174084</v>
      </c>
      <c r="Q148" s="409">
        <f>IFERROR('2.3'!Q135/'2.1'!Q146,"")</f>
        <v>0.78262324336381883</v>
      </c>
      <c r="R148" s="409">
        <f>IFERROR('2.3'!R135/'2.1'!R146,"")</f>
        <v>0.84615384615384615</v>
      </c>
      <c r="S148" s="409">
        <f>IFERROR('2.3'!S135/'2.1'!S146,"")</f>
        <v>0.89719626168224298</v>
      </c>
      <c r="T148" s="409">
        <f>IFERROR('2.3'!T135/'2.1'!T146,"")</f>
        <v>0.8705357142857143</v>
      </c>
      <c r="U148" s="409">
        <f>IFERROR('2.3'!U135/'2.1'!X146,"")</f>
        <v>0.73298816568047342</v>
      </c>
      <c r="V148" s="409">
        <f>IFERROR('2.3'!V135/'2.1'!Y146,"")</f>
        <v>0.81795366795366797</v>
      </c>
      <c r="W148" s="409">
        <f>IFERROR('2.3'!W135/'2.1'!Z146,"")</f>
        <v>0.76609990972013242</v>
      </c>
    </row>
    <row r="149" spans="2:23" hidden="1" outlineLevel="1" x14ac:dyDescent="0.25">
      <c r="B149" s="404">
        <v>42826</v>
      </c>
      <c r="C149" s="409" t="str">
        <f>IFERROR('2.3'!C136/'2.1'!C147,"")</f>
        <v/>
      </c>
      <c r="D149" s="409" t="str">
        <f>IFERROR('2.3'!D136/'2.1'!D147,"")</f>
        <v/>
      </c>
      <c r="E149" s="409" t="str">
        <f>IFERROR('2.3'!E136/'2.1'!E147,"")</f>
        <v/>
      </c>
      <c r="F149" s="409" t="str">
        <f>IFERROR('2.3'!F136/'2.1'!F147,"")</f>
        <v/>
      </c>
      <c r="G149" s="409" t="str">
        <f>IFERROR('2.3'!G136/'2.1'!G147,"")</f>
        <v/>
      </c>
      <c r="H149" s="409" t="str">
        <f>IFERROR('2.3'!H136/'2.1'!H147,"")</f>
        <v/>
      </c>
      <c r="I149" s="409">
        <f>IFERROR('2.3'!I136/'2.1'!I147,"")</f>
        <v>0.79931389365351635</v>
      </c>
      <c r="J149" s="409">
        <f>IFERROR('2.3'!J136/'2.1'!J147,"")</f>
        <v>0.84736842105263155</v>
      </c>
      <c r="K149" s="409">
        <f>IFERROR('2.3'!K136/'2.1'!K147,"")</f>
        <v>0.81112548512289784</v>
      </c>
      <c r="L149" s="409">
        <f>IFERROR('2.3'!L136/'2.1'!L147,"")</f>
        <v>0.58324821246169556</v>
      </c>
      <c r="M149" s="409">
        <f>IFERROR('2.3'!M136/'2.1'!M147,"")</f>
        <v>0.8190045248868778</v>
      </c>
      <c r="N149" s="409">
        <f>IFERROR('2.3'!N136/'2.1'!N147,"")</f>
        <v>0.65657987332864176</v>
      </c>
      <c r="O149" s="409">
        <f>IFERROR('2.3'!O136/'2.1'!O147,"")</f>
        <v>0.7695852534562212</v>
      </c>
      <c r="P149" s="409">
        <f>IFERROR('2.3'!P136/'2.1'!P147,"")</f>
        <v>0.80776636713735561</v>
      </c>
      <c r="Q149" s="409">
        <f>IFERROR('2.3'!Q136/'2.1'!Q147,"")</f>
        <v>0.78652805468527487</v>
      </c>
      <c r="R149" s="409">
        <f>IFERROR('2.3'!R136/'2.1'!R147,"")</f>
        <v>0.87850467289719625</v>
      </c>
      <c r="S149" s="409">
        <f>IFERROR('2.3'!S136/'2.1'!S147,"")</f>
        <v>0.93333333333333335</v>
      </c>
      <c r="T149" s="409">
        <f>IFERROR('2.3'!T136/'2.1'!T147,"")</f>
        <v>0.90566037735849059</v>
      </c>
      <c r="U149" s="409">
        <f>IFERROR('2.3'!U136/'2.1'!X147,"")</f>
        <v>0.75196558374128464</v>
      </c>
      <c r="V149" s="409">
        <f>IFERROR('2.3'!V136/'2.1'!Y147,"")</f>
        <v>0.81738719584219233</v>
      </c>
      <c r="W149" s="409">
        <f>IFERROR('2.3'!W136/'2.1'!Z147,"")</f>
        <v>0.77720065609622746</v>
      </c>
    </row>
    <row r="150" spans="2:23" hidden="1" outlineLevel="1" x14ac:dyDescent="0.25">
      <c r="B150" s="404">
        <v>42856</v>
      </c>
      <c r="C150" s="409" t="str">
        <f>IFERROR('2.3'!C137/'2.1'!C148,"")</f>
        <v/>
      </c>
      <c r="D150" s="409" t="str">
        <f>IFERROR('2.3'!D137/'2.1'!D148,"")</f>
        <v/>
      </c>
      <c r="E150" s="409" t="str">
        <f>IFERROR('2.3'!E137/'2.1'!E148,"")</f>
        <v/>
      </c>
      <c r="F150" s="409" t="str">
        <f>IFERROR('2.3'!F137/'2.1'!F148,"")</f>
        <v/>
      </c>
      <c r="G150" s="409" t="str">
        <f>IFERROR('2.3'!G137/'2.1'!G148,"")</f>
        <v/>
      </c>
      <c r="H150" s="409" t="str">
        <f>IFERROR('2.3'!H137/'2.1'!H148,"")</f>
        <v/>
      </c>
      <c r="I150" s="409">
        <f>IFERROR('2.3'!I137/'2.1'!I148,"")</f>
        <v>0.80913064594463335</v>
      </c>
      <c r="J150" s="409">
        <f>IFERROR('2.3'!J137/'2.1'!J148,"")</f>
        <v>0.84834834834834838</v>
      </c>
      <c r="K150" s="409">
        <f>IFERROR('2.3'!K137/'2.1'!K148,"")</f>
        <v>0.81871559633027524</v>
      </c>
      <c r="L150" s="409">
        <f>IFERROR('2.3'!L137/'2.1'!L148,"")</f>
        <v>0.55200000000000005</v>
      </c>
      <c r="M150" s="409">
        <f>IFERROR('2.3'!M137/'2.1'!M148,"")</f>
        <v>0.79649890590809624</v>
      </c>
      <c r="N150" s="409">
        <f>IFERROR('2.3'!N137/'2.1'!N148,"")</f>
        <v>0.62262958280657399</v>
      </c>
      <c r="O150" s="409">
        <f>IFERROR('2.3'!O137/'2.1'!O148,"")</f>
        <v>0.7635039449726887</v>
      </c>
      <c r="P150" s="409">
        <f>IFERROR('2.3'!P137/'2.1'!P148,"")</f>
        <v>0.80676812174609536</v>
      </c>
      <c r="Q150" s="409">
        <f>IFERROR('2.3'!Q137/'2.1'!Q148,"")</f>
        <v>0.78524705645567072</v>
      </c>
      <c r="R150" s="409">
        <f>IFERROR('2.3'!R137/'2.1'!R148,"")</f>
        <v>0.82786885245901642</v>
      </c>
      <c r="S150" s="409">
        <f>IFERROR('2.3'!S137/'2.1'!S148,"")</f>
        <v>0.89189189189189189</v>
      </c>
      <c r="T150" s="409">
        <f>IFERROR('2.3'!T137/'2.1'!T148,"")</f>
        <v>0.86296296296296293</v>
      </c>
      <c r="U150" s="409">
        <f>IFERROR('2.3'!U137/'2.1'!X148,"")</f>
        <v>0.74699963631955391</v>
      </c>
      <c r="V150" s="409">
        <f>IFERROR('2.3'!V137/'2.1'!Y148,"")</f>
        <v>0.81245011971268954</v>
      </c>
      <c r="W150" s="409">
        <f>IFERROR('2.3'!W137/'2.1'!Z148,"")</f>
        <v>0.77525148132837263</v>
      </c>
    </row>
    <row r="151" spans="2:23" hidden="1" outlineLevel="1" x14ac:dyDescent="0.25">
      <c r="B151" s="404">
        <v>42887</v>
      </c>
      <c r="C151" s="409" t="str">
        <f>IFERROR('2.3'!C138/'2.1'!C149,"")</f>
        <v/>
      </c>
      <c r="D151" s="409" t="str">
        <f>IFERROR('2.3'!D138/'2.1'!D149,"")</f>
        <v/>
      </c>
      <c r="E151" s="409" t="str">
        <f>IFERROR('2.3'!E138/'2.1'!E149,"")</f>
        <v/>
      </c>
      <c r="F151" s="409" t="str">
        <f>IFERROR('2.3'!F138/'2.1'!F149,"")</f>
        <v/>
      </c>
      <c r="G151" s="409" t="str">
        <f>IFERROR('2.3'!G138/'2.1'!G149,"")</f>
        <v/>
      </c>
      <c r="H151" s="409" t="str">
        <f>IFERROR('2.3'!H138/'2.1'!H149,"")</f>
        <v/>
      </c>
      <c r="I151" s="409">
        <f>IFERROR('2.3'!I138/'2.1'!I149,"")</f>
        <v>0.79967689822294019</v>
      </c>
      <c r="J151" s="409">
        <f>IFERROR('2.3'!J138/'2.1'!J149,"")</f>
        <v>0.83934426229508197</v>
      </c>
      <c r="K151" s="409">
        <f>IFERROR('2.3'!K138/'2.1'!K149,"")</f>
        <v>0.80948520470206731</v>
      </c>
      <c r="L151" s="409">
        <f>IFERROR('2.3'!L138/'2.1'!L149,"")</f>
        <v>0.53131313131313129</v>
      </c>
      <c r="M151" s="409">
        <f>IFERROR('2.3'!M138/'2.1'!M149,"")</f>
        <v>0.80165289256198347</v>
      </c>
      <c r="N151" s="409">
        <f>IFERROR('2.3'!N138/'2.1'!N149,"")</f>
        <v>0.6200814111261872</v>
      </c>
      <c r="O151" s="409">
        <f>IFERROR('2.3'!O138/'2.1'!O149,"")</f>
        <v>0.75058493214787081</v>
      </c>
      <c r="P151" s="409">
        <f>IFERROR('2.3'!P138/'2.1'!P149,"")</f>
        <v>0.7880508245471749</v>
      </c>
      <c r="Q151" s="409">
        <f>IFERROR('2.3'!Q138/'2.1'!Q149,"")</f>
        <v>0.76796688824783643</v>
      </c>
      <c r="R151" s="409">
        <f>IFERROR('2.3'!R138/'2.1'!R149,"")</f>
        <v>0.79047619047619044</v>
      </c>
      <c r="S151" s="409">
        <f>IFERROR('2.3'!S138/'2.1'!S149,"")</f>
        <v>0.96460176991150437</v>
      </c>
      <c r="T151" s="409">
        <f>IFERROR('2.3'!T138/'2.1'!T149,"")</f>
        <v>0.88073394495412849</v>
      </c>
      <c r="U151" s="409">
        <f>IFERROR('2.3'!U138/'2.1'!X149,"")</f>
        <v>0.73373927484085244</v>
      </c>
      <c r="V151" s="409">
        <f>IFERROR('2.3'!V138/'2.1'!Y149,"")</f>
        <v>0.79983693436608239</v>
      </c>
      <c r="W151" s="409">
        <f>IFERROR('2.3'!W138/'2.1'!Z149,"")</f>
        <v>0.76046818331684796</v>
      </c>
    </row>
    <row r="152" spans="2:23" hidden="1" outlineLevel="1" x14ac:dyDescent="0.25">
      <c r="B152" s="404">
        <v>42917</v>
      </c>
      <c r="C152" s="409" t="str">
        <f>IFERROR('2.3'!C139/'2.1'!C150,"")</f>
        <v/>
      </c>
      <c r="D152" s="409" t="str">
        <f>IFERROR('2.3'!D139/'2.1'!D150,"")</f>
        <v/>
      </c>
      <c r="E152" s="409" t="str">
        <f>IFERROR('2.3'!E139/'2.1'!E150,"")</f>
        <v/>
      </c>
      <c r="F152" s="409" t="str">
        <f>IFERROR('2.3'!F139/'2.1'!F150,"")</f>
        <v/>
      </c>
      <c r="G152" s="409" t="str">
        <f>IFERROR('2.3'!G139/'2.1'!G150,"")</f>
        <v/>
      </c>
      <c r="H152" s="409" t="str">
        <f>IFERROR('2.3'!H139/'2.1'!H150,"")</f>
        <v/>
      </c>
      <c r="I152" s="409">
        <f>IFERROR('2.3'!I139/'2.1'!I150,"")</f>
        <v>0.78929604628736738</v>
      </c>
      <c r="J152" s="409">
        <f>IFERROR('2.3'!J139/'2.1'!J150,"")</f>
        <v>0.83809523809523812</v>
      </c>
      <c r="K152" s="409">
        <f>IFERROR('2.3'!K139/'2.1'!K150,"")</f>
        <v>0.80206479174083301</v>
      </c>
      <c r="L152" s="409">
        <f>IFERROR('2.3'!L139/'2.1'!L150,"")</f>
        <v>0.56660746003552398</v>
      </c>
      <c r="M152" s="409">
        <f>IFERROR('2.3'!M139/'2.1'!M150,"")</f>
        <v>0.81599999999999995</v>
      </c>
      <c r="N152" s="409">
        <f>IFERROR('2.3'!N139/'2.1'!N150,"")</f>
        <v>0.64329643296432959</v>
      </c>
      <c r="O152" s="409">
        <f>IFERROR('2.3'!O139/'2.1'!O150,"")</f>
        <v>0.76689063083240017</v>
      </c>
      <c r="P152" s="409">
        <f>IFERROR('2.3'!P139/'2.1'!P150,"")</f>
        <v>0.81241015812170581</v>
      </c>
      <c r="Q152" s="409">
        <f>IFERROR('2.3'!Q139/'2.1'!Q150,"")</f>
        <v>0.78682333193453635</v>
      </c>
      <c r="R152" s="409">
        <f>IFERROR('2.3'!R139/'2.1'!R150,"")</f>
        <v>0.8571428571428571</v>
      </c>
      <c r="S152" s="409">
        <f>IFERROR('2.3'!S139/'2.1'!S150,"")</f>
        <v>0.90476190476190477</v>
      </c>
      <c r="T152" s="409">
        <f>IFERROR('2.3'!T139/'2.1'!T150,"")</f>
        <v>0.87755102040816324</v>
      </c>
      <c r="U152" s="409">
        <f>IFERROR('2.3'!U139/'2.1'!X150,"")</f>
        <v>0.74810909924363966</v>
      </c>
      <c r="V152" s="409">
        <f>IFERROR('2.3'!V139/'2.1'!Y150,"")</f>
        <v>0.81824751580849142</v>
      </c>
      <c r="W152" s="409">
        <f>IFERROR('2.3'!W139/'2.1'!Z150,"")</f>
        <v>0.77533132318911713</v>
      </c>
    </row>
    <row r="153" spans="2:23" hidden="1" outlineLevel="1" x14ac:dyDescent="0.25">
      <c r="B153" s="404">
        <v>42948</v>
      </c>
      <c r="C153" s="409" t="str">
        <f>IFERROR('2.3'!C140/'2.1'!C151,"")</f>
        <v/>
      </c>
      <c r="D153" s="409" t="str">
        <f>IFERROR('2.3'!D140/'2.1'!D151,"")</f>
        <v/>
      </c>
      <c r="E153" s="409" t="str">
        <f>IFERROR('2.3'!E140/'2.1'!E151,"")</f>
        <v/>
      </c>
      <c r="F153" s="409" t="str">
        <f>IFERROR('2.3'!F140/'2.1'!F151,"")</f>
        <v/>
      </c>
      <c r="G153" s="409" t="str">
        <f>IFERROR('2.3'!G140/'2.1'!G151,"")</f>
        <v/>
      </c>
      <c r="H153" s="409" t="str">
        <f>IFERROR('2.3'!H140/'2.1'!H151,"")</f>
        <v/>
      </c>
      <c r="I153" s="409">
        <f>IFERROR('2.3'!I140/'2.1'!I151,"")</f>
        <v>0.76717724288840261</v>
      </c>
      <c r="J153" s="409">
        <f>IFERROR('2.3'!J140/'2.1'!J151,"")</f>
        <v>0.84669479606188469</v>
      </c>
      <c r="K153" s="409">
        <f>IFERROR('2.3'!K140/'2.1'!K151,"")</f>
        <v>0.78604806408544725</v>
      </c>
      <c r="L153" s="409">
        <f>IFERROR('2.3'!L140/'2.1'!L151,"")</f>
        <v>0.59913419913419919</v>
      </c>
      <c r="M153" s="409">
        <f>IFERROR('2.3'!M140/'2.1'!M151,"")</f>
        <v>0.78764478764478763</v>
      </c>
      <c r="N153" s="409">
        <f>IFERROR('2.3'!N140/'2.1'!N151,"")</f>
        <v>0.65750149432157801</v>
      </c>
      <c r="O153" s="409">
        <f>IFERROR('2.3'!O140/'2.1'!O151,"")</f>
        <v>0.75872616048938468</v>
      </c>
      <c r="P153" s="409">
        <f>IFERROR('2.3'!P140/'2.1'!P151,"")</f>
        <v>0.78901799954431528</v>
      </c>
      <c r="Q153" s="409">
        <f>IFERROR('2.3'!Q140/'2.1'!Q151,"")</f>
        <v>0.77209208806675378</v>
      </c>
      <c r="R153" s="409">
        <f>IFERROR('2.3'!R140/'2.1'!R151,"")</f>
        <v>0.88111888111888115</v>
      </c>
      <c r="S153" s="409">
        <f>IFERROR('2.3'!S140/'2.1'!S151,"")</f>
        <v>0.90740740740740744</v>
      </c>
      <c r="T153" s="409">
        <f>IFERROR('2.3'!T140/'2.1'!T151,"")</f>
        <v>0.89508196721311473</v>
      </c>
      <c r="U153" s="409">
        <f>IFERROR('2.3'!U140/'2.1'!X151,"")</f>
        <v>0.74258833825620829</v>
      </c>
      <c r="V153" s="409">
        <f>IFERROR('2.3'!V140/'2.1'!Y151,"")</f>
        <v>0.79930795847750868</v>
      </c>
      <c r="W153" s="409">
        <f>IFERROR('2.3'!W140/'2.1'!Z151,"")</f>
        <v>0.7645600160847128</v>
      </c>
    </row>
    <row r="154" spans="2:23" hidden="1" outlineLevel="1" x14ac:dyDescent="0.25">
      <c r="B154" s="404">
        <v>42979</v>
      </c>
      <c r="C154" s="409" t="str">
        <f>IFERROR('2.3'!C141/'2.1'!C152,"")</f>
        <v/>
      </c>
      <c r="D154" s="409" t="str">
        <f>IFERROR('2.3'!D141/'2.1'!D152,"")</f>
        <v/>
      </c>
      <c r="E154" s="409" t="str">
        <f>IFERROR('2.3'!E141/'2.1'!E152,"")</f>
        <v/>
      </c>
      <c r="F154" s="409" t="str">
        <f>IFERROR('2.3'!F141/'2.1'!F152,"")</f>
        <v/>
      </c>
      <c r="G154" s="409" t="str">
        <f>IFERROR('2.3'!G141/'2.1'!G152,"")</f>
        <v/>
      </c>
      <c r="H154" s="409" t="str">
        <f>IFERROR('2.3'!H141/'2.1'!H152,"")</f>
        <v/>
      </c>
      <c r="I154" s="409">
        <f>IFERROR('2.3'!I141/'2.1'!I152,"")</f>
        <v>0.80516898608349896</v>
      </c>
      <c r="J154" s="409">
        <f>IFERROR('2.3'!J141/'2.1'!J152,"")</f>
        <v>0.85223880597014923</v>
      </c>
      <c r="K154" s="409">
        <f>IFERROR('2.3'!K141/'2.1'!K152,"")</f>
        <v>0.81692766592095456</v>
      </c>
      <c r="L154" s="409">
        <f>IFERROR('2.3'!L141/'2.1'!L152,"")</f>
        <v>0.5906623235613464</v>
      </c>
      <c r="M154" s="409">
        <f>IFERROR('2.3'!M141/'2.1'!M152,"")</f>
        <v>0.81111111111111112</v>
      </c>
      <c r="N154" s="409">
        <f>IFERROR('2.3'!N141/'2.1'!N152,"")</f>
        <v>0.66301969365426694</v>
      </c>
      <c r="O154" s="409">
        <f>IFERROR('2.3'!O141/'2.1'!O152,"")</f>
        <v>0.76240437158469943</v>
      </c>
      <c r="P154" s="409">
        <f>IFERROR('2.3'!P141/'2.1'!P152,"")</f>
        <v>0.7998370450841934</v>
      </c>
      <c r="Q154" s="409">
        <f>IFERROR('2.3'!Q141/'2.1'!Q152,"")</f>
        <v>0.77909652416131769</v>
      </c>
      <c r="R154" s="409">
        <f>IFERROR('2.3'!R141/'2.1'!R152,"")</f>
        <v>0.875</v>
      </c>
      <c r="S154" s="409">
        <f>IFERROR('2.3'!S141/'2.1'!S152,"")</f>
        <v>0.95121951219512191</v>
      </c>
      <c r="T154" s="409">
        <f>IFERROR('2.3'!T141/'2.1'!T152,"")</f>
        <v>0.91119691119691115</v>
      </c>
      <c r="U154" s="409">
        <f>IFERROR('2.3'!U141/'2.1'!X152,"")</f>
        <v>0.75497121925693356</v>
      </c>
      <c r="V154" s="409">
        <f>IFERROR('2.3'!V141/'2.1'!Y152,"")</f>
        <v>0.8117766497461929</v>
      </c>
      <c r="W154" s="409">
        <f>IFERROR('2.3'!W141/'2.1'!Z152,"")</f>
        <v>0.77722969209961013</v>
      </c>
    </row>
    <row r="155" spans="2:23" hidden="1" outlineLevel="1" x14ac:dyDescent="0.25">
      <c r="B155" s="404">
        <v>43009</v>
      </c>
      <c r="C155" s="409" t="str">
        <f>IFERROR('2.3'!C142/'2.1'!C153,"")</f>
        <v/>
      </c>
      <c r="D155" s="409" t="str">
        <f>IFERROR('2.3'!D142/'2.1'!D153,"")</f>
        <v/>
      </c>
      <c r="E155" s="409" t="str">
        <f>IFERROR('2.3'!E142/'2.1'!E153,"")</f>
        <v/>
      </c>
      <c r="F155" s="409" t="str">
        <f>IFERROR('2.3'!F142/'2.1'!F153,"")</f>
        <v/>
      </c>
      <c r="G155" s="409" t="str">
        <f>IFERROR('2.3'!G142/'2.1'!G153,"")</f>
        <v/>
      </c>
      <c r="H155" s="409" t="str">
        <f>IFERROR('2.3'!H142/'2.1'!H153,"")</f>
        <v/>
      </c>
      <c r="I155" s="409">
        <f>IFERROR('2.3'!I142/'2.1'!I153,"")</f>
        <v>0.79326513213981242</v>
      </c>
      <c r="J155" s="409">
        <f>IFERROR('2.3'!J142/'2.1'!J153,"")</f>
        <v>0.84593023255813948</v>
      </c>
      <c r="K155" s="409">
        <f>IFERROR('2.3'!K142/'2.1'!K153,"")</f>
        <v>0.80520764667106126</v>
      </c>
      <c r="L155" s="409">
        <f>IFERROR('2.3'!L142/'2.1'!L153,"")</f>
        <v>0.54435107376283842</v>
      </c>
      <c r="M155" s="409">
        <f>IFERROR('2.3'!M142/'2.1'!M153,"")</f>
        <v>0.78015564202334631</v>
      </c>
      <c r="N155" s="409">
        <f>IFERROR('2.3'!N142/'2.1'!N153,"")</f>
        <v>0.62082018927444793</v>
      </c>
      <c r="O155" s="409">
        <f>IFERROR('2.3'!O142/'2.1'!O153,"")</f>
        <v>0.79213066072754268</v>
      </c>
      <c r="P155" s="409">
        <f>IFERROR('2.3'!P142/'2.1'!P153,"")</f>
        <v>0.81545264137770535</v>
      </c>
      <c r="Q155" s="409">
        <f>IFERROR('2.3'!Q142/'2.1'!Q153,"")</f>
        <v>0.80247805885389778</v>
      </c>
      <c r="R155" s="409">
        <f>IFERROR('2.3'!R142/'2.1'!R153,"")</f>
        <v>0.84242424242424241</v>
      </c>
      <c r="S155" s="409">
        <f>IFERROR('2.3'!S142/'2.1'!S153,"")</f>
        <v>0.91836734693877553</v>
      </c>
      <c r="T155" s="409">
        <f>IFERROR('2.3'!T142/'2.1'!T153,"")</f>
        <v>0.87820512820512819</v>
      </c>
      <c r="U155" s="409">
        <f>IFERROR('2.3'!U142/'2.1'!X153,"")</f>
        <v>0.76376811594202898</v>
      </c>
      <c r="V155" s="409">
        <f>IFERROR('2.3'!V142/'2.1'!Y153,"")</f>
        <v>0.8186326602904711</v>
      </c>
      <c r="W155" s="409">
        <f>IFERROR('2.3'!W142/'2.1'!Z153,"")</f>
        <v>0.78496168582375481</v>
      </c>
    </row>
    <row r="156" spans="2:23" hidden="1" outlineLevel="1" x14ac:dyDescent="0.25">
      <c r="B156" s="404">
        <v>43040</v>
      </c>
      <c r="C156" s="409" t="str">
        <f>IFERROR('2.3'!C143/'2.1'!C154,"")</f>
        <v/>
      </c>
      <c r="D156" s="409" t="str">
        <f>IFERROR('2.3'!D143/'2.1'!D154,"")</f>
        <v/>
      </c>
      <c r="E156" s="409" t="str">
        <f>IFERROR('2.3'!E143/'2.1'!E154,"")</f>
        <v/>
      </c>
      <c r="F156" s="409" t="str">
        <f>IFERROR('2.3'!F143/'2.1'!F154,"")</f>
        <v/>
      </c>
      <c r="G156" s="409" t="str">
        <f>IFERROR('2.3'!G143/'2.1'!G154,"")</f>
        <v/>
      </c>
      <c r="H156" s="409" t="str">
        <f>IFERROR('2.3'!H143/'2.1'!H154,"")</f>
        <v/>
      </c>
      <c r="I156" s="409">
        <f>IFERROR('2.3'!I143/'2.1'!I154,"")</f>
        <v>0.79716312056737593</v>
      </c>
      <c r="J156" s="409">
        <f>IFERROR('2.3'!J143/'2.1'!J154,"")</f>
        <v>0.86115444617784709</v>
      </c>
      <c r="K156" s="409">
        <f>IFERROR('2.3'!K143/'2.1'!K154,"")</f>
        <v>0.81204644412191584</v>
      </c>
      <c r="L156" s="409">
        <f>IFERROR('2.3'!L143/'2.1'!L154,"")</f>
        <v>0.59424083769633507</v>
      </c>
      <c r="M156" s="409">
        <f>IFERROR('2.3'!M143/'2.1'!M154,"")</f>
        <v>0.82239382239382242</v>
      </c>
      <c r="N156" s="409">
        <f>IFERROR('2.3'!N143/'2.1'!N154,"")</f>
        <v>0.66526442307692313</v>
      </c>
      <c r="O156" s="409">
        <f>IFERROR('2.3'!O143/'2.1'!O154,"")</f>
        <v>0.78447095638568354</v>
      </c>
      <c r="P156" s="409">
        <f>IFERROR('2.3'!P143/'2.1'!P154,"")</f>
        <v>0.83155758498224253</v>
      </c>
      <c r="Q156" s="409">
        <f>IFERROR('2.3'!Q143/'2.1'!Q154,"")</f>
        <v>0.80496963003865263</v>
      </c>
      <c r="R156" s="409">
        <f>IFERROR('2.3'!R143/'2.1'!R154,"")</f>
        <v>0.85333333333333339</v>
      </c>
      <c r="S156" s="409">
        <f>IFERROR('2.3'!S143/'2.1'!S154,"")</f>
        <v>0.96385542168674698</v>
      </c>
      <c r="T156" s="409">
        <f>IFERROR('2.3'!T143/'2.1'!T154,"")</f>
        <v>0.91139240506329111</v>
      </c>
      <c r="U156" s="409">
        <f>IFERROR('2.3'!U143/'2.1'!X154,"")</f>
        <v>0.76325668700140781</v>
      </c>
      <c r="V156" s="409">
        <f>IFERROR('2.3'!V143/'2.1'!Y154,"")</f>
        <v>0.83842794759825323</v>
      </c>
      <c r="W156" s="409">
        <f>IFERROR('2.3'!W143/'2.1'!Z154,"")</f>
        <v>0.791965774780654</v>
      </c>
    </row>
    <row r="157" spans="2:23" hidden="1" outlineLevel="1" x14ac:dyDescent="0.25">
      <c r="B157" s="404">
        <v>43070</v>
      </c>
      <c r="C157" s="409" t="str">
        <f>IFERROR('2.3'!C144/'2.1'!C155,"")</f>
        <v/>
      </c>
      <c r="D157" s="409" t="str">
        <f>IFERROR('2.3'!D144/'2.1'!D155,"")</f>
        <v/>
      </c>
      <c r="E157" s="409" t="str">
        <f>IFERROR('2.3'!E144/'2.1'!E155,"")</f>
        <v/>
      </c>
      <c r="F157" s="409" t="str">
        <f>IFERROR('2.3'!F144/'2.1'!F155,"")</f>
        <v/>
      </c>
      <c r="G157" s="409" t="str">
        <f>IFERROR('2.3'!G144/'2.1'!G155,"")</f>
        <v/>
      </c>
      <c r="H157" s="409" t="str">
        <f>IFERROR('2.3'!H144/'2.1'!H155,"")</f>
        <v/>
      </c>
      <c r="I157" s="409">
        <f>IFERROR('2.3'!I144/'2.1'!I155,"")</f>
        <v>0.89459007250418299</v>
      </c>
      <c r="J157" s="409">
        <f>IFERROR('2.3'!J144/'2.1'!J155,"")</f>
        <v>0.94078947368421051</v>
      </c>
      <c r="K157" s="409">
        <f>IFERROR('2.3'!K144/'2.1'!K155,"")</f>
        <v>0.90628904623073714</v>
      </c>
      <c r="L157" s="409">
        <f>IFERROR('2.3'!L144/'2.1'!L155,"")</f>
        <v>0.6166666666666667</v>
      </c>
      <c r="M157" s="409">
        <f>IFERROR('2.3'!M144/'2.1'!M155,"")</f>
        <v>0.82994923857868019</v>
      </c>
      <c r="N157" s="409">
        <f>IFERROR('2.3'!N144/'2.1'!N155,"")</f>
        <v>0.68160741885625964</v>
      </c>
      <c r="O157" s="409">
        <f>IFERROR('2.3'!O144/'2.1'!O155,"")</f>
        <v>0.875500117674747</v>
      </c>
      <c r="P157" s="409">
        <f>IFERROR('2.3'!P144/'2.1'!P155,"")</f>
        <v>0.92059145673603504</v>
      </c>
      <c r="Q157" s="409">
        <f>IFERROR('2.3'!Q144/'2.1'!Q155,"")</f>
        <v>0.89634223516010636</v>
      </c>
      <c r="R157" s="409">
        <f>IFERROR('2.3'!R144/'2.1'!R155,"")</f>
        <v>0.89629629629629626</v>
      </c>
      <c r="S157" s="409">
        <f>IFERROR('2.3'!S144/'2.1'!S155,"")</f>
        <v>0.93571428571428572</v>
      </c>
      <c r="T157" s="409">
        <f>IFERROR('2.3'!T144/'2.1'!T155,"")</f>
        <v>0.91636363636363638</v>
      </c>
      <c r="U157" s="409">
        <f>IFERROR('2.3'!U144/'2.1'!X155,"")</f>
        <v>0.84781687155574392</v>
      </c>
      <c r="V157" s="409">
        <f>IFERROR('2.3'!V144/'2.1'!Y155,"")</f>
        <v>0.91614518147684609</v>
      </c>
      <c r="W157" s="409">
        <f>IFERROR('2.3'!W144/'2.1'!Z155,"")</f>
        <v>0.875410664644933</v>
      </c>
    </row>
    <row r="158" spans="2:23" collapsed="1" x14ac:dyDescent="0.25">
      <c r="B158" s="407" t="s">
        <v>758</v>
      </c>
      <c r="C158" s="410" t="str">
        <f>IFERROR('2.3'!C145/'2.1'!C156,"")</f>
        <v/>
      </c>
      <c r="D158" s="410" t="str">
        <f>IFERROR('2.3'!D145/'2.1'!D156,"")</f>
        <v/>
      </c>
      <c r="E158" s="410" t="str">
        <f>IFERROR('2.3'!E145/'2.1'!E156,"")</f>
        <v/>
      </c>
      <c r="F158" s="410" t="str">
        <f>IFERROR('2.3'!F145/'2.1'!F156,"")</f>
        <v/>
      </c>
      <c r="G158" s="410" t="str">
        <f>IFERROR('2.3'!G145/'2.1'!G156,"")</f>
        <v/>
      </c>
      <c r="H158" s="410" t="str">
        <f>IFERROR('2.3'!H145/'2.1'!H156,"")</f>
        <v/>
      </c>
      <c r="I158" s="410">
        <f>IFERROR('2.3'!I145/'2.1'!I156,"")</f>
        <v>0.80366881507188892</v>
      </c>
      <c r="J158" s="410">
        <f>IFERROR('2.3'!J145/'2.1'!J156,"")</f>
        <v>0.85889570552147243</v>
      </c>
      <c r="K158" s="410">
        <f>IFERROR('2.3'!K145/'2.1'!K156,"")</f>
        <v>0.81678531285125511</v>
      </c>
      <c r="L158" s="410">
        <f>IFERROR('2.3'!L145/'2.1'!L156,"")</f>
        <v>0.57633587786259544</v>
      </c>
      <c r="M158" s="410">
        <f>IFERROR('2.3'!M145/'2.1'!M156,"")</f>
        <v>0.80833333333333335</v>
      </c>
      <c r="N158" s="410">
        <f>IFERROR('2.3'!N145/'2.1'!N156,"")</f>
        <v>0.64986910994764402</v>
      </c>
      <c r="O158" s="410">
        <f>IFERROR('2.3'!O145/'2.1'!O156,"")</f>
        <v>0.77763739734680981</v>
      </c>
      <c r="P158" s="410">
        <f>IFERROR('2.3'!P145/'2.1'!P156,"")</f>
        <v>0.81464294921371483</v>
      </c>
      <c r="Q158" s="410">
        <f>IFERROR('2.3'!Q145/'2.1'!Q156,"")</f>
        <v>0.79427445526193785</v>
      </c>
      <c r="R158" s="410">
        <f>IFERROR('2.3'!R145/'2.1'!R156,"")</f>
        <v>0.8571428571428571</v>
      </c>
      <c r="S158" s="410">
        <f>IFERROR('2.3'!S145/'2.1'!S156,"")</f>
        <v>0.91603053435114501</v>
      </c>
      <c r="T158" s="410">
        <f>IFERROR('2.3'!T145/'2.1'!T156,"")</f>
        <v>0.88636363636363635</v>
      </c>
      <c r="U158" s="410">
        <f>IFERROR('2.3'!U145/'2.1'!X156,"")</f>
        <v>0.75890273059015978</v>
      </c>
      <c r="V158" s="410">
        <f>IFERROR('2.3'!V145/'2.1'!Y156,"")</f>
        <v>0.82224815246985605</v>
      </c>
      <c r="W158" s="410">
        <f>IFERROR('2.3'!W145/'2.1'!Z156,"")</f>
        <v>0.78378791351516541</v>
      </c>
    </row>
    <row r="159" spans="2:23" hidden="1" outlineLevel="1" x14ac:dyDescent="0.25">
      <c r="B159" s="404">
        <v>43101</v>
      </c>
      <c r="C159" s="409" t="str">
        <f>IFERROR('2.3'!C146/'2.1'!C157,"")</f>
        <v/>
      </c>
      <c r="D159" s="409" t="str">
        <f>IFERROR('2.3'!D146/'2.1'!D157,"")</f>
        <v/>
      </c>
      <c r="E159" s="409" t="str">
        <f>IFERROR('2.3'!E146/'2.1'!E157,"")</f>
        <v/>
      </c>
      <c r="F159" s="409" t="str">
        <f>IFERROR('2.3'!F146/'2.1'!F157,"")</f>
        <v/>
      </c>
      <c r="G159" s="409" t="str">
        <f>IFERROR('2.3'!G146/'2.1'!G157,"")</f>
        <v/>
      </c>
      <c r="H159" s="409" t="str">
        <f>IFERROR('2.3'!H146/'2.1'!H157,"")</f>
        <v/>
      </c>
      <c r="I159" s="409">
        <f>IFERROR('2.3'!I146/'2.1'!I157,"")</f>
        <v>0.89357622243528279</v>
      </c>
      <c r="J159" s="409">
        <f>IFERROR('2.3'!J146/'2.1'!J157,"")</f>
        <v>0.94803149606299209</v>
      </c>
      <c r="K159" s="409">
        <f>IFERROR('2.3'!K146/'2.1'!K157,"")</f>
        <v>0.906284454244763</v>
      </c>
      <c r="L159" s="409">
        <f>IFERROR('2.3'!L146/'2.1'!L157,"")</f>
        <v>0.5748987854251012</v>
      </c>
      <c r="M159" s="409">
        <f>IFERROR('2.3'!M146/'2.1'!M157,"")</f>
        <v>0.81505376344086022</v>
      </c>
      <c r="N159" s="409">
        <f>IFERROR('2.3'!N146/'2.1'!N157,"")</f>
        <v>0.65175498967653134</v>
      </c>
      <c r="O159" s="409">
        <f>IFERROR('2.3'!O146/'2.1'!O157,"")</f>
        <v>0.89938881053126474</v>
      </c>
      <c r="P159" s="409">
        <f>IFERROR('2.3'!P146/'2.1'!P157,"")</f>
        <v>0.93574717455002088</v>
      </c>
      <c r="Q159" s="409">
        <f>IFERROR('2.3'!Q146/'2.1'!Q157,"")</f>
        <v>0.91495653732413296</v>
      </c>
      <c r="R159" s="409">
        <f>IFERROR('2.3'!R146/'2.1'!R157,"")</f>
        <v>0.88834951456310685</v>
      </c>
      <c r="S159" s="409">
        <f>IFERROR('2.3'!S146/'2.1'!S157,"")</f>
        <v>0.91794871794871791</v>
      </c>
      <c r="T159" s="409">
        <f>IFERROR('2.3'!T146/'2.1'!T157,"")</f>
        <v>0.90274314214463836</v>
      </c>
      <c r="U159" s="409">
        <f>IFERROR('2.3'!U146/'2.1'!X157,"")</f>
        <v>0.86471379774350476</v>
      </c>
      <c r="V159" s="409">
        <f>IFERROR('2.3'!V146/'2.1'!Y157,"")</f>
        <v>0.92721883747735878</v>
      </c>
      <c r="W159" s="409">
        <f>IFERROR('2.3'!W146/'2.1'!Z157,"")</f>
        <v>0.88883945595525615</v>
      </c>
    </row>
    <row r="160" spans="2:23" hidden="1" outlineLevel="1" x14ac:dyDescent="0.25">
      <c r="B160" s="404">
        <v>43132</v>
      </c>
      <c r="C160" s="409" t="str">
        <f>IFERROR('2.3'!C147/'2.1'!C158,"")</f>
        <v/>
      </c>
      <c r="D160" s="409" t="str">
        <f>IFERROR('2.3'!D147/'2.1'!D158,"")</f>
        <v/>
      </c>
      <c r="E160" s="409" t="str">
        <f>IFERROR('2.3'!E147/'2.1'!E158,"")</f>
        <v/>
      </c>
      <c r="F160" s="409" t="str">
        <f>IFERROR('2.3'!F147/'2.1'!F158,"")</f>
        <v/>
      </c>
      <c r="G160" s="409" t="str">
        <f>IFERROR('2.3'!G147/'2.1'!G158,"")</f>
        <v/>
      </c>
      <c r="H160" s="409" t="str">
        <f>IFERROR('2.3'!H147/'2.1'!H158,"")</f>
        <v/>
      </c>
      <c r="I160" s="409">
        <f>IFERROR('2.3'!I147/'2.1'!I158,"")</f>
        <v>0.90005777007510113</v>
      </c>
      <c r="J160" s="409">
        <f>IFERROR('2.3'!J147/'2.1'!J158,"")</f>
        <v>0.95614035087719296</v>
      </c>
      <c r="K160" s="409">
        <f>IFERROR('2.3'!K147/'2.1'!K158,"")</f>
        <v>0.91395045632333771</v>
      </c>
      <c r="L160" s="409">
        <f>IFERROR('2.3'!L147/'2.1'!L158,"")</f>
        <v>0.53779429987608429</v>
      </c>
      <c r="M160" s="409">
        <f>IFERROR('2.3'!M147/'2.1'!M158,"")</f>
        <v>0.81967213114754101</v>
      </c>
      <c r="N160" s="409">
        <f>IFERROR('2.3'!N147/'2.1'!N158,"")</f>
        <v>0.62574595055413473</v>
      </c>
      <c r="O160" s="409">
        <f>IFERROR('2.3'!O147/'2.1'!O158,"")</f>
        <v>0.9117197062423501</v>
      </c>
      <c r="P160" s="409">
        <f>IFERROR('2.3'!P147/'2.1'!P158,"")</f>
        <v>0.93045404208194904</v>
      </c>
      <c r="Q160" s="409">
        <f>IFERROR('2.3'!Q147/'2.1'!Q158,"")</f>
        <v>0.91937381232467652</v>
      </c>
      <c r="R160" s="409">
        <f>IFERROR('2.3'!R147/'2.1'!R158,"")</f>
        <v>0.95928753180661575</v>
      </c>
      <c r="S160" s="409">
        <f>IFERROR('2.3'!S147/'2.1'!S158,"")</f>
        <v>0.98525073746312686</v>
      </c>
      <c r="T160" s="409">
        <f>IFERROR('2.3'!T147/'2.1'!T158,"")</f>
        <v>0.97131147540983609</v>
      </c>
      <c r="U160" s="409">
        <f>IFERROR('2.3'!U147/'2.1'!X158,"")</f>
        <v>0.87968733495299456</v>
      </c>
      <c r="V160" s="409">
        <f>IFERROR('2.3'!V147/'2.1'!Y158,"")</f>
        <v>0.92918825561312612</v>
      </c>
      <c r="W160" s="409">
        <f>IFERROR('2.3'!W147/'2.1'!Z158,"")</f>
        <v>0.89847283214262308</v>
      </c>
    </row>
    <row r="161" spans="2:23" hidden="1" outlineLevel="1" x14ac:dyDescent="0.25">
      <c r="B161" s="404">
        <v>43160</v>
      </c>
      <c r="C161" s="409" t="str">
        <f>IFERROR('2.3'!C148/'2.1'!C159,"")</f>
        <v/>
      </c>
      <c r="D161" s="409" t="str">
        <f>IFERROR('2.3'!D148/'2.1'!D159,"")</f>
        <v/>
      </c>
      <c r="E161" s="409" t="str">
        <f>IFERROR('2.3'!E148/'2.1'!E159,"")</f>
        <v/>
      </c>
      <c r="F161" s="409" t="str">
        <f>IFERROR('2.3'!F148/'2.1'!F159,"")</f>
        <v/>
      </c>
      <c r="G161" s="409" t="str">
        <f>IFERROR('2.3'!G148/'2.1'!G159,"")</f>
        <v/>
      </c>
      <c r="H161" s="409" t="str">
        <f>IFERROR('2.3'!H148/'2.1'!H159,"")</f>
        <v/>
      </c>
      <c r="I161" s="409">
        <f>IFERROR('2.3'!I148/'2.1'!I159,"")</f>
        <v>0.86886075949367092</v>
      </c>
      <c r="J161" s="409">
        <f>IFERROR('2.3'!J148/'2.1'!J159,"")</f>
        <v>0.9447004608294931</v>
      </c>
      <c r="K161" s="409">
        <f>IFERROR('2.3'!K148/'2.1'!K159,"")</f>
        <v>0.88766184310738772</v>
      </c>
      <c r="L161" s="409">
        <f>IFERROR('2.3'!L148/'2.1'!L159,"")</f>
        <v>0.57632093933463802</v>
      </c>
      <c r="M161" s="409">
        <f>IFERROR('2.3'!M148/'2.1'!M159,"")</f>
        <v>0.79128440366972475</v>
      </c>
      <c r="N161" s="409">
        <f>IFERROR('2.3'!N148/'2.1'!N159,"")</f>
        <v>0.64060356652949246</v>
      </c>
      <c r="O161" s="409">
        <f>IFERROR('2.3'!O148/'2.1'!O159,"")</f>
        <v>0.90001723840717118</v>
      </c>
      <c r="P161" s="409">
        <f>IFERROR('2.3'!P148/'2.1'!P159,"")</f>
        <v>0.91959032468947488</v>
      </c>
      <c r="Q161" s="409">
        <f>IFERROR('2.3'!Q148/'2.1'!Q159,"")</f>
        <v>0.90866217516843117</v>
      </c>
      <c r="R161" s="409">
        <f>IFERROR('2.3'!R148/'2.1'!R159,"")</f>
        <v>0.95474137931034486</v>
      </c>
      <c r="S161" s="409">
        <f>IFERROR('2.3'!S148/'2.1'!S159,"")</f>
        <v>0.98030634573304154</v>
      </c>
      <c r="T161" s="409">
        <f>IFERROR('2.3'!T148/'2.1'!T159,"")</f>
        <v>0.96742671009771986</v>
      </c>
      <c r="U161" s="409">
        <f>IFERROR('2.3'!U148/'2.1'!X159,"")</f>
        <v>0.86039732239257183</v>
      </c>
      <c r="V161" s="409">
        <f>IFERROR('2.3'!V148/'2.1'!Y159,"")</f>
        <v>0.91765856840045656</v>
      </c>
      <c r="W161" s="409">
        <f>IFERROR('2.3'!W148/'2.1'!Z159,"")</f>
        <v>0.88320883403702499</v>
      </c>
    </row>
    <row r="162" spans="2:23" hidden="1" outlineLevel="1" x14ac:dyDescent="0.25">
      <c r="B162" s="404">
        <v>43191</v>
      </c>
      <c r="C162" s="409" t="str">
        <f>IFERROR('2.3'!C149/'2.1'!C160,"")</f>
        <v/>
      </c>
      <c r="D162" s="409" t="str">
        <f>IFERROR('2.3'!D149/'2.1'!D160,"")</f>
        <v/>
      </c>
      <c r="E162" s="409" t="str">
        <f>IFERROR('2.3'!E149/'2.1'!E160,"")</f>
        <v/>
      </c>
      <c r="F162" s="409" t="str">
        <f>IFERROR('2.3'!F149/'2.1'!F160,"")</f>
        <v/>
      </c>
      <c r="G162" s="409" t="str">
        <f>IFERROR('2.3'!G149/'2.1'!G160,"")</f>
        <v/>
      </c>
      <c r="H162" s="409" t="str">
        <f>IFERROR('2.3'!H149/'2.1'!H160,"")</f>
        <v/>
      </c>
      <c r="I162" s="409">
        <f>IFERROR('2.3'!I149/'2.1'!I160,"")</f>
        <v>0.89393166751657316</v>
      </c>
      <c r="J162" s="409">
        <f>IFERROR('2.3'!J149/'2.1'!J160,"")</f>
        <v>0.93719008264462811</v>
      </c>
      <c r="K162" s="409">
        <f>IFERROR('2.3'!K149/'2.1'!K160,"")</f>
        <v>0.9041309431021044</v>
      </c>
      <c r="L162" s="409">
        <f>IFERROR('2.3'!L149/'2.1'!L160,"")</f>
        <v>0.56412729026036645</v>
      </c>
      <c r="M162" s="409">
        <f>IFERROR('2.3'!M149/'2.1'!M160,"")</f>
        <v>0.81434599156118148</v>
      </c>
      <c r="N162" s="409">
        <f>IFERROR('2.3'!N149/'2.1'!N160,"")</f>
        <v>0.64262078093977504</v>
      </c>
      <c r="O162" s="409">
        <f>IFERROR('2.3'!O149/'2.1'!O160,"")</f>
        <v>0.88266464799394395</v>
      </c>
      <c r="P162" s="409">
        <f>IFERROR('2.3'!P149/'2.1'!P160,"")</f>
        <v>0.93027932960893855</v>
      </c>
      <c r="Q162" s="409">
        <f>IFERROR('2.3'!Q149/'2.1'!Q160,"")</f>
        <v>0.90449841172251255</v>
      </c>
      <c r="R162" s="409">
        <f>IFERROR('2.3'!R149/'2.1'!R160,"")</f>
        <v>0.94392523364485981</v>
      </c>
      <c r="S162" s="409">
        <f>IFERROR('2.3'!S149/'2.1'!S160,"")</f>
        <v>0.96332518337408313</v>
      </c>
      <c r="T162" s="409">
        <f>IFERROR('2.3'!T149/'2.1'!T160,"")</f>
        <v>0.95340501792114696</v>
      </c>
      <c r="U162" s="409">
        <f>IFERROR('2.3'!U149/'2.1'!X160,"")</f>
        <v>0.85028702640642939</v>
      </c>
      <c r="V162" s="409">
        <f>IFERROR('2.3'!V149/'2.1'!Y160,"")</f>
        <v>0.92403152775448605</v>
      </c>
      <c r="W162" s="409">
        <f>IFERROR('2.3'!W149/'2.1'!Z160,"")</f>
        <v>0.88025625298166699</v>
      </c>
    </row>
    <row r="163" spans="2:23" hidden="1" outlineLevel="1" x14ac:dyDescent="0.25">
      <c r="B163" s="404">
        <v>43221</v>
      </c>
      <c r="C163" s="409" t="str">
        <f>IFERROR('2.3'!C150/'2.1'!C161,"")</f>
        <v/>
      </c>
      <c r="D163" s="409" t="str">
        <f>IFERROR('2.3'!D150/'2.1'!D161,"")</f>
        <v/>
      </c>
      <c r="E163" s="409" t="str">
        <f>IFERROR('2.3'!E150/'2.1'!E161,"")</f>
        <v/>
      </c>
      <c r="F163" s="409" t="str">
        <f>IFERROR('2.3'!F150/'2.1'!F161,"")</f>
        <v/>
      </c>
      <c r="G163" s="409" t="str">
        <f>IFERROR('2.3'!G150/'2.1'!G161,"")</f>
        <v/>
      </c>
      <c r="H163" s="409" t="str">
        <f>IFERROR('2.3'!H150/'2.1'!H161,"")</f>
        <v/>
      </c>
      <c r="I163" s="409">
        <f>IFERROR('2.3'!I150/'2.1'!I161,"")</f>
        <v>0.88457899716177857</v>
      </c>
      <c r="J163" s="409">
        <f>IFERROR('2.3'!J150/'2.1'!J161,"")</f>
        <v>0.90909090909090906</v>
      </c>
      <c r="K163" s="409">
        <f>IFERROR('2.3'!K150/'2.1'!K161,"")</f>
        <v>0.89010989010989006</v>
      </c>
      <c r="L163" s="409">
        <f>IFERROR('2.3'!L150/'2.1'!L161,"")</f>
        <v>0.60640495867768596</v>
      </c>
      <c r="M163" s="409">
        <f>IFERROR('2.3'!M150/'2.1'!M161,"")</f>
        <v>0.8125</v>
      </c>
      <c r="N163" s="409">
        <f>IFERROR('2.3'!N150/'2.1'!N161,"")</f>
        <v>0.66835260115606931</v>
      </c>
      <c r="O163" s="409">
        <f>IFERROR('2.3'!O150/'2.1'!O161,"")</f>
        <v>0.87250437828371274</v>
      </c>
      <c r="P163" s="409">
        <f>IFERROR('2.3'!P150/'2.1'!P161,"")</f>
        <v>0.9285714285714286</v>
      </c>
      <c r="Q163" s="409">
        <f>IFERROR('2.3'!Q150/'2.1'!Q161,"")</f>
        <v>0.90033515611218906</v>
      </c>
      <c r="R163" s="409">
        <f>IFERROR('2.3'!R150/'2.1'!R161,"")</f>
        <v>0.93675889328063244</v>
      </c>
      <c r="S163" s="409">
        <f>IFERROR('2.3'!S150/'2.1'!S161,"")</f>
        <v>0.9375</v>
      </c>
      <c r="T163" s="409">
        <f>IFERROR('2.3'!T150/'2.1'!T161,"")</f>
        <v>0.93716337522441651</v>
      </c>
      <c r="U163" s="409">
        <f>IFERROR('2.3'!U150/'2.1'!X161,"")</f>
        <v>0.84864566058595914</v>
      </c>
      <c r="V163" s="409">
        <f>IFERROR('2.3'!V150/'2.1'!Y161,"")</f>
        <v>0.92030442274554858</v>
      </c>
      <c r="W163" s="409">
        <f>IFERROR('2.3'!W150/'2.1'!Z161,"")</f>
        <v>0.87981760259853836</v>
      </c>
    </row>
    <row r="164" spans="2:23" hidden="1" outlineLevel="1" x14ac:dyDescent="0.25">
      <c r="B164" s="404">
        <v>43252</v>
      </c>
      <c r="C164" s="409" t="str">
        <f>IFERROR('2.3'!C151/'2.1'!C162,"")</f>
        <v/>
      </c>
      <c r="D164" s="409" t="str">
        <f>IFERROR('2.3'!D151/'2.1'!D162,"")</f>
        <v/>
      </c>
      <c r="E164" s="409" t="str">
        <f>IFERROR('2.3'!E151/'2.1'!E162,"")</f>
        <v/>
      </c>
      <c r="F164" s="409" t="str">
        <f>IFERROR('2.3'!F151/'2.1'!F162,"")</f>
        <v/>
      </c>
      <c r="G164" s="409" t="str">
        <f>IFERROR('2.3'!G151/'2.1'!G162,"")</f>
        <v/>
      </c>
      <c r="H164" s="409" t="str">
        <f>IFERROR('2.3'!H151/'2.1'!H162,"")</f>
        <v/>
      </c>
      <c r="I164" s="409">
        <f>IFERROR('2.3'!I151/'2.1'!I162,"")</f>
        <v>0.88571428571428568</v>
      </c>
      <c r="J164" s="409">
        <f>IFERROR('2.3'!J151/'2.1'!J162,"")</f>
        <v>0.92624356775300176</v>
      </c>
      <c r="K164" s="409">
        <f>IFERROR('2.3'!K151/'2.1'!K162,"")</f>
        <v>0.89513556618819778</v>
      </c>
      <c r="L164" s="409">
        <f>IFERROR('2.3'!L151/'2.1'!L162,"")</f>
        <v>0.56619144602851323</v>
      </c>
      <c r="M164" s="409">
        <f>IFERROR('2.3'!M151/'2.1'!M162,"")</f>
        <v>0.81105990783410142</v>
      </c>
      <c r="N164" s="409">
        <f>IFERROR('2.3'!N151/'2.1'!N162,"")</f>
        <v>0.64124293785310738</v>
      </c>
      <c r="O164" s="409">
        <f>IFERROR('2.3'!O151/'2.1'!O162,"")</f>
        <v>0.87879362670713201</v>
      </c>
      <c r="P164" s="409">
        <f>IFERROR('2.3'!P151/'2.1'!P162,"")</f>
        <v>0.92957130358705164</v>
      </c>
      <c r="Q164" s="409">
        <f>IFERROR('2.3'!Q151/'2.1'!Q162,"")</f>
        <v>0.90237708248679394</v>
      </c>
      <c r="R164" s="409">
        <f>IFERROR('2.3'!R151/'2.1'!R162,"")</f>
        <v>0.90336134453781514</v>
      </c>
      <c r="S164" s="409">
        <f>IFERROR('2.3'!S151/'2.1'!S162,"")</f>
        <v>0.965034965034965</v>
      </c>
      <c r="T164" s="409">
        <f>IFERROR('2.3'!T151/'2.1'!T162,"")</f>
        <v>0.93702290076335881</v>
      </c>
      <c r="U164" s="409">
        <f>IFERROR('2.3'!U151/'2.1'!X162,"")</f>
        <v>0.84460021385291673</v>
      </c>
      <c r="V164" s="409">
        <f>IFERROR('2.3'!V151/'2.1'!Y162,"")</f>
        <v>0.92221276595744683</v>
      </c>
      <c r="W164" s="409">
        <f>IFERROR('2.3'!W151/'2.1'!Z162,"")</f>
        <v>0.87650433809123984</v>
      </c>
    </row>
    <row r="165" spans="2:23" hidden="1" outlineLevel="1" x14ac:dyDescent="0.25">
      <c r="B165" s="404">
        <v>43282</v>
      </c>
      <c r="C165" s="409" t="str">
        <f>IFERROR('2.3'!C152/'2.1'!C163,"")</f>
        <v/>
      </c>
      <c r="D165" s="409" t="str">
        <f>IFERROR('2.3'!D152/'2.1'!D163,"")</f>
        <v/>
      </c>
      <c r="E165" s="409" t="str">
        <f>IFERROR('2.3'!E152/'2.1'!E163,"")</f>
        <v/>
      </c>
      <c r="F165" s="409" t="str">
        <f>IFERROR('2.3'!F152/'2.1'!F163,"")</f>
        <v/>
      </c>
      <c r="G165" s="409" t="str">
        <f>IFERROR('2.3'!G152/'2.1'!G163,"")</f>
        <v/>
      </c>
      <c r="H165" s="409" t="str">
        <f>IFERROR('2.3'!H152/'2.1'!H163,"")</f>
        <v/>
      </c>
      <c r="I165" s="409">
        <f>IFERROR('2.3'!I152/'2.1'!I163,"")</f>
        <v>0.88427019367028814</v>
      </c>
      <c r="J165" s="409">
        <f>IFERROR('2.3'!J152/'2.1'!J163,"")</f>
        <v>0.9320987654320988</v>
      </c>
      <c r="K165" s="409">
        <f>IFERROR('2.3'!K152/'2.1'!K163,"")</f>
        <v>0.89547920433996386</v>
      </c>
      <c r="L165" s="409">
        <f>IFERROR('2.3'!L152/'2.1'!L163,"")</f>
        <v>0.60474716202270384</v>
      </c>
      <c r="M165" s="409">
        <f>IFERROR('2.3'!M152/'2.1'!M163,"")</f>
        <v>0.81147540983606559</v>
      </c>
      <c r="N165" s="409">
        <f>IFERROR('2.3'!N152/'2.1'!N163,"")</f>
        <v>0.67398764584763216</v>
      </c>
      <c r="O165" s="409">
        <f>IFERROR('2.3'!O152/'2.1'!O163,"")</f>
        <v>0.88213530655391126</v>
      </c>
      <c r="P165" s="409">
        <f>IFERROR('2.3'!P152/'2.1'!P163,"")</f>
        <v>0.92959830866807613</v>
      </c>
      <c r="Q165" s="409">
        <f>IFERROR('2.3'!Q152/'2.1'!Q163,"")</f>
        <v>0.90370939842398612</v>
      </c>
      <c r="R165" s="409">
        <f>IFERROR('2.3'!R152/'2.1'!R163,"")</f>
        <v>0.90517241379310343</v>
      </c>
      <c r="S165" s="409">
        <f>IFERROR('2.3'!S152/'2.1'!S163,"")</f>
        <v>0.94758064516129037</v>
      </c>
      <c r="T165" s="409">
        <f>IFERROR('2.3'!T152/'2.1'!T163,"")</f>
        <v>0.92708333333333337</v>
      </c>
      <c r="U165" s="409">
        <f>IFERROR('2.3'!U152/'2.1'!X163,"")</f>
        <v>0.85334667556148547</v>
      </c>
      <c r="V165" s="409">
        <f>IFERROR('2.3'!V152/'2.1'!Y163,"")</f>
        <v>0.92116454039908402</v>
      </c>
      <c r="W165" s="409">
        <f>IFERROR('2.3'!W152/'2.1'!Z163,"")</f>
        <v>0.88079163357161772</v>
      </c>
    </row>
    <row r="166" spans="2:23" hidden="1" outlineLevel="1" x14ac:dyDescent="0.25">
      <c r="B166" s="404">
        <v>43313</v>
      </c>
      <c r="C166" s="409" t="str">
        <f>IFERROR('2.3'!C153/'2.1'!C164,"")</f>
        <v/>
      </c>
      <c r="D166" s="409" t="str">
        <f>IFERROR('2.3'!D153/'2.1'!D164,"")</f>
        <v/>
      </c>
      <c r="E166" s="409" t="str">
        <f>IFERROR('2.3'!E153/'2.1'!E164,"")</f>
        <v/>
      </c>
      <c r="F166" s="409" t="str">
        <f>IFERROR('2.3'!F153/'2.1'!F164,"")</f>
        <v/>
      </c>
      <c r="G166" s="409" t="str">
        <f>IFERROR('2.3'!G153/'2.1'!G164,"")</f>
        <v/>
      </c>
      <c r="H166" s="409" t="str">
        <f>IFERROR('2.3'!H153/'2.1'!H164,"")</f>
        <v/>
      </c>
      <c r="I166" s="409">
        <f>IFERROR('2.3'!I153/'2.1'!I164,"")</f>
        <v>0.8686006825938567</v>
      </c>
      <c r="J166" s="409">
        <f>IFERROR('2.3'!J153/'2.1'!J164,"")</f>
        <v>0.92097701149425293</v>
      </c>
      <c r="K166" s="409">
        <f>IFERROR('2.3'!K153/'2.1'!K164,"")</f>
        <v>0.8805921052631579</v>
      </c>
      <c r="L166" s="409">
        <f>IFERROR('2.3'!L153/'2.1'!L164,"")</f>
        <v>0.54521276595744683</v>
      </c>
      <c r="M166" s="409">
        <f>IFERROR('2.3'!M153/'2.1'!M164,"")</f>
        <v>0.77387914230019494</v>
      </c>
      <c r="N166" s="409">
        <f>IFERROR('2.3'!N153/'2.1'!N164,"")</f>
        <v>0.61669713589274833</v>
      </c>
      <c r="O166" s="409">
        <f>IFERROR('2.3'!O153/'2.1'!O164,"")</f>
        <v>0.88742476004555071</v>
      </c>
      <c r="P166" s="409">
        <f>IFERROR('2.3'!P153/'2.1'!P164,"")</f>
        <v>0.92596390484003277</v>
      </c>
      <c r="Q166" s="409">
        <f>IFERROR('2.3'!Q153/'2.1'!Q164,"")</f>
        <v>0.90447246666061876</v>
      </c>
      <c r="R166" s="409">
        <f>IFERROR('2.3'!R153/'2.1'!R164,"")</f>
        <v>0.88151658767772512</v>
      </c>
      <c r="S166" s="409">
        <f>IFERROR('2.3'!S153/'2.1'!S164,"")</f>
        <v>0.93518518518518523</v>
      </c>
      <c r="T166" s="409">
        <f>IFERROR('2.3'!T153/'2.1'!T164,"")</f>
        <v>0.90866510538641687</v>
      </c>
      <c r="U166" s="409">
        <f>IFERROR('2.3'!U153/'2.1'!X164,"")</f>
        <v>0.84354018311291967</v>
      </c>
      <c r="V166" s="409">
        <f>IFERROR('2.3'!V153/'2.1'!Y164,"")</f>
        <v>0.91334708776384699</v>
      </c>
      <c r="W166" s="409">
        <f>IFERROR('2.3'!W153/'2.1'!Z164,"")</f>
        <v>0.87080776145310268</v>
      </c>
    </row>
    <row r="167" spans="2:23" hidden="1" outlineLevel="1" x14ac:dyDescent="0.25">
      <c r="B167" s="404">
        <v>43344</v>
      </c>
      <c r="C167" s="409" t="str">
        <f>IFERROR('2.3'!C154/'2.1'!C165,"")</f>
        <v/>
      </c>
      <c r="D167" s="409" t="str">
        <f>IFERROR('2.3'!D154/'2.1'!D165,"")</f>
        <v/>
      </c>
      <c r="E167" s="409" t="str">
        <f>IFERROR('2.3'!E154/'2.1'!E165,"")</f>
        <v/>
      </c>
      <c r="F167" s="409" t="str">
        <f>IFERROR('2.3'!F154/'2.1'!F165,"")</f>
        <v/>
      </c>
      <c r="G167" s="409" t="str">
        <f>IFERROR('2.3'!G154/'2.1'!G165,"")</f>
        <v/>
      </c>
      <c r="H167" s="409" t="str">
        <f>IFERROR('2.3'!H154/'2.1'!H165,"")</f>
        <v/>
      </c>
      <c r="I167" s="409">
        <f>IFERROR('2.3'!I154/'2.1'!I165,"")</f>
        <v>0.88021454112038144</v>
      </c>
      <c r="J167" s="409">
        <f>IFERROR('2.3'!J154/'2.1'!J165,"")</f>
        <v>0.94183445190156601</v>
      </c>
      <c r="K167" s="409">
        <f>IFERROR('2.3'!K154/'2.1'!K165,"")</f>
        <v>0.89317647058823535</v>
      </c>
      <c r="L167" s="409">
        <f>IFERROR('2.3'!L154/'2.1'!L165,"")</f>
        <v>0.61458333333333337</v>
      </c>
      <c r="M167" s="409">
        <f>IFERROR('2.3'!M154/'2.1'!M165,"")</f>
        <v>0.77777777777777779</v>
      </c>
      <c r="N167" s="409">
        <f>IFERROR('2.3'!N154/'2.1'!N165,"")</f>
        <v>0.66506794564348526</v>
      </c>
      <c r="O167" s="409">
        <f>IFERROR('2.3'!O154/'2.1'!O165,"")</f>
        <v>0.88142535326643456</v>
      </c>
      <c r="P167" s="409">
        <f>IFERROR('2.3'!P154/'2.1'!P165,"")</f>
        <v>0.91811279826464209</v>
      </c>
      <c r="Q167" s="409">
        <f>IFERROR('2.3'!Q154/'2.1'!Q165,"")</f>
        <v>0.89721152724302877</v>
      </c>
      <c r="R167" s="409">
        <f>IFERROR('2.3'!R154/'2.1'!R165,"")</f>
        <v>0.89308176100628933</v>
      </c>
      <c r="S167" s="409">
        <f>IFERROR('2.3'!S154/'2.1'!S165,"")</f>
        <v>0.93888888888888888</v>
      </c>
      <c r="T167" s="409">
        <f>IFERROR('2.3'!T154/'2.1'!T165,"")</f>
        <v>0.91740412979351027</v>
      </c>
      <c r="U167" s="409">
        <f>IFERROR('2.3'!U154/'2.1'!X165,"")</f>
        <v>0.8510021097046413</v>
      </c>
      <c r="V167" s="409">
        <f>IFERROR('2.3'!V154/'2.1'!Y165,"")</f>
        <v>0.90961293066780091</v>
      </c>
      <c r="W167" s="409">
        <f>IFERROR('2.3'!W154/'2.1'!Z165,"")</f>
        <v>0.8734331759726518</v>
      </c>
    </row>
    <row r="168" spans="2:23" hidden="1" outlineLevel="1" x14ac:dyDescent="0.25">
      <c r="B168" s="404">
        <v>43374</v>
      </c>
      <c r="C168" s="409" t="str">
        <f>IFERROR('2.3'!C155/'2.1'!C166,"")</f>
        <v/>
      </c>
      <c r="D168" s="409" t="str">
        <f>IFERROR('2.3'!D155/'2.1'!D166,"")</f>
        <v/>
      </c>
      <c r="E168" s="409" t="str">
        <f>IFERROR('2.3'!E155/'2.1'!E166,"")</f>
        <v/>
      </c>
      <c r="F168" s="409" t="str">
        <f>IFERROR('2.3'!F155/'2.1'!F166,"")</f>
        <v/>
      </c>
      <c r="G168" s="409" t="str">
        <f>IFERROR('2.3'!G155/'2.1'!G166,"")</f>
        <v/>
      </c>
      <c r="H168" s="409" t="str">
        <f>IFERROR('2.3'!H155/'2.1'!H166,"")</f>
        <v/>
      </c>
      <c r="I168" s="409">
        <f>IFERROR('2.3'!I155/'2.1'!I166,"")</f>
        <v>0.8771358828315704</v>
      </c>
      <c r="J168" s="409">
        <f>IFERROR('2.3'!J155/'2.1'!J166,"")</f>
        <v>0.94052558782849238</v>
      </c>
      <c r="K168" s="409">
        <f>IFERROR('2.3'!K155/'2.1'!K166,"")</f>
        <v>0.89154353976736878</v>
      </c>
      <c r="L168" s="409">
        <f>IFERROR('2.3'!L155/'2.1'!L166,"")</f>
        <v>0.57619047619047614</v>
      </c>
      <c r="M168" s="409">
        <f>IFERROR('2.3'!M155/'2.1'!M166,"")</f>
        <v>0.75906183368869939</v>
      </c>
      <c r="N168" s="409">
        <f>IFERROR('2.3'!N155/'2.1'!N166,"")</f>
        <v>0.63265306122448983</v>
      </c>
      <c r="O168" s="409">
        <f>IFERROR('2.3'!O155/'2.1'!O166,"")</f>
        <v>0.88135593220338981</v>
      </c>
      <c r="P168" s="409">
        <f>IFERROR('2.3'!P155/'2.1'!P166,"")</f>
        <v>0.92387679026878555</v>
      </c>
      <c r="Q168" s="409">
        <f>IFERROR('2.3'!Q155/'2.1'!Q166,"")</f>
        <v>0.8995960276047803</v>
      </c>
      <c r="R168" s="409">
        <f>IFERROR('2.3'!R155/'2.1'!R166,"")</f>
        <v>0.85128205128205126</v>
      </c>
      <c r="S168" s="409">
        <f>IFERROR('2.3'!S155/'2.1'!S166,"")</f>
        <v>0.9285714285714286</v>
      </c>
      <c r="T168" s="409">
        <f>IFERROR('2.3'!T155/'2.1'!T166,"")</f>
        <v>0.89260143198090691</v>
      </c>
      <c r="U168" s="409">
        <f>IFERROR('2.3'!U155/'2.1'!X166,"")</f>
        <v>0.84925629290617854</v>
      </c>
      <c r="V168" s="409">
        <f>IFERROR('2.3'!V155/'2.1'!Y166,"")</f>
        <v>0.91401811761093199</v>
      </c>
      <c r="W168" s="409">
        <f>IFERROR('2.3'!W155/'2.1'!Z166,"")</f>
        <v>0.87406623139815309</v>
      </c>
    </row>
    <row r="169" spans="2:23" hidden="1" outlineLevel="1" x14ac:dyDescent="0.25">
      <c r="B169" s="404">
        <v>43405</v>
      </c>
      <c r="C169" s="409" t="str">
        <f>IFERROR('2.3'!C156/'2.1'!C167,"")</f>
        <v/>
      </c>
      <c r="D169" s="409" t="str">
        <f>IFERROR('2.3'!D156/'2.1'!D167,"")</f>
        <v/>
      </c>
      <c r="E169" s="409" t="str">
        <f>IFERROR('2.3'!E156/'2.1'!E167,"")</f>
        <v/>
      </c>
      <c r="F169" s="409" t="str">
        <f>IFERROR('2.3'!F156/'2.1'!F167,"")</f>
        <v/>
      </c>
      <c r="G169" s="409" t="str">
        <f>IFERROR('2.3'!G156/'2.1'!G167,"")</f>
        <v/>
      </c>
      <c r="H169" s="409" t="str">
        <f>IFERROR('2.3'!H156/'2.1'!H167,"")</f>
        <v/>
      </c>
      <c r="I169" s="409">
        <f>IFERROR('2.3'!I156/'2.1'!I167,"")</f>
        <v>0.89975062344139656</v>
      </c>
      <c r="J169" s="409">
        <f>IFERROR('2.3'!J156/'2.1'!J167,"")</f>
        <v>0.92971246006389774</v>
      </c>
      <c r="K169" s="409">
        <f>IFERROR('2.3'!K156/'2.1'!K167,"")</f>
        <v>0.90687951349296847</v>
      </c>
      <c r="L169" s="409">
        <f>IFERROR('2.3'!L156/'2.1'!L167,"")</f>
        <v>0.53433476394849788</v>
      </c>
      <c r="M169" s="409">
        <f>IFERROR('2.3'!M156/'2.1'!M167,"")</f>
        <v>0.79704016913319242</v>
      </c>
      <c r="N169" s="409">
        <f>IFERROR('2.3'!N156/'2.1'!N167,"")</f>
        <v>0.62277580071174377</v>
      </c>
      <c r="O169" s="409">
        <f>IFERROR('2.3'!O156/'2.1'!O167,"")</f>
        <v>0.88509840674789131</v>
      </c>
      <c r="P169" s="409">
        <f>IFERROR('2.3'!P156/'2.1'!P167,"")</f>
        <v>0.93993272465160982</v>
      </c>
      <c r="Q169" s="409">
        <f>IFERROR('2.3'!Q156/'2.1'!Q167,"")</f>
        <v>0.90912919869432451</v>
      </c>
      <c r="R169" s="409">
        <f>IFERROR('2.3'!R156/'2.1'!R167,"")</f>
        <v>0.88435374149659862</v>
      </c>
      <c r="S169" s="409">
        <f>IFERROR('2.3'!S156/'2.1'!S167,"")</f>
        <v>0.90062111801242239</v>
      </c>
      <c r="T169" s="409">
        <f>IFERROR('2.3'!T156/'2.1'!T167,"")</f>
        <v>0.8928571428571429</v>
      </c>
      <c r="U169" s="409">
        <f>IFERROR('2.3'!U156/'2.1'!X167,"")</f>
        <v>0.84974462525240524</v>
      </c>
      <c r="V169" s="409">
        <f>IFERROR('2.3'!V156/'2.1'!Y167,"")</f>
        <v>0.92511988196237549</v>
      </c>
      <c r="W169" s="409">
        <f>IFERROR('2.3'!W156/'2.1'!Z167,"")</f>
        <v>0.87927172892132066</v>
      </c>
    </row>
    <row r="170" spans="2:23" hidden="1" outlineLevel="1" x14ac:dyDescent="0.25">
      <c r="B170" s="404">
        <v>43435</v>
      </c>
      <c r="C170" s="409" t="str">
        <f>IFERROR('2.3'!C157/'2.1'!C168,"")</f>
        <v/>
      </c>
      <c r="D170" s="409" t="str">
        <f>IFERROR('2.3'!D157/'2.1'!D168,"")</f>
        <v/>
      </c>
      <c r="E170" s="409" t="str">
        <f>IFERROR('2.3'!E157/'2.1'!E168,"")</f>
        <v/>
      </c>
      <c r="F170" s="409" t="str">
        <f>IFERROR('2.3'!F157/'2.1'!F168,"")</f>
        <v/>
      </c>
      <c r="G170" s="409" t="str">
        <f>IFERROR('2.3'!G157/'2.1'!G168,"")</f>
        <v/>
      </c>
      <c r="H170" s="409" t="str">
        <f>IFERROR('2.3'!H157/'2.1'!H168,"")</f>
        <v/>
      </c>
      <c r="I170" s="409">
        <f>IFERROR('2.3'!I157/'2.1'!I168,"")</f>
        <v>0.90904139433551201</v>
      </c>
      <c r="J170" s="409">
        <f>IFERROR('2.3'!J157/'2.1'!J168,"")</f>
        <v>0.95716945996275604</v>
      </c>
      <c r="K170" s="409">
        <f>IFERROR('2.3'!K157/'2.1'!K168,"")</f>
        <v>0.91993257479983148</v>
      </c>
      <c r="L170" s="409">
        <f>IFERROR('2.3'!L157/'2.1'!L168,"")</f>
        <v>0.62105263157894741</v>
      </c>
      <c r="M170" s="409">
        <f>IFERROR('2.3'!M157/'2.1'!M168,"")</f>
        <v>0.80084745762711862</v>
      </c>
      <c r="N170" s="409">
        <f>IFERROR('2.3'!N157/'2.1'!N168,"")</f>
        <v>0.68500376789751316</v>
      </c>
      <c r="O170" s="409">
        <f>IFERROR('2.3'!O157/'2.1'!O168,"")</f>
        <v>0.88359560250053892</v>
      </c>
      <c r="P170" s="409">
        <f>IFERROR('2.3'!P157/'2.1'!P168,"")</f>
        <v>0.93038922155688619</v>
      </c>
      <c r="Q170" s="409">
        <f>IFERROR('2.3'!Q157/'2.1'!Q168,"")</f>
        <v>0.90528506996646241</v>
      </c>
      <c r="R170" s="409">
        <f>IFERROR('2.3'!R157/'2.1'!R168,"")</f>
        <v>0.875</v>
      </c>
      <c r="S170" s="409">
        <f>IFERROR('2.3'!S157/'2.1'!S168,"")</f>
        <v>0.93710691823899372</v>
      </c>
      <c r="T170" s="409">
        <f>IFERROR('2.3'!T157/'2.1'!T168,"")</f>
        <v>0.90519877675840976</v>
      </c>
      <c r="U170" s="409">
        <f>IFERROR('2.3'!U157/'2.1'!X168,"")</f>
        <v>0.85969591891170982</v>
      </c>
      <c r="V170" s="409">
        <f>IFERROR('2.3'!V157/'2.1'!Y168,"")</f>
        <v>0.92156105100463681</v>
      </c>
      <c r="W170" s="409">
        <f>IFERROR('2.3'!W157/'2.1'!Z168,"")</f>
        <v>0.88496133817263689</v>
      </c>
    </row>
    <row r="171" spans="2:23" collapsed="1" x14ac:dyDescent="0.25">
      <c r="B171" s="407" t="s">
        <v>759</v>
      </c>
      <c r="C171" s="410" t="str">
        <f>IFERROR('2.3'!C158/'2.1'!C169,"")</f>
        <v/>
      </c>
      <c r="D171" s="410" t="str">
        <f>IFERROR('2.3'!D158/'2.1'!D169,"")</f>
        <v/>
      </c>
      <c r="E171" s="410" t="str">
        <f>IFERROR('2.3'!E158/'2.1'!E169,"")</f>
        <v/>
      </c>
      <c r="F171" s="410" t="str">
        <f>IFERROR('2.3'!F158/'2.1'!F169,"")</f>
        <v/>
      </c>
      <c r="G171" s="410" t="str">
        <f>IFERROR('2.3'!G158/'2.1'!G169,"")</f>
        <v/>
      </c>
      <c r="H171" s="410" t="str">
        <f>IFERROR('2.3'!H158/'2.1'!H169,"")</f>
        <v/>
      </c>
      <c r="I171" s="410">
        <f>IFERROR('2.3'!I158/'2.1'!I169,"")</f>
        <v>0.88657751362060422</v>
      </c>
      <c r="J171" s="410">
        <f>IFERROR('2.3'!J158/'2.1'!J169,"")</f>
        <v>0.93780687397708673</v>
      </c>
      <c r="K171" s="410">
        <f>IFERROR('2.3'!K158/'2.1'!K169,"")</f>
        <v>0.8981375902698594</v>
      </c>
      <c r="L171" s="410">
        <f>IFERROR('2.3'!L158/'2.1'!L169,"")</f>
        <v>0.57600827300930713</v>
      </c>
      <c r="M171" s="410">
        <f>IFERROR('2.3'!M158/'2.1'!M169,"")</f>
        <v>0.79955456570155903</v>
      </c>
      <c r="N171" s="410">
        <f>IFERROR('2.3'!N158/'2.1'!N169,"")</f>
        <v>0.64689265536723162</v>
      </c>
      <c r="O171" s="410">
        <f>IFERROR('2.3'!O158/'2.1'!O169,"")</f>
        <v>0.88779803646563815</v>
      </c>
      <c r="P171" s="410">
        <f>IFERROR('2.3'!P158/'2.1'!P169,"")</f>
        <v>0.92858698018724151</v>
      </c>
      <c r="Q171" s="410">
        <f>IFERROR('2.3'!Q158/'2.1'!Q169,"")</f>
        <v>0.90599203651548998</v>
      </c>
      <c r="R171" s="410">
        <f>IFERROR('2.3'!R158/'2.1'!R169,"")</f>
        <v>0.91860465116279066</v>
      </c>
      <c r="S171" s="410">
        <f>IFERROR('2.3'!S158/'2.1'!S169,"")</f>
        <v>0.95094339622641511</v>
      </c>
      <c r="T171" s="410">
        <f>IFERROR('2.3'!T158/'2.1'!T169,"")</f>
        <v>0.93499043977055452</v>
      </c>
      <c r="U171" s="410">
        <f>IFERROR('2.3'!U158/'2.1'!X169,"")</f>
        <v>0.8547161376843988</v>
      </c>
      <c r="V171" s="410">
        <f>IFERROR('2.3'!V158/'2.1'!Y169,"")</f>
        <v>0.92042574759249873</v>
      </c>
      <c r="W171" s="410">
        <f>IFERROR('2.3'!W158/'2.1'!Z169,"")</f>
        <v>0.8808771103786911</v>
      </c>
    </row>
    <row r="172" spans="2:23" hidden="1" outlineLevel="1" x14ac:dyDescent="0.25">
      <c r="B172" s="404">
        <v>43466</v>
      </c>
      <c r="C172" s="409" t="str">
        <f>IFERROR('2.3'!C159/'2.1'!C170,"")</f>
        <v/>
      </c>
      <c r="D172" s="409" t="str">
        <f>IFERROR('2.3'!D159/'2.1'!D170,"")</f>
        <v/>
      </c>
      <c r="E172" s="409" t="str">
        <f>IFERROR('2.3'!E159/'2.1'!E170,"")</f>
        <v/>
      </c>
      <c r="F172" s="409" t="str">
        <f>IFERROR('2.3'!F159/'2.1'!F170,"")</f>
        <v/>
      </c>
      <c r="G172" s="409" t="str">
        <f>IFERROR('2.3'!G159/'2.1'!G170,"")</f>
        <v/>
      </c>
      <c r="H172" s="409" t="str">
        <f>IFERROR('2.3'!H159/'2.1'!H170,"")</f>
        <v/>
      </c>
      <c r="I172" s="409">
        <f>IFERROR('2.3'!I159/'2.1'!I170,"")</f>
        <v>0.89231499051233398</v>
      </c>
      <c r="J172" s="409">
        <f>IFERROR('2.3'!J159/'2.1'!J170,"")</f>
        <v>0.94392523364485981</v>
      </c>
      <c r="K172" s="409">
        <f>IFERROR('2.3'!K159/'2.1'!K170,"")</f>
        <v>0.90436363636363637</v>
      </c>
      <c r="L172" s="409">
        <f>IFERROR('2.3'!L159/'2.1'!L170,"")</f>
        <v>0.58409785932721714</v>
      </c>
      <c r="M172" s="409">
        <f>IFERROR('2.3'!M159/'2.1'!M170,"")</f>
        <v>0.79209979209979209</v>
      </c>
      <c r="N172" s="409">
        <f>IFERROR('2.3'!N159/'2.1'!N170,"")</f>
        <v>0.65253077975376195</v>
      </c>
      <c r="O172" s="409">
        <f>IFERROR('2.3'!O159/'2.1'!O170,"")</f>
        <v>0.88233209285840863</v>
      </c>
      <c r="P172" s="409">
        <f>IFERROR('2.3'!P159/'2.1'!P170,"")</f>
        <v>0.94053105113012947</v>
      </c>
      <c r="Q172" s="409">
        <f>IFERROR('2.3'!Q159/'2.1'!Q170,"")</f>
        <v>0.90833333333333333</v>
      </c>
      <c r="R172" s="409">
        <f>IFERROR('2.3'!R159/'2.1'!R170,"")</f>
        <v>0.90774907749077494</v>
      </c>
      <c r="S172" s="409">
        <f>IFERROR('2.3'!S159/'2.1'!S170,"")</f>
        <v>0.92517006802721091</v>
      </c>
      <c r="T172" s="409">
        <f>IFERROR('2.3'!T159/'2.1'!T170,"")</f>
        <v>0.91681415929203536</v>
      </c>
      <c r="U172" s="409">
        <f>IFERROR('2.3'!U159/'2.1'!X170,"")</f>
        <v>0.85293790958569371</v>
      </c>
      <c r="V172" s="409">
        <f>IFERROR('2.3'!V159/'2.1'!Y170,"")</f>
        <v>0.92818881821225308</v>
      </c>
      <c r="W172" s="409">
        <f>IFERROR('2.3'!W159/'2.1'!Z170,"")</f>
        <v>0.88295386258930364</v>
      </c>
    </row>
    <row r="173" spans="2:23" hidden="1" outlineLevel="1" x14ac:dyDescent="0.25">
      <c r="B173" s="404">
        <v>43497</v>
      </c>
      <c r="C173" s="409" t="str">
        <f>IFERROR('2.3'!C160/'2.1'!C171,"")</f>
        <v/>
      </c>
      <c r="D173" s="409" t="str">
        <f>IFERROR('2.3'!D160/'2.1'!D171,"")</f>
        <v/>
      </c>
      <c r="E173" s="409" t="str">
        <f>IFERROR('2.3'!E160/'2.1'!E171,"")</f>
        <v/>
      </c>
      <c r="F173" s="409" t="str">
        <f>IFERROR('2.3'!F160/'2.1'!F171,"")</f>
        <v/>
      </c>
      <c r="G173" s="409" t="str">
        <f>IFERROR('2.3'!G160/'2.1'!G171,"")</f>
        <v/>
      </c>
      <c r="H173" s="409" t="str">
        <f>IFERROR('2.3'!H160/'2.1'!H171,"")</f>
        <v/>
      </c>
      <c r="I173" s="409">
        <f>IFERROR('2.3'!I160/'2.1'!I171,"")</f>
        <v>0.88422315536892626</v>
      </c>
      <c r="J173" s="409">
        <f>IFERROR('2.3'!J160/'2.1'!J171,"")</f>
        <v>0.93666026871401153</v>
      </c>
      <c r="K173" s="409">
        <f>IFERROR('2.3'!K160/'2.1'!K171,"")</f>
        <v>0.89670932358318101</v>
      </c>
      <c r="L173" s="409">
        <f>IFERROR('2.3'!L160/'2.1'!L171,"")</f>
        <v>0.5822637106184364</v>
      </c>
      <c r="M173" s="409">
        <f>IFERROR('2.3'!M160/'2.1'!M171,"")</f>
        <v>0.78899082568807344</v>
      </c>
      <c r="N173" s="409">
        <f>IFERROR('2.3'!N160/'2.1'!N171,"")</f>
        <v>0.65197215777262185</v>
      </c>
      <c r="O173" s="409">
        <f>IFERROR('2.3'!O160/'2.1'!O171,"")</f>
        <v>0.88226495726495724</v>
      </c>
      <c r="P173" s="409">
        <f>IFERROR('2.3'!P160/'2.1'!P171,"")</f>
        <v>0.93531066223472259</v>
      </c>
      <c r="Q173" s="409">
        <f>IFERROR('2.3'!Q160/'2.1'!Q171,"")</f>
        <v>0.9064136887440345</v>
      </c>
      <c r="R173" s="409">
        <f>IFERROR('2.3'!R160/'2.1'!R171,"")</f>
        <v>0.92307692307692313</v>
      </c>
      <c r="S173" s="409">
        <f>IFERROR('2.3'!S160/'2.1'!S171,"")</f>
        <v>0.96753246753246758</v>
      </c>
      <c r="T173" s="409">
        <f>IFERROR('2.3'!T160/'2.1'!T171,"")</f>
        <v>0.94306569343065694</v>
      </c>
      <c r="U173" s="409">
        <f>IFERROR('2.3'!U160/'2.1'!X171,"")</f>
        <v>0.850811238622873</v>
      </c>
      <c r="V173" s="409">
        <f>IFERROR('2.3'!V160/'2.1'!Y171,"")</f>
        <v>0.92503863987635238</v>
      </c>
      <c r="W173" s="409">
        <f>IFERROR('2.3'!W160/'2.1'!Z171,"")</f>
        <v>0.88092811789605707</v>
      </c>
    </row>
    <row r="174" spans="2:23" hidden="1" outlineLevel="1" x14ac:dyDescent="0.25">
      <c r="B174" s="404">
        <v>43525</v>
      </c>
      <c r="C174" s="409" t="str">
        <f>IFERROR('2.3'!C161/'2.1'!C172,"")</f>
        <v/>
      </c>
      <c r="D174" s="409" t="str">
        <f>IFERROR('2.3'!D161/'2.1'!D172,"")</f>
        <v/>
      </c>
      <c r="E174" s="409" t="str">
        <f>IFERROR('2.3'!E161/'2.1'!E172,"")</f>
        <v/>
      </c>
      <c r="F174" s="409" t="str">
        <f>IFERROR('2.3'!F161/'2.1'!F172,"")</f>
        <v/>
      </c>
      <c r="G174" s="409" t="str">
        <f>IFERROR('2.3'!G161/'2.1'!G172,"")</f>
        <v/>
      </c>
      <c r="H174" s="409" t="str">
        <f>IFERROR('2.3'!H161/'2.1'!H172,"")</f>
        <v/>
      </c>
      <c r="I174" s="409">
        <f>IFERROR('2.3'!I161/'2.1'!I172,"")</f>
        <v>0.87275607180570225</v>
      </c>
      <c r="J174" s="409">
        <f>IFERROR('2.3'!J161/'2.1'!J172,"")</f>
        <v>0.94850498338870437</v>
      </c>
      <c r="K174" s="409">
        <f>IFERROR('2.3'!K161/'2.1'!K172,"")</f>
        <v>0.89102564102564108</v>
      </c>
      <c r="L174" s="409">
        <f>IFERROR('2.3'!L161/'2.1'!L172,"")</f>
        <v>0.57904946653734235</v>
      </c>
      <c r="M174" s="409">
        <f>IFERROR('2.3'!M161/'2.1'!M172,"")</f>
        <v>0.83409090909090911</v>
      </c>
      <c r="N174" s="409">
        <f>IFERROR('2.3'!N161/'2.1'!N172,"")</f>
        <v>0.65533650577838209</v>
      </c>
      <c r="O174" s="409">
        <f>IFERROR('2.3'!O161/'2.1'!O172,"")</f>
        <v>0.87078109932497594</v>
      </c>
      <c r="P174" s="409">
        <f>IFERROR('2.3'!P161/'2.1'!P172,"")</f>
        <v>0.9364516891093787</v>
      </c>
      <c r="Q174" s="409">
        <f>IFERROR('2.3'!Q161/'2.1'!Q172,"")</f>
        <v>0.90029730303673816</v>
      </c>
      <c r="R174" s="409">
        <f>IFERROR('2.3'!R161/'2.1'!R172,"")</f>
        <v>0.92073170731707321</v>
      </c>
      <c r="S174" s="409">
        <f>IFERROR('2.3'!S161/'2.1'!S172,"")</f>
        <v>0.95806451612903221</v>
      </c>
      <c r="T174" s="409">
        <f>IFERROR('2.3'!T161/'2.1'!T172,"")</f>
        <v>0.93887147335423193</v>
      </c>
      <c r="U174" s="409">
        <f>IFERROR('2.3'!U161/'2.1'!X172,"")</f>
        <v>0.83752073951173267</v>
      </c>
      <c r="V174" s="409">
        <f>IFERROR('2.3'!V161/'2.1'!Y172,"")</f>
        <v>0.93088630259623995</v>
      </c>
      <c r="W174" s="409">
        <f>IFERROR('2.3'!W161/'2.1'!Z172,"")</f>
        <v>0.87470584040504884</v>
      </c>
    </row>
    <row r="175" spans="2:23" hidden="1" outlineLevel="1" x14ac:dyDescent="0.25">
      <c r="B175" s="404">
        <v>43556</v>
      </c>
      <c r="C175" s="409" t="str">
        <f>IFERROR('2.3'!C162/'2.1'!C173,"")</f>
        <v/>
      </c>
      <c r="D175" s="409" t="str">
        <f>IFERROR('2.3'!D162/'2.1'!D173,"")</f>
        <v/>
      </c>
      <c r="E175" s="409" t="str">
        <f>IFERROR('2.3'!E162/'2.1'!E173,"")</f>
        <v/>
      </c>
      <c r="F175" s="409" t="str">
        <f>IFERROR('2.3'!F162/'2.1'!F173,"")</f>
        <v/>
      </c>
      <c r="G175" s="409" t="str">
        <f>IFERROR('2.3'!G162/'2.1'!G173,"")</f>
        <v/>
      </c>
      <c r="H175" s="409" t="str">
        <f>IFERROR('2.3'!H162/'2.1'!H173,"")</f>
        <v/>
      </c>
      <c r="I175" s="409">
        <f>IFERROR('2.3'!I162/'2.1'!I173,"")</f>
        <v>0.87790055248618781</v>
      </c>
      <c r="J175" s="409">
        <f>IFERROR('2.3'!J162/'2.1'!J173,"")</f>
        <v>0.94290657439446368</v>
      </c>
      <c r="K175" s="409">
        <f>IFERROR('2.3'!K162/'2.1'!K173,"")</f>
        <v>0.89363484087102174</v>
      </c>
      <c r="L175" s="409">
        <f>IFERROR('2.3'!L162/'2.1'!L173,"")</f>
        <v>0.58333333333333337</v>
      </c>
      <c r="M175" s="409">
        <f>IFERROR('2.3'!M162/'2.1'!M173,"")</f>
        <v>0.77876106194690264</v>
      </c>
      <c r="N175" s="409">
        <f>IFERROR('2.3'!N162/'2.1'!N173,"")</f>
        <v>0.64054404145077726</v>
      </c>
      <c r="O175" s="409">
        <f>IFERROR('2.3'!O162/'2.1'!O173,"")</f>
        <v>0.87607780228594345</v>
      </c>
      <c r="P175" s="409">
        <f>IFERROR('2.3'!P162/'2.1'!P173,"")</f>
        <v>0.93736603953322217</v>
      </c>
      <c r="Q175" s="409">
        <f>IFERROR('2.3'!Q162/'2.1'!Q173,"")</f>
        <v>0.90409318528195082</v>
      </c>
      <c r="R175" s="409">
        <f>IFERROR('2.3'!R162/'2.1'!R173,"")</f>
        <v>0.90974729241877261</v>
      </c>
      <c r="S175" s="409">
        <f>IFERROR('2.3'!S162/'2.1'!S173,"")</f>
        <v>0.93485342019543971</v>
      </c>
      <c r="T175" s="409">
        <f>IFERROR('2.3'!T162/'2.1'!T173,"")</f>
        <v>0.92294520547945202</v>
      </c>
      <c r="U175" s="409">
        <f>IFERROR('2.3'!U162/'2.1'!X173,"")</f>
        <v>0.83847661033553755</v>
      </c>
      <c r="V175" s="409">
        <f>IFERROR('2.3'!V162/'2.1'!Y173,"")</f>
        <v>0.92485549132947975</v>
      </c>
      <c r="W175" s="409">
        <f>IFERROR('2.3'!W162/'2.1'!Z173,"")</f>
        <v>0.87337614946723108</v>
      </c>
    </row>
    <row r="176" spans="2:23" hidden="1" outlineLevel="1" x14ac:dyDescent="0.25">
      <c r="B176" s="404">
        <v>43586</v>
      </c>
      <c r="C176" s="409" t="str">
        <f>IFERROR('2.3'!C163/'2.1'!C174,"")</f>
        <v/>
      </c>
      <c r="D176" s="409" t="str">
        <f>IFERROR('2.3'!D163/'2.1'!D174,"")</f>
        <v/>
      </c>
      <c r="E176" s="409" t="str">
        <f>IFERROR('2.3'!E163/'2.1'!E174,"")</f>
        <v/>
      </c>
      <c r="F176" s="409" t="str">
        <f>IFERROR('2.3'!F163/'2.1'!F174,"")</f>
        <v/>
      </c>
      <c r="G176" s="409" t="str">
        <f>IFERROR('2.3'!G163/'2.1'!G174,"")</f>
        <v/>
      </c>
      <c r="H176" s="409" t="str">
        <f>IFERROR('2.3'!H163/'2.1'!H174,"")</f>
        <v/>
      </c>
      <c r="I176" s="409">
        <f>IFERROR('2.3'!I163/'2.1'!I174,"")</f>
        <v>0.88858842617631151</v>
      </c>
      <c r="J176" s="409">
        <f>IFERROR('2.3'!J163/'2.1'!J174,"")</f>
        <v>0.95509499136442144</v>
      </c>
      <c r="K176" s="409">
        <f>IFERROR('2.3'!K163/'2.1'!K174,"")</f>
        <v>0.90444810543657328</v>
      </c>
      <c r="L176" s="409">
        <f>IFERROR('2.3'!L163/'2.1'!L174,"")</f>
        <v>0.55555555555555558</v>
      </c>
      <c r="M176" s="409">
        <f>IFERROR('2.3'!M163/'2.1'!M174,"")</f>
        <v>0.79439252336448596</v>
      </c>
      <c r="N176" s="409">
        <f>IFERROR('2.3'!N163/'2.1'!N174,"")</f>
        <v>0.63000728332119449</v>
      </c>
      <c r="O176" s="409">
        <f>IFERROR('2.3'!O163/'2.1'!O174,"")</f>
        <v>0.87558733401430033</v>
      </c>
      <c r="P176" s="409">
        <f>IFERROR('2.3'!P163/'2.1'!P174,"")</f>
        <v>0.93117053923717663</v>
      </c>
      <c r="Q176" s="409">
        <f>IFERROR('2.3'!Q163/'2.1'!Q174,"")</f>
        <v>0.90240033837369149</v>
      </c>
      <c r="R176" s="409">
        <f>IFERROR('2.3'!R163/'2.1'!R174,"")</f>
        <v>0.92672413793103448</v>
      </c>
      <c r="S176" s="409">
        <f>IFERROR('2.3'!S163/'2.1'!S174,"")</f>
        <v>0.93625498007968122</v>
      </c>
      <c r="T176" s="409">
        <f>IFERROR('2.3'!T163/'2.1'!T174,"")</f>
        <v>0.93167701863354035</v>
      </c>
      <c r="U176" s="409">
        <f>IFERROR('2.3'!U163/'2.1'!X174,"")</f>
        <v>0.84193914909733625</v>
      </c>
      <c r="V176" s="409">
        <f>IFERROR('2.3'!V163/'2.1'!Y174,"")</f>
        <v>0.92371134020618562</v>
      </c>
      <c r="W176" s="409">
        <f>IFERROR('2.3'!W163/'2.1'!Z174,"")</f>
        <v>0.87657375736845933</v>
      </c>
    </row>
    <row r="177" spans="2:23" hidden="1" outlineLevel="1" x14ac:dyDescent="0.25">
      <c r="B177" s="404">
        <v>43617</v>
      </c>
      <c r="C177" s="409" t="str">
        <f>IFERROR('2.3'!C164/'2.1'!C175,"")</f>
        <v/>
      </c>
      <c r="D177" s="409" t="str">
        <f>IFERROR('2.3'!D164/'2.1'!D175,"")</f>
        <v/>
      </c>
      <c r="E177" s="409" t="str">
        <f>IFERROR('2.3'!E164/'2.1'!E175,"")</f>
        <v/>
      </c>
      <c r="F177" s="409" t="str">
        <f>IFERROR('2.3'!F164/'2.1'!F175,"")</f>
        <v/>
      </c>
      <c r="G177" s="409" t="str">
        <f>IFERROR('2.3'!G164/'2.1'!G175,"")</f>
        <v/>
      </c>
      <c r="H177" s="409" t="str">
        <f>IFERROR('2.3'!H164/'2.1'!H175,"")</f>
        <v/>
      </c>
      <c r="I177" s="409">
        <f>IFERROR('2.3'!I164/'2.1'!I175,"")</f>
        <v>0.87448680351906161</v>
      </c>
      <c r="J177" s="409">
        <f>IFERROR('2.3'!J164/'2.1'!J175,"")</f>
        <v>0.94573643410852715</v>
      </c>
      <c r="K177" s="409">
        <f>IFERROR('2.3'!K164/'2.1'!K175,"")</f>
        <v>0.89104007203962177</v>
      </c>
      <c r="L177" s="409">
        <f>IFERROR('2.3'!L164/'2.1'!L175,"")</f>
        <v>0.59308807134894093</v>
      </c>
      <c r="M177" s="409">
        <f>IFERROR('2.3'!M164/'2.1'!M175,"")</f>
        <v>0.83795309168443499</v>
      </c>
      <c r="N177" s="409">
        <f>IFERROR('2.3'!N164/'2.1'!N175,"")</f>
        <v>0.6771595900439239</v>
      </c>
      <c r="O177" s="409">
        <f>IFERROR('2.3'!O164/'2.1'!O175,"")</f>
        <v>0.87467730579676128</v>
      </c>
      <c r="P177" s="409">
        <f>IFERROR('2.3'!P164/'2.1'!P175,"")</f>
        <v>0.93745051464766427</v>
      </c>
      <c r="Q177" s="409">
        <f>IFERROR('2.3'!Q164/'2.1'!Q175,"")</f>
        <v>0.90422360248447209</v>
      </c>
      <c r="R177" s="409">
        <f>IFERROR('2.3'!R164/'2.1'!R175,"")</f>
        <v>0.8910891089108911</v>
      </c>
      <c r="S177" s="409">
        <f>IFERROR('2.3'!S164/'2.1'!S175,"")</f>
        <v>0.92964824120603018</v>
      </c>
      <c r="T177" s="409">
        <f>IFERROR('2.3'!T164/'2.1'!T175,"")</f>
        <v>0.91022443890274318</v>
      </c>
      <c r="U177" s="409">
        <f>IFERROR('2.3'!U164/'2.1'!X175,"")</f>
        <v>0.83934890304317056</v>
      </c>
      <c r="V177" s="409">
        <f>IFERROR('2.3'!V164/'2.1'!Y175,"")</f>
        <v>0.92861451839935649</v>
      </c>
      <c r="W177" s="409">
        <f>IFERROR('2.3'!W164/'2.1'!Z175,"")</f>
        <v>0.87622528659245724</v>
      </c>
    </row>
    <row r="178" spans="2:23" hidden="1" outlineLevel="1" x14ac:dyDescent="0.25">
      <c r="B178" s="404">
        <v>43647</v>
      </c>
      <c r="C178" s="409" t="str">
        <f>IFERROR('2.3'!C165/'2.1'!C176,"")</f>
        <v/>
      </c>
      <c r="D178" s="409" t="str">
        <f>IFERROR('2.3'!D165/'2.1'!D176,"")</f>
        <v/>
      </c>
      <c r="E178" s="409" t="str">
        <f>IFERROR('2.3'!E165/'2.1'!E176,"")</f>
        <v/>
      </c>
      <c r="F178" s="409" t="str">
        <f>IFERROR('2.3'!F165/'2.1'!F176,"")</f>
        <v/>
      </c>
      <c r="G178" s="409" t="str">
        <f>IFERROR('2.3'!G165/'2.1'!G176,"")</f>
        <v/>
      </c>
      <c r="H178" s="409" t="str">
        <f>IFERROR('2.3'!H165/'2.1'!H176,"")</f>
        <v/>
      </c>
      <c r="I178" s="409">
        <f>IFERROR('2.3'!I165/'2.1'!I176,"")</f>
        <v>0.88789237668161436</v>
      </c>
      <c r="J178" s="409">
        <f>IFERROR('2.3'!J165/'2.1'!J176,"")</f>
        <v>0.94710743801652897</v>
      </c>
      <c r="K178" s="409">
        <f>IFERROR('2.3'!K165/'2.1'!K176,"")</f>
        <v>0.90160796324655434</v>
      </c>
      <c r="L178" s="409">
        <f>IFERROR('2.3'!L165/'2.1'!L176,"")</f>
        <v>0.59943449575871821</v>
      </c>
      <c r="M178" s="409">
        <f>IFERROR('2.3'!M165/'2.1'!M176,"")</f>
        <v>0.76608187134502925</v>
      </c>
      <c r="N178" s="409">
        <f>IFERROR('2.3'!N165/'2.1'!N176,"")</f>
        <v>0.65374841168996189</v>
      </c>
      <c r="O178" s="409">
        <f>IFERROR('2.3'!O165/'2.1'!O176,"")</f>
        <v>0.88694702348443477</v>
      </c>
      <c r="P178" s="409">
        <f>IFERROR('2.3'!P165/'2.1'!P176,"")</f>
        <v>0.94</v>
      </c>
      <c r="Q178" s="409">
        <f>IFERROR('2.3'!Q165/'2.1'!Q176,"")</f>
        <v>0.91140979103306186</v>
      </c>
      <c r="R178" s="409">
        <f>IFERROR('2.3'!R165/'2.1'!R176,"")</f>
        <v>0.9327731092436975</v>
      </c>
      <c r="S178" s="409">
        <f>IFERROR('2.3'!S165/'2.1'!S176,"")</f>
        <v>0.97413793103448276</v>
      </c>
      <c r="T178" s="409">
        <f>IFERROR('2.3'!T165/'2.1'!T176,"")</f>
        <v>0.95319148936170217</v>
      </c>
      <c r="U178" s="409">
        <f>IFERROR('2.3'!U165/'2.1'!X176,"")</f>
        <v>0.85373337879304467</v>
      </c>
      <c r="V178" s="409">
        <f>IFERROR('2.3'!V165/'2.1'!Y176,"")</f>
        <v>0.92727272727272725</v>
      </c>
      <c r="W178" s="409">
        <f>IFERROR('2.3'!W165/'2.1'!Z176,"")</f>
        <v>0.88369587177587716</v>
      </c>
    </row>
    <row r="179" spans="2:23" hidden="1" outlineLevel="1" x14ac:dyDescent="0.25">
      <c r="B179" s="404">
        <v>43678</v>
      </c>
      <c r="C179" s="409" t="str">
        <f>IFERROR('2.3'!C166/'2.1'!C177,"")</f>
        <v/>
      </c>
      <c r="D179" s="409" t="str">
        <f>IFERROR('2.3'!D166/'2.1'!D177,"")</f>
        <v/>
      </c>
      <c r="E179" s="409" t="str">
        <f>IFERROR('2.3'!E166/'2.1'!E177,"")</f>
        <v/>
      </c>
      <c r="F179" s="409" t="str">
        <f>IFERROR('2.3'!F166/'2.1'!F177,"")</f>
        <v/>
      </c>
      <c r="G179" s="409" t="str">
        <f>IFERROR('2.3'!G166/'2.1'!G177,"")</f>
        <v/>
      </c>
      <c r="H179" s="409" t="str">
        <f>IFERROR('2.3'!H166/'2.1'!H177,"")</f>
        <v/>
      </c>
      <c r="I179" s="409">
        <f>IFERROR('2.3'!I166/'2.1'!I177,"")</f>
        <v>0.88398611799702531</v>
      </c>
      <c r="J179" s="409">
        <f>IFERROR('2.3'!J166/'2.1'!J177,"")</f>
        <v>0.93298059964726632</v>
      </c>
      <c r="K179" s="409">
        <f>IFERROR('2.3'!K166/'2.1'!K177,"")</f>
        <v>0.89473684210526316</v>
      </c>
      <c r="L179" s="409">
        <f>IFERROR('2.3'!L166/'2.1'!L177,"")</f>
        <v>0.58414872798434447</v>
      </c>
      <c r="M179" s="409">
        <f>IFERROR('2.3'!M166/'2.1'!M177,"")</f>
        <v>0.77682403433476399</v>
      </c>
      <c r="N179" s="409">
        <f>IFERROR('2.3'!N166/'2.1'!N177,"")</f>
        <v>0.644489247311828</v>
      </c>
      <c r="O179" s="409">
        <f>IFERROR('2.3'!O166/'2.1'!O177,"")</f>
        <v>0.87053988417709693</v>
      </c>
      <c r="P179" s="409">
        <f>IFERROR('2.3'!P166/'2.1'!P177,"")</f>
        <v>0.9279651296168846</v>
      </c>
      <c r="Q179" s="409">
        <f>IFERROR('2.3'!Q166/'2.1'!Q177,"")</f>
        <v>0.89631383855024716</v>
      </c>
      <c r="R179" s="409">
        <f>IFERROR('2.3'!R166/'2.1'!R177,"")</f>
        <v>0.9</v>
      </c>
      <c r="S179" s="409">
        <f>IFERROR('2.3'!S166/'2.1'!S177,"")</f>
        <v>0.92990654205607481</v>
      </c>
      <c r="T179" s="409">
        <f>IFERROR('2.3'!T166/'2.1'!T177,"")</f>
        <v>0.91509433962264153</v>
      </c>
      <c r="U179" s="409">
        <f>IFERROR('2.3'!U166/'2.1'!X177,"")</f>
        <v>0.84038595675424321</v>
      </c>
      <c r="V179" s="409">
        <f>IFERROR('2.3'!V166/'2.1'!Y177,"")</f>
        <v>0.9159828754905458</v>
      </c>
      <c r="W179" s="409">
        <f>IFERROR('2.3'!W166/'2.1'!Z177,"")</f>
        <v>0.870213963963964</v>
      </c>
    </row>
    <row r="180" spans="2:23" hidden="1" outlineLevel="1" x14ac:dyDescent="0.25">
      <c r="B180" s="404">
        <v>43709</v>
      </c>
      <c r="C180" s="409" t="str">
        <f>IFERROR('2.3'!C167/'2.1'!C178,"")</f>
        <v/>
      </c>
      <c r="D180" s="409" t="str">
        <f>IFERROR('2.3'!D167/'2.1'!D178,"")</f>
        <v/>
      </c>
      <c r="E180" s="409" t="str">
        <f>IFERROR('2.3'!E167/'2.1'!E178,"")</f>
        <v/>
      </c>
      <c r="F180" s="409" t="str">
        <f>IFERROR('2.3'!F167/'2.1'!F178,"")</f>
        <v/>
      </c>
      <c r="G180" s="409" t="str">
        <f>IFERROR('2.3'!G167/'2.1'!G178,"")</f>
        <v/>
      </c>
      <c r="H180" s="409" t="str">
        <f>IFERROR('2.3'!H167/'2.1'!H178,"")</f>
        <v/>
      </c>
      <c r="I180" s="409">
        <f>IFERROR('2.3'!I167/'2.1'!I178,"")</f>
        <v>0.89896907216494848</v>
      </c>
      <c r="J180" s="409">
        <f>IFERROR('2.3'!J167/'2.1'!J178,"")</f>
        <v>0.94517958412098302</v>
      </c>
      <c r="K180" s="409">
        <f>IFERROR('2.3'!K167/'2.1'!K178,"")</f>
        <v>0.90886998784933171</v>
      </c>
      <c r="L180" s="409">
        <f>IFERROR('2.3'!L167/'2.1'!L178,"")</f>
        <v>0.5627329192546584</v>
      </c>
      <c r="M180" s="409">
        <f>IFERROR('2.3'!M167/'2.1'!M178,"")</f>
        <v>0.78846153846153844</v>
      </c>
      <c r="N180" s="409">
        <f>IFERROR('2.3'!N167/'2.1'!N178,"")</f>
        <v>0.63963963963963966</v>
      </c>
      <c r="O180" s="409">
        <f>IFERROR('2.3'!O167/'2.1'!O178,"")</f>
        <v>0.88243771875643406</v>
      </c>
      <c r="P180" s="409">
        <f>IFERROR('2.3'!P167/'2.1'!P178,"")</f>
        <v>0.92864398171660745</v>
      </c>
      <c r="Q180" s="409">
        <f>IFERROR('2.3'!Q167/'2.1'!Q178,"")</f>
        <v>0.90312677657760088</v>
      </c>
      <c r="R180" s="409">
        <f>IFERROR('2.3'!R167/'2.1'!R178,"")</f>
        <v>0.90366972477064222</v>
      </c>
      <c r="S180" s="409">
        <f>IFERROR('2.3'!S167/'2.1'!S178,"")</f>
        <v>0.94142259414225937</v>
      </c>
      <c r="T180" s="409">
        <f>IFERROR('2.3'!T167/'2.1'!T178,"")</f>
        <v>0.92341356673960617</v>
      </c>
      <c r="U180" s="409">
        <f>IFERROR('2.3'!U167/'2.1'!X178,"")</f>
        <v>0.8542199488491049</v>
      </c>
      <c r="V180" s="409">
        <f>IFERROR('2.3'!V167/'2.1'!Y178,"")</f>
        <v>0.9195626708317064</v>
      </c>
      <c r="W180" s="409">
        <f>IFERROR('2.3'!W167/'2.1'!Z178,"")</f>
        <v>0.88008035852263944</v>
      </c>
    </row>
    <row r="181" spans="2:23" hidden="1" outlineLevel="1" x14ac:dyDescent="0.25">
      <c r="B181" s="404">
        <v>43739</v>
      </c>
      <c r="C181" s="409" t="str">
        <f>IFERROR('2.3'!C168/'2.1'!C179,"")</f>
        <v/>
      </c>
      <c r="D181" s="409" t="str">
        <f>IFERROR('2.3'!D168/'2.1'!D179,"")</f>
        <v/>
      </c>
      <c r="E181" s="409" t="str">
        <f>IFERROR('2.3'!E168/'2.1'!E179,"")</f>
        <v/>
      </c>
      <c r="F181" s="409" t="str">
        <f>IFERROR('2.3'!F168/'2.1'!F179,"")</f>
        <v/>
      </c>
      <c r="G181" s="409" t="str">
        <f>IFERROR('2.3'!G168/'2.1'!G179,"")</f>
        <v/>
      </c>
      <c r="H181" s="409" t="str">
        <f>IFERROR('2.3'!H168/'2.1'!H179,"")</f>
        <v/>
      </c>
      <c r="I181" s="409">
        <f>IFERROR('2.3'!I168/'2.1'!I179,"")</f>
        <v>0.8954423592493298</v>
      </c>
      <c r="J181" s="409">
        <f>IFERROR('2.3'!J168/'2.1'!J179,"")</f>
        <v>0.94026974951830444</v>
      </c>
      <c r="K181" s="409">
        <f>IFERROR('2.3'!K168/'2.1'!K179,"")</f>
        <v>0.90520134228187921</v>
      </c>
      <c r="L181" s="409">
        <f>IFERROR('2.3'!L168/'2.1'!L179,"")</f>
        <v>0.56190476190476191</v>
      </c>
      <c r="M181" s="409">
        <f>IFERROR('2.3'!M168/'2.1'!M179,"")</f>
        <v>0.76764705882352946</v>
      </c>
      <c r="N181" s="409">
        <f>IFERROR('2.3'!N168/'2.1'!N179,"")</f>
        <v>0.62118644067796613</v>
      </c>
      <c r="O181" s="409">
        <f>IFERROR('2.3'!O168/'2.1'!O179,"")</f>
        <v>0.88338586222422333</v>
      </c>
      <c r="P181" s="409">
        <f>IFERROR('2.3'!P168/'2.1'!P179,"")</f>
        <v>0.93249192838274142</v>
      </c>
      <c r="Q181" s="409">
        <f>IFERROR('2.3'!Q168/'2.1'!Q179,"")</f>
        <v>0.90470123582621986</v>
      </c>
      <c r="R181" s="409">
        <f>IFERROR('2.3'!R168/'2.1'!R179,"")</f>
        <v>0.91847826086956519</v>
      </c>
      <c r="S181" s="409">
        <f>IFERROR('2.3'!S168/'2.1'!S179,"")</f>
        <v>0.94886363636363635</v>
      </c>
      <c r="T181" s="409">
        <f>IFERROR('2.3'!T168/'2.1'!T179,"")</f>
        <v>0.93333333333333335</v>
      </c>
      <c r="U181" s="409">
        <f>IFERROR('2.3'!U168/'2.1'!X179,"")</f>
        <v>0.85049788569090168</v>
      </c>
      <c r="V181" s="409">
        <f>IFERROR('2.3'!V168/'2.1'!Y179,"")</f>
        <v>0.92143178748311572</v>
      </c>
      <c r="W181" s="409">
        <f>IFERROR('2.3'!W168/'2.1'!Z179,"")</f>
        <v>0.87726153062091228</v>
      </c>
    </row>
    <row r="182" spans="2:23" hidden="1" outlineLevel="1" x14ac:dyDescent="0.25">
      <c r="B182" s="404">
        <v>43770</v>
      </c>
      <c r="C182" s="409" t="str">
        <f>IFERROR('2.3'!C169/'2.1'!C180,"")</f>
        <v/>
      </c>
      <c r="D182" s="409" t="str">
        <f>IFERROR('2.3'!D169/'2.1'!D180,"")</f>
        <v/>
      </c>
      <c r="E182" s="409" t="str">
        <f>IFERROR('2.3'!E169/'2.1'!E180,"")</f>
        <v/>
      </c>
      <c r="F182" s="409" t="str">
        <f>IFERROR('2.3'!F169/'2.1'!F180,"")</f>
        <v/>
      </c>
      <c r="G182" s="409" t="str">
        <f>IFERROR('2.3'!G169/'2.1'!G180,"")</f>
        <v/>
      </c>
      <c r="H182" s="409" t="str">
        <f>IFERROR('2.3'!H169/'2.1'!H180,"")</f>
        <v/>
      </c>
      <c r="I182" s="409">
        <f>IFERROR('2.3'!I169/'2.1'!I180,"")</f>
        <v>0.90973036342321223</v>
      </c>
      <c r="J182" s="409">
        <f>IFERROR('2.3'!J169/'2.1'!J180,"")</f>
        <v>0.96797153024911031</v>
      </c>
      <c r="K182" s="409">
        <f>IFERROR('2.3'!K169/'2.1'!K180,"")</f>
        <v>0.92416225749559078</v>
      </c>
      <c r="L182" s="409">
        <f>IFERROR('2.3'!L169/'2.1'!L180,"")</f>
        <v>0.63953488372093026</v>
      </c>
      <c r="M182" s="409">
        <f>IFERROR('2.3'!M169/'2.1'!M180,"")</f>
        <v>0.80063291139240511</v>
      </c>
      <c r="N182" s="409">
        <f>IFERROR('2.3'!N169/'2.1'!N180,"")</f>
        <v>0.69023904382470125</v>
      </c>
      <c r="O182" s="409">
        <f>IFERROR('2.3'!O169/'2.1'!O180,"")</f>
        <v>0.90424324937599276</v>
      </c>
      <c r="P182" s="409">
        <f>IFERROR('2.3'!P169/'2.1'!P180,"")</f>
        <v>0.93348689893463865</v>
      </c>
      <c r="Q182" s="409">
        <f>IFERROR('2.3'!Q169/'2.1'!Q180,"")</f>
        <v>0.91713197969543148</v>
      </c>
      <c r="R182" s="409">
        <f>IFERROR('2.3'!R169/'2.1'!R180,"")</f>
        <v>0.91878172588832485</v>
      </c>
      <c r="S182" s="409">
        <f>IFERROR('2.3'!S169/'2.1'!S180,"")</f>
        <v>0.94240837696335078</v>
      </c>
      <c r="T182" s="409">
        <f>IFERROR('2.3'!T169/'2.1'!T180,"")</f>
        <v>0.93041237113402064</v>
      </c>
      <c r="U182" s="409">
        <f>IFERROR('2.3'!U169/'2.1'!X180,"")</f>
        <v>0.87996570448699629</v>
      </c>
      <c r="V182" s="409">
        <f>IFERROR('2.3'!V169/'2.1'!Y180,"")</f>
        <v>0.92888595332452661</v>
      </c>
      <c r="W182" s="409">
        <f>IFERROR('2.3'!W169/'2.1'!Z180,"")</f>
        <v>0.89922010398613517</v>
      </c>
    </row>
    <row r="183" spans="2:23" hidden="1" outlineLevel="1" x14ac:dyDescent="0.25">
      <c r="B183" s="404">
        <v>43800</v>
      </c>
      <c r="C183" s="409" t="str">
        <f>IFERROR('2.3'!C170/'2.1'!C181,"")</f>
        <v/>
      </c>
      <c r="D183" s="409" t="str">
        <f>IFERROR('2.3'!D170/'2.1'!D181,"")</f>
        <v/>
      </c>
      <c r="E183" s="409" t="str">
        <f>IFERROR('2.3'!E170/'2.1'!E181,"")</f>
        <v/>
      </c>
      <c r="F183" s="409" t="str">
        <f>IFERROR('2.3'!F170/'2.1'!F181,"")</f>
        <v/>
      </c>
      <c r="G183" s="409" t="str">
        <f>IFERROR('2.3'!G170/'2.1'!G181,"")</f>
        <v/>
      </c>
      <c r="H183" s="409" t="str">
        <f>IFERROR('2.3'!H170/'2.1'!H181,"")</f>
        <v/>
      </c>
      <c r="I183" s="409">
        <f>IFERROR('2.3'!I170/'2.1'!I181,"")</f>
        <v>0.87276688453159046</v>
      </c>
      <c r="J183" s="409">
        <f>IFERROR('2.3'!J170/'2.1'!J181,"")</f>
        <v>0.93230769230769228</v>
      </c>
      <c r="K183" s="409">
        <f>IFERROR('2.3'!K170/'2.1'!K181,"")</f>
        <v>0.88590831918505941</v>
      </c>
      <c r="L183" s="409">
        <f>IFERROR('2.3'!L170/'2.1'!L181,"")</f>
        <v>0.57986111111111116</v>
      </c>
      <c r="M183" s="409">
        <f>IFERROR('2.3'!M170/'2.1'!M181,"")</f>
        <v>0.78388998035363455</v>
      </c>
      <c r="N183" s="409">
        <f>IFERROR('2.3'!N170/'2.1'!N181,"")</f>
        <v>0.64238410596026485</v>
      </c>
      <c r="O183" s="409">
        <f>IFERROR('2.3'!O170/'2.1'!O181,"")</f>
        <v>0.87122985814626086</v>
      </c>
      <c r="P183" s="409">
        <f>IFERROR('2.3'!P170/'2.1'!P181,"")</f>
        <v>0.92127490039840643</v>
      </c>
      <c r="Q183" s="409">
        <f>IFERROR('2.3'!Q170/'2.1'!Q181,"")</f>
        <v>0.89442966903073284</v>
      </c>
      <c r="R183" s="409">
        <f>IFERROR('2.3'!R170/'2.1'!R181,"")</f>
        <v>0.88275862068965516</v>
      </c>
      <c r="S183" s="409">
        <f>IFERROR('2.3'!S170/'2.1'!S181,"")</f>
        <v>0.91212121212121211</v>
      </c>
      <c r="T183" s="409">
        <f>IFERROR('2.3'!T170/'2.1'!T181,"")</f>
        <v>0.89838709677419359</v>
      </c>
      <c r="U183" s="409">
        <f>IFERROR('2.3'!U170/'2.1'!X181,"")</f>
        <v>0.84133478814329876</v>
      </c>
      <c r="V183" s="409">
        <f>IFERROR('2.3'!V170/'2.1'!Y181,"")</f>
        <v>0.91280267903142709</v>
      </c>
      <c r="W183" s="409">
        <f>IFERROR('2.3'!W170/'2.1'!Z181,"")</f>
        <v>0.87090928472444307</v>
      </c>
    </row>
    <row r="184" spans="2:23" collapsed="1" x14ac:dyDescent="0.25">
      <c r="B184" s="407" t="s">
        <v>760</v>
      </c>
      <c r="C184" s="410" t="str">
        <f>IFERROR('2.3'!C171/'2.1'!C182,"")</f>
        <v/>
      </c>
      <c r="D184" s="410" t="str">
        <f>IFERROR('2.3'!D171/'2.1'!D182,"")</f>
        <v/>
      </c>
      <c r="E184" s="410" t="str">
        <f>IFERROR('2.3'!E171/'2.1'!E182,"")</f>
        <v/>
      </c>
      <c r="F184" s="410" t="str">
        <f>IFERROR('2.3'!F171/'2.1'!F182,"")</f>
        <v/>
      </c>
      <c r="G184" s="410" t="str">
        <f>IFERROR('2.3'!G171/'2.1'!G182,"")</f>
        <v/>
      </c>
      <c r="H184" s="410" t="str">
        <f>IFERROR('2.3'!H171/'2.1'!H182,"")</f>
        <v/>
      </c>
      <c r="I184" s="410">
        <f>IFERROR('2.3'!I171/'2.1'!I182,"")</f>
        <v>0.88661417322834646</v>
      </c>
      <c r="J184" s="410">
        <f>IFERROR('2.3'!J171/'2.1'!J182,"")</f>
        <v>0.94415357766143104</v>
      </c>
      <c r="K184" s="410">
        <f>IFERROR('2.3'!K171/'2.1'!K182,"")</f>
        <v>0.89991928974979818</v>
      </c>
      <c r="L184" s="410">
        <f>IFERROR('2.3'!L171/'2.1'!L182,"")</f>
        <v>0.58227848101265822</v>
      </c>
      <c r="M184" s="410">
        <f>IFERROR('2.3'!M171/'2.1'!M182,"")</f>
        <v>0.79271070615034167</v>
      </c>
      <c r="N184" s="410">
        <f>IFERROR('2.3'!N171/'2.1'!N182,"")</f>
        <v>0.64935064935064934</v>
      </c>
      <c r="O184" s="410">
        <f>IFERROR('2.3'!O171/'2.1'!O182,"")</f>
        <v>0.87953924248340487</v>
      </c>
      <c r="P184" s="410">
        <f>IFERROR('2.3'!P171/'2.1'!P182,"")</f>
        <v>0.93300653594771243</v>
      </c>
      <c r="Q184" s="410">
        <f>IFERROR('2.3'!Q171/'2.1'!Q182,"")</f>
        <v>0.90389113331915794</v>
      </c>
      <c r="R184" s="410">
        <f>IFERROR('2.3'!R171/'2.1'!R182,"")</f>
        <v>0.91269841269841268</v>
      </c>
      <c r="S184" s="410">
        <f>IFERROR('2.3'!S171/'2.1'!S182,"")</f>
        <v>0.94094488188976377</v>
      </c>
      <c r="T184" s="410">
        <f>IFERROR('2.3'!T171/'2.1'!T182,"")</f>
        <v>0.9268774703557312</v>
      </c>
      <c r="U184" s="410">
        <f>IFERROR('2.3'!U171/'2.1'!X182,"")</f>
        <v>0.84793971070864227</v>
      </c>
      <c r="V184" s="410">
        <f>IFERROR('2.3'!V171/'2.1'!Y182,"")</f>
        <v>0.9235898360064877</v>
      </c>
      <c r="W184" s="410">
        <f>IFERROR('2.3'!W171/'2.1'!Z182,"")</f>
        <v>0.87841173054587685</v>
      </c>
    </row>
    <row r="185" spans="2:23" hidden="1" outlineLevel="1" x14ac:dyDescent="0.25">
      <c r="B185" s="404">
        <v>43831</v>
      </c>
      <c r="C185" s="409" t="str">
        <f>IFERROR('2.3'!C172/'2.1'!C183,"")</f>
        <v/>
      </c>
      <c r="D185" s="409" t="str">
        <f>IFERROR('2.3'!D172/'2.1'!D183,"")</f>
        <v/>
      </c>
      <c r="E185" s="409" t="str">
        <f>IFERROR('2.3'!E172/'2.1'!E183,"")</f>
        <v/>
      </c>
      <c r="F185" s="409" t="str">
        <f>IFERROR('2.3'!F172/'2.1'!F183,"")</f>
        <v/>
      </c>
      <c r="G185" s="409" t="str">
        <f>IFERROR('2.3'!G172/'2.1'!G183,"")</f>
        <v/>
      </c>
      <c r="H185" s="409" t="str">
        <f>IFERROR('2.3'!H172/'2.1'!H183,"")</f>
        <v/>
      </c>
      <c r="I185" s="409">
        <f>IFERROR('2.3'!I172/'2.1'!I183,"")</f>
        <v>0.88235294117647056</v>
      </c>
      <c r="J185" s="409">
        <f>IFERROR('2.3'!J172/'2.1'!J183,"")</f>
        <v>0.91833810888252154</v>
      </c>
      <c r="K185" s="409">
        <f>IFERROR('2.3'!K172/'2.1'!K183,"")</f>
        <v>0.8906976744186047</v>
      </c>
      <c r="L185" s="409">
        <f>IFERROR('2.3'!L172/'2.1'!L183,"")</f>
        <v>0.56020066889632103</v>
      </c>
      <c r="M185" s="409">
        <f>IFERROR('2.3'!M172/'2.1'!M183,"")</f>
        <v>0.78815080789946135</v>
      </c>
      <c r="N185" s="409">
        <f>IFERROR('2.3'!N172/'2.1'!N183,"")</f>
        <v>0.63262977752424421</v>
      </c>
      <c r="O185" s="409">
        <f>IFERROR('2.3'!O172/'2.1'!O183,"")</f>
        <v>0.86811580076030803</v>
      </c>
      <c r="P185" s="409">
        <f>IFERROR('2.3'!P172/'2.1'!P183,"")</f>
        <v>0.93801910299003322</v>
      </c>
      <c r="Q185" s="409">
        <f>IFERROR('2.3'!Q172/'2.1'!Q183,"")</f>
        <v>0.90196571313659446</v>
      </c>
      <c r="R185" s="409">
        <f>IFERROR('2.3'!R172/'2.1'!R183,"")</f>
        <v>0.89757412398921832</v>
      </c>
      <c r="S185" s="409">
        <f>IFERROR('2.3'!S172/'2.1'!S183,"")</f>
        <v>0.89459459459459456</v>
      </c>
      <c r="T185" s="409">
        <f>IFERROR('2.3'!T172/'2.1'!T183,"")</f>
        <v>0.89608636977058032</v>
      </c>
      <c r="U185" s="409">
        <f>IFERROR('2.3'!U172/'2.1'!X183,"")</f>
        <v>0.84516904795586367</v>
      </c>
      <c r="V185" s="409">
        <f>IFERROR('2.3'!V172/'2.1'!Y183,"")</f>
        <v>0.92795593852713865</v>
      </c>
      <c r="W185" s="409">
        <f>IFERROR('2.3'!W172/'2.1'!Z183,"")</f>
        <v>0.88186650915534559</v>
      </c>
    </row>
    <row r="186" spans="2:23" hidden="1" outlineLevel="1" x14ac:dyDescent="0.25">
      <c r="B186" s="404">
        <v>43862</v>
      </c>
      <c r="C186" s="409" t="str">
        <f>IFERROR('2.3'!C173/'2.1'!C184,"")</f>
        <v/>
      </c>
      <c r="D186" s="409" t="str">
        <f>IFERROR('2.3'!D173/'2.1'!D184,"")</f>
        <v/>
      </c>
      <c r="E186" s="409" t="str">
        <f>IFERROR('2.3'!E173/'2.1'!E184,"")</f>
        <v/>
      </c>
      <c r="F186" s="409" t="str">
        <f>IFERROR('2.3'!F173/'2.1'!F184,"")</f>
        <v/>
      </c>
      <c r="G186" s="409" t="str">
        <f>IFERROR('2.3'!G173/'2.1'!G184,"")</f>
        <v/>
      </c>
      <c r="H186" s="409" t="str">
        <f>IFERROR('2.3'!H173/'2.1'!H184,"")</f>
        <v/>
      </c>
      <c r="I186" s="409">
        <f>IFERROR('2.3'!I173/'2.1'!I184,"")</f>
        <v>0.85412371134020615</v>
      </c>
      <c r="J186" s="409">
        <f>IFERROR('2.3'!J173/'2.1'!J184,"")</f>
        <v>0.93287435456110157</v>
      </c>
      <c r="K186" s="409">
        <f>IFERROR('2.3'!K173/'2.1'!K184,"")</f>
        <v>0.87227290757635856</v>
      </c>
      <c r="L186" s="409">
        <f>IFERROR('2.3'!L173/'2.1'!L184,"")</f>
        <v>0.58246936852026387</v>
      </c>
      <c r="M186" s="409">
        <f>IFERROR('2.3'!M173/'2.1'!M184,"")</f>
        <v>0.78915662650602414</v>
      </c>
      <c r="N186" s="409">
        <f>IFERROR('2.3'!N173/'2.1'!N184,"")</f>
        <v>0.64849262347658754</v>
      </c>
      <c r="O186" s="409">
        <f>IFERROR('2.3'!O173/'2.1'!O184,"")</f>
        <v>0.8483063328424153</v>
      </c>
      <c r="P186" s="409">
        <f>IFERROR('2.3'!P173/'2.1'!P184,"")</f>
        <v>0.92636347486232018</v>
      </c>
      <c r="Q186" s="409">
        <f>IFERROR('2.3'!Q173/'2.1'!Q184,"")</f>
        <v>0.88468065731197487</v>
      </c>
      <c r="R186" s="409">
        <f>IFERROR('2.3'!R173/'2.1'!R184,"")</f>
        <v>0.90909090909090906</v>
      </c>
      <c r="S186" s="409">
        <f>IFERROR('2.3'!S173/'2.1'!S184,"")</f>
        <v>0.95768374164810688</v>
      </c>
      <c r="T186" s="409">
        <f>IFERROR('2.3'!T173/'2.1'!T184,"")</f>
        <v>0.9349112426035503</v>
      </c>
      <c r="U186" s="409">
        <f>IFERROR('2.3'!U173/'2.1'!X184,"")</f>
        <v>0.83316971407534668</v>
      </c>
      <c r="V186" s="409">
        <f>IFERROR('2.3'!V173/'2.1'!Y184,"")</f>
        <v>0.9224151415610824</v>
      </c>
      <c r="W186" s="409">
        <f>IFERROR('2.3'!W173/'2.1'!Z184,"")</f>
        <v>0.87240407096685468</v>
      </c>
    </row>
    <row r="187" spans="2:23" hidden="1" outlineLevel="1" x14ac:dyDescent="0.25">
      <c r="B187" s="404">
        <v>43891</v>
      </c>
      <c r="C187" s="409" t="str">
        <f>IFERROR('2.3'!C174/'2.1'!C185,"")</f>
        <v/>
      </c>
      <c r="D187" s="409" t="str">
        <f>IFERROR('2.3'!D174/'2.1'!D185,"")</f>
        <v/>
      </c>
      <c r="E187" s="409" t="str">
        <f>IFERROR('2.3'!E174/'2.1'!E185,"")</f>
        <v/>
      </c>
      <c r="F187" s="409" t="str">
        <f>IFERROR('2.3'!F174/'2.1'!F185,"")</f>
        <v/>
      </c>
      <c r="G187" s="409" t="str">
        <f>IFERROR('2.3'!G174/'2.1'!G185,"")</f>
        <v/>
      </c>
      <c r="H187" s="409" t="str">
        <f>IFERROR('2.3'!H174/'2.1'!H185,"")</f>
        <v/>
      </c>
      <c r="I187" s="409">
        <f>IFERROR('2.3'!I174/'2.1'!I185,"")</f>
        <v>0.89110225763612216</v>
      </c>
      <c r="J187" s="409">
        <f>IFERROR('2.3'!J174/'2.1'!J185,"")</f>
        <v>0.91902834008097167</v>
      </c>
      <c r="K187" s="409">
        <f>IFERROR('2.3'!K174/'2.1'!K185,"")</f>
        <v>0.89800000000000002</v>
      </c>
      <c r="L187" s="409">
        <f>IFERROR('2.3'!L174/'2.1'!L185,"")</f>
        <v>0.57975034674063797</v>
      </c>
      <c r="M187" s="409">
        <f>IFERROR('2.3'!M174/'2.1'!M185,"")</f>
        <v>0.8040201005025126</v>
      </c>
      <c r="N187" s="409">
        <f>IFERROR('2.3'!N174/'2.1'!N185,"")</f>
        <v>0.65951742627345844</v>
      </c>
      <c r="O187" s="409">
        <f>IFERROR('2.3'!O174/'2.1'!O185,"")</f>
        <v>0.87933934852423923</v>
      </c>
      <c r="P187" s="409">
        <f>IFERROR('2.3'!P174/'2.1'!P185,"")</f>
        <v>0.91586184318219022</v>
      </c>
      <c r="Q187" s="409">
        <f>IFERROR('2.3'!Q174/'2.1'!Q185,"")</f>
        <v>0.89697975964579379</v>
      </c>
      <c r="R187" s="409">
        <f>IFERROR('2.3'!R174/'2.1'!R185,"")</f>
        <v>0.90114068441064643</v>
      </c>
      <c r="S187" s="409">
        <f>IFERROR('2.3'!S174/'2.1'!S185,"")</f>
        <v>0.9242424242424242</v>
      </c>
      <c r="T187" s="409">
        <f>IFERROR('2.3'!T174/'2.1'!T185,"")</f>
        <v>0.91271347248576851</v>
      </c>
      <c r="U187" s="409">
        <f>IFERROR('2.3'!U174/'2.1'!X185,"")</f>
        <v>0.85801306899988927</v>
      </c>
      <c r="V187" s="409">
        <f>IFERROR('2.3'!V174/'2.1'!Y185,"")</f>
        <v>0.91025464556090852</v>
      </c>
      <c r="W187" s="409">
        <f>IFERROR('2.3'!W174/'2.1'!Z185,"")</f>
        <v>0.88130600220940225</v>
      </c>
    </row>
    <row r="188" spans="2:23" hidden="1" outlineLevel="1" x14ac:dyDescent="0.25">
      <c r="B188" s="404">
        <v>43922</v>
      </c>
      <c r="C188" s="409" t="str">
        <f>IFERROR('2.3'!C175/'2.1'!C186,"")</f>
        <v/>
      </c>
      <c r="D188" s="409" t="str">
        <f>IFERROR('2.3'!D175/'2.1'!D186,"")</f>
        <v/>
      </c>
      <c r="E188" s="409" t="str">
        <f>IFERROR('2.3'!E175/'2.1'!E186,"")</f>
        <v/>
      </c>
      <c r="F188" s="409" t="str">
        <f>IFERROR('2.3'!F175/'2.1'!F186,"")</f>
        <v/>
      </c>
      <c r="G188" s="409" t="str">
        <f>IFERROR('2.3'!G175/'2.1'!G186,"")</f>
        <v/>
      </c>
      <c r="H188" s="409" t="str">
        <f>IFERROR('2.3'!H175/'2.1'!H186,"")</f>
        <v/>
      </c>
      <c r="I188" s="409">
        <f>IFERROR('2.3'!I175/'2.1'!I186,"")</f>
        <v>0.93048659384309829</v>
      </c>
      <c r="J188" s="409">
        <f>IFERROR('2.3'!J175/'2.1'!J186,"")</f>
        <v>0.95013850415512469</v>
      </c>
      <c r="K188" s="409">
        <f>IFERROR('2.3'!K175/'2.1'!K186,"")</f>
        <v>0.93567251461988299</v>
      </c>
      <c r="L188" s="409">
        <f>IFERROR('2.3'!L175/'2.1'!L186,"")</f>
        <v>0.7363344051446945</v>
      </c>
      <c r="M188" s="409">
        <f>IFERROR('2.3'!M175/'2.1'!M186,"")</f>
        <v>0.93377483443708609</v>
      </c>
      <c r="N188" s="409">
        <f>IFERROR('2.3'!N175/'2.1'!N186,"")</f>
        <v>0.80086580086580084</v>
      </c>
      <c r="O188" s="409">
        <f>IFERROR('2.3'!O175/'2.1'!O186,"")</f>
        <v>0.91120943952802358</v>
      </c>
      <c r="P188" s="409">
        <f>IFERROR('2.3'!P175/'2.1'!P186,"")</f>
        <v>0.94047271666180332</v>
      </c>
      <c r="Q188" s="409">
        <f>IFERROR('2.3'!Q175/'2.1'!Q186,"")</f>
        <v>0.92592049288543343</v>
      </c>
      <c r="R188" s="409">
        <f>IFERROR('2.3'!R175/'2.1'!R186,"")</f>
        <v>0.9606986899563319</v>
      </c>
      <c r="S188" s="409">
        <f>IFERROR('2.3'!S175/'2.1'!S186,"")</f>
        <v>0.97285067873303166</v>
      </c>
      <c r="T188" s="409">
        <f>IFERROR('2.3'!T175/'2.1'!T186,"")</f>
        <v>0.96666666666666667</v>
      </c>
      <c r="U188" s="409">
        <f>IFERROR('2.3'!U175/'2.1'!X186,"")</f>
        <v>0.90642090338262105</v>
      </c>
      <c r="V188" s="409">
        <f>IFERROR('2.3'!V175/'2.1'!Y186,"")</f>
        <v>0.94278846153846152</v>
      </c>
      <c r="W188" s="409">
        <f>IFERROR('2.3'!W175/'2.1'!Z186,"")</f>
        <v>0.92305155545784323</v>
      </c>
    </row>
    <row r="189" spans="2:23" hidden="1" outlineLevel="1" x14ac:dyDescent="0.25">
      <c r="B189" s="404">
        <v>43952</v>
      </c>
      <c r="C189" s="409" t="str">
        <f>IFERROR('2.3'!C176/'2.1'!C187,"")</f>
        <v/>
      </c>
      <c r="D189" s="409" t="str">
        <f>IFERROR('2.3'!D176/'2.1'!D187,"")</f>
        <v/>
      </c>
      <c r="E189" s="409" t="str">
        <f>IFERROR('2.3'!E176/'2.1'!E187,"")</f>
        <v/>
      </c>
      <c r="F189" s="409" t="str">
        <f>IFERROR('2.3'!F176/'2.1'!F187,"")</f>
        <v/>
      </c>
      <c r="G189" s="409" t="str">
        <f>IFERROR('2.3'!G176/'2.1'!G187,"")</f>
        <v/>
      </c>
      <c r="H189" s="409" t="str">
        <f>IFERROR('2.3'!H176/'2.1'!H187,"")</f>
        <v/>
      </c>
      <c r="I189" s="409">
        <f>IFERROR('2.3'!I176/'2.1'!I187,"")</f>
        <v>0.90644753476611883</v>
      </c>
      <c r="J189" s="409">
        <f>IFERROR('2.3'!J176/'2.1'!J187,"")</f>
        <v>0.91596638655462181</v>
      </c>
      <c r="K189" s="409">
        <f>IFERROR('2.3'!K176/'2.1'!K187,"")</f>
        <v>0.90864917395529643</v>
      </c>
      <c r="L189" s="409">
        <f>IFERROR('2.3'!L176/'2.1'!L187,"")</f>
        <v>0.66724738675958184</v>
      </c>
      <c r="M189" s="409">
        <f>IFERROR('2.3'!M176/'2.1'!M187,"")</f>
        <v>0.81040892193308545</v>
      </c>
      <c r="N189" s="409">
        <f>IFERROR('2.3'!N176/'2.1'!N187,"")</f>
        <v>0.71293001186239624</v>
      </c>
      <c r="O189" s="409">
        <f>IFERROR('2.3'!O176/'2.1'!O187,"")</f>
        <v>0.91576138745950064</v>
      </c>
      <c r="P189" s="409">
        <f>IFERROR('2.3'!P176/'2.1'!P187,"")</f>
        <v>0.93388869195320812</v>
      </c>
      <c r="Q189" s="409">
        <f>IFERROR('2.3'!Q176/'2.1'!Q187,"")</f>
        <v>0.92515382496096976</v>
      </c>
      <c r="R189" s="409">
        <f>IFERROR('2.3'!R176/'2.1'!R187,"")</f>
        <v>0.94473684210526321</v>
      </c>
      <c r="S189" s="409">
        <f>IFERROR('2.3'!S176/'2.1'!S187,"")</f>
        <v>0.97928994082840237</v>
      </c>
      <c r="T189" s="409">
        <f>IFERROR('2.3'!T176/'2.1'!T187,"")</f>
        <v>0.96100278551532037</v>
      </c>
      <c r="U189" s="409">
        <f>IFERROR('2.3'!U176/'2.1'!X187,"")</f>
        <v>0.89695490170885261</v>
      </c>
      <c r="V189" s="409">
        <f>IFERROR('2.3'!V176/'2.1'!Y187,"")</f>
        <v>0.92996282527881036</v>
      </c>
      <c r="W189" s="409">
        <f>IFERROR('2.3'!W176/'2.1'!Z187,"")</f>
        <v>0.91225530741659777</v>
      </c>
    </row>
    <row r="190" spans="2:23" hidden="1" outlineLevel="1" x14ac:dyDescent="0.25">
      <c r="B190" s="404">
        <v>43983</v>
      </c>
      <c r="C190" s="409" t="str">
        <f>IFERROR('2.3'!C177/'2.1'!C188,"")</f>
        <v/>
      </c>
      <c r="D190" s="409" t="str">
        <f>IFERROR('2.3'!D177/'2.1'!D188,"")</f>
        <v/>
      </c>
      <c r="E190" s="409" t="str">
        <f>IFERROR('2.3'!E177/'2.1'!E188,"")</f>
        <v/>
      </c>
      <c r="F190" s="409" t="str">
        <f>IFERROR('2.3'!F177/'2.1'!F188,"")</f>
        <v/>
      </c>
      <c r="G190" s="409" t="str">
        <f>IFERROR('2.3'!G177/'2.1'!G188,"")</f>
        <v/>
      </c>
      <c r="H190" s="409" t="str">
        <f>IFERROR('2.3'!H177/'2.1'!H188,"")</f>
        <v/>
      </c>
      <c r="I190" s="409">
        <f>IFERROR('2.3'!I177/'2.1'!I188,"")</f>
        <v>0.90062111801242239</v>
      </c>
      <c r="J190" s="409">
        <f>IFERROR('2.3'!J177/'2.1'!J188,"")</f>
        <v>0.92340425531914894</v>
      </c>
      <c r="K190" s="409">
        <f>IFERROR('2.3'!K177/'2.1'!K188,"")</f>
        <v>0.90620114643043248</v>
      </c>
      <c r="L190" s="409">
        <f>IFERROR('2.3'!L177/'2.1'!L188,"")</f>
        <v>0.65407554671968193</v>
      </c>
      <c r="M190" s="409">
        <f>IFERROR('2.3'!M177/'2.1'!M188,"")</f>
        <v>0.81851851851851853</v>
      </c>
      <c r="N190" s="409">
        <f>IFERROR('2.3'!N177/'2.1'!N188,"")</f>
        <v>0.71151358344113846</v>
      </c>
      <c r="O190" s="409">
        <f>IFERROR('2.3'!O177/'2.1'!O188,"")</f>
        <v>0.88633540372670805</v>
      </c>
      <c r="P190" s="409">
        <f>IFERROR('2.3'!P177/'2.1'!P188,"")</f>
        <v>0.92328652274156364</v>
      </c>
      <c r="Q190" s="409">
        <f>IFERROR('2.3'!Q177/'2.1'!Q188,"")</f>
        <v>0.90469742735131753</v>
      </c>
      <c r="R190" s="409">
        <f>IFERROR('2.3'!R177/'2.1'!R188,"")</f>
        <v>0.9509803921568627</v>
      </c>
      <c r="S190" s="409">
        <f>IFERROR('2.3'!S177/'2.1'!S188,"")</f>
        <v>0.9546827794561934</v>
      </c>
      <c r="T190" s="409">
        <f>IFERROR('2.3'!T177/'2.1'!T188,"")</f>
        <v>0.95290423861852436</v>
      </c>
      <c r="U190" s="409">
        <f>IFERROR('2.3'!U177/'2.1'!X188,"")</f>
        <v>0.87556433408577883</v>
      </c>
      <c r="V190" s="409">
        <f>IFERROR('2.3'!V177/'2.1'!Y188,"")</f>
        <v>0.92023279698733307</v>
      </c>
      <c r="W190" s="409">
        <f>IFERROR('2.3'!W177/'2.1'!Z188,"")</f>
        <v>0.89574632637277651</v>
      </c>
    </row>
    <row r="191" spans="2:23" hidden="1" outlineLevel="1" x14ac:dyDescent="0.25">
      <c r="B191" s="404">
        <v>44013</v>
      </c>
      <c r="C191" s="409" t="str">
        <f>IFERROR('2.3'!C178/'2.1'!C189,"")</f>
        <v/>
      </c>
      <c r="D191" s="409" t="str">
        <f>IFERROR('2.3'!D178/'2.1'!D189,"")</f>
        <v/>
      </c>
      <c r="E191" s="409" t="str">
        <f>IFERROR('2.3'!E178/'2.1'!E189,"")</f>
        <v/>
      </c>
      <c r="F191" s="409" t="str">
        <f>IFERROR('2.3'!F178/'2.1'!F189,"")</f>
        <v/>
      </c>
      <c r="G191" s="409" t="str">
        <f>IFERROR('2.3'!G178/'2.1'!G189,"")</f>
        <v/>
      </c>
      <c r="H191" s="409" t="str">
        <f>IFERROR('2.3'!H178/'2.1'!H189,"")</f>
        <v/>
      </c>
      <c r="I191" s="409">
        <f>IFERROR('2.3'!I178/'2.1'!I189,"")</f>
        <v>0.89522918615528535</v>
      </c>
      <c r="J191" s="409">
        <f>IFERROR('2.3'!J178/'2.1'!J189,"")</f>
        <v>0.90412979351032452</v>
      </c>
      <c r="K191" s="409">
        <f>IFERROR('2.3'!K178/'2.1'!K189,"")</f>
        <v>0.89737215909090906</v>
      </c>
      <c r="L191" s="409">
        <f>IFERROR('2.3'!L178/'2.1'!L189,"")</f>
        <v>0.61264181523500816</v>
      </c>
      <c r="M191" s="409">
        <f>IFERROR('2.3'!M178/'2.1'!M189,"")</f>
        <v>0.84161490683229812</v>
      </c>
      <c r="N191" s="409">
        <f>IFERROR('2.3'!N178/'2.1'!N189,"")</f>
        <v>0.69116080937167201</v>
      </c>
      <c r="O191" s="409">
        <f>IFERROR('2.3'!O178/'2.1'!O189,"")</f>
        <v>0.88426966292134834</v>
      </c>
      <c r="P191" s="409">
        <f>IFERROR('2.3'!P178/'2.1'!P189,"")</f>
        <v>0.91859567901234573</v>
      </c>
      <c r="Q191" s="409">
        <f>IFERROR('2.3'!Q178/'2.1'!Q189,"")</f>
        <v>0.89985982127212194</v>
      </c>
      <c r="R191" s="409">
        <f>IFERROR('2.3'!R178/'2.1'!R189,"")</f>
        <v>0.91967871485943775</v>
      </c>
      <c r="S191" s="409">
        <f>IFERROR('2.3'!S178/'2.1'!S189,"")</f>
        <v>0.9537366548042705</v>
      </c>
      <c r="T191" s="409">
        <f>IFERROR('2.3'!T178/'2.1'!T189,"")</f>
        <v>0.93773584905660379</v>
      </c>
      <c r="U191" s="409">
        <f>IFERROR('2.3'!U178/'2.1'!X189,"")</f>
        <v>0.86961230236084042</v>
      </c>
      <c r="V191" s="409">
        <f>IFERROR('2.3'!V178/'2.1'!Y189,"")</f>
        <v>0.91477184841453985</v>
      </c>
      <c r="W191" s="409">
        <f>IFERROR('2.3'!W178/'2.1'!Z189,"")</f>
        <v>0.88820944009172553</v>
      </c>
    </row>
    <row r="192" spans="2:23" hidden="1" outlineLevel="1" x14ac:dyDescent="0.25">
      <c r="B192" s="404">
        <v>44044</v>
      </c>
      <c r="C192" s="409" t="str">
        <f>IFERROR('2.3'!C179/'2.1'!C190,"")</f>
        <v/>
      </c>
      <c r="D192" s="409" t="str">
        <f>IFERROR('2.3'!D179/'2.1'!D190,"")</f>
        <v/>
      </c>
      <c r="E192" s="409" t="str">
        <f>IFERROR('2.3'!E179/'2.1'!E190,"")</f>
        <v/>
      </c>
      <c r="F192" s="409" t="str">
        <f>IFERROR('2.3'!F179/'2.1'!F190,"")</f>
        <v/>
      </c>
      <c r="G192" s="409" t="str">
        <f>IFERROR('2.3'!G179/'2.1'!G190,"")</f>
        <v/>
      </c>
      <c r="H192" s="409" t="str">
        <f>IFERROR('2.3'!H179/'2.1'!H190,"")</f>
        <v/>
      </c>
      <c r="I192" s="409">
        <f>IFERROR('2.3'!I179/'2.1'!I190,"")</f>
        <v>0.8685883849088597</v>
      </c>
      <c r="J192" s="409">
        <f>IFERROR('2.3'!J179/'2.1'!J190,"")</f>
        <v>0.93635077793493637</v>
      </c>
      <c r="K192" s="409">
        <f>IFERROR('2.3'!K179/'2.1'!K190,"")</f>
        <v>0.88421395955642534</v>
      </c>
      <c r="L192" s="409">
        <f>IFERROR('2.3'!L179/'2.1'!L190,"")</f>
        <v>0.60462130937098846</v>
      </c>
      <c r="M192" s="409">
        <f>IFERROR('2.3'!M179/'2.1'!M190,"")</f>
        <v>0.79601990049751248</v>
      </c>
      <c r="N192" s="409">
        <f>IFERROR('2.3'!N179/'2.1'!N190,"")</f>
        <v>0.66977138018628279</v>
      </c>
      <c r="O192" s="409">
        <f>IFERROR('2.3'!O179/'2.1'!O190,"")</f>
        <v>0.86022982762927802</v>
      </c>
      <c r="P192" s="409">
        <f>IFERROR('2.3'!P179/'2.1'!P190,"")</f>
        <v>0.91202000882742384</v>
      </c>
      <c r="Q192" s="409">
        <f>IFERROR('2.3'!Q179/'2.1'!Q190,"")</f>
        <v>0.88400999797338375</v>
      </c>
      <c r="R192" s="409">
        <f>IFERROR('2.3'!R179/'2.1'!R190,"")</f>
        <v>0.92333333333333334</v>
      </c>
      <c r="S192" s="409">
        <f>IFERROR('2.3'!S179/'2.1'!S190,"")</f>
        <v>0.96636085626911317</v>
      </c>
      <c r="T192" s="409">
        <f>IFERROR('2.3'!T179/'2.1'!T190,"")</f>
        <v>0.94577352472089316</v>
      </c>
      <c r="U192" s="409">
        <f>IFERROR('2.3'!U179/'2.1'!X190,"")</f>
        <v>0.84620761971338698</v>
      </c>
      <c r="V192" s="409">
        <f>IFERROR('2.3'!V179/'2.1'!Y190,"")</f>
        <v>0.91060366816470306</v>
      </c>
      <c r="W192" s="409">
        <f>IFERROR('2.3'!W179/'2.1'!Z190,"")</f>
        <v>0.87315139502973016</v>
      </c>
    </row>
    <row r="193" spans="2:23" hidden="1" outlineLevel="1" x14ac:dyDescent="0.25">
      <c r="B193" s="404">
        <v>44075</v>
      </c>
      <c r="C193" s="409" t="str">
        <f>IFERROR('2.3'!C180/'2.1'!C191,"")</f>
        <v/>
      </c>
      <c r="D193" s="409" t="str">
        <f>IFERROR('2.3'!D180/'2.1'!D191,"")</f>
        <v/>
      </c>
      <c r="E193" s="409" t="str">
        <f>IFERROR('2.3'!E180/'2.1'!E191,"")</f>
        <v/>
      </c>
      <c r="F193" s="409" t="str">
        <f>IFERROR('2.3'!F180/'2.1'!F191,"")</f>
        <v/>
      </c>
      <c r="G193" s="409" t="str">
        <f>IFERROR('2.3'!G180/'2.1'!G191,"")</f>
        <v/>
      </c>
      <c r="H193" s="409" t="str">
        <f>IFERROR('2.3'!H180/'2.1'!H191,"")</f>
        <v/>
      </c>
      <c r="I193" s="409">
        <f>IFERROR('2.3'!I180/'2.1'!I191,"")</f>
        <v>0.8732572877059569</v>
      </c>
      <c r="J193" s="409">
        <f>IFERROR('2.3'!J180/'2.1'!J191,"")</f>
        <v>0.91744548286604366</v>
      </c>
      <c r="K193" s="409">
        <f>IFERROR('2.3'!K180/'2.1'!K191,"")</f>
        <v>0.88268527750083081</v>
      </c>
      <c r="L193" s="409">
        <f>IFERROR('2.3'!L180/'2.1'!L191,"")</f>
        <v>0.55654101995565408</v>
      </c>
      <c r="M193" s="409">
        <f>IFERROR('2.3'!M180/'2.1'!M191,"")</f>
        <v>0.7961538461538461</v>
      </c>
      <c r="N193" s="409">
        <f>IFERROR('2.3'!N180/'2.1'!N191,"")</f>
        <v>0.64416315049226447</v>
      </c>
      <c r="O193" s="409">
        <f>IFERROR('2.3'!O180/'2.1'!O191,"")</f>
        <v>0.8748629218959425</v>
      </c>
      <c r="P193" s="409">
        <f>IFERROR('2.3'!P180/'2.1'!P191,"")</f>
        <v>0.91508217853689977</v>
      </c>
      <c r="Q193" s="409">
        <f>IFERROR('2.3'!Q180/'2.1'!Q191,"")</f>
        <v>0.89218067022826619</v>
      </c>
      <c r="R193" s="409">
        <f>IFERROR('2.3'!R180/'2.1'!R191,"")</f>
        <v>0.91616766467065869</v>
      </c>
      <c r="S193" s="409">
        <f>IFERROR('2.3'!S180/'2.1'!S191,"")</f>
        <v>0.914572864321608</v>
      </c>
      <c r="T193" s="409">
        <f>IFERROR('2.3'!T180/'2.1'!T191,"")</f>
        <v>0.91530054644808745</v>
      </c>
      <c r="U193" s="409">
        <f>IFERROR('2.3'!U180/'2.1'!X191,"")</f>
        <v>0.85139712108382726</v>
      </c>
      <c r="V193" s="409">
        <f>IFERROR('2.3'!V180/'2.1'!Y191,"")</f>
        <v>0.90728817924285343</v>
      </c>
      <c r="W193" s="409">
        <f>IFERROR('2.3'!W180/'2.1'!Z191,"")</f>
        <v>0.87356967715570089</v>
      </c>
    </row>
    <row r="194" spans="2:23" hidden="1" outlineLevel="1" x14ac:dyDescent="0.25">
      <c r="B194" s="404">
        <v>44105</v>
      </c>
      <c r="C194" s="409" t="str">
        <f>IFERROR('2.3'!C181/'2.1'!C192,"")</f>
        <v/>
      </c>
      <c r="D194" s="409" t="str">
        <f>IFERROR('2.3'!D181/'2.1'!D192,"")</f>
        <v/>
      </c>
      <c r="E194" s="409" t="str">
        <f>IFERROR('2.3'!E181/'2.1'!E192,"")</f>
        <v/>
      </c>
      <c r="F194" s="409" t="str">
        <f>IFERROR('2.3'!F181/'2.1'!F192,"")</f>
        <v/>
      </c>
      <c r="G194" s="409" t="str">
        <f>IFERROR('2.3'!G181/'2.1'!G192,"")</f>
        <v/>
      </c>
      <c r="H194" s="409" t="str">
        <f>IFERROR('2.3'!H181/'2.1'!H192,"")</f>
        <v/>
      </c>
      <c r="I194" s="409">
        <f>IFERROR('2.3'!I181/'2.1'!I192,"")</f>
        <v>0.86905246034973571</v>
      </c>
      <c r="J194" s="409">
        <f>IFERROR('2.3'!J181/'2.1'!J192,"")</f>
        <v>0.9196891191709845</v>
      </c>
      <c r="K194" s="409">
        <f>IFERROR('2.3'!K181/'2.1'!K192,"")</f>
        <v>0.88115134633240488</v>
      </c>
      <c r="L194" s="409">
        <f>IFERROR('2.3'!L181/'2.1'!L192,"")</f>
        <v>0.54634146341463419</v>
      </c>
      <c r="M194" s="409">
        <f>IFERROR('2.3'!M181/'2.1'!M192,"")</f>
        <v>0.81755593803786575</v>
      </c>
      <c r="N194" s="409">
        <f>IFERROR('2.3'!N181/'2.1'!N192,"")</f>
        <v>0.63335173937051348</v>
      </c>
      <c r="O194" s="409">
        <f>IFERROR('2.3'!O181/'2.1'!O192,"")</f>
        <v>0.88831110106262723</v>
      </c>
      <c r="P194" s="409">
        <f>IFERROR('2.3'!P181/'2.1'!P192,"")</f>
        <v>0.92964824120603018</v>
      </c>
      <c r="Q194" s="409">
        <f>IFERROR('2.3'!Q181/'2.1'!Q192,"")</f>
        <v>0.9059235710114838</v>
      </c>
      <c r="R194" s="409">
        <f>IFERROR('2.3'!R181/'2.1'!R192,"")</f>
        <v>0.8794520547945206</v>
      </c>
      <c r="S194" s="409">
        <f>IFERROR('2.3'!S181/'2.1'!S192,"")</f>
        <v>0.9382978723404255</v>
      </c>
      <c r="T194" s="409">
        <f>IFERROR('2.3'!T181/'2.1'!T192,"")</f>
        <v>0.91257485029940122</v>
      </c>
      <c r="U194" s="409">
        <f>IFERROR('2.3'!U181/'2.1'!X192,"")</f>
        <v>0.85178294573643409</v>
      </c>
      <c r="V194" s="409">
        <f>IFERROR('2.3'!V181/'2.1'!Y192,"")</f>
        <v>0.92145411203814065</v>
      </c>
      <c r="W194" s="409">
        <f>IFERROR('2.3'!W181/'2.1'!Z192,"")</f>
        <v>0.87923907937999057</v>
      </c>
    </row>
    <row r="195" spans="2:23" hidden="1" outlineLevel="1" x14ac:dyDescent="0.25">
      <c r="B195" s="404">
        <v>44136</v>
      </c>
      <c r="C195" s="409" t="str">
        <f>IFERROR('2.3'!C182/'2.1'!C193,"")</f>
        <v/>
      </c>
      <c r="D195" s="409" t="str">
        <f>IFERROR('2.3'!D182/'2.1'!D193,"")</f>
        <v/>
      </c>
      <c r="E195" s="409" t="str">
        <f>IFERROR('2.3'!E182/'2.1'!E193,"")</f>
        <v/>
      </c>
      <c r="F195" s="409" t="str">
        <f>IFERROR('2.3'!F182/'2.1'!F193,"")</f>
        <v/>
      </c>
      <c r="G195" s="409" t="str">
        <f>IFERROR('2.3'!G182/'2.1'!G193,"")</f>
        <v/>
      </c>
      <c r="H195" s="409" t="str">
        <f>IFERROR('2.3'!H182/'2.1'!H193,"")</f>
        <v/>
      </c>
      <c r="I195" s="409">
        <f>IFERROR('2.3'!I182/'2.1'!I193,"")</f>
        <v>0.86642100414555501</v>
      </c>
      <c r="J195" s="409">
        <f>IFERROR('2.3'!J182/'2.1'!J193,"")</f>
        <v>0.9433139534883721</v>
      </c>
      <c r="K195" s="409">
        <f>IFERROR('2.3'!K182/'2.1'!K193,"")</f>
        <v>0.8849247988807275</v>
      </c>
      <c r="L195" s="409">
        <f>IFERROR('2.3'!L182/'2.1'!L193,"")</f>
        <v>0.51621872103799815</v>
      </c>
      <c r="M195" s="409">
        <f>IFERROR('2.3'!M182/'2.1'!M193,"")</f>
        <v>0.78202676864244747</v>
      </c>
      <c r="N195" s="409">
        <f>IFERROR('2.3'!N182/'2.1'!N193,"")</f>
        <v>0.60299625468164797</v>
      </c>
      <c r="O195" s="409">
        <f>IFERROR('2.3'!O182/'2.1'!O193,"")</f>
        <v>0.87834427057041897</v>
      </c>
      <c r="P195" s="409">
        <f>IFERROR('2.3'!P182/'2.1'!P193,"")</f>
        <v>0.92705066842713324</v>
      </c>
      <c r="Q195" s="409">
        <f>IFERROR('2.3'!Q182/'2.1'!Q193,"")</f>
        <v>0.89944933133090177</v>
      </c>
      <c r="R195" s="409">
        <f>IFERROR('2.3'!R182/'2.1'!R193,"")</f>
        <v>0.83623693379790942</v>
      </c>
      <c r="S195" s="409">
        <f>IFERROR('2.3'!S182/'2.1'!S193,"")</f>
        <v>0.9088050314465409</v>
      </c>
      <c r="T195" s="409">
        <f>IFERROR('2.3'!T182/'2.1'!T193,"")</f>
        <v>0.87438016528925622</v>
      </c>
      <c r="U195" s="409">
        <f>IFERROR('2.3'!U182/'2.1'!X193,"")</f>
        <v>0.84093883605270048</v>
      </c>
      <c r="V195" s="409">
        <f>IFERROR('2.3'!V182/'2.1'!Y193,"")</f>
        <v>0.91776489193463362</v>
      </c>
      <c r="W195" s="409">
        <f>IFERROR('2.3'!W182/'2.1'!Z193,"")</f>
        <v>0.87154181321854163</v>
      </c>
    </row>
    <row r="196" spans="2:23" hidden="1" outlineLevel="1" x14ac:dyDescent="0.25">
      <c r="B196" s="404">
        <v>44166</v>
      </c>
      <c r="C196" s="409" t="str">
        <f>IFERROR('2.3'!C183/'2.1'!C194,"")</f>
        <v/>
      </c>
      <c r="D196" s="409" t="str">
        <f>IFERROR('2.3'!D183/'2.1'!D194,"")</f>
        <v/>
      </c>
      <c r="E196" s="409" t="str">
        <f>IFERROR('2.3'!E183/'2.1'!E194,"")</f>
        <v/>
      </c>
      <c r="F196" s="409" t="str">
        <f>IFERROR('2.3'!F183/'2.1'!F194,"")</f>
        <v/>
      </c>
      <c r="G196" s="409" t="str">
        <f>IFERROR('2.3'!G183/'2.1'!G194,"")</f>
        <v/>
      </c>
      <c r="H196" s="409" t="str">
        <f>IFERROR('2.3'!H183/'2.1'!H194,"")</f>
        <v/>
      </c>
      <c r="I196" s="409">
        <f>IFERROR('2.3'!I183/'2.1'!I194,"")</f>
        <v>0.86232239098481134</v>
      </c>
      <c r="J196" s="409">
        <f>IFERROR('2.3'!J183/'2.1'!J194,"")</f>
        <v>0.91095890410958902</v>
      </c>
      <c r="K196" s="409">
        <f>IFERROR('2.3'!K183/'2.1'!K194,"")</f>
        <v>0.87314285714285711</v>
      </c>
      <c r="L196" s="409">
        <f>IFERROR('2.3'!L183/'2.1'!L194,"")</f>
        <v>0.51603498542274051</v>
      </c>
      <c r="M196" s="409">
        <f>IFERROR('2.3'!M183/'2.1'!M194,"")</f>
        <v>0.80388349514563107</v>
      </c>
      <c r="N196" s="409">
        <f>IFERROR('2.3'!N183/'2.1'!N194,"")</f>
        <v>0.61204663212435229</v>
      </c>
      <c r="O196" s="409">
        <f>IFERROR('2.3'!O183/'2.1'!O194,"")</f>
        <v>0.86543990799309944</v>
      </c>
      <c r="P196" s="409">
        <f>IFERROR('2.3'!P183/'2.1'!P194,"")</f>
        <v>0.91347872720772261</v>
      </c>
      <c r="Q196" s="409">
        <f>IFERROR('2.3'!Q183/'2.1'!Q194,"")</f>
        <v>0.88685258964143421</v>
      </c>
      <c r="R196" s="409">
        <f>IFERROR('2.3'!R183/'2.1'!R194,"")</f>
        <v>0.87179487179487181</v>
      </c>
      <c r="S196" s="409">
        <f>IFERROR('2.3'!S183/'2.1'!S194,"")</f>
        <v>0.9066147859922179</v>
      </c>
      <c r="T196" s="409">
        <f>IFERROR('2.3'!T183/'2.1'!T194,"")</f>
        <v>0.89002036659877803</v>
      </c>
      <c r="U196" s="409">
        <f>IFERROR('2.3'!U183/'2.1'!X194,"")</f>
        <v>0.82992202729044839</v>
      </c>
      <c r="V196" s="409">
        <f>IFERROR('2.3'!V183/'2.1'!Y194,"")</f>
        <v>0.90489208633093521</v>
      </c>
      <c r="W196" s="409">
        <f>IFERROR('2.3'!W183/'2.1'!Z194,"")</f>
        <v>0.86019755955839627</v>
      </c>
    </row>
    <row r="197" spans="2:23" collapsed="1" x14ac:dyDescent="0.25">
      <c r="B197" s="407" t="s">
        <v>761</v>
      </c>
      <c r="C197" s="410" t="str">
        <f>IFERROR('2.3'!C184/'2.1'!C195,"")</f>
        <v/>
      </c>
      <c r="D197" s="410" t="str">
        <f>IFERROR('2.3'!D184/'2.1'!D195,"")</f>
        <v/>
      </c>
      <c r="E197" s="410" t="str">
        <f>IFERROR('2.3'!E184/'2.1'!E195,"")</f>
        <v/>
      </c>
      <c r="F197" s="410" t="str">
        <f>IFERROR('2.3'!F184/'2.1'!F195,"")</f>
        <v/>
      </c>
      <c r="G197" s="410" t="str">
        <f>IFERROR('2.3'!G184/'2.1'!G195,"")</f>
        <v/>
      </c>
      <c r="H197" s="410" t="str">
        <f>IFERROR('2.3'!H184/'2.1'!H195,"")</f>
        <v/>
      </c>
      <c r="I197" s="410">
        <f>IFERROR('2.3'!I184/'2.1'!I195,"")</f>
        <v>0.87962962962962965</v>
      </c>
      <c r="J197" s="410">
        <f>IFERROR('2.3'!J184/'2.1'!J195,"")</f>
        <v>0.92281879194630867</v>
      </c>
      <c r="K197" s="410">
        <f>IFERROR('2.3'!K184/'2.1'!K195,"")</f>
        <v>0.89015748031496067</v>
      </c>
      <c r="L197" s="410">
        <f>IFERROR('2.3'!L184/'2.1'!L195,"")</f>
        <v>0.57553956834532372</v>
      </c>
      <c r="M197" s="410">
        <f>IFERROR('2.3'!M184/'2.1'!M195,"")</f>
        <v>0.80575539568345322</v>
      </c>
      <c r="N197" s="410">
        <f>IFERROR('2.3'!N184/'2.1'!N195,"")</f>
        <v>0.65227817745803363</v>
      </c>
      <c r="O197" s="410">
        <f>IFERROR('2.3'!O184/'2.1'!O195,"")</f>
        <v>0.87521826729348551</v>
      </c>
      <c r="P197" s="410">
        <f>IFERROR('2.3'!P184/'2.1'!P195,"")</f>
        <v>0.92465434208482211</v>
      </c>
      <c r="Q197" s="410">
        <f>IFERROR('2.3'!Q184/'2.1'!Q195,"")</f>
        <v>0.89814147817317391</v>
      </c>
      <c r="R197" s="410">
        <f>IFERROR('2.3'!R184/'2.1'!R195,"")</f>
        <v>0.90645161290322585</v>
      </c>
      <c r="S197" s="410">
        <f>IFERROR('2.3'!S184/'2.1'!S195,"")</f>
        <v>0.94029850746268662</v>
      </c>
      <c r="T197" s="410">
        <f>IFERROR('2.3'!T184/'2.1'!T195,"")</f>
        <v>0.92403100775193803</v>
      </c>
      <c r="U197" s="410">
        <f>IFERROR('2.3'!U184/'2.1'!X195,"")</f>
        <v>0.85330421572350934</v>
      </c>
      <c r="V197" s="410">
        <f>IFERROR('2.3'!V184/'2.1'!Y195,"")</f>
        <v>0.9188286668379142</v>
      </c>
      <c r="W197" s="410">
        <f>IFERROR('2.3'!W184/'2.1'!Z195,"")</f>
        <v>0.88120325380793796</v>
      </c>
    </row>
    <row r="198" spans="2:23" outlineLevel="1" x14ac:dyDescent="0.25">
      <c r="B198" s="404">
        <v>44197</v>
      </c>
      <c r="C198" s="409" t="str">
        <f>IFERROR('2.3'!C185/'2.1'!C196,"")</f>
        <v/>
      </c>
      <c r="D198" s="409" t="str">
        <f>IFERROR('2.3'!D185/'2.1'!D196,"")</f>
        <v/>
      </c>
      <c r="E198" s="409" t="str">
        <f>IFERROR('2.3'!E185/'2.1'!E196,"")</f>
        <v/>
      </c>
      <c r="F198" s="409" t="str">
        <f>IFERROR('2.3'!F185/'2.1'!F196,"")</f>
        <v/>
      </c>
      <c r="G198" s="409" t="str">
        <f>IFERROR('2.3'!G185/'2.1'!G196,"")</f>
        <v/>
      </c>
      <c r="H198" s="409" t="str">
        <f>IFERROR('2.3'!H185/'2.1'!H196,"")</f>
        <v/>
      </c>
      <c r="I198" s="409">
        <f>IFERROR('2.3'!I185/'2.1'!I196,"")</f>
        <v>0.848019801980198</v>
      </c>
      <c r="J198" s="409">
        <f>IFERROR('2.3'!J185/'2.1'!J196,"")</f>
        <v>0.93046357615894038</v>
      </c>
      <c r="K198" s="409">
        <f>IFERROR('2.3'!K185/'2.1'!K196,"")</f>
        <v>0.86699695121951215</v>
      </c>
      <c r="L198" s="409">
        <f>IFERROR('2.3'!L185/'2.1'!L196,"")</f>
        <v>0.57718696397941682</v>
      </c>
      <c r="M198" s="409">
        <f>IFERROR('2.3'!M185/'2.1'!M196,"")</f>
        <v>0.84027777777777779</v>
      </c>
      <c r="N198" s="409">
        <f>IFERROR('2.3'!N185/'2.1'!N196,"")</f>
        <v>0.67762460233297983</v>
      </c>
      <c r="O198" s="409">
        <f>IFERROR('2.3'!O185/'2.1'!O196,"")</f>
        <v>0.87501701837985024</v>
      </c>
      <c r="P198" s="409">
        <f>IFERROR('2.3'!P185/'2.1'!P196,"")</f>
        <v>0.92301943198804182</v>
      </c>
      <c r="Q198" s="409">
        <f>IFERROR('2.3'!Q185/'2.1'!Q196,"")</f>
        <v>0.89525084665669052</v>
      </c>
      <c r="R198" s="409">
        <f>IFERROR('2.3'!R185/'2.1'!R196,"")</f>
        <v>0.86915887850467288</v>
      </c>
      <c r="S198" s="409">
        <f>IFERROR('2.3'!S185/'2.1'!S196,"")</f>
        <v>0.95357833655705992</v>
      </c>
      <c r="T198" s="409">
        <f>IFERROR('2.3'!T185/'2.1'!T196,"")</f>
        <v>0.91534391534391535</v>
      </c>
      <c r="U198" s="409">
        <f>IFERROR('2.3'!U185/'2.1'!X196,"")</f>
        <v>0.83812391641573136</v>
      </c>
      <c r="V198" s="409">
        <f>IFERROR('2.3'!V185/'2.1'!Y196,"")</f>
        <v>0.91755873766161544</v>
      </c>
      <c r="W198" s="409">
        <f>IFERROR('2.3'!W185/'2.1'!Z196,"")</f>
        <v>0.86960114587924198</v>
      </c>
    </row>
    <row r="199" spans="2:23" outlineLevel="1" x14ac:dyDescent="0.25">
      <c r="B199" s="404">
        <v>44228</v>
      </c>
      <c r="C199" s="409" t="str">
        <f>IFERROR('2.3'!C186/'2.1'!C197,"")</f>
        <v/>
      </c>
      <c r="D199" s="409" t="str">
        <f>IFERROR('2.3'!D186/'2.1'!D197,"")</f>
        <v/>
      </c>
      <c r="E199" s="409" t="str">
        <f>IFERROR('2.3'!E186/'2.1'!E197,"")</f>
        <v/>
      </c>
      <c r="F199" s="409" t="str">
        <f>IFERROR('2.3'!F186/'2.1'!F197,"")</f>
        <v/>
      </c>
      <c r="G199" s="409" t="str">
        <f>IFERROR('2.3'!G186/'2.1'!G197,"")</f>
        <v/>
      </c>
      <c r="H199" s="409" t="str">
        <f>IFERROR('2.3'!H186/'2.1'!H197,"")</f>
        <v/>
      </c>
      <c r="I199" s="409">
        <f>IFERROR('2.3'!I186/'2.1'!I197,"")</f>
        <v>0.83860414394765537</v>
      </c>
      <c r="J199" s="409">
        <f>IFERROR('2.3'!J186/'2.1'!J197,"")</f>
        <v>0.91714836223506746</v>
      </c>
      <c r="K199" s="409">
        <f>IFERROR('2.3'!K186/'2.1'!K197,"")</f>
        <v>0.85592860178495533</v>
      </c>
      <c r="L199" s="409">
        <f>IFERROR('2.3'!L186/'2.1'!L197,"")</f>
        <v>0.55856727976766696</v>
      </c>
      <c r="M199" s="409">
        <f>IFERROR('2.3'!M186/'2.1'!M197,"")</f>
        <v>0.84146341463414631</v>
      </c>
      <c r="N199" s="409">
        <f>IFERROR('2.3'!N186/'2.1'!N197,"")</f>
        <v>0.65961418792781579</v>
      </c>
      <c r="O199" s="409">
        <f>IFERROR('2.3'!O186/'2.1'!O197,"")</f>
        <v>0.86807580174927113</v>
      </c>
      <c r="P199" s="409">
        <f>IFERROR('2.3'!P186/'2.1'!P197,"")</f>
        <v>0.9184284377923293</v>
      </c>
      <c r="Q199" s="409">
        <f>IFERROR('2.3'!Q186/'2.1'!Q197,"")</f>
        <v>0.89012699713232279</v>
      </c>
      <c r="R199" s="409">
        <f>IFERROR('2.3'!R186/'2.1'!R197,"")</f>
        <v>0.87810945273631846</v>
      </c>
      <c r="S199" s="409">
        <f>IFERROR('2.3'!S186/'2.1'!S197,"")</f>
        <v>0.95652173913043481</v>
      </c>
      <c r="T199" s="409">
        <f>IFERROR('2.3'!T186/'2.1'!T197,"")</f>
        <v>0.91995359628770301</v>
      </c>
      <c r="U199" s="409">
        <f>IFERROR('2.3'!U186/'2.1'!X197,"")</f>
        <v>0.83157271201500638</v>
      </c>
      <c r="V199" s="409">
        <f>IFERROR('2.3'!V186/'2.1'!Y197,"")</f>
        <v>0.91446796172803713</v>
      </c>
      <c r="W199" s="409">
        <f>IFERROR('2.3'!W186/'2.1'!Z197,"")</f>
        <v>0.86515534151641516</v>
      </c>
    </row>
    <row r="200" spans="2:23" outlineLevel="1" x14ac:dyDescent="0.25">
      <c r="B200" s="404">
        <v>44256</v>
      </c>
      <c r="C200" s="409" t="str">
        <f>IFERROR('2.3'!C187/'2.1'!C198,"")</f>
        <v/>
      </c>
      <c r="D200" s="409" t="str">
        <f>IFERROR('2.3'!D187/'2.1'!D198,"")</f>
        <v/>
      </c>
      <c r="E200" s="409" t="str">
        <f>IFERROR('2.3'!E187/'2.1'!E198,"")</f>
        <v/>
      </c>
      <c r="F200" s="409" t="str">
        <f>IFERROR('2.3'!F187/'2.1'!F198,"")</f>
        <v/>
      </c>
      <c r="G200" s="409" t="str">
        <f>IFERROR('2.3'!G187/'2.1'!G198,"")</f>
        <v/>
      </c>
      <c r="H200" s="409" t="str">
        <f>IFERROR('2.3'!H187/'2.1'!H198,"")</f>
        <v/>
      </c>
      <c r="I200" s="409">
        <f>IFERROR('2.3'!I187/'2.1'!I198,"")</f>
        <v>0.85943775100401609</v>
      </c>
      <c r="J200" s="409">
        <f>IFERROR('2.3'!J187/'2.1'!J198,"")</f>
        <v>0.90524781341107874</v>
      </c>
      <c r="K200" s="409">
        <f>IFERROR('2.3'!K187/'2.1'!K198,"")</f>
        <v>0.87117251680358476</v>
      </c>
      <c r="L200" s="409">
        <f>IFERROR('2.3'!L187/'2.1'!L198,"")</f>
        <v>0.52231793265465931</v>
      </c>
      <c r="M200" s="409">
        <f>IFERROR('2.3'!M187/'2.1'!M198,"")</f>
        <v>0.78899082568807344</v>
      </c>
      <c r="N200" s="409">
        <f>IFERROR('2.3'!N187/'2.1'!N198,"")</f>
        <v>0.61263593992749865</v>
      </c>
      <c r="O200" s="409">
        <f>IFERROR('2.3'!O187/'2.1'!O198,"")</f>
        <v>0.86121887123013385</v>
      </c>
      <c r="P200" s="409">
        <f>IFERROR('2.3'!P187/'2.1'!P198,"")</f>
        <v>0.91397849462365588</v>
      </c>
      <c r="Q200" s="409">
        <f>IFERROR('2.3'!Q187/'2.1'!Q198,"")</f>
        <v>0.88508976291626695</v>
      </c>
      <c r="R200" s="409">
        <f>IFERROR('2.3'!R187/'2.1'!R198,"")</f>
        <v>0.96680497925311204</v>
      </c>
      <c r="S200" s="409">
        <f>IFERROR('2.3'!S187/'2.1'!S198,"")</f>
        <v>0.97931034482758617</v>
      </c>
      <c r="T200" s="409">
        <f>IFERROR('2.3'!T187/'2.1'!T198,"")</f>
        <v>0.97392857142857148</v>
      </c>
      <c r="U200" s="409">
        <f>IFERROR('2.3'!U187/'2.1'!X198,"")</f>
        <v>0.83642198154833536</v>
      </c>
      <c r="V200" s="409">
        <f>IFERROR('2.3'!V187/'2.1'!Y198,"")</f>
        <v>0.91570559865799961</v>
      </c>
      <c r="W200" s="409">
        <f>IFERROR('2.3'!W187/'2.1'!Z198,"")</f>
        <v>0.87079034677089484</v>
      </c>
    </row>
    <row r="201" spans="2:23" outlineLevel="1" x14ac:dyDescent="0.25">
      <c r="B201" s="404">
        <v>44287</v>
      </c>
      <c r="C201" s="409" t="str">
        <f>IFERROR('2.3'!C188/'2.1'!C199,"")</f>
        <v/>
      </c>
      <c r="D201" s="409" t="str">
        <f>IFERROR('2.3'!D188/'2.1'!D199,"")</f>
        <v/>
      </c>
      <c r="E201" s="409" t="str">
        <f>IFERROR('2.3'!E188/'2.1'!E199,"")</f>
        <v/>
      </c>
      <c r="F201" s="409" t="str">
        <f>IFERROR('2.3'!F188/'2.1'!F199,"")</f>
        <v/>
      </c>
      <c r="G201" s="409" t="str">
        <f>IFERROR('2.3'!G188/'2.1'!G199,"")</f>
        <v/>
      </c>
      <c r="H201" s="409" t="str">
        <f>IFERROR('2.3'!H188/'2.1'!H199,"")</f>
        <v/>
      </c>
      <c r="I201" s="409">
        <f>IFERROR('2.3'!I188/'2.1'!I199,"")</f>
        <v>0.82912793271359009</v>
      </c>
      <c r="J201" s="409">
        <f>IFERROR('2.3'!J188/'2.1'!J199,"")</f>
        <v>0.92074927953890495</v>
      </c>
      <c r="K201" s="409">
        <f>IFERROR('2.3'!K188/'2.1'!K199,"")</f>
        <v>0.85066034541144597</v>
      </c>
      <c r="L201" s="409">
        <f>IFERROR('2.3'!L188/'2.1'!L199,"")</f>
        <v>0.49686847599164929</v>
      </c>
      <c r="M201" s="409">
        <f>IFERROR('2.3'!M188/'2.1'!M199,"")</f>
        <v>0.73913043478260865</v>
      </c>
      <c r="N201" s="409">
        <f>IFERROR('2.3'!N188/'2.1'!N199,"")</f>
        <v>0.57545839210155147</v>
      </c>
      <c r="O201" s="409">
        <f>IFERROR('2.3'!O188/'2.1'!O199,"")</f>
        <v>0.84463130659767138</v>
      </c>
      <c r="P201" s="409">
        <f>IFERROR('2.3'!P188/'2.1'!P199,"")</f>
        <v>0.88958990536277605</v>
      </c>
      <c r="Q201" s="409">
        <f>IFERROR('2.3'!Q188/'2.1'!Q199,"")</f>
        <v>0.86432051188831527</v>
      </c>
      <c r="R201" s="409">
        <f>IFERROR('2.3'!R188/'2.1'!R199,"")</f>
        <v>0.96150999259807546</v>
      </c>
      <c r="S201" s="409">
        <f>IFERROR('2.3'!S188/'2.1'!S199,"")</f>
        <v>0.97137850467289721</v>
      </c>
      <c r="T201" s="409">
        <f>IFERROR('2.3'!T188/'2.1'!T199,"")</f>
        <v>0.96702579170747638</v>
      </c>
      <c r="U201" s="409">
        <f>IFERROR('2.3'!U188/'2.1'!X199,"")</f>
        <v>0.81513657353056268</v>
      </c>
      <c r="V201" s="409">
        <f>IFERROR('2.3'!V188/'2.1'!Y199,"")</f>
        <v>0.8959315714442373</v>
      </c>
      <c r="W201" s="409">
        <f>IFERROR('2.3'!W188/'2.1'!Z199,"")</f>
        <v>0.84878516624040923</v>
      </c>
    </row>
    <row r="202" spans="2:23" outlineLevel="1" x14ac:dyDescent="0.25">
      <c r="B202" s="404">
        <v>44317</v>
      </c>
      <c r="C202" s="409" t="str">
        <f>IFERROR('2.3'!C189/'2.1'!C200,"")</f>
        <v/>
      </c>
      <c r="D202" s="409" t="str">
        <f>IFERROR('2.3'!D189/'2.1'!D200,"")</f>
        <v/>
      </c>
      <c r="E202" s="409" t="str">
        <f>IFERROR('2.3'!E189/'2.1'!E200,"")</f>
        <v/>
      </c>
      <c r="F202" s="409" t="str">
        <f>IFERROR('2.3'!F189/'2.1'!F200,"")</f>
        <v/>
      </c>
      <c r="G202" s="409" t="str">
        <f>IFERROR('2.3'!G189/'2.1'!G200,"")</f>
        <v/>
      </c>
      <c r="H202" s="409" t="str">
        <f>IFERROR('2.3'!H189/'2.1'!H200,"")</f>
        <v/>
      </c>
      <c r="I202" s="409">
        <f>IFERROR('2.3'!I189/'2.1'!I200,"")</f>
        <v>0.82072829131652658</v>
      </c>
      <c r="J202" s="409">
        <f>IFERROR('2.3'!J189/'2.1'!J200,"")</f>
        <v>0.92089728453364816</v>
      </c>
      <c r="K202" s="409">
        <f>IFERROR('2.3'!K189/'2.1'!K200,"")</f>
        <v>0.84608487746563066</v>
      </c>
      <c r="L202" s="409">
        <f>IFERROR('2.3'!L189/'2.1'!L200,"")</f>
        <v>0.5328767123287671</v>
      </c>
      <c r="M202" s="409">
        <f>IFERROR('2.3'!M189/'2.1'!M200,"")</f>
        <v>0.7686658506731946</v>
      </c>
      <c r="N202" s="409">
        <f>IFERROR('2.3'!N189/'2.1'!N200,"")</f>
        <v>0.61747913921826969</v>
      </c>
      <c r="O202" s="409">
        <f>IFERROR('2.3'!O189/'2.1'!O200,"")</f>
        <v>0.82451431492842531</v>
      </c>
      <c r="P202" s="409">
        <f>IFERROR('2.3'!P189/'2.1'!P200,"")</f>
        <v>0.88162574089754442</v>
      </c>
      <c r="Q202" s="409">
        <f>IFERROR('2.3'!Q189/'2.1'!Q200,"")</f>
        <v>0.84907859275985142</v>
      </c>
      <c r="R202" s="409">
        <f>IFERROR('2.3'!R189/'2.1'!R200,"")</f>
        <v>0.93928980526918671</v>
      </c>
      <c r="S202" s="409">
        <f>IFERROR('2.3'!S189/'2.1'!S200,"")</f>
        <v>0.9534510433386838</v>
      </c>
      <c r="T202" s="409">
        <f>IFERROR('2.3'!T189/'2.1'!T200,"")</f>
        <v>0.94761680037753659</v>
      </c>
      <c r="U202" s="409">
        <f>IFERROR('2.3'!U189/'2.1'!X200,"")</f>
        <v>0.79804045512010113</v>
      </c>
      <c r="V202" s="409">
        <f>IFERROR('2.3'!V189/'2.1'!Y200,"")</f>
        <v>0.88508224617129894</v>
      </c>
      <c r="W202" s="409">
        <f>IFERROR('2.3'!W189/'2.1'!Z200,"")</f>
        <v>0.83377579060127616</v>
      </c>
    </row>
    <row r="203" spans="2:23" outlineLevel="1" x14ac:dyDescent="0.25">
      <c r="B203" s="404">
        <v>44348</v>
      </c>
      <c r="C203" s="409" t="str">
        <f>IFERROR('2.3'!C190/'2.1'!C201,"")</f>
        <v/>
      </c>
      <c r="D203" s="409" t="str">
        <f>IFERROR('2.3'!D190/'2.1'!D201,"")</f>
        <v/>
      </c>
      <c r="E203" s="409" t="str">
        <f>IFERROR('2.3'!E190/'2.1'!E201,"")</f>
        <v/>
      </c>
      <c r="F203" s="409" t="str">
        <f>IFERROR('2.3'!F190/'2.1'!F201,"")</f>
        <v/>
      </c>
      <c r="G203" s="409" t="str">
        <f>IFERROR('2.3'!G190/'2.1'!G201,"")</f>
        <v/>
      </c>
      <c r="H203" s="409" t="str">
        <f>IFERROR('2.3'!H190/'2.1'!H201,"")</f>
        <v/>
      </c>
      <c r="I203" s="409">
        <f>IFERROR('2.3'!I190/'2.1'!I201,"")</f>
        <v>0.80029750836742286</v>
      </c>
      <c r="J203" s="409">
        <f>IFERROR('2.3'!J190/'2.1'!J201,"")</f>
        <v>0.92613009922822487</v>
      </c>
      <c r="K203" s="409">
        <f>IFERROR('2.3'!K190/'2.1'!K201,"")</f>
        <v>0.83203559510567293</v>
      </c>
      <c r="L203" s="409">
        <f>IFERROR('2.3'!L190/'2.1'!L201,"")</f>
        <v>0.53232758620689657</v>
      </c>
      <c r="M203" s="409">
        <f>IFERROR('2.3'!M190/'2.1'!M201,"")</f>
        <v>0.73669849931787179</v>
      </c>
      <c r="N203" s="409">
        <f>IFERROR('2.3'!N190/'2.1'!N201,"")</f>
        <v>0.60282352941176476</v>
      </c>
      <c r="O203" s="409">
        <f>IFERROR('2.3'!O190/'2.1'!O201,"")</f>
        <v>0.8290631469979296</v>
      </c>
      <c r="P203" s="409">
        <f>IFERROR('2.3'!P190/'2.1'!P201,"")</f>
        <v>0.89478245796498523</v>
      </c>
      <c r="Q203" s="409">
        <f>IFERROR('2.3'!Q190/'2.1'!Q201,"")</f>
        <v>0.85715344150551975</v>
      </c>
      <c r="R203" s="409">
        <f>IFERROR('2.3'!R190/'2.1'!R201,"")</f>
        <v>0.87977369165487973</v>
      </c>
      <c r="S203" s="409">
        <f>IFERROR('2.3'!S190/'2.1'!S201,"")</f>
        <v>0.93016488845780798</v>
      </c>
      <c r="T203" s="409">
        <f>IFERROR('2.3'!T190/'2.1'!T201,"")</f>
        <v>0.90966628308400466</v>
      </c>
      <c r="U203" s="409">
        <f>IFERROR('2.3'!U190/'2.1'!X201,"")</f>
        <v>0.79274528603387662</v>
      </c>
      <c r="V203" s="409">
        <f>IFERROR('2.3'!V190/'2.1'!Y201,"")</f>
        <v>0.88874407582938386</v>
      </c>
      <c r="W203" s="409">
        <f>IFERROR('2.3'!W190/'2.1'!Z201,"")</f>
        <v>0.83140866577591144</v>
      </c>
    </row>
    <row r="204" spans="2:23" outlineLevel="1" x14ac:dyDescent="0.25">
      <c r="B204" s="404">
        <v>44378</v>
      </c>
      <c r="C204" s="409" t="str">
        <f>IFERROR('2.3'!C191/'2.1'!C202,"")</f>
        <v/>
      </c>
      <c r="D204" s="409" t="str">
        <f>IFERROR('2.3'!D191/'2.1'!D202,"")</f>
        <v/>
      </c>
      <c r="E204" s="409" t="str">
        <f>IFERROR('2.3'!E191/'2.1'!E202,"")</f>
        <v/>
      </c>
      <c r="F204" s="409" t="str">
        <f>IFERROR('2.3'!F191/'2.1'!F202,"")</f>
        <v/>
      </c>
      <c r="G204" s="409" t="str">
        <f>IFERROR('2.3'!G191/'2.1'!G202,"")</f>
        <v/>
      </c>
      <c r="H204" s="409" t="str">
        <f>IFERROR('2.3'!H191/'2.1'!H202,"")</f>
        <v/>
      </c>
      <c r="I204" s="409">
        <f>IFERROR('2.3'!I191/'2.1'!I202,"")</f>
        <v>0.8276089828269485</v>
      </c>
      <c r="J204" s="409">
        <f>IFERROR('2.3'!J191/'2.1'!J202,"")</f>
        <v>0.92575618698441797</v>
      </c>
      <c r="K204" s="409">
        <f>IFERROR('2.3'!K191/'2.1'!K202,"")</f>
        <v>0.85360524399126003</v>
      </c>
      <c r="L204" s="409">
        <f>IFERROR('2.3'!L191/'2.1'!L202,"")</f>
        <v>0.52143757881462804</v>
      </c>
      <c r="M204" s="409">
        <f>IFERROR('2.3'!M191/'2.1'!M202,"")</f>
        <v>0.7399756986634265</v>
      </c>
      <c r="N204" s="409">
        <f>IFERROR('2.3'!N191/'2.1'!N202,"")</f>
        <v>0.59609796596097964</v>
      </c>
      <c r="O204" s="409">
        <f>IFERROR('2.3'!O191/'2.1'!O202,"")</f>
        <v>0.84812342707079547</v>
      </c>
      <c r="P204" s="409">
        <f>IFERROR('2.3'!P191/'2.1'!P202,"")</f>
        <v>0.90329341317365275</v>
      </c>
      <c r="Q204" s="409">
        <f>IFERROR('2.3'!Q191/'2.1'!Q202,"")</f>
        <v>0.87142044377014982</v>
      </c>
      <c r="R204" s="409">
        <f>IFERROR('2.3'!R191/'2.1'!R202,"")</f>
        <v>0.88607594936708856</v>
      </c>
      <c r="S204" s="409">
        <f>IFERROR('2.3'!S191/'2.1'!S202,"")</f>
        <v>0.93244626407369502</v>
      </c>
      <c r="T204" s="409">
        <f>IFERROR('2.3'!T191/'2.1'!T202,"")</f>
        <v>0.91423244251087632</v>
      </c>
      <c r="U204" s="409">
        <f>IFERROR('2.3'!U191/'2.1'!X202,"")</f>
        <v>0.80945429266597146</v>
      </c>
      <c r="V204" s="409">
        <f>IFERROR('2.3'!V191/'2.1'!Y202,"")</f>
        <v>0.89478633371643501</v>
      </c>
      <c r="W204" s="409">
        <f>IFERROR('2.3'!W191/'2.1'!Z202,"")</f>
        <v>0.84354650192018699</v>
      </c>
    </row>
    <row r="205" spans="2:23" outlineLevel="1" x14ac:dyDescent="0.25">
      <c r="B205" s="404">
        <v>44409</v>
      </c>
      <c r="C205" s="409" t="str">
        <f>IFERROR('2.3'!C192/'2.1'!C203,"")</f>
        <v/>
      </c>
      <c r="D205" s="409" t="str">
        <f>IFERROR('2.3'!D192/'2.1'!D203,"")</f>
        <v/>
      </c>
      <c r="E205" s="409" t="str">
        <f>IFERROR('2.3'!E192/'2.1'!E203,"")</f>
        <v/>
      </c>
      <c r="F205" s="409" t="str">
        <f>IFERROR('2.3'!F192/'2.1'!F203,"")</f>
        <v/>
      </c>
      <c r="G205" s="409" t="str">
        <f>IFERROR('2.3'!G192/'2.1'!G203,"")</f>
        <v/>
      </c>
      <c r="H205" s="409" t="str">
        <f>IFERROR('2.3'!H192/'2.1'!H203,"")</f>
        <v/>
      </c>
      <c r="I205" s="409">
        <f>IFERROR('2.3'!I192/'2.1'!I203,"")</f>
        <v>0.82</v>
      </c>
      <c r="J205" s="409">
        <f>IFERROR('2.3'!J192/'2.1'!J203,"")</f>
        <v>0.93065998329156219</v>
      </c>
      <c r="K205" s="409">
        <f>IFERROR('2.3'!K192/'2.1'!K203,"")</f>
        <v>0.85082615778450077</v>
      </c>
      <c r="L205" s="409">
        <f>IFERROR('2.3'!L192/'2.1'!L203,"")</f>
        <v>0.52790697674418607</v>
      </c>
      <c r="M205" s="409">
        <f>IFERROR('2.3'!M192/'2.1'!M203,"")</f>
        <v>0.71878393051031486</v>
      </c>
      <c r="N205" s="409">
        <f>IFERROR('2.3'!N192/'2.1'!N203,"")</f>
        <v>0.59447179098826197</v>
      </c>
      <c r="O205" s="409">
        <f>IFERROR('2.3'!O192/'2.1'!O203,"")</f>
        <v>0.83665299746143329</v>
      </c>
      <c r="P205" s="409">
        <f>IFERROR('2.3'!P192/'2.1'!P203,"")</f>
        <v>0.90276907655682248</v>
      </c>
      <c r="Q205" s="409">
        <f>IFERROR('2.3'!Q192/'2.1'!Q203,"")</f>
        <v>0.86560939472095699</v>
      </c>
      <c r="R205" s="409">
        <f>IFERROR('2.3'!R192/'2.1'!R203,"")</f>
        <v>0.87461300309597523</v>
      </c>
      <c r="S205" s="409">
        <f>IFERROR('2.3'!S192/'2.1'!S203,"")</f>
        <v>0.92833517089305406</v>
      </c>
      <c r="T205" s="409">
        <f>IFERROR('2.3'!T192/'2.1'!T203,"")</f>
        <v>0.90598840952994208</v>
      </c>
      <c r="U205" s="409">
        <f>IFERROR('2.3'!U192/'2.1'!X203,"")</f>
        <v>0.80112044817927175</v>
      </c>
      <c r="V205" s="409">
        <f>IFERROR('2.3'!V192/'2.1'!Y203,"")</f>
        <v>0.89251317463201885</v>
      </c>
      <c r="W205" s="409">
        <f>IFERROR('2.3'!W192/'2.1'!Z203,"")</f>
        <v>0.8387736767238152</v>
      </c>
    </row>
    <row r="206" spans="2:23" outlineLevel="1" x14ac:dyDescent="0.25">
      <c r="B206" s="404">
        <v>44440</v>
      </c>
      <c r="C206" s="409" t="str">
        <f>IFERROR('2.3'!C193/'2.1'!C204,"")</f>
        <v/>
      </c>
      <c r="D206" s="409" t="str">
        <f>IFERROR('2.3'!D193/'2.1'!D204,"")</f>
        <v/>
      </c>
      <c r="E206" s="409" t="str">
        <f>IFERROR('2.3'!E193/'2.1'!E204,"")</f>
        <v/>
      </c>
      <c r="F206" s="409" t="str">
        <f>IFERROR('2.3'!F193/'2.1'!F204,"")</f>
        <v/>
      </c>
      <c r="G206" s="409" t="str">
        <f>IFERROR('2.3'!G193/'2.1'!G204,"")</f>
        <v/>
      </c>
      <c r="H206" s="409" t="str">
        <f>IFERROR('2.3'!H193/'2.1'!H204,"")</f>
        <v/>
      </c>
      <c r="I206" s="409">
        <f>IFERROR('2.3'!I193/'2.1'!I204,"")</f>
        <v>0.8368580060422961</v>
      </c>
      <c r="J206" s="409">
        <f>IFERROR('2.3'!J193/'2.1'!J204,"")</f>
        <v>0.93355209187858901</v>
      </c>
      <c r="K206" s="409">
        <f>IFERROR('2.3'!K193/'2.1'!K204,"")</f>
        <v>0.86288363877235597</v>
      </c>
      <c r="L206" s="409">
        <f>IFERROR('2.3'!L193/'2.1'!L204,"")</f>
        <v>0.51893939393939392</v>
      </c>
      <c r="M206" s="409">
        <f>IFERROR('2.3'!M193/'2.1'!M204,"")</f>
        <v>0.75201072386058976</v>
      </c>
      <c r="N206" s="409">
        <f>IFERROR('2.3'!N193/'2.1'!N204,"")</f>
        <v>0.59356223175965661</v>
      </c>
      <c r="O206" s="409">
        <f>IFERROR('2.3'!O193/'2.1'!O204,"")</f>
        <v>0.85217079296734843</v>
      </c>
      <c r="P206" s="409">
        <f>IFERROR('2.3'!P193/'2.1'!P204,"")</f>
        <v>0.90954194069458871</v>
      </c>
      <c r="Q206" s="409">
        <f>IFERROR('2.3'!Q193/'2.1'!Q204,"")</f>
        <v>0.87726469846076205</v>
      </c>
      <c r="R206" s="409">
        <f>IFERROR('2.3'!R193/'2.1'!R204,"")</f>
        <v>0.82421227197346603</v>
      </c>
      <c r="S206" s="409">
        <f>IFERROR('2.3'!S193/'2.1'!S204,"")</f>
        <v>0.91319857312722952</v>
      </c>
      <c r="T206" s="409">
        <f>IFERROR('2.3'!T193/'2.1'!T204,"")</f>
        <v>0.87603878116343492</v>
      </c>
      <c r="U206" s="409">
        <f>IFERROR('2.3'!U193/'2.1'!X204,"")</f>
        <v>0.81640132171823365</v>
      </c>
      <c r="V206" s="409">
        <f>IFERROR('2.3'!V193/'2.1'!Y204,"")</f>
        <v>0.90211801621197596</v>
      </c>
      <c r="W206" s="409">
        <f>IFERROR('2.3'!W193/'2.1'!Z204,"")</f>
        <v>0.85137634255636963</v>
      </c>
    </row>
    <row r="207" spans="2:23" outlineLevel="1" x14ac:dyDescent="0.25">
      <c r="B207" s="404">
        <v>44470</v>
      </c>
      <c r="C207" s="409" t="str">
        <f>IFERROR('2.3'!C194/'2.1'!C205,"")</f>
        <v/>
      </c>
      <c r="D207" s="409" t="str">
        <f>IFERROR('2.3'!D194/'2.1'!D205,"")</f>
        <v/>
      </c>
      <c r="E207" s="409" t="str">
        <f>IFERROR('2.3'!E194/'2.1'!E205,"")</f>
        <v/>
      </c>
      <c r="F207" s="409" t="str">
        <f>IFERROR('2.3'!F194/'2.1'!F205,"")</f>
        <v/>
      </c>
      <c r="G207" s="409" t="str">
        <f>IFERROR('2.3'!G194/'2.1'!G205,"")</f>
        <v/>
      </c>
      <c r="H207" s="409" t="str">
        <f>IFERROR('2.3'!H194/'2.1'!H205,"")</f>
        <v/>
      </c>
      <c r="I207" s="409">
        <f>IFERROR('2.3'!I194/'2.1'!I205,"")</f>
        <v>0.80740151213688816</v>
      </c>
      <c r="J207" s="409">
        <f>IFERROR('2.3'!J194/'2.1'!J205,"")</f>
        <v>0.91493775933609955</v>
      </c>
      <c r="K207" s="409">
        <f>IFERROR('2.3'!K194/'2.1'!K205,"")</f>
        <v>0.83721599079666376</v>
      </c>
      <c r="L207" s="409">
        <f>IFERROR('2.3'!L194/'2.1'!L205,"")</f>
        <v>0.49406880189798341</v>
      </c>
      <c r="M207" s="409">
        <f>IFERROR('2.3'!M194/'2.1'!M205,"")</f>
        <v>0.70876288659793818</v>
      </c>
      <c r="N207" s="409">
        <f>IFERROR('2.3'!N194/'2.1'!N205,"")</f>
        <v>0.56173842404549146</v>
      </c>
      <c r="O207" s="409">
        <f>IFERROR('2.3'!O194/'2.1'!O205,"")</f>
        <v>0.85299128169155225</v>
      </c>
      <c r="P207" s="409">
        <f>IFERROR('2.3'!P194/'2.1'!P205,"")</f>
        <v>0.90909090909090906</v>
      </c>
      <c r="Q207" s="409">
        <f>IFERROR('2.3'!Q194/'2.1'!Q205,"")</f>
        <v>0.87746455002542234</v>
      </c>
      <c r="R207" s="409">
        <f>IFERROR('2.3'!R194/'2.1'!R205,"")</f>
        <v>0.85943060498220636</v>
      </c>
      <c r="S207" s="409">
        <f>IFERROR('2.3'!S194/'2.1'!S205,"")</f>
        <v>0.94495412844036697</v>
      </c>
      <c r="T207" s="409">
        <f>IFERROR('2.3'!T194/'2.1'!T205,"")</f>
        <v>0.91143654114365413</v>
      </c>
      <c r="U207" s="409">
        <f>IFERROR('2.3'!U194/'2.1'!X205,"")</f>
        <v>0.80440976933514252</v>
      </c>
      <c r="V207" s="409">
        <f>IFERROR('2.3'!V194/'2.1'!Y205,"")</f>
        <v>0.89761950841881166</v>
      </c>
      <c r="W207" s="409">
        <f>IFERROR('2.3'!W194/'2.1'!Z205,"")</f>
        <v>0.84282523729759906</v>
      </c>
    </row>
    <row r="208" spans="2:23" outlineLevel="1" x14ac:dyDescent="0.25">
      <c r="B208" s="404">
        <v>44501</v>
      </c>
      <c r="C208" s="409" t="str">
        <f>IFERROR('2.3'!C195/'2.1'!C206,"")</f>
        <v/>
      </c>
      <c r="D208" s="409" t="str">
        <f>IFERROR('2.3'!D195/'2.1'!D206,"")</f>
        <v/>
      </c>
      <c r="E208" s="409" t="str">
        <f>IFERROR('2.3'!E195/'2.1'!E206,"")</f>
        <v/>
      </c>
      <c r="F208" s="409" t="str">
        <f>IFERROR('2.3'!F195/'2.1'!F206,"")</f>
        <v/>
      </c>
      <c r="G208" s="409" t="str">
        <f>IFERROR('2.3'!G195/'2.1'!G206,"")</f>
        <v/>
      </c>
      <c r="H208" s="409" t="str">
        <f>IFERROR('2.3'!H195/'2.1'!H206,"")</f>
        <v/>
      </c>
      <c r="I208" s="409">
        <f>IFERROR('2.3'!I195/'2.1'!I206,"")</f>
        <v>0.84283727399165509</v>
      </c>
      <c r="J208" s="409">
        <f>IFERROR('2.3'!J195/'2.1'!J206,"")</f>
        <v>0.94747274529236869</v>
      </c>
      <c r="K208" s="409">
        <f>IFERROR('2.3'!K195/'2.1'!K206,"")</f>
        <v>0.87001287001286998</v>
      </c>
      <c r="L208" s="409">
        <f>IFERROR('2.3'!L195/'2.1'!L206,"")</f>
        <v>0.49458874458874458</v>
      </c>
      <c r="M208" s="409">
        <f>IFERROR('2.3'!M195/'2.1'!M206,"")</f>
        <v>0.74197530864197536</v>
      </c>
      <c r="N208" s="409">
        <f>IFERROR('2.3'!N195/'2.1'!N206,"")</f>
        <v>0.56997742663656881</v>
      </c>
      <c r="O208" s="409">
        <f>IFERROR('2.3'!O195/'2.1'!O206,"")</f>
        <v>0.8420373397573776</v>
      </c>
      <c r="P208" s="409">
        <f>IFERROR('2.3'!P195/'2.1'!P206,"")</f>
        <v>0.9018412102732497</v>
      </c>
      <c r="Q208" s="409">
        <f>IFERROR('2.3'!Q195/'2.1'!Q206,"")</f>
        <v>0.86734491315136475</v>
      </c>
      <c r="R208" s="409">
        <f>IFERROR('2.3'!R195/'2.1'!R206,"")</f>
        <v>0.87108013937282225</v>
      </c>
      <c r="S208" s="409">
        <f>IFERROR('2.3'!S195/'2.1'!S206,"")</f>
        <v>0.92741061755146259</v>
      </c>
      <c r="T208" s="409">
        <f>IFERROR('2.3'!T195/'2.1'!T206,"")</f>
        <v>0.905811623246493</v>
      </c>
      <c r="U208" s="409">
        <f>IFERROR('2.3'!U195/'2.1'!X206,"")</f>
        <v>0.80502215657311671</v>
      </c>
      <c r="V208" s="409">
        <f>IFERROR('2.3'!V195/'2.1'!Y206,"")</f>
        <v>0.89645075421472942</v>
      </c>
      <c r="W208" s="409">
        <f>IFERROR('2.3'!W195/'2.1'!Z206,"")</f>
        <v>0.84156765383933319</v>
      </c>
    </row>
    <row r="209" spans="2:23" outlineLevel="1" x14ac:dyDescent="0.25">
      <c r="B209" s="404">
        <v>44531</v>
      </c>
      <c r="C209" s="409" t="str">
        <f>IFERROR('2.3'!C196/'2.1'!C207,"")</f>
        <v/>
      </c>
      <c r="D209" s="409" t="str">
        <f>IFERROR('2.3'!D196/'2.1'!D207,"")</f>
        <v/>
      </c>
      <c r="E209" s="409" t="str">
        <f>IFERROR('2.3'!E196/'2.1'!E207,"")</f>
        <v/>
      </c>
      <c r="F209" s="409" t="str">
        <f>IFERROR('2.3'!F196/'2.1'!F207,"")</f>
        <v/>
      </c>
      <c r="G209" s="409" t="str">
        <f>IFERROR('2.3'!G196/'2.1'!G207,"")</f>
        <v/>
      </c>
      <c r="H209" s="409" t="str">
        <f>IFERROR('2.3'!H196/'2.1'!H207,"")</f>
        <v/>
      </c>
      <c r="I209" s="409">
        <f>IFERROR('2.3'!I196/'2.1'!I207,"")</f>
        <v>0.80674401740391588</v>
      </c>
      <c r="J209" s="409">
        <f>IFERROR('2.3'!J196/'2.1'!J207,"")</f>
        <v>0.92822502424830267</v>
      </c>
      <c r="K209" s="409">
        <f>IFERROR('2.3'!K196/'2.1'!K207,"")</f>
        <v>0.83979941937186597</v>
      </c>
      <c r="L209" s="409">
        <f>IFERROR('2.3'!L196/'2.1'!L207,"")</f>
        <v>0.47041929925330273</v>
      </c>
      <c r="M209" s="409">
        <f>IFERROR('2.3'!M196/'2.1'!M207,"")</f>
        <v>0.67658473479948256</v>
      </c>
      <c r="N209" s="409">
        <f>IFERROR('2.3'!N196/'2.1'!N207,"")</f>
        <v>0.53381066030230706</v>
      </c>
      <c r="O209" s="409">
        <f>IFERROR('2.3'!O196/'2.1'!O207,"")</f>
        <v>0.83059369561013341</v>
      </c>
      <c r="P209" s="409">
        <f>IFERROR('2.3'!P196/'2.1'!P207,"")</f>
        <v>0.89557998129092609</v>
      </c>
      <c r="Q209" s="409">
        <f>IFERROR('2.3'!Q196/'2.1'!Q207,"")</f>
        <v>0.86000846829681377</v>
      </c>
      <c r="R209" s="409">
        <f>IFERROR('2.3'!R196/'2.1'!R207,"")</f>
        <v>0.8870431893687708</v>
      </c>
      <c r="S209" s="409">
        <f>IFERROR('2.3'!S196/'2.1'!S207,"")</f>
        <v>0.93617021276595747</v>
      </c>
      <c r="T209" s="409">
        <f>IFERROR('2.3'!T196/'2.1'!T207,"")</f>
        <v>0.91574585635359118</v>
      </c>
      <c r="U209" s="409">
        <f>IFERROR('2.3'!U196/'2.1'!X207,"")</f>
        <v>0.78777677068496699</v>
      </c>
      <c r="V209" s="409">
        <f>IFERROR('2.3'!V196/'2.1'!Y207,"")</f>
        <v>0.88653811819317974</v>
      </c>
      <c r="W209" s="409">
        <f>IFERROR('2.3'!W196/'2.1'!Z207,"")</f>
        <v>0.82929300510357251</v>
      </c>
    </row>
    <row r="210" spans="2:23" x14ac:dyDescent="0.25">
      <c r="B210" s="407" t="s">
        <v>762</v>
      </c>
      <c r="C210" s="410" t="str">
        <f>IFERROR('2.3'!C197/'2.1'!C208,"")</f>
        <v/>
      </c>
      <c r="D210" s="410" t="str">
        <f>IFERROR('2.3'!D197/'2.1'!D208,"")</f>
        <v/>
      </c>
      <c r="E210" s="410" t="str">
        <f>IFERROR('2.3'!E197/'2.1'!E208,"")</f>
        <v/>
      </c>
      <c r="F210" s="410" t="str">
        <f>IFERROR('2.3'!F197/'2.1'!F208,"")</f>
        <v/>
      </c>
      <c r="G210" s="410" t="str">
        <f>IFERROR('2.3'!G197/'2.1'!G208,"")</f>
        <v/>
      </c>
      <c r="H210" s="410" t="str">
        <f>IFERROR('2.3'!H197/'2.1'!H208,"")</f>
        <v/>
      </c>
      <c r="I210" s="410">
        <f>IFERROR('2.3'!I197/'2.1'!I208,"")</f>
        <v>0.82705013602798294</v>
      </c>
      <c r="J210" s="410">
        <f>IFERROR('2.3'!J197/'2.1'!J208,"")</f>
        <v>0.9264214046822743</v>
      </c>
      <c r="K210" s="410">
        <f>IFERROR('2.3'!K197/'2.1'!K208,"")</f>
        <v>0.85249207721117837</v>
      </c>
      <c r="L210" s="410">
        <f>IFERROR('2.3'!L197/'2.1'!L208,"")</f>
        <v>0.51740294511378848</v>
      </c>
      <c r="M210" s="410">
        <f>IFERROR('2.3'!M197/'2.1'!M208,"")</f>
        <v>0.75166002656042497</v>
      </c>
      <c r="N210" s="410">
        <f>IFERROR('2.3'!N197/'2.1'!N208,"")</f>
        <v>0.59546061415220297</v>
      </c>
      <c r="O210" s="410">
        <f>IFERROR('2.3'!O197/'2.1'!O208,"")</f>
        <v>0.84626500666963089</v>
      </c>
      <c r="P210" s="410">
        <f>IFERROR('2.3'!P197/'2.1'!P208,"")</f>
        <v>0.90342139454309223</v>
      </c>
      <c r="Q210" s="410">
        <f>IFERROR('2.3'!Q197/'2.1'!Q208,"")</f>
        <v>0.87119261445707463</v>
      </c>
      <c r="R210" s="410">
        <f>IFERROR('2.3'!R197/'2.1'!R208,"")</f>
        <v>0.90629370629370631</v>
      </c>
      <c r="S210" s="410">
        <f>IFERROR('2.3'!S197/'2.1'!S208,"")</f>
        <v>0.9476861167002012</v>
      </c>
      <c r="T210" s="410">
        <f>IFERROR('2.3'!T197/'2.1'!T208,"")</f>
        <v>0.92978349912229374</v>
      </c>
      <c r="U210" s="410">
        <f>IFERROR('2.3'!U197/'2.1'!X208,"")</f>
        <v>0.81007329994919808</v>
      </c>
      <c r="V210" s="410">
        <f>IFERROR('2.3'!V197/'2.1'!Y208,"")</f>
        <v>0.8981404095277894</v>
      </c>
      <c r="W210" s="410">
        <f>IFERROR('2.3'!W197/'2.1'!Z208,"")</f>
        <v>0.84613078669007746</v>
      </c>
    </row>
    <row r="211" spans="2:23" outlineLevel="1" x14ac:dyDescent="0.25">
      <c r="B211" s="404">
        <v>44562</v>
      </c>
      <c r="C211" s="409" t="str">
        <f>IFERROR('2.3'!C198/'2.1'!C209,"")</f>
        <v/>
      </c>
      <c r="D211" s="409" t="str">
        <f>IFERROR('2.3'!D198/'2.1'!D209,"")</f>
        <v/>
      </c>
      <c r="E211" s="409" t="str">
        <f>IFERROR('2.3'!E198/'2.1'!E209,"")</f>
        <v/>
      </c>
      <c r="F211" s="409" t="str">
        <f>IFERROR('2.3'!F198/'2.1'!F209,"")</f>
        <v/>
      </c>
      <c r="G211" s="409" t="str">
        <f>IFERROR('2.3'!G198/'2.1'!G209,"")</f>
        <v/>
      </c>
      <c r="H211" s="409" t="str">
        <f>IFERROR('2.3'!H198/'2.1'!H209,"")</f>
        <v/>
      </c>
      <c r="I211" s="409">
        <f>IFERROR('2.3'!I198/'2.1'!I209,"")</f>
        <v>0.9324551569506726</v>
      </c>
      <c r="J211" s="409">
        <f>IFERROR('2.3'!J198/'2.1'!J209,"")</f>
        <v>0.95154884829229547</v>
      </c>
      <c r="K211" s="409">
        <f>IFERROR('2.3'!K198/'2.1'!K209,"")</f>
        <v>0.93743525999585664</v>
      </c>
      <c r="L211" s="409">
        <f>IFERROR('2.3'!L198/'2.1'!L209,"")</f>
        <v>0.45390383767093073</v>
      </c>
      <c r="M211" s="409">
        <f>IFERROR('2.3'!M198/'2.1'!M209,"")</f>
        <v>0.68370607028753994</v>
      </c>
      <c r="N211" s="409">
        <f>IFERROR('2.3'!N198/'2.1'!N209,"")</f>
        <v>0.52121023081721773</v>
      </c>
      <c r="O211" s="409">
        <f>IFERROR('2.3'!O198/'2.1'!O209,"")</f>
        <v>0.93252373214743867</v>
      </c>
      <c r="P211" s="409">
        <f>IFERROR('2.3'!P198/'2.1'!P209,"")</f>
        <v>0.94813661574389418</v>
      </c>
      <c r="Q211" s="409">
        <f>IFERROR('2.3'!Q198/'2.1'!Q209,"")</f>
        <v>0.93982703686845703</v>
      </c>
      <c r="R211" s="409">
        <f>IFERROR('2.3'!R198/'2.1'!R209,"")</f>
        <v>0.8527245949926362</v>
      </c>
      <c r="S211" s="409">
        <f>IFERROR('2.3'!S198/'2.1'!S209,"")</f>
        <v>0.91685649202733488</v>
      </c>
      <c r="T211" s="409">
        <f>IFERROR('2.3'!T198/'2.1'!T209,"")</f>
        <v>0.88888888888888884</v>
      </c>
      <c r="U211" s="409">
        <f>IFERROR('2.3'!U198/'2.1'!X209,"")</f>
        <v>0.8680806752164858</v>
      </c>
      <c r="V211" s="409">
        <f>IFERROR('2.3'!V198/'2.1'!Y209,"")</f>
        <v>0.92690408499177013</v>
      </c>
      <c r="W211" s="409">
        <f>IFERROR('2.3'!W198/'2.1'!Z209,"")</f>
        <v>0.89295204352777424</v>
      </c>
    </row>
    <row r="212" spans="2:23" outlineLevel="1" x14ac:dyDescent="0.25">
      <c r="B212" s="404">
        <v>44593</v>
      </c>
      <c r="C212" s="409">
        <f>IFERROR('2.3'!C199/'2.1'!C210,"")</f>
        <v>0.84909264565425024</v>
      </c>
      <c r="D212" s="409">
        <f>IFERROR('2.3'!D199/'2.1'!D210,"")</f>
        <v>0.83235785953177255</v>
      </c>
      <c r="E212" s="409">
        <f>IFERROR('2.3'!E199/'2.1'!E210,"")</f>
        <v>0.8449747968316017</v>
      </c>
      <c r="F212" s="409">
        <f>IFERROR('2.3'!F199/'2.1'!F210,"")</f>
        <v>0.85341511743108578</v>
      </c>
      <c r="G212" s="409">
        <f>IFERROR('2.3'!G199/'2.1'!G210,"")</f>
        <v>0.85162857021841332</v>
      </c>
      <c r="H212" s="409">
        <f>IFERROR('2.3'!H199/'2.1'!H210,"")</f>
        <v>0.85250779765532569</v>
      </c>
      <c r="I212" s="409" t="str">
        <f>IFERROR('2.3'!I199/'2.1'!I210,"")</f>
        <v/>
      </c>
      <c r="J212" s="409" t="str">
        <f>IFERROR('2.3'!J199/'2.1'!J210,"")</f>
        <v/>
      </c>
      <c r="K212" s="409" t="str">
        <f>IFERROR('2.3'!K199/'2.1'!K210,"")</f>
        <v/>
      </c>
      <c r="L212" s="409">
        <f>IFERROR('2.3'!L199/'2.1'!L210,"")</f>
        <v>0.50274314214463844</v>
      </c>
      <c r="M212" s="409">
        <f>IFERROR('2.3'!M199/'2.1'!M210,"")</f>
        <v>0.72032193158953728</v>
      </c>
      <c r="N212" s="409">
        <f>IFERROR('2.3'!N199/'2.1'!N210,"")</f>
        <v>0.57485828609536516</v>
      </c>
      <c r="O212" s="409" t="str">
        <f>IFERROR('2.3'!O199/'2.1'!O210,"")</f>
        <v/>
      </c>
      <c r="P212" s="409" t="str">
        <f>IFERROR('2.3'!P199/'2.1'!P210,"")</f>
        <v/>
      </c>
      <c r="Q212" s="409" t="str">
        <f>IFERROR('2.3'!Q199/'2.1'!Q210,"")</f>
        <v/>
      </c>
      <c r="R212" s="409">
        <f>IFERROR('2.3'!R199/'2.1'!R210,"")</f>
        <v>0.77803030303030307</v>
      </c>
      <c r="S212" s="409">
        <f>IFERROR('2.3'!S199/'2.1'!S210,"")</f>
        <v>0.79407407407407404</v>
      </c>
      <c r="T212" s="409">
        <f>IFERROR('2.3'!T199/'2.1'!T210,"")</f>
        <v>0.78774289985052315</v>
      </c>
      <c r="U212" s="409">
        <f>IFERROR('2.3'!U199/'2.1'!X210,"")</f>
        <v>0.84289317694539034</v>
      </c>
      <c r="V212" s="409">
        <f>IFERROR('2.3'!V199/'2.1'!Y210,"")</f>
        <v>0.8477833158447009</v>
      </c>
      <c r="W212" s="409">
        <f>IFERROR('2.3'!W199/'2.1'!Z210,"")</f>
        <v>0.84529029769176367</v>
      </c>
    </row>
    <row r="213" spans="2:23" outlineLevel="1" x14ac:dyDescent="0.25">
      <c r="B213" s="404">
        <v>44621</v>
      </c>
      <c r="C213" s="409">
        <f>IFERROR('2.3'!C200/'2.1'!C211,"")</f>
        <v>0.86433886662850601</v>
      </c>
      <c r="D213" s="409">
        <f>IFERROR('2.3'!D200/'2.1'!D211,"")</f>
        <v>0.94219653179190754</v>
      </c>
      <c r="E213" s="409">
        <f>IFERROR('2.3'!E200/'2.1'!E211,"")</f>
        <v>0.89335727109515262</v>
      </c>
      <c r="F213" s="409">
        <f>IFERROR('2.3'!F200/'2.1'!F211,"")</f>
        <v>0.89166666666666672</v>
      </c>
      <c r="G213" s="409">
        <f>IFERROR('2.3'!G200/'2.1'!G211,"")</f>
        <v>0.88009901680496483</v>
      </c>
      <c r="H213" s="409">
        <f>IFERROR('2.3'!H200/'2.1'!H211,"")</f>
        <v>0.88564322283141494</v>
      </c>
      <c r="I213" s="409" t="str">
        <f>IFERROR('2.3'!I200/'2.1'!I211,"")</f>
        <v/>
      </c>
      <c r="J213" s="409" t="str">
        <f>IFERROR('2.3'!J200/'2.1'!J211,"")</f>
        <v/>
      </c>
      <c r="K213" s="409" t="str">
        <f>IFERROR('2.3'!K200/'2.1'!K211,"")</f>
        <v/>
      </c>
      <c r="L213" s="409">
        <f>IFERROR('2.3'!L200/'2.1'!L211,"")</f>
        <v>0.45057766367137353</v>
      </c>
      <c r="M213" s="409">
        <f>IFERROR('2.3'!M200/'2.1'!M211,"")</f>
        <v>0.67948717948717952</v>
      </c>
      <c r="N213" s="409">
        <f>IFERROR('2.3'!N200/'2.1'!N211,"")</f>
        <v>0.52347623213764949</v>
      </c>
      <c r="O213" s="409" t="str">
        <f>IFERROR('2.3'!O200/'2.1'!O211,"")</f>
        <v/>
      </c>
      <c r="P213" s="409" t="str">
        <f>IFERROR('2.3'!P200/'2.1'!P211,"")</f>
        <v/>
      </c>
      <c r="Q213" s="409" t="str">
        <f>IFERROR('2.3'!Q200/'2.1'!Q211,"")</f>
        <v/>
      </c>
      <c r="R213" s="409">
        <f>IFERROR('2.3'!R200/'2.1'!R211,"")</f>
        <v>0.82568807339449546</v>
      </c>
      <c r="S213" s="409">
        <f>IFERROR('2.3'!S200/'2.1'!S211,"")</f>
        <v>0.90017211703958688</v>
      </c>
      <c r="T213" s="409">
        <f>IFERROR('2.3'!T200/'2.1'!T211,"")</f>
        <v>0.87064935064935067</v>
      </c>
      <c r="U213" s="409">
        <f>IFERROR('2.3'!U200/'2.1'!X211,"")</f>
        <v>0.85553813166063941</v>
      </c>
      <c r="V213" s="409">
        <f>IFERROR('2.3'!V200/'2.1'!Y211,"")</f>
        <v>0.87599299430787514</v>
      </c>
      <c r="W213" s="409">
        <f>IFERROR('2.3'!W200/'2.1'!Z211,"")</f>
        <v>0.86588317173091223</v>
      </c>
    </row>
    <row r="214" spans="2:23" outlineLevel="1" x14ac:dyDescent="0.25">
      <c r="B214" s="404">
        <v>44652</v>
      </c>
      <c r="C214" s="409">
        <f>IFERROR('2.3'!C201/'2.1'!C212,"")</f>
        <v>0.91133720930232553</v>
      </c>
      <c r="D214" s="409">
        <f>IFERROR('2.3'!D201/'2.1'!D212,"")</f>
        <v>0.95094604064470922</v>
      </c>
      <c r="E214" s="409">
        <f>IFERROR('2.3'!E201/'2.1'!E212,"")</f>
        <v>0.92752792896018332</v>
      </c>
      <c r="F214" s="409">
        <f>IFERROR('2.3'!F201/'2.1'!F212,"")</f>
        <v>0.88913338942463271</v>
      </c>
      <c r="G214" s="409">
        <f>IFERROR('2.3'!G201/'2.1'!G212,"")</f>
        <v>0.87901680009020178</v>
      </c>
      <c r="H214" s="409">
        <f>IFERROR('2.3'!H201/'2.1'!H212,"")</f>
        <v>0.88372653590044892</v>
      </c>
      <c r="I214" s="409" t="str">
        <f>IFERROR('2.3'!I201/'2.1'!I212,"")</f>
        <v/>
      </c>
      <c r="J214" s="409" t="str">
        <f>IFERROR('2.3'!J201/'2.1'!J212,"")</f>
        <v/>
      </c>
      <c r="K214" s="409" t="str">
        <f>IFERROR('2.3'!K201/'2.1'!K212,"")</f>
        <v/>
      </c>
      <c r="L214" s="409">
        <f>IFERROR('2.3'!L201/'2.1'!L212,"")</f>
        <v>0.43201856148491879</v>
      </c>
      <c r="M214" s="409">
        <f>IFERROR('2.3'!M201/'2.1'!M212,"")</f>
        <v>0.63059313215400625</v>
      </c>
      <c r="N214" s="409">
        <f>IFERROR('2.3'!N201/'2.1'!N212,"")</f>
        <v>0.49326059050064186</v>
      </c>
      <c r="O214" s="409" t="str">
        <f>IFERROR('2.3'!O201/'2.1'!O212,"")</f>
        <v/>
      </c>
      <c r="P214" s="409" t="str">
        <f>IFERROR('2.3'!P201/'2.1'!P212,"")</f>
        <v/>
      </c>
      <c r="Q214" s="409" t="str">
        <f>IFERROR('2.3'!Q201/'2.1'!Q212,"")</f>
        <v/>
      </c>
      <c r="R214" s="409">
        <f>IFERROR('2.3'!R201/'2.1'!R212,"")</f>
        <v>0.80679785330948117</v>
      </c>
      <c r="S214" s="409">
        <f>IFERROR('2.3'!S201/'2.1'!S212,"")</f>
        <v>0.90063694267515926</v>
      </c>
      <c r="T214" s="409">
        <f>IFERROR('2.3'!T201/'2.1'!T212,"")</f>
        <v>0.8616071428571429</v>
      </c>
      <c r="U214" s="409">
        <f>IFERROR('2.3'!U201/'2.1'!X212,"")</f>
        <v>0.84042710959513567</v>
      </c>
      <c r="V214" s="409">
        <f>IFERROR('2.3'!V201/'2.1'!Y212,"")</f>
        <v>0.87332026206302904</v>
      </c>
      <c r="W214" s="409">
        <f>IFERROR('2.3'!W201/'2.1'!Z212,"")</f>
        <v>0.85714632960622261</v>
      </c>
    </row>
    <row r="215" spans="2:23" outlineLevel="1" x14ac:dyDescent="0.25">
      <c r="B215" s="404">
        <v>44682</v>
      </c>
      <c r="C215" s="409">
        <f>IFERROR('2.3'!C202/'2.1'!C213,"")</f>
        <v>0.91473648875461566</v>
      </c>
      <c r="D215" s="409">
        <f>IFERROR('2.3'!D202/'2.1'!D213,"")</f>
        <v>0.9315960912052117</v>
      </c>
      <c r="E215" s="409">
        <f>IFERROR('2.3'!E202/'2.1'!E213,"")</f>
        <v>0.92180187207488296</v>
      </c>
      <c r="F215" s="409">
        <f>IFERROR('2.3'!F202/'2.1'!F213,"")</f>
        <v>0.88825508263858421</v>
      </c>
      <c r="G215" s="409">
        <f>IFERROR('2.3'!G202/'2.1'!G213,"")</f>
        <v>0.87431098188866674</v>
      </c>
      <c r="H215" s="409">
        <f>IFERROR('2.3'!H202/'2.1'!H213,"")</f>
        <v>0.8806281681741378</v>
      </c>
      <c r="I215" s="409" t="str">
        <f>IFERROR('2.3'!I202/'2.1'!I213,"")</f>
        <v/>
      </c>
      <c r="J215" s="409" t="str">
        <f>IFERROR('2.3'!J202/'2.1'!J213,"")</f>
        <v/>
      </c>
      <c r="K215" s="409" t="str">
        <f>IFERROR('2.3'!K202/'2.1'!K213,"")</f>
        <v/>
      </c>
      <c r="L215" s="409">
        <f>IFERROR('2.3'!L202/'2.1'!L213,"")</f>
        <v>0.40619223659889092</v>
      </c>
      <c r="M215" s="409">
        <f>IFERROR('2.3'!M202/'2.1'!M213,"")</f>
        <v>0.60745614035087714</v>
      </c>
      <c r="N215" s="409">
        <f>IFERROR('2.3'!N202/'2.1'!N213,"")</f>
        <v>0.46586475942782835</v>
      </c>
      <c r="O215" s="409" t="str">
        <f>IFERROR('2.3'!O202/'2.1'!O213,"")</f>
        <v/>
      </c>
      <c r="P215" s="409" t="str">
        <f>IFERROR('2.3'!P202/'2.1'!P213,"")</f>
        <v/>
      </c>
      <c r="Q215" s="409" t="str">
        <f>IFERROR('2.3'!Q202/'2.1'!Q213,"")</f>
        <v/>
      </c>
      <c r="R215" s="409">
        <f>IFERROR('2.3'!R202/'2.1'!R213,"")</f>
        <v>0.76094890510948909</v>
      </c>
      <c r="S215" s="409">
        <f>IFERROR('2.3'!S202/'2.1'!S213,"")</f>
        <v>0.84661117717003564</v>
      </c>
      <c r="T215" s="409">
        <f>IFERROR('2.3'!T202/'2.1'!T213,"")</f>
        <v>0.81281497480201581</v>
      </c>
      <c r="U215" s="409">
        <f>IFERROR('2.3'!U202/'2.1'!X213,"")</f>
        <v>0.83485670023237801</v>
      </c>
      <c r="V215" s="409">
        <f>IFERROR('2.3'!V202/'2.1'!Y213,"")</f>
        <v>0.86727744843466759</v>
      </c>
      <c r="W215" s="409">
        <f>IFERROR('2.3'!W202/'2.1'!Z213,"")</f>
        <v>0.85149336283185839</v>
      </c>
    </row>
    <row r="216" spans="2:23" outlineLevel="1" x14ac:dyDescent="0.25">
      <c r="B216" s="404">
        <v>44713</v>
      </c>
      <c r="C216" s="409">
        <f>IFERROR('2.3'!C203/'2.1'!C214,"")</f>
        <v>0.93427391603578802</v>
      </c>
      <c r="D216" s="409">
        <f>IFERROR('2.3'!D203/'2.1'!D214,"")</f>
        <v>0.9372217275155833</v>
      </c>
      <c r="E216" s="409">
        <f>IFERROR('2.3'!E203/'2.1'!E214,"")</f>
        <v>0.93555900621118016</v>
      </c>
      <c r="F216" s="409">
        <f>IFERROR('2.3'!F203/'2.1'!F214,"")</f>
        <v>0.87966565787577455</v>
      </c>
      <c r="G216" s="409">
        <f>IFERROR('2.3'!G203/'2.1'!G214,"")</f>
        <v>0.84206798866855526</v>
      </c>
      <c r="H216" s="409">
        <f>IFERROR('2.3'!H203/'2.1'!H214,"")</f>
        <v>0.85899682045292325</v>
      </c>
      <c r="I216" s="409" t="str">
        <f>IFERROR('2.3'!I203/'2.1'!I214,"")</f>
        <v/>
      </c>
      <c r="J216" s="409" t="str">
        <f>IFERROR('2.3'!J203/'2.1'!J214,"")</f>
        <v/>
      </c>
      <c r="K216" s="409" t="str">
        <f>IFERROR('2.3'!K203/'2.1'!K214,"")</f>
        <v/>
      </c>
      <c r="L216" s="409">
        <f>IFERROR('2.3'!L203/'2.1'!L214,"")</f>
        <v>0.34416622269579117</v>
      </c>
      <c r="M216" s="409">
        <f>IFERROR('2.3'!M203/'2.1'!M214,"")</f>
        <v>0.54698795180722892</v>
      </c>
      <c r="N216" s="409">
        <f>IFERROR('2.3'!N203/'2.1'!N214,"")</f>
        <v>0.40635389730328775</v>
      </c>
      <c r="O216" s="409" t="str">
        <f>IFERROR('2.3'!O203/'2.1'!O214,"")</f>
        <v/>
      </c>
      <c r="P216" s="409" t="str">
        <f>IFERROR('2.3'!P203/'2.1'!P214,"")</f>
        <v/>
      </c>
      <c r="Q216" s="409" t="str">
        <f>IFERROR('2.3'!Q203/'2.1'!Q214,"")</f>
        <v/>
      </c>
      <c r="R216" s="409">
        <f>IFERROR('2.3'!R203/'2.1'!R214,"")</f>
        <v>0.77735124760076779</v>
      </c>
      <c r="S216" s="409">
        <f>IFERROR('2.3'!S203/'2.1'!S214,"")</f>
        <v>0.88034188034188032</v>
      </c>
      <c r="T216" s="409">
        <f>IFERROR('2.3'!T203/'2.1'!T214,"")</f>
        <v>0.84029850746268653</v>
      </c>
      <c r="U216" s="409">
        <f>IFERROR('2.3'!U203/'2.1'!X214,"")</f>
        <v>0.83275987905327908</v>
      </c>
      <c r="V216" s="409">
        <f>IFERROR('2.3'!V203/'2.1'!Y214,"")</f>
        <v>0.84207495561207346</v>
      </c>
      <c r="W216" s="409">
        <f>IFERROR('2.3'!W203/'2.1'!Z214,"")</f>
        <v>0.83761025461632643</v>
      </c>
    </row>
    <row r="217" spans="2:23" outlineLevel="1" x14ac:dyDescent="0.25">
      <c r="B217" s="404">
        <v>44743</v>
      </c>
      <c r="C217" s="409">
        <f>IFERROR('2.3'!C204/'2.1'!C215,"")</f>
        <v>0.93603342976534876</v>
      </c>
      <c r="D217" s="409">
        <f>IFERROR('2.3'!D204/'2.1'!D215,"")</f>
        <v>0.95961820851688695</v>
      </c>
      <c r="E217" s="409">
        <f>IFERROR('2.3'!E204/'2.1'!E215,"")</f>
        <v>0.94704370179948583</v>
      </c>
      <c r="F217" s="409">
        <f>IFERROR('2.3'!F204/'2.1'!F215,"")</f>
        <v>0.85896536327103401</v>
      </c>
      <c r="G217" s="409">
        <f>IFERROR('2.3'!G204/'2.1'!G215,"")</f>
        <v>0.79224238388546697</v>
      </c>
      <c r="H217" s="409">
        <f>IFERROR('2.3'!H204/'2.1'!H215,"")</f>
        <v>0.82328328090687874</v>
      </c>
      <c r="I217" s="409" t="str">
        <f>IFERROR('2.3'!I204/'2.1'!I215,"")</f>
        <v/>
      </c>
      <c r="J217" s="409" t="str">
        <f>IFERROR('2.3'!J204/'2.1'!J215,"")</f>
        <v/>
      </c>
      <c r="K217" s="409" t="str">
        <f>IFERROR('2.3'!K204/'2.1'!K215,"")</f>
        <v/>
      </c>
      <c r="L217" s="409">
        <f>IFERROR('2.3'!L204/'2.1'!L215,"")</f>
        <v>0.30881681132937416</v>
      </c>
      <c r="M217" s="409">
        <f>IFERROR('2.3'!M204/'2.1'!M215,"")</f>
        <v>0.47109207708779444</v>
      </c>
      <c r="N217" s="409">
        <f>IFERROR('2.3'!N204/'2.1'!N215,"")</f>
        <v>0.35734870317002881</v>
      </c>
      <c r="O217" s="409" t="str">
        <f>IFERROR('2.3'!O204/'2.1'!O215,"")</f>
        <v/>
      </c>
      <c r="P217" s="409" t="str">
        <f>IFERROR('2.3'!P204/'2.1'!P215,"")</f>
        <v/>
      </c>
      <c r="Q217" s="409" t="str">
        <f>IFERROR('2.3'!Q204/'2.1'!Q215,"")</f>
        <v/>
      </c>
      <c r="R217" s="409">
        <f>IFERROR('2.3'!R204/'2.1'!R215,"")</f>
        <v>0.76570458404074704</v>
      </c>
      <c r="S217" s="409">
        <f>IFERROR('2.3'!S204/'2.1'!S215,"")</f>
        <v>0.89251844046364592</v>
      </c>
      <c r="T217" s="409">
        <f>IFERROR('2.3'!T204/'2.1'!T215,"")</f>
        <v>0.84395318595578672</v>
      </c>
      <c r="U217" s="409">
        <f>IFERROR('2.3'!U204/'2.1'!X215,"")</f>
        <v>0.81169433367337473</v>
      </c>
      <c r="V217" s="409">
        <f>IFERROR('2.3'!V204/'2.1'!Y215,"")</f>
        <v>0.80334099345943077</v>
      </c>
      <c r="W217" s="409">
        <f>IFERROR('2.3'!W204/'2.1'!Z215,"")</f>
        <v>0.80741729646558358</v>
      </c>
    </row>
    <row r="218" spans="2:23" outlineLevel="1" x14ac:dyDescent="0.25">
      <c r="B218" s="404">
        <v>44774</v>
      </c>
      <c r="C218" s="409">
        <f>IFERROR('2.3'!C205/'2.1'!C216,"")</f>
        <v>0.92627254051586394</v>
      </c>
      <c r="D218" s="409">
        <f>IFERROR('2.3'!D205/'2.1'!D216,"")</f>
        <v>0.96937780378388927</v>
      </c>
      <c r="E218" s="409">
        <f>IFERROR('2.3'!E205/'2.1'!E216,"")</f>
        <v>0.94951619688683209</v>
      </c>
      <c r="F218" s="409">
        <f>IFERROR('2.3'!F205/'2.1'!F216,"")</f>
        <v>0.79410848573844173</v>
      </c>
      <c r="G218" s="409">
        <f>IFERROR('2.3'!G205/'2.1'!G216,"")</f>
        <v>0.75844337968914344</v>
      </c>
      <c r="H218" s="409">
        <f>IFERROR('2.3'!H205/'2.1'!H216,"")</f>
        <v>0.77509139248919912</v>
      </c>
      <c r="I218" s="409" t="str">
        <f>IFERROR('2.3'!I205/'2.1'!I216,"")</f>
        <v/>
      </c>
      <c r="J218" s="409" t="str">
        <f>IFERROR('2.3'!J205/'2.1'!J216,"")</f>
        <v/>
      </c>
      <c r="K218" s="409" t="str">
        <f>IFERROR('2.3'!K205/'2.1'!K216,"")</f>
        <v/>
      </c>
      <c r="L218" s="409">
        <f>IFERROR('2.3'!L205/'2.1'!L216,"")</f>
        <v>0.21977186311787072</v>
      </c>
      <c r="M218" s="409">
        <f>IFERROR('2.3'!M205/'2.1'!M216,"")</f>
        <v>0.37621832358674462</v>
      </c>
      <c r="N218" s="409">
        <f>IFERROR('2.3'!N205/'2.1'!N216,"")</f>
        <v>0.26367614879649892</v>
      </c>
      <c r="O218" s="409" t="str">
        <f>IFERROR('2.3'!O205/'2.1'!O216,"")</f>
        <v/>
      </c>
      <c r="P218" s="409" t="str">
        <f>IFERROR('2.3'!P205/'2.1'!P216,"")</f>
        <v/>
      </c>
      <c r="Q218" s="409" t="str">
        <f>IFERROR('2.3'!Q205/'2.1'!Q216,"")</f>
        <v/>
      </c>
      <c r="R218" s="409">
        <f>IFERROR('2.3'!R205/'2.1'!R216,"")</f>
        <v>0.79738562091503273</v>
      </c>
      <c r="S218" s="409">
        <f>IFERROR('2.3'!S205/'2.1'!S216,"")</f>
        <v>0.8671679197994987</v>
      </c>
      <c r="T218" s="409">
        <f>IFERROR('2.3'!T205/'2.1'!T216,"")</f>
        <v>0.83995922528032618</v>
      </c>
      <c r="U218" s="409">
        <f>IFERROR('2.3'!U205/'2.1'!X216,"")</f>
        <v>0.76339713709544121</v>
      </c>
      <c r="V218" s="409">
        <f>IFERROR('2.3'!V205/'2.1'!Y216,"")</f>
        <v>0.78325913812422399</v>
      </c>
      <c r="W218" s="409">
        <f>IFERROR('2.3'!W205/'2.1'!Z216,"")</f>
        <v>0.77376323692113169</v>
      </c>
    </row>
    <row r="219" spans="2:23" outlineLevel="1" x14ac:dyDescent="0.25">
      <c r="B219" s="404">
        <v>44805</v>
      </c>
      <c r="C219" s="409">
        <f>IFERROR('2.3'!C206/'2.1'!C217,"")</f>
        <v>0.89052857526160456</v>
      </c>
      <c r="D219" s="409">
        <f>IFERROR('2.3'!D206/'2.1'!D217,"")</f>
        <v>0.88384196829903006</v>
      </c>
      <c r="E219" s="409">
        <f>IFERROR('2.3'!E206/'2.1'!E217,"")</f>
        <v>0.88697510686447067</v>
      </c>
      <c r="F219" s="409">
        <f>IFERROR('2.3'!F206/'2.1'!F217,"")</f>
        <v>0.82242786359661901</v>
      </c>
      <c r="G219" s="409">
        <f>IFERROR('2.3'!G206/'2.1'!G217,"")</f>
        <v>0.7760981400870598</v>
      </c>
      <c r="H219" s="409">
        <f>IFERROR('2.3'!H206/'2.1'!H217,"")</f>
        <v>0.80022003869646041</v>
      </c>
      <c r="I219" s="409" t="str">
        <f>IFERROR('2.3'!I206/'2.1'!I217,"")</f>
        <v/>
      </c>
      <c r="J219" s="409" t="str">
        <f>IFERROR('2.3'!J206/'2.1'!J217,"")</f>
        <v/>
      </c>
      <c r="K219" s="409" t="str">
        <f>IFERROR('2.3'!K206/'2.1'!K217,"")</f>
        <v/>
      </c>
      <c r="L219" s="409">
        <f>IFERROR('2.3'!L206/'2.1'!L217,"")</f>
        <v>0.17531120331950206</v>
      </c>
      <c r="M219" s="409">
        <f>IFERROR('2.3'!M206/'2.1'!M217,"")</f>
        <v>0.31186868686868685</v>
      </c>
      <c r="N219" s="409">
        <f>IFERROR('2.3'!N206/'2.1'!N217,"")</f>
        <v>0.21507352941176472</v>
      </c>
      <c r="O219" s="409" t="str">
        <f>IFERROR('2.3'!O206/'2.1'!O217,"")</f>
        <v/>
      </c>
      <c r="P219" s="409" t="str">
        <f>IFERROR('2.3'!P206/'2.1'!P217,"")</f>
        <v/>
      </c>
      <c r="Q219" s="409" t="str">
        <f>IFERROR('2.3'!Q206/'2.1'!Q217,"")</f>
        <v/>
      </c>
      <c r="R219" s="409">
        <f>IFERROR('2.3'!R206/'2.1'!R217,"")</f>
        <v>0.75933609958506221</v>
      </c>
      <c r="S219" s="409">
        <f>IFERROR('2.3'!S206/'2.1'!S217,"")</f>
        <v>0.8609355246523388</v>
      </c>
      <c r="T219" s="409">
        <f>IFERROR('2.3'!T206/'2.1'!T217,"")</f>
        <v>0.82246661429693635</v>
      </c>
      <c r="U219" s="409">
        <f>IFERROR('2.3'!U206/'2.1'!X217,"")</f>
        <v>0.77085745934242988</v>
      </c>
      <c r="V219" s="409">
        <f>IFERROR('2.3'!V206/'2.1'!Y217,"")</f>
        <v>0.78449444293846571</v>
      </c>
      <c r="W219" s="409">
        <f>IFERROR('2.3'!W206/'2.1'!Z217,"")</f>
        <v>0.77742390226074243</v>
      </c>
    </row>
    <row r="220" spans="2:23" outlineLevel="1" x14ac:dyDescent="0.25">
      <c r="B220" s="404">
        <v>44835</v>
      </c>
      <c r="C220" s="409">
        <f>IFERROR('2.3'!C207/'2.1'!C218,"")</f>
        <v>0.87414288874142887</v>
      </c>
      <c r="D220" s="409">
        <f>IFERROR('2.3'!D207/'2.1'!D218,"")</f>
        <v>0.89735469448584204</v>
      </c>
      <c r="E220" s="409">
        <f>IFERROR('2.3'!E207/'2.1'!E218,"")</f>
        <v>0.88674284558600469</v>
      </c>
      <c r="F220" s="409">
        <f>IFERROR('2.3'!F207/'2.1'!F218,"")</f>
        <v>0.8240873666940115</v>
      </c>
      <c r="G220" s="409">
        <f>IFERROR('2.3'!G207/'2.1'!G218,"")</f>
        <v>0.78561293108766739</v>
      </c>
      <c r="H220" s="409">
        <f>IFERROR('2.3'!H207/'2.1'!H218,"")</f>
        <v>0.806625038501386</v>
      </c>
      <c r="I220" s="409" t="str">
        <f>IFERROR('2.3'!I207/'2.1'!I218,"")</f>
        <v/>
      </c>
      <c r="J220" s="409" t="str">
        <f>IFERROR('2.3'!J207/'2.1'!J218,"")</f>
        <v/>
      </c>
      <c r="K220" s="409" t="str">
        <f>IFERROR('2.3'!K207/'2.1'!K218,"")</f>
        <v/>
      </c>
      <c r="L220" s="409">
        <f>IFERROR('2.3'!L207/'2.1'!L218,"")</f>
        <v>0.1297134238310709</v>
      </c>
      <c r="M220" s="409">
        <f>IFERROR('2.3'!M207/'2.1'!M218,"")</f>
        <v>0.2153846153846154</v>
      </c>
      <c r="N220" s="409">
        <f>IFERROR('2.3'!N207/'2.1'!N218,"")</f>
        <v>0.15384615384615385</v>
      </c>
      <c r="O220" s="409" t="str">
        <f>IFERROR('2.3'!O207/'2.1'!O218,"")</f>
        <v/>
      </c>
      <c r="P220" s="409" t="str">
        <f>IFERROR('2.3'!P207/'2.1'!P218,"")</f>
        <v/>
      </c>
      <c r="Q220" s="409" t="str">
        <f>IFERROR('2.3'!Q207/'2.1'!Q218,"")</f>
        <v/>
      </c>
      <c r="R220" s="409">
        <f>IFERROR('2.3'!R207/'2.1'!R218,"")</f>
        <v>0.77225672877846796</v>
      </c>
      <c r="S220" s="409">
        <f>IFERROR('2.3'!S207/'2.1'!S218,"")</f>
        <v>0.82926829268292679</v>
      </c>
      <c r="T220" s="409">
        <f>IFERROR('2.3'!T207/'2.1'!T218,"")</f>
        <v>0.80671580671580667</v>
      </c>
      <c r="U220" s="409">
        <f>IFERROR('2.3'!U207/'2.1'!X218,"")</f>
        <v>0.77955995018303958</v>
      </c>
      <c r="V220" s="409">
        <f>IFERROR('2.3'!V207/'2.1'!Y218,"")</f>
        <v>0.79372158475860577</v>
      </c>
      <c r="W220" s="409">
        <f>IFERROR('2.3'!W207/'2.1'!Z218,"")</f>
        <v>0.78615502500403289</v>
      </c>
    </row>
    <row r="221" spans="2:23" outlineLevel="1" x14ac:dyDescent="0.25">
      <c r="B221" s="404">
        <v>44866</v>
      </c>
      <c r="C221" s="409">
        <f>IFERROR('2.3'!C208/'2.1'!C219,"")</f>
        <v>0.89889355207935906</v>
      </c>
      <c r="D221" s="409">
        <f>IFERROR('2.3'!D208/'2.1'!D219,"")</f>
        <v>0.91626578472639808</v>
      </c>
      <c r="E221" s="409">
        <f>IFERROR('2.3'!E208/'2.1'!E219,"")</f>
        <v>0.90860938288212545</v>
      </c>
      <c r="F221" s="409">
        <f>IFERROR('2.3'!F208/'2.1'!F219,"")</f>
        <v>0.85401376146788988</v>
      </c>
      <c r="G221" s="409">
        <f>IFERROR('2.3'!G208/'2.1'!G219,"")</f>
        <v>0.79680798706320743</v>
      </c>
      <c r="H221" s="409">
        <f>IFERROR('2.3'!H208/'2.1'!H219,"")</f>
        <v>0.82831696301677038</v>
      </c>
      <c r="I221" s="409" t="str">
        <f>IFERROR('2.3'!I208/'2.1'!I219,"")</f>
        <v/>
      </c>
      <c r="J221" s="409" t="str">
        <f>IFERROR('2.3'!J208/'2.1'!J219,"")</f>
        <v/>
      </c>
      <c r="K221" s="409" t="str">
        <f>IFERROR('2.3'!K208/'2.1'!K219,"")</f>
        <v/>
      </c>
      <c r="L221" s="409">
        <f>IFERROR('2.3'!L208/'2.1'!L219,"")</f>
        <v>9.7091722595078297E-2</v>
      </c>
      <c r="M221" s="409">
        <f>IFERROR('2.3'!M208/'2.1'!M219,"")</f>
        <v>0.18365061590145576</v>
      </c>
      <c r="N221" s="409">
        <f>IFERROR('2.3'!N208/'2.1'!N219,"")</f>
        <v>0.12180306905370844</v>
      </c>
      <c r="O221" s="409" t="str">
        <f>IFERROR('2.3'!O208/'2.1'!O219,"")</f>
        <v/>
      </c>
      <c r="P221" s="409" t="str">
        <f>IFERROR('2.3'!P208/'2.1'!P219,"")</f>
        <v/>
      </c>
      <c r="Q221" s="409" t="str">
        <f>IFERROR('2.3'!Q208/'2.1'!Q219,"")</f>
        <v/>
      </c>
      <c r="R221" s="409">
        <f>IFERROR('2.3'!R208/'2.1'!R219,"")</f>
        <v>0.76720647773279349</v>
      </c>
      <c r="S221" s="409">
        <f>IFERROR('2.3'!S208/'2.1'!S219,"")</f>
        <v>0.85354141656662663</v>
      </c>
      <c r="T221" s="409">
        <f>IFERROR('2.3'!T208/'2.1'!T219,"")</f>
        <v>0.82140165787490582</v>
      </c>
      <c r="U221" s="409">
        <f>IFERROR('2.3'!U208/'2.1'!X219,"")</f>
        <v>0.79501003502420209</v>
      </c>
      <c r="V221" s="409">
        <f>IFERROR('2.3'!V208/'2.1'!Y219,"")</f>
        <v>0.80983142338834568</v>
      </c>
      <c r="W221" s="409">
        <f>IFERROR('2.3'!W208/'2.1'!Z219,"")</f>
        <v>0.8019870032491877</v>
      </c>
    </row>
    <row r="222" spans="2:23" outlineLevel="1" x14ac:dyDescent="0.25">
      <c r="B222" s="404">
        <v>44896</v>
      </c>
      <c r="C222" s="409">
        <f>IFERROR('2.3'!C209/'2.1'!C220,"")</f>
        <v>0.93206521739130432</v>
      </c>
      <c r="D222" s="409">
        <f>IFERROR('2.3'!D209/'2.1'!D220,"")</f>
        <v>0.94828184658104819</v>
      </c>
      <c r="E222" s="409">
        <f>IFERROR('2.3'!E209/'2.1'!E220,"")</f>
        <v>0.94092546937227384</v>
      </c>
      <c r="F222" s="409">
        <f>IFERROR('2.3'!F209/'2.1'!F220,"")</f>
        <v>0.90391219949230994</v>
      </c>
      <c r="G222" s="409">
        <f>IFERROR('2.3'!G209/'2.1'!G220,"")</f>
        <v>0.84517497348886528</v>
      </c>
      <c r="H222" s="409">
        <f>IFERROR('2.3'!H209/'2.1'!H220,"")</f>
        <v>0.87701335491703769</v>
      </c>
      <c r="I222" s="409" t="str">
        <f>IFERROR('2.3'!I209/'2.1'!I220,"")</f>
        <v/>
      </c>
      <c r="J222" s="409" t="str">
        <f>IFERROR('2.3'!J209/'2.1'!J220,"")</f>
        <v/>
      </c>
      <c r="K222" s="409" t="str">
        <f>IFERROR('2.3'!K209/'2.1'!K220,"")</f>
        <v/>
      </c>
      <c r="L222" s="409">
        <f>IFERROR('2.3'!L209/'2.1'!L220,"")</f>
        <v>7.8327444051825679E-2</v>
      </c>
      <c r="M222" s="409">
        <f>IFERROR('2.3'!M209/'2.1'!M220,"")</f>
        <v>0.15283267457180499</v>
      </c>
      <c r="N222" s="409">
        <f>IFERROR('2.3'!N209/'2.1'!N220,"")</f>
        <v>0.10134310134310134</v>
      </c>
      <c r="O222" s="409" t="str">
        <f>IFERROR('2.3'!O209/'2.1'!O220,"")</f>
        <v/>
      </c>
      <c r="P222" s="409" t="str">
        <f>IFERROR('2.3'!P209/'2.1'!P220,"")</f>
        <v/>
      </c>
      <c r="Q222" s="409" t="str">
        <f>IFERROR('2.3'!Q209/'2.1'!Q220,"")</f>
        <v/>
      </c>
      <c r="R222" s="409">
        <f>IFERROR('2.3'!R209/'2.1'!R220,"")</f>
        <v>0.75569358178053825</v>
      </c>
      <c r="S222" s="409">
        <f>IFERROR('2.3'!S209/'2.1'!S220,"")</f>
        <v>0.8529411764705882</v>
      </c>
      <c r="T222" s="409">
        <f>IFERROR('2.3'!T209/'2.1'!T220,"")</f>
        <v>0.81478472786352563</v>
      </c>
      <c r="U222" s="409">
        <f>IFERROR('2.3'!U209/'2.1'!X220,"")</f>
        <v>0.83815511567365786</v>
      </c>
      <c r="V222" s="409">
        <f>IFERROR('2.3'!V209/'2.1'!Y220,"")</f>
        <v>0.84917944578961524</v>
      </c>
      <c r="W222" s="409">
        <f>IFERROR('2.3'!W209/'2.1'!Z220,"")</f>
        <v>0.8434161873459326</v>
      </c>
    </row>
    <row r="223" spans="2:23" x14ac:dyDescent="0.25">
      <c r="B223" s="407" t="s">
        <v>763</v>
      </c>
      <c r="C223" s="410">
        <f>IFERROR('2.3'!C210/'2.1'!C221,"")</f>
        <v>0.89897172236503853</v>
      </c>
      <c r="D223" s="410">
        <f>IFERROR('2.3'!D210/'2.1'!D221,"")</f>
        <v>0.92350956130483686</v>
      </c>
      <c r="E223" s="410">
        <f>IFERROR('2.3'!E210/'2.1'!E221,"")</f>
        <v>0.91069030351866775</v>
      </c>
      <c r="F223" s="410">
        <f>IFERROR('2.3'!F210/'2.1'!F221,"")</f>
        <v>0.85692047067441968</v>
      </c>
      <c r="G223" s="410">
        <f>IFERROR('2.3'!G210/'2.1'!G221,"")</f>
        <v>0.83224266006367176</v>
      </c>
      <c r="H223" s="410">
        <f>IFERROR('2.3'!H210/'2.1'!H221,"")</f>
        <v>0.84436646647322133</v>
      </c>
      <c r="I223" s="410">
        <f>IFERROR('2.3'!I210/'2.1'!I221,"")</f>
        <v>0.9324551569506726</v>
      </c>
      <c r="J223" s="410">
        <f>IFERROR('2.3'!J210/'2.1'!J221,"")</f>
        <v>0.95154884829229547</v>
      </c>
      <c r="K223" s="410">
        <f>IFERROR('2.3'!K210/'2.1'!K221,"")</f>
        <v>0.93743525999585664</v>
      </c>
      <c r="L223" s="410">
        <f>IFERROR('2.3'!L210/'2.1'!L221,"")</f>
        <v>0.3042863871879416</v>
      </c>
      <c r="M223" s="410">
        <f>IFERROR('2.3'!M210/'2.1'!M221,"")</f>
        <v>0.47964796479647964</v>
      </c>
      <c r="N223" s="410">
        <f>IFERROR('2.3'!N210/'2.1'!N221,"")</f>
        <v>0.35686015831134565</v>
      </c>
      <c r="O223" s="410">
        <f>IFERROR('2.3'!O210/'2.1'!O221,"")</f>
        <v>0.93252373214743867</v>
      </c>
      <c r="P223" s="410">
        <f>IFERROR('2.3'!P210/'2.1'!P221,"")</f>
        <v>0.94813661574389418</v>
      </c>
      <c r="Q223" s="410">
        <f>IFERROR('2.3'!Q210/'2.1'!Q221,"")</f>
        <v>0.93982703686845703</v>
      </c>
      <c r="R223" s="410">
        <f>IFERROR('2.3'!R210/'2.1'!R221,"")</f>
        <v>0.78627145085803429</v>
      </c>
      <c r="S223" s="410">
        <f>IFERROR('2.3'!S210/'2.1'!S221,"")</f>
        <v>0.86034658511722728</v>
      </c>
      <c r="T223" s="410">
        <f>IFERROR('2.3'!T210/'2.1'!T221,"")</f>
        <v>0.8315854410857495</v>
      </c>
      <c r="U223" s="410">
        <f>IFERROR('2.3'!U210/'2.1'!X221,"")</f>
        <v>0.8216470588235294</v>
      </c>
      <c r="V223" s="410">
        <f>IFERROR('2.3'!V210/'2.1'!Y221,"")</f>
        <v>0.8365681928249451</v>
      </c>
      <c r="W223" s="410">
        <f>IFERROR('2.3'!W210/'2.1'!Z221,"")</f>
        <v>0.82900051406330322</v>
      </c>
    </row>
    <row r="224" spans="2:23" outlineLevel="1" x14ac:dyDescent="0.25">
      <c r="B224" s="404">
        <v>44927</v>
      </c>
      <c r="C224" s="409">
        <f>IFERROR('2.3'!C211/'2.1'!C222,"")</f>
        <v>0.85029239766081877</v>
      </c>
      <c r="D224" s="409">
        <f>IFERROR('2.3'!D211/'2.1'!D222,"")</f>
        <v>0.93144081414033209</v>
      </c>
      <c r="E224" s="409">
        <f>IFERROR('2.3'!E211/'2.1'!E222,"")</f>
        <v>0.8963142972863507</v>
      </c>
      <c r="F224" s="409">
        <f>IFERROR('2.3'!F211/'2.1'!F222,"")</f>
        <v>0.85650520747230952</v>
      </c>
      <c r="G224" s="409">
        <f>IFERROR('2.3'!G211/'2.1'!G222,"")</f>
        <v>0.77308787632221321</v>
      </c>
      <c r="H224" s="409">
        <f>IFERROR('2.3'!H211/'2.1'!H222,"")</f>
        <v>0.81910624715002278</v>
      </c>
      <c r="I224" s="409" t="str">
        <f>IFERROR('2.3'!I211/'2.1'!I222,"")</f>
        <v/>
      </c>
      <c r="J224" s="409" t="str">
        <f>IFERROR('2.3'!J211/'2.1'!J222,"")</f>
        <v/>
      </c>
      <c r="K224" s="409" t="str">
        <f>IFERROR('2.3'!K211/'2.1'!K222,"")</f>
        <v/>
      </c>
      <c r="L224" s="409">
        <f>IFERROR('2.3'!L211/'2.1'!L222,"")</f>
        <v>6.1981454367984384E-2</v>
      </c>
      <c r="M224" s="409">
        <f>IFERROR('2.3'!M211/'2.1'!M222,"")</f>
        <v>0.1480637813211845</v>
      </c>
      <c r="N224" s="409">
        <f>IFERROR('2.3'!N211/'2.1'!N222,"")</f>
        <v>8.7803211479330373E-2</v>
      </c>
      <c r="O224" s="409" t="str">
        <f>IFERROR('2.3'!O211/'2.1'!O222,"")</f>
        <v/>
      </c>
      <c r="P224" s="409" t="str">
        <f>IFERROR('2.3'!P211/'2.1'!P222,"")</f>
        <v/>
      </c>
      <c r="Q224" s="409" t="str">
        <f>IFERROR('2.3'!Q211/'2.1'!Q222,"")</f>
        <v/>
      </c>
      <c r="R224" s="409">
        <f>IFERROR('2.3'!R211/'2.1'!R222,"")</f>
        <v>0.69320388349514561</v>
      </c>
      <c r="S224" s="409">
        <f>IFERROR('2.3'!S211/'2.1'!S222,"")</f>
        <v>0.82430806257521061</v>
      </c>
      <c r="T224" s="409">
        <f>IFERROR('2.3'!T211/'2.1'!T222,"")</f>
        <v>0.77414561664190196</v>
      </c>
      <c r="U224" s="409">
        <f>IFERROR('2.3'!U211/'2.1'!X222,"")</f>
        <v>0.76469345725299676</v>
      </c>
      <c r="V224" s="409">
        <f>IFERROR('2.3'!V211/'2.1'!Y222,"")</f>
        <v>0.79529809823824527</v>
      </c>
      <c r="W224" s="409">
        <f>IFERROR('2.3'!W211/'2.1'!Z222,"")</f>
        <v>0.77923445771778599</v>
      </c>
    </row>
    <row r="225" spans="2:23" outlineLevel="1" x14ac:dyDescent="0.25">
      <c r="B225" s="404">
        <v>44958</v>
      </c>
      <c r="C225" s="409">
        <f>IFERROR('2.3'!C212/'2.1'!C223,"")</f>
        <v>0.6055232558139535</v>
      </c>
      <c r="D225" s="409">
        <f>IFERROR('2.3'!D212/'2.1'!D223,"")</f>
        <v>0.44639598540145986</v>
      </c>
      <c r="E225" s="409">
        <f>IFERROR('2.3'!E212/'2.1'!E223,"")</f>
        <v>0.51635991820040905</v>
      </c>
      <c r="F225" s="409">
        <f>IFERROR('2.3'!F212/'2.1'!F223,"")</f>
        <v>0.59539933354831776</v>
      </c>
      <c r="G225" s="409">
        <f>IFERROR('2.3'!G212/'2.1'!G223,"")</f>
        <v>0.52209110867178921</v>
      </c>
      <c r="H225" s="409">
        <f>IFERROR('2.3'!H212/'2.1'!H223,"")</f>
        <v>0.56319691398951244</v>
      </c>
      <c r="I225" s="409" t="str">
        <f>IFERROR('2.3'!I212/'2.1'!I223,"")</f>
        <v/>
      </c>
      <c r="J225" s="409" t="str">
        <f>IFERROR('2.3'!J212/'2.1'!J223,"")</f>
        <v/>
      </c>
      <c r="K225" s="409" t="str">
        <f>IFERROR('2.3'!K212/'2.1'!K223,"")</f>
        <v/>
      </c>
      <c r="L225" s="409">
        <f>IFERROR('2.3'!L212/'2.1'!L223,"")</f>
        <v>9.8436595251881875E-3</v>
      </c>
      <c r="M225" s="409">
        <f>IFERROR('2.3'!M212/'2.1'!M223,"")</f>
        <v>2.2038567493112948E-2</v>
      </c>
      <c r="N225" s="409">
        <f>IFERROR('2.3'!N212/'2.1'!N223,"")</f>
        <v>1.3452914798206279E-2</v>
      </c>
      <c r="O225" s="409" t="str">
        <f>IFERROR('2.3'!O212/'2.1'!O223,"")</f>
        <v/>
      </c>
      <c r="P225" s="409" t="str">
        <f>IFERROR('2.3'!P212/'2.1'!P223,"")</f>
        <v/>
      </c>
      <c r="Q225" s="409" t="str">
        <f>IFERROR('2.3'!Q212/'2.1'!Q223,"")</f>
        <v/>
      </c>
      <c r="R225" s="409">
        <f>IFERROR('2.3'!R212/'2.1'!R223,"")</f>
        <v>0.35583941605839414</v>
      </c>
      <c r="S225" s="409">
        <f>IFERROR('2.3'!S212/'2.1'!S223,"")</f>
        <v>0.39866666666666667</v>
      </c>
      <c r="T225" s="409">
        <f>IFERROR('2.3'!T212/'2.1'!T223,"")</f>
        <v>0.38058551617873654</v>
      </c>
      <c r="U225" s="409">
        <f>IFERROR('2.3'!U212/'2.1'!X223,"")</f>
        <v>0.52164069782927158</v>
      </c>
      <c r="V225" s="409">
        <f>IFERROR('2.3'!V212/'2.1'!Y223,"")</f>
        <v>0.46219957407970796</v>
      </c>
      <c r="W225" s="409">
        <f>IFERROR('2.3'!W212/'2.1'!Z223,"")</f>
        <v>0.49389334658808492</v>
      </c>
    </row>
    <row r="226" spans="2:23" outlineLevel="1" x14ac:dyDescent="0.25">
      <c r="B226" s="404">
        <v>44986</v>
      </c>
      <c r="C226" s="409">
        <f>IFERROR('2.3'!C213/'2.1'!C224,"")</f>
        <v>0.40485829959514169</v>
      </c>
      <c r="D226" s="409">
        <f>IFERROR('2.3'!D213/'2.1'!D224,"")</f>
        <v>0.36538088776894745</v>
      </c>
      <c r="E226" s="409">
        <f>IFERROR('2.3'!E213/'2.1'!E224,"")</f>
        <v>0.381223163513984</v>
      </c>
      <c r="F226" s="409">
        <f>IFERROR('2.3'!F213/'2.1'!F224,"")</f>
        <v>0.35318319618882632</v>
      </c>
      <c r="G226" s="409">
        <f>IFERROR('2.3'!G213/'2.1'!G224,"")</f>
        <v>0.22359568142700673</v>
      </c>
      <c r="H226" s="409">
        <f>IFERROR('2.3'!H213/'2.1'!H224,"")</f>
        <v>0.30018557624624048</v>
      </c>
      <c r="I226" s="409" t="str">
        <f>IFERROR('2.3'!I213/'2.1'!I224,"")</f>
        <v/>
      </c>
      <c r="J226" s="409" t="str">
        <f>IFERROR('2.3'!J213/'2.1'!J224,"")</f>
        <v/>
      </c>
      <c r="K226" s="409" t="str">
        <f>IFERROR('2.3'!K213/'2.1'!K224,"")</f>
        <v/>
      </c>
      <c r="L226" s="409">
        <f>IFERROR('2.3'!L213/'2.1'!L224,"")</f>
        <v>2.5521054870267972E-3</v>
      </c>
      <c r="M226" s="409">
        <f>IFERROR('2.3'!M213/'2.1'!M224,"")</f>
        <v>1.4959723820483314E-2</v>
      </c>
      <c r="N226" s="409">
        <f>IFERROR('2.3'!N213/'2.1'!N224,"")</f>
        <v>5.9006211180124227E-3</v>
      </c>
      <c r="O226" s="409" t="str">
        <f>IFERROR('2.3'!O213/'2.1'!O224,"")</f>
        <v/>
      </c>
      <c r="P226" s="409" t="str">
        <f>IFERROR('2.3'!P213/'2.1'!P224,"")</f>
        <v/>
      </c>
      <c r="Q226" s="409" t="str">
        <f>IFERROR('2.3'!Q213/'2.1'!Q224,"")</f>
        <v/>
      </c>
      <c r="R226" s="409">
        <f>IFERROR('2.3'!R213/'2.1'!R224,"")</f>
        <v>0.12209302325581395</v>
      </c>
      <c r="S226" s="409">
        <f>IFERROR('2.3'!S213/'2.1'!S224,"")</f>
        <v>0.14752116082224909</v>
      </c>
      <c r="T226" s="409">
        <f>IFERROR('2.3'!T213/'2.1'!T224,"")</f>
        <v>0.13597359735973596</v>
      </c>
      <c r="U226" s="409">
        <f>IFERROR('2.3'!U213/'2.1'!X224,"")</f>
        <v>0.3020402974639293</v>
      </c>
      <c r="V226" s="409">
        <f>IFERROR('2.3'!V213/'2.1'!Y224,"")</f>
        <v>0.26038049222406762</v>
      </c>
      <c r="W226" s="409">
        <f>IFERROR('2.3'!W213/'2.1'!Z224,"")</f>
        <v>0.28299803305842164</v>
      </c>
    </row>
    <row r="227" spans="2:23" ht="30" x14ac:dyDescent="0.25">
      <c r="B227" s="407" t="s">
        <v>948</v>
      </c>
      <c r="C227" s="410">
        <f>IFERROR('2.3'!C214/'2.1'!C225,"")</f>
        <v>0.63721804511278191</v>
      </c>
      <c r="D227" s="410">
        <f>IFERROR('2.3'!D214/'2.1'!D225,"")</f>
        <v>0.59825673534072898</v>
      </c>
      <c r="E227" s="410">
        <f>IFERROR('2.3'!E214/'2.1'!E225,"")</f>
        <v>0.61468308253533976</v>
      </c>
      <c r="F227" s="410">
        <f>IFERROR('2.3'!F214/'2.1'!F225,"")</f>
        <v>0.6255385820603212</v>
      </c>
      <c r="G227" s="410">
        <f>IFERROR('2.3'!G214/'2.1'!G225,"")</f>
        <v>0.54587214495342606</v>
      </c>
      <c r="H227" s="410">
        <f>IFERROR('2.3'!H214/'2.1'!H225,"")</f>
        <v>0.59094686686243003</v>
      </c>
      <c r="I227" s="410" t="str">
        <f>IFERROR('2.3'!I214/'2.1'!I225,"")</f>
        <v/>
      </c>
      <c r="J227" s="410" t="str">
        <f>IFERROR('2.3'!J214/'2.1'!J225,"")</f>
        <v/>
      </c>
      <c r="K227" s="410" t="str">
        <f>IFERROR('2.3'!K214/'2.1'!K225,"")</f>
        <v/>
      </c>
      <c r="L227" s="410">
        <f>IFERROR('2.3'!L214/'2.1'!L225,"")</f>
        <v>2.4485798237022526E-2</v>
      </c>
      <c r="M227" s="410">
        <f>IFERROR('2.3'!M214/'2.1'!M225,"")</f>
        <v>6.4320388349514562E-2</v>
      </c>
      <c r="N227" s="410">
        <f>IFERROR('2.3'!N214/'2.1'!N225,"")</f>
        <v>3.5926055109870944E-2</v>
      </c>
      <c r="O227" s="410" t="str">
        <f>IFERROR('2.3'!O214/'2.1'!O225,"")</f>
        <v/>
      </c>
      <c r="P227" s="410" t="str">
        <f>IFERROR('2.3'!P214/'2.1'!P225,"")</f>
        <v/>
      </c>
      <c r="Q227" s="410" t="str">
        <f>IFERROR('2.3'!Q214/'2.1'!Q225,"")</f>
        <v/>
      </c>
      <c r="R227" s="410">
        <f>IFERROR('2.3'!R214/'2.1'!R225,"")</f>
        <v>0.36301369863013699</v>
      </c>
      <c r="S227" s="410">
        <f>IFERROR('2.3'!S214/'2.1'!S225,"")</f>
        <v>0.45952677459526775</v>
      </c>
      <c r="T227" s="410">
        <f>IFERROR('2.3'!T214/'2.1'!T225,"")</f>
        <v>0.41919191919191917</v>
      </c>
      <c r="U227" s="410">
        <f>IFERROR('2.3'!U214/'2.1'!X225,"")</f>
        <v>0.544708084284248</v>
      </c>
      <c r="V227" s="410">
        <f>IFERROR('2.3'!V214/'2.1'!Y225,"")</f>
        <v>0.5319735391400221</v>
      </c>
      <c r="W227" s="410">
        <f>IFERROR('2.3'!W214/'2.1'!Z225,"")</f>
        <v>0.53876106194690265</v>
      </c>
    </row>
    <row r="228" spans="2:23" ht="30" x14ac:dyDescent="0.25">
      <c r="B228" s="407" t="s">
        <v>918</v>
      </c>
      <c r="C228" s="410">
        <f>IFERROR('2.3'!C215/'2.1'!C226,"")</f>
        <v>0.84471128900748649</v>
      </c>
      <c r="D228" s="410">
        <f>IFERROR('2.3'!D215/'2.1'!D226,"")</f>
        <v>0.83286641108817461</v>
      </c>
      <c r="E228" s="410">
        <f>IFERROR('2.3'!E215/'2.1'!E226,"")</f>
        <v>0.83877287007946777</v>
      </c>
      <c r="F228" s="410">
        <f>IFERROR('2.3'!F215/'2.1'!F226,"")</f>
        <v>0.83076031422580554</v>
      </c>
      <c r="G228" s="410">
        <f>IFERROR('2.3'!G215/'2.1'!G226,"")</f>
        <v>0.80751263368198378</v>
      </c>
      <c r="H228" s="410">
        <f>IFERROR('2.3'!H215/'2.1'!H226,"")</f>
        <v>0.8191065142789814</v>
      </c>
      <c r="I228" s="410">
        <f>IFERROR('2.3'!I215/'2.1'!I226,"")</f>
        <v>0.88017022826274727</v>
      </c>
      <c r="J228" s="410">
        <f>IFERROR('2.3'!J215/'2.1'!J226,"")</f>
        <v>0.92365090143359607</v>
      </c>
      <c r="K228" s="410">
        <f>IFERROR('2.3'!K215/'2.1'!K226,"")</f>
        <v>0.89035723542502698</v>
      </c>
      <c r="L228" s="410">
        <f>IFERROR('2.3'!L215/'2.1'!L226,"")</f>
        <v>0.49036219524430619</v>
      </c>
      <c r="M228" s="410">
        <f>IFERROR('2.3'!M215/'2.1'!M226,"")</f>
        <v>0.70327057895216027</v>
      </c>
      <c r="N228" s="410">
        <f>IFERROR('2.3'!N215/'2.1'!N226,"")</f>
        <v>0.55083528242142832</v>
      </c>
      <c r="O228" s="410">
        <f>IFERROR('2.3'!O215/'2.1'!O226,"")</f>
        <v>0.83706443777060235</v>
      </c>
      <c r="P228" s="410">
        <f>IFERROR('2.3'!P215/'2.1'!P226,"")</f>
        <v>0.87717366286751197</v>
      </c>
      <c r="Q228" s="410">
        <f>IFERROR('2.3'!Q215/'2.1'!Q226,"")</f>
        <v>0.854620462872826</v>
      </c>
      <c r="R228" s="410">
        <f>IFERROR('2.3'!R215/'2.1'!R226,"")</f>
        <v>0.79360987537931238</v>
      </c>
      <c r="S228" s="410">
        <f>IFERROR('2.3'!S215/'2.1'!S226,"")</f>
        <v>0.86535027992131941</v>
      </c>
      <c r="T228" s="410">
        <f>IFERROR('2.3'!T215/'2.1'!T226,"")</f>
        <v>0.82899922374156565</v>
      </c>
      <c r="U228" s="410">
        <f>IFERROR('2.3'!U215/'2.1'!X226,"")</f>
        <v>0.80235858329275955</v>
      </c>
      <c r="V228" s="410">
        <f>IFERROR('2.3'!V215/'2.1'!Y226,"")</f>
        <v>0.85356476464029418</v>
      </c>
      <c r="W228" s="410">
        <f>IFERROR('2.3'!W215/'2.1'!Z226,"")</f>
        <v>0.82303408298280978</v>
      </c>
    </row>
    <row r="229" spans="2:23" ht="99.75" customHeight="1" x14ac:dyDescent="0.25">
      <c r="B229" s="471" t="s">
        <v>928</v>
      </c>
      <c r="C229" s="471"/>
      <c r="D229" s="471"/>
      <c r="E229" s="471"/>
      <c r="F229" s="471"/>
      <c r="G229" s="471"/>
      <c r="H229" s="471"/>
      <c r="I229" s="471"/>
      <c r="J229" s="471"/>
      <c r="K229" s="471"/>
      <c r="L229" s="471"/>
      <c r="M229" s="471"/>
      <c r="N229" s="471"/>
      <c r="O229" s="471"/>
      <c r="P229" s="471"/>
      <c r="Q229" s="471"/>
      <c r="R229" s="471"/>
      <c r="S229" s="471"/>
      <c r="T229" s="471"/>
      <c r="U229" s="471"/>
      <c r="V229" s="471"/>
      <c r="W229" s="471"/>
    </row>
    <row r="238" spans="2:23" ht="18" customHeight="1" x14ac:dyDescent="0.25">
      <c r="J238" s="139"/>
      <c r="K238" s="139"/>
    </row>
  </sheetData>
  <mergeCells count="18">
    <mergeCell ref="B229:W229"/>
    <mergeCell ref="U32:W33"/>
    <mergeCell ref="C33:E33"/>
    <mergeCell ref="F33:H33"/>
    <mergeCell ref="I33:K33"/>
    <mergeCell ref="L33:N33"/>
    <mergeCell ref="O33:Q33"/>
    <mergeCell ref="R33:T33"/>
    <mergeCell ref="B7:B9"/>
    <mergeCell ref="C7:N7"/>
    <mergeCell ref="B32:B34"/>
    <mergeCell ref="C32:T32"/>
    <mergeCell ref="B27:Q27"/>
    <mergeCell ref="O7:Q8"/>
    <mergeCell ref="C8:E8"/>
    <mergeCell ref="F8:H8"/>
    <mergeCell ref="I8:K8"/>
    <mergeCell ref="L8:N8"/>
  </mergeCells>
  <phoneticPr fontId="28" type="noConversion"/>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election activeCell="H20" sqref="H20"/>
    </sheetView>
  </sheetViews>
  <sheetFormatPr baseColWidth="10" defaultRowHeight="15" x14ac:dyDescent="0.25"/>
  <cols>
    <col min="1" max="1" width="14.42578125" customWidth="1"/>
  </cols>
  <sheetData>
    <row r="1" spans="2:13" x14ac:dyDescent="0.25">
      <c r="B1" s="431" t="s">
        <v>765</v>
      </c>
      <c r="C1" s="432"/>
      <c r="D1" s="432"/>
      <c r="E1" s="432"/>
      <c r="F1" s="432"/>
      <c r="G1" s="432"/>
      <c r="H1" s="432"/>
      <c r="I1" s="432"/>
      <c r="J1" s="432"/>
      <c r="K1" s="432"/>
      <c r="L1" s="432"/>
      <c r="M1" s="432"/>
    </row>
    <row r="2" spans="2:13" x14ac:dyDescent="0.25">
      <c r="B2" s="432"/>
      <c r="C2" s="432"/>
      <c r="D2" s="432"/>
      <c r="E2" s="432"/>
      <c r="F2" s="432"/>
      <c r="G2" s="432"/>
      <c r="H2" s="432"/>
      <c r="I2" s="432"/>
      <c r="J2" s="432"/>
      <c r="K2" s="432"/>
      <c r="L2" s="432"/>
      <c r="M2" s="432"/>
    </row>
    <row r="3" spans="2:13" x14ac:dyDescent="0.25">
      <c r="B3" s="432"/>
      <c r="C3" s="432"/>
      <c r="D3" s="432"/>
      <c r="E3" s="432"/>
      <c r="F3" s="432"/>
      <c r="G3" s="432"/>
      <c r="H3" s="432"/>
      <c r="I3" s="432"/>
      <c r="J3" s="432"/>
      <c r="K3" s="432"/>
      <c r="L3" s="432"/>
      <c r="M3" s="432"/>
    </row>
    <row r="4" spans="2:13" x14ac:dyDescent="0.25">
      <c r="B4" s="432"/>
      <c r="C4" s="432"/>
      <c r="D4" s="432"/>
      <c r="E4" s="432"/>
      <c r="F4" s="432"/>
      <c r="G4" s="432"/>
      <c r="H4" s="432"/>
      <c r="I4" s="432"/>
      <c r="J4" s="432"/>
      <c r="K4" s="432"/>
      <c r="L4" s="432"/>
      <c r="M4" s="432"/>
    </row>
    <row r="5" spans="2:13" x14ac:dyDescent="0.25">
      <c r="B5" s="432"/>
      <c r="C5" s="432"/>
      <c r="D5" s="432"/>
      <c r="E5" s="432"/>
      <c r="F5" s="432"/>
      <c r="G5" s="432"/>
      <c r="H5" s="432"/>
      <c r="I5" s="432"/>
      <c r="J5" s="432"/>
      <c r="K5" s="432"/>
      <c r="L5" s="432"/>
      <c r="M5" s="432"/>
    </row>
    <row r="6" spans="2:13" ht="15.75" x14ac:dyDescent="0.25">
      <c r="B6" s="250"/>
      <c r="C6" s="250"/>
      <c r="D6" s="250"/>
      <c r="E6" s="250"/>
      <c r="F6" s="250"/>
      <c r="G6" s="250"/>
      <c r="H6" s="250"/>
      <c r="I6" s="250"/>
      <c r="J6" s="250"/>
      <c r="K6" s="250"/>
      <c r="L6" s="250"/>
      <c r="M6" s="250"/>
    </row>
    <row r="8" spans="2:13" ht="15.75" thickBot="1" x14ac:dyDescent="0.3"/>
    <row r="9" spans="2:13" ht="21.75" thickBot="1" x14ac:dyDescent="0.4">
      <c r="B9" s="509" t="s">
        <v>829</v>
      </c>
      <c r="C9" s="510"/>
      <c r="D9" s="510"/>
      <c r="E9" s="510"/>
      <c r="F9" s="510"/>
      <c r="G9" s="510"/>
      <c r="H9" s="510"/>
      <c r="I9" s="510"/>
      <c r="J9" s="510"/>
      <c r="K9" s="510"/>
      <c r="L9" s="510"/>
      <c r="M9" s="511"/>
    </row>
    <row r="10" spans="2:13" ht="15.75" x14ac:dyDescent="0.25">
      <c r="B10" s="437" t="s">
        <v>866</v>
      </c>
      <c r="C10" s="437"/>
      <c r="D10" s="437"/>
      <c r="E10" s="437"/>
      <c r="F10" s="437"/>
      <c r="G10" s="437"/>
      <c r="H10" s="437"/>
      <c r="I10" s="437"/>
      <c r="J10" s="437"/>
      <c r="K10" s="437"/>
      <c r="L10" s="437"/>
      <c r="M10" s="437"/>
    </row>
    <row r="11" spans="2:13" x14ac:dyDescent="0.25">
      <c r="B11" s="433"/>
      <c r="C11" s="433"/>
      <c r="D11" s="433"/>
      <c r="E11" s="433"/>
      <c r="F11" s="433"/>
      <c r="G11" s="433"/>
      <c r="H11" s="433"/>
      <c r="I11" s="433"/>
      <c r="J11" s="433"/>
      <c r="K11" s="433"/>
      <c r="L11" s="433"/>
      <c r="M11" s="433"/>
    </row>
    <row r="12" spans="2:13" ht="18.75" x14ac:dyDescent="0.3">
      <c r="B12" s="512" t="s">
        <v>830</v>
      </c>
      <c r="C12" s="512"/>
      <c r="D12" s="512"/>
      <c r="E12" s="512"/>
      <c r="F12" s="512"/>
      <c r="G12" s="512"/>
      <c r="H12" s="512"/>
      <c r="I12" s="512"/>
      <c r="J12" s="512"/>
      <c r="K12" s="512"/>
      <c r="L12" s="512"/>
      <c r="M12" s="512"/>
    </row>
    <row r="13" spans="2:13" x14ac:dyDescent="0.25">
      <c r="B13" s="430" t="s">
        <v>831</v>
      </c>
      <c r="C13" s="430"/>
      <c r="D13" s="430"/>
      <c r="E13" s="430"/>
      <c r="F13" s="430"/>
      <c r="G13" s="430"/>
      <c r="H13" s="430"/>
      <c r="I13" s="430"/>
      <c r="J13" s="430"/>
      <c r="K13" s="430"/>
      <c r="L13" s="430"/>
      <c r="M13" s="430"/>
    </row>
    <row r="14" spans="2:13" x14ac:dyDescent="0.25">
      <c r="B14" s="430" t="s">
        <v>832</v>
      </c>
      <c r="C14" s="430"/>
      <c r="D14" s="430"/>
      <c r="E14" s="430"/>
      <c r="F14" s="430"/>
      <c r="G14" s="430"/>
      <c r="H14" s="430"/>
      <c r="I14" s="430"/>
      <c r="J14" s="430"/>
      <c r="K14" s="430"/>
      <c r="L14" s="430"/>
      <c r="M14" s="430"/>
    </row>
    <row r="15" spans="2:13" x14ac:dyDescent="0.25">
      <c r="B15" s="430" t="s">
        <v>833</v>
      </c>
      <c r="C15" s="430"/>
      <c r="D15" s="430"/>
      <c r="E15" s="430"/>
      <c r="F15" s="430"/>
      <c r="G15" s="430"/>
      <c r="H15" s="430"/>
      <c r="I15" s="430"/>
      <c r="J15" s="430"/>
      <c r="K15" s="430"/>
      <c r="L15" s="430"/>
      <c r="M15" s="430"/>
    </row>
  </sheetData>
  <mergeCells count="8">
    <mergeCell ref="B13:M13"/>
    <mergeCell ref="B14:M14"/>
    <mergeCell ref="B15:M15"/>
    <mergeCell ref="B1:M5"/>
    <mergeCell ref="B9:M9"/>
    <mergeCell ref="B10:M10"/>
    <mergeCell ref="B11:M11"/>
    <mergeCell ref="B12:M12"/>
  </mergeCells>
  <hyperlinks>
    <hyperlink ref="B12:M12" location="'3.1'!A1" display="1. Bono por Hijo" xr:uid="{8441B973-5DB1-4981-8D5E-44EC52FCCF3C}"/>
    <hyperlink ref="B13:M13" location="'3.1'!B4" display="i. Concesiones de Bono por Hijo por región, según institución y tipo de beneficio" xr:uid="{05DCD3B7-0398-4247-9FF9-49B375F8E8E6}"/>
    <hyperlink ref="B14:M14" location="'3.1'!B45" display="ii. Serie Resumen de Estado de solicitudes de Bono por Hijo" xr:uid="{ADC9F50E-4542-442F-8428-659E99EFA867}"/>
    <hyperlink ref="B15:M15" location="'3.1'!B178" display="iii. Serie resumen de concesiones de Bono por Hijo por tipo de beneficio" xr:uid="{2FC57C24-059B-4993-B2BE-86B427582261}"/>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22"/>
  <sheetViews>
    <sheetView showGridLines="0" workbookViewId="0">
      <selection activeCell="B178" sqref="B178"/>
    </sheetView>
  </sheetViews>
  <sheetFormatPr baseColWidth="10" defaultRowHeight="15" outlineLevelRow="1" x14ac:dyDescent="0.25"/>
  <cols>
    <col min="2" max="2" width="21.5703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9" ht="23.25" x14ac:dyDescent="0.25">
      <c r="B2" s="1" t="s">
        <v>816</v>
      </c>
    </row>
    <row r="4" spans="2:9" ht="18.75" x14ac:dyDescent="0.3">
      <c r="B4" s="2" t="s">
        <v>818</v>
      </c>
      <c r="C4" s="22"/>
      <c r="D4" s="22"/>
      <c r="E4" s="22"/>
      <c r="F4" s="22"/>
    </row>
    <row r="5" spans="2:9" x14ac:dyDescent="0.25">
      <c r="B5" s="29" t="s">
        <v>874</v>
      </c>
    </row>
    <row r="7" spans="2:9" x14ac:dyDescent="0.25">
      <c r="B7" s="518" t="s">
        <v>533</v>
      </c>
      <c r="C7" s="518"/>
      <c r="D7" s="513" t="s">
        <v>819</v>
      </c>
      <c r="E7" s="513" t="s">
        <v>43</v>
      </c>
      <c r="F7" s="513"/>
      <c r="G7" s="513" t="s">
        <v>797</v>
      </c>
      <c r="H7" s="513"/>
      <c r="I7" s="513" t="s">
        <v>35</v>
      </c>
    </row>
    <row r="8" spans="2:9" ht="30" x14ac:dyDescent="0.25">
      <c r="B8" s="518"/>
      <c r="C8" s="518"/>
      <c r="D8" s="513"/>
      <c r="E8" s="269" t="s">
        <v>707</v>
      </c>
      <c r="F8" s="269" t="s">
        <v>497</v>
      </c>
      <c r="G8" s="269" t="s">
        <v>497</v>
      </c>
      <c r="H8" s="269" t="s">
        <v>798</v>
      </c>
      <c r="I8" s="513"/>
    </row>
    <row r="9" spans="2:9" x14ac:dyDescent="0.25">
      <c r="B9" s="514" t="s">
        <v>531</v>
      </c>
      <c r="C9" s="515"/>
      <c r="D9" s="267" t="s">
        <v>817</v>
      </c>
      <c r="E9" s="318">
        <v>18</v>
      </c>
      <c r="F9" s="318">
        <v>1</v>
      </c>
      <c r="G9" s="318">
        <v>1</v>
      </c>
      <c r="H9" s="318">
        <v>67</v>
      </c>
      <c r="I9" s="318">
        <v>87</v>
      </c>
    </row>
    <row r="10" spans="2:9" x14ac:dyDescent="0.25">
      <c r="B10" s="516"/>
      <c r="C10" s="517"/>
      <c r="D10" s="268" t="s">
        <v>799</v>
      </c>
      <c r="E10" s="318">
        <v>60</v>
      </c>
      <c r="F10" s="318">
        <v>3</v>
      </c>
      <c r="G10" s="318">
        <v>2</v>
      </c>
      <c r="H10" s="318">
        <v>179</v>
      </c>
      <c r="I10" s="318">
        <v>244</v>
      </c>
    </row>
    <row r="11" spans="2:9" x14ac:dyDescent="0.25">
      <c r="B11" s="514" t="s">
        <v>517</v>
      </c>
      <c r="C11" s="515" t="s">
        <v>800</v>
      </c>
      <c r="D11" s="267" t="s">
        <v>817</v>
      </c>
      <c r="E11" s="318">
        <v>32</v>
      </c>
      <c r="F11" s="318">
        <v>1</v>
      </c>
      <c r="G11" s="318">
        <v>1</v>
      </c>
      <c r="H11" s="318">
        <v>70</v>
      </c>
      <c r="I11" s="318">
        <v>104</v>
      </c>
    </row>
    <row r="12" spans="2:9" x14ac:dyDescent="0.25">
      <c r="B12" s="516"/>
      <c r="C12" s="517"/>
      <c r="D12" s="268" t="s">
        <v>799</v>
      </c>
      <c r="E12" s="318">
        <v>95</v>
      </c>
      <c r="F12" s="318">
        <v>4</v>
      </c>
      <c r="G12" s="318">
        <v>4</v>
      </c>
      <c r="H12" s="318">
        <v>210</v>
      </c>
      <c r="I12" s="318">
        <v>313</v>
      </c>
    </row>
    <row r="13" spans="2:9" x14ac:dyDescent="0.25">
      <c r="B13" s="514" t="s">
        <v>518</v>
      </c>
      <c r="C13" s="515" t="s">
        <v>801</v>
      </c>
      <c r="D13" s="267" t="s">
        <v>817</v>
      </c>
      <c r="E13" s="318">
        <v>101</v>
      </c>
      <c r="F13" s="318">
        <v>4</v>
      </c>
      <c r="G13" s="318">
        <v>12</v>
      </c>
      <c r="H13" s="318">
        <v>139</v>
      </c>
      <c r="I13" s="318">
        <v>256</v>
      </c>
    </row>
    <row r="14" spans="2:9" x14ac:dyDescent="0.25">
      <c r="B14" s="516"/>
      <c r="C14" s="517"/>
      <c r="D14" s="268" t="s">
        <v>799</v>
      </c>
      <c r="E14" s="318">
        <v>329</v>
      </c>
      <c r="F14" s="318">
        <v>16</v>
      </c>
      <c r="G14" s="318">
        <v>42</v>
      </c>
      <c r="H14" s="318">
        <v>369</v>
      </c>
      <c r="I14" s="318">
        <v>756</v>
      </c>
    </row>
    <row r="15" spans="2:9" x14ac:dyDescent="0.25">
      <c r="B15" s="514" t="s">
        <v>519</v>
      </c>
      <c r="C15" s="515" t="s">
        <v>802</v>
      </c>
      <c r="D15" s="267" t="s">
        <v>817</v>
      </c>
      <c r="E15" s="318">
        <v>54</v>
      </c>
      <c r="F15" s="318">
        <v>5</v>
      </c>
      <c r="G15" s="318">
        <v>1</v>
      </c>
      <c r="H15" s="318">
        <v>62</v>
      </c>
      <c r="I15" s="318">
        <v>122</v>
      </c>
    </row>
    <row r="16" spans="2:9" x14ac:dyDescent="0.25">
      <c r="B16" s="516"/>
      <c r="C16" s="517"/>
      <c r="D16" s="268" t="s">
        <v>799</v>
      </c>
      <c r="E16" s="318">
        <v>172</v>
      </c>
      <c r="F16" s="318">
        <v>14</v>
      </c>
      <c r="G16" s="318">
        <v>6</v>
      </c>
      <c r="H16" s="318">
        <v>167</v>
      </c>
      <c r="I16" s="318">
        <v>359</v>
      </c>
    </row>
    <row r="17" spans="2:9" x14ac:dyDescent="0.25">
      <c r="B17" s="514" t="s">
        <v>520</v>
      </c>
      <c r="C17" s="515" t="s">
        <v>803</v>
      </c>
      <c r="D17" s="267" t="s">
        <v>817</v>
      </c>
      <c r="E17" s="318">
        <v>116</v>
      </c>
      <c r="F17" s="318">
        <v>6</v>
      </c>
      <c r="G17" s="318">
        <v>7</v>
      </c>
      <c r="H17" s="318">
        <v>221</v>
      </c>
      <c r="I17" s="318">
        <v>350</v>
      </c>
    </row>
    <row r="18" spans="2:9" x14ac:dyDescent="0.25">
      <c r="B18" s="516"/>
      <c r="C18" s="517"/>
      <c r="D18" s="268" t="s">
        <v>799</v>
      </c>
      <c r="E18" s="318">
        <v>315</v>
      </c>
      <c r="F18" s="318">
        <v>18</v>
      </c>
      <c r="G18" s="318">
        <v>24</v>
      </c>
      <c r="H18" s="318">
        <v>624</v>
      </c>
      <c r="I18" s="318">
        <v>981</v>
      </c>
    </row>
    <row r="19" spans="2:9" x14ac:dyDescent="0.25">
      <c r="B19" s="514" t="s">
        <v>521</v>
      </c>
      <c r="C19" s="515" t="s">
        <v>804</v>
      </c>
      <c r="D19" s="267" t="s">
        <v>817</v>
      </c>
      <c r="E19" s="318">
        <v>236</v>
      </c>
      <c r="F19" s="318">
        <v>7</v>
      </c>
      <c r="G19" s="318">
        <v>13</v>
      </c>
      <c r="H19" s="318">
        <v>637</v>
      </c>
      <c r="I19" s="318">
        <v>893</v>
      </c>
    </row>
    <row r="20" spans="2:9" x14ac:dyDescent="0.25">
      <c r="B20" s="516"/>
      <c r="C20" s="517"/>
      <c r="D20" s="268" t="s">
        <v>799</v>
      </c>
      <c r="E20" s="318">
        <v>716</v>
      </c>
      <c r="F20" s="318">
        <v>21</v>
      </c>
      <c r="G20" s="318">
        <v>46</v>
      </c>
      <c r="H20" s="318">
        <v>1763</v>
      </c>
      <c r="I20" s="318">
        <v>2546</v>
      </c>
    </row>
    <row r="21" spans="2:9" x14ac:dyDescent="0.25">
      <c r="B21" s="522" t="s">
        <v>522</v>
      </c>
      <c r="C21" s="523" t="s">
        <v>805</v>
      </c>
      <c r="D21" s="267" t="s">
        <v>817</v>
      </c>
      <c r="E21" s="318">
        <v>105</v>
      </c>
      <c r="F21" s="318">
        <v>6</v>
      </c>
      <c r="G21" s="318">
        <v>13</v>
      </c>
      <c r="H21" s="318">
        <v>277</v>
      </c>
      <c r="I21" s="318">
        <v>401</v>
      </c>
    </row>
    <row r="22" spans="2:9" x14ac:dyDescent="0.25">
      <c r="B22" s="524"/>
      <c r="C22" s="525"/>
      <c r="D22" s="268" t="s">
        <v>799</v>
      </c>
      <c r="E22" s="318">
        <v>298</v>
      </c>
      <c r="F22" s="318">
        <v>23</v>
      </c>
      <c r="G22" s="318">
        <v>54</v>
      </c>
      <c r="H22" s="318">
        <v>763</v>
      </c>
      <c r="I22" s="318">
        <v>1138</v>
      </c>
    </row>
    <row r="23" spans="2:9" x14ac:dyDescent="0.25">
      <c r="B23" s="514" t="s">
        <v>523</v>
      </c>
      <c r="C23" s="515" t="s">
        <v>806</v>
      </c>
      <c r="D23" s="267" t="s">
        <v>817</v>
      </c>
      <c r="E23" s="318">
        <v>122</v>
      </c>
      <c r="F23" s="318">
        <v>8</v>
      </c>
      <c r="G23" s="318">
        <v>10</v>
      </c>
      <c r="H23" s="318">
        <v>319</v>
      </c>
      <c r="I23" s="318">
        <v>459</v>
      </c>
    </row>
    <row r="24" spans="2:9" x14ac:dyDescent="0.25">
      <c r="B24" s="516"/>
      <c r="C24" s="517"/>
      <c r="D24" s="268" t="s">
        <v>799</v>
      </c>
      <c r="E24" s="318">
        <v>367</v>
      </c>
      <c r="F24" s="318">
        <v>39</v>
      </c>
      <c r="G24" s="318">
        <v>45</v>
      </c>
      <c r="H24" s="318">
        <v>888</v>
      </c>
      <c r="I24" s="318">
        <v>1339</v>
      </c>
    </row>
    <row r="25" spans="2:9" x14ac:dyDescent="0.25">
      <c r="B25" s="514" t="s">
        <v>524</v>
      </c>
      <c r="C25" s="515" t="s">
        <v>807</v>
      </c>
      <c r="D25" s="267" t="s">
        <v>817</v>
      </c>
      <c r="E25" s="318">
        <v>218</v>
      </c>
      <c r="F25" s="318">
        <v>17</v>
      </c>
      <c r="G25" s="318">
        <v>25</v>
      </c>
      <c r="H25" s="318">
        <v>410</v>
      </c>
      <c r="I25" s="318">
        <v>670</v>
      </c>
    </row>
    <row r="26" spans="2:9" x14ac:dyDescent="0.25">
      <c r="B26" s="516"/>
      <c r="C26" s="517"/>
      <c r="D26" s="268" t="s">
        <v>799</v>
      </c>
      <c r="E26" s="318">
        <v>672</v>
      </c>
      <c r="F26" s="318">
        <v>63</v>
      </c>
      <c r="G26" s="318">
        <v>83</v>
      </c>
      <c r="H26" s="318">
        <v>1112</v>
      </c>
      <c r="I26" s="318">
        <v>1930</v>
      </c>
    </row>
    <row r="27" spans="2:9" x14ac:dyDescent="0.25">
      <c r="B27" s="514" t="s">
        <v>532</v>
      </c>
      <c r="C27" s="515" t="s">
        <v>808</v>
      </c>
      <c r="D27" s="267" t="s">
        <v>817</v>
      </c>
      <c r="E27" s="318">
        <v>84</v>
      </c>
      <c r="F27" s="318">
        <v>4</v>
      </c>
      <c r="G27" s="318">
        <v>5</v>
      </c>
      <c r="H27" s="318">
        <v>135</v>
      </c>
      <c r="I27" s="318">
        <v>228</v>
      </c>
    </row>
    <row r="28" spans="2:9" x14ac:dyDescent="0.25">
      <c r="B28" s="516"/>
      <c r="C28" s="517"/>
      <c r="D28" s="268" t="s">
        <v>799</v>
      </c>
      <c r="E28" s="318">
        <v>275</v>
      </c>
      <c r="F28" s="318">
        <v>8</v>
      </c>
      <c r="G28" s="318">
        <v>17</v>
      </c>
      <c r="H28" s="318">
        <v>364</v>
      </c>
      <c r="I28" s="318">
        <v>664</v>
      </c>
    </row>
    <row r="29" spans="2:9" x14ac:dyDescent="0.25">
      <c r="B29" s="514" t="s">
        <v>525</v>
      </c>
      <c r="C29" s="515" t="s">
        <v>809</v>
      </c>
      <c r="D29" s="267" t="s">
        <v>817</v>
      </c>
      <c r="E29" s="318">
        <v>132</v>
      </c>
      <c r="F29" s="318">
        <v>8</v>
      </c>
      <c r="G29" s="318">
        <v>10</v>
      </c>
      <c r="H29" s="318">
        <v>213</v>
      </c>
      <c r="I29" s="318">
        <v>363</v>
      </c>
    </row>
    <row r="30" spans="2:9" x14ac:dyDescent="0.25">
      <c r="B30" s="516"/>
      <c r="C30" s="517"/>
      <c r="D30" s="268" t="s">
        <v>799</v>
      </c>
      <c r="E30" s="318">
        <v>437</v>
      </c>
      <c r="F30" s="318">
        <v>32</v>
      </c>
      <c r="G30" s="318">
        <v>35</v>
      </c>
      <c r="H30" s="318">
        <v>636</v>
      </c>
      <c r="I30" s="318">
        <v>1140</v>
      </c>
    </row>
    <row r="31" spans="2:9" x14ac:dyDescent="0.25">
      <c r="B31" s="514" t="s">
        <v>530</v>
      </c>
      <c r="C31" s="515" t="s">
        <v>810</v>
      </c>
      <c r="D31" s="267" t="s">
        <v>817</v>
      </c>
      <c r="E31" s="318">
        <v>53</v>
      </c>
      <c r="F31" s="318">
        <v>2</v>
      </c>
      <c r="G31" s="318">
        <v>4</v>
      </c>
      <c r="H31" s="318">
        <v>98</v>
      </c>
      <c r="I31" s="318">
        <v>157</v>
      </c>
    </row>
    <row r="32" spans="2:9" x14ac:dyDescent="0.25">
      <c r="B32" s="516"/>
      <c r="C32" s="517"/>
      <c r="D32" s="268" t="s">
        <v>799</v>
      </c>
      <c r="E32" s="318">
        <v>175</v>
      </c>
      <c r="F32" s="318">
        <v>6</v>
      </c>
      <c r="G32" s="318">
        <v>15</v>
      </c>
      <c r="H32" s="318">
        <v>266</v>
      </c>
      <c r="I32" s="318">
        <v>462</v>
      </c>
    </row>
    <row r="33" spans="2:9" x14ac:dyDescent="0.25">
      <c r="B33" s="514" t="s">
        <v>526</v>
      </c>
      <c r="C33" s="515" t="s">
        <v>811</v>
      </c>
      <c r="D33" s="267" t="s">
        <v>817</v>
      </c>
      <c r="E33" s="318">
        <v>103</v>
      </c>
      <c r="F33" s="318">
        <v>4</v>
      </c>
      <c r="G33" s="318">
        <v>7</v>
      </c>
      <c r="H33" s="318">
        <v>208</v>
      </c>
      <c r="I33" s="318">
        <v>322</v>
      </c>
    </row>
    <row r="34" spans="2:9" x14ac:dyDescent="0.25">
      <c r="B34" s="516"/>
      <c r="C34" s="517"/>
      <c r="D34" s="268" t="s">
        <v>799</v>
      </c>
      <c r="E34" s="318">
        <v>290</v>
      </c>
      <c r="F34" s="318">
        <v>18</v>
      </c>
      <c r="G34" s="318">
        <v>17</v>
      </c>
      <c r="H34" s="318">
        <v>559</v>
      </c>
      <c r="I34" s="318">
        <v>884</v>
      </c>
    </row>
    <row r="35" spans="2:9" x14ac:dyDescent="0.25">
      <c r="B35" s="522" t="s">
        <v>527</v>
      </c>
      <c r="C35" s="523" t="s">
        <v>812</v>
      </c>
      <c r="D35" s="267" t="s">
        <v>817</v>
      </c>
      <c r="E35" s="318">
        <v>12</v>
      </c>
      <c r="F35" s="318">
        <v>3</v>
      </c>
      <c r="G35" s="318"/>
      <c r="H35" s="318">
        <v>31</v>
      </c>
      <c r="I35" s="318">
        <v>46</v>
      </c>
    </row>
    <row r="36" spans="2:9" x14ac:dyDescent="0.25">
      <c r="B36" s="524"/>
      <c r="C36" s="525"/>
      <c r="D36" s="268" t="s">
        <v>799</v>
      </c>
      <c r="E36" s="318">
        <v>44</v>
      </c>
      <c r="F36" s="318">
        <v>18</v>
      </c>
      <c r="G36" s="318"/>
      <c r="H36" s="318">
        <v>82</v>
      </c>
      <c r="I36" s="318">
        <v>144</v>
      </c>
    </row>
    <row r="37" spans="2:9" x14ac:dyDescent="0.25">
      <c r="B37" s="522" t="s">
        <v>528</v>
      </c>
      <c r="C37" s="523" t="s">
        <v>813</v>
      </c>
      <c r="D37" s="267" t="s">
        <v>817</v>
      </c>
      <c r="E37" s="318">
        <v>22</v>
      </c>
      <c r="F37" s="318"/>
      <c r="G37" s="318"/>
      <c r="H37" s="318">
        <v>41</v>
      </c>
      <c r="I37" s="318">
        <v>63</v>
      </c>
    </row>
    <row r="38" spans="2:9" x14ac:dyDescent="0.25">
      <c r="B38" s="524"/>
      <c r="C38" s="525"/>
      <c r="D38" s="268" t="s">
        <v>799</v>
      </c>
      <c r="E38" s="318">
        <v>61</v>
      </c>
      <c r="F38" s="318"/>
      <c r="G38" s="318"/>
      <c r="H38" s="318">
        <v>92</v>
      </c>
      <c r="I38" s="318">
        <v>153</v>
      </c>
    </row>
    <row r="39" spans="2:9" x14ac:dyDescent="0.25">
      <c r="B39" s="514" t="s">
        <v>529</v>
      </c>
      <c r="C39" s="515" t="s">
        <v>814</v>
      </c>
      <c r="D39" s="267" t="s">
        <v>817</v>
      </c>
      <c r="E39" s="318">
        <v>613</v>
      </c>
      <c r="F39" s="318">
        <v>20</v>
      </c>
      <c r="G39" s="318">
        <v>64</v>
      </c>
      <c r="H39" s="318">
        <v>1900</v>
      </c>
      <c r="I39" s="318">
        <v>2597</v>
      </c>
    </row>
    <row r="40" spans="2:9" x14ac:dyDescent="0.25">
      <c r="B40" s="516"/>
      <c r="C40" s="517"/>
      <c r="D40" s="268" t="s">
        <v>799</v>
      </c>
      <c r="E40" s="318">
        <v>1843</v>
      </c>
      <c r="F40" s="318">
        <v>57</v>
      </c>
      <c r="G40" s="318">
        <v>202</v>
      </c>
      <c r="H40" s="318">
        <v>5005</v>
      </c>
      <c r="I40" s="318">
        <v>7107</v>
      </c>
    </row>
    <row r="41" spans="2:9" x14ac:dyDescent="0.25">
      <c r="B41" s="521" t="s">
        <v>815</v>
      </c>
      <c r="C41" s="521"/>
      <c r="D41" s="325" t="s">
        <v>817</v>
      </c>
      <c r="E41" s="326">
        <v>2021</v>
      </c>
      <c r="F41" s="326">
        <v>96</v>
      </c>
      <c r="G41" s="326">
        <v>173</v>
      </c>
      <c r="H41" s="326">
        <v>4828</v>
      </c>
      <c r="I41" s="326">
        <v>7118</v>
      </c>
    </row>
    <row r="42" spans="2:9" x14ac:dyDescent="0.25">
      <c r="B42" s="521"/>
      <c r="C42" s="521"/>
      <c r="D42" s="325" t="s">
        <v>799</v>
      </c>
      <c r="E42" s="326">
        <v>6149</v>
      </c>
      <c r="F42" s="326">
        <v>340</v>
      </c>
      <c r="G42" s="326">
        <v>592</v>
      </c>
      <c r="H42" s="326">
        <v>13079</v>
      </c>
      <c r="I42" s="326">
        <v>20160</v>
      </c>
    </row>
    <row r="43" spans="2:9" x14ac:dyDescent="0.25">
      <c r="B43" s="4" t="s">
        <v>952</v>
      </c>
    </row>
    <row r="45" spans="2:9" ht="18.75" x14ac:dyDescent="0.3">
      <c r="B45" s="2" t="s">
        <v>820</v>
      </c>
      <c r="C45" s="2"/>
      <c r="D45" s="2"/>
      <c r="E45" s="2"/>
    </row>
    <row r="46" spans="2:9" x14ac:dyDescent="0.25">
      <c r="B46" s="3" t="s">
        <v>875</v>
      </c>
    </row>
    <row r="48" spans="2:9" ht="30" x14ac:dyDescent="0.25">
      <c r="B48" s="270" t="s">
        <v>483</v>
      </c>
      <c r="C48" s="271" t="s">
        <v>821</v>
      </c>
      <c r="D48" s="271" t="s">
        <v>822</v>
      </c>
      <c r="E48" s="271" t="s">
        <v>498</v>
      </c>
    </row>
    <row r="49" spans="2:5" x14ac:dyDescent="0.25">
      <c r="B49" s="327" t="s">
        <v>823</v>
      </c>
      <c r="C49" s="328">
        <v>23671</v>
      </c>
      <c r="D49" s="328"/>
      <c r="E49" s="328">
        <v>23671</v>
      </c>
    </row>
    <row r="50" spans="2:5" x14ac:dyDescent="0.25">
      <c r="B50" s="329" t="s">
        <v>39</v>
      </c>
      <c r="C50" s="328">
        <v>90591</v>
      </c>
      <c r="D50" s="328"/>
      <c r="E50" s="328">
        <v>90591</v>
      </c>
    </row>
    <row r="51" spans="2:5" x14ac:dyDescent="0.25">
      <c r="B51" s="329" t="s">
        <v>40</v>
      </c>
      <c r="C51" s="328">
        <v>105822</v>
      </c>
      <c r="D51" s="328"/>
      <c r="E51" s="328">
        <v>105822</v>
      </c>
    </row>
    <row r="52" spans="2:5" x14ac:dyDescent="0.25">
      <c r="B52" s="329" t="s">
        <v>824</v>
      </c>
      <c r="C52" s="328">
        <v>54727</v>
      </c>
      <c r="D52" s="328"/>
      <c r="E52" s="328">
        <v>54727</v>
      </c>
    </row>
    <row r="53" spans="2:5" x14ac:dyDescent="0.25">
      <c r="B53" s="329" t="s">
        <v>44</v>
      </c>
      <c r="C53" s="328">
        <v>38385</v>
      </c>
      <c r="D53" s="328"/>
      <c r="E53" s="328">
        <v>38385</v>
      </c>
    </row>
    <row r="54" spans="2:5" hidden="1" outlineLevel="1" x14ac:dyDescent="0.25">
      <c r="B54" s="414">
        <v>41640</v>
      </c>
      <c r="C54" s="411">
        <v>3012</v>
      </c>
      <c r="D54" s="411">
        <v>385</v>
      </c>
      <c r="E54" s="411">
        <v>3397</v>
      </c>
    </row>
    <row r="55" spans="2:5" hidden="1" outlineLevel="1" x14ac:dyDescent="0.25">
      <c r="B55" s="414">
        <v>41671</v>
      </c>
      <c r="C55" s="411">
        <v>3146</v>
      </c>
      <c r="D55" s="411">
        <v>307</v>
      </c>
      <c r="E55" s="411">
        <v>3453</v>
      </c>
    </row>
    <row r="56" spans="2:5" hidden="1" outlineLevel="1" x14ac:dyDescent="0.25">
      <c r="B56" s="414">
        <v>41699</v>
      </c>
      <c r="C56" s="411">
        <v>2820</v>
      </c>
      <c r="D56" s="411">
        <v>401</v>
      </c>
      <c r="E56" s="411">
        <v>3221</v>
      </c>
    </row>
    <row r="57" spans="2:5" hidden="1" outlineLevel="1" x14ac:dyDescent="0.25">
      <c r="B57" s="414">
        <v>41730</v>
      </c>
      <c r="C57" s="411">
        <v>3671</v>
      </c>
      <c r="D57" s="411">
        <v>837</v>
      </c>
      <c r="E57" s="411">
        <v>4508</v>
      </c>
    </row>
    <row r="58" spans="2:5" hidden="1" outlineLevel="1" x14ac:dyDescent="0.25">
      <c r="B58" s="414">
        <v>41760</v>
      </c>
      <c r="C58" s="411">
        <v>3405</v>
      </c>
      <c r="D58" s="411">
        <v>637</v>
      </c>
      <c r="E58" s="411">
        <v>4042</v>
      </c>
    </row>
    <row r="59" spans="2:5" hidden="1" outlineLevel="1" x14ac:dyDescent="0.25">
      <c r="B59" s="414">
        <v>41791</v>
      </c>
      <c r="C59" s="411">
        <v>3448</v>
      </c>
      <c r="D59" s="411">
        <v>551</v>
      </c>
      <c r="E59" s="411">
        <v>3999</v>
      </c>
    </row>
    <row r="60" spans="2:5" hidden="1" outlineLevel="1" x14ac:dyDescent="0.25">
      <c r="B60" s="414">
        <v>41821</v>
      </c>
      <c r="C60" s="411">
        <v>3132</v>
      </c>
      <c r="D60" s="411">
        <v>431</v>
      </c>
      <c r="E60" s="411">
        <v>3563</v>
      </c>
    </row>
    <row r="61" spans="2:5" hidden="1" outlineLevel="1" x14ac:dyDescent="0.25">
      <c r="B61" s="414">
        <v>41852</v>
      </c>
      <c r="C61" s="411">
        <v>3702</v>
      </c>
      <c r="D61" s="411">
        <v>437</v>
      </c>
      <c r="E61" s="411">
        <v>4139</v>
      </c>
    </row>
    <row r="62" spans="2:5" hidden="1" outlineLevel="1" x14ac:dyDescent="0.25">
      <c r="B62" s="414">
        <v>41883</v>
      </c>
      <c r="C62" s="411">
        <v>4118</v>
      </c>
      <c r="D62" s="411">
        <v>391</v>
      </c>
      <c r="E62" s="411">
        <v>4509</v>
      </c>
    </row>
    <row r="63" spans="2:5" hidden="1" outlineLevel="1" x14ac:dyDescent="0.25">
      <c r="B63" s="414">
        <v>41913</v>
      </c>
      <c r="C63" s="411">
        <v>4714</v>
      </c>
      <c r="D63" s="411">
        <v>491</v>
      </c>
      <c r="E63" s="411">
        <v>5205</v>
      </c>
    </row>
    <row r="64" spans="2:5" hidden="1" outlineLevel="1" x14ac:dyDescent="0.25">
      <c r="B64" s="414">
        <v>41944</v>
      </c>
      <c r="C64" s="411">
        <v>4499</v>
      </c>
      <c r="D64" s="411">
        <v>402</v>
      </c>
      <c r="E64" s="411">
        <v>4901</v>
      </c>
    </row>
    <row r="65" spans="2:5" hidden="1" outlineLevel="1" x14ac:dyDescent="0.25">
      <c r="B65" s="414">
        <v>41974</v>
      </c>
      <c r="C65" s="411">
        <v>4587</v>
      </c>
      <c r="D65" s="411">
        <v>501</v>
      </c>
      <c r="E65" s="411">
        <v>5088</v>
      </c>
    </row>
    <row r="66" spans="2:5" collapsed="1" x14ac:dyDescent="0.25">
      <c r="B66" s="330" t="s">
        <v>46</v>
      </c>
      <c r="C66" s="328">
        <v>44254</v>
      </c>
      <c r="D66" s="328">
        <v>5771</v>
      </c>
      <c r="E66" s="328">
        <v>50025</v>
      </c>
    </row>
    <row r="67" spans="2:5" hidden="1" outlineLevel="1" x14ac:dyDescent="0.25">
      <c r="B67" s="414">
        <v>42005</v>
      </c>
      <c r="C67" s="411">
        <v>3692</v>
      </c>
      <c r="D67" s="411">
        <v>452</v>
      </c>
      <c r="E67" s="411">
        <v>4144</v>
      </c>
    </row>
    <row r="68" spans="2:5" hidden="1" outlineLevel="1" x14ac:dyDescent="0.25">
      <c r="B68" s="414">
        <v>42036</v>
      </c>
      <c r="C68" s="411">
        <v>3089</v>
      </c>
      <c r="D68" s="411">
        <v>314</v>
      </c>
      <c r="E68" s="411">
        <v>3403</v>
      </c>
    </row>
    <row r="69" spans="2:5" hidden="1" outlineLevel="1" x14ac:dyDescent="0.25">
      <c r="B69" s="414">
        <v>42064</v>
      </c>
      <c r="C69" s="411">
        <v>3959</v>
      </c>
      <c r="D69" s="411">
        <v>437</v>
      </c>
      <c r="E69" s="411">
        <v>4396</v>
      </c>
    </row>
    <row r="70" spans="2:5" hidden="1" outlineLevel="1" x14ac:dyDescent="0.25">
      <c r="B70" s="414">
        <v>42095</v>
      </c>
      <c r="C70" s="411">
        <v>4199</v>
      </c>
      <c r="D70" s="411">
        <v>418</v>
      </c>
      <c r="E70" s="411">
        <v>4617</v>
      </c>
    </row>
    <row r="71" spans="2:5" hidden="1" outlineLevel="1" x14ac:dyDescent="0.25">
      <c r="B71" s="414">
        <v>42125</v>
      </c>
      <c r="C71" s="411">
        <v>3877</v>
      </c>
      <c r="D71" s="411">
        <v>527</v>
      </c>
      <c r="E71" s="411">
        <v>4404</v>
      </c>
    </row>
    <row r="72" spans="2:5" hidden="1" outlineLevel="1" x14ac:dyDescent="0.25">
      <c r="B72" s="414">
        <v>42156</v>
      </c>
      <c r="C72" s="411">
        <v>4140</v>
      </c>
      <c r="D72" s="411">
        <v>642</v>
      </c>
      <c r="E72" s="411">
        <v>4782</v>
      </c>
    </row>
    <row r="73" spans="2:5" hidden="1" outlineLevel="1" x14ac:dyDescent="0.25">
      <c r="B73" s="414">
        <v>42186</v>
      </c>
      <c r="C73" s="411">
        <v>3415</v>
      </c>
      <c r="D73" s="411">
        <v>391</v>
      </c>
      <c r="E73" s="411">
        <v>3806</v>
      </c>
    </row>
    <row r="74" spans="2:5" hidden="1" outlineLevel="1" x14ac:dyDescent="0.25">
      <c r="B74" s="414">
        <v>42217</v>
      </c>
      <c r="C74" s="411">
        <v>6058</v>
      </c>
      <c r="D74" s="411">
        <v>393</v>
      </c>
      <c r="E74" s="411">
        <v>6451</v>
      </c>
    </row>
    <row r="75" spans="2:5" hidden="1" outlineLevel="1" x14ac:dyDescent="0.25">
      <c r="B75" s="414">
        <v>42248</v>
      </c>
      <c r="C75" s="411">
        <v>5036</v>
      </c>
      <c r="D75" s="411">
        <v>579</v>
      </c>
      <c r="E75" s="411">
        <v>5615</v>
      </c>
    </row>
    <row r="76" spans="2:5" hidden="1" outlineLevel="1" x14ac:dyDescent="0.25">
      <c r="B76" s="414">
        <v>42278</v>
      </c>
      <c r="C76" s="411">
        <v>4175</v>
      </c>
      <c r="D76" s="411">
        <v>552</v>
      </c>
      <c r="E76" s="411">
        <v>4727</v>
      </c>
    </row>
    <row r="77" spans="2:5" hidden="1" outlineLevel="1" x14ac:dyDescent="0.25">
      <c r="B77" s="414">
        <v>42309</v>
      </c>
      <c r="C77" s="411">
        <v>5394</v>
      </c>
      <c r="D77" s="411">
        <v>555</v>
      </c>
      <c r="E77" s="411">
        <v>5949</v>
      </c>
    </row>
    <row r="78" spans="2:5" hidden="1" outlineLevel="1" x14ac:dyDescent="0.25">
      <c r="B78" s="414">
        <v>42339</v>
      </c>
      <c r="C78" s="411">
        <v>4616</v>
      </c>
      <c r="D78" s="411">
        <v>704</v>
      </c>
      <c r="E78" s="411">
        <v>5320</v>
      </c>
    </row>
    <row r="79" spans="2:5" collapsed="1" x14ac:dyDescent="0.25">
      <c r="B79" s="330" t="s">
        <v>48</v>
      </c>
      <c r="C79" s="328">
        <v>51650</v>
      </c>
      <c r="D79" s="328">
        <v>5964</v>
      </c>
      <c r="E79" s="328">
        <v>57614</v>
      </c>
    </row>
    <row r="80" spans="2:5" hidden="1" outlineLevel="1" x14ac:dyDescent="0.25">
      <c r="B80" s="414">
        <v>42370</v>
      </c>
      <c r="C80" s="411">
        <v>4090</v>
      </c>
      <c r="D80" s="411">
        <v>834</v>
      </c>
      <c r="E80" s="411">
        <v>4924</v>
      </c>
    </row>
    <row r="81" spans="2:5" hidden="1" outlineLevel="1" x14ac:dyDescent="0.25">
      <c r="B81" s="414">
        <v>42401</v>
      </c>
      <c r="C81" s="411">
        <v>3843</v>
      </c>
      <c r="D81" s="411">
        <v>401</v>
      </c>
      <c r="E81" s="411">
        <v>4244</v>
      </c>
    </row>
    <row r="82" spans="2:5" hidden="1" outlineLevel="1" x14ac:dyDescent="0.25">
      <c r="B82" s="414">
        <v>42430</v>
      </c>
      <c r="C82" s="411">
        <v>5145</v>
      </c>
      <c r="D82" s="411">
        <v>878</v>
      </c>
      <c r="E82" s="411">
        <v>6023</v>
      </c>
    </row>
    <row r="83" spans="2:5" hidden="1" outlineLevel="1" x14ac:dyDescent="0.25">
      <c r="B83" s="414">
        <v>42461</v>
      </c>
      <c r="C83" s="411">
        <v>4415</v>
      </c>
      <c r="D83" s="411">
        <v>636</v>
      </c>
      <c r="E83" s="411">
        <v>5051</v>
      </c>
    </row>
    <row r="84" spans="2:5" hidden="1" outlineLevel="1" x14ac:dyDescent="0.25">
      <c r="B84" s="414">
        <v>42491</v>
      </c>
      <c r="C84" s="411">
        <v>4663</v>
      </c>
      <c r="D84" s="411">
        <v>700</v>
      </c>
      <c r="E84" s="411">
        <v>5363</v>
      </c>
    </row>
    <row r="85" spans="2:5" hidden="1" outlineLevel="1" x14ac:dyDescent="0.25">
      <c r="B85" s="414">
        <v>42522</v>
      </c>
      <c r="C85" s="411">
        <v>3794</v>
      </c>
      <c r="D85" s="411">
        <v>507</v>
      </c>
      <c r="E85" s="411">
        <v>4301</v>
      </c>
    </row>
    <row r="86" spans="2:5" hidden="1" outlineLevel="1" x14ac:dyDescent="0.25">
      <c r="B86" s="414">
        <v>42552</v>
      </c>
      <c r="C86" s="411">
        <v>4438</v>
      </c>
      <c r="D86" s="411">
        <v>635</v>
      </c>
      <c r="E86" s="411">
        <v>5073</v>
      </c>
    </row>
    <row r="87" spans="2:5" hidden="1" outlineLevel="1" x14ac:dyDescent="0.25">
      <c r="B87" s="414">
        <v>42583</v>
      </c>
      <c r="C87" s="411">
        <v>4694</v>
      </c>
      <c r="D87" s="411">
        <v>856</v>
      </c>
      <c r="E87" s="411">
        <v>5550</v>
      </c>
    </row>
    <row r="88" spans="2:5" hidden="1" outlineLevel="1" x14ac:dyDescent="0.25">
      <c r="B88" s="414">
        <v>42614</v>
      </c>
      <c r="C88" s="411">
        <v>4579</v>
      </c>
      <c r="D88" s="411">
        <v>914</v>
      </c>
      <c r="E88" s="411">
        <v>5493</v>
      </c>
    </row>
    <row r="89" spans="2:5" hidden="1" outlineLevel="1" x14ac:dyDescent="0.25">
      <c r="B89" s="414">
        <v>42644</v>
      </c>
      <c r="C89" s="411">
        <v>4407</v>
      </c>
      <c r="D89" s="411">
        <v>866</v>
      </c>
      <c r="E89" s="411">
        <v>5273</v>
      </c>
    </row>
    <row r="90" spans="2:5" hidden="1" outlineLevel="1" x14ac:dyDescent="0.25">
      <c r="B90" s="414">
        <v>42675</v>
      </c>
      <c r="C90" s="411">
        <v>3689</v>
      </c>
      <c r="D90" s="411">
        <v>1064</v>
      </c>
      <c r="E90" s="411">
        <v>4753</v>
      </c>
    </row>
    <row r="91" spans="2:5" hidden="1" outlineLevel="1" x14ac:dyDescent="0.25">
      <c r="B91" s="414">
        <v>42705</v>
      </c>
      <c r="C91" s="411">
        <v>5295</v>
      </c>
      <c r="D91" s="411">
        <v>451</v>
      </c>
      <c r="E91" s="411">
        <v>5746</v>
      </c>
    </row>
    <row r="92" spans="2:5" collapsed="1" x14ac:dyDescent="0.25">
      <c r="B92" s="330" t="s">
        <v>65</v>
      </c>
      <c r="C92" s="328">
        <v>53052</v>
      </c>
      <c r="D92" s="328">
        <v>8742</v>
      </c>
      <c r="E92" s="328">
        <v>61794</v>
      </c>
    </row>
    <row r="93" spans="2:5" hidden="1" outlineLevel="1" x14ac:dyDescent="0.25">
      <c r="B93" s="414">
        <v>42736</v>
      </c>
      <c r="C93" s="411">
        <v>4977</v>
      </c>
      <c r="D93" s="411">
        <v>661</v>
      </c>
      <c r="E93" s="411">
        <v>5638</v>
      </c>
    </row>
    <row r="94" spans="2:5" hidden="1" outlineLevel="1" x14ac:dyDescent="0.25">
      <c r="B94" s="414">
        <v>42767</v>
      </c>
      <c r="C94" s="411">
        <v>4428</v>
      </c>
      <c r="D94" s="411">
        <v>663</v>
      </c>
      <c r="E94" s="411">
        <v>5091</v>
      </c>
    </row>
    <row r="95" spans="2:5" hidden="1" outlineLevel="1" x14ac:dyDescent="0.25">
      <c r="B95" s="414">
        <v>42795</v>
      </c>
      <c r="C95" s="411">
        <v>4154</v>
      </c>
      <c r="D95" s="411">
        <v>749</v>
      </c>
      <c r="E95" s="411">
        <v>4903</v>
      </c>
    </row>
    <row r="96" spans="2:5" hidden="1" outlineLevel="1" x14ac:dyDescent="0.25">
      <c r="B96" s="414">
        <v>42826</v>
      </c>
      <c r="C96" s="411">
        <v>4708</v>
      </c>
      <c r="D96" s="411">
        <v>760</v>
      </c>
      <c r="E96" s="411">
        <v>5468</v>
      </c>
    </row>
    <row r="97" spans="2:5" hidden="1" outlineLevel="1" x14ac:dyDescent="0.25">
      <c r="B97" s="414">
        <v>42856</v>
      </c>
      <c r="C97" s="411">
        <v>4913</v>
      </c>
      <c r="D97" s="411">
        <v>812</v>
      </c>
      <c r="E97" s="411">
        <v>5725</v>
      </c>
    </row>
    <row r="98" spans="2:5" hidden="1" outlineLevel="1" x14ac:dyDescent="0.25">
      <c r="B98" s="414">
        <v>42887</v>
      </c>
      <c r="C98" s="411">
        <v>4045</v>
      </c>
      <c r="D98" s="411">
        <v>1056</v>
      </c>
      <c r="E98" s="411">
        <v>5101</v>
      </c>
    </row>
    <row r="99" spans="2:5" hidden="1" outlineLevel="1" x14ac:dyDescent="0.25">
      <c r="B99" s="414">
        <v>42917</v>
      </c>
      <c r="C99" s="411">
        <v>4769</v>
      </c>
      <c r="D99" s="411">
        <v>753</v>
      </c>
      <c r="E99" s="411">
        <v>5522</v>
      </c>
    </row>
    <row r="100" spans="2:5" hidden="1" outlineLevel="1" x14ac:dyDescent="0.25">
      <c r="B100" s="414">
        <v>42948</v>
      </c>
      <c r="C100" s="411">
        <v>5278</v>
      </c>
      <c r="D100" s="411">
        <v>817</v>
      </c>
      <c r="E100" s="411">
        <v>6095</v>
      </c>
    </row>
    <row r="101" spans="2:5" hidden="1" outlineLevel="1" x14ac:dyDescent="0.25">
      <c r="B101" s="414">
        <v>42979</v>
      </c>
      <c r="C101" s="411">
        <v>3974</v>
      </c>
      <c r="D101" s="411">
        <v>593</v>
      </c>
      <c r="E101" s="411">
        <v>4567</v>
      </c>
    </row>
    <row r="102" spans="2:5" hidden="1" outlineLevel="1" x14ac:dyDescent="0.25">
      <c r="B102" s="414">
        <v>43009</v>
      </c>
      <c r="C102" s="411">
        <v>6946</v>
      </c>
      <c r="D102" s="411">
        <v>1191</v>
      </c>
      <c r="E102" s="411">
        <v>8137</v>
      </c>
    </row>
    <row r="103" spans="2:5" hidden="1" outlineLevel="1" x14ac:dyDescent="0.25">
      <c r="B103" s="414">
        <v>43040</v>
      </c>
      <c r="C103" s="411">
        <v>5299</v>
      </c>
      <c r="D103" s="411">
        <v>833</v>
      </c>
      <c r="E103" s="411">
        <v>6132</v>
      </c>
    </row>
    <row r="104" spans="2:5" hidden="1" outlineLevel="1" x14ac:dyDescent="0.25">
      <c r="B104" s="414">
        <v>43070</v>
      </c>
      <c r="C104" s="411">
        <v>4958</v>
      </c>
      <c r="D104" s="411">
        <v>795</v>
      </c>
      <c r="E104" s="411">
        <v>5753</v>
      </c>
    </row>
    <row r="105" spans="2:5" collapsed="1" x14ac:dyDescent="0.25">
      <c r="B105" s="330" t="s">
        <v>68</v>
      </c>
      <c r="C105" s="328">
        <v>84754</v>
      </c>
      <c r="D105" s="328">
        <v>9683</v>
      </c>
      <c r="E105" s="328">
        <v>94437</v>
      </c>
    </row>
    <row r="106" spans="2:5" hidden="1" outlineLevel="1" x14ac:dyDescent="0.25">
      <c r="B106" s="414">
        <v>43101</v>
      </c>
      <c r="C106" s="411">
        <v>5007</v>
      </c>
      <c r="D106" s="411">
        <v>965</v>
      </c>
      <c r="E106" s="411">
        <v>5972</v>
      </c>
    </row>
    <row r="107" spans="2:5" hidden="1" outlineLevel="1" x14ac:dyDescent="0.25">
      <c r="B107" s="414">
        <v>43132</v>
      </c>
      <c r="C107" s="411">
        <v>5360</v>
      </c>
      <c r="D107" s="411">
        <v>944</v>
      </c>
      <c r="E107" s="411">
        <v>6304</v>
      </c>
    </row>
    <row r="108" spans="2:5" hidden="1" outlineLevel="1" x14ac:dyDescent="0.25">
      <c r="B108" s="414">
        <v>43160</v>
      </c>
      <c r="C108" s="411">
        <v>6203</v>
      </c>
      <c r="D108" s="411">
        <v>1124</v>
      </c>
      <c r="E108" s="411">
        <v>7327</v>
      </c>
    </row>
    <row r="109" spans="2:5" hidden="1" outlineLevel="1" x14ac:dyDescent="0.25">
      <c r="B109" s="414">
        <v>43191</v>
      </c>
      <c r="C109" s="411">
        <v>5250</v>
      </c>
      <c r="D109" s="411">
        <v>775</v>
      </c>
      <c r="E109" s="411">
        <v>6025</v>
      </c>
    </row>
    <row r="110" spans="2:5" hidden="1" outlineLevel="1" x14ac:dyDescent="0.25">
      <c r="B110" s="414">
        <v>43221</v>
      </c>
      <c r="C110" s="411">
        <v>5419</v>
      </c>
      <c r="D110" s="411">
        <v>628</v>
      </c>
      <c r="E110" s="411">
        <v>6047</v>
      </c>
    </row>
    <row r="111" spans="2:5" hidden="1" outlineLevel="1" x14ac:dyDescent="0.25">
      <c r="B111" s="414">
        <v>43252</v>
      </c>
      <c r="C111" s="411">
        <v>5299</v>
      </c>
      <c r="D111" s="411">
        <v>848</v>
      </c>
      <c r="E111" s="411">
        <v>6147</v>
      </c>
    </row>
    <row r="112" spans="2:5" hidden="1" outlineLevel="1" x14ac:dyDescent="0.25">
      <c r="B112" s="414">
        <v>43282</v>
      </c>
      <c r="C112" s="411">
        <v>5273</v>
      </c>
      <c r="D112" s="411">
        <v>633</v>
      </c>
      <c r="E112" s="411">
        <v>5906</v>
      </c>
    </row>
    <row r="113" spans="2:5" hidden="1" outlineLevel="1" x14ac:dyDescent="0.25">
      <c r="B113" s="414">
        <v>43313</v>
      </c>
      <c r="C113" s="411">
        <v>5742</v>
      </c>
      <c r="D113" s="411">
        <v>364</v>
      </c>
      <c r="E113" s="411">
        <v>6106</v>
      </c>
    </row>
    <row r="114" spans="2:5" hidden="1" outlineLevel="1" x14ac:dyDescent="0.25">
      <c r="B114" s="414">
        <v>43344</v>
      </c>
      <c r="C114" s="411">
        <v>6055</v>
      </c>
      <c r="D114" s="411">
        <v>488</v>
      </c>
      <c r="E114" s="411">
        <v>6543</v>
      </c>
    </row>
    <row r="115" spans="2:5" hidden="1" outlineLevel="1" x14ac:dyDescent="0.25">
      <c r="B115" s="414">
        <v>43374</v>
      </c>
      <c r="C115" s="411">
        <v>5991</v>
      </c>
      <c r="D115" s="411">
        <v>513</v>
      </c>
      <c r="E115" s="411">
        <v>6504</v>
      </c>
    </row>
    <row r="116" spans="2:5" hidden="1" outlineLevel="1" x14ac:dyDescent="0.25">
      <c r="B116" s="414">
        <v>43405</v>
      </c>
      <c r="C116" s="411">
        <v>6396</v>
      </c>
      <c r="D116" s="411">
        <v>416</v>
      </c>
      <c r="E116" s="411">
        <v>6812</v>
      </c>
    </row>
    <row r="117" spans="2:5" hidden="1" outlineLevel="1" x14ac:dyDescent="0.25">
      <c r="B117" s="414">
        <v>43435</v>
      </c>
      <c r="C117" s="411">
        <v>5803</v>
      </c>
      <c r="D117" s="411">
        <v>345</v>
      </c>
      <c r="E117" s="411">
        <v>6148</v>
      </c>
    </row>
    <row r="118" spans="2:5" collapsed="1" x14ac:dyDescent="0.25">
      <c r="B118" s="330" t="s">
        <v>69</v>
      </c>
      <c r="C118" s="328">
        <v>67798</v>
      </c>
      <c r="D118" s="328">
        <v>8043</v>
      </c>
      <c r="E118" s="328">
        <v>75841</v>
      </c>
    </row>
    <row r="119" spans="2:5" hidden="1" outlineLevel="1" x14ac:dyDescent="0.25">
      <c r="B119" s="414">
        <v>43466</v>
      </c>
      <c r="C119" s="411">
        <v>5382</v>
      </c>
      <c r="D119" s="411">
        <v>271</v>
      </c>
      <c r="E119" s="411">
        <v>5653</v>
      </c>
    </row>
    <row r="120" spans="2:5" hidden="1" outlineLevel="1" x14ac:dyDescent="0.25">
      <c r="B120" s="414">
        <v>43497</v>
      </c>
      <c r="C120" s="411">
        <v>5714</v>
      </c>
      <c r="D120" s="411">
        <v>250</v>
      </c>
      <c r="E120" s="411">
        <v>5964</v>
      </c>
    </row>
    <row r="121" spans="2:5" hidden="1" outlineLevel="1" x14ac:dyDescent="0.25">
      <c r="B121" s="414">
        <v>43525</v>
      </c>
      <c r="C121" s="411">
        <v>5149</v>
      </c>
      <c r="D121" s="411">
        <v>433</v>
      </c>
      <c r="E121" s="411">
        <v>5582</v>
      </c>
    </row>
    <row r="122" spans="2:5" hidden="1" outlineLevel="1" x14ac:dyDescent="0.25">
      <c r="B122" s="414">
        <v>43556</v>
      </c>
      <c r="C122" s="411">
        <v>5771</v>
      </c>
      <c r="D122" s="411">
        <v>547</v>
      </c>
      <c r="E122" s="411">
        <v>6318</v>
      </c>
    </row>
    <row r="123" spans="2:5" hidden="1" outlineLevel="1" x14ac:dyDescent="0.25">
      <c r="B123" s="414">
        <v>43586</v>
      </c>
      <c r="C123" s="411">
        <v>5051</v>
      </c>
      <c r="D123" s="411">
        <v>312</v>
      </c>
      <c r="E123" s="411">
        <v>5363</v>
      </c>
    </row>
    <row r="124" spans="2:5" hidden="1" outlineLevel="1" x14ac:dyDescent="0.25">
      <c r="B124" s="414">
        <v>43617</v>
      </c>
      <c r="C124" s="411">
        <v>5467</v>
      </c>
      <c r="D124" s="411">
        <v>166</v>
      </c>
      <c r="E124" s="411">
        <v>5633</v>
      </c>
    </row>
    <row r="125" spans="2:5" hidden="1" outlineLevel="1" x14ac:dyDescent="0.25">
      <c r="B125" s="414">
        <v>43647</v>
      </c>
      <c r="C125" s="411">
        <v>5462</v>
      </c>
      <c r="D125" s="411">
        <v>423</v>
      </c>
      <c r="E125" s="411">
        <v>5885</v>
      </c>
    </row>
    <row r="126" spans="2:5" hidden="1" outlineLevel="1" x14ac:dyDescent="0.25">
      <c r="B126" s="414">
        <v>43678</v>
      </c>
      <c r="C126" s="411">
        <v>5228</v>
      </c>
      <c r="D126" s="411">
        <v>334</v>
      </c>
      <c r="E126" s="411">
        <v>5562</v>
      </c>
    </row>
    <row r="127" spans="2:5" hidden="1" outlineLevel="1" x14ac:dyDescent="0.25">
      <c r="B127" s="414">
        <v>43709</v>
      </c>
      <c r="C127" s="411">
        <v>5848</v>
      </c>
      <c r="D127" s="411">
        <v>349</v>
      </c>
      <c r="E127" s="411">
        <v>6197</v>
      </c>
    </row>
    <row r="128" spans="2:5" hidden="1" outlineLevel="1" x14ac:dyDescent="0.25">
      <c r="B128" s="414">
        <v>43739</v>
      </c>
      <c r="C128" s="411">
        <v>6655</v>
      </c>
      <c r="D128" s="411">
        <v>526</v>
      </c>
      <c r="E128" s="411">
        <v>7181</v>
      </c>
    </row>
    <row r="129" spans="2:5" hidden="1" outlineLevel="1" x14ac:dyDescent="0.25">
      <c r="B129" s="414">
        <v>43770</v>
      </c>
      <c r="C129" s="411">
        <v>3805</v>
      </c>
      <c r="D129" s="411">
        <v>128</v>
      </c>
      <c r="E129" s="411">
        <v>3933</v>
      </c>
    </row>
    <row r="130" spans="2:5" hidden="1" outlineLevel="1" x14ac:dyDescent="0.25">
      <c r="B130" s="414">
        <v>43800</v>
      </c>
      <c r="C130" s="411">
        <v>6358</v>
      </c>
      <c r="D130" s="411">
        <v>299</v>
      </c>
      <c r="E130" s="411">
        <v>6657</v>
      </c>
    </row>
    <row r="131" spans="2:5" collapsed="1" x14ac:dyDescent="0.25">
      <c r="B131" s="330" t="s">
        <v>70</v>
      </c>
      <c r="C131" s="328">
        <v>65890</v>
      </c>
      <c r="D131" s="328">
        <v>4038</v>
      </c>
      <c r="E131" s="328">
        <v>69928</v>
      </c>
    </row>
    <row r="132" spans="2:5" hidden="1" outlineLevel="1" x14ac:dyDescent="0.25">
      <c r="B132" s="414">
        <v>43831</v>
      </c>
      <c r="C132" s="411">
        <v>6973</v>
      </c>
      <c r="D132" s="411">
        <v>334</v>
      </c>
      <c r="E132" s="411">
        <v>7307</v>
      </c>
    </row>
    <row r="133" spans="2:5" hidden="1" outlineLevel="1" x14ac:dyDescent="0.25">
      <c r="B133" s="414">
        <v>43862</v>
      </c>
      <c r="C133" s="411">
        <v>6865</v>
      </c>
      <c r="D133" s="411">
        <v>510</v>
      </c>
      <c r="E133" s="411">
        <v>7375</v>
      </c>
    </row>
    <row r="134" spans="2:5" hidden="1" outlineLevel="1" x14ac:dyDescent="0.25">
      <c r="B134" s="414">
        <v>43891</v>
      </c>
      <c r="C134" s="411">
        <v>6450</v>
      </c>
      <c r="D134" s="411">
        <v>524</v>
      </c>
      <c r="E134" s="411">
        <v>6974</v>
      </c>
    </row>
    <row r="135" spans="2:5" hidden="1" outlineLevel="1" x14ac:dyDescent="0.25">
      <c r="B135" s="414">
        <v>43922</v>
      </c>
      <c r="C135" s="411">
        <v>3120</v>
      </c>
      <c r="D135" s="411">
        <v>427</v>
      </c>
      <c r="E135" s="411">
        <v>3547</v>
      </c>
    </row>
    <row r="136" spans="2:5" hidden="1" outlineLevel="1" x14ac:dyDescent="0.25">
      <c r="B136" s="414">
        <v>43952</v>
      </c>
      <c r="C136" s="411">
        <v>3668</v>
      </c>
      <c r="D136" s="411">
        <v>336</v>
      </c>
      <c r="E136" s="411">
        <v>4004</v>
      </c>
    </row>
    <row r="137" spans="2:5" hidden="1" outlineLevel="1" x14ac:dyDescent="0.25">
      <c r="B137" s="414">
        <v>43983</v>
      </c>
      <c r="C137" s="411">
        <v>4010</v>
      </c>
      <c r="D137" s="411">
        <v>620</v>
      </c>
      <c r="E137" s="411">
        <v>4630</v>
      </c>
    </row>
    <row r="138" spans="2:5" hidden="1" outlineLevel="1" x14ac:dyDescent="0.25">
      <c r="B138" s="414">
        <v>44013</v>
      </c>
      <c r="C138" s="411">
        <v>3699</v>
      </c>
      <c r="D138" s="411">
        <v>751</v>
      </c>
      <c r="E138" s="411">
        <v>4450</v>
      </c>
    </row>
    <row r="139" spans="2:5" hidden="1" outlineLevel="1" x14ac:dyDescent="0.25">
      <c r="B139" s="414">
        <v>44044</v>
      </c>
      <c r="C139" s="411">
        <v>5600</v>
      </c>
      <c r="D139" s="411">
        <v>304</v>
      </c>
      <c r="E139" s="411">
        <v>5904</v>
      </c>
    </row>
    <row r="140" spans="2:5" hidden="1" outlineLevel="1" x14ac:dyDescent="0.25">
      <c r="B140" s="414">
        <v>44075</v>
      </c>
      <c r="C140" s="411">
        <v>6256</v>
      </c>
      <c r="D140" s="411">
        <v>329</v>
      </c>
      <c r="E140" s="411">
        <v>6585</v>
      </c>
    </row>
    <row r="141" spans="2:5" hidden="1" outlineLevel="1" x14ac:dyDescent="0.25">
      <c r="B141" s="414">
        <v>44105</v>
      </c>
      <c r="C141" s="411">
        <v>6677</v>
      </c>
      <c r="D141" s="411">
        <v>356</v>
      </c>
      <c r="E141" s="411">
        <v>7033</v>
      </c>
    </row>
    <row r="142" spans="2:5" hidden="1" outlineLevel="1" x14ac:dyDescent="0.25">
      <c r="B142" s="414">
        <v>44136</v>
      </c>
      <c r="C142" s="411">
        <v>7271</v>
      </c>
      <c r="D142" s="411">
        <v>364</v>
      </c>
      <c r="E142" s="411">
        <v>7635</v>
      </c>
    </row>
    <row r="143" spans="2:5" hidden="1" outlineLevel="1" x14ac:dyDescent="0.25">
      <c r="B143" s="414">
        <v>44166</v>
      </c>
      <c r="C143" s="411">
        <v>7060</v>
      </c>
      <c r="D143" s="411">
        <v>369</v>
      </c>
      <c r="E143" s="411">
        <v>7429</v>
      </c>
    </row>
    <row r="144" spans="2:5" collapsed="1" x14ac:dyDescent="0.25">
      <c r="B144" s="330" t="s">
        <v>74</v>
      </c>
      <c r="C144" s="328">
        <v>67649</v>
      </c>
      <c r="D144" s="328">
        <v>5224</v>
      </c>
      <c r="E144" s="328">
        <v>72873</v>
      </c>
    </row>
    <row r="145" spans="2:5" outlineLevel="1" x14ac:dyDescent="0.25">
      <c r="B145" s="414">
        <v>44197</v>
      </c>
      <c r="C145" s="319">
        <v>5872</v>
      </c>
      <c r="D145" s="319">
        <v>407</v>
      </c>
      <c r="E145" s="319">
        <v>6279</v>
      </c>
    </row>
    <row r="146" spans="2:5" outlineLevel="1" x14ac:dyDescent="0.25">
      <c r="B146" s="414">
        <v>44228</v>
      </c>
      <c r="C146" s="319">
        <v>6398</v>
      </c>
      <c r="D146" s="319">
        <v>336</v>
      </c>
      <c r="E146" s="319">
        <v>6734</v>
      </c>
    </row>
    <row r="147" spans="2:5" outlineLevel="1" x14ac:dyDescent="0.25">
      <c r="B147" s="414">
        <v>44256</v>
      </c>
      <c r="C147" s="319">
        <v>6284</v>
      </c>
      <c r="D147" s="319">
        <v>400</v>
      </c>
      <c r="E147" s="319">
        <v>6684</v>
      </c>
    </row>
    <row r="148" spans="2:5" outlineLevel="1" x14ac:dyDescent="0.25">
      <c r="B148" s="414">
        <v>44287</v>
      </c>
      <c r="C148" s="319">
        <v>5645</v>
      </c>
      <c r="D148" s="319">
        <v>429</v>
      </c>
      <c r="E148" s="319">
        <v>6074</v>
      </c>
    </row>
    <row r="149" spans="2:5" outlineLevel="1" x14ac:dyDescent="0.25">
      <c r="B149" s="414">
        <v>44317</v>
      </c>
      <c r="C149" s="319">
        <v>6254</v>
      </c>
      <c r="D149" s="319">
        <v>475</v>
      </c>
      <c r="E149" s="319">
        <v>6729</v>
      </c>
    </row>
    <row r="150" spans="2:5" outlineLevel="1" x14ac:dyDescent="0.25">
      <c r="B150" s="414">
        <v>44348</v>
      </c>
      <c r="C150" s="319">
        <v>6456</v>
      </c>
      <c r="D150" s="319">
        <v>551</v>
      </c>
      <c r="E150" s="319">
        <v>7007</v>
      </c>
    </row>
    <row r="151" spans="2:5" outlineLevel="1" x14ac:dyDescent="0.25">
      <c r="B151" s="414">
        <v>44378</v>
      </c>
      <c r="C151" s="319">
        <v>6122</v>
      </c>
      <c r="D151" s="319">
        <v>574</v>
      </c>
      <c r="E151" s="319">
        <v>6696</v>
      </c>
    </row>
    <row r="152" spans="2:5" outlineLevel="1" x14ac:dyDescent="0.25">
      <c r="B152" s="414">
        <v>44409</v>
      </c>
      <c r="C152" s="319">
        <v>7688</v>
      </c>
      <c r="D152" s="319">
        <v>653</v>
      </c>
      <c r="E152" s="319">
        <v>8341</v>
      </c>
    </row>
    <row r="153" spans="2:5" outlineLevel="1" x14ac:dyDescent="0.25">
      <c r="B153" s="414">
        <v>44440</v>
      </c>
      <c r="C153" s="319">
        <v>7542</v>
      </c>
      <c r="D153" s="319">
        <v>649</v>
      </c>
      <c r="E153" s="319">
        <v>8191</v>
      </c>
    </row>
    <row r="154" spans="2:5" outlineLevel="1" x14ac:dyDescent="0.25">
      <c r="B154" s="414">
        <v>44470</v>
      </c>
      <c r="C154" s="319">
        <v>7921</v>
      </c>
      <c r="D154" s="319">
        <v>672</v>
      </c>
      <c r="E154" s="319">
        <v>8593</v>
      </c>
    </row>
    <row r="155" spans="2:5" outlineLevel="1" x14ac:dyDescent="0.25">
      <c r="B155" s="414">
        <v>44501</v>
      </c>
      <c r="C155" s="319">
        <v>7649</v>
      </c>
      <c r="D155" s="319">
        <v>641</v>
      </c>
      <c r="E155" s="319">
        <v>8290</v>
      </c>
    </row>
    <row r="156" spans="2:5" outlineLevel="1" x14ac:dyDescent="0.25">
      <c r="B156" s="414">
        <v>44531</v>
      </c>
      <c r="C156" s="319">
        <v>7848</v>
      </c>
      <c r="D156" s="319">
        <v>528</v>
      </c>
      <c r="E156" s="319">
        <v>8376</v>
      </c>
    </row>
    <row r="157" spans="2:5" x14ac:dyDescent="0.25">
      <c r="B157" s="330" t="s">
        <v>75</v>
      </c>
      <c r="C157" s="328">
        <v>81679</v>
      </c>
      <c r="D157" s="328">
        <v>6315</v>
      </c>
      <c r="E157" s="328">
        <v>87994</v>
      </c>
    </row>
    <row r="158" spans="2:5" outlineLevel="1" x14ac:dyDescent="0.25">
      <c r="B158" s="414">
        <v>44562</v>
      </c>
      <c r="C158" s="319">
        <v>7668</v>
      </c>
      <c r="D158" s="319">
        <v>503</v>
      </c>
      <c r="E158" s="319">
        <v>8171</v>
      </c>
    </row>
    <row r="159" spans="2:5" outlineLevel="1" x14ac:dyDescent="0.25">
      <c r="B159" s="414">
        <v>44593</v>
      </c>
      <c r="C159" s="319">
        <v>10374</v>
      </c>
      <c r="D159" s="319">
        <v>972</v>
      </c>
      <c r="E159" s="319">
        <v>11346</v>
      </c>
    </row>
    <row r="160" spans="2:5" outlineLevel="1" x14ac:dyDescent="0.25">
      <c r="B160" s="414">
        <v>44621</v>
      </c>
      <c r="C160" s="319">
        <v>9515</v>
      </c>
      <c r="D160" s="319">
        <v>881</v>
      </c>
      <c r="E160" s="319">
        <v>10396</v>
      </c>
    </row>
    <row r="161" spans="2:5" outlineLevel="1" x14ac:dyDescent="0.25">
      <c r="B161" s="414">
        <v>44652</v>
      </c>
      <c r="C161" s="319">
        <v>11485</v>
      </c>
      <c r="D161" s="319">
        <v>221</v>
      </c>
      <c r="E161" s="319">
        <v>11706</v>
      </c>
    </row>
    <row r="162" spans="2:5" outlineLevel="1" x14ac:dyDescent="0.25">
      <c r="B162" s="414">
        <v>44682</v>
      </c>
      <c r="C162" s="319">
        <v>8749</v>
      </c>
      <c r="D162" s="319">
        <v>469</v>
      </c>
      <c r="E162" s="319">
        <v>9218</v>
      </c>
    </row>
    <row r="163" spans="2:5" outlineLevel="1" x14ac:dyDescent="0.25">
      <c r="B163" s="414">
        <v>44713</v>
      </c>
      <c r="C163" s="319">
        <v>8701</v>
      </c>
      <c r="D163" s="319">
        <v>364</v>
      </c>
      <c r="E163" s="319">
        <v>9065</v>
      </c>
    </row>
    <row r="164" spans="2:5" outlineLevel="1" x14ac:dyDescent="0.25">
      <c r="B164" s="414">
        <v>44743</v>
      </c>
      <c r="C164" s="319">
        <v>7724</v>
      </c>
      <c r="D164" s="319">
        <v>364</v>
      </c>
      <c r="E164" s="319">
        <v>8088</v>
      </c>
    </row>
    <row r="165" spans="2:5" outlineLevel="1" x14ac:dyDescent="0.25">
      <c r="B165" s="414">
        <v>44774</v>
      </c>
      <c r="C165" s="319">
        <v>12287</v>
      </c>
      <c r="D165" s="319">
        <v>1895</v>
      </c>
      <c r="E165" s="319">
        <v>14182</v>
      </c>
    </row>
    <row r="166" spans="2:5" outlineLevel="1" x14ac:dyDescent="0.25">
      <c r="B166" s="414">
        <v>44805</v>
      </c>
      <c r="C166" s="319">
        <v>6504</v>
      </c>
      <c r="D166" s="319">
        <v>681</v>
      </c>
      <c r="E166" s="319">
        <v>7185</v>
      </c>
    </row>
    <row r="167" spans="2:5" outlineLevel="1" x14ac:dyDescent="0.25">
      <c r="B167" s="414">
        <v>44835</v>
      </c>
      <c r="C167" s="319">
        <v>10957</v>
      </c>
      <c r="D167" s="319">
        <v>584</v>
      </c>
      <c r="E167" s="319">
        <v>11541</v>
      </c>
    </row>
    <row r="168" spans="2:5" outlineLevel="1" x14ac:dyDescent="0.25">
      <c r="B168" s="414">
        <v>44866</v>
      </c>
      <c r="C168" s="319">
        <v>11167</v>
      </c>
      <c r="D168" s="319">
        <v>843</v>
      </c>
      <c r="E168" s="319">
        <v>12010</v>
      </c>
    </row>
    <row r="169" spans="2:5" outlineLevel="1" x14ac:dyDescent="0.25">
      <c r="B169" s="414">
        <v>44896</v>
      </c>
      <c r="C169" s="319">
        <v>10298</v>
      </c>
      <c r="D169" s="319">
        <v>642</v>
      </c>
      <c r="E169" s="319">
        <v>10940</v>
      </c>
    </row>
    <row r="170" spans="2:5" x14ac:dyDescent="0.25">
      <c r="B170" s="412" t="s">
        <v>76</v>
      </c>
      <c r="C170" s="328">
        <v>115429</v>
      </c>
      <c r="D170" s="328">
        <v>8419</v>
      </c>
      <c r="E170" s="328">
        <v>123848</v>
      </c>
    </row>
    <row r="171" spans="2:5" outlineLevel="1" x14ac:dyDescent="0.25">
      <c r="B171" s="414">
        <v>44927</v>
      </c>
      <c r="C171" s="319">
        <v>7455</v>
      </c>
      <c r="D171" s="319">
        <v>326</v>
      </c>
      <c r="E171" s="319">
        <v>7781</v>
      </c>
    </row>
    <row r="172" spans="2:5" outlineLevel="1" x14ac:dyDescent="0.25">
      <c r="B172" s="414">
        <v>44958</v>
      </c>
      <c r="C172" s="319">
        <v>9107</v>
      </c>
      <c r="D172" s="319">
        <v>532</v>
      </c>
      <c r="E172" s="319">
        <v>9639</v>
      </c>
    </row>
    <row r="173" spans="2:5" outlineLevel="1" x14ac:dyDescent="0.25">
      <c r="B173" s="414">
        <v>44986</v>
      </c>
      <c r="C173" s="319">
        <v>7118</v>
      </c>
      <c r="D173" s="319">
        <v>288</v>
      </c>
      <c r="E173" s="319">
        <v>7406</v>
      </c>
    </row>
    <row r="174" spans="2:5" ht="30" x14ac:dyDescent="0.25">
      <c r="B174" s="413" t="s">
        <v>949</v>
      </c>
      <c r="C174" s="328">
        <v>23680</v>
      </c>
      <c r="D174" s="328">
        <v>1146</v>
      </c>
      <c r="E174" s="328">
        <v>24826</v>
      </c>
    </row>
    <row r="175" spans="2:5" x14ac:dyDescent="0.25">
      <c r="B175" s="412" t="s">
        <v>7</v>
      </c>
      <c r="C175" s="328">
        <v>942726</v>
      </c>
      <c r="D175" s="328">
        <v>63345</v>
      </c>
      <c r="E175" s="328">
        <v>1006071</v>
      </c>
    </row>
    <row r="176" spans="2:5" x14ac:dyDescent="0.25">
      <c r="B176" s="4" t="s">
        <v>952</v>
      </c>
    </row>
    <row r="178" spans="2:10" ht="18.75" x14ac:dyDescent="0.3">
      <c r="B178" s="2" t="s">
        <v>826</v>
      </c>
      <c r="C178" s="2"/>
      <c r="D178" s="2"/>
      <c r="E178" s="2"/>
    </row>
    <row r="179" spans="2:10" x14ac:dyDescent="0.25">
      <c r="B179" s="3" t="s">
        <v>875</v>
      </c>
    </row>
    <row r="181" spans="2:10" ht="31.5" customHeight="1" x14ac:dyDescent="0.25">
      <c r="B181" s="529" t="s">
        <v>483</v>
      </c>
      <c r="C181" s="531" t="s">
        <v>827</v>
      </c>
      <c r="D181" s="520"/>
      <c r="E181" s="531" t="s">
        <v>828</v>
      </c>
      <c r="F181" s="520"/>
      <c r="G181" s="519" t="s">
        <v>825</v>
      </c>
      <c r="H181" s="520"/>
      <c r="I181" s="519" t="s">
        <v>35</v>
      </c>
      <c r="J181" s="520"/>
    </row>
    <row r="182" spans="2:10" x14ac:dyDescent="0.25">
      <c r="B182" s="530"/>
      <c r="C182" s="269" t="s">
        <v>817</v>
      </c>
      <c r="D182" s="269" t="s">
        <v>799</v>
      </c>
      <c r="E182" s="269" t="s">
        <v>817</v>
      </c>
      <c r="F182" s="269" t="s">
        <v>799</v>
      </c>
      <c r="G182" s="269" t="s">
        <v>817</v>
      </c>
      <c r="H182" s="269" t="s">
        <v>799</v>
      </c>
      <c r="I182" s="269" t="s">
        <v>817</v>
      </c>
      <c r="J182" s="269" t="s">
        <v>799</v>
      </c>
    </row>
    <row r="183" spans="2:10" x14ac:dyDescent="0.25">
      <c r="B183" s="331" t="s">
        <v>823</v>
      </c>
      <c r="C183" s="332"/>
      <c r="D183" s="332"/>
      <c r="E183" s="332"/>
      <c r="F183" s="332"/>
      <c r="G183" s="332"/>
      <c r="H183" s="332"/>
      <c r="I183" s="333">
        <v>23671</v>
      </c>
      <c r="J183" s="333">
        <v>102602</v>
      </c>
    </row>
    <row r="184" spans="2:10" x14ac:dyDescent="0.25">
      <c r="B184" s="329" t="s">
        <v>39</v>
      </c>
      <c r="C184" s="332"/>
      <c r="D184" s="332"/>
      <c r="E184" s="332"/>
      <c r="F184" s="332"/>
      <c r="G184" s="332"/>
      <c r="H184" s="332"/>
      <c r="I184" s="333">
        <v>90591</v>
      </c>
      <c r="J184" s="333">
        <v>283345</v>
      </c>
    </row>
    <row r="185" spans="2:10" x14ac:dyDescent="0.25">
      <c r="B185" s="329" t="s">
        <v>40</v>
      </c>
      <c r="C185" s="332"/>
      <c r="D185" s="332"/>
      <c r="E185" s="332"/>
      <c r="F185" s="332"/>
      <c r="G185" s="332"/>
      <c r="H185" s="332"/>
      <c r="I185" s="333">
        <v>105822</v>
      </c>
      <c r="J185" s="333">
        <v>430659</v>
      </c>
    </row>
    <row r="186" spans="2:10" x14ac:dyDescent="0.25">
      <c r="B186" s="329" t="s">
        <v>824</v>
      </c>
      <c r="C186" s="332"/>
      <c r="D186" s="332"/>
      <c r="E186" s="332"/>
      <c r="F186" s="332"/>
      <c r="G186" s="332"/>
      <c r="H186" s="332"/>
      <c r="I186" s="333">
        <v>54727</v>
      </c>
      <c r="J186" s="333">
        <v>214792</v>
      </c>
    </row>
    <row r="187" spans="2:10" hidden="1" outlineLevel="1" x14ac:dyDescent="0.25">
      <c r="B187" s="414">
        <v>41275</v>
      </c>
      <c r="C187" s="415">
        <v>1344</v>
      </c>
      <c r="D187" s="415">
        <v>5074</v>
      </c>
      <c r="E187" s="415">
        <v>84</v>
      </c>
      <c r="F187" s="415">
        <v>433</v>
      </c>
      <c r="G187" s="415">
        <v>1525</v>
      </c>
      <c r="H187" s="415">
        <v>5846</v>
      </c>
      <c r="I187" s="415">
        <v>2953</v>
      </c>
      <c r="J187" s="415">
        <v>11353</v>
      </c>
    </row>
    <row r="188" spans="2:10" hidden="1" outlineLevel="1" x14ac:dyDescent="0.25">
      <c r="B188" s="414">
        <v>41306</v>
      </c>
      <c r="C188" s="415">
        <v>1353</v>
      </c>
      <c r="D188" s="415">
        <v>5003</v>
      </c>
      <c r="E188" s="415">
        <v>87</v>
      </c>
      <c r="F188" s="415">
        <v>397</v>
      </c>
      <c r="G188" s="415">
        <v>1589</v>
      </c>
      <c r="H188" s="415">
        <v>5817</v>
      </c>
      <c r="I188" s="415">
        <v>3029</v>
      </c>
      <c r="J188" s="415">
        <v>11217</v>
      </c>
    </row>
    <row r="189" spans="2:10" hidden="1" outlineLevel="1" x14ac:dyDescent="0.25">
      <c r="B189" s="414">
        <v>41334</v>
      </c>
      <c r="C189" s="415">
        <v>1556</v>
      </c>
      <c r="D189" s="415">
        <v>5790</v>
      </c>
      <c r="E189" s="415">
        <v>83</v>
      </c>
      <c r="F189" s="415">
        <v>353</v>
      </c>
      <c r="G189" s="415">
        <v>1708</v>
      </c>
      <c r="H189" s="415">
        <v>5791</v>
      </c>
      <c r="I189" s="415">
        <v>3347</v>
      </c>
      <c r="J189" s="415">
        <v>11934</v>
      </c>
    </row>
    <row r="190" spans="2:10" hidden="1" outlineLevel="1" x14ac:dyDescent="0.25">
      <c r="B190" s="414">
        <v>41365</v>
      </c>
      <c r="C190" s="415">
        <v>1076</v>
      </c>
      <c r="D190" s="415">
        <v>4086</v>
      </c>
      <c r="E190" s="415">
        <v>69</v>
      </c>
      <c r="F190" s="415">
        <v>271</v>
      </c>
      <c r="G190" s="415">
        <v>1727</v>
      </c>
      <c r="H190" s="415">
        <v>5901</v>
      </c>
      <c r="I190" s="415">
        <v>2872</v>
      </c>
      <c r="J190" s="415">
        <v>10258</v>
      </c>
    </row>
    <row r="191" spans="2:10" hidden="1" outlineLevel="1" x14ac:dyDescent="0.25">
      <c r="B191" s="414">
        <v>41395</v>
      </c>
      <c r="C191" s="415">
        <v>920</v>
      </c>
      <c r="D191" s="415">
        <v>3380</v>
      </c>
      <c r="E191" s="415">
        <v>38</v>
      </c>
      <c r="F191" s="415">
        <v>168</v>
      </c>
      <c r="G191" s="415">
        <v>1182</v>
      </c>
      <c r="H191" s="415">
        <v>4056</v>
      </c>
      <c r="I191" s="415">
        <v>2140</v>
      </c>
      <c r="J191" s="415">
        <v>7604</v>
      </c>
    </row>
    <row r="192" spans="2:10" hidden="1" outlineLevel="1" x14ac:dyDescent="0.25">
      <c r="B192" s="414">
        <v>41426</v>
      </c>
      <c r="C192" s="415">
        <v>911</v>
      </c>
      <c r="D192" s="415">
        <v>3309</v>
      </c>
      <c r="E192" s="415">
        <v>125</v>
      </c>
      <c r="F192" s="415">
        <v>648</v>
      </c>
      <c r="G192" s="415">
        <v>1778</v>
      </c>
      <c r="H192" s="415">
        <v>6154</v>
      </c>
      <c r="I192" s="415">
        <v>2814</v>
      </c>
      <c r="J192" s="415">
        <v>10111</v>
      </c>
    </row>
    <row r="193" spans="2:10" hidden="1" outlineLevel="1" x14ac:dyDescent="0.25">
      <c r="B193" s="414">
        <v>41456</v>
      </c>
      <c r="C193" s="415">
        <v>1073</v>
      </c>
      <c r="D193" s="415">
        <v>3717</v>
      </c>
      <c r="E193" s="415">
        <v>75</v>
      </c>
      <c r="F193" s="415">
        <v>297</v>
      </c>
      <c r="G193" s="415">
        <v>1520</v>
      </c>
      <c r="H193" s="415">
        <v>5115</v>
      </c>
      <c r="I193" s="415">
        <v>2668</v>
      </c>
      <c r="J193" s="415">
        <v>9129</v>
      </c>
    </row>
    <row r="194" spans="2:10" hidden="1" outlineLevel="1" x14ac:dyDescent="0.25">
      <c r="B194" s="414">
        <v>41487</v>
      </c>
      <c r="C194" s="415">
        <v>1037</v>
      </c>
      <c r="D194" s="415">
        <v>3504</v>
      </c>
      <c r="E194" s="415">
        <v>284</v>
      </c>
      <c r="F194" s="415">
        <v>1590</v>
      </c>
      <c r="G194" s="415">
        <v>2172</v>
      </c>
      <c r="H194" s="415">
        <v>6454</v>
      </c>
      <c r="I194" s="415">
        <v>3493</v>
      </c>
      <c r="J194" s="415">
        <v>11548</v>
      </c>
    </row>
    <row r="195" spans="2:10" hidden="1" outlineLevel="1" x14ac:dyDescent="0.25">
      <c r="B195" s="414">
        <v>41518</v>
      </c>
      <c r="C195" s="415">
        <v>2257</v>
      </c>
      <c r="D195" s="415">
        <v>8307</v>
      </c>
      <c r="E195" s="415">
        <v>45</v>
      </c>
      <c r="F195" s="415">
        <v>183</v>
      </c>
      <c r="G195" s="415">
        <v>1509</v>
      </c>
      <c r="H195" s="415">
        <v>5003</v>
      </c>
      <c r="I195" s="415">
        <v>3811</v>
      </c>
      <c r="J195" s="415">
        <v>13493</v>
      </c>
    </row>
    <row r="196" spans="2:10" hidden="1" outlineLevel="1" x14ac:dyDescent="0.25">
      <c r="B196" s="414">
        <v>41548</v>
      </c>
      <c r="C196" s="415">
        <v>2716</v>
      </c>
      <c r="D196" s="415">
        <v>10131</v>
      </c>
      <c r="E196" s="415">
        <v>147</v>
      </c>
      <c r="F196" s="415">
        <v>685</v>
      </c>
      <c r="G196" s="415">
        <v>1865</v>
      </c>
      <c r="H196" s="415">
        <v>6227</v>
      </c>
      <c r="I196" s="415">
        <v>4728</v>
      </c>
      <c r="J196" s="415">
        <v>17043</v>
      </c>
    </row>
    <row r="197" spans="2:10" hidden="1" outlineLevel="1" x14ac:dyDescent="0.25">
      <c r="B197" s="414">
        <v>41579</v>
      </c>
      <c r="C197" s="415">
        <v>1624</v>
      </c>
      <c r="D197" s="415">
        <v>5781</v>
      </c>
      <c r="E197" s="415">
        <v>79</v>
      </c>
      <c r="F197" s="415">
        <v>348</v>
      </c>
      <c r="G197" s="415">
        <v>1639</v>
      </c>
      <c r="H197" s="415">
        <v>5415</v>
      </c>
      <c r="I197" s="415">
        <v>3342</v>
      </c>
      <c r="J197" s="415">
        <v>11544</v>
      </c>
    </row>
    <row r="198" spans="2:10" hidden="1" outlineLevel="1" x14ac:dyDescent="0.25">
      <c r="B198" s="414">
        <v>41609</v>
      </c>
      <c r="C198" s="415">
        <v>1527</v>
      </c>
      <c r="D198" s="415">
        <v>5675</v>
      </c>
      <c r="E198" s="415">
        <v>77</v>
      </c>
      <c r="F198" s="415">
        <v>312</v>
      </c>
      <c r="G198" s="415">
        <v>1584</v>
      </c>
      <c r="H198" s="415">
        <v>4895</v>
      </c>
      <c r="I198" s="415">
        <v>3188</v>
      </c>
      <c r="J198" s="415">
        <v>10882</v>
      </c>
    </row>
    <row r="199" spans="2:10" collapsed="1" x14ac:dyDescent="0.25">
      <c r="B199" s="330" t="s">
        <v>44</v>
      </c>
      <c r="C199" s="334">
        <v>17394</v>
      </c>
      <c r="D199" s="334">
        <v>63757</v>
      </c>
      <c r="E199" s="334">
        <v>1193</v>
      </c>
      <c r="F199" s="334">
        <v>5685</v>
      </c>
      <c r="G199" s="334">
        <v>19798</v>
      </c>
      <c r="H199" s="334">
        <v>66674</v>
      </c>
      <c r="I199" s="334">
        <v>38385</v>
      </c>
      <c r="J199" s="334">
        <v>136116</v>
      </c>
    </row>
    <row r="200" spans="2:10" hidden="1" outlineLevel="1" x14ac:dyDescent="0.25">
      <c r="B200" s="414">
        <v>41640</v>
      </c>
      <c r="C200" s="320">
        <v>1680</v>
      </c>
      <c r="D200" s="320">
        <v>6027</v>
      </c>
      <c r="E200" s="320">
        <v>52</v>
      </c>
      <c r="F200" s="320">
        <v>220</v>
      </c>
      <c r="G200" s="320">
        <v>1280</v>
      </c>
      <c r="H200" s="320">
        <v>4011</v>
      </c>
      <c r="I200" s="320">
        <v>3012</v>
      </c>
      <c r="J200" s="320">
        <v>10258</v>
      </c>
    </row>
    <row r="201" spans="2:10" hidden="1" outlineLevel="1" x14ac:dyDescent="0.25">
      <c r="B201" s="414">
        <v>41671</v>
      </c>
      <c r="C201" s="320">
        <v>1550</v>
      </c>
      <c r="D201" s="320">
        <v>5590</v>
      </c>
      <c r="E201" s="320">
        <v>76</v>
      </c>
      <c r="F201" s="320">
        <v>318</v>
      </c>
      <c r="G201" s="320">
        <v>1520</v>
      </c>
      <c r="H201" s="320">
        <v>4945</v>
      </c>
      <c r="I201" s="320">
        <v>3146</v>
      </c>
      <c r="J201" s="320">
        <v>10853</v>
      </c>
    </row>
    <row r="202" spans="2:10" hidden="1" outlineLevel="1" x14ac:dyDescent="0.25">
      <c r="B202" s="414">
        <v>41699</v>
      </c>
      <c r="C202" s="320">
        <v>1367</v>
      </c>
      <c r="D202" s="320">
        <v>4922</v>
      </c>
      <c r="E202" s="320">
        <v>99</v>
      </c>
      <c r="F202" s="320">
        <v>470</v>
      </c>
      <c r="G202" s="320">
        <v>1354</v>
      </c>
      <c r="H202" s="320">
        <v>4290</v>
      </c>
      <c r="I202" s="320">
        <v>2820</v>
      </c>
      <c r="J202" s="320">
        <v>9682</v>
      </c>
    </row>
    <row r="203" spans="2:10" hidden="1" outlineLevel="1" x14ac:dyDescent="0.25">
      <c r="B203" s="414">
        <v>41730</v>
      </c>
      <c r="C203" s="320">
        <v>1713</v>
      </c>
      <c r="D203" s="320">
        <v>6039</v>
      </c>
      <c r="E203" s="320">
        <v>117</v>
      </c>
      <c r="F203" s="320">
        <v>534</v>
      </c>
      <c r="G203" s="320">
        <v>1841</v>
      </c>
      <c r="H203" s="320">
        <v>6029</v>
      </c>
      <c r="I203" s="320">
        <v>3671</v>
      </c>
      <c r="J203" s="320">
        <v>12602</v>
      </c>
    </row>
    <row r="204" spans="2:10" hidden="1" outlineLevel="1" x14ac:dyDescent="0.25">
      <c r="B204" s="414">
        <v>41760</v>
      </c>
      <c r="C204" s="320">
        <v>1767</v>
      </c>
      <c r="D204" s="320">
        <v>6174</v>
      </c>
      <c r="E204" s="320">
        <v>124</v>
      </c>
      <c r="F204" s="320">
        <v>523</v>
      </c>
      <c r="G204" s="320">
        <v>1514</v>
      </c>
      <c r="H204" s="320">
        <v>4663</v>
      </c>
      <c r="I204" s="320">
        <v>3405</v>
      </c>
      <c r="J204" s="320">
        <v>11360</v>
      </c>
    </row>
    <row r="205" spans="2:10" hidden="1" outlineLevel="1" x14ac:dyDescent="0.25">
      <c r="B205" s="414">
        <v>41791</v>
      </c>
      <c r="C205" s="320">
        <v>1613</v>
      </c>
      <c r="D205" s="320">
        <v>5821</v>
      </c>
      <c r="E205" s="320">
        <v>120</v>
      </c>
      <c r="F205" s="320">
        <v>517</v>
      </c>
      <c r="G205" s="320">
        <v>1715</v>
      </c>
      <c r="H205" s="320">
        <v>5301</v>
      </c>
      <c r="I205" s="320">
        <v>3448</v>
      </c>
      <c r="J205" s="320">
        <v>11639</v>
      </c>
    </row>
    <row r="206" spans="2:10" hidden="1" outlineLevel="1" x14ac:dyDescent="0.25">
      <c r="B206" s="414">
        <v>41821</v>
      </c>
      <c r="C206" s="320">
        <v>1419</v>
      </c>
      <c r="D206" s="320">
        <v>4978</v>
      </c>
      <c r="E206" s="320">
        <v>88</v>
      </c>
      <c r="F206" s="320">
        <v>412</v>
      </c>
      <c r="G206" s="320">
        <v>1625</v>
      </c>
      <c r="H206" s="320">
        <v>5129</v>
      </c>
      <c r="I206" s="320">
        <v>3132</v>
      </c>
      <c r="J206" s="320">
        <v>10519</v>
      </c>
    </row>
    <row r="207" spans="2:10" hidden="1" outlineLevel="1" x14ac:dyDescent="0.25">
      <c r="B207" s="414">
        <v>41852</v>
      </c>
      <c r="C207" s="320">
        <v>1494</v>
      </c>
      <c r="D207" s="320">
        <v>5380</v>
      </c>
      <c r="E207" s="320">
        <v>98</v>
      </c>
      <c r="F207" s="320">
        <v>469</v>
      </c>
      <c r="G207" s="320">
        <v>2110</v>
      </c>
      <c r="H207" s="320">
        <v>6696</v>
      </c>
      <c r="I207" s="320">
        <v>3702</v>
      </c>
      <c r="J207" s="320">
        <v>12545</v>
      </c>
    </row>
    <row r="208" spans="2:10" hidden="1" outlineLevel="1" x14ac:dyDescent="0.25">
      <c r="B208" s="414">
        <v>41883</v>
      </c>
      <c r="C208" s="320">
        <v>2074</v>
      </c>
      <c r="D208" s="320">
        <v>6815</v>
      </c>
      <c r="E208" s="320">
        <v>153</v>
      </c>
      <c r="F208" s="320">
        <v>619</v>
      </c>
      <c r="G208" s="320">
        <v>1891</v>
      </c>
      <c r="H208" s="320">
        <v>5544</v>
      </c>
      <c r="I208" s="320">
        <v>4118</v>
      </c>
      <c r="J208" s="320">
        <v>12978</v>
      </c>
    </row>
    <row r="209" spans="2:10" hidden="1" outlineLevel="1" x14ac:dyDescent="0.25">
      <c r="B209" s="414">
        <v>41913</v>
      </c>
      <c r="C209" s="320">
        <v>1793</v>
      </c>
      <c r="D209" s="320">
        <v>6196</v>
      </c>
      <c r="E209" s="320">
        <v>99</v>
      </c>
      <c r="F209" s="320">
        <v>453</v>
      </c>
      <c r="G209" s="320">
        <v>2822</v>
      </c>
      <c r="H209" s="320">
        <v>9121</v>
      </c>
      <c r="I209" s="320">
        <v>4714</v>
      </c>
      <c r="J209" s="320">
        <v>15770</v>
      </c>
    </row>
    <row r="210" spans="2:10" hidden="1" outlineLevel="1" x14ac:dyDescent="0.25">
      <c r="B210" s="414">
        <v>41944</v>
      </c>
      <c r="C210" s="320">
        <v>1417</v>
      </c>
      <c r="D210" s="320">
        <v>5025</v>
      </c>
      <c r="E210" s="320">
        <v>119</v>
      </c>
      <c r="F210" s="320">
        <v>521</v>
      </c>
      <c r="G210" s="320">
        <v>2963</v>
      </c>
      <c r="H210" s="320">
        <v>9093</v>
      </c>
      <c r="I210" s="320">
        <v>4499</v>
      </c>
      <c r="J210" s="320">
        <v>14639</v>
      </c>
    </row>
    <row r="211" spans="2:10" hidden="1" outlineLevel="1" x14ac:dyDescent="0.25">
      <c r="B211" s="414">
        <v>41974</v>
      </c>
      <c r="C211" s="320">
        <v>2023</v>
      </c>
      <c r="D211" s="320">
        <v>7131</v>
      </c>
      <c r="E211" s="320">
        <v>157</v>
      </c>
      <c r="F211" s="320">
        <v>606</v>
      </c>
      <c r="G211" s="320">
        <v>2407</v>
      </c>
      <c r="H211" s="320">
        <v>7565</v>
      </c>
      <c r="I211" s="320">
        <v>4587</v>
      </c>
      <c r="J211" s="320">
        <v>15302</v>
      </c>
    </row>
    <row r="212" spans="2:10" collapsed="1" x14ac:dyDescent="0.25">
      <c r="B212" s="330" t="s">
        <v>46</v>
      </c>
      <c r="C212" s="334">
        <v>19910</v>
      </c>
      <c r="D212" s="334">
        <v>70098</v>
      </c>
      <c r="E212" s="334">
        <v>1302</v>
      </c>
      <c r="F212" s="334">
        <v>5662</v>
      </c>
      <c r="G212" s="334">
        <v>23042</v>
      </c>
      <c r="H212" s="334">
        <v>72387</v>
      </c>
      <c r="I212" s="334">
        <v>44254</v>
      </c>
      <c r="J212" s="334">
        <v>148147</v>
      </c>
    </row>
    <row r="213" spans="2:10" hidden="1" outlineLevel="1" x14ac:dyDescent="0.25">
      <c r="B213" s="414">
        <v>42005</v>
      </c>
      <c r="C213" s="320">
        <v>1303</v>
      </c>
      <c r="D213" s="320">
        <v>4627</v>
      </c>
      <c r="E213" s="320">
        <v>90</v>
      </c>
      <c r="F213" s="320">
        <v>407</v>
      </c>
      <c r="G213" s="320">
        <v>2299</v>
      </c>
      <c r="H213" s="320">
        <v>7138</v>
      </c>
      <c r="I213" s="320">
        <v>3692</v>
      </c>
      <c r="J213" s="320">
        <v>12172</v>
      </c>
    </row>
    <row r="214" spans="2:10" hidden="1" outlineLevel="1" x14ac:dyDescent="0.25">
      <c r="B214" s="414">
        <v>42036</v>
      </c>
      <c r="C214" s="320">
        <v>1126</v>
      </c>
      <c r="D214" s="320">
        <v>4105</v>
      </c>
      <c r="E214" s="320">
        <v>68</v>
      </c>
      <c r="F214" s="320">
        <v>319</v>
      </c>
      <c r="G214" s="320">
        <v>1895</v>
      </c>
      <c r="H214" s="320">
        <v>5828</v>
      </c>
      <c r="I214" s="320">
        <v>3089</v>
      </c>
      <c r="J214" s="320">
        <v>10252</v>
      </c>
    </row>
    <row r="215" spans="2:10" hidden="1" outlineLevel="1" x14ac:dyDescent="0.25">
      <c r="B215" s="414">
        <v>42064</v>
      </c>
      <c r="C215" s="320">
        <v>1509</v>
      </c>
      <c r="D215" s="320">
        <v>5148</v>
      </c>
      <c r="E215" s="320">
        <v>142</v>
      </c>
      <c r="F215" s="320">
        <v>601</v>
      </c>
      <c r="G215" s="320">
        <v>2308</v>
      </c>
      <c r="H215" s="320">
        <v>7031</v>
      </c>
      <c r="I215" s="320">
        <v>3959</v>
      </c>
      <c r="J215" s="320">
        <v>12780</v>
      </c>
    </row>
    <row r="216" spans="2:10" hidden="1" outlineLevel="1" x14ac:dyDescent="0.25">
      <c r="B216" s="414">
        <v>42095</v>
      </c>
      <c r="C216" s="320">
        <v>1305</v>
      </c>
      <c r="D216" s="320">
        <v>4297</v>
      </c>
      <c r="E216" s="320">
        <v>154</v>
      </c>
      <c r="F216" s="320">
        <v>670</v>
      </c>
      <c r="G216" s="320">
        <v>2740</v>
      </c>
      <c r="H216" s="320">
        <v>8147</v>
      </c>
      <c r="I216" s="320">
        <v>4199</v>
      </c>
      <c r="J216" s="320">
        <v>13114</v>
      </c>
    </row>
    <row r="217" spans="2:10" hidden="1" outlineLevel="1" x14ac:dyDescent="0.25">
      <c r="B217" s="414">
        <v>42125</v>
      </c>
      <c r="C217" s="320">
        <v>1328</v>
      </c>
      <c r="D217" s="320">
        <v>4634</v>
      </c>
      <c r="E217" s="320">
        <v>162</v>
      </c>
      <c r="F217" s="320">
        <v>698</v>
      </c>
      <c r="G217" s="320">
        <v>2387</v>
      </c>
      <c r="H217" s="320">
        <v>7056</v>
      </c>
      <c r="I217" s="320">
        <v>3877</v>
      </c>
      <c r="J217" s="320">
        <v>12388</v>
      </c>
    </row>
    <row r="218" spans="2:10" hidden="1" outlineLevel="1" x14ac:dyDescent="0.25">
      <c r="B218" s="414">
        <v>42156</v>
      </c>
      <c r="C218" s="320">
        <v>1079</v>
      </c>
      <c r="D218" s="320">
        <v>3931</v>
      </c>
      <c r="E218" s="320">
        <v>121</v>
      </c>
      <c r="F218" s="320">
        <v>595</v>
      </c>
      <c r="G218" s="320">
        <v>2940</v>
      </c>
      <c r="H218" s="320">
        <v>8577</v>
      </c>
      <c r="I218" s="320">
        <v>4140</v>
      </c>
      <c r="J218" s="320">
        <v>13103</v>
      </c>
    </row>
    <row r="219" spans="2:10" hidden="1" outlineLevel="1" x14ac:dyDescent="0.25">
      <c r="B219" s="414">
        <v>42186</v>
      </c>
      <c r="C219" s="320">
        <v>1562</v>
      </c>
      <c r="D219" s="320">
        <v>5243</v>
      </c>
      <c r="E219" s="320">
        <v>193</v>
      </c>
      <c r="F219" s="320">
        <v>896</v>
      </c>
      <c r="G219" s="320">
        <v>1660</v>
      </c>
      <c r="H219" s="320">
        <v>4806</v>
      </c>
      <c r="I219" s="320">
        <v>3415</v>
      </c>
      <c r="J219" s="320">
        <v>10945</v>
      </c>
    </row>
    <row r="220" spans="2:10" hidden="1" outlineLevel="1" x14ac:dyDescent="0.25">
      <c r="B220" s="414">
        <v>42217</v>
      </c>
      <c r="C220" s="320">
        <v>1389</v>
      </c>
      <c r="D220" s="320">
        <v>4383</v>
      </c>
      <c r="E220" s="320">
        <v>321</v>
      </c>
      <c r="F220" s="320">
        <v>1453</v>
      </c>
      <c r="G220" s="320">
        <v>4348</v>
      </c>
      <c r="H220" s="320">
        <v>12994</v>
      </c>
      <c r="I220" s="320">
        <v>6058</v>
      </c>
      <c r="J220" s="320">
        <v>18830</v>
      </c>
    </row>
    <row r="221" spans="2:10" hidden="1" outlineLevel="1" x14ac:dyDescent="0.25">
      <c r="B221" s="414">
        <v>42248</v>
      </c>
      <c r="C221" s="320">
        <v>2017</v>
      </c>
      <c r="D221" s="320">
        <v>7335</v>
      </c>
      <c r="E221" s="320">
        <v>176</v>
      </c>
      <c r="F221" s="320">
        <v>801</v>
      </c>
      <c r="G221" s="320">
        <v>2843</v>
      </c>
      <c r="H221" s="320">
        <v>8849</v>
      </c>
      <c r="I221" s="320">
        <v>5036</v>
      </c>
      <c r="J221" s="320">
        <v>16985</v>
      </c>
    </row>
    <row r="222" spans="2:10" hidden="1" outlineLevel="1" x14ac:dyDescent="0.25">
      <c r="B222" s="414">
        <v>42278</v>
      </c>
      <c r="C222" s="320">
        <v>1395</v>
      </c>
      <c r="D222" s="320">
        <v>4572</v>
      </c>
      <c r="E222" s="320">
        <v>175</v>
      </c>
      <c r="F222" s="320">
        <v>799</v>
      </c>
      <c r="G222" s="320">
        <v>2605</v>
      </c>
      <c r="H222" s="320">
        <v>7454</v>
      </c>
      <c r="I222" s="320">
        <v>4175</v>
      </c>
      <c r="J222" s="320">
        <v>12825</v>
      </c>
    </row>
    <row r="223" spans="2:10" hidden="1" outlineLevel="1" x14ac:dyDescent="0.25">
      <c r="B223" s="414">
        <v>42309</v>
      </c>
      <c r="C223" s="320">
        <v>1495</v>
      </c>
      <c r="D223" s="320">
        <v>5282</v>
      </c>
      <c r="E223" s="320">
        <v>166</v>
      </c>
      <c r="F223" s="320">
        <v>712</v>
      </c>
      <c r="G223" s="320">
        <v>3733</v>
      </c>
      <c r="H223" s="320">
        <v>10856</v>
      </c>
      <c r="I223" s="320">
        <v>5394</v>
      </c>
      <c r="J223" s="320">
        <v>16850</v>
      </c>
    </row>
    <row r="224" spans="2:10" hidden="1" outlineLevel="1" x14ac:dyDescent="0.25">
      <c r="B224" s="414">
        <v>42339</v>
      </c>
      <c r="C224" s="320">
        <v>1645</v>
      </c>
      <c r="D224" s="320">
        <v>5189</v>
      </c>
      <c r="E224" s="320">
        <v>200</v>
      </c>
      <c r="F224" s="320">
        <v>809</v>
      </c>
      <c r="G224" s="320">
        <v>2771</v>
      </c>
      <c r="H224" s="320">
        <v>8572</v>
      </c>
      <c r="I224" s="320">
        <v>4616</v>
      </c>
      <c r="J224" s="320">
        <v>14570</v>
      </c>
    </row>
    <row r="225" spans="2:10" collapsed="1" x14ac:dyDescent="0.25">
      <c r="B225" s="330" t="s">
        <v>48</v>
      </c>
      <c r="C225" s="334">
        <v>17153</v>
      </c>
      <c r="D225" s="334">
        <v>58746</v>
      </c>
      <c r="E225" s="334">
        <v>1968</v>
      </c>
      <c r="F225" s="334">
        <v>8760</v>
      </c>
      <c r="G225" s="334">
        <v>32529</v>
      </c>
      <c r="H225" s="334">
        <v>97308</v>
      </c>
      <c r="I225" s="334">
        <v>51650</v>
      </c>
      <c r="J225" s="334">
        <v>164814</v>
      </c>
    </row>
    <row r="226" spans="2:10" hidden="1" outlineLevel="1" x14ac:dyDescent="0.25">
      <c r="B226" s="414">
        <v>42370</v>
      </c>
      <c r="C226" s="320">
        <v>1402</v>
      </c>
      <c r="D226" s="320">
        <v>4801</v>
      </c>
      <c r="E226" s="320">
        <v>157</v>
      </c>
      <c r="F226" s="320">
        <v>645</v>
      </c>
      <c r="G226" s="320">
        <v>2531</v>
      </c>
      <c r="H226" s="320">
        <v>7419</v>
      </c>
      <c r="I226" s="320">
        <v>4090</v>
      </c>
      <c r="J226" s="320">
        <v>12865</v>
      </c>
    </row>
    <row r="227" spans="2:10" hidden="1" outlineLevel="1" x14ac:dyDescent="0.25">
      <c r="B227" s="414">
        <v>42401</v>
      </c>
      <c r="C227" s="320">
        <v>964</v>
      </c>
      <c r="D227" s="320">
        <v>3139</v>
      </c>
      <c r="E227" s="320">
        <v>156</v>
      </c>
      <c r="F227" s="320">
        <v>644</v>
      </c>
      <c r="G227" s="320">
        <v>2723</v>
      </c>
      <c r="H227" s="320">
        <v>8130</v>
      </c>
      <c r="I227" s="320">
        <v>3843</v>
      </c>
      <c r="J227" s="320">
        <v>11913</v>
      </c>
    </row>
    <row r="228" spans="2:10" hidden="1" outlineLevel="1" x14ac:dyDescent="0.25">
      <c r="B228" s="414">
        <v>42430</v>
      </c>
      <c r="C228" s="320">
        <v>1710</v>
      </c>
      <c r="D228" s="320">
        <v>5724</v>
      </c>
      <c r="E228" s="320">
        <v>238</v>
      </c>
      <c r="F228" s="320">
        <v>993</v>
      </c>
      <c r="G228" s="320">
        <v>3197</v>
      </c>
      <c r="H228" s="320">
        <v>9196</v>
      </c>
      <c r="I228" s="320">
        <v>5145</v>
      </c>
      <c r="J228" s="320">
        <v>15913</v>
      </c>
    </row>
    <row r="229" spans="2:10" hidden="1" outlineLevel="1" x14ac:dyDescent="0.25">
      <c r="B229" s="414">
        <v>42461</v>
      </c>
      <c r="C229" s="320">
        <v>1579</v>
      </c>
      <c r="D229" s="320">
        <v>5412</v>
      </c>
      <c r="E229" s="320">
        <v>196</v>
      </c>
      <c r="F229" s="320">
        <v>787</v>
      </c>
      <c r="G229" s="320">
        <v>2640</v>
      </c>
      <c r="H229" s="320">
        <v>7635</v>
      </c>
      <c r="I229" s="320">
        <v>4415</v>
      </c>
      <c r="J229" s="320">
        <v>13834</v>
      </c>
    </row>
    <row r="230" spans="2:10" hidden="1" outlineLevel="1" x14ac:dyDescent="0.25">
      <c r="B230" s="414">
        <v>42491</v>
      </c>
      <c r="C230" s="320">
        <v>1550</v>
      </c>
      <c r="D230" s="320">
        <v>5486</v>
      </c>
      <c r="E230" s="320">
        <v>180</v>
      </c>
      <c r="F230" s="320">
        <v>760</v>
      </c>
      <c r="G230" s="320">
        <v>2933</v>
      </c>
      <c r="H230" s="320">
        <v>8633</v>
      </c>
      <c r="I230" s="320">
        <v>4663</v>
      </c>
      <c r="J230" s="320">
        <v>14879</v>
      </c>
    </row>
    <row r="231" spans="2:10" hidden="1" outlineLevel="1" x14ac:dyDescent="0.25">
      <c r="B231" s="414">
        <v>42522</v>
      </c>
      <c r="C231" s="320">
        <v>1015</v>
      </c>
      <c r="D231" s="320">
        <v>3452</v>
      </c>
      <c r="E231" s="320">
        <v>121</v>
      </c>
      <c r="F231" s="320">
        <v>555</v>
      </c>
      <c r="G231" s="320">
        <v>2658</v>
      </c>
      <c r="H231" s="320">
        <v>7478</v>
      </c>
      <c r="I231" s="320">
        <v>3794</v>
      </c>
      <c r="J231" s="320">
        <v>11485</v>
      </c>
    </row>
    <row r="232" spans="2:10" hidden="1" outlineLevel="1" x14ac:dyDescent="0.25">
      <c r="B232" s="414">
        <v>42552</v>
      </c>
      <c r="C232" s="320">
        <v>1746</v>
      </c>
      <c r="D232" s="320">
        <v>6028</v>
      </c>
      <c r="E232" s="320">
        <v>157</v>
      </c>
      <c r="F232" s="320">
        <v>657</v>
      </c>
      <c r="G232" s="320">
        <v>2535</v>
      </c>
      <c r="H232" s="320">
        <v>7430</v>
      </c>
      <c r="I232" s="320">
        <v>4438</v>
      </c>
      <c r="J232" s="320">
        <v>14115</v>
      </c>
    </row>
    <row r="233" spans="2:10" hidden="1" outlineLevel="1" x14ac:dyDescent="0.25">
      <c r="B233" s="414">
        <v>42583</v>
      </c>
      <c r="C233" s="320">
        <v>1390</v>
      </c>
      <c r="D233" s="320">
        <v>4511</v>
      </c>
      <c r="E233" s="320">
        <v>153</v>
      </c>
      <c r="F233" s="320">
        <v>578</v>
      </c>
      <c r="G233" s="320">
        <v>3151</v>
      </c>
      <c r="H233" s="320">
        <v>9173</v>
      </c>
      <c r="I233" s="320">
        <v>4694</v>
      </c>
      <c r="J233" s="320">
        <v>14262</v>
      </c>
    </row>
    <row r="234" spans="2:10" hidden="1" outlineLevel="1" x14ac:dyDescent="0.25">
      <c r="B234" s="414">
        <v>42614</v>
      </c>
      <c r="C234" s="320">
        <v>1402</v>
      </c>
      <c r="D234" s="320">
        <v>4329</v>
      </c>
      <c r="E234" s="320">
        <v>196</v>
      </c>
      <c r="F234" s="320">
        <v>823</v>
      </c>
      <c r="G234" s="320">
        <v>2981</v>
      </c>
      <c r="H234" s="320">
        <v>8807</v>
      </c>
      <c r="I234" s="320">
        <v>4579</v>
      </c>
      <c r="J234" s="320">
        <v>13959</v>
      </c>
    </row>
    <row r="235" spans="2:10" hidden="1" outlineLevel="1" x14ac:dyDescent="0.25">
      <c r="B235" s="414">
        <v>42644</v>
      </c>
      <c r="C235" s="320">
        <v>1480</v>
      </c>
      <c r="D235" s="320">
        <v>5044</v>
      </c>
      <c r="E235" s="320">
        <v>136</v>
      </c>
      <c r="F235" s="320">
        <v>536</v>
      </c>
      <c r="G235" s="320">
        <v>2791</v>
      </c>
      <c r="H235" s="320">
        <v>8111</v>
      </c>
      <c r="I235" s="320">
        <v>4407</v>
      </c>
      <c r="J235" s="320">
        <v>13691</v>
      </c>
    </row>
    <row r="236" spans="2:10" hidden="1" outlineLevel="1" x14ac:dyDescent="0.25">
      <c r="B236" s="414">
        <v>42675</v>
      </c>
      <c r="C236" s="320">
        <v>1497</v>
      </c>
      <c r="D236" s="320">
        <v>5099</v>
      </c>
      <c r="E236" s="320">
        <v>128</v>
      </c>
      <c r="F236" s="320">
        <v>483</v>
      </c>
      <c r="G236" s="320">
        <v>2064</v>
      </c>
      <c r="H236" s="320">
        <v>6110</v>
      </c>
      <c r="I236" s="320">
        <v>3689</v>
      </c>
      <c r="J236" s="320">
        <v>11692</v>
      </c>
    </row>
    <row r="237" spans="2:10" hidden="1" outlineLevel="1" x14ac:dyDescent="0.25">
      <c r="B237" s="414">
        <v>42705</v>
      </c>
      <c r="C237" s="320">
        <v>1565</v>
      </c>
      <c r="D237" s="320">
        <v>5550</v>
      </c>
      <c r="E237" s="320">
        <v>94</v>
      </c>
      <c r="F237" s="320">
        <v>399</v>
      </c>
      <c r="G237" s="320">
        <v>3636</v>
      </c>
      <c r="H237" s="320">
        <v>11125</v>
      </c>
      <c r="I237" s="320">
        <v>5295</v>
      </c>
      <c r="J237" s="320">
        <v>17074</v>
      </c>
    </row>
    <row r="238" spans="2:10" collapsed="1" x14ac:dyDescent="0.25">
      <c r="B238" s="330" t="s">
        <v>65</v>
      </c>
      <c r="C238" s="334">
        <v>17300</v>
      </c>
      <c r="D238" s="334">
        <v>58575</v>
      </c>
      <c r="E238" s="334">
        <v>1912</v>
      </c>
      <c r="F238" s="334">
        <v>7860</v>
      </c>
      <c r="G238" s="334">
        <v>33840</v>
      </c>
      <c r="H238" s="334">
        <v>99247</v>
      </c>
      <c r="I238" s="334">
        <v>53052</v>
      </c>
      <c r="J238" s="334">
        <v>165682</v>
      </c>
    </row>
    <row r="239" spans="2:10" hidden="1" outlineLevel="1" x14ac:dyDescent="0.25">
      <c r="B239" s="414">
        <v>42736</v>
      </c>
      <c r="C239" s="320">
        <v>1578</v>
      </c>
      <c r="D239" s="320">
        <v>5100</v>
      </c>
      <c r="E239" s="320">
        <v>122</v>
      </c>
      <c r="F239" s="320">
        <v>478</v>
      </c>
      <c r="G239" s="320">
        <v>3277</v>
      </c>
      <c r="H239" s="320">
        <v>9466</v>
      </c>
      <c r="I239" s="320">
        <v>4977</v>
      </c>
      <c r="J239" s="320">
        <v>15044</v>
      </c>
    </row>
    <row r="240" spans="2:10" hidden="1" outlineLevel="1" x14ac:dyDescent="0.25">
      <c r="B240" s="414">
        <v>42767</v>
      </c>
      <c r="C240" s="320">
        <v>1309</v>
      </c>
      <c r="D240" s="320">
        <v>4472</v>
      </c>
      <c r="E240" s="320">
        <v>118</v>
      </c>
      <c r="F240" s="320">
        <v>502</v>
      </c>
      <c r="G240" s="320">
        <v>3001</v>
      </c>
      <c r="H240" s="320">
        <v>8506</v>
      </c>
      <c r="I240" s="320">
        <v>4428</v>
      </c>
      <c r="J240" s="320">
        <v>13480</v>
      </c>
    </row>
    <row r="241" spans="2:10" hidden="1" outlineLevel="1" x14ac:dyDescent="0.25">
      <c r="B241" s="414">
        <v>42795</v>
      </c>
      <c r="C241" s="320">
        <v>1433</v>
      </c>
      <c r="D241" s="320">
        <v>4492</v>
      </c>
      <c r="E241" s="320">
        <v>123</v>
      </c>
      <c r="F241" s="320">
        <v>484</v>
      </c>
      <c r="G241" s="320">
        <v>2598</v>
      </c>
      <c r="H241" s="320">
        <v>7750</v>
      </c>
      <c r="I241" s="320">
        <v>4154</v>
      </c>
      <c r="J241" s="320">
        <v>12726</v>
      </c>
    </row>
    <row r="242" spans="2:10" hidden="1" outlineLevel="1" x14ac:dyDescent="0.25">
      <c r="B242" s="414">
        <v>42826</v>
      </c>
      <c r="C242" s="320">
        <v>1610</v>
      </c>
      <c r="D242" s="320">
        <v>5252</v>
      </c>
      <c r="E242" s="320">
        <v>163</v>
      </c>
      <c r="F242" s="320">
        <v>704</v>
      </c>
      <c r="G242" s="320">
        <v>2935</v>
      </c>
      <c r="H242" s="320">
        <v>8131</v>
      </c>
      <c r="I242" s="320">
        <v>4708</v>
      </c>
      <c r="J242" s="320">
        <v>14087</v>
      </c>
    </row>
    <row r="243" spans="2:10" hidden="1" outlineLevel="1" x14ac:dyDescent="0.25">
      <c r="B243" s="414">
        <v>42856</v>
      </c>
      <c r="C243" s="320">
        <v>1418</v>
      </c>
      <c r="D243" s="320">
        <v>4341</v>
      </c>
      <c r="E243" s="320">
        <v>177</v>
      </c>
      <c r="F243" s="320">
        <v>637</v>
      </c>
      <c r="G243" s="320">
        <v>3318</v>
      </c>
      <c r="H243" s="320">
        <v>8846</v>
      </c>
      <c r="I243" s="320">
        <v>4913</v>
      </c>
      <c r="J243" s="320">
        <v>13824</v>
      </c>
    </row>
    <row r="244" spans="2:10" hidden="1" outlineLevel="1" x14ac:dyDescent="0.25">
      <c r="B244" s="414">
        <v>42887</v>
      </c>
      <c r="C244" s="320">
        <v>1230</v>
      </c>
      <c r="D244" s="320">
        <v>4069</v>
      </c>
      <c r="E244" s="320">
        <v>108</v>
      </c>
      <c r="F244" s="320">
        <v>460</v>
      </c>
      <c r="G244" s="320">
        <v>2707</v>
      </c>
      <c r="H244" s="320">
        <v>8139</v>
      </c>
      <c r="I244" s="320">
        <v>4045</v>
      </c>
      <c r="J244" s="320">
        <v>12668</v>
      </c>
    </row>
    <row r="245" spans="2:10" hidden="1" outlineLevel="1" x14ac:dyDescent="0.25">
      <c r="B245" s="414">
        <v>42917</v>
      </c>
      <c r="C245" s="320">
        <v>1191</v>
      </c>
      <c r="D245" s="320">
        <v>4093</v>
      </c>
      <c r="E245" s="320">
        <v>118</v>
      </c>
      <c r="F245" s="320">
        <v>524</v>
      </c>
      <c r="G245" s="320">
        <v>3460</v>
      </c>
      <c r="H245" s="320">
        <v>9428</v>
      </c>
      <c r="I245" s="320">
        <v>4769</v>
      </c>
      <c r="J245" s="320">
        <v>14045</v>
      </c>
    </row>
    <row r="246" spans="2:10" hidden="1" outlineLevel="1" x14ac:dyDescent="0.25">
      <c r="B246" s="414">
        <v>42948</v>
      </c>
      <c r="C246" s="320">
        <v>1646</v>
      </c>
      <c r="D246" s="320">
        <v>5129</v>
      </c>
      <c r="E246" s="320">
        <v>226</v>
      </c>
      <c r="F246" s="320">
        <v>888</v>
      </c>
      <c r="G246" s="320">
        <v>3406</v>
      </c>
      <c r="H246" s="320">
        <v>9871</v>
      </c>
      <c r="I246" s="320">
        <v>5278</v>
      </c>
      <c r="J246" s="320">
        <v>15888</v>
      </c>
    </row>
    <row r="247" spans="2:10" hidden="1" outlineLevel="1" x14ac:dyDescent="0.25">
      <c r="B247" s="414">
        <v>42979</v>
      </c>
      <c r="C247" s="320">
        <v>1788</v>
      </c>
      <c r="D247" s="320">
        <v>5884</v>
      </c>
      <c r="E247" s="320">
        <v>227</v>
      </c>
      <c r="F247" s="320">
        <v>1042</v>
      </c>
      <c r="G247" s="320">
        <v>1959</v>
      </c>
      <c r="H247" s="320">
        <v>5773</v>
      </c>
      <c r="I247" s="320">
        <v>3974</v>
      </c>
      <c r="J247" s="320">
        <v>12699</v>
      </c>
    </row>
    <row r="248" spans="2:10" hidden="1" outlineLevel="1" x14ac:dyDescent="0.25">
      <c r="B248" s="414">
        <v>43009</v>
      </c>
      <c r="C248" s="320">
        <v>1600</v>
      </c>
      <c r="D248" s="320">
        <v>5166</v>
      </c>
      <c r="E248" s="320">
        <v>160</v>
      </c>
      <c r="F248" s="320">
        <v>678</v>
      </c>
      <c r="G248" s="320">
        <v>5186</v>
      </c>
      <c r="H248" s="320">
        <v>14719</v>
      </c>
      <c r="I248" s="320">
        <v>6946</v>
      </c>
      <c r="J248" s="320">
        <v>20563</v>
      </c>
    </row>
    <row r="249" spans="2:10" hidden="1" outlineLevel="1" x14ac:dyDescent="0.25">
      <c r="B249" s="414">
        <v>43040</v>
      </c>
      <c r="C249" s="320">
        <v>1751</v>
      </c>
      <c r="D249" s="320">
        <v>5849</v>
      </c>
      <c r="E249" s="320">
        <v>177</v>
      </c>
      <c r="F249" s="320">
        <v>742</v>
      </c>
      <c r="G249" s="320">
        <v>3371</v>
      </c>
      <c r="H249" s="320">
        <v>9775</v>
      </c>
      <c r="I249" s="320">
        <v>5299</v>
      </c>
      <c r="J249" s="320">
        <v>16366</v>
      </c>
    </row>
    <row r="250" spans="2:10" hidden="1" outlineLevel="1" x14ac:dyDescent="0.25">
      <c r="B250" s="414">
        <v>43070</v>
      </c>
      <c r="C250" s="320">
        <v>1618</v>
      </c>
      <c r="D250" s="320">
        <v>5288</v>
      </c>
      <c r="E250" s="320">
        <v>188</v>
      </c>
      <c r="F250" s="320">
        <v>708</v>
      </c>
      <c r="G250" s="320">
        <v>3152</v>
      </c>
      <c r="H250" s="320">
        <v>9366</v>
      </c>
      <c r="I250" s="320">
        <v>4958</v>
      </c>
      <c r="J250" s="320">
        <v>15362</v>
      </c>
    </row>
    <row r="251" spans="2:10" collapsed="1" x14ac:dyDescent="0.25">
      <c r="B251" s="330" t="s">
        <v>68</v>
      </c>
      <c r="C251" s="334">
        <v>18172</v>
      </c>
      <c r="D251" s="334">
        <v>59135</v>
      </c>
      <c r="E251" s="334">
        <v>1907</v>
      </c>
      <c r="F251" s="334">
        <v>7847</v>
      </c>
      <c r="G251" s="334">
        <v>38370</v>
      </c>
      <c r="H251" s="334">
        <v>109770</v>
      </c>
      <c r="I251" s="334">
        <v>58449</v>
      </c>
      <c r="J251" s="334">
        <v>176752</v>
      </c>
    </row>
    <row r="252" spans="2:10" hidden="1" outlineLevel="1" x14ac:dyDescent="0.25">
      <c r="B252" s="414">
        <v>43101</v>
      </c>
      <c r="C252" s="320">
        <v>1487</v>
      </c>
      <c r="D252" s="320">
        <v>4777</v>
      </c>
      <c r="E252" s="320">
        <v>142</v>
      </c>
      <c r="F252" s="320">
        <v>567</v>
      </c>
      <c r="G252" s="320">
        <v>3378</v>
      </c>
      <c r="H252" s="320">
        <v>9267</v>
      </c>
      <c r="I252" s="320">
        <v>5007</v>
      </c>
      <c r="J252" s="320">
        <v>14611</v>
      </c>
    </row>
    <row r="253" spans="2:10" hidden="1" outlineLevel="1" x14ac:dyDescent="0.25">
      <c r="B253" s="414">
        <v>43132</v>
      </c>
      <c r="C253" s="320">
        <v>1165</v>
      </c>
      <c r="D253" s="320">
        <v>3878</v>
      </c>
      <c r="E253" s="320">
        <v>171</v>
      </c>
      <c r="F253" s="320">
        <v>740</v>
      </c>
      <c r="G253" s="320">
        <v>4024</v>
      </c>
      <c r="H253" s="320">
        <v>10885</v>
      </c>
      <c r="I253" s="320">
        <v>5360</v>
      </c>
      <c r="J253" s="320">
        <v>15503</v>
      </c>
    </row>
    <row r="254" spans="2:10" hidden="1" outlineLevel="1" x14ac:dyDescent="0.25">
      <c r="B254" s="414">
        <v>43160</v>
      </c>
      <c r="C254" s="320">
        <v>2460</v>
      </c>
      <c r="D254" s="320">
        <v>7692</v>
      </c>
      <c r="E254" s="320">
        <v>296</v>
      </c>
      <c r="F254" s="320">
        <v>1104</v>
      </c>
      <c r="G254" s="320">
        <v>3447</v>
      </c>
      <c r="H254" s="320">
        <v>9794</v>
      </c>
      <c r="I254" s="320">
        <v>6203</v>
      </c>
      <c r="J254" s="320">
        <v>18590</v>
      </c>
    </row>
    <row r="255" spans="2:10" hidden="1" outlineLevel="1" x14ac:dyDescent="0.25">
      <c r="B255" s="414">
        <v>43191</v>
      </c>
      <c r="C255" s="320">
        <v>1488</v>
      </c>
      <c r="D255" s="320">
        <v>4979</v>
      </c>
      <c r="E255" s="320">
        <v>166</v>
      </c>
      <c r="F255" s="320">
        <v>699</v>
      </c>
      <c r="G255" s="320">
        <v>3596</v>
      </c>
      <c r="H255" s="320">
        <v>10022</v>
      </c>
      <c r="I255" s="320">
        <v>5250</v>
      </c>
      <c r="J255" s="320">
        <v>15700</v>
      </c>
    </row>
    <row r="256" spans="2:10" hidden="1" outlineLevel="1" x14ac:dyDescent="0.25">
      <c r="B256" s="414">
        <v>43221</v>
      </c>
      <c r="C256" s="320">
        <v>1705</v>
      </c>
      <c r="D256" s="320">
        <v>5530</v>
      </c>
      <c r="E256" s="320">
        <v>178</v>
      </c>
      <c r="F256" s="320">
        <v>714</v>
      </c>
      <c r="G256" s="320">
        <v>3536</v>
      </c>
      <c r="H256" s="320">
        <v>9898</v>
      </c>
      <c r="I256" s="320">
        <v>5419</v>
      </c>
      <c r="J256" s="320">
        <v>16142</v>
      </c>
    </row>
    <row r="257" spans="2:10" hidden="1" outlineLevel="1" x14ac:dyDescent="0.25">
      <c r="B257" s="414">
        <v>43252</v>
      </c>
      <c r="C257" s="320">
        <v>1717</v>
      </c>
      <c r="D257" s="320">
        <v>5500</v>
      </c>
      <c r="E257" s="320">
        <v>211</v>
      </c>
      <c r="F257" s="320">
        <v>885</v>
      </c>
      <c r="G257" s="320">
        <v>3371</v>
      </c>
      <c r="H257" s="320">
        <v>9458</v>
      </c>
      <c r="I257" s="320">
        <v>5299</v>
      </c>
      <c r="J257" s="320">
        <v>15843</v>
      </c>
    </row>
    <row r="258" spans="2:10" hidden="1" outlineLevel="1" x14ac:dyDescent="0.25">
      <c r="B258" s="414">
        <v>43282</v>
      </c>
      <c r="C258" s="320">
        <v>1574</v>
      </c>
      <c r="D258" s="320">
        <v>4981</v>
      </c>
      <c r="E258" s="320">
        <v>176</v>
      </c>
      <c r="F258" s="320">
        <v>714</v>
      </c>
      <c r="G258" s="320">
        <v>3523</v>
      </c>
      <c r="H258" s="320">
        <v>9997</v>
      </c>
      <c r="I258" s="320">
        <v>5273</v>
      </c>
      <c r="J258" s="320">
        <v>15692</v>
      </c>
    </row>
    <row r="259" spans="2:10" hidden="1" outlineLevel="1" x14ac:dyDescent="0.25">
      <c r="B259" s="414">
        <v>43313</v>
      </c>
      <c r="C259" s="320">
        <v>1786</v>
      </c>
      <c r="D259" s="320">
        <v>5797</v>
      </c>
      <c r="E259" s="320">
        <v>215</v>
      </c>
      <c r="F259" s="320">
        <v>865</v>
      </c>
      <c r="G259" s="320">
        <v>3741</v>
      </c>
      <c r="H259" s="320">
        <v>10742</v>
      </c>
      <c r="I259" s="320">
        <v>5742</v>
      </c>
      <c r="J259" s="320">
        <v>17404</v>
      </c>
    </row>
    <row r="260" spans="2:10" hidden="1" outlineLevel="1" x14ac:dyDescent="0.25">
      <c r="B260" s="414">
        <v>43344</v>
      </c>
      <c r="C260" s="320">
        <v>1829</v>
      </c>
      <c r="D260" s="320">
        <v>5996</v>
      </c>
      <c r="E260" s="320">
        <v>210</v>
      </c>
      <c r="F260" s="320">
        <v>796</v>
      </c>
      <c r="G260" s="320">
        <v>4016</v>
      </c>
      <c r="H260" s="320">
        <v>11063</v>
      </c>
      <c r="I260" s="320">
        <v>6055</v>
      </c>
      <c r="J260" s="320">
        <v>17855</v>
      </c>
    </row>
    <row r="261" spans="2:10" hidden="1" outlineLevel="1" x14ac:dyDescent="0.25">
      <c r="B261" s="414">
        <v>43374</v>
      </c>
      <c r="C261" s="320">
        <v>1908</v>
      </c>
      <c r="D261" s="320">
        <v>5933</v>
      </c>
      <c r="E261" s="320">
        <v>221</v>
      </c>
      <c r="F261" s="320">
        <v>853</v>
      </c>
      <c r="G261" s="320">
        <v>3862</v>
      </c>
      <c r="H261" s="320">
        <v>11406</v>
      </c>
      <c r="I261" s="320">
        <v>5991</v>
      </c>
      <c r="J261" s="320">
        <v>18192</v>
      </c>
    </row>
    <row r="262" spans="2:10" hidden="1" outlineLevel="1" x14ac:dyDescent="0.25">
      <c r="B262" s="414">
        <v>43405</v>
      </c>
      <c r="C262" s="320">
        <v>1951</v>
      </c>
      <c r="D262" s="320">
        <v>6310</v>
      </c>
      <c r="E262" s="320">
        <v>210</v>
      </c>
      <c r="F262" s="320">
        <v>846</v>
      </c>
      <c r="G262" s="320">
        <v>4235</v>
      </c>
      <c r="H262" s="320">
        <v>12050</v>
      </c>
      <c r="I262" s="320">
        <v>6396</v>
      </c>
      <c r="J262" s="320">
        <v>19206</v>
      </c>
    </row>
    <row r="263" spans="2:10" hidden="1" outlineLevel="1" x14ac:dyDescent="0.25">
      <c r="B263" s="414">
        <v>43435</v>
      </c>
      <c r="C263" s="320">
        <v>1864</v>
      </c>
      <c r="D263" s="320">
        <v>6097</v>
      </c>
      <c r="E263" s="320">
        <v>206</v>
      </c>
      <c r="F263" s="320">
        <v>773</v>
      </c>
      <c r="G263" s="320">
        <v>3733</v>
      </c>
      <c r="H263" s="320">
        <v>11050</v>
      </c>
      <c r="I263" s="320">
        <v>5803</v>
      </c>
      <c r="J263" s="320">
        <v>17920</v>
      </c>
    </row>
    <row r="264" spans="2:10" collapsed="1" x14ac:dyDescent="0.25">
      <c r="B264" s="330" t="s">
        <v>69</v>
      </c>
      <c r="C264" s="334">
        <v>20934</v>
      </c>
      <c r="D264" s="334">
        <v>67470</v>
      </c>
      <c r="E264" s="334">
        <v>2402</v>
      </c>
      <c r="F264" s="334">
        <v>9556</v>
      </c>
      <c r="G264" s="334">
        <v>44462</v>
      </c>
      <c r="H264" s="334">
        <v>125632</v>
      </c>
      <c r="I264" s="334">
        <v>67798</v>
      </c>
      <c r="J264" s="334">
        <v>202658</v>
      </c>
    </row>
    <row r="265" spans="2:10" hidden="1" outlineLevel="1" x14ac:dyDescent="0.25">
      <c r="B265" s="414">
        <v>43466</v>
      </c>
      <c r="C265" s="320">
        <v>1644</v>
      </c>
      <c r="D265" s="320">
        <v>5240</v>
      </c>
      <c r="E265" s="320">
        <v>136</v>
      </c>
      <c r="F265" s="320">
        <v>473</v>
      </c>
      <c r="G265" s="320">
        <v>3602</v>
      </c>
      <c r="H265" s="320">
        <v>10442</v>
      </c>
      <c r="I265" s="320">
        <v>5382</v>
      </c>
      <c r="J265" s="320">
        <v>16155</v>
      </c>
    </row>
    <row r="266" spans="2:10" hidden="1" outlineLevel="1" x14ac:dyDescent="0.25">
      <c r="B266" s="414">
        <v>43497</v>
      </c>
      <c r="C266" s="320">
        <v>1660</v>
      </c>
      <c r="D266" s="320">
        <v>5440</v>
      </c>
      <c r="E266" s="320">
        <v>195</v>
      </c>
      <c r="F266" s="320">
        <v>810</v>
      </c>
      <c r="G266" s="320">
        <v>3859</v>
      </c>
      <c r="H266" s="320">
        <v>11121</v>
      </c>
      <c r="I266" s="320">
        <v>5714</v>
      </c>
      <c r="J266" s="320">
        <v>17371</v>
      </c>
    </row>
    <row r="267" spans="2:10" hidden="1" outlineLevel="1" x14ac:dyDescent="0.25">
      <c r="B267" s="414">
        <v>43525</v>
      </c>
      <c r="C267" s="320">
        <v>1447</v>
      </c>
      <c r="D267" s="320">
        <v>4690</v>
      </c>
      <c r="E267" s="320">
        <v>166</v>
      </c>
      <c r="F267" s="320">
        <v>800</v>
      </c>
      <c r="G267" s="320">
        <v>3536</v>
      </c>
      <c r="H267" s="320">
        <v>10073</v>
      </c>
      <c r="I267" s="320">
        <v>5149</v>
      </c>
      <c r="J267" s="320">
        <v>15563</v>
      </c>
    </row>
    <row r="268" spans="2:10" hidden="1" outlineLevel="1" x14ac:dyDescent="0.25">
      <c r="B268" s="414">
        <v>43556</v>
      </c>
      <c r="C268" s="320">
        <v>1532</v>
      </c>
      <c r="D268" s="320">
        <v>5027</v>
      </c>
      <c r="E268" s="320">
        <v>191</v>
      </c>
      <c r="F268" s="320">
        <v>822</v>
      </c>
      <c r="G268" s="320">
        <v>4048</v>
      </c>
      <c r="H268" s="320">
        <v>11053</v>
      </c>
      <c r="I268" s="320">
        <v>5771</v>
      </c>
      <c r="J268" s="320">
        <v>16902</v>
      </c>
    </row>
    <row r="269" spans="2:10" hidden="1" outlineLevel="1" x14ac:dyDescent="0.25">
      <c r="B269" s="414">
        <v>43586</v>
      </c>
      <c r="C269" s="320">
        <v>1595</v>
      </c>
      <c r="D269" s="320">
        <v>4923</v>
      </c>
      <c r="E269" s="320">
        <v>179</v>
      </c>
      <c r="F269" s="320">
        <v>655</v>
      </c>
      <c r="G269" s="320">
        <v>3277</v>
      </c>
      <c r="H269" s="320">
        <v>9461</v>
      </c>
      <c r="I269" s="320">
        <v>5051</v>
      </c>
      <c r="J269" s="320">
        <v>15039</v>
      </c>
    </row>
    <row r="270" spans="2:10" hidden="1" outlineLevel="1" x14ac:dyDescent="0.25">
      <c r="B270" s="414">
        <v>43617</v>
      </c>
      <c r="C270" s="320">
        <v>1566</v>
      </c>
      <c r="D270" s="320">
        <v>4922</v>
      </c>
      <c r="E270" s="320">
        <v>128</v>
      </c>
      <c r="F270" s="320">
        <v>485</v>
      </c>
      <c r="G270" s="320">
        <v>3773</v>
      </c>
      <c r="H270" s="320">
        <v>10296</v>
      </c>
      <c r="I270" s="320">
        <v>5467</v>
      </c>
      <c r="J270" s="320">
        <v>15703</v>
      </c>
    </row>
    <row r="271" spans="2:10" hidden="1" outlineLevel="1" x14ac:dyDescent="0.25">
      <c r="B271" s="414">
        <v>43647</v>
      </c>
      <c r="C271" s="320">
        <v>1268</v>
      </c>
      <c r="D271" s="320">
        <v>4145</v>
      </c>
      <c r="E271" s="320">
        <v>119</v>
      </c>
      <c r="F271" s="320">
        <v>491</v>
      </c>
      <c r="G271" s="320">
        <v>4075</v>
      </c>
      <c r="H271" s="320">
        <v>11015</v>
      </c>
      <c r="I271" s="320">
        <v>5462</v>
      </c>
      <c r="J271" s="320">
        <v>15651</v>
      </c>
    </row>
    <row r="272" spans="2:10" hidden="1" outlineLevel="1" x14ac:dyDescent="0.25">
      <c r="B272" s="414">
        <v>43678</v>
      </c>
      <c r="C272" s="320">
        <v>1754</v>
      </c>
      <c r="D272" s="320">
        <v>5263</v>
      </c>
      <c r="E272" s="320">
        <v>194</v>
      </c>
      <c r="F272" s="320">
        <v>769</v>
      </c>
      <c r="G272" s="320">
        <v>3280</v>
      </c>
      <c r="H272" s="320">
        <v>9481</v>
      </c>
      <c r="I272" s="320">
        <v>5228</v>
      </c>
      <c r="J272" s="320">
        <v>15513</v>
      </c>
    </row>
    <row r="273" spans="2:10" hidden="1" outlineLevel="1" x14ac:dyDescent="0.25">
      <c r="B273" s="414">
        <v>43709</v>
      </c>
      <c r="C273" s="320">
        <v>1699</v>
      </c>
      <c r="D273" s="320">
        <v>5345</v>
      </c>
      <c r="E273" s="320">
        <v>173</v>
      </c>
      <c r="F273" s="320">
        <v>649</v>
      </c>
      <c r="G273" s="320">
        <v>3976</v>
      </c>
      <c r="H273" s="320">
        <v>10889</v>
      </c>
      <c r="I273" s="320">
        <v>5848</v>
      </c>
      <c r="J273" s="320">
        <v>16883</v>
      </c>
    </row>
    <row r="274" spans="2:10" hidden="1" outlineLevel="1" x14ac:dyDescent="0.25">
      <c r="B274" s="414">
        <v>43739</v>
      </c>
      <c r="C274" s="320">
        <v>1702</v>
      </c>
      <c r="D274" s="320">
        <v>5319</v>
      </c>
      <c r="E274" s="320">
        <v>176</v>
      </c>
      <c r="F274" s="320">
        <v>664</v>
      </c>
      <c r="G274" s="320">
        <v>4777</v>
      </c>
      <c r="H274" s="320">
        <v>13052</v>
      </c>
      <c r="I274" s="320">
        <v>6655</v>
      </c>
      <c r="J274" s="320">
        <v>19035</v>
      </c>
    </row>
    <row r="275" spans="2:10" hidden="1" outlineLevel="1" x14ac:dyDescent="0.25">
      <c r="B275" s="414">
        <v>43770</v>
      </c>
      <c r="C275" s="320">
        <v>1481</v>
      </c>
      <c r="D275" s="320">
        <v>4688</v>
      </c>
      <c r="E275" s="320">
        <v>133</v>
      </c>
      <c r="F275" s="320">
        <v>524</v>
      </c>
      <c r="G275" s="320">
        <v>2191</v>
      </c>
      <c r="H275" s="320">
        <v>6559</v>
      </c>
      <c r="I275" s="320">
        <v>3805</v>
      </c>
      <c r="J275" s="320">
        <v>11771</v>
      </c>
    </row>
    <row r="276" spans="2:10" hidden="1" outlineLevel="1" x14ac:dyDescent="0.25">
      <c r="B276" s="414">
        <v>43800</v>
      </c>
      <c r="C276" s="320">
        <v>1336</v>
      </c>
      <c r="D276" s="320">
        <v>4183</v>
      </c>
      <c r="E276" s="320">
        <v>108</v>
      </c>
      <c r="F276" s="320">
        <v>440</v>
      </c>
      <c r="G276" s="320">
        <v>4914</v>
      </c>
      <c r="H276" s="320">
        <v>13478</v>
      </c>
      <c r="I276" s="320">
        <v>6358</v>
      </c>
      <c r="J276" s="320">
        <v>18101</v>
      </c>
    </row>
    <row r="277" spans="2:10" collapsed="1" x14ac:dyDescent="0.25">
      <c r="B277" s="330" t="s">
        <v>70</v>
      </c>
      <c r="C277" s="334">
        <v>18684</v>
      </c>
      <c r="D277" s="334">
        <v>59185</v>
      </c>
      <c r="E277" s="334">
        <v>1898</v>
      </c>
      <c r="F277" s="334">
        <v>7582</v>
      </c>
      <c r="G277" s="334">
        <v>45308</v>
      </c>
      <c r="H277" s="334">
        <v>126920</v>
      </c>
      <c r="I277" s="334">
        <v>65890</v>
      </c>
      <c r="J277" s="334">
        <v>193687</v>
      </c>
    </row>
    <row r="278" spans="2:10" hidden="1" outlineLevel="1" x14ac:dyDescent="0.25">
      <c r="B278" s="414">
        <v>43831</v>
      </c>
      <c r="C278" s="320">
        <v>2201</v>
      </c>
      <c r="D278" s="320">
        <v>6965</v>
      </c>
      <c r="E278" s="320">
        <v>189</v>
      </c>
      <c r="F278" s="320">
        <v>759</v>
      </c>
      <c r="G278" s="320">
        <v>4583</v>
      </c>
      <c r="H278" s="320">
        <v>12850</v>
      </c>
      <c r="I278" s="320">
        <v>6973</v>
      </c>
      <c r="J278" s="320">
        <v>20574</v>
      </c>
    </row>
    <row r="279" spans="2:10" hidden="1" outlineLevel="1" x14ac:dyDescent="0.25">
      <c r="B279" s="414">
        <v>43862</v>
      </c>
      <c r="C279" s="320">
        <v>1863</v>
      </c>
      <c r="D279" s="320">
        <v>5801</v>
      </c>
      <c r="E279" s="320">
        <v>280</v>
      </c>
      <c r="F279" s="320">
        <v>1068</v>
      </c>
      <c r="G279" s="320">
        <v>4722</v>
      </c>
      <c r="H279" s="320">
        <v>13234</v>
      </c>
      <c r="I279" s="320">
        <v>6865</v>
      </c>
      <c r="J279" s="320">
        <v>20103</v>
      </c>
    </row>
    <row r="280" spans="2:10" hidden="1" outlineLevel="1" x14ac:dyDescent="0.25">
      <c r="B280" s="414">
        <v>43891</v>
      </c>
      <c r="C280" s="320">
        <v>1546</v>
      </c>
      <c r="D280" s="320">
        <v>4795</v>
      </c>
      <c r="E280" s="320">
        <v>263</v>
      </c>
      <c r="F280" s="320">
        <v>982</v>
      </c>
      <c r="G280" s="320">
        <v>4641</v>
      </c>
      <c r="H280" s="320">
        <v>11822</v>
      </c>
      <c r="I280" s="320">
        <v>6450</v>
      </c>
      <c r="J280" s="320">
        <v>17599</v>
      </c>
    </row>
    <row r="281" spans="2:10" hidden="1" outlineLevel="1" x14ac:dyDescent="0.25">
      <c r="B281" s="414">
        <v>43922</v>
      </c>
      <c r="C281" s="320">
        <v>1051</v>
      </c>
      <c r="D281" s="320">
        <v>3202</v>
      </c>
      <c r="E281" s="320">
        <v>187</v>
      </c>
      <c r="F281" s="320">
        <v>651</v>
      </c>
      <c r="G281" s="320">
        <v>1882</v>
      </c>
      <c r="H281" s="320">
        <v>5219</v>
      </c>
      <c r="I281" s="320">
        <v>3120</v>
      </c>
      <c r="J281" s="320">
        <v>9072</v>
      </c>
    </row>
    <row r="282" spans="2:10" hidden="1" outlineLevel="1" x14ac:dyDescent="0.25">
      <c r="B282" s="414">
        <v>43952</v>
      </c>
      <c r="C282" s="320">
        <v>909</v>
      </c>
      <c r="D282" s="320">
        <v>2848</v>
      </c>
      <c r="E282" s="320">
        <v>78</v>
      </c>
      <c r="F282" s="320">
        <v>231</v>
      </c>
      <c r="G282" s="320">
        <v>2681</v>
      </c>
      <c r="H282" s="320">
        <v>7557</v>
      </c>
      <c r="I282" s="320">
        <v>3668</v>
      </c>
      <c r="J282" s="320">
        <v>10636</v>
      </c>
    </row>
    <row r="283" spans="2:10" hidden="1" outlineLevel="1" x14ac:dyDescent="0.25">
      <c r="B283" s="414">
        <v>43983</v>
      </c>
      <c r="C283" s="320">
        <v>993</v>
      </c>
      <c r="D283" s="320">
        <v>3330</v>
      </c>
      <c r="E283" s="320">
        <v>84</v>
      </c>
      <c r="F283" s="320">
        <v>288</v>
      </c>
      <c r="G283" s="320">
        <v>2933</v>
      </c>
      <c r="H283" s="320">
        <v>8252</v>
      </c>
      <c r="I283" s="320">
        <v>4010</v>
      </c>
      <c r="J283" s="320">
        <v>11870</v>
      </c>
    </row>
    <row r="284" spans="2:10" hidden="1" outlineLevel="1" x14ac:dyDescent="0.25">
      <c r="B284" s="414">
        <v>44013</v>
      </c>
      <c r="C284" s="320">
        <v>986</v>
      </c>
      <c r="D284" s="320">
        <v>3235</v>
      </c>
      <c r="E284" s="320">
        <v>89</v>
      </c>
      <c r="F284" s="320">
        <v>315</v>
      </c>
      <c r="G284" s="320">
        <v>2624</v>
      </c>
      <c r="H284" s="320">
        <v>7519</v>
      </c>
      <c r="I284" s="320">
        <v>3699</v>
      </c>
      <c r="J284" s="320">
        <v>11069</v>
      </c>
    </row>
    <row r="285" spans="2:10" hidden="1" outlineLevel="1" x14ac:dyDescent="0.25">
      <c r="B285" s="414">
        <v>44044</v>
      </c>
      <c r="C285" s="320">
        <v>1480</v>
      </c>
      <c r="D285" s="320">
        <v>4797</v>
      </c>
      <c r="E285" s="320">
        <v>118</v>
      </c>
      <c r="F285" s="320">
        <v>473</v>
      </c>
      <c r="G285" s="320">
        <v>4002</v>
      </c>
      <c r="H285" s="320">
        <v>11251</v>
      </c>
      <c r="I285" s="320">
        <v>5600</v>
      </c>
      <c r="J285" s="320">
        <v>16521</v>
      </c>
    </row>
    <row r="286" spans="2:10" hidden="1" outlineLevel="1" x14ac:dyDescent="0.25">
      <c r="B286" s="414">
        <v>44075</v>
      </c>
      <c r="C286" s="320">
        <v>1186</v>
      </c>
      <c r="D286" s="320">
        <v>3543</v>
      </c>
      <c r="E286" s="320">
        <v>159</v>
      </c>
      <c r="F286" s="320">
        <v>638</v>
      </c>
      <c r="G286" s="320">
        <v>4911</v>
      </c>
      <c r="H286" s="320">
        <v>13887</v>
      </c>
      <c r="I286" s="320">
        <v>6256</v>
      </c>
      <c r="J286" s="320">
        <v>18068</v>
      </c>
    </row>
    <row r="287" spans="2:10" hidden="1" outlineLevel="1" x14ac:dyDescent="0.25">
      <c r="B287" s="414">
        <v>44105</v>
      </c>
      <c r="C287" s="320">
        <v>1467</v>
      </c>
      <c r="D287" s="320">
        <v>4681</v>
      </c>
      <c r="E287" s="320">
        <v>192</v>
      </c>
      <c r="F287" s="320">
        <v>699</v>
      </c>
      <c r="G287" s="320">
        <v>5018</v>
      </c>
      <c r="H287" s="320">
        <v>14011</v>
      </c>
      <c r="I287" s="320">
        <v>6677</v>
      </c>
      <c r="J287" s="320">
        <v>19391</v>
      </c>
    </row>
    <row r="288" spans="2:10" hidden="1" outlineLevel="1" x14ac:dyDescent="0.25">
      <c r="B288" s="414">
        <v>44136</v>
      </c>
      <c r="C288" s="320">
        <v>1677</v>
      </c>
      <c r="D288" s="320">
        <v>5559</v>
      </c>
      <c r="E288" s="320">
        <v>165</v>
      </c>
      <c r="F288" s="320">
        <v>618</v>
      </c>
      <c r="G288" s="320">
        <v>5429</v>
      </c>
      <c r="H288" s="320">
        <v>14876</v>
      </c>
      <c r="I288" s="320">
        <v>7271</v>
      </c>
      <c r="J288" s="320">
        <v>21053</v>
      </c>
    </row>
    <row r="289" spans="2:10" hidden="1" outlineLevel="1" x14ac:dyDescent="0.25">
      <c r="B289" s="414">
        <v>44166</v>
      </c>
      <c r="C289" s="320">
        <v>1800</v>
      </c>
      <c r="D289" s="320">
        <v>5642</v>
      </c>
      <c r="E289" s="320">
        <v>202</v>
      </c>
      <c r="F289" s="320">
        <v>734</v>
      </c>
      <c r="G289" s="320">
        <v>5058</v>
      </c>
      <c r="H289" s="320">
        <v>13896</v>
      </c>
      <c r="I289" s="320">
        <v>7060</v>
      </c>
      <c r="J289" s="320">
        <v>20272</v>
      </c>
    </row>
    <row r="290" spans="2:10" collapsed="1" x14ac:dyDescent="0.25">
      <c r="B290" s="330" t="s">
        <v>74</v>
      </c>
      <c r="C290" s="334">
        <v>17159</v>
      </c>
      <c r="D290" s="334">
        <v>54398</v>
      </c>
      <c r="E290" s="334">
        <v>2006</v>
      </c>
      <c r="F290" s="334">
        <v>7456</v>
      </c>
      <c r="G290" s="334">
        <v>48484</v>
      </c>
      <c r="H290" s="334">
        <v>134374</v>
      </c>
      <c r="I290" s="334">
        <v>67649</v>
      </c>
      <c r="J290" s="334">
        <v>196228</v>
      </c>
    </row>
    <row r="291" spans="2:10" outlineLevel="1" x14ac:dyDescent="0.25">
      <c r="B291" s="416">
        <v>44197</v>
      </c>
      <c r="C291" s="320">
        <v>1411</v>
      </c>
      <c r="D291" s="320">
        <v>4622</v>
      </c>
      <c r="E291" s="320">
        <v>155</v>
      </c>
      <c r="F291" s="320">
        <v>625</v>
      </c>
      <c r="G291" s="320">
        <v>4306</v>
      </c>
      <c r="H291" s="320">
        <v>11827</v>
      </c>
      <c r="I291" s="320">
        <v>5872</v>
      </c>
      <c r="J291" s="320">
        <v>17074</v>
      </c>
    </row>
    <row r="292" spans="2:10" outlineLevel="1" x14ac:dyDescent="0.25">
      <c r="B292" s="416">
        <v>44228</v>
      </c>
      <c r="C292" s="320">
        <v>1495</v>
      </c>
      <c r="D292" s="320">
        <v>4904</v>
      </c>
      <c r="E292" s="320">
        <v>139</v>
      </c>
      <c r="F292" s="320">
        <v>531</v>
      </c>
      <c r="G292" s="320">
        <v>4764</v>
      </c>
      <c r="H292" s="320">
        <v>12927</v>
      </c>
      <c r="I292" s="320">
        <v>6398</v>
      </c>
      <c r="J292" s="320">
        <v>18362</v>
      </c>
    </row>
    <row r="293" spans="2:10" outlineLevel="1" x14ac:dyDescent="0.25">
      <c r="B293" s="416">
        <v>44256</v>
      </c>
      <c r="C293" s="320">
        <v>1529</v>
      </c>
      <c r="D293" s="320">
        <v>4851</v>
      </c>
      <c r="E293" s="320">
        <v>159</v>
      </c>
      <c r="F293" s="320">
        <v>584</v>
      </c>
      <c r="G293" s="320">
        <v>4596</v>
      </c>
      <c r="H293" s="320">
        <v>12534</v>
      </c>
      <c r="I293" s="320">
        <v>6284</v>
      </c>
      <c r="J293" s="320">
        <v>17969</v>
      </c>
    </row>
    <row r="294" spans="2:10" outlineLevel="1" x14ac:dyDescent="0.25">
      <c r="B294" s="416">
        <v>44287</v>
      </c>
      <c r="C294" s="320">
        <v>1554</v>
      </c>
      <c r="D294" s="320">
        <v>4890</v>
      </c>
      <c r="E294" s="320">
        <v>204</v>
      </c>
      <c r="F294" s="320">
        <v>672</v>
      </c>
      <c r="G294" s="320">
        <v>3887</v>
      </c>
      <c r="H294" s="320">
        <v>10535</v>
      </c>
      <c r="I294" s="320">
        <v>5645</v>
      </c>
      <c r="J294" s="320">
        <v>16097</v>
      </c>
    </row>
    <row r="295" spans="2:10" outlineLevel="1" x14ac:dyDescent="0.25">
      <c r="B295" s="416">
        <v>44317</v>
      </c>
      <c r="C295" s="320">
        <v>1339</v>
      </c>
      <c r="D295" s="320">
        <v>4387</v>
      </c>
      <c r="E295" s="320">
        <v>188</v>
      </c>
      <c r="F295" s="320">
        <v>681</v>
      </c>
      <c r="G295" s="320">
        <v>4727</v>
      </c>
      <c r="H295" s="320">
        <v>12674</v>
      </c>
      <c r="I295" s="320">
        <v>6254</v>
      </c>
      <c r="J295" s="320">
        <v>17742</v>
      </c>
    </row>
    <row r="296" spans="2:10" outlineLevel="1" x14ac:dyDescent="0.25">
      <c r="B296" s="416">
        <v>44348</v>
      </c>
      <c r="C296" s="320">
        <v>1705</v>
      </c>
      <c r="D296" s="320">
        <v>5296</v>
      </c>
      <c r="E296" s="320">
        <v>180</v>
      </c>
      <c r="F296" s="320">
        <v>647</v>
      </c>
      <c r="G296" s="320">
        <v>4571</v>
      </c>
      <c r="H296" s="320">
        <v>12236</v>
      </c>
      <c r="I296" s="320">
        <v>6456</v>
      </c>
      <c r="J296" s="320">
        <v>18179</v>
      </c>
    </row>
    <row r="297" spans="2:10" outlineLevel="1" x14ac:dyDescent="0.25">
      <c r="B297" s="416">
        <v>44378</v>
      </c>
      <c r="C297" s="320">
        <v>1501</v>
      </c>
      <c r="D297" s="320">
        <v>4957</v>
      </c>
      <c r="E297" s="320">
        <v>165</v>
      </c>
      <c r="F297" s="320">
        <v>584</v>
      </c>
      <c r="G297" s="320">
        <v>4456</v>
      </c>
      <c r="H297" s="320">
        <v>12115</v>
      </c>
      <c r="I297" s="320">
        <v>6122</v>
      </c>
      <c r="J297" s="320">
        <v>17656</v>
      </c>
    </row>
    <row r="298" spans="2:10" outlineLevel="1" x14ac:dyDescent="0.25">
      <c r="B298" s="416">
        <v>44409</v>
      </c>
      <c r="C298" s="320">
        <v>1958</v>
      </c>
      <c r="D298" s="320">
        <v>6075</v>
      </c>
      <c r="E298" s="320">
        <v>199</v>
      </c>
      <c r="F298" s="320">
        <v>683</v>
      </c>
      <c r="G298" s="320">
        <v>5531</v>
      </c>
      <c r="H298" s="320">
        <v>15024</v>
      </c>
      <c r="I298" s="320">
        <v>7688</v>
      </c>
      <c r="J298" s="320">
        <v>21782</v>
      </c>
    </row>
    <row r="299" spans="2:10" outlineLevel="1" x14ac:dyDescent="0.25">
      <c r="B299" s="416">
        <v>44440</v>
      </c>
      <c r="C299" s="320">
        <v>2110</v>
      </c>
      <c r="D299" s="320">
        <v>6529</v>
      </c>
      <c r="E299" s="320">
        <v>220</v>
      </c>
      <c r="F299" s="320">
        <v>837</v>
      </c>
      <c r="G299" s="320">
        <v>5212</v>
      </c>
      <c r="H299" s="320">
        <v>13910</v>
      </c>
      <c r="I299" s="320">
        <v>7542</v>
      </c>
      <c r="J299" s="320">
        <v>21276</v>
      </c>
    </row>
    <row r="300" spans="2:10" outlineLevel="1" x14ac:dyDescent="0.25">
      <c r="B300" s="416">
        <v>44470</v>
      </c>
      <c r="C300" s="320">
        <v>1995</v>
      </c>
      <c r="D300" s="320">
        <v>6274</v>
      </c>
      <c r="E300" s="320">
        <v>253</v>
      </c>
      <c r="F300" s="320">
        <v>909</v>
      </c>
      <c r="G300" s="320">
        <v>5673</v>
      </c>
      <c r="H300" s="320">
        <v>15241</v>
      </c>
      <c r="I300" s="320">
        <v>7921</v>
      </c>
      <c r="J300" s="320">
        <v>22424</v>
      </c>
    </row>
    <row r="301" spans="2:10" outlineLevel="1" x14ac:dyDescent="0.25">
      <c r="B301" s="416">
        <v>44501</v>
      </c>
      <c r="C301" s="320">
        <v>2001</v>
      </c>
      <c r="D301" s="320">
        <v>6341</v>
      </c>
      <c r="E301" s="320">
        <v>307</v>
      </c>
      <c r="F301" s="320">
        <v>1121</v>
      </c>
      <c r="G301" s="320">
        <v>5341</v>
      </c>
      <c r="H301" s="320">
        <v>14390</v>
      </c>
      <c r="I301" s="320">
        <v>7649</v>
      </c>
      <c r="J301" s="320">
        <v>21852</v>
      </c>
    </row>
    <row r="302" spans="2:10" outlineLevel="1" x14ac:dyDescent="0.25">
      <c r="B302" s="416">
        <v>44531</v>
      </c>
      <c r="C302" s="320">
        <v>2034</v>
      </c>
      <c r="D302" s="320">
        <v>6415</v>
      </c>
      <c r="E302" s="320">
        <v>294</v>
      </c>
      <c r="F302" s="320">
        <v>1037</v>
      </c>
      <c r="G302" s="320">
        <v>5520</v>
      </c>
      <c r="H302" s="320">
        <v>14702</v>
      </c>
      <c r="I302" s="320">
        <v>7848</v>
      </c>
      <c r="J302" s="320">
        <v>22154</v>
      </c>
    </row>
    <row r="303" spans="2:10" x14ac:dyDescent="0.25">
      <c r="B303" s="412" t="s">
        <v>75</v>
      </c>
      <c r="C303" s="334">
        <v>20632</v>
      </c>
      <c r="D303" s="334">
        <v>65541</v>
      </c>
      <c r="E303" s="334">
        <v>2463</v>
      </c>
      <c r="F303" s="334">
        <v>8911</v>
      </c>
      <c r="G303" s="334">
        <v>58584</v>
      </c>
      <c r="H303" s="334">
        <v>158115</v>
      </c>
      <c r="I303" s="334">
        <v>81679</v>
      </c>
      <c r="J303" s="334">
        <v>232567</v>
      </c>
    </row>
    <row r="304" spans="2:10" outlineLevel="1" x14ac:dyDescent="0.25">
      <c r="B304" s="416">
        <v>44562</v>
      </c>
      <c r="C304" s="320">
        <v>2127</v>
      </c>
      <c r="D304" s="320">
        <v>6604</v>
      </c>
      <c r="E304" s="320">
        <v>322</v>
      </c>
      <c r="F304" s="320">
        <v>1143</v>
      </c>
      <c r="G304" s="320">
        <v>5219</v>
      </c>
      <c r="H304" s="320">
        <v>14359</v>
      </c>
      <c r="I304" s="320">
        <v>7668</v>
      </c>
      <c r="J304" s="320">
        <v>22106</v>
      </c>
    </row>
    <row r="305" spans="2:10" outlineLevel="1" x14ac:dyDescent="0.25">
      <c r="B305" s="416">
        <v>44593</v>
      </c>
      <c r="C305" s="320">
        <v>823</v>
      </c>
      <c r="D305" s="320">
        <v>2334</v>
      </c>
      <c r="E305" s="320">
        <v>205</v>
      </c>
      <c r="F305" s="320">
        <v>664</v>
      </c>
      <c r="G305" s="320">
        <v>9346</v>
      </c>
      <c r="H305" s="320">
        <v>23879</v>
      </c>
      <c r="I305" s="320">
        <v>10374</v>
      </c>
      <c r="J305" s="320">
        <v>26877</v>
      </c>
    </row>
    <row r="306" spans="2:10" outlineLevel="1" x14ac:dyDescent="0.25">
      <c r="B306" s="416">
        <v>44621</v>
      </c>
      <c r="C306" s="320">
        <v>2362</v>
      </c>
      <c r="D306" s="320">
        <v>7292</v>
      </c>
      <c r="E306" s="320">
        <v>180</v>
      </c>
      <c r="F306" s="320">
        <v>602</v>
      </c>
      <c r="G306" s="320">
        <v>6973</v>
      </c>
      <c r="H306" s="320">
        <v>17491</v>
      </c>
      <c r="I306" s="320">
        <v>9515</v>
      </c>
      <c r="J306" s="320">
        <v>25385</v>
      </c>
    </row>
    <row r="307" spans="2:10" outlineLevel="1" x14ac:dyDescent="0.25">
      <c r="B307" s="416">
        <v>44652</v>
      </c>
      <c r="C307" s="320">
        <v>4289</v>
      </c>
      <c r="D307" s="320">
        <v>13350</v>
      </c>
      <c r="E307" s="320">
        <v>873</v>
      </c>
      <c r="F307" s="320">
        <v>3126</v>
      </c>
      <c r="G307" s="320">
        <v>6323</v>
      </c>
      <c r="H307" s="320">
        <v>16898</v>
      </c>
      <c r="I307" s="320">
        <v>11485</v>
      </c>
      <c r="J307" s="320">
        <v>33374</v>
      </c>
    </row>
    <row r="308" spans="2:10" outlineLevel="1" x14ac:dyDescent="0.25">
      <c r="B308" s="416">
        <v>44682</v>
      </c>
      <c r="C308" s="320">
        <v>1956</v>
      </c>
      <c r="D308" s="320">
        <v>5953</v>
      </c>
      <c r="E308" s="320">
        <v>514</v>
      </c>
      <c r="F308" s="320">
        <v>1992</v>
      </c>
      <c r="G308" s="320">
        <v>6279</v>
      </c>
      <c r="H308" s="320">
        <v>15696</v>
      </c>
      <c r="I308" s="320">
        <v>8749</v>
      </c>
      <c r="J308" s="320">
        <v>23641</v>
      </c>
    </row>
    <row r="309" spans="2:10" outlineLevel="1" x14ac:dyDescent="0.25">
      <c r="B309" s="416">
        <v>44713</v>
      </c>
      <c r="C309" s="320">
        <v>1649</v>
      </c>
      <c r="D309" s="320">
        <v>5071</v>
      </c>
      <c r="E309" s="320">
        <v>372</v>
      </c>
      <c r="F309" s="320">
        <v>1451</v>
      </c>
      <c r="G309" s="320">
        <v>6680</v>
      </c>
      <c r="H309" s="320">
        <v>17868</v>
      </c>
      <c r="I309" s="320">
        <v>8701</v>
      </c>
      <c r="J309" s="320">
        <v>24390</v>
      </c>
    </row>
    <row r="310" spans="2:10" outlineLevel="1" x14ac:dyDescent="0.25">
      <c r="B310" s="416">
        <v>44743</v>
      </c>
      <c r="C310" s="320">
        <v>1526</v>
      </c>
      <c r="D310" s="320">
        <v>4781</v>
      </c>
      <c r="E310" s="320">
        <v>327</v>
      </c>
      <c r="F310" s="320">
        <v>1197</v>
      </c>
      <c r="G310" s="320">
        <v>5871</v>
      </c>
      <c r="H310" s="320">
        <v>16169</v>
      </c>
      <c r="I310" s="320">
        <v>7724</v>
      </c>
      <c r="J310" s="320">
        <v>22147</v>
      </c>
    </row>
    <row r="311" spans="2:10" outlineLevel="1" x14ac:dyDescent="0.25">
      <c r="B311" s="416">
        <v>44774</v>
      </c>
      <c r="C311" s="320">
        <v>3815</v>
      </c>
      <c r="D311" s="320">
        <v>11553</v>
      </c>
      <c r="E311" s="320">
        <v>768</v>
      </c>
      <c r="F311" s="320">
        <v>2546</v>
      </c>
      <c r="G311" s="320">
        <v>7704</v>
      </c>
      <c r="H311" s="320">
        <v>20253</v>
      </c>
      <c r="I311" s="320">
        <v>12287</v>
      </c>
      <c r="J311" s="320">
        <v>34352</v>
      </c>
    </row>
    <row r="312" spans="2:10" outlineLevel="1" x14ac:dyDescent="0.25">
      <c r="B312" s="416">
        <v>44805</v>
      </c>
      <c r="C312" s="320">
        <v>1554</v>
      </c>
      <c r="D312" s="320">
        <v>4797</v>
      </c>
      <c r="E312" s="320">
        <v>246</v>
      </c>
      <c r="F312" s="320">
        <v>925</v>
      </c>
      <c r="G312" s="320">
        <v>4704</v>
      </c>
      <c r="H312" s="320">
        <v>12244</v>
      </c>
      <c r="I312" s="320">
        <v>6504</v>
      </c>
      <c r="J312" s="320">
        <v>17966</v>
      </c>
    </row>
    <row r="313" spans="2:10" outlineLevel="1" x14ac:dyDescent="0.25">
      <c r="B313" s="416">
        <v>44835</v>
      </c>
      <c r="C313" s="320">
        <v>2371</v>
      </c>
      <c r="D313" s="320">
        <v>7347</v>
      </c>
      <c r="E313" s="320">
        <v>242</v>
      </c>
      <c r="F313" s="320">
        <v>826</v>
      </c>
      <c r="G313" s="320">
        <v>8344</v>
      </c>
      <c r="H313" s="320">
        <v>23067</v>
      </c>
      <c r="I313" s="320">
        <v>10957</v>
      </c>
      <c r="J313" s="320">
        <v>31240</v>
      </c>
    </row>
    <row r="314" spans="2:10" outlineLevel="1" x14ac:dyDescent="0.25">
      <c r="B314" s="416">
        <v>44866</v>
      </c>
      <c r="C314" s="320">
        <v>2730</v>
      </c>
      <c r="D314" s="320">
        <v>8235</v>
      </c>
      <c r="E314" s="320">
        <v>790</v>
      </c>
      <c r="F314" s="320">
        <v>2651</v>
      </c>
      <c r="G314" s="320">
        <v>7647</v>
      </c>
      <c r="H314" s="320">
        <v>20867</v>
      </c>
      <c r="I314" s="320">
        <v>11167</v>
      </c>
      <c r="J314" s="320">
        <v>31753</v>
      </c>
    </row>
    <row r="315" spans="2:10" outlineLevel="1" x14ac:dyDescent="0.25">
      <c r="B315" s="416">
        <v>44896</v>
      </c>
      <c r="C315" s="320">
        <v>2790</v>
      </c>
      <c r="D315" s="320">
        <v>8331</v>
      </c>
      <c r="E315" s="320">
        <v>439</v>
      </c>
      <c r="F315" s="320">
        <v>1454</v>
      </c>
      <c r="G315" s="320">
        <v>7069</v>
      </c>
      <c r="H315" s="320">
        <v>18563</v>
      </c>
      <c r="I315" s="320">
        <v>10298</v>
      </c>
      <c r="J315" s="320">
        <v>28348</v>
      </c>
    </row>
    <row r="316" spans="2:10" x14ac:dyDescent="0.25">
      <c r="B316" s="412" t="s">
        <v>76</v>
      </c>
      <c r="C316" s="334">
        <v>27992</v>
      </c>
      <c r="D316" s="334">
        <v>85648</v>
      </c>
      <c r="E316" s="334">
        <v>5278</v>
      </c>
      <c r="F316" s="334">
        <v>18577</v>
      </c>
      <c r="G316" s="334">
        <v>82159</v>
      </c>
      <c r="H316" s="334">
        <v>217354</v>
      </c>
      <c r="I316" s="334">
        <v>115429</v>
      </c>
      <c r="J316" s="334">
        <v>321579</v>
      </c>
    </row>
    <row r="317" spans="2:10" outlineLevel="1" x14ac:dyDescent="0.25">
      <c r="B317" s="260">
        <v>44927</v>
      </c>
      <c r="C317" s="320">
        <v>1422</v>
      </c>
      <c r="D317" s="320">
        <v>4423</v>
      </c>
      <c r="E317" s="320">
        <v>121</v>
      </c>
      <c r="F317" s="320">
        <v>395</v>
      </c>
      <c r="G317" s="320">
        <v>5912</v>
      </c>
      <c r="H317" s="320">
        <v>15527</v>
      </c>
      <c r="I317" s="320">
        <v>7455</v>
      </c>
      <c r="J317" s="320">
        <v>20345</v>
      </c>
    </row>
    <row r="318" spans="2:10" outlineLevel="1" x14ac:dyDescent="0.25">
      <c r="B318" s="260">
        <v>44958</v>
      </c>
      <c r="C318" s="320">
        <v>1914</v>
      </c>
      <c r="D318" s="320">
        <v>5826</v>
      </c>
      <c r="E318" s="320">
        <v>244</v>
      </c>
      <c r="F318" s="320">
        <v>881</v>
      </c>
      <c r="G318" s="320">
        <v>6949</v>
      </c>
      <c r="H318" s="320">
        <v>18204</v>
      </c>
      <c r="I318" s="320">
        <v>9107</v>
      </c>
      <c r="J318" s="320">
        <v>24911</v>
      </c>
    </row>
    <row r="319" spans="2:10" outlineLevel="1" x14ac:dyDescent="0.25">
      <c r="B319" s="260">
        <v>44986</v>
      </c>
      <c r="C319" s="320">
        <v>2021</v>
      </c>
      <c r="D319" s="320">
        <v>6149</v>
      </c>
      <c r="E319" s="320">
        <v>269</v>
      </c>
      <c r="F319" s="320">
        <v>932</v>
      </c>
      <c r="G319" s="320">
        <v>4828</v>
      </c>
      <c r="H319" s="320">
        <v>13079</v>
      </c>
      <c r="I319" s="320">
        <v>7118</v>
      </c>
      <c r="J319" s="320">
        <v>20160</v>
      </c>
    </row>
    <row r="320" spans="2:10" ht="30" x14ac:dyDescent="0.25">
      <c r="B320" s="413" t="s">
        <v>950</v>
      </c>
      <c r="C320" s="334">
        <v>5357</v>
      </c>
      <c r="D320" s="334">
        <v>16398</v>
      </c>
      <c r="E320" s="334">
        <v>634</v>
      </c>
      <c r="F320" s="334">
        <v>2208</v>
      </c>
      <c r="G320" s="334">
        <v>17689</v>
      </c>
      <c r="H320" s="334">
        <v>46810</v>
      </c>
      <c r="I320" s="334">
        <v>23680</v>
      </c>
      <c r="J320" s="334">
        <v>65416</v>
      </c>
    </row>
    <row r="321" spans="2:10" x14ac:dyDescent="0.25">
      <c r="B321" s="526" t="s">
        <v>955</v>
      </c>
      <c r="C321" s="527"/>
      <c r="D321" s="527"/>
      <c r="E321" s="527"/>
      <c r="F321" s="527"/>
      <c r="G321" s="527"/>
      <c r="H321" s="528"/>
      <c r="I321" s="334">
        <v>942726</v>
      </c>
      <c r="J321" s="334">
        <v>3035044</v>
      </c>
    </row>
    <row r="322" spans="2:10" x14ac:dyDescent="0.25">
      <c r="B322" s="4" t="s">
        <v>952</v>
      </c>
    </row>
  </sheetData>
  <mergeCells count="28">
    <mergeCell ref="B321:H321"/>
    <mergeCell ref="B181:B182"/>
    <mergeCell ref="C181:D181"/>
    <mergeCell ref="E181:F181"/>
    <mergeCell ref="G181:H181"/>
    <mergeCell ref="I181:J181"/>
    <mergeCell ref="B41:C42"/>
    <mergeCell ref="B9:C10"/>
    <mergeCell ref="B11:C12"/>
    <mergeCell ref="B13:C14"/>
    <mergeCell ref="B15:C16"/>
    <mergeCell ref="B17:C18"/>
    <mergeCell ref="B19:C20"/>
    <mergeCell ref="B21:C22"/>
    <mergeCell ref="B23:C24"/>
    <mergeCell ref="B35:C36"/>
    <mergeCell ref="B37:C38"/>
    <mergeCell ref="B39:C40"/>
    <mergeCell ref="B29:C30"/>
    <mergeCell ref="B31:C32"/>
    <mergeCell ref="B33:C34"/>
    <mergeCell ref="G7:H7"/>
    <mergeCell ref="I7:I8"/>
    <mergeCell ref="B25:C26"/>
    <mergeCell ref="B27:C28"/>
    <mergeCell ref="B7:C8"/>
    <mergeCell ref="D7:D8"/>
    <mergeCell ref="E7:F7"/>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19"/>
  <sheetViews>
    <sheetView showGridLines="0" zoomScaleNormal="100" workbookViewId="0">
      <selection activeCell="C27" sqref="C27"/>
    </sheetView>
  </sheetViews>
  <sheetFormatPr baseColWidth="10" defaultRowHeight="15" x14ac:dyDescent="0.25"/>
  <cols>
    <col min="1" max="1" width="14.42578125" customWidth="1"/>
  </cols>
  <sheetData>
    <row r="1" spans="2:13" x14ac:dyDescent="0.25">
      <c r="B1" s="431" t="s">
        <v>765</v>
      </c>
      <c r="C1" s="432"/>
      <c r="D1" s="432"/>
      <c r="E1" s="432"/>
      <c r="F1" s="432"/>
      <c r="G1" s="432"/>
      <c r="H1" s="432"/>
      <c r="I1" s="432"/>
      <c r="J1" s="432"/>
      <c r="K1" s="432"/>
      <c r="L1" s="432"/>
      <c r="M1" s="432"/>
    </row>
    <row r="2" spans="2:13" x14ac:dyDescent="0.25">
      <c r="B2" s="432"/>
      <c r="C2" s="432"/>
      <c r="D2" s="432"/>
      <c r="E2" s="432"/>
      <c r="F2" s="432"/>
      <c r="G2" s="432"/>
      <c r="H2" s="432"/>
      <c r="I2" s="432"/>
      <c r="J2" s="432"/>
      <c r="K2" s="432"/>
      <c r="L2" s="432"/>
      <c r="M2" s="432"/>
    </row>
    <row r="3" spans="2:13" x14ac:dyDescent="0.25">
      <c r="B3" s="432"/>
      <c r="C3" s="432"/>
      <c r="D3" s="432"/>
      <c r="E3" s="432"/>
      <c r="F3" s="432"/>
      <c r="G3" s="432"/>
      <c r="H3" s="432"/>
      <c r="I3" s="432"/>
      <c r="J3" s="432"/>
      <c r="K3" s="432"/>
      <c r="L3" s="432"/>
      <c r="M3" s="432"/>
    </row>
    <row r="4" spans="2:13" x14ac:dyDescent="0.25">
      <c r="B4" s="432"/>
      <c r="C4" s="432"/>
      <c r="D4" s="432"/>
      <c r="E4" s="432"/>
      <c r="F4" s="432"/>
      <c r="G4" s="432"/>
      <c r="H4" s="432"/>
      <c r="I4" s="432"/>
      <c r="J4" s="432"/>
      <c r="K4" s="432"/>
      <c r="L4" s="432"/>
      <c r="M4" s="432"/>
    </row>
    <row r="5" spans="2:13" x14ac:dyDescent="0.25">
      <c r="B5" s="432"/>
      <c r="C5" s="432"/>
      <c r="D5" s="432"/>
      <c r="E5" s="432"/>
      <c r="F5" s="432"/>
      <c r="G5" s="432"/>
      <c r="H5" s="432"/>
      <c r="I5" s="432"/>
      <c r="J5" s="432"/>
      <c r="K5" s="432"/>
      <c r="L5" s="432"/>
      <c r="M5" s="432"/>
    </row>
    <row r="6" spans="2:13" ht="15.75" x14ac:dyDescent="0.25">
      <c r="B6" s="250"/>
      <c r="C6" s="250"/>
      <c r="D6" s="250"/>
      <c r="E6" s="250"/>
      <c r="F6" s="250"/>
      <c r="G6" s="250"/>
      <c r="H6" s="250"/>
      <c r="I6" s="250"/>
      <c r="J6" s="250"/>
      <c r="K6" s="250"/>
      <c r="L6" s="250"/>
      <c r="M6" s="250"/>
    </row>
    <row r="8" spans="2:13" ht="15.75" thickBot="1" x14ac:dyDescent="0.3"/>
    <row r="9" spans="2:13" ht="21.75" thickBot="1" x14ac:dyDescent="0.4">
      <c r="B9" s="532" t="s">
        <v>852</v>
      </c>
      <c r="C9" s="533"/>
      <c r="D9" s="533"/>
      <c r="E9" s="533"/>
      <c r="F9" s="533"/>
      <c r="G9" s="533"/>
      <c r="H9" s="533"/>
      <c r="I9" s="533"/>
      <c r="J9" s="533"/>
      <c r="K9" s="533"/>
      <c r="L9" s="533"/>
      <c r="M9" s="534"/>
    </row>
    <row r="10" spans="2:13" ht="15.75" x14ac:dyDescent="0.25">
      <c r="B10" s="437" t="s">
        <v>866</v>
      </c>
      <c r="C10" s="437"/>
      <c r="D10" s="437"/>
      <c r="E10" s="437"/>
      <c r="F10" s="437"/>
      <c r="G10" s="437"/>
      <c r="H10" s="437"/>
      <c r="I10" s="437"/>
      <c r="J10" s="437"/>
      <c r="K10" s="437"/>
      <c r="L10" s="437"/>
      <c r="M10" s="437"/>
    </row>
    <row r="11" spans="2:13" x14ac:dyDescent="0.25">
      <c r="B11" s="433"/>
      <c r="C11" s="433"/>
      <c r="D11" s="433"/>
      <c r="E11" s="433"/>
      <c r="F11" s="433"/>
      <c r="G11" s="433"/>
      <c r="H11" s="433"/>
      <c r="I11" s="433"/>
      <c r="J11" s="433"/>
      <c r="K11" s="433"/>
      <c r="L11" s="433"/>
      <c r="M11" s="433"/>
    </row>
    <row r="12" spans="2:13" ht="18.75" x14ac:dyDescent="0.3">
      <c r="B12" s="439" t="s">
        <v>853</v>
      </c>
      <c r="C12" s="439"/>
      <c r="D12" s="439"/>
      <c r="E12" s="439"/>
      <c r="F12" s="439"/>
      <c r="G12" s="439"/>
      <c r="H12" s="439"/>
      <c r="I12" s="439"/>
      <c r="J12" s="439"/>
      <c r="K12" s="439"/>
      <c r="L12" s="439"/>
      <c r="M12" s="439"/>
    </row>
    <row r="13" spans="2:13" x14ac:dyDescent="0.25">
      <c r="B13" s="430" t="s">
        <v>854</v>
      </c>
      <c r="C13" s="430"/>
      <c r="D13" s="430"/>
      <c r="E13" s="430"/>
      <c r="F13" s="430"/>
      <c r="G13" s="430"/>
      <c r="H13" s="430"/>
      <c r="I13" s="430"/>
      <c r="J13" s="430"/>
      <c r="K13" s="430"/>
      <c r="L13" s="430"/>
      <c r="M13" s="430"/>
    </row>
    <row r="14" spans="2:13" ht="18.75" x14ac:dyDescent="0.3">
      <c r="B14" s="439" t="s">
        <v>855</v>
      </c>
      <c r="C14" s="439"/>
      <c r="D14" s="439"/>
      <c r="E14" s="439"/>
      <c r="F14" s="439"/>
      <c r="G14" s="439"/>
      <c r="H14" s="439"/>
      <c r="I14" s="439"/>
      <c r="J14" s="439"/>
      <c r="K14" s="439"/>
      <c r="L14" s="439"/>
      <c r="M14" s="439"/>
    </row>
    <row r="15" spans="2:13" x14ac:dyDescent="0.25">
      <c r="B15" s="430" t="s">
        <v>856</v>
      </c>
      <c r="C15" s="430"/>
      <c r="D15" s="430"/>
      <c r="E15" s="430"/>
      <c r="F15" s="430"/>
      <c r="G15" s="430"/>
      <c r="H15" s="430"/>
      <c r="I15" s="430"/>
      <c r="J15" s="430"/>
      <c r="K15" s="430"/>
      <c r="L15" s="430"/>
      <c r="M15" s="430"/>
    </row>
    <row r="16" spans="2:13" x14ac:dyDescent="0.25">
      <c r="B16" s="430" t="s">
        <v>857</v>
      </c>
      <c r="C16" s="430"/>
      <c r="D16" s="430"/>
      <c r="E16" s="430"/>
      <c r="F16" s="430"/>
      <c r="G16" s="430"/>
      <c r="H16" s="430"/>
      <c r="I16" s="430"/>
      <c r="J16" s="430"/>
      <c r="K16" s="430"/>
      <c r="L16" s="430"/>
      <c r="M16" s="430"/>
    </row>
    <row r="17" spans="2:13" ht="18.75" x14ac:dyDescent="0.3">
      <c r="B17" s="439" t="s">
        <v>858</v>
      </c>
      <c r="C17" s="439"/>
      <c r="D17" s="439"/>
      <c r="E17" s="439"/>
      <c r="F17" s="439"/>
      <c r="G17" s="439"/>
      <c r="H17" s="439"/>
      <c r="I17" s="439"/>
      <c r="J17" s="439"/>
      <c r="K17" s="439"/>
      <c r="L17" s="439"/>
      <c r="M17" s="439"/>
    </row>
    <row r="18" spans="2:13" x14ac:dyDescent="0.25">
      <c r="B18" s="430" t="s">
        <v>859</v>
      </c>
      <c r="C18" s="430"/>
      <c r="D18" s="430"/>
      <c r="E18" s="430"/>
      <c r="F18" s="430"/>
      <c r="G18" s="430"/>
      <c r="H18" s="430"/>
      <c r="I18" s="430"/>
      <c r="J18" s="430"/>
      <c r="K18" s="430"/>
      <c r="L18" s="430"/>
      <c r="M18" s="430"/>
    </row>
    <row r="19" spans="2:13" x14ac:dyDescent="0.25">
      <c r="B19" s="430" t="s">
        <v>860</v>
      </c>
      <c r="C19" s="430"/>
      <c r="D19" s="430"/>
      <c r="E19" s="430"/>
      <c r="F19" s="430"/>
      <c r="G19" s="430"/>
      <c r="H19" s="430"/>
      <c r="I19" s="430"/>
      <c r="J19" s="430"/>
      <c r="K19" s="430"/>
      <c r="L19" s="430"/>
      <c r="M19" s="430"/>
    </row>
  </sheetData>
  <mergeCells count="12">
    <mergeCell ref="B19:M19"/>
    <mergeCell ref="B1:M5"/>
    <mergeCell ref="B9:M9"/>
    <mergeCell ref="B10:M10"/>
    <mergeCell ref="B11:M11"/>
    <mergeCell ref="B12:M12"/>
    <mergeCell ref="B14:M14"/>
    <mergeCell ref="B17:M17"/>
    <mergeCell ref="B13:M13"/>
    <mergeCell ref="B15:M15"/>
    <mergeCell ref="B16:M16"/>
    <mergeCell ref="B18:M18"/>
  </mergeCells>
  <hyperlinks>
    <hyperlink ref="B12:M12" location="'4.1'!A1" display="1. Pagos del Subsidio al Trabajador Joven (STJ)" xr:uid="{2C05A9D1-0D43-4F84-B307-0AD2D16959DE}"/>
    <hyperlink ref="B14:M14" location="'4.2'!A1" display="2. Subsidio a la Contratación de Trabajadores Jóvenes" xr:uid="{8186C720-E23B-4F79-A183-2A9289EE638C}"/>
    <hyperlink ref="B17:M17" location="'4.3'!A1" display="3. Subsidio a la Cotización de Trabajadores Jóvenes" xr:uid="{6499BF31-C0CF-4AEA-8F03-EFCBCF719EE8}"/>
    <hyperlink ref="B13:M13" location="'4.1'!B4" display="i. Serie resumen de pagos del subsidio a la contratación y a la cotización de trabajadores jóvenes" xr:uid="{26333266-30FB-4A5D-9776-FE052C73CAFC}"/>
    <hyperlink ref="B15:M15" location="'4.2'!B4" display="i. Serie resumen del total de solicitudes y trabajadores del Subsidio a la Contratación de Trabajadores Jóvenes" xr:uid="{76E44E36-E4AA-4D4A-B1AB-BF75D645B023}"/>
    <hyperlink ref="B16:M16" location="'4.2'!B139" display="ii. Serie resumen del estado de las solicitudes del Subsidio a la Contratación de Trabajadores Jóvenes" xr:uid="{0A466E67-B15E-4A16-A7D0-A012A52BBDCC}"/>
    <hyperlink ref="B18:M18" location="'4.3'!B4" display="i. Serie resumen del total de solicitudes y trabajadores del Subsidio a la Cotización de Trabajadores Jóvenes" xr:uid="{63048BFA-3E13-4455-9F9E-A9F517725979}"/>
    <hyperlink ref="B19:M19" location="'4.3'!B147" display="ii. Serie resumen del estado de las solicitudes del Subsidio a la Cotización de Trabajadores Jóvenes" xr:uid="{C0FAEDC2-5214-4AB3-A87E-9F2F87B0ED65}"/>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194"/>
  <sheetViews>
    <sheetView showGridLines="0" workbookViewId="0">
      <pane xSplit="2" ySplit="19" topLeftCell="C20" activePane="bottomRight" state="frozen"/>
      <selection pane="topRight" activeCell="C1" sqref="C1"/>
      <selection pane="bottomLeft" activeCell="A20" sqref="A20"/>
      <selection pane="bottomRight" activeCell="C8" sqref="C8:C9"/>
    </sheetView>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839</v>
      </c>
    </row>
    <row r="4" spans="2:9" ht="18.75" x14ac:dyDescent="0.3">
      <c r="B4" s="2" t="s">
        <v>840</v>
      </c>
      <c r="C4" s="2"/>
      <c r="D4" s="2"/>
      <c r="E4" s="2"/>
      <c r="F4" s="2"/>
      <c r="G4" s="2"/>
      <c r="H4" s="2"/>
      <c r="I4" s="2"/>
    </row>
    <row r="5" spans="2:9" x14ac:dyDescent="0.25">
      <c r="B5" s="29" t="s">
        <v>891</v>
      </c>
    </row>
    <row r="7" spans="2:9" ht="26.25" customHeight="1" x14ac:dyDescent="0.25">
      <c r="B7" s="535" t="s">
        <v>483</v>
      </c>
      <c r="C7" s="536" t="s">
        <v>834</v>
      </c>
      <c r="D7" s="536"/>
      <c r="E7" s="536" t="s">
        <v>835</v>
      </c>
      <c r="F7" s="536"/>
      <c r="G7" s="536"/>
      <c r="H7" s="536"/>
    </row>
    <row r="8" spans="2:9" ht="36.75" customHeight="1" x14ac:dyDescent="0.25">
      <c r="B8" s="535"/>
      <c r="C8" s="535" t="s">
        <v>863</v>
      </c>
      <c r="D8" s="535" t="s">
        <v>864</v>
      </c>
      <c r="E8" s="537" t="s">
        <v>863</v>
      </c>
      <c r="F8" s="535" t="s">
        <v>865</v>
      </c>
      <c r="G8" s="535"/>
      <c r="H8" s="535"/>
    </row>
    <row r="9" spans="2:9" ht="30" x14ac:dyDescent="0.25">
      <c r="B9" s="535"/>
      <c r="C9" s="535"/>
      <c r="D9" s="535"/>
      <c r="E9" s="538"/>
      <c r="F9" s="271" t="s">
        <v>836</v>
      </c>
      <c r="G9" s="271" t="s">
        <v>837</v>
      </c>
      <c r="H9" s="271" t="s">
        <v>838</v>
      </c>
    </row>
    <row r="10" spans="2:9" hidden="1" outlineLevel="1" x14ac:dyDescent="0.25">
      <c r="B10" s="420">
        <v>39873</v>
      </c>
      <c r="C10" s="421">
        <v>10625</v>
      </c>
      <c r="D10" s="421">
        <v>174</v>
      </c>
      <c r="E10" s="422"/>
      <c r="F10" s="423"/>
      <c r="G10" s="423"/>
      <c r="H10" s="423"/>
    </row>
    <row r="11" spans="2:9" hidden="1" outlineLevel="1" x14ac:dyDescent="0.25">
      <c r="B11" s="420">
        <v>39904</v>
      </c>
      <c r="C11" s="421">
        <v>6095</v>
      </c>
      <c r="D11" s="421">
        <v>194</v>
      </c>
      <c r="E11" s="422"/>
      <c r="F11" s="423"/>
      <c r="G11" s="423"/>
      <c r="H11" s="423"/>
    </row>
    <row r="12" spans="2:9" hidden="1" outlineLevel="1" x14ac:dyDescent="0.25">
      <c r="B12" s="420">
        <v>39934</v>
      </c>
      <c r="C12" s="421">
        <v>7497</v>
      </c>
      <c r="D12" s="421">
        <v>290</v>
      </c>
      <c r="E12" s="422"/>
      <c r="F12" s="423"/>
      <c r="G12" s="423"/>
      <c r="H12" s="423"/>
    </row>
    <row r="13" spans="2:9" hidden="1" outlineLevel="1" x14ac:dyDescent="0.25">
      <c r="B13" s="420">
        <v>39965</v>
      </c>
      <c r="C13" s="421">
        <v>8878</v>
      </c>
      <c r="D13" s="421">
        <v>241</v>
      </c>
      <c r="E13" s="422"/>
      <c r="F13" s="423"/>
      <c r="G13" s="423"/>
      <c r="H13" s="423"/>
    </row>
    <row r="14" spans="2:9" hidden="1" outlineLevel="1" x14ac:dyDescent="0.25">
      <c r="B14" s="420">
        <v>39995</v>
      </c>
      <c r="C14" s="421">
        <v>13580</v>
      </c>
      <c r="D14" s="421">
        <v>349</v>
      </c>
      <c r="E14" s="422"/>
      <c r="F14" s="423"/>
      <c r="G14" s="423"/>
      <c r="H14" s="423"/>
    </row>
    <row r="15" spans="2:9" hidden="1" outlineLevel="1" x14ac:dyDescent="0.25">
      <c r="B15" s="420">
        <v>40026</v>
      </c>
      <c r="C15" s="421">
        <v>9451</v>
      </c>
      <c r="D15" s="421">
        <v>290</v>
      </c>
      <c r="E15" s="422"/>
      <c r="F15" s="423"/>
      <c r="G15" s="423"/>
      <c r="H15" s="423"/>
    </row>
    <row r="16" spans="2:9" hidden="1" outlineLevel="1" x14ac:dyDescent="0.25">
      <c r="B16" s="420">
        <v>40057</v>
      </c>
      <c r="C16" s="421">
        <v>16175</v>
      </c>
      <c r="D16" s="421">
        <v>423</v>
      </c>
      <c r="E16" s="422"/>
      <c r="F16" s="423"/>
      <c r="G16" s="423"/>
      <c r="H16" s="423"/>
    </row>
    <row r="17" spans="2:8" hidden="1" outlineLevel="1" x14ac:dyDescent="0.25">
      <c r="B17" s="420">
        <v>40087</v>
      </c>
      <c r="C17" s="421">
        <v>21738</v>
      </c>
      <c r="D17" s="421">
        <v>442</v>
      </c>
      <c r="E17" s="422"/>
      <c r="F17" s="423"/>
      <c r="G17" s="423"/>
      <c r="H17" s="423"/>
    </row>
    <row r="18" spans="2:8" hidden="1" outlineLevel="1" x14ac:dyDescent="0.25">
      <c r="B18" s="420">
        <v>40118</v>
      </c>
      <c r="C18" s="421">
        <v>20687</v>
      </c>
      <c r="D18" s="421">
        <v>464</v>
      </c>
      <c r="E18" s="422"/>
      <c r="F18" s="423"/>
      <c r="G18" s="423"/>
      <c r="H18" s="423"/>
    </row>
    <row r="19" spans="2:8" hidden="1" outlineLevel="1" x14ac:dyDescent="0.25">
      <c r="B19" s="420">
        <v>40148</v>
      </c>
      <c r="C19" s="421">
        <v>19925</v>
      </c>
      <c r="D19" s="421">
        <v>464</v>
      </c>
      <c r="E19" s="422"/>
      <c r="F19" s="423"/>
      <c r="G19" s="423"/>
      <c r="H19" s="423"/>
    </row>
    <row r="20" spans="2:8" ht="30" collapsed="1" x14ac:dyDescent="0.25">
      <c r="B20" s="343" t="s">
        <v>862</v>
      </c>
      <c r="C20" s="336">
        <v>13465.1</v>
      </c>
      <c r="D20" s="336">
        <v>333.1</v>
      </c>
      <c r="E20" s="336"/>
      <c r="F20" s="336"/>
      <c r="G20" s="336"/>
      <c r="H20" s="336"/>
    </row>
    <row r="21" spans="2:8" hidden="1" outlineLevel="1" x14ac:dyDescent="0.25">
      <c r="B21" s="417">
        <v>40179</v>
      </c>
      <c r="C21" s="418">
        <v>14517</v>
      </c>
      <c r="D21" s="418">
        <v>460</v>
      </c>
      <c r="E21" s="418"/>
      <c r="F21" s="418"/>
      <c r="G21" s="418"/>
      <c r="H21" s="418"/>
    </row>
    <row r="22" spans="2:8" hidden="1" outlineLevel="1" x14ac:dyDescent="0.25">
      <c r="B22" s="417">
        <v>40210</v>
      </c>
      <c r="C22" s="418">
        <v>21073</v>
      </c>
      <c r="D22" s="418">
        <v>461</v>
      </c>
      <c r="E22" s="418"/>
      <c r="F22" s="418"/>
      <c r="G22" s="418"/>
      <c r="H22" s="418"/>
    </row>
    <row r="23" spans="2:8" hidden="1" outlineLevel="1" x14ac:dyDescent="0.25">
      <c r="B23" s="417">
        <v>40238</v>
      </c>
      <c r="C23" s="418">
        <v>1853</v>
      </c>
      <c r="D23" s="418">
        <v>230</v>
      </c>
      <c r="E23" s="418"/>
      <c r="F23" s="418"/>
      <c r="G23" s="418"/>
      <c r="H23" s="418"/>
    </row>
    <row r="24" spans="2:8" hidden="1" outlineLevel="1" x14ac:dyDescent="0.25">
      <c r="B24" s="417">
        <v>40269</v>
      </c>
      <c r="C24" s="418">
        <v>34023</v>
      </c>
      <c r="D24" s="418">
        <v>448</v>
      </c>
      <c r="E24" s="418"/>
      <c r="F24" s="418"/>
      <c r="G24" s="418"/>
      <c r="H24" s="418"/>
    </row>
    <row r="25" spans="2:8" hidden="1" outlineLevel="1" x14ac:dyDescent="0.25">
      <c r="B25" s="417">
        <v>40299</v>
      </c>
      <c r="C25" s="418">
        <v>12204</v>
      </c>
      <c r="D25" s="418">
        <v>424</v>
      </c>
      <c r="E25" s="418"/>
      <c r="F25" s="418"/>
      <c r="G25" s="418"/>
      <c r="H25" s="418"/>
    </row>
    <row r="26" spans="2:8" hidden="1" outlineLevel="1" x14ac:dyDescent="0.25">
      <c r="B26" s="417">
        <v>40330</v>
      </c>
      <c r="C26" s="418">
        <v>1575</v>
      </c>
      <c r="D26" s="418">
        <v>167</v>
      </c>
      <c r="E26" s="418"/>
      <c r="F26" s="418"/>
      <c r="G26" s="418"/>
      <c r="H26" s="418"/>
    </row>
    <row r="27" spans="2:8" hidden="1" outlineLevel="1" x14ac:dyDescent="0.25">
      <c r="B27" s="417">
        <v>40360</v>
      </c>
      <c r="C27" s="418">
        <v>1875</v>
      </c>
      <c r="D27" s="418">
        <v>166</v>
      </c>
      <c r="E27" s="418"/>
      <c r="F27" s="418"/>
      <c r="G27" s="418"/>
      <c r="H27" s="418"/>
    </row>
    <row r="28" spans="2:8" hidden="1" outlineLevel="1" x14ac:dyDescent="0.25">
      <c r="B28" s="417">
        <v>40391</v>
      </c>
      <c r="C28" s="418">
        <v>7627</v>
      </c>
      <c r="D28" s="418">
        <v>189</v>
      </c>
      <c r="E28" s="418"/>
      <c r="F28" s="418"/>
      <c r="G28" s="418"/>
      <c r="H28" s="418"/>
    </row>
    <row r="29" spans="2:8" hidden="1" outlineLevel="1" x14ac:dyDescent="0.25">
      <c r="B29" s="417">
        <v>40422</v>
      </c>
      <c r="C29" s="418">
        <v>1802</v>
      </c>
      <c r="D29" s="418">
        <v>151</v>
      </c>
      <c r="E29" s="418"/>
      <c r="F29" s="418"/>
      <c r="G29" s="418"/>
      <c r="H29" s="418"/>
    </row>
    <row r="30" spans="2:8" hidden="1" outlineLevel="1" x14ac:dyDescent="0.25">
      <c r="B30" s="417">
        <v>40452</v>
      </c>
      <c r="C30" s="418">
        <v>3251</v>
      </c>
      <c r="D30" s="418">
        <v>152</v>
      </c>
      <c r="E30" s="418"/>
      <c r="F30" s="418"/>
      <c r="G30" s="418"/>
      <c r="H30" s="418"/>
    </row>
    <row r="31" spans="2:8" hidden="1" outlineLevel="1" x14ac:dyDescent="0.25">
      <c r="B31" s="417">
        <v>40483</v>
      </c>
      <c r="C31" s="418">
        <v>986</v>
      </c>
      <c r="D31" s="418">
        <v>122</v>
      </c>
      <c r="E31" s="418"/>
      <c r="F31" s="418"/>
      <c r="G31" s="418"/>
      <c r="H31" s="418"/>
    </row>
    <row r="32" spans="2:8" hidden="1" outlineLevel="1" x14ac:dyDescent="0.25">
      <c r="B32" s="417">
        <v>40513</v>
      </c>
      <c r="C32" s="418">
        <v>1370</v>
      </c>
      <c r="D32" s="418">
        <v>102</v>
      </c>
      <c r="E32" s="418"/>
      <c r="F32" s="418"/>
      <c r="G32" s="418"/>
      <c r="H32" s="418"/>
    </row>
    <row r="33" spans="2:8" collapsed="1" x14ac:dyDescent="0.25">
      <c r="B33" s="335" t="s">
        <v>751</v>
      </c>
      <c r="C33" s="336">
        <v>8513</v>
      </c>
      <c r="D33" s="336">
        <v>256</v>
      </c>
      <c r="E33" s="336"/>
      <c r="F33" s="336"/>
      <c r="G33" s="336"/>
      <c r="H33" s="336"/>
    </row>
    <row r="34" spans="2:8" hidden="1" outlineLevel="1" x14ac:dyDescent="0.25">
      <c r="B34" s="219">
        <v>40544</v>
      </c>
      <c r="C34" s="418">
        <v>547</v>
      </c>
      <c r="D34" s="418">
        <v>96</v>
      </c>
      <c r="E34" s="418"/>
      <c r="F34" s="418"/>
      <c r="G34" s="418"/>
      <c r="H34" s="418"/>
    </row>
    <row r="35" spans="2:8" hidden="1" outlineLevel="1" x14ac:dyDescent="0.25">
      <c r="B35" s="219">
        <v>40575</v>
      </c>
      <c r="C35" s="418">
        <v>986</v>
      </c>
      <c r="D35" s="418">
        <v>105</v>
      </c>
      <c r="E35" s="418"/>
      <c r="F35" s="418"/>
      <c r="G35" s="418"/>
      <c r="H35" s="418"/>
    </row>
    <row r="36" spans="2:8" hidden="1" outlineLevel="1" x14ac:dyDescent="0.25">
      <c r="B36" s="219">
        <v>40603</v>
      </c>
      <c r="C36" s="418">
        <v>531</v>
      </c>
      <c r="D36" s="418">
        <v>76</v>
      </c>
      <c r="E36" s="418"/>
      <c r="F36" s="418"/>
      <c r="G36" s="418"/>
      <c r="H36" s="418"/>
    </row>
    <row r="37" spans="2:8" hidden="1" outlineLevel="1" x14ac:dyDescent="0.25">
      <c r="B37" s="219">
        <v>40634</v>
      </c>
      <c r="C37" s="418">
        <v>1064</v>
      </c>
      <c r="D37" s="418">
        <v>129</v>
      </c>
      <c r="E37" s="418"/>
      <c r="F37" s="418"/>
      <c r="G37" s="418"/>
      <c r="H37" s="418"/>
    </row>
    <row r="38" spans="2:8" hidden="1" outlineLevel="1" x14ac:dyDescent="0.25">
      <c r="B38" s="219">
        <v>40664</v>
      </c>
      <c r="C38" s="418">
        <v>1100</v>
      </c>
      <c r="D38" s="418">
        <v>91</v>
      </c>
      <c r="E38" s="418"/>
      <c r="F38" s="418"/>
      <c r="G38" s="418"/>
      <c r="H38" s="418"/>
    </row>
    <row r="39" spans="2:8" hidden="1" outlineLevel="1" x14ac:dyDescent="0.25">
      <c r="B39" s="219">
        <v>40695</v>
      </c>
      <c r="C39" s="418">
        <v>1238</v>
      </c>
      <c r="D39" s="418">
        <v>106</v>
      </c>
      <c r="E39" s="418"/>
      <c r="F39" s="418"/>
      <c r="G39" s="418"/>
      <c r="H39" s="418"/>
    </row>
    <row r="40" spans="2:8" hidden="1" outlineLevel="1" x14ac:dyDescent="0.25">
      <c r="B40" s="219">
        <v>40725</v>
      </c>
      <c r="C40" s="418">
        <v>173</v>
      </c>
      <c r="D40" s="418">
        <v>25</v>
      </c>
      <c r="E40" s="418"/>
      <c r="F40" s="418"/>
      <c r="G40" s="418"/>
      <c r="H40" s="418"/>
    </row>
    <row r="41" spans="2:8" hidden="1" outlineLevel="1" x14ac:dyDescent="0.25">
      <c r="B41" s="219">
        <v>40756</v>
      </c>
      <c r="C41" s="418">
        <v>810</v>
      </c>
      <c r="D41" s="418">
        <v>59</v>
      </c>
      <c r="E41" s="418"/>
      <c r="F41" s="418"/>
      <c r="G41" s="418"/>
      <c r="H41" s="418"/>
    </row>
    <row r="42" spans="2:8" hidden="1" outlineLevel="1" x14ac:dyDescent="0.25">
      <c r="B42" s="219">
        <v>40787</v>
      </c>
      <c r="C42" s="418">
        <v>476</v>
      </c>
      <c r="D42" s="418">
        <v>65</v>
      </c>
      <c r="E42" s="418">
        <v>1634</v>
      </c>
      <c r="F42" s="418"/>
      <c r="G42" s="418"/>
      <c r="H42" s="418">
        <v>1620</v>
      </c>
    </row>
    <row r="43" spans="2:8" hidden="1" outlineLevel="1" x14ac:dyDescent="0.25">
      <c r="B43" s="219">
        <v>40817</v>
      </c>
      <c r="C43" s="418">
        <v>1568</v>
      </c>
      <c r="D43" s="418">
        <v>75</v>
      </c>
      <c r="E43" s="418">
        <v>5036</v>
      </c>
      <c r="F43" s="418"/>
      <c r="G43" s="418"/>
      <c r="H43" s="418">
        <v>4518</v>
      </c>
    </row>
    <row r="44" spans="2:8" hidden="1" outlineLevel="1" x14ac:dyDescent="0.25">
      <c r="B44" s="219">
        <v>40848</v>
      </c>
      <c r="C44" s="418">
        <v>906</v>
      </c>
      <c r="D44" s="418">
        <v>39</v>
      </c>
      <c r="E44" s="418">
        <v>12015</v>
      </c>
      <c r="F44" s="418"/>
      <c r="G44" s="418"/>
      <c r="H44" s="418">
        <v>10939</v>
      </c>
    </row>
    <row r="45" spans="2:8" hidden="1" outlineLevel="1" x14ac:dyDescent="0.25">
      <c r="B45" s="219">
        <v>40878</v>
      </c>
      <c r="C45" s="418">
        <v>1270</v>
      </c>
      <c r="D45" s="418">
        <v>71</v>
      </c>
      <c r="E45" s="418">
        <v>22261</v>
      </c>
      <c r="F45" s="418"/>
      <c r="G45" s="418"/>
      <c r="H45" s="418">
        <v>21512</v>
      </c>
    </row>
    <row r="46" spans="2:8" collapsed="1" x14ac:dyDescent="0.25">
      <c r="B46" s="335" t="s">
        <v>752</v>
      </c>
      <c r="C46" s="336">
        <v>889.08333333333337</v>
      </c>
      <c r="D46" s="336">
        <v>78.083333333333329</v>
      </c>
      <c r="E46" s="336">
        <v>10236.5</v>
      </c>
      <c r="F46" s="336"/>
      <c r="G46" s="336"/>
      <c r="H46" s="336">
        <v>9647.25</v>
      </c>
    </row>
    <row r="47" spans="2:8" hidden="1" outlineLevel="1" x14ac:dyDescent="0.25">
      <c r="B47" s="219">
        <v>40909</v>
      </c>
      <c r="C47" s="418">
        <v>1221</v>
      </c>
      <c r="D47" s="418">
        <v>65</v>
      </c>
      <c r="E47" s="418">
        <v>24129</v>
      </c>
      <c r="F47" s="418"/>
      <c r="G47" s="418"/>
      <c r="H47" s="418">
        <v>20099</v>
      </c>
    </row>
    <row r="48" spans="2:8" hidden="1" outlineLevel="1" x14ac:dyDescent="0.25">
      <c r="B48" s="219">
        <v>40940</v>
      </c>
      <c r="C48" s="418">
        <v>902</v>
      </c>
      <c r="D48" s="418">
        <v>58</v>
      </c>
      <c r="E48" s="418">
        <v>22063</v>
      </c>
      <c r="F48" s="418"/>
      <c r="G48" s="418"/>
      <c r="H48" s="418">
        <v>19781</v>
      </c>
    </row>
    <row r="49" spans="2:8" hidden="1" outlineLevel="1" x14ac:dyDescent="0.25">
      <c r="B49" s="219">
        <v>40969</v>
      </c>
      <c r="C49" s="418">
        <v>2605</v>
      </c>
      <c r="D49" s="418">
        <v>58</v>
      </c>
      <c r="E49" s="418">
        <v>36966</v>
      </c>
      <c r="F49" s="418"/>
      <c r="G49" s="418"/>
      <c r="H49" s="418">
        <v>28773</v>
      </c>
    </row>
    <row r="50" spans="2:8" hidden="1" outlineLevel="1" x14ac:dyDescent="0.25">
      <c r="B50" s="219">
        <v>41000</v>
      </c>
      <c r="C50" s="418">
        <v>982</v>
      </c>
      <c r="D50" s="418">
        <v>44</v>
      </c>
      <c r="E50" s="418">
        <v>16479</v>
      </c>
      <c r="F50" s="418"/>
      <c r="G50" s="418"/>
      <c r="H50" s="418">
        <v>16232</v>
      </c>
    </row>
    <row r="51" spans="2:8" hidden="1" outlineLevel="1" x14ac:dyDescent="0.25">
      <c r="B51" s="219">
        <v>41030</v>
      </c>
      <c r="C51" s="418">
        <v>3220</v>
      </c>
      <c r="D51" s="418">
        <v>72</v>
      </c>
      <c r="E51" s="418">
        <v>28814</v>
      </c>
      <c r="F51" s="418"/>
      <c r="G51" s="418"/>
      <c r="H51" s="418">
        <v>23849</v>
      </c>
    </row>
    <row r="52" spans="2:8" hidden="1" outlineLevel="1" x14ac:dyDescent="0.25">
      <c r="B52" s="219">
        <v>41061</v>
      </c>
      <c r="C52" s="418">
        <v>1267</v>
      </c>
      <c r="D52" s="418">
        <v>49</v>
      </c>
      <c r="E52" s="418">
        <v>25375</v>
      </c>
      <c r="F52" s="418"/>
      <c r="G52" s="418"/>
      <c r="H52" s="418">
        <v>22057</v>
      </c>
    </row>
    <row r="53" spans="2:8" hidden="1" outlineLevel="1" x14ac:dyDescent="0.25">
      <c r="B53" s="219">
        <v>41091</v>
      </c>
      <c r="C53" s="418">
        <v>1000</v>
      </c>
      <c r="D53" s="418">
        <v>53</v>
      </c>
      <c r="E53" s="418">
        <v>23209</v>
      </c>
      <c r="F53" s="418"/>
      <c r="G53" s="418"/>
      <c r="H53" s="418">
        <v>21672</v>
      </c>
    </row>
    <row r="54" spans="2:8" hidden="1" outlineLevel="1" x14ac:dyDescent="0.25">
      <c r="B54" s="219">
        <v>41122</v>
      </c>
      <c r="C54" s="418">
        <v>1130</v>
      </c>
      <c r="D54" s="418">
        <v>58</v>
      </c>
      <c r="E54" s="418">
        <v>21429</v>
      </c>
      <c r="F54" s="418"/>
      <c r="G54" s="418"/>
      <c r="H54" s="418">
        <v>20285</v>
      </c>
    </row>
    <row r="55" spans="2:8" hidden="1" outlineLevel="1" x14ac:dyDescent="0.25">
      <c r="B55" s="219">
        <v>41153</v>
      </c>
      <c r="C55" s="418">
        <v>1082</v>
      </c>
      <c r="D55" s="418">
        <v>56</v>
      </c>
      <c r="E55" s="418">
        <v>26360</v>
      </c>
      <c r="F55" s="418"/>
      <c r="G55" s="418"/>
      <c r="H55" s="418">
        <v>23448</v>
      </c>
    </row>
    <row r="56" spans="2:8" hidden="1" outlineLevel="1" x14ac:dyDescent="0.25">
      <c r="B56" s="219">
        <v>41183</v>
      </c>
      <c r="C56" s="418">
        <v>1205</v>
      </c>
      <c r="D56" s="418">
        <v>63</v>
      </c>
      <c r="E56" s="418">
        <v>24056</v>
      </c>
      <c r="F56" s="418"/>
      <c r="G56" s="418"/>
      <c r="H56" s="418">
        <v>22693</v>
      </c>
    </row>
    <row r="57" spans="2:8" hidden="1" outlineLevel="1" x14ac:dyDescent="0.25">
      <c r="B57" s="219">
        <v>41214</v>
      </c>
      <c r="C57" s="418">
        <v>637</v>
      </c>
      <c r="D57" s="418">
        <v>47</v>
      </c>
      <c r="E57" s="418">
        <v>19225</v>
      </c>
      <c r="F57" s="418"/>
      <c r="G57" s="418"/>
      <c r="H57" s="418">
        <v>18399</v>
      </c>
    </row>
    <row r="58" spans="2:8" hidden="1" outlineLevel="1" x14ac:dyDescent="0.25">
      <c r="B58" s="219">
        <v>41244</v>
      </c>
      <c r="C58" s="418">
        <v>840</v>
      </c>
      <c r="D58" s="418">
        <v>32</v>
      </c>
      <c r="E58" s="418">
        <v>11256</v>
      </c>
      <c r="F58" s="418"/>
      <c r="G58" s="418"/>
      <c r="H58" s="418">
        <v>10911</v>
      </c>
    </row>
    <row r="59" spans="2:8" collapsed="1" x14ac:dyDescent="0.25">
      <c r="B59" s="335" t="s">
        <v>753</v>
      </c>
      <c r="C59" s="336">
        <v>1340.9166666666667</v>
      </c>
      <c r="D59" s="336">
        <v>54.583333333333336</v>
      </c>
      <c r="E59" s="336">
        <v>23280.083333333332</v>
      </c>
      <c r="F59" s="336"/>
      <c r="G59" s="336"/>
      <c r="H59" s="336">
        <v>20683.25</v>
      </c>
    </row>
    <row r="60" spans="2:8" hidden="1" outlineLevel="1" x14ac:dyDescent="0.25">
      <c r="B60" s="219">
        <v>41275</v>
      </c>
      <c r="C60" s="418">
        <v>931</v>
      </c>
      <c r="D60" s="418">
        <v>56</v>
      </c>
      <c r="E60" s="418">
        <v>40005</v>
      </c>
      <c r="F60" s="418"/>
      <c r="G60" s="418"/>
      <c r="H60" s="418">
        <v>27853</v>
      </c>
    </row>
    <row r="61" spans="2:8" hidden="1" outlineLevel="1" x14ac:dyDescent="0.25">
      <c r="B61" s="219">
        <v>41306</v>
      </c>
      <c r="C61" s="418">
        <v>1270</v>
      </c>
      <c r="D61" s="418">
        <v>64</v>
      </c>
      <c r="E61" s="418">
        <v>24170</v>
      </c>
      <c r="F61" s="418"/>
      <c r="G61" s="418"/>
      <c r="H61" s="418">
        <v>22694</v>
      </c>
    </row>
    <row r="62" spans="2:8" hidden="1" outlineLevel="1" x14ac:dyDescent="0.25">
      <c r="B62" s="219">
        <v>41334</v>
      </c>
      <c r="C62" s="418">
        <v>826</v>
      </c>
      <c r="D62" s="418">
        <v>41</v>
      </c>
      <c r="E62" s="418">
        <v>23845</v>
      </c>
      <c r="F62" s="418"/>
      <c r="G62" s="418"/>
      <c r="H62" s="418">
        <v>22309</v>
      </c>
    </row>
    <row r="63" spans="2:8" hidden="1" outlineLevel="1" x14ac:dyDescent="0.25">
      <c r="B63" s="219">
        <v>41365</v>
      </c>
      <c r="C63" s="418">
        <v>1037</v>
      </c>
      <c r="D63" s="418">
        <v>51</v>
      </c>
      <c r="E63" s="418">
        <v>26008</v>
      </c>
      <c r="F63" s="418"/>
      <c r="G63" s="418"/>
      <c r="H63" s="418">
        <v>23693</v>
      </c>
    </row>
    <row r="64" spans="2:8" hidden="1" outlineLevel="1" x14ac:dyDescent="0.25">
      <c r="B64" s="219">
        <v>41395</v>
      </c>
      <c r="C64" s="418">
        <v>436</v>
      </c>
      <c r="D64" s="418">
        <v>34</v>
      </c>
      <c r="E64" s="418">
        <v>21038</v>
      </c>
      <c r="F64" s="418"/>
      <c r="G64" s="418"/>
      <c r="H64" s="418">
        <v>19845</v>
      </c>
    </row>
    <row r="65" spans="2:8" hidden="1" outlineLevel="1" x14ac:dyDescent="0.25">
      <c r="B65" s="219">
        <v>41426</v>
      </c>
      <c r="C65" s="418">
        <v>848</v>
      </c>
      <c r="D65" s="418">
        <v>44</v>
      </c>
      <c r="E65" s="418">
        <v>22037</v>
      </c>
      <c r="F65" s="418"/>
      <c r="G65" s="418"/>
      <c r="H65" s="418">
        <v>20065</v>
      </c>
    </row>
    <row r="66" spans="2:8" hidden="1" outlineLevel="1" x14ac:dyDescent="0.25">
      <c r="B66" s="219">
        <v>41456</v>
      </c>
      <c r="C66" s="418">
        <v>747</v>
      </c>
      <c r="D66" s="418">
        <v>36</v>
      </c>
      <c r="E66" s="418">
        <v>22506</v>
      </c>
      <c r="F66" s="418"/>
      <c r="G66" s="418"/>
      <c r="H66" s="418">
        <v>20780</v>
      </c>
    </row>
    <row r="67" spans="2:8" hidden="1" outlineLevel="1" x14ac:dyDescent="0.25">
      <c r="B67" s="219">
        <v>41487</v>
      </c>
      <c r="C67" s="418">
        <v>719</v>
      </c>
      <c r="D67" s="418">
        <v>35</v>
      </c>
      <c r="E67" s="418">
        <v>23869</v>
      </c>
      <c r="F67" s="418"/>
      <c r="G67" s="418"/>
      <c r="H67" s="418">
        <v>21924</v>
      </c>
    </row>
    <row r="68" spans="2:8" hidden="1" outlineLevel="1" x14ac:dyDescent="0.25">
      <c r="B68" s="219">
        <v>41518</v>
      </c>
      <c r="C68" s="418">
        <v>908</v>
      </c>
      <c r="D68" s="418">
        <v>30</v>
      </c>
      <c r="E68" s="418">
        <v>22797</v>
      </c>
      <c r="F68" s="418"/>
      <c r="G68" s="418"/>
      <c r="H68" s="418">
        <v>21715</v>
      </c>
    </row>
    <row r="69" spans="2:8" hidden="1" outlineLevel="1" x14ac:dyDescent="0.25">
      <c r="B69" s="219">
        <v>41548</v>
      </c>
      <c r="C69" s="418">
        <v>907</v>
      </c>
      <c r="D69" s="418">
        <v>34</v>
      </c>
      <c r="E69" s="418">
        <v>23258</v>
      </c>
      <c r="F69" s="418"/>
      <c r="G69" s="418"/>
      <c r="H69" s="418">
        <v>22266</v>
      </c>
    </row>
    <row r="70" spans="2:8" hidden="1" outlineLevel="1" x14ac:dyDescent="0.25">
      <c r="B70" s="219">
        <v>41579</v>
      </c>
      <c r="C70" s="418">
        <v>684</v>
      </c>
      <c r="D70" s="418">
        <v>32</v>
      </c>
      <c r="E70" s="418">
        <v>21758</v>
      </c>
      <c r="F70" s="418"/>
      <c r="G70" s="418"/>
      <c r="H70" s="418">
        <v>20561</v>
      </c>
    </row>
    <row r="71" spans="2:8" hidden="1" outlineLevel="1" x14ac:dyDescent="0.25">
      <c r="B71" s="219">
        <v>41609</v>
      </c>
      <c r="C71" s="418">
        <v>731</v>
      </c>
      <c r="D71" s="418">
        <v>40</v>
      </c>
      <c r="E71" s="418">
        <v>21567</v>
      </c>
      <c r="F71" s="418"/>
      <c r="G71" s="418"/>
      <c r="H71" s="418">
        <v>20466</v>
      </c>
    </row>
    <row r="72" spans="2:8" collapsed="1" x14ac:dyDescent="0.25">
      <c r="B72" s="335" t="s">
        <v>754</v>
      </c>
      <c r="C72" s="336">
        <v>837</v>
      </c>
      <c r="D72" s="336">
        <v>41.416666666666664</v>
      </c>
      <c r="E72" s="336">
        <v>24404.833333333332</v>
      </c>
      <c r="F72" s="336"/>
      <c r="G72" s="336"/>
      <c r="H72" s="336">
        <v>22014.25</v>
      </c>
    </row>
    <row r="73" spans="2:8" hidden="1" outlineLevel="1" x14ac:dyDescent="0.25">
      <c r="B73" s="219">
        <v>41640</v>
      </c>
      <c r="C73" s="418">
        <v>642</v>
      </c>
      <c r="D73" s="418">
        <v>27</v>
      </c>
      <c r="E73" s="418">
        <v>16702</v>
      </c>
      <c r="F73" s="418"/>
      <c r="G73" s="418"/>
      <c r="H73" s="418">
        <v>15794</v>
      </c>
    </row>
    <row r="74" spans="2:8" hidden="1" outlineLevel="1" x14ac:dyDescent="0.25">
      <c r="B74" s="219">
        <v>41671</v>
      </c>
      <c r="C74" s="418">
        <v>687</v>
      </c>
      <c r="D74" s="418">
        <v>25</v>
      </c>
      <c r="E74" s="418">
        <v>23938</v>
      </c>
      <c r="F74" s="418"/>
      <c r="G74" s="418"/>
      <c r="H74" s="418">
        <v>20912</v>
      </c>
    </row>
    <row r="75" spans="2:8" hidden="1" outlineLevel="1" x14ac:dyDescent="0.25">
      <c r="B75" s="219">
        <v>41699</v>
      </c>
      <c r="C75" s="418">
        <v>1022</v>
      </c>
      <c r="D75" s="418">
        <v>47</v>
      </c>
      <c r="E75" s="418">
        <v>28622</v>
      </c>
      <c r="F75" s="418"/>
      <c r="G75" s="418"/>
      <c r="H75" s="418">
        <v>24920</v>
      </c>
    </row>
    <row r="76" spans="2:8" hidden="1" outlineLevel="1" x14ac:dyDescent="0.25">
      <c r="B76" s="219">
        <v>41730</v>
      </c>
      <c r="C76" s="418">
        <v>645</v>
      </c>
      <c r="D76" s="418">
        <v>29</v>
      </c>
      <c r="E76" s="418">
        <v>22470</v>
      </c>
      <c r="F76" s="418"/>
      <c r="G76" s="418"/>
      <c r="H76" s="418">
        <v>20858</v>
      </c>
    </row>
    <row r="77" spans="2:8" hidden="1" outlineLevel="1" x14ac:dyDescent="0.25">
      <c r="B77" s="219">
        <v>41760</v>
      </c>
      <c r="C77" s="418">
        <v>697</v>
      </c>
      <c r="D77" s="418">
        <v>31</v>
      </c>
      <c r="E77" s="418">
        <v>14929</v>
      </c>
      <c r="F77" s="418"/>
      <c r="G77" s="418"/>
      <c r="H77" s="418">
        <v>13783</v>
      </c>
    </row>
    <row r="78" spans="2:8" hidden="1" outlineLevel="1" x14ac:dyDescent="0.25">
      <c r="B78" s="219">
        <v>41791</v>
      </c>
      <c r="C78" s="418">
        <v>708</v>
      </c>
      <c r="D78" s="418">
        <v>29</v>
      </c>
      <c r="E78" s="418">
        <v>28107</v>
      </c>
      <c r="F78" s="418"/>
      <c r="G78" s="418"/>
      <c r="H78" s="418">
        <v>22029</v>
      </c>
    </row>
    <row r="79" spans="2:8" hidden="1" outlineLevel="1" x14ac:dyDescent="0.25">
      <c r="B79" s="219">
        <v>41821</v>
      </c>
      <c r="C79" s="418">
        <v>848</v>
      </c>
      <c r="D79" s="418">
        <v>30</v>
      </c>
      <c r="E79" s="418">
        <v>20305</v>
      </c>
      <c r="F79" s="418"/>
      <c r="G79" s="418"/>
      <c r="H79" s="418">
        <v>18703</v>
      </c>
    </row>
    <row r="80" spans="2:8" hidden="1" outlineLevel="1" x14ac:dyDescent="0.25">
      <c r="B80" s="219">
        <v>41852</v>
      </c>
      <c r="C80" s="418">
        <v>418</v>
      </c>
      <c r="D80" s="418">
        <v>21</v>
      </c>
      <c r="E80" s="418">
        <v>20026</v>
      </c>
      <c r="F80" s="418"/>
      <c r="G80" s="418"/>
      <c r="H80" s="418">
        <v>17896</v>
      </c>
    </row>
    <row r="81" spans="2:8" hidden="1" outlineLevel="1" x14ac:dyDescent="0.25">
      <c r="B81" s="219">
        <v>41883</v>
      </c>
      <c r="C81" s="418">
        <v>449</v>
      </c>
      <c r="D81" s="418">
        <v>20</v>
      </c>
      <c r="E81" s="418">
        <v>17518</v>
      </c>
      <c r="F81" s="418"/>
      <c r="G81" s="418"/>
      <c r="H81" s="418">
        <v>15614</v>
      </c>
    </row>
    <row r="82" spans="2:8" hidden="1" outlineLevel="1" x14ac:dyDescent="0.25">
      <c r="B82" s="219">
        <v>41913</v>
      </c>
      <c r="C82" s="418">
        <v>386</v>
      </c>
      <c r="D82" s="418">
        <v>21</v>
      </c>
      <c r="E82" s="418">
        <v>25867</v>
      </c>
      <c r="F82" s="418"/>
      <c r="G82" s="418"/>
      <c r="H82" s="418">
        <v>21002</v>
      </c>
    </row>
    <row r="83" spans="2:8" hidden="1" outlineLevel="1" x14ac:dyDescent="0.25">
      <c r="B83" s="219">
        <v>41944</v>
      </c>
      <c r="C83" s="418">
        <v>614</v>
      </c>
      <c r="D83" s="418">
        <v>17</v>
      </c>
      <c r="E83" s="418">
        <v>16769</v>
      </c>
      <c r="F83" s="418"/>
      <c r="G83" s="418"/>
      <c r="H83" s="418">
        <v>15842</v>
      </c>
    </row>
    <row r="84" spans="2:8" hidden="1" outlineLevel="1" x14ac:dyDescent="0.25">
      <c r="B84" s="219">
        <v>41974</v>
      </c>
      <c r="C84" s="418">
        <v>534</v>
      </c>
      <c r="D84" s="418">
        <v>22</v>
      </c>
      <c r="E84" s="418">
        <v>23318</v>
      </c>
      <c r="F84" s="418"/>
      <c r="G84" s="418"/>
      <c r="H84" s="418">
        <v>20226</v>
      </c>
    </row>
    <row r="85" spans="2:8" collapsed="1" x14ac:dyDescent="0.25">
      <c r="B85" s="335" t="s">
        <v>755</v>
      </c>
      <c r="C85" s="336">
        <v>637.5</v>
      </c>
      <c r="D85" s="336">
        <v>26.583333333333332</v>
      </c>
      <c r="E85" s="336">
        <v>21547.583333333332</v>
      </c>
      <c r="F85" s="336"/>
      <c r="G85" s="336"/>
      <c r="H85" s="336">
        <v>18964.916666666668</v>
      </c>
    </row>
    <row r="86" spans="2:8" hidden="1" outlineLevel="1" x14ac:dyDescent="0.25">
      <c r="B86" s="219">
        <v>42005</v>
      </c>
      <c r="C86" s="418">
        <v>478</v>
      </c>
      <c r="D86" s="418">
        <v>21</v>
      </c>
      <c r="E86" s="418">
        <v>23056</v>
      </c>
      <c r="F86" s="418"/>
      <c r="G86" s="418"/>
      <c r="H86" s="418">
        <v>21061</v>
      </c>
    </row>
    <row r="87" spans="2:8" hidden="1" outlineLevel="1" x14ac:dyDescent="0.25">
      <c r="B87" s="219">
        <v>42036</v>
      </c>
      <c r="C87" s="418">
        <v>361</v>
      </c>
      <c r="D87" s="418">
        <v>24</v>
      </c>
      <c r="E87" s="418">
        <v>18524</v>
      </c>
      <c r="F87" s="418"/>
      <c r="G87" s="418"/>
      <c r="H87" s="418">
        <v>17192</v>
      </c>
    </row>
    <row r="88" spans="2:8" hidden="1" outlineLevel="1" x14ac:dyDescent="0.25">
      <c r="B88" s="219">
        <v>42064</v>
      </c>
      <c r="C88" s="418">
        <v>712</v>
      </c>
      <c r="D88" s="418">
        <v>28</v>
      </c>
      <c r="E88" s="418">
        <v>26002</v>
      </c>
      <c r="F88" s="418"/>
      <c r="G88" s="418"/>
      <c r="H88" s="418">
        <v>22027</v>
      </c>
    </row>
    <row r="89" spans="2:8" hidden="1" outlineLevel="1" x14ac:dyDescent="0.25">
      <c r="B89" s="219">
        <v>42095</v>
      </c>
      <c r="C89" s="418">
        <v>255</v>
      </c>
      <c r="D89" s="418">
        <v>22</v>
      </c>
      <c r="E89" s="418">
        <v>23093</v>
      </c>
      <c r="F89" s="418"/>
      <c r="G89" s="418"/>
      <c r="H89" s="418">
        <v>21546</v>
      </c>
    </row>
    <row r="90" spans="2:8" hidden="1" outlineLevel="1" x14ac:dyDescent="0.25">
      <c r="B90" s="219">
        <v>42125</v>
      </c>
      <c r="C90" s="418">
        <v>891</v>
      </c>
      <c r="D90" s="418">
        <v>21</v>
      </c>
      <c r="E90" s="418">
        <v>22362</v>
      </c>
      <c r="F90" s="418"/>
      <c r="G90" s="418"/>
      <c r="H90" s="418">
        <v>20850</v>
      </c>
    </row>
    <row r="91" spans="2:8" hidden="1" outlineLevel="1" x14ac:dyDescent="0.25">
      <c r="B91" s="219">
        <v>42156</v>
      </c>
      <c r="C91" s="418">
        <v>117</v>
      </c>
      <c r="D91" s="418">
        <v>14</v>
      </c>
      <c r="E91" s="418">
        <v>12627</v>
      </c>
      <c r="F91" s="418"/>
      <c r="G91" s="418"/>
      <c r="H91" s="418">
        <v>11681</v>
      </c>
    </row>
    <row r="92" spans="2:8" hidden="1" outlineLevel="1" x14ac:dyDescent="0.25">
      <c r="B92" s="219">
        <v>42186</v>
      </c>
      <c r="C92" s="418">
        <v>181</v>
      </c>
      <c r="D92" s="418">
        <v>18</v>
      </c>
      <c r="E92" s="418">
        <v>19638</v>
      </c>
      <c r="F92" s="418"/>
      <c r="G92" s="418"/>
      <c r="H92" s="418">
        <v>18282</v>
      </c>
    </row>
    <row r="93" spans="2:8" hidden="1" outlineLevel="1" x14ac:dyDescent="0.25">
      <c r="B93" s="219">
        <v>42217</v>
      </c>
      <c r="C93" s="418">
        <v>128</v>
      </c>
      <c r="D93" s="418">
        <v>14</v>
      </c>
      <c r="E93" s="418">
        <v>21146</v>
      </c>
      <c r="F93" s="418"/>
      <c r="G93" s="418"/>
      <c r="H93" s="418">
        <v>19598</v>
      </c>
    </row>
    <row r="94" spans="2:8" hidden="1" outlineLevel="1" x14ac:dyDescent="0.25">
      <c r="B94" s="219">
        <v>42248</v>
      </c>
      <c r="C94" s="418">
        <v>161</v>
      </c>
      <c r="D94" s="418">
        <v>18</v>
      </c>
      <c r="E94" s="418">
        <v>27499</v>
      </c>
      <c r="F94" s="418"/>
      <c r="G94" s="418"/>
      <c r="H94" s="418">
        <v>21738</v>
      </c>
    </row>
    <row r="95" spans="2:8" hidden="1" outlineLevel="1" x14ac:dyDescent="0.25">
      <c r="B95" s="219">
        <v>42278</v>
      </c>
      <c r="C95" s="418">
        <v>195</v>
      </c>
      <c r="D95" s="418">
        <v>21</v>
      </c>
      <c r="E95" s="418">
        <v>25195</v>
      </c>
      <c r="F95" s="418"/>
      <c r="G95" s="418"/>
      <c r="H95" s="418">
        <v>20911</v>
      </c>
    </row>
    <row r="96" spans="2:8" hidden="1" outlineLevel="1" x14ac:dyDescent="0.25">
      <c r="B96" s="219">
        <v>42309</v>
      </c>
      <c r="C96" s="418">
        <v>225</v>
      </c>
      <c r="D96" s="418">
        <v>20</v>
      </c>
      <c r="E96" s="418">
        <v>22695</v>
      </c>
      <c r="F96" s="418"/>
      <c r="G96" s="418"/>
      <c r="H96" s="418">
        <v>19610</v>
      </c>
    </row>
    <row r="97" spans="2:8" hidden="1" outlineLevel="1" x14ac:dyDescent="0.25">
      <c r="B97" s="219">
        <v>42339</v>
      </c>
      <c r="C97" s="418">
        <v>212</v>
      </c>
      <c r="D97" s="418">
        <v>27</v>
      </c>
      <c r="E97" s="418">
        <v>22984</v>
      </c>
      <c r="F97" s="418"/>
      <c r="G97" s="418"/>
      <c r="H97" s="418">
        <v>20973</v>
      </c>
    </row>
    <row r="98" spans="2:8" collapsed="1" x14ac:dyDescent="0.25">
      <c r="B98" s="335" t="s">
        <v>756</v>
      </c>
      <c r="C98" s="336">
        <v>326.33333333333331</v>
      </c>
      <c r="D98" s="336">
        <v>20.666666666666668</v>
      </c>
      <c r="E98" s="336">
        <v>22068.416666666668</v>
      </c>
      <c r="F98" s="336"/>
      <c r="G98" s="336"/>
      <c r="H98" s="336">
        <v>19622.416666666668</v>
      </c>
    </row>
    <row r="99" spans="2:8" hidden="1" outlineLevel="1" x14ac:dyDescent="0.25">
      <c r="B99" s="219">
        <v>42370</v>
      </c>
      <c r="C99" s="418">
        <v>352</v>
      </c>
      <c r="D99" s="418">
        <v>37</v>
      </c>
      <c r="E99" s="418">
        <v>22006</v>
      </c>
      <c r="F99" s="418"/>
      <c r="G99" s="418"/>
      <c r="H99" s="418">
        <v>20462</v>
      </c>
    </row>
    <row r="100" spans="2:8" hidden="1" outlineLevel="1" x14ac:dyDescent="0.25">
      <c r="B100" s="219">
        <v>42401</v>
      </c>
      <c r="C100" s="418">
        <v>370</v>
      </c>
      <c r="D100" s="418">
        <v>34</v>
      </c>
      <c r="E100" s="418">
        <v>21509</v>
      </c>
      <c r="F100" s="418"/>
      <c r="G100" s="418"/>
      <c r="H100" s="418">
        <v>20333</v>
      </c>
    </row>
    <row r="101" spans="2:8" hidden="1" outlineLevel="1" x14ac:dyDescent="0.25">
      <c r="B101" s="219">
        <v>42430</v>
      </c>
      <c r="C101" s="418">
        <v>389</v>
      </c>
      <c r="D101" s="418">
        <v>23</v>
      </c>
      <c r="E101" s="418">
        <v>21336</v>
      </c>
      <c r="F101" s="418"/>
      <c r="G101" s="418"/>
      <c r="H101" s="418">
        <v>19910</v>
      </c>
    </row>
    <row r="102" spans="2:8" hidden="1" outlineLevel="1" x14ac:dyDescent="0.25">
      <c r="B102" s="219">
        <v>42461</v>
      </c>
      <c r="C102" s="418">
        <v>285</v>
      </c>
      <c r="D102" s="418">
        <v>18</v>
      </c>
      <c r="E102" s="418">
        <v>5659</v>
      </c>
      <c r="F102" s="418"/>
      <c r="G102" s="418"/>
      <c r="H102" s="418">
        <v>5480</v>
      </c>
    </row>
    <row r="103" spans="2:8" hidden="1" outlineLevel="1" x14ac:dyDescent="0.25">
      <c r="B103" s="219">
        <v>42491</v>
      </c>
      <c r="C103" s="418">
        <v>288</v>
      </c>
      <c r="D103" s="418">
        <v>16</v>
      </c>
      <c r="E103" s="418">
        <v>6651</v>
      </c>
      <c r="F103" s="418">
        <v>3426</v>
      </c>
      <c r="G103" s="418">
        <v>2372</v>
      </c>
      <c r="H103" s="418">
        <v>5798</v>
      </c>
    </row>
    <row r="104" spans="2:8" hidden="1" outlineLevel="1" x14ac:dyDescent="0.25">
      <c r="B104" s="219">
        <v>42522</v>
      </c>
      <c r="C104" s="418">
        <v>21</v>
      </c>
      <c r="D104" s="418">
        <v>15</v>
      </c>
      <c r="E104" s="418">
        <v>5426</v>
      </c>
      <c r="F104" s="418">
        <v>2014</v>
      </c>
      <c r="G104" s="418">
        <v>2742</v>
      </c>
      <c r="H104" s="418">
        <v>4756</v>
      </c>
    </row>
    <row r="105" spans="2:8" hidden="1" outlineLevel="1" x14ac:dyDescent="0.25">
      <c r="B105" s="219">
        <v>42552</v>
      </c>
      <c r="C105" s="418">
        <v>9</v>
      </c>
      <c r="D105" s="418">
        <v>9</v>
      </c>
      <c r="E105" s="418">
        <v>3253</v>
      </c>
      <c r="F105" s="418">
        <v>1416</v>
      </c>
      <c r="G105" s="418">
        <v>1620</v>
      </c>
      <c r="H105" s="418">
        <v>3036</v>
      </c>
    </row>
    <row r="106" spans="2:8" hidden="1" outlineLevel="1" x14ac:dyDescent="0.25">
      <c r="B106" s="219">
        <v>42583</v>
      </c>
      <c r="C106" s="418">
        <v>13</v>
      </c>
      <c r="D106" s="418">
        <v>10</v>
      </c>
      <c r="E106" s="418">
        <v>3343</v>
      </c>
      <c r="F106" s="418">
        <v>1336</v>
      </c>
      <c r="G106" s="418">
        <v>1688</v>
      </c>
      <c r="H106" s="418">
        <v>3024</v>
      </c>
    </row>
    <row r="107" spans="2:8" hidden="1" outlineLevel="1" x14ac:dyDescent="0.25">
      <c r="B107" s="219">
        <v>42614</v>
      </c>
      <c r="C107" s="418">
        <v>16</v>
      </c>
      <c r="D107" s="418">
        <v>11</v>
      </c>
      <c r="E107" s="418">
        <v>3298</v>
      </c>
      <c r="F107" s="418">
        <v>1358</v>
      </c>
      <c r="G107" s="418">
        <v>1715</v>
      </c>
      <c r="H107" s="418">
        <v>3073</v>
      </c>
    </row>
    <row r="108" spans="2:8" hidden="1" outlineLevel="1" x14ac:dyDescent="0.25">
      <c r="B108" s="219">
        <v>42644</v>
      </c>
      <c r="C108" s="418">
        <v>28</v>
      </c>
      <c r="D108" s="418">
        <v>12</v>
      </c>
      <c r="E108" s="418">
        <v>3465</v>
      </c>
      <c r="F108" s="418">
        <v>1455</v>
      </c>
      <c r="G108" s="418">
        <v>1819</v>
      </c>
      <c r="H108" s="418">
        <v>3274</v>
      </c>
    </row>
    <row r="109" spans="2:8" hidden="1" outlineLevel="1" x14ac:dyDescent="0.25">
      <c r="B109" s="219">
        <v>42675</v>
      </c>
      <c r="C109" s="418">
        <v>38</v>
      </c>
      <c r="D109" s="418">
        <v>13</v>
      </c>
      <c r="E109" s="418">
        <v>3225</v>
      </c>
      <c r="F109" s="418">
        <v>1369</v>
      </c>
      <c r="G109" s="418">
        <v>1699</v>
      </c>
      <c r="H109" s="418">
        <v>3068</v>
      </c>
    </row>
    <row r="110" spans="2:8" hidden="1" outlineLevel="1" x14ac:dyDescent="0.25">
      <c r="B110" s="219">
        <v>42705</v>
      </c>
      <c r="C110" s="418">
        <v>48</v>
      </c>
      <c r="D110" s="418">
        <v>20</v>
      </c>
      <c r="E110" s="418">
        <v>2951</v>
      </c>
      <c r="F110" s="418">
        <v>1273</v>
      </c>
      <c r="G110" s="418">
        <v>1530</v>
      </c>
      <c r="H110" s="418">
        <v>2803</v>
      </c>
    </row>
    <row r="111" spans="2:8" collapsed="1" x14ac:dyDescent="0.25">
      <c r="B111" s="335" t="s">
        <v>757</v>
      </c>
      <c r="C111" s="336">
        <v>154.75</v>
      </c>
      <c r="D111" s="336">
        <v>18.166666666666668</v>
      </c>
      <c r="E111" s="336">
        <v>8510.1666666666661</v>
      </c>
      <c r="F111" s="336">
        <v>1705.875</v>
      </c>
      <c r="G111" s="336">
        <v>1898.125</v>
      </c>
      <c r="H111" s="336">
        <v>7918.083333333333</v>
      </c>
    </row>
    <row r="112" spans="2:8" hidden="1" outlineLevel="1" x14ac:dyDescent="0.25">
      <c r="B112" s="219">
        <v>42736</v>
      </c>
      <c r="C112" s="418">
        <v>28</v>
      </c>
      <c r="D112" s="418">
        <v>16</v>
      </c>
      <c r="E112" s="418">
        <v>4231</v>
      </c>
      <c r="F112" s="418">
        <v>1377</v>
      </c>
      <c r="G112" s="418">
        <v>2288</v>
      </c>
      <c r="H112" s="418">
        <v>3665</v>
      </c>
    </row>
    <row r="113" spans="2:8" hidden="1" outlineLevel="1" x14ac:dyDescent="0.25">
      <c r="B113" s="219">
        <v>42767</v>
      </c>
      <c r="C113" s="418">
        <v>40</v>
      </c>
      <c r="D113" s="418">
        <v>21</v>
      </c>
      <c r="E113" s="418">
        <v>2725</v>
      </c>
      <c r="F113" s="418">
        <v>1152</v>
      </c>
      <c r="G113" s="418">
        <v>1411</v>
      </c>
      <c r="H113" s="418">
        <v>2563</v>
      </c>
    </row>
    <row r="114" spans="2:8" hidden="1" outlineLevel="1" x14ac:dyDescent="0.25">
      <c r="B114" s="219">
        <v>42795</v>
      </c>
      <c r="C114" s="418">
        <v>51</v>
      </c>
      <c r="D114" s="418">
        <v>19</v>
      </c>
      <c r="E114" s="418">
        <v>2482</v>
      </c>
      <c r="F114" s="418">
        <v>1042</v>
      </c>
      <c r="G114" s="418">
        <v>1321</v>
      </c>
      <c r="H114" s="418">
        <v>2363</v>
      </c>
    </row>
    <row r="115" spans="2:8" hidden="1" outlineLevel="1" x14ac:dyDescent="0.25">
      <c r="B115" s="219">
        <v>42826</v>
      </c>
      <c r="C115" s="418">
        <v>52</v>
      </c>
      <c r="D115" s="418">
        <v>16</v>
      </c>
      <c r="E115" s="418">
        <v>2908</v>
      </c>
      <c r="F115" s="418">
        <v>1301</v>
      </c>
      <c r="G115" s="418">
        <v>1304</v>
      </c>
      <c r="H115" s="418">
        <v>2605</v>
      </c>
    </row>
    <row r="116" spans="2:8" hidden="1" outlineLevel="1" x14ac:dyDescent="0.25">
      <c r="B116" s="219">
        <v>42856</v>
      </c>
      <c r="C116" s="418">
        <v>33</v>
      </c>
      <c r="D116" s="418">
        <v>11</v>
      </c>
      <c r="E116" s="418">
        <v>2762</v>
      </c>
      <c r="F116" s="418">
        <v>1203</v>
      </c>
      <c r="G116" s="418">
        <v>1396</v>
      </c>
      <c r="H116" s="418">
        <v>2599</v>
      </c>
    </row>
    <row r="117" spans="2:8" hidden="1" outlineLevel="1" x14ac:dyDescent="0.25">
      <c r="B117" s="219">
        <v>42887</v>
      </c>
      <c r="C117" s="418">
        <v>4096</v>
      </c>
      <c r="D117" s="418">
        <v>40</v>
      </c>
      <c r="E117" s="418">
        <v>176735</v>
      </c>
      <c r="F117" s="418">
        <v>21206</v>
      </c>
      <c r="G117" s="418">
        <v>29918</v>
      </c>
      <c r="H117" s="418">
        <v>51124</v>
      </c>
    </row>
    <row r="118" spans="2:8" hidden="1" outlineLevel="1" x14ac:dyDescent="0.25">
      <c r="B118" s="219">
        <v>42917</v>
      </c>
      <c r="C118" s="418">
        <v>6517</v>
      </c>
      <c r="D118" s="418">
        <v>46</v>
      </c>
      <c r="E118" s="418">
        <v>93102</v>
      </c>
      <c r="F118" s="418">
        <v>16060</v>
      </c>
      <c r="G118" s="418">
        <v>22383</v>
      </c>
      <c r="H118" s="418">
        <v>38443</v>
      </c>
    </row>
    <row r="119" spans="2:8" hidden="1" outlineLevel="1" x14ac:dyDescent="0.25">
      <c r="B119" s="219">
        <v>42948</v>
      </c>
      <c r="C119" s="418">
        <v>7909</v>
      </c>
      <c r="D119" s="418">
        <v>49</v>
      </c>
      <c r="E119" s="418">
        <v>2314</v>
      </c>
      <c r="F119" s="418">
        <v>1181</v>
      </c>
      <c r="G119" s="418">
        <v>999</v>
      </c>
      <c r="H119" s="418">
        <v>2180</v>
      </c>
    </row>
    <row r="120" spans="2:8" hidden="1" outlineLevel="1" x14ac:dyDescent="0.25">
      <c r="B120" s="219">
        <v>42979</v>
      </c>
      <c r="C120" s="418">
        <v>2045</v>
      </c>
      <c r="D120" s="418">
        <v>33</v>
      </c>
      <c r="E120" s="418">
        <v>37486</v>
      </c>
      <c r="F120" s="418">
        <v>9638</v>
      </c>
      <c r="G120" s="418">
        <v>14569</v>
      </c>
      <c r="H120" s="418">
        <v>24207</v>
      </c>
    </row>
    <row r="121" spans="2:8" hidden="1" outlineLevel="1" x14ac:dyDescent="0.25">
      <c r="B121" s="219">
        <v>43009</v>
      </c>
      <c r="C121" s="418">
        <v>1138</v>
      </c>
      <c r="D121" s="418">
        <v>31</v>
      </c>
      <c r="E121" s="418">
        <v>33256</v>
      </c>
      <c r="F121" s="418">
        <v>9130</v>
      </c>
      <c r="G121" s="418">
        <v>15883</v>
      </c>
      <c r="H121" s="418">
        <v>25013</v>
      </c>
    </row>
    <row r="122" spans="2:8" hidden="1" outlineLevel="1" x14ac:dyDescent="0.25">
      <c r="B122" s="219">
        <v>43040</v>
      </c>
      <c r="C122" s="418">
        <v>989</v>
      </c>
      <c r="D122" s="418">
        <v>32</v>
      </c>
      <c r="E122" s="418">
        <v>26590</v>
      </c>
      <c r="F122" s="418">
        <v>8080</v>
      </c>
      <c r="G122" s="418">
        <v>12842</v>
      </c>
      <c r="H122" s="418">
        <v>20922</v>
      </c>
    </row>
    <row r="123" spans="2:8" hidden="1" outlineLevel="1" x14ac:dyDescent="0.25">
      <c r="B123" s="219">
        <v>43070</v>
      </c>
      <c r="C123" s="418">
        <v>1027</v>
      </c>
      <c r="D123" s="418">
        <v>26</v>
      </c>
      <c r="E123" s="418">
        <v>18586</v>
      </c>
      <c r="F123" s="418">
        <v>7147</v>
      </c>
      <c r="G123" s="418">
        <v>10315</v>
      </c>
      <c r="H123" s="418">
        <v>17462</v>
      </c>
    </row>
    <row r="124" spans="2:8" collapsed="1" x14ac:dyDescent="0.25">
      <c r="B124" s="335" t="s">
        <v>758</v>
      </c>
      <c r="C124" s="336">
        <v>1993.75</v>
      </c>
      <c r="D124" s="336">
        <v>28.333333333333332</v>
      </c>
      <c r="E124" s="336">
        <v>33598.083333333336</v>
      </c>
      <c r="F124" s="336">
        <v>6543.083333333333</v>
      </c>
      <c r="G124" s="336">
        <v>9552.4166666666661</v>
      </c>
      <c r="H124" s="336">
        <v>16095.5</v>
      </c>
    </row>
    <row r="125" spans="2:8" hidden="1" outlineLevel="1" x14ac:dyDescent="0.25">
      <c r="B125" s="219">
        <v>43101</v>
      </c>
      <c r="C125" s="418">
        <v>1354</v>
      </c>
      <c r="D125" s="418">
        <v>30</v>
      </c>
      <c r="E125" s="418">
        <v>18570</v>
      </c>
      <c r="F125" s="418">
        <v>7039</v>
      </c>
      <c r="G125" s="418">
        <v>10476</v>
      </c>
      <c r="H125" s="418">
        <v>17515</v>
      </c>
    </row>
    <row r="126" spans="2:8" hidden="1" outlineLevel="1" x14ac:dyDescent="0.25">
      <c r="B126" s="219">
        <v>43132</v>
      </c>
      <c r="C126" s="418">
        <v>1044</v>
      </c>
      <c r="D126" s="418">
        <v>26</v>
      </c>
      <c r="E126" s="418">
        <v>12624</v>
      </c>
      <c r="F126" s="418">
        <v>7245</v>
      </c>
      <c r="G126" s="418">
        <v>4546</v>
      </c>
      <c r="H126" s="418">
        <v>11791</v>
      </c>
    </row>
    <row r="127" spans="2:8" hidden="1" outlineLevel="1" x14ac:dyDescent="0.25">
      <c r="B127" s="219">
        <v>43160</v>
      </c>
      <c r="C127" s="418">
        <v>923</v>
      </c>
      <c r="D127" s="418">
        <v>42</v>
      </c>
      <c r="E127" s="418">
        <v>19233</v>
      </c>
      <c r="F127" s="418">
        <v>7306</v>
      </c>
      <c r="G127" s="418">
        <v>10727</v>
      </c>
      <c r="H127" s="418">
        <v>18033</v>
      </c>
    </row>
    <row r="128" spans="2:8" hidden="1" outlineLevel="1" x14ac:dyDescent="0.25">
      <c r="B128" s="219">
        <v>43191</v>
      </c>
      <c r="C128" s="418">
        <v>1496</v>
      </c>
      <c r="D128" s="418">
        <v>53</v>
      </c>
      <c r="E128" s="418">
        <v>27469</v>
      </c>
      <c r="F128" s="418">
        <v>12706</v>
      </c>
      <c r="G128" s="418">
        <v>9262</v>
      </c>
      <c r="H128" s="418">
        <v>21968</v>
      </c>
    </row>
    <row r="129" spans="2:8" hidden="1" outlineLevel="1" x14ac:dyDescent="0.25">
      <c r="B129" s="219">
        <v>43221</v>
      </c>
      <c r="C129" s="418">
        <v>1099</v>
      </c>
      <c r="D129" s="418">
        <v>44</v>
      </c>
      <c r="E129" s="418">
        <v>19923</v>
      </c>
      <c r="F129" s="418">
        <v>7814</v>
      </c>
      <c r="G129" s="418">
        <v>11003</v>
      </c>
      <c r="H129" s="418">
        <v>18817</v>
      </c>
    </row>
    <row r="130" spans="2:8" hidden="1" outlineLevel="1" x14ac:dyDescent="0.25">
      <c r="B130" s="219">
        <v>43252</v>
      </c>
      <c r="C130" s="418">
        <v>2919</v>
      </c>
      <c r="D130" s="418">
        <v>53</v>
      </c>
      <c r="E130" s="418">
        <v>33135</v>
      </c>
      <c r="F130" s="418">
        <v>8927</v>
      </c>
      <c r="G130" s="418">
        <v>12977</v>
      </c>
      <c r="H130" s="418">
        <v>21904</v>
      </c>
    </row>
    <row r="131" spans="2:8" hidden="1" outlineLevel="1" x14ac:dyDescent="0.25">
      <c r="B131" s="219">
        <v>43282</v>
      </c>
      <c r="C131" s="418">
        <v>643</v>
      </c>
      <c r="D131" s="418">
        <v>53</v>
      </c>
      <c r="E131" s="418">
        <v>16559</v>
      </c>
      <c r="F131" s="418">
        <v>6259</v>
      </c>
      <c r="G131" s="418">
        <v>9397</v>
      </c>
      <c r="H131" s="418">
        <v>15656</v>
      </c>
    </row>
    <row r="132" spans="2:8" hidden="1" outlineLevel="1" x14ac:dyDescent="0.25">
      <c r="B132" s="219">
        <v>43313</v>
      </c>
      <c r="C132" s="418">
        <v>542</v>
      </c>
      <c r="D132" s="418">
        <v>55</v>
      </c>
      <c r="E132" s="418">
        <v>16468</v>
      </c>
      <c r="F132" s="418">
        <v>9380</v>
      </c>
      <c r="G132" s="418">
        <v>6293</v>
      </c>
      <c r="H132" s="418">
        <v>15673</v>
      </c>
    </row>
    <row r="133" spans="2:8" hidden="1" outlineLevel="1" x14ac:dyDescent="0.25">
      <c r="B133" s="219">
        <v>43344</v>
      </c>
      <c r="C133" s="418">
        <v>542</v>
      </c>
      <c r="D133" s="418">
        <v>47</v>
      </c>
      <c r="E133" s="418">
        <v>20636</v>
      </c>
      <c r="F133" s="418">
        <v>10966</v>
      </c>
      <c r="G133" s="418">
        <v>7467</v>
      </c>
      <c r="H133" s="418">
        <v>18433</v>
      </c>
    </row>
    <row r="134" spans="2:8" hidden="1" outlineLevel="1" x14ac:dyDescent="0.25">
      <c r="B134" s="219">
        <v>43374</v>
      </c>
      <c r="C134" s="418">
        <v>1166</v>
      </c>
      <c r="D134" s="418">
        <v>64</v>
      </c>
      <c r="E134" s="418">
        <v>18153</v>
      </c>
      <c r="F134" s="418">
        <v>6728</v>
      </c>
      <c r="G134" s="418">
        <v>9884</v>
      </c>
      <c r="H134" s="418">
        <v>16612</v>
      </c>
    </row>
    <row r="135" spans="2:8" hidden="1" outlineLevel="1" x14ac:dyDescent="0.25">
      <c r="B135" s="219">
        <v>43405</v>
      </c>
      <c r="C135" s="418">
        <v>684</v>
      </c>
      <c r="D135" s="418">
        <v>59</v>
      </c>
      <c r="E135" s="418">
        <v>22023</v>
      </c>
      <c r="F135" s="418">
        <v>10985</v>
      </c>
      <c r="G135" s="418">
        <v>7542</v>
      </c>
      <c r="H135" s="418">
        <v>18527</v>
      </c>
    </row>
    <row r="136" spans="2:8" hidden="1" outlineLevel="1" x14ac:dyDescent="0.25">
      <c r="B136" s="219">
        <v>43435</v>
      </c>
      <c r="C136" s="418">
        <v>1306</v>
      </c>
      <c r="D136" s="418">
        <v>51</v>
      </c>
      <c r="E136" s="418">
        <v>25922</v>
      </c>
      <c r="F136" s="418">
        <v>12754</v>
      </c>
      <c r="G136" s="418">
        <v>8814</v>
      </c>
      <c r="H136" s="418">
        <v>21568</v>
      </c>
    </row>
    <row r="137" spans="2:8" collapsed="1" x14ac:dyDescent="0.25">
      <c r="B137" s="335" t="s">
        <v>759</v>
      </c>
      <c r="C137" s="336">
        <v>1143.1666666666667</v>
      </c>
      <c r="D137" s="336">
        <v>48.083333333333336</v>
      </c>
      <c r="E137" s="336">
        <v>20892.916666666668</v>
      </c>
      <c r="F137" s="336">
        <v>9009.0833333333339</v>
      </c>
      <c r="G137" s="336">
        <v>9032.3333333333339</v>
      </c>
      <c r="H137" s="336">
        <v>18041.416666666668</v>
      </c>
    </row>
    <row r="138" spans="2:8" hidden="1" outlineLevel="1" x14ac:dyDescent="0.25">
      <c r="B138" s="219">
        <v>43466</v>
      </c>
      <c r="C138" s="418">
        <v>800</v>
      </c>
      <c r="D138" s="418">
        <v>51</v>
      </c>
      <c r="E138" s="418">
        <v>28255</v>
      </c>
      <c r="F138" s="418">
        <v>13972</v>
      </c>
      <c r="G138" s="418">
        <v>9596</v>
      </c>
      <c r="H138" s="418">
        <v>23568</v>
      </c>
    </row>
    <row r="139" spans="2:8" hidden="1" outlineLevel="1" x14ac:dyDescent="0.25">
      <c r="B139" s="219">
        <v>43497</v>
      </c>
      <c r="C139" s="418">
        <v>819</v>
      </c>
      <c r="D139" s="418">
        <v>47</v>
      </c>
      <c r="E139" s="418">
        <v>24473</v>
      </c>
      <c r="F139" s="418">
        <v>12346</v>
      </c>
      <c r="G139" s="418">
        <v>8362</v>
      </c>
      <c r="H139" s="418">
        <v>20708</v>
      </c>
    </row>
    <row r="140" spans="2:8" hidden="1" outlineLevel="1" x14ac:dyDescent="0.25">
      <c r="B140" s="219">
        <v>43525</v>
      </c>
      <c r="C140" s="418">
        <v>1105</v>
      </c>
      <c r="D140" s="418">
        <v>42</v>
      </c>
      <c r="E140" s="418">
        <v>20396</v>
      </c>
      <c r="F140" s="418">
        <v>11217</v>
      </c>
      <c r="G140" s="418">
        <v>7436</v>
      </c>
      <c r="H140" s="418">
        <v>18653</v>
      </c>
    </row>
    <row r="141" spans="2:8" hidden="1" outlineLevel="1" x14ac:dyDescent="0.25">
      <c r="B141" s="219">
        <v>43556</v>
      </c>
      <c r="C141" s="418">
        <v>1016</v>
      </c>
      <c r="D141" s="418">
        <v>35</v>
      </c>
      <c r="E141" s="418">
        <v>17319</v>
      </c>
      <c r="F141" s="418">
        <v>9829</v>
      </c>
      <c r="G141" s="418">
        <v>6577</v>
      </c>
      <c r="H141" s="418">
        <v>16406</v>
      </c>
    </row>
    <row r="142" spans="2:8" hidden="1" outlineLevel="1" x14ac:dyDescent="0.25">
      <c r="B142" s="219">
        <v>43586</v>
      </c>
      <c r="C142" s="418">
        <v>1094</v>
      </c>
      <c r="D142" s="418">
        <v>44</v>
      </c>
      <c r="E142" s="418">
        <v>26936</v>
      </c>
      <c r="F142" s="418">
        <v>8619</v>
      </c>
      <c r="G142" s="418">
        <v>12910</v>
      </c>
      <c r="H142" s="418">
        <v>21529</v>
      </c>
    </row>
    <row r="143" spans="2:8" hidden="1" outlineLevel="1" x14ac:dyDescent="0.25">
      <c r="B143" s="219">
        <v>43617</v>
      </c>
      <c r="C143" s="418">
        <v>962</v>
      </c>
      <c r="D143" s="418">
        <v>41</v>
      </c>
      <c r="E143" s="418">
        <v>17186</v>
      </c>
      <c r="F143" s="418">
        <v>6205</v>
      </c>
      <c r="G143" s="418">
        <v>9829</v>
      </c>
      <c r="H143" s="418">
        <v>16034</v>
      </c>
    </row>
    <row r="144" spans="2:8" hidden="1" outlineLevel="1" x14ac:dyDescent="0.25">
      <c r="B144" s="219">
        <v>43647</v>
      </c>
      <c r="C144" s="418">
        <v>1148</v>
      </c>
      <c r="D144" s="418">
        <v>41</v>
      </c>
      <c r="E144" s="418">
        <v>17113</v>
      </c>
      <c r="F144" s="418">
        <v>9788</v>
      </c>
      <c r="G144" s="418">
        <v>6179</v>
      </c>
      <c r="H144" s="418">
        <v>15967</v>
      </c>
    </row>
    <row r="145" spans="2:8" hidden="1" outlineLevel="1" x14ac:dyDescent="0.25">
      <c r="B145" s="219">
        <v>43678</v>
      </c>
      <c r="C145" s="418">
        <v>896</v>
      </c>
      <c r="D145" s="418">
        <v>34</v>
      </c>
      <c r="E145" s="418">
        <v>17644</v>
      </c>
      <c r="F145" s="418">
        <v>10151</v>
      </c>
      <c r="G145" s="418">
        <v>6422</v>
      </c>
      <c r="H145" s="418">
        <v>16573</v>
      </c>
    </row>
    <row r="146" spans="2:8" hidden="1" outlineLevel="1" x14ac:dyDescent="0.25">
      <c r="B146" s="219">
        <v>43709</v>
      </c>
      <c r="C146" s="418">
        <v>926</v>
      </c>
      <c r="D146" s="418">
        <v>31</v>
      </c>
      <c r="E146" s="418">
        <v>17905</v>
      </c>
      <c r="F146" s="418">
        <v>10281</v>
      </c>
      <c r="G146" s="418">
        <v>6541</v>
      </c>
      <c r="H146" s="418">
        <v>16573</v>
      </c>
    </row>
    <row r="147" spans="2:8" hidden="1" outlineLevel="1" x14ac:dyDescent="0.25">
      <c r="B147" s="219">
        <v>43739</v>
      </c>
      <c r="C147" s="418">
        <v>1371</v>
      </c>
      <c r="D147" s="418">
        <v>30</v>
      </c>
      <c r="E147" s="418">
        <v>18586</v>
      </c>
      <c r="F147" s="418">
        <v>6769</v>
      </c>
      <c r="G147" s="418">
        <v>10563</v>
      </c>
      <c r="H147" s="418">
        <v>17332</v>
      </c>
    </row>
    <row r="148" spans="2:8" hidden="1" outlineLevel="1" x14ac:dyDescent="0.25">
      <c r="B148" s="219">
        <v>43770</v>
      </c>
      <c r="C148" s="418">
        <v>1269</v>
      </c>
      <c r="D148" s="418">
        <v>37</v>
      </c>
      <c r="E148" s="418">
        <v>18254</v>
      </c>
      <c r="F148" s="418">
        <v>10266</v>
      </c>
      <c r="G148" s="418">
        <v>6534</v>
      </c>
      <c r="H148" s="418">
        <v>16800</v>
      </c>
    </row>
    <row r="149" spans="2:8" hidden="1" outlineLevel="1" x14ac:dyDescent="0.25">
      <c r="B149" s="219">
        <v>43800</v>
      </c>
      <c r="C149" s="418">
        <v>819</v>
      </c>
      <c r="D149" s="418">
        <v>36</v>
      </c>
      <c r="E149" s="418">
        <v>18254</v>
      </c>
      <c r="F149" s="418">
        <v>10460</v>
      </c>
      <c r="G149" s="418">
        <v>6540</v>
      </c>
      <c r="H149" s="418">
        <v>17000</v>
      </c>
    </row>
    <row r="150" spans="2:8" collapsed="1" x14ac:dyDescent="0.25">
      <c r="B150" s="335" t="s">
        <v>760</v>
      </c>
      <c r="C150" s="336">
        <v>1018.75</v>
      </c>
      <c r="D150" s="336">
        <v>39.083333333333336</v>
      </c>
      <c r="E150" s="336">
        <v>20193.416666666668</v>
      </c>
      <c r="F150" s="336">
        <v>9991.9166666666661</v>
      </c>
      <c r="G150" s="336">
        <v>8124.083333333333</v>
      </c>
      <c r="H150" s="336">
        <v>18095.25</v>
      </c>
    </row>
    <row r="151" spans="2:8" hidden="1" outlineLevel="1" x14ac:dyDescent="0.25">
      <c r="B151" s="219">
        <v>43831</v>
      </c>
      <c r="C151" s="418">
        <v>834</v>
      </c>
      <c r="D151" s="418">
        <v>42</v>
      </c>
      <c r="E151" s="418">
        <v>18617</v>
      </c>
      <c r="F151" s="418">
        <v>6664</v>
      </c>
      <c r="G151" s="418">
        <v>10715</v>
      </c>
      <c r="H151" s="418">
        <v>17379</v>
      </c>
    </row>
    <row r="152" spans="2:8" hidden="1" outlineLevel="1" x14ac:dyDescent="0.25">
      <c r="B152" s="219">
        <v>43862</v>
      </c>
      <c r="C152" s="418">
        <v>698</v>
      </c>
      <c r="D152" s="418">
        <v>37</v>
      </c>
      <c r="E152" s="418">
        <v>18087</v>
      </c>
      <c r="F152" s="418">
        <v>6398</v>
      </c>
      <c r="G152" s="418">
        <v>10470</v>
      </c>
      <c r="H152" s="418">
        <v>16868</v>
      </c>
    </row>
    <row r="153" spans="2:8" hidden="1" outlineLevel="1" x14ac:dyDescent="0.25">
      <c r="B153" s="219">
        <v>43891</v>
      </c>
      <c r="C153" s="418">
        <v>335</v>
      </c>
      <c r="D153" s="418">
        <v>11</v>
      </c>
      <c r="E153" s="418">
        <v>2479</v>
      </c>
      <c r="F153" s="418">
        <v>833</v>
      </c>
      <c r="G153" s="418">
        <v>1333</v>
      </c>
      <c r="H153" s="418">
        <v>2166</v>
      </c>
    </row>
    <row r="154" spans="2:8" hidden="1" outlineLevel="1" x14ac:dyDescent="0.25">
      <c r="B154" s="219">
        <v>43922</v>
      </c>
      <c r="C154" s="418">
        <v>1807</v>
      </c>
      <c r="D154" s="418">
        <v>46</v>
      </c>
      <c r="E154" s="418">
        <v>35380</v>
      </c>
      <c r="F154" s="418">
        <v>8953</v>
      </c>
      <c r="G154" s="418">
        <v>13726</v>
      </c>
      <c r="H154" s="418">
        <v>22679</v>
      </c>
    </row>
    <row r="155" spans="2:8" hidden="1" outlineLevel="1" x14ac:dyDescent="0.25">
      <c r="B155" s="219">
        <v>43952</v>
      </c>
      <c r="C155" s="418">
        <v>812</v>
      </c>
      <c r="D155" s="418">
        <v>43</v>
      </c>
      <c r="E155" s="418">
        <v>19198</v>
      </c>
      <c r="F155" s="418">
        <v>7081</v>
      </c>
      <c r="G155" s="418">
        <v>10993</v>
      </c>
      <c r="H155" s="418">
        <v>18074</v>
      </c>
    </row>
    <row r="156" spans="2:8" hidden="1" outlineLevel="1" x14ac:dyDescent="0.25">
      <c r="B156" s="219">
        <v>43983</v>
      </c>
      <c r="C156" s="418">
        <v>717</v>
      </c>
      <c r="D156" s="418">
        <v>40</v>
      </c>
      <c r="E156" s="418">
        <v>21037</v>
      </c>
      <c r="F156" s="418">
        <v>6751</v>
      </c>
      <c r="G156" s="418">
        <v>10650</v>
      </c>
      <c r="H156" s="418">
        <v>17401</v>
      </c>
    </row>
    <row r="157" spans="2:8" hidden="1" outlineLevel="1" x14ac:dyDescent="0.25">
      <c r="B157" s="219" t="s">
        <v>957</v>
      </c>
      <c r="C157" s="418">
        <v>403</v>
      </c>
      <c r="D157" s="418">
        <v>40</v>
      </c>
      <c r="E157" s="418">
        <v>15217</v>
      </c>
      <c r="F157" s="418">
        <v>5506</v>
      </c>
      <c r="G157" s="418">
        <v>8781</v>
      </c>
      <c r="H157" s="418">
        <v>14287</v>
      </c>
    </row>
    <row r="158" spans="2:8" hidden="1" outlineLevel="1" x14ac:dyDescent="0.25">
      <c r="B158" s="219">
        <v>44044</v>
      </c>
      <c r="C158" s="418">
        <v>226</v>
      </c>
      <c r="D158" s="418">
        <v>29</v>
      </c>
      <c r="E158" s="418">
        <v>16560</v>
      </c>
      <c r="F158" s="418">
        <v>9684</v>
      </c>
      <c r="G158" s="418">
        <v>6022</v>
      </c>
      <c r="H158" s="418">
        <v>15706</v>
      </c>
    </row>
    <row r="159" spans="2:8" hidden="1" outlineLevel="1" x14ac:dyDescent="0.25">
      <c r="B159" s="219">
        <v>44075</v>
      </c>
      <c r="C159" s="418">
        <v>130</v>
      </c>
      <c r="D159" s="418">
        <v>26</v>
      </c>
      <c r="E159" s="418">
        <v>17807</v>
      </c>
      <c r="F159" s="418">
        <v>6374</v>
      </c>
      <c r="G159" s="418">
        <v>10337</v>
      </c>
      <c r="H159" s="418">
        <v>16711</v>
      </c>
    </row>
    <row r="160" spans="2:8" hidden="1" outlineLevel="1" x14ac:dyDescent="0.25">
      <c r="B160" s="219">
        <v>44105</v>
      </c>
      <c r="C160" s="418">
        <v>85</v>
      </c>
      <c r="D160" s="418">
        <v>26</v>
      </c>
      <c r="E160" s="418">
        <v>19642</v>
      </c>
      <c r="F160" s="418">
        <v>7053</v>
      </c>
      <c r="G160" s="418">
        <v>11284</v>
      </c>
      <c r="H160" s="418">
        <v>18337</v>
      </c>
    </row>
    <row r="161" spans="2:8" hidden="1" outlineLevel="1" x14ac:dyDescent="0.25">
      <c r="B161" s="219">
        <v>44136</v>
      </c>
      <c r="C161" s="418">
        <v>64</v>
      </c>
      <c r="D161" s="418">
        <v>27</v>
      </c>
      <c r="E161" s="418">
        <v>20331</v>
      </c>
      <c r="F161" s="418">
        <v>7299</v>
      </c>
      <c r="G161" s="418">
        <v>11518</v>
      </c>
      <c r="H161" s="418">
        <v>18817</v>
      </c>
    </row>
    <row r="162" spans="2:8" hidden="1" outlineLevel="1" x14ac:dyDescent="0.25">
      <c r="B162" s="219">
        <v>44166</v>
      </c>
      <c r="C162" s="418">
        <v>61</v>
      </c>
      <c r="D162" s="418">
        <v>28</v>
      </c>
      <c r="E162" s="418">
        <v>22733</v>
      </c>
      <c r="F162" s="418">
        <v>8214</v>
      </c>
      <c r="G162" s="418">
        <v>12811</v>
      </c>
      <c r="H162" s="418">
        <v>21025</v>
      </c>
    </row>
    <row r="163" spans="2:8" collapsed="1" x14ac:dyDescent="0.25">
      <c r="B163" s="335" t="s">
        <v>761</v>
      </c>
      <c r="C163" s="336">
        <v>514.33333333333337</v>
      </c>
      <c r="D163" s="336">
        <v>32.916666666666664</v>
      </c>
      <c r="E163" s="336">
        <v>18924</v>
      </c>
      <c r="F163" s="336">
        <v>6734.166666666667</v>
      </c>
      <c r="G163" s="336">
        <v>9886.6666666666661</v>
      </c>
      <c r="H163" s="336">
        <v>16620.833333333332</v>
      </c>
    </row>
    <row r="164" spans="2:8" outlineLevel="1" x14ac:dyDescent="0.25">
      <c r="B164" s="419">
        <v>44197</v>
      </c>
      <c r="C164" s="274">
        <v>61</v>
      </c>
      <c r="D164" s="277">
        <v>23</v>
      </c>
      <c r="E164" s="275">
        <v>24914</v>
      </c>
      <c r="F164" s="276">
        <v>8732</v>
      </c>
      <c r="G164" s="276">
        <v>14109</v>
      </c>
      <c r="H164" s="274">
        <v>22841</v>
      </c>
    </row>
    <row r="165" spans="2:8" outlineLevel="1" x14ac:dyDescent="0.25">
      <c r="B165" s="419">
        <v>44228</v>
      </c>
      <c r="C165" s="274">
        <v>52</v>
      </c>
      <c r="D165" s="277">
        <v>18</v>
      </c>
      <c r="E165" s="275">
        <v>25495</v>
      </c>
      <c r="F165" s="276">
        <v>8692</v>
      </c>
      <c r="G165" s="276">
        <v>14503</v>
      </c>
      <c r="H165" s="274">
        <v>23195</v>
      </c>
    </row>
    <row r="166" spans="2:8" outlineLevel="1" x14ac:dyDescent="0.25">
      <c r="B166" s="419">
        <v>44256</v>
      </c>
      <c r="C166" s="274">
        <v>89</v>
      </c>
      <c r="D166" s="277">
        <v>22</v>
      </c>
      <c r="E166" s="275">
        <v>26451</v>
      </c>
      <c r="F166" s="276">
        <v>9196</v>
      </c>
      <c r="G166" s="276">
        <v>14960</v>
      </c>
      <c r="H166" s="274">
        <v>24156</v>
      </c>
    </row>
    <row r="167" spans="2:8" outlineLevel="1" x14ac:dyDescent="0.25">
      <c r="B167" s="419">
        <v>44287</v>
      </c>
      <c r="C167" s="274">
        <v>35</v>
      </c>
      <c r="D167" s="277">
        <v>19</v>
      </c>
      <c r="E167" s="276">
        <v>27062</v>
      </c>
      <c r="F167" s="276">
        <v>9299</v>
      </c>
      <c r="G167" s="276">
        <v>15603</v>
      </c>
      <c r="H167" s="274">
        <v>24902</v>
      </c>
    </row>
    <row r="168" spans="2:8" outlineLevel="1" x14ac:dyDescent="0.25">
      <c r="B168" s="419">
        <v>44317</v>
      </c>
      <c r="C168" s="274">
        <v>43</v>
      </c>
      <c r="D168" s="277">
        <v>18</v>
      </c>
      <c r="E168" s="275">
        <v>30323</v>
      </c>
      <c r="F168" s="276">
        <v>9912</v>
      </c>
      <c r="G168" s="276">
        <v>16497</v>
      </c>
      <c r="H168" s="274">
        <v>26409</v>
      </c>
    </row>
    <row r="169" spans="2:8" outlineLevel="1" x14ac:dyDescent="0.25">
      <c r="B169" s="219">
        <v>44348</v>
      </c>
      <c r="C169" s="274">
        <v>49</v>
      </c>
      <c r="D169" s="277">
        <v>20</v>
      </c>
      <c r="E169" s="276">
        <v>25728</v>
      </c>
      <c r="F169" s="276">
        <v>8894</v>
      </c>
      <c r="G169" s="276">
        <v>14936</v>
      </c>
      <c r="H169" s="274">
        <v>23830</v>
      </c>
    </row>
    <row r="170" spans="2:8" outlineLevel="1" x14ac:dyDescent="0.25">
      <c r="B170" s="419">
        <v>44378</v>
      </c>
      <c r="C170" s="274">
        <v>54</v>
      </c>
      <c r="D170" s="277">
        <v>25</v>
      </c>
      <c r="E170" s="275">
        <v>27581</v>
      </c>
      <c r="F170" s="275">
        <v>9481</v>
      </c>
      <c r="G170" s="275">
        <v>16038</v>
      </c>
      <c r="H170" s="274">
        <v>25519</v>
      </c>
    </row>
    <row r="171" spans="2:8" outlineLevel="1" x14ac:dyDescent="0.25">
      <c r="B171" s="419">
        <v>44409</v>
      </c>
      <c r="C171" s="274">
        <v>36</v>
      </c>
      <c r="D171" s="277">
        <v>24</v>
      </c>
      <c r="E171" s="275">
        <v>28456</v>
      </c>
      <c r="F171" s="275">
        <v>9849</v>
      </c>
      <c r="G171" s="275">
        <v>16277</v>
      </c>
      <c r="H171" s="274">
        <v>26126</v>
      </c>
    </row>
    <row r="172" spans="2:8" outlineLevel="1" x14ac:dyDescent="0.25">
      <c r="B172" s="419">
        <v>44440</v>
      </c>
      <c r="C172" s="274">
        <v>35</v>
      </c>
      <c r="D172" s="277">
        <v>24</v>
      </c>
      <c r="E172" s="275">
        <v>29198</v>
      </c>
      <c r="F172" s="275">
        <v>9726</v>
      </c>
      <c r="G172" s="275">
        <v>16702</v>
      </c>
      <c r="H172" s="274">
        <v>26428</v>
      </c>
    </row>
    <row r="173" spans="2:8" outlineLevel="1" x14ac:dyDescent="0.25">
      <c r="B173" s="419">
        <v>44470</v>
      </c>
      <c r="C173" s="274">
        <v>55</v>
      </c>
      <c r="D173" s="277">
        <v>24</v>
      </c>
      <c r="E173" s="275">
        <v>31131</v>
      </c>
      <c r="F173" s="275">
        <v>10352</v>
      </c>
      <c r="G173" s="275">
        <v>18028</v>
      </c>
      <c r="H173" s="274">
        <v>28380</v>
      </c>
    </row>
    <row r="174" spans="2:8" outlineLevel="1" x14ac:dyDescent="0.25">
      <c r="B174" s="419">
        <v>44501</v>
      </c>
      <c r="C174" s="274">
        <v>45</v>
      </c>
      <c r="D174" s="277">
        <v>18</v>
      </c>
      <c r="E174" s="275">
        <v>30171</v>
      </c>
      <c r="F174" s="275">
        <v>9798</v>
      </c>
      <c r="G174" s="275">
        <v>17755</v>
      </c>
      <c r="H174" s="274">
        <v>27553</v>
      </c>
    </row>
    <row r="175" spans="2:8" outlineLevel="1" x14ac:dyDescent="0.25">
      <c r="B175" s="419">
        <v>44531</v>
      </c>
      <c r="C175" s="274">
        <v>26</v>
      </c>
      <c r="D175" s="277">
        <v>17</v>
      </c>
      <c r="E175" s="275">
        <v>30869</v>
      </c>
      <c r="F175" s="275">
        <v>10052</v>
      </c>
      <c r="G175" s="275">
        <v>18529</v>
      </c>
      <c r="H175" s="274">
        <v>28581</v>
      </c>
    </row>
    <row r="176" spans="2:8" x14ac:dyDescent="0.25">
      <c r="B176" s="335" t="s">
        <v>762</v>
      </c>
      <c r="C176" s="336">
        <v>48.333333333333336</v>
      </c>
      <c r="D176" s="336">
        <v>21</v>
      </c>
      <c r="E176" s="336">
        <v>28114.916666666668</v>
      </c>
      <c r="F176" s="336">
        <v>9498.5833333333339</v>
      </c>
      <c r="G176" s="336">
        <v>16161.416666666666</v>
      </c>
      <c r="H176" s="336">
        <v>25660</v>
      </c>
    </row>
    <row r="177" spans="2:8" outlineLevel="1" x14ac:dyDescent="0.25">
      <c r="B177" s="419">
        <v>44562</v>
      </c>
      <c r="C177" s="274">
        <v>46</v>
      </c>
      <c r="D177" s="277">
        <v>20</v>
      </c>
      <c r="E177" s="275">
        <v>32712</v>
      </c>
      <c r="F177" s="275">
        <v>10458</v>
      </c>
      <c r="G177" s="275">
        <v>19591</v>
      </c>
      <c r="H177" s="274">
        <v>30049</v>
      </c>
    </row>
    <row r="178" spans="2:8" outlineLevel="1" x14ac:dyDescent="0.25">
      <c r="B178" s="419">
        <v>44593</v>
      </c>
      <c r="C178" s="274">
        <v>63</v>
      </c>
      <c r="D178" s="277">
        <v>28</v>
      </c>
      <c r="E178" s="275">
        <v>31230</v>
      </c>
      <c r="F178" s="275">
        <v>9626</v>
      </c>
      <c r="G178" s="275">
        <v>18893</v>
      </c>
      <c r="H178" s="274">
        <v>28519</v>
      </c>
    </row>
    <row r="179" spans="2:8" outlineLevel="1" x14ac:dyDescent="0.25">
      <c r="B179" s="419">
        <v>44621</v>
      </c>
      <c r="C179" s="274">
        <v>118</v>
      </c>
      <c r="D179" s="277">
        <v>46</v>
      </c>
      <c r="E179" s="275">
        <v>31857</v>
      </c>
      <c r="F179" s="275">
        <v>10028</v>
      </c>
      <c r="G179" s="275">
        <v>19428</v>
      </c>
      <c r="H179" s="274">
        <v>29456</v>
      </c>
    </row>
    <row r="180" spans="2:8" outlineLevel="1" x14ac:dyDescent="0.25">
      <c r="B180" s="419">
        <v>44652</v>
      </c>
      <c r="C180" s="274">
        <v>20</v>
      </c>
      <c r="D180" s="277">
        <v>12</v>
      </c>
      <c r="E180" s="275">
        <v>4626</v>
      </c>
      <c r="F180" s="275">
        <v>1247</v>
      </c>
      <c r="G180" s="275">
        <v>2850</v>
      </c>
      <c r="H180" s="274">
        <v>4097</v>
      </c>
    </row>
    <row r="181" spans="2:8" outlineLevel="1" x14ac:dyDescent="0.25">
      <c r="B181" s="419">
        <v>44682</v>
      </c>
      <c r="C181" s="274">
        <v>1528</v>
      </c>
      <c r="D181" s="278">
        <v>104</v>
      </c>
      <c r="E181" s="275">
        <v>52617</v>
      </c>
      <c r="F181" s="275">
        <v>12016</v>
      </c>
      <c r="G181" s="275">
        <v>23615</v>
      </c>
      <c r="H181" s="274">
        <v>35631</v>
      </c>
    </row>
    <row r="182" spans="2:8" outlineLevel="1" x14ac:dyDescent="0.25">
      <c r="B182" s="419">
        <v>44713</v>
      </c>
      <c r="C182" s="274">
        <v>720</v>
      </c>
      <c r="D182" s="278">
        <v>113</v>
      </c>
      <c r="E182" s="275">
        <v>34898</v>
      </c>
      <c r="F182" s="275">
        <v>9940</v>
      </c>
      <c r="G182" s="275">
        <v>19746</v>
      </c>
      <c r="H182" s="274">
        <v>29686</v>
      </c>
    </row>
    <row r="183" spans="2:8" outlineLevel="1" x14ac:dyDescent="0.25">
      <c r="B183" s="419">
        <v>44743</v>
      </c>
      <c r="C183" s="274">
        <v>609</v>
      </c>
      <c r="D183" s="278">
        <v>137</v>
      </c>
      <c r="E183" s="275">
        <v>33331</v>
      </c>
      <c r="F183" s="275">
        <v>20535</v>
      </c>
      <c r="G183" s="275">
        <v>10125</v>
      </c>
      <c r="H183" s="274">
        <v>30660</v>
      </c>
    </row>
    <row r="184" spans="2:8" outlineLevel="1" x14ac:dyDescent="0.25">
      <c r="B184" s="419">
        <v>44774</v>
      </c>
      <c r="C184" s="279">
        <v>323</v>
      </c>
      <c r="D184" s="280">
        <v>128</v>
      </c>
      <c r="E184" s="281">
        <v>32908</v>
      </c>
      <c r="F184" s="281">
        <v>20415</v>
      </c>
      <c r="G184" s="281">
        <v>10040</v>
      </c>
      <c r="H184" s="279">
        <v>30455</v>
      </c>
    </row>
    <row r="185" spans="2:8" outlineLevel="1" x14ac:dyDescent="0.25">
      <c r="B185" s="419">
        <v>44805</v>
      </c>
      <c r="C185" s="282">
        <v>282</v>
      </c>
      <c r="D185" s="282">
        <v>117</v>
      </c>
      <c r="E185" s="282">
        <v>34010</v>
      </c>
      <c r="F185" s="282">
        <v>20999</v>
      </c>
      <c r="G185" s="282">
        <v>10341</v>
      </c>
      <c r="H185" s="282">
        <v>31340</v>
      </c>
    </row>
    <row r="186" spans="2:8" outlineLevel="1" x14ac:dyDescent="0.25">
      <c r="B186" s="419">
        <v>44835</v>
      </c>
      <c r="C186" s="282">
        <v>260</v>
      </c>
      <c r="D186" s="282">
        <v>116</v>
      </c>
      <c r="E186" s="282">
        <v>35879</v>
      </c>
      <c r="F186" s="282">
        <v>22543</v>
      </c>
      <c r="G186" s="282">
        <v>10893</v>
      </c>
      <c r="H186" s="282">
        <v>33436</v>
      </c>
    </row>
    <row r="187" spans="2:8" outlineLevel="1" x14ac:dyDescent="0.25">
      <c r="B187" s="419">
        <v>44866</v>
      </c>
      <c r="C187" s="282">
        <v>215</v>
      </c>
      <c r="D187" s="282">
        <v>99</v>
      </c>
      <c r="E187" s="282">
        <v>35422</v>
      </c>
      <c r="F187" s="282">
        <v>21747</v>
      </c>
      <c r="G187" s="282">
        <v>10570</v>
      </c>
      <c r="H187" s="282">
        <v>32317</v>
      </c>
    </row>
    <row r="188" spans="2:8" outlineLevel="1" x14ac:dyDescent="0.25">
      <c r="B188" s="419">
        <v>44896</v>
      </c>
      <c r="C188" s="282">
        <v>198</v>
      </c>
      <c r="D188" s="282">
        <v>103</v>
      </c>
      <c r="E188" s="282">
        <v>36687</v>
      </c>
      <c r="F188" s="282">
        <v>23077</v>
      </c>
      <c r="G188" s="282">
        <v>10925</v>
      </c>
      <c r="H188" s="282">
        <v>34002</v>
      </c>
    </row>
    <row r="189" spans="2:8" x14ac:dyDescent="0.25">
      <c r="B189" s="335" t="s">
        <v>763</v>
      </c>
      <c r="C189" s="336">
        <v>365.16666666666669</v>
      </c>
      <c r="D189" s="336">
        <v>85.25</v>
      </c>
      <c r="E189" s="336">
        <v>33014.75</v>
      </c>
      <c r="F189" s="336">
        <v>15219.25</v>
      </c>
      <c r="G189" s="336">
        <v>13918.083333333334</v>
      </c>
      <c r="H189" s="336">
        <v>29137.333333333332</v>
      </c>
    </row>
    <row r="190" spans="2:8" outlineLevel="1" x14ac:dyDescent="0.25">
      <c r="B190" s="260">
        <v>44927</v>
      </c>
      <c r="C190" s="282">
        <v>189</v>
      </c>
      <c r="D190" s="282">
        <v>102</v>
      </c>
      <c r="E190" s="282">
        <v>36869</v>
      </c>
      <c r="F190" s="282">
        <v>23174</v>
      </c>
      <c r="G190" s="282">
        <v>10688</v>
      </c>
      <c r="H190" s="282">
        <v>33862</v>
      </c>
    </row>
    <row r="191" spans="2:8" outlineLevel="1" x14ac:dyDescent="0.25">
      <c r="B191" s="260">
        <v>44958</v>
      </c>
      <c r="C191" s="282">
        <v>174</v>
      </c>
      <c r="D191" s="282">
        <v>81</v>
      </c>
      <c r="E191" s="282">
        <v>32585</v>
      </c>
      <c r="F191" s="282">
        <v>20134</v>
      </c>
      <c r="G191" s="282">
        <v>8981</v>
      </c>
      <c r="H191" s="282">
        <v>29115</v>
      </c>
    </row>
    <row r="192" spans="2:8" outlineLevel="1" x14ac:dyDescent="0.25">
      <c r="B192" s="260">
        <v>44986</v>
      </c>
      <c r="C192" s="282">
        <v>19</v>
      </c>
      <c r="D192" s="282">
        <v>5</v>
      </c>
      <c r="E192" s="282">
        <v>10516</v>
      </c>
      <c r="F192" s="282">
        <v>2718</v>
      </c>
      <c r="G192" s="282">
        <v>6615</v>
      </c>
      <c r="H192" s="282">
        <v>9333</v>
      </c>
    </row>
    <row r="193" spans="2:8" ht="30" x14ac:dyDescent="0.25">
      <c r="B193" s="259" t="s">
        <v>951</v>
      </c>
      <c r="C193" s="336">
        <v>127.33333333333333</v>
      </c>
      <c r="D193" s="336">
        <v>62.666666666666664</v>
      </c>
      <c r="E193" s="336">
        <v>26656.666666666668</v>
      </c>
      <c r="F193" s="336">
        <v>15342</v>
      </c>
      <c r="G193" s="336">
        <v>8761.3333333333339</v>
      </c>
      <c r="H193" s="336">
        <v>24103.333333333332</v>
      </c>
    </row>
    <row r="194" spans="2:8" x14ac:dyDescent="0.25">
      <c r="B194" s="4" t="s">
        <v>953</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279"/>
  <sheetViews>
    <sheetView showGridLines="0" workbookViewId="0">
      <selection activeCell="B139" sqref="B139"/>
    </sheetView>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842</v>
      </c>
    </row>
    <row r="4" spans="2:12" ht="18.75" x14ac:dyDescent="0.3">
      <c r="B4" s="2" t="s">
        <v>843</v>
      </c>
      <c r="C4" s="2"/>
      <c r="D4" s="2"/>
      <c r="E4" s="2"/>
      <c r="F4" s="2"/>
      <c r="G4" s="2"/>
      <c r="H4" s="2"/>
      <c r="I4" s="2"/>
      <c r="J4" s="2"/>
      <c r="K4" s="2"/>
      <c r="L4" s="2"/>
    </row>
    <row r="5" spans="2:12" x14ac:dyDescent="0.25">
      <c r="B5" s="29" t="s">
        <v>876</v>
      </c>
    </row>
    <row r="7" spans="2:12" ht="15" customHeight="1" x14ac:dyDescent="0.25">
      <c r="B7" s="537" t="s">
        <v>483</v>
      </c>
      <c r="C7" s="535" t="s">
        <v>498</v>
      </c>
      <c r="D7" s="540" t="s">
        <v>838</v>
      </c>
      <c r="E7" s="541"/>
      <c r="F7" s="542"/>
    </row>
    <row r="8" spans="2:12" x14ac:dyDescent="0.25">
      <c r="B8" s="538"/>
      <c r="C8" s="535"/>
      <c r="D8" s="271" t="s">
        <v>83</v>
      </c>
      <c r="E8" s="271" t="s">
        <v>84</v>
      </c>
      <c r="F8" s="271" t="s">
        <v>603</v>
      </c>
    </row>
    <row r="9" spans="2:12" x14ac:dyDescent="0.25">
      <c r="B9" s="323" t="s">
        <v>841</v>
      </c>
      <c r="C9" s="382">
        <v>333</v>
      </c>
      <c r="D9" s="382"/>
      <c r="E9" s="382"/>
      <c r="F9" s="382"/>
    </row>
    <row r="10" spans="2:12" x14ac:dyDescent="0.25">
      <c r="B10" s="324" t="s">
        <v>38</v>
      </c>
      <c r="C10" s="382">
        <v>2105</v>
      </c>
      <c r="D10" s="382"/>
      <c r="E10" s="382"/>
      <c r="F10" s="382"/>
    </row>
    <row r="11" spans="2:12" x14ac:dyDescent="0.25">
      <c r="B11" s="324" t="s">
        <v>39</v>
      </c>
      <c r="C11" s="382">
        <v>1759</v>
      </c>
      <c r="D11" s="382"/>
      <c r="E11" s="382"/>
      <c r="F11" s="382"/>
    </row>
    <row r="12" spans="2:12" x14ac:dyDescent="0.25">
      <c r="B12" s="324" t="s">
        <v>40</v>
      </c>
      <c r="C12" s="383">
        <v>1026</v>
      </c>
      <c r="D12" s="383"/>
      <c r="E12" s="383"/>
      <c r="F12" s="383"/>
    </row>
    <row r="13" spans="2:12" x14ac:dyDescent="0.25">
      <c r="B13" s="324" t="s">
        <v>824</v>
      </c>
      <c r="C13" s="383">
        <v>807</v>
      </c>
      <c r="D13" s="383"/>
      <c r="E13" s="383"/>
      <c r="F13" s="383">
        <v>75178</v>
      </c>
    </row>
    <row r="14" spans="2:12" x14ac:dyDescent="0.25">
      <c r="B14" s="324" t="s">
        <v>44</v>
      </c>
      <c r="C14" s="382">
        <v>654</v>
      </c>
      <c r="D14" s="382"/>
      <c r="E14" s="382"/>
      <c r="F14" s="382">
        <v>114198</v>
      </c>
    </row>
    <row r="15" spans="2:12" hidden="1" outlineLevel="1" x14ac:dyDescent="0.25">
      <c r="B15" s="232">
        <v>41640</v>
      </c>
      <c r="C15" s="381">
        <v>57</v>
      </c>
      <c r="D15" s="381"/>
      <c r="E15" s="381"/>
      <c r="F15" s="381">
        <v>10003</v>
      </c>
    </row>
    <row r="16" spans="2:12" hidden="1" outlineLevel="1" x14ac:dyDescent="0.25">
      <c r="B16" s="232">
        <v>41671</v>
      </c>
      <c r="C16" s="381">
        <v>36</v>
      </c>
      <c r="D16" s="381"/>
      <c r="E16" s="381"/>
      <c r="F16" s="381">
        <v>8116</v>
      </c>
    </row>
    <row r="17" spans="2:6" hidden="1" outlineLevel="1" x14ac:dyDescent="0.25">
      <c r="B17" s="232">
        <v>41699</v>
      </c>
      <c r="C17" s="381">
        <v>43</v>
      </c>
      <c r="D17" s="381"/>
      <c r="E17" s="381"/>
      <c r="F17" s="381">
        <v>3794</v>
      </c>
    </row>
    <row r="18" spans="2:6" hidden="1" outlineLevel="1" x14ac:dyDescent="0.25">
      <c r="B18" s="232">
        <v>41730</v>
      </c>
      <c r="C18" s="381">
        <v>44</v>
      </c>
      <c r="D18" s="381"/>
      <c r="E18" s="381"/>
      <c r="F18" s="381">
        <v>5833</v>
      </c>
    </row>
    <row r="19" spans="2:6" hidden="1" outlineLevel="1" x14ac:dyDescent="0.25">
      <c r="B19" s="232">
        <v>41760</v>
      </c>
      <c r="C19" s="381">
        <v>47</v>
      </c>
      <c r="D19" s="381"/>
      <c r="E19" s="381"/>
      <c r="F19" s="381">
        <v>3916</v>
      </c>
    </row>
    <row r="20" spans="2:6" hidden="1" outlineLevel="1" x14ac:dyDescent="0.25">
      <c r="B20" s="232">
        <v>41791</v>
      </c>
      <c r="C20" s="381">
        <v>48</v>
      </c>
      <c r="D20" s="381"/>
      <c r="E20" s="381"/>
      <c r="F20" s="381">
        <v>3251</v>
      </c>
    </row>
    <row r="21" spans="2:6" hidden="1" outlineLevel="1" x14ac:dyDescent="0.25">
      <c r="B21" s="232">
        <v>41821</v>
      </c>
      <c r="C21" s="381">
        <v>47</v>
      </c>
      <c r="D21" s="381"/>
      <c r="E21" s="381"/>
      <c r="F21" s="381">
        <v>3190</v>
      </c>
    </row>
    <row r="22" spans="2:6" hidden="1" outlineLevel="1" x14ac:dyDescent="0.25">
      <c r="B22" s="232">
        <v>41852</v>
      </c>
      <c r="C22" s="381">
        <v>44</v>
      </c>
      <c r="D22" s="381"/>
      <c r="E22" s="381"/>
      <c r="F22" s="381">
        <v>3136</v>
      </c>
    </row>
    <row r="23" spans="2:6" hidden="1" outlineLevel="1" x14ac:dyDescent="0.25">
      <c r="B23" s="232">
        <v>41883</v>
      </c>
      <c r="C23" s="381">
        <v>41</v>
      </c>
      <c r="D23" s="381"/>
      <c r="E23" s="381"/>
      <c r="F23" s="381">
        <v>2928</v>
      </c>
    </row>
    <row r="24" spans="2:6" hidden="1" outlineLevel="1" x14ac:dyDescent="0.25">
      <c r="B24" s="232">
        <v>41913</v>
      </c>
      <c r="C24" s="381">
        <v>34</v>
      </c>
      <c r="D24" s="381"/>
      <c r="E24" s="381"/>
      <c r="F24" s="381">
        <v>2732</v>
      </c>
    </row>
    <row r="25" spans="2:6" hidden="1" outlineLevel="1" x14ac:dyDescent="0.25">
      <c r="B25" s="232">
        <v>41944</v>
      </c>
      <c r="C25" s="381">
        <v>25</v>
      </c>
      <c r="D25" s="381"/>
      <c r="E25" s="381"/>
      <c r="F25" s="381">
        <v>3936</v>
      </c>
    </row>
    <row r="26" spans="2:6" hidden="1" outlineLevel="1" x14ac:dyDescent="0.25">
      <c r="B26" s="232">
        <v>41974</v>
      </c>
      <c r="C26" s="381">
        <v>47</v>
      </c>
      <c r="D26" s="381"/>
      <c r="E26" s="381"/>
      <c r="F26" s="381">
        <v>3018</v>
      </c>
    </row>
    <row r="27" spans="2:6" collapsed="1" x14ac:dyDescent="0.25">
      <c r="B27" s="323" t="s">
        <v>46</v>
      </c>
      <c r="C27" s="382">
        <v>513</v>
      </c>
      <c r="D27" s="382"/>
      <c r="E27" s="382"/>
      <c r="F27" s="382">
        <v>53853</v>
      </c>
    </row>
    <row r="28" spans="2:6" hidden="1" outlineLevel="1" x14ac:dyDescent="0.25">
      <c r="B28" s="232">
        <v>42005</v>
      </c>
      <c r="C28" s="381">
        <v>40</v>
      </c>
      <c r="D28" s="381"/>
      <c r="E28" s="381"/>
      <c r="F28" s="381">
        <v>2343</v>
      </c>
    </row>
    <row r="29" spans="2:6" hidden="1" outlineLevel="1" x14ac:dyDescent="0.25">
      <c r="B29" s="232">
        <v>42036</v>
      </c>
      <c r="C29" s="381">
        <v>37</v>
      </c>
      <c r="D29" s="381"/>
      <c r="E29" s="381"/>
      <c r="F29" s="381">
        <v>2758</v>
      </c>
    </row>
    <row r="30" spans="2:6" hidden="1" outlineLevel="1" x14ac:dyDescent="0.25">
      <c r="B30" s="232">
        <v>42064</v>
      </c>
      <c r="C30" s="381">
        <v>39</v>
      </c>
      <c r="D30" s="381"/>
      <c r="E30" s="381"/>
      <c r="F30" s="381">
        <v>2319</v>
      </c>
    </row>
    <row r="31" spans="2:6" hidden="1" outlineLevel="1" x14ac:dyDescent="0.25">
      <c r="B31" s="232">
        <v>42095</v>
      </c>
      <c r="C31" s="381">
        <v>33</v>
      </c>
      <c r="D31" s="381"/>
      <c r="E31" s="381"/>
      <c r="F31" s="381">
        <v>1250</v>
      </c>
    </row>
    <row r="32" spans="2:6" hidden="1" outlineLevel="1" x14ac:dyDescent="0.25">
      <c r="B32" s="232">
        <v>42125</v>
      </c>
      <c r="C32" s="381">
        <v>31</v>
      </c>
      <c r="D32" s="381"/>
      <c r="E32" s="381"/>
      <c r="F32" s="381">
        <v>1952</v>
      </c>
    </row>
    <row r="33" spans="2:6" hidden="1" outlineLevel="1" x14ac:dyDescent="0.25">
      <c r="B33" s="232">
        <v>42156</v>
      </c>
      <c r="C33" s="381">
        <v>38</v>
      </c>
      <c r="D33" s="381"/>
      <c r="E33" s="381"/>
      <c r="F33" s="381">
        <v>1536</v>
      </c>
    </row>
    <row r="34" spans="2:6" hidden="1" outlineLevel="1" x14ac:dyDescent="0.25">
      <c r="B34" s="232">
        <v>42186</v>
      </c>
      <c r="C34" s="381">
        <v>33</v>
      </c>
      <c r="D34" s="381"/>
      <c r="E34" s="381"/>
      <c r="F34" s="381">
        <v>2640</v>
      </c>
    </row>
    <row r="35" spans="2:6" hidden="1" outlineLevel="1" x14ac:dyDescent="0.25">
      <c r="B35" s="232">
        <v>42217</v>
      </c>
      <c r="C35" s="381">
        <v>37</v>
      </c>
      <c r="D35" s="381"/>
      <c r="E35" s="381"/>
      <c r="F35" s="381">
        <v>1723</v>
      </c>
    </row>
    <row r="36" spans="2:6" hidden="1" outlineLevel="1" x14ac:dyDescent="0.25">
      <c r="B36" s="232">
        <v>42248</v>
      </c>
      <c r="C36" s="381">
        <v>40</v>
      </c>
      <c r="D36" s="381"/>
      <c r="E36" s="381"/>
      <c r="F36" s="381">
        <v>2602</v>
      </c>
    </row>
    <row r="37" spans="2:6" hidden="1" outlineLevel="1" x14ac:dyDescent="0.25">
      <c r="B37" s="232">
        <v>42278</v>
      </c>
      <c r="C37" s="381">
        <v>39</v>
      </c>
      <c r="D37" s="381"/>
      <c r="E37" s="381"/>
      <c r="F37" s="381">
        <v>2691</v>
      </c>
    </row>
    <row r="38" spans="2:6" hidden="1" outlineLevel="1" x14ac:dyDescent="0.25">
      <c r="B38" s="232">
        <v>42309</v>
      </c>
      <c r="C38" s="381">
        <v>37</v>
      </c>
      <c r="D38" s="381"/>
      <c r="E38" s="381"/>
      <c r="F38" s="381">
        <v>2518</v>
      </c>
    </row>
    <row r="39" spans="2:6" hidden="1" outlineLevel="1" x14ac:dyDescent="0.25">
      <c r="B39" s="232">
        <v>42339</v>
      </c>
      <c r="C39" s="381">
        <v>33</v>
      </c>
      <c r="D39" s="381"/>
      <c r="E39" s="381"/>
      <c r="F39" s="381">
        <v>2358</v>
      </c>
    </row>
    <row r="40" spans="2:6" collapsed="1" x14ac:dyDescent="0.25">
      <c r="B40" s="323" t="s">
        <v>48</v>
      </c>
      <c r="C40" s="382">
        <v>437</v>
      </c>
      <c r="D40" s="382"/>
      <c r="E40" s="382"/>
      <c r="F40" s="382">
        <v>26690</v>
      </c>
    </row>
    <row r="41" spans="2:6" hidden="1" outlineLevel="1" x14ac:dyDescent="0.25">
      <c r="B41" s="232">
        <v>42370</v>
      </c>
      <c r="C41" s="381">
        <v>33</v>
      </c>
      <c r="D41" s="381"/>
      <c r="E41" s="381"/>
      <c r="F41" s="381">
        <v>3308</v>
      </c>
    </row>
    <row r="42" spans="2:6" hidden="1" outlineLevel="1" x14ac:dyDescent="0.25">
      <c r="B42" s="232">
        <v>42401</v>
      </c>
      <c r="C42" s="381">
        <v>33</v>
      </c>
      <c r="D42" s="381"/>
      <c r="E42" s="381"/>
      <c r="F42" s="381">
        <v>2327</v>
      </c>
    </row>
    <row r="43" spans="2:6" hidden="1" outlineLevel="1" x14ac:dyDescent="0.25">
      <c r="B43" s="232">
        <v>42430</v>
      </c>
      <c r="C43" s="381">
        <v>40</v>
      </c>
      <c r="D43" s="381"/>
      <c r="E43" s="381"/>
      <c r="F43" s="381">
        <v>2621</v>
      </c>
    </row>
    <row r="44" spans="2:6" hidden="1" outlineLevel="1" x14ac:dyDescent="0.25">
      <c r="B44" s="232">
        <v>42461</v>
      </c>
      <c r="C44" s="381">
        <v>39</v>
      </c>
      <c r="D44" s="381"/>
      <c r="E44" s="381"/>
      <c r="F44" s="381">
        <v>2495</v>
      </c>
    </row>
    <row r="45" spans="2:6" hidden="1" outlineLevel="1" x14ac:dyDescent="0.25">
      <c r="B45" s="232">
        <v>42491</v>
      </c>
      <c r="C45" s="381">
        <v>40</v>
      </c>
      <c r="D45" s="381">
        <v>1000</v>
      </c>
      <c r="E45" s="381">
        <v>1038</v>
      </c>
      <c r="F45" s="381">
        <v>2038</v>
      </c>
    </row>
    <row r="46" spans="2:6" hidden="1" outlineLevel="1" x14ac:dyDescent="0.25">
      <c r="B46" s="232">
        <v>42522</v>
      </c>
      <c r="C46" s="381">
        <v>37</v>
      </c>
      <c r="D46" s="381" t="s">
        <v>958</v>
      </c>
      <c r="E46" s="381" t="s">
        <v>958</v>
      </c>
      <c r="F46" s="381">
        <v>1960</v>
      </c>
    </row>
    <row r="47" spans="2:6" hidden="1" outlineLevel="1" x14ac:dyDescent="0.25">
      <c r="B47" s="232">
        <v>42552</v>
      </c>
      <c r="C47" s="381">
        <v>46</v>
      </c>
      <c r="D47" s="381">
        <v>1739</v>
      </c>
      <c r="E47" s="381">
        <v>1498</v>
      </c>
      <c r="F47" s="381">
        <v>3237</v>
      </c>
    </row>
    <row r="48" spans="2:6" hidden="1" outlineLevel="1" x14ac:dyDescent="0.25">
      <c r="B48" s="232">
        <v>42583</v>
      </c>
      <c r="C48" s="381">
        <v>47</v>
      </c>
      <c r="D48" s="381">
        <v>1262</v>
      </c>
      <c r="E48" s="381">
        <v>1077</v>
      </c>
      <c r="F48" s="381">
        <v>2339</v>
      </c>
    </row>
    <row r="49" spans="2:6" hidden="1" outlineLevel="1" x14ac:dyDescent="0.25">
      <c r="B49" s="232">
        <v>42614</v>
      </c>
      <c r="C49" s="381">
        <v>38</v>
      </c>
      <c r="D49" s="381">
        <v>1119</v>
      </c>
      <c r="E49" s="381">
        <v>1309</v>
      </c>
      <c r="F49" s="381">
        <v>2428</v>
      </c>
    </row>
    <row r="50" spans="2:6" hidden="1" outlineLevel="1" x14ac:dyDescent="0.25">
      <c r="B50" s="232">
        <v>42644</v>
      </c>
      <c r="C50" s="381">
        <v>36</v>
      </c>
      <c r="D50" s="381">
        <v>943</v>
      </c>
      <c r="E50" s="381">
        <v>705</v>
      </c>
      <c r="F50" s="381">
        <v>1648</v>
      </c>
    </row>
    <row r="51" spans="2:6" hidden="1" outlineLevel="1" x14ac:dyDescent="0.25">
      <c r="B51" s="232">
        <v>42675</v>
      </c>
      <c r="C51" s="381">
        <v>42</v>
      </c>
      <c r="D51" s="381">
        <v>2225</v>
      </c>
      <c r="E51" s="381">
        <v>1770</v>
      </c>
      <c r="F51" s="381">
        <v>3995</v>
      </c>
    </row>
    <row r="52" spans="2:6" hidden="1" outlineLevel="1" x14ac:dyDescent="0.25">
      <c r="B52" s="232">
        <v>42705</v>
      </c>
      <c r="C52" s="381">
        <v>50</v>
      </c>
      <c r="D52" s="381">
        <v>3021</v>
      </c>
      <c r="E52" s="381">
        <v>2296</v>
      </c>
      <c r="F52" s="381">
        <v>5317</v>
      </c>
    </row>
    <row r="53" spans="2:6" collapsed="1" x14ac:dyDescent="0.25">
      <c r="B53" s="323" t="s">
        <v>65</v>
      </c>
      <c r="C53" s="382">
        <v>481</v>
      </c>
      <c r="D53" s="382"/>
      <c r="E53" s="382"/>
      <c r="F53" s="382">
        <v>33713</v>
      </c>
    </row>
    <row r="54" spans="2:6" hidden="1" outlineLevel="1" x14ac:dyDescent="0.25">
      <c r="B54" s="232">
        <v>42736</v>
      </c>
      <c r="C54" s="381">
        <v>40</v>
      </c>
      <c r="D54" s="381">
        <v>2335</v>
      </c>
      <c r="E54" s="381">
        <v>1830</v>
      </c>
      <c r="F54" s="381">
        <v>4165</v>
      </c>
    </row>
    <row r="55" spans="2:6" hidden="1" outlineLevel="1" x14ac:dyDescent="0.25">
      <c r="B55" s="232">
        <v>42767</v>
      </c>
      <c r="C55" s="381">
        <v>32</v>
      </c>
      <c r="D55" s="381">
        <v>2075</v>
      </c>
      <c r="E55" s="381">
        <v>1511</v>
      </c>
      <c r="F55" s="381">
        <v>3586</v>
      </c>
    </row>
    <row r="56" spans="2:6" hidden="1" outlineLevel="1" x14ac:dyDescent="0.25">
      <c r="B56" s="232">
        <v>42795</v>
      </c>
      <c r="C56" s="381">
        <v>37</v>
      </c>
      <c r="D56" s="381">
        <v>922</v>
      </c>
      <c r="E56" s="381">
        <v>763</v>
      </c>
      <c r="F56" s="381">
        <v>1685</v>
      </c>
    </row>
    <row r="57" spans="2:6" hidden="1" outlineLevel="1" x14ac:dyDescent="0.25">
      <c r="B57" s="232">
        <v>42826</v>
      </c>
      <c r="C57" s="381">
        <v>27</v>
      </c>
      <c r="D57" s="381">
        <v>464</v>
      </c>
      <c r="E57" s="381">
        <v>377</v>
      </c>
      <c r="F57" s="381">
        <v>841</v>
      </c>
    </row>
    <row r="58" spans="2:6" hidden="1" outlineLevel="1" x14ac:dyDescent="0.25">
      <c r="B58" s="232">
        <v>42856</v>
      </c>
      <c r="C58" s="381">
        <v>36</v>
      </c>
      <c r="D58" s="381">
        <v>870</v>
      </c>
      <c r="E58" s="381">
        <v>555</v>
      </c>
      <c r="F58" s="381">
        <v>1425</v>
      </c>
    </row>
    <row r="59" spans="2:6" hidden="1" outlineLevel="1" x14ac:dyDescent="0.25">
      <c r="B59" s="232">
        <v>42887</v>
      </c>
      <c r="C59" s="381">
        <v>38</v>
      </c>
      <c r="D59" s="381">
        <v>479</v>
      </c>
      <c r="E59" s="381">
        <v>437</v>
      </c>
      <c r="F59" s="381">
        <v>916</v>
      </c>
    </row>
    <row r="60" spans="2:6" hidden="1" outlineLevel="1" x14ac:dyDescent="0.25">
      <c r="B60" s="232">
        <v>42917</v>
      </c>
      <c r="C60" s="381">
        <v>31</v>
      </c>
      <c r="D60" s="381">
        <v>544</v>
      </c>
      <c r="E60" s="381">
        <v>385</v>
      </c>
      <c r="F60" s="381">
        <v>929</v>
      </c>
    </row>
    <row r="61" spans="2:6" hidden="1" outlineLevel="1" x14ac:dyDescent="0.25">
      <c r="B61" s="232">
        <v>42948</v>
      </c>
      <c r="C61" s="381">
        <v>34</v>
      </c>
      <c r="D61" s="381">
        <v>715</v>
      </c>
      <c r="E61" s="381">
        <v>414</v>
      </c>
      <c r="F61" s="381">
        <v>1129</v>
      </c>
    </row>
    <row r="62" spans="2:6" hidden="1" outlineLevel="1" x14ac:dyDescent="0.25">
      <c r="B62" s="232">
        <v>42979</v>
      </c>
      <c r="C62" s="381">
        <v>36</v>
      </c>
      <c r="D62" s="381">
        <v>680</v>
      </c>
      <c r="E62" s="381">
        <v>537</v>
      </c>
      <c r="F62" s="381">
        <v>1217</v>
      </c>
    </row>
    <row r="63" spans="2:6" hidden="1" outlineLevel="1" x14ac:dyDescent="0.25">
      <c r="B63" s="232">
        <v>43009</v>
      </c>
      <c r="C63" s="381">
        <v>33</v>
      </c>
      <c r="D63" s="381">
        <v>503</v>
      </c>
      <c r="E63" s="381">
        <v>374</v>
      </c>
      <c r="F63" s="381">
        <v>877</v>
      </c>
    </row>
    <row r="64" spans="2:6" hidden="1" outlineLevel="1" x14ac:dyDescent="0.25">
      <c r="B64" s="232">
        <v>43040</v>
      </c>
      <c r="C64" s="381">
        <v>40</v>
      </c>
      <c r="D64" s="381">
        <v>676</v>
      </c>
      <c r="E64" s="381">
        <v>640</v>
      </c>
      <c r="F64" s="381">
        <v>1316</v>
      </c>
    </row>
    <row r="65" spans="2:6" hidden="1" outlineLevel="1" x14ac:dyDescent="0.25">
      <c r="B65" s="232">
        <v>43070</v>
      </c>
      <c r="C65" s="381">
        <v>56</v>
      </c>
      <c r="D65" s="381">
        <v>742</v>
      </c>
      <c r="E65" s="381">
        <v>697</v>
      </c>
      <c r="F65" s="381">
        <v>1439</v>
      </c>
    </row>
    <row r="66" spans="2:6" collapsed="1" x14ac:dyDescent="0.25">
      <c r="B66" s="323" t="s">
        <v>68</v>
      </c>
      <c r="C66" s="382">
        <v>440</v>
      </c>
      <c r="D66" s="382">
        <v>11005</v>
      </c>
      <c r="E66" s="382">
        <v>8520</v>
      </c>
      <c r="F66" s="382">
        <v>19525</v>
      </c>
    </row>
    <row r="67" spans="2:6" hidden="1" outlineLevel="1" x14ac:dyDescent="0.25">
      <c r="B67" s="232">
        <v>43101</v>
      </c>
      <c r="C67" s="381">
        <v>46</v>
      </c>
      <c r="D67" s="381">
        <v>1310</v>
      </c>
      <c r="E67" s="381">
        <v>1294</v>
      </c>
      <c r="F67" s="381">
        <v>2604</v>
      </c>
    </row>
    <row r="68" spans="2:6" hidden="1" outlineLevel="1" x14ac:dyDescent="0.25">
      <c r="B68" s="232">
        <v>43132</v>
      </c>
      <c r="C68" s="381">
        <v>61</v>
      </c>
      <c r="D68" s="381">
        <v>1107</v>
      </c>
      <c r="E68" s="381">
        <v>809</v>
      </c>
      <c r="F68" s="381">
        <v>1916</v>
      </c>
    </row>
    <row r="69" spans="2:6" hidden="1" outlineLevel="1" x14ac:dyDescent="0.25">
      <c r="B69" s="232">
        <v>43160</v>
      </c>
      <c r="C69" s="381">
        <v>44</v>
      </c>
      <c r="D69" s="381">
        <v>861</v>
      </c>
      <c r="E69" s="381">
        <v>608</v>
      </c>
      <c r="F69" s="381">
        <v>1469</v>
      </c>
    </row>
    <row r="70" spans="2:6" hidden="1" outlineLevel="1" x14ac:dyDescent="0.25">
      <c r="B70" s="232">
        <v>43191</v>
      </c>
      <c r="C70" s="381">
        <v>39</v>
      </c>
      <c r="D70" s="381">
        <v>653</v>
      </c>
      <c r="E70" s="381">
        <v>498</v>
      </c>
      <c r="F70" s="381">
        <v>1151</v>
      </c>
    </row>
    <row r="71" spans="2:6" hidden="1" outlineLevel="1" x14ac:dyDescent="0.25">
      <c r="B71" s="232">
        <v>43221</v>
      </c>
      <c r="C71" s="381">
        <v>40</v>
      </c>
      <c r="D71" s="381">
        <v>965</v>
      </c>
      <c r="E71" s="381">
        <v>663</v>
      </c>
      <c r="F71" s="381">
        <v>1628</v>
      </c>
    </row>
    <row r="72" spans="2:6" hidden="1" outlineLevel="1" x14ac:dyDescent="0.25">
      <c r="B72" s="232">
        <v>43252</v>
      </c>
      <c r="C72" s="381">
        <v>55</v>
      </c>
      <c r="D72" s="381">
        <v>836</v>
      </c>
      <c r="E72" s="381">
        <v>774</v>
      </c>
      <c r="F72" s="381">
        <v>1610</v>
      </c>
    </row>
    <row r="73" spans="2:6" hidden="1" outlineLevel="1" x14ac:dyDescent="0.25">
      <c r="B73" s="232">
        <v>43282</v>
      </c>
      <c r="C73" s="381">
        <v>54</v>
      </c>
      <c r="D73" s="381">
        <v>1124</v>
      </c>
      <c r="E73" s="381">
        <v>980</v>
      </c>
      <c r="F73" s="381">
        <v>2104</v>
      </c>
    </row>
    <row r="74" spans="2:6" hidden="1" outlineLevel="1" x14ac:dyDescent="0.25">
      <c r="B74" s="232">
        <v>43313</v>
      </c>
      <c r="C74" s="381">
        <v>74</v>
      </c>
      <c r="D74" s="381">
        <v>1725</v>
      </c>
      <c r="E74" s="381">
        <v>1398</v>
      </c>
      <c r="F74" s="381">
        <v>3123</v>
      </c>
    </row>
    <row r="75" spans="2:6" hidden="1" outlineLevel="1" x14ac:dyDescent="0.25">
      <c r="B75" s="232">
        <v>43344</v>
      </c>
      <c r="C75" s="381">
        <v>50</v>
      </c>
      <c r="D75" s="381">
        <v>1229</v>
      </c>
      <c r="E75" s="381">
        <v>1067</v>
      </c>
      <c r="F75" s="381">
        <v>2296</v>
      </c>
    </row>
    <row r="76" spans="2:6" hidden="1" outlineLevel="1" x14ac:dyDescent="0.25">
      <c r="B76" s="232">
        <v>43374</v>
      </c>
      <c r="C76" s="381">
        <v>31</v>
      </c>
      <c r="D76" s="381">
        <v>1359</v>
      </c>
      <c r="E76" s="381">
        <v>477</v>
      </c>
      <c r="F76" s="381">
        <v>1836</v>
      </c>
    </row>
    <row r="77" spans="2:6" hidden="1" outlineLevel="1" x14ac:dyDescent="0.25">
      <c r="B77" s="232">
        <v>43405</v>
      </c>
      <c r="C77" s="381">
        <v>21</v>
      </c>
      <c r="D77" s="381">
        <v>1224</v>
      </c>
      <c r="E77" s="381">
        <v>699</v>
      </c>
      <c r="F77" s="381">
        <v>1923</v>
      </c>
    </row>
    <row r="78" spans="2:6" hidden="1" outlineLevel="1" x14ac:dyDescent="0.25">
      <c r="B78" s="232">
        <v>43435</v>
      </c>
      <c r="C78" s="381">
        <v>63</v>
      </c>
      <c r="D78" s="381">
        <v>1322</v>
      </c>
      <c r="E78" s="381">
        <v>1102</v>
      </c>
      <c r="F78" s="381">
        <v>2424</v>
      </c>
    </row>
    <row r="79" spans="2:6" collapsed="1" x14ac:dyDescent="0.25">
      <c r="B79" s="323" t="s">
        <v>69</v>
      </c>
      <c r="C79" s="382">
        <v>578</v>
      </c>
      <c r="D79" s="382">
        <v>13715</v>
      </c>
      <c r="E79" s="382">
        <v>10369</v>
      </c>
      <c r="F79" s="382">
        <v>24084</v>
      </c>
    </row>
    <row r="80" spans="2:6" hidden="1" outlineLevel="1" x14ac:dyDescent="0.25">
      <c r="B80" s="232">
        <v>43466</v>
      </c>
      <c r="C80" s="381">
        <v>46</v>
      </c>
      <c r="D80" s="381">
        <v>1409</v>
      </c>
      <c r="E80" s="381">
        <v>848</v>
      </c>
      <c r="F80" s="381">
        <v>2257</v>
      </c>
    </row>
    <row r="81" spans="2:6" hidden="1" outlineLevel="1" x14ac:dyDescent="0.25">
      <c r="B81" s="232">
        <v>43497</v>
      </c>
      <c r="C81" s="381">
        <v>47</v>
      </c>
      <c r="D81" s="381">
        <v>543</v>
      </c>
      <c r="E81" s="381">
        <v>395</v>
      </c>
      <c r="F81" s="381">
        <v>938</v>
      </c>
    </row>
    <row r="82" spans="2:6" hidden="1" outlineLevel="1" x14ac:dyDescent="0.25">
      <c r="B82" s="232">
        <v>43525</v>
      </c>
      <c r="C82" s="381">
        <v>42</v>
      </c>
      <c r="D82" s="381">
        <v>524</v>
      </c>
      <c r="E82" s="381">
        <v>314</v>
      </c>
      <c r="F82" s="381">
        <v>838</v>
      </c>
    </row>
    <row r="83" spans="2:6" hidden="1" outlineLevel="1" x14ac:dyDescent="0.25">
      <c r="B83" s="232">
        <v>43556</v>
      </c>
      <c r="C83" s="381">
        <v>49</v>
      </c>
      <c r="D83" s="381">
        <v>627</v>
      </c>
      <c r="E83" s="381">
        <v>551</v>
      </c>
      <c r="F83" s="381">
        <v>1178</v>
      </c>
    </row>
    <row r="84" spans="2:6" hidden="1" outlineLevel="1" x14ac:dyDescent="0.25">
      <c r="B84" s="232">
        <v>43586</v>
      </c>
      <c r="C84" s="381">
        <v>71</v>
      </c>
      <c r="D84" s="381">
        <v>1402</v>
      </c>
      <c r="E84" s="381">
        <v>1306</v>
      </c>
      <c r="F84" s="381">
        <v>2708</v>
      </c>
    </row>
    <row r="85" spans="2:6" hidden="1" outlineLevel="1" x14ac:dyDescent="0.25">
      <c r="B85" s="232">
        <v>43617</v>
      </c>
      <c r="C85" s="381">
        <v>68</v>
      </c>
      <c r="D85" s="381">
        <v>1687</v>
      </c>
      <c r="E85" s="381">
        <v>1029</v>
      </c>
      <c r="F85" s="381">
        <v>2716</v>
      </c>
    </row>
    <row r="86" spans="2:6" hidden="1" outlineLevel="1" x14ac:dyDescent="0.25">
      <c r="B86" s="232">
        <v>43647</v>
      </c>
      <c r="C86" s="381">
        <v>73</v>
      </c>
      <c r="D86" s="381">
        <v>1201</v>
      </c>
      <c r="E86" s="381">
        <v>953</v>
      </c>
      <c r="F86" s="381">
        <v>2154</v>
      </c>
    </row>
    <row r="87" spans="2:6" hidden="1" outlineLevel="1" x14ac:dyDescent="0.25">
      <c r="B87" s="232">
        <v>43678</v>
      </c>
      <c r="C87" s="381">
        <v>72</v>
      </c>
      <c r="D87" s="381">
        <v>1090</v>
      </c>
      <c r="E87" s="381">
        <v>1128</v>
      </c>
      <c r="F87" s="381">
        <v>2218</v>
      </c>
    </row>
    <row r="88" spans="2:6" hidden="1" outlineLevel="1" x14ac:dyDescent="0.25">
      <c r="B88" s="232">
        <v>43709</v>
      </c>
      <c r="C88" s="381">
        <v>81</v>
      </c>
      <c r="D88" s="381">
        <v>620</v>
      </c>
      <c r="E88" s="381">
        <v>590</v>
      </c>
      <c r="F88" s="381">
        <v>1210</v>
      </c>
    </row>
    <row r="89" spans="2:6" hidden="1" outlineLevel="1" x14ac:dyDescent="0.25">
      <c r="B89" s="232">
        <v>43739</v>
      </c>
      <c r="C89" s="381">
        <v>33</v>
      </c>
      <c r="D89" s="381">
        <v>599</v>
      </c>
      <c r="E89" s="381">
        <v>438</v>
      </c>
      <c r="F89" s="381">
        <v>1037</v>
      </c>
    </row>
    <row r="90" spans="2:6" hidden="1" outlineLevel="1" x14ac:dyDescent="0.25">
      <c r="B90" s="232">
        <v>43770</v>
      </c>
      <c r="C90" s="381">
        <v>78</v>
      </c>
      <c r="D90" s="381">
        <v>535</v>
      </c>
      <c r="E90" s="381">
        <v>508</v>
      </c>
      <c r="F90" s="381">
        <v>1043</v>
      </c>
    </row>
    <row r="91" spans="2:6" hidden="1" outlineLevel="1" x14ac:dyDescent="0.25">
      <c r="B91" s="232">
        <v>43800</v>
      </c>
      <c r="C91" s="381">
        <v>77</v>
      </c>
      <c r="D91" s="381">
        <v>536</v>
      </c>
      <c r="E91" s="381">
        <v>544</v>
      </c>
      <c r="F91" s="381">
        <v>1080</v>
      </c>
    </row>
    <row r="92" spans="2:6" collapsed="1" x14ac:dyDescent="0.25">
      <c r="B92" s="323" t="s">
        <v>70</v>
      </c>
      <c r="C92" s="382">
        <v>737</v>
      </c>
      <c r="D92" s="382">
        <v>10773</v>
      </c>
      <c r="E92" s="382">
        <v>8604</v>
      </c>
      <c r="F92" s="382">
        <v>19377</v>
      </c>
    </row>
    <row r="93" spans="2:6" hidden="1" outlineLevel="1" x14ac:dyDescent="0.25">
      <c r="B93" s="232">
        <v>43831</v>
      </c>
      <c r="C93" s="381">
        <v>83</v>
      </c>
      <c r="D93" s="381">
        <v>1062</v>
      </c>
      <c r="E93" s="381">
        <v>1446</v>
      </c>
      <c r="F93" s="381">
        <v>2508</v>
      </c>
    </row>
    <row r="94" spans="2:6" hidden="1" outlineLevel="1" x14ac:dyDescent="0.25">
      <c r="B94" s="232">
        <v>43862</v>
      </c>
      <c r="C94" s="381">
        <v>91</v>
      </c>
      <c r="D94" s="381">
        <v>1308</v>
      </c>
      <c r="E94" s="381">
        <v>1064</v>
      </c>
      <c r="F94" s="381">
        <v>2372</v>
      </c>
    </row>
    <row r="95" spans="2:6" hidden="1" outlineLevel="1" x14ac:dyDescent="0.25">
      <c r="B95" s="232">
        <v>43891</v>
      </c>
      <c r="C95" s="381">
        <v>73</v>
      </c>
      <c r="D95" s="381">
        <v>908</v>
      </c>
      <c r="E95" s="381">
        <v>827</v>
      </c>
      <c r="F95" s="381">
        <v>1735</v>
      </c>
    </row>
    <row r="96" spans="2:6" hidden="1" outlineLevel="1" x14ac:dyDescent="0.25">
      <c r="B96" s="232">
        <v>43922</v>
      </c>
      <c r="C96" s="381">
        <v>13</v>
      </c>
      <c r="D96" s="381">
        <v>34</v>
      </c>
      <c r="E96" s="381">
        <v>58</v>
      </c>
      <c r="F96" s="381">
        <v>92</v>
      </c>
    </row>
    <row r="97" spans="2:6" hidden="1" outlineLevel="1" x14ac:dyDescent="0.25">
      <c r="B97" s="232">
        <v>43952</v>
      </c>
      <c r="C97" s="381">
        <v>16</v>
      </c>
      <c r="D97" s="381">
        <v>356</v>
      </c>
      <c r="E97" s="381">
        <v>298</v>
      </c>
      <c r="F97" s="381">
        <v>654</v>
      </c>
    </row>
    <row r="98" spans="2:6" hidden="1" outlineLevel="1" x14ac:dyDescent="0.25">
      <c r="B98" s="232">
        <v>43983</v>
      </c>
      <c r="C98" s="381">
        <v>16</v>
      </c>
      <c r="D98" s="381">
        <v>143</v>
      </c>
      <c r="E98" s="381">
        <v>150</v>
      </c>
      <c r="F98" s="381">
        <v>293</v>
      </c>
    </row>
    <row r="99" spans="2:6" hidden="1" outlineLevel="1" x14ac:dyDescent="0.25">
      <c r="B99" s="232">
        <v>44013</v>
      </c>
      <c r="C99" s="381">
        <v>26</v>
      </c>
      <c r="D99" s="381">
        <v>245</v>
      </c>
      <c r="E99" s="381">
        <v>212</v>
      </c>
      <c r="F99" s="381">
        <v>457</v>
      </c>
    </row>
    <row r="100" spans="2:6" hidden="1" outlineLevel="1" x14ac:dyDescent="0.25">
      <c r="B100" s="232">
        <v>44044</v>
      </c>
      <c r="C100" s="381">
        <v>27</v>
      </c>
      <c r="D100" s="381">
        <v>364</v>
      </c>
      <c r="E100" s="381">
        <v>280</v>
      </c>
      <c r="F100" s="381">
        <v>644</v>
      </c>
    </row>
    <row r="101" spans="2:6" hidden="1" outlineLevel="1" x14ac:dyDescent="0.25">
      <c r="B101" s="232">
        <v>44075</v>
      </c>
      <c r="C101" s="381">
        <v>32</v>
      </c>
      <c r="D101" s="381">
        <v>439</v>
      </c>
      <c r="E101" s="381">
        <v>549</v>
      </c>
      <c r="F101" s="381">
        <v>988</v>
      </c>
    </row>
    <row r="102" spans="2:6" hidden="1" outlineLevel="1" x14ac:dyDescent="0.25">
      <c r="B102" s="232">
        <v>44105</v>
      </c>
      <c r="C102" s="381">
        <v>45</v>
      </c>
      <c r="D102" s="381">
        <v>439</v>
      </c>
      <c r="E102" s="381">
        <v>356</v>
      </c>
      <c r="F102" s="381">
        <v>795</v>
      </c>
    </row>
    <row r="103" spans="2:6" hidden="1" outlineLevel="1" x14ac:dyDescent="0.25">
      <c r="B103" s="232">
        <v>44136</v>
      </c>
      <c r="C103" s="381">
        <v>21</v>
      </c>
      <c r="D103" s="381">
        <v>423</v>
      </c>
      <c r="E103" s="381">
        <v>315</v>
      </c>
      <c r="F103" s="381">
        <v>738</v>
      </c>
    </row>
    <row r="104" spans="2:6" hidden="1" outlineLevel="1" x14ac:dyDescent="0.25">
      <c r="B104" s="232">
        <v>44166</v>
      </c>
      <c r="C104" s="381">
        <v>14</v>
      </c>
      <c r="D104" s="381">
        <v>326</v>
      </c>
      <c r="E104" s="381">
        <v>348</v>
      </c>
      <c r="F104" s="381">
        <v>674</v>
      </c>
    </row>
    <row r="105" spans="2:6" collapsed="1" x14ac:dyDescent="0.25">
      <c r="B105" s="323" t="s">
        <v>74</v>
      </c>
      <c r="C105" s="382">
        <v>457</v>
      </c>
      <c r="D105" s="382">
        <v>6047</v>
      </c>
      <c r="E105" s="382">
        <v>5903</v>
      </c>
      <c r="F105" s="382">
        <v>11950</v>
      </c>
    </row>
    <row r="106" spans="2:6" outlineLevel="1" x14ac:dyDescent="0.25">
      <c r="B106" s="260">
        <v>44197</v>
      </c>
      <c r="C106" s="384">
        <v>21</v>
      </c>
      <c r="D106" s="384">
        <v>863</v>
      </c>
      <c r="E106" s="384">
        <v>646</v>
      </c>
      <c r="F106" s="384">
        <v>1509</v>
      </c>
    </row>
    <row r="107" spans="2:6" outlineLevel="1" x14ac:dyDescent="0.25">
      <c r="B107" s="260">
        <v>44228</v>
      </c>
      <c r="C107" s="384">
        <v>12</v>
      </c>
      <c r="D107" s="384">
        <v>504</v>
      </c>
      <c r="E107" s="384">
        <v>400</v>
      </c>
      <c r="F107" s="384">
        <v>904</v>
      </c>
    </row>
    <row r="108" spans="2:6" outlineLevel="1" x14ac:dyDescent="0.25">
      <c r="B108" s="260">
        <v>44256</v>
      </c>
      <c r="C108" s="384">
        <v>17</v>
      </c>
      <c r="D108" s="384">
        <v>371</v>
      </c>
      <c r="E108" s="384">
        <v>245</v>
      </c>
      <c r="F108" s="384">
        <v>616</v>
      </c>
    </row>
    <row r="109" spans="2:6" outlineLevel="1" x14ac:dyDescent="0.25">
      <c r="B109" s="260">
        <v>44287</v>
      </c>
      <c r="C109" s="384">
        <v>9</v>
      </c>
      <c r="D109" s="384">
        <v>304</v>
      </c>
      <c r="E109" s="384">
        <v>210</v>
      </c>
      <c r="F109" s="384">
        <v>514</v>
      </c>
    </row>
    <row r="110" spans="2:6" outlineLevel="1" x14ac:dyDescent="0.25">
      <c r="B110" s="260">
        <v>44317</v>
      </c>
      <c r="C110" s="384">
        <v>37</v>
      </c>
      <c r="D110" s="384">
        <v>321</v>
      </c>
      <c r="E110" s="384">
        <v>719</v>
      </c>
      <c r="F110" s="384">
        <v>1040</v>
      </c>
    </row>
    <row r="111" spans="2:6" outlineLevel="1" x14ac:dyDescent="0.25">
      <c r="B111" s="260">
        <v>44348</v>
      </c>
      <c r="C111" s="384">
        <v>54</v>
      </c>
      <c r="D111" s="384">
        <v>420</v>
      </c>
      <c r="E111" s="384">
        <v>429</v>
      </c>
      <c r="F111" s="384">
        <v>849</v>
      </c>
    </row>
    <row r="112" spans="2:6" outlineLevel="1" x14ac:dyDescent="0.25">
      <c r="B112" s="260">
        <v>44378</v>
      </c>
      <c r="C112" s="384">
        <v>14</v>
      </c>
      <c r="D112" s="384">
        <v>83</v>
      </c>
      <c r="E112" s="384">
        <v>65</v>
      </c>
      <c r="F112" s="384">
        <v>148</v>
      </c>
    </row>
    <row r="113" spans="2:6" outlineLevel="1" x14ac:dyDescent="0.25">
      <c r="B113" s="260">
        <v>44409</v>
      </c>
      <c r="C113" s="384">
        <v>50</v>
      </c>
      <c r="D113" s="384">
        <v>526</v>
      </c>
      <c r="E113" s="384">
        <v>488</v>
      </c>
      <c r="F113" s="384">
        <v>1014</v>
      </c>
    </row>
    <row r="114" spans="2:6" outlineLevel="1" x14ac:dyDescent="0.25">
      <c r="B114" s="260">
        <v>44440</v>
      </c>
      <c r="C114" s="384">
        <v>17</v>
      </c>
      <c r="D114" s="384">
        <v>200</v>
      </c>
      <c r="E114" s="384">
        <v>159</v>
      </c>
      <c r="F114" s="384">
        <v>359</v>
      </c>
    </row>
    <row r="115" spans="2:6" outlineLevel="1" x14ac:dyDescent="0.25">
      <c r="B115" s="260">
        <v>44470</v>
      </c>
      <c r="C115" s="384">
        <v>17</v>
      </c>
      <c r="D115" s="384">
        <v>244</v>
      </c>
      <c r="E115" s="384">
        <v>174</v>
      </c>
      <c r="F115" s="384">
        <v>418</v>
      </c>
    </row>
    <row r="116" spans="2:6" outlineLevel="1" x14ac:dyDescent="0.25">
      <c r="B116" s="260">
        <v>44501</v>
      </c>
      <c r="C116" s="384">
        <v>13</v>
      </c>
      <c r="D116" s="384">
        <v>138</v>
      </c>
      <c r="E116" s="384">
        <v>158</v>
      </c>
      <c r="F116" s="384">
        <v>296</v>
      </c>
    </row>
    <row r="117" spans="2:6" outlineLevel="1" x14ac:dyDescent="0.25">
      <c r="B117" s="260">
        <v>44531</v>
      </c>
      <c r="C117" s="384">
        <v>35</v>
      </c>
      <c r="D117" s="384">
        <v>241</v>
      </c>
      <c r="E117" s="384">
        <v>258</v>
      </c>
      <c r="F117" s="384">
        <v>499</v>
      </c>
    </row>
    <row r="118" spans="2:6" x14ac:dyDescent="0.25">
      <c r="B118" s="424" t="s">
        <v>75</v>
      </c>
      <c r="C118" s="345">
        <v>296</v>
      </c>
      <c r="D118" s="345">
        <v>4215</v>
      </c>
      <c r="E118" s="345">
        <v>3951</v>
      </c>
      <c r="F118" s="345">
        <v>8166</v>
      </c>
    </row>
    <row r="119" spans="2:6" outlineLevel="1" x14ac:dyDescent="0.25">
      <c r="B119" s="260">
        <v>44562</v>
      </c>
      <c r="C119" s="384">
        <v>52</v>
      </c>
      <c r="D119" s="384">
        <v>987</v>
      </c>
      <c r="E119" s="384">
        <v>892</v>
      </c>
      <c r="F119" s="384">
        <v>1879</v>
      </c>
    </row>
    <row r="120" spans="2:6" outlineLevel="1" x14ac:dyDescent="0.25">
      <c r="B120" s="260">
        <v>44593</v>
      </c>
      <c r="C120" s="384">
        <v>47</v>
      </c>
      <c r="D120" s="384">
        <v>751</v>
      </c>
      <c r="E120" s="384">
        <v>629</v>
      </c>
      <c r="F120" s="384">
        <v>1380</v>
      </c>
    </row>
    <row r="121" spans="2:6" outlineLevel="1" x14ac:dyDescent="0.25">
      <c r="B121" s="260">
        <v>44621</v>
      </c>
      <c r="C121" s="384">
        <v>69</v>
      </c>
      <c r="D121" s="384">
        <v>383</v>
      </c>
      <c r="E121" s="384">
        <v>358</v>
      </c>
      <c r="F121" s="384">
        <v>741</v>
      </c>
    </row>
    <row r="122" spans="2:6" outlineLevel="1" x14ac:dyDescent="0.25">
      <c r="B122" s="260">
        <v>44652</v>
      </c>
      <c r="C122" s="384">
        <v>75</v>
      </c>
      <c r="D122" s="384">
        <v>425</v>
      </c>
      <c r="E122" s="384">
        <v>381</v>
      </c>
      <c r="F122" s="384">
        <v>806</v>
      </c>
    </row>
    <row r="123" spans="2:6" outlineLevel="1" x14ac:dyDescent="0.25">
      <c r="B123" s="260">
        <v>44682</v>
      </c>
      <c r="C123" s="384">
        <v>80</v>
      </c>
      <c r="D123" s="384">
        <v>426</v>
      </c>
      <c r="E123" s="384">
        <v>325</v>
      </c>
      <c r="F123" s="384">
        <v>751</v>
      </c>
    </row>
    <row r="124" spans="2:6" outlineLevel="1" x14ac:dyDescent="0.25">
      <c r="B124" s="260">
        <v>44713</v>
      </c>
      <c r="C124" s="384">
        <v>51</v>
      </c>
      <c r="D124" s="384">
        <v>361</v>
      </c>
      <c r="E124" s="384">
        <v>295</v>
      </c>
      <c r="F124" s="384">
        <v>656</v>
      </c>
    </row>
    <row r="125" spans="2:6" outlineLevel="1" x14ac:dyDescent="0.25">
      <c r="B125" s="260">
        <v>44743</v>
      </c>
      <c r="C125" s="384">
        <v>38</v>
      </c>
      <c r="D125" s="384">
        <v>482</v>
      </c>
      <c r="E125" s="384">
        <v>401</v>
      </c>
      <c r="F125" s="384">
        <v>883</v>
      </c>
    </row>
    <row r="126" spans="2:6" outlineLevel="1" x14ac:dyDescent="0.25">
      <c r="B126" s="260">
        <v>44774</v>
      </c>
      <c r="C126" s="384">
        <v>35</v>
      </c>
      <c r="D126" s="384">
        <v>909</v>
      </c>
      <c r="E126" s="384">
        <v>570</v>
      </c>
      <c r="F126" s="384">
        <v>1479</v>
      </c>
    </row>
    <row r="127" spans="2:6" outlineLevel="1" x14ac:dyDescent="0.25">
      <c r="B127" s="260">
        <v>44805</v>
      </c>
      <c r="C127" s="384">
        <v>20</v>
      </c>
      <c r="D127" s="384">
        <v>387</v>
      </c>
      <c r="E127" s="384">
        <v>319</v>
      </c>
      <c r="F127" s="384">
        <v>706</v>
      </c>
    </row>
    <row r="128" spans="2:6" outlineLevel="1" x14ac:dyDescent="0.25">
      <c r="B128" s="260">
        <v>44835</v>
      </c>
      <c r="C128" s="384">
        <v>33</v>
      </c>
      <c r="D128" s="384">
        <v>504</v>
      </c>
      <c r="E128" s="384">
        <v>459</v>
      </c>
      <c r="F128" s="384">
        <v>963</v>
      </c>
    </row>
    <row r="129" spans="2:11" outlineLevel="1" x14ac:dyDescent="0.25">
      <c r="B129" s="260">
        <v>44866</v>
      </c>
      <c r="C129" s="384">
        <v>53</v>
      </c>
      <c r="D129" s="384">
        <v>204</v>
      </c>
      <c r="E129" s="384">
        <v>266</v>
      </c>
      <c r="F129" s="384">
        <v>470</v>
      </c>
    </row>
    <row r="130" spans="2:11" outlineLevel="1" x14ac:dyDescent="0.25">
      <c r="B130" s="260">
        <v>44896</v>
      </c>
      <c r="C130" s="384">
        <v>49</v>
      </c>
      <c r="D130" s="384">
        <v>219</v>
      </c>
      <c r="E130" s="384">
        <v>281</v>
      </c>
      <c r="F130" s="384">
        <v>500</v>
      </c>
    </row>
    <row r="131" spans="2:11" x14ac:dyDescent="0.25">
      <c r="B131" s="424" t="s">
        <v>76</v>
      </c>
      <c r="C131" s="345">
        <v>602</v>
      </c>
      <c r="D131" s="345">
        <v>6038</v>
      </c>
      <c r="E131" s="345">
        <v>5176</v>
      </c>
      <c r="F131" s="345">
        <v>11214</v>
      </c>
    </row>
    <row r="132" spans="2:11" outlineLevel="1" x14ac:dyDescent="0.25">
      <c r="B132" s="260">
        <v>44927</v>
      </c>
      <c r="C132" s="384">
        <v>49</v>
      </c>
      <c r="D132" s="384">
        <v>321</v>
      </c>
      <c r="E132" s="384">
        <v>409</v>
      </c>
      <c r="F132" s="384">
        <v>730</v>
      </c>
    </row>
    <row r="133" spans="2:11" outlineLevel="1" x14ac:dyDescent="0.25">
      <c r="B133" s="260">
        <v>44958</v>
      </c>
      <c r="C133" s="384">
        <v>19</v>
      </c>
      <c r="D133" s="384">
        <v>443</v>
      </c>
      <c r="E133" s="384">
        <v>408</v>
      </c>
      <c r="F133" s="384">
        <v>851</v>
      </c>
    </row>
    <row r="134" spans="2:11" outlineLevel="1" x14ac:dyDescent="0.25">
      <c r="B134" s="260">
        <v>44986</v>
      </c>
      <c r="C134" s="384">
        <v>41</v>
      </c>
      <c r="D134" s="384">
        <v>272</v>
      </c>
      <c r="E134" s="384">
        <v>339</v>
      </c>
      <c r="F134" s="384">
        <v>611</v>
      </c>
    </row>
    <row r="135" spans="2:11" ht="31.5" customHeight="1" x14ac:dyDescent="0.25">
      <c r="B135" s="413" t="s">
        <v>950</v>
      </c>
      <c r="C135" s="345">
        <v>109</v>
      </c>
      <c r="D135" s="345">
        <v>1036</v>
      </c>
      <c r="E135" s="345">
        <v>1156</v>
      </c>
      <c r="F135" s="345">
        <v>2192</v>
      </c>
    </row>
    <row r="136" spans="2:11" x14ac:dyDescent="0.25">
      <c r="B136" s="261" t="s">
        <v>498</v>
      </c>
      <c r="C136" s="360">
        <v>11334</v>
      </c>
      <c r="D136" s="360">
        <v>52829</v>
      </c>
      <c r="E136" s="360">
        <v>43679</v>
      </c>
      <c r="F136" s="360">
        <v>400140</v>
      </c>
    </row>
    <row r="137" spans="2:11" x14ac:dyDescent="0.25">
      <c r="B137" s="4" t="s">
        <v>952</v>
      </c>
    </row>
    <row r="139" spans="2:11" ht="18.75" x14ac:dyDescent="0.3">
      <c r="B139" s="2" t="s">
        <v>846</v>
      </c>
      <c r="C139" s="2"/>
      <c r="D139" s="2"/>
      <c r="E139" s="2"/>
      <c r="F139" s="2"/>
      <c r="G139" s="2"/>
      <c r="H139" s="2"/>
      <c r="I139" s="2"/>
      <c r="J139" s="2"/>
      <c r="K139" s="2"/>
    </row>
    <row r="140" spans="2:11" x14ac:dyDescent="0.25">
      <c r="B140" s="3" t="s">
        <v>877</v>
      </c>
    </row>
    <row r="142" spans="2:11" x14ac:dyDescent="0.25">
      <c r="B142" s="536" t="s">
        <v>483</v>
      </c>
      <c r="C142" s="445" t="s">
        <v>745</v>
      </c>
      <c r="D142" s="445"/>
      <c r="E142" s="445"/>
      <c r="F142" s="539" t="s">
        <v>844</v>
      </c>
    </row>
    <row r="143" spans="2:11" x14ac:dyDescent="0.25">
      <c r="B143" s="536"/>
      <c r="C143" s="284" t="s">
        <v>22</v>
      </c>
      <c r="D143" s="284" t="s">
        <v>23</v>
      </c>
      <c r="E143" s="284" t="s">
        <v>845</v>
      </c>
      <c r="F143" s="539"/>
    </row>
    <row r="144" spans="2:11" x14ac:dyDescent="0.25">
      <c r="B144" s="344" t="s">
        <v>824</v>
      </c>
      <c r="C144" s="345">
        <v>114</v>
      </c>
      <c r="D144" s="345">
        <v>539</v>
      </c>
      <c r="E144" s="336">
        <v>154</v>
      </c>
      <c r="F144" s="345">
        <v>807</v>
      </c>
    </row>
    <row r="145" spans="2:6" hidden="1" outlineLevel="1" x14ac:dyDescent="0.25">
      <c r="B145" s="425">
        <v>41275</v>
      </c>
      <c r="C145" s="381">
        <v>8</v>
      </c>
      <c r="D145" s="381">
        <v>38</v>
      </c>
      <c r="E145" s="418">
        <v>12</v>
      </c>
      <c r="F145" s="381">
        <v>58</v>
      </c>
    </row>
    <row r="146" spans="2:6" hidden="1" outlineLevel="1" x14ac:dyDescent="0.25">
      <c r="B146" s="425">
        <v>41306</v>
      </c>
      <c r="C146" s="381">
        <v>5</v>
      </c>
      <c r="D146" s="381">
        <v>35</v>
      </c>
      <c r="E146" s="418">
        <v>15</v>
      </c>
      <c r="F146" s="381">
        <v>55</v>
      </c>
    </row>
    <row r="147" spans="2:6" hidden="1" outlineLevel="1" x14ac:dyDescent="0.25">
      <c r="B147" s="425">
        <v>41334</v>
      </c>
      <c r="C147" s="381">
        <v>10</v>
      </c>
      <c r="D147" s="381">
        <v>42</v>
      </c>
      <c r="E147" s="418">
        <v>12</v>
      </c>
      <c r="F147" s="381">
        <v>64</v>
      </c>
    </row>
    <row r="148" spans="2:6" hidden="1" outlineLevel="1" x14ac:dyDescent="0.25">
      <c r="B148" s="425">
        <v>41365</v>
      </c>
      <c r="C148" s="381">
        <v>10</v>
      </c>
      <c r="D148" s="381">
        <v>41</v>
      </c>
      <c r="E148" s="418">
        <v>15</v>
      </c>
      <c r="F148" s="381">
        <v>66</v>
      </c>
    </row>
    <row r="149" spans="2:6" hidden="1" outlineLevel="1" x14ac:dyDescent="0.25">
      <c r="B149" s="425">
        <v>41395</v>
      </c>
      <c r="C149" s="381">
        <v>6</v>
      </c>
      <c r="D149" s="381">
        <v>43</v>
      </c>
      <c r="E149" s="418">
        <v>11</v>
      </c>
      <c r="F149" s="381">
        <v>60</v>
      </c>
    </row>
    <row r="150" spans="2:6" hidden="1" outlineLevel="1" x14ac:dyDescent="0.25">
      <c r="B150" s="425">
        <v>41426</v>
      </c>
      <c r="C150" s="381">
        <v>6</v>
      </c>
      <c r="D150" s="381">
        <v>34</v>
      </c>
      <c r="E150" s="418">
        <v>14</v>
      </c>
      <c r="F150" s="381">
        <v>54</v>
      </c>
    </row>
    <row r="151" spans="2:6" hidden="1" outlineLevel="1" x14ac:dyDescent="0.25">
      <c r="B151" s="425">
        <v>41456</v>
      </c>
      <c r="C151" s="381">
        <v>4</v>
      </c>
      <c r="D151" s="381">
        <v>42</v>
      </c>
      <c r="E151" s="418">
        <v>12</v>
      </c>
      <c r="F151" s="381">
        <v>58</v>
      </c>
    </row>
    <row r="152" spans="2:6" hidden="1" outlineLevel="1" x14ac:dyDescent="0.25">
      <c r="B152" s="425">
        <v>41487</v>
      </c>
      <c r="C152" s="381">
        <v>7</v>
      </c>
      <c r="D152" s="381">
        <v>39</v>
      </c>
      <c r="E152" s="418">
        <v>12</v>
      </c>
      <c r="F152" s="381">
        <v>58</v>
      </c>
    </row>
    <row r="153" spans="2:6" hidden="1" outlineLevel="1" x14ac:dyDescent="0.25">
      <c r="B153" s="425">
        <v>41518</v>
      </c>
      <c r="C153" s="381">
        <v>5</v>
      </c>
      <c r="D153" s="381">
        <v>33</v>
      </c>
      <c r="E153" s="418">
        <v>12</v>
      </c>
      <c r="F153" s="381">
        <v>50</v>
      </c>
    </row>
    <row r="154" spans="2:6" hidden="1" outlineLevel="1" x14ac:dyDescent="0.25">
      <c r="B154" s="425">
        <v>41548</v>
      </c>
      <c r="C154" s="381">
        <v>3</v>
      </c>
      <c r="D154" s="381">
        <v>28</v>
      </c>
      <c r="E154" s="418">
        <v>17</v>
      </c>
      <c r="F154" s="381">
        <v>48</v>
      </c>
    </row>
    <row r="155" spans="2:6" hidden="1" outlineLevel="1" x14ac:dyDescent="0.25">
      <c r="B155" s="425">
        <v>41579</v>
      </c>
      <c r="C155" s="381">
        <v>3</v>
      </c>
      <c r="D155" s="381">
        <v>18</v>
      </c>
      <c r="E155" s="418">
        <v>7</v>
      </c>
      <c r="F155" s="381">
        <v>28</v>
      </c>
    </row>
    <row r="156" spans="2:6" hidden="1" outlineLevel="1" x14ac:dyDescent="0.25">
      <c r="B156" s="425">
        <v>41609</v>
      </c>
      <c r="C156" s="381">
        <v>7</v>
      </c>
      <c r="D156" s="381">
        <v>37</v>
      </c>
      <c r="E156" s="418">
        <v>11</v>
      </c>
      <c r="F156" s="381">
        <v>55</v>
      </c>
    </row>
    <row r="157" spans="2:6" collapsed="1" x14ac:dyDescent="0.25">
      <c r="B157" s="344" t="s">
        <v>44</v>
      </c>
      <c r="C157" s="345">
        <v>74</v>
      </c>
      <c r="D157" s="345">
        <v>430</v>
      </c>
      <c r="E157" s="336">
        <v>150</v>
      </c>
      <c r="F157" s="336">
        <v>654</v>
      </c>
    </row>
    <row r="158" spans="2:6" hidden="1" outlineLevel="1" x14ac:dyDescent="0.25">
      <c r="B158" s="425">
        <v>41640</v>
      </c>
      <c r="C158" s="381">
        <v>7</v>
      </c>
      <c r="D158" s="381">
        <v>32</v>
      </c>
      <c r="E158" s="418">
        <v>18</v>
      </c>
      <c r="F158" s="418">
        <v>57</v>
      </c>
    </row>
    <row r="159" spans="2:6" hidden="1" outlineLevel="1" x14ac:dyDescent="0.25">
      <c r="B159" s="425">
        <v>41671</v>
      </c>
      <c r="C159" s="381">
        <v>3</v>
      </c>
      <c r="D159" s="381">
        <v>24</v>
      </c>
      <c r="E159" s="418">
        <v>9</v>
      </c>
      <c r="F159" s="418">
        <v>36</v>
      </c>
    </row>
    <row r="160" spans="2:6" hidden="1" outlineLevel="1" x14ac:dyDescent="0.25">
      <c r="B160" s="425">
        <v>41699</v>
      </c>
      <c r="C160" s="381">
        <v>7</v>
      </c>
      <c r="D160" s="381">
        <v>21</v>
      </c>
      <c r="E160" s="418">
        <v>15</v>
      </c>
      <c r="F160" s="418">
        <v>43</v>
      </c>
    </row>
    <row r="161" spans="2:6" hidden="1" outlineLevel="1" x14ac:dyDescent="0.25">
      <c r="B161" s="425">
        <v>41730</v>
      </c>
      <c r="C161" s="381">
        <v>9</v>
      </c>
      <c r="D161" s="381">
        <v>25</v>
      </c>
      <c r="E161" s="418">
        <v>10</v>
      </c>
      <c r="F161" s="418">
        <v>44</v>
      </c>
    </row>
    <row r="162" spans="2:6" hidden="1" outlineLevel="1" x14ac:dyDescent="0.25">
      <c r="B162" s="425">
        <v>41760</v>
      </c>
      <c r="C162" s="381">
        <v>7</v>
      </c>
      <c r="D162" s="381">
        <v>29</v>
      </c>
      <c r="E162" s="418">
        <v>11</v>
      </c>
      <c r="F162" s="418">
        <v>47</v>
      </c>
    </row>
    <row r="163" spans="2:6" hidden="1" outlineLevel="1" x14ac:dyDescent="0.25">
      <c r="B163" s="425">
        <v>41791</v>
      </c>
      <c r="C163" s="381">
        <v>0</v>
      </c>
      <c r="D163" s="381">
        <v>31</v>
      </c>
      <c r="E163" s="418">
        <v>17</v>
      </c>
      <c r="F163" s="418">
        <v>48</v>
      </c>
    </row>
    <row r="164" spans="2:6" hidden="1" outlineLevel="1" x14ac:dyDescent="0.25">
      <c r="B164" s="425">
        <v>41821</v>
      </c>
      <c r="C164" s="381">
        <v>3</v>
      </c>
      <c r="D164" s="381">
        <v>29</v>
      </c>
      <c r="E164" s="418">
        <v>15</v>
      </c>
      <c r="F164" s="418">
        <v>47</v>
      </c>
    </row>
    <row r="165" spans="2:6" hidden="1" outlineLevel="1" x14ac:dyDescent="0.25">
      <c r="B165" s="425">
        <v>41852</v>
      </c>
      <c r="C165" s="381">
        <v>5</v>
      </c>
      <c r="D165" s="381">
        <v>30</v>
      </c>
      <c r="E165" s="418">
        <v>9</v>
      </c>
      <c r="F165" s="418">
        <v>44</v>
      </c>
    </row>
    <row r="166" spans="2:6" hidden="1" outlineLevel="1" x14ac:dyDescent="0.25">
      <c r="B166" s="425">
        <v>41883</v>
      </c>
      <c r="C166" s="381">
        <v>2</v>
      </c>
      <c r="D166" s="381">
        <v>39</v>
      </c>
      <c r="E166" s="418"/>
      <c r="F166" s="418">
        <v>41</v>
      </c>
    </row>
    <row r="167" spans="2:6" hidden="1" outlineLevel="1" x14ac:dyDescent="0.25">
      <c r="B167" s="425">
        <v>41913</v>
      </c>
      <c r="C167" s="381">
        <v>5</v>
      </c>
      <c r="D167" s="381">
        <v>29</v>
      </c>
      <c r="E167" s="418"/>
      <c r="F167" s="418">
        <v>34</v>
      </c>
    </row>
    <row r="168" spans="2:6" hidden="1" outlineLevel="1" x14ac:dyDescent="0.25">
      <c r="B168" s="425">
        <v>41944</v>
      </c>
      <c r="C168" s="381">
        <v>1</v>
      </c>
      <c r="D168" s="381">
        <v>20</v>
      </c>
      <c r="E168" s="418">
        <v>4</v>
      </c>
      <c r="F168" s="418">
        <v>25</v>
      </c>
    </row>
    <row r="169" spans="2:6" hidden="1" outlineLevel="1" x14ac:dyDescent="0.25">
      <c r="B169" s="425">
        <v>41974</v>
      </c>
      <c r="C169" s="381">
        <v>4</v>
      </c>
      <c r="D169" s="381">
        <v>38</v>
      </c>
      <c r="E169" s="418">
        <v>5</v>
      </c>
      <c r="F169" s="418">
        <v>47</v>
      </c>
    </row>
    <row r="170" spans="2:6" collapsed="1" x14ac:dyDescent="0.25">
      <c r="B170" s="344" t="s">
        <v>46</v>
      </c>
      <c r="C170" s="345">
        <v>53</v>
      </c>
      <c r="D170" s="345">
        <v>347</v>
      </c>
      <c r="E170" s="336">
        <v>113</v>
      </c>
      <c r="F170" s="345">
        <v>513</v>
      </c>
    </row>
    <row r="171" spans="2:6" hidden="1" outlineLevel="1" x14ac:dyDescent="0.25">
      <c r="B171" s="425">
        <v>42005</v>
      </c>
      <c r="C171" s="381">
        <v>2</v>
      </c>
      <c r="D171" s="381">
        <v>26</v>
      </c>
      <c r="E171" s="418">
        <v>12</v>
      </c>
      <c r="F171" s="381">
        <v>40</v>
      </c>
    </row>
    <row r="172" spans="2:6" hidden="1" outlineLevel="1" x14ac:dyDescent="0.25">
      <c r="B172" s="425">
        <v>42036</v>
      </c>
      <c r="C172" s="381">
        <v>1</v>
      </c>
      <c r="D172" s="381">
        <v>21</v>
      </c>
      <c r="E172" s="418">
        <v>15</v>
      </c>
      <c r="F172" s="381">
        <v>37</v>
      </c>
    </row>
    <row r="173" spans="2:6" hidden="1" outlineLevel="1" x14ac:dyDescent="0.25">
      <c r="B173" s="425">
        <v>42064</v>
      </c>
      <c r="C173" s="381">
        <v>7</v>
      </c>
      <c r="D173" s="381">
        <v>24</v>
      </c>
      <c r="E173" s="418">
        <v>8</v>
      </c>
      <c r="F173" s="381">
        <v>39</v>
      </c>
    </row>
    <row r="174" spans="2:6" hidden="1" outlineLevel="1" x14ac:dyDescent="0.25">
      <c r="B174" s="425">
        <v>42095</v>
      </c>
      <c r="C174" s="381">
        <v>7</v>
      </c>
      <c r="D174" s="381">
        <v>21</v>
      </c>
      <c r="E174" s="418">
        <v>5</v>
      </c>
      <c r="F174" s="381">
        <v>33</v>
      </c>
    </row>
    <row r="175" spans="2:6" hidden="1" outlineLevel="1" x14ac:dyDescent="0.25">
      <c r="B175" s="425">
        <v>42125</v>
      </c>
      <c r="C175" s="381"/>
      <c r="D175" s="381">
        <v>18</v>
      </c>
      <c r="E175" s="418">
        <v>13</v>
      </c>
      <c r="F175" s="381">
        <v>31</v>
      </c>
    </row>
    <row r="176" spans="2:6" hidden="1" outlineLevel="1" x14ac:dyDescent="0.25">
      <c r="B176" s="425">
        <v>42156</v>
      </c>
      <c r="C176" s="381">
        <v>5</v>
      </c>
      <c r="D176" s="381">
        <v>22</v>
      </c>
      <c r="E176" s="418">
        <v>11</v>
      </c>
      <c r="F176" s="381">
        <v>38</v>
      </c>
    </row>
    <row r="177" spans="2:6" hidden="1" outlineLevel="1" x14ac:dyDescent="0.25">
      <c r="B177" s="425">
        <v>42186</v>
      </c>
      <c r="C177" s="381">
        <v>1</v>
      </c>
      <c r="D177" s="381">
        <v>22</v>
      </c>
      <c r="E177" s="418">
        <v>10</v>
      </c>
      <c r="F177" s="381">
        <v>33</v>
      </c>
    </row>
    <row r="178" spans="2:6" hidden="1" outlineLevel="1" x14ac:dyDescent="0.25">
      <c r="B178" s="425">
        <v>42217</v>
      </c>
      <c r="C178" s="381">
        <v>4</v>
      </c>
      <c r="D178" s="381">
        <v>27</v>
      </c>
      <c r="E178" s="418">
        <v>6</v>
      </c>
      <c r="F178" s="381">
        <v>37</v>
      </c>
    </row>
    <row r="179" spans="2:6" hidden="1" outlineLevel="1" x14ac:dyDescent="0.25">
      <c r="B179" s="425">
        <v>42248</v>
      </c>
      <c r="C179" s="381">
        <v>1</v>
      </c>
      <c r="D179" s="381">
        <v>32</v>
      </c>
      <c r="E179" s="418">
        <v>7</v>
      </c>
      <c r="F179" s="381">
        <v>40</v>
      </c>
    </row>
    <row r="180" spans="2:6" hidden="1" outlineLevel="1" x14ac:dyDescent="0.25">
      <c r="B180" s="425">
        <v>42278</v>
      </c>
      <c r="C180" s="381">
        <v>9</v>
      </c>
      <c r="D180" s="381">
        <v>21</v>
      </c>
      <c r="E180" s="418">
        <v>9</v>
      </c>
      <c r="F180" s="381">
        <v>39</v>
      </c>
    </row>
    <row r="181" spans="2:6" hidden="1" outlineLevel="1" x14ac:dyDescent="0.25">
      <c r="B181" s="425">
        <v>42309</v>
      </c>
      <c r="C181" s="381">
        <v>7</v>
      </c>
      <c r="D181" s="381">
        <v>26</v>
      </c>
      <c r="E181" s="418">
        <v>4</v>
      </c>
      <c r="F181" s="381">
        <v>37</v>
      </c>
    </row>
    <row r="182" spans="2:6" hidden="1" outlineLevel="1" x14ac:dyDescent="0.25">
      <c r="B182" s="425">
        <v>42339</v>
      </c>
      <c r="C182" s="381">
        <v>6</v>
      </c>
      <c r="D182" s="381">
        <v>21</v>
      </c>
      <c r="E182" s="418">
        <v>6</v>
      </c>
      <c r="F182" s="381">
        <v>33</v>
      </c>
    </row>
    <row r="183" spans="2:6" collapsed="1" x14ac:dyDescent="0.25">
      <c r="B183" s="344" t="s">
        <v>48</v>
      </c>
      <c r="C183" s="345">
        <v>50</v>
      </c>
      <c r="D183" s="345">
        <v>281</v>
      </c>
      <c r="E183" s="345">
        <v>106</v>
      </c>
      <c r="F183" s="345">
        <v>437</v>
      </c>
    </row>
    <row r="184" spans="2:6" hidden="1" outlineLevel="1" x14ac:dyDescent="0.25">
      <c r="B184" s="425">
        <v>42370</v>
      </c>
      <c r="C184" s="381">
        <v>4</v>
      </c>
      <c r="D184" s="381">
        <v>19</v>
      </c>
      <c r="E184" s="381">
        <v>10</v>
      </c>
      <c r="F184" s="381">
        <v>33</v>
      </c>
    </row>
    <row r="185" spans="2:6" hidden="1" outlineLevel="1" x14ac:dyDescent="0.25">
      <c r="B185" s="425">
        <v>42401</v>
      </c>
      <c r="C185" s="381">
        <v>17</v>
      </c>
      <c r="D185" s="381">
        <v>16</v>
      </c>
      <c r="E185" s="381">
        <v>0</v>
      </c>
      <c r="F185" s="381">
        <v>33</v>
      </c>
    </row>
    <row r="186" spans="2:6" hidden="1" outlineLevel="1" x14ac:dyDescent="0.25">
      <c r="B186" s="425">
        <v>42430</v>
      </c>
      <c r="C186" s="381">
        <v>14</v>
      </c>
      <c r="D186" s="381">
        <v>13</v>
      </c>
      <c r="E186" s="381">
        <v>13</v>
      </c>
      <c r="F186" s="381">
        <v>40</v>
      </c>
    </row>
    <row r="187" spans="2:6" hidden="1" outlineLevel="1" x14ac:dyDescent="0.25">
      <c r="B187" s="425">
        <v>42461</v>
      </c>
      <c r="C187" s="381">
        <v>8</v>
      </c>
      <c r="D187" s="381">
        <v>19</v>
      </c>
      <c r="E187" s="381">
        <v>12</v>
      </c>
      <c r="F187" s="381">
        <v>39</v>
      </c>
    </row>
    <row r="188" spans="2:6" hidden="1" outlineLevel="1" x14ac:dyDescent="0.25">
      <c r="B188" s="425">
        <v>42491</v>
      </c>
      <c r="C188" s="381">
        <v>7</v>
      </c>
      <c r="D188" s="381">
        <v>21</v>
      </c>
      <c r="E188" s="381">
        <v>12</v>
      </c>
      <c r="F188" s="381">
        <v>40</v>
      </c>
    </row>
    <row r="189" spans="2:6" hidden="1" outlineLevel="1" x14ac:dyDescent="0.25">
      <c r="B189" s="425">
        <v>42522</v>
      </c>
      <c r="C189" s="381">
        <v>7</v>
      </c>
      <c r="D189" s="381">
        <v>19</v>
      </c>
      <c r="E189" s="381">
        <v>11</v>
      </c>
      <c r="F189" s="381">
        <v>37</v>
      </c>
    </row>
    <row r="190" spans="2:6" hidden="1" outlineLevel="1" x14ac:dyDescent="0.25">
      <c r="B190" s="425">
        <v>42552</v>
      </c>
      <c r="C190" s="381">
        <v>18</v>
      </c>
      <c r="D190" s="381">
        <v>16</v>
      </c>
      <c r="E190" s="381">
        <v>12</v>
      </c>
      <c r="F190" s="381">
        <v>46</v>
      </c>
    </row>
    <row r="191" spans="2:6" hidden="1" outlineLevel="1" x14ac:dyDescent="0.25">
      <c r="B191" s="425">
        <v>42583</v>
      </c>
      <c r="C191" s="381">
        <v>12</v>
      </c>
      <c r="D191" s="381">
        <v>18</v>
      </c>
      <c r="E191" s="381">
        <v>17</v>
      </c>
      <c r="F191" s="381">
        <v>47</v>
      </c>
    </row>
    <row r="192" spans="2:6" hidden="1" outlineLevel="1" x14ac:dyDescent="0.25">
      <c r="B192" s="425">
        <v>42614</v>
      </c>
      <c r="C192" s="381">
        <v>6</v>
      </c>
      <c r="D192" s="381">
        <v>19</v>
      </c>
      <c r="E192" s="381">
        <v>13</v>
      </c>
      <c r="F192" s="381">
        <v>38</v>
      </c>
    </row>
    <row r="193" spans="2:6" hidden="1" outlineLevel="1" x14ac:dyDescent="0.25">
      <c r="B193" s="425">
        <v>42644</v>
      </c>
      <c r="C193" s="381">
        <v>10</v>
      </c>
      <c r="D193" s="381">
        <v>15</v>
      </c>
      <c r="E193" s="381">
        <v>11</v>
      </c>
      <c r="F193" s="381">
        <v>36</v>
      </c>
    </row>
    <row r="194" spans="2:6" hidden="1" outlineLevel="1" x14ac:dyDescent="0.25">
      <c r="B194" s="425">
        <v>42675</v>
      </c>
      <c r="C194" s="381">
        <v>14</v>
      </c>
      <c r="D194" s="381">
        <v>16</v>
      </c>
      <c r="E194" s="381">
        <v>12</v>
      </c>
      <c r="F194" s="381">
        <v>42</v>
      </c>
    </row>
    <row r="195" spans="2:6" hidden="1" outlineLevel="1" x14ac:dyDescent="0.25">
      <c r="B195" s="425">
        <v>42705</v>
      </c>
      <c r="C195" s="381">
        <v>14</v>
      </c>
      <c r="D195" s="381">
        <v>16</v>
      </c>
      <c r="E195" s="381">
        <v>20</v>
      </c>
      <c r="F195" s="381">
        <v>50</v>
      </c>
    </row>
    <row r="196" spans="2:6" collapsed="1" x14ac:dyDescent="0.25">
      <c r="B196" s="344" t="s">
        <v>65</v>
      </c>
      <c r="C196" s="345">
        <v>131</v>
      </c>
      <c r="D196" s="345">
        <v>207</v>
      </c>
      <c r="E196" s="345">
        <v>143</v>
      </c>
      <c r="F196" s="345">
        <v>481</v>
      </c>
    </row>
    <row r="197" spans="2:6" hidden="1" outlineLevel="1" x14ac:dyDescent="0.25">
      <c r="B197" s="425">
        <v>42736</v>
      </c>
      <c r="C197" s="381">
        <v>8</v>
      </c>
      <c r="D197" s="381">
        <v>17</v>
      </c>
      <c r="E197" s="381">
        <v>15</v>
      </c>
      <c r="F197" s="381">
        <v>40</v>
      </c>
    </row>
    <row r="198" spans="2:6" hidden="1" outlineLevel="1" x14ac:dyDescent="0.25">
      <c r="B198" s="425">
        <v>42767</v>
      </c>
      <c r="C198" s="381">
        <v>9</v>
      </c>
      <c r="D198" s="381">
        <v>11</v>
      </c>
      <c r="E198" s="381">
        <v>12</v>
      </c>
      <c r="F198" s="381">
        <v>32</v>
      </c>
    </row>
    <row r="199" spans="2:6" hidden="1" outlineLevel="1" x14ac:dyDescent="0.25">
      <c r="B199" s="425">
        <v>42795</v>
      </c>
      <c r="C199" s="381">
        <v>9</v>
      </c>
      <c r="D199" s="381">
        <v>13</v>
      </c>
      <c r="E199" s="381">
        <v>15</v>
      </c>
      <c r="F199" s="381">
        <v>37</v>
      </c>
    </row>
    <row r="200" spans="2:6" hidden="1" outlineLevel="1" x14ac:dyDescent="0.25">
      <c r="B200" s="425">
        <v>42826</v>
      </c>
      <c r="C200" s="381">
        <v>3</v>
      </c>
      <c r="D200" s="381">
        <v>17</v>
      </c>
      <c r="E200" s="381">
        <v>7</v>
      </c>
      <c r="F200" s="381">
        <v>27</v>
      </c>
    </row>
    <row r="201" spans="2:6" hidden="1" outlineLevel="1" x14ac:dyDescent="0.25">
      <c r="B201" s="425">
        <v>42856</v>
      </c>
      <c r="C201" s="381">
        <v>8</v>
      </c>
      <c r="D201" s="381">
        <v>18</v>
      </c>
      <c r="E201" s="381">
        <v>10</v>
      </c>
      <c r="F201" s="381">
        <v>36</v>
      </c>
    </row>
    <row r="202" spans="2:6" hidden="1" outlineLevel="1" x14ac:dyDescent="0.25">
      <c r="B202" s="425">
        <v>42887</v>
      </c>
      <c r="C202" s="381">
        <v>12</v>
      </c>
      <c r="D202" s="381">
        <v>19</v>
      </c>
      <c r="E202" s="381">
        <v>7</v>
      </c>
      <c r="F202" s="381">
        <v>38</v>
      </c>
    </row>
    <row r="203" spans="2:6" hidden="1" outlineLevel="1" x14ac:dyDescent="0.25">
      <c r="B203" s="425">
        <v>42917</v>
      </c>
      <c r="C203" s="381">
        <v>8</v>
      </c>
      <c r="D203" s="381">
        <v>12</v>
      </c>
      <c r="E203" s="381">
        <v>11</v>
      </c>
      <c r="F203" s="381">
        <v>31</v>
      </c>
    </row>
    <row r="204" spans="2:6" hidden="1" outlineLevel="1" x14ac:dyDescent="0.25">
      <c r="B204" s="425">
        <v>42948</v>
      </c>
      <c r="C204" s="381">
        <v>10</v>
      </c>
      <c r="D204" s="381">
        <v>13</v>
      </c>
      <c r="E204" s="381">
        <v>11</v>
      </c>
      <c r="F204" s="381">
        <v>34</v>
      </c>
    </row>
    <row r="205" spans="2:6" hidden="1" outlineLevel="1" x14ac:dyDescent="0.25">
      <c r="B205" s="425">
        <v>42979</v>
      </c>
      <c r="C205" s="381">
        <v>10</v>
      </c>
      <c r="D205" s="381">
        <v>9</v>
      </c>
      <c r="E205" s="381">
        <v>17</v>
      </c>
      <c r="F205" s="381">
        <v>36</v>
      </c>
    </row>
    <row r="206" spans="2:6" hidden="1" outlineLevel="1" x14ac:dyDescent="0.25">
      <c r="B206" s="425">
        <v>43009</v>
      </c>
      <c r="C206" s="381">
        <v>6</v>
      </c>
      <c r="D206" s="381">
        <v>14</v>
      </c>
      <c r="E206" s="381">
        <v>13</v>
      </c>
      <c r="F206" s="381">
        <v>33</v>
      </c>
    </row>
    <row r="207" spans="2:6" hidden="1" outlineLevel="1" x14ac:dyDescent="0.25">
      <c r="B207" s="425">
        <v>43040</v>
      </c>
      <c r="C207" s="381">
        <v>5</v>
      </c>
      <c r="D207" s="381">
        <v>23</v>
      </c>
      <c r="E207" s="381">
        <v>12</v>
      </c>
      <c r="F207" s="381">
        <v>40</v>
      </c>
    </row>
    <row r="208" spans="2:6" hidden="1" outlineLevel="1" x14ac:dyDescent="0.25">
      <c r="B208" s="425">
        <v>43070</v>
      </c>
      <c r="C208" s="381">
        <v>19</v>
      </c>
      <c r="D208" s="381">
        <v>22</v>
      </c>
      <c r="E208" s="381">
        <v>15</v>
      </c>
      <c r="F208" s="381">
        <v>56</v>
      </c>
    </row>
    <row r="209" spans="2:6" collapsed="1" x14ac:dyDescent="0.25">
      <c r="B209" s="344" t="s">
        <v>68</v>
      </c>
      <c r="C209" s="345">
        <v>107</v>
      </c>
      <c r="D209" s="345">
        <v>188</v>
      </c>
      <c r="E209" s="345">
        <v>145</v>
      </c>
      <c r="F209" s="345">
        <v>440</v>
      </c>
    </row>
    <row r="210" spans="2:6" hidden="1" outlineLevel="1" x14ac:dyDescent="0.25">
      <c r="B210" s="425">
        <v>43101</v>
      </c>
      <c r="C210" s="381">
        <v>13</v>
      </c>
      <c r="D210" s="381">
        <v>23</v>
      </c>
      <c r="E210" s="381">
        <v>10</v>
      </c>
      <c r="F210" s="381">
        <v>46</v>
      </c>
    </row>
    <row r="211" spans="2:6" hidden="1" outlineLevel="1" x14ac:dyDescent="0.25">
      <c r="B211" s="425">
        <v>43132</v>
      </c>
      <c r="C211" s="381">
        <v>16</v>
      </c>
      <c r="D211" s="381">
        <v>22</v>
      </c>
      <c r="E211" s="381">
        <v>23</v>
      </c>
      <c r="F211" s="381">
        <v>61</v>
      </c>
    </row>
    <row r="212" spans="2:6" hidden="1" outlineLevel="1" x14ac:dyDescent="0.25">
      <c r="B212" s="425">
        <v>43160</v>
      </c>
      <c r="C212" s="381">
        <v>14</v>
      </c>
      <c r="D212" s="381">
        <v>19</v>
      </c>
      <c r="E212" s="381">
        <v>11</v>
      </c>
      <c r="F212" s="381">
        <v>44</v>
      </c>
    </row>
    <row r="213" spans="2:6" hidden="1" outlineLevel="1" x14ac:dyDescent="0.25">
      <c r="B213" s="425">
        <v>43191</v>
      </c>
      <c r="C213" s="381">
        <v>10</v>
      </c>
      <c r="D213" s="381">
        <v>18</v>
      </c>
      <c r="E213" s="381">
        <v>11</v>
      </c>
      <c r="F213" s="381">
        <v>39</v>
      </c>
    </row>
    <row r="214" spans="2:6" hidden="1" outlineLevel="1" x14ac:dyDescent="0.25">
      <c r="B214" s="425">
        <v>43221</v>
      </c>
      <c r="C214" s="381">
        <v>22</v>
      </c>
      <c r="D214" s="381">
        <v>9</v>
      </c>
      <c r="E214" s="381">
        <v>9</v>
      </c>
      <c r="F214" s="381">
        <v>40</v>
      </c>
    </row>
    <row r="215" spans="2:6" hidden="1" outlineLevel="1" x14ac:dyDescent="0.25">
      <c r="B215" s="425">
        <v>43252</v>
      </c>
      <c r="C215" s="381">
        <v>27</v>
      </c>
      <c r="D215" s="381">
        <v>18</v>
      </c>
      <c r="E215" s="381">
        <v>10</v>
      </c>
      <c r="F215" s="381">
        <v>55</v>
      </c>
    </row>
    <row r="216" spans="2:6" hidden="1" outlineLevel="1" x14ac:dyDescent="0.25">
      <c r="B216" s="425">
        <v>43282</v>
      </c>
      <c r="C216" s="381">
        <v>15</v>
      </c>
      <c r="D216" s="381">
        <v>20</v>
      </c>
      <c r="E216" s="381">
        <v>19</v>
      </c>
      <c r="F216" s="381">
        <v>54</v>
      </c>
    </row>
    <row r="217" spans="2:6" hidden="1" outlineLevel="1" x14ac:dyDescent="0.25">
      <c r="B217" s="425">
        <v>43313</v>
      </c>
      <c r="C217" s="381">
        <v>17</v>
      </c>
      <c r="D217" s="381">
        <v>40</v>
      </c>
      <c r="E217" s="381">
        <v>17</v>
      </c>
      <c r="F217" s="381">
        <v>74</v>
      </c>
    </row>
    <row r="218" spans="2:6" hidden="1" outlineLevel="1" x14ac:dyDescent="0.25">
      <c r="B218" s="425">
        <v>43344</v>
      </c>
      <c r="C218" s="381">
        <v>16</v>
      </c>
      <c r="D218" s="381">
        <v>31</v>
      </c>
      <c r="E218" s="381">
        <v>3</v>
      </c>
      <c r="F218" s="381">
        <v>50</v>
      </c>
    </row>
    <row r="219" spans="2:6" hidden="1" outlineLevel="1" x14ac:dyDescent="0.25">
      <c r="B219" s="425">
        <v>43374</v>
      </c>
      <c r="C219" s="381">
        <v>4</v>
      </c>
      <c r="D219" s="381">
        <v>22</v>
      </c>
      <c r="E219" s="381">
        <v>5</v>
      </c>
      <c r="F219" s="381">
        <v>31</v>
      </c>
    </row>
    <row r="220" spans="2:6" hidden="1" outlineLevel="1" x14ac:dyDescent="0.25">
      <c r="B220" s="425">
        <v>43405</v>
      </c>
      <c r="C220" s="381">
        <v>3</v>
      </c>
      <c r="D220" s="381">
        <v>16</v>
      </c>
      <c r="E220" s="381">
        <v>2</v>
      </c>
      <c r="F220" s="381">
        <v>21</v>
      </c>
    </row>
    <row r="221" spans="2:6" hidden="1" outlineLevel="1" x14ac:dyDescent="0.25">
      <c r="B221" s="425">
        <v>43435</v>
      </c>
      <c r="C221" s="381">
        <v>21</v>
      </c>
      <c r="D221" s="381">
        <v>40</v>
      </c>
      <c r="E221" s="381">
        <v>2</v>
      </c>
      <c r="F221" s="381">
        <v>63</v>
      </c>
    </row>
    <row r="222" spans="2:6" collapsed="1" x14ac:dyDescent="0.25">
      <c r="B222" s="344" t="s">
        <v>69</v>
      </c>
      <c r="C222" s="345">
        <v>178</v>
      </c>
      <c r="D222" s="345">
        <v>278</v>
      </c>
      <c r="E222" s="345">
        <v>122</v>
      </c>
      <c r="F222" s="345">
        <v>578</v>
      </c>
    </row>
    <row r="223" spans="2:6" hidden="1" outlineLevel="1" x14ac:dyDescent="0.25">
      <c r="B223" s="425">
        <v>43466</v>
      </c>
      <c r="C223" s="381">
        <v>19</v>
      </c>
      <c r="D223" s="381">
        <v>25</v>
      </c>
      <c r="E223" s="381">
        <v>2</v>
      </c>
      <c r="F223" s="381">
        <v>46</v>
      </c>
    </row>
    <row r="224" spans="2:6" hidden="1" outlineLevel="1" x14ac:dyDescent="0.25">
      <c r="B224" s="425">
        <v>43497</v>
      </c>
      <c r="C224" s="381">
        <v>15</v>
      </c>
      <c r="D224" s="381">
        <v>30</v>
      </c>
      <c r="E224" s="381">
        <v>2</v>
      </c>
      <c r="F224" s="381">
        <v>47</v>
      </c>
    </row>
    <row r="225" spans="2:6" hidden="1" outlineLevel="1" x14ac:dyDescent="0.25">
      <c r="B225" s="425">
        <v>43525</v>
      </c>
      <c r="C225" s="381">
        <v>9</v>
      </c>
      <c r="D225" s="381">
        <v>30</v>
      </c>
      <c r="E225" s="381">
        <v>3</v>
      </c>
      <c r="F225" s="381">
        <v>42</v>
      </c>
    </row>
    <row r="226" spans="2:6" hidden="1" outlineLevel="1" x14ac:dyDescent="0.25">
      <c r="B226" s="425">
        <v>43556</v>
      </c>
      <c r="C226" s="381">
        <v>8</v>
      </c>
      <c r="D226" s="381">
        <v>39</v>
      </c>
      <c r="E226" s="381">
        <v>2</v>
      </c>
      <c r="F226" s="381">
        <v>49</v>
      </c>
    </row>
    <row r="227" spans="2:6" hidden="1" outlineLevel="1" x14ac:dyDescent="0.25">
      <c r="B227" s="425">
        <v>43586</v>
      </c>
      <c r="C227" s="381">
        <v>27</v>
      </c>
      <c r="D227" s="381">
        <v>34</v>
      </c>
      <c r="E227" s="381">
        <v>10</v>
      </c>
      <c r="F227" s="381">
        <v>71</v>
      </c>
    </row>
    <row r="228" spans="2:6" hidden="1" outlineLevel="1" x14ac:dyDescent="0.25">
      <c r="B228" s="425">
        <v>43617</v>
      </c>
      <c r="C228" s="381">
        <v>22</v>
      </c>
      <c r="D228" s="381">
        <v>41</v>
      </c>
      <c r="E228" s="381">
        <v>5</v>
      </c>
      <c r="F228" s="381">
        <v>68</v>
      </c>
    </row>
    <row r="229" spans="2:6" hidden="1" outlineLevel="1" x14ac:dyDescent="0.25">
      <c r="B229" s="425">
        <v>43647</v>
      </c>
      <c r="C229" s="381">
        <v>25</v>
      </c>
      <c r="D229" s="381">
        <v>40</v>
      </c>
      <c r="E229" s="381">
        <v>8</v>
      </c>
      <c r="F229" s="381">
        <v>73</v>
      </c>
    </row>
    <row r="230" spans="2:6" hidden="1" outlineLevel="1" x14ac:dyDescent="0.25">
      <c r="B230" s="425">
        <v>43678</v>
      </c>
      <c r="C230" s="381">
        <v>17</v>
      </c>
      <c r="D230" s="381">
        <v>50</v>
      </c>
      <c r="E230" s="381">
        <v>5</v>
      </c>
      <c r="F230" s="381">
        <v>72</v>
      </c>
    </row>
    <row r="231" spans="2:6" hidden="1" outlineLevel="1" x14ac:dyDescent="0.25">
      <c r="B231" s="425">
        <v>43709</v>
      </c>
      <c r="C231" s="381">
        <v>19</v>
      </c>
      <c r="D231" s="381">
        <v>54</v>
      </c>
      <c r="E231" s="381">
        <v>8</v>
      </c>
      <c r="F231" s="381">
        <v>81</v>
      </c>
    </row>
    <row r="232" spans="2:6" hidden="1" outlineLevel="1" x14ac:dyDescent="0.25">
      <c r="B232" s="425">
        <v>43739</v>
      </c>
      <c r="C232" s="381">
        <v>7</v>
      </c>
      <c r="D232" s="381">
        <v>24</v>
      </c>
      <c r="E232" s="381">
        <v>2</v>
      </c>
      <c r="F232" s="381">
        <v>33</v>
      </c>
    </row>
    <row r="233" spans="2:6" hidden="1" outlineLevel="1" x14ac:dyDescent="0.25">
      <c r="B233" s="425">
        <v>43770</v>
      </c>
      <c r="C233" s="381">
        <v>16</v>
      </c>
      <c r="D233" s="381">
        <v>57</v>
      </c>
      <c r="E233" s="381">
        <v>5</v>
      </c>
      <c r="F233" s="381">
        <v>78</v>
      </c>
    </row>
    <row r="234" spans="2:6" hidden="1" outlineLevel="1" x14ac:dyDescent="0.25">
      <c r="B234" s="425">
        <v>43800</v>
      </c>
      <c r="C234" s="381">
        <v>1</v>
      </c>
      <c r="D234" s="381">
        <v>72</v>
      </c>
      <c r="E234" s="381">
        <v>4</v>
      </c>
      <c r="F234" s="381">
        <v>77</v>
      </c>
    </row>
    <row r="235" spans="2:6" collapsed="1" x14ac:dyDescent="0.25">
      <c r="B235" s="344" t="s">
        <v>70</v>
      </c>
      <c r="C235" s="345">
        <v>185</v>
      </c>
      <c r="D235" s="345">
        <v>496</v>
      </c>
      <c r="E235" s="345">
        <v>56</v>
      </c>
      <c r="F235" s="345">
        <v>737</v>
      </c>
    </row>
    <row r="236" spans="2:6" hidden="1" outlineLevel="1" x14ac:dyDescent="0.25">
      <c r="B236" s="425">
        <v>43831</v>
      </c>
      <c r="C236" s="381">
        <v>5</v>
      </c>
      <c r="D236" s="381">
        <v>54</v>
      </c>
      <c r="E236" s="381">
        <v>24</v>
      </c>
      <c r="F236" s="381">
        <v>83</v>
      </c>
    </row>
    <row r="237" spans="2:6" hidden="1" outlineLevel="1" x14ac:dyDescent="0.25">
      <c r="B237" s="425">
        <v>43862</v>
      </c>
      <c r="C237" s="381">
        <v>7</v>
      </c>
      <c r="D237" s="381">
        <v>70</v>
      </c>
      <c r="E237" s="381">
        <v>14</v>
      </c>
      <c r="F237" s="381">
        <v>91</v>
      </c>
    </row>
    <row r="238" spans="2:6" hidden="1" outlineLevel="1" x14ac:dyDescent="0.25">
      <c r="B238" s="425">
        <v>43891</v>
      </c>
      <c r="C238" s="381">
        <v>6</v>
      </c>
      <c r="D238" s="381">
        <v>59</v>
      </c>
      <c r="E238" s="381">
        <v>8</v>
      </c>
      <c r="F238" s="381">
        <v>73</v>
      </c>
    </row>
    <row r="239" spans="2:6" hidden="1" outlineLevel="1" x14ac:dyDescent="0.25">
      <c r="B239" s="425">
        <v>43922</v>
      </c>
      <c r="C239" s="381">
        <v>3</v>
      </c>
      <c r="D239" s="381">
        <v>8</v>
      </c>
      <c r="E239" s="381">
        <v>2</v>
      </c>
      <c r="F239" s="381">
        <v>13</v>
      </c>
    </row>
    <row r="240" spans="2:6" hidden="1" outlineLevel="1" x14ac:dyDescent="0.25">
      <c r="B240" s="425">
        <v>43952</v>
      </c>
      <c r="C240" s="381">
        <v>5</v>
      </c>
      <c r="D240" s="381">
        <v>7</v>
      </c>
      <c r="E240" s="381">
        <v>4</v>
      </c>
      <c r="F240" s="381">
        <v>16</v>
      </c>
    </row>
    <row r="241" spans="2:6" hidden="1" outlineLevel="1" x14ac:dyDescent="0.25">
      <c r="B241" s="425">
        <v>43983</v>
      </c>
      <c r="C241" s="381">
        <v>4</v>
      </c>
      <c r="D241" s="381">
        <v>9</v>
      </c>
      <c r="E241" s="381">
        <v>3</v>
      </c>
      <c r="F241" s="381">
        <v>16</v>
      </c>
    </row>
    <row r="242" spans="2:6" hidden="1" outlineLevel="1" x14ac:dyDescent="0.25">
      <c r="B242" s="425">
        <v>44013</v>
      </c>
      <c r="C242" s="381">
        <v>5</v>
      </c>
      <c r="D242" s="381">
        <v>9</v>
      </c>
      <c r="E242" s="381">
        <v>12</v>
      </c>
      <c r="F242" s="381">
        <v>26</v>
      </c>
    </row>
    <row r="243" spans="2:6" hidden="1" outlineLevel="1" x14ac:dyDescent="0.25">
      <c r="B243" s="425">
        <v>44044</v>
      </c>
      <c r="C243" s="381">
        <v>2</v>
      </c>
      <c r="D243" s="381">
        <v>14</v>
      </c>
      <c r="E243" s="381">
        <v>11</v>
      </c>
      <c r="F243" s="381">
        <v>27</v>
      </c>
    </row>
    <row r="244" spans="2:6" hidden="1" outlineLevel="1" x14ac:dyDescent="0.25">
      <c r="B244" s="425">
        <v>44075</v>
      </c>
      <c r="C244" s="381">
        <v>7</v>
      </c>
      <c r="D244" s="381">
        <v>22</v>
      </c>
      <c r="E244" s="381">
        <v>3</v>
      </c>
      <c r="F244" s="381">
        <v>32</v>
      </c>
    </row>
    <row r="245" spans="2:6" hidden="1" outlineLevel="1" x14ac:dyDescent="0.25">
      <c r="B245" s="425">
        <v>44105</v>
      </c>
      <c r="C245" s="381">
        <v>2</v>
      </c>
      <c r="D245" s="381">
        <v>38</v>
      </c>
      <c r="E245" s="381">
        <v>5</v>
      </c>
      <c r="F245" s="381">
        <v>45</v>
      </c>
    </row>
    <row r="246" spans="2:6" hidden="1" outlineLevel="1" x14ac:dyDescent="0.25">
      <c r="B246" s="425">
        <v>44136</v>
      </c>
      <c r="C246" s="381">
        <v>0</v>
      </c>
      <c r="D246" s="381">
        <v>16</v>
      </c>
      <c r="E246" s="381">
        <v>5</v>
      </c>
      <c r="F246" s="381">
        <v>21</v>
      </c>
    </row>
    <row r="247" spans="2:6" hidden="1" outlineLevel="1" x14ac:dyDescent="0.25">
      <c r="B247" s="425">
        <v>44166</v>
      </c>
      <c r="C247" s="381">
        <v>0</v>
      </c>
      <c r="D247" s="381">
        <v>11</v>
      </c>
      <c r="E247" s="381">
        <v>3</v>
      </c>
      <c r="F247" s="381">
        <v>14</v>
      </c>
    </row>
    <row r="248" spans="2:6" collapsed="1" x14ac:dyDescent="0.25">
      <c r="B248" s="341" t="s">
        <v>74</v>
      </c>
      <c r="C248" s="345">
        <v>46</v>
      </c>
      <c r="D248" s="345">
        <v>317</v>
      </c>
      <c r="E248" s="345">
        <v>94</v>
      </c>
      <c r="F248" s="345">
        <v>457</v>
      </c>
    </row>
    <row r="249" spans="2:6" outlineLevel="1" x14ac:dyDescent="0.25">
      <c r="B249" s="232">
        <v>44197</v>
      </c>
      <c r="C249" s="380">
        <v>1</v>
      </c>
      <c r="D249" s="380">
        <v>19</v>
      </c>
      <c r="E249" s="380">
        <v>1</v>
      </c>
      <c r="F249" s="381">
        <v>21</v>
      </c>
    </row>
    <row r="250" spans="2:6" outlineLevel="1" x14ac:dyDescent="0.25">
      <c r="B250" s="232">
        <v>44228</v>
      </c>
      <c r="C250" s="380">
        <v>0</v>
      </c>
      <c r="D250" s="380">
        <v>12</v>
      </c>
      <c r="E250" s="380">
        <v>0</v>
      </c>
      <c r="F250" s="381">
        <v>12</v>
      </c>
    </row>
    <row r="251" spans="2:6" outlineLevel="1" x14ac:dyDescent="0.25">
      <c r="B251" s="232">
        <v>44256</v>
      </c>
      <c r="C251" s="380">
        <v>2</v>
      </c>
      <c r="D251" s="380">
        <v>13</v>
      </c>
      <c r="E251" s="380">
        <v>2</v>
      </c>
      <c r="F251" s="381">
        <v>17</v>
      </c>
    </row>
    <row r="252" spans="2:6" outlineLevel="1" x14ac:dyDescent="0.25">
      <c r="B252" s="232">
        <v>44287</v>
      </c>
      <c r="C252" s="380">
        <v>0</v>
      </c>
      <c r="D252" s="380">
        <v>9</v>
      </c>
      <c r="E252" s="380">
        <v>0</v>
      </c>
      <c r="F252" s="381">
        <v>9</v>
      </c>
    </row>
    <row r="253" spans="2:6" outlineLevel="1" x14ac:dyDescent="0.25">
      <c r="B253" s="232">
        <v>44317</v>
      </c>
      <c r="C253" s="380">
        <v>1</v>
      </c>
      <c r="D253" s="380">
        <v>28</v>
      </c>
      <c r="E253" s="380">
        <v>8</v>
      </c>
      <c r="F253" s="381">
        <v>37</v>
      </c>
    </row>
    <row r="254" spans="2:6" outlineLevel="1" x14ac:dyDescent="0.25">
      <c r="B254" s="232">
        <v>44348</v>
      </c>
      <c r="C254" s="380">
        <v>3</v>
      </c>
      <c r="D254" s="380">
        <v>35</v>
      </c>
      <c r="E254" s="380">
        <v>16</v>
      </c>
      <c r="F254" s="381">
        <v>54</v>
      </c>
    </row>
    <row r="255" spans="2:6" outlineLevel="1" x14ac:dyDescent="0.25">
      <c r="B255" s="232">
        <v>44378</v>
      </c>
      <c r="C255" s="380">
        <v>4</v>
      </c>
      <c r="D255" s="380">
        <v>9</v>
      </c>
      <c r="E255" s="380">
        <v>1</v>
      </c>
      <c r="F255" s="381">
        <v>14</v>
      </c>
    </row>
    <row r="256" spans="2:6" outlineLevel="1" x14ac:dyDescent="0.25">
      <c r="B256" s="232">
        <v>44409</v>
      </c>
      <c r="C256" s="380">
        <v>1</v>
      </c>
      <c r="D256" s="380">
        <v>38</v>
      </c>
      <c r="E256" s="380">
        <v>11</v>
      </c>
      <c r="F256" s="381">
        <v>50</v>
      </c>
    </row>
    <row r="257" spans="2:6" outlineLevel="1" x14ac:dyDescent="0.25">
      <c r="B257" s="232">
        <v>44440</v>
      </c>
      <c r="C257" s="380">
        <v>2</v>
      </c>
      <c r="D257" s="380">
        <v>15</v>
      </c>
      <c r="E257" s="380">
        <v>0</v>
      </c>
      <c r="F257" s="381">
        <v>17</v>
      </c>
    </row>
    <row r="258" spans="2:6" outlineLevel="1" x14ac:dyDescent="0.25">
      <c r="B258" s="232">
        <v>44470</v>
      </c>
      <c r="C258" s="380">
        <v>3</v>
      </c>
      <c r="D258" s="380">
        <v>14</v>
      </c>
      <c r="E258" s="380">
        <v>0</v>
      </c>
      <c r="F258" s="381">
        <v>17</v>
      </c>
    </row>
    <row r="259" spans="2:6" outlineLevel="1" x14ac:dyDescent="0.25">
      <c r="B259" s="232">
        <v>44501</v>
      </c>
      <c r="C259" s="380">
        <v>2</v>
      </c>
      <c r="D259" s="380">
        <v>11</v>
      </c>
      <c r="E259" s="380">
        <v>0</v>
      </c>
      <c r="F259" s="381">
        <v>13</v>
      </c>
    </row>
    <row r="260" spans="2:6" outlineLevel="1" x14ac:dyDescent="0.25">
      <c r="B260" s="232">
        <v>44531</v>
      </c>
      <c r="C260" s="380">
        <v>10</v>
      </c>
      <c r="D260" s="380">
        <v>13</v>
      </c>
      <c r="E260" s="380">
        <v>12</v>
      </c>
      <c r="F260" s="381">
        <v>35</v>
      </c>
    </row>
    <row r="261" spans="2:6" x14ac:dyDescent="0.25">
      <c r="B261" s="341" t="s">
        <v>75</v>
      </c>
      <c r="C261" s="345">
        <v>29</v>
      </c>
      <c r="D261" s="345">
        <v>216</v>
      </c>
      <c r="E261" s="345">
        <v>51</v>
      </c>
      <c r="F261" s="345">
        <v>296</v>
      </c>
    </row>
    <row r="262" spans="2:6" outlineLevel="1" x14ac:dyDescent="0.25">
      <c r="B262" s="232">
        <v>44562</v>
      </c>
      <c r="C262" s="380">
        <v>21</v>
      </c>
      <c r="D262" s="380">
        <v>8</v>
      </c>
      <c r="E262" s="380">
        <v>23</v>
      </c>
      <c r="F262" s="381">
        <v>52</v>
      </c>
    </row>
    <row r="263" spans="2:6" outlineLevel="1" x14ac:dyDescent="0.25">
      <c r="B263" s="232">
        <v>44593</v>
      </c>
      <c r="C263" s="380">
        <v>24</v>
      </c>
      <c r="D263" s="380">
        <v>10</v>
      </c>
      <c r="E263" s="380">
        <v>13</v>
      </c>
      <c r="F263" s="381">
        <v>47</v>
      </c>
    </row>
    <row r="264" spans="2:6" outlineLevel="1" x14ac:dyDescent="0.25">
      <c r="B264" s="232">
        <v>44621</v>
      </c>
      <c r="C264" s="380">
        <v>44</v>
      </c>
      <c r="D264" s="380">
        <v>13</v>
      </c>
      <c r="E264" s="380">
        <v>12</v>
      </c>
      <c r="F264" s="381">
        <v>69</v>
      </c>
    </row>
    <row r="265" spans="2:6" outlineLevel="1" x14ac:dyDescent="0.25">
      <c r="B265" s="232">
        <v>44652</v>
      </c>
      <c r="C265" s="380">
        <v>41</v>
      </c>
      <c r="D265" s="380">
        <v>6</v>
      </c>
      <c r="E265" s="380">
        <v>28</v>
      </c>
      <c r="F265" s="381">
        <v>75</v>
      </c>
    </row>
    <row r="266" spans="2:6" outlineLevel="1" x14ac:dyDescent="0.25">
      <c r="B266" s="232">
        <v>44682</v>
      </c>
      <c r="C266" s="380">
        <v>49</v>
      </c>
      <c r="D266" s="380">
        <v>13</v>
      </c>
      <c r="E266" s="380">
        <v>18</v>
      </c>
      <c r="F266" s="381">
        <v>80</v>
      </c>
    </row>
    <row r="267" spans="2:6" outlineLevel="1" x14ac:dyDescent="0.25">
      <c r="B267" s="232">
        <v>44713</v>
      </c>
      <c r="C267" s="380">
        <v>24</v>
      </c>
      <c r="D267" s="380">
        <v>13</v>
      </c>
      <c r="E267" s="380">
        <v>14</v>
      </c>
      <c r="F267" s="381">
        <v>51</v>
      </c>
    </row>
    <row r="268" spans="2:6" outlineLevel="1" x14ac:dyDescent="0.25">
      <c r="B268" s="232">
        <v>44743</v>
      </c>
      <c r="C268" s="380">
        <v>17</v>
      </c>
      <c r="D268" s="380">
        <v>9</v>
      </c>
      <c r="E268" s="380">
        <v>12</v>
      </c>
      <c r="F268" s="381">
        <v>38</v>
      </c>
    </row>
    <row r="269" spans="2:6" outlineLevel="1" x14ac:dyDescent="0.25">
      <c r="B269" s="232">
        <v>44774</v>
      </c>
      <c r="C269" s="380">
        <v>12</v>
      </c>
      <c r="D269" s="380">
        <v>17</v>
      </c>
      <c r="E269" s="380">
        <v>6</v>
      </c>
      <c r="F269" s="381">
        <v>35</v>
      </c>
    </row>
    <row r="270" spans="2:6" outlineLevel="1" x14ac:dyDescent="0.25">
      <c r="B270" s="232">
        <v>44805</v>
      </c>
      <c r="C270" s="380">
        <v>11</v>
      </c>
      <c r="D270" s="380">
        <v>2</v>
      </c>
      <c r="E270" s="380">
        <v>2</v>
      </c>
      <c r="F270" s="381">
        <v>15</v>
      </c>
    </row>
    <row r="271" spans="2:6" outlineLevel="1" x14ac:dyDescent="0.25">
      <c r="B271" s="232">
        <v>44835</v>
      </c>
      <c r="C271" s="380">
        <v>12</v>
      </c>
      <c r="D271" s="380">
        <v>15</v>
      </c>
      <c r="E271" s="380">
        <v>6</v>
      </c>
      <c r="F271" s="381">
        <v>33</v>
      </c>
    </row>
    <row r="272" spans="2:6" outlineLevel="1" x14ac:dyDescent="0.25">
      <c r="B272" s="232">
        <v>44866</v>
      </c>
      <c r="C272" s="380">
        <v>9</v>
      </c>
      <c r="D272" s="380">
        <v>29</v>
      </c>
      <c r="E272" s="380">
        <v>15</v>
      </c>
      <c r="F272" s="381">
        <v>53</v>
      </c>
    </row>
    <row r="273" spans="2:6" outlineLevel="1" x14ac:dyDescent="0.25">
      <c r="B273" s="232">
        <v>44896</v>
      </c>
      <c r="C273" s="380">
        <v>8</v>
      </c>
      <c r="D273" s="380">
        <v>31</v>
      </c>
      <c r="E273" s="380">
        <v>10</v>
      </c>
      <c r="F273" s="381">
        <v>49</v>
      </c>
    </row>
    <row r="274" spans="2:6" x14ac:dyDescent="0.25">
      <c r="B274" s="341" t="s">
        <v>76</v>
      </c>
      <c r="C274" s="345">
        <v>272</v>
      </c>
      <c r="D274" s="345">
        <v>166</v>
      </c>
      <c r="E274" s="345">
        <v>159</v>
      </c>
      <c r="F274" s="345">
        <v>597</v>
      </c>
    </row>
    <row r="275" spans="2:6" outlineLevel="1" x14ac:dyDescent="0.25">
      <c r="B275" s="260">
        <v>44927</v>
      </c>
      <c r="C275" s="380">
        <v>5</v>
      </c>
      <c r="D275" s="380">
        <v>40</v>
      </c>
      <c r="E275" s="380">
        <v>4</v>
      </c>
      <c r="F275" s="381">
        <v>49</v>
      </c>
    </row>
    <row r="276" spans="2:6" outlineLevel="1" x14ac:dyDescent="0.25">
      <c r="B276" s="260">
        <v>44958</v>
      </c>
      <c r="C276" s="380">
        <v>2</v>
      </c>
      <c r="D276" s="380">
        <v>13</v>
      </c>
      <c r="E276" s="380">
        <v>4</v>
      </c>
      <c r="F276" s="381">
        <v>19</v>
      </c>
    </row>
    <row r="277" spans="2:6" outlineLevel="1" x14ac:dyDescent="0.25">
      <c r="B277" s="260">
        <v>44986</v>
      </c>
      <c r="C277" s="380">
        <v>22</v>
      </c>
      <c r="D277" s="380">
        <v>15</v>
      </c>
      <c r="E277" s="380">
        <v>4</v>
      </c>
      <c r="F277" s="381">
        <v>41</v>
      </c>
    </row>
    <row r="278" spans="2:6" ht="30" x14ac:dyDescent="0.25">
      <c r="B278" s="259" t="s">
        <v>950</v>
      </c>
      <c r="C278" s="345">
        <v>29</v>
      </c>
      <c r="D278" s="345">
        <v>68</v>
      </c>
      <c r="E278" s="345">
        <v>12</v>
      </c>
      <c r="F278" s="345">
        <v>109</v>
      </c>
    </row>
    <row r="279" spans="2:6" x14ac:dyDescent="0.25">
      <c r="B279" s="4" t="s">
        <v>952</v>
      </c>
    </row>
  </sheetData>
  <mergeCells count="6">
    <mergeCell ref="B142:B143"/>
    <mergeCell ref="C142:E142"/>
    <mergeCell ref="F142:F143"/>
    <mergeCell ref="D7:F7"/>
    <mergeCell ref="C7:C8"/>
    <mergeCell ref="B7:B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289"/>
  <sheetViews>
    <sheetView showGridLines="0" workbookViewId="0">
      <selection activeCell="B147" sqref="B147"/>
    </sheetView>
  </sheetViews>
  <sheetFormatPr baseColWidth="10" defaultRowHeight="15" outlineLevelRow="1" x14ac:dyDescent="0.25"/>
  <cols>
    <col min="2" max="2" width="19.28515625" customWidth="1"/>
  </cols>
  <sheetData>
    <row r="2" spans="2:12" ht="23.25" x14ac:dyDescent="0.25">
      <c r="B2" s="1" t="s">
        <v>849</v>
      </c>
    </row>
    <row r="4" spans="2:12" ht="18.75" x14ac:dyDescent="0.3">
      <c r="B4" s="2" t="s">
        <v>850</v>
      </c>
      <c r="C4" s="2"/>
      <c r="D4" s="2"/>
      <c r="E4" s="2"/>
      <c r="F4" s="2"/>
      <c r="G4" s="2"/>
      <c r="H4" s="2"/>
      <c r="I4" s="2"/>
      <c r="J4" s="2"/>
      <c r="K4" s="2"/>
      <c r="L4" s="2"/>
    </row>
    <row r="5" spans="2:12" x14ac:dyDescent="0.25">
      <c r="B5" s="29" t="s">
        <v>878</v>
      </c>
    </row>
    <row r="7" spans="2:12" x14ac:dyDescent="0.25">
      <c r="B7" s="283" t="s">
        <v>483</v>
      </c>
      <c r="C7" s="271" t="s">
        <v>83</v>
      </c>
      <c r="D7" s="271" t="s">
        <v>84</v>
      </c>
      <c r="E7" s="271" t="s">
        <v>603</v>
      </c>
    </row>
    <row r="8" spans="2:12" x14ac:dyDescent="0.25">
      <c r="B8" s="339" t="s">
        <v>847</v>
      </c>
      <c r="C8" s="297"/>
      <c r="D8" s="297"/>
      <c r="E8" s="337">
        <v>122650</v>
      </c>
    </row>
    <row r="9" spans="2:12" x14ac:dyDescent="0.25">
      <c r="B9" s="340" t="s">
        <v>824</v>
      </c>
      <c r="C9" s="297"/>
      <c r="D9" s="297"/>
      <c r="E9" s="337">
        <v>32605</v>
      </c>
    </row>
    <row r="10" spans="2:12" hidden="1" outlineLevel="1" x14ac:dyDescent="0.25">
      <c r="B10" s="427">
        <v>41275</v>
      </c>
      <c r="C10" s="298"/>
      <c r="D10" s="298"/>
      <c r="E10" s="426">
        <v>2532</v>
      </c>
    </row>
    <row r="11" spans="2:12" hidden="1" outlineLevel="1" x14ac:dyDescent="0.25">
      <c r="B11" s="427">
        <v>41306</v>
      </c>
      <c r="C11" s="298"/>
      <c r="D11" s="298"/>
      <c r="E11" s="426">
        <v>2439</v>
      </c>
    </row>
    <row r="12" spans="2:12" hidden="1" outlineLevel="1" x14ac:dyDescent="0.25">
      <c r="B12" s="427">
        <v>41334</v>
      </c>
      <c r="C12" s="298"/>
      <c r="D12" s="298"/>
      <c r="E12" s="426">
        <v>2431</v>
      </c>
    </row>
    <row r="13" spans="2:12" hidden="1" outlineLevel="1" x14ac:dyDescent="0.25">
      <c r="B13" s="427">
        <v>41365</v>
      </c>
      <c r="C13" s="298"/>
      <c r="D13" s="298"/>
      <c r="E13" s="426">
        <v>1851</v>
      </c>
    </row>
    <row r="14" spans="2:12" hidden="1" outlineLevel="1" x14ac:dyDescent="0.25">
      <c r="B14" s="427">
        <v>41395</v>
      </c>
      <c r="C14" s="298"/>
      <c r="D14" s="298"/>
      <c r="E14" s="426">
        <v>2369</v>
      </c>
    </row>
    <row r="15" spans="2:12" hidden="1" outlineLevel="1" x14ac:dyDescent="0.25">
      <c r="B15" s="427">
        <v>41426</v>
      </c>
      <c r="C15" s="298"/>
      <c r="D15" s="298"/>
      <c r="E15" s="426">
        <v>2281</v>
      </c>
    </row>
    <row r="16" spans="2:12" hidden="1" outlineLevel="1" x14ac:dyDescent="0.25">
      <c r="B16" s="427">
        <v>41456</v>
      </c>
      <c r="C16" s="298"/>
      <c r="D16" s="298"/>
      <c r="E16" s="426">
        <v>2297</v>
      </c>
    </row>
    <row r="17" spans="2:5" hidden="1" outlineLevel="1" x14ac:dyDescent="0.25">
      <c r="B17" s="427">
        <v>41487</v>
      </c>
      <c r="C17" s="298"/>
      <c r="D17" s="298"/>
      <c r="E17" s="426">
        <v>1478</v>
      </c>
    </row>
    <row r="18" spans="2:5" hidden="1" outlineLevel="1" x14ac:dyDescent="0.25">
      <c r="B18" s="427">
        <v>41518</v>
      </c>
      <c r="C18" s="298"/>
      <c r="D18" s="298"/>
      <c r="E18" s="426">
        <v>1310</v>
      </c>
    </row>
    <row r="19" spans="2:5" hidden="1" outlineLevel="1" x14ac:dyDescent="0.25">
      <c r="B19" s="427">
        <v>41548</v>
      </c>
      <c r="C19" s="298"/>
      <c r="D19" s="298"/>
      <c r="E19" s="426">
        <v>1141</v>
      </c>
    </row>
    <row r="20" spans="2:5" hidden="1" outlineLevel="1" x14ac:dyDescent="0.25">
      <c r="B20" s="427">
        <v>41579</v>
      </c>
      <c r="C20" s="298"/>
      <c r="D20" s="298"/>
      <c r="E20" s="426">
        <v>925</v>
      </c>
    </row>
    <row r="21" spans="2:5" hidden="1" outlineLevel="1" x14ac:dyDescent="0.25">
      <c r="B21" s="427">
        <v>41609</v>
      </c>
      <c r="C21" s="298"/>
      <c r="D21" s="298"/>
      <c r="E21" s="426">
        <v>2271</v>
      </c>
    </row>
    <row r="22" spans="2:5" collapsed="1" x14ac:dyDescent="0.25">
      <c r="B22" s="339" t="s">
        <v>44</v>
      </c>
      <c r="C22" s="297"/>
      <c r="D22" s="297"/>
      <c r="E22" s="337">
        <v>23325</v>
      </c>
    </row>
    <row r="23" spans="2:5" hidden="1" outlineLevel="1" x14ac:dyDescent="0.25">
      <c r="B23" s="427">
        <v>41640</v>
      </c>
      <c r="C23" s="298"/>
      <c r="D23" s="298"/>
      <c r="E23" s="426">
        <v>2624</v>
      </c>
    </row>
    <row r="24" spans="2:5" hidden="1" outlineLevel="1" x14ac:dyDescent="0.25">
      <c r="B24" s="427">
        <v>41671</v>
      </c>
      <c r="C24" s="298"/>
      <c r="D24" s="298"/>
      <c r="E24" s="426">
        <v>1598</v>
      </c>
    </row>
    <row r="25" spans="2:5" hidden="1" outlineLevel="1" x14ac:dyDescent="0.25">
      <c r="B25" s="427">
        <v>41699</v>
      </c>
      <c r="C25" s="298"/>
      <c r="D25" s="298"/>
      <c r="E25" s="426">
        <v>1914</v>
      </c>
    </row>
    <row r="26" spans="2:5" hidden="1" outlineLevel="1" x14ac:dyDescent="0.25">
      <c r="B26" s="427">
        <v>41730</v>
      </c>
      <c r="C26" s="298"/>
      <c r="D26" s="298"/>
      <c r="E26" s="426">
        <v>1065</v>
      </c>
    </row>
    <row r="27" spans="2:5" hidden="1" outlineLevel="1" x14ac:dyDescent="0.25">
      <c r="B27" s="427">
        <v>41760</v>
      </c>
      <c r="C27" s="298"/>
      <c r="D27" s="298"/>
      <c r="E27" s="426">
        <v>1919</v>
      </c>
    </row>
    <row r="28" spans="2:5" hidden="1" outlineLevel="1" x14ac:dyDescent="0.25">
      <c r="B28" s="427">
        <v>41791</v>
      </c>
      <c r="C28" s="298"/>
      <c r="D28" s="298"/>
      <c r="E28" s="426">
        <v>1580</v>
      </c>
    </row>
    <row r="29" spans="2:5" hidden="1" outlineLevel="1" x14ac:dyDescent="0.25">
      <c r="B29" s="427">
        <v>41821</v>
      </c>
      <c r="C29" s="298"/>
      <c r="D29" s="298"/>
      <c r="E29" s="426">
        <v>1542</v>
      </c>
    </row>
    <row r="30" spans="2:5" hidden="1" outlineLevel="1" x14ac:dyDescent="0.25">
      <c r="B30" s="427">
        <v>41852</v>
      </c>
      <c r="C30" s="298"/>
      <c r="D30" s="298"/>
      <c r="E30" s="426">
        <v>1606</v>
      </c>
    </row>
    <row r="31" spans="2:5" hidden="1" outlineLevel="1" x14ac:dyDescent="0.25">
      <c r="B31" s="427">
        <v>41883</v>
      </c>
      <c r="C31" s="298"/>
      <c r="D31" s="298"/>
      <c r="E31" s="426">
        <v>2676</v>
      </c>
    </row>
    <row r="32" spans="2:5" hidden="1" outlineLevel="1" x14ac:dyDescent="0.25">
      <c r="B32" s="427">
        <v>41913</v>
      </c>
      <c r="C32" s="298"/>
      <c r="D32" s="298"/>
      <c r="E32" s="426">
        <v>2626</v>
      </c>
    </row>
    <row r="33" spans="2:5" hidden="1" outlineLevel="1" x14ac:dyDescent="0.25">
      <c r="B33" s="427">
        <v>41944</v>
      </c>
      <c r="C33" s="298"/>
      <c r="D33" s="298"/>
      <c r="E33" s="426">
        <v>2422</v>
      </c>
    </row>
    <row r="34" spans="2:5" hidden="1" outlineLevel="1" x14ac:dyDescent="0.25">
      <c r="B34" s="427">
        <v>41974</v>
      </c>
      <c r="C34" s="298"/>
      <c r="D34" s="298"/>
      <c r="E34" s="426">
        <v>1349</v>
      </c>
    </row>
    <row r="35" spans="2:5" collapsed="1" x14ac:dyDescent="0.25">
      <c r="B35" s="339" t="s">
        <v>46</v>
      </c>
      <c r="C35" s="297"/>
      <c r="D35" s="297"/>
      <c r="E35" s="337">
        <v>22921</v>
      </c>
    </row>
    <row r="36" spans="2:5" hidden="1" outlineLevel="1" x14ac:dyDescent="0.25">
      <c r="B36" s="427">
        <v>42005</v>
      </c>
      <c r="C36" s="298"/>
      <c r="D36" s="298"/>
      <c r="E36" s="426">
        <v>2382</v>
      </c>
    </row>
    <row r="37" spans="2:5" hidden="1" outlineLevel="1" x14ac:dyDescent="0.25">
      <c r="B37" s="427">
        <v>42036</v>
      </c>
      <c r="C37" s="298"/>
      <c r="D37" s="298"/>
      <c r="E37" s="426">
        <v>3962</v>
      </c>
    </row>
    <row r="38" spans="2:5" hidden="1" outlineLevel="1" x14ac:dyDescent="0.25">
      <c r="B38" s="427">
        <v>42064</v>
      </c>
      <c r="C38" s="298"/>
      <c r="D38" s="298"/>
      <c r="E38" s="426">
        <v>2652</v>
      </c>
    </row>
    <row r="39" spans="2:5" hidden="1" outlineLevel="1" x14ac:dyDescent="0.25">
      <c r="B39" s="427">
        <v>42095</v>
      </c>
      <c r="C39" s="298"/>
      <c r="D39" s="298"/>
      <c r="E39" s="426">
        <v>3302</v>
      </c>
    </row>
    <row r="40" spans="2:5" hidden="1" outlineLevel="1" x14ac:dyDescent="0.25">
      <c r="B40" s="427">
        <v>42125</v>
      </c>
      <c r="C40" s="298"/>
      <c r="D40" s="298"/>
      <c r="E40" s="426">
        <v>1564</v>
      </c>
    </row>
    <row r="41" spans="2:5" hidden="1" outlineLevel="1" x14ac:dyDescent="0.25">
      <c r="B41" s="427">
        <v>42156</v>
      </c>
      <c r="C41" s="298"/>
      <c r="D41" s="298"/>
      <c r="E41" s="426">
        <v>2459</v>
      </c>
    </row>
    <row r="42" spans="2:5" hidden="1" outlineLevel="1" x14ac:dyDescent="0.25">
      <c r="B42" s="427">
        <v>42186</v>
      </c>
      <c r="C42" s="298"/>
      <c r="D42" s="298"/>
      <c r="E42" s="426">
        <v>1307</v>
      </c>
    </row>
    <row r="43" spans="2:5" hidden="1" outlineLevel="1" x14ac:dyDescent="0.25">
      <c r="B43" s="427">
        <v>42217</v>
      </c>
      <c r="C43" s="298"/>
      <c r="D43" s="298"/>
      <c r="E43" s="426">
        <v>2005</v>
      </c>
    </row>
    <row r="44" spans="2:5" hidden="1" outlineLevel="1" x14ac:dyDescent="0.25">
      <c r="B44" s="427">
        <v>42248</v>
      </c>
      <c r="C44" s="298"/>
      <c r="D44" s="298"/>
      <c r="E44" s="426">
        <v>1605</v>
      </c>
    </row>
    <row r="45" spans="2:5" hidden="1" outlineLevel="1" x14ac:dyDescent="0.25">
      <c r="B45" s="427">
        <v>42278</v>
      </c>
      <c r="C45" s="298"/>
      <c r="D45" s="298"/>
      <c r="E45" s="426">
        <v>5170</v>
      </c>
    </row>
    <row r="46" spans="2:5" hidden="1" outlineLevel="1" x14ac:dyDescent="0.25">
      <c r="B46" s="427">
        <v>42309</v>
      </c>
      <c r="C46" s="298"/>
      <c r="D46" s="298"/>
      <c r="E46" s="426">
        <v>2737</v>
      </c>
    </row>
    <row r="47" spans="2:5" hidden="1" outlineLevel="1" x14ac:dyDescent="0.25">
      <c r="B47" s="427">
        <v>42339</v>
      </c>
      <c r="C47" s="298"/>
      <c r="D47" s="298"/>
      <c r="E47" s="426">
        <v>1802</v>
      </c>
    </row>
    <row r="48" spans="2:5" collapsed="1" x14ac:dyDescent="0.25">
      <c r="B48" s="339" t="s">
        <v>48</v>
      </c>
      <c r="C48" s="297"/>
      <c r="D48" s="297"/>
      <c r="E48" s="297">
        <v>30947</v>
      </c>
    </row>
    <row r="49" spans="2:5" hidden="1" outlineLevel="1" x14ac:dyDescent="0.25">
      <c r="B49" s="427">
        <v>42370</v>
      </c>
      <c r="C49" s="298"/>
      <c r="D49" s="298"/>
      <c r="E49" s="298">
        <v>3979</v>
      </c>
    </row>
    <row r="50" spans="2:5" hidden="1" outlineLevel="1" x14ac:dyDescent="0.25">
      <c r="B50" s="427">
        <v>42401</v>
      </c>
      <c r="C50" s="298"/>
      <c r="D50" s="298"/>
      <c r="E50" s="298">
        <v>4366</v>
      </c>
    </row>
    <row r="51" spans="2:5" hidden="1" outlineLevel="1" x14ac:dyDescent="0.25">
      <c r="B51" s="427">
        <v>42430</v>
      </c>
      <c r="C51" s="298"/>
      <c r="D51" s="298"/>
      <c r="E51" s="298">
        <v>2056</v>
      </c>
    </row>
    <row r="52" spans="2:5" hidden="1" outlineLevel="1" x14ac:dyDescent="0.25">
      <c r="B52" s="427">
        <v>42461</v>
      </c>
      <c r="C52" s="298"/>
      <c r="D52" s="298"/>
      <c r="E52" s="298">
        <v>2454</v>
      </c>
    </row>
    <row r="53" spans="2:5" hidden="1" outlineLevel="1" x14ac:dyDescent="0.25">
      <c r="B53" s="427">
        <v>42491</v>
      </c>
      <c r="C53" s="298">
        <v>1021</v>
      </c>
      <c r="D53" s="298">
        <v>834</v>
      </c>
      <c r="E53" s="298">
        <v>1855</v>
      </c>
    </row>
    <row r="54" spans="2:5" hidden="1" outlineLevel="1" x14ac:dyDescent="0.25">
      <c r="B54" s="427">
        <v>42522</v>
      </c>
      <c r="C54" s="298">
        <v>983</v>
      </c>
      <c r="D54" s="298">
        <v>924</v>
      </c>
      <c r="E54" s="298">
        <v>1907</v>
      </c>
    </row>
    <row r="55" spans="2:5" hidden="1" outlineLevel="1" x14ac:dyDescent="0.25">
      <c r="B55" s="427">
        <v>42552</v>
      </c>
      <c r="C55" s="298">
        <v>1011</v>
      </c>
      <c r="D55" s="298">
        <v>872</v>
      </c>
      <c r="E55" s="298">
        <v>1883</v>
      </c>
    </row>
    <row r="56" spans="2:5" hidden="1" outlineLevel="1" x14ac:dyDescent="0.25">
      <c r="B56" s="427">
        <v>42583</v>
      </c>
      <c r="C56" s="298">
        <v>2375</v>
      </c>
      <c r="D56" s="298">
        <v>1728</v>
      </c>
      <c r="E56" s="298">
        <v>4103</v>
      </c>
    </row>
    <row r="57" spans="2:5" hidden="1" outlineLevel="1" x14ac:dyDescent="0.25">
      <c r="B57" s="427">
        <v>42614</v>
      </c>
      <c r="C57" s="298">
        <v>993</v>
      </c>
      <c r="D57" s="298">
        <v>820</v>
      </c>
      <c r="E57" s="298">
        <v>1813</v>
      </c>
    </row>
    <row r="58" spans="2:5" hidden="1" outlineLevel="1" x14ac:dyDescent="0.25">
      <c r="B58" s="427">
        <v>42644</v>
      </c>
      <c r="C58" s="298">
        <v>783</v>
      </c>
      <c r="D58" s="298">
        <v>848</v>
      </c>
      <c r="E58" s="298">
        <v>1631</v>
      </c>
    </row>
    <row r="59" spans="2:5" hidden="1" outlineLevel="1" x14ac:dyDescent="0.25">
      <c r="B59" s="427">
        <v>42675</v>
      </c>
      <c r="C59" s="298">
        <v>497</v>
      </c>
      <c r="D59" s="298">
        <v>326</v>
      </c>
      <c r="E59" s="298">
        <v>823</v>
      </c>
    </row>
    <row r="60" spans="2:5" hidden="1" outlineLevel="1" x14ac:dyDescent="0.25">
      <c r="B60" s="427">
        <v>42705</v>
      </c>
      <c r="C60" s="298">
        <v>1219</v>
      </c>
      <c r="D60" s="298">
        <v>923</v>
      </c>
      <c r="E60" s="298">
        <v>2142</v>
      </c>
    </row>
    <row r="61" spans="2:5" collapsed="1" x14ac:dyDescent="0.25">
      <c r="B61" s="339" t="s">
        <v>65</v>
      </c>
      <c r="C61" s="297"/>
      <c r="D61" s="297"/>
      <c r="E61" s="337">
        <v>29012</v>
      </c>
    </row>
    <row r="62" spans="2:5" hidden="1" outlineLevel="1" x14ac:dyDescent="0.25">
      <c r="B62" s="427">
        <v>42736</v>
      </c>
      <c r="C62" s="298">
        <v>1817</v>
      </c>
      <c r="D62" s="298">
        <v>1272</v>
      </c>
      <c r="E62" s="426">
        <v>3089</v>
      </c>
    </row>
    <row r="63" spans="2:5" hidden="1" outlineLevel="1" x14ac:dyDescent="0.25">
      <c r="B63" s="427">
        <v>42767</v>
      </c>
      <c r="C63" s="298">
        <v>1645</v>
      </c>
      <c r="D63" s="298">
        <v>1289</v>
      </c>
      <c r="E63" s="426">
        <v>2934</v>
      </c>
    </row>
    <row r="64" spans="2:5" hidden="1" outlineLevel="1" x14ac:dyDescent="0.25">
      <c r="B64" s="427">
        <v>42795</v>
      </c>
      <c r="C64" s="298">
        <v>1362</v>
      </c>
      <c r="D64" s="298">
        <v>1006</v>
      </c>
      <c r="E64" s="426">
        <v>2368</v>
      </c>
    </row>
    <row r="65" spans="2:5" hidden="1" outlineLevel="1" x14ac:dyDescent="0.25">
      <c r="B65" s="427">
        <v>42826</v>
      </c>
      <c r="C65" s="298">
        <v>718</v>
      </c>
      <c r="D65" s="298">
        <v>604</v>
      </c>
      <c r="E65" s="426">
        <v>1322</v>
      </c>
    </row>
    <row r="66" spans="2:5" hidden="1" outlineLevel="1" x14ac:dyDescent="0.25">
      <c r="B66" s="427">
        <v>42856</v>
      </c>
      <c r="C66" s="298">
        <v>762</v>
      </c>
      <c r="D66" s="298">
        <v>531</v>
      </c>
      <c r="E66" s="426">
        <v>1293</v>
      </c>
    </row>
    <row r="67" spans="2:5" hidden="1" outlineLevel="1" x14ac:dyDescent="0.25">
      <c r="B67" s="427">
        <v>42887</v>
      </c>
      <c r="C67" s="298">
        <v>919</v>
      </c>
      <c r="D67" s="298">
        <v>611</v>
      </c>
      <c r="E67" s="426">
        <v>1530</v>
      </c>
    </row>
    <row r="68" spans="2:5" hidden="1" outlineLevel="1" x14ac:dyDescent="0.25">
      <c r="B68" s="427">
        <v>42917</v>
      </c>
      <c r="C68" s="298">
        <v>956</v>
      </c>
      <c r="D68" s="298">
        <v>639</v>
      </c>
      <c r="E68" s="426">
        <v>1595</v>
      </c>
    </row>
    <row r="69" spans="2:5" hidden="1" outlineLevel="1" x14ac:dyDescent="0.25">
      <c r="B69" s="427">
        <v>42948</v>
      </c>
      <c r="C69" s="298">
        <v>751</v>
      </c>
      <c r="D69" s="298">
        <v>503</v>
      </c>
      <c r="E69" s="426">
        <v>1254</v>
      </c>
    </row>
    <row r="70" spans="2:5" hidden="1" outlineLevel="1" x14ac:dyDescent="0.25">
      <c r="B70" s="427">
        <v>42979</v>
      </c>
      <c r="C70" s="298">
        <v>863</v>
      </c>
      <c r="D70" s="298">
        <v>564</v>
      </c>
      <c r="E70" s="426">
        <v>1427</v>
      </c>
    </row>
    <row r="71" spans="2:5" hidden="1" outlineLevel="1" x14ac:dyDescent="0.25">
      <c r="B71" s="427">
        <v>43009</v>
      </c>
      <c r="C71" s="298">
        <v>352</v>
      </c>
      <c r="D71" s="298">
        <v>264</v>
      </c>
      <c r="E71" s="426">
        <v>616</v>
      </c>
    </row>
    <row r="72" spans="2:5" hidden="1" outlineLevel="1" x14ac:dyDescent="0.25">
      <c r="B72" s="427">
        <v>43040</v>
      </c>
      <c r="C72" s="298">
        <v>561</v>
      </c>
      <c r="D72" s="298">
        <v>386</v>
      </c>
      <c r="E72" s="426">
        <v>947</v>
      </c>
    </row>
    <row r="73" spans="2:5" hidden="1" outlineLevel="1" x14ac:dyDescent="0.25">
      <c r="B73" s="427">
        <v>43070</v>
      </c>
      <c r="C73" s="298">
        <v>660</v>
      </c>
      <c r="D73" s="298">
        <v>615</v>
      </c>
      <c r="E73" s="426">
        <v>1275</v>
      </c>
    </row>
    <row r="74" spans="2:5" collapsed="1" x14ac:dyDescent="0.25">
      <c r="B74" s="424" t="s">
        <v>68</v>
      </c>
      <c r="C74" s="297">
        <v>11366</v>
      </c>
      <c r="D74" s="297">
        <v>8284</v>
      </c>
      <c r="E74" s="297">
        <v>19650</v>
      </c>
    </row>
    <row r="75" spans="2:5" hidden="1" outlineLevel="1" x14ac:dyDescent="0.25">
      <c r="B75" s="232">
        <v>43101</v>
      </c>
      <c r="C75" s="298">
        <v>777</v>
      </c>
      <c r="D75" s="298">
        <v>678</v>
      </c>
      <c r="E75" s="298">
        <v>1455</v>
      </c>
    </row>
    <row r="76" spans="2:5" hidden="1" outlineLevel="1" x14ac:dyDescent="0.25">
      <c r="B76" s="232">
        <v>43132</v>
      </c>
      <c r="C76" s="298">
        <v>979</v>
      </c>
      <c r="D76" s="298">
        <v>837</v>
      </c>
      <c r="E76" s="298">
        <v>1816</v>
      </c>
    </row>
    <row r="77" spans="2:5" hidden="1" outlineLevel="1" x14ac:dyDescent="0.25">
      <c r="B77" s="232">
        <v>43160</v>
      </c>
      <c r="C77" s="298">
        <v>1375</v>
      </c>
      <c r="D77" s="298">
        <v>894</v>
      </c>
      <c r="E77" s="298">
        <v>2269</v>
      </c>
    </row>
    <row r="78" spans="2:5" hidden="1" outlineLevel="1" x14ac:dyDescent="0.25">
      <c r="B78" s="232">
        <v>43191</v>
      </c>
      <c r="C78" s="298">
        <v>1043</v>
      </c>
      <c r="D78" s="298">
        <v>596</v>
      </c>
      <c r="E78" s="298">
        <v>1639</v>
      </c>
    </row>
    <row r="79" spans="2:5" hidden="1" outlineLevel="1" x14ac:dyDescent="0.25">
      <c r="B79" s="232">
        <v>43221</v>
      </c>
      <c r="C79" s="298">
        <v>760</v>
      </c>
      <c r="D79" s="298">
        <v>451</v>
      </c>
      <c r="E79" s="298">
        <v>1211</v>
      </c>
    </row>
    <row r="80" spans="2:5" hidden="1" outlineLevel="1" x14ac:dyDescent="0.25">
      <c r="B80" s="232">
        <v>43252</v>
      </c>
      <c r="C80" s="298">
        <v>1059</v>
      </c>
      <c r="D80" s="298">
        <v>680</v>
      </c>
      <c r="E80" s="298">
        <v>1739</v>
      </c>
    </row>
    <row r="81" spans="2:5" hidden="1" outlineLevel="1" x14ac:dyDescent="0.25">
      <c r="B81" s="232">
        <v>43282</v>
      </c>
      <c r="C81" s="298">
        <v>968</v>
      </c>
      <c r="D81" s="298">
        <v>597</v>
      </c>
      <c r="E81" s="298">
        <v>1565</v>
      </c>
    </row>
    <row r="82" spans="2:5" hidden="1" outlineLevel="1" x14ac:dyDescent="0.25">
      <c r="B82" s="232">
        <v>43313</v>
      </c>
      <c r="C82" s="298">
        <v>1231</v>
      </c>
      <c r="D82" s="298">
        <v>879</v>
      </c>
      <c r="E82" s="298">
        <v>2110</v>
      </c>
    </row>
    <row r="83" spans="2:5" hidden="1" outlineLevel="1" x14ac:dyDescent="0.25">
      <c r="B83" s="232">
        <v>43344</v>
      </c>
      <c r="C83" s="298">
        <v>1614</v>
      </c>
      <c r="D83" s="298">
        <v>1116</v>
      </c>
      <c r="E83" s="298">
        <v>2730</v>
      </c>
    </row>
    <row r="84" spans="2:5" hidden="1" outlineLevel="1" x14ac:dyDescent="0.25">
      <c r="B84" s="232">
        <v>43374</v>
      </c>
      <c r="C84" s="298">
        <v>1026</v>
      </c>
      <c r="D84" s="298">
        <v>810</v>
      </c>
      <c r="E84" s="298">
        <v>1836</v>
      </c>
    </row>
    <row r="85" spans="2:5" hidden="1" outlineLevel="1" x14ac:dyDescent="0.25">
      <c r="B85" s="232">
        <v>43405</v>
      </c>
      <c r="C85" s="298">
        <v>655</v>
      </c>
      <c r="D85" s="298">
        <v>330</v>
      </c>
      <c r="E85" s="298">
        <v>985</v>
      </c>
    </row>
    <row r="86" spans="2:5" hidden="1" outlineLevel="1" x14ac:dyDescent="0.25">
      <c r="B86" s="232">
        <v>43435</v>
      </c>
      <c r="C86" s="298">
        <v>1554</v>
      </c>
      <c r="D86" s="298">
        <v>766</v>
      </c>
      <c r="E86" s="298">
        <v>2320</v>
      </c>
    </row>
    <row r="87" spans="2:5" collapsed="1" x14ac:dyDescent="0.25">
      <c r="B87" s="424" t="s">
        <v>69</v>
      </c>
      <c r="C87" s="297">
        <v>13041</v>
      </c>
      <c r="D87" s="297">
        <v>8634</v>
      </c>
      <c r="E87" s="297">
        <v>21675</v>
      </c>
    </row>
    <row r="88" spans="2:5" hidden="1" outlineLevel="1" x14ac:dyDescent="0.25">
      <c r="B88" s="232">
        <v>43466</v>
      </c>
      <c r="C88" s="298">
        <v>1711</v>
      </c>
      <c r="D88" s="298">
        <v>1024</v>
      </c>
      <c r="E88" s="298">
        <v>2735</v>
      </c>
    </row>
    <row r="89" spans="2:5" hidden="1" outlineLevel="1" x14ac:dyDescent="0.25">
      <c r="B89" s="232">
        <v>43497</v>
      </c>
      <c r="C89" s="298">
        <v>1618</v>
      </c>
      <c r="D89" s="298">
        <v>809</v>
      </c>
      <c r="E89" s="298">
        <v>2427</v>
      </c>
    </row>
    <row r="90" spans="2:5" hidden="1" outlineLevel="1" x14ac:dyDescent="0.25">
      <c r="B90" s="232">
        <v>43525</v>
      </c>
      <c r="C90" s="298">
        <v>467</v>
      </c>
      <c r="D90" s="298">
        <v>342</v>
      </c>
      <c r="E90" s="298">
        <v>809</v>
      </c>
    </row>
    <row r="91" spans="2:5" hidden="1" outlineLevel="1" x14ac:dyDescent="0.25">
      <c r="B91" s="232">
        <v>43556</v>
      </c>
      <c r="C91" s="298">
        <v>1080</v>
      </c>
      <c r="D91" s="298">
        <v>564</v>
      </c>
      <c r="E91" s="298">
        <v>1644</v>
      </c>
    </row>
    <row r="92" spans="2:5" hidden="1" outlineLevel="1" x14ac:dyDescent="0.25">
      <c r="B92" s="232">
        <v>43586</v>
      </c>
      <c r="C92" s="298">
        <v>1085</v>
      </c>
      <c r="D92" s="298">
        <v>663</v>
      </c>
      <c r="E92" s="298">
        <v>1748</v>
      </c>
    </row>
    <row r="93" spans="2:5" hidden="1" outlineLevel="1" x14ac:dyDescent="0.25">
      <c r="B93" s="232">
        <v>43617</v>
      </c>
      <c r="C93" s="298">
        <v>2004</v>
      </c>
      <c r="D93" s="298">
        <v>1413</v>
      </c>
      <c r="E93" s="298">
        <v>3417</v>
      </c>
    </row>
    <row r="94" spans="2:5" hidden="1" outlineLevel="1" x14ac:dyDescent="0.25">
      <c r="B94" s="232">
        <v>43647</v>
      </c>
      <c r="C94" s="298">
        <v>2427</v>
      </c>
      <c r="D94" s="298">
        <v>1403</v>
      </c>
      <c r="E94" s="298">
        <v>3830</v>
      </c>
    </row>
    <row r="95" spans="2:5" hidden="1" outlineLevel="1" x14ac:dyDescent="0.25">
      <c r="B95" s="232">
        <v>43678</v>
      </c>
      <c r="C95" s="298">
        <v>2118</v>
      </c>
      <c r="D95" s="298">
        <v>1197</v>
      </c>
      <c r="E95" s="298">
        <v>3315</v>
      </c>
    </row>
    <row r="96" spans="2:5" hidden="1" outlineLevel="1" x14ac:dyDescent="0.25">
      <c r="B96" s="232">
        <v>43709</v>
      </c>
      <c r="C96" s="298">
        <v>1382</v>
      </c>
      <c r="D96" s="298">
        <v>1016</v>
      </c>
      <c r="E96" s="298">
        <v>2398</v>
      </c>
    </row>
    <row r="97" spans="2:5" hidden="1" outlineLevel="1" x14ac:dyDescent="0.25">
      <c r="B97" s="232">
        <v>43739</v>
      </c>
      <c r="C97" s="298">
        <v>948</v>
      </c>
      <c r="D97" s="298">
        <v>627</v>
      </c>
      <c r="E97" s="298">
        <v>1575</v>
      </c>
    </row>
    <row r="98" spans="2:5" hidden="1" outlineLevel="1" x14ac:dyDescent="0.25">
      <c r="B98" s="232">
        <v>43770</v>
      </c>
      <c r="C98" s="298">
        <v>949</v>
      </c>
      <c r="D98" s="298">
        <v>527</v>
      </c>
      <c r="E98" s="298">
        <v>1476</v>
      </c>
    </row>
    <row r="99" spans="2:5" hidden="1" outlineLevel="1" x14ac:dyDescent="0.25">
      <c r="B99" s="232">
        <v>43800</v>
      </c>
      <c r="C99" s="298">
        <v>506</v>
      </c>
      <c r="D99" s="298">
        <v>423</v>
      </c>
      <c r="E99" s="298">
        <v>929</v>
      </c>
    </row>
    <row r="100" spans="2:5" collapsed="1" x14ac:dyDescent="0.25">
      <c r="B100" s="424" t="s">
        <v>70</v>
      </c>
      <c r="C100" s="297">
        <v>16295</v>
      </c>
      <c r="D100" s="297">
        <v>10008</v>
      </c>
      <c r="E100" s="297">
        <v>26303</v>
      </c>
    </row>
    <row r="101" spans="2:5" hidden="1" outlineLevel="1" x14ac:dyDescent="0.25">
      <c r="B101" s="232">
        <v>43831</v>
      </c>
      <c r="C101" s="298">
        <v>1297</v>
      </c>
      <c r="D101" s="298">
        <v>758</v>
      </c>
      <c r="E101" s="298">
        <v>2055</v>
      </c>
    </row>
    <row r="102" spans="2:5" hidden="1" outlineLevel="1" x14ac:dyDescent="0.25">
      <c r="B102" s="232">
        <v>43862</v>
      </c>
      <c r="C102" s="298">
        <v>1495</v>
      </c>
      <c r="D102" s="298">
        <v>1505</v>
      </c>
      <c r="E102" s="298">
        <v>3000</v>
      </c>
    </row>
    <row r="103" spans="2:5" hidden="1" outlineLevel="1" x14ac:dyDescent="0.25">
      <c r="B103" s="232">
        <v>43891</v>
      </c>
      <c r="C103" s="298">
        <v>1883</v>
      </c>
      <c r="D103" s="298">
        <v>1296</v>
      </c>
      <c r="E103" s="298">
        <v>3179</v>
      </c>
    </row>
    <row r="104" spans="2:5" hidden="1" outlineLevel="1" x14ac:dyDescent="0.25">
      <c r="B104" s="232">
        <v>43922</v>
      </c>
      <c r="C104" s="298">
        <v>3853</v>
      </c>
      <c r="D104" s="298">
        <v>2369</v>
      </c>
      <c r="E104" s="298">
        <v>6222</v>
      </c>
    </row>
    <row r="105" spans="2:5" hidden="1" outlineLevel="1" x14ac:dyDescent="0.25">
      <c r="B105" s="232">
        <v>43952</v>
      </c>
      <c r="C105" s="298">
        <v>3685</v>
      </c>
      <c r="D105" s="298">
        <v>1919</v>
      </c>
      <c r="E105" s="298">
        <v>5604</v>
      </c>
    </row>
    <row r="106" spans="2:5" hidden="1" outlineLevel="1" x14ac:dyDescent="0.25">
      <c r="B106" s="232">
        <v>43983</v>
      </c>
      <c r="C106" s="298">
        <v>3750</v>
      </c>
      <c r="D106" s="298">
        <v>1981</v>
      </c>
      <c r="E106" s="298">
        <v>5731</v>
      </c>
    </row>
    <row r="107" spans="2:5" hidden="1" outlineLevel="1" x14ac:dyDescent="0.25">
      <c r="B107" s="232">
        <v>44013</v>
      </c>
      <c r="C107" s="298">
        <v>5203</v>
      </c>
      <c r="D107" s="298">
        <v>2979</v>
      </c>
      <c r="E107" s="298">
        <v>8182</v>
      </c>
    </row>
    <row r="108" spans="2:5" hidden="1" outlineLevel="1" x14ac:dyDescent="0.25">
      <c r="B108" s="232">
        <v>44044</v>
      </c>
      <c r="C108" s="298">
        <v>4969</v>
      </c>
      <c r="D108" s="298">
        <v>2864</v>
      </c>
      <c r="E108" s="298">
        <v>7833</v>
      </c>
    </row>
    <row r="109" spans="2:5" hidden="1" outlineLevel="1" x14ac:dyDescent="0.25">
      <c r="B109" s="232">
        <v>44075</v>
      </c>
      <c r="C109" s="298">
        <v>2385</v>
      </c>
      <c r="D109" s="298">
        <v>1258</v>
      </c>
      <c r="E109" s="298">
        <v>3643</v>
      </c>
    </row>
    <row r="110" spans="2:5" hidden="1" outlineLevel="1" x14ac:dyDescent="0.25">
      <c r="B110" s="232">
        <v>44105</v>
      </c>
      <c r="C110" s="298">
        <v>2045</v>
      </c>
      <c r="D110" s="298">
        <v>1173</v>
      </c>
      <c r="E110" s="298">
        <v>3218</v>
      </c>
    </row>
    <row r="111" spans="2:5" hidden="1" outlineLevel="1" x14ac:dyDescent="0.25">
      <c r="B111" s="232">
        <v>44136</v>
      </c>
      <c r="C111" s="298">
        <v>1545</v>
      </c>
      <c r="D111" s="298">
        <v>906</v>
      </c>
      <c r="E111" s="298">
        <v>2451</v>
      </c>
    </row>
    <row r="112" spans="2:5" hidden="1" outlineLevel="1" x14ac:dyDescent="0.25">
      <c r="B112" s="232">
        <v>44166</v>
      </c>
      <c r="C112" s="298">
        <v>1765</v>
      </c>
      <c r="D112" s="298">
        <v>802</v>
      </c>
      <c r="E112" s="298">
        <v>2567</v>
      </c>
    </row>
    <row r="113" spans="2:5" collapsed="1" x14ac:dyDescent="0.25">
      <c r="B113" s="424" t="s">
        <v>74</v>
      </c>
      <c r="C113" s="297">
        <v>33875</v>
      </c>
      <c r="D113" s="297">
        <v>19810</v>
      </c>
      <c r="E113" s="297">
        <v>53685</v>
      </c>
    </row>
    <row r="114" spans="2:5" outlineLevel="1" x14ac:dyDescent="0.25">
      <c r="B114" s="232">
        <v>44197</v>
      </c>
      <c r="C114" s="321">
        <v>2266</v>
      </c>
      <c r="D114" s="274">
        <v>1048</v>
      </c>
      <c r="E114" s="274">
        <v>3314</v>
      </c>
    </row>
    <row r="115" spans="2:5" outlineLevel="1" x14ac:dyDescent="0.25">
      <c r="B115" s="232">
        <v>44228</v>
      </c>
      <c r="C115" s="321">
        <v>3079</v>
      </c>
      <c r="D115" s="274">
        <v>1343</v>
      </c>
      <c r="E115" s="274">
        <v>4422</v>
      </c>
    </row>
    <row r="116" spans="2:5" outlineLevel="1" x14ac:dyDescent="0.25">
      <c r="B116" s="232">
        <v>44256</v>
      </c>
      <c r="C116" s="321">
        <v>3621</v>
      </c>
      <c r="D116" s="274">
        <v>1770</v>
      </c>
      <c r="E116" s="274">
        <v>5391</v>
      </c>
    </row>
    <row r="117" spans="2:5" outlineLevel="1" x14ac:dyDescent="0.25">
      <c r="B117" s="232">
        <v>44287</v>
      </c>
      <c r="C117" s="321">
        <v>4727</v>
      </c>
      <c r="D117" s="274">
        <v>2416</v>
      </c>
      <c r="E117" s="274">
        <v>7143</v>
      </c>
    </row>
    <row r="118" spans="2:5" outlineLevel="1" x14ac:dyDescent="0.25">
      <c r="B118" s="232">
        <v>44317</v>
      </c>
      <c r="C118" s="321">
        <v>3848</v>
      </c>
      <c r="D118" s="274">
        <v>2237</v>
      </c>
      <c r="E118" s="274">
        <v>6085</v>
      </c>
    </row>
    <row r="119" spans="2:5" outlineLevel="1" x14ac:dyDescent="0.25">
      <c r="B119" s="232">
        <v>44348</v>
      </c>
      <c r="C119" s="321">
        <v>3185</v>
      </c>
      <c r="D119" s="274">
        <v>2330</v>
      </c>
      <c r="E119" s="274">
        <v>5515</v>
      </c>
    </row>
    <row r="120" spans="2:5" outlineLevel="1" x14ac:dyDescent="0.25">
      <c r="B120" s="232">
        <v>44378</v>
      </c>
      <c r="C120" s="321">
        <v>2655</v>
      </c>
      <c r="D120" s="274">
        <v>1488</v>
      </c>
      <c r="E120" s="274">
        <v>4143</v>
      </c>
    </row>
    <row r="121" spans="2:5" outlineLevel="1" x14ac:dyDescent="0.25">
      <c r="B121" s="232">
        <v>44409</v>
      </c>
      <c r="C121" s="321">
        <v>2460</v>
      </c>
      <c r="D121" s="274">
        <v>1179</v>
      </c>
      <c r="E121" s="274">
        <v>3639</v>
      </c>
    </row>
    <row r="122" spans="2:5" outlineLevel="1" x14ac:dyDescent="0.25">
      <c r="B122" s="232">
        <v>44440</v>
      </c>
      <c r="C122" s="321">
        <v>2275</v>
      </c>
      <c r="D122" s="274">
        <v>1293</v>
      </c>
      <c r="E122" s="274">
        <v>3568</v>
      </c>
    </row>
    <row r="123" spans="2:5" outlineLevel="1" x14ac:dyDescent="0.25">
      <c r="B123" s="232">
        <v>44470</v>
      </c>
      <c r="C123" s="321">
        <v>1844</v>
      </c>
      <c r="D123" s="274">
        <v>901</v>
      </c>
      <c r="E123" s="274">
        <v>2745</v>
      </c>
    </row>
    <row r="124" spans="2:5" outlineLevel="1" x14ac:dyDescent="0.25">
      <c r="B124" s="232">
        <v>44501</v>
      </c>
      <c r="C124" s="321">
        <v>1736</v>
      </c>
      <c r="D124" s="274">
        <v>897</v>
      </c>
      <c r="E124" s="274">
        <v>2633</v>
      </c>
    </row>
    <row r="125" spans="2:5" outlineLevel="1" x14ac:dyDescent="0.25">
      <c r="B125" s="232">
        <v>44531</v>
      </c>
      <c r="C125" s="321">
        <v>1412</v>
      </c>
      <c r="D125" s="274">
        <v>755</v>
      </c>
      <c r="E125" s="274">
        <v>2167</v>
      </c>
    </row>
    <row r="126" spans="2:5" x14ac:dyDescent="0.25">
      <c r="B126" s="424" t="s">
        <v>75</v>
      </c>
      <c r="C126" s="297">
        <v>33108</v>
      </c>
      <c r="D126" s="297">
        <v>17657</v>
      </c>
      <c r="E126" s="297">
        <v>50765</v>
      </c>
    </row>
    <row r="127" spans="2:5" outlineLevel="1" x14ac:dyDescent="0.25">
      <c r="B127" s="232">
        <v>44562</v>
      </c>
      <c r="C127" s="321">
        <v>2120</v>
      </c>
      <c r="D127" s="274">
        <v>1047</v>
      </c>
      <c r="E127" s="274">
        <v>3167</v>
      </c>
    </row>
    <row r="128" spans="2:5" outlineLevel="1" x14ac:dyDescent="0.25">
      <c r="B128" s="232">
        <v>44593</v>
      </c>
      <c r="C128" s="321">
        <v>1533</v>
      </c>
      <c r="D128" s="274">
        <v>678</v>
      </c>
      <c r="E128" s="274">
        <v>2211</v>
      </c>
    </row>
    <row r="129" spans="2:5" outlineLevel="1" x14ac:dyDescent="0.25">
      <c r="B129" s="232">
        <v>44621</v>
      </c>
      <c r="C129" s="321">
        <v>1322</v>
      </c>
      <c r="D129" s="274">
        <v>822</v>
      </c>
      <c r="E129" s="274">
        <v>2144</v>
      </c>
    </row>
    <row r="130" spans="2:5" outlineLevel="1" x14ac:dyDescent="0.25">
      <c r="B130" s="232">
        <v>44652</v>
      </c>
      <c r="C130" s="321">
        <v>4292</v>
      </c>
      <c r="D130" s="274">
        <v>2262</v>
      </c>
      <c r="E130" s="274">
        <v>6554</v>
      </c>
    </row>
    <row r="131" spans="2:5" outlineLevel="1" x14ac:dyDescent="0.25">
      <c r="B131" s="232">
        <v>44682</v>
      </c>
      <c r="C131" s="321">
        <v>3114</v>
      </c>
      <c r="D131" s="274">
        <v>1783</v>
      </c>
      <c r="E131" s="274">
        <v>4897</v>
      </c>
    </row>
    <row r="132" spans="2:5" outlineLevel="1" x14ac:dyDescent="0.25">
      <c r="B132" s="232">
        <v>44713</v>
      </c>
      <c r="C132" s="321">
        <v>2806</v>
      </c>
      <c r="D132" s="274">
        <v>1333</v>
      </c>
      <c r="E132" s="274">
        <v>4139</v>
      </c>
    </row>
    <row r="133" spans="2:5" outlineLevel="1" x14ac:dyDescent="0.25">
      <c r="B133" s="232">
        <v>44743</v>
      </c>
      <c r="C133" s="321">
        <v>4112</v>
      </c>
      <c r="D133" s="274">
        <v>1806</v>
      </c>
      <c r="E133" s="274">
        <v>5918</v>
      </c>
    </row>
    <row r="134" spans="2:5" outlineLevel="1" x14ac:dyDescent="0.25">
      <c r="B134" s="232">
        <v>44774</v>
      </c>
      <c r="C134" s="321">
        <v>4749</v>
      </c>
      <c r="D134" s="274">
        <v>2007</v>
      </c>
      <c r="E134" s="274">
        <v>6756</v>
      </c>
    </row>
    <row r="135" spans="2:5" outlineLevel="1" x14ac:dyDescent="0.25">
      <c r="B135" s="232">
        <v>44805</v>
      </c>
      <c r="C135" s="321">
        <v>2253</v>
      </c>
      <c r="D135" s="274">
        <v>1434</v>
      </c>
      <c r="E135" s="274">
        <v>3687</v>
      </c>
    </row>
    <row r="136" spans="2:5" outlineLevel="1" x14ac:dyDescent="0.25">
      <c r="B136" s="232">
        <v>44835</v>
      </c>
      <c r="C136" s="321">
        <v>4664</v>
      </c>
      <c r="D136" s="274">
        <v>2110</v>
      </c>
      <c r="E136" s="274">
        <v>6774</v>
      </c>
    </row>
    <row r="137" spans="2:5" outlineLevel="1" x14ac:dyDescent="0.25">
      <c r="B137" s="232">
        <v>44866</v>
      </c>
      <c r="C137" s="321">
        <v>2215</v>
      </c>
      <c r="D137" s="274">
        <v>1015</v>
      </c>
      <c r="E137" s="274">
        <v>3230</v>
      </c>
    </row>
    <row r="138" spans="2:5" outlineLevel="1" x14ac:dyDescent="0.25">
      <c r="B138" s="232">
        <v>44896</v>
      </c>
      <c r="C138" s="321">
        <v>911</v>
      </c>
      <c r="D138" s="274">
        <v>503</v>
      </c>
      <c r="E138" s="274">
        <v>1414</v>
      </c>
    </row>
    <row r="139" spans="2:5" x14ac:dyDescent="0.25">
      <c r="B139" s="424" t="s">
        <v>76</v>
      </c>
      <c r="C139" s="297">
        <v>34091</v>
      </c>
      <c r="D139" s="297">
        <v>16800</v>
      </c>
      <c r="E139" s="297">
        <v>50891</v>
      </c>
    </row>
    <row r="140" spans="2:5" outlineLevel="1" x14ac:dyDescent="0.25">
      <c r="B140" s="260">
        <v>44927</v>
      </c>
      <c r="C140" s="321">
        <v>4342</v>
      </c>
      <c r="D140" s="274">
        <v>1839</v>
      </c>
      <c r="E140" s="274">
        <v>6181</v>
      </c>
    </row>
    <row r="141" spans="2:5" outlineLevel="1" x14ac:dyDescent="0.25">
      <c r="B141" s="260">
        <v>44958</v>
      </c>
      <c r="C141" s="321">
        <v>3408</v>
      </c>
      <c r="D141" s="274">
        <v>1537</v>
      </c>
      <c r="E141" s="274">
        <v>4945</v>
      </c>
    </row>
    <row r="142" spans="2:5" outlineLevel="1" x14ac:dyDescent="0.25">
      <c r="B142" s="260">
        <v>44986</v>
      </c>
      <c r="C142" s="321">
        <v>4511</v>
      </c>
      <c r="D142" s="274">
        <v>1868</v>
      </c>
      <c r="E142" s="274">
        <v>6379</v>
      </c>
    </row>
    <row r="143" spans="2:5" ht="30" x14ac:dyDescent="0.25">
      <c r="B143" s="259" t="s">
        <v>950</v>
      </c>
      <c r="C143" s="336">
        <v>12261</v>
      </c>
      <c r="D143" s="336">
        <v>5244</v>
      </c>
      <c r="E143" s="336">
        <v>17505</v>
      </c>
    </row>
    <row r="144" spans="2:5" x14ac:dyDescent="0.25">
      <c r="B144" s="544" t="s">
        <v>7</v>
      </c>
      <c r="C144" s="545"/>
      <c r="D144" s="546"/>
      <c r="E144" s="342">
        <v>501934</v>
      </c>
    </row>
    <row r="145" spans="2:12" x14ac:dyDescent="0.25">
      <c r="B145" s="4" t="s">
        <v>952</v>
      </c>
    </row>
    <row r="147" spans="2:12" ht="18.75" x14ac:dyDescent="0.3">
      <c r="B147" s="2" t="s">
        <v>851</v>
      </c>
      <c r="C147" s="2"/>
      <c r="D147" s="2"/>
      <c r="E147" s="2"/>
      <c r="F147" s="2"/>
      <c r="G147" s="2"/>
      <c r="H147" s="2"/>
      <c r="I147" s="2"/>
      <c r="J147" s="2"/>
      <c r="K147" s="2"/>
    </row>
    <row r="148" spans="2:12" x14ac:dyDescent="0.25">
      <c r="B148" s="3" t="s">
        <v>878</v>
      </c>
    </row>
    <row r="150" spans="2:12" ht="27.75" customHeight="1" x14ac:dyDescent="0.25">
      <c r="B150" s="536" t="s">
        <v>483</v>
      </c>
      <c r="C150" s="540" t="s">
        <v>745</v>
      </c>
      <c r="D150" s="541"/>
      <c r="E150" s="541"/>
      <c r="F150" s="541"/>
      <c r="G150" s="541"/>
      <c r="H150" s="541"/>
      <c r="I150" s="541"/>
      <c r="J150" s="541"/>
      <c r="K150" s="542"/>
      <c r="L150" s="537" t="s">
        <v>844</v>
      </c>
    </row>
    <row r="151" spans="2:12" x14ac:dyDescent="0.25">
      <c r="B151" s="536"/>
      <c r="C151" s="536" t="s">
        <v>22</v>
      </c>
      <c r="D151" s="536"/>
      <c r="E151" s="536"/>
      <c r="F151" s="547" t="s">
        <v>23</v>
      </c>
      <c r="G151" s="547"/>
      <c r="H151" s="547"/>
      <c r="I151" s="547" t="s">
        <v>845</v>
      </c>
      <c r="J151" s="547"/>
      <c r="K151" s="547"/>
      <c r="L151" s="543"/>
    </row>
    <row r="152" spans="2:12" x14ac:dyDescent="0.25">
      <c r="B152" s="536"/>
      <c r="C152" s="270" t="s">
        <v>83</v>
      </c>
      <c r="D152" s="270" t="s">
        <v>84</v>
      </c>
      <c r="E152" s="284" t="s">
        <v>603</v>
      </c>
      <c r="F152" s="270" t="s">
        <v>83</v>
      </c>
      <c r="G152" s="270" t="s">
        <v>84</v>
      </c>
      <c r="H152" s="284" t="s">
        <v>603</v>
      </c>
      <c r="I152" s="270" t="s">
        <v>83</v>
      </c>
      <c r="J152" s="270" t="s">
        <v>84</v>
      </c>
      <c r="K152" s="284" t="s">
        <v>603</v>
      </c>
      <c r="L152" s="538"/>
    </row>
    <row r="153" spans="2:12" x14ac:dyDescent="0.25">
      <c r="B153" s="261" t="s">
        <v>848</v>
      </c>
      <c r="C153" s="297"/>
      <c r="D153" s="297"/>
      <c r="E153" s="297">
        <v>119211</v>
      </c>
      <c r="F153" s="297"/>
      <c r="G153" s="297"/>
      <c r="H153" s="297">
        <v>1457</v>
      </c>
      <c r="I153" s="297"/>
      <c r="J153" s="297"/>
      <c r="K153" s="297">
        <v>1982</v>
      </c>
      <c r="L153" s="297">
        <v>122650</v>
      </c>
    </row>
    <row r="154" spans="2:12" x14ac:dyDescent="0.25">
      <c r="B154" s="261" t="s">
        <v>824</v>
      </c>
      <c r="C154" s="297"/>
      <c r="D154" s="297"/>
      <c r="E154" s="337">
        <v>24495</v>
      </c>
      <c r="F154" s="337"/>
      <c r="G154" s="337"/>
      <c r="H154" s="337">
        <v>248</v>
      </c>
      <c r="I154" s="337"/>
      <c r="J154" s="337"/>
      <c r="K154" s="337">
        <v>7862</v>
      </c>
      <c r="L154" s="337">
        <v>32605</v>
      </c>
    </row>
    <row r="155" spans="2:12" hidden="1" outlineLevel="1" x14ac:dyDescent="0.25">
      <c r="B155" s="232">
        <v>41275</v>
      </c>
      <c r="C155" s="298"/>
      <c r="D155" s="298"/>
      <c r="E155" s="426">
        <v>1593</v>
      </c>
      <c r="F155" s="426"/>
      <c r="G155" s="426"/>
      <c r="H155" s="426">
        <v>15</v>
      </c>
      <c r="I155" s="426"/>
      <c r="J155" s="426"/>
      <c r="K155" s="426">
        <v>924</v>
      </c>
      <c r="L155" s="426">
        <v>2532</v>
      </c>
    </row>
    <row r="156" spans="2:12" hidden="1" outlineLevel="1" x14ac:dyDescent="0.25">
      <c r="B156" s="232">
        <v>41306</v>
      </c>
      <c r="C156" s="298"/>
      <c r="D156" s="298"/>
      <c r="E156" s="426">
        <v>1468</v>
      </c>
      <c r="F156" s="426"/>
      <c r="G156" s="426"/>
      <c r="H156" s="426">
        <v>22</v>
      </c>
      <c r="I156" s="426"/>
      <c r="J156" s="426"/>
      <c r="K156" s="426">
        <v>949</v>
      </c>
      <c r="L156" s="426">
        <v>2439</v>
      </c>
    </row>
    <row r="157" spans="2:12" hidden="1" outlineLevel="1" x14ac:dyDescent="0.25">
      <c r="B157" s="232">
        <v>41334</v>
      </c>
      <c r="C157" s="298"/>
      <c r="D157" s="298"/>
      <c r="E157" s="426">
        <v>1784</v>
      </c>
      <c r="F157" s="426"/>
      <c r="G157" s="426"/>
      <c r="H157" s="426">
        <v>16</v>
      </c>
      <c r="I157" s="426"/>
      <c r="J157" s="426"/>
      <c r="K157" s="426">
        <v>631</v>
      </c>
      <c r="L157" s="426">
        <v>2431</v>
      </c>
    </row>
    <row r="158" spans="2:12" hidden="1" outlineLevel="1" x14ac:dyDescent="0.25">
      <c r="B158" s="232">
        <v>41365</v>
      </c>
      <c r="C158" s="298"/>
      <c r="D158" s="298"/>
      <c r="E158" s="426">
        <v>1305</v>
      </c>
      <c r="F158" s="426"/>
      <c r="G158" s="426"/>
      <c r="H158" s="426">
        <v>44</v>
      </c>
      <c r="I158" s="426"/>
      <c r="J158" s="426"/>
      <c r="K158" s="426">
        <v>502</v>
      </c>
      <c r="L158" s="426">
        <v>1851</v>
      </c>
    </row>
    <row r="159" spans="2:12" hidden="1" outlineLevel="1" x14ac:dyDescent="0.25">
      <c r="B159" s="232">
        <v>41395</v>
      </c>
      <c r="C159" s="298"/>
      <c r="D159" s="298"/>
      <c r="E159" s="426">
        <v>1777</v>
      </c>
      <c r="F159" s="426"/>
      <c r="G159" s="426"/>
      <c r="H159" s="426">
        <v>10</v>
      </c>
      <c r="I159" s="426"/>
      <c r="J159" s="426"/>
      <c r="K159" s="426">
        <v>582</v>
      </c>
      <c r="L159" s="426">
        <v>2369</v>
      </c>
    </row>
    <row r="160" spans="2:12" hidden="1" outlineLevel="1" x14ac:dyDescent="0.25">
      <c r="B160" s="232">
        <v>41426</v>
      </c>
      <c r="C160" s="298"/>
      <c r="D160" s="298"/>
      <c r="E160" s="426">
        <v>1540</v>
      </c>
      <c r="F160" s="426"/>
      <c r="G160" s="426"/>
      <c r="H160" s="426">
        <v>16</v>
      </c>
      <c r="I160" s="426"/>
      <c r="J160" s="426"/>
      <c r="K160" s="426">
        <v>725</v>
      </c>
      <c r="L160" s="426">
        <v>2281</v>
      </c>
    </row>
    <row r="161" spans="2:12" hidden="1" outlineLevel="1" x14ac:dyDescent="0.25">
      <c r="B161" s="232">
        <v>41456</v>
      </c>
      <c r="C161" s="298"/>
      <c r="D161" s="298"/>
      <c r="E161" s="426">
        <v>1026</v>
      </c>
      <c r="F161" s="426"/>
      <c r="G161" s="426"/>
      <c r="H161" s="426">
        <v>10</v>
      </c>
      <c r="I161" s="426"/>
      <c r="J161" s="426"/>
      <c r="K161" s="426">
        <v>1261</v>
      </c>
      <c r="L161" s="426">
        <v>2297</v>
      </c>
    </row>
    <row r="162" spans="2:12" hidden="1" outlineLevel="1" x14ac:dyDescent="0.25">
      <c r="B162" s="232">
        <v>41487</v>
      </c>
      <c r="C162" s="298"/>
      <c r="D162" s="298"/>
      <c r="E162" s="426">
        <v>610</v>
      </c>
      <c r="F162" s="426"/>
      <c r="G162" s="426"/>
      <c r="H162" s="426">
        <v>14</v>
      </c>
      <c r="I162" s="426"/>
      <c r="J162" s="426"/>
      <c r="K162" s="426">
        <v>854</v>
      </c>
      <c r="L162" s="426">
        <v>1478</v>
      </c>
    </row>
    <row r="163" spans="2:12" hidden="1" outlineLevel="1" x14ac:dyDescent="0.25">
      <c r="B163" s="232">
        <v>41518</v>
      </c>
      <c r="C163" s="298"/>
      <c r="D163" s="298"/>
      <c r="E163" s="426">
        <v>816</v>
      </c>
      <c r="F163" s="426"/>
      <c r="G163" s="426"/>
      <c r="H163" s="426">
        <v>1</v>
      </c>
      <c r="I163" s="426"/>
      <c r="J163" s="426"/>
      <c r="K163" s="426">
        <v>493</v>
      </c>
      <c r="L163" s="426">
        <v>1310</v>
      </c>
    </row>
    <row r="164" spans="2:12" hidden="1" outlineLevel="1" x14ac:dyDescent="0.25">
      <c r="B164" s="232">
        <v>41548</v>
      </c>
      <c r="C164" s="298"/>
      <c r="D164" s="298"/>
      <c r="E164" s="426">
        <v>485</v>
      </c>
      <c r="F164" s="426"/>
      <c r="G164" s="426"/>
      <c r="H164" s="426">
        <v>2</v>
      </c>
      <c r="I164" s="426"/>
      <c r="J164" s="426"/>
      <c r="K164" s="426">
        <v>654</v>
      </c>
      <c r="L164" s="426">
        <v>1141</v>
      </c>
    </row>
    <row r="165" spans="2:12" hidden="1" outlineLevel="1" x14ac:dyDescent="0.25">
      <c r="B165" s="232">
        <v>41579</v>
      </c>
      <c r="C165" s="298"/>
      <c r="D165" s="298"/>
      <c r="E165" s="426">
        <v>480</v>
      </c>
      <c r="F165" s="426"/>
      <c r="G165" s="426"/>
      <c r="H165" s="426">
        <v>2</v>
      </c>
      <c r="I165" s="426"/>
      <c r="J165" s="426"/>
      <c r="K165" s="426">
        <v>443</v>
      </c>
      <c r="L165" s="426">
        <v>925</v>
      </c>
    </row>
    <row r="166" spans="2:12" hidden="1" outlineLevel="1" x14ac:dyDescent="0.25">
      <c r="B166" s="232">
        <v>41609</v>
      </c>
      <c r="C166" s="298"/>
      <c r="D166" s="298"/>
      <c r="E166" s="426">
        <v>1157</v>
      </c>
      <c r="F166" s="426"/>
      <c r="G166" s="426"/>
      <c r="H166" s="426">
        <v>6</v>
      </c>
      <c r="I166" s="426"/>
      <c r="J166" s="426"/>
      <c r="K166" s="426">
        <v>1108</v>
      </c>
      <c r="L166" s="426">
        <v>2271</v>
      </c>
    </row>
    <row r="167" spans="2:12" collapsed="1" x14ac:dyDescent="0.25">
      <c r="B167" s="424" t="s">
        <v>44</v>
      </c>
      <c r="C167" s="297"/>
      <c r="D167" s="297"/>
      <c r="E167" s="297">
        <v>14041</v>
      </c>
      <c r="F167" s="297"/>
      <c r="G167" s="297"/>
      <c r="H167" s="297">
        <v>158</v>
      </c>
      <c r="I167" s="297"/>
      <c r="J167" s="297"/>
      <c r="K167" s="297">
        <v>9126</v>
      </c>
      <c r="L167" s="297">
        <v>23325</v>
      </c>
    </row>
    <row r="168" spans="2:12" hidden="1" outlineLevel="1" x14ac:dyDescent="0.25">
      <c r="B168" s="232">
        <v>41640</v>
      </c>
      <c r="C168" s="298"/>
      <c r="D168" s="298"/>
      <c r="E168" s="298">
        <v>1358</v>
      </c>
      <c r="F168" s="298"/>
      <c r="G168" s="298"/>
      <c r="H168" s="298">
        <v>5</v>
      </c>
      <c r="I168" s="298"/>
      <c r="J168" s="298"/>
      <c r="K168" s="298">
        <v>1261</v>
      </c>
      <c r="L168" s="298">
        <v>2624</v>
      </c>
    </row>
    <row r="169" spans="2:12" hidden="1" outlineLevel="1" x14ac:dyDescent="0.25">
      <c r="B169" s="232">
        <v>41671</v>
      </c>
      <c r="C169" s="298"/>
      <c r="D169" s="298"/>
      <c r="E169" s="298">
        <v>746</v>
      </c>
      <c r="F169" s="298"/>
      <c r="G169" s="298"/>
      <c r="H169" s="298">
        <v>4</v>
      </c>
      <c r="I169" s="298"/>
      <c r="J169" s="298"/>
      <c r="K169" s="298">
        <v>848</v>
      </c>
      <c r="L169" s="298">
        <v>1598</v>
      </c>
    </row>
    <row r="170" spans="2:12" hidden="1" outlineLevel="1" x14ac:dyDescent="0.25">
      <c r="B170" s="232">
        <v>41699</v>
      </c>
      <c r="C170" s="298"/>
      <c r="D170" s="298"/>
      <c r="E170" s="298">
        <v>1052</v>
      </c>
      <c r="F170" s="298"/>
      <c r="G170" s="298"/>
      <c r="H170" s="298">
        <v>10</v>
      </c>
      <c r="I170" s="298"/>
      <c r="J170" s="298"/>
      <c r="K170" s="298">
        <v>852</v>
      </c>
      <c r="L170" s="298">
        <v>1914</v>
      </c>
    </row>
    <row r="171" spans="2:12" hidden="1" outlineLevel="1" x14ac:dyDescent="0.25">
      <c r="B171" s="232">
        <v>41730</v>
      </c>
      <c r="C171" s="298"/>
      <c r="D171" s="298"/>
      <c r="E171" s="298">
        <v>549</v>
      </c>
      <c r="F171" s="298"/>
      <c r="G171" s="298"/>
      <c r="H171" s="298">
        <v>4</v>
      </c>
      <c r="I171" s="298"/>
      <c r="J171" s="298"/>
      <c r="K171" s="298">
        <v>512</v>
      </c>
      <c r="L171" s="298">
        <v>1065</v>
      </c>
    </row>
    <row r="172" spans="2:12" hidden="1" outlineLevel="1" x14ac:dyDescent="0.25">
      <c r="B172" s="232">
        <v>41760</v>
      </c>
      <c r="C172" s="298"/>
      <c r="D172" s="298"/>
      <c r="E172" s="298">
        <v>773</v>
      </c>
      <c r="F172" s="298"/>
      <c r="G172" s="298"/>
      <c r="H172" s="298">
        <v>9</v>
      </c>
      <c r="I172" s="298"/>
      <c r="J172" s="298"/>
      <c r="K172" s="298">
        <v>1137</v>
      </c>
      <c r="L172" s="298">
        <v>1919</v>
      </c>
    </row>
    <row r="173" spans="2:12" hidden="1" outlineLevel="1" x14ac:dyDescent="0.25">
      <c r="B173" s="232">
        <v>41791</v>
      </c>
      <c r="C173" s="298"/>
      <c r="D173" s="298"/>
      <c r="E173" s="298">
        <v>660</v>
      </c>
      <c r="F173" s="298"/>
      <c r="G173" s="298"/>
      <c r="H173" s="298">
        <v>15</v>
      </c>
      <c r="I173" s="298"/>
      <c r="J173" s="298"/>
      <c r="K173" s="298">
        <v>905</v>
      </c>
      <c r="L173" s="298">
        <v>1580</v>
      </c>
    </row>
    <row r="174" spans="2:12" hidden="1" outlineLevel="1" x14ac:dyDescent="0.25">
      <c r="B174" s="232">
        <v>41821</v>
      </c>
      <c r="C174" s="298"/>
      <c r="D174" s="298"/>
      <c r="E174" s="298">
        <v>881</v>
      </c>
      <c r="F174" s="298"/>
      <c r="G174" s="298"/>
      <c r="H174" s="298">
        <v>15</v>
      </c>
      <c r="I174" s="298"/>
      <c r="J174" s="298"/>
      <c r="K174" s="298">
        <v>646</v>
      </c>
      <c r="L174" s="298">
        <v>1542</v>
      </c>
    </row>
    <row r="175" spans="2:12" hidden="1" outlineLevel="1" x14ac:dyDescent="0.25">
      <c r="B175" s="232">
        <v>41852</v>
      </c>
      <c r="C175" s="298"/>
      <c r="D175" s="298"/>
      <c r="E175" s="298">
        <v>825</v>
      </c>
      <c r="F175" s="298"/>
      <c r="G175" s="298"/>
      <c r="H175" s="298">
        <v>28</v>
      </c>
      <c r="I175" s="298"/>
      <c r="J175" s="298"/>
      <c r="K175" s="298">
        <v>753</v>
      </c>
      <c r="L175" s="298">
        <v>1606</v>
      </c>
    </row>
    <row r="176" spans="2:12" hidden="1" outlineLevel="1" x14ac:dyDescent="0.25">
      <c r="B176" s="232">
        <v>41883</v>
      </c>
      <c r="C176" s="298"/>
      <c r="D176" s="298"/>
      <c r="E176" s="298">
        <v>1489</v>
      </c>
      <c r="F176" s="298"/>
      <c r="G176" s="298"/>
      <c r="H176" s="298">
        <v>41</v>
      </c>
      <c r="I176" s="298"/>
      <c r="J176" s="298"/>
      <c r="K176" s="298">
        <v>1146</v>
      </c>
      <c r="L176" s="298">
        <v>2676</v>
      </c>
    </row>
    <row r="177" spans="2:12" hidden="1" outlineLevel="1" x14ac:dyDescent="0.25">
      <c r="B177" s="232">
        <v>41913</v>
      </c>
      <c r="C177" s="298"/>
      <c r="D177" s="298"/>
      <c r="E177" s="298">
        <v>1667</v>
      </c>
      <c r="F177" s="298"/>
      <c r="G177" s="298"/>
      <c r="H177" s="298">
        <v>132</v>
      </c>
      <c r="I177" s="298"/>
      <c r="J177" s="298"/>
      <c r="K177" s="298">
        <v>827</v>
      </c>
      <c r="L177" s="298">
        <v>2626</v>
      </c>
    </row>
    <row r="178" spans="2:12" hidden="1" outlineLevel="1" x14ac:dyDescent="0.25">
      <c r="B178" s="232">
        <v>41944</v>
      </c>
      <c r="C178" s="298"/>
      <c r="D178" s="298"/>
      <c r="E178" s="298">
        <v>1332</v>
      </c>
      <c r="F178" s="298"/>
      <c r="G178" s="298"/>
      <c r="H178" s="298">
        <v>22</v>
      </c>
      <c r="I178" s="298"/>
      <c r="J178" s="298"/>
      <c r="K178" s="298">
        <v>1068</v>
      </c>
      <c r="L178" s="298">
        <v>2422</v>
      </c>
    </row>
    <row r="179" spans="2:12" hidden="1" outlineLevel="1" x14ac:dyDescent="0.25">
      <c r="B179" s="232">
        <v>41974</v>
      </c>
      <c r="C179" s="298"/>
      <c r="D179" s="298"/>
      <c r="E179" s="298">
        <v>500</v>
      </c>
      <c r="F179" s="298"/>
      <c r="G179" s="298"/>
      <c r="H179" s="298">
        <v>14</v>
      </c>
      <c r="I179" s="298"/>
      <c r="J179" s="298"/>
      <c r="K179" s="298">
        <v>835</v>
      </c>
      <c r="L179" s="298">
        <v>1349</v>
      </c>
    </row>
    <row r="180" spans="2:12" collapsed="1" x14ac:dyDescent="0.25">
      <c r="B180" s="424" t="s">
        <v>46</v>
      </c>
      <c r="C180" s="297"/>
      <c r="D180" s="297"/>
      <c r="E180" s="337">
        <v>11832</v>
      </c>
      <c r="F180" s="337"/>
      <c r="G180" s="337"/>
      <c r="H180" s="337">
        <v>299</v>
      </c>
      <c r="I180" s="337"/>
      <c r="J180" s="337"/>
      <c r="K180" s="337">
        <v>10790</v>
      </c>
      <c r="L180" s="337">
        <v>22921</v>
      </c>
    </row>
    <row r="181" spans="2:12" hidden="1" outlineLevel="1" x14ac:dyDescent="0.25">
      <c r="B181" s="232">
        <v>42005</v>
      </c>
      <c r="C181" s="298"/>
      <c r="D181" s="298"/>
      <c r="E181" s="298">
        <v>38</v>
      </c>
      <c r="F181" s="298"/>
      <c r="G181" s="298"/>
      <c r="H181" s="298">
        <v>896</v>
      </c>
      <c r="I181" s="298"/>
      <c r="J181" s="298"/>
      <c r="K181" s="298">
        <v>1448</v>
      </c>
      <c r="L181" s="298">
        <v>2382</v>
      </c>
    </row>
    <row r="182" spans="2:12" hidden="1" outlineLevel="1" x14ac:dyDescent="0.25">
      <c r="B182" s="232">
        <v>42036</v>
      </c>
      <c r="C182" s="298"/>
      <c r="D182" s="298"/>
      <c r="E182" s="298">
        <v>1411</v>
      </c>
      <c r="F182" s="298"/>
      <c r="G182" s="298"/>
      <c r="H182" s="298">
        <v>90</v>
      </c>
      <c r="I182" s="298"/>
      <c r="J182" s="298"/>
      <c r="K182" s="298">
        <v>2461</v>
      </c>
      <c r="L182" s="298">
        <v>3962</v>
      </c>
    </row>
    <row r="183" spans="2:12" hidden="1" outlineLevel="1" x14ac:dyDescent="0.25">
      <c r="B183" s="232">
        <v>42064</v>
      </c>
      <c r="C183" s="298"/>
      <c r="D183" s="298"/>
      <c r="E183" s="298">
        <v>1147</v>
      </c>
      <c r="F183" s="298"/>
      <c r="G183" s="298"/>
      <c r="H183" s="298">
        <v>78</v>
      </c>
      <c r="I183" s="298"/>
      <c r="J183" s="298"/>
      <c r="K183" s="298">
        <v>1427</v>
      </c>
      <c r="L183" s="298">
        <v>2652</v>
      </c>
    </row>
    <row r="184" spans="2:12" hidden="1" outlineLevel="1" x14ac:dyDescent="0.25">
      <c r="B184" s="232">
        <v>42095</v>
      </c>
      <c r="C184" s="298"/>
      <c r="D184" s="298"/>
      <c r="E184" s="298">
        <v>1650</v>
      </c>
      <c r="F184" s="298"/>
      <c r="G184" s="298"/>
      <c r="H184" s="298">
        <v>172</v>
      </c>
      <c r="I184" s="298"/>
      <c r="J184" s="298"/>
      <c r="K184" s="298">
        <v>1480</v>
      </c>
      <c r="L184" s="298">
        <v>3302</v>
      </c>
    </row>
    <row r="185" spans="2:12" hidden="1" outlineLevel="1" x14ac:dyDescent="0.25">
      <c r="B185" s="232">
        <v>42125</v>
      </c>
      <c r="C185" s="298"/>
      <c r="D185" s="298"/>
      <c r="E185" s="298">
        <v>1272</v>
      </c>
      <c r="F185" s="298"/>
      <c r="G185" s="298"/>
      <c r="H185" s="298">
        <v>123</v>
      </c>
      <c r="I185" s="298"/>
      <c r="J185" s="298"/>
      <c r="K185" s="298">
        <v>169</v>
      </c>
      <c r="L185" s="298">
        <v>1564</v>
      </c>
    </row>
    <row r="186" spans="2:12" hidden="1" outlineLevel="1" x14ac:dyDescent="0.25">
      <c r="B186" s="232">
        <v>42156</v>
      </c>
      <c r="C186" s="298"/>
      <c r="D186" s="298"/>
      <c r="E186" s="298">
        <v>1877</v>
      </c>
      <c r="F186" s="298"/>
      <c r="G186" s="298"/>
      <c r="H186" s="298">
        <v>135</v>
      </c>
      <c r="I186" s="298"/>
      <c r="J186" s="298"/>
      <c r="K186" s="298">
        <v>447</v>
      </c>
      <c r="L186" s="298">
        <v>2459</v>
      </c>
    </row>
    <row r="187" spans="2:12" hidden="1" outlineLevel="1" x14ac:dyDescent="0.25">
      <c r="B187" s="232">
        <v>42186</v>
      </c>
      <c r="C187" s="298"/>
      <c r="D187" s="298"/>
      <c r="E187" s="298">
        <v>1030</v>
      </c>
      <c r="F187" s="298"/>
      <c r="G187" s="298"/>
      <c r="H187" s="298">
        <v>110</v>
      </c>
      <c r="I187" s="298"/>
      <c r="J187" s="298"/>
      <c r="K187" s="298">
        <v>167</v>
      </c>
      <c r="L187" s="298">
        <v>1307</v>
      </c>
    </row>
    <row r="188" spans="2:12" hidden="1" outlineLevel="1" x14ac:dyDescent="0.25">
      <c r="B188" s="232">
        <v>42217</v>
      </c>
      <c r="C188" s="298"/>
      <c r="D188" s="298"/>
      <c r="E188" s="298">
        <v>1674</v>
      </c>
      <c r="F188" s="298"/>
      <c r="G188" s="298"/>
      <c r="H188" s="298">
        <v>113</v>
      </c>
      <c r="I188" s="298"/>
      <c r="J188" s="298"/>
      <c r="K188" s="298">
        <v>218</v>
      </c>
      <c r="L188" s="298">
        <v>2005</v>
      </c>
    </row>
    <row r="189" spans="2:12" hidden="1" outlineLevel="1" x14ac:dyDescent="0.25">
      <c r="B189" s="232">
        <v>42248</v>
      </c>
      <c r="C189" s="298"/>
      <c r="D189" s="298"/>
      <c r="E189" s="298">
        <v>1313</v>
      </c>
      <c r="F189" s="298"/>
      <c r="G189" s="298"/>
      <c r="H189" s="298">
        <v>136</v>
      </c>
      <c r="I189" s="298"/>
      <c r="J189" s="298"/>
      <c r="K189" s="298">
        <v>156</v>
      </c>
      <c r="L189" s="298">
        <v>1605</v>
      </c>
    </row>
    <row r="190" spans="2:12" hidden="1" outlineLevel="1" x14ac:dyDescent="0.25">
      <c r="B190" s="232">
        <v>42278</v>
      </c>
      <c r="C190" s="298"/>
      <c r="D190" s="298"/>
      <c r="E190" s="298">
        <v>5045</v>
      </c>
      <c r="F190" s="298"/>
      <c r="G190" s="298"/>
      <c r="H190" s="298">
        <v>104</v>
      </c>
      <c r="I190" s="298"/>
      <c r="J190" s="298"/>
      <c r="K190" s="298">
        <v>21</v>
      </c>
      <c r="L190" s="298">
        <v>5170</v>
      </c>
    </row>
    <row r="191" spans="2:12" hidden="1" outlineLevel="1" x14ac:dyDescent="0.25">
      <c r="B191" s="232">
        <v>42309</v>
      </c>
      <c r="C191" s="298"/>
      <c r="D191" s="298"/>
      <c r="E191" s="298">
        <v>1924</v>
      </c>
      <c r="F191" s="298"/>
      <c r="G191" s="298"/>
      <c r="H191" s="298">
        <v>764</v>
      </c>
      <c r="I191" s="298"/>
      <c r="J191" s="298"/>
      <c r="K191" s="298">
        <v>49</v>
      </c>
      <c r="L191" s="298">
        <v>2737</v>
      </c>
    </row>
    <row r="192" spans="2:12" hidden="1" outlineLevel="1" x14ac:dyDescent="0.25">
      <c r="B192" s="232">
        <v>42339</v>
      </c>
      <c r="C192" s="298"/>
      <c r="D192" s="298"/>
      <c r="E192" s="298">
        <v>1346</v>
      </c>
      <c r="F192" s="298"/>
      <c r="G192" s="298"/>
      <c r="H192" s="298">
        <v>239</v>
      </c>
      <c r="I192" s="298"/>
      <c r="J192" s="298"/>
      <c r="K192" s="298">
        <v>217</v>
      </c>
      <c r="L192" s="298">
        <v>1802</v>
      </c>
    </row>
    <row r="193" spans="2:12" collapsed="1" x14ac:dyDescent="0.25">
      <c r="B193" s="424" t="s">
        <v>48</v>
      </c>
      <c r="C193" s="297"/>
      <c r="D193" s="297"/>
      <c r="E193" s="337">
        <v>19727</v>
      </c>
      <c r="F193" s="337"/>
      <c r="G193" s="337"/>
      <c r="H193" s="337">
        <v>2960</v>
      </c>
      <c r="I193" s="337"/>
      <c r="J193" s="337"/>
      <c r="K193" s="337">
        <v>8260</v>
      </c>
      <c r="L193" s="337">
        <v>30947</v>
      </c>
    </row>
    <row r="194" spans="2:12" hidden="1" outlineLevel="1" x14ac:dyDescent="0.25">
      <c r="B194" s="232">
        <v>42370</v>
      </c>
      <c r="C194" s="298"/>
      <c r="D194" s="298"/>
      <c r="E194" s="298">
        <v>3773</v>
      </c>
      <c r="F194" s="298"/>
      <c r="G194" s="298"/>
      <c r="H194" s="298">
        <v>149</v>
      </c>
      <c r="I194" s="298"/>
      <c r="J194" s="298"/>
      <c r="K194" s="298">
        <v>57</v>
      </c>
      <c r="L194" s="298">
        <v>3979</v>
      </c>
    </row>
    <row r="195" spans="2:12" hidden="1" outlineLevel="1" x14ac:dyDescent="0.25">
      <c r="B195" s="232">
        <v>42401</v>
      </c>
      <c r="C195" s="298"/>
      <c r="D195" s="298"/>
      <c r="E195" s="298">
        <v>4253</v>
      </c>
      <c r="F195" s="298"/>
      <c r="G195" s="298"/>
      <c r="H195" s="298">
        <v>113</v>
      </c>
      <c r="I195" s="298"/>
      <c r="J195" s="298"/>
      <c r="K195" s="298">
        <v>0</v>
      </c>
      <c r="L195" s="298">
        <v>4366</v>
      </c>
    </row>
    <row r="196" spans="2:12" hidden="1" outlineLevel="1" x14ac:dyDescent="0.25">
      <c r="B196" s="232">
        <v>42430</v>
      </c>
      <c r="C196" s="298"/>
      <c r="D196" s="298"/>
      <c r="E196" s="298">
        <v>2016</v>
      </c>
      <c r="F196" s="298"/>
      <c r="G196" s="298"/>
      <c r="H196" s="298">
        <v>25</v>
      </c>
      <c r="I196" s="298"/>
      <c r="J196" s="298"/>
      <c r="K196" s="298">
        <v>15</v>
      </c>
      <c r="L196" s="298">
        <v>2056</v>
      </c>
    </row>
    <row r="197" spans="2:12" hidden="1" outlineLevel="1" x14ac:dyDescent="0.25">
      <c r="B197" s="232">
        <v>42461</v>
      </c>
      <c r="C197" s="298"/>
      <c r="D197" s="298"/>
      <c r="E197" s="298">
        <v>2405</v>
      </c>
      <c r="F197" s="298"/>
      <c r="G197" s="298"/>
      <c r="H197" s="298">
        <v>33</v>
      </c>
      <c r="I197" s="298"/>
      <c r="J197" s="298"/>
      <c r="K197" s="298">
        <v>16</v>
      </c>
      <c r="L197" s="298">
        <v>2454</v>
      </c>
    </row>
    <row r="198" spans="2:12" hidden="1" outlineLevel="1" x14ac:dyDescent="0.25">
      <c r="B198" s="232">
        <v>42491</v>
      </c>
      <c r="C198" s="298">
        <v>996</v>
      </c>
      <c r="D198" s="298">
        <v>817</v>
      </c>
      <c r="E198" s="298">
        <v>1813</v>
      </c>
      <c r="F198" s="298">
        <v>17</v>
      </c>
      <c r="G198" s="298">
        <v>17</v>
      </c>
      <c r="H198" s="298">
        <v>34</v>
      </c>
      <c r="I198" s="298">
        <v>8</v>
      </c>
      <c r="J198" s="298">
        <v>0</v>
      </c>
      <c r="K198" s="298">
        <v>8</v>
      </c>
      <c r="L198" s="298">
        <v>1855</v>
      </c>
    </row>
    <row r="199" spans="2:12" hidden="1" outlineLevel="1" x14ac:dyDescent="0.25">
      <c r="B199" s="232">
        <v>42522</v>
      </c>
      <c r="C199" s="298">
        <v>957</v>
      </c>
      <c r="D199" s="298">
        <v>898</v>
      </c>
      <c r="E199" s="298">
        <v>1855</v>
      </c>
      <c r="F199" s="298">
        <v>15</v>
      </c>
      <c r="G199" s="298">
        <v>21</v>
      </c>
      <c r="H199" s="298">
        <v>36</v>
      </c>
      <c r="I199" s="298">
        <v>11</v>
      </c>
      <c r="J199" s="298">
        <v>5</v>
      </c>
      <c r="K199" s="298">
        <v>16</v>
      </c>
      <c r="L199" s="298">
        <v>1907</v>
      </c>
    </row>
    <row r="200" spans="2:12" hidden="1" outlineLevel="1" x14ac:dyDescent="0.25">
      <c r="B200" s="232">
        <v>42552</v>
      </c>
      <c r="C200" s="298">
        <v>977</v>
      </c>
      <c r="D200" s="298">
        <v>835</v>
      </c>
      <c r="E200" s="298">
        <v>1812</v>
      </c>
      <c r="F200" s="298">
        <v>24</v>
      </c>
      <c r="G200" s="298">
        <v>24</v>
      </c>
      <c r="H200" s="298">
        <v>48</v>
      </c>
      <c r="I200" s="298">
        <v>10</v>
      </c>
      <c r="J200" s="298">
        <v>13</v>
      </c>
      <c r="K200" s="298">
        <v>23</v>
      </c>
      <c r="L200" s="298">
        <v>1883</v>
      </c>
    </row>
    <row r="201" spans="2:12" hidden="1" outlineLevel="1" x14ac:dyDescent="0.25">
      <c r="B201" s="232">
        <v>42583</v>
      </c>
      <c r="C201" s="298">
        <v>2266</v>
      </c>
      <c r="D201" s="298">
        <v>1640</v>
      </c>
      <c r="E201" s="298">
        <v>3906</v>
      </c>
      <c r="F201" s="298">
        <v>90</v>
      </c>
      <c r="G201" s="298">
        <v>73</v>
      </c>
      <c r="H201" s="298">
        <v>163</v>
      </c>
      <c r="I201" s="298">
        <v>19</v>
      </c>
      <c r="J201" s="298">
        <v>15</v>
      </c>
      <c r="K201" s="298">
        <v>34</v>
      </c>
      <c r="L201" s="298">
        <v>4103</v>
      </c>
    </row>
    <row r="202" spans="2:12" hidden="1" outlineLevel="1" x14ac:dyDescent="0.25">
      <c r="B202" s="232">
        <v>42614</v>
      </c>
      <c r="C202" s="298">
        <v>948</v>
      </c>
      <c r="D202" s="298">
        <v>779</v>
      </c>
      <c r="E202" s="298">
        <v>1727</v>
      </c>
      <c r="F202" s="298">
        <v>42</v>
      </c>
      <c r="G202" s="298">
        <v>41</v>
      </c>
      <c r="H202" s="298">
        <v>83</v>
      </c>
      <c r="I202" s="298">
        <v>3</v>
      </c>
      <c r="J202" s="298">
        <v>0</v>
      </c>
      <c r="K202" s="298">
        <v>3</v>
      </c>
      <c r="L202" s="298">
        <v>1813</v>
      </c>
    </row>
    <row r="203" spans="2:12" hidden="1" outlineLevel="1" x14ac:dyDescent="0.25">
      <c r="B203" s="232">
        <v>42644</v>
      </c>
      <c r="C203" s="298">
        <v>770</v>
      </c>
      <c r="D203" s="298">
        <v>832</v>
      </c>
      <c r="E203" s="298">
        <v>1602</v>
      </c>
      <c r="F203" s="298">
        <v>13</v>
      </c>
      <c r="G203" s="298">
        <v>16</v>
      </c>
      <c r="H203" s="298">
        <v>29</v>
      </c>
      <c r="I203" s="298">
        <v>0</v>
      </c>
      <c r="J203" s="298">
        <v>0</v>
      </c>
      <c r="K203" s="298">
        <v>0</v>
      </c>
      <c r="L203" s="298">
        <v>1631</v>
      </c>
    </row>
    <row r="204" spans="2:12" hidden="1" outlineLevel="1" x14ac:dyDescent="0.25">
      <c r="B204" s="232">
        <v>42675</v>
      </c>
      <c r="C204" s="298">
        <v>484</v>
      </c>
      <c r="D204" s="298">
        <v>317</v>
      </c>
      <c r="E204" s="298">
        <v>801</v>
      </c>
      <c r="F204" s="298">
        <v>12</v>
      </c>
      <c r="G204" s="298">
        <v>9</v>
      </c>
      <c r="H204" s="298">
        <v>21</v>
      </c>
      <c r="I204" s="298">
        <v>0</v>
      </c>
      <c r="J204" s="298">
        <v>0</v>
      </c>
      <c r="K204" s="298">
        <v>0</v>
      </c>
      <c r="L204" s="298">
        <v>822</v>
      </c>
    </row>
    <row r="205" spans="2:12" hidden="1" outlineLevel="1" x14ac:dyDescent="0.25">
      <c r="B205" s="232">
        <v>42705</v>
      </c>
      <c r="C205" s="298">
        <v>1057</v>
      </c>
      <c r="D205" s="298">
        <v>797</v>
      </c>
      <c r="E205" s="298">
        <v>1854</v>
      </c>
      <c r="F205" s="298">
        <v>156</v>
      </c>
      <c r="G205" s="298">
        <v>126</v>
      </c>
      <c r="H205" s="298">
        <v>282</v>
      </c>
      <c r="I205" s="298">
        <v>6</v>
      </c>
      <c r="J205" s="298">
        <v>0</v>
      </c>
      <c r="K205" s="298">
        <v>6</v>
      </c>
      <c r="L205" s="298">
        <v>2142</v>
      </c>
    </row>
    <row r="206" spans="2:12" collapsed="1" x14ac:dyDescent="0.25">
      <c r="B206" s="424" t="s">
        <v>65</v>
      </c>
      <c r="C206" s="338"/>
      <c r="D206" s="338"/>
      <c r="E206" s="337">
        <v>27817</v>
      </c>
      <c r="F206" s="337"/>
      <c r="G206" s="337"/>
      <c r="H206" s="337">
        <v>1016</v>
      </c>
      <c r="I206" s="337"/>
      <c r="J206" s="337"/>
      <c r="K206" s="337">
        <v>178</v>
      </c>
      <c r="L206" s="337">
        <v>29011</v>
      </c>
    </row>
    <row r="207" spans="2:12" hidden="1" outlineLevel="1" x14ac:dyDescent="0.25">
      <c r="B207" s="232">
        <v>42736</v>
      </c>
      <c r="C207" s="298">
        <v>1709</v>
      </c>
      <c r="D207" s="298">
        <v>1188</v>
      </c>
      <c r="E207" s="298">
        <v>2897</v>
      </c>
      <c r="F207" s="298">
        <v>87</v>
      </c>
      <c r="G207" s="298">
        <v>62</v>
      </c>
      <c r="H207" s="298">
        <v>149</v>
      </c>
      <c r="I207" s="298">
        <v>21</v>
      </c>
      <c r="J207" s="298">
        <v>22</v>
      </c>
      <c r="K207" s="298">
        <v>43</v>
      </c>
      <c r="L207" s="298">
        <v>3089</v>
      </c>
    </row>
    <row r="208" spans="2:12" hidden="1" outlineLevel="1" x14ac:dyDescent="0.25">
      <c r="B208" s="232">
        <v>42767</v>
      </c>
      <c r="C208" s="298">
        <v>1599</v>
      </c>
      <c r="D208" s="298">
        <v>1237</v>
      </c>
      <c r="E208" s="298">
        <v>2836</v>
      </c>
      <c r="F208" s="298">
        <v>35</v>
      </c>
      <c r="G208" s="298">
        <v>42</v>
      </c>
      <c r="H208" s="298">
        <v>77</v>
      </c>
      <c r="I208" s="298">
        <v>11</v>
      </c>
      <c r="J208" s="298">
        <v>10</v>
      </c>
      <c r="K208" s="298">
        <v>21</v>
      </c>
      <c r="L208" s="298">
        <v>2934</v>
      </c>
    </row>
    <row r="209" spans="2:12" hidden="1" outlineLevel="1" x14ac:dyDescent="0.25">
      <c r="B209" s="232">
        <v>42795</v>
      </c>
      <c r="C209" s="298">
        <v>1281</v>
      </c>
      <c r="D209" s="298">
        <v>949</v>
      </c>
      <c r="E209" s="298">
        <v>2230</v>
      </c>
      <c r="F209" s="298">
        <v>63</v>
      </c>
      <c r="G209" s="298">
        <v>47</v>
      </c>
      <c r="H209" s="298">
        <v>110</v>
      </c>
      <c r="I209" s="298">
        <v>18</v>
      </c>
      <c r="J209" s="298">
        <v>10</v>
      </c>
      <c r="K209" s="298">
        <v>28</v>
      </c>
      <c r="L209" s="298">
        <v>2368</v>
      </c>
    </row>
    <row r="210" spans="2:12" hidden="1" outlineLevel="1" x14ac:dyDescent="0.25">
      <c r="B210" s="232">
        <v>42826</v>
      </c>
      <c r="C210" s="298">
        <v>694</v>
      </c>
      <c r="D210" s="298">
        <v>578</v>
      </c>
      <c r="E210" s="298">
        <v>1272</v>
      </c>
      <c r="F210" s="298">
        <v>16</v>
      </c>
      <c r="G210" s="298">
        <v>19</v>
      </c>
      <c r="H210" s="298">
        <v>35</v>
      </c>
      <c r="I210" s="298">
        <v>8</v>
      </c>
      <c r="J210" s="298">
        <v>7</v>
      </c>
      <c r="K210" s="298">
        <v>15</v>
      </c>
      <c r="L210" s="298">
        <v>1322</v>
      </c>
    </row>
    <row r="211" spans="2:12" hidden="1" outlineLevel="1" x14ac:dyDescent="0.25">
      <c r="B211" s="232">
        <v>42856</v>
      </c>
      <c r="C211" s="298">
        <v>698</v>
      </c>
      <c r="D211" s="298">
        <v>493</v>
      </c>
      <c r="E211" s="298">
        <v>1191</v>
      </c>
      <c r="F211" s="298">
        <v>13</v>
      </c>
      <c r="G211" s="298">
        <v>3</v>
      </c>
      <c r="H211" s="298">
        <v>16</v>
      </c>
      <c r="I211" s="298">
        <v>45</v>
      </c>
      <c r="J211" s="298">
        <v>41</v>
      </c>
      <c r="K211" s="298">
        <v>86</v>
      </c>
      <c r="L211" s="298">
        <v>1293</v>
      </c>
    </row>
    <row r="212" spans="2:12" hidden="1" outlineLevel="1" x14ac:dyDescent="0.25">
      <c r="B212" s="232">
        <v>42887</v>
      </c>
      <c r="C212" s="298">
        <v>891</v>
      </c>
      <c r="D212" s="298">
        <v>581</v>
      </c>
      <c r="E212" s="298">
        <v>1472</v>
      </c>
      <c r="F212" s="298">
        <v>18</v>
      </c>
      <c r="G212" s="298">
        <v>18</v>
      </c>
      <c r="H212" s="298">
        <v>36</v>
      </c>
      <c r="I212" s="298">
        <v>10</v>
      </c>
      <c r="J212" s="298">
        <v>12</v>
      </c>
      <c r="K212" s="298">
        <v>22</v>
      </c>
      <c r="L212" s="298">
        <v>1530</v>
      </c>
    </row>
    <row r="213" spans="2:12" hidden="1" outlineLevel="1" x14ac:dyDescent="0.25">
      <c r="B213" s="232">
        <v>42917</v>
      </c>
      <c r="C213" s="298">
        <v>857</v>
      </c>
      <c r="D213" s="298">
        <v>571</v>
      </c>
      <c r="E213" s="298">
        <v>1428</v>
      </c>
      <c r="F213" s="298">
        <v>15</v>
      </c>
      <c r="G213" s="298">
        <v>14</v>
      </c>
      <c r="H213" s="298">
        <v>29</v>
      </c>
      <c r="I213" s="298">
        <v>84</v>
      </c>
      <c r="J213" s="298">
        <v>54</v>
      </c>
      <c r="K213" s="298">
        <v>138</v>
      </c>
      <c r="L213" s="298">
        <v>1595</v>
      </c>
    </row>
    <row r="214" spans="2:12" hidden="1" outlineLevel="1" x14ac:dyDescent="0.25">
      <c r="B214" s="232">
        <v>42948</v>
      </c>
      <c r="C214" s="298">
        <v>697</v>
      </c>
      <c r="D214" s="298">
        <v>460</v>
      </c>
      <c r="E214" s="298">
        <v>1157</v>
      </c>
      <c r="F214" s="298">
        <v>11</v>
      </c>
      <c r="G214" s="298">
        <v>9</v>
      </c>
      <c r="H214" s="298">
        <v>20</v>
      </c>
      <c r="I214" s="298">
        <v>43</v>
      </c>
      <c r="J214" s="298">
        <v>34</v>
      </c>
      <c r="K214" s="298">
        <v>77</v>
      </c>
      <c r="L214" s="298">
        <v>1254</v>
      </c>
    </row>
    <row r="215" spans="2:12" hidden="1" outlineLevel="1" x14ac:dyDescent="0.25">
      <c r="B215" s="232">
        <v>42979</v>
      </c>
      <c r="C215" s="298">
        <v>850</v>
      </c>
      <c r="D215" s="298">
        <v>547</v>
      </c>
      <c r="E215" s="298">
        <v>1397</v>
      </c>
      <c r="F215" s="298">
        <v>1</v>
      </c>
      <c r="G215" s="298">
        <v>3</v>
      </c>
      <c r="H215" s="298">
        <v>4</v>
      </c>
      <c r="I215" s="298">
        <v>12</v>
      </c>
      <c r="J215" s="298">
        <v>14</v>
      </c>
      <c r="K215" s="298">
        <v>26</v>
      </c>
      <c r="L215" s="298">
        <v>1427</v>
      </c>
    </row>
    <row r="216" spans="2:12" hidden="1" outlineLevel="1" x14ac:dyDescent="0.25">
      <c r="B216" s="232">
        <v>43009</v>
      </c>
      <c r="C216" s="298">
        <v>305</v>
      </c>
      <c r="D216" s="298">
        <v>234</v>
      </c>
      <c r="E216" s="298">
        <v>539</v>
      </c>
      <c r="F216" s="298">
        <v>11</v>
      </c>
      <c r="G216" s="298">
        <v>11</v>
      </c>
      <c r="H216" s="298">
        <v>22</v>
      </c>
      <c r="I216" s="298">
        <v>36</v>
      </c>
      <c r="J216" s="298">
        <v>19</v>
      </c>
      <c r="K216" s="298">
        <v>55</v>
      </c>
      <c r="L216" s="298">
        <v>616</v>
      </c>
    </row>
    <row r="217" spans="2:12" hidden="1" outlineLevel="1" x14ac:dyDescent="0.25">
      <c r="B217" s="232">
        <v>43040</v>
      </c>
      <c r="C217" s="298">
        <v>524</v>
      </c>
      <c r="D217" s="298">
        <v>369</v>
      </c>
      <c r="E217" s="298">
        <v>893</v>
      </c>
      <c r="F217" s="298">
        <v>15</v>
      </c>
      <c r="G217" s="298">
        <v>6</v>
      </c>
      <c r="H217" s="298">
        <v>21</v>
      </c>
      <c r="I217" s="298">
        <v>22</v>
      </c>
      <c r="J217" s="298">
        <v>11</v>
      </c>
      <c r="K217" s="298">
        <v>33</v>
      </c>
      <c r="L217" s="298">
        <v>947</v>
      </c>
    </row>
    <row r="218" spans="2:12" hidden="1" outlineLevel="1" x14ac:dyDescent="0.25">
      <c r="B218" s="232">
        <v>43070</v>
      </c>
      <c r="C218" s="298">
        <v>638</v>
      </c>
      <c r="D218" s="298">
        <v>595</v>
      </c>
      <c r="E218" s="298">
        <v>1233</v>
      </c>
      <c r="F218" s="298">
        <v>17</v>
      </c>
      <c r="G218" s="298">
        <v>15</v>
      </c>
      <c r="H218" s="298">
        <v>32</v>
      </c>
      <c r="I218" s="298">
        <v>5</v>
      </c>
      <c r="J218" s="298">
        <v>5</v>
      </c>
      <c r="K218" s="298">
        <v>10</v>
      </c>
      <c r="L218" s="298">
        <v>1275</v>
      </c>
    </row>
    <row r="219" spans="2:12" collapsed="1" x14ac:dyDescent="0.25">
      <c r="B219" s="424" t="s">
        <v>68</v>
      </c>
      <c r="C219" s="337"/>
      <c r="D219" s="337"/>
      <c r="E219" s="337">
        <v>18545</v>
      </c>
      <c r="F219" s="337"/>
      <c r="G219" s="337"/>
      <c r="H219" s="337">
        <v>551</v>
      </c>
      <c r="I219" s="337"/>
      <c r="J219" s="337"/>
      <c r="K219" s="337">
        <v>554</v>
      </c>
      <c r="L219" s="337">
        <v>19650</v>
      </c>
    </row>
    <row r="220" spans="2:12" hidden="1" outlineLevel="1" x14ac:dyDescent="0.25">
      <c r="B220" s="232">
        <v>43101</v>
      </c>
      <c r="C220" s="298">
        <v>755</v>
      </c>
      <c r="D220" s="298">
        <v>663</v>
      </c>
      <c r="E220" s="298">
        <v>1418</v>
      </c>
      <c r="F220" s="298">
        <v>14</v>
      </c>
      <c r="G220" s="298">
        <v>12</v>
      </c>
      <c r="H220" s="298">
        <v>26</v>
      </c>
      <c r="I220" s="298">
        <v>8</v>
      </c>
      <c r="J220" s="298">
        <v>3</v>
      </c>
      <c r="K220" s="298">
        <v>11</v>
      </c>
      <c r="L220" s="298">
        <v>1455</v>
      </c>
    </row>
    <row r="221" spans="2:12" hidden="1" outlineLevel="1" x14ac:dyDescent="0.25">
      <c r="B221" s="232">
        <v>43132</v>
      </c>
      <c r="C221" s="298">
        <v>908</v>
      </c>
      <c r="D221" s="298">
        <v>778</v>
      </c>
      <c r="E221" s="298">
        <v>1686</v>
      </c>
      <c r="F221" s="298">
        <v>16</v>
      </c>
      <c r="G221" s="298">
        <v>9</v>
      </c>
      <c r="H221" s="298">
        <v>25</v>
      </c>
      <c r="I221" s="298">
        <v>55</v>
      </c>
      <c r="J221" s="298">
        <v>50</v>
      </c>
      <c r="K221" s="298">
        <v>105</v>
      </c>
      <c r="L221" s="298">
        <v>1816</v>
      </c>
    </row>
    <row r="222" spans="2:12" hidden="1" outlineLevel="1" x14ac:dyDescent="0.25">
      <c r="B222" s="232">
        <v>43160</v>
      </c>
      <c r="C222" s="298">
        <v>1306</v>
      </c>
      <c r="D222" s="298">
        <v>853</v>
      </c>
      <c r="E222" s="298">
        <v>2159</v>
      </c>
      <c r="F222" s="298">
        <v>34</v>
      </c>
      <c r="G222" s="298">
        <v>26</v>
      </c>
      <c r="H222" s="298">
        <v>60</v>
      </c>
      <c r="I222" s="298">
        <v>35</v>
      </c>
      <c r="J222" s="298">
        <v>15</v>
      </c>
      <c r="K222" s="298">
        <v>50</v>
      </c>
      <c r="L222" s="298">
        <v>2269</v>
      </c>
    </row>
    <row r="223" spans="2:12" hidden="1" outlineLevel="1" x14ac:dyDescent="0.25">
      <c r="B223" s="232">
        <v>43191</v>
      </c>
      <c r="C223" s="298">
        <v>1004</v>
      </c>
      <c r="D223" s="298">
        <v>564</v>
      </c>
      <c r="E223" s="298">
        <v>1568</v>
      </c>
      <c r="F223" s="298">
        <v>19</v>
      </c>
      <c r="G223" s="298">
        <v>14</v>
      </c>
      <c r="H223" s="298">
        <v>33</v>
      </c>
      <c r="I223" s="298">
        <v>20</v>
      </c>
      <c r="J223" s="298">
        <v>18</v>
      </c>
      <c r="K223" s="298">
        <v>38</v>
      </c>
      <c r="L223" s="298">
        <v>1639</v>
      </c>
    </row>
    <row r="224" spans="2:12" hidden="1" outlineLevel="1" x14ac:dyDescent="0.25">
      <c r="B224" s="232">
        <v>43221</v>
      </c>
      <c r="C224" s="298">
        <v>717</v>
      </c>
      <c r="D224" s="298">
        <v>410</v>
      </c>
      <c r="E224" s="298">
        <v>1127</v>
      </c>
      <c r="F224" s="298">
        <v>17</v>
      </c>
      <c r="G224" s="298">
        <v>15</v>
      </c>
      <c r="H224" s="298">
        <v>32</v>
      </c>
      <c r="I224" s="298">
        <v>26</v>
      </c>
      <c r="J224" s="298">
        <v>26</v>
      </c>
      <c r="K224" s="298">
        <v>52</v>
      </c>
      <c r="L224" s="298">
        <v>1211</v>
      </c>
    </row>
    <row r="225" spans="2:12" hidden="1" outlineLevel="1" x14ac:dyDescent="0.25">
      <c r="B225" s="232">
        <v>43252</v>
      </c>
      <c r="C225" s="298">
        <v>1018</v>
      </c>
      <c r="D225" s="298">
        <v>658</v>
      </c>
      <c r="E225" s="298">
        <v>1676</v>
      </c>
      <c r="F225" s="298">
        <v>18</v>
      </c>
      <c r="G225" s="298">
        <v>12</v>
      </c>
      <c r="H225" s="298">
        <v>30</v>
      </c>
      <c r="I225" s="298">
        <v>23</v>
      </c>
      <c r="J225" s="298">
        <v>10</v>
      </c>
      <c r="K225" s="298">
        <v>33</v>
      </c>
      <c r="L225" s="298">
        <v>1739</v>
      </c>
    </row>
    <row r="226" spans="2:12" hidden="1" outlineLevel="1" x14ac:dyDescent="0.25">
      <c r="B226" s="232">
        <v>43282</v>
      </c>
      <c r="C226" s="298">
        <v>845</v>
      </c>
      <c r="D226" s="298">
        <v>604</v>
      </c>
      <c r="E226" s="298">
        <v>1449</v>
      </c>
      <c r="F226" s="298">
        <v>17</v>
      </c>
      <c r="G226" s="298">
        <v>33</v>
      </c>
      <c r="H226" s="298">
        <v>50</v>
      </c>
      <c r="I226" s="298">
        <v>35</v>
      </c>
      <c r="J226" s="298">
        <v>31</v>
      </c>
      <c r="K226" s="298">
        <v>66</v>
      </c>
      <c r="L226" s="298">
        <v>1565</v>
      </c>
    </row>
    <row r="227" spans="2:12" hidden="1" outlineLevel="1" x14ac:dyDescent="0.25">
      <c r="B227" s="232">
        <v>43313</v>
      </c>
      <c r="C227" s="298">
        <v>1178</v>
      </c>
      <c r="D227" s="298">
        <v>821</v>
      </c>
      <c r="E227" s="298">
        <v>1999</v>
      </c>
      <c r="F227" s="298">
        <v>20</v>
      </c>
      <c r="G227" s="298">
        <v>30</v>
      </c>
      <c r="H227" s="298">
        <v>50</v>
      </c>
      <c r="I227" s="298">
        <v>33</v>
      </c>
      <c r="J227" s="298">
        <v>28</v>
      </c>
      <c r="K227" s="298">
        <v>61</v>
      </c>
      <c r="L227" s="298">
        <v>2110</v>
      </c>
    </row>
    <row r="228" spans="2:12" hidden="1" outlineLevel="1" x14ac:dyDescent="0.25">
      <c r="B228" s="232">
        <v>43344</v>
      </c>
      <c r="C228" s="298">
        <v>1529</v>
      </c>
      <c r="D228" s="298">
        <v>1059</v>
      </c>
      <c r="E228" s="298">
        <v>2588</v>
      </c>
      <c r="F228" s="298">
        <v>40</v>
      </c>
      <c r="G228" s="298">
        <v>42</v>
      </c>
      <c r="H228" s="298">
        <v>82</v>
      </c>
      <c r="I228" s="298">
        <v>45</v>
      </c>
      <c r="J228" s="298">
        <v>15</v>
      </c>
      <c r="K228" s="298">
        <v>60</v>
      </c>
      <c r="L228" s="298">
        <v>2730</v>
      </c>
    </row>
    <row r="229" spans="2:12" hidden="1" outlineLevel="1" x14ac:dyDescent="0.25">
      <c r="B229" s="232">
        <v>43374</v>
      </c>
      <c r="C229" s="298">
        <v>978</v>
      </c>
      <c r="D229" s="298">
        <v>757</v>
      </c>
      <c r="E229" s="298">
        <v>1735</v>
      </c>
      <c r="F229" s="298">
        <v>21</v>
      </c>
      <c r="G229" s="298">
        <v>40</v>
      </c>
      <c r="H229" s="298">
        <v>61</v>
      </c>
      <c r="I229" s="298">
        <v>27</v>
      </c>
      <c r="J229" s="298">
        <v>13</v>
      </c>
      <c r="K229" s="298">
        <v>40</v>
      </c>
      <c r="L229" s="298">
        <v>1836</v>
      </c>
    </row>
    <row r="230" spans="2:12" hidden="1" outlineLevel="1" x14ac:dyDescent="0.25">
      <c r="B230" s="232">
        <v>43405</v>
      </c>
      <c r="C230" s="298">
        <v>583</v>
      </c>
      <c r="D230" s="298">
        <v>278</v>
      </c>
      <c r="E230" s="298">
        <v>861</v>
      </c>
      <c r="F230" s="298">
        <v>9</v>
      </c>
      <c r="G230" s="298">
        <v>8</v>
      </c>
      <c r="H230" s="298">
        <v>17</v>
      </c>
      <c r="I230" s="298">
        <v>63</v>
      </c>
      <c r="J230" s="298">
        <v>44</v>
      </c>
      <c r="K230" s="298">
        <v>107</v>
      </c>
      <c r="L230" s="298">
        <v>985</v>
      </c>
    </row>
    <row r="231" spans="2:12" hidden="1" outlineLevel="1" x14ac:dyDescent="0.25">
      <c r="B231" s="232">
        <v>43435</v>
      </c>
      <c r="C231" s="298">
        <v>1471</v>
      </c>
      <c r="D231" s="298">
        <v>707</v>
      </c>
      <c r="E231" s="298">
        <v>2178</v>
      </c>
      <c r="F231" s="298">
        <v>34</v>
      </c>
      <c r="G231" s="298">
        <v>21</v>
      </c>
      <c r="H231" s="298">
        <v>55</v>
      </c>
      <c r="I231" s="298">
        <v>49</v>
      </c>
      <c r="J231" s="298">
        <v>38</v>
      </c>
      <c r="K231" s="298">
        <v>87</v>
      </c>
      <c r="L231" s="298">
        <v>2320</v>
      </c>
    </row>
    <row r="232" spans="2:12" collapsed="1" x14ac:dyDescent="0.25">
      <c r="B232" s="424" t="s">
        <v>69</v>
      </c>
      <c r="C232" s="337"/>
      <c r="D232" s="337"/>
      <c r="E232" s="337">
        <v>20444</v>
      </c>
      <c r="F232" s="337"/>
      <c r="G232" s="337"/>
      <c r="H232" s="337">
        <v>521</v>
      </c>
      <c r="I232" s="337"/>
      <c r="J232" s="337"/>
      <c r="K232" s="337">
        <v>710</v>
      </c>
      <c r="L232" s="337">
        <v>21675</v>
      </c>
    </row>
    <row r="233" spans="2:12" hidden="1" outlineLevel="1" x14ac:dyDescent="0.25">
      <c r="B233" s="232">
        <v>43466</v>
      </c>
      <c r="C233" s="298">
        <v>1585</v>
      </c>
      <c r="D233" s="298">
        <v>954</v>
      </c>
      <c r="E233" s="298">
        <v>2539</v>
      </c>
      <c r="F233" s="298">
        <v>44</v>
      </c>
      <c r="G233" s="298">
        <v>43</v>
      </c>
      <c r="H233" s="298">
        <v>87</v>
      </c>
      <c r="I233" s="298">
        <v>82</v>
      </c>
      <c r="J233" s="298">
        <v>27</v>
      </c>
      <c r="K233" s="298">
        <v>109</v>
      </c>
      <c r="L233" s="298">
        <v>2735</v>
      </c>
    </row>
    <row r="234" spans="2:12" hidden="1" outlineLevel="1" x14ac:dyDescent="0.25">
      <c r="B234" s="232">
        <v>43497</v>
      </c>
      <c r="C234" s="298">
        <v>1537</v>
      </c>
      <c r="D234" s="298">
        <v>762</v>
      </c>
      <c r="E234" s="298">
        <v>2299</v>
      </c>
      <c r="F234" s="298">
        <v>27</v>
      </c>
      <c r="G234" s="298">
        <v>19</v>
      </c>
      <c r="H234" s="298">
        <v>46</v>
      </c>
      <c r="I234" s="298">
        <v>54</v>
      </c>
      <c r="J234" s="298">
        <v>28</v>
      </c>
      <c r="K234" s="298">
        <v>82</v>
      </c>
      <c r="L234" s="298">
        <v>2427</v>
      </c>
    </row>
    <row r="235" spans="2:12" hidden="1" outlineLevel="1" x14ac:dyDescent="0.25">
      <c r="B235" s="232">
        <v>43525</v>
      </c>
      <c r="C235" s="298">
        <v>454</v>
      </c>
      <c r="D235" s="298">
        <v>329</v>
      </c>
      <c r="E235" s="298">
        <v>783</v>
      </c>
      <c r="F235" s="298">
        <v>8</v>
      </c>
      <c r="G235" s="298">
        <v>7</v>
      </c>
      <c r="H235" s="298">
        <v>15</v>
      </c>
      <c r="I235" s="298">
        <v>5</v>
      </c>
      <c r="J235" s="298">
        <v>6</v>
      </c>
      <c r="K235" s="298">
        <v>11</v>
      </c>
      <c r="L235" s="298">
        <v>809</v>
      </c>
    </row>
    <row r="236" spans="2:12" hidden="1" outlineLevel="1" x14ac:dyDescent="0.25">
      <c r="B236" s="232">
        <v>43556</v>
      </c>
      <c r="C236" s="298">
        <v>988</v>
      </c>
      <c r="D236" s="298">
        <v>507</v>
      </c>
      <c r="E236" s="298">
        <v>1495</v>
      </c>
      <c r="F236" s="298">
        <v>20</v>
      </c>
      <c r="G236" s="298">
        <v>11</v>
      </c>
      <c r="H236" s="298">
        <v>31</v>
      </c>
      <c r="I236" s="298">
        <v>72</v>
      </c>
      <c r="J236" s="298">
        <v>46</v>
      </c>
      <c r="K236" s="298">
        <v>118</v>
      </c>
      <c r="L236" s="298">
        <v>1644</v>
      </c>
    </row>
    <row r="237" spans="2:12" hidden="1" outlineLevel="1" x14ac:dyDescent="0.25">
      <c r="B237" s="232">
        <v>43586</v>
      </c>
      <c r="C237" s="298">
        <v>995</v>
      </c>
      <c r="D237" s="298">
        <v>602</v>
      </c>
      <c r="E237" s="298">
        <v>1597</v>
      </c>
      <c r="F237" s="298">
        <v>30</v>
      </c>
      <c r="G237" s="298">
        <v>28</v>
      </c>
      <c r="H237" s="298">
        <v>58</v>
      </c>
      <c r="I237" s="298">
        <v>60</v>
      </c>
      <c r="J237" s="298">
        <v>33</v>
      </c>
      <c r="K237" s="298">
        <v>93</v>
      </c>
      <c r="L237" s="298">
        <v>1748</v>
      </c>
    </row>
    <row r="238" spans="2:12" hidden="1" outlineLevel="1" x14ac:dyDescent="0.25">
      <c r="B238" s="232">
        <v>43617</v>
      </c>
      <c r="C238" s="298">
        <v>1868</v>
      </c>
      <c r="D238" s="298">
        <v>1297</v>
      </c>
      <c r="E238" s="298">
        <v>3165</v>
      </c>
      <c r="F238" s="298">
        <v>86</v>
      </c>
      <c r="G238" s="298">
        <v>86</v>
      </c>
      <c r="H238" s="298">
        <v>172</v>
      </c>
      <c r="I238" s="298">
        <v>50</v>
      </c>
      <c r="J238" s="298">
        <v>30</v>
      </c>
      <c r="K238" s="298">
        <v>80</v>
      </c>
      <c r="L238" s="298">
        <v>3417</v>
      </c>
    </row>
    <row r="239" spans="2:12" hidden="1" outlineLevel="1" x14ac:dyDescent="0.25">
      <c r="B239" s="232">
        <v>43647</v>
      </c>
      <c r="C239" s="298">
        <v>2276</v>
      </c>
      <c r="D239" s="298">
        <v>1274</v>
      </c>
      <c r="E239" s="298">
        <v>3550</v>
      </c>
      <c r="F239" s="298">
        <v>43</v>
      </c>
      <c r="G239" s="298">
        <v>59</v>
      </c>
      <c r="H239" s="298">
        <v>102</v>
      </c>
      <c r="I239" s="298">
        <v>108</v>
      </c>
      <c r="J239" s="298">
        <v>70</v>
      </c>
      <c r="K239" s="298">
        <v>178</v>
      </c>
      <c r="L239" s="298">
        <v>3830</v>
      </c>
    </row>
    <row r="240" spans="2:12" hidden="1" outlineLevel="1" x14ac:dyDescent="0.25">
      <c r="B240" s="232">
        <v>43678</v>
      </c>
      <c r="C240" s="298">
        <v>1983</v>
      </c>
      <c r="D240" s="298">
        <v>1098</v>
      </c>
      <c r="E240" s="298">
        <v>3081</v>
      </c>
      <c r="F240" s="298">
        <v>57</v>
      </c>
      <c r="G240" s="298">
        <v>62</v>
      </c>
      <c r="H240" s="298">
        <v>119</v>
      </c>
      <c r="I240" s="298">
        <v>78</v>
      </c>
      <c r="J240" s="298">
        <v>37</v>
      </c>
      <c r="K240" s="298">
        <v>115</v>
      </c>
      <c r="L240" s="298">
        <v>3315</v>
      </c>
    </row>
    <row r="241" spans="2:12" hidden="1" outlineLevel="1" x14ac:dyDescent="0.25">
      <c r="B241" s="232">
        <v>43709</v>
      </c>
      <c r="C241" s="298">
        <v>1341</v>
      </c>
      <c r="D241" s="298">
        <v>990</v>
      </c>
      <c r="E241" s="298">
        <v>2331</v>
      </c>
      <c r="F241" s="298">
        <v>18</v>
      </c>
      <c r="G241" s="298">
        <v>11</v>
      </c>
      <c r="H241" s="298">
        <v>29</v>
      </c>
      <c r="I241" s="298">
        <v>23</v>
      </c>
      <c r="J241" s="298">
        <v>15</v>
      </c>
      <c r="K241" s="298">
        <v>38</v>
      </c>
      <c r="L241" s="298">
        <v>2398</v>
      </c>
    </row>
    <row r="242" spans="2:12" hidden="1" outlineLevel="1" x14ac:dyDescent="0.25">
      <c r="B242" s="232">
        <v>43739</v>
      </c>
      <c r="C242" s="298">
        <v>866</v>
      </c>
      <c r="D242" s="298">
        <v>575</v>
      </c>
      <c r="E242" s="298">
        <v>1441</v>
      </c>
      <c r="F242" s="298">
        <v>51</v>
      </c>
      <c r="G242" s="298">
        <v>40</v>
      </c>
      <c r="H242" s="298">
        <v>91</v>
      </c>
      <c r="I242" s="298">
        <v>31</v>
      </c>
      <c r="J242" s="298">
        <v>12</v>
      </c>
      <c r="K242" s="298">
        <v>43</v>
      </c>
      <c r="L242" s="298">
        <v>1575</v>
      </c>
    </row>
    <row r="243" spans="2:12" hidden="1" outlineLevel="1" x14ac:dyDescent="0.25">
      <c r="B243" s="232">
        <v>43770</v>
      </c>
      <c r="C243" s="298">
        <v>902</v>
      </c>
      <c r="D243" s="298">
        <v>489</v>
      </c>
      <c r="E243" s="298">
        <v>1391</v>
      </c>
      <c r="F243" s="298">
        <v>23</v>
      </c>
      <c r="G243" s="298">
        <v>20</v>
      </c>
      <c r="H243" s="298">
        <v>43</v>
      </c>
      <c r="I243" s="298">
        <v>24</v>
      </c>
      <c r="J243" s="298">
        <v>18</v>
      </c>
      <c r="K243" s="298">
        <v>42</v>
      </c>
      <c r="L243" s="298">
        <v>1476</v>
      </c>
    </row>
    <row r="244" spans="2:12" hidden="1" outlineLevel="1" x14ac:dyDescent="0.25">
      <c r="B244" s="232">
        <v>43800</v>
      </c>
      <c r="C244" s="298">
        <v>491</v>
      </c>
      <c r="D244" s="298">
        <v>410</v>
      </c>
      <c r="E244" s="298">
        <v>901</v>
      </c>
      <c r="F244" s="298">
        <v>12</v>
      </c>
      <c r="G244" s="298">
        <v>12</v>
      </c>
      <c r="H244" s="298">
        <v>24</v>
      </c>
      <c r="I244" s="298">
        <v>3</v>
      </c>
      <c r="J244" s="298">
        <v>1</v>
      </c>
      <c r="K244" s="298">
        <v>4</v>
      </c>
      <c r="L244" s="298">
        <v>929</v>
      </c>
    </row>
    <row r="245" spans="2:12" collapsed="1" x14ac:dyDescent="0.25">
      <c r="B245" s="424" t="s">
        <v>70</v>
      </c>
      <c r="C245" s="337"/>
      <c r="D245" s="337"/>
      <c r="E245" s="337">
        <v>24573</v>
      </c>
      <c r="F245" s="337"/>
      <c r="G245" s="337"/>
      <c r="H245" s="337">
        <v>817</v>
      </c>
      <c r="I245" s="337"/>
      <c r="J245" s="337"/>
      <c r="K245" s="337">
        <v>913</v>
      </c>
      <c r="L245" s="337">
        <v>26303</v>
      </c>
    </row>
    <row r="246" spans="2:12" hidden="1" outlineLevel="1" x14ac:dyDescent="0.25">
      <c r="B246" s="232">
        <v>43831</v>
      </c>
      <c r="C246" s="298">
        <v>1205</v>
      </c>
      <c r="D246" s="298">
        <v>702</v>
      </c>
      <c r="E246" s="298">
        <v>1907</v>
      </c>
      <c r="F246" s="298">
        <v>38</v>
      </c>
      <c r="G246" s="298">
        <v>19</v>
      </c>
      <c r="H246" s="298">
        <v>57</v>
      </c>
      <c r="I246" s="298">
        <v>54</v>
      </c>
      <c r="J246" s="298">
        <v>37</v>
      </c>
      <c r="K246" s="298">
        <v>91</v>
      </c>
      <c r="L246" s="298">
        <v>2055</v>
      </c>
    </row>
    <row r="247" spans="2:12" hidden="1" outlineLevel="1" x14ac:dyDescent="0.25">
      <c r="B247" s="232">
        <v>43862</v>
      </c>
      <c r="C247" s="298">
        <v>1372</v>
      </c>
      <c r="D247" s="298">
        <v>1327</v>
      </c>
      <c r="E247" s="298">
        <v>2699</v>
      </c>
      <c r="F247" s="298">
        <v>81</v>
      </c>
      <c r="G247" s="298">
        <v>150</v>
      </c>
      <c r="H247" s="298">
        <v>231</v>
      </c>
      <c r="I247" s="298">
        <v>42</v>
      </c>
      <c r="J247" s="298">
        <v>28</v>
      </c>
      <c r="K247" s="298">
        <v>70</v>
      </c>
      <c r="L247" s="298">
        <v>3000</v>
      </c>
    </row>
    <row r="248" spans="2:12" hidden="1" outlineLevel="1" x14ac:dyDescent="0.25">
      <c r="B248" s="232">
        <v>43891</v>
      </c>
      <c r="C248" s="298">
        <v>1750</v>
      </c>
      <c r="D248" s="298">
        <v>1162</v>
      </c>
      <c r="E248" s="298">
        <v>2912</v>
      </c>
      <c r="F248" s="298">
        <v>73</v>
      </c>
      <c r="G248" s="298">
        <v>85</v>
      </c>
      <c r="H248" s="298">
        <v>158</v>
      </c>
      <c r="I248" s="298">
        <v>60</v>
      </c>
      <c r="J248" s="298">
        <v>49</v>
      </c>
      <c r="K248" s="298">
        <v>109</v>
      </c>
      <c r="L248" s="298">
        <v>3179</v>
      </c>
    </row>
    <row r="249" spans="2:12" hidden="1" outlineLevel="1" x14ac:dyDescent="0.25">
      <c r="B249" s="232">
        <v>43922</v>
      </c>
      <c r="C249" s="298">
        <v>3482</v>
      </c>
      <c r="D249" s="298">
        <v>2096</v>
      </c>
      <c r="E249" s="298">
        <v>5578</v>
      </c>
      <c r="F249" s="298">
        <v>132</v>
      </c>
      <c r="G249" s="298">
        <v>116</v>
      </c>
      <c r="H249" s="298">
        <v>248</v>
      </c>
      <c r="I249" s="298">
        <v>239</v>
      </c>
      <c r="J249" s="298">
        <v>157</v>
      </c>
      <c r="K249" s="298">
        <v>396</v>
      </c>
      <c r="L249" s="298">
        <v>6222</v>
      </c>
    </row>
    <row r="250" spans="2:12" hidden="1" outlineLevel="1" x14ac:dyDescent="0.25">
      <c r="B250" s="232">
        <v>43952</v>
      </c>
      <c r="C250" s="298">
        <v>3376</v>
      </c>
      <c r="D250" s="298">
        <v>1668</v>
      </c>
      <c r="E250" s="298">
        <v>5044</v>
      </c>
      <c r="F250" s="298">
        <v>71</v>
      </c>
      <c r="G250" s="298">
        <v>48</v>
      </c>
      <c r="H250" s="298">
        <v>119</v>
      </c>
      <c r="I250" s="298">
        <v>238</v>
      </c>
      <c r="J250" s="298">
        <v>203</v>
      </c>
      <c r="K250" s="298">
        <v>441</v>
      </c>
      <c r="L250" s="298">
        <v>5604</v>
      </c>
    </row>
    <row r="251" spans="2:12" hidden="1" outlineLevel="1" x14ac:dyDescent="0.25">
      <c r="B251" s="232">
        <v>43983</v>
      </c>
      <c r="C251" s="298">
        <v>3453</v>
      </c>
      <c r="D251" s="298">
        <v>1719</v>
      </c>
      <c r="E251" s="298">
        <v>5172</v>
      </c>
      <c r="F251" s="298">
        <v>56</v>
      </c>
      <c r="G251" s="298">
        <v>45</v>
      </c>
      <c r="H251" s="298">
        <v>101</v>
      </c>
      <c r="I251" s="298">
        <v>241</v>
      </c>
      <c r="J251" s="298">
        <v>217</v>
      </c>
      <c r="K251" s="298">
        <v>458</v>
      </c>
      <c r="L251" s="298">
        <v>5731</v>
      </c>
    </row>
    <row r="252" spans="2:12" hidden="1" outlineLevel="1" x14ac:dyDescent="0.25">
      <c r="B252" s="232">
        <v>44013</v>
      </c>
      <c r="C252" s="298">
        <v>4515</v>
      </c>
      <c r="D252" s="298">
        <v>2459</v>
      </c>
      <c r="E252" s="298">
        <v>6974</v>
      </c>
      <c r="F252" s="298">
        <v>191</v>
      </c>
      <c r="G252" s="298">
        <v>130</v>
      </c>
      <c r="H252" s="298">
        <v>321</v>
      </c>
      <c r="I252" s="298">
        <v>497</v>
      </c>
      <c r="J252" s="298">
        <v>390</v>
      </c>
      <c r="K252" s="298">
        <v>887</v>
      </c>
      <c r="L252" s="298">
        <v>8182</v>
      </c>
    </row>
    <row r="253" spans="2:12" hidden="1" outlineLevel="1" x14ac:dyDescent="0.25">
      <c r="B253" s="232">
        <v>44044</v>
      </c>
      <c r="C253" s="298">
        <v>4543</v>
      </c>
      <c r="D253" s="298">
        <v>2497</v>
      </c>
      <c r="E253" s="298">
        <v>7040</v>
      </c>
      <c r="F253" s="298">
        <v>180</v>
      </c>
      <c r="G253" s="298">
        <v>146</v>
      </c>
      <c r="H253" s="298">
        <v>326</v>
      </c>
      <c r="I253" s="298">
        <v>246</v>
      </c>
      <c r="J253" s="298">
        <v>221</v>
      </c>
      <c r="K253" s="298">
        <v>467</v>
      </c>
      <c r="L253" s="298">
        <v>7833</v>
      </c>
    </row>
    <row r="254" spans="2:12" hidden="1" outlineLevel="1" x14ac:dyDescent="0.25">
      <c r="B254" s="232">
        <v>44075</v>
      </c>
      <c r="C254" s="298">
        <v>2169</v>
      </c>
      <c r="D254" s="298">
        <v>1096</v>
      </c>
      <c r="E254" s="298">
        <v>3265</v>
      </c>
      <c r="F254" s="298">
        <v>93</v>
      </c>
      <c r="G254" s="298">
        <v>82</v>
      </c>
      <c r="H254" s="298">
        <v>175</v>
      </c>
      <c r="I254" s="298">
        <v>123</v>
      </c>
      <c r="J254" s="298">
        <v>80</v>
      </c>
      <c r="K254" s="298">
        <v>203</v>
      </c>
      <c r="L254" s="298">
        <v>3643</v>
      </c>
    </row>
    <row r="255" spans="2:12" hidden="1" outlineLevel="1" x14ac:dyDescent="0.25">
      <c r="B255" s="232">
        <v>44105</v>
      </c>
      <c r="C255" s="298">
        <v>1870</v>
      </c>
      <c r="D255" s="298">
        <v>1040</v>
      </c>
      <c r="E255" s="298">
        <v>2910</v>
      </c>
      <c r="F255" s="298">
        <v>30</v>
      </c>
      <c r="G255" s="298">
        <v>43</v>
      </c>
      <c r="H255" s="298">
        <v>73</v>
      </c>
      <c r="I255" s="298">
        <v>145</v>
      </c>
      <c r="J255" s="298">
        <v>90</v>
      </c>
      <c r="K255" s="298">
        <v>235</v>
      </c>
      <c r="L255" s="298">
        <v>3218</v>
      </c>
    </row>
    <row r="256" spans="2:12" hidden="1" outlineLevel="1" x14ac:dyDescent="0.25">
      <c r="B256" s="232">
        <v>44136</v>
      </c>
      <c r="C256" s="298">
        <v>1395</v>
      </c>
      <c r="D256" s="298">
        <v>773</v>
      </c>
      <c r="E256" s="298">
        <v>2168</v>
      </c>
      <c r="F256" s="298">
        <v>61</v>
      </c>
      <c r="G256" s="298">
        <v>54</v>
      </c>
      <c r="H256" s="298">
        <v>115</v>
      </c>
      <c r="I256" s="298">
        <v>89</v>
      </c>
      <c r="J256" s="298">
        <v>79</v>
      </c>
      <c r="K256" s="298">
        <v>168</v>
      </c>
      <c r="L256" s="298">
        <v>2451</v>
      </c>
    </row>
    <row r="257" spans="2:12" hidden="1" outlineLevel="1" x14ac:dyDescent="0.25">
      <c r="B257" s="232">
        <v>44166</v>
      </c>
      <c r="C257" s="298">
        <v>1662</v>
      </c>
      <c r="D257" s="298">
        <v>710</v>
      </c>
      <c r="E257" s="298">
        <v>2372</v>
      </c>
      <c r="F257" s="298">
        <v>30</v>
      </c>
      <c r="G257" s="298">
        <v>31</v>
      </c>
      <c r="H257" s="298">
        <v>61</v>
      </c>
      <c r="I257" s="298">
        <v>73</v>
      </c>
      <c r="J257" s="298">
        <v>61</v>
      </c>
      <c r="K257" s="298">
        <v>134</v>
      </c>
      <c r="L257" s="298">
        <v>2567</v>
      </c>
    </row>
    <row r="258" spans="2:12" collapsed="1" x14ac:dyDescent="0.25">
      <c r="B258" s="424" t="s">
        <v>74</v>
      </c>
      <c r="C258" s="337"/>
      <c r="D258" s="337"/>
      <c r="E258" s="337">
        <v>48041</v>
      </c>
      <c r="F258" s="337"/>
      <c r="G258" s="337"/>
      <c r="H258" s="337">
        <v>1985</v>
      </c>
      <c r="I258" s="337"/>
      <c r="J258" s="337"/>
      <c r="K258" s="337">
        <v>3659</v>
      </c>
      <c r="L258" s="337">
        <v>53685</v>
      </c>
    </row>
    <row r="259" spans="2:12" outlineLevel="1" x14ac:dyDescent="0.25">
      <c r="B259" s="232">
        <v>44197</v>
      </c>
      <c r="C259" s="322">
        <v>2090</v>
      </c>
      <c r="D259" s="322">
        <v>934</v>
      </c>
      <c r="E259" s="322">
        <v>3024</v>
      </c>
      <c r="F259" s="322">
        <v>46</v>
      </c>
      <c r="G259" s="322">
        <v>31</v>
      </c>
      <c r="H259" s="322">
        <v>77</v>
      </c>
      <c r="I259" s="322">
        <v>112</v>
      </c>
      <c r="J259" s="322">
        <v>101</v>
      </c>
      <c r="K259" s="322">
        <v>213</v>
      </c>
      <c r="L259" s="322">
        <v>3314</v>
      </c>
    </row>
    <row r="260" spans="2:12" outlineLevel="1" x14ac:dyDescent="0.25">
      <c r="B260" s="232">
        <v>44228</v>
      </c>
      <c r="C260" s="322">
        <v>2887</v>
      </c>
      <c r="D260" s="322">
        <v>1200</v>
      </c>
      <c r="E260" s="322">
        <v>4087</v>
      </c>
      <c r="F260" s="322">
        <v>78</v>
      </c>
      <c r="G260" s="322">
        <v>53</v>
      </c>
      <c r="H260" s="322">
        <v>131</v>
      </c>
      <c r="I260" s="322">
        <v>114</v>
      </c>
      <c r="J260" s="322">
        <v>90</v>
      </c>
      <c r="K260" s="322">
        <v>204</v>
      </c>
      <c r="L260" s="322">
        <v>4422</v>
      </c>
    </row>
    <row r="261" spans="2:12" outlineLevel="1" x14ac:dyDescent="0.25">
      <c r="B261" s="232">
        <v>44256</v>
      </c>
      <c r="C261" s="322">
        <v>3264</v>
      </c>
      <c r="D261" s="322">
        <v>1514</v>
      </c>
      <c r="E261" s="322">
        <v>4778</v>
      </c>
      <c r="F261" s="322">
        <v>49</v>
      </c>
      <c r="G261" s="322">
        <v>53</v>
      </c>
      <c r="H261" s="322">
        <v>102</v>
      </c>
      <c r="I261" s="322">
        <v>308</v>
      </c>
      <c r="J261" s="322">
        <v>203</v>
      </c>
      <c r="K261" s="322">
        <v>511</v>
      </c>
      <c r="L261" s="322">
        <v>5391</v>
      </c>
    </row>
    <row r="262" spans="2:12" outlineLevel="1" x14ac:dyDescent="0.25">
      <c r="B262" s="232">
        <v>44287</v>
      </c>
      <c r="C262" s="322">
        <v>4279</v>
      </c>
      <c r="D262" s="322">
        <v>2062</v>
      </c>
      <c r="E262" s="322">
        <v>6341</v>
      </c>
      <c r="F262" s="322">
        <v>106</v>
      </c>
      <c r="G262" s="322">
        <v>82</v>
      </c>
      <c r="H262" s="322">
        <v>188</v>
      </c>
      <c r="I262" s="322">
        <v>342</v>
      </c>
      <c r="J262" s="322">
        <v>272</v>
      </c>
      <c r="K262" s="322">
        <v>614</v>
      </c>
      <c r="L262" s="322">
        <v>7143</v>
      </c>
    </row>
    <row r="263" spans="2:12" outlineLevel="1" x14ac:dyDescent="0.25">
      <c r="B263" s="232">
        <v>44317</v>
      </c>
      <c r="C263" s="322">
        <v>3493</v>
      </c>
      <c r="D263" s="322">
        <v>1924</v>
      </c>
      <c r="E263" s="322">
        <v>5417</v>
      </c>
      <c r="F263" s="322">
        <v>95</v>
      </c>
      <c r="G263" s="322">
        <v>76</v>
      </c>
      <c r="H263" s="322">
        <v>171</v>
      </c>
      <c r="I263" s="322">
        <v>260</v>
      </c>
      <c r="J263" s="322">
        <v>237</v>
      </c>
      <c r="K263" s="322">
        <v>497</v>
      </c>
      <c r="L263" s="322">
        <v>6085</v>
      </c>
    </row>
    <row r="264" spans="2:12" outlineLevel="1" x14ac:dyDescent="0.25">
      <c r="B264" s="232">
        <v>44348</v>
      </c>
      <c r="C264" s="322">
        <v>2836</v>
      </c>
      <c r="D264" s="322">
        <v>1991</v>
      </c>
      <c r="E264" s="322">
        <v>4827</v>
      </c>
      <c r="F264" s="322">
        <v>87</v>
      </c>
      <c r="G264" s="322">
        <v>140</v>
      </c>
      <c r="H264" s="322">
        <v>227</v>
      </c>
      <c r="I264" s="322">
        <v>262</v>
      </c>
      <c r="J264" s="322">
        <v>199</v>
      </c>
      <c r="K264" s="322">
        <v>461</v>
      </c>
      <c r="L264" s="322">
        <v>5515</v>
      </c>
    </row>
    <row r="265" spans="2:12" outlineLevel="1" x14ac:dyDescent="0.25">
      <c r="B265" s="232">
        <v>44378</v>
      </c>
      <c r="C265" s="322">
        <v>2343</v>
      </c>
      <c r="D265" s="322">
        <v>1233</v>
      </c>
      <c r="E265" s="322">
        <v>3576</v>
      </c>
      <c r="F265" s="322">
        <v>100</v>
      </c>
      <c r="G265" s="322">
        <v>93</v>
      </c>
      <c r="H265" s="322">
        <v>193</v>
      </c>
      <c r="I265" s="322">
        <v>212</v>
      </c>
      <c r="J265" s="322">
        <v>162</v>
      </c>
      <c r="K265" s="322">
        <v>374</v>
      </c>
      <c r="L265" s="322">
        <v>4143</v>
      </c>
    </row>
    <row r="266" spans="2:12" outlineLevel="1" x14ac:dyDescent="0.25">
      <c r="B266" s="232">
        <v>44409</v>
      </c>
      <c r="C266" s="322">
        <v>2201</v>
      </c>
      <c r="D266" s="322">
        <v>996</v>
      </c>
      <c r="E266" s="322">
        <v>3197</v>
      </c>
      <c r="F266" s="322">
        <v>47</v>
      </c>
      <c r="G266" s="322">
        <v>37</v>
      </c>
      <c r="H266" s="322">
        <v>84</v>
      </c>
      <c r="I266" s="322">
        <v>212</v>
      </c>
      <c r="J266" s="322">
        <v>146</v>
      </c>
      <c r="K266" s="322">
        <v>358</v>
      </c>
      <c r="L266" s="322">
        <v>3639</v>
      </c>
    </row>
    <row r="267" spans="2:12" outlineLevel="1" x14ac:dyDescent="0.25">
      <c r="B267" s="232">
        <v>44440</v>
      </c>
      <c r="C267" s="322">
        <v>1991</v>
      </c>
      <c r="D267" s="322">
        <v>1077</v>
      </c>
      <c r="E267" s="322">
        <v>3068</v>
      </c>
      <c r="F267" s="322">
        <v>76</v>
      </c>
      <c r="G267" s="322">
        <v>70</v>
      </c>
      <c r="H267" s="322">
        <v>146</v>
      </c>
      <c r="I267" s="322">
        <v>208</v>
      </c>
      <c r="J267" s="322">
        <v>146</v>
      </c>
      <c r="K267" s="322">
        <v>354</v>
      </c>
      <c r="L267" s="322">
        <v>3568</v>
      </c>
    </row>
    <row r="268" spans="2:12" outlineLevel="1" x14ac:dyDescent="0.25">
      <c r="B268" s="232">
        <v>44470</v>
      </c>
      <c r="C268" s="322">
        <v>1639</v>
      </c>
      <c r="D268" s="322">
        <v>788</v>
      </c>
      <c r="E268" s="322">
        <v>2427</v>
      </c>
      <c r="F268" s="322">
        <v>61</v>
      </c>
      <c r="G268" s="322">
        <v>34</v>
      </c>
      <c r="H268" s="322">
        <v>95</v>
      </c>
      <c r="I268" s="322">
        <v>144</v>
      </c>
      <c r="J268" s="322">
        <v>79</v>
      </c>
      <c r="K268" s="322">
        <v>223</v>
      </c>
      <c r="L268" s="322">
        <v>2745</v>
      </c>
    </row>
    <row r="269" spans="2:12" outlineLevel="1" x14ac:dyDescent="0.25">
      <c r="B269" s="232">
        <v>44501</v>
      </c>
      <c r="C269" s="322">
        <v>1532</v>
      </c>
      <c r="D269" s="322">
        <v>765</v>
      </c>
      <c r="E269" s="322">
        <v>2297</v>
      </c>
      <c r="F269" s="322">
        <v>25</v>
      </c>
      <c r="G269" s="322">
        <v>18</v>
      </c>
      <c r="H269" s="322">
        <v>43</v>
      </c>
      <c r="I269" s="322">
        <v>179</v>
      </c>
      <c r="J269" s="322">
        <v>114</v>
      </c>
      <c r="K269" s="322">
        <v>293</v>
      </c>
      <c r="L269" s="322">
        <v>2633</v>
      </c>
    </row>
    <row r="270" spans="2:12" outlineLevel="1" x14ac:dyDescent="0.25">
      <c r="B270" s="232">
        <v>44531</v>
      </c>
      <c r="C270" s="322">
        <v>1277</v>
      </c>
      <c r="D270" s="322">
        <v>646</v>
      </c>
      <c r="E270" s="322">
        <v>1923</v>
      </c>
      <c r="F270" s="322">
        <v>39</v>
      </c>
      <c r="G270" s="322">
        <v>24</v>
      </c>
      <c r="H270" s="322">
        <v>63</v>
      </c>
      <c r="I270" s="322">
        <v>76</v>
      </c>
      <c r="J270" s="322">
        <v>105</v>
      </c>
      <c r="K270" s="322">
        <v>181</v>
      </c>
      <c r="L270" s="322">
        <v>2167</v>
      </c>
    </row>
    <row r="271" spans="2:12" x14ac:dyDescent="0.25">
      <c r="B271" s="424" t="s">
        <v>75</v>
      </c>
      <c r="C271" s="337">
        <v>29832</v>
      </c>
      <c r="D271" s="337">
        <v>15130</v>
      </c>
      <c r="E271" s="337">
        <v>44962</v>
      </c>
      <c r="F271" s="337">
        <v>809</v>
      </c>
      <c r="G271" s="337">
        <v>711</v>
      </c>
      <c r="H271" s="337">
        <v>1520</v>
      </c>
      <c r="I271" s="337">
        <v>2429</v>
      </c>
      <c r="J271" s="337">
        <v>1854</v>
      </c>
      <c r="K271" s="337">
        <v>4283</v>
      </c>
      <c r="L271" s="337">
        <v>50765</v>
      </c>
    </row>
    <row r="272" spans="2:12" outlineLevel="1" x14ac:dyDescent="0.25">
      <c r="B272" s="232">
        <v>44562</v>
      </c>
      <c r="C272" s="322">
        <v>1886</v>
      </c>
      <c r="D272" s="322">
        <v>887</v>
      </c>
      <c r="E272" s="322">
        <v>2773</v>
      </c>
      <c r="F272" s="322">
        <v>53</v>
      </c>
      <c r="G272" s="322">
        <v>47</v>
      </c>
      <c r="H272" s="322">
        <v>100</v>
      </c>
      <c r="I272" s="322">
        <v>181</v>
      </c>
      <c r="J272" s="322">
        <v>113</v>
      </c>
      <c r="K272" s="322">
        <v>294</v>
      </c>
      <c r="L272" s="322">
        <v>3167</v>
      </c>
    </row>
    <row r="273" spans="2:12" outlineLevel="1" x14ac:dyDescent="0.25">
      <c r="B273" s="232">
        <v>44593</v>
      </c>
      <c r="C273" s="322">
        <v>1412</v>
      </c>
      <c r="D273" s="322">
        <v>595</v>
      </c>
      <c r="E273" s="322">
        <v>2007</v>
      </c>
      <c r="F273" s="322">
        <v>30</v>
      </c>
      <c r="G273" s="322">
        <v>18</v>
      </c>
      <c r="H273" s="322">
        <v>48</v>
      </c>
      <c r="I273" s="322">
        <v>91</v>
      </c>
      <c r="J273" s="322">
        <v>65</v>
      </c>
      <c r="K273" s="322">
        <v>156</v>
      </c>
      <c r="L273" s="322">
        <v>2211</v>
      </c>
    </row>
    <row r="274" spans="2:12" outlineLevel="1" x14ac:dyDescent="0.25">
      <c r="B274" s="232">
        <v>44621</v>
      </c>
      <c r="C274" s="322">
        <v>1162</v>
      </c>
      <c r="D274" s="322">
        <v>726</v>
      </c>
      <c r="E274" s="322">
        <v>1888</v>
      </c>
      <c r="F274" s="322">
        <v>26</v>
      </c>
      <c r="G274" s="322">
        <v>33</v>
      </c>
      <c r="H274" s="322">
        <v>59</v>
      </c>
      <c r="I274" s="322">
        <v>134</v>
      </c>
      <c r="J274" s="322">
        <v>63</v>
      </c>
      <c r="K274" s="322">
        <v>197</v>
      </c>
      <c r="L274" s="322">
        <v>2144</v>
      </c>
    </row>
    <row r="275" spans="2:12" outlineLevel="1" x14ac:dyDescent="0.25">
      <c r="B275" s="232">
        <v>44652</v>
      </c>
      <c r="C275" s="322">
        <v>3769</v>
      </c>
      <c r="D275" s="322">
        <v>1904</v>
      </c>
      <c r="E275" s="322">
        <v>5673</v>
      </c>
      <c r="F275" s="322">
        <v>61</v>
      </c>
      <c r="G275" s="322">
        <v>35</v>
      </c>
      <c r="H275" s="322">
        <v>96</v>
      </c>
      <c r="I275" s="322">
        <v>462</v>
      </c>
      <c r="J275" s="322">
        <v>323</v>
      </c>
      <c r="K275" s="322">
        <v>785</v>
      </c>
      <c r="L275" s="322">
        <v>6554</v>
      </c>
    </row>
    <row r="276" spans="2:12" outlineLevel="1" x14ac:dyDescent="0.25">
      <c r="B276" s="232">
        <v>44682</v>
      </c>
      <c r="C276" s="322">
        <v>2974</v>
      </c>
      <c r="D276" s="322">
        <v>1701</v>
      </c>
      <c r="E276" s="322">
        <v>4675</v>
      </c>
      <c r="F276" s="322">
        <v>45</v>
      </c>
      <c r="G276" s="322">
        <v>26</v>
      </c>
      <c r="H276" s="322">
        <v>71</v>
      </c>
      <c r="I276" s="322">
        <v>95</v>
      </c>
      <c r="J276" s="322">
        <v>56</v>
      </c>
      <c r="K276" s="322">
        <v>151</v>
      </c>
      <c r="L276" s="322">
        <v>4897</v>
      </c>
    </row>
    <row r="277" spans="2:12" outlineLevel="1" x14ac:dyDescent="0.25">
      <c r="B277" s="232">
        <v>44713</v>
      </c>
      <c r="C277" s="322">
        <v>2583</v>
      </c>
      <c r="D277" s="322">
        <v>1144</v>
      </c>
      <c r="E277" s="322">
        <v>3727</v>
      </c>
      <c r="F277" s="322">
        <v>69</v>
      </c>
      <c r="G277" s="322">
        <v>74</v>
      </c>
      <c r="H277" s="322">
        <v>143</v>
      </c>
      <c r="I277" s="322">
        <v>154</v>
      </c>
      <c r="J277" s="322">
        <v>115</v>
      </c>
      <c r="K277" s="322">
        <v>269</v>
      </c>
      <c r="L277" s="322">
        <v>4139</v>
      </c>
    </row>
    <row r="278" spans="2:12" outlineLevel="1" x14ac:dyDescent="0.25">
      <c r="B278" s="232">
        <v>44743</v>
      </c>
      <c r="C278" s="322">
        <v>3721</v>
      </c>
      <c r="D278" s="322">
        <v>1573</v>
      </c>
      <c r="E278" s="322">
        <v>5294</v>
      </c>
      <c r="F278" s="322">
        <v>88</v>
      </c>
      <c r="G278" s="322">
        <v>48</v>
      </c>
      <c r="H278" s="322">
        <v>136</v>
      </c>
      <c r="I278" s="322">
        <v>303</v>
      </c>
      <c r="J278" s="322">
        <v>185</v>
      </c>
      <c r="K278" s="322">
        <v>488</v>
      </c>
      <c r="L278" s="322">
        <v>5918</v>
      </c>
    </row>
    <row r="279" spans="2:12" outlineLevel="1" x14ac:dyDescent="0.25">
      <c r="B279" s="232">
        <v>44774</v>
      </c>
      <c r="C279" s="322">
        <v>4303</v>
      </c>
      <c r="D279" s="322">
        <v>1721</v>
      </c>
      <c r="E279" s="322">
        <v>6024</v>
      </c>
      <c r="F279" s="322">
        <v>106</v>
      </c>
      <c r="G279" s="322">
        <v>83</v>
      </c>
      <c r="H279" s="322">
        <v>189</v>
      </c>
      <c r="I279" s="322">
        <v>340</v>
      </c>
      <c r="J279" s="322">
        <v>203</v>
      </c>
      <c r="K279" s="322">
        <v>543</v>
      </c>
      <c r="L279" s="322">
        <v>6756</v>
      </c>
    </row>
    <row r="280" spans="2:12" outlineLevel="1" x14ac:dyDescent="0.25">
      <c r="B280" s="232">
        <v>44805</v>
      </c>
      <c r="C280" s="322">
        <v>2112</v>
      </c>
      <c r="D280" s="322">
        <v>1341</v>
      </c>
      <c r="E280" s="322">
        <v>3453</v>
      </c>
      <c r="F280" s="322">
        <v>57</v>
      </c>
      <c r="G280" s="322">
        <v>48</v>
      </c>
      <c r="H280" s="322">
        <v>105</v>
      </c>
      <c r="I280" s="322">
        <v>84</v>
      </c>
      <c r="J280" s="322">
        <v>45</v>
      </c>
      <c r="K280" s="322">
        <v>129</v>
      </c>
      <c r="L280" s="322">
        <v>3687</v>
      </c>
    </row>
    <row r="281" spans="2:12" outlineLevel="1" x14ac:dyDescent="0.25">
      <c r="B281" s="232">
        <v>44835</v>
      </c>
      <c r="C281" s="322">
        <v>4150</v>
      </c>
      <c r="D281" s="322">
        <v>1782</v>
      </c>
      <c r="E281" s="322">
        <v>5932</v>
      </c>
      <c r="F281" s="322">
        <v>116</v>
      </c>
      <c r="G281" s="322">
        <v>81</v>
      </c>
      <c r="H281" s="322">
        <v>197</v>
      </c>
      <c r="I281" s="322">
        <v>398</v>
      </c>
      <c r="J281" s="322">
        <v>247</v>
      </c>
      <c r="K281" s="322">
        <v>645</v>
      </c>
      <c r="L281" s="322">
        <v>6774</v>
      </c>
    </row>
    <row r="282" spans="2:12" outlineLevel="1" x14ac:dyDescent="0.25">
      <c r="B282" s="232">
        <v>44866</v>
      </c>
      <c r="C282" s="322">
        <v>2043</v>
      </c>
      <c r="D282" s="322">
        <v>877</v>
      </c>
      <c r="E282" s="322">
        <v>2920</v>
      </c>
      <c r="F282" s="322">
        <v>75</v>
      </c>
      <c r="G282" s="322">
        <v>80</v>
      </c>
      <c r="H282" s="322">
        <v>155</v>
      </c>
      <c r="I282" s="322">
        <v>97</v>
      </c>
      <c r="J282" s="322">
        <v>58</v>
      </c>
      <c r="K282" s="322">
        <v>155</v>
      </c>
      <c r="L282" s="322">
        <v>3230</v>
      </c>
    </row>
    <row r="283" spans="2:12" outlineLevel="1" x14ac:dyDescent="0.25">
      <c r="B283" s="232">
        <v>44896</v>
      </c>
      <c r="C283" s="322">
        <v>803</v>
      </c>
      <c r="D283" s="322">
        <v>425</v>
      </c>
      <c r="E283" s="322">
        <v>1228</v>
      </c>
      <c r="F283" s="322">
        <v>4</v>
      </c>
      <c r="G283" s="322">
        <v>13</v>
      </c>
      <c r="H283" s="322">
        <v>17</v>
      </c>
      <c r="I283" s="322">
        <v>104</v>
      </c>
      <c r="J283" s="322">
        <v>65</v>
      </c>
      <c r="K283" s="322">
        <v>169</v>
      </c>
      <c r="L283" s="322">
        <v>1414</v>
      </c>
    </row>
    <row r="284" spans="2:12" x14ac:dyDescent="0.25">
      <c r="B284" s="424" t="s">
        <v>76</v>
      </c>
      <c r="C284" s="337">
        <v>30918</v>
      </c>
      <c r="D284" s="337">
        <v>14676</v>
      </c>
      <c r="E284" s="337">
        <v>45594</v>
      </c>
      <c r="F284" s="337">
        <v>730</v>
      </c>
      <c r="G284" s="337">
        <v>586</v>
      </c>
      <c r="H284" s="337">
        <v>1316</v>
      </c>
      <c r="I284" s="337">
        <v>2443</v>
      </c>
      <c r="J284" s="337">
        <v>1538</v>
      </c>
      <c r="K284" s="337">
        <v>3981</v>
      </c>
      <c r="L284" s="337">
        <v>50891</v>
      </c>
    </row>
    <row r="285" spans="2:12" outlineLevel="1" x14ac:dyDescent="0.25">
      <c r="B285" s="232">
        <v>44927</v>
      </c>
      <c r="C285" s="322">
        <v>3854</v>
      </c>
      <c r="D285" s="322">
        <v>1528</v>
      </c>
      <c r="E285" s="322">
        <v>5382</v>
      </c>
      <c r="F285" s="322">
        <v>73</v>
      </c>
      <c r="G285" s="322">
        <v>60</v>
      </c>
      <c r="H285" s="322">
        <v>133</v>
      </c>
      <c r="I285" s="322">
        <v>415</v>
      </c>
      <c r="J285" s="322">
        <v>251</v>
      </c>
      <c r="K285" s="322">
        <v>666</v>
      </c>
      <c r="L285" s="322">
        <v>6181</v>
      </c>
    </row>
    <row r="286" spans="2:12" outlineLevel="1" x14ac:dyDescent="0.25">
      <c r="B286" s="232">
        <v>44958</v>
      </c>
      <c r="C286" s="322">
        <v>3035</v>
      </c>
      <c r="D286" s="322">
        <v>1322</v>
      </c>
      <c r="E286" s="322">
        <v>4357</v>
      </c>
      <c r="F286" s="322">
        <v>77</v>
      </c>
      <c r="G286" s="322">
        <v>60</v>
      </c>
      <c r="H286" s="322">
        <v>137</v>
      </c>
      <c r="I286" s="322">
        <v>296</v>
      </c>
      <c r="J286" s="322">
        <v>155</v>
      </c>
      <c r="K286" s="322">
        <v>451</v>
      </c>
      <c r="L286" s="322">
        <v>4945</v>
      </c>
    </row>
    <row r="287" spans="2:12" outlineLevel="1" x14ac:dyDescent="0.25">
      <c r="B287" s="232">
        <v>44986</v>
      </c>
      <c r="C287" s="322">
        <v>3982</v>
      </c>
      <c r="D287" s="322">
        <v>1554</v>
      </c>
      <c r="E287" s="322">
        <v>5536</v>
      </c>
      <c r="F287" s="322">
        <v>98</v>
      </c>
      <c r="G287" s="322">
        <v>67</v>
      </c>
      <c r="H287" s="322">
        <v>165</v>
      </c>
      <c r="I287" s="322">
        <v>431</v>
      </c>
      <c r="J287" s="322">
        <v>247</v>
      </c>
      <c r="K287" s="322">
        <v>678</v>
      </c>
      <c r="L287" s="322">
        <v>6379</v>
      </c>
    </row>
    <row r="288" spans="2:12" ht="27.75" customHeight="1" x14ac:dyDescent="0.25">
      <c r="B288" s="413" t="s">
        <v>950</v>
      </c>
      <c r="C288" s="345">
        <v>10871</v>
      </c>
      <c r="D288" s="345">
        <v>4404</v>
      </c>
      <c r="E288" s="345">
        <v>15275</v>
      </c>
      <c r="F288" s="345">
        <v>248</v>
      </c>
      <c r="G288" s="345">
        <v>187</v>
      </c>
      <c r="H288" s="345">
        <v>435</v>
      </c>
      <c r="I288" s="345">
        <v>1142</v>
      </c>
      <c r="J288" s="345">
        <v>653</v>
      </c>
      <c r="K288" s="345">
        <v>1795</v>
      </c>
      <c r="L288" s="345">
        <v>17505</v>
      </c>
    </row>
    <row r="289" spans="2:2" x14ac:dyDescent="0.25">
      <c r="B289" s="4" t="s">
        <v>952</v>
      </c>
    </row>
  </sheetData>
  <mergeCells count="7">
    <mergeCell ref="L150:L152"/>
    <mergeCell ref="C150:K150"/>
    <mergeCell ref="B144:D144"/>
    <mergeCell ref="B150:B152"/>
    <mergeCell ref="C151:E151"/>
    <mergeCell ref="F151:H151"/>
    <mergeCell ref="I151:K15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79" bestFit="1" customWidth="1"/>
    <col min="2" max="2" width="13.28515625" style="178" customWidth="1"/>
    <col min="3" max="3" width="11.42578125" style="178" customWidth="1"/>
    <col min="4" max="4" width="13.42578125" style="178" customWidth="1"/>
    <col min="5" max="7" width="11.42578125" style="178" customWidth="1"/>
  </cols>
  <sheetData>
    <row r="3" spans="1:16" x14ac:dyDescent="0.25">
      <c r="A3" s="206" t="s">
        <v>500</v>
      </c>
    </row>
    <row r="7" spans="1:16" ht="18.75" x14ac:dyDescent="0.3">
      <c r="A7" s="2" t="s">
        <v>549</v>
      </c>
      <c r="B7" s="177"/>
    </row>
    <row r="8" spans="1:16" x14ac:dyDescent="0.25">
      <c r="A8" s="8" t="s">
        <v>12</v>
      </c>
      <c r="B8" s="177"/>
      <c r="C8" s="177"/>
      <c r="D8" s="177"/>
      <c r="E8" s="177"/>
      <c r="F8" s="177"/>
      <c r="G8" s="177"/>
    </row>
    <row r="9" spans="1:16" x14ac:dyDescent="0.25">
      <c r="A9" s="172"/>
      <c r="B9" s="177"/>
      <c r="C9" s="177"/>
      <c r="J9" s="153" t="s">
        <v>550</v>
      </c>
    </row>
    <row r="10" spans="1:16" ht="30" customHeight="1" x14ac:dyDescent="0.25">
      <c r="A10" s="549" t="s">
        <v>533</v>
      </c>
      <c r="B10" s="548" t="s">
        <v>534</v>
      </c>
      <c r="C10" s="548"/>
      <c r="D10" s="548"/>
      <c r="E10" s="548"/>
      <c r="F10" s="548"/>
      <c r="G10" s="168"/>
      <c r="H10" s="551" t="s">
        <v>535</v>
      </c>
      <c r="I10" s="551"/>
      <c r="J10" s="548" t="s">
        <v>536</v>
      </c>
      <c r="K10" s="548"/>
      <c r="L10" s="548"/>
      <c r="M10" s="548"/>
      <c r="N10" s="548"/>
      <c r="O10" s="548"/>
    </row>
    <row r="11" spans="1:16" ht="45" x14ac:dyDescent="0.25">
      <c r="A11" s="550"/>
      <c r="B11" s="194" t="s">
        <v>496</v>
      </c>
      <c r="C11" s="194" t="s">
        <v>139</v>
      </c>
      <c r="D11" s="194" t="s">
        <v>497</v>
      </c>
      <c r="E11" s="194" t="s">
        <v>19</v>
      </c>
      <c r="F11" s="194" t="s">
        <v>141</v>
      </c>
      <c r="G11" s="193" t="s">
        <v>35</v>
      </c>
      <c r="H11" s="194" t="s">
        <v>485</v>
      </c>
      <c r="I11" s="194" t="s">
        <v>486</v>
      </c>
      <c r="J11" s="195" t="s">
        <v>537</v>
      </c>
      <c r="K11" s="194" t="s">
        <v>538</v>
      </c>
      <c r="L11" s="194" t="s">
        <v>539</v>
      </c>
      <c r="M11" s="194" t="s">
        <v>540</v>
      </c>
      <c r="N11" s="194" t="s">
        <v>541</v>
      </c>
      <c r="O11" s="195">
        <v>7</v>
      </c>
      <c r="P11" s="193" t="s">
        <v>35</v>
      </c>
    </row>
    <row r="12" spans="1:16" x14ac:dyDescent="0.25">
      <c r="A12" s="192" t="s">
        <v>517</v>
      </c>
      <c r="B12" s="151">
        <v>8101</v>
      </c>
      <c r="C12" s="151">
        <v>5582</v>
      </c>
      <c r="D12" s="151">
        <v>27670</v>
      </c>
      <c r="E12" s="151">
        <v>5521</v>
      </c>
      <c r="F12" s="151">
        <v>2426</v>
      </c>
      <c r="G12" s="151">
        <v>49300</v>
      </c>
      <c r="H12" s="151">
        <v>28700</v>
      </c>
      <c r="I12" s="151">
        <v>20600</v>
      </c>
      <c r="J12" s="151">
        <f>26867+O12</f>
        <v>31824</v>
      </c>
      <c r="K12" s="151">
        <v>8036</v>
      </c>
      <c r="L12" s="151">
        <v>1630</v>
      </c>
      <c r="M12" s="151">
        <v>7810</v>
      </c>
      <c r="N12" s="151">
        <v>0</v>
      </c>
      <c r="O12" s="151">
        <v>4957</v>
      </c>
      <c r="P12" s="151">
        <v>49300</v>
      </c>
    </row>
    <row r="13" spans="1:16" x14ac:dyDescent="0.25">
      <c r="A13" s="192" t="s">
        <v>518</v>
      </c>
      <c r="B13" s="151">
        <v>15794</v>
      </c>
      <c r="C13" s="151">
        <v>7187</v>
      </c>
      <c r="D13" s="151">
        <v>50016</v>
      </c>
      <c r="E13" s="151">
        <v>8862</v>
      </c>
      <c r="F13" s="151">
        <v>2691</v>
      </c>
      <c r="G13" s="151">
        <v>84550</v>
      </c>
      <c r="H13" s="151">
        <v>51877</v>
      </c>
      <c r="I13" s="151">
        <v>32673</v>
      </c>
      <c r="J13" s="151">
        <v>53005</v>
      </c>
      <c r="K13" s="151">
        <v>12495</v>
      </c>
      <c r="L13" s="151">
        <v>1293</v>
      </c>
      <c r="M13" s="151">
        <v>7378</v>
      </c>
      <c r="N13" s="151">
        <v>0</v>
      </c>
      <c r="O13" s="151">
        <v>10379</v>
      </c>
      <c r="P13" s="151">
        <v>84550</v>
      </c>
    </row>
    <row r="14" spans="1:16" x14ac:dyDescent="0.25">
      <c r="A14" s="192" t="s">
        <v>519</v>
      </c>
      <c r="B14" s="151">
        <v>9557</v>
      </c>
      <c r="C14" s="151">
        <v>4574</v>
      </c>
      <c r="D14" s="151">
        <v>31048</v>
      </c>
      <c r="E14" s="151">
        <v>4547</v>
      </c>
      <c r="F14" s="151">
        <v>1754</v>
      </c>
      <c r="G14" s="151">
        <v>51480</v>
      </c>
      <c r="H14" s="151">
        <v>29719</v>
      </c>
      <c r="I14" s="151">
        <v>21761</v>
      </c>
      <c r="J14" s="151">
        <v>28789</v>
      </c>
      <c r="K14" s="151">
        <v>9687</v>
      </c>
      <c r="L14" s="151">
        <v>1315</v>
      </c>
      <c r="M14" s="151">
        <v>7301</v>
      </c>
      <c r="N14" s="151">
        <v>0</v>
      </c>
      <c r="O14" s="151">
        <v>4388</v>
      </c>
      <c r="P14" s="151">
        <v>51480</v>
      </c>
    </row>
    <row r="15" spans="1:16" x14ac:dyDescent="0.25">
      <c r="A15" s="192" t="s">
        <v>520</v>
      </c>
      <c r="B15" s="151">
        <v>28582</v>
      </c>
      <c r="C15" s="151">
        <v>13327</v>
      </c>
      <c r="D15" s="151">
        <v>90729</v>
      </c>
      <c r="E15" s="151">
        <v>13865</v>
      </c>
      <c r="F15" s="151">
        <v>5332</v>
      </c>
      <c r="G15" s="151">
        <v>151835</v>
      </c>
      <c r="H15" s="151">
        <v>89314</v>
      </c>
      <c r="I15" s="151">
        <v>62521</v>
      </c>
      <c r="J15" s="151">
        <v>101670</v>
      </c>
      <c r="K15" s="151">
        <v>22392</v>
      </c>
      <c r="L15" s="151">
        <v>2506</v>
      </c>
      <c r="M15" s="151">
        <v>12134</v>
      </c>
      <c r="N15" s="151">
        <v>2</v>
      </c>
      <c r="O15" s="151">
        <v>13131</v>
      </c>
      <c r="P15" s="151">
        <v>151835</v>
      </c>
    </row>
    <row r="16" spans="1:16" x14ac:dyDescent="0.25">
      <c r="A16" s="192" t="s">
        <v>521</v>
      </c>
      <c r="B16" s="151">
        <v>69827</v>
      </c>
      <c r="C16" s="151">
        <v>33363</v>
      </c>
      <c r="D16" s="151">
        <v>241450</v>
      </c>
      <c r="E16" s="151">
        <v>42677</v>
      </c>
      <c r="F16" s="151">
        <v>15760</v>
      </c>
      <c r="G16" s="151">
        <v>403077</v>
      </c>
      <c r="H16" s="151">
        <v>243554</v>
      </c>
      <c r="I16" s="151">
        <v>159523</v>
      </c>
      <c r="J16" s="151">
        <v>230337</v>
      </c>
      <c r="K16" s="151">
        <v>76048</v>
      </c>
      <c r="L16" s="151">
        <v>8740</v>
      </c>
      <c r="M16" s="151">
        <v>45453</v>
      </c>
      <c r="N16" s="151">
        <v>0</v>
      </c>
      <c r="O16" s="151">
        <v>42499</v>
      </c>
      <c r="P16" s="151">
        <v>403077</v>
      </c>
    </row>
    <row r="17" spans="1:16" x14ac:dyDescent="0.25">
      <c r="A17" s="192" t="s">
        <v>522</v>
      </c>
      <c r="B17" s="151">
        <v>33286</v>
      </c>
      <c r="C17" s="151">
        <v>19613</v>
      </c>
      <c r="D17" s="151">
        <v>115083</v>
      </c>
      <c r="E17" s="151">
        <v>16976</v>
      </c>
      <c r="F17" s="151">
        <v>9059</v>
      </c>
      <c r="G17" s="151">
        <v>194017</v>
      </c>
      <c r="H17" s="151">
        <v>112239</v>
      </c>
      <c r="I17" s="151">
        <v>81778</v>
      </c>
      <c r="J17" s="151">
        <v>104725</v>
      </c>
      <c r="K17" s="151">
        <v>31998</v>
      </c>
      <c r="L17" s="151">
        <v>4701</v>
      </c>
      <c r="M17" s="151">
        <v>36379</v>
      </c>
      <c r="N17" s="151">
        <v>0</v>
      </c>
      <c r="O17" s="151">
        <v>16214</v>
      </c>
      <c r="P17" s="151">
        <v>194017</v>
      </c>
    </row>
    <row r="18" spans="1:16" x14ac:dyDescent="0.25">
      <c r="A18" s="192" t="s">
        <v>523</v>
      </c>
      <c r="B18" s="151">
        <v>44682</v>
      </c>
      <c r="C18" s="151">
        <v>25086</v>
      </c>
      <c r="D18" s="151">
        <v>130947</v>
      </c>
      <c r="E18" s="151">
        <v>17751</v>
      </c>
      <c r="F18" s="151">
        <v>9739</v>
      </c>
      <c r="G18" s="151">
        <v>228205</v>
      </c>
      <c r="H18" s="151">
        <v>129715</v>
      </c>
      <c r="I18" s="151">
        <v>98490</v>
      </c>
      <c r="J18" s="151">
        <v>127730</v>
      </c>
      <c r="K18" s="151">
        <v>44147</v>
      </c>
      <c r="L18" s="151">
        <v>5852</v>
      </c>
      <c r="M18" s="151">
        <v>35671</v>
      </c>
      <c r="N18" s="151">
        <v>1</v>
      </c>
      <c r="O18" s="151">
        <v>14804</v>
      </c>
      <c r="P18" s="151">
        <v>228205</v>
      </c>
    </row>
    <row r="19" spans="1:16" x14ac:dyDescent="0.25">
      <c r="A19" s="192" t="s">
        <v>524</v>
      </c>
      <c r="B19" s="151">
        <v>61335</v>
      </c>
      <c r="C19" s="151">
        <v>42826</v>
      </c>
      <c r="D19" s="151">
        <v>181651</v>
      </c>
      <c r="E19" s="151">
        <v>29863</v>
      </c>
      <c r="F19" s="151">
        <v>13098</v>
      </c>
      <c r="G19" s="151">
        <v>328773</v>
      </c>
      <c r="H19" s="151">
        <v>198806</v>
      </c>
      <c r="I19" s="151">
        <v>129967</v>
      </c>
      <c r="J19" s="151">
        <v>179008</v>
      </c>
      <c r="K19" s="151">
        <v>52292</v>
      </c>
      <c r="L19" s="151">
        <v>9533</v>
      </c>
      <c r="M19" s="151">
        <v>60582</v>
      </c>
      <c r="N19" s="151">
        <v>0</v>
      </c>
      <c r="O19" s="151">
        <v>27358</v>
      </c>
      <c r="P19" s="151">
        <v>328773</v>
      </c>
    </row>
    <row r="20" spans="1:16" x14ac:dyDescent="0.25">
      <c r="A20" s="192" t="s">
        <v>525</v>
      </c>
      <c r="B20" s="151">
        <v>48594</v>
      </c>
      <c r="C20" s="151">
        <v>29684</v>
      </c>
      <c r="D20" s="151">
        <v>102186</v>
      </c>
      <c r="E20" s="151">
        <v>14675</v>
      </c>
      <c r="F20" s="151">
        <v>7901</v>
      </c>
      <c r="G20" s="151">
        <v>203040</v>
      </c>
      <c r="H20" s="151">
        <v>119372</v>
      </c>
      <c r="I20" s="151">
        <v>83668</v>
      </c>
      <c r="J20" s="151">
        <v>125072</v>
      </c>
      <c r="K20" s="151">
        <v>34098</v>
      </c>
      <c r="L20" s="151">
        <v>5023</v>
      </c>
      <c r="M20" s="151">
        <v>25515</v>
      </c>
      <c r="N20" s="151">
        <v>0</v>
      </c>
      <c r="O20" s="151">
        <v>13332</v>
      </c>
      <c r="P20" s="151">
        <v>203040</v>
      </c>
    </row>
    <row r="21" spans="1:16" x14ac:dyDescent="0.25">
      <c r="A21" s="192" t="s">
        <v>526</v>
      </c>
      <c r="B21" s="151">
        <v>34497</v>
      </c>
      <c r="C21" s="151">
        <v>21145</v>
      </c>
      <c r="D21" s="151">
        <v>82738</v>
      </c>
      <c r="E21" s="151">
        <v>11762</v>
      </c>
      <c r="F21" s="151">
        <v>8043</v>
      </c>
      <c r="G21" s="151">
        <v>158185</v>
      </c>
      <c r="H21" s="151">
        <v>90862</v>
      </c>
      <c r="I21" s="151">
        <v>67323</v>
      </c>
      <c r="J21" s="151">
        <v>97626</v>
      </c>
      <c r="K21" s="151">
        <v>32927</v>
      </c>
      <c r="L21" s="151">
        <v>4538</v>
      </c>
      <c r="M21" s="151">
        <v>12733</v>
      </c>
      <c r="N21" s="151">
        <v>0</v>
      </c>
      <c r="O21" s="151">
        <v>10361</v>
      </c>
      <c r="P21" s="151">
        <v>158185</v>
      </c>
    </row>
    <row r="22" spans="1:16" x14ac:dyDescent="0.25">
      <c r="A22" s="192" t="s">
        <v>527</v>
      </c>
      <c r="B22" s="151">
        <v>3478</v>
      </c>
      <c r="C22" s="151">
        <v>1755</v>
      </c>
      <c r="D22" s="151">
        <v>9775</v>
      </c>
      <c r="E22" s="151">
        <v>1326</v>
      </c>
      <c r="F22" s="151">
        <v>810</v>
      </c>
      <c r="G22" s="151">
        <v>17144</v>
      </c>
      <c r="H22" s="151">
        <v>9187</v>
      </c>
      <c r="I22" s="151">
        <v>7957</v>
      </c>
      <c r="J22" s="151">
        <v>11749</v>
      </c>
      <c r="K22" s="151">
        <v>3130</v>
      </c>
      <c r="L22" s="151">
        <v>269</v>
      </c>
      <c r="M22" s="151">
        <v>897</v>
      </c>
      <c r="N22" s="151">
        <v>0</v>
      </c>
      <c r="O22" s="151">
        <v>1099</v>
      </c>
      <c r="P22" s="151">
        <v>17144</v>
      </c>
    </row>
    <row r="23" spans="1:16" x14ac:dyDescent="0.25">
      <c r="A23" s="192" t="s">
        <v>528</v>
      </c>
      <c r="B23" s="151">
        <v>5652</v>
      </c>
      <c r="C23" s="151">
        <v>2170</v>
      </c>
      <c r="D23" s="151">
        <v>19217</v>
      </c>
      <c r="E23" s="151">
        <v>3795</v>
      </c>
      <c r="F23" s="151">
        <v>1119</v>
      </c>
      <c r="G23" s="151">
        <v>31953</v>
      </c>
      <c r="H23" s="151">
        <v>19088</v>
      </c>
      <c r="I23" s="151">
        <v>12865</v>
      </c>
      <c r="J23" s="151">
        <v>22306</v>
      </c>
      <c r="K23" s="151">
        <v>5348</v>
      </c>
      <c r="L23" s="151">
        <v>1204</v>
      </c>
      <c r="M23" s="151">
        <v>81</v>
      </c>
      <c r="N23" s="151">
        <v>0</v>
      </c>
      <c r="O23" s="151">
        <v>3014</v>
      </c>
      <c r="P23" s="151">
        <v>31953</v>
      </c>
    </row>
    <row r="24" spans="1:16" x14ac:dyDescent="0.25">
      <c r="A24" s="192" t="s">
        <v>529</v>
      </c>
      <c r="B24" s="151">
        <v>233102</v>
      </c>
      <c r="C24" s="151">
        <v>92519</v>
      </c>
      <c r="D24" s="151">
        <v>749658</v>
      </c>
      <c r="E24" s="151">
        <v>127402</v>
      </c>
      <c r="F24" s="151">
        <v>38448</v>
      </c>
      <c r="G24" s="151">
        <v>1241129</v>
      </c>
      <c r="H24" s="151">
        <v>758738</v>
      </c>
      <c r="I24" s="151">
        <v>482391</v>
      </c>
      <c r="J24" s="151">
        <v>644033</v>
      </c>
      <c r="K24" s="151">
        <v>195156</v>
      </c>
      <c r="L24" s="151">
        <v>34575</v>
      </c>
      <c r="M24" s="151">
        <v>192809</v>
      </c>
      <c r="N24" s="151">
        <v>0</v>
      </c>
      <c r="O24" s="151">
        <v>174556</v>
      </c>
      <c r="P24" s="151">
        <v>1241129</v>
      </c>
    </row>
    <row r="25" spans="1:16" x14ac:dyDescent="0.25">
      <c r="A25" s="192" t="s">
        <v>530</v>
      </c>
      <c r="B25" s="151">
        <v>17455</v>
      </c>
      <c r="C25" s="151">
        <v>11146</v>
      </c>
      <c r="D25" s="151">
        <v>45943</v>
      </c>
      <c r="E25" s="151">
        <v>7112</v>
      </c>
      <c r="F25" s="151">
        <v>4835</v>
      </c>
      <c r="G25" s="151">
        <v>86491</v>
      </c>
      <c r="H25" s="151">
        <v>50843</v>
      </c>
      <c r="I25" s="151">
        <v>35648</v>
      </c>
      <c r="J25" s="151">
        <v>57562</v>
      </c>
      <c r="K25" s="151">
        <v>16266</v>
      </c>
      <c r="L25" s="151">
        <v>2373</v>
      </c>
      <c r="M25" s="151">
        <v>4831</v>
      </c>
      <c r="N25" s="151">
        <v>2</v>
      </c>
      <c r="O25" s="151">
        <v>5457</v>
      </c>
      <c r="P25" s="151">
        <v>86491</v>
      </c>
    </row>
    <row r="26" spans="1:16" x14ac:dyDescent="0.25">
      <c r="A26" s="192" t="s">
        <v>531</v>
      </c>
      <c r="B26" s="151">
        <v>7640</v>
      </c>
      <c r="C26" s="151">
        <v>3351</v>
      </c>
      <c r="D26" s="151">
        <v>24755</v>
      </c>
      <c r="E26" s="151">
        <v>4271</v>
      </c>
      <c r="F26" s="151">
        <v>1491</v>
      </c>
      <c r="G26" s="151">
        <v>41508</v>
      </c>
      <c r="H26" s="151">
        <v>23818</v>
      </c>
      <c r="I26" s="151">
        <v>17690</v>
      </c>
      <c r="J26" s="151">
        <v>22486</v>
      </c>
      <c r="K26" s="151">
        <v>8492</v>
      </c>
      <c r="L26" s="151">
        <v>1323</v>
      </c>
      <c r="M26" s="151">
        <v>5428</v>
      </c>
      <c r="N26" s="151">
        <v>0</v>
      </c>
      <c r="O26" s="151">
        <v>3779</v>
      </c>
      <c r="P26" s="151">
        <v>41508</v>
      </c>
    </row>
    <row r="27" spans="1:16" x14ac:dyDescent="0.25">
      <c r="A27" s="192" t="s">
        <v>532</v>
      </c>
      <c r="B27" s="151">
        <v>23877</v>
      </c>
      <c r="C27" s="151">
        <v>26114</v>
      </c>
      <c r="D27" s="151">
        <v>59830</v>
      </c>
      <c r="E27" s="151">
        <v>8479</v>
      </c>
      <c r="F27" s="151">
        <v>7300</v>
      </c>
      <c r="G27" s="151">
        <v>125600</v>
      </c>
      <c r="H27" s="151">
        <v>75028</v>
      </c>
      <c r="I27" s="151">
        <v>50572</v>
      </c>
      <c r="J27" s="151">
        <v>69735</v>
      </c>
      <c r="K27" s="151">
        <v>20741</v>
      </c>
      <c r="L27" s="151">
        <v>2265</v>
      </c>
      <c r="M27" s="151">
        <v>26512</v>
      </c>
      <c r="N27" s="151">
        <v>0</v>
      </c>
      <c r="O27" s="151">
        <v>6347</v>
      </c>
      <c r="P27" s="151">
        <v>125600</v>
      </c>
    </row>
    <row r="28" spans="1:16" x14ac:dyDescent="0.25">
      <c r="A28" s="192" t="s">
        <v>35</v>
      </c>
      <c r="B28" s="151">
        <v>645459</v>
      </c>
      <c r="C28" s="151">
        <v>339442</v>
      </c>
      <c r="D28" s="151">
        <v>1962696</v>
      </c>
      <c r="E28" s="151">
        <v>318884</v>
      </c>
      <c r="F28" s="151">
        <v>129806</v>
      </c>
      <c r="G28" s="151">
        <v>3396287</v>
      </c>
      <c r="H28" s="151">
        <v>2030860</v>
      </c>
      <c r="I28" s="151">
        <v>1365427</v>
      </c>
      <c r="J28" s="151">
        <v>1902700</v>
      </c>
      <c r="K28" s="151">
        <v>573253</v>
      </c>
      <c r="L28" s="151">
        <v>87140</v>
      </c>
      <c r="M28" s="151">
        <v>481514</v>
      </c>
      <c r="N28" s="151">
        <v>5</v>
      </c>
      <c r="O28" s="151">
        <v>351675</v>
      </c>
      <c r="P28" s="151">
        <v>3396287</v>
      </c>
    </row>
    <row r="29" spans="1:16" x14ac:dyDescent="0.25">
      <c r="A29" s="172"/>
      <c r="B29" s="177"/>
      <c r="C29" s="177"/>
      <c r="D29" s="177"/>
      <c r="E29" s="177"/>
      <c r="F29" s="177"/>
      <c r="G29" s="177"/>
    </row>
    <row r="30" spans="1:16" x14ac:dyDescent="0.25">
      <c r="A30" s="172"/>
      <c r="B30" s="177"/>
      <c r="C30" s="177"/>
      <c r="D30" s="177"/>
      <c r="E30" s="177"/>
      <c r="F30" s="177"/>
      <c r="G30" s="177"/>
    </row>
    <row r="31" spans="1:16" x14ac:dyDescent="0.25">
      <c r="A31" s="213" t="s">
        <v>551</v>
      </c>
      <c r="B31" s="177"/>
      <c r="C31" s="177"/>
      <c r="D31" s="177"/>
      <c r="E31" s="177"/>
      <c r="F31" s="177"/>
      <c r="G31" s="177"/>
    </row>
    <row r="32" spans="1:16" ht="18.75" x14ac:dyDescent="0.3">
      <c r="A32" s="2" t="s">
        <v>542</v>
      </c>
      <c r="B32" s="177"/>
      <c r="C32" s="177"/>
      <c r="D32" s="177"/>
      <c r="E32" s="177"/>
      <c r="F32" s="177"/>
      <c r="G32" s="177"/>
    </row>
    <row r="33" spans="1:16" x14ac:dyDescent="0.25">
      <c r="A33" s="8" t="s">
        <v>12</v>
      </c>
      <c r="B33" s="177"/>
      <c r="C33" s="177"/>
      <c r="D33" s="177"/>
      <c r="E33" s="177"/>
      <c r="F33" s="177"/>
      <c r="G33" s="177"/>
    </row>
    <row r="34" spans="1:16" x14ac:dyDescent="0.25">
      <c r="A34" s="172"/>
      <c r="B34" s="177"/>
      <c r="C34" s="177"/>
      <c r="D34" s="177"/>
      <c r="E34" s="177"/>
      <c r="F34" s="177"/>
      <c r="G34" s="177"/>
    </row>
    <row r="35" spans="1:16" x14ac:dyDescent="0.25">
      <c r="A35" s="549" t="s">
        <v>533</v>
      </c>
      <c r="B35" s="548" t="s">
        <v>534</v>
      </c>
      <c r="C35" s="548"/>
      <c r="D35" s="548"/>
      <c r="E35" s="548"/>
      <c r="F35" s="548"/>
      <c r="G35" s="168"/>
      <c r="H35" s="551" t="s">
        <v>535</v>
      </c>
      <c r="I35" s="551"/>
      <c r="J35" s="548" t="s">
        <v>536</v>
      </c>
      <c r="K35" s="548"/>
      <c r="L35" s="548"/>
      <c r="M35" s="548"/>
      <c r="N35" s="548"/>
      <c r="O35" s="548"/>
    </row>
    <row r="36" spans="1:16" ht="45" x14ac:dyDescent="0.25">
      <c r="A36" s="550"/>
      <c r="B36" s="194" t="s">
        <v>496</v>
      </c>
      <c r="C36" s="194" t="s">
        <v>139</v>
      </c>
      <c r="D36" s="194" t="s">
        <v>497</v>
      </c>
      <c r="E36" s="194" t="s">
        <v>19</v>
      </c>
      <c r="F36" s="194" t="s">
        <v>141</v>
      </c>
      <c r="G36" s="193" t="s">
        <v>35</v>
      </c>
      <c r="H36" s="194" t="s">
        <v>485</v>
      </c>
      <c r="I36" s="194" t="s">
        <v>486</v>
      </c>
      <c r="J36" s="195" t="s">
        <v>537</v>
      </c>
      <c r="K36" s="194" t="s">
        <v>538</v>
      </c>
      <c r="L36" s="194" t="s">
        <v>539</v>
      </c>
      <c r="M36" s="194" t="s">
        <v>540</v>
      </c>
      <c r="N36" s="194" t="s">
        <v>541</v>
      </c>
      <c r="O36" s="195">
        <v>7</v>
      </c>
      <c r="P36" s="193" t="s">
        <v>35</v>
      </c>
    </row>
    <row r="37" spans="1:16" x14ac:dyDescent="0.25">
      <c r="A37" s="192" t="s">
        <v>517</v>
      </c>
      <c r="B37" s="151">
        <v>6662</v>
      </c>
      <c r="C37" s="151">
        <v>3217</v>
      </c>
      <c r="D37" s="151">
        <v>24104</v>
      </c>
      <c r="E37" s="151">
        <v>2630</v>
      </c>
      <c r="F37" s="151">
        <v>1936</v>
      </c>
      <c r="G37" s="151">
        <v>38549</v>
      </c>
      <c r="H37" s="151">
        <v>21882</v>
      </c>
      <c r="I37" s="151">
        <v>16667</v>
      </c>
      <c r="J37" s="151">
        <v>21212</v>
      </c>
      <c r="K37" s="151">
        <v>6595</v>
      </c>
      <c r="L37" s="151">
        <v>1309</v>
      </c>
      <c r="M37" s="151">
        <v>5804</v>
      </c>
      <c r="N37" s="151">
        <v>0</v>
      </c>
      <c r="O37" s="151">
        <v>3629</v>
      </c>
      <c r="P37" s="151">
        <v>38549</v>
      </c>
    </row>
    <row r="38" spans="1:16" x14ac:dyDescent="0.25">
      <c r="A38" s="192" t="s">
        <v>518</v>
      </c>
      <c r="B38" s="151">
        <v>12443</v>
      </c>
      <c r="C38" s="151">
        <v>4092</v>
      </c>
      <c r="D38" s="151">
        <v>42233</v>
      </c>
      <c r="E38" s="151">
        <v>4122</v>
      </c>
      <c r="F38" s="151">
        <v>2141</v>
      </c>
      <c r="G38" s="151">
        <v>65031</v>
      </c>
      <c r="H38" s="151">
        <v>39070</v>
      </c>
      <c r="I38" s="151">
        <v>25961</v>
      </c>
      <c r="J38" s="151">
        <v>40781</v>
      </c>
      <c r="K38" s="151">
        <v>9803</v>
      </c>
      <c r="L38" s="151">
        <v>1053</v>
      </c>
      <c r="M38" s="151">
        <v>6018</v>
      </c>
      <c r="N38" s="151">
        <v>0</v>
      </c>
      <c r="O38" s="151">
        <v>7376</v>
      </c>
      <c r="P38" s="151">
        <v>65031</v>
      </c>
    </row>
    <row r="39" spans="1:16" x14ac:dyDescent="0.25">
      <c r="A39" s="192" t="s">
        <v>519</v>
      </c>
      <c r="B39" s="151">
        <v>7988</v>
      </c>
      <c r="C39" s="151">
        <v>2722</v>
      </c>
      <c r="D39" s="151">
        <v>27232</v>
      </c>
      <c r="E39" s="151">
        <v>2396</v>
      </c>
      <c r="F39" s="151">
        <v>1448</v>
      </c>
      <c r="G39" s="151">
        <v>41786</v>
      </c>
      <c r="H39" s="151">
        <v>23546</v>
      </c>
      <c r="I39" s="151">
        <v>18240</v>
      </c>
      <c r="J39" s="151">
        <v>23161</v>
      </c>
      <c r="K39" s="151">
        <v>8195</v>
      </c>
      <c r="L39" s="151">
        <v>1026</v>
      </c>
      <c r="M39" s="151">
        <v>6108</v>
      </c>
      <c r="N39" s="151">
        <v>0</v>
      </c>
      <c r="O39" s="151">
        <v>3296</v>
      </c>
      <c r="P39" s="151">
        <v>41786</v>
      </c>
    </row>
    <row r="40" spans="1:16" x14ac:dyDescent="0.25">
      <c r="A40" s="192" t="s">
        <v>520</v>
      </c>
      <c r="B40" s="151">
        <v>24517</v>
      </c>
      <c r="C40" s="151">
        <v>7944</v>
      </c>
      <c r="D40" s="151">
        <v>80576</v>
      </c>
      <c r="E40" s="151">
        <v>7006</v>
      </c>
      <c r="F40" s="151">
        <v>4576</v>
      </c>
      <c r="G40" s="151">
        <v>124619</v>
      </c>
      <c r="H40" s="151">
        <v>71239</v>
      </c>
      <c r="I40" s="151">
        <v>53380</v>
      </c>
      <c r="J40" s="151">
        <v>83796</v>
      </c>
      <c r="K40" s="151">
        <v>19151</v>
      </c>
      <c r="L40" s="151">
        <v>1986</v>
      </c>
      <c r="M40" s="151">
        <v>9679</v>
      </c>
      <c r="N40" s="151">
        <v>2</v>
      </c>
      <c r="O40" s="151">
        <v>10005</v>
      </c>
      <c r="P40" s="151">
        <v>124619</v>
      </c>
    </row>
    <row r="41" spans="1:16" x14ac:dyDescent="0.25">
      <c r="A41" s="192" t="s">
        <v>521</v>
      </c>
      <c r="B41" s="151">
        <v>60056</v>
      </c>
      <c r="C41" s="151">
        <v>20443</v>
      </c>
      <c r="D41" s="151">
        <v>213573</v>
      </c>
      <c r="E41" s="151">
        <v>21002</v>
      </c>
      <c r="F41" s="151">
        <v>13051</v>
      </c>
      <c r="G41" s="151">
        <v>328125</v>
      </c>
      <c r="H41" s="151">
        <v>194329</v>
      </c>
      <c r="I41" s="151">
        <v>133796</v>
      </c>
      <c r="J41" s="151">
        <v>187067</v>
      </c>
      <c r="K41" s="151">
        <v>64257</v>
      </c>
      <c r="L41" s="151">
        <v>7042</v>
      </c>
      <c r="M41" s="151">
        <v>37690</v>
      </c>
      <c r="N41" s="151">
        <v>0</v>
      </c>
      <c r="O41" s="151">
        <v>32069</v>
      </c>
      <c r="P41" s="151">
        <v>328125</v>
      </c>
    </row>
    <row r="42" spans="1:16" x14ac:dyDescent="0.25">
      <c r="A42" s="192" t="s">
        <v>522</v>
      </c>
      <c r="B42" s="151">
        <v>28310</v>
      </c>
      <c r="C42" s="151">
        <v>10063</v>
      </c>
      <c r="D42" s="151">
        <v>102818</v>
      </c>
      <c r="E42" s="151">
        <v>8651</v>
      </c>
      <c r="F42" s="151">
        <v>7551</v>
      </c>
      <c r="G42" s="151">
        <v>157393</v>
      </c>
      <c r="H42" s="151">
        <v>87940</v>
      </c>
      <c r="I42" s="151">
        <v>69453</v>
      </c>
      <c r="J42" s="151">
        <v>85185</v>
      </c>
      <c r="K42" s="151">
        <v>27456</v>
      </c>
      <c r="L42" s="151">
        <v>3852</v>
      </c>
      <c r="M42" s="151">
        <v>28715</v>
      </c>
      <c r="N42" s="151">
        <v>0</v>
      </c>
      <c r="O42" s="151">
        <v>12185</v>
      </c>
      <c r="P42" s="151">
        <v>157393</v>
      </c>
    </row>
    <row r="43" spans="1:16" x14ac:dyDescent="0.25">
      <c r="A43" s="192" t="s">
        <v>523</v>
      </c>
      <c r="B43" s="151">
        <v>39533</v>
      </c>
      <c r="C43" s="151">
        <v>13471</v>
      </c>
      <c r="D43" s="151">
        <v>118610</v>
      </c>
      <c r="E43" s="151">
        <v>9596</v>
      </c>
      <c r="F43" s="151">
        <v>8042</v>
      </c>
      <c r="G43" s="151">
        <v>189252</v>
      </c>
      <c r="H43" s="151">
        <v>104534</v>
      </c>
      <c r="I43" s="151">
        <v>84718</v>
      </c>
      <c r="J43" s="151">
        <v>106557</v>
      </c>
      <c r="K43" s="151">
        <v>38759</v>
      </c>
      <c r="L43" s="151">
        <v>4838</v>
      </c>
      <c r="M43" s="151">
        <v>27831</v>
      </c>
      <c r="N43" s="151">
        <v>1</v>
      </c>
      <c r="O43" s="151">
        <v>11266</v>
      </c>
      <c r="P43" s="151">
        <v>189252</v>
      </c>
    </row>
    <row r="44" spans="1:16" x14ac:dyDescent="0.25">
      <c r="A44" s="192" t="s">
        <v>524</v>
      </c>
      <c r="B44" s="151">
        <v>53055</v>
      </c>
      <c r="C44" s="151">
        <v>21104</v>
      </c>
      <c r="D44" s="151">
        <v>160824</v>
      </c>
      <c r="E44" s="151">
        <v>16010</v>
      </c>
      <c r="F44" s="151">
        <v>10879</v>
      </c>
      <c r="G44" s="151">
        <v>261872</v>
      </c>
      <c r="H44" s="151">
        <v>151675</v>
      </c>
      <c r="I44" s="151">
        <v>110197</v>
      </c>
      <c r="J44" s="151">
        <v>144582</v>
      </c>
      <c r="K44" s="151">
        <v>44045</v>
      </c>
      <c r="L44" s="151">
        <v>7685</v>
      </c>
      <c r="M44" s="151">
        <v>44925</v>
      </c>
      <c r="N44" s="151">
        <v>0</v>
      </c>
      <c r="O44" s="151">
        <v>20635</v>
      </c>
      <c r="P44" s="151">
        <v>261872</v>
      </c>
    </row>
    <row r="45" spans="1:16" x14ac:dyDescent="0.25">
      <c r="A45" s="192" t="s">
        <v>525</v>
      </c>
      <c r="B45" s="151">
        <v>43591</v>
      </c>
      <c r="C45" s="151">
        <v>13744</v>
      </c>
      <c r="D45" s="151">
        <v>91902</v>
      </c>
      <c r="E45" s="151">
        <v>7758</v>
      </c>
      <c r="F45" s="151">
        <v>6637</v>
      </c>
      <c r="G45" s="151">
        <v>163632</v>
      </c>
      <c r="H45" s="151">
        <v>92141</v>
      </c>
      <c r="I45" s="151">
        <v>71491</v>
      </c>
      <c r="J45" s="151">
        <v>100767</v>
      </c>
      <c r="K45" s="151">
        <v>29809</v>
      </c>
      <c r="L45" s="151">
        <v>3964</v>
      </c>
      <c r="M45" s="151">
        <v>19138</v>
      </c>
      <c r="N45" s="151">
        <v>0</v>
      </c>
      <c r="O45" s="151">
        <v>9954</v>
      </c>
      <c r="P45" s="151">
        <v>163632</v>
      </c>
    </row>
    <row r="46" spans="1:16" x14ac:dyDescent="0.25">
      <c r="A46" s="192" t="s">
        <v>526</v>
      </c>
      <c r="B46" s="151">
        <v>30962</v>
      </c>
      <c r="C46" s="151">
        <v>11779</v>
      </c>
      <c r="D46" s="151">
        <v>74142</v>
      </c>
      <c r="E46" s="151">
        <v>6994</v>
      </c>
      <c r="F46" s="151">
        <v>6730</v>
      </c>
      <c r="G46" s="151">
        <v>130607</v>
      </c>
      <c r="H46" s="151">
        <v>73240</v>
      </c>
      <c r="I46" s="151">
        <v>57367</v>
      </c>
      <c r="J46" s="151">
        <v>79415</v>
      </c>
      <c r="K46" s="151">
        <v>29077</v>
      </c>
      <c r="L46" s="151">
        <v>3779</v>
      </c>
      <c r="M46" s="151">
        <v>10652</v>
      </c>
      <c r="N46" s="151">
        <v>0</v>
      </c>
      <c r="O46" s="151">
        <v>7684</v>
      </c>
      <c r="P46" s="151">
        <v>130607</v>
      </c>
    </row>
    <row r="47" spans="1:16" x14ac:dyDescent="0.25">
      <c r="A47" s="192" t="s">
        <v>527</v>
      </c>
      <c r="B47" s="151">
        <v>2978</v>
      </c>
      <c r="C47" s="151">
        <v>845</v>
      </c>
      <c r="D47" s="151">
        <v>8505</v>
      </c>
      <c r="E47" s="151">
        <v>574</v>
      </c>
      <c r="F47" s="151">
        <v>655</v>
      </c>
      <c r="G47" s="151">
        <v>13557</v>
      </c>
      <c r="H47" s="151">
        <v>6968</v>
      </c>
      <c r="I47" s="151">
        <v>6589</v>
      </c>
      <c r="J47" s="151">
        <v>9286</v>
      </c>
      <c r="K47" s="151">
        <v>2577</v>
      </c>
      <c r="L47" s="151">
        <v>195</v>
      </c>
      <c r="M47" s="151">
        <v>729</v>
      </c>
      <c r="N47" s="151">
        <v>0</v>
      </c>
      <c r="O47" s="151">
        <v>770</v>
      </c>
      <c r="P47" s="151">
        <v>13557</v>
      </c>
    </row>
    <row r="48" spans="1:16" x14ac:dyDescent="0.25">
      <c r="A48" s="192" t="s">
        <v>528</v>
      </c>
      <c r="B48" s="151">
        <v>4781</v>
      </c>
      <c r="C48" s="151">
        <v>1409</v>
      </c>
      <c r="D48" s="151">
        <v>16418</v>
      </c>
      <c r="E48" s="151">
        <v>1924</v>
      </c>
      <c r="F48" s="151">
        <v>926</v>
      </c>
      <c r="G48" s="151">
        <v>25458</v>
      </c>
      <c r="H48" s="151">
        <v>14866</v>
      </c>
      <c r="I48" s="151">
        <v>10592</v>
      </c>
      <c r="J48" s="151">
        <v>17936</v>
      </c>
      <c r="K48" s="151">
        <v>4323</v>
      </c>
      <c r="L48" s="151">
        <v>964</v>
      </c>
      <c r="M48" s="151">
        <v>64</v>
      </c>
      <c r="N48" s="151">
        <v>0</v>
      </c>
      <c r="O48" s="151">
        <v>2171</v>
      </c>
      <c r="P48" s="151">
        <v>25458</v>
      </c>
    </row>
    <row r="49" spans="1:16" x14ac:dyDescent="0.25">
      <c r="A49" s="192" t="s">
        <v>529</v>
      </c>
      <c r="B49" s="151">
        <v>200819</v>
      </c>
      <c r="C49" s="151">
        <v>55946</v>
      </c>
      <c r="D49" s="151">
        <v>661857</v>
      </c>
      <c r="E49" s="151">
        <v>67870</v>
      </c>
      <c r="F49" s="151">
        <v>31821</v>
      </c>
      <c r="G49" s="151">
        <v>1018313</v>
      </c>
      <c r="H49" s="151">
        <v>614365</v>
      </c>
      <c r="I49" s="151">
        <v>403948</v>
      </c>
      <c r="J49" s="151">
        <v>534149</v>
      </c>
      <c r="K49" s="151">
        <v>165113</v>
      </c>
      <c r="L49" s="151">
        <v>28569</v>
      </c>
      <c r="M49" s="151">
        <v>159877</v>
      </c>
      <c r="N49" s="151">
        <v>0</v>
      </c>
      <c r="O49" s="151">
        <v>130605</v>
      </c>
      <c r="P49" s="151">
        <v>1018313</v>
      </c>
    </row>
    <row r="50" spans="1:16" x14ac:dyDescent="0.25">
      <c r="A50" s="192" t="s">
        <v>530</v>
      </c>
      <c r="B50" s="151">
        <v>15645</v>
      </c>
      <c r="C50" s="151">
        <v>7315</v>
      </c>
      <c r="D50" s="151">
        <v>40964</v>
      </c>
      <c r="E50" s="151">
        <v>4112</v>
      </c>
      <c r="F50" s="151">
        <v>4143</v>
      </c>
      <c r="G50" s="151">
        <v>72179</v>
      </c>
      <c r="H50" s="151">
        <v>41329</v>
      </c>
      <c r="I50" s="151">
        <v>30850</v>
      </c>
      <c r="J50" s="151">
        <v>47993</v>
      </c>
      <c r="K50" s="151">
        <v>14144</v>
      </c>
      <c r="L50" s="151">
        <v>1935</v>
      </c>
      <c r="M50" s="151">
        <v>4031</v>
      </c>
      <c r="N50" s="151">
        <v>2</v>
      </c>
      <c r="O50" s="151">
        <v>4074</v>
      </c>
      <c r="P50" s="151">
        <v>72179</v>
      </c>
    </row>
    <row r="51" spans="1:16" x14ac:dyDescent="0.25">
      <c r="A51" s="192" t="s">
        <v>531</v>
      </c>
      <c r="B51" s="151">
        <v>6601</v>
      </c>
      <c r="C51" s="151">
        <v>2283</v>
      </c>
      <c r="D51" s="151">
        <v>22097</v>
      </c>
      <c r="E51" s="151">
        <v>2429</v>
      </c>
      <c r="F51" s="151">
        <v>1230</v>
      </c>
      <c r="G51" s="151">
        <v>34640</v>
      </c>
      <c r="H51" s="151">
        <v>19654</v>
      </c>
      <c r="I51" s="151">
        <v>14986</v>
      </c>
      <c r="J51" s="151">
        <v>18800</v>
      </c>
      <c r="K51" s="151">
        <v>7203</v>
      </c>
      <c r="L51" s="151">
        <v>1115</v>
      </c>
      <c r="M51" s="151">
        <v>4648</v>
      </c>
      <c r="N51" s="151">
        <v>0</v>
      </c>
      <c r="O51" s="151">
        <v>2874</v>
      </c>
      <c r="P51" s="151">
        <v>34640</v>
      </c>
    </row>
    <row r="52" spans="1:16" x14ac:dyDescent="0.25">
      <c r="A52" s="192" t="s">
        <v>532</v>
      </c>
      <c r="B52" s="151">
        <v>21395</v>
      </c>
      <c r="C52" s="151">
        <v>11278</v>
      </c>
      <c r="D52" s="151">
        <v>54317</v>
      </c>
      <c r="E52" s="151">
        <v>4745</v>
      </c>
      <c r="F52" s="151">
        <v>6172</v>
      </c>
      <c r="G52" s="151">
        <v>97907</v>
      </c>
      <c r="H52" s="151">
        <v>55177</v>
      </c>
      <c r="I52" s="151">
        <v>42730</v>
      </c>
      <c r="J52" s="151">
        <v>55568</v>
      </c>
      <c r="K52" s="151">
        <v>18252</v>
      </c>
      <c r="L52" s="151">
        <v>1933</v>
      </c>
      <c r="M52" s="151">
        <v>17376</v>
      </c>
      <c r="N52" s="151">
        <v>0</v>
      </c>
      <c r="O52" s="151">
        <v>4778</v>
      </c>
      <c r="P52" s="151">
        <v>97907</v>
      </c>
    </row>
    <row r="53" spans="1:16" x14ac:dyDescent="0.25">
      <c r="A53" s="150" t="s">
        <v>35</v>
      </c>
      <c r="B53" s="151">
        <v>559336</v>
      </c>
      <c r="C53" s="151">
        <v>187655</v>
      </c>
      <c r="D53" s="151">
        <v>1740172</v>
      </c>
      <c r="E53" s="151">
        <v>167819</v>
      </c>
      <c r="F53" s="151">
        <v>107938</v>
      </c>
      <c r="G53" s="151">
        <v>2762920</v>
      </c>
      <c r="H53" s="151">
        <v>1611955</v>
      </c>
      <c r="I53" s="151">
        <v>1150965</v>
      </c>
      <c r="J53" s="151">
        <v>1556255</v>
      </c>
      <c r="K53" s="151">
        <v>488759</v>
      </c>
      <c r="L53" s="151">
        <v>71245</v>
      </c>
      <c r="M53" s="151">
        <v>383285</v>
      </c>
      <c r="N53" s="151">
        <v>5</v>
      </c>
      <c r="O53" s="151">
        <v>263371</v>
      </c>
      <c r="P53" s="151">
        <v>2762920</v>
      </c>
    </row>
    <row r="54" spans="1:16" x14ac:dyDescent="0.25">
      <c r="A54" s="172"/>
      <c r="B54" s="177"/>
      <c r="C54" s="177"/>
      <c r="D54" s="177"/>
      <c r="E54" s="177"/>
      <c r="F54" s="177"/>
      <c r="G54" s="177"/>
    </row>
    <row r="55" spans="1:16" x14ac:dyDescent="0.25">
      <c r="A55" s="213" t="s">
        <v>552</v>
      </c>
      <c r="B55" s="214"/>
      <c r="C55" s="177"/>
      <c r="D55" s="177"/>
      <c r="E55" s="177"/>
      <c r="F55" s="177"/>
      <c r="G55" s="177"/>
    </row>
    <row r="56" spans="1:16" ht="18.75" x14ac:dyDescent="0.3">
      <c r="A56" s="2" t="s">
        <v>543</v>
      </c>
      <c r="B56" s="177"/>
      <c r="C56" s="177"/>
      <c r="D56" s="177"/>
      <c r="E56" s="177"/>
      <c r="F56" s="177"/>
      <c r="G56" s="177"/>
    </row>
    <row r="57" spans="1:16" x14ac:dyDescent="0.25">
      <c r="A57" s="8" t="s">
        <v>12</v>
      </c>
      <c r="B57" s="177"/>
      <c r="C57" s="177"/>
      <c r="D57" s="177"/>
      <c r="E57" s="177"/>
      <c r="F57" s="177"/>
      <c r="G57" s="177"/>
    </row>
    <row r="58" spans="1:16" x14ac:dyDescent="0.25">
      <c r="A58" s="172" t="s">
        <v>501</v>
      </c>
      <c r="B58" s="177"/>
      <c r="C58" s="177"/>
    </row>
    <row r="59" spans="1:16" x14ac:dyDescent="0.25">
      <c r="A59" s="549" t="s">
        <v>533</v>
      </c>
      <c r="B59" s="548" t="s">
        <v>534</v>
      </c>
      <c r="C59" s="548"/>
      <c r="D59" s="548"/>
      <c r="E59" s="548"/>
      <c r="F59" s="548"/>
      <c r="G59" s="169"/>
    </row>
    <row r="60" spans="1:16" ht="30" x14ac:dyDescent="0.25">
      <c r="A60" s="550"/>
      <c r="B60" s="150" t="s">
        <v>496</v>
      </c>
      <c r="C60" s="150" t="s">
        <v>139</v>
      </c>
      <c r="D60" s="150" t="s">
        <v>497</v>
      </c>
      <c r="E60" s="150" t="s">
        <v>19</v>
      </c>
      <c r="F60" s="150" t="s">
        <v>141</v>
      </c>
      <c r="G60" s="150" t="s">
        <v>35</v>
      </c>
    </row>
    <row r="61" spans="1:16" x14ac:dyDescent="0.25">
      <c r="A61" s="192" t="s">
        <v>517</v>
      </c>
      <c r="B61" s="180">
        <f t="shared" ref="B61:G70" si="0">+B37/B12</f>
        <v>0.8223676089371682</v>
      </c>
      <c r="C61" s="180">
        <f t="shared" si="0"/>
        <v>0.57631673235399494</v>
      </c>
      <c r="D61" s="180">
        <f t="shared" si="0"/>
        <v>0.87112396096855804</v>
      </c>
      <c r="E61" s="180">
        <f t="shared" si="0"/>
        <v>0.47636297772142727</v>
      </c>
      <c r="F61" s="180">
        <f t="shared" si="0"/>
        <v>0.7980214344600165</v>
      </c>
      <c r="G61" s="180">
        <f t="shared" si="0"/>
        <v>0.78192697768762676</v>
      </c>
    </row>
    <row r="62" spans="1:16" x14ac:dyDescent="0.25">
      <c r="A62" s="192" t="s">
        <v>518</v>
      </c>
      <c r="B62" s="180">
        <f t="shared" si="0"/>
        <v>0.78783082183107511</v>
      </c>
      <c r="C62" s="180">
        <f t="shared" si="0"/>
        <v>0.56936134687630446</v>
      </c>
      <c r="D62" s="180">
        <f t="shared" si="0"/>
        <v>0.84438979526551505</v>
      </c>
      <c r="E62" s="180">
        <f t="shared" si="0"/>
        <v>0.46513202437373052</v>
      </c>
      <c r="F62" s="180">
        <f t="shared" si="0"/>
        <v>0.79561501300631732</v>
      </c>
      <c r="G62" s="180">
        <f t="shared" si="0"/>
        <v>0.7691425192193968</v>
      </c>
    </row>
    <row r="63" spans="1:16" x14ac:dyDescent="0.25">
      <c r="A63" s="192" t="s">
        <v>519</v>
      </c>
      <c r="B63" s="180">
        <f t="shared" si="0"/>
        <v>0.8358271424087057</v>
      </c>
      <c r="C63" s="180">
        <f t="shared" si="0"/>
        <v>0.59510275470048102</v>
      </c>
      <c r="D63" s="180">
        <f t="shared" si="0"/>
        <v>0.87709353259469214</v>
      </c>
      <c r="E63" s="180">
        <f t="shared" si="0"/>
        <v>0.52694084011436115</v>
      </c>
      <c r="F63" s="180">
        <f t="shared" si="0"/>
        <v>0.82554161915621438</v>
      </c>
      <c r="G63" s="180">
        <f t="shared" si="0"/>
        <v>0.81169386169386171</v>
      </c>
    </row>
    <row r="64" spans="1:16" x14ac:dyDescent="0.25">
      <c r="A64" s="192" t="s">
        <v>520</v>
      </c>
      <c r="B64" s="180">
        <f t="shared" si="0"/>
        <v>0.85777762227975651</v>
      </c>
      <c r="C64" s="180">
        <f t="shared" si="0"/>
        <v>0.59608313949125835</v>
      </c>
      <c r="D64" s="180">
        <f t="shared" si="0"/>
        <v>0.88809531682262566</v>
      </c>
      <c r="E64" s="180">
        <f t="shared" si="0"/>
        <v>0.50530111792282728</v>
      </c>
      <c r="F64" s="180">
        <f t="shared" si="0"/>
        <v>0.85821455363840959</v>
      </c>
      <c r="G64" s="180">
        <f t="shared" si="0"/>
        <v>0.82075279085849773</v>
      </c>
    </row>
    <row r="65" spans="1:7" x14ac:dyDescent="0.25">
      <c r="A65" s="192" t="s">
        <v>521</v>
      </c>
      <c r="B65" s="180">
        <f t="shared" si="0"/>
        <v>0.86006845489567074</v>
      </c>
      <c r="C65" s="180">
        <f t="shared" si="0"/>
        <v>0.61274465725504301</v>
      </c>
      <c r="D65" s="180">
        <f t="shared" si="0"/>
        <v>0.88454338372333818</v>
      </c>
      <c r="E65" s="180">
        <f t="shared" si="0"/>
        <v>0.4921151908522155</v>
      </c>
      <c r="F65" s="180">
        <f t="shared" si="0"/>
        <v>0.82810913705583755</v>
      </c>
      <c r="G65" s="180">
        <f t="shared" si="0"/>
        <v>0.81405041716595095</v>
      </c>
    </row>
    <row r="66" spans="1:7" x14ac:dyDescent="0.25">
      <c r="A66" s="192" t="s">
        <v>522</v>
      </c>
      <c r="B66" s="180">
        <f t="shared" si="0"/>
        <v>0.85050772096376859</v>
      </c>
      <c r="C66" s="180">
        <f t="shared" si="0"/>
        <v>0.51307806047009641</v>
      </c>
      <c r="D66" s="180">
        <f t="shared" si="0"/>
        <v>0.89342474561837981</v>
      </c>
      <c r="E66" s="180">
        <f t="shared" si="0"/>
        <v>0.50960179076343071</v>
      </c>
      <c r="F66" s="180">
        <f t="shared" si="0"/>
        <v>0.83353571034330498</v>
      </c>
      <c r="G66" s="180">
        <f t="shared" si="0"/>
        <v>0.81123303628032595</v>
      </c>
    </row>
    <row r="67" spans="1:7" x14ac:dyDescent="0.25">
      <c r="A67" s="192" t="s">
        <v>523</v>
      </c>
      <c r="B67" s="180">
        <f t="shared" si="0"/>
        <v>0.88476343941631974</v>
      </c>
      <c r="C67" s="180">
        <f t="shared" si="0"/>
        <v>0.53699274495734672</v>
      </c>
      <c r="D67" s="180">
        <f t="shared" si="0"/>
        <v>0.90578631049203118</v>
      </c>
      <c r="E67" s="180">
        <f t="shared" si="0"/>
        <v>0.54058926257675621</v>
      </c>
      <c r="F67" s="180">
        <f t="shared" si="0"/>
        <v>0.82575213060889208</v>
      </c>
      <c r="G67" s="180">
        <f t="shared" si="0"/>
        <v>0.82930698275673187</v>
      </c>
    </row>
    <row r="68" spans="1:7" x14ac:dyDescent="0.25">
      <c r="A68" s="192" t="s">
        <v>524</v>
      </c>
      <c r="B68" s="180">
        <f t="shared" si="0"/>
        <v>0.86500366837857667</v>
      </c>
      <c r="C68" s="180">
        <f t="shared" si="0"/>
        <v>0.49278475692336432</v>
      </c>
      <c r="D68" s="180">
        <f t="shared" si="0"/>
        <v>0.88534607571662138</v>
      </c>
      <c r="E68" s="180">
        <f t="shared" si="0"/>
        <v>0.53611492482335998</v>
      </c>
      <c r="F68" s="180">
        <f t="shared" si="0"/>
        <v>0.83058482211024587</v>
      </c>
      <c r="G68" s="180">
        <f t="shared" si="0"/>
        <v>0.79651309566174833</v>
      </c>
    </row>
    <row r="69" spans="1:7" x14ac:dyDescent="0.25">
      <c r="A69" s="192" t="s">
        <v>525</v>
      </c>
      <c r="B69" s="180">
        <f t="shared" si="0"/>
        <v>0.89704490266288017</v>
      </c>
      <c r="C69" s="180">
        <f t="shared" si="0"/>
        <v>0.46301037596011319</v>
      </c>
      <c r="D69" s="180">
        <f t="shared" si="0"/>
        <v>0.89935999060536664</v>
      </c>
      <c r="E69" s="180">
        <f t="shared" si="0"/>
        <v>0.52865417376490631</v>
      </c>
      <c r="F69" s="180">
        <f t="shared" si="0"/>
        <v>0.84002025060118968</v>
      </c>
      <c r="G69" s="180">
        <f t="shared" si="0"/>
        <v>0.80591016548463357</v>
      </c>
    </row>
    <row r="70" spans="1:7" x14ac:dyDescent="0.25">
      <c r="A70" s="192" t="s">
        <v>526</v>
      </c>
      <c r="B70" s="180">
        <f t="shared" si="0"/>
        <v>0.8975273212163376</v>
      </c>
      <c r="C70" s="180">
        <f t="shared" si="0"/>
        <v>0.55705840624261049</v>
      </c>
      <c r="D70" s="180">
        <f t="shared" si="0"/>
        <v>0.89610577969010607</v>
      </c>
      <c r="E70" s="180">
        <f t="shared" si="0"/>
        <v>0.59462676415575577</v>
      </c>
      <c r="F70" s="180">
        <f t="shared" si="0"/>
        <v>0.8367524555514112</v>
      </c>
      <c r="G70" s="180">
        <f t="shared" si="0"/>
        <v>0.82565982868160703</v>
      </c>
    </row>
    <row r="71" spans="1:7" x14ac:dyDescent="0.25">
      <c r="A71" s="192" t="s">
        <v>527</v>
      </c>
      <c r="B71" s="180">
        <f t="shared" ref="B71:G77" si="1">+B47/B22</f>
        <v>0.85623921794134561</v>
      </c>
      <c r="C71" s="180">
        <f t="shared" si="1"/>
        <v>0.48148148148148145</v>
      </c>
      <c r="D71" s="180">
        <f t="shared" si="1"/>
        <v>0.87007672634271105</v>
      </c>
      <c r="E71" s="180">
        <f t="shared" si="1"/>
        <v>0.43288084464555054</v>
      </c>
      <c r="F71" s="180">
        <f t="shared" si="1"/>
        <v>0.80864197530864201</v>
      </c>
      <c r="G71" s="180">
        <f t="shared" si="1"/>
        <v>0.79077228184787685</v>
      </c>
    </row>
    <row r="72" spans="1:7" x14ac:dyDescent="0.25">
      <c r="A72" s="192" t="s">
        <v>528</v>
      </c>
      <c r="B72" s="180">
        <f t="shared" si="1"/>
        <v>0.8458952583156405</v>
      </c>
      <c r="C72" s="180">
        <f t="shared" si="1"/>
        <v>0.64930875576036862</v>
      </c>
      <c r="D72" s="180">
        <f t="shared" si="1"/>
        <v>0.85434771296248113</v>
      </c>
      <c r="E72" s="180">
        <f t="shared" si="1"/>
        <v>0.5069828722002635</v>
      </c>
      <c r="F72" s="180">
        <f t="shared" si="1"/>
        <v>0.82752457551385161</v>
      </c>
      <c r="G72" s="180">
        <f t="shared" si="1"/>
        <v>0.7967327011548212</v>
      </c>
    </row>
    <row r="73" spans="1:7" x14ac:dyDescent="0.25">
      <c r="A73" s="192" t="s">
        <v>529</v>
      </c>
      <c r="B73" s="180">
        <f t="shared" si="1"/>
        <v>0.86150697977709334</v>
      </c>
      <c r="C73" s="180">
        <f t="shared" si="1"/>
        <v>0.60469741350425321</v>
      </c>
      <c r="D73" s="180">
        <f t="shared" si="1"/>
        <v>0.88287859263824309</v>
      </c>
      <c r="E73" s="180">
        <f t="shared" si="1"/>
        <v>0.53272319115869449</v>
      </c>
      <c r="F73" s="180">
        <f t="shared" si="1"/>
        <v>0.82763732833957548</v>
      </c>
      <c r="G73" s="180">
        <f t="shared" si="1"/>
        <v>0.82047313373549402</v>
      </c>
    </row>
    <row r="74" spans="1:7" x14ac:dyDescent="0.25">
      <c r="A74" s="192" t="s">
        <v>530</v>
      </c>
      <c r="B74" s="180">
        <f t="shared" si="1"/>
        <v>0.89630478372959033</v>
      </c>
      <c r="C74" s="180">
        <f t="shared" si="1"/>
        <v>0.65628925174950659</v>
      </c>
      <c r="D74" s="180">
        <f t="shared" si="1"/>
        <v>0.89162658076311951</v>
      </c>
      <c r="E74" s="180">
        <f t="shared" si="1"/>
        <v>0.57817772778402698</v>
      </c>
      <c r="F74" s="180">
        <f t="shared" si="1"/>
        <v>0.85687693898655637</v>
      </c>
      <c r="G74" s="180">
        <f t="shared" si="1"/>
        <v>0.83452613566729483</v>
      </c>
    </row>
    <row r="75" spans="1:7" x14ac:dyDescent="0.25">
      <c r="A75" s="192" t="s">
        <v>531</v>
      </c>
      <c r="B75" s="180">
        <f t="shared" si="1"/>
        <v>0.86400523560209419</v>
      </c>
      <c r="C75" s="180">
        <f t="shared" si="1"/>
        <v>0.68128916741271262</v>
      </c>
      <c r="D75" s="180">
        <f t="shared" si="1"/>
        <v>0.89262775196929911</v>
      </c>
      <c r="E75" s="180">
        <f t="shared" si="1"/>
        <v>0.56871926949192231</v>
      </c>
      <c r="F75" s="180">
        <f t="shared" si="1"/>
        <v>0.82494969818913477</v>
      </c>
      <c r="G75" s="180">
        <f t="shared" si="1"/>
        <v>0.83453792040088659</v>
      </c>
    </row>
    <row r="76" spans="1:7" x14ac:dyDescent="0.25">
      <c r="A76" s="192" t="s">
        <v>532</v>
      </c>
      <c r="B76" s="180">
        <f t="shared" si="1"/>
        <v>0.89605059262051345</v>
      </c>
      <c r="C76" s="180">
        <f t="shared" si="1"/>
        <v>0.43187562227157844</v>
      </c>
      <c r="D76" s="180">
        <f t="shared" si="1"/>
        <v>0.90785559084071532</v>
      </c>
      <c r="E76" s="180">
        <f t="shared" si="1"/>
        <v>0.55961787946691832</v>
      </c>
      <c r="F76" s="180">
        <f t="shared" si="1"/>
        <v>0.84547945205479447</v>
      </c>
      <c r="G76" s="180">
        <f t="shared" si="1"/>
        <v>0.77951433121019109</v>
      </c>
    </row>
    <row r="77" spans="1:7" x14ac:dyDescent="0.25">
      <c r="A77" s="150" t="s">
        <v>35</v>
      </c>
      <c r="B77" s="180">
        <f t="shared" si="1"/>
        <v>0.86657092084857446</v>
      </c>
      <c r="C77" s="180">
        <f t="shared" si="1"/>
        <v>0.55283376836101605</v>
      </c>
      <c r="D77" s="180">
        <f t="shared" si="1"/>
        <v>0.886623297749626</v>
      </c>
      <c r="E77" s="180">
        <f t="shared" si="1"/>
        <v>0.52626974072076371</v>
      </c>
      <c r="F77" s="180">
        <f t="shared" si="1"/>
        <v>0.83153321109964096</v>
      </c>
      <c r="G77" s="180">
        <f t="shared" si="1"/>
        <v>0.81351193229547447</v>
      </c>
    </row>
    <row r="78" spans="1:7" x14ac:dyDescent="0.25">
      <c r="A78" s="172"/>
      <c r="B78" s="177"/>
      <c r="C78" s="177"/>
      <c r="D78" s="177"/>
      <c r="E78" s="177"/>
      <c r="F78" s="177"/>
      <c r="G78" s="177"/>
    </row>
    <row r="79" spans="1:7" x14ac:dyDescent="0.25">
      <c r="A79" s="172"/>
      <c r="B79" s="177"/>
      <c r="C79" s="177"/>
      <c r="D79" s="177"/>
      <c r="E79" s="177"/>
      <c r="F79" s="177"/>
      <c r="G79" s="177"/>
    </row>
    <row r="80" spans="1:7" x14ac:dyDescent="0.25">
      <c r="A80" s="172"/>
      <c r="B80" s="177"/>
      <c r="C80" s="177"/>
      <c r="D80" s="177"/>
      <c r="E80" s="177"/>
      <c r="F80" s="177"/>
      <c r="G80" s="177"/>
    </row>
    <row r="81" spans="1:7" x14ac:dyDescent="0.25">
      <c r="A81" s="172"/>
      <c r="B81" s="177"/>
      <c r="C81" s="177"/>
      <c r="D81" s="177"/>
      <c r="E81" s="177"/>
      <c r="F81" s="177"/>
      <c r="G81" s="177"/>
    </row>
    <row r="82" spans="1:7" x14ac:dyDescent="0.25">
      <c r="A82" s="172"/>
      <c r="B82" s="177"/>
      <c r="C82" s="177"/>
      <c r="D82" s="177"/>
      <c r="E82" s="177"/>
      <c r="F82" s="177"/>
      <c r="G82" s="177"/>
    </row>
    <row r="83" spans="1:7" x14ac:dyDescent="0.25">
      <c r="A83" s="172"/>
      <c r="B83" s="177"/>
      <c r="C83" s="177"/>
      <c r="D83" s="177"/>
      <c r="E83" s="177"/>
      <c r="F83" s="177"/>
      <c r="G83" s="177"/>
    </row>
    <row r="84" spans="1:7" x14ac:dyDescent="0.25">
      <c r="A84" s="172"/>
      <c r="B84" s="177"/>
      <c r="C84" s="177"/>
      <c r="D84" s="177"/>
      <c r="E84" s="177"/>
      <c r="F84" s="177"/>
      <c r="G84" s="177"/>
    </row>
    <row r="85" spans="1:7" x14ac:dyDescent="0.25">
      <c r="A85" s="172"/>
      <c r="B85" s="177"/>
      <c r="C85" s="177"/>
      <c r="D85" s="177"/>
      <c r="E85" s="177"/>
      <c r="F85" s="177"/>
      <c r="G85" s="177"/>
    </row>
    <row r="86" spans="1:7" x14ac:dyDescent="0.25">
      <c r="A86" s="172"/>
      <c r="B86" s="177"/>
      <c r="C86" s="177"/>
      <c r="D86" s="177"/>
      <c r="E86" s="177"/>
      <c r="F86" s="177"/>
      <c r="G86" s="177"/>
    </row>
    <row r="87" spans="1:7" x14ac:dyDescent="0.25">
      <c r="A87" s="172"/>
      <c r="B87" s="177"/>
      <c r="C87" s="177"/>
      <c r="D87" s="177"/>
      <c r="E87" s="177"/>
      <c r="F87" s="177"/>
      <c r="G87" s="177"/>
    </row>
    <row r="88" spans="1:7" x14ac:dyDescent="0.25">
      <c r="A88" s="172"/>
      <c r="B88" s="177"/>
      <c r="C88" s="177"/>
      <c r="D88" s="177"/>
      <c r="E88" s="177"/>
      <c r="F88" s="177"/>
      <c r="G88" s="177"/>
    </row>
    <row r="89" spans="1:7" x14ac:dyDescent="0.25">
      <c r="A89" s="172"/>
      <c r="B89" s="177"/>
      <c r="C89" s="177"/>
      <c r="D89" s="177"/>
      <c r="E89" s="177"/>
      <c r="F89" s="177"/>
      <c r="G89" s="177"/>
    </row>
    <row r="90" spans="1:7" x14ac:dyDescent="0.25">
      <c r="A90" s="172"/>
      <c r="B90" s="177"/>
      <c r="C90" s="177"/>
      <c r="D90" s="177"/>
      <c r="E90" s="177"/>
      <c r="F90" s="177"/>
      <c r="G90" s="177"/>
    </row>
    <row r="91" spans="1:7" x14ac:dyDescent="0.25">
      <c r="A91" s="172"/>
      <c r="B91" s="177"/>
      <c r="C91" s="177"/>
      <c r="D91" s="177"/>
      <c r="E91" s="177"/>
      <c r="F91" s="177"/>
      <c r="G91" s="177"/>
    </row>
    <row r="92" spans="1:7" x14ac:dyDescent="0.25">
      <c r="A92" s="172"/>
      <c r="B92" s="177"/>
      <c r="C92" s="177"/>
      <c r="D92" s="177"/>
      <c r="E92" s="177"/>
      <c r="F92" s="177"/>
      <c r="G92" s="177"/>
    </row>
    <row r="93" spans="1:7" x14ac:dyDescent="0.25">
      <c r="A93" s="172"/>
      <c r="B93" s="177"/>
      <c r="C93" s="177"/>
    </row>
    <row r="94" spans="1:7" x14ac:dyDescent="0.25">
      <c r="A94" s="172"/>
      <c r="B94" s="177"/>
      <c r="C94" s="177"/>
      <c r="D94" s="177"/>
      <c r="E94" s="177"/>
      <c r="F94" s="177"/>
      <c r="G94" s="177"/>
    </row>
    <row r="95" spans="1:7" x14ac:dyDescent="0.25">
      <c r="A95" s="172"/>
      <c r="B95" s="177"/>
      <c r="C95" s="177"/>
      <c r="D95" s="177"/>
    </row>
    <row r="96" spans="1:7" x14ac:dyDescent="0.25">
      <c r="A96" s="172"/>
    </row>
    <row r="97" spans="1:7" x14ac:dyDescent="0.25">
      <c r="A97" s="172"/>
      <c r="B97" s="177"/>
      <c r="C97" s="177"/>
    </row>
    <row r="98" spans="1:7" x14ac:dyDescent="0.25">
      <c r="A98" s="172"/>
      <c r="B98" s="177"/>
      <c r="C98" s="177"/>
      <c r="D98" s="177"/>
      <c r="E98" s="177"/>
      <c r="F98" s="177"/>
      <c r="G98" s="177"/>
    </row>
    <row r="99" spans="1:7" x14ac:dyDescent="0.25">
      <c r="A99" s="172"/>
      <c r="B99" s="177"/>
      <c r="C99" s="177"/>
    </row>
    <row r="100" spans="1:7" x14ac:dyDescent="0.25">
      <c r="A100" s="172"/>
      <c r="B100" s="177"/>
      <c r="C100" s="177"/>
      <c r="D100" s="177"/>
      <c r="E100" s="177"/>
      <c r="F100" s="177"/>
      <c r="G100" s="177"/>
    </row>
    <row r="101" spans="1:7" x14ac:dyDescent="0.25">
      <c r="A101" s="172"/>
      <c r="B101" s="177"/>
      <c r="C101" s="177"/>
      <c r="D101" s="177"/>
      <c r="E101" s="177"/>
      <c r="F101" s="177"/>
      <c r="G101" s="177"/>
    </row>
    <row r="102" spans="1:7" x14ac:dyDescent="0.25">
      <c r="A102" s="172"/>
      <c r="B102" s="177"/>
      <c r="C102" s="177"/>
      <c r="D102" s="177"/>
      <c r="E102" s="177"/>
      <c r="F102" s="177"/>
      <c r="G102" s="177"/>
    </row>
    <row r="103" spans="1:7" x14ac:dyDescent="0.25">
      <c r="A103" s="172"/>
      <c r="B103" s="177"/>
      <c r="C103" s="177"/>
      <c r="D103" s="177"/>
      <c r="E103" s="177"/>
      <c r="F103" s="177"/>
      <c r="G103" s="177"/>
    </row>
    <row r="104" spans="1:7" x14ac:dyDescent="0.25">
      <c r="A104" s="172"/>
      <c r="B104" s="177"/>
      <c r="C104" s="177"/>
      <c r="D104" s="177"/>
      <c r="E104" s="177"/>
      <c r="F104" s="177"/>
      <c r="G104" s="177"/>
    </row>
    <row r="105" spans="1:7" x14ac:dyDescent="0.25">
      <c r="A105" s="172"/>
      <c r="B105" s="177"/>
      <c r="C105" s="177"/>
      <c r="D105" s="177"/>
      <c r="E105" s="177"/>
      <c r="F105" s="177"/>
      <c r="G105" s="177"/>
    </row>
    <row r="106" spans="1:7" x14ac:dyDescent="0.25">
      <c r="A106" s="172"/>
      <c r="B106" s="177"/>
      <c r="C106" s="177"/>
      <c r="D106" s="177"/>
      <c r="E106" s="177"/>
      <c r="F106" s="177"/>
      <c r="G106" s="177"/>
    </row>
    <row r="107" spans="1:7" x14ac:dyDescent="0.25">
      <c r="A107" s="172"/>
      <c r="B107" s="177"/>
      <c r="C107" s="177"/>
      <c r="D107" s="177"/>
      <c r="E107" s="177"/>
      <c r="F107" s="177"/>
      <c r="G107" s="177"/>
    </row>
    <row r="108" spans="1:7" x14ac:dyDescent="0.25">
      <c r="A108" s="172"/>
      <c r="B108" s="177"/>
      <c r="C108" s="177"/>
      <c r="D108" s="177"/>
      <c r="E108" s="177"/>
      <c r="F108" s="177"/>
      <c r="G108" s="177"/>
    </row>
    <row r="109" spans="1:7" x14ac:dyDescent="0.25">
      <c r="A109" s="172"/>
      <c r="B109" s="177"/>
      <c r="C109" s="177"/>
      <c r="D109" s="177"/>
      <c r="E109" s="177"/>
      <c r="F109" s="177"/>
      <c r="G109" s="177"/>
    </row>
    <row r="110" spans="1:7" x14ac:dyDescent="0.25">
      <c r="A110" s="172"/>
      <c r="B110" s="177"/>
      <c r="C110" s="177"/>
    </row>
    <row r="111" spans="1:7" x14ac:dyDescent="0.25">
      <c r="A111" s="172"/>
      <c r="B111" s="177"/>
      <c r="C111" s="177"/>
      <c r="D111" s="177"/>
      <c r="E111" s="177"/>
      <c r="F111" s="177"/>
      <c r="G111" s="177"/>
    </row>
    <row r="112" spans="1:7" x14ac:dyDescent="0.25">
      <c r="A112" s="172"/>
      <c r="B112" s="177"/>
      <c r="C112" s="177"/>
      <c r="D112" s="177"/>
    </row>
    <row r="113" spans="1:7" x14ac:dyDescent="0.25">
      <c r="A113" s="172"/>
    </row>
    <row r="114" spans="1:7" x14ac:dyDescent="0.25">
      <c r="A114" s="172"/>
      <c r="B114" s="177"/>
      <c r="C114" s="177"/>
    </row>
    <row r="115" spans="1:7" x14ac:dyDescent="0.25">
      <c r="A115" s="172"/>
      <c r="B115" s="177"/>
      <c r="C115" s="177"/>
      <c r="D115" s="177"/>
      <c r="E115" s="177"/>
      <c r="F115" s="177"/>
      <c r="G115" s="177"/>
    </row>
    <row r="116" spans="1:7" x14ac:dyDescent="0.25">
      <c r="A116" s="172"/>
      <c r="B116" s="177"/>
      <c r="C116" s="177"/>
    </row>
    <row r="117" spans="1:7" x14ac:dyDescent="0.25">
      <c r="A117" s="172"/>
      <c r="B117" s="177"/>
      <c r="C117" s="177"/>
      <c r="D117" s="177"/>
      <c r="E117" s="177"/>
      <c r="F117" s="177"/>
      <c r="G117" s="177"/>
    </row>
    <row r="118" spans="1:7" x14ac:dyDescent="0.25">
      <c r="A118" s="172"/>
      <c r="B118" s="177"/>
      <c r="C118" s="177"/>
      <c r="D118" s="177"/>
      <c r="E118" s="177"/>
      <c r="F118" s="177"/>
      <c r="G118" s="177"/>
    </row>
    <row r="119" spans="1:7" x14ac:dyDescent="0.25">
      <c r="A119" s="172"/>
      <c r="B119" s="177"/>
      <c r="C119" s="177"/>
      <c r="D119" s="177"/>
      <c r="E119" s="177"/>
      <c r="F119" s="177"/>
      <c r="G119" s="177"/>
    </row>
    <row r="120" spans="1:7" x14ac:dyDescent="0.25">
      <c r="A120" s="172"/>
      <c r="B120" s="177"/>
      <c r="C120" s="177"/>
      <c r="D120" s="177"/>
      <c r="E120" s="177"/>
      <c r="F120" s="177"/>
      <c r="G120" s="177"/>
    </row>
    <row r="121" spans="1:7" x14ac:dyDescent="0.25">
      <c r="A121" s="172"/>
      <c r="B121" s="177"/>
      <c r="C121" s="177"/>
      <c r="D121" s="177"/>
      <c r="E121" s="177"/>
      <c r="F121" s="177"/>
      <c r="G121" s="177"/>
    </row>
    <row r="122" spans="1:7" x14ac:dyDescent="0.25">
      <c r="A122" s="172"/>
      <c r="B122" s="177"/>
      <c r="C122" s="177"/>
      <c r="D122" s="177"/>
      <c r="E122" s="177"/>
      <c r="F122" s="177"/>
      <c r="G122" s="177"/>
    </row>
    <row r="123" spans="1:7" x14ac:dyDescent="0.25">
      <c r="A123" s="172"/>
      <c r="B123" s="177"/>
      <c r="C123" s="177"/>
      <c r="D123" s="177"/>
      <c r="E123" s="177"/>
      <c r="F123" s="177"/>
      <c r="G123" s="177"/>
    </row>
    <row r="124" spans="1:7" x14ac:dyDescent="0.25">
      <c r="A124" s="172"/>
      <c r="B124" s="177"/>
      <c r="C124" s="177"/>
      <c r="D124" s="177"/>
      <c r="E124" s="177"/>
      <c r="F124" s="177"/>
      <c r="G124" s="177"/>
    </row>
    <row r="125" spans="1:7" x14ac:dyDescent="0.25">
      <c r="A125" s="172"/>
      <c r="B125" s="177"/>
      <c r="C125" s="177"/>
      <c r="D125" s="177"/>
      <c r="E125" s="177"/>
      <c r="F125" s="177"/>
      <c r="G125" s="177"/>
    </row>
    <row r="126" spans="1:7" x14ac:dyDescent="0.25">
      <c r="A126" s="172"/>
      <c r="B126" s="177"/>
      <c r="C126" s="177"/>
      <c r="D126" s="177"/>
      <c r="E126" s="177"/>
      <c r="F126" s="177"/>
      <c r="G126" s="177"/>
    </row>
    <row r="127" spans="1:7" x14ac:dyDescent="0.25">
      <c r="A127" s="172"/>
      <c r="B127" s="177"/>
      <c r="C127" s="177"/>
      <c r="D127" s="177"/>
      <c r="E127" s="177"/>
      <c r="F127" s="177"/>
      <c r="G127" s="177"/>
    </row>
    <row r="128" spans="1:7" x14ac:dyDescent="0.25">
      <c r="A128" s="172"/>
      <c r="B128" s="177"/>
      <c r="C128" s="177"/>
    </row>
    <row r="129" spans="1:7" x14ac:dyDescent="0.25">
      <c r="A129" s="172"/>
      <c r="B129" s="177"/>
      <c r="C129" s="177"/>
      <c r="D129" s="177"/>
      <c r="E129" s="177"/>
      <c r="F129" s="177"/>
      <c r="G129" s="177"/>
    </row>
    <row r="130" spans="1:7" x14ac:dyDescent="0.25">
      <c r="A130" s="172"/>
      <c r="B130" s="177"/>
      <c r="C130" s="177"/>
      <c r="D130" s="177"/>
    </row>
    <row r="131" spans="1:7" x14ac:dyDescent="0.25">
      <c r="A131" s="172"/>
    </row>
    <row r="132" spans="1:7" x14ac:dyDescent="0.25">
      <c r="A132" s="172"/>
      <c r="B132" s="177"/>
      <c r="C132" s="177"/>
    </row>
    <row r="133" spans="1:7" x14ac:dyDescent="0.25">
      <c r="A133" s="172"/>
      <c r="B133" s="177"/>
      <c r="C133" s="177"/>
      <c r="D133" s="177"/>
      <c r="E133" s="177"/>
      <c r="F133" s="177"/>
      <c r="G133" s="177"/>
    </row>
    <row r="134" spans="1:7" x14ac:dyDescent="0.25">
      <c r="A134" s="172"/>
      <c r="B134" s="177"/>
      <c r="C134" s="177"/>
    </row>
    <row r="135" spans="1:7" x14ac:dyDescent="0.25">
      <c r="A135" s="172"/>
      <c r="B135" s="177"/>
      <c r="C135" s="177"/>
      <c r="D135" s="177"/>
      <c r="E135" s="177"/>
      <c r="F135" s="177"/>
      <c r="G135" s="177"/>
    </row>
    <row r="136" spans="1:7" x14ac:dyDescent="0.25">
      <c r="A136" s="172"/>
      <c r="B136" s="177"/>
      <c r="C136" s="177"/>
      <c r="D136" s="177"/>
      <c r="E136" s="177"/>
      <c r="F136" s="177"/>
      <c r="G136" s="177"/>
    </row>
    <row r="137" spans="1:7" x14ac:dyDescent="0.25">
      <c r="A137" s="172"/>
      <c r="B137" s="177"/>
      <c r="C137" s="177"/>
      <c r="D137" s="177"/>
      <c r="E137" s="177"/>
      <c r="F137" s="177"/>
      <c r="G137" s="177"/>
    </row>
    <row r="138" spans="1:7" x14ac:dyDescent="0.25">
      <c r="A138" s="172"/>
      <c r="B138" s="177"/>
      <c r="C138" s="177"/>
      <c r="D138" s="177"/>
      <c r="E138" s="177"/>
      <c r="F138" s="177"/>
      <c r="G138" s="177"/>
    </row>
    <row r="139" spans="1:7" x14ac:dyDescent="0.25">
      <c r="A139" s="172"/>
      <c r="B139" s="177"/>
      <c r="C139" s="177"/>
      <c r="D139" s="177"/>
      <c r="E139" s="177"/>
      <c r="F139" s="177"/>
      <c r="G139" s="177"/>
    </row>
    <row r="140" spans="1:7" x14ac:dyDescent="0.25">
      <c r="A140" s="172"/>
      <c r="B140" s="177"/>
      <c r="C140" s="177"/>
      <c r="D140" s="177"/>
      <c r="E140" s="177"/>
      <c r="F140" s="177"/>
      <c r="G140" s="177"/>
    </row>
    <row r="141" spans="1:7" x14ac:dyDescent="0.25">
      <c r="A141" s="172"/>
      <c r="B141" s="177"/>
      <c r="C141" s="177"/>
      <c r="D141" s="177"/>
      <c r="E141" s="177"/>
      <c r="F141" s="177"/>
      <c r="G141" s="177"/>
    </row>
    <row r="142" spans="1:7" x14ac:dyDescent="0.25">
      <c r="A142" s="172"/>
      <c r="B142" s="177"/>
      <c r="C142" s="177"/>
      <c r="D142" s="177"/>
      <c r="E142" s="177"/>
      <c r="F142" s="177"/>
      <c r="G142" s="177"/>
    </row>
    <row r="143" spans="1:7" x14ac:dyDescent="0.25">
      <c r="A143" s="172"/>
      <c r="B143" s="177"/>
      <c r="C143" s="177"/>
      <c r="D143" s="177"/>
      <c r="E143" s="177"/>
      <c r="F143" s="177"/>
      <c r="G143" s="177"/>
    </row>
    <row r="144" spans="1:7" x14ac:dyDescent="0.25">
      <c r="A144" s="172"/>
      <c r="B144" s="177"/>
      <c r="C144" s="177"/>
      <c r="D144" s="177"/>
      <c r="E144" s="177"/>
      <c r="F144" s="177"/>
      <c r="G144" s="177"/>
    </row>
    <row r="145" spans="1:7" x14ac:dyDescent="0.25">
      <c r="A145" s="172"/>
      <c r="B145" s="177"/>
      <c r="C145" s="177"/>
      <c r="D145" s="177"/>
      <c r="E145" s="177"/>
      <c r="F145" s="177"/>
      <c r="G145" s="177"/>
    </row>
    <row r="146" spans="1:7" x14ac:dyDescent="0.25">
      <c r="A146" s="172"/>
      <c r="B146" s="177"/>
      <c r="C146" s="177"/>
      <c r="D146" s="177"/>
      <c r="E146" s="177"/>
      <c r="F146" s="177"/>
      <c r="G146" s="177"/>
    </row>
    <row r="147" spans="1:7" x14ac:dyDescent="0.25">
      <c r="A147" s="172"/>
      <c r="B147" s="177"/>
      <c r="C147" s="177"/>
      <c r="D147" s="177"/>
      <c r="E147" s="177"/>
      <c r="F147" s="177"/>
      <c r="G147" s="177"/>
    </row>
    <row r="148" spans="1:7" x14ac:dyDescent="0.25">
      <c r="A148" s="172"/>
      <c r="B148" s="177"/>
      <c r="C148" s="177"/>
      <c r="D148" s="177"/>
      <c r="E148" s="177"/>
      <c r="F148" s="177"/>
      <c r="G148" s="177"/>
    </row>
    <row r="149" spans="1:7" x14ac:dyDescent="0.25">
      <c r="A149" s="172"/>
      <c r="B149" s="177"/>
      <c r="C149" s="177"/>
      <c r="D149" s="177"/>
      <c r="E149" s="177"/>
      <c r="F149" s="177"/>
      <c r="G149" s="177"/>
    </row>
    <row r="150" spans="1:7" x14ac:dyDescent="0.25">
      <c r="A150" s="172"/>
      <c r="B150" s="177"/>
      <c r="C150" s="177"/>
      <c r="D150" s="177"/>
      <c r="E150" s="177"/>
      <c r="F150" s="177"/>
      <c r="G150" s="177"/>
    </row>
    <row r="151" spans="1:7" x14ac:dyDescent="0.25">
      <c r="A151" s="172"/>
      <c r="B151" s="177"/>
      <c r="C151" s="177"/>
      <c r="D151" s="177"/>
      <c r="E151" s="177"/>
      <c r="F151" s="177"/>
      <c r="G151" s="177"/>
    </row>
    <row r="152" spans="1:7" x14ac:dyDescent="0.25">
      <c r="A152" s="172"/>
      <c r="B152" s="177"/>
      <c r="C152" s="177"/>
      <c r="D152" s="177"/>
      <c r="E152" s="177"/>
      <c r="F152" s="177"/>
      <c r="G152" s="177"/>
    </row>
    <row r="153" spans="1:7" x14ac:dyDescent="0.25">
      <c r="A153" s="172"/>
      <c r="B153" s="177"/>
      <c r="C153" s="177"/>
      <c r="D153" s="177"/>
      <c r="E153" s="177"/>
      <c r="F153" s="177"/>
      <c r="G153" s="177"/>
    </row>
    <row r="154" spans="1:7" x14ac:dyDescent="0.25">
      <c r="A154" s="172"/>
      <c r="B154" s="177"/>
      <c r="C154" s="177"/>
      <c r="D154" s="177"/>
      <c r="E154" s="177"/>
      <c r="F154" s="177"/>
      <c r="G154" s="177"/>
    </row>
    <row r="155" spans="1:7" x14ac:dyDescent="0.25">
      <c r="A155" s="172"/>
      <c r="B155" s="177"/>
      <c r="C155" s="177"/>
      <c r="D155" s="177"/>
      <c r="E155" s="177"/>
      <c r="F155" s="177"/>
      <c r="G155" s="177"/>
    </row>
    <row r="156" spans="1:7" x14ac:dyDescent="0.25">
      <c r="A156" s="172"/>
      <c r="B156" s="177"/>
      <c r="C156" s="177"/>
      <c r="D156" s="177"/>
      <c r="E156" s="177"/>
      <c r="F156" s="177"/>
      <c r="G156" s="177"/>
    </row>
    <row r="157" spans="1:7" x14ac:dyDescent="0.25">
      <c r="A157" s="172"/>
      <c r="B157" s="177"/>
      <c r="C157" s="177"/>
      <c r="D157" s="177"/>
      <c r="E157" s="177"/>
      <c r="F157" s="177"/>
      <c r="G157" s="177"/>
    </row>
    <row r="158" spans="1:7" x14ac:dyDescent="0.25">
      <c r="A158" s="172"/>
      <c r="B158" s="177"/>
      <c r="C158" s="177"/>
      <c r="D158" s="177"/>
      <c r="E158" s="177"/>
      <c r="F158" s="177"/>
      <c r="G158" s="177"/>
    </row>
    <row r="159" spans="1:7" x14ac:dyDescent="0.25">
      <c r="A159" s="172"/>
      <c r="B159" s="177"/>
      <c r="C159" s="177"/>
      <c r="D159" s="177"/>
      <c r="E159" s="177"/>
      <c r="F159" s="177"/>
      <c r="G159" s="177"/>
    </row>
    <row r="160" spans="1:7" x14ac:dyDescent="0.25">
      <c r="A160" s="172"/>
      <c r="B160" s="177"/>
      <c r="C160" s="177"/>
      <c r="D160" s="177"/>
      <c r="E160" s="177"/>
      <c r="F160" s="177"/>
      <c r="G160" s="177"/>
    </row>
    <row r="161" spans="1:7" x14ac:dyDescent="0.25">
      <c r="A161" s="172"/>
      <c r="B161" s="177"/>
      <c r="C161" s="177"/>
      <c r="D161" s="177"/>
      <c r="E161" s="177"/>
      <c r="F161" s="177"/>
      <c r="G161" s="177"/>
    </row>
    <row r="162" spans="1:7" x14ac:dyDescent="0.25">
      <c r="A162" s="172"/>
      <c r="B162" s="177"/>
      <c r="C162" s="177"/>
      <c r="D162" s="177"/>
      <c r="E162" s="177"/>
      <c r="F162" s="177"/>
      <c r="G162" s="177"/>
    </row>
    <row r="163" spans="1:7" x14ac:dyDescent="0.25">
      <c r="A163" s="172"/>
      <c r="B163" s="177"/>
      <c r="C163" s="177"/>
      <c r="D163" s="177"/>
      <c r="E163" s="177"/>
      <c r="F163" s="177"/>
      <c r="G163" s="177"/>
    </row>
    <row r="164" spans="1:7" x14ac:dyDescent="0.25">
      <c r="A164" s="172"/>
      <c r="B164" s="177"/>
      <c r="C164" s="177"/>
      <c r="D164" s="177"/>
      <c r="E164" s="177"/>
      <c r="F164" s="177"/>
      <c r="G164" s="177"/>
    </row>
    <row r="165" spans="1:7" x14ac:dyDescent="0.25">
      <c r="A165" s="172"/>
      <c r="B165" s="177"/>
      <c r="C165" s="177"/>
      <c r="D165" s="177"/>
      <c r="E165" s="177"/>
      <c r="F165" s="177"/>
      <c r="G165" s="177"/>
    </row>
    <row r="166" spans="1:7" x14ac:dyDescent="0.25">
      <c r="A166" s="172"/>
      <c r="B166" s="177"/>
      <c r="C166" s="177"/>
      <c r="D166" s="177"/>
      <c r="E166" s="177"/>
      <c r="F166" s="177"/>
      <c r="G166" s="177"/>
    </row>
    <row r="167" spans="1:7" x14ac:dyDescent="0.25">
      <c r="A167" s="172"/>
      <c r="B167" s="177"/>
      <c r="C167" s="177"/>
      <c r="D167" s="177"/>
      <c r="E167" s="177"/>
      <c r="F167" s="177"/>
      <c r="G167" s="177"/>
    </row>
    <row r="168" spans="1:7" x14ac:dyDescent="0.25">
      <c r="A168" s="172"/>
      <c r="B168" s="177"/>
      <c r="C168" s="177"/>
      <c r="D168" s="177"/>
      <c r="E168" s="177"/>
      <c r="F168" s="177"/>
      <c r="G168" s="177"/>
    </row>
    <row r="169" spans="1:7" x14ac:dyDescent="0.25">
      <c r="A169" s="172"/>
      <c r="B169" s="177"/>
      <c r="C169" s="177"/>
      <c r="D169" s="177"/>
      <c r="E169" s="177"/>
      <c r="F169" s="177"/>
      <c r="G169" s="177"/>
    </row>
    <row r="170" spans="1:7" x14ac:dyDescent="0.25">
      <c r="A170" s="172"/>
      <c r="B170" s="177"/>
      <c r="C170" s="177"/>
      <c r="D170" s="177"/>
      <c r="E170" s="177"/>
      <c r="F170" s="177"/>
      <c r="G170" s="177"/>
    </row>
    <row r="171" spans="1:7" x14ac:dyDescent="0.25">
      <c r="A171" s="172"/>
      <c r="B171" s="177"/>
      <c r="C171" s="177"/>
      <c r="D171" s="177"/>
      <c r="E171" s="177"/>
      <c r="F171" s="177"/>
      <c r="G171" s="177"/>
    </row>
    <row r="172" spans="1:7" x14ac:dyDescent="0.25">
      <c r="A172" s="172"/>
      <c r="B172" s="177"/>
      <c r="C172" s="177"/>
      <c r="D172" s="177"/>
      <c r="E172" s="177"/>
      <c r="F172" s="177"/>
      <c r="G172" s="177"/>
    </row>
    <row r="173" spans="1:7" x14ac:dyDescent="0.25">
      <c r="A173" s="172"/>
      <c r="B173" s="177"/>
      <c r="C173" s="177"/>
      <c r="D173" s="177"/>
      <c r="E173" s="177"/>
      <c r="F173" s="177"/>
      <c r="G173" s="177"/>
    </row>
    <row r="174" spans="1:7" x14ac:dyDescent="0.25">
      <c r="A174" s="172"/>
      <c r="B174" s="177"/>
      <c r="C174" s="177"/>
      <c r="D174" s="177"/>
      <c r="E174" s="177"/>
      <c r="F174" s="177"/>
      <c r="G174" s="177"/>
    </row>
    <row r="175" spans="1:7" x14ac:dyDescent="0.25">
      <c r="A175" s="172"/>
      <c r="B175" s="177"/>
      <c r="C175" s="177"/>
      <c r="D175" s="177"/>
      <c r="E175" s="177"/>
      <c r="F175" s="177"/>
      <c r="G175" s="177"/>
    </row>
    <row r="176" spans="1:7" x14ac:dyDescent="0.25">
      <c r="A176" s="172"/>
      <c r="B176" s="177"/>
      <c r="C176" s="177"/>
      <c r="D176" s="177"/>
      <c r="E176" s="177"/>
      <c r="F176" s="177"/>
      <c r="G176" s="177"/>
    </row>
    <row r="177" spans="1:7" x14ac:dyDescent="0.25">
      <c r="A177" s="172"/>
      <c r="B177" s="177"/>
      <c r="C177" s="177"/>
      <c r="D177" s="177"/>
      <c r="E177" s="177"/>
      <c r="F177" s="177"/>
      <c r="G177" s="177"/>
    </row>
    <row r="178" spans="1:7" x14ac:dyDescent="0.25">
      <c r="A178" s="172"/>
      <c r="B178" s="177"/>
      <c r="C178" s="177"/>
      <c r="D178" s="177"/>
      <c r="E178" s="177"/>
      <c r="F178" s="177"/>
      <c r="G178" s="177"/>
    </row>
    <row r="179" spans="1:7" x14ac:dyDescent="0.25">
      <c r="A179" s="172"/>
      <c r="B179" s="177"/>
      <c r="C179" s="177"/>
      <c r="D179" s="177"/>
      <c r="E179" s="177"/>
      <c r="F179" s="177"/>
      <c r="G179" s="177"/>
    </row>
    <row r="180" spans="1:7" x14ac:dyDescent="0.25">
      <c r="A180" s="172"/>
      <c r="B180" s="177"/>
      <c r="C180" s="177"/>
      <c r="D180" s="177"/>
      <c r="E180" s="177"/>
      <c r="F180" s="177"/>
      <c r="G180" s="177"/>
    </row>
    <row r="181" spans="1:7" x14ac:dyDescent="0.25">
      <c r="A181" s="172"/>
      <c r="B181" s="177"/>
      <c r="C181" s="177"/>
      <c r="D181" s="177"/>
      <c r="E181" s="177"/>
      <c r="F181" s="177"/>
      <c r="G181" s="177"/>
    </row>
    <row r="182" spans="1:7" x14ac:dyDescent="0.25">
      <c r="A182" s="172"/>
      <c r="B182" s="177"/>
      <c r="C182" s="177"/>
      <c r="D182" s="177"/>
      <c r="E182" s="177"/>
      <c r="F182" s="177"/>
      <c r="G182" s="177"/>
    </row>
    <row r="183" spans="1:7" x14ac:dyDescent="0.25">
      <c r="A183" s="172"/>
      <c r="B183" s="177"/>
      <c r="C183" s="177"/>
      <c r="D183" s="177"/>
      <c r="E183" s="177"/>
      <c r="F183" s="177"/>
      <c r="G183" s="177"/>
    </row>
    <row r="184" spans="1:7" x14ac:dyDescent="0.25">
      <c r="A184" s="172"/>
      <c r="B184" s="177"/>
      <c r="C184" s="177"/>
      <c r="D184" s="177"/>
      <c r="E184" s="177"/>
      <c r="F184" s="177"/>
      <c r="G184" s="177"/>
    </row>
    <row r="185" spans="1:7" x14ac:dyDescent="0.25">
      <c r="A185" s="172"/>
      <c r="B185" s="177"/>
      <c r="C185" s="177"/>
      <c r="D185" s="177"/>
      <c r="E185" s="177"/>
      <c r="F185" s="177"/>
      <c r="G185" s="177"/>
    </row>
    <row r="186" spans="1:7" x14ac:dyDescent="0.25">
      <c r="A186" s="172"/>
      <c r="B186" s="177"/>
      <c r="C186" s="177"/>
      <c r="D186" s="177"/>
      <c r="E186" s="177"/>
      <c r="F186" s="177"/>
      <c r="G186" s="177"/>
    </row>
    <row r="187" spans="1:7" x14ac:dyDescent="0.25">
      <c r="A187" s="172"/>
      <c r="B187" s="177"/>
      <c r="C187" s="177"/>
    </row>
    <row r="188" spans="1:7" x14ac:dyDescent="0.25">
      <c r="A188" s="172"/>
      <c r="B188" s="177"/>
      <c r="C188" s="177"/>
      <c r="D188" s="177"/>
      <c r="E188" s="177"/>
      <c r="F188" s="177"/>
      <c r="G188" s="177"/>
    </row>
    <row r="189" spans="1:7" x14ac:dyDescent="0.25">
      <c r="A189" s="172"/>
      <c r="B189" s="177"/>
      <c r="C189" s="177"/>
      <c r="D189" s="177"/>
    </row>
    <row r="190" spans="1:7" x14ac:dyDescent="0.25">
      <c r="A190" s="172"/>
    </row>
    <row r="191" spans="1:7" x14ac:dyDescent="0.25">
      <c r="A191" s="172"/>
      <c r="B191" s="177"/>
      <c r="C191" s="177"/>
    </row>
    <row r="192" spans="1:7" x14ac:dyDescent="0.25">
      <c r="A192" s="172"/>
      <c r="B192" s="177"/>
      <c r="C192" s="177"/>
      <c r="D192" s="177"/>
      <c r="E192" s="177"/>
      <c r="F192" s="177"/>
      <c r="G192" s="177"/>
    </row>
    <row r="193" spans="1:7" x14ac:dyDescent="0.25">
      <c r="A193" s="172"/>
      <c r="B193" s="177"/>
      <c r="C193" s="177"/>
    </row>
    <row r="194" spans="1:7" x14ac:dyDescent="0.25">
      <c r="A194" s="172"/>
      <c r="B194" s="177"/>
      <c r="C194" s="177"/>
      <c r="D194" s="177"/>
      <c r="E194" s="177"/>
      <c r="F194" s="177"/>
      <c r="G194" s="177"/>
    </row>
    <row r="195" spans="1:7" x14ac:dyDescent="0.25">
      <c r="A195" s="172"/>
      <c r="B195" s="177"/>
      <c r="C195" s="177"/>
      <c r="D195" s="177"/>
      <c r="E195" s="177"/>
      <c r="F195" s="177"/>
      <c r="G195" s="177"/>
    </row>
    <row r="196" spans="1:7" x14ac:dyDescent="0.25">
      <c r="A196" s="172"/>
      <c r="B196" s="177"/>
      <c r="C196" s="177"/>
      <c r="D196" s="177"/>
      <c r="E196" s="177"/>
      <c r="F196" s="177"/>
      <c r="G196" s="177"/>
    </row>
    <row r="197" spans="1:7" x14ac:dyDescent="0.25">
      <c r="A197" s="172"/>
      <c r="B197" s="177"/>
      <c r="C197" s="177"/>
      <c r="D197" s="177"/>
      <c r="E197" s="177"/>
      <c r="F197" s="177"/>
      <c r="G197" s="177"/>
    </row>
    <row r="198" spans="1:7" x14ac:dyDescent="0.25">
      <c r="A198" s="172"/>
      <c r="B198" s="177"/>
      <c r="C198" s="177"/>
      <c r="D198" s="177"/>
      <c r="E198" s="177"/>
      <c r="F198" s="177"/>
      <c r="G198" s="177"/>
    </row>
    <row r="199" spans="1:7" x14ac:dyDescent="0.25">
      <c r="A199" s="172"/>
      <c r="B199" s="177"/>
      <c r="C199" s="177"/>
      <c r="D199" s="177"/>
      <c r="E199" s="177"/>
      <c r="F199" s="177"/>
      <c r="G199" s="177"/>
    </row>
    <row r="200" spans="1:7" x14ac:dyDescent="0.25">
      <c r="A200" s="172"/>
      <c r="B200" s="177"/>
      <c r="C200" s="177"/>
      <c r="D200" s="177"/>
      <c r="E200" s="177"/>
      <c r="F200" s="177"/>
      <c r="G200" s="177"/>
    </row>
    <row r="201" spans="1:7" x14ac:dyDescent="0.25">
      <c r="A201" s="172"/>
      <c r="B201" s="177"/>
      <c r="C201" s="177"/>
      <c r="D201" s="177"/>
      <c r="E201" s="177"/>
      <c r="F201" s="177"/>
      <c r="G201" s="177"/>
    </row>
    <row r="202" spans="1:7" x14ac:dyDescent="0.25">
      <c r="A202" s="172"/>
      <c r="B202" s="177"/>
      <c r="C202" s="177"/>
      <c r="D202" s="177"/>
      <c r="E202" s="177"/>
      <c r="F202" s="177"/>
      <c r="G202" s="177"/>
    </row>
    <row r="203" spans="1:7" x14ac:dyDescent="0.25">
      <c r="A203" s="172"/>
      <c r="B203" s="177"/>
      <c r="C203" s="177"/>
      <c r="D203" s="177"/>
      <c r="E203" s="177"/>
      <c r="F203" s="177"/>
      <c r="G203" s="177"/>
    </row>
    <row r="204" spans="1:7" x14ac:dyDescent="0.25">
      <c r="A204" s="172"/>
      <c r="B204" s="177"/>
      <c r="C204" s="177"/>
      <c r="D204" s="177"/>
      <c r="E204" s="177"/>
      <c r="F204" s="177"/>
      <c r="G204" s="177"/>
    </row>
    <row r="205" spans="1:7" x14ac:dyDescent="0.25">
      <c r="A205" s="172"/>
      <c r="B205" s="177"/>
      <c r="C205" s="177"/>
      <c r="D205" s="177"/>
      <c r="E205" s="177"/>
      <c r="F205" s="177"/>
      <c r="G205" s="177"/>
    </row>
    <row r="206" spans="1:7" x14ac:dyDescent="0.25">
      <c r="A206" s="172"/>
      <c r="B206" s="177"/>
      <c r="C206" s="177"/>
    </row>
    <row r="207" spans="1:7" x14ac:dyDescent="0.25">
      <c r="A207" s="172"/>
      <c r="B207" s="177"/>
      <c r="C207" s="177"/>
      <c r="D207" s="177"/>
      <c r="E207" s="177"/>
      <c r="F207" s="177"/>
      <c r="G207" s="177"/>
    </row>
    <row r="208" spans="1:7" x14ac:dyDescent="0.25">
      <c r="A208" s="172"/>
      <c r="B208" s="177"/>
      <c r="C208" s="177"/>
      <c r="D208" s="177"/>
    </row>
    <row r="209" spans="1:7" x14ac:dyDescent="0.25">
      <c r="A209" s="172"/>
    </row>
    <row r="210" spans="1:7" x14ac:dyDescent="0.25">
      <c r="A210" s="172"/>
      <c r="B210" s="177"/>
      <c r="C210" s="177"/>
    </row>
    <row r="211" spans="1:7" x14ac:dyDescent="0.25">
      <c r="A211" s="172"/>
      <c r="B211" s="177"/>
      <c r="C211" s="177"/>
      <c r="D211" s="177"/>
      <c r="E211" s="177"/>
      <c r="F211" s="177"/>
      <c r="G211" s="177"/>
    </row>
    <row r="212" spans="1:7" x14ac:dyDescent="0.25">
      <c r="A212" s="172"/>
      <c r="B212" s="177"/>
      <c r="C212" s="177"/>
    </row>
    <row r="213" spans="1:7" x14ac:dyDescent="0.25">
      <c r="A213" s="172"/>
      <c r="B213" s="177"/>
      <c r="C213" s="177"/>
      <c r="D213" s="177"/>
      <c r="E213" s="177"/>
      <c r="F213" s="177"/>
      <c r="G213" s="177"/>
    </row>
    <row r="214" spans="1:7" x14ac:dyDescent="0.25">
      <c r="A214" s="172"/>
      <c r="B214" s="177"/>
      <c r="C214" s="177"/>
      <c r="D214" s="177"/>
      <c r="E214" s="177"/>
      <c r="F214" s="177"/>
      <c r="G214" s="177"/>
    </row>
    <row r="215" spans="1:7" x14ac:dyDescent="0.25">
      <c r="A215" s="172"/>
      <c r="B215" s="177"/>
      <c r="C215" s="177"/>
      <c r="D215" s="177"/>
      <c r="E215" s="177"/>
      <c r="F215" s="177"/>
      <c r="G215" s="177"/>
    </row>
    <row r="216" spans="1:7" x14ac:dyDescent="0.25">
      <c r="A216" s="172"/>
      <c r="B216" s="177"/>
      <c r="C216" s="177"/>
      <c r="D216" s="177"/>
      <c r="E216" s="177"/>
      <c r="F216" s="177"/>
      <c r="G216" s="177"/>
    </row>
    <row r="217" spans="1:7" x14ac:dyDescent="0.25">
      <c r="A217" s="172"/>
      <c r="B217" s="177"/>
      <c r="C217" s="177"/>
    </row>
    <row r="218" spans="1:7" x14ac:dyDescent="0.25">
      <c r="A218" s="172"/>
      <c r="B218" s="177"/>
      <c r="C218" s="177"/>
      <c r="D218" s="177"/>
      <c r="E218" s="177"/>
      <c r="F218" s="177"/>
      <c r="G218" s="177"/>
    </row>
    <row r="219" spans="1:7" x14ac:dyDescent="0.25">
      <c r="A219" s="172"/>
      <c r="B219" s="177"/>
      <c r="C219" s="177"/>
      <c r="D219" s="177"/>
    </row>
    <row r="220" spans="1:7" x14ac:dyDescent="0.25">
      <c r="A220" s="172"/>
    </row>
    <row r="221" spans="1:7" x14ac:dyDescent="0.25">
      <c r="A221" s="172"/>
      <c r="B221" s="177"/>
      <c r="C221" s="177"/>
    </row>
    <row r="222" spans="1:7" x14ac:dyDescent="0.25">
      <c r="A222" s="172"/>
      <c r="B222" s="177"/>
      <c r="C222" s="177"/>
      <c r="D222" s="177"/>
      <c r="E222" s="177"/>
      <c r="F222" s="177"/>
      <c r="G222" s="177"/>
    </row>
    <row r="223" spans="1:7" x14ac:dyDescent="0.25">
      <c r="A223" s="172"/>
      <c r="B223" s="177"/>
      <c r="C223" s="177"/>
    </row>
    <row r="224" spans="1:7" x14ac:dyDescent="0.25">
      <c r="A224" s="172"/>
      <c r="B224" s="177"/>
      <c r="C224" s="177"/>
      <c r="D224" s="177"/>
      <c r="E224" s="177"/>
      <c r="F224" s="177"/>
      <c r="G224" s="177"/>
    </row>
    <row r="225" spans="1:7" x14ac:dyDescent="0.25">
      <c r="A225" s="172"/>
      <c r="B225" s="177"/>
      <c r="C225" s="177"/>
      <c r="D225" s="177"/>
      <c r="E225" s="177"/>
      <c r="F225" s="177"/>
      <c r="G225" s="177"/>
    </row>
    <row r="226" spans="1:7" x14ac:dyDescent="0.25">
      <c r="A226" s="172"/>
      <c r="B226" s="177"/>
      <c r="C226" s="177"/>
      <c r="D226" s="177"/>
      <c r="E226" s="177"/>
      <c r="F226" s="177"/>
      <c r="G226" s="177"/>
    </row>
    <row r="227" spans="1:7" x14ac:dyDescent="0.25">
      <c r="A227" s="172"/>
      <c r="B227" s="177"/>
      <c r="C227" s="177"/>
      <c r="D227" s="177"/>
      <c r="E227" s="177"/>
      <c r="F227" s="177"/>
      <c r="G227" s="177"/>
    </row>
    <row r="228" spans="1:7" x14ac:dyDescent="0.25">
      <c r="A228" s="172"/>
      <c r="B228" s="177"/>
      <c r="C228" s="177"/>
      <c r="D228" s="177"/>
      <c r="E228" s="177"/>
      <c r="F228" s="177"/>
      <c r="G228" s="177"/>
    </row>
    <row r="229" spans="1:7" x14ac:dyDescent="0.25">
      <c r="A229" s="172"/>
      <c r="B229" s="177"/>
      <c r="C229" s="177"/>
      <c r="D229" s="177"/>
      <c r="E229" s="177"/>
      <c r="F229" s="177"/>
      <c r="G229" s="177"/>
    </row>
    <row r="230" spans="1:7" x14ac:dyDescent="0.25">
      <c r="A230" s="172"/>
      <c r="B230" s="177"/>
      <c r="C230" s="177"/>
      <c r="D230" s="177"/>
      <c r="E230" s="177"/>
      <c r="F230" s="177"/>
      <c r="G230" s="177"/>
    </row>
    <row r="231" spans="1:7" x14ac:dyDescent="0.25">
      <c r="A231" s="172"/>
      <c r="B231" s="177"/>
      <c r="C231" s="177"/>
      <c r="D231" s="177"/>
      <c r="E231" s="177"/>
      <c r="F231" s="177"/>
      <c r="G231" s="177"/>
    </row>
    <row r="232" spans="1:7" x14ac:dyDescent="0.25">
      <c r="A232" s="172"/>
      <c r="B232" s="177"/>
      <c r="C232" s="177"/>
      <c r="D232" s="177"/>
      <c r="E232" s="177"/>
      <c r="F232" s="177"/>
      <c r="G232" s="177"/>
    </row>
    <row r="233" spans="1:7" x14ac:dyDescent="0.25">
      <c r="A233" s="172"/>
      <c r="B233" s="177"/>
      <c r="C233" s="177"/>
      <c r="D233" s="177"/>
      <c r="E233" s="177"/>
      <c r="F233" s="177"/>
      <c r="G233" s="177"/>
    </row>
    <row r="234" spans="1:7" x14ac:dyDescent="0.25">
      <c r="A234" s="172"/>
      <c r="B234" s="177"/>
      <c r="C234" s="177"/>
      <c r="D234" s="177"/>
      <c r="E234" s="177"/>
      <c r="F234" s="177"/>
      <c r="G234" s="177"/>
    </row>
    <row r="235" spans="1:7" x14ac:dyDescent="0.25">
      <c r="A235" s="172"/>
      <c r="B235" s="177"/>
      <c r="C235" s="177"/>
      <c r="D235" s="177"/>
      <c r="E235" s="177"/>
      <c r="F235" s="177"/>
      <c r="G235" s="177"/>
    </row>
    <row r="236" spans="1:7" x14ac:dyDescent="0.25">
      <c r="A236" s="172"/>
      <c r="B236" s="177"/>
      <c r="C236" s="177"/>
      <c r="D236" s="177"/>
      <c r="E236" s="177"/>
      <c r="F236" s="177"/>
      <c r="G236" s="177"/>
    </row>
    <row r="237" spans="1:7" x14ac:dyDescent="0.25">
      <c r="A237" s="172"/>
      <c r="B237" s="177"/>
      <c r="C237" s="177"/>
      <c r="D237" s="177"/>
      <c r="E237" s="177"/>
      <c r="F237" s="177"/>
      <c r="G237" s="177"/>
    </row>
    <row r="238" spans="1:7" x14ac:dyDescent="0.25">
      <c r="A238" s="172"/>
      <c r="B238" s="177"/>
      <c r="C238" s="177"/>
      <c r="D238" s="177"/>
      <c r="E238" s="177"/>
      <c r="F238" s="177"/>
      <c r="G238" s="177"/>
    </row>
    <row r="239" spans="1:7" x14ac:dyDescent="0.25">
      <c r="A239" s="172"/>
      <c r="B239" s="177"/>
      <c r="C239" s="177"/>
      <c r="D239" s="177"/>
      <c r="E239" s="177"/>
      <c r="F239" s="177"/>
      <c r="G239" s="177"/>
    </row>
    <row r="240" spans="1:7" x14ac:dyDescent="0.25">
      <c r="A240" s="172"/>
      <c r="B240" s="177"/>
      <c r="C240" s="177"/>
      <c r="D240" s="177"/>
      <c r="E240" s="177"/>
      <c r="F240" s="177"/>
      <c r="G240" s="177"/>
    </row>
    <row r="241" spans="1:7" x14ac:dyDescent="0.25">
      <c r="A241" s="172"/>
      <c r="B241" s="177"/>
      <c r="C241" s="177"/>
      <c r="D241" s="177"/>
      <c r="E241" s="177"/>
      <c r="F241" s="177"/>
      <c r="G241" s="177"/>
    </row>
    <row r="242" spans="1:7" x14ac:dyDescent="0.25">
      <c r="A242" s="172"/>
      <c r="B242" s="177"/>
      <c r="C242" s="177"/>
      <c r="D242" s="177"/>
      <c r="E242" s="177"/>
      <c r="F242" s="177"/>
      <c r="G242" s="177"/>
    </row>
    <row r="243" spans="1:7" x14ac:dyDescent="0.25">
      <c r="A243" s="172"/>
      <c r="B243" s="177"/>
      <c r="C243" s="177"/>
      <c r="D243" s="177"/>
      <c r="E243" s="177"/>
      <c r="F243" s="177"/>
      <c r="G243" s="177"/>
    </row>
    <row r="244" spans="1:7" x14ac:dyDescent="0.25">
      <c r="A244" s="172"/>
      <c r="B244" s="177"/>
      <c r="C244" s="177"/>
      <c r="D244" s="177"/>
      <c r="E244" s="177"/>
      <c r="F244" s="177"/>
      <c r="G244" s="177"/>
    </row>
    <row r="245" spans="1:7" x14ac:dyDescent="0.25">
      <c r="A245" s="172"/>
      <c r="B245" s="177"/>
      <c r="C245" s="177"/>
    </row>
    <row r="246" spans="1:7" x14ac:dyDescent="0.25">
      <c r="A246" s="172"/>
      <c r="B246" s="177"/>
      <c r="C246" s="177"/>
      <c r="D246" s="177"/>
      <c r="E246" s="177"/>
      <c r="F246" s="177"/>
      <c r="G246" s="177"/>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545</v>
      </c>
    </row>
    <row r="3" spans="1:7" x14ac:dyDescent="0.25">
      <c r="A3" s="8" t="s">
        <v>12</v>
      </c>
    </row>
    <row r="5" spans="1:7" x14ac:dyDescent="0.25">
      <c r="A5" s="201" t="s">
        <v>517</v>
      </c>
    </row>
    <row r="6" spans="1:7" x14ac:dyDescent="0.25">
      <c r="A6" s="104"/>
      <c r="B6" s="479" t="s">
        <v>499</v>
      </c>
      <c r="C6" s="479"/>
      <c r="D6" s="479"/>
      <c r="E6" s="479"/>
      <c r="F6" s="479"/>
      <c r="G6" s="105"/>
    </row>
    <row r="7" spans="1:7" x14ac:dyDescent="0.25">
      <c r="A7" s="174" t="s">
        <v>544</v>
      </c>
      <c r="B7" s="215" t="s">
        <v>138</v>
      </c>
      <c r="C7" s="176" t="s">
        <v>139</v>
      </c>
      <c r="D7" s="216" t="s">
        <v>140</v>
      </c>
      <c r="E7" s="176" t="s">
        <v>19</v>
      </c>
      <c r="F7" s="200" t="s">
        <v>141</v>
      </c>
      <c r="G7" s="175" t="s">
        <v>35</v>
      </c>
    </row>
    <row r="8" spans="1:7" x14ac:dyDescent="0.25">
      <c r="A8" s="171" t="s">
        <v>142</v>
      </c>
      <c r="B8" s="151">
        <v>1424</v>
      </c>
      <c r="C8" s="151">
        <v>1114</v>
      </c>
      <c r="D8" s="151">
        <v>4984</v>
      </c>
      <c r="E8" s="151">
        <v>463</v>
      </c>
      <c r="F8" s="151">
        <v>646</v>
      </c>
      <c r="G8" s="197">
        <v>8631</v>
      </c>
    </row>
    <row r="9" spans="1:7" x14ac:dyDescent="0.25">
      <c r="A9" s="150" t="s">
        <v>148</v>
      </c>
      <c r="B9" s="151">
        <v>66</v>
      </c>
      <c r="C9" s="151">
        <v>23</v>
      </c>
      <c r="D9" s="151">
        <v>92</v>
      </c>
      <c r="E9" s="151">
        <v>1</v>
      </c>
      <c r="F9" s="151">
        <v>10</v>
      </c>
      <c r="G9" s="151">
        <v>192</v>
      </c>
    </row>
    <row r="10" spans="1:7" x14ac:dyDescent="0.25">
      <c r="A10" s="150" t="s">
        <v>143</v>
      </c>
      <c r="B10" s="151">
        <v>63</v>
      </c>
      <c r="C10" s="151">
        <v>21</v>
      </c>
      <c r="D10" s="151">
        <v>47</v>
      </c>
      <c r="E10" s="151">
        <v>1</v>
      </c>
      <c r="F10" s="151">
        <v>5</v>
      </c>
      <c r="G10" s="151">
        <v>137</v>
      </c>
    </row>
    <row r="11" spans="1:7" x14ac:dyDescent="0.25">
      <c r="A11" s="150" t="s">
        <v>144</v>
      </c>
      <c r="B11" s="151">
        <v>122</v>
      </c>
      <c r="C11" s="151">
        <v>49</v>
      </c>
      <c r="D11" s="151">
        <v>254</v>
      </c>
      <c r="E11" s="151">
        <v>25</v>
      </c>
      <c r="F11" s="151">
        <v>26</v>
      </c>
      <c r="G11" s="151">
        <v>476</v>
      </c>
    </row>
    <row r="12" spans="1:7" x14ac:dyDescent="0.25">
      <c r="A12" s="170" t="s">
        <v>145</v>
      </c>
      <c r="B12" s="196">
        <v>4488</v>
      </c>
      <c r="C12" s="196">
        <v>1820</v>
      </c>
      <c r="D12" s="196">
        <v>17191</v>
      </c>
      <c r="E12" s="196">
        <v>1998</v>
      </c>
      <c r="F12" s="196">
        <v>1151</v>
      </c>
      <c r="G12" s="196">
        <v>26648</v>
      </c>
    </row>
    <row r="13" spans="1:7" x14ac:dyDescent="0.25">
      <c r="A13" s="173" t="s">
        <v>146</v>
      </c>
      <c r="B13" s="188">
        <v>178</v>
      </c>
      <c r="C13" s="188">
        <v>70</v>
      </c>
      <c r="D13" s="188">
        <v>564</v>
      </c>
      <c r="E13" s="188">
        <v>39</v>
      </c>
      <c r="F13" s="188">
        <v>25</v>
      </c>
      <c r="G13" s="188">
        <v>876</v>
      </c>
    </row>
    <row r="14" spans="1:7" x14ac:dyDescent="0.25">
      <c r="A14" s="173" t="s">
        <v>147</v>
      </c>
      <c r="B14" s="188">
        <v>321</v>
      </c>
      <c r="C14" s="188">
        <v>120</v>
      </c>
      <c r="D14" s="188">
        <v>972</v>
      </c>
      <c r="E14" s="188">
        <v>103</v>
      </c>
      <c r="F14" s="188">
        <v>73</v>
      </c>
      <c r="G14" s="188">
        <v>1589</v>
      </c>
    </row>
    <row r="15" spans="1:7" x14ac:dyDescent="0.25">
      <c r="A15" s="198" t="s">
        <v>35</v>
      </c>
      <c r="B15" s="199">
        <v>6662</v>
      </c>
      <c r="C15" s="199">
        <v>3217</v>
      </c>
      <c r="D15" s="199">
        <v>24104</v>
      </c>
      <c r="E15" s="199">
        <v>2630</v>
      </c>
      <c r="F15" s="199">
        <v>1936</v>
      </c>
      <c r="G15" s="199">
        <v>38549</v>
      </c>
    </row>
    <row r="16" spans="1:7" x14ac:dyDescent="0.25">
      <c r="A16" s="172"/>
      <c r="B16" s="172"/>
      <c r="C16" s="172"/>
      <c r="D16" s="172"/>
      <c r="E16" s="172"/>
      <c r="F16" s="172"/>
      <c r="G16" s="172"/>
    </row>
    <row r="17" spans="1:7" x14ac:dyDescent="0.25">
      <c r="A17" s="172"/>
      <c r="B17" s="172"/>
      <c r="C17" s="172"/>
      <c r="D17" s="172"/>
      <c r="E17" s="172"/>
      <c r="F17" s="172"/>
      <c r="G17" s="172"/>
    </row>
    <row r="18" spans="1:7" x14ac:dyDescent="0.25">
      <c r="A18" s="172"/>
      <c r="B18" s="172"/>
      <c r="C18" s="172"/>
      <c r="D18" s="172"/>
    </row>
    <row r="19" spans="1:7" x14ac:dyDescent="0.25">
      <c r="A19" s="201" t="s">
        <v>518</v>
      </c>
    </row>
    <row r="20" spans="1:7" x14ac:dyDescent="0.25">
      <c r="A20" s="104"/>
      <c r="B20" s="479" t="s">
        <v>499</v>
      </c>
      <c r="C20" s="479"/>
      <c r="D20" s="479"/>
      <c r="E20" s="479"/>
      <c r="F20" s="479"/>
      <c r="G20" s="105"/>
    </row>
    <row r="21" spans="1:7" x14ac:dyDescent="0.25">
      <c r="A21" s="174" t="s">
        <v>544</v>
      </c>
      <c r="B21" s="175" t="s">
        <v>138</v>
      </c>
      <c r="C21" s="175" t="s">
        <v>139</v>
      </c>
      <c r="D21" s="175" t="s">
        <v>140</v>
      </c>
      <c r="E21" s="175" t="s">
        <v>19</v>
      </c>
      <c r="F21" s="175" t="s">
        <v>141</v>
      </c>
      <c r="G21" s="175" t="s">
        <v>35</v>
      </c>
    </row>
    <row r="22" spans="1:7" x14ac:dyDescent="0.25">
      <c r="A22" s="171" t="s">
        <v>150</v>
      </c>
      <c r="B22" s="197">
        <v>7570</v>
      </c>
      <c r="C22" s="197">
        <v>2615</v>
      </c>
      <c r="D22" s="197">
        <v>27432</v>
      </c>
      <c r="E22" s="197">
        <v>2782</v>
      </c>
      <c r="F22" s="197">
        <v>1460</v>
      </c>
      <c r="G22" s="197">
        <v>41859</v>
      </c>
    </row>
    <row r="23" spans="1:7" x14ac:dyDescent="0.25">
      <c r="A23" s="150" t="s">
        <v>151</v>
      </c>
      <c r="B23" s="151">
        <v>3138</v>
      </c>
      <c r="C23" s="151">
        <v>877</v>
      </c>
      <c r="D23" s="151">
        <v>9397</v>
      </c>
      <c r="E23" s="151">
        <v>832</v>
      </c>
      <c r="F23" s="151">
        <v>426</v>
      </c>
      <c r="G23" s="151">
        <v>14670</v>
      </c>
    </row>
    <row r="24" spans="1:7" x14ac:dyDescent="0.25">
      <c r="A24" s="150" t="s">
        <v>152</v>
      </c>
      <c r="B24" s="151">
        <v>80</v>
      </c>
      <c r="C24" s="151">
        <v>19</v>
      </c>
      <c r="D24" s="151">
        <v>272</v>
      </c>
      <c r="E24" s="151">
        <v>32</v>
      </c>
      <c r="F24" s="151">
        <v>11</v>
      </c>
      <c r="G24" s="151">
        <v>414</v>
      </c>
    </row>
    <row r="25" spans="1:7" x14ac:dyDescent="0.25">
      <c r="A25" s="150" t="s">
        <v>153</v>
      </c>
      <c r="B25" s="151">
        <v>222</v>
      </c>
      <c r="C25" s="151">
        <v>59</v>
      </c>
      <c r="D25" s="151">
        <v>761</v>
      </c>
      <c r="E25" s="151">
        <v>89</v>
      </c>
      <c r="F25" s="151">
        <v>34</v>
      </c>
      <c r="G25" s="151">
        <v>1165</v>
      </c>
    </row>
    <row r="26" spans="1:7" x14ac:dyDescent="0.25">
      <c r="A26" s="150" t="s">
        <v>154</v>
      </c>
      <c r="B26" s="151">
        <v>15</v>
      </c>
      <c r="C26" s="151">
        <v>1</v>
      </c>
      <c r="D26" s="151">
        <v>19</v>
      </c>
      <c r="E26" s="151">
        <v>1</v>
      </c>
      <c r="F26" s="151">
        <v>1</v>
      </c>
      <c r="G26" s="151">
        <v>37</v>
      </c>
    </row>
    <row r="27" spans="1:7" ht="30" x14ac:dyDescent="0.25">
      <c r="A27" s="150" t="s">
        <v>155</v>
      </c>
      <c r="B27" s="151">
        <v>179</v>
      </c>
      <c r="C27" s="151">
        <v>36</v>
      </c>
      <c r="D27" s="151">
        <v>417</v>
      </c>
      <c r="E27" s="151">
        <v>33</v>
      </c>
      <c r="F27" s="151">
        <v>15</v>
      </c>
      <c r="G27" s="151">
        <v>680</v>
      </c>
    </row>
    <row r="28" spans="1:7" x14ac:dyDescent="0.25">
      <c r="A28" s="150" t="s">
        <v>156</v>
      </c>
      <c r="B28" s="151">
        <v>23</v>
      </c>
      <c r="C28" s="151">
        <v>8</v>
      </c>
      <c r="D28" s="151">
        <v>55</v>
      </c>
      <c r="E28" s="151">
        <v>8</v>
      </c>
      <c r="F28" s="151">
        <v>4</v>
      </c>
      <c r="G28" s="151">
        <v>98</v>
      </c>
    </row>
    <row r="29" spans="1:7" x14ac:dyDescent="0.25">
      <c r="A29" s="150" t="s">
        <v>157</v>
      </c>
      <c r="B29" s="151">
        <v>378</v>
      </c>
      <c r="C29" s="151">
        <v>161</v>
      </c>
      <c r="D29" s="151">
        <v>1187</v>
      </c>
      <c r="E29" s="151">
        <v>102</v>
      </c>
      <c r="F29" s="151">
        <v>57</v>
      </c>
      <c r="G29" s="151">
        <v>1885</v>
      </c>
    </row>
    <row r="30" spans="1:7" x14ac:dyDescent="0.25">
      <c r="A30" s="170" t="s">
        <v>158</v>
      </c>
      <c r="B30" s="196">
        <v>838</v>
      </c>
      <c r="C30" s="196">
        <v>316</v>
      </c>
      <c r="D30" s="196">
        <v>2693</v>
      </c>
      <c r="E30" s="196">
        <v>243</v>
      </c>
      <c r="F30" s="196">
        <v>133</v>
      </c>
      <c r="G30" s="196">
        <v>4223</v>
      </c>
    </row>
    <row r="31" spans="1:7" x14ac:dyDescent="0.25">
      <c r="A31" s="198" t="s">
        <v>35</v>
      </c>
      <c r="B31" s="199">
        <v>12443</v>
      </c>
      <c r="C31" s="199">
        <v>4092</v>
      </c>
      <c r="D31" s="199">
        <v>42233</v>
      </c>
      <c r="E31" s="199">
        <v>4122</v>
      </c>
      <c r="F31" s="199">
        <v>2141</v>
      </c>
      <c r="G31" s="199">
        <v>65031</v>
      </c>
    </row>
    <row r="32" spans="1:7" x14ac:dyDescent="0.25">
      <c r="A32" s="172"/>
      <c r="B32" s="172"/>
      <c r="C32" s="172"/>
      <c r="D32" s="172"/>
      <c r="E32" s="172"/>
      <c r="F32" s="172"/>
      <c r="G32" s="172"/>
    </row>
    <row r="33" spans="1:7" x14ac:dyDescent="0.25">
      <c r="A33" s="172"/>
      <c r="B33" s="172"/>
      <c r="C33" s="172"/>
      <c r="D33" s="172"/>
    </row>
    <row r="34" spans="1:7" x14ac:dyDescent="0.25">
      <c r="A34" s="201" t="s">
        <v>519</v>
      </c>
    </row>
    <row r="35" spans="1:7" x14ac:dyDescent="0.25">
      <c r="A35" s="172"/>
      <c r="B35" s="479" t="s">
        <v>499</v>
      </c>
      <c r="C35" s="479"/>
      <c r="D35" s="479"/>
      <c r="E35" s="479"/>
      <c r="F35" s="479"/>
      <c r="G35" s="105"/>
    </row>
    <row r="36" spans="1:7" x14ac:dyDescent="0.25">
      <c r="A36" s="174" t="s">
        <v>544</v>
      </c>
      <c r="B36" s="175" t="s">
        <v>138</v>
      </c>
      <c r="C36" s="175" t="s">
        <v>139</v>
      </c>
      <c r="D36" s="175" t="s">
        <v>140</v>
      </c>
      <c r="E36" s="175" t="s">
        <v>19</v>
      </c>
      <c r="F36" s="175" t="s">
        <v>141</v>
      </c>
      <c r="G36" s="175" t="s">
        <v>35</v>
      </c>
    </row>
    <row r="37" spans="1:7" x14ac:dyDescent="0.25">
      <c r="A37" s="150" t="s">
        <v>159</v>
      </c>
      <c r="B37" s="151">
        <v>239</v>
      </c>
      <c r="C37" s="151">
        <v>67</v>
      </c>
      <c r="D37" s="151">
        <v>612</v>
      </c>
      <c r="E37" s="151">
        <v>17</v>
      </c>
      <c r="F37" s="151">
        <v>27</v>
      </c>
      <c r="G37" s="151">
        <v>962</v>
      </c>
    </row>
    <row r="38" spans="1:7" x14ac:dyDescent="0.25">
      <c r="A38" s="150" t="s">
        <v>160</v>
      </c>
      <c r="B38" s="151">
        <v>458</v>
      </c>
      <c r="C38" s="151">
        <v>158</v>
      </c>
      <c r="D38" s="151">
        <v>1668</v>
      </c>
      <c r="E38" s="151">
        <v>148</v>
      </c>
      <c r="F38" s="151">
        <v>92</v>
      </c>
      <c r="G38" s="151">
        <v>2524</v>
      </c>
    </row>
    <row r="39" spans="1:7" x14ac:dyDescent="0.25">
      <c r="A39" s="150" t="s">
        <v>502</v>
      </c>
      <c r="B39" s="151">
        <v>525</v>
      </c>
      <c r="C39" s="151">
        <v>152</v>
      </c>
      <c r="D39" s="151">
        <v>1396</v>
      </c>
      <c r="E39" s="151">
        <v>115</v>
      </c>
      <c r="F39" s="151">
        <v>58</v>
      </c>
      <c r="G39" s="151">
        <v>2246</v>
      </c>
    </row>
    <row r="40" spans="1:7" x14ac:dyDescent="0.25">
      <c r="A40" s="150" t="s">
        <v>161</v>
      </c>
      <c r="B40" s="151">
        <v>3599</v>
      </c>
      <c r="C40" s="151">
        <v>1258</v>
      </c>
      <c r="D40" s="151">
        <v>13406</v>
      </c>
      <c r="E40" s="151">
        <v>1276</v>
      </c>
      <c r="F40" s="151">
        <v>790</v>
      </c>
      <c r="G40" s="151">
        <v>20329</v>
      </c>
    </row>
    <row r="41" spans="1:7" ht="30" x14ac:dyDescent="0.25">
      <c r="A41" s="150" t="s">
        <v>162</v>
      </c>
      <c r="B41" s="151">
        <v>291</v>
      </c>
      <c r="C41" s="151">
        <v>140</v>
      </c>
      <c r="D41" s="151">
        <v>859</v>
      </c>
      <c r="E41" s="151">
        <v>62</v>
      </c>
      <c r="F41" s="151">
        <v>47</v>
      </c>
      <c r="G41" s="151">
        <v>1399</v>
      </c>
    </row>
    <row r="42" spans="1:7" x14ac:dyDescent="0.25">
      <c r="A42" s="150" t="s">
        <v>163</v>
      </c>
      <c r="B42" s="151">
        <v>250</v>
      </c>
      <c r="C42" s="151">
        <v>88</v>
      </c>
      <c r="D42" s="151">
        <v>756</v>
      </c>
      <c r="E42" s="151">
        <v>47</v>
      </c>
      <c r="F42" s="151">
        <v>28</v>
      </c>
      <c r="G42" s="151">
        <v>1169</v>
      </c>
    </row>
    <row r="43" spans="1:7" x14ac:dyDescent="0.25">
      <c r="A43" s="150" t="s">
        <v>164</v>
      </c>
      <c r="B43" s="151">
        <v>373</v>
      </c>
      <c r="C43" s="151">
        <v>95</v>
      </c>
      <c r="D43" s="151">
        <v>1098</v>
      </c>
      <c r="E43" s="151">
        <v>68</v>
      </c>
      <c r="F43" s="151">
        <v>53</v>
      </c>
      <c r="G43" s="151">
        <v>1687</v>
      </c>
    </row>
    <row r="44" spans="1:7" x14ac:dyDescent="0.25">
      <c r="A44" s="150" t="s">
        <v>165</v>
      </c>
      <c r="B44" s="151">
        <v>274</v>
      </c>
      <c r="C44" s="151">
        <v>122</v>
      </c>
      <c r="D44" s="151">
        <v>1013</v>
      </c>
      <c r="E44" s="151">
        <v>90</v>
      </c>
      <c r="F44" s="151">
        <v>66</v>
      </c>
      <c r="G44" s="151">
        <v>1565</v>
      </c>
    </row>
    <row r="45" spans="1:7" x14ac:dyDescent="0.25">
      <c r="A45" s="170" t="s">
        <v>166</v>
      </c>
      <c r="B45" s="196">
        <v>1979</v>
      </c>
      <c r="C45" s="196">
        <v>642</v>
      </c>
      <c r="D45" s="196">
        <v>6424</v>
      </c>
      <c r="E45" s="196">
        <v>573</v>
      </c>
      <c r="F45" s="196">
        <v>287</v>
      </c>
      <c r="G45" s="196">
        <v>9905</v>
      </c>
    </row>
    <row r="46" spans="1:7" x14ac:dyDescent="0.25">
      <c r="A46" s="198" t="s">
        <v>35</v>
      </c>
      <c r="B46" s="199">
        <v>7988</v>
      </c>
      <c r="C46" s="199">
        <v>2722</v>
      </c>
      <c r="D46" s="199">
        <v>27232</v>
      </c>
      <c r="E46" s="199">
        <v>2396</v>
      </c>
      <c r="F46" s="199">
        <v>1448</v>
      </c>
      <c r="G46" s="199">
        <v>41786</v>
      </c>
    </row>
    <row r="47" spans="1:7" x14ac:dyDescent="0.25">
      <c r="A47" s="172"/>
      <c r="B47" s="204"/>
      <c r="C47" s="204"/>
      <c r="D47" s="204"/>
      <c r="E47" s="204"/>
      <c r="F47" s="204"/>
      <c r="G47" s="204"/>
    </row>
    <row r="48" spans="1:7" x14ac:dyDescent="0.25">
      <c r="A48" s="172"/>
      <c r="B48" s="172"/>
      <c r="C48" s="172"/>
      <c r="D48" s="172"/>
    </row>
    <row r="49" spans="1:7" x14ac:dyDescent="0.25">
      <c r="A49" s="201" t="s">
        <v>520</v>
      </c>
    </row>
    <row r="50" spans="1:7" x14ac:dyDescent="0.25">
      <c r="A50" s="172"/>
      <c r="B50" s="479" t="s">
        <v>499</v>
      </c>
      <c r="C50" s="479"/>
      <c r="D50" s="479"/>
      <c r="E50" s="479"/>
      <c r="F50" s="479"/>
      <c r="G50" s="105"/>
    </row>
    <row r="51" spans="1:7" x14ac:dyDescent="0.25">
      <c r="A51" s="174" t="s">
        <v>544</v>
      </c>
      <c r="B51" s="175" t="s">
        <v>138</v>
      </c>
      <c r="C51" s="175" t="s">
        <v>139</v>
      </c>
      <c r="D51" s="175" t="s">
        <v>140</v>
      </c>
      <c r="E51" s="175" t="s">
        <v>19</v>
      </c>
      <c r="F51" s="175" t="s">
        <v>141</v>
      </c>
      <c r="G51" s="175" t="s">
        <v>35</v>
      </c>
    </row>
    <row r="52" spans="1:7" x14ac:dyDescent="0.25">
      <c r="A52" s="171" t="s">
        <v>167</v>
      </c>
      <c r="B52" s="197">
        <v>408</v>
      </c>
      <c r="C52" s="197">
        <v>130</v>
      </c>
      <c r="D52" s="197">
        <v>1422</v>
      </c>
      <c r="E52" s="197">
        <v>104</v>
      </c>
      <c r="F52" s="197">
        <v>67</v>
      </c>
      <c r="G52" s="197">
        <v>2131</v>
      </c>
    </row>
    <row r="53" spans="1:7" x14ac:dyDescent="0.25">
      <c r="A53" s="150" t="s">
        <v>168</v>
      </c>
      <c r="B53" s="151">
        <v>542</v>
      </c>
      <c r="C53" s="151">
        <v>135</v>
      </c>
      <c r="D53" s="151">
        <v>1032</v>
      </c>
      <c r="E53" s="151">
        <v>44</v>
      </c>
      <c r="F53" s="151">
        <v>61</v>
      </c>
      <c r="G53" s="151">
        <v>1814</v>
      </c>
    </row>
    <row r="54" spans="1:7" x14ac:dyDescent="0.25">
      <c r="A54" s="150" t="s">
        <v>169</v>
      </c>
      <c r="B54" s="151">
        <v>671</v>
      </c>
      <c r="C54" s="151">
        <v>182</v>
      </c>
      <c r="D54" s="151">
        <v>2043</v>
      </c>
      <c r="E54" s="151">
        <v>146</v>
      </c>
      <c r="F54" s="151">
        <v>90</v>
      </c>
      <c r="G54" s="151">
        <v>3132</v>
      </c>
    </row>
    <row r="55" spans="1:7" x14ac:dyDescent="0.25">
      <c r="A55" s="150" t="s">
        <v>170</v>
      </c>
      <c r="B55" s="151">
        <v>6548</v>
      </c>
      <c r="C55" s="151">
        <v>2215</v>
      </c>
      <c r="D55" s="151">
        <v>23107</v>
      </c>
      <c r="E55" s="151">
        <v>2367</v>
      </c>
      <c r="F55" s="151">
        <v>1325</v>
      </c>
      <c r="G55" s="151">
        <v>35562</v>
      </c>
    </row>
    <row r="56" spans="1:7" x14ac:dyDescent="0.25">
      <c r="A56" s="150" t="s">
        <v>171</v>
      </c>
      <c r="B56" s="151">
        <v>1376</v>
      </c>
      <c r="C56" s="151">
        <v>368</v>
      </c>
      <c r="D56" s="151">
        <v>4048</v>
      </c>
      <c r="E56" s="151">
        <v>313</v>
      </c>
      <c r="F56" s="151">
        <v>219</v>
      </c>
      <c r="G56" s="151">
        <v>6324</v>
      </c>
    </row>
    <row r="57" spans="1:7" x14ac:dyDescent="0.25">
      <c r="A57" s="150" t="s">
        <v>172</v>
      </c>
      <c r="B57" s="151">
        <v>187</v>
      </c>
      <c r="C57" s="151">
        <v>53</v>
      </c>
      <c r="D57" s="151">
        <v>433</v>
      </c>
      <c r="E57" s="151">
        <v>26</v>
      </c>
      <c r="F57" s="151">
        <v>32</v>
      </c>
      <c r="G57" s="151">
        <v>731</v>
      </c>
    </row>
    <row r="58" spans="1:7" x14ac:dyDescent="0.25">
      <c r="A58" s="150" t="s">
        <v>173</v>
      </c>
      <c r="B58" s="151">
        <v>5671</v>
      </c>
      <c r="C58" s="151">
        <v>2073</v>
      </c>
      <c r="D58" s="151">
        <v>21508</v>
      </c>
      <c r="E58" s="151">
        <v>2219</v>
      </c>
      <c r="F58" s="151">
        <v>1263</v>
      </c>
      <c r="G58" s="151">
        <v>32734</v>
      </c>
    </row>
    <row r="59" spans="1:7" x14ac:dyDescent="0.25">
      <c r="A59" s="150" t="s">
        <v>174</v>
      </c>
      <c r="B59" s="151">
        <v>826</v>
      </c>
      <c r="C59" s="151">
        <v>229</v>
      </c>
      <c r="D59" s="151">
        <v>2497</v>
      </c>
      <c r="E59" s="151">
        <v>169</v>
      </c>
      <c r="F59" s="151">
        <v>128</v>
      </c>
      <c r="G59" s="151">
        <v>3849</v>
      </c>
    </row>
    <row r="60" spans="1:7" x14ac:dyDescent="0.25">
      <c r="A60" s="150" t="s">
        <v>175</v>
      </c>
      <c r="B60" s="151">
        <v>1123</v>
      </c>
      <c r="C60" s="151">
        <v>382</v>
      </c>
      <c r="D60" s="151">
        <v>3237</v>
      </c>
      <c r="E60" s="151">
        <v>145</v>
      </c>
      <c r="F60" s="151">
        <v>224</v>
      </c>
      <c r="G60" s="151">
        <v>5111</v>
      </c>
    </row>
    <row r="61" spans="1:7" x14ac:dyDescent="0.25">
      <c r="A61" s="150" t="s">
        <v>176</v>
      </c>
      <c r="B61" s="151">
        <v>4359</v>
      </c>
      <c r="C61" s="151">
        <v>1294</v>
      </c>
      <c r="D61" s="151">
        <v>12231</v>
      </c>
      <c r="E61" s="151">
        <v>921</v>
      </c>
      <c r="F61" s="151">
        <v>691</v>
      </c>
      <c r="G61" s="151">
        <v>19496</v>
      </c>
    </row>
    <row r="62" spans="1:7" x14ac:dyDescent="0.25">
      <c r="A62" s="150" t="s">
        <v>177</v>
      </c>
      <c r="B62" s="151">
        <v>146</v>
      </c>
      <c r="C62" s="151">
        <v>40</v>
      </c>
      <c r="D62" s="151">
        <v>577</v>
      </c>
      <c r="E62" s="151">
        <v>51</v>
      </c>
      <c r="F62" s="151">
        <v>23</v>
      </c>
      <c r="G62" s="151">
        <v>837</v>
      </c>
    </row>
    <row r="63" spans="1:7" x14ac:dyDescent="0.25">
      <c r="A63" s="150" t="s">
        <v>178</v>
      </c>
      <c r="B63" s="151">
        <v>451</v>
      </c>
      <c r="C63" s="151">
        <v>185</v>
      </c>
      <c r="D63" s="151">
        <v>1254</v>
      </c>
      <c r="E63" s="151">
        <v>54</v>
      </c>
      <c r="F63" s="151">
        <v>80</v>
      </c>
      <c r="G63" s="151">
        <v>2024</v>
      </c>
    </row>
    <row r="64" spans="1:7" x14ac:dyDescent="0.25">
      <c r="A64" s="150" t="s">
        <v>179</v>
      </c>
      <c r="B64" s="151">
        <v>279</v>
      </c>
      <c r="C64" s="151">
        <v>54</v>
      </c>
      <c r="D64" s="151">
        <v>547</v>
      </c>
      <c r="E64" s="151">
        <v>23</v>
      </c>
      <c r="F64" s="151">
        <v>24</v>
      </c>
      <c r="G64" s="151">
        <v>927</v>
      </c>
    </row>
    <row r="65" spans="1:7" x14ac:dyDescent="0.25">
      <c r="A65" s="170" t="s">
        <v>180</v>
      </c>
      <c r="B65" s="196">
        <v>1206</v>
      </c>
      <c r="C65" s="196">
        <v>332</v>
      </c>
      <c r="D65" s="196">
        <v>3347</v>
      </c>
      <c r="E65" s="196">
        <v>179</v>
      </c>
      <c r="F65" s="196">
        <v>148</v>
      </c>
      <c r="G65" s="196">
        <v>5212</v>
      </c>
    </row>
    <row r="66" spans="1:7" x14ac:dyDescent="0.25">
      <c r="A66" s="173" t="s">
        <v>503</v>
      </c>
      <c r="B66" s="188">
        <v>724</v>
      </c>
      <c r="C66" s="188">
        <v>272</v>
      </c>
      <c r="D66" s="188">
        <v>3293</v>
      </c>
      <c r="E66" s="188">
        <v>245</v>
      </c>
      <c r="F66" s="188">
        <v>201</v>
      </c>
      <c r="G66" s="188">
        <v>4735</v>
      </c>
    </row>
    <row r="67" spans="1:7" x14ac:dyDescent="0.25">
      <c r="A67" s="198" t="s">
        <v>35</v>
      </c>
      <c r="B67" s="199">
        <v>24517</v>
      </c>
      <c r="C67" s="199">
        <v>7944</v>
      </c>
      <c r="D67" s="199">
        <v>80576</v>
      </c>
      <c r="E67" s="199">
        <v>7006</v>
      </c>
      <c r="F67" s="199">
        <v>4576</v>
      </c>
      <c r="G67" s="199">
        <v>124619</v>
      </c>
    </row>
    <row r="68" spans="1:7" x14ac:dyDescent="0.25">
      <c r="A68" s="172"/>
      <c r="B68" s="204"/>
      <c r="C68" s="204"/>
      <c r="D68" s="204"/>
      <c r="E68" s="204"/>
      <c r="F68" s="204"/>
      <c r="G68" s="204"/>
    </row>
    <row r="69" spans="1:7" x14ac:dyDescent="0.25">
      <c r="A69" s="172"/>
      <c r="B69" s="204"/>
      <c r="C69" s="204"/>
      <c r="D69" s="204"/>
      <c r="E69" s="204"/>
      <c r="F69" s="204"/>
      <c r="G69" s="204"/>
    </row>
    <row r="70" spans="1:7" x14ac:dyDescent="0.25">
      <c r="A70" s="172"/>
      <c r="B70" s="172"/>
      <c r="C70" s="172"/>
      <c r="D70" s="172"/>
    </row>
    <row r="71" spans="1:7" x14ac:dyDescent="0.25">
      <c r="A71" s="202" t="s">
        <v>521</v>
      </c>
    </row>
    <row r="72" spans="1:7" x14ac:dyDescent="0.25">
      <c r="A72" s="172"/>
      <c r="B72" s="479" t="s">
        <v>499</v>
      </c>
      <c r="C72" s="479"/>
      <c r="D72" s="479"/>
      <c r="E72" s="479"/>
      <c r="F72" s="479"/>
      <c r="G72" s="105"/>
    </row>
    <row r="73" spans="1:7" x14ac:dyDescent="0.25">
      <c r="A73" s="174" t="s">
        <v>544</v>
      </c>
      <c r="B73" s="175" t="s">
        <v>138</v>
      </c>
      <c r="C73" s="175" t="s">
        <v>139</v>
      </c>
      <c r="D73" s="175" t="s">
        <v>140</v>
      </c>
      <c r="E73" s="175" t="s">
        <v>19</v>
      </c>
      <c r="F73" s="175" t="s">
        <v>141</v>
      </c>
      <c r="G73" s="175" t="s">
        <v>35</v>
      </c>
    </row>
    <row r="74" spans="1:7" x14ac:dyDescent="0.25">
      <c r="A74" s="150" t="s">
        <v>181</v>
      </c>
      <c r="B74" s="151">
        <v>660</v>
      </c>
      <c r="C74" s="151">
        <v>120</v>
      </c>
      <c r="D74" s="151">
        <v>1917</v>
      </c>
      <c r="E74" s="151">
        <v>161</v>
      </c>
      <c r="F74" s="151">
        <v>72</v>
      </c>
      <c r="G74" s="151">
        <v>2930</v>
      </c>
    </row>
    <row r="75" spans="1:7" x14ac:dyDescent="0.25">
      <c r="A75" s="150" t="s">
        <v>182</v>
      </c>
      <c r="B75" s="151">
        <v>796</v>
      </c>
      <c r="C75" s="151">
        <v>335</v>
      </c>
      <c r="D75" s="151">
        <v>2468</v>
      </c>
      <c r="E75" s="151">
        <v>162</v>
      </c>
      <c r="F75" s="151">
        <v>140</v>
      </c>
      <c r="G75" s="151">
        <v>3901</v>
      </c>
    </row>
    <row r="76" spans="1:7" x14ac:dyDescent="0.25">
      <c r="A76" s="150" t="s">
        <v>183</v>
      </c>
      <c r="B76" s="151">
        <v>293</v>
      </c>
      <c r="C76" s="151">
        <v>100</v>
      </c>
      <c r="D76" s="151">
        <v>1394</v>
      </c>
      <c r="E76" s="151">
        <v>128</v>
      </c>
      <c r="F76" s="151">
        <v>89</v>
      </c>
      <c r="G76" s="151">
        <v>2004</v>
      </c>
    </row>
    <row r="77" spans="1:7" x14ac:dyDescent="0.25">
      <c r="A77" s="150" t="s">
        <v>184</v>
      </c>
      <c r="B77" s="151">
        <v>1179</v>
      </c>
      <c r="C77" s="151">
        <v>323</v>
      </c>
      <c r="D77" s="151">
        <v>3039</v>
      </c>
      <c r="E77" s="151">
        <v>262</v>
      </c>
      <c r="F77" s="151">
        <v>231</v>
      </c>
      <c r="G77" s="151">
        <v>5034</v>
      </c>
    </row>
    <row r="78" spans="1:7" x14ac:dyDescent="0.25">
      <c r="A78" s="150" t="s">
        <v>185</v>
      </c>
      <c r="B78" s="151">
        <v>946</v>
      </c>
      <c r="C78" s="151">
        <v>244</v>
      </c>
      <c r="D78" s="151">
        <v>2931</v>
      </c>
      <c r="E78" s="151">
        <v>262</v>
      </c>
      <c r="F78" s="151">
        <v>138</v>
      </c>
      <c r="G78" s="151">
        <v>4521</v>
      </c>
    </row>
    <row r="79" spans="1:7" x14ac:dyDescent="0.25">
      <c r="A79" s="150" t="s">
        <v>186</v>
      </c>
      <c r="B79" s="151">
        <v>525</v>
      </c>
      <c r="C79" s="151">
        <v>163</v>
      </c>
      <c r="D79" s="151">
        <v>1783</v>
      </c>
      <c r="E79" s="151">
        <v>129</v>
      </c>
      <c r="F79" s="151">
        <v>76</v>
      </c>
      <c r="G79" s="151">
        <v>2676</v>
      </c>
    </row>
    <row r="80" spans="1:7" x14ac:dyDescent="0.25">
      <c r="A80" s="150" t="s">
        <v>187</v>
      </c>
      <c r="B80" s="151">
        <v>1130</v>
      </c>
      <c r="C80" s="151">
        <v>361</v>
      </c>
      <c r="D80" s="151">
        <v>3806</v>
      </c>
      <c r="E80" s="151">
        <v>399</v>
      </c>
      <c r="F80" s="151">
        <v>191</v>
      </c>
      <c r="G80" s="151">
        <v>5887</v>
      </c>
    </row>
    <row r="81" spans="1:7" x14ac:dyDescent="0.25">
      <c r="A81" s="150" t="s">
        <v>188</v>
      </c>
      <c r="B81" s="151">
        <v>792</v>
      </c>
      <c r="C81" s="151">
        <v>167</v>
      </c>
      <c r="D81" s="151">
        <v>2520</v>
      </c>
      <c r="E81" s="151">
        <v>293</v>
      </c>
      <c r="F81" s="151">
        <v>106</v>
      </c>
      <c r="G81" s="151">
        <v>3878</v>
      </c>
    </row>
    <row r="82" spans="1:7" x14ac:dyDescent="0.25">
      <c r="A82" s="150" t="s">
        <v>189</v>
      </c>
      <c r="B82" s="151">
        <v>679</v>
      </c>
      <c r="C82" s="151">
        <v>160</v>
      </c>
      <c r="D82" s="151">
        <v>2197</v>
      </c>
      <c r="E82" s="151">
        <v>238</v>
      </c>
      <c r="F82" s="151">
        <v>116</v>
      </c>
      <c r="G82" s="151">
        <v>3390</v>
      </c>
    </row>
    <row r="83" spans="1:7" x14ac:dyDescent="0.25">
      <c r="A83" s="150" t="s">
        <v>190</v>
      </c>
      <c r="B83" s="151">
        <v>784</v>
      </c>
      <c r="C83" s="151">
        <v>288</v>
      </c>
      <c r="D83" s="151">
        <v>1961</v>
      </c>
      <c r="E83" s="151">
        <v>122</v>
      </c>
      <c r="F83" s="151">
        <v>190</v>
      </c>
      <c r="G83" s="151">
        <v>3345</v>
      </c>
    </row>
    <row r="84" spans="1:7" x14ac:dyDescent="0.25">
      <c r="A84" s="150" t="s">
        <v>191</v>
      </c>
      <c r="B84" s="151">
        <v>139</v>
      </c>
      <c r="C84" s="151">
        <v>54</v>
      </c>
      <c r="D84" s="151">
        <v>412</v>
      </c>
      <c r="E84" s="151">
        <v>29</v>
      </c>
      <c r="F84" s="151">
        <v>34</v>
      </c>
      <c r="G84" s="151">
        <v>668</v>
      </c>
    </row>
    <row r="85" spans="1:7" x14ac:dyDescent="0.25">
      <c r="A85" s="150" t="s">
        <v>192</v>
      </c>
      <c r="B85" s="151">
        <v>45</v>
      </c>
      <c r="C85" s="151">
        <v>3</v>
      </c>
      <c r="D85" s="151">
        <v>87</v>
      </c>
      <c r="E85" s="151">
        <v>4</v>
      </c>
      <c r="F85" s="151">
        <v>2</v>
      </c>
      <c r="G85" s="151">
        <v>141</v>
      </c>
    </row>
    <row r="86" spans="1:7" x14ac:dyDescent="0.25">
      <c r="A86" s="150" t="s">
        <v>193</v>
      </c>
      <c r="B86" s="151">
        <v>2122</v>
      </c>
      <c r="C86" s="151">
        <v>739</v>
      </c>
      <c r="D86" s="151">
        <v>6698</v>
      </c>
      <c r="E86" s="151">
        <v>630</v>
      </c>
      <c r="F86" s="151">
        <v>465</v>
      </c>
      <c r="G86" s="151">
        <v>10654</v>
      </c>
    </row>
    <row r="87" spans="1:7" x14ac:dyDescent="0.25">
      <c r="A87" s="150" t="s">
        <v>194</v>
      </c>
      <c r="B87" s="151">
        <v>465</v>
      </c>
      <c r="C87" s="151">
        <v>144</v>
      </c>
      <c r="D87" s="151">
        <v>1776</v>
      </c>
      <c r="E87" s="151">
        <v>149</v>
      </c>
      <c r="F87" s="151">
        <v>125</v>
      </c>
      <c r="G87" s="151">
        <v>2659</v>
      </c>
    </row>
    <row r="88" spans="1:7" x14ac:dyDescent="0.25">
      <c r="A88" s="150" t="s">
        <v>195</v>
      </c>
      <c r="B88" s="151">
        <v>1716</v>
      </c>
      <c r="C88" s="151">
        <v>540</v>
      </c>
      <c r="D88" s="151">
        <v>4385</v>
      </c>
      <c r="E88" s="151">
        <v>300</v>
      </c>
      <c r="F88" s="151">
        <v>281</v>
      </c>
      <c r="G88" s="151">
        <v>7222</v>
      </c>
    </row>
    <row r="89" spans="1:7" x14ac:dyDescent="0.25">
      <c r="A89" s="150" t="s">
        <v>196</v>
      </c>
      <c r="B89" s="151">
        <v>1607</v>
      </c>
      <c r="C89" s="151">
        <v>569</v>
      </c>
      <c r="D89" s="151">
        <v>5841</v>
      </c>
      <c r="E89" s="151">
        <v>544</v>
      </c>
      <c r="F89" s="151">
        <v>355</v>
      </c>
      <c r="G89" s="151">
        <v>8916</v>
      </c>
    </row>
    <row r="90" spans="1:7" x14ac:dyDescent="0.25">
      <c r="A90" s="150" t="s">
        <v>197</v>
      </c>
      <c r="B90" s="151">
        <v>792</v>
      </c>
      <c r="C90" s="151">
        <v>255</v>
      </c>
      <c r="D90" s="151">
        <v>3218</v>
      </c>
      <c r="E90" s="151">
        <v>289</v>
      </c>
      <c r="F90" s="151">
        <v>190</v>
      </c>
      <c r="G90" s="151">
        <v>4744</v>
      </c>
    </row>
    <row r="91" spans="1:7" x14ac:dyDescent="0.25">
      <c r="A91" s="150" t="s">
        <v>198</v>
      </c>
      <c r="B91" s="151">
        <v>1798</v>
      </c>
      <c r="C91" s="151">
        <v>526</v>
      </c>
      <c r="D91" s="151">
        <v>7944</v>
      </c>
      <c r="E91" s="151">
        <v>818</v>
      </c>
      <c r="F91" s="151">
        <v>471</v>
      </c>
      <c r="G91" s="151">
        <v>11557</v>
      </c>
    </row>
    <row r="92" spans="1:7" x14ac:dyDescent="0.25">
      <c r="A92" s="150" t="s">
        <v>199</v>
      </c>
      <c r="B92" s="151">
        <v>838</v>
      </c>
      <c r="C92" s="151">
        <v>290</v>
      </c>
      <c r="D92" s="151">
        <v>2804</v>
      </c>
      <c r="E92" s="151">
        <v>193</v>
      </c>
      <c r="F92" s="151">
        <v>175</v>
      </c>
      <c r="G92" s="151">
        <v>4300</v>
      </c>
    </row>
    <row r="93" spans="1:7" x14ac:dyDescent="0.25">
      <c r="A93" s="150" t="s">
        <v>200</v>
      </c>
      <c r="B93" s="151">
        <v>701</v>
      </c>
      <c r="C93" s="151">
        <v>252</v>
      </c>
      <c r="D93" s="151">
        <v>2114</v>
      </c>
      <c r="E93" s="151">
        <v>185</v>
      </c>
      <c r="F93" s="151">
        <v>147</v>
      </c>
      <c r="G93" s="151">
        <v>3399</v>
      </c>
    </row>
    <row r="94" spans="1:7" x14ac:dyDescent="0.25">
      <c r="A94" s="150" t="s">
        <v>201</v>
      </c>
      <c r="B94" s="151">
        <v>182</v>
      </c>
      <c r="C94" s="151">
        <v>72</v>
      </c>
      <c r="D94" s="151">
        <v>858</v>
      </c>
      <c r="E94" s="151">
        <v>81</v>
      </c>
      <c r="F94" s="151">
        <v>60</v>
      </c>
      <c r="G94" s="151">
        <v>1253</v>
      </c>
    </row>
    <row r="95" spans="1:7" x14ac:dyDescent="0.25">
      <c r="A95" s="150" t="s">
        <v>202</v>
      </c>
      <c r="B95" s="151">
        <v>239</v>
      </c>
      <c r="C95" s="151">
        <v>75</v>
      </c>
      <c r="D95" s="151">
        <v>650</v>
      </c>
      <c r="E95" s="151">
        <v>61</v>
      </c>
      <c r="F95" s="151">
        <v>43</v>
      </c>
      <c r="G95" s="151">
        <v>1068</v>
      </c>
    </row>
    <row r="96" spans="1:7" x14ac:dyDescent="0.25">
      <c r="A96" s="150" t="s">
        <v>203</v>
      </c>
      <c r="B96" s="151">
        <v>358</v>
      </c>
      <c r="C96" s="151">
        <v>139</v>
      </c>
      <c r="D96" s="151">
        <v>1244</v>
      </c>
      <c r="E96" s="151">
        <v>83</v>
      </c>
      <c r="F96" s="151">
        <v>66</v>
      </c>
      <c r="G96" s="151">
        <v>1890</v>
      </c>
    </row>
    <row r="97" spans="1:7" x14ac:dyDescent="0.25">
      <c r="A97" s="150" t="s">
        <v>204</v>
      </c>
      <c r="B97" s="151">
        <v>793</v>
      </c>
      <c r="C97" s="151">
        <v>172</v>
      </c>
      <c r="D97" s="151">
        <v>2314</v>
      </c>
      <c r="E97" s="151">
        <v>187</v>
      </c>
      <c r="F97" s="151">
        <v>102</v>
      </c>
      <c r="G97" s="151">
        <v>3568</v>
      </c>
    </row>
    <row r="98" spans="1:7" x14ac:dyDescent="0.25">
      <c r="A98" s="150" t="s">
        <v>205</v>
      </c>
      <c r="B98" s="151">
        <v>557</v>
      </c>
      <c r="C98" s="151">
        <v>280</v>
      </c>
      <c r="D98" s="151">
        <v>2196</v>
      </c>
      <c r="E98" s="151">
        <v>148</v>
      </c>
      <c r="F98" s="151">
        <v>147</v>
      </c>
      <c r="G98" s="151">
        <v>3328</v>
      </c>
    </row>
    <row r="99" spans="1:7" x14ac:dyDescent="0.25">
      <c r="A99" s="150" t="s">
        <v>206</v>
      </c>
      <c r="B99" s="151">
        <v>3017</v>
      </c>
      <c r="C99" s="151">
        <v>986</v>
      </c>
      <c r="D99" s="151">
        <v>11383</v>
      </c>
      <c r="E99" s="151">
        <v>1074</v>
      </c>
      <c r="F99" s="151">
        <v>671</v>
      </c>
      <c r="G99" s="151">
        <v>17131</v>
      </c>
    </row>
    <row r="100" spans="1:7" x14ac:dyDescent="0.25">
      <c r="A100" s="150" t="s">
        <v>207</v>
      </c>
      <c r="B100" s="151">
        <v>5180</v>
      </c>
      <c r="C100" s="151">
        <v>1571</v>
      </c>
      <c r="D100" s="151">
        <v>18076</v>
      </c>
      <c r="E100" s="151">
        <v>1991</v>
      </c>
      <c r="F100" s="151">
        <v>971</v>
      </c>
      <c r="G100" s="151">
        <v>27789</v>
      </c>
    </row>
    <row r="101" spans="1:7" x14ac:dyDescent="0.25">
      <c r="A101" s="150" t="s">
        <v>208</v>
      </c>
      <c r="B101" s="151">
        <v>1128</v>
      </c>
      <c r="C101" s="151">
        <v>390</v>
      </c>
      <c r="D101" s="151">
        <v>3537</v>
      </c>
      <c r="E101" s="151">
        <v>394</v>
      </c>
      <c r="F101" s="151">
        <v>216</v>
      </c>
      <c r="G101" s="151">
        <v>5665</v>
      </c>
    </row>
    <row r="102" spans="1:7" x14ac:dyDescent="0.25">
      <c r="A102" s="150" t="s">
        <v>209</v>
      </c>
      <c r="B102" s="151">
        <v>214</v>
      </c>
      <c r="C102" s="151">
        <v>74</v>
      </c>
      <c r="D102" s="151">
        <v>1028</v>
      </c>
      <c r="E102" s="151">
        <v>73</v>
      </c>
      <c r="F102" s="151">
        <v>74</v>
      </c>
      <c r="G102" s="151">
        <v>1463</v>
      </c>
    </row>
    <row r="103" spans="1:7" x14ac:dyDescent="0.25">
      <c r="A103" s="150" t="s">
        <v>210</v>
      </c>
      <c r="B103" s="151">
        <v>3383</v>
      </c>
      <c r="C103" s="151">
        <v>1314</v>
      </c>
      <c r="D103" s="151">
        <v>11545</v>
      </c>
      <c r="E103" s="151">
        <v>965</v>
      </c>
      <c r="F103" s="151">
        <v>877</v>
      </c>
      <c r="G103" s="151">
        <v>18084</v>
      </c>
    </row>
    <row r="104" spans="1:7" x14ac:dyDescent="0.25">
      <c r="A104" s="150" t="s">
        <v>211</v>
      </c>
      <c r="B104" s="151">
        <v>460</v>
      </c>
      <c r="C104" s="151">
        <v>148</v>
      </c>
      <c r="D104" s="151">
        <v>2016</v>
      </c>
      <c r="E104" s="151">
        <v>156</v>
      </c>
      <c r="F104" s="151">
        <v>117</v>
      </c>
      <c r="G104" s="151">
        <v>2897</v>
      </c>
    </row>
    <row r="105" spans="1:7" x14ac:dyDescent="0.25">
      <c r="A105" s="150" t="s">
        <v>212</v>
      </c>
      <c r="B105" s="151">
        <v>1829</v>
      </c>
      <c r="C105" s="151">
        <v>681</v>
      </c>
      <c r="D105" s="151">
        <v>9279</v>
      </c>
      <c r="E105" s="151">
        <v>985</v>
      </c>
      <c r="F105" s="151">
        <v>644</v>
      </c>
      <c r="G105" s="151">
        <v>13418</v>
      </c>
    </row>
    <row r="106" spans="1:7" x14ac:dyDescent="0.25">
      <c r="A106" s="150" t="s">
        <v>213</v>
      </c>
      <c r="B106" s="151">
        <v>352</v>
      </c>
      <c r="C106" s="151">
        <v>133</v>
      </c>
      <c r="D106" s="151">
        <v>1870</v>
      </c>
      <c r="E106" s="151">
        <v>156</v>
      </c>
      <c r="F106" s="151">
        <v>92</v>
      </c>
      <c r="G106" s="151">
        <v>2603</v>
      </c>
    </row>
    <row r="107" spans="1:7" x14ac:dyDescent="0.25">
      <c r="A107" s="150" t="s">
        <v>214</v>
      </c>
      <c r="B107" s="151">
        <v>376</v>
      </c>
      <c r="C107" s="151">
        <v>62</v>
      </c>
      <c r="D107" s="151">
        <v>1124</v>
      </c>
      <c r="E107" s="151">
        <v>82</v>
      </c>
      <c r="F107" s="151">
        <v>51</v>
      </c>
      <c r="G107" s="151">
        <v>1695</v>
      </c>
    </row>
    <row r="108" spans="1:7" x14ac:dyDescent="0.25">
      <c r="A108" s="150" t="s">
        <v>215</v>
      </c>
      <c r="B108" s="151">
        <v>10584</v>
      </c>
      <c r="C108" s="151">
        <v>4302</v>
      </c>
      <c r="D108" s="151">
        <v>36006</v>
      </c>
      <c r="E108" s="151">
        <v>3753</v>
      </c>
      <c r="F108" s="151">
        <v>2550</v>
      </c>
      <c r="G108" s="151">
        <v>57195</v>
      </c>
    </row>
    <row r="109" spans="1:7" x14ac:dyDescent="0.25">
      <c r="A109" s="150" t="s">
        <v>216</v>
      </c>
      <c r="B109" s="151">
        <v>3449</v>
      </c>
      <c r="C109" s="151">
        <v>1297</v>
      </c>
      <c r="D109" s="151">
        <v>12627</v>
      </c>
      <c r="E109" s="151">
        <v>1314</v>
      </c>
      <c r="F109" s="151">
        <v>771</v>
      </c>
      <c r="G109" s="151">
        <v>19458</v>
      </c>
    </row>
    <row r="110" spans="1:7" x14ac:dyDescent="0.25">
      <c r="A110" s="170" t="s">
        <v>504</v>
      </c>
      <c r="B110" s="196">
        <v>9670</v>
      </c>
      <c r="C110" s="196">
        <v>3034</v>
      </c>
      <c r="D110" s="196">
        <v>37684</v>
      </c>
      <c r="E110" s="196">
        <v>4154</v>
      </c>
      <c r="F110" s="196">
        <v>1968</v>
      </c>
      <c r="G110" s="196">
        <v>56510</v>
      </c>
    </row>
    <row r="111" spans="1:7" x14ac:dyDescent="0.25">
      <c r="A111" s="173" t="s">
        <v>217</v>
      </c>
      <c r="B111" s="188">
        <v>278</v>
      </c>
      <c r="C111" s="188">
        <v>80</v>
      </c>
      <c r="D111" s="188">
        <v>841</v>
      </c>
      <c r="E111" s="188">
        <v>48</v>
      </c>
      <c r="F111" s="188">
        <v>37</v>
      </c>
      <c r="G111" s="188">
        <v>1284</v>
      </c>
    </row>
    <row r="112" spans="1:7" x14ac:dyDescent="0.25">
      <c r="A112" s="198" t="s">
        <v>35</v>
      </c>
      <c r="B112" s="199">
        <v>60056</v>
      </c>
      <c r="C112" s="199">
        <v>20443</v>
      </c>
      <c r="D112" s="199">
        <v>213573</v>
      </c>
      <c r="E112" s="199">
        <v>21002</v>
      </c>
      <c r="F112" s="199">
        <v>13051</v>
      </c>
      <c r="G112" s="199">
        <v>328125</v>
      </c>
    </row>
    <row r="113" spans="1:7" x14ac:dyDescent="0.25">
      <c r="A113" s="172"/>
      <c r="B113" s="172"/>
      <c r="C113" s="172"/>
      <c r="D113" s="172"/>
      <c r="E113" s="172"/>
      <c r="F113" s="172"/>
      <c r="G113" s="172"/>
    </row>
    <row r="114" spans="1:7" x14ac:dyDescent="0.25">
      <c r="A114" s="172"/>
      <c r="B114" s="172"/>
      <c r="C114" s="172"/>
      <c r="D114" s="172"/>
      <c r="E114" s="172"/>
      <c r="F114" s="172"/>
      <c r="G114" s="172"/>
    </row>
    <row r="115" spans="1:7" x14ac:dyDescent="0.25">
      <c r="A115" s="172"/>
      <c r="B115" s="172"/>
      <c r="C115" s="172"/>
      <c r="D115" s="172"/>
    </row>
    <row r="116" spans="1:7" x14ac:dyDescent="0.25">
      <c r="A116" s="201" t="s">
        <v>522</v>
      </c>
    </row>
    <row r="117" spans="1:7" x14ac:dyDescent="0.25">
      <c r="A117" s="172"/>
      <c r="B117" s="479" t="s">
        <v>499</v>
      </c>
      <c r="C117" s="479"/>
      <c r="D117" s="479"/>
      <c r="E117" s="479"/>
      <c r="F117" s="479"/>
      <c r="G117" s="105"/>
    </row>
    <row r="118" spans="1:7" x14ac:dyDescent="0.25">
      <c r="A118" s="174" t="s">
        <v>544</v>
      </c>
      <c r="B118" s="175" t="s">
        <v>138</v>
      </c>
      <c r="C118" s="175" t="s">
        <v>139</v>
      </c>
      <c r="D118" s="175" t="s">
        <v>140</v>
      </c>
      <c r="E118" s="175" t="s">
        <v>19</v>
      </c>
      <c r="F118" s="175" t="s">
        <v>141</v>
      </c>
      <c r="G118" s="175" t="s">
        <v>35</v>
      </c>
    </row>
    <row r="119" spans="1:7" x14ac:dyDescent="0.25">
      <c r="A119" s="171" t="s">
        <v>218</v>
      </c>
      <c r="B119" s="197">
        <v>681</v>
      </c>
      <c r="C119" s="197">
        <v>219</v>
      </c>
      <c r="D119" s="197">
        <v>2046</v>
      </c>
      <c r="E119" s="197">
        <v>143</v>
      </c>
      <c r="F119" s="197">
        <v>147</v>
      </c>
      <c r="G119" s="197">
        <v>3236</v>
      </c>
    </row>
    <row r="120" spans="1:7" x14ac:dyDescent="0.25">
      <c r="A120" s="150" t="s">
        <v>219</v>
      </c>
      <c r="B120" s="151">
        <v>1234</v>
      </c>
      <c r="C120" s="151">
        <v>471</v>
      </c>
      <c r="D120" s="151">
        <v>4126</v>
      </c>
      <c r="E120" s="151">
        <v>257</v>
      </c>
      <c r="F120" s="151">
        <v>281</v>
      </c>
      <c r="G120" s="151">
        <v>6369</v>
      </c>
    </row>
    <row r="121" spans="1:7" x14ac:dyDescent="0.25">
      <c r="A121" s="150" t="s">
        <v>220</v>
      </c>
      <c r="B121" s="151">
        <v>321</v>
      </c>
      <c r="C121" s="151">
        <v>141</v>
      </c>
      <c r="D121" s="151">
        <v>1407</v>
      </c>
      <c r="E121" s="151">
        <v>122</v>
      </c>
      <c r="F121" s="151">
        <v>120</v>
      </c>
      <c r="G121" s="151">
        <v>2111</v>
      </c>
    </row>
    <row r="122" spans="1:7" x14ac:dyDescent="0.25">
      <c r="A122" s="150" t="s">
        <v>221</v>
      </c>
      <c r="B122" s="151">
        <v>329</v>
      </c>
      <c r="C122" s="151">
        <v>126</v>
      </c>
      <c r="D122" s="151">
        <v>865</v>
      </c>
      <c r="E122" s="151">
        <v>77</v>
      </c>
      <c r="F122" s="151">
        <v>68</v>
      </c>
      <c r="G122" s="151">
        <v>1465</v>
      </c>
    </row>
    <row r="123" spans="1:7" x14ac:dyDescent="0.25">
      <c r="A123" s="150" t="s">
        <v>222</v>
      </c>
      <c r="B123" s="151">
        <v>636</v>
      </c>
      <c r="C123" s="151">
        <v>223</v>
      </c>
      <c r="D123" s="151">
        <v>2365</v>
      </c>
      <c r="E123" s="151">
        <v>188</v>
      </c>
      <c r="F123" s="151">
        <v>164</v>
      </c>
      <c r="G123" s="151">
        <v>3576</v>
      </c>
    </row>
    <row r="124" spans="1:7" x14ac:dyDescent="0.25">
      <c r="A124" s="150" t="s">
        <v>505</v>
      </c>
      <c r="B124" s="151">
        <v>603</v>
      </c>
      <c r="C124" s="151">
        <v>203</v>
      </c>
      <c r="D124" s="151">
        <v>2250</v>
      </c>
      <c r="E124" s="151">
        <v>224</v>
      </c>
      <c r="F124" s="151">
        <v>148</v>
      </c>
      <c r="G124" s="151">
        <v>3428</v>
      </c>
    </row>
    <row r="125" spans="1:7" x14ac:dyDescent="0.25">
      <c r="A125" s="150" t="s">
        <v>223</v>
      </c>
      <c r="B125" s="151">
        <v>791</v>
      </c>
      <c r="C125" s="151">
        <v>292</v>
      </c>
      <c r="D125" s="151">
        <v>3196</v>
      </c>
      <c r="E125" s="151">
        <v>317</v>
      </c>
      <c r="F125" s="151">
        <v>239</v>
      </c>
      <c r="G125" s="151">
        <v>4835</v>
      </c>
    </row>
    <row r="126" spans="1:7" x14ac:dyDescent="0.25">
      <c r="A126" s="150" t="s">
        <v>224</v>
      </c>
      <c r="B126" s="151">
        <v>170</v>
      </c>
      <c r="C126" s="151">
        <v>46</v>
      </c>
      <c r="D126" s="151">
        <v>503</v>
      </c>
      <c r="E126" s="151">
        <v>34</v>
      </c>
      <c r="F126" s="151">
        <v>18</v>
      </c>
      <c r="G126" s="151">
        <v>771</v>
      </c>
    </row>
    <row r="127" spans="1:7" x14ac:dyDescent="0.25">
      <c r="A127" s="150" t="s">
        <v>225</v>
      </c>
      <c r="B127" s="151">
        <v>985</v>
      </c>
      <c r="C127" s="151">
        <v>289</v>
      </c>
      <c r="D127" s="151">
        <v>2933</v>
      </c>
      <c r="E127" s="151">
        <v>246</v>
      </c>
      <c r="F127" s="151">
        <v>160</v>
      </c>
      <c r="G127" s="151">
        <v>4613</v>
      </c>
    </row>
    <row r="128" spans="1:7" x14ac:dyDescent="0.25">
      <c r="A128" s="150" t="s">
        <v>226</v>
      </c>
      <c r="B128" s="151">
        <v>289</v>
      </c>
      <c r="C128" s="151">
        <v>77</v>
      </c>
      <c r="D128" s="151">
        <v>783</v>
      </c>
      <c r="E128" s="151">
        <v>59</v>
      </c>
      <c r="F128" s="151">
        <v>35</v>
      </c>
      <c r="G128" s="151">
        <v>1243</v>
      </c>
    </row>
    <row r="129" spans="1:7" x14ac:dyDescent="0.25">
      <c r="A129" s="150" t="s">
        <v>227</v>
      </c>
      <c r="B129" s="151">
        <v>354</v>
      </c>
      <c r="C129" s="151">
        <v>115</v>
      </c>
      <c r="D129" s="151">
        <v>1017</v>
      </c>
      <c r="E129" s="151">
        <v>64</v>
      </c>
      <c r="F129" s="151">
        <v>54</v>
      </c>
      <c r="G129" s="151">
        <v>1604</v>
      </c>
    </row>
    <row r="130" spans="1:7" x14ac:dyDescent="0.25">
      <c r="A130" s="150" t="s">
        <v>228</v>
      </c>
      <c r="B130" s="151">
        <v>942</v>
      </c>
      <c r="C130" s="151">
        <v>305</v>
      </c>
      <c r="D130" s="151">
        <v>3406</v>
      </c>
      <c r="E130" s="151">
        <v>324</v>
      </c>
      <c r="F130" s="151">
        <v>242</v>
      </c>
      <c r="G130" s="151">
        <v>5219</v>
      </c>
    </row>
    <row r="131" spans="1:7" x14ac:dyDescent="0.25">
      <c r="A131" s="150" t="s">
        <v>229</v>
      </c>
      <c r="B131" s="151">
        <v>562</v>
      </c>
      <c r="C131" s="151">
        <v>204</v>
      </c>
      <c r="D131" s="151">
        <v>1640</v>
      </c>
      <c r="E131" s="151">
        <v>108</v>
      </c>
      <c r="F131" s="151">
        <v>123</v>
      </c>
      <c r="G131" s="151">
        <v>2637</v>
      </c>
    </row>
    <row r="132" spans="1:7" x14ac:dyDescent="0.25">
      <c r="A132" s="150" t="s">
        <v>230</v>
      </c>
      <c r="B132" s="151">
        <v>317</v>
      </c>
      <c r="C132" s="151">
        <v>89</v>
      </c>
      <c r="D132" s="151">
        <v>1104</v>
      </c>
      <c r="E132" s="151">
        <v>77</v>
      </c>
      <c r="F132" s="151">
        <v>37</v>
      </c>
      <c r="G132" s="151">
        <v>1624</v>
      </c>
    </row>
    <row r="133" spans="1:7" x14ac:dyDescent="0.25">
      <c r="A133" s="150" t="s">
        <v>231</v>
      </c>
      <c r="B133" s="151">
        <v>688</v>
      </c>
      <c r="C133" s="151">
        <v>307</v>
      </c>
      <c r="D133" s="151">
        <v>2814</v>
      </c>
      <c r="E133" s="151">
        <v>235</v>
      </c>
      <c r="F133" s="151">
        <v>209</v>
      </c>
      <c r="G133" s="151">
        <v>4253</v>
      </c>
    </row>
    <row r="134" spans="1:7" x14ac:dyDescent="0.25">
      <c r="A134" s="150" t="s">
        <v>232</v>
      </c>
      <c r="B134" s="151">
        <v>466</v>
      </c>
      <c r="C134" s="151">
        <v>199</v>
      </c>
      <c r="D134" s="151">
        <v>2136</v>
      </c>
      <c r="E134" s="151">
        <v>180</v>
      </c>
      <c r="F134" s="151">
        <v>173</v>
      </c>
      <c r="G134" s="151">
        <v>3154</v>
      </c>
    </row>
    <row r="135" spans="1:7" x14ac:dyDescent="0.25">
      <c r="A135" s="150" t="s">
        <v>233</v>
      </c>
      <c r="B135" s="151">
        <v>445</v>
      </c>
      <c r="C135" s="151">
        <v>104</v>
      </c>
      <c r="D135" s="151">
        <v>811</v>
      </c>
      <c r="E135" s="151">
        <v>42</v>
      </c>
      <c r="F135" s="151">
        <v>42</v>
      </c>
      <c r="G135" s="151">
        <v>1444</v>
      </c>
    </row>
    <row r="136" spans="1:7" x14ac:dyDescent="0.25">
      <c r="A136" s="150" t="s">
        <v>234</v>
      </c>
      <c r="B136" s="151">
        <v>332</v>
      </c>
      <c r="C136" s="151">
        <v>113</v>
      </c>
      <c r="D136" s="151">
        <v>1409</v>
      </c>
      <c r="E136" s="151">
        <v>101</v>
      </c>
      <c r="F136" s="151">
        <v>87</v>
      </c>
      <c r="G136" s="151">
        <v>2042</v>
      </c>
    </row>
    <row r="137" spans="1:7" x14ac:dyDescent="0.25">
      <c r="A137" s="150" t="s">
        <v>235</v>
      </c>
      <c r="B137" s="151">
        <v>468</v>
      </c>
      <c r="C137" s="151">
        <v>137</v>
      </c>
      <c r="D137" s="151">
        <v>1542</v>
      </c>
      <c r="E137" s="151">
        <v>89</v>
      </c>
      <c r="F137" s="151">
        <v>128</v>
      </c>
      <c r="G137" s="151">
        <v>2364</v>
      </c>
    </row>
    <row r="138" spans="1:7" x14ac:dyDescent="0.25">
      <c r="A138" s="150" t="s">
        <v>236</v>
      </c>
      <c r="B138" s="151">
        <v>335</v>
      </c>
      <c r="C138" s="151">
        <v>111</v>
      </c>
      <c r="D138" s="151">
        <v>903</v>
      </c>
      <c r="E138" s="151">
        <v>55</v>
      </c>
      <c r="F138" s="151">
        <v>59</v>
      </c>
      <c r="G138" s="151">
        <v>1463</v>
      </c>
    </row>
    <row r="139" spans="1:7" x14ac:dyDescent="0.25">
      <c r="A139" s="150" t="s">
        <v>237</v>
      </c>
      <c r="B139" s="151">
        <v>412</v>
      </c>
      <c r="C139" s="151">
        <v>140</v>
      </c>
      <c r="D139" s="151">
        <v>1500</v>
      </c>
      <c r="E139" s="151">
        <v>105</v>
      </c>
      <c r="F139" s="151">
        <v>66</v>
      </c>
      <c r="G139" s="151">
        <v>2223</v>
      </c>
    </row>
    <row r="140" spans="1:7" x14ac:dyDescent="0.25">
      <c r="A140" s="150" t="s">
        <v>238</v>
      </c>
      <c r="B140" s="151">
        <v>539</v>
      </c>
      <c r="C140" s="151">
        <v>165</v>
      </c>
      <c r="D140" s="151">
        <v>1910</v>
      </c>
      <c r="E140" s="151">
        <v>181</v>
      </c>
      <c r="F140" s="151">
        <v>99</v>
      </c>
      <c r="G140" s="151">
        <v>2894</v>
      </c>
    </row>
    <row r="141" spans="1:7" x14ac:dyDescent="0.25">
      <c r="A141" s="150" t="s">
        <v>239</v>
      </c>
      <c r="B141" s="151">
        <v>856</v>
      </c>
      <c r="C141" s="151">
        <v>262</v>
      </c>
      <c r="D141" s="151">
        <v>2493</v>
      </c>
      <c r="E141" s="151">
        <v>196</v>
      </c>
      <c r="F141" s="151">
        <v>162</v>
      </c>
      <c r="G141" s="151">
        <v>3969</v>
      </c>
    </row>
    <row r="142" spans="1:7" x14ac:dyDescent="0.25">
      <c r="A142" s="150" t="s">
        <v>240</v>
      </c>
      <c r="B142" s="151">
        <v>615</v>
      </c>
      <c r="C142" s="151">
        <v>192</v>
      </c>
      <c r="D142" s="151">
        <v>2071</v>
      </c>
      <c r="E142" s="151">
        <v>211</v>
      </c>
      <c r="F142" s="151">
        <v>144</v>
      </c>
      <c r="G142" s="151">
        <v>3233</v>
      </c>
    </row>
    <row r="143" spans="1:7" x14ac:dyDescent="0.25">
      <c r="A143" s="150" t="s">
        <v>241</v>
      </c>
      <c r="B143" s="151">
        <v>262</v>
      </c>
      <c r="C143" s="151">
        <v>105</v>
      </c>
      <c r="D143" s="151">
        <v>1105</v>
      </c>
      <c r="E143" s="151">
        <v>65</v>
      </c>
      <c r="F143" s="151">
        <v>82</v>
      </c>
      <c r="G143" s="151">
        <v>1619</v>
      </c>
    </row>
    <row r="144" spans="1:7" x14ac:dyDescent="0.25">
      <c r="A144" s="150" t="s">
        <v>242</v>
      </c>
      <c r="B144" s="151">
        <v>207</v>
      </c>
      <c r="C144" s="151">
        <v>47</v>
      </c>
      <c r="D144" s="151">
        <v>587</v>
      </c>
      <c r="E144" s="151">
        <v>37</v>
      </c>
      <c r="F144" s="151">
        <v>31</v>
      </c>
      <c r="G144" s="151">
        <v>909</v>
      </c>
    </row>
    <row r="145" spans="1:7" x14ac:dyDescent="0.25">
      <c r="A145" s="150" t="s">
        <v>243</v>
      </c>
      <c r="B145" s="151">
        <v>522</v>
      </c>
      <c r="C145" s="151">
        <v>193</v>
      </c>
      <c r="D145" s="151">
        <v>1548</v>
      </c>
      <c r="E145" s="151">
        <v>115</v>
      </c>
      <c r="F145" s="151">
        <v>113</v>
      </c>
      <c r="G145" s="151">
        <v>2491</v>
      </c>
    </row>
    <row r="146" spans="1:7" x14ac:dyDescent="0.25">
      <c r="A146" s="150" t="s">
        <v>244</v>
      </c>
      <c r="B146" s="151">
        <v>6341</v>
      </c>
      <c r="C146" s="151">
        <v>2492</v>
      </c>
      <c r="D146" s="151">
        <v>24754</v>
      </c>
      <c r="E146" s="151">
        <v>2313</v>
      </c>
      <c r="F146" s="151">
        <v>2192</v>
      </c>
      <c r="G146" s="151">
        <v>38092</v>
      </c>
    </row>
    <row r="147" spans="1:7" x14ac:dyDescent="0.25">
      <c r="A147" s="150" t="s">
        <v>245</v>
      </c>
      <c r="B147" s="151">
        <v>1703</v>
      </c>
      <c r="C147" s="151">
        <v>695</v>
      </c>
      <c r="D147" s="151">
        <v>6855</v>
      </c>
      <c r="E147" s="151">
        <v>605</v>
      </c>
      <c r="F147" s="151">
        <v>522</v>
      </c>
      <c r="G147" s="151">
        <v>10380</v>
      </c>
    </row>
    <row r="148" spans="1:7" x14ac:dyDescent="0.25">
      <c r="A148" s="150" t="s">
        <v>246</v>
      </c>
      <c r="B148" s="151">
        <v>548</v>
      </c>
      <c r="C148" s="151">
        <v>241</v>
      </c>
      <c r="D148" s="151">
        <v>2627</v>
      </c>
      <c r="E148" s="151">
        <v>244</v>
      </c>
      <c r="F148" s="151">
        <v>185</v>
      </c>
      <c r="G148" s="151">
        <v>3845</v>
      </c>
    </row>
    <row r="149" spans="1:7" x14ac:dyDescent="0.25">
      <c r="A149" s="150" t="s">
        <v>247</v>
      </c>
      <c r="B149" s="151">
        <v>2090</v>
      </c>
      <c r="C149" s="151">
        <v>721</v>
      </c>
      <c r="D149" s="151">
        <v>8711</v>
      </c>
      <c r="E149" s="151">
        <v>779</v>
      </c>
      <c r="F149" s="151">
        <v>643</v>
      </c>
      <c r="G149" s="151">
        <v>12944</v>
      </c>
    </row>
    <row r="150" spans="1:7" x14ac:dyDescent="0.25">
      <c r="A150" s="150" t="s">
        <v>248</v>
      </c>
      <c r="B150" s="151">
        <v>1932</v>
      </c>
      <c r="C150" s="151">
        <v>582</v>
      </c>
      <c r="D150" s="151">
        <v>6409</v>
      </c>
      <c r="E150" s="151">
        <v>470</v>
      </c>
      <c r="F150" s="151">
        <v>385</v>
      </c>
      <c r="G150" s="151">
        <v>9778</v>
      </c>
    </row>
    <row r="151" spans="1:7" x14ac:dyDescent="0.25">
      <c r="A151" s="170" t="s">
        <v>249</v>
      </c>
      <c r="B151" s="196">
        <v>1335</v>
      </c>
      <c r="C151" s="196">
        <v>457</v>
      </c>
      <c r="D151" s="196">
        <v>4992</v>
      </c>
      <c r="E151" s="196">
        <v>388</v>
      </c>
      <c r="F151" s="196">
        <v>393</v>
      </c>
      <c r="G151" s="196">
        <v>7565</v>
      </c>
    </row>
    <row r="152" spans="1:7" x14ac:dyDescent="0.25">
      <c r="A152" s="198" t="s">
        <v>35</v>
      </c>
      <c r="B152" s="199">
        <v>28310</v>
      </c>
      <c r="C152" s="199">
        <v>10063</v>
      </c>
      <c r="D152" s="199">
        <v>102818</v>
      </c>
      <c r="E152" s="199">
        <v>8651</v>
      </c>
      <c r="F152" s="199">
        <v>7551</v>
      </c>
      <c r="G152" s="199">
        <v>157393</v>
      </c>
    </row>
    <row r="153" spans="1:7" x14ac:dyDescent="0.25">
      <c r="A153" s="172"/>
      <c r="B153" s="177"/>
      <c r="C153" s="177"/>
      <c r="D153" s="177"/>
      <c r="E153" s="177"/>
      <c r="F153" s="177"/>
      <c r="G153" s="177"/>
    </row>
    <row r="154" spans="1:7" x14ac:dyDescent="0.25">
      <c r="A154" s="172"/>
      <c r="B154" s="177"/>
      <c r="C154" s="177"/>
      <c r="D154" s="177"/>
      <c r="E154" s="177"/>
      <c r="F154" s="177"/>
      <c r="G154" s="177"/>
    </row>
    <row r="155" spans="1:7" x14ac:dyDescent="0.25">
      <c r="A155" s="172"/>
      <c r="B155" s="172"/>
      <c r="C155" s="172"/>
      <c r="D155" s="172"/>
    </row>
    <row r="156" spans="1:7" x14ac:dyDescent="0.25">
      <c r="A156" s="205" t="s">
        <v>523</v>
      </c>
    </row>
    <row r="157" spans="1:7" x14ac:dyDescent="0.25">
      <c r="A157" s="172"/>
      <c r="B157" s="479" t="s">
        <v>499</v>
      </c>
      <c r="C157" s="479"/>
      <c r="D157" s="479"/>
      <c r="E157" s="479"/>
      <c r="F157" s="479"/>
      <c r="G157" s="105"/>
    </row>
    <row r="158" spans="1:7" x14ac:dyDescent="0.25">
      <c r="A158" s="174" t="s">
        <v>544</v>
      </c>
      <c r="B158" s="203" t="s">
        <v>138</v>
      </c>
      <c r="C158" s="203" t="s">
        <v>139</v>
      </c>
      <c r="D158" s="203" t="s">
        <v>140</v>
      </c>
      <c r="E158" s="203" t="s">
        <v>19</v>
      </c>
      <c r="F158" s="203" t="s">
        <v>141</v>
      </c>
      <c r="G158" s="175" t="s">
        <v>35</v>
      </c>
    </row>
    <row r="159" spans="1:7" x14ac:dyDescent="0.25">
      <c r="A159" s="171" t="s">
        <v>250</v>
      </c>
      <c r="B159" s="151">
        <v>2259</v>
      </c>
      <c r="C159" s="151">
        <v>694</v>
      </c>
      <c r="D159" s="151">
        <v>6207</v>
      </c>
      <c r="E159" s="151">
        <v>443</v>
      </c>
      <c r="F159" s="151">
        <v>379</v>
      </c>
      <c r="G159" s="151">
        <v>9982</v>
      </c>
    </row>
    <row r="160" spans="1:7" x14ac:dyDescent="0.25">
      <c r="A160" s="150" t="s">
        <v>251</v>
      </c>
      <c r="B160" s="151">
        <v>516</v>
      </c>
      <c r="C160" s="151">
        <v>194</v>
      </c>
      <c r="D160" s="151">
        <v>1037</v>
      </c>
      <c r="E160" s="151">
        <v>57</v>
      </c>
      <c r="F160" s="151">
        <v>88</v>
      </c>
      <c r="G160" s="151">
        <v>1892</v>
      </c>
    </row>
    <row r="161" spans="1:7" x14ac:dyDescent="0.25">
      <c r="A161" s="150" t="s">
        <v>252</v>
      </c>
      <c r="B161" s="151">
        <v>791</v>
      </c>
      <c r="C161" s="151">
        <v>314</v>
      </c>
      <c r="D161" s="151">
        <v>2396</v>
      </c>
      <c r="E161" s="151">
        <v>120</v>
      </c>
      <c r="F161" s="151">
        <v>152</v>
      </c>
      <c r="G161" s="151">
        <v>3773</v>
      </c>
    </row>
    <row r="162" spans="1:7" x14ac:dyDescent="0.25">
      <c r="A162" s="150" t="s">
        <v>253</v>
      </c>
      <c r="B162" s="151">
        <v>1690</v>
      </c>
      <c r="C162" s="151">
        <v>775</v>
      </c>
      <c r="D162" s="151">
        <v>4827</v>
      </c>
      <c r="E162" s="151">
        <v>366</v>
      </c>
      <c r="F162" s="151">
        <v>349</v>
      </c>
      <c r="G162" s="151">
        <v>8007</v>
      </c>
    </row>
    <row r="163" spans="1:7" x14ac:dyDescent="0.25">
      <c r="A163" s="150" t="s">
        <v>254</v>
      </c>
      <c r="B163" s="151">
        <v>735</v>
      </c>
      <c r="C163" s="151">
        <v>240</v>
      </c>
      <c r="D163" s="151">
        <v>1392</v>
      </c>
      <c r="E163" s="151">
        <v>84</v>
      </c>
      <c r="F163" s="151">
        <v>100</v>
      </c>
      <c r="G163" s="151">
        <v>2551</v>
      </c>
    </row>
    <row r="164" spans="1:7" x14ac:dyDescent="0.25">
      <c r="A164" s="150" t="s">
        <v>255</v>
      </c>
      <c r="B164" s="151">
        <v>4134</v>
      </c>
      <c r="C164" s="151">
        <v>1331</v>
      </c>
      <c r="D164" s="151">
        <v>16771</v>
      </c>
      <c r="E164" s="151">
        <v>1615</v>
      </c>
      <c r="F164" s="151">
        <v>1180</v>
      </c>
      <c r="G164" s="151">
        <v>25031</v>
      </c>
    </row>
    <row r="165" spans="1:7" x14ac:dyDescent="0.25">
      <c r="A165" s="150" t="s">
        <v>256</v>
      </c>
      <c r="B165" s="151">
        <v>215</v>
      </c>
      <c r="C165" s="151">
        <v>92</v>
      </c>
      <c r="D165" s="151">
        <v>351</v>
      </c>
      <c r="E165" s="151">
        <v>15</v>
      </c>
      <c r="F165" s="151">
        <v>33</v>
      </c>
      <c r="G165" s="151">
        <v>706</v>
      </c>
    </row>
    <row r="166" spans="1:7" x14ac:dyDescent="0.25">
      <c r="A166" s="150" t="s">
        <v>506</v>
      </c>
      <c r="B166" s="151">
        <v>586</v>
      </c>
      <c r="C166" s="151">
        <v>161</v>
      </c>
      <c r="D166" s="151">
        <v>1423</v>
      </c>
      <c r="E166" s="151">
        <v>94</v>
      </c>
      <c r="F166" s="151">
        <v>89</v>
      </c>
      <c r="G166" s="151">
        <v>2353</v>
      </c>
    </row>
    <row r="167" spans="1:7" x14ac:dyDescent="0.25">
      <c r="A167" s="150" t="s">
        <v>257</v>
      </c>
      <c r="B167" s="151">
        <v>332</v>
      </c>
      <c r="C167" s="151">
        <v>113</v>
      </c>
      <c r="D167" s="151">
        <v>831</v>
      </c>
      <c r="E167" s="151">
        <v>40</v>
      </c>
      <c r="F167" s="151">
        <v>62</v>
      </c>
      <c r="G167" s="151">
        <v>1378</v>
      </c>
    </row>
    <row r="168" spans="1:7" x14ac:dyDescent="0.25">
      <c r="A168" s="150" t="s">
        <v>258</v>
      </c>
      <c r="B168" s="151">
        <v>3626</v>
      </c>
      <c r="C168" s="151">
        <v>1053</v>
      </c>
      <c r="D168" s="151">
        <v>10943</v>
      </c>
      <c r="E168" s="151">
        <v>954</v>
      </c>
      <c r="F168" s="151">
        <v>684</v>
      </c>
      <c r="G168" s="151">
        <v>17260</v>
      </c>
    </row>
    <row r="169" spans="1:7" x14ac:dyDescent="0.25">
      <c r="A169" s="150" t="s">
        <v>259</v>
      </c>
      <c r="B169" s="151">
        <v>1507</v>
      </c>
      <c r="C169" s="151">
        <v>507</v>
      </c>
      <c r="D169" s="151">
        <v>3425</v>
      </c>
      <c r="E169" s="151">
        <v>134</v>
      </c>
      <c r="F169" s="151">
        <v>245</v>
      </c>
      <c r="G169" s="151">
        <v>5818</v>
      </c>
    </row>
    <row r="170" spans="1:7" x14ac:dyDescent="0.25">
      <c r="A170" s="150" t="s">
        <v>260</v>
      </c>
      <c r="B170" s="151">
        <v>1082</v>
      </c>
      <c r="C170" s="151">
        <v>559</v>
      </c>
      <c r="D170" s="151">
        <v>2903</v>
      </c>
      <c r="E170" s="151">
        <v>264</v>
      </c>
      <c r="F170" s="151">
        <v>307</v>
      </c>
      <c r="G170" s="151">
        <v>5115</v>
      </c>
    </row>
    <row r="171" spans="1:7" x14ac:dyDescent="0.25">
      <c r="A171" s="150" t="s">
        <v>261</v>
      </c>
      <c r="B171" s="151">
        <v>1311</v>
      </c>
      <c r="C171" s="151">
        <v>449</v>
      </c>
      <c r="D171" s="151">
        <v>5427</v>
      </c>
      <c r="E171" s="151">
        <v>465</v>
      </c>
      <c r="F171" s="151">
        <v>310</v>
      </c>
      <c r="G171" s="151">
        <v>7962</v>
      </c>
    </row>
    <row r="172" spans="1:7" x14ac:dyDescent="0.25">
      <c r="A172" s="150" t="s">
        <v>262</v>
      </c>
      <c r="B172" s="151">
        <v>1947</v>
      </c>
      <c r="C172" s="151">
        <v>631</v>
      </c>
      <c r="D172" s="151">
        <v>5322</v>
      </c>
      <c r="E172" s="151">
        <v>390</v>
      </c>
      <c r="F172" s="151">
        <v>404</v>
      </c>
      <c r="G172" s="151">
        <v>8694</v>
      </c>
    </row>
    <row r="173" spans="1:7" x14ac:dyDescent="0.25">
      <c r="A173" s="150" t="s">
        <v>263</v>
      </c>
      <c r="B173" s="151">
        <v>422</v>
      </c>
      <c r="C173" s="151">
        <v>109</v>
      </c>
      <c r="D173" s="151">
        <v>1020</v>
      </c>
      <c r="E173" s="151">
        <v>66</v>
      </c>
      <c r="F173" s="151">
        <v>61</v>
      </c>
      <c r="G173" s="151">
        <v>1678</v>
      </c>
    </row>
    <row r="174" spans="1:7" x14ac:dyDescent="0.25">
      <c r="A174" s="150" t="s">
        <v>264</v>
      </c>
      <c r="B174" s="151">
        <v>458</v>
      </c>
      <c r="C174" s="151">
        <v>139</v>
      </c>
      <c r="D174" s="151">
        <v>744</v>
      </c>
      <c r="E174" s="151">
        <v>51</v>
      </c>
      <c r="F174" s="151">
        <v>41</v>
      </c>
      <c r="G174" s="151">
        <v>1433</v>
      </c>
    </row>
    <row r="175" spans="1:7" x14ac:dyDescent="0.25">
      <c r="A175" s="150" t="s">
        <v>265</v>
      </c>
      <c r="B175" s="151">
        <v>360</v>
      </c>
      <c r="C175" s="151">
        <v>145</v>
      </c>
      <c r="D175" s="151">
        <v>1016</v>
      </c>
      <c r="E175" s="151">
        <v>43</v>
      </c>
      <c r="F175" s="151">
        <v>67</v>
      </c>
      <c r="G175" s="151">
        <v>1631</v>
      </c>
    </row>
    <row r="176" spans="1:7" x14ac:dyDescent="0.25">
      <c r="A176" s="150" t="s">
        <v>266</v>
      </c>
      <c r="B176" s="151">
        <v>387</v>
      </c>
      <c r="C176" s="151">
        <v>112</v>
      </c>
      <c r="D176" s="151">
        <v>1249</v>
      </c>
      <c r="E176" s="151">
        <v>58</v>
      </c>
      <c r="F176" s="151">
        <v>74</v>
      </c>
      <c r="G176" s="151">
        <v>1880</v>
      </c>
    </row>
    <row r="177" spans="1:7" x14ac:dyDescent="0.25">
      <c r="A177" s="150" t="s">
        <v>267</v>
      </c>
      <c r="B177" s="151">
        <v>984</v>
      </c>
      <c r="C177" s="151">
        <v>344</v>
      </c>
      <c r="D177" s="151">
        <v>2384</v>
      </c>
      <c r="E177" s="151">
        <v>138</v>
      </c>
      <c r="F177" s="151">
        <v>152</v>
      </c>
      <c r="G177" s="151">
        <v>4002</v>
      </c>
    </row>
    <row r="178" spans="1:7" x14ac:dyDescent="0.25">
      <c r="A178" s="150" t="s">
        <v>268</v>
      </c>
      <c r="B178" s="151">
        <v>573</v>
      </c>
      <c r="C178" s="151">
        <v>200</v>
      </c>
      <c r="D178" s="151">
        <v>1604</v>
      </c>
      <c r="E178" s="151">
        <v>98</v>
      </c>
      <c r="F178" s="151">
        <v>95</v>
      </c>
      <c r="G178" s="151">
        <v>2570</v>
      </c>
    </row>
    <row r="179" spans="1:7" x14ac:dyDescent="0.25">
      <c r="A179" s="150" t="s">
        <v>269</v>
      </c>
      <c r="B179" s="151">
        <v>436</v>
      </c>
      <c r="C179" s="151">
        <v>147</v>
      </c>
      <c r="D179" s="151">
        <v>1676</v>
      </c>
      <c r="E179" s="151">
        <v>86</v>
      </c>
      <c r="F179" s="151">
        <v>94</v>
      </c>
      <c r="G179" s="151">
        <v>2439</v>
      </c>
    </row>
    <row r="180" spans="1:7" x14ac:dyDescent="0.25">
      <c r="A180" s="150" t="s">
        <v>270</v>
      </c>
      <c r="B180" s="151">
        <v>685</v>
      </c>
      <c r="C180" s="151">
        <v>228</v>
      </c>
      <c r="D180" s="151">
        <v>2182</v>
      </c>
      <c r="E180" s="151">
        <v>139</v>
      </c>
      <c r="F180" s="151">
        <v>133</v>
      </c>
      <c r="G180" s="151">
        <v>3367</v>
      </c>
    </row>
    <row r="181" spans="1:7" x14ac:dyDescent="0.25">
      <c r="A181" s="150" t="s">
        <v>271</v>
      </c>
      <c r="B181" s="151">
        <v>1828</v>
      </c>
      <c r="C181" s="151">
        <v>584</v>
      </c>
      <c r="D181" s="151">
        <v>4476</v>
      </c>
      <c r="E181" s="151">
        <v>291</v>
      </c>
      <c r="F181" s="151">
        <v>328</v>
      </c>
      <c r="G181" s="151">
        <v>7507</v>
      </c>
    </row>
    <row r="182" spans="1:7" x14ac:dyDescent="0.25">
      <c r="A182" s="150" t="s">
        <v>272</v>
      </c>
      <c r="B182" s="151">
        <v>1787</v>
      </c>
      <c r="C182" s="151">
        <v>521</v>
      </c>
      <c r="D182" s="151">
        <v>5593</v>
      </c>
      <c r="E182" s="151">
        <v>423</v>
      </c>
      <c r="F182" s="151">
        <v>289</v>
      </c>
      <c r="G182" s="151">
        <v>8613</v>
      </c>
    </row>
    <row r="183" spans="1:7" x14ac:dyDescent="0.25">
      <c r="A183" s="150" t="s">
        <v>273</v>
      </c>
      <c r="B183" s="151">
        <v>380</v>
      </c>
      <c r="C183" s="151">
        <v>125</v>
      </c>
      <c r="D183" s="151">
        <v>984</v>
      </c>
      <c r="E183" s="151">
        <v>59</v>
      </c>
      <c r="F183" s="151">
        <v>60</v>
      </c>
      <c r="G183" s="151">
        <v>1608</v>
      </c>
    </row>
    <row r="184" spans="1:7" x14ac:dyDescent="0.25">
      <c r="A184" s="150" t="s">
        <v>274</v>
      </c>
      <c r="B184" s="151">
        <v>7680</v>
      </c>
      <c r="C184" s="151">
        <v>2753</v>
      </c>
      <c r="D184" s="151">
        <v>24449</v>
      </c>
      <c r="E184" s="151">
        <v>2642</v>
      </c>
      <c r="F184" s="151">
        <v>1782</v>
      </c>
      <c r="G184" s="151">
        <v>39306</v>
      </c>
    </row>
    <row r="185" spans="1:7" x14ac:dyDescent="0.25">
      <c r="A185" s="150" t="s">
        <v>275</v>
      </c>
      <c r="B185" s="151">
        <v>1092</v>
      </c>
      <c r="C185" s="151">
        <v>393</v>
      </c>
      <c r="D185" s="151">
        <v>3495</v>
      </c>
      <c r="E185" s="151">
        <v>180</v>
      </c>
      <c r="F185" s="151">
        <v>202</v>
      </c>
      <c r="G185" s="151">
        <v>5362</v>
      </c>
    </row>
    <row r="186" spans="1:7" x14ac:dyDescent="0.25">
      <c r="A186" s="150" t="s">
        <v>276</v>
      </c>
      <c r="B186" s="151">
        <v>261</v>
      </c>
      <c r="C186" s="151">
        <v>70</v>
      </c>
      <c r="D186" s="151">
        <v>475</v>
      </c>
      <c r="E186" s="151">
        <v>28</v>
      </c>
      <c r="F186" s="151">
        <v>30</v>
      </c>
      <c r="G186" s="151">
        <v>864</v>
      </c>
    </row>
    <row r="187" spans="1:7" x14ac:dyDescent="0.25">
      <c r="A187" s="150" t="s">
        <v>277</v>
      </c>
      <c r="B187" s="151">
        <v>678</v>
      </c>
      <c r="C187" s="151">
        <v>224</v>
      </c>
      <c r="D187" s="151">
        <v>2050</v>
      </c>
      <c r="E187" s="151">
        <v>164</v>
      </c>
      <c r="F187" s="151">
        <v>114</v>
      </c>
      <c r="G187" s="151">
        <v>3230</v>
      </c>
    </row>
    <row r="188" spans="1:7" x14ac:dyDescent="0.25">
      <c r="A188" s="170" t="s">
        <v>278</v>
      </c>
      <c r="B188" s="196">
        <v>791</v>
      </c>
      <c r="C188" s="196">
        <v>264</v>
      </c>
      <c r="D188" s="196">
        <v>1958</v>
      </c>
      <c r="E188" s="151">
        <v>89</v>
      </c>
      <c r="F188" s="151">
        <v>138</v>
      </c>
      <c r="G188" s="151">
        <v>3240</v>
      </c>
    </row>
    <row r="189" spans="1:7" x14ac:dyDescent="0.25">
      <c r="A189" s="198" t="s">
        <v>35</v>
      </c>
      <c r="B189" s="199">
        <v>39533</v>
      </c>
      <c r="C189" s="199">
        <v>13471</v>
      </c>
      <c r="D189" s="199">
        <v>118610</v>
      </c>
      <c r="E189" s="199">
        <v>9596</v>
      </c>
      <c r="F189" s="199">
        <v>8042</v>
      </c>
      <c r="G189" s="199">
        <v>189252</v>
      </c>
    </row>
    <row r="190" spans="1:7" x14ac:dyDescent="0.25">
      <c r="A190" s="172"/>
      <c r="B190" s="172"/>
      <c r="C190" s="172"/>
      <c r="D190" s="172"/>
      <c r="E190" s="172"/>
      <c r="F190" s="172"/>
      <c r="G190" s="172"/>
    </row>
    <row r="191" spans="1:7" x14ac:dyDescent="0.25">
      <c r="A191" s="172"/>
      <c r="B191" s="172"/>
      <c r="C191" s="172"/>
      <c r="D191" s="172"/>
      <c r="E191" s="172"/>
      <c r="F191" s="172"/>
      <c r="G191" s="172"/>
    </row>
    <row r="192" spans="1:7" x14ac:dyDescent="0.25">
      <c r="A192" s="172"/>
      <c r="B192" s="172"/>
      <c r="C192" s="172"/>
      <c r="D192" s="172"/>
    </row>
    <row r="193" spans="1:7" x14ac:dyDescent="0.25">
      <c r="A193" s="201" t="s">
        <v>524</v>
      </c>
    </row>
    <row r="194" spans="1:7" x14ac:dyDescent="0.25">
      <c r="A194" s="172"/>
      <c r="B194" s="479" t="s">
        <v>499</v>
      </c>
      <c r="C194" s="479"/>
      <c r="D194" s="479"/>
      <c r="E194" s="479"/>
      <c r="F194" s="479"/>
      <c r="G194" s="105"/>
    </row>
    <row r="195" spans="1:7" x14ac:dyDescent="0.25">
      <c r="A195" s="174" t="s">
        <v>544</v>
      </c>
      <c r="B195" s="203" t="s">
        <v>138</v>
      </c>
      <c r="C195" s="203" t="s">
        <v>139</v>
      </c>
      <c r="D195" s="203" t="s">
        <v>140</v>
      </c>
      <c r="E195" s="203" t="s">
        <v>19</v>
      </c>
      <c r="F195" s="203" t="s">
        <v>141</v>
      </c>
      <c r="G195" s="175" t="s">
        <v>35</v>
      </c>
    </row>
    <row r="196" spans="1:7" x14ac:dyDescent="0.25">
      <c r="A196" s="171" t="s">
        <v>280</v>
      </c>
      <c r="B196" s="151">
        <v>184</v>
      </c>
      <c r="C196" s="151">
        <v>211</v>
      </c>
      <c r="D196" s="151">
        <v>328</v>
      </c>
      <c r="E196" s="151">
        <v>6</v>
      </c>
      <c r="F196" s="151">
        <v>86</v>
      </c>
      <c r="G196" s="151">
        <v>815</v>
      </c>
    </row>
    <row r="197" spans="1:7" x14ac:dyDescent="0.25">
      <c r="A197" s="150" t="s">
        <v>281</v>
      </c>
      <c r="B197" s="151">
        <v>213</v>
      </c>
      <c r="C197" s="151">
        <v>86</v>
      </c>
      <c r="D197" s="151">
        <v>477</v>
      </c>
      <c r="E197" s="151">
        <v>50</v>
      </c>
      <c r="F197" s="151">
        <v>37</v>
      </c>
      <c r="G197" s="151">
        <v>863</v>
      </c>
    </row>
    <row r="198" spans="1:7" x14ac:dyDescent="0.25">
      <c r="A198" s="150" t="s">
        <v>282</v>
      </c>
      <c r="B198" s="151">
        <v>1459</v>
      </c>
      <c r="C198" s="151">
        <v>556</v>
      </c>
      <c r="D198" s="151">
        <v>3454</v>
      </c>
      <c r="E198" s="151">
        <v>276</v>
      </c>
      <c r="F198" s="151">
        <v>214</v>
      </c>
      <c r="G198" s="151">
        <v>5959</v>
      </c>
    </row>
    <row r="199" spans="1:7" x14ac:dyDescent="0.25">
      <c r="A199" s="150" t="s">
        <v>283</v>
      </c>
      <c r="B199" s="151">
        <v>1185</v>
      </c>
      <c r="C199" s="151">
        <v>660</v>
      </c>
      <c r="D199" s="151">
        <v>3203</v>
      </c>
      <c r="E199" s="151">
        <v>249</v>
      </c>
      <c r="F199" s="151">
        <v>258</v>
      </c>
      <c r="G199" s="151">
        <v>5555</v>
      </c>
    </row>
    <row r="200" spans="1:7" x14ac:dyDescent="0.25">
      <c r="A200" s="150" t="s">
        <v>507</v>
      </c>
      <c r="B200" s="151">
        <v>1646</v>
      </c>
      <c r="C200" s="151">
        <v>525</v>
      </c>
      <c r="D200" s="151">
        <v>3412</v>
      </c>
      <c r="E200" s="151">
        <v>231</v>
      </c>
      <c r="F200" s="151">
        <v>217</v>
      </c>
      <c r="G200" s="151">
        <v>6031</v>
      </c>
    </row>
    <row r="201" spans="1:7" x14ac:dyDescent="0.25">
      <c r="A201" s="150" t="s">
        <v>284</v>
      </c>
      <c r="B201" s="151">
        <v>2333</v>
      </c>
      <c r="C201" s="151">
        <v>819</v>
      </c>
      <c r="D201" s="151">
        <v>8726</v>
      </c>
      <c r="E201" s="151">
        <v>980</v>
      </c>
      <c r="F201" s="151">
        <v>486</v>
      </c>
      <c r="G201" s="151">
        <v>13344</v>
      </c>
    </row>
    <row r="202" spans="1:7" x14ac:dyDescent="0.25">
      <c r="A202" s="150" t="s">
        <v>285</v>
      </c>
      <c r="B202" s="151">
        <v>6243</v>
      </c>
      <c r="C202" s="151">
        <v>1954</v>
      </c>
      <c r="D202" s="151">
        <v>23553</v>
      </c>
      <c r="E202" s="151">
        <v>2793</v>
      </c>
      <c r="F202" s="151">
        <v>1235</v>
      </c>
      <c r="G202" s="151">
        <v>35778</v>
      </c>
    </row>
    <row r="203" spans="1:7" x14ac:dyDescent="0.25">
      <c r="A203" s="150" t="s">
        <v>286</v>
      </c>
      <c r="B203" s="151">
        <v>312</v>
      </c>
      <c r="C203" s="151">
        <v>122</v>
      </c>
      <c r="D203" s="151">
        <v>643</v>
      </c>
      <c r="E203" s="151">
        <v>41</v>
      </c>
      <c r="F203" s="151">
        <v>53</v>
      </c>
      <c r="G203" s="151">
        <v>1171</v>
      </c>
    </row>
    <row r="204" spans="1:7" x14ac:dyDescent="0.25">
      <c r="A204" s="150" t="s">
        <v>287</v>
      </c>
      <c r="B204" s="151">
        <v>3671</v>
      </c>
      <c r="C204" s="151">
        <v>1344</v>
      </c>
      <c r="D204" s="151">
        <v>11349</v>
      </c>
      <c r="E204" s="151">
        <v>1120</v>
      </c>
      <c r="F204" s="151">
        <v>705</v>
      </c>
      <c r="G204" s="151">
        <v>18189</v>
      </c>
    </row>
    <row r="205" spans="1:7" x14ac:dyDescent="0.25">
      <c r="A205" s="150" t="s">
        <v>288</v>
      </c>
      <c r="B205" s="151">
        <v>1293</v>
      </c>
      <c r="C205" s="151">
        <v>506</v>
      </c>
      <c r="D205" s="151">
        <v>3578</v>
      </c>
      <c r="E205" s="151">
        <v>343</v>
      </c>
      <c r="F205" s="151">
        <v>183</v>
      </c>
      <c r="G205" s="151">
        <v>5903</v>
      </c>
    </row>
    <row r="206" spans="1:7" x14ac:dyDescent="0.25">
      <c r="A206" s="150" t="s">
        <v>289</v>
      </c>
      <c r="B206" s="151">
        <v>585</v>
      </c>
      <c r="C206" s="151">
        <v>187</v>
      </c>
      <c r="D206" s="151">
        <v>1343</v>
      </c>
      <c r="E206" s="151">
        <v>103</v>
      </c>
      <c r="F206" s="151">
        <v>81</v>
      </c>
      <c r="G206" s="151">
        <v>2299</v>
      </c>
    </row>
    <row r="207" spans="1:7" x14ac:dyDescent="0.25">
      <c r="A207" s="150" t="s">
        <v>290</v>
      </c>
      <c r="B207" s="151">
        <v>2673</v>
      </c>
      <c r="C207" s="151">
        <v>936</v>
      </c>
      <c r="D207" s="151">
        <v>9970</v>
      </c>
      <c r="E207" s="151">
        <v>1166</v>
      </c>
      <c r="F207" s="151">
        <v>471</v>
      </c>
      <c r="G207" s="151">
        <v>15216</v>
      </c>
    </row>
    <row r="208" spans="1:7" x14ac:dyDescent="0.25">
      <c r="A208" s="150" t="s">
        <v>291</v>
      </c>
      <c r="B208" s="151">
        <v>902</v>
      </c>
      <c r="C208" s="151">
        <v>375</v>
      </c>
      <c r="D208" s="151">
        <v>2217</v>
      </c>
      <c r="E208" s="151">
        <v>189</v>
      </c>
      <c r="F208" s="151">
        <v>180</v>
      </c>
      <c r="G208" s="151">
        <v>3863</v>
      </c>
    </row>
    <row r="209" spans="1:7" x14ac:dyDescent="0.25">
      <c r="A209" s="150" t="s">
        <v>292</v>
      </c>
      <c r="B209" s="151">
        <v>1242</v>
      </c>
      <c r="C209" s="151">
        <v>616</v>
      </c>
      <c r="D209" s="151">
        <v>2666</v>
      </c>
      <c r="E209" s="151">
        <v>274</v>
      </c>
      <c r="F209" s="151">
        <v>251</v>
      </c>
      <c r="G209" s="151">
        <v>5049</v>
      </c>
    </row>
    <row r="210" spans="1:7" x14ac:dyDescent="0.25">
      <c r="A210" s="150" t="s">
        <v>293</v>
      </c>
      <c r="B210" s="151">
        <v>1051</v>
      </c>
      <c r="C210" s="151">
        <v>437</v>
      </c>
      <c r="D210" s="151">
        <v>2480</v>
      </c>
      <c r="E210" s="151">
        <v>205</v>
      </c>
      <c r="F210" s="151">
        <v>140</v>
      </c>
      <c r="G210" s="151">
        <v>4313</v>
      </c>
    </row>
    <row r="211" spans="1:7" x14ac:dyDescent="0.25">
      <c r="A211" s="150" t="s">
        <v>294</v>
      </c>
      <c r="B211" s="151">
        <v>740</v>
      </c>
      <c r="C211" s="151">
        <v>301</v>
      </c>
      <c r="D211" s="151">
        <v>1937</v>
      </c>
      <c r="E211" s="151">
        <v>164</v>
      </c>
      <c r="F211" s="151">
        <v>145</v>
      </c>
      <c r="G211" s="151">
        <v>3287</v>
      </c>
    </row>
    <row r="212" spans="1:7" x14ac:dyDescent="0.25">
      <c r="A212" s="150" t="s">
        <v>295</v>
      </c>
      <c r="B212" s="151">
        <v>6971</v>
      </c>
      <c r="C212" s="151">
        <v>3282</v>
      </c>
      <c r="D212" s="151">
        <v>19795</v>
      </c>
      <c r="E212" s="151">
        <v>1962</v>
      </c>
      <c r="F212" s="151">
        <v>1873</v>
      </c>
      <c r="G212" s="151">
        <v>33883</v>
      </c>
    </row>
    <row r="213" spans="1:7" x14ac:dyDescent="0.25">
      <c r="A213" s="150" t="s">
        <v>296</v>
      </c>
      <c r="B213" s="151">
        <v>1827</v>
      </c>
      <c r="C213" s="151">
        <v>571</v>
      </c>
      <c r="D213" s="151">
        <v>6178</v>
      </c>
      <c r="E213" s="151">
        <v>516</v>
      </c>
      <c r="F213" s="151">
        <v>306</v>
      </c>
      <c r="G213" s="151">
        <v>9398</v>
      </c>
    </row>
    <row r="214" spans="1:7" x14ac:dyDescent="0.25">
      <c r="A214" s="150" t="s">
        <v>297</v>
      </c>
      <c r="B214" s="151">
        <v>1279</v>
      </c>
      <c r="C214" s="151">
        <v>692</v>
      </c>
      <c r="D214" s="151">
        <v>3433</v>
      </c>
      <c r="E214" s="151">
        <v>323</v>
      </c>
      <c r="F214" s="151">
        <v>363</v>
      </c>
      <c r="G214" s="151">
        <v>6090</v>
      </c>
    </row>
    <row r="215" spans="1:7" x14ac:dyDescent="0.25">
      <c r="A215" s="150" t="s">
        <v>298</v>
      </c>
      <c r="B215" s="151">
        <v>1129</v>
      </c>
      <c r="C215" s="151">
        <v>546</v>
      </c>
      <c r="D215" s="151">
        <v>2880</v>
      </c>
      <c r="E215" s="151">
        <v>190</v>
      </c>
      <c r="F215" s="151">
        <v>311</v>
      </c>
      <c r="G215" s="151">
        <v>5056</v>
      </c>
    </row>
    <row r="216" spans="1:7" x14ac:dyDescent="0.25">
      <c r="A216" s="150" t="s">
        <v>299</v>
      </c>
      <c r="B216" s="151">
        <v>389</v>
      </c>
      <c r="C216" s="151">
        <v>240</v>
      </c>
      <c r="D216" s="151">
        <v>1055</v>
      </c>
      <c r="E216" s="151">
        <v>84</v>
      </c>
      <c r="F216" s="151">
        <v>153</v>
      </c>
      <c r="G216" s="151">
        <v>1921</v>
      </c>
    </row>
    <row r="217" spans="1:7" x14ac:dyDescent="0.25">
      <c r="A217" s="150" t="s">
        <v>300</v>
      </c>
      <c r="B217" s="151">
        <v>1542</v>
      </c>
      <c r="C217" s="151">
        <v>562</v>
      </c>
      <c r="D217" s="151">
        <v>5383</v>
      </c>
      <c r="E217" s="151">
        <v>593</v>
      </c>
      <c r="F217" s="151">
        <v>310</v>
      </c>
      <c r="G217" s="151">
        <v>8390</v>
      </c>
    </row>
    <row r="218" spans="1:7" x14ac:dyDescent="0.25">
      <c r="A218" s="150" t="s">
        <v>301</v>
      </c>
      <c r="B218" s="151">
        <v>271</v>
      </c>
      <c r="C218" s="151">
        <v>101</v>
      </c>
      <c r="D218" s="151">
        <v>537</v>
      </c>
      <c r="E218" s="151">
        <v>27</v>
      </c>
      <c r="F218" s="151">
        <v>39</v>
      </c>
      <c r="G218" s="151">
        <v>975</v>
      </c>
    </row>
    <row r="219" spans="1:7" x14ac:dyDescent="0.25">
      <c r="A219" s="150" t="s">
        <v>302</v>
      </c>
      <c r="B219" s="151">
        <v>554</v>
      </c>
      <c r="C219" s="151">
        <v>251</v>
      </c>
      <c r="D219" s="151">
        <v>1019</v>
      </c>
      <c r="E219" s="151">
        <v>114</v>
      </c>
      <c r="F219" s="151">
        <v>86</v>
      </c>
      <c r="G219" s="151">
        <v>2024</v>
      </c>
    </row>
    <row r="220" spans="1:7" ht="30" x14ac:dyDescent="0.25">
      <c r="A220" s="150" t="s">
        <v>303</v>
      </c>
      <c r="B220" s="151">
        <v>2540</v>
      </c>
      <c r="C220" s="151">
        <v>1016</v>
      </c>
      <c r="D220" s="151">
        <v>9012</v>
      </c>
      <c r="E220" s="151">
        <v>1048</v>
      </c>
      <c r="F220" s="151">
        <v>560</v>
      </c>
      <c r="G220" s="151">
        <v>14176</v>
      </c>
    </row>
    <row r="221" spans="1:7" x14ac:dyDescent="0.25">
      <c r="A221" s="150" t="s">
        <v>304</v>
      </c>
      <c r="B221" s="151">
        <v>178</v>
      </c>
      <c r="C221" s="151">
        <v>94</v>
      </c>
      <c r="D221" s="151">
        <v>441</v>
      </c>
      <c r="E221" s="151">
        <v>40</v>
      </c>
      <c r="F221" s="151">
        <v>38</v>
      </c>
      <c r="G221" s="151">
        <v>791</v>
      </c>
    </row>
    <row r="222" spans="1:7" x14ac:dyDescent="0.25">
      <c r="A222" s="150" t="s">
        <v>305</v>
      </c>
      <c r="B222" s="151">
        <v>677</v>
      </c>
      <c r="C222" s="151">
        <v>295</v>
      </c>
      <c r="D222" s="151">
        <v>1501</v>
      </c>
      <c r="E222" s="151">
        <v>83</v>
      </c>
      <c r="F222" s="151">
        <v>128</v>
      </c>
      <c r="G222" s="151">
        <v>2684</v>
      </c>
    </row>
    <row r="223" spans="1:7" x14ac:dyDescent="0.25">
      <c r="A223" s="150" t="s">
        <v>306</v>
      </c>
      <c r="B223" s="151">
        <v>756</v>
      </c>
      <c r="C223" s="151">
        <v>228</v>
      </c>
      <c r="D223" s="151">
        <v>1424</v>
      </c>
      <c r="E223" s="151">
        <v>107</v>
      </c>
      <c r="F223" s="151">
        <v>101</v>
      </c>
      <c r="G223" s="151">
        <v>2616</v>
      </c>
    </row>
    <row r="224" spans="1:7" x14ac:dyDescent="0.25">
      <c r="A224" s="150" t="s">
        <v>307</v>
      </c>
      <c r="B224" s="151">
        <v>4752</v>
      </c>
      <c r="C224" s="151">
        <v>1750</v>
      </c>
      <c r="D224" s="151">
        <v>16230</v>
      </c>
      <c r="E224" s="151">
        <v>1569</v>
      </c>
      <c r="F224" s="151">
        <v>1015</v>
      </c>
      <c r="G224" s="151">
        <v>25316</v>
      </c>
    </row>
    <row r="225" spans="1:7" x14ac:dyDescent="0.25">
      <c r="A225" s="150" t="s">
        <v>308</v>
      </c>
      <c r="B225" s="151">
        <v>542</v>
      </c>
      <c r="C225" s="151">
        <v>208</v>
      </c>
      <c r="D225" s="151">
        <v>569</v>
      </c>
      <c r="E225" s="151">
        <v>14</v>
      </c>
      <c r="F225" s="151">
        <v>57</v>
      </c>
      <c r="G225" s="151">
        <v>1390</v>
      </c>
    </row>
    <row r="226" spans="1:7" x14ac:dyDescent="0.25">
      <c r="A226" s="150" t="s">
        <v>309</v>
      </c>
      <c r="B226" s="151">
        <v>2051</v>
      </c>
      <c r="C226" s="151">
        <v>657</v>
      </c>
      <c r="D226" s="151">
        <v>7328</v>
      </c>
      <c r="E226" s="151">
        <v>764</v>
      </c>
      <c r="F226" s="151">
        <v>381</v>
      </c>
      <c r="G226" s="151">
        <v>11181</v>
      </c>
    </row>
    <row r="227" spans="1:7" x14ac:dyDescent="0.25">
      <c r="A227" s="170" t="s">
        <v>310</v>
      </c>
      <c r="B227" s="196">
        <v>616</v>
      </c>
      <c r="C227" s="196">
        <v>300</v>
      </c>
      <c r="D227" s="196">
        <v>1819</v>
      </c>
      <c r="E227" s="196">
        <v>157</v>
      </c>
      <c r="F227" s="196">
        <v>158</v>
      </c>
      <c r="G227" s="196">
        <v>3050</v>
      </c>
    </row>
    <row r="228" spans="1:7" x14ac:dyDescent="0.25">
      <c r="A228" s="173" t="s">
        <v>311</v>
      </c>
      <c r="B228" s="188">
        <v>1249</v>
      </c>
      <c r="C228" s="188">
        <v>676</v>
      </c>
      <c r="D228" s="188">
        <v>2884</v>
      </c>
      <c r="E228" s="188">
        <v>229</v>
      </c>
      <c r="F228" s="188">
        <v>258</v>
      </c>
      <c r="G228" s="188">
        <v>5296</v>
      </c>
    </row>
    <row r="229" spans="1:7" x14ac:dyDescent="0.25">
      <c r="A229" s="198" t="s">
        <v>35</v>
      </c>
      <c r="B229" s="199">
        <v>53055</v>
      </c>
      <c r="C229" s="199">
        <v>21104</v>
      </c>
      <c r="D229" s="199">
        <v>160824</v>
      </c>
      <c r="E229" s="199">
        <v>16010</v>
      </c>
      <c r="F229" s="199">
        <v>10879</v>
      </c>
      <c r="G229" s="199">
        <v>261872</v>
      </c>
    </row>
    <row r="230" spans="1:7" x14ac:dyDescent="0.25">
      <c r="A230" s="172"/>
      <c r="B230" s="172"/>
      <c r="C230" s="172"/>
      <c r="D230" s="172"/>
    </row>
    <row r="231" spans="1:7" x14ac:dyDescent="0.25">
      <c r="A231" s="172"/>
      <c r="B231" s="172"/>
      <c r="C231" s="172"/>
      <c r="D231" s="172"/>
    </row>
    <row r="232" spans="1:7" x14ac:dyDescent="0.25">
      <c r="A232" s="172"/>
      <c r="B232" s="172"/>
      <c r="C232" s="172"/>
      <c r="D232" s="172"/>
    </row>
    <row r="233" spans="1:7" x14ac:dyDescent="0.25">
      <c r="A233" s="201" t="s">
        <v>525</v>
      </c>
    </row>
    <row r="234" spans="1:7" x14ac:dyDescent="0.25">
      <c r="A234" s="172"/>
      <c r="B234" s="479" t="s">
        <v>499</v>
      </c>
      <c r="C234" s="479"/>
      <c r="D234" s="479"/>
      <c r="E234" s="479"/>
      <c r="F234" s="479"/>
      <c r="G234" s="105"/>
    </row>
    <row r="235" spans="1:7" x14ac:dyDescent="0.25">
      <c r="A235" s="174" t="s">
        <v>544</v>
      </c>
      <c r="B235" s="203" t="s">
        <v>138</v>
      </c>
      <c r="C235" s="203" t="s">
        <v>139</v>
      </c>
      <c r="D235" s="203" t="s">
        <v>140</v>
      </c>
      <c r="E235" s="203" t="s">
        <v>19</v>
      </c>
      <c r="F235" s="203" t="s">
        <v>141</v>
      </c>
      <c r="G235" s="175" t="s">
        <v>35</v>
      </c>
    </row>
    <row r="236" spans="1:7" x14ac:dyDescent="0.25">
      <c r="A236" s="171" t="s">
        <v>312</v>
      </c>
      <c r="B236" s="197">
        <v>1894</v>
      </c>
      <c r="C236" s="197">
        <v>679</v>
      </c>
      <c r="D236" s="197">
        <v>6178</v>
      </c>
      <c r="E236" s="197">
        <v>475</v>
      </c>
      <c r="F236" s="197">
        <v>440</v>
      </c>
      <c r="G236" s="197">
        <v>9666</v>
      </c>
    </row>
    <row r="237" spans="1:7" x14ac:dyDescent="0.25">
      <c r="A237" s="150" t="s">
        <v>313</v>
      </c>
      <c r="B237" s="151">
        <v>1924</v>
      </c>
      <c r="C237" s="151">
        <v>591</v>
      </c>
      <c r="D237" s="151">
        <v>2142</v>
      </c>
      <c r="E237" s="151">
        <v>96</v>
      </c>
      <c r="F237" s="151">
        <v>186</v>
      </c>
      <c r="G237" s="151">
        <v>4939</v>
      </c>
    </row>
    <row r="238" spans="1:7" x14ac:dyDescent="0.25">
      <c r="A238" s="150" t="s">
        <v>314</v>
      </c>
      <c r="B238" s="151">
        <v>729</v>
      </c>
      <c r="C238" s="151">
        <v>212</v>
      </c>
      <c r="D238" s="151">
        <v>839</v>
      </c>
      <c r="E238" s="151">
        <v>30</v>
      </c>
      <c r="F238" s="151">
        <v>90</v>
      </c>
      <c r="G238" s="151">
        <v>1900</v>
      </c>
    </row>
    <row r="239" spans="1:7" x14ac:dyDescent="0.25">
      <c r="A239" s="150" t="s">
        <v>315</v>
      </c>
      <c r="B239" s="151">
        <v>959</v>
      </c>
      <c r="C239" s="151">
        <v>338</v>
      </c>
      <c r="D239" s="151">
        <v>2436</v>
      </c>
      <c r="E239" s="151">
        <v>186</v>
      </c>
      <c r="F239" s="151">
        <v>175</v>
      </c>
      <c r="G239" s="151">
        <v>4094</v>
      </c>
    </row>
    <row r="240" spans="1:7" x14ac:dyDescent="0.25">
      <c r="A240" s="150" t="s">
        <v>316</v>
      </c>
      <c r="B240" s="151">
        <v>1408</v>
      </c>
      <c r="C240" s="151">
        <v>326</v>
      </c>
      <c r="D240" s="151">
        <v>2068</v>
      </c>
      <c r="E240" s="151">
        <v>132</v>
      </c>
      <c r="F240" s="151">
        <v>124</v>
      </c>
      <c r="G240" s="151">
        <v>4058</v>
      </c>
    </row>
    <row r="241" spans="1:7" x14ac:dyDescent="0.25">
      <c r="A241" s="150" t="s">
        <v>317</v>
      </c>
      <c r="B241" s="151">
        <v>1068</v>
      </c>
      <c r="C241" s="151">
        <v>252</v>
      </c>
      <c r="D241" s="151">
        <v>2264</v>
      </c>
      <c r="E241" s="151">
        <v>271</v>
      </c>
      <c r="F241" s="151">
        <v>98</v>
      </c>
      <c r="G241" s="151">
        <v>3953</v>
      </c>
    </row>
    <row r="242" spans="1:7" x14ac:dyDescent="0.25">
      <c r="A242" s="150" t="s">
        <v>318</v>
      </c>
      <c r="B242" s="151">
        <v>671</v>
      </c>
      <c r="C242" s="151">
        <v>124</v>
      </c>
      <c r="D242" s="151">
        <v>504</v>
      </c>
      <c r="E242" s="151">
        <v>20</v>
      </c>
      <c r="F242" s="151">
        <v>29</v>
      </c>
      <c r="G242" s="151">
        <v>1348</v>
      </c>
    </row>
    <row r="243" spans="1:7" x14ac:dyDescent="0.25">
      <c r="A243" s="150" t="s">
        <v>319</v>
      </c>
      <c r="B243" s="151">
        <v>328</v>
      </c>
      <c r="C243" s="151">
        <v>131</v>
      </c>
      <c r="D243" s="151">
        <v>770</v>
      </c>
      <c r="E243" s="151">
        <v>37</v>
      </c>
      <c r="F243" s="151">
        <v>43</v>
      </c>
      <c r="G243" s="151">
        <v>1309</v>
      </c>
    </row>
    <row r="244" spans="1:7" x14ac:dyDescent="0.25">
      <c r="A244" s="150" t="s">
        <v>320</v>
      </c>
      <c r="B244" s="151">
        <v>1329</v>
      </c>
      <c r="C244" s="151">
        <v>363</v>
      </c>
      <c r="D244" s="151">
        <v>2444</v>
      </c>
      <c r="E244" s="151">
        <v>145</v>
      </c>
      <c r="F244" s="151">
        <v>182</v>
      </c>
      <c r="G244" s="151">
        <v>4463</v>
      </c>
    </row>
    <row r="245" spans="1:7" x14ac:dyDescent="0.25">
      <c r="A245" s="150" t="s">
        <v>321</v>
      </c>
      <c r="B245" s="151">
        <v>754</v>
      </c>
      <c r="C245" s="151">
        <v>301</v>
      </c>
      <c r="D245" s="151">
        <v>984</v>
      </c>
      <c r="E245" s="151">
        <v>46</v>
      </c>
      <c r="F245" s="151">
        <v>106</v>
      </c>
      <c r="G245" s="151">
        <v>2191</v>
      </c>
    </row>
    <row r="246" spans="1:7" x14ac:dyDescent="0.25">
      <c r="A246" s="150" t="s">
        <v>322</v>
      </c>
      <c r="B246" s="151">
        <v>854</v>
      </c>
      <c r="C246" s="151">
        <v>268</v>
      </c>
      <c r="D246" s="151">
        <v>2025</v>
      </c>
      <c r="E246" s="151">
        <v>156</v>
      </c>
      <c r="F246" s="151">
        <v>146</v>
      </c>
      <c r="G246" s="151">
        <v>3449</v>
      </c>
    </row>
    <row r="247" spans="1:7" x14ac:dyDescent="0.25">
      <c r="A247" s="150" t="s">
        <v>323</v>
      </c>
      <c r="B247" s="151">
        <v>1575</v>
      </c>
      <c r="C247" s="151">
        <v>494</v>
      </c>
      <c r="D247" s="151">
        <v>3362</v>
      </c>
      <c r="E247" s="151">
        <v>282</v>
      </c>
      <c r="F247" s="151">
        <v>250</v>
      </c>
      <c r="G247" s="151">
        <v>5963</v>
      </c>
    </row>
    <row r="248" spans="1:7" x14ac:dyDescent="0.25">
      <c r="A248" s="150" t="s">
        <v>324</v>
      </c>
      <c r="B248" s="151">
        <v>1107</v>
      </c>
      <c r="C248" s="151">
        <v>338</v>
      </c>
      <c r="D248" s="151">
        <v>2680</v>
      </c>
      <c r="E248" s="151">
        <v>241</v>
      </c>
      <c r="F248" s="151">
        <v>202</v>
      </c>
      <c r="G248" s="151">
        <v>4568</v>
      </c>
    </row>
    <row r="249" spans="1:7" x14ac:dyDescent="0.25">
      <c r="A249" s="150" t="s">
        <v>325</v>
      </c>
      <c r="B249" s="151">
        <v>617</v>
      </c>
      <c r="C249" s="151">
        <v>210</v>
      </c>
      <c r="D249" s="151">
        <v>737</v>
      </c>
      <c r="E249" s="151">
        <v>29</v>
      </c>
      <c r="F249" s="151">
        <v>54</v>
      </c>
      <c r="G249" s="151">
        <v>1647</v>
      </c>
    </row>
    <row r="250" spans="1:7" x14ac:dyDescent="0.25">
      <c r="A250" s="150" t="s">
        <v>326</v>
      </c>
      <c r="B250" s="151">
        <v>415</v>
      </c>
      <c r="C250" s="151">
        <v>115</v>
      </c>
      <c r="D250" s="151">
        <v>801</v>
      </c>
      <c r="E250" s="151">
        <v>37</v>
      </c>
      <c r="F250" s="151">
        <v>52</v>
      </c>
      <c r="G250" s="151">
        <v>1420</v>
      </c>
    </row>
    <row r="251" spans="1:7" x14ac:dyDescent="0.25">
      <c r="A251" s="150" t="s">
        <v>327</v>
      </c>
      <c r="B251" s="151">
        <v>530</v>
      </c>
      <c r="C251" s="151">
        <v>215</v>
      </c>
      <c r="D251" s="151">
        <v>699</v>
      </c>
      <c r="E251" s="151">
        <v>30</v>
      </c>
      <c r="F251" s="151">
        <v>73</v>
      </c>
      <c r="G251" s="151">
        <v>1547</v>
      </c>
    </row>
    <row r="252" spans="1:7" x14ac:dyDescent="0.25">
      <c r="A252" s="150" t="s">
        <v>328</v>
      </c>
      <c r="B252" s="151">
        <v>658</v>
      </c>
      <c r="C252" s="151">
        <v>134</v>
      </c>
      <c r="D252" s="151">
        <v>546</v>
      </c>
      <c r="E252" s="151">
        <v>34</v>
      </c>
      <c r="F252" s="151">
        <v>47</v>
      </c>
      <c r="G252" s="151">
        <v>1419</v>
      </c>
    </row>
    <row r="253" spans="1:7" x14ac:dyDescent="0.25">
      <c r="A253" s="150" t="s">
        <v>329</v>
      </c>
      <c r="B253" s="151">
        <v>1917</v>
      </c>
      <c r="C253" s="151">
        <v>599</v>
      </c>
      <c r="D253" s="151">
        <v>3069</v>
      </c>
      <c r="E253" s="151">
        <v>215</v>
      </c>
      <c r="F253" s="151">
        <v>225</v>
      </c>
      <c r="G253" s="151">
        <v>6025</v>
      </c>
    </row>
    <row r="254" spans="1:7" x14ac:dyDescent="0.25">
      <c r="A254" s="150" t="s">
        <v>330</v>
      </c>
      <c r="B254" s="151">
        <v>2797</v>
      </c>
      <c r="C254" s="151">
        <v>1052</v>
      </c>
      <c r="D254" s="151">
        <v>5126</v>
      </c>
      <c r="E254" s="151">
        <v>460</v>
      </c>
      <c r="F254" s="151">
        <v>526</v>
      </c>
      <c r="G254" s="151">
        <v>9961</v>
      </c>
    </row>
    <row r="255" spans="1:7" x14ac:dyDescent="0.25">
      <c r="A255" s="150" t="s">
        <v>331</v>
      </c>
      <c r="B255" s="151">
        <v>287</v>
      </c>
      <c r="C255" s="151">
        <v>103</v>
      </c>
      <c r="D255" s="151">
        <v>617</v>
      </c>
      <c r="E255" s="151">
        <v>36</v>
      </c>
      <c r="F255" s="151">
        <v>42</v>
      </c>
      <c r="G255" s="151">
        <v>1085</v>
      </c>
    </row>
    <row r="256" spans="1:7" x14ac:dyDescent="0.25">
      <c r="A256" s="150" t="s">
        <v>332</v>
      </c>
      <c r="B256" s="151">
        <v>1354</v>
      </c>
      <c r="C256" s="151">
        <v>392</v>
      </c>
      <c r="D256" s="151">
        <v>2684</v>
      </c>
      <c r="E256" s="151">
        <v>245</v>
      </c>
      <c r="F256" s="151">
        <v>199</v>
      </c>
      <c r="G256" s="151">
        <v>4874</v>
      </c>
    </row>
    <row r="257" spans="1:7" x14ac:dyDescent="0.25">
      <c r="A257" s="150" t="s">
        <v>333</v>
      </c>
      <c r="B257" s="151">
        <v>1013</v>
      </c>
      <c r="C257" s="151">
        <v>211</v>
      </c>
      <c r="D257" s="151">
        <v>2154</v>
      </c>
      <c r="E257" s="151">
        <v>160</v>
      </c>
      <c r="F257" s="151">
        <v>125</v>
      </c>
      <c r="G257" s="151">
        <v>3663</v>
      </c>
    </row>
    <row r="258" spans="1:7" x14ac:dyDescent="0.25">
      <c r="A258" s="150" t="s">
        <v>334</v>
      </c>
      <c r="B258" s="151">
        <v>741</v>
      </c>
      <c r="C258" s="151">
        <v>304</v>
      </c>
      <c r="D258" s="151">
        <v>1200</v>
      </c>
      <c r="E258" s="151">
        <v>66</v>
      </c>
      <c r="F258" s="151">
        <v>92</v>
      </c>
      <c r="G258" s="151">
        <v>2403</v>
      </c>
    </row>
    <row r="259" spans="1:7" x14ac:dyDescent="0.25">
      <c r="A259" s="150" t="s">
        <v>335</v>
      </c>
      <c r="B259" s="151">
        <v>407</v>
      </c>
      <c r="C259" s="151">
        <v>167</v>
      </c>
      <c r="D259" s="151">
        <v>1132</v>
      </c>
      <c r="E259" s="151">
        <v>60</v>
      </c>
      <c r="F259" s="151">
        <v>91</v>
      </c>
      <c r="G259" s="151">
        <v>1857</v>
      </c>
    </row>
    <row r="260" spans="1:7" x14ac:dyDescent="0.25">
      <c r="A260" s="150" t="s">
        <v>336</v>
      </c>
      <c r="B260" s="151">
        <v>895</v>
      </c>
      <c r="C260" s="151">
        <v>317</v>
      </c>
      <c r="D260" s="151">
        <v>939</v>
      </c>
      <c r="E260" s="151">
        <v>56</v>
      </c>
      <c r="F260" s="151">
        <v>118</v>
      </c>
      <c r="G260" s="151">
        <v>2325</v>
      </c>
    </row>
    <row r="261" spans="1:7" x14ac:dyDescent="0.25">
      <c r="A261" s="150" t="s">
        <v>337</v>
      </c>
      <c r="B261" s="151">
        <v>9094</v>
      </c>
      <c r="C261" s="151">
        <v>2949</v>
      </c>
      <c r="D261" s="151">
        <v>25921</v>
      </c>
      <c r="E261" s="151">
        <v>2940</v>
      </c>
      <c r="F261" s="151">
        <v>1770</v>
      </c>
      <c r="G261" s="151">
        <v>42674</v>
      </c>
    </row>
    <row r="262" spans="1:7" x14ac:dyDescent="0.25">
      <c r="A262" s="150" t="s">
        <v>338</v>
      </c>
      <c r="B262" s="151">
        <v>1212</v>
      </c>
      <c r="C262" s="151">
        <v>326</v>
      </c>
      <c r="D262" s="151">
        <v>1166</v>
      </c>
      <c r="E262" s="151">
        <v>63</v>
      </c>
      <c r="F262" s="151">
        <v>98</v>
      </c>
      <c r="G262" s="151">
        <v>2865</v>
      </c>
    </row>
    <row r="263" spans="1:7" x14ac:dyDescent="0.25">
      <c r="A263" s="150" t="s">
        <v>339</v>
      </c>
      <c r="B263" s="151">
        <v>716</v>
      </c>
      <c r="C263" s="151">
        <v>221</v>
      </c>
      <c r="D263" s="151">
        <v>847</v>
      </c>
      <c r="E263" s="151">
        <v>45</v>
      </c>
      <c r="F263" s="151">
        <v>82</v>
      </c>
      <c r="G263" s="151">
        <v>1911</v>
      </c>
    </row>
    <row r="264" spans="1:7" x14ac:dyDescent="0.25">
      <c r="A264" s="150" t="s">
        <v>340</v>
      </c>
      <c r="B264" s="151">
        <v>994</v>
      </c>
      <c r="C264" s="151">
        <v>380</v>
      </c>
      <c r="D264" s="151">
        <v>2543</v>
      </c>
      <c r="E264" s="151">
        <v>169</v>
      </c>
      <c r="F264" s="151">
        <v>141</v>
      </c>
      <c r="G264" s="151">
        <v>4227</v>
      </c>
    </row>
    <row r="265" spans="1:7" x14ac:dyDescent="0.25">
      <c r="A265" s="150" t="s">
        <v>341</v>
      </c>
      <c r="B265" s="151">
        <v>1629</v>
      </c>
      <c r="C265" s="151">
        <v>547</v>
      </c>
      <c r="D265" s="151">
        <v>4478</v>
      </c>
      <c r="E265" s="151">
        <v>334</v>
      </c>
      <c r="F265" s="151">
        <v>258</v>
      </c>
      <c r="G265" s="151">
        <v>7246</v>
      </c>
    </row>
    <row r="266" spans="1:7" x14ac:dyDescent="0.25">
      <c r="A266" s="150" t="s">
        <v>342</v>
      </c>
      <c r="B266" s="151">
        <v>1181</v>
      </c>
      <c r="C266" s="151">
        <v>405</v>
      </c>
      <c r="D266" s="151">
        <v>2381</v>
      </c>
      <c r="E266" s="151">
        <v>182</v>
      </c>
      <c r="F266" s="151">
        <v>169</v>
      </c>
      <c r="G266" s="151">
        <v>4318</v>
      </c>
    </row>
    <row r="267" spans="1:7" x14ac:dyDescent="0.25">
      <c r="A267" s="150" t="s">
        <v>343</v>
      </c>
      <c r="B267" s="151">
        <v>2534</v>
      </c>
      <c r="C267" s="151">
        <v>680</v>
      </c>
      <c r="D267" s="151">
        <v>6166</v>
      </c>
      <c r="E267" s="151">
        <v>480</v>
      </c>
      <c r="F267" s="151">
        <v>404</v>
      </c>
      <c r="G267" s="151">
        <v>10264</v>
      </c>
    </row>
    <row r="268" spans="1:7" x14ac:dyDescent="0.25">
      <c r="A268" s="198" t="s">
        <v>35</v>
      </c>
      <c r="B268" s="199">
        <v>43591</v>
      </c>
      <c r="C268" s="199">
        <v>13744</v>
      </c>
      <c r="D268" s="199">
        <v>91902</v>
      </c>
      <c r="E268" s="199">
        <v>7758</v>
      </c>
      <c r="F268" s="199">
        <v>6637</v>
      </c>
      <c r="G268" s="199">
        <v>163632</v>
      </c>
    </row>
    <row r="269" spans="1:7" x14ac:dyDescent="0.25">
      <c r="A269" s="172"/>
      <c r="B269" s="172"/>
      <c r="C269" s="172"/>
      <c r="D269" s="172"/>
    </row>
    <row r="270" spans="1:7" x14ac:dyDescent="0.25">
      <c r="A270" s="172"/>
      <c r="B270" s="172"/>
      <c r="C270" s="172"/>
      <c r="D270" s="172"/>
    </row>
    <row r="271" spans="1:7" x14ac:dyDescent="0.25">
      <c r="A271" s="172"/>
      <c r="B271" s="172"/>
      <c r="C271" s="172"/>
      <c r="D271" s="172"/>
    </row>
    <row r="272" spans="1:7" x14ac:dyDescent="0.25">
      <c r="A272" s="172"/>
      <c r="B272" s="172"/>
      <c r="C272" s="172"/>
      <c r="D272" s="172"/>
    </row>
    <row r="273" spans="1:7" x14ac:dyDescent="0.25">
      <c r="A273" s="201" t="s">
        <v>526</v>
      </c>
    </row>
    <row r="274" spans="1:7" x14ac:dyDescent="0.25">
      <c r="A274" s="172"/>
      <c r="B274" s="479" t="s">
        <v>499</v>
      </c>
      <c r="C274" s="479"/>
      <c r="D274" s="479"/>
      <c r="E274" s="479"/>
      <c r="F274" s="479"/>
      <c r="G274" s="105"/>
    </row>
    <row r="275" spans="1:7" x14ac:dyDescent="0.25">
      <c r="A275" s="174" t="s">
        <v>544</v>
      </c>
      <c r="B275" s="203" t="s">
        <v>138</v>
      </c>
      <c r="C275" s="203" t="s">
        <v>139</v>
      </c>
      <c r="D275" s="203" t="s">
        <v>140</v>
      </c>
      <c r="E275" s="203" t="s">
        <v>19</v>
      </c>
      <c r="F275" s="203" t="s">
        <v>141</v>
      </c>
      <c r="G275" s="175" t="s">
        <v>35</v>
      </c>
    </row>
    <row r="276" spans="1:7" x14ac:dyDescent="0.25">
      <c r="A276" s="171" t="s">
        <v>345</v>
      </c>
      <c r="B276" s="197">
        <v>1507</v>
      </c>
      <c r="C276" s="197">
        <v>547</v>
      </c>
      <c r="D276" s="197">
        <v>4869</v>
      </c>
      <c r="E276" s="197">
        <v>370</v>
      </c>
      <c r="F276" s="197">
        <v>324</v>
      </c>
      <c r="G276" s="197">
        <v>7617</v>
      </c>
    </row>
    <row r="277" spans="1:7" x14ac:dyDescent="0.25">
      <c r="A277" s="150" t="s">
        <v>346</v>
      </c>
      <c r="B277" s="151">
        <v>1888</v>
      </c>
      <c r="C277" s="151">
        <v>462</v>
      </c>
      <c r="D277" s="151">
        <v>2480</v>
      </c>
      <c r="E277" s="151">
        <v>130</v>
      </c>
      <c r="F277" s="151">
        <v>214</v>
      </c>
      <c r="G277" s="151">
        <v>5174</v>
      </c>
    </row>
    <row r="278" spans="1:7" x14ac:dyDescent="0.25">
      <c r="A278" s="150" t="s">
        <v>347</v>
      </c>
      <c r="B278" s="151">
        <v>1431</v>
      </c>
      <c r="C278" s="151">
        <v>604</v>
      </c>
      <c r="D278" s="151">
        <v>4340</v>
      </c>
      <c r="E278" s="151">
        <v>391</v>
      </c>
      <c r="F278" s="151">
        <v>422</v>
      </c>
      <c r="G278" s="151">
        <v>7188</v>
      </c>
    </row>
    <row r="279" spans="1:7" x14ac:dyDescent="0.25">
      <c r="A279" s="150" t="s">
        <v>348</v>
      </c>
      <c r="B279" s="151">
        <v>193</v>
      </c>
      <c r="C279" s="151">
        <v>41</v>
      </c>
      <c r="D279" s="151">
        <v>287</v>
      </c>
      <c r="E279" s="151">
        <v>9</v>
      </c>
      <c r="F279" s="151">
        <v>10</v>
      </c>
      <c r="G279" s="151">
        <v>540</v>
      </c>
    </row>
    <row r="280" spans="1:7" x14ac:dyDescent="0.25">
      <c r="A280" s="150" t="s">
        <v>349</v>
      </c>
      <c r="B280" s="151">
        <v>541</v>
      </c>
      <c r="C280" s="151">
        <v>200</v>
      </c>
      <c r="D280" s="151">
        <v>1388</v>
      </c>
      <c r="E280" s="151">
        <v>79</v>
      </c>
      <c r="F280" s="151">
        <v>123</v>
      </c>
      <c r="G280" s="151">
        <v>2331</v>
      </c>
    </row>
    <row r="281" spans="1:7" x14ac:dyDescent="0.25">
      <c r="A281" s="150" t="s">
        <v>350</v>
      </c>
      <c r="B281" s="151">
        <v>302</v>
      </c>
      <c r="C281" s="151">
        <v>59</v>
      </c>
      <c r="D281" s="151">
        <v>316</v>
      </c>
      <c r="E281" s="151">
        <v>11</v>
      </c>
      <c r="F281" s="151">
        <v>23</v>
      </c>
      <c r="G281" s="151">
        <v>711</v>
      </c>
    </row>
    <row r="282" spans="1:7" x14ac:dyDescent="0.25">
      <c r="A282" s="150" t="s">
        <v>351</v>
      </c>
      <c r="B282" s="151">
        <v>178</v>
      </c>
      <c r="C282" s="151">
        <v>55</v>
      </c>
      <c r="D282" s="151">
        <v>392</v>
      </c>
      <c r="E282" s="151">
        <v>16</v>
      </c>
      <c r="F282" s="151">
        <v>34</v>
      </c>
      <c r="G282" s="151">
        <v>675</v>
      </c>
    </row>
    <row r="283" spans="1:7" x14ac:dyDescent="0.25">
      <c r="A283" s="150" t="s">
        <v>352</v>
      </c>
      <c r="B283" s="151">
        <v>579</v>
      </c>
      <c r="C283" s="151">
        <v>162</v>
      </c>
      <c r="D283" s="151">
        <v>1010</v>
      </c>
      <c r="E283" s="151">
        <v>55</v>
      </c>
      <c r="F283" s="151">
        <v>117</v>
      </c>
      <c r="G283" s="151">
        <v>1923</v>
      </c>
    </row>
    <row r="284" spans="1:7" x14ac:dyDescent="0.25">
      <c r="A284" s="150" t="s">
        <v>353</v>
      </c>
      <c r="B284" s="151">
        <v>749</v>
      </c>
      <c r="C284" s="151">
        <v>209</v>
      </c>
      <c r="D284" s="151">
        <v>1214</v>
      </c>
      <c r="E284" s="151">
        <v>93</v>
      </c>
      <c r="F284" s="151">
        <v>82</v>
      </c>
      <c r="G284" s="151">
        <v>2347</v>
      </c>
    </row>
    <row r="285" spans="1:7" x14ac:dyDescent="0.25">
      <c r="A285" s="150" t="s">
        <v>354</v>
      </c>
      <c r="B285" s="151">
        <v>695</v>
      </c>
      <c r="C285" s="151">
        <v>218</v>
      </c>
      <c r="D285" s="151">
        <v>1934</v>
      </c>
      <c r="E285" s="151">
        <v>168</v>
      </c>
      <c r="F285" s="151">
        <v>110</v>
      </c>
      <c r="G285" s="151">
        <v>3125</v>
      </c>
    </row>
    <row r="286" spans="1:7" x14ac:dyDescent="0.25">
      <c r="A286" s="150" t="s">
        <v>355</v>
      </c>
      <c r="B286" s="151">
        <v>144</v>
      </c>
      <c r="C286" s="151">
        <v>21</v>
      </c>
      <c r="D286" s="151">
        <v>232</v>
      </c>
      <c r="E286" s="151">
        <v>6</v>
      </c>
      <c r="F286" s="151">
        <v>7</v>
      </c>
      <c r="G286" s="151">
        <v>410</v>
      </c>
    </row>
    <row r="287" spans="1:7" x14ac:dyDescent="0.25">
      <c r="A287" s="150" t="s">
        <v>356</v>
      </c>
      <c r="B287" s="151">
        <v>417</v>
      </c>
      <c r="C287" s="151">
        <v>138</v>
      </c>
      <c r="D287" s="151">
        <v>588</v>
      </c>
      <c r="E287" s="151">
        <v>38</v>
      </c>
      <c r="F287" s="151">
        <v>53</v>
      </c>
      <c r="G287" s="151">
        <v>1234</v>
      </c>
    </row>
    <row r="288" spans="1:7" x14ac:dyDescent="0.25">
      <c r="A288" s="150" t="s">
        <v>357</v>
      </c>
      <c r="B288" s="151">
        <v>628</v>
      </c>
      <c r="C288" s="151">
        <v>214</v>
      </c>
      <c r="D288" s="151">
        <v>1878</v>
      </c>
      <c r="E288" s="151">
        <v>201</v>
      </c>
      <c r="F288" s="151">
        <v>123</v>
      </c>
      <c r="G288" s="151">
        <v>3044</v>
      </c>
    </row>
    <row r="289" spans="1:7" x14ac:dyDescent="0.25">
      <c r="A289" s="150" t="s">
        <v>358</v>
      </c>
      <c r="B289" s="151">
        <v>1270</v>
      </c>
      <c r="C289" s="151">
        <v>361</v>
      </c>
      <c r="D289" s="151">
        <v>1467</v>
      </c>
      <c r="E289" s="151">
        <v>74</v>
      </c>
      <c r="F289" s="151">
        <v>113</v>
      </c>
      <c r="G289" s="151">
        <v>3285</v>
      </c>
    </row>
    <row r="290" spans="1:7" x14ac:dyDescent="0.25">
      <c r="A290" s="150" t="s">
        <v>359</v>
      </c>
      <c r="B290" s="151">
        <v>1228</v>
      </c>
      <c r="C290" s="151">
        <v>333</v>
      </c>
      <c r="D290" s="151">
        <v>1189</v>
      </c>
      <c r="E290" s="151">
        <v>63</v>
      </c>
      <c r="F290" s="151">
        <v>96</v>
      </c>
      <c r="G290" s="151">
        <v>2909</v>
      </c>
    </row>
    <row r="291" spans="1:7" x14ac:dyDescent="0.25">
      <c r="A291" s="150" t="s">
        <v>360</v>
      </c>
      <c r="B291" s="151">
        <v>5455</v>
      </c>
      <c r="C291" s="151">
        <v>2892</v>
      </c>
      <c r="D291" s="151">
        <v>17096</v>
      </c>
      <c r="E291" s="151">
        <v>2220</v>
      </c>
      <c r="F291" s="151">
        <v>1838</v>
      </c>
      <c r="G291" s="151">
        <v>29501</v>
      </c>
    </row>
    <row r="292" spans="1:7" x14ac:dyDescent="0.25">
      <c r="A292" s="150" t="s">
        <v>361</v>
      </c>
      <c r="B292" s="151">
        <v>118</v>
      </c>
      <c r="C292" s="151">
        <v>15</v>
      </c>
      <c r="D292" s="151">
        <v>244</v>
      </c>
      <c r="E292" s="151">
        <v>19</v>
      </c>
      <c r="F292" s="151">
        <v>9</v>
      </c>
      <c r="G292" s="151">
        <v>405</v>
      </c>
    </row>
    <row r="293" spans="1:7" x14ac:dyDescent="0.25">
      <c r="A293" s="150" t="s">
        <v>362</v>
      </c>
      <c r="B293" s="151">
        <v>6448</v>
      </c>
      <c r="C293" s="151">
        <v>2241</v>
      </c>
      <c r="D293" s="151">
        <v>17969</v>
      </c>
      <c r="E293" s="151">
        <v>1841</v>
      </c>
      <c r="F293" s="151">
        <v>1545</v>
      </c>
      <c r="G293" s="151">
        <v>30044</v>
      </c>
    </row>
    <row r="294" spans="1:7" x14ac:dyDescent="0.25">
      <c r="A294" s="150" t="s">
        <v>363</v>
      </c>
      <c r="B294" s="151">
        <v>348</v>
      </c>
      <c r="C294" s="151">
        <v>187</v>
      </c>
      <c r="D294" s="151">
        <v>791</v>
      </c>
      <c r="E294" s="151">
        <v>60</v>
      </c>
      <c r="F294" s="151">
        <v>91</v>
      </c>
      <c r="G294" s="151">
        <v>1477</v>
      </c>
    </row>
    <row r="295" spans="1:7" x14ac:dyDescent="0.25">
      <c r="A295" s="150" t="s">
        <v>364</v>
      </c>
      <c r="B295" s="151">
        <v>1076</v>
      </c>
      <c r="C295" s="151">
        <v>319</v>
      </c>
      <c r="D295" s="151">
        <v>3548</v>
      </c>
      <c r="E295" s="151">
        <v>370</v>
      </c>
      <c r="F295" s="151">
        <v>180</v>
      </c>
      <c r="G295" s="151">
        <v>5493</v>
      </c>
    </row>
    <row r="296" spans="1:7" x14ac:dyDescent="0.25">
      <c r="A296" s="150" t="s">
        <v>365</v>
      </c>
      <c r="B296" s="151">
        <v>250</v>
      </c>
      <c r="C296" s="151">
        <v>69</v>
      </c>
      <c r="D296" s="151">
        <v>348</v>
      </c>
      <c r="E296" s="151">
        <v>13</v>
      </c>
      <c r="F296" s="151">
        <v>37</v>
      </c>
      <c r="G296" s="151">
        <v>717</v>
      </c>
    </row>
    <row r="297" spans="1:7" x14ac:dyDescent="0.25">
      <c r="A297" s="150" t="s">
        <v>366</v>
      </c>
      <c r="B297" s="151">
        <v>980</v>
      </c>
      <c r="C297" s="151">
        <v>448</v>
      </c>
      <c r="D297" s="151">
        <v>2660</v>
      </c>
      <c r="E297" s="151">
        <v>256</v>
      </c>
      <c r="F297" s="151">
        <v>244</v>
      </c>
      <c r="G297" s="151">
        <v>4588</v>
      </c>
    </row>
    <row r="298" spans="1:7" x14ac:dyDescent="0.25">
      <c r="A298" s="150" t="s">
        <v>367</v>
      </c>
      <c r="B298" s="151">
        <v>485</v>
      </c>
      <c r="C298" s="151">
        <v>283</v>
      </c>
      <c r="D298" s="151">
        <v>1180</v>
      </c>
      <c r="E298" s="151">
        <v>87</v>
      </c>
      <c r="F298" s="151">
        <v>131</v>
      </c>
      <c r="G298" s="151">
        <v>2166</v>
      </c>
    </row>
    <row r="299" spans="1:7" x14ac:dyDescent="0.25">
      <c r="A299" s="150" t="s">
        <v>368</v>
      </c>
      <c r="B299" s="151">
        <v>252</v>
      </c>
      <c r="C299" s="151">
        <v>100</v>
      </c>
      <c r="D299" s="151">
        <v>462</v>
      </c>
      <c r="E299" s="151">
        <v>27</v>
      </c>
      <c r="F299" s="151">
        <v>43</v>
      </c>
      <c r="G299" s="151">
        <v>884</v>
      </c>
    </row>
    <row r="300" spans="1:7" x14ac:dyDescent="0.25">
      <c r="A300" s="150" t="s">
        <v>369</v>
      </c>
      <c r="B300" s="151">
        <v>795</v>
      </c>
      <c r="C300" s="151">
        <v>300</v>
      </c>
      <c r="D300" s="151">
        <v>1691</v>
      </c>
      <c r="E300" s="151">
        <v>77</v>
      </c>
      <c r="F300" s="151">
        <v>207</v>
      </c>
      <c r="G300" s="151">
        <v>3070</v>
      </c>
    </row>
    <row r="301" spans="1:7" x14ac:dyDescent="0.25">
      <c r="A301" s="150" t="s">
        <v>370</v>
      </c>
      <c r="B301" s="151">
        <v>522</v>
      </c>
      <c r="C301" s="151">
        <v>121</v>
      </c>
      <c r="D301" s="151">
        <v>656</v>
      </c>
      <c r="E301" s="151">
        <v>36</v>
      </c>
      <c r="F301" s="151">
        <v>53</v>
      </c>
      <c r="G301" s="151">
        <v>1388</v>
      </c>
    </row>
    <row r="302" spans="1:7" x14ac:dyDescent="0.25">
      <c r="A302" s="150" t="s">
        <v>371</v>
      </c>
      <c r="B302" s="151">
        <v>553</v>
      </c>
      <c r="C302" s="151">
        <v>156</v>
      </c>
      <c r="D302" s="151">
        <v>645</v>
      </c>
      <c r="E302" s="151">
        <v>38</v>
      </c>
      <c r="F302" s="151">
        <v>66</v>
      </c>
      <c r="G302" s="151">
        <v>1458</v>
      </c>
    </row>
    <row r="303" spans="1:7" x14ac:dyDescent="0.25">
      <c r="A303" s="150" t="s">
        <v>372</v>
      </c>
      <c r="B303" s="151">
        <v>679</v>
      </c>
      <c r="C303" s="151">
        <v>385</v>
      </c>
      <c r="D303" s="151">
        <v>1555</v>
      </c>
      <c r="E303" s="151">
        <v>136</v>
      </c>
      <c r="F303" s="151">
        <v>204</v>
      </c>
      <c r="G303" s="151">
        <v>2959</v>
      </c>
    </row>
    <row r="304" spans="1:7" ht="30" x14ac:dyDescent="0.25">
      <c r="A304" s="150" t="s">
        <v>373</v>
      </c>
      <c r="B304" s="151">
        <v>679</v>
      </c>
      <c r="C304" s="151">
        <v>329</v>
      </c>
      <c r="D304" s="151">
        <v>575</v>
      </c>
      <c r="E304" s="151">
        <v>28</v>
      </c>
      <c r="F304" s="151">
        <v>86</v>
      </c>
      <c r="G304" s="151">
        <v>1697</v>
      </c>
    </row>
    <row r="305" spans="1:7" x14ac:dyDescent="0.25">
      <c r="A305" s="150" t="s">
        <v>374</v>
      </c>
      <c r="B305" s="151">
        <v>572</v>
      </c>
      <c r="C305" s="151">
        <v>310</v>
      </c>
      <c r="D305" s="151">
        <v>1138</v>
      </c>
      <c r="E305" s="151">
        <v>82</v>
      </c>
      <c r="F305" s="151">
        <v>145</v>
      </c>
      <c r="G305" s="151">
        <v>2247</v>
      </c>
    </row>
    <row r="306" spans="1:7" x14ac:dyDescent="0.25">
      <c r="A306" s="198" t="s">
        <v>35</v>
      </c>
      <c r="B306" s="199">
        <v>30962</v>
      </c>
      <c r="C306" s="199">
        <v>11779</v>
      </c>
      <c r="D306" s="199">
        <v>74142</v>
      </c>
      <c r="E306" s="199">
        <v>6994</v>
      </c>
      <c r="F306" s="199">
        <v>6730</v>
      </c>
      <c r="G306" s="199">
        <v>130607</v>
      </c>
    </row>
    <row r="307" spans="1:7" x14ac:dyDescent="0.25">
      <c r="A307" s="172"/>
      <c r="B307" s="172"/>
      <c r="C307" s="172"/>
      <c r="D307" s="172"/>
      <c r="E307" s="172"/>
      <c r="F307" s="172"/>
      <c r="G307" s="172"/>
    </row>
    <row r="308" spans="1:7" x14ac:dyDescent="0.25">
      <c r="A308" s="172"/>
      <c r="B308" s="172"/>
      <c r="C308" s="172"/>
      <c r="D308" s="172"/>
      <c r="E308" s="172"/>
      <c r="F308" s="172"/>
      <c r="G308" s="172"/>
    </row>
    <row r="309" spans="1:7" x14ac:dyDescent="0.25">
      <c r="A309" s="172"/>
      <c r="B309" s="172"/>
      <c r="C309" s="172"/>
      <c r="D309" s="172"/>
      <c r="E309" s="172"/>
      <c r="F309" s="172"/>
      <c r="G309" s="172"/>
    </row>
    <row r="310" spans="1:7" x14ac:dyDescent="0.25">
      <c r="A310" s="172"/>
      <c r="B310" s="172"/>
      <c r="C310" s="172"/>
      <c r="D310" s="172"/>
    </row>
    <row r="311" spans="1:7" x14ac:dyDescent="0.25">
      <c r="A311" s="201" t="s">
        <v>527</v>
      </c>
    </row>
    <row r="312" spans="1:7" x14ac:dyDescent="0.25">
      <c r="A312" s="172"/>
      <c r="B312" s="479" t="s">
        <v>499</v>
      </c>
      <c r="C312" s="479"/>
      <c r="D312" s="479"/>
      <c r="E312" s="479"/>
      <c r="F312" s="479"/>
      <c r="G312" s="105"/>
    </row>
    <row r="313" spans="1:7" x14ac:dyDescent="0.25">
      <c r="A313" s="174" t="s">
        <v>544</v>
      </c>
      <c r="B313" s="203" t="s">
        <v>138</v>
      </c>
      <c r="C313" s="203" t="s">
        <v>139</v>
      </c>
      <c r="D313" s="203" t="s">
        <v>140</v>
      </c>
      <c r="E313" s="203" t="s">
        <v>19</v>
      </c>
      <c r="F313" s="203" t="s">
        <v>141</v>
      </c>
      <c r="G313" s="175" t="s">
        <v>35</v>
      </c>
    </row>
    <row r="314" spans="1:7" x14ac:dyDescent="0.25">
      <c r="A314" s="171" t="s">
        <v>375</v>
      </c>
      <c r="B314" s="197">
        <v>449</v>
      </c>
      <c r="C314" s="197">
        <v>69</v>
      </c>
      <c r="D314" s="197">
        <v>583</v>
      </c>
      <c r="E314" s="197">
        <v>21</v>
      </c>
      <c r="F314" s="197">
        <v>37</v>
      </c>
      <c r="G314" s="197">
        <v>1159</v>
      </c>
    </row>
    <row r="315" spans="1:7" x14ac:dyDescent="0.25">
      <c r="A315" s="150" t="s">
        <v>376</v>
      </c>
      <c r="B315" s="151">
        <v>139</v>
      </c>
      <c r="C315" s="151">
        <v>37</v>
      </c>
      <c r="D315" s="151">
        <v>434</v>
      </c>
      <c r="E315" s="151">
        <v>11</v>
      </c>
      <c r="F315" s="151">
        <v>23</v>
      </c>
      <c r="G315" s="151">
        <v>644</v>
      </c>
    </row>
    <row r="316" spans="1:7" x14ac:dyDescent="0.25">
      <c r="A316" s="150" t="s">
        <v>377</v>
      </c>
      <c r="B316" s="151">
        <v>163</v>
      </c>
      <c r="C316" s="151">
        <v>30</v>
      </c>
      <c r="D316" s="151">
        <v>257</v>
      </c>
      <c r="E316" s="151">
        <v>15</v>
      </c>
      <c r="F316" s="151">
        <v>8</v>
      </c>
      <c r="G316" s="151">
        <v>473</v>
      </c>
    </row>
    <row r="317" spans="1:7" x14ac:dyDescent="0.25">
      <c r="A317" s="150" t="s">
        <v>378</v>
      </c>
      <c r="B317" s="151">
        <v>1401</v>
      </c>
      <c r="C317" s="151">
        <v>479</v>
      </c>
      <c r="D317" s="151">
        <v>4698</v>
      </c>
      <c r="E317" s="151">
        <v>407</v>
      </c>
      <c r="F317" s="151">
        <v>418</v>
      </c>
      <c r="G317" s="151">
        <v>7403</v>
      </c>
    </row>
    <row r="318" spans="1:7" x14ac:dyDescent="0.25">
      <c r="A318" s="150" t="s">
        <v>379</v>
      </c>
      <c r="B318" s="151">
        <v>50</v>
      </c>
      <c r="C318" s="151">
        <v>11</v>
      </c>
      <c r="D318" s="151">
        <v>83</v>
      </c>
      <c r="E318" s="151">
        <v>2</v>
      </c>
      <c r="F318" s="151">
        <v>7</v>
      </c>
      <c r="G318" s="151">
        <v>153</v>
      </c>
    </row>
    <row r="319" spans="1:7" x14ac:dyDescent="0.25">
      <c r="A319" s="150" t="s">
        <v>380</v>
      </c>
      <c r="B319" s="151">
        <v>50</v>
      </c>
      <c r="C319" s="151">
        <v>4</v>
      </c>
      <c r="D319" s="151">
        <v>99</v>
      </c>
      <c r="E319" s="151">
        <v>2</v>
      </c>
      <c r="F319" s="151">
        <v>3</v>
      </c>
      <c r="G319" s="151">
        <v>158</v>
      </c>
    </row>
    <row r="320" spans="1:7" x14ac:dyDescent="0.25">
      <c r="A320" s="150" t="s">
        <v>381</v>
      </c>
      <c r="B320" s="151">
        <v>15</v>
      </c>
      <c r="C320" s="151">
        <v>1</v>
      </c>
      <c r="D320" s="151">
        <v>27</v>
      </c>
      <c r="E320" s="151">
        <v>0</v>
      </c>
      <c r="F320" s="151">
        <v>1</v>
      </c>
      <c r="G320" s="151">
        <v>44</v>
      </c>
    </row>
    <row r="321" spans="1:7" x14ac:dyDescent="0.25">
      <c r="A321" s="150" t="s">
        <v>382</v>
      </c>
      <c r="B321" s="151">
        <v>575</v>
      </c>
      <c r="C321" s="151">
        <v>190</v>
      </c>
      <c r="D321" s="151">
        <v>2000</v>
      </c>
      <c r="E321" s="151">
        <v>109</v>
      </c>
      <c r="F321" s="151">
        <v>139</v>
      </c>
      <c r="G321" s="151">
        <v>3013</v>
      </c>
    </row>
    <row r="322" spans="1:7" x14ac:dyDescent="0.25">
      <c r="A322" s="150" t="s">
        <v>508</v>
      </c>
      <c r="B322" s="151">
        <v>124</v>
      </c>
      <c r="C322" s="151">
        <v>23</v>
      </c>
      <c r="D322" s="151">
        <v>299</v>
      </c>
      <c r="E322" s="151">
        <v>7</v>
      </c>
      <c r="F322" s="151">
        <v>16</v>
      </c>
      <c r="G322" s="151">
        <v>469</v>
      </c>
    </row>
    <row r="323" spans="1:7" x14ac:dyDescent="0.25">
      <c r="A323" s="150" t="s">
        <v>383</v>
      </c>
      <c r="B323" s="151">
        <v>12</v>
      </c>
      <c r="C323" s="151">
        <v>1</v>
      </c>
      <c r="D323" s="151">
        <v>25</v>
      </c>
      <c r="E323" s="151">
        <v>0</v>
      </c>
      <c r="F323" s="151">
        <v>3</v>
      </c>
      <c r="G323" s="151">
        <v>41</v>
      </c>
    </row>
    <row r="324" spans="1:7" x14ac:dyDescent="0.25">
      <c r="A324" s="198" t="s">
        <v>35</v>
      </c>
      <c r="B324" s="199">
        <v>2978</v>
      </c>
      <c r="C324" s="199">
        <v>845</v>
      </c>
      <c r="D324" s="199">
        <v>8505</v>
      </c>
      <c r="E324" s="199">
        <v>574</v>
      </c>
      <c r="F324" s="199">
        <v>655</v>
      </c>
      <c r="G324" s="199">
        <v>13557</v>
      </c>
    </row>
    <row r="325" spans="1:7" x14ac:dyDescent="0.25">
      <c r="A325" s="172"/>
      <c r="B325" s="172"/>
      <c r="C325" s="172"/>
      <c r="D325" s="172"/>
    </row>
    <row r="326" spans="1:7" x14ac:dyDescent="0.25">
      <c r="A326" s="172"/>
      <c r="B326" s="172"/>
      <c r="C326" s="172"/>
      <c r="D326" s="172"/>
    </row>
    <row r="327" spans="1:7" x14ac:dyDescent="0.25">
      <c r="A327" s="172"/>
      <c r="B327" s="172"/>
      <c r="C327" s="172"/>
      <c r="D327" s="172"/>
    </row>
    <row r="328" spans="1:7" x14ac:dyDescent="0.25">
      <c r="A328" s="201" t="s">
        <v>528</v>
      </c>
    </row>
    <row r="329" spans="1:7" x14ac:dyDescent="0.25">
      <c r="A329" s="172"/>
      <c r="B329" s="479" t="s">
        <v>499</v>
      </c>
      <c r="C329" s="479"/>
      <c r="D329" s="479"/>
      <c r="E329" s="479"/>
      <c r="F329" s="479"/>
      <c r="G329" s="105"/>
    </row>
    <row r="330" spans="1:7" x14ac:dyDescent="0.25">
      <c r="A330" s="174" t="s">
        <v>544</v>
      </c>
      <c r="B330" s="203" t="s">
        <v>138</v>
      </c>
      <c r="C330" s="203" t="s">
        <v>139</v>
      </c>
      <c r="D330" s="203" t="s">
        <v>140</v>
      </c>
      <c r="E330" s="203" t="s">
        <v>19</v>
      </c>
      <c r="F330" s="203" t="s">
        <v>141</v>
      </c>
      <c r="G330" s="175" t="s">
        <v>35</v>
      </c>
    </row>
    <row r="331" spans="1:7" x14ac:dyDescent="0.25">
      <c r="A331" s="171" t="s">
        <v>384</v>
      </c>
      <c r="B331" s="197">
        <v>17</v>
      </c>
      <c r="C331" s="197">
        <v>7</v>
      </c>
      <c r="D331" s="197">
        <v>71</v>
      </c>
      <c r="E331" s="197">
        <v>2</v>
      </c>
      <c r="F331" s="197">
        <v>4</v>
      </c>
      <c r="G331" s="197">
        <v>101</v>
      </c>
    </row>
    <row r="332" spans="1:7" x14ac:dyDescent="0.25">
      <c r="A332" s="150" t="s">
        <v>385</v>
      </c>
      <c r="B332" s="151">
        <v>0</v>
      </c>
      <c r="C332" s="151">
        <v>0</v>
      </c>
      <c r="D332" s="151">
        <v>4</v>
      </c>
      <c r="E332" s="151">
        <v>0</v>
      </c>
      <c r="F332" s="151">
        <v>0</v>
      </c>
      <c r="G332" s="151">
        <v>4</v>
      </c>
    </row>
    <row r="333" spans="1:7" x14ac:dyDescent="0.25">
      <c r="A333" s="150" t="s">
        <v>386</v>
      </c>
      <c r="B333" s="151">
        <v>3</v>
      </c>
      <c r="C333" s="151">
        <v>0</v>
      </c>
      <c r="D333" s="151">
        <v>15</v>
      </c>
      <c r="E333" s="151">
        <v>0</v>
      </c>
      <c r="F333" s="151">
        <v>1</v>
      </c>
      <c r="G333" s="151">
        <v>19</v>
      </c>
    </row>
    <row r="334" spans="1:7" x14ac:dyDescent="0.25">
      <c r="A334" s="150" t="s">
        <v>387</v>
      </c>
      <c r="B334" s="151">
        <v>1221</v>
      </c>
      <c r="C334" s="151">
        <v>273</v>
      </c>
      <c r="D334" s="151">
        <v>2526</v>
      </c>
      <c r="E334" s="151">
        <v>191</v>
      </c>
      <c r="F334" s="151">
        <v>111</v>
      </c>
      <c r="G334" s="151">
        <v>4322</v>
      </c>
    </row>
    <row r="335" spans="1:7" x14ac:dyDescent="0.25">
      <c r="A335" s="150" t="s">
        <v>388</v>
      </c>
      <c r="B335" s="151">
        <v>173</v>
      </c>
      <c r="C335" s="151">
        <v>43</v>
      </c>
      <c r="D335" s="151">
        <v>628</v>
      </c>
      <c r="E335" s="151">
        <v>44</v>
      </c>
      <c r="F335" s="151">
        <v>30</v>
      </c>
      <c r="G335" s="151">
        <v>918</v>
      </c>
    </row>
    <row r="336" spans="1:7" x14ac:dyDescent="0.25">
      <c r="A336" s="150" t="s">
        <v>389</v>
      </c>
      <c r="B336" s="151">
        <v>7</v>
      </c>
      <c r="C336" s="151">
        <v>5</v>
      </c>
      <c r="D336" s="151">
        <v>49</v>
      </c>
      <c r="E336" s="151">
        <v>3</v>
      </c>
      <c r="F336" s="151">
        <v>1</v>
      </c>
      <c r="G336" s="151">
        <v>65</v>
      </c>
    </row>
    <row r="337" spans="1:7" x14ac:dyDescent="0.25">
      <c r="A337" s="150" t="s">
        <v>390</v>
      </c>
      <c r="B337" s="151">
        <v>3349</v>
      </c>
      <c r="C337" s="151">
        <v>1081</v>
      </c>
      <c r="D337" s="151">
        <v>13090</v>
      </c>
      <c r="E337" s="151">
        <v>1682</v>
      </c>
      <c r="F337" s="151">
        <v>777</v>
      </c>
      <c r="G337" s="151">
        <v>19979</v>
      </c>
    </row>
    <row r="338" spans="1:7" x14ac:dyDescent="0.25">
      <c r="A338" s="150" t="s">
        <v>391</v>
      </c>
      <c r="B338" s="151">
        <v>3</v>
      </c>
      <c r="C338" s="151">
        <v>0</v>
      </c>
      <c r="D338" s="151">
        <v>10</v>
      </c>
      <c r="E338" s="151">
        <v>0</v>
      </c>
      <c r="F338" s="151">
        <v>2</v>
      </c>
      <c r="G338" s="151">
        <v>15</v>
      </c>
    </row>
    <row r="339" spans="1:7" x14ac:dyDescent="0.25">
      <c r="A339" s="150" t="s">
        <v>392</v>
      </c>
      <c r="B339" s="151">
        <v>5</v>
      </c>
      <c r="C339" s="151">
        <v>0</v>
      </c>
      <c r="D339" s="151">
        <v>22</v>
      </c>
      <c r="E339" s="151">
        <v>1</v>
      </c>
      <c r="F339" s="151">
        <v>0</v>
      </c>
      <c r="G339" s="151">
        <v>28</v>
      </c>
    </row>
    <row r="340" spans="1:7" x14ac:dyDescent="0.25">
      <c r="A340" s="150" t="s">
        <v>393</v>
      </c>
      <c r="B340" s="151">
        <v>2</v>
      </c>
      <c r="C340" s="151">
        <v>0</v>
      </c>
      <c r="D340" s="151">
        <v>1</v>
      </c>
      <c r="E340" s="151">
        <v>0</v>
      </c>
      <c r="F340" s="151">
        <v>0</v>
      </c>
      <c r="G340" s="151">
        <v>3</v>
      </c>
    </row>
    <row r="341" spans="1:7" x14ac:dyDescent="0.25">
      <c r="A341" s="150" t="s">
        <v>394</v>
      </c>
      <c r="B341" s="151">
        <v>1</v>
      </c>
      <c r="C341" s="151">
        <v>0</v>
      </c>
      <c r="D341" s="151">
        <v>2</v>
      </c>
      <c r="E341" s="151">
        <v>1</v>
      </c>
      <c r="F341" s="151">
        <v>0</v>
      </c>
      <c r="G341" s="151">
        <v>4</v>
      </c>
    </row>
    <row r="342" spans="1:7" x14ac:dyDescent="0.25">
      <c r="A342" s="198" t="s">
        <v>35</v>
      </c>
      <c r="B342" s="199">
        <v>4781</v>
      </c>
      <c r="C342" s="199">
        <v>1409</v>
      </c>
      <c r="D342" s="199">
        <v>16418</v>
      </c>
      <c r="E342" s="199">
        <v>1924</v>
      </c>
      <c r="F342" s="199">
        <v>926</v>
      </c>
      <c r="G342" s="199">
        <v>25458</v>
      </c>
    </row>
    <row r="343" spans="1:7" x14ac:dyDescent="0.25">
      <c r="A343" s="172"/>
      <c r="B343" s="172"/>
      <c r="C343" s="172"/>
      <c r="D343" s="172"/>
      <c r="E343" s="172"/>
      <c r="F343" s="172"/>
      <c r="G343" s="172"/>
    </row>
    <row r="344" spans="1:7" x14ac:dyDescent="0.25">
      <c r="A344" s="172"/>
      <c r="B344" s="172"/>
      <c r="C344" s="172"/>
      <c r="D344" s="172"/>
      <c r="E344" s="172"/>
      <c r="F344" s="172"/>
      <c r="G344" s="172"/>
    </row>
    <row r="345" spans="1:7" x14ac:dyDescent="0.25">
      <c r="A345" s="172"/>
      <c r="B345" s="172"/>
      <c r="C345" s="172"/>
      <c r="D345" s="172"/>
    </row>
    <row r="346" spans="1:7" x14ac:dyDescent="0.25">
      <c r="A346" s="201" t="s">
        <v>529</v>
      </c>
    </row>
    <row r="347" spans="1:7" x14ac:dyDescent="0.25">
      <c r="A347" s="172"/>
      <c r="B347" s="479" t="s">
        <v>499</v>
      </c>
      <c r="C347" s="479"/>
      <c r="D347" s="479"/>
      <c r="E347" s="479"/>
      <c r="F347" s="479"/>
      <c r="G347" s="105"/>
    </row>
    <row r="348" spans="1:7" x14ac:dyDescent="0.25">
      <c r="A348" s="174" t="s">
        <v>544</v>
      </c>
      <c r="B348" s="203" t="s">
        <v>138</v>
      </c>
      <c r="C348" s="203" t="s">
        <v>139</v>
      </c>
      <c r="D348" s="203" t="s">
        <v>140</v>
      </c>
      <c r="E348" s="203" t="s">
        <v>19</v>
      </c>
      <c r="F348" s="203" t="s">
        <v>141</v>
      </c>
      <c r="G348" s="175" t="s">
        <v>35</v>
      </c>
    </row>
    <row r="349" spans="1:7" x14ac:dyDescent="0.25">
      <c r="A349" s="171" t="s">
        <v>396</v>
      </c>
      <c r="B349" s="197">
        <v>189</v>
      </c>
      <c r="C349" s="197">
        <v>58</v>
      </c>
      <c r="D349" s="197">
        <v>613</v>
      </c>
      <c r="E349" s="197">
        <v>48</v>
      </c>
      <c r="F349" s="197">
        <v>16</v>
      </c>
      <c r="G349" s="197">
        <v>924</v>
      </c>
    </row>
    <row r="350" spans="1:7" x14ac:dyDescent="0.25">
      <c r="A350" s="150" t="s">
        <v>397</v>
      </c>
      <c r="B350" s="151">
        <v>1936</v>
      </c>
      <c r="C350" s="151">
        <v>669</v>
      </c>
      <c r="D350" s="151">
        <v>8419</v>
      </c>
      <c r="E350" s="151">
        <v>752</v>
      </c>
      <c r="F350" s="151">
        <v>454</v>
      </c>
      <c r="G350" s="151">
        <v>12230</v>
      </c>
    </row>
    <row r="351" spans="1:7" x14ac:dyDescent="0.25">
      <c r="A351" s="150" t="s">
        <v>398</v>
      </c>
      <c r="B351" s="151">
        <v>514</v>
      </c>
      <c r="C351" s="151">
        <v>151</v>
      </c>
      <c r="D351" s="151">
        <v>1959</v>
      </c>
      <c r="E351" s="151">
        <v>179</v>
      </c>
      <c r="F351" s="151">
        <v>114</v>
      </c>
      <c r="G351" s="151">
        <v>2917</v>
      </c>
    </row>
    <row r="352" spans="1:7" x14ac:dyDescent="0.25">
      <c r="A352" s="150" t="s">
        <v>399</v>
      </c>
      <c r="B352" s="151">
        <v>2435</v>
      </c>
      <c r="C352" s="151">
        <v>962</v>
      </c>
      <c r="D352" s="151">
        <v>8397</v>
      </c>
      <c r="E352" s="151">
        <v>977</v>
      </c>
      <c r="F352" s="151">
        <v>408</v>
      </c>
      <c r="G352" s="151">
        <v>13179</v>
      </c>
    </row>
    <row r="353" spans="1:7" x14ac:dyDescent="0.25">
      <c r="A353" s="150" t="s">
        <v>400</v>
      </c>
      <c r="B353" s="151">
        <v>5204</v>
      </c>
      <c r="C353" s="151">
        <v>1816</v>
      </c>
      <c r="D353" s="151">
        <v>16160</v>
      </c>
      <c r="E353" s="151">
        <v>1691</v>
      </c>
      <c r="F353" s="151">
        <v>944</v>
      </c>
      <c r="G353" s="151">
        <v>25815</v>
      </c>
    </row>
    <row r="354" spans="1:7" x14ac:dyDescent="0.25">
      <c r="A354" s="150" t="s">
        <v>401</v>
      </c>
      <c r="B354" s="151">
        <v>2392</v>
      </c>
      <c r="C354" s="151">
        <v>1254</v>
      </c>
      <c r="D354" s="151">
        <v>7857</v>
      </c>
      <c r="E354" s="151">
        <v>618</v>
      </c>
      <c r="F354" s="151">
        <v>527</v>
      </c>
      <c r="G354" s="151">
        <v>12648</v>
      </c>
    </row>
    <row r="355" spans="1:7" x14ac:dyDescent="0.25">
      <c r="A355" s="150" t="s">
        <v>402</v>
      </c>
      <c r="B355" s="151">
        <v>5416</v>
      </c>
      <c r="C355" s="151">
        <v>1321</v>
      </c>
      <c r="D355" s="151">
        <v>16813</v>
      </c>
      <c r="E355" s="151">
        <v>1627</v>
      </c>
      <c r="F355" s="151">
        <v>807</v>
      </c>
      <c r="G355" s="151">
        <v>25984</v>
      </c>
    </row>
    <row r="356" spans="1:7" x14ac:dyDescent="0.25">
      <c r="A356" s="150" t="s">
        <v>403</v>
      </c>
      <c r="B356" s="151">
        <v>1137</v>
      </c>
      <c r="C356" s="151">
        <v>275</v>
      </c>
      <c r="D356" s="151">
        <v>3328</v>
      </c>
      <c r="E356" s="151">
        <v>265</v>
      </c>
      <c r="F356" s="151">
        <v>165</v>
      </c>
      <c r="G356" s="151">
        <v>5170</v>
      </c>
    </row>
    <row r="357" spans="1:7" x14ac:dyDescent="0.25">
      <c r="A357" s="150" t="s">
        <v>404</v>
      </c>
      <c r="B357" s="151">
        <v>6070</v>
      </c>
      <c r="C357" s="151">
        <v>2006</v>
      </c>
      <c r="D357" s="151">
        <v>17795</v>
      </c>
      <c r="E357" s="151">
        <v>1801</v>
      </c>
      <c r="F357" s="151">
        <v>1062</v>
      </c>
      <c r="G357" s="151">
        <v>28734</v>
      </c>
    </row>
    <row r="358" spans="1:7" x14ac:dyDescent="0.25">
      <c r="A358" s="150" t="s">
        <v>405</v>
      </c>
      <c r="B358" s="151">
        <v>1137</v>
      </c>
      <c r="C358" s="151">
        <v>350</v>
      </c>
      <c r="D358" s="151">
        <v>3235</v>
      </c>
      <c r="E358" s="151">
        <v>267</v>
      </c>
      <c r="F358" s="151">
        <v>185</v>
      </c>
      <c r="G358" s="151">
        <v>5174</v>
      </c>
    </row>
    <row r="359" spans="1:7" x14ac:dyDescent="0.25">
      <c r="A359" s="150" t="s">
        <v>406</v>
      </c>
      <c r="B359" s="151">
        <v>4813</v>
      </c>
      <c r="C359" s="151">
        <v>1330</v>
      </c>
      <c r="D359" s="151">
        <v>15709</v>
      </c>
      <c r="E359" s="151">
        <v>1499</v>
      </c>
      <c r="F359" s="151">
        <v>760</v>
      </c>
      <c r="G359" s="151">
        <v>24111</v>
      </c>
    </row>
    <row r="360" spans="1:7" x14ac:dyDescent="0.25">
      <c r="A360" s="150" t="s">
        <v>407</v>
      </c>
      <c r="B360" s="151">
        <v>2557</v>
      </c>
      <c r="C360" s="151">
        <v>911</v>
      </c>
      <c r="D360" s="151">
        <v>7608</v>
      </c>
      <c r="E360" s="151">
        <v>794</v>
      </c>
      <c r="F360" s="151">
        <v>463</v>
      </c>
      <c r="G360" s="151">
        <v>12333</v>
      </c>
    </row>
    <row r="361" spans="1:7" x14ac:dyDescent="0.25">
      <c r="A361" s="150" t="s">
        <v>408</v>
      </c>
      <c r="B361" s="151">
        <v>2707</v>
      </c>
      <c r="C361" s="151">
        <v>599</v>
      </c>
      <c r="D361" s="151">
        <v>9791</v>
      </c>
      <c r="E361" s="151">
        <v>961</v>
      </c>
      <c r="F361" s="151">
        <v>400</v>
      </c>
      <c r="G361" s="151">
        <v>14458</v>
      </c>
    </row>
    <row r="362" spans="1:7" x14ac:dyDescent="0.25">
      <c r="A362" s="150" t="s">
        <v>409</v>
      </c>
      <c r="B362" s="151">
        <v>832</v>
      </c>
      <c r="C362" s="151">
        <v>285</v>
      </c>
      <c r="D362" s="151">
        <v>3591</v>
      </c>
      <c r="E362" s="151">
        <v>335</v>
      </c>
      <c r="F362" s="151">
        <v>224</v>
      </c>
      <c r="G362" s="151">
        <v>5267</v>
      </c>
    </row>
    <row r="363" spans="1:7" x14ac:dyDescent="0.25">
      <c r="A363" s="150" t="s">
        <v>410</v>
      </c>
      <c r="B363" s="151">
        <v>3490</v>
      </c>
      <c r="C363" s="151">
        <v>736</v>
      </c>
      <c r="D363" s="151">
        <v>10404</v>
      </c>
      <c r="E363" s="151">
        <v>1158</v>
      </c>
      <c r="F363" s="151">
        <v>429</v>
      </c>
      <c r="G363" s="151">
        <v>16217</v>
      </c>
    </row>
    <row r="364" spans="1:7" x14ac:dyDescent="0.25">
      <c r="A364" s="150" t="s">
        <v>411</v>
      </c>
      <c r="B364" s="151">
        <v>11334</v>
      </c>
      <c r="C364" s="151">
        <v>2443</v>
      </c>
      <c r="D364" s="151">
        <v>40492</v>
      </c>
      <c r="E364" s="151">
        <v>4673</v>
      </c>
      <c r="F364" s="151">
        <v>1483</v>
      </c>
      <c r="G364" s="151">
        <v>60425</v>
      </c>
    </row>
    <row r="365" spans="1:7" x14ac:dyDescent="0.25">
      <c r="A365" s="150" t="s">
        <v>412</v>
      </c>
      <c r="B365" s="151">
        <v>4629</v>
      </c>
      <c r="C365" s="151">
        <v>1345</v>
      </c>
      <c r="D365" s="151">
        <v>14007</v>
      </c>
      <c r="E365" s="151">
        <v>1457</v>
      </c>
      <c r="F365" s="151">
        <v>716</v>
      </c>
      <c r="G365" s="151">
        <v>22154</v>
      </c>
    </row>
    <row r="366" spans="1:7" x14ac:dyDescent="0.25">
      <c r="A366" s="150" t="s">
        <v>413</v>
      </c>
      <c r="B366" s="151">
        <v>5967</v>
      </c>
      <c r="C366" s="151">
        <v>2477</v>
      </c>
      <c r="D366" s="151">
        <v>17114</v>
      </c>
      <c r="E366" s="151">
        <v>1677</v>
      </c>
      <c r="F366" s="151">
        <v>1235</v>
      </c>
      <c r="G366" s="151">
        <v>28470</v>
      </c>
    </row>
    <row r="367" spans="1:7" x14ac:dyDescent="0.25">
      <c r="A367" s="150" t="s">
        <v>414</v>
      </c>
      <c r="B367" s="151">
        <v>1784</v>
      </c>
      <c r="C367" s="151">
        <v>376</v>
      </c>
      <c r="D367" s="151">
        <v>7428</v>
      </c>
      <c r="E367" s="151">
        <v>769</v>
      </c>
      <c r="F367" s="151">
        <v>224</v>
      </c>
      <c r="G367" s="151">
        <v>10581</v>
      </c>
    </row>
    <row r="368" spans="1:7" x14ac:dyDescent="0.25">
      <c r="A368" s="150" t="s">
        <v>415</v>
      </c>
      <c r="B368" s="151">
        <v>1802</v>
      </c>
      <c r="C368" s="151">
        <v>853</v>
      </c>
      <c r="D368" s="151">
        <v>5223</v>
      </c>
      <c r="E368" s="151">
        <v>384</v>
      </c>
      <c r="F368" s="151">
        <v>339</v>
      </c>
      <c r="G368" s="151">
        <v>8601</v>
      </c>
    </row>
    <row r="369" spans="1:7" x14ac:dyDescent="0.25">
      <c r="A369" s="150" t="s">
        <v>416</v>
      </c>
      <c r="B369" s="151">
        <v>4188</v>
      </c>
      <c r="C369" s="151">
        <v>819</v>
      </c>
      <c r="D369" s="151">
        <v>18575</v>
      </c>
      <c r="E369" s="151">
        <v>1898</v>
      </c>
      <c r="F369" s="151">
        <v>454</v>
      </c>
      <c r="G369" s="151">
        <v>25934</v>
      </c>
    </row>
    <row r="370" spans="1:7" x14ac:dyDescent="0.25">
      <c r="A370" s="150" t="s">
        <v>417</v>
      </c>
      <c r="B370" s="151">
        <v>1073</v>
      </c>
      <c r="C370" s="151">
        <v>296</v>
      </c>
      <c r="D370" s="151">
        <v>4053</v>
      </c>
      <c r="E370" s="151">
        <v>308</v>
      </c>
      <c r="F370" s="151">
        <v>168</v>
      </c>
      <c r="G370" s="151">
        <v>5898</v>
      </c>
    </row>
    <row r="371" spans="1:7" x14ac:dyDescent="0.25">
      <c r="A371" s="150" t="s">
        <v>418</v>
      </c>
      <c r="B371" s="151">
        <v>4167</v>
      </c>
      <c r="C371" s="151">
        <v>1456</v>
      </c>
      <c r="D371" s="151">
        <v>11736</v>
      </c>
      <c r="E371" s="151">
        <v>1148</v>
      </c>
      <c r="F371" s="151">
        <v>725</v>
      </c>
      <c r="G371" s="151">
        <v>19232</v>
      </c>
    </row>
    <row r="372" spans="1:7" x14ac:dyDescent="0.25">
      <c r="A372" s="150" t="s">
        <v>419</v>
      </c>
      <c r="B372" s="151">
        <v>3916</v>
      </c>
      <c r="C372" s="151">
        <v>1050</v>
      </c>
      <c r="D372" s="151">
        <v>12862</v>
      </c>
      <c r="E372" s="151">
        <v>1216</v>
      </c>
      <c r="F372" s="151">
        <v>590</v>
      </c>
      <c r="G372" s="151">
        <v>19634</v>
      </c>
    </row>
    <row r="373" spans="1:7" x14ac:dyDescent="0.25">
      <c r="A373" s="150" t="s">
        <v>420</v>
      </c>
      <c r="B373" s="151">
        <v>3709</v>
      </c>
      <c r="C373" s="151">
        <v>768</v>
      </c>
      <c r="D373" s="151">
        <v>14322</v>
      </c>
      <c r="E373" s="151">
        <v>1582</v>
      </c>
      <c r="F373" s="151">
        <v>518</v>
      </c>
      <c r="G373" s="151">
        <v>20899</v>
      </c>
    </row>
    <row r="374" spans="1:7" x14ac:dyDescent="0.25">
      <c r="A374" s="150" t="s">
        <v>421</v>
      </c>
      <c r="B374" s="151">
        <v>12649</v>
      </c>
      <c r="C374" s="151">
        <v>3551</v>
      </c>
      <c r="D374" s="151">
        <v>48462</v>
      </c>
      <c r="E374" s="151">
        <v>5887</v>
      </c>
      <c r="F374" s="151">
        <v>2068</v>
      </c>
      <c r="G374" s="151">
        <v>72617</v>
      </c>
    </row>
    <row r="375" spans="1:7" x14ac:dyDescent="0.25">
      <c r="A375" s="150" t="s">
        <v>422</v>
      </c>
      <c r="B375" s="151">
        <v>435</v>
      </c>
      <c r="C375" s="151">
        <v>137</v>
      </c>
      <c r="D375" s="151">
        <v>1357</v>
      </c>
      <c r="E375" s="151">
        <v>84</v>
      </c>
      <c r="F375" s="151">
        <v>82</v>
      </c>
      <c r="G375" s="151">
        <v>2095</v>
      </c>
    </row>
    <row r="376" spans="1:7" x14ac:dyDescent="0.25">
      <c r="A376" s="150" t="s">
        <v>423</v>
      </c>
      <c r="B376" s="151">
        <v>4343</v>
      </c>
      <c r="C376" s="151">
        <v>1214</v>
      </c>
      <c r="D376" s="151">
        <v>13649</v>
      </c>
      <c r="E376" s="151">
        <v>1114</v>
      </c>
      <c r="F376" s="151">
        <v>773</v>
      </c>
      <c r="G376" s="151">
        <v>21093</v>
      </c>
    </row>
    <row r="377" spans="1:7" x14ac:dyDescent="0.25">
      <c r="A377" s="150" t="s">
        <v>424</v>
      </c>
      <c r="B377" s="151">
        <v>1456</v>
      </c>
      <c r="C377" s="151">
        <v>472</v>
      </c>
      <c r="D377" s="151">
        <v>5401</v>
      </c>
      <c r="E377" s="151">
        <v>554</v>
      </c>
      <c r="F377" s="151">
        <v>288</v>
      </c>
      <c r="G377" s="151">
        <v>8171</v>
      </c>
    </row>
    <row r="378" spans="1:7" x14ac:dyDescent="0.25">
      <c r="A378" s="150" t="s">
        <v>425</v>
      </c>
      <c r="B378" s="151">
        <v>1723</v>
      </c>
      <c r="C378" s="151">
        <v>601</v>
      </c>
      <c r="D378" s="151">
        <v>6434</v>
      </c>
      <c r="E378" s="151">
        <v>451</v>
      </c>
      <c r="F378" s="151">
        <v>302</v>
      </c>
      <c r="G378" s="151">
        <v>9511</v>
      </c>
    </row>
    <row r="379" spans="1:7" ht="30" x14ac:dyDescent="0.25">
      <c r="A379" s="150" t="s">
        <v>426</v>
      </c>
      <c r="B379" s="151">
        <v>4510</v>
      </c>
      <c r="C379" s="151">
        <v>1296</v>
      </c>
      <c r="D379" s="151">
        <v>14568</v>
      </c>
      <c r="E379" s="151">
        <v>1326</v>
      </c>
      <c r="F379" s="151">
        <v>681</v>
      </c>
      <c r="G379" s="151">
        <v>22381</v>
      </c>
    </row>
    <row r="380" spans="1:7" x14ac:dyDescent="0.25">
      <c r="A380" s="150" t="s">
        <v>509</v>
      </c>
      <c r="B380" s="151">
        <v>2242</v>
      </c>
      <c r="C380" s="151">
        <v>669</v>
      </c>
      <c r="D380" s="151">
        <v>8872</v>
      </c>
      <c r="E380" s="151">
        <v>928</v>
      </c>
      <c r="F380" s="151">
        <v>451</v>
      </c>
      <c r="G380" s="151">
        <v>13162</v>
      </c>
    </row>
    <row r="381" spans="1:7" x14ac:dyDescent="0.25">
      <c r="A381" s="150" t="s">
        <v>510</v>
      </c>
      <c r="B381" s="151">
        <v>6285</v>
      </c>
      <c r="C381" s="151">
        <v>2003</v>
      </c>
      <c r="D381" s="151">
        <v>22365</v>
      </c>
      <c r="E381" s="151">
        <v>2312</v>
      </c>
      <c r="F381" s="151">
        <v>1142</v>
      </c>
      <c r="G381" s="151">
        <v>34107</v>
      </c>
    </row>
    <row r="382" spans="1:7" x14ac:dyDescent="0.25">
      <c r="A382" s="150" t="s">
        <v>427</v>
      </c>
      <c r="B382" s="151">
        <v>647</v>
      </c>
      <c r="C382" s="151">
        <v>180</v>
      </c>
      <c r="D382" s="151">
        <v>2065</v>
      </c>
      <c r="E382" s="151">
        <v>198</v>
      </c>
      <c r="F382" s="151">
        <v>85</v>
      </c>
      <c r="G382" s="151">
        <v>3175</v>
      </c>
    </row>
    <row r="383" spans="1:7" x14ac:dyDescent="0.25">
      <c r="A383" s="150" t="s">
        <v>428</v>
      </c>
      <c r="B383" s="151">
        <v>1824</v>
      </c>
      <c r="C383" s="151">
        <v>289</v>
      </c>
      <c r="D383" s="151">
        <v>9289</v>
      </c>
      <c r="E383" s="151">
        <v>994</v>
      </c>
      <c r="F383" s="151">
        <v>206</v>
      </c>
      <c r="G383" s="151">
        <v>12602</v>
      </c>
    </row>
    <row r="384" spans="1:7" x14ac:dyDescent="0.25">
      <c r="A384" s="150" t="s">
        <v>429</v>
      </c>
      <c r="B384" s="151">
        <v>5775</v>
      </c>
      <c r="C384" s="151">
        <v>2253</v>
      </c>
      <c r="D384" s="151">
        <v>20130</v>
      </c>
      <c r="E384" s="151">
        <v>2091</v>
      </c>
      <c r="F384" s="151">
        <v>1203</v>
      </c>
      <c r="G384" s="151">
        <v>31452</v>
      </c>
    </row>
    <row r="385" spans="1:7" x14ac:dyDescent="0.25">
      <c r="A385" s="150" t="s">
        <v>430</v>
      </c>
      <c r="B385" s="151">
        <v>12897</v>
      </c>
      <c r="C385" s="151">
        <v>4353</v>
      </c>
      <c r="D385" s="151">
        <v>46205</v>
      </c>
      <c r="E385" s="151">
        <v>5224</v>
      </c>
      <c r="F385" s="151">
        <v>2389</v>
      </c>
      <c r="G385" s="151">
        <v>71068</v>
      </c>
    </row>
    <row r="386" spans="1:7" x14ac:dyDescent="0.25">
      <c r="A386" s="150" t="s">
        <v>431</v>
      </c>
      <c r="B386" s="151">
        <v>3179</v>
      </c>
      <c r="C386" s="151">
        <v>1255</v>
      </c>
      <c r="D386" s="151">
        <v>11641</v>
      </c>
      <c r="E386" s="151">
        <v>1315</v>
      </c>
      <c r="F386" s="151">
        <v>753</v>
      </c>
      <c r="G386" s="151">
        <v>18143</v>
      </c>
    </row>
    <row r="387" spans="1:7" x14ac:dyDescent="0.25">
      <c r="A387" s="150" t="s">
        <v>432</v>
      </c>
      <c r="B387" s="151">
        <v>4252</v>
      </c>
      <c r="C387" s="151">
        <v>1005</v>
      </c>
      <c r="D387" s="151">
        <v>13922</v>
      </c>
      <c r="E387" s="151">
        <v>1312</v>
      </c>
      <c r="F387" s="151">
        <v>539</v>
      </c>
      <c r="G387" s="151">
        <v>21030</v>
      </c>
    </row>
    <row r="388" spans="1:7" x14ac:dyDescent="0.25">
      <c r="A388" s="150" t="s">
        <v>433</v>
      </c>
      <c r="B388" s="151">
        <v>5696</v>
      </c>
      <c r="C388" s="151">
        <v>1530</v>
      </c>
      <c r="D388" s="151">
        <v>18116</v>
      </c>
      <c r="E388" s="151">
        <v>1848</v>
      </c>
      <c r="F388" s="151">
        <v>894</v>
      </c>
      <c r="G388" s="151">
        <v>28084</v>
      </c>
    </row>
    <row r="389" spans="1:7" x14ac:dyDescent="0.25">
      <c r="A389" s="150" t="s">
        <v>434</v>
      </c>
      <c r="B389" s="151">
        <v>4561</v>
      </c>
      <c r="C389" s="151">
        <v>1626</v>
      </c>
      <c r="D389" s="151">
        <v>14932</v>
      </c>
      <c r="E389" s="151">
        <v>1534</v>
      </c>
      <c r="F389" s="151">
        <v>864</v>
      </c>
      <c r="G389" s="151">
        <v>23517</v>
      </c>
    </row>
    <row r="390" spans="1:7" x14ac:dyDescent="0.25">
      <c r="A390" s="150" t="s">
        <v>435</v>
      </c>
      <c r="B390" s="151">
        <v>7975</v>
      </c>
      <c r="C390" s="151">
        <v>2903</v>
      </c>
      <c r="D390" s="151">
        <v>25796</v>
      </c>
      <c r="E390" s="151">
        <v>2458</v>
      </c>
      <c r="F390" s="151">
        <v>1749</v>
      </c>
      <c r="G390" s="151">
        <v>40881</v>
      </c>
    </row>
    <row r="391" spans="1:7" x14ac:dyDescent="0.25">
      <c r="A391" s="150" t="s">
        <v>436</v>
      </c>
      <c r="B391" s="151">
        <v>3850</v>
      </c>
      <c r="C391" s="151">
        <v>1002</v>
      </c>
      <c r="D391" s="151">
        <v>13065</v>
      </c>
      <c r="E391" s="151">
        <v>1313</v>
      </c>
      <c r="F391" s="151">
        <v>579</v>
      </c>
      <c r="G391" s="151">
        <v>19809</v>
      </c>
    </row>
    <row r="392" spans="1:7" ht="30" x14ac:dyDescent="0.25">
      <c r="A392" s="150" t="s">
        <v>437</v>
      </c>
      <c r="B392" s="151">
        <v>538</v>
      </c>
      <c r="C392" s="151">
        <v>153</v>
      </c>
      <c r="D392" s="151">
        <v>1484</v>
      </c>
      <c r="E392" s="151">
        <v>156</v>
      </c>
      <c r="F392" s="151">
        <v>52</v>
      </c>
      <c r="G392" s="151">
        <v>2383</v>
      </c>
    </row>
    <row r="393" spans="1:7" x14ac:dyDescent="0.25">
      <c r="A393" s="150" t="s">
        <v>438</v>
      </c>
      <c r="B393" s="151">
        <v>3394</v>
      </c>
      <c r="C393" s="151">
        <v>645</v>
      </c>
      <c r="D393" s="151">
        <v>11065</v>
      </c>
      <c r="E393" s="151">
        <v>1183</v>
      </c>
      <c r="F393" s="151">
        <v>396</v>
      </c>
      <c r="G393" s="151">
        <v>16683</v>
      </c>
    </row>
    <row r="394" spans="1:7" x14ac:dyDescent="0.25">
      <c r="A394" s="150" t="s">
        <v>439</v>
      </c>
      <c r="B394" s="151">
        <v>503</v>
      </c>
      <c r="C394" s="151">
        <v>121</v>
      </c>
      <c r="D394" s="151">
        <v>916</v>
      </c>
      <c r="E394" s="151">
        <v>56</v>
      </c>
      <c r="F394" s="151">
        <v>57</v>
      </c>
      <c r="G394" s="151">
        <v>1653</v>
      </c>
    </row>
    <row r="395" spans="1:7" x14ac:dyDescent="0.25">
      <c r="A395" s="150" t="s">
        <v>440</v>
      </c>
      <c r="B395" s="151">
        <v>3989</v>
      </c>
      <c r="C395" s="151">
        <v>1109</v>
      </c>
      <c r="D395" s="151">
        <v>10699</v>
      </c>
      <c r="E395" s="151">
        <v>1088</v>
      </c>
      <c r="F395" s="151">
        <v>547</v>
      </c>
      <c r="G395" s="151">
        <v>17432</v>
      </c>
    </row>
    <row r="396" spans="1:7" x14ac:dyDescent="0.25">
      <c r="A396" s="150" t="s">
        <v>441</v>
      </c>
      <c r="B396" s="151">
        <v>16960</v>
      </c>
      <c r="C396" s="151">
        <v>1376</v>
      </c>
      <c r="D396" s="151">
        <v>31494</v>
      </c>
      <c r="E396" s="151">
        <v>2907</v>
      </c>
      <c r="F396" s="151">
        <v>1191</v>
      </c>
      <c r="G396" s="151">
        <v>53928</v>
      </c>
    </row>
    <row r="397" spans="1:7" x14ac:dyDescent="0.25">
      <c r="A397" s="150" t="s">
        <v>442</v>
      </c>
      <c r="B397" s="151">
        <v>1807</v>
      </c>
      <c r="C397" s="151">
        <v>568</v>
      </c>
      <c r="D397" s="151">
        <v>6951</v>
      </c>
      <c r="E397" s="151">
        <v>708</v>
      </c>
      <c r="F397" s="151">
        <v>376</v>
      </c>
      <c r="G397" s="151">
        <v>10410</v>
      </c>
    </row>
    <row r="398" spans="1:7" x14ac:dyDescent="0.25">
      <c r="A398" s="150" t="s">
        <v>443</v>
      </c>
      <c r="B398" s="151">
        <v>534</v>
      </c>
      <c r="C398" s="151">
        <v>159</v>
      </c>
      <c r="D398" s="151">
        <v>1651</v>
      </c>
      <c r="E398" s="151">
        <v>144</v>
      </c>
      <c r="F398" s="151">
        <v>93</v>
      </c>
      <c r="G398" s="151">
        <v>2581</v>
      </c>
    </row>
    <row r="399" spans="1:7" x14ac:dyDescent="0.25">
      <c r="A399" s="150" t="s">
        <v>444</v>
      </c>
      <c r="B399" s="151">
        <v>908</v>
      </c>
      <c r="C399" s="151">
        <v>116</v>
      </c>
      <c r="D399" s="151">
        <v>3571</v>
      </c>
      <c r="E399" s="151">
        <v>301</v>
      </c>
      <c r="F399" s="151">
        <v>81</v>
      </c>
      <c r="G399" s="151">
        <v>4977</v>
      </c>
    </row>
    <row r="400" spans="1:7" x14ac:dyDescent="0.25">
      <c r="A400" s="150" t="s">
        <v>511</v>
      </c>
      <c r="B400" s="151">
        <v>4489</v>
      </c>
      <c r="C400" s="151">
        <v>754</v>
      </c>
      <c r="D400" s="151">
        <v>20266</v>
      </c>
      <c r="E400" s="151">
        <v>2300</v>
      </c>
      <c r="F400" s="151">
        <v>570</v>
      </c>
      <c r="G400" s="151">
        <v>28379</v>
      </c>
    </row>
    <row r="401" spans="1:7" x14ac:dyDescent="0.25">
      <c r="A401" s="198" t="s">
        <v>35</v>
      </c>
      <c r="B401" s="199">
        <v>200819</v>
      </c>
      <c r="C401" s="199">
        <v>55946</v>
      </c>
      <c r="D401" s="199">
        <v>661857</v>
      </c>
      <c r="E401" s="199">
        <v>67870</v>
      </c>
      <c r="F401" s="199">
        <v>31821</v>
      </c>
      <c r="G401" s="199">
        <v>1018313</v>
      </c>
    </row>
    <row r="402" spans="1:7" x14ac:dyDescent="0.25">
      <c r="A402" s="172"/>
      <c r="B402" s="172"/>
      <c r="C402" s="172"/>
      <c r="D402" s="172"/>
      <c r="E402" s="172"/>
      <c r="F402" s="172"/>
      <c r="G402" s="172"/>
    </row>
    <row r="403" spans="1:7" x14ac:dyDescent="0.25">
      <c r="A403" s="172"/>
      <c r="B403" s="172"/>
      <c r="C403" s="172"/>
      <c r="D403" s="172"/>
      <c r="E403" s="172"/>
      <c r="F403" s="172"/>
      <c r="G403" s="172"/>
    </row>
    <row r="404" spans="1:7" x14ac:dyDescent="0.25">
      <c r="A404" s="172"/>
      <c r="B404" s="172"/>
      <c r="C404" s="172"/>
      <c r="D404" s="172"/>
    </row>
    <row r="405" spans="1:7" x14ac:dyDescent="0.25">
      <c r="A405" s="201" t="s">
        <v>530</v>
      </c>
    </row>
    <row r="406" spans="1:7" x14ac:dyDescent="0.25">
      <c r="A406" s="172"/>
      <c r="B406" s="479" t="s">
        <v>499</v>
      </c>
      <c r="C406" s="479"/>
      <c r="D406" s="479"/>
      <c r="E406" s="479"/>
      <c r="F406" s="479"/>
      <c r="G406" s="105"/>
    </row>
    <row r="407" spans="1:7" x14ac:dyDescent="0.25">
      <c r="A407" s="174" t="s">
        <v>544</v>
      </c>
      <c r="B407" s="203" t="s">
        <v>138</v>
      </c>
      <c r="C407" s="203" t="s">
        <v>139</v>
      </c>
      <c r="D407" s="203" t="s">
        <v>140</v>
      </c>
      <c r="E407" s="203" t="s">
        <v>19</v>
      </c>
      <c r="F407" s="203" t="s">
        <v>141</v>
      </c>
      <c r="G407" s="175" t="s">
        <v>35</v>
      </c>
    </row>
    <row r="408" spans="1:7" x14ac:dyDescent="0.25">
      <c r="A408" s="171" t="s">
        <v>446</v>
      </c>
      <c r="B408" s="197">
        <v>226</v>
      </c>
      <c r="C408" s="197">
        <v>107</v>
      </c>
      <c r="D408" s="197">
        <v>602</v>
      </c>
      <c r="E408" s="197">
        <v>52</v>
      </c>
      <c r="F408" s="197">
        <v>53</v>
      </c>
      <c r="G408" s="197">
        <v>1040</v>
      </c>
    </row>
    <row r="409" spans="1:7" x14ac:dyDescent="0.25">
      <c r="A409" s="150" t="s">
        <v>447</v>
      </c>
      <c r="B409" s="151">
        <v>724</v>
      </c>
      <c r="C409" s="151">
        <v>326</v>
      </c>
      <c r="D409" s="151">
        <v>1324</v>
      </c>
      <c r="E409" s="151">
        <v>100</v>
      </c>
      <c r="F409" s="151">
        <v>126</v>
      </c>
      <c r="G409" s="151">
        <v>2600</v>
      </c>
    </row>
    <row r="410" spans="1:7" x14ac:dyDescent="0.25">
      <c r="A410" s="150" t="s">
        <v>448</v>
      </c>
      <c r="B410" s="151">
        <v>1687</v>
      </c>
      <c r="C410" s="151">
        <v>741</v>
      </c>
      <c r="D410" s="151">
        <v>4915</v>
      </c>
      <c r="E410" s="151">
        <v>486</v>
      </c>
      <c r="F410" s="151">
        <v>523</v>
      </c>
      <c r="G410" s="151">
        <v>8352</v>
      </c>
    </row>
    <row r="411" spans="1:7" x14ac:dyDescent="0.25">
      <c r="A411" s="150" t="s">
        <v>449</v>
      </c>
      <c r="B411" s="151">
        <v>579</v>
      </c>
      <c r="C411" s="151">
        <v>267</v>
      </c>
      <c r="D411" s="151">
        <v>973</v>
      </c>
      <c r="E411" s="151">
        <v>60</v>
      </c>
      <c r="F411" s="151">
        <v>114</v>
      </c>
      <c r="G411" s="151">
        <v>1993</v>
      </c>
    </row>
    <row r="412" spans="1:7" x14ac:dyDescent="0.25">
      <c r="A412" s="150" t="s">
        <v>450</v>
      </c>
      <c r="B412" s="151">
        <v>842</v>
      </c>
      <c r="C412" s="151">
        <v>362</v>
      </c>
      <c r="D412" s="151">
        <v>1910</v>
      </c>
      <c r="E412" s="151">
        <v>134</v>
      </c>
      <c r="F412" s="151">
        <v>206</v>
      </c>
      <c r="G412" s="151">
        <v>3454</v>
      </c>
    </row>
    <row r="413" spans="1:7" x14ac:dyDescent="0.25">
      <c r="A413" s="150" t="s">
        <v>451</v>
      </c>
      <c r="B413" s="151">
        <v>891</v>
      </c>
      <c r="C413" s="151">
        <v>422</v>
      </c>
      <c r="D413" s="151">
        <v>2228</v>
      </c>
      <c r="E413" s="151">
        <v>180</v>
      </c>
      <c r="F413" s="151">
        <v>191</v>
      </c>
      <c r="G413" s="151">
        <v>3912</v>
      </c>
    </row>
    <row r="414" spans="1:7" x14ac:dyDescent="0.25">
      <c r="A414" s="150" t="s">
        <v>452</v>
      </c>
      <c r="B414" s="151">
        <v>284</v>
      </c>
      <c r="C414" s="151">
        <v>151</v>
      </c>
      <c r="D414" s="151">
        <v>888</v>
      </c>
      <c r="E414" s="151">
        <v>75</v>
      </c>
      <c r="F414" s="151">
        <v>88</v>
      </c>
      <c r="G414" s="151">
        <v>1486</v>
      </c>
    </row>
    <row r="415" spans="1:7" x14ac:dyDescent="0.25">
      <c r="A415" s="150" t="s">
        <v>453</v>
      </c>
      <c r="B415" s="151">
        <v>1037</v>
      </c>
      <c r="C415" s="151">
        <v>554</v>
      </c>
      <c r="D415" s="151">
        <v>2425</v>
      </c>
      <c r="E415" s="151">
        <v>185</v>
      </c>
      <c r="F415" s="151">
        <v>267</v>
      </c>
      <c r="G415" s="151">
        <v>4468</v>
      </c>
    </row>
    <row r="416" spans="1:7" x14ac:dyDescent="0.25">
      <c r="A416" s="150" t="s">
        <v>454</v>
      </c>
      <c r="B416" s="151">
        <v>1809</v>
      </c>
      <c r="C416" s="151">
        <v>813</v>
      </c>
      <c r="D416" s="151">
        <v>3090</v>
      </c>
      <c r="E416" s="151">
        <v>231</v>
      </c>
      <c r="F416" s="151">
        <v>351</v>
      </c>
      <c r="G416" s="151">
        <v>6294</v>
      </c>
    </row>
    <row r="417" spans="1:7" x14ac:dyDescent="0.25">
      <c r="A417" s="150" t="s">
        <v>455</v>
      </c>
      <c r="B417" s="151">
        <v>1790</v>
      </c>
      <c r="C417" s="151">
        <v>739</v>
      </c>
      <c r="D417" s="151">
        <v>3776</v>
      </c>
      <c r="E417" s="151">
        <v>271</v>
      </c>
      <c r="F417" s="151">
        <v>422</v>
      </c>
      <c r="G417" s="151">
        <v>6998</v>
      </c>
    </row>
    <row r="418" spans="1:7" ht="30" x14ac:dyDescent="0.25">
      <c r="A418" s="150" t="s">
        <v>456</v>
      </c>
      <c r="B418" s="151">
        <v>896</v>
      </c>
      <c r="C418" s="151">
        <v>452</v>
      </c>
      <c r="D418" s="151">
        <v>2025</v>
      </c>
      <c r="E418" s="151">
        <v>166</v>
      </c>
      <c r="F418" s="151">
        <v>265</v>
      </c>
      <c r="G418" s="151">
        <v>3804</v>
      </c>
    </row>
    <row r="419" spans="1:7" x14ac:dyDescent="0.25">
      <c r="A419" s="150" t="s">
        <v>457</v>
      </c>
      <c r="B419" s="151">
        <v>4880</v>
      </c>
      <c r="C419" s="151">
        <v>2381</v>
      </c>
      <c r="D419" s="151">
        <v>16808</v>
      </c>
      <c r="E419" s="151">
        <v>2172</v>
      </c>
      <c r="F419" s="151">
        <v>1537</v>
      </c>
      <c r="G419" s="151">
        <v>27778</v>
      </c>
    </row>
    <row r="420" spans="1:7" x14ac:dyDescent="0.25">
      <c r="A420" s="198" t="s">
        <v>35</v>
      </c>
      <c r="B420" s="199">
        <v>15645</v>
      </c>
      <c r="C420" s="199">
        <v>7315</v>
      </c>
      <c r="D420" s="199">
        <v>40964</v>
      </c>
      <c r="E420" s="199">
        <v>4112</v>
      </c>
      <c r="F420" s="199">
        <v>4143</v>
      </c>
      <c r="G420" s="199">
        <v>72179</v>
      </c>
    </row>
    <row r="421" spans="1:7" x14ac:dyDescent="0.25">
      <c r="A421" s="172"/>
      <c r="B421" s="172"/>
      <c r="C421" s="172"/>
      <c r="D421" s="172"/>
      <c r="E421" s="172"/>
      <c r="F421" s="172"/>
      <c r="G421" s="172"/>
    </row>
    <row r="422" spans="1:7" x14ac:dyDescent="0.25">
      <c r="A422" s="172"/>
      <c r="B422" s="172"/>
      <c r="C422" s="172"/>
      <c r="D422" s="172"/>
      <c r="E422" s="172"/>
      <c r="F422" s="172"/>
      <c r="G422" s="172"/>
    </row>
    <row r="423" spans="1:7" x14ac:dyDescent="0.25">
      <c r="A423" s="172"/>
      <c r="B423" s="172"/>
      <c r="C423" s="172"/>
      <c r="D423" s="172"/>
    </row>
    <row r="424" spans="1:7" x14ac:dyDescent="0.25">
      <c r="A424" s="201" t="s">
        <v>531</v>
      </c>
    </row>
    <row r="425" spans="1:7" x14ac:dyDescent="0.25">
      <c r="A425" s="172"/>
      <c r="B425" s="479" t="s">
        <v>499</v>
      </c>
      <c r="C425" s="479"/>
      <c r="D425" s="479"/>
      <c r="E425" s="479"/>
      <c r="F425" s="479"/>
      <c r="G425" s="105"/>
    </row>
    <row r="426" spans="1:7" x14ac:dyDescent="0.25">
      <c r="A426" s="174" t="s">
        <v>544</v>
      </c>
      <c r="B426" s="203" t="s">
        <v>138</v>
      </c>
      <c r="C426" s="203" t="s">
        <v>139</v>
      </c>
      <c r="D426" s="203" t="s">
        <v>140</v>
      </c>
      <c r="E426" s="203" t="s">
        <v>19</v>
      </c>
      <c r="F426" s="203" t="s">
        <v>141</v>
      </c>
      <c r="G426" s="175" t="s">
        <v>35</v>
      </c>
    </row>
    <row r="427" spans="1:7" x14ac:dyDescent="0.25">
      <c r="A427" s="171" t="s">
        <v>458</v>
      </c>
      <c r="B427" s="197">
        <v>6450</v>
      </c>
      <c r="C427" s="197">
        <v>2252</v>
      </c>
      <c r="D427" s="197">
        <v>21942</v>
      </c>
      <c r="E427" s="197">
        <v>2414</v>
      </c>
      <c r="F427" s="197">
        <v>1227</v>
      </c>
      <c r="G427" s="197">
        <v>34285</v>
      </c>
    </row>
    <row r="428" spans="1:7" x14ac:dyDescent="0.25">
      <c r="A428" s="150" t="s">
        <v>459</v>
      </c>
      <c r="B428" s="151">
        <v>26</v>
      </c>
      <c r="C428" s="151">
        <v>4</v>
      </c>
      <c r="D428" s="151">
        <v>40</v>
      </c>
      <c r="E428" s="151">
        <v>4</v>
      </c>
      <c r="F428" s="151">
        <v>1</v>
      </c>
      <c r="G428" s="151">
        <v>75</v>
      </c>
    </row>
    <row r="429" spans="1:7" x14ac:dyDescent="0.25">
      <c r="A429" s="150" t="s">
        <v>460</v>
      </c>
      <c r="B429" s="151">
        <v>36</v>
      </c>
      <c r="C429" s="151">
        <v>8</v>
      </c>
      <c r="D429" s="151">
        <v>18</v>
      </c>
      <c r="E429" s="151">
        <v>0</v>
      </c>
      <c r="F429" s="151">
        <v>0</v>
      </c>
      <c r="G429" s="151">
        <v>62</v>
      </c>
    </row>
    <row r="430" spans="1:7" x14ac:dyDescent="0.25">
      <c r="A430" s="150" t="s">
        <v>461</v>
      </c>
      <c r="B430" s="151">
        <v>89</v>
      </c>
      <c r="C430" s="151">
        <v>19</v>
      </c>
      <c r="D430" s="151">
        <v>97</v>
      </c>
      <c r="E430" s="151">
        <v>11</v>
      </c>
      <c r="F430" s="151">
        <v>2</v>
      </c>
      <c r="G430" s="151">
        <v>218</v>
      </c>
    </row>
    <row r="431" spans="1:7" x14ac:dyDescent="0.25">
      <c r="A431" s="198" t="s">
        <v>35</v>
      </c>
      <c r="B431" s="199">
        <v>6601</v>
      </c>
      <c r="C431" s="199">
        <v>2283</v>
      </c>
      <c r="D431" s="199">
        <v>22097</v>
      </c>
      <c r="E431" s="199">
        <v>2429</v>
      </c>
      <c r="F431" s="199">
        <v>1230</v>
      </c>
      <c r="G431" s="199">
        <v>34640</v>
      </c>
    </row>
    <row r="432" spans="1:7" x14ac:dyDescent="0.25">
      <c r="A432" s="172"/>
      <c r="B432" s="172"/>
      <c r="C432" s="172"/>
      <c r="D432" s="172"/>
      <c r="E432" s="172"/>
      <c r="F432" s="172"/>
      <c r="G432" s="172"/>
    </row>
    <row r="433" spans="1:7" x14ac:dyDescent="0.25">
      <c r="A433" s="172"/>
      <c r="B433" s="172"/>
      <c r="C433" s="172"/>
      <c r="D433" s="172"/>
      <c r="E433" s="172"/>
      <c r="F433" s="172"/>
      <c r="G433" s="172"/>
    </row>
    <row r="434" spans="1:7" x14ac:dyDescent="0.25">
      <c r="A434" s="172"/>
      <c r="B434" s="172"/>
      <c r="C434" s="172"/>
      <c r="D434" s="172"/>
    </row>
    <row r="435" spans="1:7" x14ac:dyDescent="0.25">
      <c r="A435" s="201" t="s">
        <v>532</v>
      </c>
    </row>
    <row r="436" spans="1:7" x14ac:dyDescent="0.25">
      <c r="A436" s="172"/>
      <c r="B436" s="479" t="s">
        <v>499</v>
      </c>
      <c r="C436" s="479"/>
      <c r="D436" s="479"/>
      <c r="E436" s="479"/>
      <c r="F436" s="479"/>
      <c r="G436" s="105"/>
    </row>
    <row r="437" spans="1:7" x14ac:dyDescent="0.25">
      <c r="A437" s="174" t="s">
        <v>544</v>
      </c>
      <c r="B437" s="203" t="s">
        <v>138</v>
      </c>
      <c r="C437" s="203" t="s">
        <v>139</v>
      </c>
      <c r="D437" s="203" t="s">
        <v>140</v>
      </c>
      <c r="E437" s="203" t="s">
        <v>19</v>
      </c>
      <c r="F437" s="203" t="s">
        <v>141</v>
      </c>
      <c r="G437" s="175" t="s">
        <v>35</v>
      </c>
    </row>
    <row r="438" spans="1:7" x14ac:dyDescent="0.25">
      <c r="A438" s="171" t="s">
        <v>462</v>
      </c>
      <c r="B438" s="197">
        <v>985</v>
      </c>
      <c r="C438" s="197">
        <v>502</v>
      </c>
      <c r="D438" s="197">
        <v>2673</v>
      </c>
      <c r="E438" s="197">
        <v>212</v>
      </c>
      <c r="F438" s="197">
        <v>238</v>
      </c>
      <c r="G438" s="197">
        <v>4610</v>
      </c>
    </row>
    <row r="439" spans="1:7" x14ac:dyDescent="0.25">
      <c r="A439" s="150" t="s">
        <v>463</v>
      </c>
      <c r="B439" s="151">
        <v>6694</v>
      </c>
      <c r="C439" s="151">
        <v>3574</v>
      </c>
      <c r="D439" s="151">
        <v>20869</v>
      </c>
      <c r="E439" s="151">
        <v>2268</v>
      </c>
      <c r="F439" s="151">
        <v>2418</v>
      </c>
      <c r="G439" s="151">
        <v>35823</v>
      </c>
    </row>
    <row r="440" spans="1:7" x14ac:dyDescent="0.25">
      <c r="A440" s="150" t="s">
        <v>464</v>
      </c>
      <c r="B440" s="151">
        <v>807</v>
      </c>
      <c r="C440" s="151">
        <v>440</v>
      </c>
      <c r="D440" s="151">
        <v>2210</v>
      </c>
      <c r="E440" s="151">
        <v>240</v>
      </c>
      <c r="F440" s="151">
        <v>311</v>
      </c>
      <c r="G440" s="151">
        <v>4008</v>
      </c>
    </row>
    <row r="441" spans="1:7" x14ac:dyDescent="0.25">
      <c r="A441" s="150" t="s">
        <v>465</v>
      </c>
      <c r="B441" s="151">
        <v>401</v>
      </c>
      <c r="C441" s="151">
        <v>146</v>
      </c>
      <c r="D441" s="151">
        <v>540</v>
      </c>
      <c r="E441" s="151">
        <v>31</v>
      </c>
      <c r="F441" s="151">
        <v>54</v>
      </c>
      <c r="G441" s="151">
        <v>1172</v>
      </c>
    </row>
    <row r="442" spans="1:7" x14ac:dyDescent="0.25">
      <c r="A442" s="150" t="s">
        <v>466</v>
      </c>
      <c r="B442" s="151">
        <v>876</v>
      </c>
      <c r="C442" s="151">
        <v>426</v>
      </c>
      <c r="D442" s="151">
        <v>2241</v>
      </c>
      <c r="E442" s="151">
        <v>176</v>
      </c>
      <c r="F442" s="151">
        <v>178</v>
      </c>
      <c r="G442" s="151">
        <v>3897</v>
      </c>
    </row>
    <row r="443" spans="1:7" x14ac:dyDescent="0.25">
      <c r="A443" s="150" t="s">
        <v>467</v>
      </c>
      <c r="B443" s="151">
        <v>1042</v>
      </c>
      <c r="C443" s="151">
        <v>680</v>
      </c>
      <c r="D443" s="151">
        <v>2207</v>
      </c>
      <c r="E443" s="151">
        <v>128</v>
      </c>
      <c r="F443" s="151">
        <v>313</v>
      </c>
      <c r="G443" s="151">
        <v>4370</v>
      </c>
    </row>
    <row r="444" spans="1:7" x14ac:dyDescent="0.25">
      <c r="A444" s="150" t="s">
        <v>468</v>
      </c>
      <c r="B444" s="151">
        <v>833</v>
      </c>
      <c r="C444" s="151">
        <v>479</v>
      </c>
      <c r="D444" s="151">
        <v>1153</v>
      </c>
      <c r="E444" s="151">
        <v>57</v>
      </c>
      <c r="F444" s="151">
        <v>181</v>
      </c>
      <c r="G444" s="151">
        <v>2703</v>
      </c>
    </row>
    <row r="445" spans="1:7" x14ac:dyDescent="0.25">
      <c r="A445" s="150" t="s">
        <v>469</v>
      </c>
      <c r="B445" s="151">
        <v>374</v>
      </c>
      <c r="C445" s="151">
        <v>255</v>
      </c>
      <c r="D445" s="151">
        <v>599</v>
      </c>
      <c r="E445" s="151">
        <v>49</v>
      </c>
      <c r="F445" s="151">
        <v>107</v>
      </c>
      <c r="G445" s="151">
        <v>1384</v>
      </c>
    </row>
    <row r="446" spans="1:7" x14ac:dyDescent="0.25">
      <c r="A446" s="150" t="s">
        <v>470</v>
      </c>
      <c r="B446" s="151">
        <v>403</v>
      </c>
      <c r="C446" s="151">
        <v>270</v>
      </c>
      <c r="D446" s="151">
        <v>843</v>
      </c>
      <c r="E446" s="151">
        <v>49</v>
      </c>
      <c r="F446" s="151">
        <v>121</v>
      </c>
      <c r="G446" s="151">
        <v>1686</v>
      </c>
    </row>
    <row r="447" spans="1:7" x14ac:dyDescent="0.25">
      <c r="A447" s="150" t="s">
        <v>471</v>
      </c>
      <c r="B447" s="151">
        <v>613</v>
      </c>
      <c r="C447" s="151">
        <v>319</v>
      </c>
      <c r="D447" s="151">
        <v>1171</v>
      </c>
      <c r="E447" s="151">
        <v>78</v>
      </c>
      <c r="F447" s="151">
        <v>135</v>
      </c>
      <c r="G447" s="151">
        <v>2316</v>
      </c>
    </row>
    <row r="448" spans="1:7" x14ac:dyDescent="0.25">
      <c r="A448" s="150" t="s">
        <v>472</v>
      </c>
      <c r="B448" s="151">
        <v>313</v>
      </c>
      <c r="C448" s="151">
        <v>164</v>
      </c>
      <c r="D448" s="151">
        <v>671</v>
      </c>
      <c r="E448" s="151">
        <v>32</v>
      </c>
      <c r="F448" s="151">
        <v>98</v>
      </c>
      <c r="G448" s="151">
        <v>1278</v>
      </c>
    </row>
    <row r="449" spans="1:7" x14ac:dyDescent="0.25">
      <c r="A449" s="150" t="s">
        <v>473</v>
      </c>
      <c r="B449" s="151">
        <v>1081</v>
      </c>
      <c r="C449" s="151">
        <v>390</v>
      </c>
      <c r="D449" s="151">
        <v>2292</v>
      </c>
      <c r="E449" s="151">
        <v>173</v>
      </c>
      <c r="F449" s="151">
        <v>139</v>
      </c>
      <c r="G449" s="151">
        <v>4075</v>
      </c>
    </row>
    <row r="450" spans="1:7" x14ac:dyDescent="0.25">
      <c r="A450" s="150" t="s">
        <v>474</v>
      </c>
      <c r="B450" s="151">
        <v>567</v>
      </c>
      <c r="C450" s="151">
        <v>308</v>
      </c>
      <c r="D450" s="151">
        <v>1564</v>
      </c>
      <c r="E450" s="151">
        <v>152</v>
      </c>
      <c r="F450" s="151">
        <v>144</v>
      </c>
      <c r="G450" s="151">
        <v>2735</v>
      </c>
    </row>
    <row r="451" spans="1:7" x14ac:dyDescent="0.25">
      <c r="A451" s="150" t="s">
        <v>475</v>
      </c>
      <c r="B451" s="151">
        <v>336</v>
      </c>
      <c r="C451" s="151">
        <v>175</v>
      </c>
      <c r="D451" s="151">
        <v>888</v>
      </c>
      <c r="E451" s="151">
        <v>69</v>
      </c>
      <c r="F451" s="151">
        <v>64</v>
      </c>
      <c r="G451" s="151">
        <v>1532</v>
      </c>
    </row>
    <row r="452" spans="1:7" x14ac:dyDescent="0.25">
      <c r="A452" s="150" t="s">
        <v>476</v>
      </c>
      <c r="B452" s="151">
        <v>2395</v>
      </c>
      <c r="C452" s="151">
        <v>1246</v>
      </c>
      <c r="D452" s="151">
        <v>6747</v>
      </c>
      <c r="E452" s="151">
        <v>469</v>
      </c>
      <c r="F452" s="151">
        <v>805</v>
      </c>
      <c r="G452" s="151">
        <v>11662</v>
      </c>
    </row>
    <row r="453" spans="1:7" x14ac:dyDescent="0.25">
      <c r="A453" s="150" t="s">
        <v>477</v>
      </c>
      <c r="B453" s="151">
        <v>200</v>
      </c>
      <c r="C453" s="151">
        <v>98</v>
      </c>
      <c r="D453" s="151">
        <v>537</v>
      </c>
      <c r="E453" s="151">
        <v>37</v>
      </c>
      <c r="F453" s="151">
        <v>43</v>
      </c>
      <c r="G453" s="151">
        <v>915</v>
      </c>
    </row>
    <row r="454" spans="1:7" x14ac:dyDescent="0.25">
      <c r="A454" s="150" t="s">
        <v>478</v>
      </c>
      <c r="B454" s="151">
        <v>1050</v>
      </c>
      <c r="C454" s="151">
        <v>627</v>
      </c>
      <c r="D454" s="151">
        <v>1608</v>
      </c>
      <c r="E454" s="151">
        <v>119</v>
      </c>
      <c r="F454" s="151">
        <v>281</v>
      </c>
      <c r="G454" s="151">
        <v>3685</v>
      </c>
    </row>
    <row r="455" spans="1:7" x14ac:dyDescent="0.25">
      <c r="A455" s="150" t="s">
        <v>479</v>
      </c>
      <c r="B455" s="151">
        <v>536</v>
      </c>
      <c r="C455" s="151">
        <v>281</v>
      </c>
      <c r="D455" s="151">
        <v>1189</v>
      </c>
      <c r="E455" s="151">
        <v>83</v>
      </c>
      <c r="F455" s="151">
        <v>167</v>
      </c>
      <c r="G455" s="151">
        <v>2256</v>
      </c>
    </row>
    <row r="456" spans="1:7" x14ac:dyDescent="0.25">
      <c r="A456" s="150" t="s">
        <v>480</v>
      </c>
      <c r="B456" s="151">
        <v>326</v>
      </c>
      <c r="C456" s="151">
        <v>167</v>
      </c>
      <c r="D456" s="151">
        <v>670</v>
      </c>
      <c r="E456" s="151">
        <v>38</v>
      </c>
      <c r="F456" s="151">
        <v>70</v>
      </c>
      <c r="G456" s="151">
        <v>1271</v>
      </c>
    </row>
    <row r="457" spans="1:7" x14ac:dyDescent="0.25">
      <c r="A457" s="150" t="s">
        <v>481</v>
      </c>
      <c r="B457" s="151">
        <v>805</v>
      </c>
      <c r="C457" s="151">
        <v>342</v>
      </c>
      <c r="D457" s="151">
        <v>2227</v>
      </c>
      <c r="E457" s="151">
        <v>212</v>
      </c>
      <c r="F457" s="151">
        <v>158</v>
      </c>
      <c r="G457" s="151">
        <v>3744</v>
      </c>
    </row>
    <row r="458" spans="1:7" x14ac:dyDescent="0.25">
      <c r="A458" s="150" t="s">
        <v>482</v>
      </c>
      <c r="B458" s="151">
        <v>758</v>
      </c>
      <c r="C458" s="151">
        <v>389</v>
      </c>
      <c r="D458" s="151">
        <v>1418</v>
      </c>
      <c r="E458" s="151">
        <v>73</v>
      </c>
      <c r="F458" s="151">
        <v>147</v>
      </c>
      <c r="G458" s="151">
        <v>2785</v>
      </c>
    </row>
    <row r="459" spans="1:7" x14ac:dyDescent="0.25">
      <c r="A459" s="198" t="s">
        <v>35</v>
      </c>
      <c r="B459" s="199">
        <v>21395</v>
      </c>
      <c r="C459" s="199">
        <v>11278</v>
      </c>
      <c r="D459" s="199">
        <v>54317</v>
      </c>
      <c r="E459" s="199">
        <v>4745</v>
      </c>
      <c r="F459" s="199">
        <v>6172</v>
      </c>
      <c r="G459" s="199">
        <v>97907</v>
      </c>
    </row>
  </sheetData>
  <mergeCells count="16">
    <mergeCell ref="B117:F117"/>
    <mergeCell ref="B6:F6"/>
    <mergeCell ref="B20:F20"/>
    <mergeCell ref="B35:F35"/>
    <mergeCell ref="B50:F50"/>
    <mergeCell ref="B72:F72"/>
    <mergeCell ref="B347:F347"/>
    <mergeCell ref="B406:F406"/>
    <mergeCell ref="B425:F425"/>
    <mergeCell ref="B436:F436"/>
    <mergeCell ref="B157:F157"/>
    <mergeCell ref="B194:F194"/>
    <mergeCell ref="B234:F234"/>
    <mergeCell ref="B274:F274"/>
    <mergeCell ref="B312:F312"/>
    <mergeCell ref="B329:F3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50" t="s">
        <v>513</v>
      </c>
      <c r="B3" s="150" t="s">
        <v>514</v>
      </c>
      <c r="C3" s="150">
        <v>1</v>
      </c>
      <c r="D3" s="168"/>
      <c r="E3" s="168"/>
      <c r="F3" s="169"/>
    </row>
    <row r="4" spans="1:7" x14ac:dyDescent="0.25">
      <c r="A4" s="150"/>
      <c r="B4" s="150"/>
      <c r="C4" s="150"/>
      <c r="D4" s="150"/>
      <c r="F4" s="157"/>
    </row>
    <row r="5" spans="1:7" ht="30" x14ac:dyDescent="0.25">
      <c r="A5" s="150"/>
      <c r="B5" s="150"/>
      <c r="C5" s="150" t="s">
        <v>512</v>
      </c>
      <c r="D5" s="150"/>
      <c r="F5" s="157"/>
    </row>
    <row r="6" spans="1:7" x14ac:dyDescent="0.25">
      <c r="A6" s="150" t="s">
        <v>137</v>
      </c>
      <c r="B6" s="150" t="s">
        <v>491</v>
      </c>
      <c r="C6" s="150" t="s">
        <v>492</v>
      </c>
      <c r="D6" s="150" t="s">
        <v>493</v>
      </c>
      <c r="E6" s="150" t="s">
        <v>494</v>
      </c>
      <c r="F6" s="150" t="s">
        <v>495</v>
      </c>
      <c r="G6" s="150" t="s">
        <v>35</v>
      </c>
    </row>
    <row r="7" spans="1:7" x14ac:dyDescent="0.25">
      <c r="A7" s="150"/>
      <c r="B7" s="150"/>
      <c r="C7" s="150"/>
      <c r="G7" s="157"/>
    </row>
    <row r="8" spans="1:7" ht="30" x14ac:dyDescent="0.25">
      <c r="A8" s="150" t="s">
        <v>142</v>
      </c>
      <c r="B8" s="150">
        <v>32</v>
      </c>
      <c r="C8" s="160">
        <v>8631</v>
      </c>
      <c r="D8" s="150">
        <v>1</v>
      </c>
      <c r="E8" s="160">
        <v>1938</v>
      </c>
      <c r="F8" s="150">
        <v>329</v>
      </c>
      <c r="G8" s="160">
        <v>10931</v>
      </c>
    </row>
    <row r="9" spans="1:7" x14ac:dyDescent="0.25">
      <c r="A9" s="150" t="s">
        <v>148</v>
      </c>
      <c r="B9" s="150">
        <v>0</v>
      </c>
      <c r="C9" s="150">
        <v>192</v>
      </c>
      <c r="D9">
        <v>0</v>
      </c>
      <c r="E9" s="150">
        <v>38</v>
      </c>
      <c r="F9" s="150">
        <v>4</v>
      </c>
      <c r="G9" s="150">
        <v>234</v>
      </c>
    </row>
    <row r="10" spans="1:7" x14ac:dyDescent="0.25">
      <c r="A10" s="150" t="s">
        <v>143</v>
      </c>
      <c r="B10" s="150">
        <v>2</v>
      </c>
      <c r="C10" s="150">
        <v>137</v>
      </c>
      <c r="D10">
        <v>0</v>
      </c>
      <c r="E10" s="150">
        <v>25</v>
      </c>
      <c r="F10" s="150">
        <v>3</v>
      </c>
      <c r="G10" s="150">
        <v>167</v>
      </c>
    </row>
    <row r="11" spans="1:7" x14ac:dyDescent="0.25">
      <c r="A11" s="150" t="s">
        <v>144</v>
      </c>
      <c r="B11" s="150">
        <v>6</v>
      </c>
      <c r="C11" s="150">
        <v>476</v>
      </c>
      <c r="D11" s="150">
        <v>1</v>
      </c>
      <c r="E11" s="150">
        <v>103</v>
      </c>
      <c r="F11" s="150">
        <v>14</v>
      </c>
      <c r="G11" s="150">
        <v>600</v>
      </c>
    </row>
    <row r="12" spans="1:7" x14ac:dyDescent="0.25">
      <c r="A12" s="150" t="s">
        <v>145</v>
      </c>
      <c r="B12" s="150">
        <v>90</v>
      </c>
      <c r="C12" s="160">
        <v>26648</v>
      </c>
      <c r="D12" s="150">
        <v>11</v>
      </c>
      <c r="E12" s="160">
        <v>6786</v>
      </c>
      <c r="F12" s="150">
        <v>678</v>
      </c>
      <c r="G12" s="160">
        <v>34213</v>
      </c>
    </row>
    <row r="13" spans="1:7" x14ac:dyDescent="0.25">
      <c r="A13" s="150" t="s">
        <v>146</v>
      </c>
      <c r="B13" s="150">
        <v>2</v>
      </c>
      <c r="C13" s="150">
        <v>876</v>
      </c>
      <c r="D13" s="181">
        <v>0</v>
      </c>
      <c r="E13" s="150">
        <v>200</v>
      </c>
      <c r="F13" s="150">
        <v>26</v>
      </c>
      <c r="G13" s="160">
        <v>1104</v>
      </c>
    </row>
    <row r="14" spans="1:7" ht="30" x14ac:dyDescent="0.25">
      <c r="A14" s="150" t="s">
        <v>147</v>
      </c>
      <c r="B14" s="150">
        <v>9</v>
      </c>
      <c r="C14" s="160">
        <v>1589</v>
      </c>
      <c r="D14" s="181">
        <v>0</v>
      </c>
      <c r="E14" s="150">
        <v>403</v>
      </c>
      <c r="F14" s="150">
        <v>50</v>
      </c>
      <c r="G14" s="160">
        <v>2051</v>
      </c>
    </row>
    <row r="15" spans="1:7" x14ac:dyDescent="0.25">
      <c r="A15" s="150" t="s">
        <v>35</v>
      </c>
      <c r="B15" s="151">
        <f>SUM(B8:B14)</f>
        <v>141</v>
      </c>
      <c r="C15" s="151">
        <f t="shared" ref="C15:G15" si="0">SUM(C8:C14)</f>
        <v>38549</v>
      </c>
      <c r="D15" s="151">
        <f t="shared" si="0"/>
        <v>13</v>
      </c>
      <c r="E15" s="151">
        <f t="shared" si="0"/>
        <v>9493</v>
      </c>
      <c r="F15" s="151">
        <f t="shared" si="0"/>
        <v>1104</v>
      </c>
      <c r="G15" s="151">
        <f t="shared" si="0"/>
        <v>49300</v>
      </c>
    </row>
    <row r="16" spans="1:7" x14ac:dyDescent="0.25">
      <c r="A16" s="150"/>
      <c r="B16" s="150"/>
      <c r="C16" s="150"/>
      <c r="D16" s="161"/>
      <c r="E16" s="161"/>
      <c r="F16" s="161"/>
      <c r="G16" s="158"/>
    </row>
    <row r="21" spans="1:8" ht="45" x14ac:dyDescent="0.25">
      <c r="A21" s="150" t="s">
        <v>149</v>
      </c>
      <c r="B21" s="168"/>
      <c r="C21" s="168"/>
      <c r="D21" s="168"/>
      <c r="E21" s="168"/>
      <c r="F21" s="169"/>
    </row>
    <row r="22" spans="1:8" x14ac:dyDescent="0.25">
      <c r="A22" s="150"/>
      <c r="B22" s="150"/>
      <c r="C22" s="150"/>
      <c r="F22" s="157"/>
    </row>
    <row r="23" spans="1:8" ht="30" x14ac:dyDescent="0.25">
      <c r="A23" s="150"/>
      <c r="B23" s="150" t="s">
        <v>512</v>
      </c>
      <c r="C23" s="150"/>
      <c r="F23" s="157"/>
    </row>
    <row r="24" spans="1:8" x14ac:dyDescent="0.25">
      <c r="A24" s="150" t="s">
        <v>137</v>
      </c>
      <c r="B24" s="150" t="s">
        <v>491</v>
      </c>
      <c r="C24" s="150" t="s">
        <v>492</v>
      </c>
      <c r="D24" s="150" t="s">
        <v>493</v>
      </c>
      <c r="E24" s="150" t="s">
        <v>494</v>
      </c>
      <c r="F24" s="150" t="s">
        <v>495</v>
      </c>
      <c r="G24" s="150" t="s">
        <v>35</v>
      </c>
    </row>
    <row r="25" spans="1:8" x14ac:dyDescent="0.25">
      <c r="A25" s="150"/>
      <c r="B25" s="150"/>
      <c r="C25" s="150"/>
      <c r="G25" s="157"/>
    </row>
    <row r="26" spans="1:8" ht="30" x14ac:dyDescent="0.25">
      <c r="A26" s="150" t="s">
        <v>150</v>
      </c>
      <c r="B26" s="150">
        <v>137</v>
      </c>
      <c r="C26" s="160">
        <v>41859</v>
      </c>
      <c r="D26" s="150">
        <v>18</v>
      </c>
      <c r="E26" s="160">
        <v>10946</v>
      </c>
      <c r="F26" s="160">
        <v>1282</v>
      </c>
      <c r="G26" s="160">
        <v>54242</v>
      </c>
    </row>
    <row r="27" spans="1:8" x14ac:dyDescent="0.25">
      <c r="A27" s="150" t="s">
        <v>151</v>
      </c>
      <c r="B27" s="150">
        <v>30</v>
      </c>
      <c r="C27" s="160">
        <v>14670</v>
      </c>
      <c r="D27" s="150">
        <v>8</v>
      </c>
      <c r="E27" s="160">
        <v>3983</v>
      </c>
      <c r="F27" s="150">
        <v>498</v>
      </c>
      <c r="G27" s="160">
        <v>19189</v>
      </c>
    </row>
    <row r="28" spans="1:8" ht="30" x14ac:dyDescent="0.25">
      <c r="A28" s="150" t="s">
        <v>152</v>
      </c>
      <c r="B28">
        <v>0</v>
      </c>
      <c r="C28" s="150">
        <v>414</v>
      </c>
      <c r="D28">
        <v>0</v>
      </c>
      <c r="E28" s="150">
        <v>130</v>
      </c>
      <c r="F28" s="150">
        <v>12</v>
      </c>
      <c r="G28" s="150">
        <v>556</v>
      </c>
    </row>
    <row r="29" spans="1:8" ht="30" x14ac:dyDescent="0.25">
      <c r="A29" s="150" t="s">
        <v>153</v>
      </c>
      <c r="B29" s="150">
        <v>3</v>
      </c>
      <c r="C29" s="160">
        <v>1165</v>
      </c>
      <c r="D29" s="150">
        <v>1</v>
      </c>
      <c r="E29" s="150">
        <v>377</v>
      </c>
      <c r="F29" s="150">
        <v>59</v>
      </c>
      <c r="G29" s="160">
        <v>1605</v>
      </c>
    </row>
    <row r="30" spans="1:8" x14ac:dyDescent="0.25">
      <c r="A30" s="150" t="s">
        <v>154</v>
      </c>
      <c r="B30" s="150">
        <v>0</v>
      </c>
      <c r="C30" s="150">
        <v>37</v>
      </c>
      <c r="D30" s="182">
        <v>0</v>
      </c>
      <c r="E30" s="150">
        <v>5</v>
      </c>
      <c r="F30" s="150">
        <v>1</v>
      </c>
      <c r="G30" s="150">
        <v>43</v>
      </c>
      <c r="H30" s="157"/>
    </row>
    <row r="31" spans="1:8" ht="45" x14ac:dyDescent="0.25">
      <c r="A31" s="150" t="s">
        <v>155</v>
      </c>
      <c r="B31" s="150">
        <v>1</v>
      </c>
      <c r="C31" s="150">
        <v>680</v>
      </c>
      <c r="D31" s="182">
        <v>0</v>
      </c>
      <c r="E31" s="150">
        <v>145</v>
      </c>
      <c r="F31" s="150">
        <v>25</v>
      </c>
      <c r="G31" s="150">
        <v>851</v>
      </c>
    </row>
    <row r="32" spans="1:8" ht="30" x14ac:dyDescent="0.25">
      <c r="A32" s="150" t="s">
        <v>156</v>
      </c>
      <c r="B32" s="181">
        <v>0</v>
      </c>
      <c r="C32" s="150">
        <v>98</v>
      </c>
      <c r="D32" s="182">
        <v>0</v>
      </c>
      <c r="E32" s="150">
        <v>29</v>
      </c>
      <c r="F32" s="150">
        <v>2</v>
      </c>
      <c r="G32" s="150">
        <v>129</v>
      </c>
    </row>
    <row r="33" spans="1:8" x14ac:dyDescent="0.25">
      <c r="A33" s="150" t="s">
        <v>157</v>
      </c>
      <c r="B33" s="150">
        <v>4</v>
      </c>
      <c r="C33" s="160">
        <v>1885</v>
      </c>
      <c r="D33" s="182">
        <v>0</v>
      </c>
      <c r="E33" s="150">
        <v>570</v>
      </c>
      <c r="F33" s="150">
        <v>63</v>
      </c>
      <c r="G33" s="160">
        <v>2522</v>
      </c>
    </row>
    <row r="34" spans="1:8" x14ac:dyDescent="0.25">
      <c r="A34" s="150" t="s">
        <v>158</v>
      </c>
      <c r="B34" s="150">
        <v>11</v>
      </c>
      <c r="C34" s="160">
        <v>4223</v>
      </c>
      <c r="D34" s="150">
        <v>7</v>
      </c>
      <c r="E34" s="160">
        <v>1046</v>
      </c>
      <c r="F34" s="150">
        <v>126</v>
      </c>
      <c r="G34" s="160">
        <v>5413</v>
      </c>
    </row>
    <row r="35" spans="1:8" x14ac:dyDescent="0.25">
      <c r="A35" s="150"/>
      <c r="G35" s="157"/>
    </row>
    <row r="36" spans="1:8" x14ac:dyDescent="0.25">
      <c r="A36" s="150" t="s">
        <v>35</v>
      </c>
      <c r="B36" s="151">
        <f>SUM(B26:B35)</f>
        <v>186</v>
      </c>
      <c r="C36" s="151">
        <f t="shared" ref="C36:G36" si="1">SUM(C26:C35)</f>
        <v>65031</v>
      </c>
      <c r="D36" s="151">
        <f t="shared" si="1"/>
        <v>34</v>
      </c>
      <c r="E36" s="151">
        <f t="shared" si="1"/>
        <v>17231</v>
      </c>
      <c r="F36" s="151">
        <f t="shared" si="1"/>
        <v>2068</v>
      </c>
      <c r="G36" s="151">
        <f t="shared" si="1"/>
        <v>84550</v>
      </c>
    </row>
    <row r="37" spans="1:8" x14ac:dyDescent="0.25">
      <c r="A37" s="150"/>
      <c r="B37" s="150"/>
      <c r="C37" s="150"/>
      <c r="D37" s="161"/>
      <c r="E37" s="161"/>
      <c r="F37" s="161"/>
      <c r="G37" s="158"/>
    </row>
    <row r="42" spans="1:8" ht="45" x14ac:dyDescent="0.25">
      <c r="A42" s="150" t="s">
        <v>513</v>
      </c>
      <c r="B42" s="150" t="s">
        <v>514</v>
      </c>
      <c r="C42" s="150">
        <v>3</v>
      </c>
      <c r="D42" s="168"/>
      <c r="E42" s="168"/>
      <c r="F42" s="168"/>
      <c r="G42" s="169"/>
    </row>
    <row r="43" spans="1:8" x14ac:dyDescent="0.25">
      <c r="A43" s="150"/>
      <c r="B43" s="150"/>
      <c r="C43" s="150"/>
      <c r="D43" s="150"/>
      <c r="G43" s="157"/>
    </row>
    <row r="44" spans="1:8" ht="30" x14ac:dyDescent="0.25">
      <c r="A44" s="150"/>
      <c r="B44" s="150"/>
      <c r="C44" s="150" t="s">
        <v>512</v>
      </c>
      <c r="D44" s="150"/>
      <c r="G44" s="157"/>
    </row>
    <row r="45" spans="1:8" x14ac:dyDescent="0.25">
      <c r="A45" s="150" t="s">
        <v>137</v>
      </c>
      <c r="B45" s="150"/>
      <c r="C45" s="150" t="s">
        <v>491</v>
      </c>
      <c r="D45" s="150" t="s">
        <v>492</v>
      </c>
      <c r="E45" s="150" t="s">
        <v>493</v>
      </c>
      <c r="F45" s="150" t="s">
        <v>494</v>
      </c>
      <c r="G45" s="150" t="s">
        <v>495</v>
      </c>
      <c r="H45" s="150" t="s">
        <v>35</v>
      </c>
    </row>
    <row r="46" spans="1:8" x14ac:dyDescent="0.25">
      <c r="A46" s="150"/>
      <c r="B46" s="150"/>
      <c r="C46" s="150"/>
      <c r="D46" s="150"/>
      <c r="H46" s="157"/>
    </row>
    <row r="47" spans="1:8" ht="30" x14ac:dyDescent="0.25">
      <c r="A47" s="150" t="s">
        <v>159</v>
      </c>
      <c r="B47" s="150"/>
      <c r="C47" s="150">
        <v>1</v>
      </c>
      <c r="D47" s="150">
        <v>962</v>
      </c>
      <c r="E47" s="150">
        <v>0</v>
      </c>
      <c r="F47" s="150">
        <v>159</v>
      </c>
      <c r="G47" s="150">
        <v>31</v>
      </c>
      <c r="H47" s="160">
        <v>1153</v>
      </c>
    </row>
    <row r="48" spans="1:8" x14ac:dyDescent="0.25">
      <c r="A48" s="150" t="s">
        <v>160</v>
      </c>
      <c r="B48" s="150"/>
      <c r="C48" s="150">
        <v>9</v>
      </c>
      <c r="D48" s="160">
        <v>2524</v>
      </c>
      <c r="E48" s="150">
        <v>1</v>
      </c>
      <c r="F48" s="150">
        <v>499</v>
      </c>
      <c r="G48" s="150">
        <v>92</v>
      </c>
      <c r="H48" s="160">
        <v>3125</v>
      </c>
    </row>
    <row r="49" spans="1:8" x14ac:dyDescent="0.25">
      <c r="A49" s="150" t="s">
        <v>502</v>
      </c>
      <c r="B49" s="150"/>
      <c r="C49" s="150">
        <v>5</v>
      </c>
      <c r="D49" s="160">
        <v>2246</v>
      </c>
      <c r="E49" s="150">
        <v>3</v>
      </c>
      <c r="F49" s="150">
        <v>497</v>
      </c>
      <c r="G49" s="150">
        <v>44</v>
      </c>
      <c r="H49" s="160">
        <v>2795</v>
      </c>
    </row>
    <row r="50" spans="1:8" x14ac:dyDescent="0.25">
      <c r="A50" s="150" t="s">
        <v>161</v>
      </c>
      <c r="B50" s="150"/>
      <c r="C50" s="150">
        <v>67</v>
      </c>
      <c r="D50" s="160">
        <v>20329</v>
      </c>
      <c r="E50" s="150">
        <v>7</v>
      </c>
      <c r="F50" s="160">
        <v>4285</v>
      </c>
      <c r="G50" s="150">
        <v>511</v>
      </c>
      <c r="H50" s="160">
        <v>25199</v>
      </c>
    </row>
    <row r="51" spans="1:8" ht="30" x14ac:dyDescent="0.25">
      <c r="A51" s="150" t="s">
        <v>162</v>
      </c>
      <c r="B51" s="150"/>
      <c r="C51" s="150">
        <v>6</v>
      </c>
      <c r="D51" s="160">
        <v>1399</v>
      </c>
      <c r="E51" s="150">
        <v>1</v>
      </c>
      <c r="F51" s="150">
        <v>380</v>
      </c>
      <c r="G51" s="150">
        <v>25</v>
      </c>
      <c r="H51" s="160">
        <v>1811</v>
      </c>
    </row>
    <row r="52" spans="1:8" x14ac:dyDescent="0.25">
      <c r="A52" s="150" t="s">
        <v>163</v>
      </c>
      <c r="B52" s="150"/>
      <c r="C52" s="150">
        <v>4</v>
      </c>
      <c r="D52" s="160">
        <v>1169</v>
      </c>
      <c r="E52" s="181">
        <v>0</v>
      </c>
      <c r="F52" s="150">
        <v>197</v>
      </c>
      <c r="G52" s="150">
        <v>13</v>
      </c>
      <c r="H52" s="160">
        <v>1383</v>
      </c>
    </row>
    <row r="53" spans="1:8" x14ac:dyDescent="0.25">
      <c r="A53" s="150" t="s">
        <v>164</v>
      </c>
      <c r="B53" s="150"/>
      <c r="C53" s="150">
        <v>2</v>
      </c>
      <c r="D53" s="160">
        <v>1687</v>
      </c>
      <c r="E53" s="150">
        <v>1</v>
      </c>
      <c r="F53" s="150">
        <v>361</v>
      </c>
      <c r="G53" s="150">
        <v>43</v>
      </c>
      <c r="H53" s="160">
        <v>2094</v>
      </c>
    </row>
    <row r="54" spans="1:8" ht="30" x14ac:dyDescent="0.25">
      <c r="A54" s="150" t="s">
        <v>165</v>
      </c>
      <c r="B54" s="150"/>
      <c r="C54" s="150">
        <v>4</v>
      </c>
      <c r="D54" s="160">
        <v>1565</v>
      </c>
      <c r="E54" s="150">
        <v>1</v>
      </c>
      <c r="F54" s="150">
        <v>299</v>
      </c>
      <c r="G54" s="150">
        <v>40</v>
      </c>
      <c r="H54" s="160">
        <v>1909</v>
      </c>
    </row>
    <row r="55" spans="1:8" x14ac:dyDescent="0.25">
      <c r="A55" s="150" t="s">
        <v>166</v>
      </c>
      <c r="B55" s="150"/>
      <c r="C55" s="150">
        <v>34</v>
      </c>
      <c r="D55" s="160">
        <v>9905</v>
      </c>
      <c r="E55" s="150">
        <v>3</v>
      </c>
      <c r="F55" s="160">
        <v>1871</v>
      </c>
      <c r="G55" s="150">
        <v>198</v>
      </c>
      <c r="H55" s="160">
        <v>12011</v>
      </c>
    </row>
    <row r="56" spans="1:8" x14ac:dyDescent="0.25">
      <c r="A56" s="150"/>
      <c r="H56" s="157"/>
    </row>
    <row r="57" spans="1:8" x14ac:dyDescent="0.25">
      <c r="A57" s="150" t="s">
        <v>35</v>
      </c>
      <c r="B57" s="150"/>
      <c r="C57" s="150">
        <v>132</v>
      </c>
      <c r="D57" s="160">
        <v>41786</v>
      </c>
      <c r="E57" s="150">
        <v>17</v>
      </c>
      <c r="F57" s="160">
        <v>8548</v>
      </c>
      <c r="G57" s="150">
        <v>997</v>
      </c>
      <c r="H57" s="160">
        <v>51480</v>
      </c>
    </row>
    <row r="58" spans="1:8" x14ac:dyDescent="0.25">
      <c r="A58" s="150"/>
      <c r="B58" s="150"/>
      <c r="C58" s="150"/>
      <c r="D58" s="150"/>
      <c r="E58" s="161"/>
      <c r="F58" s="161"/>
      <c r="G58" s="161"/>
      <c r="H58" s="158"/>
    </row>
    <row r="63" spans="1:8" ht="45" x14ac:dyDescent="0.25">
      <c r="A63" s="150" t="s">
        <v>513</v>
      </c>
      <c r="B63" s="150" t="s">
        <v>514</v>
      </c>
      <c r="C63" s="150">
        <v>4</v>
      </c>
      <c r="D63" s="168"/>
      <c r="E63" s="168"/>
      <c r="F63" s="169"/>
    </row>
    <row r="64" spans="1:8" x14ac:dyDescent="0.25">
      <c r="A64" s="150"/>
      <c r="B64" s="150"/>
      <c r="C64" s="150"/>
      <c r="D64" s="150"/>
      <c r="F64" s="157"/>
    </row>
    <row r="65" spans="1:7" ht="30" x14ac:dyDescent="0.25">
      <c r="A65" s="150"/>
      <c r="B65" s="150"/>
      <c r="C65" s="150" t="s">
        <v>512</v>
      </c>
      <c r="D65" s="150"/>
      <c r="F65" s="157"/>
    </row>
    <row r="66" spans="1:7" x14ac:dyDescent="0.25">
      <c r="A66" s="150" t="s">
        <v>137</v>
      </c>
      <c r="B66" s="150" t="s">
        <v>491</v>
      </c>
      <c r="C66" s="150" t="s">
        <v>492</v>
      </c>
      <c r="D66" s="150" t="s">
        <v>493</v>
      </c>
      <c r="E66" s="150" t="s">
        <v>494</v>
      </c>
      <c r="F66" s="150" t="s">
        <v>495</v>
      </c>
      <c r="G66" s="150" t="s">
        <v>35</v>
      </c>
    </row>
    <row r="67" spans="1:7" x14ac:dyDescent="0.25">
      <c r="A67" s="150"/>
      <c r="B67" s="150"/>
      <c r="C67" s="150"/>
      <c r="G67" s="157"/>
    </row>
    <row r="68" spans="1:7" ht="30" x14ac:dyDescent="0.25">
      <c r="A68" s="150" t="s">
        <v>167</v>
      </c>
      <c r="B68" s="150">
        <v>13</v>
      </c>
      <c r="C68" s="160">
        <v>2131</v>
      </c>
      <c r="D68" s="150">
        <v>1</v>
      </c>
      <c r="E68" s="150">
        <v>347</v>
      </c>
      <c r="F68" s="150">
        <v>52</v>
      </c>
      <c r="G68" s="160">
        <v>2544</v>
      </c>
    </row>
    <row r="69" spans="1:7" x14ac:dyDescent="0.25">
      <c r="A69" s="150" t="s">
        <v>168</v>
      </c>
      <c r="B69" s="150">
        <v>2</v>
      </c>
      <c r="C69" s="160">
        <v>1814</v>
      </c>
      <c r="D69">
        <v>0</v>
      </c>
      <c r="E69" s="150">
        <v>241</v>
      </c>
      <c r="F69" s="150">
        <v>31</v>
      </c>
      <c r="G69" s="160">
        <v>2088</v>
      </c>
    </row>
    <row r="70" spans="1:7" ht="30" x14ac:dyDescent="0.25">
      <c r="A70" s="150" t="s">
        <v>169</v>
      </c>
      <c r="B70" s="150">
        <v>3</v>
      </c>
      <c r="C70" s="160">
        <v>3132</v>
      </c>
      <c r="D70" s="150">
        <v>4</v>
      </c>
      <c r="E70" s="150">
        <v>459</v>
      </c>
      <c r="F70" s="150">
        <v>47</v>
      </c>
      <c r="G70" s="160">
        <v>3645</v>
      </c>
    </row>
    <row r="71" spans="1:7" x14ac:dyDescent="0.25">
      <c r="A71" s="150" t="s">
        <v>170</v>
      </c>
      <c r="B71" s="150">
        <v>86</v>
      </c>
      <c r="C71" s="160">
        <v>35562</v>
      </c>
      <c r="D71" s="150">
        <v>30</v>
      </c>
      <c r="E71" s="160">
        <v>7197</v>
      </c>
      <c r="F71" s="150">
        <v>906</v>
      </c>
      <c r="G71" s="160">
        <v>43781</v>
      </c>
    </row>
    <row r="72" spans="1:7" x14ac:dyDescent="0.25">
      <c r="A72" s="150" t="s">
        <v>171</v>
      </c>
      <c r="B72" s="150">
        <v>15</v>
      </c>
      <c r="C72" s="160">
        <v>6324</v>
      </c>
      <c r="D72" s="150">
        <v>3</v>
      </c>
      <c r="E72" s="160">
        <v>1147</v>
      </c>
      <c r="F72" s="150">
        <v>126</v>
      </c>
      <c r="G72" s="160">
        <v>7615</v>
      </c>
    </row>
    <row r="73" spans="1:7" x14ac:dyDescent="0.25">
      <c r="A73" s="150" t="s">
        <v>172</v>
      </c>
      <c r="B73" s="150">
        <v>3</v>
      </c>
      <c r="C73" s="150">
        <v>731</v>
      </c>
      <c r="D73" s="150">
        <v>1</v>
      </c>
      <c r="E73" s="150">
        <v>102</v>
      </c>
      <c r="F73" s="150">
        <v>20</v>
      </c>
      <c r="G73" s="150">
        <v>857</v>
      </c>
    </row>
    <row r="74" spans="1:7" x14ac:dyDescent="0.25">
      <c r="A74" s="150" t="s">
        <v>173</v>
      </c>
      <c r="B74" s="150">
        <v>89</v>
      </c>
      <c r="C74" s="160">
        <v>32734</v>
      </c>
      <c r="D74" s="150">
        <v>44</v>
      </c>
      <c r="E74" s="160">
        <v>7692</v>
      </c>
      <c r="F74" s="150">
        <v>869</v>
      </c>
      <c r="G74" s="160">
        <v>41428</v>
      </c>
    </row>
    <row r="75" spans="1:7" x14ac:dyDescent="0.25">
      <c r="A75" s="150" t="s">
        <v>174</v>
      </c>
      <c r="B75" s="150">
        <v>3</v>
      </c>
      <c r="C75" s="160">
        <v>3849</v>
      </c>
      <c r="D75" s="150">
        <v>3</v>
      </c>
      <c r="E75" s="150">
        <v>606</v>
      </c>
      <c r="F75" s="150">
        <v>88</v>
      </c>
      <c r="G75" s="160">
        <v>4549</v>
      </c>
    </row>
    <row r="76" spans="1:7" ht="30" x14ac:dyDescent="0.25">
      <c r="A76" s="150" t="s">
        <v>175</v>
      </c>
      <c r="B76" s="150">
        <v>11</v>
      </c>
      <c r="C76" s="160">
        <v>5111</v>
      </c>
      <c r="D76" s="150">
        <v>5</v>
      </c>
      <c r="E76" s="150">
        <v>715</v>
      </c>
      <c r="F76" s="150">
        <v>107</v>
      </c>
      <c r="G76" s="160">
        <v>5949</v>
      </c>
    </row>
    <row r="77" spans="1:7" x14ac:dyDescent="0.25">
      <c r="A77" s="150" t="s">
        <v>176</v>
      </c>
      <c r="B77" s="150">
        <v>39</v>
      </c>
      <c r="C77" s="160">
        <v>19496</v>
      </c>
      <c r="D77" s="150">
        <v>8</v>
      </c>
      <c r="E77" s="160">
        <v>3011</v>
      </c>
      <c r="F77" s="150">
        <v>420</v>
      </c>
      <c r="G77" s="160">
        <v>22974</v>
      </c>
    </row>
    <row r="78" spans="1:7" x14ac:dyDescent="0.25">
      <c r="A78" s="150" t="s">
        <v>177</v>
      </c>
      <c r="B78" s="150">
        <v>2</v>
      </c>
      <c r="C78" s="150">
        <v>837</v>
      </c>
      <c r="D78" s="150">
        <v>1</v>
      </c>
      <c r="E78" s="150">
        <v>126</v>
      </c>
      <c r="F78" s="150">
        <v>24</v>
      </c>
      <c r="G78" s="150">
        <v>990</v>
      </c>
    </row>
    <row r="79" spans="1:7" x14ac:dyDescent="0.25">
      <c r="A79" s="150" t="s">
        <v>178</v>
      </c>
      <c r="B79" s="150">
        <v>7</v>
      </c>
      <c r="C79" s="160">
        <v>2024</v>
      </c>
      <c r="D79" s="150">
        <v>1</v>
      </c>
      <c r="E79" s="150">
        <v>473</v>
      </c>
      <c r="F79" s="150">
        <v>56</v>
      </c>
      <c r="G79" s="160">
        <v>2561</v>
      </c>
    </row>
    <row r="80" spans="1:7" ht="30" x14ac:dyDescent="0.25">
      <c r="A80" s="150" t="s">
        <v>179</v>
      </c>
      <c r="B80" s="150"/>
      <c r="C80" s="150">
        <v>927</v>
      </c>
      <c r="D80" s="181">
        <v>0</v>
      </c>
      <c r="E80" s="150">
        <v>84</v>
      </c>
      <c r="F80" s="150">
        <v>10</v>
      </c>
      <c r="G80" s="160">
        <v>1021</v>
      </c>
    </row>
    <row r="81" spans="1:8" ht="30" x14ac:dyDescent="0.25">
      <c r="A81" s="150" t="s">
        <v>180</v>
      </c>
      <c r="B81" s="150">
        <v>10</v>
      </c>
      <c r="C81" s="160">
        <v>5212</v>
      </c>
      <c r="D81" s="150">
        <v>7</v>
      </c>
      <c r="E81" s="150">
        <v>858</v>
      </c>
      <c r="F81" s="150">
        <v>98</v>
      </c>
      <c r="G81" s="160">
        <v>6185</v>
      </c>
    </row>
    <row r="82" spans="1:8" x14ac:dyDescent="0.25">
      <c r="A82" s="150" t="s">
        <v>503</v>
      </c>
      <c r="B82" s="150">
        <v>16</v>
      </c>
      <c r="C82" s="160">
        <v>4735</v>
      </c>
      <c r="D82" s="150">
        <v>13</v>
      </c>
      <c r="E82" s="150">
        <v>764</v>
      </c>
      <c r="F82" s="150">
        <v>120</v>
      </c>
      <c r="G82" s="160">
        <v>5648</v>
      </c>
    </row>
    <row r="83" spans="1:8" x14ac:dyDescent="0.25">
      <c r="A83" s="150" t="s">
        <v>35</v>
      </c>
      <c r="B83" s="150">
        <v>299</v>
      </c>
      <c r="C83" s="160">
        <v>124619</v>
      </c>
      <c r="D83" s="150">
        <v>121</v>
      </c>
      <c r="E83" s="160">
        <v>23822</v>
      </c>
      <c r="F83" s="160">
        <v>2974</v>
      </c>
      <c r="G83" s="160">
        <v>151835</v>
      </c>
    </row>
    <row r="84" spans="1:8" x14ac:dyDescent="0.25">
      <c r="A84" s="150"/>
      <c r="B84" s="150"/>
      <c r="C84" s="150"/>
      <c r="F84" s="157"/>
    </row>
    <row r="85" spans="1:8" x14ac:dyDescent="0.25">
      <c r="A85" s="150"/>
      <c r="B85" s="161"/>
      <c r="C85" s="161"/>
      <c r="D85" s="161"/>
      <c r="E85" s="161"/>
      <c r="F85" s="158"/>
    </row>
    <row r="91" spans="1:8" ht="45" x14ac:dyDescent="0.25">
      <c r="A91" s="150" t="s">
        <v>513</v>
      </c>
      <c r="B91" s="150" t="s">
        <v>514</v>
      </c>
      <c r="C91" s="150">
        <v>5</v>
      </c>
      <c r="D91" s="168"/>
      <c r="E91" s="168"/>
      <c r="F91" s="168"/>
      <c r="G91" s="169"/>
    </row>
    <row r="92" spans="1:8" x14ac:dyDescent="0.25">
      <c r="A92" s="150"/>
      <c r="B92" s="150"/>
      <c r="C92" s="150"/>
      <c r="D92" s="150"/>
      <c r="G92" s="157"/>
    </row>
    <row r="93" spans="1:8" ht="30" x14ac:dyDescent="0.25">
      <c r="A93" s="150"/>
      <c r="B93" s="150"/>
      <c r="C93" s="150" t="s">
        <v>512</v>
      </c>
      <c r="D93" s="150"/>
      <c r="G93" s="157"/>
    </row>
    <row r="94" spans="1:8" x14ac:dyDescent="0.25">
      <c r="A94" s="150" t="s">
        <v>137</v>
      </c>
      <c r="B94" s="150"/>
      <c r="C94" s="150" t="s">
        <v>491</v>
      </c>
      <c r="D94" s="150" t="s">
        <v>492</v>
      </c>
      <c r="E94" s="150" t="s">
        <v>493</v>
      </c>
      <c r="F94" s="150" t="s">
        <v>494</v>
      </c>
      <c r="G94" s="150" t="s">
        <v>495</v>
      </c>
      <c r="H94" s="150" t="s">
        <v>35</v>
      </c>
    </row>
    <row r="95" spans="1:8" x14ac:dyDescent="0.25">
      <c r="A95" s="150"/>
      <c r="B95" s="150"/>
      <c r="C95" s="150"/>
      <c r="D95" s="150"/>
      <c r="H95" s="157"/>
    </row>
    <row r="96" spans="1:8" ht="30" x14ac:dyDescent="0.25">
      <c r="A96" s="150" t="s">
        <v>181</v>
      </c>
      <c r="B96" s="150"/>
      <c r="C96" s="150">
        <v>8</v>
      </c>
      <c r="D96" s="160">
        <v>2930</v>
      </c>
      <c r="E96" s="150">
        <v>1</v>
      </c>
      <c r="F96" s="150">
        <v>718</v>
      </c>
      <c r="G96" s="150">
        <v>100</v>
      </c>
      <c r="H96" s="160">
        <v>3757</v>
      </c>
    </row>
    <row r="97" spans="1:8" x14ac:dyDescent="0.25">
      <c r="A97" s="150" t="s">
        <v>182</v>
      </c>
      <c r="B97" s="150"/>
      <c r="C97" s="150">
        <v>13</v>
      </c>
      <c r="D97" s="160">
        <v>3901</v>
      </c>
      <c r="E97" s="150">
        <v>1</v>
      </c>
      <c r="F97" s="150">
        <v>979</v>
      </c>
      <c r="G97" s="150">
        <v>85</v>
      </c>
      <c r="H97" s="160">
        <v>4979</v>
      </c>
    </row>
    <row r="98" spans="1:8" ht="30" x14ac:dyDescent="0.25">
      <c r="A98" s="150" t="s">
        <v>183</v>
      </c>
      <c r="B98" s="150"/>
      <c r="C98" s="150">
        <v>5</v>
      </c>
      <c r="D98" s="160">
        <v>2004</v>
      </c>
      <c r="E98" s="150">
        <v>2</v>
      </c>
      <c r="F98" s="150">
        <v>378</v>
      </c>
      <c r="G98" s="150">
        <v>42</v>
      </c>
      <c r="H98" s="160">
        <v>2431</v>
      </c>
    </row>
    <row r="99" spans="1:8" ht="30" x14ac:dyDescent="0.25">
      <c r="A99" s="150" t="s">
        <v>184</v>
      </c>
      <c r="B99" s="150"/>
      <c r="C99" s="150">
        <v>13</v>
      </c>
      <c r="D99" s="160">
        <v>5034</v>
      </c>
      <c r="E99" s="150">
        <v>1</v>
      </c>
      <c r="F99" s="150">
        <v>862</v>
      </c>
      <c r="G99" s="150">
        <v>124</v>
      </c>
      <c r="H99" s="160">
        <v>6034</v>
      </c>
    </row>
    <row r="100" spans="1:8" ht="30" x14ac:dyDescent="0.25">
      <c r="A100" s="150" t="s">
        <v>185</v>
      </c>
      <c r="B100" s="150"/>
      <c r="C100" s="150">
        <v>13</v>
      </c>
      <c r="D100" s="160">
        <v>4521</v>
      </c>
      <c r="E100" s="150">
        <v>5</v>
      </c>
      <c r="F100" s="150">
        <v>897</v>
      </c>
      <c r="G100" s="150">
        <v>92</v>
      </c>
      <c r="H100" s="160">
        <v>5528</v>
      </c>
    </row>
    <row r="101" spans="1:8" x14ac:dyDescent="0.25">
      <c r="A101" s="150" t="s">
        <v>186</v>
      </c>
      <c r="B101" s="150"/>
      <c r="C101" s="150">
        <v>3</v>
      </c>
      <c r="D101" s="160">
        <v>2676</v>
      </c>
      <c r="E101" s="150">
        <v>1</v>
      </c>
      <c r="F101" s="150">
        <v>468</v>
      </c>
      <c r="G101" s="150">
        <v>49</v>
      </c>
      <c r="H101" s="160">
        <v>3197</v>
      </c>
    </row>
    <row r="102" spans="1:8" x14ac:dyDescent="0.25">
      <c r="A102" s="150" t="s">
        <v>187</v>
      </c>
      <c r="B102" s="150"/>
      <c r="C102" s="150">
        <v>17</v>
      </c>
      <c r="D102" s="160">
        <v>5887</v>
      </c>
      <c r="E102" s="150">
        <v>2</v>
      </c>
      <c r="F102" s="160">
        <v>1489</v>
      </c>
      <c r="G102" s="150">
        <v>172</v>
      </c>
      <c r="H102" s="160">
        <v>7567</v>
      </c>
    </row>
    <row r="103" spans="1:8" x14ac:dyDescent="0.25">
      <c r="A103" s="150" t="s">
        <v>188</v>
      </c>
      <c r="B103" s="150"/>
      <c r="C103" s="150">
        <v>6</v>
      </c>
      <c r="D103" s="160">
        <v>3878</v>
      </c>
      <c r="E103" s="150">
        <v>1</v>
      </c>
      <c r="F103" s="150">
        <v>920</v>
      </c>
      <c r="G103" s="150">
        <v>99</v>
      </c>
      <c r="H103" s="160">
        <v>4904</v>
      </c>
    </row>
    <row r="104" spans="1:8" x14ac:dyDescent="0.25">
      <c r="A104" s="150" t="s">
        <v>189</v>
      </c>
      <c r="B104" s="150"/>
      <c r="C104" s="150">
        <v>4</v>
      </c>
      <c r="D104" s="160">
        <v>3390</v>
      </c>
      <c r="E104" s="150">
        <v>4</v>
      </c>
      <c r="F104" s="150">
        <v>696</v>
      </c>
      <c r="G104" s="150">
        <v>92</v>
      </c>
      <c r="H104" s="160">
        <v>4186</v>
      </c>
    </row>
    <row r="105" spans="1:8" x14ac:dyDescent="0.25">
      <c r="A105" s="150" t="s">
        <v>190</v>
      </c>
      <c r="B105" s="150"/>
      <c r="C105" s="150">
        <v>6</v>
      </c>
      <c r="D105" s="160">
        <v>3345</v>
      </c>
      <c r="E105" s="150">
        <v>2</v>
      </c>
      <c r="F105" s="150">
        <v>650</v>
      </c>
      <c r="G105" s="150">
        <v>70</v>
      </c>
      <c r="H105" s="160">
        <v>4073</v>
      </c>
    </row>
    <row r="106" spans="1:8" ht="30" x14ac:dyDescent="0.25">
      <c r="A106" s="150" t="s">
        <v>191</v>
      </c>
      <c r="B106" s="150"/>
      <c r="C106" s="150">
        <v>4</v>
      </c>
      <c r="D106" s="150">
        <v>668</v>
      </c>
      <c r="E106" s="181">
        <v>0</v>
      </c>
      <c r="F106" s="150">
        <v>107</v>
      </c>
      <c r="G106" s="150">
        <v>21</v>
      </c>
      <c r="H106" s="150">
        <v>800</v>
      </c>
    </row>
    <row r="107" spans="1:8" ht="45" x14ac:dyDescent="0.25">
      <c r="A107" s="150" t="s">
        <v>192</v>
      </c>
      <c r="B107" s="150"/>
      <c r="C107" s="181">
        <v>0</v>
      </c>
      <c r="D107" s="150">
        <v>141</v>
      </c>
      <c r="E107" s="181">
        <v>0</v>
      </c>
      <c r="F107" s="150">
        <v>18</v>
      </c>
      <c r="G107" s="150">
        <v>1</v>
      </c>
      <c r="H107" s="150">
        <v>160</v>
      </c>
    </row>
    <row r="108" spans="1:8" x14ac:dyDescent="0.25">
      <c r="A108" s="150" t="s">
        <v>193</v>
      </c>
      <c r="B108" s="150"/>
      <c r="C108" s="150">
        <v>22</v>
      </c>
      <c r="D108" s="160">
        <v>10654</v>
      </c>
      <c r="E108" s="150">
        <v>6</v>
      </c>
      <c r="F108" s="160">
        <v>1904</v>
      </c>
      <c r="G108" s="150">
        <v>204</v>
      </c>
      <c r="H108" s="160">
        <v>12790</v>
      </c>
    </row>
    <row r="109" spans="1:8" x14ac:dyDescent="0.25">
      <c r="A109" s="150" t="s">
        <v>194</v>
      </c>
      <c r="B109" s="150"/>
      <c r="C109" s="150">
        <v>10</v>
      </c>
      <c r="D109" s="160">
        <v>2659</v>
      </c>
      <c r="E109" s="150">
        <v>1</v>
      </c>
      <c r="F109" s="150">
        <v>513</v>
      </c>
      <c r="G109" s="150">
        <v>64</v>
      </c>
      <c r="H109" s="160">
        <v>3247</v>
      </c>
    </row>
    <row r="110" spans="1:8" x14ac:dyDescent="0.25">
      <c r="A110" s="150" t="s">
        <v>195</v>
      </c>
      <c r="B110" s="150"/>
      <c r="C110" s="150">
        <v>25</v>
      </c>
      <c r="D110" s="160">
        <v>7222</v>
      </c>
      <c r="E110" s="150">
        <v>5</v>
      </c>
      <c r="F110" s="160">
        <v>1401</v>
      </c>
      <c r="G110" s="150">
        <v>150</v>
      </c>
      <c r="H110" s="160">
        <v>8803</v>
      </c>
    </row>
    <row r="111" spans="1:8" x14ac:dyDescent="0.25">
      <c r="A111" s="150" t="s">
        <v>196</v>
      </c>
      <c r="B111" s="150"/>
      <c r="C111" s="150">
        <v>29</v>
      </c>
      <c r="D111" s="160">
        <v>8916</v>
      </c>
      <c r="E111" s="150">
        <v>4</v>
      </c>
      <c r="F111" s="160">
        <v>1518</v>
      </c>
      <c r="G111" s="150">
        <v>205</v>
      </c>
      <c r="H111" s="160">
        <v>10672</v>
      </c>
    </row>
    <row r="112" spans="1:8" x14ac:dyDescent="0.25">
      <c r="A112" s="150" t="s">
        <v>197</v>
      </c>
      <c r="B112" s="150"/>
      <c r="C112" s="150">
        <v>13</v>
      </c>
      <c r="D112" s="160">
        <v>4744</v>
      </c>
      <c r="E112" s="150">
        <v>3</v>
      </c>
      <c r="F112" s="150">
        <v>832</v>
      </c>
      <c r="G112" s="150">
        <v>95</v>
      </c>
      <c r="H112" s="160">
        <v>5687</v>
      </c>
    </row>
    <row r="113" spans="1:9" x14ac:dyDescent="0.25">
      <c r="A113" s="150" t="s">
        <v>198</v>
      </c>
      <c r="B113" s="150"/>
      <c r="C113" s="150">
        <v>35</v>
      </c>
      <c r="D113" s="160">
        <v>11557</v>
      </c>
      <c r="E113" s="150">
        <v>11</v>
      </c>
      <c r="F113" s="160">
        <v>2786</v>
      </c>
      <c r="G113" s="150">
        <v>217</v>
      </c>
      <c r="H113" s="160">
        <v>14606</v>
      </c>
    </row>
    <row r="114" spans="1:9" x14ac:dyDescent="0.25">
      <c r="A114" s="150" t="s">
        <v>199</v>
      </c>
      <c r="B114" s="150"/>
      <c r="C114" s="150">
        <v>17</v>
      </c>
      <c r="D114" s="160">
        <v>4300</v>
      </c>
      <c r="E114" s="150">
        <v>1</v>
      </c>
      <c r="F114" s="160">
        <v>1016</v>
      </c>
      <c r="G114" s="150">
        <v>110</v>
      </c>
      <c r="H114" s="160">
        <v>5444</v>
      </c>
    </row>
    <row r="115" spans="1:9" x14ac:dyDescent="0.25">
      <c r="A115" s="150" t="s">
        <v>200</v>
      </c>
      <c r="B115" s="150"/>
      <c r="C115" s="150">
        <v>6</v>
      </c>
      <c r="D115" s="160">
        <v>3399</v>
      </c>
      <c r="E115" s="150">
        <v>1</v>
      </c>
      <c r="F115" s="150">
        <v>626</v>
      </c>
      <c r="G115" s="150">
        <v>97</v>
      </c>
      <c r="H115" s="160">
        <v>4129</v>
      </c>
    </row>
    <row r="116" spans="1:9" ht="30" x14ac:dyDescent="0.25">
      <c r="A116" s="150" t="s">
        <v>201</v>
      </c>
      <c r="B116" s="150"/>
      <c r="C116" s="181">
        <v>0</v>
      </c>
      <c r="D116" s="160">
        <v>1253</v>
      </c>
      <c r="E116" s="150">
        <v>1</v>
      </c>
      <c r="F116" s="183">
        <v>269</v>
      </c>
      <c r="G116" s="150">
        <v>27</v>
      </c>
      <c r="H116" s="160">
        <v>1550</v>
      </c>
    </row>
    <row r="117" spans="1:9" x14ac:dyDescent="0.25">
      <c r="A117" s="150" t="s">
        <v>202</v>
      </c>
      <c r="B117" s="150"/>
      <c r="C117" s="150">
        <v>0</v>
      </c>
      <c r="D117" s="160">
        <v>1068</v>
      </c>
      <c r="E117" s="181">
        <v>0</v>
      </c>
      <c r="F117" s="150">
        <v>194</v>
      </c>
      <c r="G117" s="150">
        <v>37</v>
      </c>
      <c r="H117" s="160">
        <v>1299</v>
      </c>
      <c r="I117" s="157"/>
    </row>
    <row r="118" spans="1:9" x14ac:dyDescent="0.25">
      <c r="A118" s="150" t="s">
        <v>203</v>
      </c>
      <c r="B118" s="150"/>
      <c r="C118" s="150">
        <v>4</v>
      </c>
      <c r="D118" s="160">
        <v>1890</v>
      </c>
      <c r="E118" s="181">
        <v>0</v>
      </c>
      <c r="F118" s="150">
        <v>422</v>
      </c>
      <c r="G118" s="150">
        <v>43</v>
      </c>
      <c r="H118" s="160">
        <v>2359</v>
      </c>
    </row>
    <row r="119" spans="1:9" ht="30" x14ac:dyDescent="0.25">
      <c r="A119" s="150" t="s">
        <v>204</v>
      </c>
      <c r="B119" s="150"/>
      <c r="C119" s="150">
        <v>13</v>
      </c>
      <c r="D119" s="160">
        <v>3568</v>
      </c>
      <c r="E119" s="181">
        <v>0</v>
      </c>
      <c r="F119" s="150">
        <v>837</v>
      </c>
      <c r="G119" s="150">
        <v>91</v>
      </c>
      <c r="H119" s="160">
        <v>4509</v>
      </c>
    </row>
    <row r="120" spans="1:9" x14ac:dyDescent="0.25">
      <c r="A120" s="150" t="s">
        <v>205</v>
      </c>
      <c r="B120" s="150"/>
      <c r="C120" s="150">
        <v>5</v>
      </c>
      <c r="D120" s="160">
        <v>3328</v>
      </c>
      <c r="E120" s="150">
        <v>2</v>
      </c>
      <c r="F120" s="150">
        <v>613</v>
      </c>
      <c r="G120" s="150">
        <v>83</v>
      </c>
      <c r="H120" s="160">
        <v>4031</v>
      </c>
    </row>
    <row r="121" spans="1:9" x14ac:dyDescent="0.25">
      <c r="A121" s="150" t="s">
        <v>206</v>
      </c>
      <c r="B121" s="150"/>
      <c r="C121" s="150">
        <v>54</v>
      </c>
      <c r="D121" s="160">
        <v>17131</v>
      </c>
      <c r="E121" s="150">
        <v>8</v>
      </c>
      <c r="F121" s="160">
        <v>3182</v>
      </c>
      <c r="G121" s="150">
        <v>342</v>
      </c>
      <c r="H121" s="160">
        <v>20717</v>
      </c>
    </row>
    <row r="122" spans="1:9" x14ac:dyDescent="0.25">
      <c r="A122" s="150" t="s">
        <v>207</v>
      </c>
      <c r="B122" s="150"/>
      <c r="C122" s="150">
        <v>73</v>
      </c>
      <c r="D122" s="160">
        <v>27789</v>
      </c>
      <c r="E122" s="150">
        <v>41</v>
      </c>
      <c r="F122" s="160">
        <v>5264</v>
      </c>
      <c r="G122" s="150">
        <v>574</v>
      </c>
      <c r="H122" s="160">
        <v>33741</v>
      </c>
    </row>
    <row r="123" spans="1:9" x14ac:dyDescent="0.25">
      <c r="A123" s="150" t="s">
        <v>208</v>
      </c>
      <c r="B123" s="150"/>
      <c r="C123" s="150">
        <v>14</v>
      </c>
      <c r="D123" s="160">
        <v>5665</v>
      </c>
      <c r="E123" s="150">
        <v>3</v>
      </c>
      <c r="F123" s="160">
        <v>1043</v>
      </c>
      <c r="G123" s="150">
        <v>146</v>
      </c>
      <c r="H123" s="160">
        <v>6871</v>
      </c>
    </row>
    <row r="124" spans="1:9" ht="30" x14ac:dyDescent="0.25">
      <c r="A124" s="150" t="s">
        <v>209</v>
      </c>
      <c r="B124" s="150"/>
      <c r="C124" s="150">
        <v>5</v>
      </c>
      <c r="D124" s="160">
        <v>1463</v>
      </c>
      <c r="E124" s="150">
        <v>2</v>
      </c>
      <c r="F124" s="150">
        <v>224</v>
      </c>
      <c r="G124" s="150">
        <v>24</v>
      </c>
      <c r="H124" s="160">
        <v>1718</v>
      </c>
    </row>
    <row r="125" spans="1:9" ht="30" x14ac:dyDescent="0.25">
      <c r="A125" s="150" t="s">
        <v>210</v>
      </c>
      <c r="B125" s="150"/>
      <c r="C125" s="150">
        <v>64</v>
      </c>
      <c r="D125" s="160">
        <v>18084</v>
      </c>
      <c r="E125" s="150">
        <v>9</v>
      </c>
      <c r="F125" s="160">
        <v>4161</v>
      </c>
      <c r="G125" s="150">
        <v>425</v>
      </c>
      <c r="H125" s="160">
        <v>22743</v>
      </c>
    </row>
    <row r="126" spans="1:9" ht="30" x14ac:dyDescent="0.25">
      <c r="A126" s="150" t="s">
        <v>211</v>
      </c>
      <c r="B126" s="150"/>
      <c r="C126" s="150">
        <v>6</v>
      </c>
      <c r="D126" s="160">
        <v>2897</v>
      </c>
      <c r="E126" s="150">
        <v>3</v>
      </c>
      <c r="F126" s="150">
        <v>721</v>
      </c>
      <c r="G126" s="150">
        <v>58</v>
      </c>
      <c r="H126" s="160">
        <v>3685</v>
      </c>
    </row>
    <row r="127" spans="1:9" x14ac:dyDescent="0.25">
      <c r="A127" s="150" t="s">
        <v>212</v>
      </c>
      <c r="B127" s="150"/>
      <c r="C127" s="150">
        <v>44</v>
      </c>
      <c r="D127" s="160">
        <v>13418</v>
      </c>
      <c r="E127" s="150">
        <v>9</v>
      </c>
      <c r="F127" s="160">
        <v>2758</v>
      </c>
      <c r="G127" s="150">
        <v>266</v>
      </c>
      <c r="H127" s="160">
        <v>16495</v>
      </c>
    </row>
    <row r="128" spans="1:9" ht="30" x14ac:dyDescent="0.25">
      <c r="A128" s="150" t="s">
        <v>213</v>
      </c>
      <c r="B128" s="150"/>
      <c r="C128" s="150">
        <v>10</v>
      </c>
      <c r="D128" s="160">
        <v>2603</v>
      </c>
      <c r="E128" s="150">
        <v>1</v>
      </c>
      <c r="F128" s="150">
        <v>504</v>
      </c>
      <c r="G128" s="150">
        <v>44</v>
      </c>
      <c r="H128" s="160">
        <v>3162</v>
      </c>
    </row>
    <row r="129" spans="1:8" ht="30" x14ac:dyDescent="0.25">
      <c r="A129" s="150" t="s">
        <v>214</v>
      </c>
      <c r="B129" s="150"/>
      <c r="C129" s="150">
        <v>5</v>
      </c>
      <c r="D129" s="160">
        <v>1695</v>
      </c>
      <c r="E129" s="181">
        <v>0</v>
      </c>
      <c r="F129" s="150">
        <v>540</v>
      </c>
      <c r="G129" s="150">
        <v>56</v>
      </c>
      <c r="H129" s="160">
        <v>2296</v>
      </c>
    </row>
    <row r="130" spans="1:8" ht="30" x14ac:dyDescent="0.25">
      <c r="A130" s="150" t="s">
        <v>215</v>
      </c>
      <c r="B130" s="150"/>
      <c r="C130" s="150">
        <v>176</v>
      </c>
      <c r="D130" s="160">
        <v>57195</v>
      </c>
      <c r="E130" s="150">
        <v>44</v>
      </c>
      <c r="F130" s="160">
        <v>10444</v>
      </c>
      <c r="G130" s="160">
        <v>1233</v>
      </c>
      <c r="H130" s="160">
        <v>69092</v>
      </c>
    </row>
    <row r="131" spans="1:8" ht="30" x14ac:dyDescent="0.25">
      <c r="A131" s="150" t="s">
        <v>216</v>
      </c>
      <c r="B131" s="150"/>
      <c r="C131" s="150">
        <v>45</v>
      </c>
      <c r="D131" s="160">
        <v>19458</v>
      </c>
      <c r="E131" s="150">
        <v>20</v>
      </c>
      <c r="F131" s="160">
        <v>4016</v>
      </c>
      <c r="G131" s="150">
        <v>531</v>
      </c>
      <c r="H131" s="160">
        <v>24070</v>
      </c>
    </row>
    <row r="132" spans="1:8" ht="30" x14ac:dyDescent="0.25">
      <c r="A132" s="150" t="s">
        <v>504</v>
      </c>
      <c r="B132" s="150"/>
      <c r="C132" s="150">
        <v>132</v>
      </c>
      <c r="D132" s="160">
        <v>56510</v>
      </c>
      <c r="E132" s="150">
        <v>42</v>
      </c>
      <c r="F132" s="160">
        <v>12188</v>
      </c>
      <c r="G132" s="160">
        <v>1307</v>
      </c>
      <c r="H132" s="160">
        <v>70179</v>
      </c>
    </row>
    <row r="133" spans="1:8" x14ac:dyDescent="0.25">
      <c r="A133" s="150" t="s">
        <v>217</v>
      </c>
      <c r="B133" s="150"/>
      <c r="C133" s="150">
        <v>7</v>
      </c>
      <c r="D133" s="160">
        <v>1284</v>
      </c>
      <c r="E133" s="181">
        <v>0</v>
      </c>
      <c r="F133" s="150">
        <v>248</v>
      </c>
      <c r="G133" s="150">
        <v>27</v>
      </c>
      <c r="H133" s="160">
        <v>1566</v>
      </c>
    </row>
    <row r="134" spans="1:8" x14ac:dyDescent="0.25">
      <c r="A134" s="150"/>
      <c r="H134" s="157"/>
    </row>
    <row r="135" spans="1:8" x14ac:dyDescent="0.25">
      <c r="A135" s="150" t="s">
        <v>35</v>
      </c>
      <c r="B135" s="150"/>
      <c r="C135" s="151">
        <f>SUM(C96:C134)</f>
        <v>906</v>
      </c>
      <c r="D135" s="151">
        <f t="shared" ref="D135:H135" si="2">SUM(D96:D134)</f>
        <v>328125</v>
      </c>
      <c r="E135" s="151">
        <f t="shared" si="2"/>
        <v>237</v>
      </c>
      <c r="F135" s="151">
        <f t="shared" si="2"/>
        <v>66406</v>
      </c>
      <c r="G135" s="151">
        <f t="shared" si="2"/>
        <v>7403</v>
      </c>
      <c r="H135" s="151">
        <f t="shared" si="2"/>
        <v>403077</v>
      </c>
    </row>
    <row r="136" spans="1:8" x14ac:dyDescent="0.25">
      <c r="A136" s="150"/>
      <c r="B136" s="150"/>
      <c r="C136" s="150"/>
      <c r="D136" s="150"/>
      <c r="H136" s="157"/>
    </row>
    <row r="137" spans="1:8" x14ac:dyDescent="0.25">
      <c r="A137" s="150"/>
      <c r="B137" s="161"/>
      <c r="C137" s="161"/>
      <c r="D137" s="161"/>
      <c r="E137" s="161"/>
      <c r="F137" s="161"/>
      <c r="G137" s="161"/>
      <c r="H137" s="158"/>
    </row>
    <row r="141" spans="1:8" ht="45" x14ac:dyDescent="0.25">
      <c r="A141" s="150" t="s">
        <v>513</v>
      </c>
      <c r="B141" s="150" t="s">
        <v>514</v>
      </c>
      <c r="C141" s="150">
        <v>6</v>
      </c>
      <c r="D141" s="168"/>
      <c r="E141" s="168"/>
      <c r="F141" s="168"/>
      <c r="G141" s="169"/>
    </row>
    <row r="142" spans="1:8" x14ac:dyDescent="0.25">
      <c r="A142" s="150"/>
      <c r="B142" s="150"/>
      <c r="C142" s="150"/>
      <c r="D142" s="150"/>
      <c r="G142" s="157"/>
    </row>
    <row r="143" spans="1:8" ht="30" x14ac:dyDescent="0.25">
      <c r="A143" s="150"/>
      <c r="B143" s="150"/>
      <c r="C143" s="150" t="s">
        <v>512</v>
      </c>
      <c r="D143" s="150"/>
      <c r="G143" s="157"/>
    </row>
    <row r="144" spans="1:8" x14ac:dyDescent="0.25">
      <c r="A144" s="150" t="s">
        <v>137</v>
      </c>
      <c r="B144" s="150"/>
      <c r="C144" s="150" t="s">
        <v>491</v>
      </c>
      <c r="D144" s="150" t="s">
        <v>492</v>
      </c>
      <c r="E144" s="150" t="s">
        <v>493</v>
      </c>
      <c r="F144" s="150" t="s">
        <v>494</v>
      </c>
      <c r="G144" s="150" t="s">
        <v>495</v>
      </c>
      <c r="H144" s="150" t="s">
        <v>35</v>
      </c>
    </row>
    <row r="145" spans="1:8" x14ac:dyDescent="0.25">
      <c r="A145" s="150"/>
      <c r="B145" s="150"/>
      <c r="C145" s="150"/>
      <c r="D145" s="150"/>
      <c r="H145" s="157"/>
    </row>
    <row r="146" spans="1:8" x14ac:dyDescent="0.25">
      <c r="A146" s="150" t="s">
        <v>218</v>
      </c>
      <c r="B146" s="150"/>
      <c r="C146" s="150">
        <v>10</v>
      </c>
      <c r="D146" s="160">
        <v>3236</v>
      </c>
      <c r="E146" s="150">
        <v>2</v>
      </c>
      <c r="F146" s="150">
        <v>704</v>
      </c>
      <c r="G146" s="150">
        <v>83</v>
      </c>
      <c r="H146" s="160">
        <v>4035</v>
      </c>
    </row>
    <row r="147" spans="1:8" ht="30" x14ac:dyDescent="0.25">
      <c r="A147" s="150" t="s">
        <v>219</v>
      </c>
      <c r="B147" s="150"/>
      <c r="C147" s="150">
        <v>18</v>
      </c>
      <c r="D147" s="160">
        <v>6369</v>
      </c>
      <c r="E147" s="150">
        <v>2</v>
      </c>
      <c r="F147" s="160">
        <v>1452</v>
      </c>
      <c r="G147" s="150">
        <v>146</v>
      </c>
      <c r="H147" s="160">
        <v>7987</v>
      </c>
    </row>
    <row r="148" spans="1:8" x14ac:dyDescent="0.25">
      <c r="A148" s="150" t="s">
        <v>220</v>
      </c>
      <c r="B148" s="150"/>
      <c r="C148" s="150">
        <v>5</v>
      </c>
      <c r="D148" s="160">
        <v>2111</v>
      </c>
      <c r="E148">
        <v>0</v>
      </c>
      <c r="F148" s="150">
        <v>379</v>
      </c>
      <c r="G148" s="150">
        <v>50</v>
      </c>
      <c r="H148" s="160">
        <v>2545</v>
      </c>
    </row>
    <row r="149" spans="1:8" x14ac:dyDescent="0.25">
      <c r="A149" s="150" t="s">
        <v>221</v>
      </c>
      <c r="B149" s="150"/>
      <c r="C149" s="150">
        <v>6</v>
      </c>
      <c r="D149" s="160">
        <v>1465</v>
      </c>
      <c r="E149" s="182">
        <v>0</v>
      </c>
      <c r="F149" s="150">
        <v>276</v>
      </c>
      <c r="G149" s="150">
        <v>26</v>
      </c>
      <c r="H149" s="160">
        <v>1773</v>
      </c>
    </row>
    <row r="150" spans="1:8" x14ac:dyDescent="0.25">
      <c r="A150" s="150" t="s">
        <v>222</v>
      </c>
      <c r="B150" s="150"/>
      <c r="C150" s="150">
        <v>2</v>
      </c>
      <c r="D150" s="160">
        <v>3576</v>
      </c>
      <c r="E150" s="150">
        <v>1</v>
      </c>
      <c r="F150" s="150">
        <v>601</v>
      </c>
      <c r="G150" s="150">
        <v>69</v>
      </c>
      <c r="H150" s="160">
        <v>4249</v>
      </c>
    </row>
    <row r="151" spans="1:8" x14ac:dyDescent="0.25">
      <c r="A151" s="150" t="s">
        <v>505</v>
      </c>
      <c r="B151" s="150"/>
      <c r="C151" s="150">
        <v>7</v>
      </c>
      <c r="D151" s="160">
        <v>3428</v>
      </c>
      <c r="E151" s="150">
        <v>3</v>
      </c>
      <c r="F151" s="150">
        <v>661</v>
      </c>
      <c r="G151" s="150">
        <v>66</v>
      </c>
      <c r="H151" s="160">
        <v>4165</v>
      </c>
    </row>
    <row r="152" spans="1:8" x14ac:dyDescent="0.25">
      <c r="A152" s="150" t="s">
        <v>223</v>
      </c>
      <c r="B152" s="150"/>
      <c r="C152" s="150">
        <v>11</v>
      </c>
      <c r="D152" s="160">
        <v>4835</v>
      </c>
      <c r="E152" s="150">
        <v>1</v>
      </c>
      <c r="F152" s="150">
        <v>871</v>
      </c>
      <c r="G152" s="150">
        <v>88</v>
      </c>
      <c r="H152" s="160">
        <v>5806</v>
      </c>
    </row>
    <row r="153" spans="1:8" ht="30" x14ac:dyDescent="0.25">
      <c r="A153" s="150" t="s">
        <v>224</v>
      </c>
      <c r="B153" s="150"/>
      <c r="C153" s="150">
        <v>1</v>
      </c>
      <c r="D153" s="150">
        <v>771</v>
      </c>
      <c r="E153" s="181">
        <v>0</v>
      </c>
      <c r="F153" s="150">
        <v>142</v>
      </c>
      <c r="G153" s="150">
        <v>13</v>
      </c>
      <c r="H153" s="150">
        <v>927</v>
      </c>
    </row>
    <row r="154" spans="1:8" ht="30" x14ac:dyDescent="0.25">
      <c r="A154" s="150" t="s">
        <v>225</v>
      </c>
      <c r="B154" s="150"/>
      <c r="C154" s="150">
        <v>8</v>
      </c>
      <c r="D154" s="160">
        <v>4613</v>
      </c>
      <c r="E154" s="150">
        <v>1</v>
      </c>
      <c r="F154" s="150">
        <v>817</v>
      </c>
      <c r="G154" s="150">
        <v>117</v>
      </c>
      <c r="H154" s="160">
        <v>5556</v>
      </c>
    </row>
    <row r="155" spans="1:8" x14ac:dyDescent="0.25">
      <c r="A155" s="150" t="s">
        <v>226</v>
      </c>
      <c r="B155" s="150"/>
      <c r="C155" s="150">
        <v>4</v>
      </c>
      <c r="D155" s="160">
        <v>1243</v>
      </c>
      <c r="E155" s="181">
        <v>0</v>
      </c>
      <c r="F155" s="150">
        <v>258</v>
      </c>
      <c r="G155" s="150">
        <v>33</v>
      </c>
      <c r="H155" s="160">
        <v>1538</v>
      </c>
    </row>
    <row r="156" spans="1:8" x14ac:dyDescent="0.25">
      <c r="A156" s="150" t="s">
        <v>227</v>
      </c>
      <c r="B156" s="150"/>
      <c r="C156" s="150">
        <v>5</v>
      </c>
      <c r="D156" s="160">
        <v>1604</v>
      </c>
      <c r="E156" s="181">
        <v>0</v>
      </c>
      <c r="F156" s="150">
        <v>297</v>
      </c>
      <c r="G156" s="150">
        <v>41</v>
      </c>
      <c r="H156" s="160">
        <v>1947</v>
      </c>
    </row>
    <row r="157" spans="1:8" x14ac:dyDescent="0.25">
      <c r="A157" s="150" t="s">
        <v>228</v>
      </c>
      <c r="B157" s="150"/>
      <c r="C157" s="150">
        <v>12</v>
      </c>
      <c r="D157" s="160">
        <v>5219</v>
      </c>
      <c r="E157" s="150">
        <v>2</v>
      </c>
      <c r="F157" s="160">
        <v>1268</v>
      </c>
      <c r="G157" s="150">
        <v>141</v>
      </c>
      <c r="H157" s="160">
        <v>6642</v>
      </c>
    </row>
    <row r="158" spans="1:8" x14ac:dyDescent="0.25">
      <c r="A158" s="150" t="s">
        <v>229</v>
      </c>
      <c r="B158" s="150"/>
      <c r="C158" s="150">
        <v>10</v>
      </c>
      <c r="D158" s="160">
        <v>2637</v>
      </c>
      <c r="E158" s="150">
        <v>1</v>
      </c>
      <c r="F158" s="150">
        <v>471</v>
      </c>
      <c r="G158" s="150">
        <v>44</v>
      </c>
      <c r="H158" s="160">
        <v>3163</v>
      </c>
    </row>
    <row r="159" spans="1:8" ht="30" x14ac:dyDescent="0.25">
      <c r="A159" s="150" t="s">
        <v>230</v>
      </c>
      <c r="B159" s="150"/>
      <c r="C159" s="150">
        <v>3</v>
      </c>
      <c r="D159" s="160">
        <v>1624</v>
      </c>
      <c r="E159" s="150">
        <v>1</v>
      </c>
      <c r="F159" s="150">
        <v>260</v>
      </c>
      <c r="G159" s="150">
        <v>42</v>
      </c>
      <c r="H159" s="160">
        <v>1930</v>
      </c>
    </row>
    <row r="160" spans="1:8" x14ac:dyDescent="0.25">
      <c r="A160" s="150" t="s">
        <v>231</v>
      </c>
      <c r="B160" s="150"/>
      <c r="C160" s="150">
        <v>21</v>
      </c>
      <c r="D160" s="160">
        <v>4253</v>
      </c>
      <c r="E160" s="181">
        <v>0</v>
      </c>
      <c r="F160" s="150">
        <v>961</v>
      </c>
      <c r="G160" s="150">
        <v>102</v>
      </c>
      <c r="H160" s="160">
        <v>5337</v>
      </c>
    </row>
    <row r="161" spans="1:8" x14ac:dyDescent="0.25">
      <c r="A161" s="150" t="s">
        <v>232</v>
      </c>
      <c r="B161" s="150"/>
      <c r="C161" s="150">
        <v>11</v>
      </c>
      <c r="D161" s="160">
        <v>3154</v>
      </c>
      <c r="E161" s="181">
        <v>0</v>
      </c>
      <c r="F161" s="150">
        <v>585</v>
      </c>
      <c r="G161" s="150">
        <v>61</v>
      </c>
      <c r="H161" s="160">
        <v>3811</v>
      </c>
    </row>
    <row r="162" spans="1:8" x14ac:dyDescent="0.25">
      <c r="A162" s="150" t="s">
        <v>233</v>
      </c>
      <c r="B162" s="150"/>
      <c r="C162" s="150">
        <v>4</v>
      </c>
      <c r="D162" s="160">
        <v>1444</v>
      </c>
      <c r="E162" s="150">
        <v>1</v>
      </c>
      <c r="F162" s="150">
        <v>294</v>
      </c>
      <c r="G162" s="150">
        <v>41</v>
      </c>
      <c r="H162" s="160">
        <v>1784</v>
      </c>
    </row>
    <row r="163" spans="1:8" x14ac:dyDescent="0.25">
      <c r="A163" s="150" t="s">
        <v>234</v>
      </c>
      <c r="B163" s="150"/>
      <c r="C163" s="150">
        <v>3</v>
      </c>
      <c r="D163" s="160">
        <v>2042</v>
      </c>
      <c r="E163" s="150">
        <v>3</v>
      </c>
      <c r="F163" s="150">
        <v>443</v>
      </c>
      <c r="G163" s="150">
        <v>43</v>
      </c>
      <c r="H163" s="160">
        <v>2534</v>
      </c>
    </row>
    <row r="164" spans="1:8" x14ac:dyDescent="0.25">
      <c r="A164" s="150" t="s">
        <v>235</v>
      </c>
      <c r="B164" s="150"/>
      <c r="C164" s="150">
        <v>8</v>
      </c>
      <c r="D164" s="160">
        <v>2364</v>
      </c>
      <c r="E164" s="181">
        <v>0</v>
      </c>
      <c r="F164" s="150">
        <v>538</v>
      </c>
      <c r="G164" s="150">
        <v>42</v>
      </c>
      <c r="H164" s="160">
        <v>2952</v>
      </c>
    </row>
    <row r="165" spans="1:8" ht="30" x14ac:dyDescent="0.25">
      <c r="A165" s="150" t="s">
        <v>236</v>
      </c>
      <c r="B165" s="150"/>
      <c r="C165" s="150">
        <v>5</v>
      </c>
      <c r="D165" s="160">
        <v>1463</v>
      </c>
      <c r="E165" s="181">
        <v>0</v>
      </c>
      <c r="F165" s="150">
        <v>234</v>
      </c>
      <c r="G165" s="150">
        <v>33</v>
      </c>
      <c r="H165" s="160">
        <v>1735</v>
      </c>
    </row>
    <row r="166" spans="1:8" x14ac:dyDescent="0.25">
      <c r="A166" s="150" t="s">
        <v>237</v>
      </c>
      <c r="B166" s="150"/>
      <c r="C166" s="150">
        <v>4</v>
      </c>
      <c r="D166" s="160">
        <v>2223</v>
      </c>
      <c r="E166" s="150">
        <v>1</v>
      </c>
      <c r="F166" s="150">
        <v>473</v>
      </c>
      <c r="G166" s="150">
        <v>43</v>
      </c>
      <c r="H166" s="160">
        <v>2744</v>
      </c>
    </row>
    <row r="167" spans="1:8" x14ac:dyDescent="0.25">
      <c r="A167" s="150" t="s">
        <v>238</v>
      </c>
      <c r="B167" s="150"/>
      <c r="C167" s="150">
        <v>6</v>
      </c>
      <c r="D167" s="160">
        <v>2894</v>
      </c>
      <c r="E167" s="150">
        <v>2</v>
      </c>
      <c r="F167" s="150">
        <v>414</v>
      </c>
      <c r="G167" s="150">
        <v>47</v>
      </c>
      <c r="H167" s="160">
        <v>3363</v>
      </c>
    </row>
    <row r="168" spans="1:8" ht="30" x14ac:dyDescent="0.25">
      <c r="A168" s="150" t="s">
        <v>239</v>
      </c>
      <c r="B168" s="150"/>
      <c r="C168" s="150">
        <v>8</v>
      </c>
      <c r="D168" s="160">
        <v>3969</v>
      </c>
      <c r="E168" s="150">
        <v>3</v>
      </c>
      <c r="F168" s="150">
        <v>747</v>
      </c>
      <c r="G168" s="150">
        <v>66</v>
      </c>
      <c r="H168" s="160">
        <v>4793</v>
      </c>
    </row>
    <row r="169" spans="1:8" x14ac:dyDescent="0.25">
      <c r="A169" s="150" t="s">
        <v>240</v>
      </c>
      <c r="B169" s="150"/>
      <c r="C169" s="150">
        <v>9</v>
      </c>
      <c r="D169" s="160">
        <v>3233</v>
      </c>
      <c r="E169" s="150">
        <v>1</v>
      </c>
      <c r="F169" s="150">
        <v>612</v>
      </c>
      <c r="G169" s="150">
        <v>97</v>
      </c>
      <c r="H169" s="160">
        <v>3952</v>
      </c>
    </row>
    <row r="170" spans="1:8" x14ac:dyDescent="0.25">
      <c r="A170" s="150" t="s">
        <v>241</v>
      </c>
      <c r="B170" s="150"/>
      <c r="C170" s="150">
        <v>5</v>
      </c>
      <c r="D170" s="160">
        <v>1619</v>
      </c>
      <c r="E170" s="181">
        <v>0</v>
      </c>
      <c r="F170" s="150">
        <v>324</v>
      </c>
      <c r="G170" s="150">
        <v>30</v>
      </c>
      <c r="H170" s="160">
        <v>1978</v>
      </c>
    </row>
    <row r="171" spans="1:8" ht="30" x14ac:dyDescent="0.25">
      <c r="A171" s="150" t="s">
        <v>242</v>
      </c>
      <c r="B171" s="150"/>
      <c r="C171" s="150">
        <v>2</v>
      </c>
      <c r="D171" s="150">
        <v>909</v>
      </c>
      <c r="E171" s="150">
        <v>1</v>
      </c>
      <c r="F171" s="150">
        <v>193</v>
      </c>
      <c r="G171" s="150">
        <v>17</v>
      </c>
      <c r="H171" s="160">
        <v>1122</v>
      </c>
    </row>
    <row r="172" spans="1:8" ht="30" x14ac:dyDescent="0.25">
      <c r="A172" s="150" t="s">
        <v>243</v>
      </c>
      <c r="B172" s="150"/>
      <c r="C172" s="150">
        <v>8</v>
      </c>
      <c r="D172" s="160">
        <v>2491</v>
      </c>
      <c r="E172" s="150">
        <v>1</v>
      </c>
      <c r="F172" s="150">
        <v>455</v>
      </c>
      <c r="G172" s="150">
        <v>63</v>
      </c>
      <c r="H172" s="160">
        <v>3018</v>
      </c>
    </row>
    <row r="173" spans="1:8" x14ac:dyDescent="0.25">
      <c r="A173" s="150" t="s">
        <v>244</v>
      </c>
      <c r="B173" s="150"/>
      <c r="C173" s="150">
        <v>117</v>
      </c>
      <c r="D173" s="160">
        <v>38092</v>
      </c>
      <c r="E173" s="150">
        <v>35</v>
      </c>
      <c r="F173" s="160">
        <v>8952</v>
      </c>
      <c r="G173" s="150">
        <v>957</v>
      </c>
      <c r="H173" s="160">
        <v>48153</v>
      </c>
    </row>
    <row r="174" spans="1:8" x14ac:dyDescent="0.25">
      <c r="A174" s="150" t="s">
        <v>245</v>
      </c>
      <c r="B174" s="150"/>
      <c r="C174" s="150">
        <v>21</v>
      </c>
      <c r="D174" s="160">
        <v>10380</v>
      </c>
      <c r="E174" s="150">
        <v>9</v>
      </c>
      <c r="F174" s="160">
        <v>2209</v>
      </c>
      <c r="G174" s="150">
        <v>211</v>
      </c>
      <c r="H174" s="160">
        <v>12830</v>
      </c>
    </row>
    <row r="175" spans="1:8" x14ac:dyDescent="0.25">
      <c r="A175" s="150" t="s">
        <v>246</v>
      </c>
      <c r="B175" s="150"/>
      <c r="C175" s="150">
        <v>8</v>
      </c>
      <c r="D175" s="160">
        <v>3845</v>
      </c>
      <c r="E175" s="150">
        <v>2</v>
      </c>
      <c r="F175" s="150">
        <v>841</v>
      </c>
      <c r="G175" s="150">
        <v>90</v>
      </c>
      <c r="H175" s="160">
        <v>4786</v>
      </c>
    </row>
    <row r="176" spans="1:8" ht="30" x14ac:dyDescent="0.25">
      <c r="A176" s="150" t="s">
        <v>247</v>
      </c>
      <c r="B176" s="150"/>
      <c r="C176" s="150">
        <v>30</v>
      </c>
      <c r="D176" s="160">
        <v>12944</v>
      </c>
      <c r="E176" s="150">
        <v>1</v>
      </c>
      <c r="F176" s="160">
        <v>2516</v>
      </c>
      <c r="G176" s="150">
        <v>277</v>
      </c>
      <c r="H176" s="160">
        <v>15768</v>
      </c>
    </row>
    <row r="177" spans="1:8" ht="30" x14ac:dyDescent="0.25">
      <c r="A177" s="150" t="s">
        <v>248</v>
      </c>
      <c r="B177" s="150"/>
      <c r="C177" s="150">
        <v>21</v>
      </c>
      <c r="D177" s="160">
        <v>9778</v>
      </c>
      <c r="E177" s="150">
        <v>2</v>
      </c>
      <c r="F177" s="160">
        <v>1826</v>
      </c>
      <c r="G177" s="150">
        <v>230</v>
      </c>
      <c r="H177" s="160">
        <v>11857</v>
      </c>
    </row>
    <row r="178" spans="1:8" ht="30" x14ac:dyDescent="0.25">
      <c r="A178" s="150" t="s">
        <v>249</v>
      </c>
      <c r="B178" s="150"/>
      <c r="C178" s="150">
        <v>11</v>
      </c>
      <c r="D178" s="160">
        <v>7565</v>
      </c>
      <c r="E178" s="150">
        <v>5</v>
      </c>
      <c r="F178" s="160">
        <v>1496</v>
      </c>
      <c r="G178" s="150">
        <v>160</v>
      </c>
      <c r="H178" s="160">
        <v>9237</v>
      </c>
    </row>
    <row r="179" spans="1:8" x14ac:dyDescent="0.25">
      <c r="A179" s="150"/>
      <c r="H179" s="157"/>
    </row>
    <row r="180" spans="1:8" x14ac:dyDescent="0.25">
      <c r="A180" s="150" t="s">
        <v>35</v>
      </c>
      <c r="B180" s="150"/>
      <c r="C180" s="151">
        <f>SUM(C146:C179)</f>
        <v>404</v>
      </c>
      <c r="D180" s="151">
        <f t="shared" ref="D180:H180" si="3">SUM(D146:D179)</f>
        <v>157393</v>
      </c>
      <c r="E180" s="151">
        <f t="shared" si="3"/>
        <v>81</v>
      </c>
      <c r="F180" s="151">
        <f t="shared" si="3"/>
        <v>32570</v>
      </c>
      <c r="G180" s="151">
        <f t="shared" si="3"/>
        <v>3569</v>
      </c>
      <c r="H180" s="151">
        <f t="shared" si="3"/>
        <v>194017</v>
      </c>
    </row>
    <row r="181" spans="1:8" x14ac:dyDescent="0.25">
      <c r="A181" s="150"/>
      <c r="B181" s="150"/>
      <c r="C181" s="150"/>
      <c r="D181" s="150"/>
      <c r="E181" s="161"/>
      <c r="F181" s="161"/>
      <c r="G181" s="161"/>
      <c r="H181" s="158"/>
    </row>
    <row r="185" spans="1:8" ht="45" x14ac:dyDescent="0.25">
      <c r="A185" s="150" t="s">
        <v>513</v>
      </c>
      <c r="B185" s="150" t="s">
        <v>514</v>
      </c>
      <c r="C185" s="150">
        <v>7</v>
      </c>
      <c r="D185" s="168"/>
      <c r="E185" s="168"/>
      <c r="F185" s="169"/>
    </row>
    <row r="186" spans="1:8" x14ac:dyDescent="0.25">
      <c r="A186" s="150"/>
      <c r="B186" s="150"/>
      <c r="C186" s="150"/>
      <c r="D186" s="150"/>
      <c r="F186" s="157"/>
    </row>
    <row r="187" spans="1:8" ht="30" x14ac:dyDescent="0.25">
      <c r="A187" s="150"/>
      <c r="B187" s="150"/>
      <c r="C187" s="150" t="s">
        <v>512</v>
      </c>
      <c r="D187" s="150"/>
      <c r="F187" s="157"/>
    </row>
    <row r="188" spans="1:8" x14ac:dyDescent="0.25">
      <c r="A188" s="150" t="s">
        <v>137</v>
      </c>
      <c r="B188" s="150" t="s">
        <v>491</v>
      </c>
      <c r="C188" s="150" t="s">
        <v>492</v>
      </c>
      <c r="D188" s="150" t="s">
        <v>493</v>
      </c>
      <c r="E188" s="150" t="s">
        <v>494</v>
      </c>
      <c r="F188" s="150" t="s">
        <v>495</v>
      </c>
      <c r="G188" s="150" t="s">
        <v>35</v>
      </c>
    </row>
    <row r="189" spans="1:8" x14ac:dyDescent="0.25">
      <c r="A189" s="150"/>
      <c r="B189" s="150"/>
      <c r="C189" s="150"/>
      <c r="D189" s="150"/>
      <c r="E189" s="172"/>
      <c r="G189" s="157"/>
    </row>
    <row r="190" spans="1:8" ht="30" x14ac:dyDescent="0.25">
      <c r="A190" s="150" t="s">
        <v>250</v>
      </c>
      <c r="B190" s="150">
        <v>27</v>
      </c>
      <c r="C190" s="160">
        <v>9982</v>
      </c>
      <c r="D190" s="150">
        <v>12</v>
      </c>
      <c r="E190" s="160">
        <v>1856</v>
      </c>
      <c r="F190" s="150">
        <v>174</v>
      </c>
      <c r="G190" s="160">
        <v>12051</v>
      </c>
    </row>
    <row r="191" spans="1:8" x14ac:dyDescent="0.25">
      <c r="A191" s="150" t="s">
        <v>251</v>
      </c>
      <c r="B191" s="150">
        <v>5</v>
      </c>
      <c r="C191" s="160">
        <v>1892</v>
      </c>
      <c r="D191">
        <v>0</v>
      </c>
      <c r="E191" s="150">
        <v>397</v>
      </c>
      <c r="F191" s="150">
        <v>50</v>
      </c>
      <c r="G191" s="160">
        <v>2344</v>
      </c>
    </row>
    <row r="192" spans="1:8" x14ac:dyDescent="0.25">
      <c r="A192" s="150" t="s">
        <v>252</v>
      </c>
      <c r="B192" s="150">
        <v>8</v>
      </c>
      <c r="C192" s="160">
        <v>3773</v>
      </c>
      <c r="D192" s="150">
        <v>1</v>
      </c>
      <c r="E192" s="150">
        <v>786</v>
      </c>
      <c r="F192" s="150">
        <v>83</v>
      </c>
      <c r="G192" s="160">
        <v>4651</v>
      </c>
    </row>
    <row r="193" spans="1:7" ht="30" x14ac:dyDescent="0.25">
      <c r="A193" s="150" t="s">
        <v>253</v>
      </c>
      <c r="B193" s="150">
        <v>33</v>
      </c>
      <c r="C193" s="160">
        <v>8007</v>
      </c>
      <c r="D193" s="150">
        <v>3</v>
      </c>
      <c r="E193" s="160">
        <v>1747</v>
      </c>
      <c r="F193" s="150">
        <v>172</v>
      </c>
      <c r="G193" s="160">
        <v>9962</v>
      </c>
    </row>
    <row r="194" spans="1:7" x14ac:dyDescent="0.25">
      <c r="A194" s="150" t="s">
        <v>254</v>
      </c>
      <c r="B194" s="150">
        <v>8</v>
      </c>
      <c r="C194" s="160">
        <v>2551</v>
      </c>
      <c r="D194" s="181">
        <v>0</v>
      </c>
      <c r="E194" s="150">
        <v>610</v>
      </c>
      <c r="F194" s="150">
        <v>32</v>
      </c>
      <c r="G194" s="160">
        <v>3201</v>
      </c>
    </row>
    <row r="195" spans="1:7" x14ac:dyDescent="0.25">
      <c r="A195" s="150" t="s">
        <v>255</v>
      </c>
      <c r="B195" s="150">
        <v>47</v>
      </c>
      <c r="C195" s="160">
        <v>25031</v>
      </c>
      <c r="D195" s="150">
        <v>16</v>
      </c>
      <c r="E195" s="160">
        <v>3837</v>
      </c>
      <c r="F195" s="150">
        <v>537</v>
      </c>
      <c r="G195" s="160">
        <v>29468</v>
      </c>
    </row>
    <row r="196" spans="1:7" ht="30" x14ac:dyDescent="0.25">
      <c r="A196" s="150" t="s">
        <v>256</v>
      </c>
      <c r="B196" s="150">
        <v>2</v>
      </c>
      <c r="C196" s="150">
        <v>706</v>
      </c>
      <c r="D196" s="181">
        <v>0</v>
      </c>
      <c r="E196" s="150">
        <v>180</v>
      </c>
      <c r="F196" s="150">
        <v>11</v>
      </c>
      <c r="G196" s="150">
        <v>899</v>
      </c>
    </row>
    <row r="197" spans="1:7" x14ac:dyDescent="0.25">
      <c r="A197" s="150" t="s">
        <v>506</v>
      </c>
      <c r="B197" s="150">
        <v>5</v>
      </c>
      <c r="C197" s="160">
        <v>2353</v>
      </c>
      <c r="D197" s="181">
        <v>0</v>
      </c>
      <c r="E197" s="150">
        <v>435</v>
      </c>
      <c r="F197" s="150">
        <v>28</v>
      </c>
      <c r="G197" s="160">
        <v>2821</v>
      </c>
    </row>
    <row r="198" spans="1:7" x14ac:dyDescent="0.25">
      <c r="A198" s="150" t="s">
        <v>257</v>
      </c>
      <c r="B198" s="150">
        <v>3</v>
      </c>
      <c r="C198" s="160">
        <v>1378</v>
      </c>
      <c r="D198" s="150">
        <v>1</v>
      </c>
      <c r="E198" s="150">
        <v>199</v>
      </c>
      <c r="F198" s="150">
        <v>26</v>
      </c>
      <c r="G198" s="160">
        <v>1607</v>
      </c>
    </row>
    <row r="199" spans="1:7" x14ac:dyDescent="0.25">
      <c r="A199" s="150" t="s">
        <v>258</v>
      </c>
      <c r="B199" s="150">
        <v>46</v>
      </c>
      <c r="C199" s="160">
        <v>17260</v>
      </c>
      <c r="D199" s="150">
        <v>10</v>
      </c>
      <c r="E199" s="160">
        <v>3215</v>
      </c>
      <c r="F199" s="150">
        <v>325</v>
      </c>
      <c r="G199" s="160">
        <v>20856</v>
      </c>
    </row>
    <row r="200" spans="1:7" x14ac:dyDescent="0.25">
      <c r="A200" s="150" t="s">
        <v>259</v>
      </c>
      <c r="B200" s="150">
        <v>9</v>
      </c>
      <c r="C200" s="160">
        <v>5818</v>
      </c>
      <c r="D200" s="181">
        <v>0</v>
      </c>
      <c r="E200" s="160">
        <v>1235</v>
      </c>
      <c r="F200" s="150">
        <v>146</v>
      </c>
      <c r="G200" s="160">
        <v>7208</v>
      </c>
    </row>
    <row r="201" spans="1:7" x14ac:dyDescent="0.25">
      <c r="A201" s="150" t="s">
        <v>260</v>
      </c>
      <c r="B201" s="150">
        <v>6</v>
      </c>
      <c r="C201" s="160">
        <v>5115</v>
      </c>
      <c r="D201" s="150">
        <v>2</v>
      </c>
      <c r="E201" s="160">
        <v>1016</v>
      </c>
      <c r="F201" s="150">
        <v>159</v>
      </c>
      <c r="G201" s="160">
        <v>6298</v>
      </c>
    </row>
    <row r="202" spans="1:7" x14ac:dyDescent="0.25">
      <c r="A202" s="150" t="s">
        <v>261</v>
      </c>
      <c r="B202" s="150">
        <v>18</v>
      </c>
      <c r="C202" s="160">
        <v>7962</v>
      </c>
      <c r="D202" s="150">
        <v>7</v>
      </c>
      <c r="E202" s="160">
        <v>1147</v>
      </c>
      <c r="F202" s="150">
        <v>157</v>
      </c>
      <c r="G202" s="160">
        <v>9291</v>
      </c>
    </row>
    <row r="203" spans="1:7" x14ac:dyDescent="0.25">
      <c r="A203" s="150" t="s">
        <v>262</v>
      </c>
      <c r="B203" s="150">
        <v>29</v>
      </c>
      <c r="C203" s="160">
        <v>8694</v>
      </c>
      <c r="D203" s="150">
        <v>8</v>
      </c>
      <c r="E203" s="160">
        <v>1726</v>
      </c>
      <c r="F203" s="150">
        <v>175</v>
      </c>
      <c r="G203" s="160">
        <v>10632</v>
      </c>
    </row>
    <row r="204" spans="1:7" x14ac:dyDescent="0.25">
      <c r="A204" s="150" t="s">
        <v>263</v>
      </c>
      <c r="B204" s="150">
        <v>0</v>
      </c>
      <c r="C204" s="160">
        <v>1678</v>
      </c>
      <c r="D204" s="181">
        <v>0</v>
      </c>
      <c r="E204" s="150">
        <v>292</v>
      </c>
      <c r="F204" s="150">
        <v>38</v>
      </c>
      <c r="G204" s="160">
        <v>2008</v>
      </c>
    </row>
    <row r="205" spans="1:7" x14ac:dyDescent="0.25">
      <c r="A205" s="150" t="s">
        <v>264</v>
      </c>
      <c r="B205" s="150">
        <v>7</v>
      </c>
      <c r="C205" s="160">
        <v>1433</v>
      </c>
      <c r="D205" s="181">
        <v>0</v>
      </c>
      <c r="E205" s="150">
        <v>320</v>
      </c>
      <c r="F205" s="150">
        <v>35</v>
      </c>
      <c r="G205" s="160">
        <v>1795</v>
      </c>
    </row>
    <row r="206" spans="1:7" x14ac:dyDescent="0.25">
      <c r="A206" s="150" t="s">
        <v>265</v>
      </c>
      <c r="B206" s="150">
        <v>4</v>
      </c>
      <c r="C206" s="160">
        <v>1631</v>
      </c>
      <c r="D206" s="181">
        <v>0</v>
      </c>
      <c r="E206" s="150">
        <v>224</v>
      </c>
      <c r="F206" s="150">
        <v>34</v>
      </c>
      <c r="G206" s="160">
        <v>1893</v>
      </c>
    </row>
    <row r="207" spans="1:7" x14ac:dyDescent="0.25">
      <c r="A207" s="150" t="s">
        <v>266</v>
      </c>
      <c r="B207" s="150">
        <v>2</v>
      </c>
      <c r="C207" s="160">
        <v>1880</v>
      </c>
      <c r="D207" s="181">
        <v>0</v>
      </c>
      <c r="E207" s="150">
        <v>248</v>
      </c>
      <c r="F207" s="150">
        <v>31</v>
      </c>
      <c r="G207" s="160">
        <v>2161</v>
      </c>
    </row>
    <row r="208" spans="1:7" x14ac:dyDescent="0.25">
      <c r="A208" s="150" t="s">
        <v>267</v>
      </c>
      <c r="B208" s="150">
        <v>7</v>
      </c>
      <c r="C208" s="160">
        <v>4002</v>
      </c>
      <c r="D208" s="150">
        <v>2</v>
      </c>
      <c r="E208" s="150">
        <v>872</v>
      </c>
      <c r="F208" s="150">
        <v>73</v>
      </c>
      <c r="G208" s="160">
        <v>4956</v>
      </c>
    </row>
    <row r="209" spans="1:7" x14ac:dyDescent="0.25">
      <c r="A209" s="150" t="s">
        <v>268</v>
      </c>
      <c r="B209" s="150">
        <v>2</v>
      </c>
      <c r="C209" s="160">
        <v>2570</v>
      </c>
      <c r="D209" s="181">
        <v>0</v>
      </c>
      <c r="E209" s="150">
        <v>522</v>
      </c>
      <c r="F209" s="150">
        <v>55</v>
      </c>
      <c r="G209" s="160">
        <v>3149</v>
      </c>
    </row>
    <row r="210" spans="1:7" x14ac:dyDescent="0.25">
      <c r="A210" s="150" t="s">
        <v>269</v>
      </c>
      <c r="B210" s="150">
        <v>2</v>
      </c>
      <c r="C210" s="160">
        <v>2439</v>
      </c>
      <c r="D210" s="181">
        <v>0</v>
      </c>
      <c r="E210" s="150">
        <v>350</v>
      </c>
      <c r="F210" s="150">
        <v>56</v>
      </c>
      <c r="G210" s="160">
        <v>2847</v>
      </c>
    </row>
    <row r="211" spans="1:7" ht="30" x14ac:dyDescent="0.25">
      <c r="A211" s="150" t="s">
        <v>270</v>
      </c>
      <c r="B211" s="150">
        <v>8</v>
      </c>
      <c r="C211" s="160">
        <v>3367</v>
      </c>
      <c r="D211" s="150">
        <v>3</v>
      </c>
      <c r="E211" s="150">
        <v>458</v>
      </c>
      <c r="F211" s="150">
        <v>71</v>
      </c>
      <c r="G211" s="160">
        <v>3907</v>
      </c>
    </row>
    <row r="212" spans="1:7" ht="30" x14ac:dyDescent="0.25">
      <c r="A212" s="150" t="s">
        <v>271</v>
      </c>
      <c r="B212" s="150">
        <v>19</v>
      </c>
      <c r="C212" s="160">
        <v>7507</v>
      </c>
      <c r="D212" s="150">
        <v>2</v>
      </c>
      <c r="E212" s="160">
        <v>1281</v>
      </c>
      <c r="F212" s="150">
        <v>139</v>
      </c>
      <c r="G212" s="160">
        <v>8948</v>
      </c>
    </row>
    <row r="213" spans="1:7" x14ac:dyDescent="0.25">
      <c r="A213" s="150" t="s">
        <v>272</v>
      </c>
      <c r="B213" s="150">
        <v>32</v>
      </c>
      <c r="C213" s="160">
        <v>8613</v>
      </c>
      <c r="D213" s="150">
        <v>2</v>
      </c>
      <c r="E213" s="160">
        <v>1325</v>
      </c>
      <c r="F213" s="150">
        <v>147</v>
      </c>
      <c r="G213" s="160">
        <v>10119</v>
      </c>
    </row>
    <row r="214" spans="1:7" ht="30" x14ac:dyDescent="0.25">
      <c r="A214" s="150" t="s">
        <v>273</v>
      </c>
      <c r="B214" s="150">
        <v>2</v>
      </c>
      <c r="C214" s="160">
        <v>1608</v>
      </c>
      <c r="E214" s="150">
        <v>390</v>
      </c>
      <c r="F214" s="150">
        <v>30</v>
      </c>
      <c r="G214" s="160">
        <v>2030</v>
      </c>
    </row>
    <row r="215" spans="1:7" x14ac:dyDescent="0.25">
      <c r="A215" s="150" t="s">
        <v>274</v>
      </c>
      <c r="B215" s="150">
        <v>105</v>
      </c>
      <c r="C215" s="160">
        <v>39306</v>
      </c>
      <c r="D215" s="150">
        <v>26</v>
      </c>
      <c r="E215" s="160">
        <v>7612</v>
      </c>
      <c r="F215" s="150">
        <v>865</v>
      </c>
      <c r="G215" s="160">
        <v>47914</v>
      </c>
    </row>
    <row r="216" spans="1:7" x14ac:dyDescent="0.25">
      <c r="A216" s="150" t="s">
        <v>275</v>
      </c>
      <c r="B216" s="150">
        <v>14</v>
      </c>
      <c r="C216" s="160">
        <v>5362</v>
      </c>
      <c r="D216" s="150">
        <v>3</v>
      </c>
      <c r="E216" s="150">
        <v>834</v>
      </c>
      <c r="F216" s="150">
        <v>136</v>
      </c>
      <c r="G216" s="160">
        <v>6349</v>
      </c>
    </row>
    <row r="217" spans="1:7" ht="30" x14ac:dyDescent="0.25">
      <c r="A217" s="150" t="s">
        <v>276</v>
      </c>
      <c r="B217" s="150">
        <v>1</v>
      </c>
      <c r="C217" s="150">
        <v>864</v>
      </c>
      <c r="D217" s="150">
        <v>1</v>
      </c>
      <c r="E217" s="150">
        <v>135</v>
      </c>
      <c r="F217" s="150">
        <v>24</v>
      </c>
      <c r="G217" s="160">
        <v>1025</v>
      </c>
    </row>
    <row r="218" spans="1:7" ht="30" x14ac:dyDescent="0.25">
      <c r="A218" s="150" t="s">
        <v>277</v>
      </c>
      <c r="B218" s="150">
        <v>8</v>
      </c>
      <c r="C218" s="160">
        <v>3230</v>
      </c>
      <c r="D218" s="150">
        <v>1</v>
      </c>
      <c r="E218" s="150">
        <v>631</v>
      </c>
      <c r="F218" s="150">
        <v>64</v>
      </c>
      <c r="G218" s="160">
        <v>3934</v>
      </c>
    </row>
    <row r="219" spans="1:7" ht="30" x14ac:dyDescent="0.25">
      <c r="A219" s="150" t="s">
        <v>278</v>
      </c>
      <c r="B219" s="150">
        <v>5</v>
      </c>
      <c r="C219" s="160">
        <v>3240</v>
      </c>
      <c r="D219" s="150">
        <v>1</v>
      </c>
      <c r="E219" s="150">
        <v>558</v>
      </c>
      <c r="F219" s="150">
        <v>77</v>
      </c>
      <c r="G219" s="160">
        <v>3881</v>
      </c>
    </row>
    <row r="220" spans="1:7" x14ac:dyDescent="0.25">
      <c r="A220" s="150" t="s">
        <v>35</v>
      </c>
      <c r="B220" s="151">
        <f>SUM(B190:B219)</f>
        <v>464</v>
      </c>
      <c r="C220" s="151">
        <f t="shared" ref="C220:G220" si="4">SUM(C190:C219)</f>
        <v>189252</v>
      </c>
      <c r="D220" s="151">
        <f t="shared" si="4"/>
        <v>101</v>
      </c>
      <c r="E220" s="151">
        <f t="shared" si="4"/>
        <v>34438</v>
      </c>
      <c r="F220" s="151">
        <f t="shared" si="4"/>
        <v>3950</v>
      </c>
      <c r="G220" s="151">
        <f t="shared" si="4"/>
        <v>228205</v>
      </c>
    </row>
    <row r="221" spans="1:7" x14ac:dyDescent="0.25">
      <c r="A221" s="150"/>
      <c r="B221" s="150"/>
      <c r="C221" s="150"/>
      <c r="D221" s="150"/>
      <c r="E221" s="184"/>
      <c r="F221" s="161"/>
      <c r="G221" s="158"/>
    </row>
    <row r="225" spans="1:8" ht="45" x14ac:dyDescent="0.25">
      <c r="A225" s="150" t="s">
        <v>279</v>
      </c>
      <c r="B225" s="168"/>
      <c r="C225" s="168"/>
      <c r="D225" s="168"/>
      <c r="E225" s="169"/>
    </row>
    <row r="226" spans="1:8" x14ac:dyDescent="0.25">
      <c r="A226" s="150"/>
      <c r="B226" s="150"/>
      <c r="C226" s="150"/>
      <c r="E226" s="157"/>
    </row>
    <row r="227" spans="1:8" x14ac:dyDescent="0.25">
      <c r="A227" s="150"/>
      <c r="B227" s="150"/>
      <c r="C227" s="150"/>
      <c r="D227" s="168"/>
      <c r="E227" s="168"/>
      <c r="F227" s="168"/>
      <c r="G227" s="169"/>
    </row>
    <row r="228" spans="1:8" ht="30" x14ac:dyDescent="0.25">
      <c r="A228" s="150"/>
      <c r="B228" s="150"/>
      <c r="C228" s="150" t="s">
        <v>512</v>
      </c>
      <c r="D228" s="150"/>
      <c r="G228" s="157"/>
    </row>
    <row r="229" spans="1:8" x14ac:dyDescent="0.25">
      <c r="A229" s="150" t="s">
        <v>137</v>
      </c>
      <c r="B229" s="150" t="s">
        <v>491</v>
      </c>
      <c r="C229" s="150" t="s">
        <v>492</v>
      </c>
      <c r="D229" s="150" t="s">
        <v>493</v>
      </c>
      <c r="E229" s="150" t="s">
        <v>494</v>
      </c>
      <c r="F229" s="150" t="s">
        <v>495</v>
      </c>
      <c r="G229" s="150" t="s">
        <v>35</v>
      </c>
      <c r="H229" s="157"/>
    </row>
    <row r="230" spans="1:8" x14ac:dyDescent="0.25">
      <c r="A230" s="150"/>
      <c r="B230" s="150"/>
      <c r="C230" s="150"/>
      <c r="H230" s="157"/>
    </row>
    <row r="231" spans="1:8" ht="30" x14ac:dyDescent="0.25">
      <c r="A231" s="150" t="s">
        <v>280</v>
      </c>
      <c r="B231" s="150">
        <v>4</v>
      </c>
      <c r="C231" s="150">
        <v>815</v>
      </c>
      <c r="D231" s="150">
        <v>0</v>
      </c>
      <c r="E231" s="150">
        <v>128</v>
      </c>
      <c r="F231" s="150">
        <v>23</v>
      </c>
      <c r="G231" s="150">
        <v>970</v>
      </c>
      <c r="H231" s="157"/>
    </row>
    <row r="232" spans="1:8" x14ac:dyDescent="0.25">
      <c r="A232" s="150" t="s">
        <v>281</v>
      </c>
      <c r="B232" s="150">
        <v>4</v>
      </c>
      <c r="C232" s="150">
        <v>863</v>
      </c>
      <c r="D232" s="150">
        <v>0</v>
      </c>
      <c r="E232" s="150">
        <v>151</v>
      </c>
      <c r="F232" s="150">
        <v>9</v>
      </c>
      <c r="G232" s="160">
        <v>1027</v>
      </c>
      <c r="H232" s="157"/>
    </row>
    <row r="233" spans="1:8" x14ac:dyDescent="0.25">
      <c r="A233" s="150" t="s">
        <v>282</v>
      </c>
      <c r="B233" s="150">
        <v>16</v>
      </c>
      <c r="C233" s="160">
        <v>5959</v>
      </c>
      <c r="D233" s="150">
        <v>3</v>
      </c>
      <c r="E233" s="160">
        <v>1709</v>
      </c>
      <c r="F233" s="150">
        <v>121</v>
      </c>
      <c r="G233" s="160">
        <v>7808</v>
      </c>
      <c r="H233" s="157"/>
    </row>
    <row r="234" spans="1:8" x14ac:dyDescent="0.25">
      <c r="A234" s="150" t="s">
        <v>283</v>
      </c>
      <c r="B234" s="150">
        <v>18</v>
      </c>
      <c r="C234" s="160">
        <v>5555</v>
      </c>
      <c r="D234" s="150">
        <v>3</v>
      </c>
      <c r="E234" s="160">
        <v>1081</v>
      </c>
      <c r="F234" s="150">
        <v>116</v>
      </c>
      <c r="G234" s="160">
        <v>6773</v>
      </c>
      <c r="H234" s="157"/>
    </row>
    <row r="235" spans="1:8" x14ac:dyDescent="0.25">
      <c r="A235" s="150" t="s">
        <v>507</v>
      </c>
      <c r="B235" s="150">
        <v>11</v>
      </c>
      <c r="C235" s="160">
        <v>6031</v>
      </c>
      <c r="D235" s="182">
        <v>0</v>
      </c>
      <c r="E235" s="160">
        <v>1432</v>
      </c>
      <c r="F235" s="150">
        <v>117</v>
      </c>
      <c r="G235" s="160">
        <v>7591</v>
      </c>
      <c r="H235" s="157"/>
    </row>
    <row r="236" spans="1:8" ht="30" x14ac:dyDescent="0.25">
      <c r="A236" s="150" t="s">
        <v>284</v>
      </c>
      <c r="B236" s="150">
        <v>44</v>
      </c>
      <c r="C236" s="160">
        <v>13344</v>
      </c>
      <c r="D236" s="150">
        <v>12</v>
      </c>
      <c r="E236" s="160">
        <v>2946</v>
      </c>
      <c r="F236" s="150">
        <v>274</v>
      </c>
      <c r="G236" s="160">
        <v>16620</v>
      </c>
      <c r="H236" s="157"/>
    </row>
    <row r="237" spans="1:8" ht="30" x14ac:dyDescent="0.25">
      <c r="A237" s="150" t="s">
        <v>285</v>
      </c>
      <c r="B237" s="150">
        <v>113</v>
      </c>
      <c r="C237" s="160">
        <v>35778</v>
      </c>
      <c r="D237" s="150">
        <v>37</v>
      </c>
      <c r="E237" s="160">
        <v>8576</v>
      </c>
      <c r="F237" s="150">
        <v>804</v>
      </c>
      <c r="G237" s="160">
        <v>45308</v>
      </c>
      <c r="H237" s="157"/>
    </row>
    <row r="238" spans="1:8" x14ac:dyDescent="0.25">
      <c r="A238" s="150" t="s">
        <v>286</v>
      </c>
      <c r="B238" s="150">
        <v>3</v>
      </c>
      <c r="C238" s="160">
        <v>1171</v>
      </c>
      <c r="D238" s="150">
        <v>1</v>
      </c>
      <c r="E238" s="150">
        <v>424</v>
      </c>
      <c r="F238" s="150">
        <v>50</v>
      </c>
      <c r="G238" s="160">
        <v>1649</v>
      </c>
      <c r="H238" s="157"/>
    </row>
    <row r="239" spans="1:8" x14ac:dyDescent="0.25">
      <c r="A239" s="150" t="s">
        <v>287</v>
      </c>
      <c r="B239" s="150">
        <v>45</v>
      </c>
      <c r="C239" s="160">
        <v>18189</v>
      </c>
      <c r="D239" s="150">
        <v>11</v>
      </c>
      <c r="E239" s="160">
        <v>4342</v>
      </c>
      <c r="F239" s="150">
        <v>373</v>
      </c>
      <c r="G239" s="160">
        <v>22960</v>
      </c>
      <c r="H239" s="157"/>
    </row>
    <row r="240" spans="1:8" ht="30" x14ac:dyDescent="0.25">
      <c r="A240" s="150" t="s">
        <v>288</v>
      </c>
      <c r="B240" s="150">
        <v>22</v>
      </c>
      <c r="C240" s="160">
        <v>5903</v>
      </c>
      <c r="D240" s="150">
        <v>2</v>
      </c>
      <c r="E240" s="160">
        <v>1890</v>
      </c>
      <c r="F240" s="150">
        <v>107</v>
      </c>
      <c r="G240" s="160">
        <v>7924</v>
      </c>
      <c r="H240" s="157"/>
    </row>
    <row r="241" spans="1:9" x14ac:dyDescent="0.25">
      <c r="A241" s="150" t="s">
        <v>289</v>
      </c>
      <c r="B241" s="150">
        <v>2</v>
      </c>
      <c r="C241" s="160">
        <v>2299</v>
      </c>
      <c r="D241" s="160">
        <v>0</v>
      </c>
      <c r="E241" s="150">
        <v>393</v>
      </c>
      <c r="F241" s="150">
        <v>45</v>
      </c>
      <c r="G241" s="160">
        <v>2739</v>
      </c>
      <c r="I241" s="157"/>
    </row>
    <row r="242" spans="1:9" x14ac:dyDescent="0.25">
      <c r="A242" s="150" t="s">
        <v>290</v>
      </c>
      <c r="B242" s="150">
        <v>44</v>
      </c>
      <c r="C242" s="160">
        <v>15216</v>
      </c>
      <c r="D242" s="150">
        <v>11</v>
      </c>
      <c r="E242" s="160">
        <v>3105</v>
      </c>
      <c r="F242" s="150">
        <v>292</v>
      </c>
      <c r="G242" s="160">
        <v>18668</v>
      </c>
      <c r="H242" s="157"/>
    </row>
    <row r="243" spans="1:9" x14ac:dyDescent="0.25">
      <c r="A243" s="150" t="s">
        <v>291</v>
      </c>
      <c r="B243" s="150">
        <v>10</v>
      </c>
      <c r="C243" s="160">
        <v>3863</v>
      </c>
      <c r="D243" s="150">
        <v>3</v>
      </c>
      <c r="E243" s="150">
        <v>829</v>
      </c>
      <c r="F243" s="150">
        <v>90</v>
      </c>
      <c r="G243" s="160">
        <v>4795</v>
      </c>
      <c r="H243" s="157"/>
    </row>
    <row r="244" spans="1:9" x14ac:dyDescent="0.25">
      <c r="A244" s="150" t="s">
        <v>292</v>
      </c>
      <c r="B244" s="150">
        <v>16</v>
      </c>
      <c r="C244" s="160">
        <v>5049</v>
      </c>
      <c r="D244" s="150">
        <v>1</v>
      </c>
      <c r="E244" s="160">
        <v>1158</v>
      </c>
      <c r="F244" s="150">
        <v>108</v>
      </c>
      <c r="G244" s="160">
        <v>6332</v>
      </c>
      <c r="H244" s="157"/>
    </row>
    <row r="245" spans="1:9" x14ac:dyDescent="0.25">
      <c r="A245" s="150" t="s">
        <v>293</v>
      </c>
      <c r="B245" s="150">
        <v>11</v>
      </c>
      <c r="C245" s="160">
        <v>4313</v>
      </c>
      <c r="D245" s="150">
        <v>1</v>
      </c>
      <c r="E245" s="159">
        <v>1292</v>
      </c>
      <c r="F245" s="150">
        <v>115</v>
      </c>
      <c r="G245" s="160">
        <v>5732</v>
      </c>
      <c r="H245" s="157"/>
    </row>
    <row r="246" spans="1:9" ht="30" x14ac:dyDescent="0.25">
      <c r="A246" s="150" t="s">
        <v>294</v>
      </c>
      <c r="B246" s="150">
        <v>10</v>
      </c>
      <c r="C246" s="160">
        <v>3287</v>
      </c>
      <c r="D246" s="150">
        <v>1</v>
      </c>
      <c r="E246">
        <v>768</v>
      </c>
      <c r="F246" s="150">
        <v>71</v>
      </c>
      <c r="G246" s="160">
        <v>4137</v>
      </c>
      <c r="H246" s="157"/>
    </row>
    <row r="247" spans="1:9" ht="30" x14ac:dyDescent="0.25">
      <c r="A247" s="150" t="s">
        <v>295</v>
      </c>
      <c r="B247" s="150">
        <v>78</v>
      </c>
      <c r="C247" s="160">
        <v>33883</v>
      </c>
      <c r="D247" s="150">
        <v>13</v>
      </c>
      <c r="E247" s="159">
        <v>6500</v>
      </c>
      <c r="F247" s="150">
        <v>708</v>
      </c>
      <c r="G247" s="160">
        <v>41182</v>
      </c>
      <c r="H247" s="157"/>
    </row>
    <row r="248" spans="1:9" x14ac:dyDescent="0.25">
      <c r="A248" s="150" t="s">
        <v>296</v>
      </c>
      <c r="B248" s="150">
        <v>22</v>
      </c>
      <c r="C248" s="160">
        <v>9398</v>
      </c>
      <c r="D248" s="150">
        <v>3</v>
      </c>
      <c r="E248" s="159">
        <v>2441</v>
      </c>
      <c r="F248" s="150">
        <v>172</v>
      </c>
      <c r="G248" s="160">
        <v>12036</v>
      </c>
      <c r="H248" s="157"/>
    </row>
    <row r="249" spans="1:9" x14ac:dyDescent="0.25">
      <c r="A249" s="150" t="s">
        <v>297</v>
      </c>
      <c r="B249" s="150">
        <v>20</v>
      </c>
      <c r="C249" s="160">
        <v>6090</v>
      </c>
      <c r="D249" s="150">
        <v>6</v>
      </c>
      <c r="E249" s="159">
        <v>1218</v>
      </c>
      <c r="F249" s="150">
        <v>125</v>
      </c>
      <c r="G249" s="160">
        <v>7459</v>
      </c>
      <c r="H249" s="157"/>
    </row>
    <row r="250" spans="1:9" ht="30" x14ac:dyDescent="0.25">
      <c r="A250" s="150" t="s">
        <v>298</v>
      </c>
      <c r="B250" s="150">
        <v>10</v>
      </c>
      <c r="C250" s="160">
        <v>5056</v>
      </c>
      <c r="D250" s="150">
        <v>4</v>
      </c>
      <c r="E250" s="159">
        <v>1117</v>
      </c>
      <c r="F250" s="150">
        <v>110</v>
      </c>
      <c r="G250" s="160">
        <v>6297</v>
      </c>
      <c r="H250" s="157"/>
    </row>
    <row r="251" spans="1:9" x14ac:dyDescent="0.25">
      <c r="A251" s="150" t="s">
        <v>299</v>
      </c>
      <c r="B251" s="150">
        <v>8</v>
      </c>
      <c r="C251" s="160">
        <v>1921</v>
      </c>
      <c r="E251" s="150">
        <v>324</v>
      </c>
      <c r="F251" s="150">
        <v>47</v>
      </c>
      <c r="G251" s="160">
        <v>2300</v>
      </c>
      <c r="H251" s="157"/>
    </row>
    <row r="252" spans="1:9" x14ac:dyDescent="0.25">
      <c r="A252" s="150" t="s">
        <v>300</v>
      </c>
      <c r="B252" s="150">
        <v>22</v>
      </c>
      <c r="C252" s="160">
        <v>8390</v>
      </c>
      <c r="D252" s="150">
        <v>2</v>
      </c>
      <c r="E252" s="159">
        <v>1974</v>
      </c>
      <c r="F252" s="150">
        <v>155</v>
      </c>
      <c r="G252" s="160">
        <v>10543</v>
      </c>
      <c r="H252" s="157"/>
    </row>
    <row r="253" spans="1:9" x14ac:dyDescent="0.25">
      <c r="A253" s="150" t="s">
        <v>301</v>
      </c>
      <c r="B253" s="150">
        <v>2</v>
      </c>
      <c r="C253" s="150">
        <v>975</v>
      </c>
      <c r="D253" s="150">
        <v>1</v>
      </c>
      <c r="E253">
        <v>124</v>
      </c>
      <c r="F253" s="150">
        <v>20</v>
      </c>
      <c r="G253" s="160">
        <v>1122</v>
      </c>
      <c r="H253" s="157"/>
    </row>
    <row r="254" spans="1:9" x14ac:dyDescent="0.25">
      <c r="A254" s="150" t="s">
        <v>302</v>
      </c>
      <c r="B254" s="150">
        <v>4</v>
      </c>
      <c r="C254" s="160">
        <v>2024</v>
      </c>
      <c r="E254" s="150">
        <v>351</v>
      </c>
      <c r="F254" s="150">
        <v>35</v>
      </c>
      <c r="G254" s="160">
        <v>2414</v>
      </c>
      <c r="H254" s="157"/>
    </row>
    <row r="255" spans="1:9" ht="30" x14ac:dyDescent="0.25">
      <c r="A255" s="150" t="s">
        <v>303</v>
      </c>
      <c r="B255" s="150">
        <v>38</v>
      </c>
      <c r="C255" s="160">
        <v>14176</v>
      </c>
      <c r="D255" s="150">
        <v>7</v>
      </c>
      <c r="E255" s="159">
        <v>3543</v>
      </c>
      <c r="F255" s="150">
        <v>373</v>
      </c>
      <c r="G255" s="160">
        <v>18137</v>
      </c>
    </row>
    <row r="256" spans="1:9" ht="30" x14ac:dyDescent="0.25">
      <c r="A256" s="150" t="s">
        <v>304</v>
      </c>
      <c r="B256" s="150">
        <v>6</v>
      </c>
      <c r="C256" s="150">
        <v>791</v>
      </c>
      <c r="E256" s="150">
        <v>155</v>
      </c>
      <c r="F256" s="150">
        <v>19</v>
      </c>
      <c r="G256" s="150">
        <v>971</v>
      </c>
      <c r="H256" s="157"/>
    </row>
    <row r="257" spans="1:8" ht="30" x14ac:dyDescent="0.25">
      <c r="A257" s="150" t="s">
        <v>305</v>
      </c>
      <c r="B257" s="150">
        <v>11</v>
      </c>
      <c r="C257" s="160">
        <v>2684</v>
      </c>
      <c r="D257" s="150">
        <v>3</v>
      </c>
      <c r="E257">
        <v>487</v>
      </c>
      <c r="F257" s="150">
        <v>50</v>
      </c>
      <c r="G257" s="160">
        <v>3235</v>
      </c>
      <c r="H257" s="157"/>
    </row>
    <row r="258" spans="1:8" ht="30" x14ac:dyDescent="0.25">
      <c r="A258" s="150" t="s">
        <v>306</v>
      </c>
      <c r="B258" s="150">
        <v>9</v>
      </c>
      <c r="C258" s="160">
        <v>2616</v>
      </c>
      <c r="D258" s="150">
        <v>1</v>
      </c>
      <c r="E258">
        <v>663</v>
      </c>
      <c r="F258" s="150">
        <v>63</v>
      </c>
      <c r="G258" s="160">
        <v>3352</v>
      </c>
      <c r="H258" s="157"/>
    </row>
    <row r="259" spans="1:8" ht="30" x14ac:dyDescent="0.25">
      <c r="A259" s="150" t="s">
        <v>307</v>
      </c>
      <c r="B259" s="150">
        <v>82</v>
      </c>
      <c r="C259" s="160">
        <v>25316</v>
      </c>
      <c r="D259" s="150">
        <v>39</v>
      </c>
      <c r="E259" s="159">
        <v>6847</v>
      </c>
      <c r="F259" s="150">
        <v>597</v>
      </c>
      <c r="G259" s="160">
        <v>32881</v>
      </c>
      <c r="H259" s="157"/>
    </row>
    <row r="260" spans="1:8" x14ac:dyDescent="0.25">
      <c r="A260" s="150" t="s">
        <v>308</v>
      </c>
      <c r="B260" s="150">
        <v>2</v>
      </c>
      <c r="C260" s="160">
        <v>1390</v>
      </c>
      <c r="E260" s="150">
        <v>364</v>
      </c>
      <c r="F260" s="150">
        <v>41</v>
      </c>
      <c r="G260" s="160">
        <v>1797</v>
      </c>
      <c r="H260" s="157"/>
    </row>
    <row r="261" spans="1:8" x14ac:dyDescent="0.25">
      <c r="A261" s="150" t="s">
        <v>309</v>
      </c>
      <c r="B261" s="150">
        <v>34</v>
      </c>
      <c r="C261" s="160">
        <v>11181</v>
      </c>
      <c r="D261" s="150">
        <v>4</v>
      </c>
      <c r="E261" s="159">
        <v>2262</v>
      </c>
      <c r="F261" s="150">
        <v>210</v>
      </c>
      <c r="G261" s="160">
        <v>13691</v>
      </c>
      <c r="H261" s="157"/>
    </row>
    <row r="262" spans="1:8" x14ac:dyDescent="0.25">
      <c r="A262" s="150" t="s">
        <v>310</v>
      </c>
      <c r="B262" s="150">
        <v>12</v>
      </c>
      <c r="C262" s="160">
        <v>3050</v>
      </c>
      <c r="D262" s="150">
        <v>3</v>
      </c>
      <c r="E262">
        <v>531</v>
      </c>
      <c r="F262" s="150">
        <v>61</v>
      </c>
      <c r="G262" s="160">
        <v>3657</v>
      </c>
      <c r="H262" s="157"/>
    </row>
    <row r="263" spans="1:8" x14ac:dyDescent="0.25">
      <c r="A263" s="150" t="s">
        <v>311</v>
      </c>
      <c r="B263" s="150">
        <v>19</v>
      </c>
      <c r="C263" s="160">
        <v>5296</v>
      </c>
      <c r="E263" s="160">
        <v>1243</v>
      </c>
      <c r="F263" s="150">
        <v>108</v>
      </c>
      <c r="G263" s="160">
        <v>6666</v>
      </c>
      <c r="H263" s="157"/>
    </row>
    <row r="264" spans="1:8" x14ac:dyDescent="0.25">
      <c r="A264" s="150"/>
      <c r="H264" s="157"/>
    </row>
    <row r="265" spans="1:8" x14ac:dyDescent="0.25">
      <c r="A265" s="150" t="s">
        <v>35</v>
      </c>
      <c r="B265" s="151">
        <f>SUM(B231:B264)</f>
        <v>752</v>
      </c>
      <c r="C265" s="151">
        <f t="shared" ref="C265:G265" si="5">SUM(C231:C264)</f>
        <v>261872</v>
      </c>
      <c r="D265" s="151">
        <f t="shared" si="5"/>
        <v>172</v>
      </c>
      <c r="E265" s="151">
        <f t="shared" si="5"/>
        <v>60368</v>
      </c>
      <c r="F265" s="151">
        <f t="shared" si="5"/>
        <v>5609</v>
      </c>
      <c r="G265" s="151">
        <f t="shared" si="5"/>
        <v>328773</v>
      </c>
      <c r="H265" s="157"/>
    </row>
    <row r="266" spans="1:8" x14ac:dyDescent="0.25">
      <c r="A266" s="150"/>
      <c r="B266" s="150"/>
      <c r="C266" s="150"/>
      <c r="D266" s="161"/>
      <c r="E266" s="161"/>
      <c r="F266" s="161"/>
      <c r="G266" s="158"/>
    </row>
    <row r="267" spans="1:8" ht="45" x14ac:dyDescent="0.25">
      <c r="A267" s="150" t="s">
        <v>513</v>
      </c>
      <c r="B267" s="150" t="s">
        <v>514</v>
      </c>
      <c r="C267" s="150">
        <v>9</v>
      </c>
      <c r="D267" s="168"/>
      <c r="E267" s="168"/>
      <c r="F267" s="169"/>
    </row>
    <row r="268" spans="1:8" x14ac:dyDescent="0.25">
      <c r="A268" s="150"/>
      <c r="B268" s="150"/>
      <c r="C268" s="150"/>
      <c r="D268" s="150"/>
      <c r="F268" s="157"/>
    </row>
    <row r="269" spans="1:8" ht="30" x14ac:dyDescent="0.25">
      <c r="A269" s="150"/>
      <c r="B269" s="150"/>
      <c r="C269" s="150" t="s">
        <v>512</v>
      </c>
      <c r="D269" s="150"/>
      <c r="F269" s="157"/>
    </row>
    <row r="270" spans="1:8" x14ac:dyDescent="0.25">
      <c r="A270" s="150" t="s">
        <v>137</v>
      </c>
      <c r="B270" s="150" t="s">
        <v>491</v>
      </c>
      <c r="C270" s="150" t="s">
        <v>492</v>
      </c>
      <c r="D270" s="150" t="s">
        <v>493</v>
      </c>
      <c r="E270" t="s">
        <v>494</v>
      </c>
      <c r="F270" s="150" t="s">
        <v>495</v>
      </c>
      <c r="G270" s="150" t="s">
        <v>35</v>
      </c>
    </row>
    <row r="271" spans="1:8" x14ac:dyDescent="0.25">
      <c r="A271" s="150"/>
      <c r="B271" s="150"/>
      <c r="C271" s="150"/>
      <c r="D271" s="150"/>
      <c r="G271" s="157"/>
    </row>
    <row r="272" spans="1:8" x14ac:dyDescent="0.25">
      <c r="A272" s="150" t="s">
        <v>312</v>
      </c>
      <c r="B272" s="150">
        <v>25</v>
      </c>
      <c r="C272" s="160">
        <v>9666</v>
      </c>
      <c r="D272" s="150">
        <v>4</v>
      </c>
      <c r="E272" s="159">
        <v>2211</v>
      </c>
      <c r="F272" s="150">
        <v>190</v>
      </c>
      <c r="G272" s="160">
        <v>12096</v>
      </c>
    </row>
    <row r="273" spans="1:7" x14ac:dyDescent="0.25">
      <c r="A273" s="150" t="s">
        <v>313</v>
      </c>
      <c r="B273" s="150">
        <v>15</v>
      </c>
      <c r="C273" s="160">
        <v>4939</v>
      </c>
      <c r="E273" s="160">
        <v>1139</v>
      </c>
      <c r="F273" s="150">
        <v>109</v>
      </c>
      <c r="G273" s="160">
        <v>6202</v>
      </c>
    </row>
    <row r="274" spans="1:7" x14ac:dyDescent="0.25">
      <c r="A274" s="150" t="s">
        <v>314</v>
      </c>
      <c r="B274" s="150">
        <v>7</v>
      </c>
      <c r="C274" s="160">
        <v>1900</v>
      </c>
      <c r="E274" s="150">
        <v>377</v>
      </c>
      <c r="F274" s="150">
        <v>59</v>
      </c>
      <c r="G274" s="160">
        <v>2343</v>
      </c>
    </row>
    <row r="275" spans="1:7" x14ac:dyDescent="0.25">
      <c r="A275" s="150" t="s">
        <v>315</v>
      </c>
      <c r="B275" s="150">
        <v>12</v>
      </c>
      <c r="C275" s="160">
        <v>4094</v>
      </c>
      <c r="D275" s="150">
        <v>2</v>
      </c>
      <c r="E275">
        <v>789</v>
      </c>
      <c r="F275" s="150">
        <v>87</v>
      </c>
      <c r="G275" s="160">
        <v>4984</v>
      </c>
    </row>
    <row r="276" spans="1:7" x14ac:dyDescent="0.25">
      <c r="A276" s="150" t="s">
        <v>316</v>
      </c>
      <c r="B276" s="150">
        <v>10</v>
      </c>
      <c r="C276" s="160">
        <v>4058</v>
      </c>
      <c r="D276" s="150">
        <v>3</v>
      </c>
      <c r="E276">
        <v>798</v>
      </c>
      <c r="F276" s="150">
        <v>113</v>
      </c>
      <c r="G276" s="160">
        <v>4982</v>
      </c>
    </row>
    <row r="277" spans="1:7" ht="30" x14ac:dyDescent="0.25">
      <c r="A277" s="150" t="s">
        <v>317</v>
      </c>
      <c r="B277" s="150">
        <v>13</v>
      </c>
      <c r="C277" s="160">
        <v>3953</v>
      </c>
      <c r="D277" s="150">
        <v>1</v>
      </c>
      <c r="E277">
        <v>718</v>
      </c>
      <c r="F277" s="150">
        <v>98</v>
      </c>
      <c r="G277" s="160">
        <v>4783</v>
      </c>
    </row>
    <row r="278" spans="1:7" ht="30" x14ac:dyDescent="0.25">
      <c r="A278" s="150" t="s">
        <v>318</v>
      </c>
      <c r="B278" s="150">
        <v>3</v>
      </c>
      <c r="C278" s="160">
        <v>1348</v>
      </c>
      <c r="E278" s="150">
        <v>238</v>
      </c>
      <c r="F278" s="150">
        <v>33</v>
      </c>
      <c r="G278" s="160">
        <v>1622</v>
      </c>
    </row>
    <row r="279" spans="1:7" x14ac:dyDescent="0.25">
      <c r="A279" s="150" t="s">
        <v>319</v>
      </c>
      <c r="B279" s="150">
        <v>3</v>
      </c>
      <c r="C279" s="160">
        <v>1309</v>
      </c>
      <c r="D279" s="150">
        <v>1</v>
      </c>
      <c r="E279">
        <v>281</v>
      </c>
      <c r="F279" s="150">
        <v>25</v>
      </c>
      <c r="G279" s="160">
        <v>1619</v>
      </c>
    </row>
    <row r="280" spans="1:7" x14ac:dyDescent="0.25">
      <c r="A280" s="150" t="s">
        <v>320</v>
      </c>
      <c r="B280" s="150">
        <v>13</v>
      </c>
      <c r="C280" s="160">
        <v>4463</v>
      </c>
      <c r="D280" s="150">
        <v>1</v>
      </c>
      <c r="E280">
        <v>770</v>
      </c>
      <c r="F280" s="150">
        <v>93</v>
      </c>
      <c r="G280" s="160">
        <v>5340</v>
      </c>
    </row>
    <row r="281" spans="1:7" ht="30" x14ac:dyDescent="0.25">
      <c r="A281" s="150" t="s">
        <v>321</v>
      </c>
      <c r="B281" s="150">
        <v>8</v>
      </c>
      <c r="C281" s="160">
        <v>2191</v>
      </c>
      <c r="D281" s="150">
        <v>1</v>
      </c>
      <c r="E281">
        <v>524</v>
      </c>
      <c r="F281" s="150">
        <v>58</v>
      </c>
      <c r="G281" s="160">
        <v>2782</v>
      </c>
    </row>
    <row r="282" spans="1:7" x14ac:dyDescent="0.25">
      <c r="A282" s="150" t="s">
        <v>322</v>
      </c>
      <c r="B282" s="150">
        <v>8</v>
      </c>
      <c r="C282" s="160">
        <v>3449</v>
      </c>
      <c r="E282" s="150">
        <v>736</v>
      </c>
      <c r="F282" s="150">
        <v>78</v>
      </c>
      <c r="G282" s="160">
        <v>4271</v>
      </c>
    </row>
    <row r="283" spans="1:7" x14ac:dyDescent="0.25">
      <c r="A283" s="150" t="s">
        <v>323</v>
      </c>
      <c r="B283" s="150">
        <v>11</v>
      </c>
      <c r="C283" s="160">
        <v>5963</v>
      </c>
      <c r="D283" s="150">
        <v>2</v>
      </c>
      <c r="E283" s="159">
        <v>1283</v>
      </c>
      <c r="F283" s="150">
        <v>153</v>
      </c>
      <c r="G283" s="160">
        <v>7412</v>
      </c>
    </row>
    <row r="284" spans="1:7" x14ac:dyDescent="0.25">
      <c r="A284" s="150" t="s">
        <v>324</v>
      </c>
      <c r="B284" s="150">
        <v>12</v>
      </c>
      <c r="C284" s="160">
        <v>4568</v>
      </c>
      <c r="D284" s="150">
        <v>3</v>
      </c>
      <c r="E284">
        <v>802</v>
      </c>
      <c r="F284" s="150">
        <v>132</v>
      </c>
      <c r="G284" s="160">
        <v>5517</v>
      </c>
    </row>
    <row r="285" spans="1:7" ht="30" x14ac:dyDescent="0.25">
      <c r="A285" s="150" t="s">
        <v>325</v>
      </c>
      <c r="B285" s="150">
        <v>8</v>
      </c>
      <c r="C285" s="160">
        <v>1647</v>
      </c>
      <c r="E285" s="150">
        <v>347</v>
      </c>
      <c r="F285" s="150">
        <v>55</v>
      </c>
      <c r="G285" s="160">
        <v>2057</v>
      </c>
    </row>
    <row r="286" spans="1:7" x14ac:dyDescent="0.25">
      <c r="A286" s="150" t="s">
        <v>326</v>
      </c>
      <c r="B286" s="150">
        <v>7</v>
      </c>
      <c r="C286" s="160">
        <v>1420</v>
      </c>
      <c r="E286" s="150">
        <v>341</v>
      </c>
      <c r="F286" s="150">
        <v>37</v>
      </c>
      <c r="G286" s="160">
        <v>1805</v>
      </c>
    </row>
    <row r="287" spans="1:7" x14ac:dyDescent="0.25">
      <c r="A287" s="150" t="s">
        <v>327</v>
      </c>
      <c r="B287" s="150">
        <v>3</v>
      </c>
      <c r="C287" s="160">
        <v>1547</v>
      </c>
      <c r="E287" s="150">
        <v>327</v>
      </c>
      <c r="F287" s="150">
        <v>40</v>
      </c>
      <c r="G287" s="160">
        <v>1917</v>
      </c>
    </row>
    <row r="288" spans="1:7" x14ac:dyDescent="0.25">
      <c r="A288" s="150" t="s">
        <v>328</v>
      </c>
      <c r="B288" s="150">
        <v>7</v>
      </c>
      <c r="C288" s="160">
        <v>1419</v>
      </c>
      <c r="E288" s="150">
        <v>252</v>
      </c>
      <c r="F288" s="150">
        <v>52</v>
      </c>
      <c r="G288" s="160">
        <v>1730</v>
      </c>
    </row>
    <row r="289" spans="1:7" ht="30" x14ac:dyDescent="0.25">
      <c r="A289" s="150" t="s">
        <v>329</v>
      </c>
      <c r="B289" s="150">
        <v>13</v>
      </c>
      <c r="C289" s="160">
        <v>6025</v>
      </c>
      <c r="D289" s="150">
        <v>3</v>
      </c>
      <c r="E289" s="159">
        <v>1140</v>
      </c>
      <c r="F289" s="150">
        <v>162</v>
      </c>
      <c r="G289" s="160">
        <v>7343</v>
      </c>
    </row>
    <row r="290" spans="1:7" ht="30" x14ac:dyDescent="0.25">
      <c r="A290" s="150" t="s">
        <v>330</v>
      </c>
      <c r="B290" s="150">
        <v>29</v>
      </c>
      <c r="C290" s="160">
        <v>9961</v>
      </c>
      <c r="D290" s="150">
        <v>2</v>
      </c>
      <c r="E290" s="159">
        <v>2042</v>
      </c>
      <c r="F290" s="150">
        <v>292</v>
      </c>
      <c r="G290" s="160">
        <v>12326</v>
      </c>
    </row>
    <row r="291" spans="1:7" ht="30" x14ac:dyDescent="0.25">
      <c r="A291" s="150" t="s">
        <v>331</v>
      </c>
      <c r="B291" s="150">
        <v>1</v>
      </c>
      <c r="C291" s="160">
        <v>1085</v>
      </c>
      <c r="E291" s="150">
        <v>210</v>
      </c>
      <c r="F291" s="150">
        <v>28</v>
      </c>
      <c r="G291" s="160">
        <v>1324</v>
      </c>
    </row>
    <row r="292" spans="1:7" ht="30" x14ac:dyDescent="0.25">
      <c r="A292" s="150" t="s">
        <v>332</v>
      </c>
      <c r="B292" s="150">
        <v>14</v>
      </c>
      <c r="C292" s="160">
        <v>4874</v>
      </c>
      <c r="D292" s="150">
        <v>2</v>
      </c>
      <c r="E292" s="159">
        <v>1116</v>
      </c>
      <c r="F292" s="150">
        <v>128</v>
      </c>
      <c r="G292" s="160">
        <v>6134</v>
      </c>
    </row>
    <row r="293" spans="1:7" x14ac:dyDescent="0.25">
      <c r="A293" s="150" t="s">
        <v>333</v>
      </c>
      <c r="B293" s="150">
        <v>9</v>
      </c>
      <c r="C293" s="160">
        <v>3663</v>
      </c>
      <c r="D293" s="150">
        <v>2</v>
      </c>
      <c r="E293">
        <v>783</v>
      </c>
      <c r="F293" s="150">
        <v>117</v>
      </c>
      <c r="G293" s="160">
        <v>4574</v>
      </c>
    </row>
    <row r="294" spans="1:7" x14ac:dyDescent="0.25">
      <c r="A294" s="150" t="s">
        <v>334</v>
      </c>
      <c r="B294" s="150"/>
      <c r="C294" s="160">
        <v>2403</v>
      </c>
      <c r="E294" s="150">
        <v>632</v>
      </c>
      <c r="F294" s="150">
        <v>70</v>
      </c>
      <c r="G294" s="160">
        <v>3105</v>
      </c>
    </row>
    <row r="295" spans="1:7" x14ac:dyDescent="0.25">
      <c r="A295" s="150" t="s">
        <v>335</v>
      </c>
      <c r="B295" s="150">
        <v>3</v>
      </c>
      <c r="C295" s="160">
        <v>1857</v>
      </c>
      <c r="D295" s="150">
        <v>1</v>
      </c>
      <c r="E295">
        <v>467</v>
      </c>
      <c r="F295" s="150">
        <v>69</v>
      </c>
      <c r="G295" s="160">
        <v>2397</v>
      </c>
    </row>
    <row r="296" spans="1:7" x14ac:dyDescent="0.25">
      <c r="A296" s="150" t="s">
        <v>336</v>
      </c>
      <c r="B296" s="150">
        <v>10</v>
      </c>
      <c r="C296" s="160">
        <v>2325</v>
      </c>
      <c r="E296" s="150">
        <v>503</v>
      </c>
      <c r="F296" s="150">
        <v>55</v>
      </c>
      <c r="G296" s="160">
        <v>2893</v>
      </c>
    </row>
    <row r="297" spans="1:7" x14ac:dyDescent="0.25">
      <c r="A297" s="150" t="s">
        <v>337</v>
      </c>
      <c r="B297" s="150">
        <v>141</v>
      </c>
      <c r="C297" s="160">
        <v>42674</v>
      </c>
      <c r="D297" s="150">
        <v>17</v>
      </c>
      <c r="E297" s="159">
        <v>9506</v>
      </c>
      <c r="F297" s="150">
        <v>940</v>
      </c>
      <c r="G297" s="160">
        <v>53278</v>
      </c>
    </row>
    <row r="298" spans="1:7" ht="30" x14ac:dyDescent="0.25">
      <c r="A298" s="150" t="s">
        <v>338</v>
      </c>
      <c r="B298" s="150">
        <v>10</v>
      </c>
      <c r="C298" s="160">
        <v>2865</v>
      </c>
      <c r="D298" s="150">
        <v>1</v>
      </c>
      <c r="E298">
        <v>557</v>
      </c>
      <c r="F298" s="150">
        <v>59</v>
      </c>
      <c r="G298" s="160">
        <v>3492</v>
      </c>
    </row>
    <row r="299" spans="1:7" x14ac:dyDescent="0.25">
      <c r="A299" s="150" t="s">
        <v>339</v>
      </c>
      <c r="B299" s="150">
        <v>6</v>
      </c>
      <c r="C299" s="160">
        <v>1911</v>
      </c>
      <c r="E299" s="150">
        <v>467</v>
      </c>
      <c r="F299" s="150">
        <v>51</v>
      </c>
      <c r="G299" s="160">
        <v>2435</v>
      </c>
    </row>
    <row r="300" spans="1:7" x14ac:dyDescent="0.25">
      <c r="A300" s="150" t="s">
        <v>340</v>
      </c>
      <c r="B300" s="150">
        <v>13</v>
      </c>
      <c r="C300" s="160">
        <v>4227</v>
      </c>
      <c r="D300" s="150">
        <v>2</v>
      </c>
      <c r="E300" s="159">
        <v>1039</v>
      </c>
      <c r="F300" s="150">
        <v>81</v>
      </c>
      <c r="G300" s="160">
        <v>5362</v>
      </c>
    </row>
    <row r="301" spans="1:7" x14ac:dyDescent="0.25">
      <c r="A301" s="150" t="s">
        <v>341</v>
      </c>
      <c r="B301" s="150">
        <v>27</v>
      </c>
      <c r="C301" s="160">
        <v>7246</v>
      </c>
      <c r="D301" s="150">
        <v>6</v>
      </c>
      <c r="E301" s="159">
        <v>1584</v>
      </c>
      <c r="F301" s="150">
        <v>165</v>
      </c>
      <c r="G301" s="160">
        <v>9028</v>
      </c>
    </row>
    <row r="302" spans="1:7" x14ac:dyDescent="0.25">
      <c r="A302" s="150" t="s">
        <v>342</v>
      </c>
      <c r="B302" s="150">
        <v>12</v>
      </c>
      <c r="C302" s="160">
        <v>4318</v>
      </c>
      <c r="D302" s="150">
        <v>1</v>
      </c>
      <c r="E302">
        <v>899</v>
      </c>
      <c r="F302" s="150">
        <v>115</v>
      </c>
      <c r="G302" s="160">
        <v>5345</v>
      </c>
    </row>
    <row r="303" spans="1:7" x14ac:dyDescent="0.25">
      <c r="A303" s="150" t="s">
        <v>343</v>
      </c>
      <c r="B303" s="150">
        <v>18</v>
      </c>
      <c r="C303" s="160">
        <v>10264</v>
      </c>
      <c r="D303" s="150">
        <v>4</v>
      </c>
      <c r="E303" s="159">
        <v>1970</v>
      </c>
      <c r="F303" s="150">
        <v>286</v>
      </c>
      <c r="G303" s="160">
        <v>12542</v>
      </c>
    </row>
    <row r="304" spans="1:7" x14ac:dyDescent="0.25">
      <c r="A304" s="150" t="s">
        <v>35</v>
      </c>
      <c r="B304" s="151">
        <f>SUM(B272:B303)</f>
        <v>471</v>
      </c>
      <c r="C304" s="151">
        <f t="shared" ref="C304:G304" si="6">SUM(C272:C303)</f>
        <v>163632</v>
      </c>
      <c r="D304" s="151">
        <f t="shared" si="6"/>
        <v>59</v>
      </c>
      <c r="E304" s="151">
        <f t="shared" si="6"/>
        <v>34848</v>
      </c>
      <c r="F304" s="151">
        <f t="shared" si="6"/>
        <v>4030</v>
      </c>
      <c r="G304" s="151">
        <f t="shared" si="6"/>
        <v>203040</v>
      </c>
    </row>
    <row r="305" spans="1:7" x14ac:dyDescent="0.25">
      <c r="A305" s="150"/>
      <c r="B305" s="150"/>
      <c r="C305" s="150"/>
      <c r="D305" s="150"/>
      <c r="F305" s="157"/>
    </row>
    <row r="306" spans="1:7" x14ac:dyDescent="0.25">
      <c r="A306" s="150"/>
      <c r="B306" s="161"/>
      <c r="C306" s="161"/>
      <c r="D306" s="161"/>
      <c r="E306" s="161"/>
      <c r="F306" s="158"/>
    </row>
    <row r="308" spans="1:7" ht="45" x14ac:dyDescent="0.25">
      <c r="A308" s="150" t="s">
        <v>344</v>
      </c>
      <c r="B308" s="168"/>
      <c r="C308" s="168"/>
      <c r="D308" s="168"/>
      <c r="E308" s="169"/>
    </row>
    <row r="309" spans="1:7" x14ac:dyDescent="0.25">
      <c r="A309" s="150"/>
      <c r="B309" s="150"/>
      <c r="C309" s="150"/>
      <c r="E309" s="157"/>
    </row>
    <row r="310" spans="1:7" x14ac:dyDescent="0.25">
      <c r="A310" s="150"/>
      <c r="B310" s="150"/>
      <c r="C310" s="150"/>
      <c r="D310" s="168"/>
      <c r="E310" s="168"/>
      <c r="F310" s="168"/>
      <c r="G310" s="169"/>
    </row>
    <row r="311" spans="1:7" ht="30" x14ac:dyDescent="0.25">
      <c r="A311" s="150"/>
      <c r="B311" s="150"/>
      <c r="C311" s="150" t="s">
        <v>512</v>
      </c>
      <c r="D311" s="150"/>
      <c r="G311" s="157"/>
    </row>
    <row r="312" spans="1:7" x14ac:dyDescent="0.25">
      <c r="A312" s="150" t="s">
        <v>137</v>
      </c>
      <c r="B312" s="150" t="s">
        <v>491</v>
      </c>
      <c r="C312" s="150" t="s">
        <v>492</v>
      </c>
      <c r="D312" s="150" t="s">
        <v>493</v>
      </c>
      <c r="E312" t="s">
        <v>494</v>
      </c>
      <c r="F312" s="150" t="s">
        <v>35</v>
      </c>
      <c r="G312" s="157"/>
    </row>
    <row r="313" spans="1:7" x14ac:dyDescent="0.25">
      <c r="A313" s="150"/>
      <c r="B313" s="150"/>
      <c r="C313" s="150"/>
      <c r="G313" s="157"/>
    </row>
    <row r="314" spans="1:7" x14ac:dyDescent="0.25">
      <c r="A314" s="150" t="s">
        <v>345</v>
      </c>
      <c r="B314" s="150">
        <v>15</v>
      </c>
      <c r="C314" s="160">
        <v>7617</v>
      </c>
      <c r="D314" s="150">
        <v>7</v>
      </c>
      <c r="E314" s="159">
        <v>1476</v>
      </c>
      <c r="F314" s="160">
        <v>9277</v>
      </c>
      <c r="G314" s="157"/>
    </row>
    <row r="315" spans="1:7" x14ac:dyDescent="0.25">
      <c r="A315" s="150" t="s">
        <v>346</v>
      </c>
      <c r="B315" s="150">
        <v>17</v>
      </c>
      <c r="C315" s="160">
        <v>5174</v>
      </c>
      <c r="D315" s="150">
        <v>2</v>
      </c>
      <c r="E315">
        <v>959</v>
      </c>
      <c r="F315" s="160">
        <v>6285</v>
      </c>
      <c r="G315" s="157"/>
    </row>
    <row r="316" spans="1:7" x14ac:dyDescent="0.25">
      <c r="A316" s="150" t="s">
        <v>347</v>
      </c>
      <c r="B316" s="150">
        <v>16</v>
      </c>
      <c r="C316" s="160">
        <v>7188</v>
      </c>
      <c r="D316" s="150">
        <v>8</v>
      </c>
      <c r="E316" s="159">
        <v>1675</v>
      </c>
      <c r="F316" s="160">
        <v>9051</v>
      </c>
      <c r="G316" s="157"/>
    </row>
    <row r="317" spans="1:7" x14ac:dyDescent="0.25">
      <c r="A317" s="150" t="s">
        <v>348</v>
      </c>
      <c r="B317" s="150">
        <v>1</v>
      </c>
      <c r="C317" s="150">
        <v>540</v>
      </c>
      <c r="E317" s="150">
        <v>90</v>
      </c>
      <c r="F317" s="150">
        <v>647</v>
      </c>
      <c r="G317" s="157"/>
    </row>
    <row r="318" spans="1:7" x14ac:dyDescent="0.25">
      <c r="A318" s="150" t="s">
        <v>349</v>
      </c>
      <c r="B318" s="150">
        <v>9</v>
      </c>
      <c r="C318" s="160">
        <v>2331</v>
      </c>
      <c r="D318" s="150">
        <v>1</v>
      </c>
      <c r="E318">
        <v>386</v>
      </c>
      <c r="F318" s="160">
        <v>2768</v>
      </c>
      <c r="G318" s="157"/>
    </row>
    <row r="319" spans="1:7" x14ac:dyDescent="0.25">
      <c r="A319" s="150" t="s">
        <v>350</v>
      </c>
      <c r="B319" s="150">
        <v>2</v>
      </c>
      <c r="C319" s="150">
        <v>711</v>
      </c>
      <c r="D319" s="150">
        <v>1</v>
      </c>
      <c r="E319">
        <v>116</v>
      </c>
      <c r="F319" s="150">
        <v>846</v>
      </c>
      <c r="G319" s="157"/>
    </row>
    <row r="320" spans="1:7" ht="30" x14ac:dyDescent="0.25">
      <c r="A320" s="150" t="s">
        <v>351</v>
      </c>
      <c r="B320" s="150">
        <v>1</v>
      </c>
      <c r="C320" s="150">
        <v>675</v>
      </c>
      <c r="E320" s="150">
        <v>110</v>
      </c>
      <c r="F320" s="150">
        <v>802</v>
      </c>
      <c r="G320" s="157"/>
    </row>
    <row r="321" spans="1:7" x14ac:dyDescent="0.25">
      <c r="A321" s="150" t="s">
        <v>352</v>
      </c>
      <c r="B321" s="150">
        <v>4</v>
      </c>
      <c r="C321" s="160">
        <v>1923</v>
      </c>
      <c r="D321" s="150">
        <v>3</v>
      </c>
      <c r="E321">
        <v>322</v>
      </c>
      <c r="F321" s="160">
        <v>2306</v>
      </c>
      <c r="G321" s="157"/>
    </row>
    <row r="322" spans="1:7" x14ac:dyDescent="0.25">
      <c r="A322" s="150" t="s">
        <v>353</v>
      </c>
      <c r="B322" s="150">
        <v>12</v>
      </c>
      <c r="C322" s="160">
        <v>2347</v>
      </c>
      <c r="E322" s="150">
        <v>468</v>
      </c>
      <c r="F322" s="160">
        <v>2879</v>
      </c>
      <c r="G322" s="157"/>
    </row>
    <row r="323" spans="1:7" x14ac:dyDescent="0.25">
      <c r="A323" s="150" t="s">
        <v>354</v>
      </c>
      <c r="B323" s="150">
        <v>8</v>
      </c>
      <c r="C323" s="160">
        <v>3125</v>
      </c>
      <c r="D323" s="150">
        <v>2</v>
      </c>
      <c r="E323">
        <v>583</v>
      </c>
      <c r="F323" s="160">
        <v>3791</v>
      </c>
      <c r="G323" s="157"/>
    </row>
    <row r="324" spans="1:7" x14ac:dyDescent="0.25">
      <c r="A324" s="150" t="s">
        <v>355</v>
      </c>
      <c r="B324" s="150">
        <v>1</v>
      </c>
      <c r="C324" s="150">
        <v>410</v>
      </c>
      <c r="E324" s="150">
        <v>57</v>
      </c>
      <c r="F324" s="150">
        <v>479</v>
      </c>
      <c r="G324" s="157"/>
    </row>
    <row r="325" spans="1:7" x14ac:dyDescent="0.25">
      <c r="A325" s="150" t="s">
        <v>356</v>
      </c>
      <c r="B325" s="150">
        <v>5</v>
      </c>
      <c r="C325" s="160">
        <v>1234</v>
      </c>
      <c r="E325" s="150">
        <v>289</v>
      </c>
      <c r="F325" s="160">
        <v>1567</v>
      </c>
      <c r="G325" s="157"/>
    </row>
    <row r="326" spans="1:7" ht="30" x14ac:dyDescent="0.25">
      <c r="A326" s="150" t="s">
        <v>357</v>
      </c>
      <c r="B326" s="150">
        <v>6</v>
      </c>
      <c r="C326" s="160">
        <v>3044</v>
      </c>
      <c r="D326" s="150">
        <v>1</v>
      </c>
      <c r="E326">
        <v>704</v>
      </c>
      <c r="F326" s="160">
        <v>3820</v>
      </c>
      <c r="G326" s="157"/>
    </row>
    <row r="327" spans="1:7" ht="30" x14ac:dyDescent="0.25">
      <c r="A327" s="150" t="s">
        <v>358</v>
      </c>
      <c r="B327" s="150">
        <v>8</v>
      </c>
      <c r="C327" s="160">
        <v>3285</v>
      </c>
      <c r="D327" s="150">
        <v>1</v>
      </c>
      <c r="E327">
        <v>846</v>
      </c>
      <c r="F327" s="160">
        <v>4215</v>
      </c>
      <c r="G327" s="157"/>
    </row>
    <row r="328" spans="1:7" x14ac:dyDescent="0.25">
      <c r="A328" s="150" t="s">
        <v>359</v>
      </c>
      <c r="B328" s="150">
        <v>12</v>
      </c>
      <c r="C328" s="160">
        <v>2909</v>
      </c>
      <c r="D328" s="150">
        <v>1</v>
      </c>
      <c r="E328">
        <v>602</v>
      </c>
      <c r="F328" s="160">
        <v>3603</v>
      </c>
      <c r="G328" s="157"/>
    </row>
    <row r="329" spans="1:7" x14ac:dyDescent="0.25">
      <c r="A329" s="150" t="s">
        <v>360</v>
      </c>
      <c r="B329" s="150">
        <v>91</v>
      </c>
      <c r="C329" s="160">
        <v>29501</v>
      </c>
      <c r="D329" s="150">
        <v>5</v>
      </c>
      <c r="E329" s="159">
        <v>4407</v>
      </c>
      <c r="F329" s="160">
        <v>34740</v>
      </c>
      <c r="G329" s="157"/>
    </row>
    <row r="330" spans="1:7" x14ac:dyDescent="0.25">
      <c r="A330" s="150" t="s">
        <v>361</v>
      </c>
      <c r="B330" s="150">
        <v>2</v>
      </c>
      <c r="C330" s="150">
        <v>405</v>
      </c>
      <c r="D330" s="150">
        <v>1</v>
      </c>
      <c r="E330">
        <v>65</v>
      </c>
      <c r="F330" s="150">
        <v>482</v>
      </c>
      <c r="G330" s="157"/>
    </row>
    <row r="331" spans="1:7" ht="30" x14ac:dyDescent="0.25">
      <c r="A331" s="150" t="s">
        <v>362</v>
      </c>
      <c r="B331" s="150">
        <v>83</v>
      </c>
      <c r="C331" s="160">
        <v>30044</v>
      </c>
      <c r="D331" s="150">
        <v>11</v>
      </c>
      <c r="E331" s="159">
        <v>5777</v>
      </c>
      <c r="F331" s="160">
        <v>36694</v>
      </c>
      <c r="G331" s="157"/>
    </row>
    <row r="332" spans="1:7" ht="30" x14ac:dyDescent="0.25">
      <c r="A332" s="150" t="s">
        <v>363</v>
      </c>
      <c r="B332" s="150">
        <v>1</v>
      </c>
      <c r="C332" s="160">
        <v>1477</v>
      </c>
      <c r="E332" s="150">
        <v>248</v>
      </c>
      <c r="F332" s="160">
        <v>1766</v>
      </c>
      <c r="G332" s="157"/>
    </row>
    <row r="333" spans="1:7" ht="30" x14ac:dyDescent="0.25">
      <c r="A333" s="150" t="s">
        <v>364</v>
      </c>
      <c r="B333" s="150">
        <v>12</v>
      </c>
      <c r="C333" s="160">
        <v>5493</v>
      </c>
      <c r="D333" s="150">
        <v>6</v>
      </c>
      <c r="E333" s="159">
        <v>1168</v>
      </c>
      <c r="F333" s="160">
        <v>6845</v>
      </c>
      <c r="G333" s="157"/>
    </row>
    <row r="334" spans="1:7" ht="30" x14ac:dyDescent="0.25">
      <c r="A334" s="150" t="s">
        <v>365</v>
      </c>
      <c r="B334" s="150">
        <v>5</v>
      </c>
      <c r="C334" s="150">
        <v>717</v>
      </c>
      <c r="E334" s="150">
        <v>171</v>
      </c>
      <c r="F334" s="150">
        <v>906</v>
      </c>
      <c r="G334" s="157"/>
    </row>
    <row r="335" spans="1:7" ht="30" x14ac:dyDescent="0.25">
      <c r="A335" s="150" t="s">
        <v>366</v>
      </c>
      <c r="B335" s="150">
        <v>14</v>
      </c>
      <c r="C335" s="160">
        <v>4588</v>
      </c>
      <c r="E335" s="150">
        <v>603</v>
      </c>
      <c r="F335" s="160">
        <v>5321</v>
      </c>
      <c r="G335" s="157"/>
    </row>
    <row r="336" spans="1:7" x14ac:dyDescent="0.25">
      <c r="A336" s="150" t="s">
        <v>367</v>
      </c>
      <c r="B336" s="150">
        <v>4</v>
      </c>
      <c r="C336" s="160">
        <v>2166</v>
      </c>
      <c r="D336" s="150">
        <v>1</v>
      </c>
      <c r="E336">
        <v>380</v>
      </c>
      <c r="F336" s="160">
        <v>2617</v>
      </c>
      <c r="G336" s="157"/>
    </row>
    <row r="337" spans="1:7" x14ac:dyDescent="0.25">
      <c r="A337" s="150" t="s">
        <v>368</v>
      </c>
      <c r="B337" s="150">
        <v>4</v>
      </c>
      <c r="C337" s="150">
        <v>884</v>
      </c>
      <c r="D337" s="150">
        <v>1</v>
      </c>
      <c r="E337">
        <v>119</v>
      </c>
      <c r="F337" s="160">
        <v>1025</v>
      </c>
      <c r="G337" s="157"/>
    </row>
    <row r="338" spans="1:7" x14ac:dyDescent="0.25">
      <c r="A338" s="150" t="s">
        <v>369</v>
      </c>
      <c r="B338" s="150">
        <v>10</v>
      </c>
      <c r="C338" s="160">
        <v>3070</v>
      </c>
      <c r="D338" s="150">
        <v>2</v>
      </c>
      <c r="E338">
        <v>592</v>
      </c>
      <c r="F338" s="160">
        <v>3771</v>
      </c>
      <c r="G338" s="157"/>
    </row>
    <row r="339" spans="1:7" x14ac:dyDescent="0.25">
      <c r="A339" s="150" t="s">
        <v>370</v>
      </c>
      <c r="B339" s="150">
        <v>2</v>
      </c>
      <c r="C339" s="160">
        <v>1388</v>
      </c>
      <c r="D339" s="150">
        <v>1</v>
      </c>
      <c r="E339" s="159">
        <v>254</v>
      </c>
      <c r="F339" s="160">
        <v>1671</v>
      </c>
      <c r="G339" s="157"/>
    </row>
    <row r="340" spans="1:7" x14ac:dyDescent="0.25">
      <c r="A340" s="150" t="s">
        <v>371</v>
      </c>
      <c r="B340" s="150">
        <v>6</v>
      </c>
      <c r="C340" s="160">
        <v>1458</v>
      </c>
      <c r="D340" s="150">
        <v>1</v>
      </c>
      <c r="E340">
        <v>366</v>
      </c>
      <c r="F340" s="160">
        <v>1867</v>
      </c>
      <c r="G340" s="157"/>
    </row>
    <row r="341" spans="1:7" x14ac:dyDescent="0.25">
      <c r="A341" s="150" t="s">
        <v>372</v>
      </c>
      <c r="B341" s="150">
        <v>14</v>
      </c>
      <c r="C341" s="160">
        <v>2959</v>
      </c>
      <c r="D341" s="150">
        <v>2</v>
      </c>
      <c r="E341">
        <v>426</v>
      </c>
      <c r="F341" s="160">
        <v>3465</v>
      </c>
      <c r="G341" s="157"/>
    </row>
    <row r="342" spans="1:7" ht="45" x14ac:dyDescent="0.25">
      <c r="A342" s="150" t="s">
        <v>373</v>
      </c>
      <c r="B342" s="150">
        <v>9</v>
      </c>
      <c r="C342" s="160">
        <v>1697</v>
      </c>
      <c r="E342" s="150">
        <v>292</v>
      </c>
      <c r="F342" s="160">
        <v>2052</v>
      </c>
    </row>
    <row r="343" spans="1:7" x14ac:dyDescent="0.25">
      <c r="A343" s="150" t="s">
        <v>374</v>
      </c>
      <c r="B343" s="150">
        <v>8</v>
      </c>
      <c r="C343" s="160">
        <v>2247</v>
      </c>
      <c r="D343" s="150">
        <v>1</v>
      </c>
      <c r="E343" s="159">
        <v>300</v>
      </c>
      <c r="F343" s="160">
        <v>2627</v>
      </c>
      <c r="G343" s="157"/>
    </row>
    <row r="344" spans="1:7" x14ac:dyDescent="0.25">
      <c r="A344" s="150"/>
      <c r="G344" s="157"/>
    </row>
    <row r="345" spans="1:7" x14ac:dyDescent="0.25">
      <c r="A345" s="150" t="s">
        <v>35</v>
      </c>
      <c r="B345" s="151">
        <f>SUM(B314:B344)</f>
        <v>382</v>
      </c>
      <c r="C345" s="151">
        <f t="shared" ref="C345:F345" si="7">SUM(C314:C344)</f>
        <v>130607</v>
      </c>
      <c r="D345" s="151">
        <f t="shared" si="7"/>
        <v>59</v>
      </c>
      <c r="E345" s="151">
        <f t="shared" si="7"/>
        <v>23851</v>
      </c>
      <c r="F345" s="151">
        <f t="shared" si="7"/>
        <v>158185</v>
      </c>
      <c r="G345" s="157"/>
    </row>
    <row r="346" spans="1:7" x14ac:dyDescent="0.25">
      <c r="A346" s="150"/>
      <c r="B346" s="150"/>
      <c r="C346" s="150"/>
      <c r="D346" s="161"/>
      <c r="E346" s="161"/>
      <c r="F346" s="161"/>
      <c r="G346" s="158"/>
    </row>
    <row r="348" spans="1:7" ht="45" x14ac:dyDescent="0.25">
      <c r="A348" s="150" t="s">
        <v>513</v>
      </c>
      <c r="B348" s="150" t="s">
        <v>514</v>
      </c>
      <c r="C348" s="150">
        <v>11</v>
      </c>
      <c r="D348" s="168"/>
      <c r="E348" s="168"/>
      <c r="F348" s="169"/>
    </row>
    <row r="349" spans="1:7" x14ac:dyDescent="0.25">
      <c r="A349" s="150"/>
      <c r="B349" s="150"/>
      <c r="C349" s="150"/>
      <c r="D349" s="150"/>
      <c r="F349" s="157"/>
    </row>
    <row r="350" spans="1:7" ht="30" x14ac:dyDescent="0.25">
      <c r="A350" s="150"/>
      <c r="B350" s="150"/>
      <c r="C350" s="150" t="s">
        <v>512</v>
      </c>
      <c r="D350" s="150"/>
      <c r="F350" s="157"/>
    </row>
    <row r="351" spans="1:7" x14ac:dyDescent="0.25">
      <c r="A351" s="150" t="s">
        <v>137</v>
      </c>
      <c r="B351" s="150" t="s">
        <v>491</v>
      </c>
      <c r="C351" s="150" t="s">
        <v>492</v>
      </c>
      <c r="D351" s="150" t="s">
        <v>493</v>
      </c>
      <c r="E351" t="s">
        <v>494</v>
      </c>
      <c r="F351" s="150" t="s">
        <v>495</v>
      </c>
      <c r="G351" s="150" t="s">
        <v>35</v>
      </c>
    </row>
    <row r="352" spans="1:7" x14ac:dyDescent="0.25">
      <c r="A352" s="150"/>
      <c r="B352" s="150"/>
      <c r="C352" s="150"/>
      <c r="G352" s="157"/>
    </row>
    <row r="353" spans="1:7" ht="30" x14ac:dyDescent="0.25">
      <c r="A353" s="150" t="s">
        <v>375</v>
      </c>
      <c r="B353" s="150">
        <v>3</v>
      </c>
      <c r="C353" s="160">
        <v>1159</v>
      </c>
      <c r="D353" s="150">
        <v>1</v>
      </c>
      <c r="E353">
        <v>200</v>
      </c>
      <c r="F353" s="150">
        <v>33</v>
      </c>
      <c r="G353" s="160">
        <v>1396</v>
      </c>
    </row>
    <row r="354" spans="1:7" x14ac:dyDescent="0.25">
      <c r="A354" s="150" t="s">
        <v>376</v>
      </c>
      <c r="B354" s="150">
        <v>3</v>
      </c>
      <c r="C354" s="150">
        <v>644</v>
      </c>
      <c r="D354" s="150">
        <v>1</v>
      </c>
      <c r="E354">
        <v>143</v>
      </c>
      <c r="F354" s="150">
        <v>16</v>
      </c>
      <c r="G354" s="150">
        <v>807</v>
      </c>
    </row>
    <row r="355" spans="1:7" x14ac:dyDescent="0.25">
      <c r="A355" s="150" t="s">
        <v>377</v>
      </c>
      <c r="B355" s="150">
        <v>3</v>
      </c>
      <c r="C355" s="150">
        <v>473</v>
      </c>
      <c r="D355" s="150">
        <v>2</v>
      </c>
      <c r="E355">
        <v>89</v>
      </c>
      <c r="F355" s="150">
        <v>15</v>
      </c>
      <c r="G355" s="150">
        <v>582</v>
      </c>
    </row>
    <row r="356" spans="1:7" x14ac:dyDescent="0.25">
      <c r="A356" s="150" t="s">
        <v>378</v>
      </c>
      <c r="B356" s="150">
        <v>26</v>
      </c>
      <c r="C356" s="160">
        <v>7403</v>
      </c>
      <c r="D356" s="150">
        <v>4</v>
      </c>
      <c r="E356" s="159">
        <v>1966</v>
      </c>
      <c r="F356" s="150">
        <v>194</v>
      </c>
      <c r="G356" s="160">
        <v>9593</v>
      </c>
    </row>
    <row r="357" spans="1:7" x14ac:dyDescent="0.25">
      <c r="A357" s="150" t="s">
        <v>379</v>
      </c>
      <c r="B357" s="150"/>
      <c r="C357" s="150">
        <v>153</v>
      </c>
      <c r="E357" s="150">
        <v>27</v>
      </c>
      <c r="F357" s="150">
        <v>3</v>
      </c>
      <c r="G357" s="150">
        <v>183</v>
      </c>
    </row>
    <row r="358" spans="1:7" ht="30" x14ac:dyDescent="0.25">
      <c r="A358" s="150" t="s">
        <v>380</v>
      </c>
      <c r="B358" s="150"/>
      <c r="C358" s="150">
        <v>158</v>
      </c>
      <c r="E358" s="150">
        <v>17</v>
      </c>
      <c r="F358" s="150">
        <v>3</v>
      </c>
      <c r="G358" s="150">
        <v>178</v>
      </c>
    </row>
    <row r="359" spans="1:7" x14ac:dyDescent="0.25">
      <c r="A359" s="150" t="s">
        <v>381</v>
      </c>
      <c r="B359" s="150"/>
      <c r="C359" s="150">
        <v>44</v>
      </c>
      <c r="E359" s="150">
        <v>5</v>
      </c>
      <c r="F359" s="150">
        <v>1</v>
      </c>
      <c r="G359" s="150">
        <v>50</v>
      </c>
    </row>
    <row r="360" spans="1:7" ht="30" x14ac:dyDescent="0.25">
      <c r="A360" s="150" t="s">
        <v>382</v>
      </c>
      <c r="B360" s="150">
        <v>7</v>
      </c>
      <c r="C360" s="160">
        <v>3013</v>
      </c>
      <c r="D360" s="150">
        <v>3</v>
      </c>
      <c r="E360">
        <v>662</v>
      </c>
      <c r="F360" s="150">
        <v>54</v>
      </c>
      <c r="G360" s="160">
        <v>3739</v>
      </c>
    </row>
    <row r="361" spans="1:7" x14ac:dyDescent="0.25">
      <c r="A361" s="150" t="s">
        <v>508</v>
      </c>
      <c r="B361" s="150">
        <v>2</v>
      </c>
      <c r="C361" s="150">
        <v>469</v>
      </c>
      <c r="E361" s="150">
        <v>83</v>
      </c>
      <c r="F361" s="150">
        <v>13</v>
      </c>
      <c r="G361" s="150">
        <v>567</v>
      </c>
    </row>
    <row r="362" spans="1:7" x14ac:dyDescent="0.25">
      <c r="A362" s="150" t="s">
        <v>383</v>
      </c>
      <c r="B362" s="150"/>
      <c r="C362" s="150">
        <v>41</v>
      </c>
      <c r="E362" s="150">
        <v>7</v>
      </c>
      <c r="F362" s="150">
        <v>1</v>
      </c>
      <c r="G362" s="150">
        <v>49</v>
      </c>
    </row>
    <row r="363" spans="1:7" x14ac:dyDescent="0.25">
      <c r="A363" s="150" t="s">
        <v>35</v>
      </c>
      <c r="B363" s="151">
        <f>SUM(B353:B362)</f>
        <v>44</v>
      </c>
      <c r="C363" s="151">
        <f t="shared" ref="C363:G363" si="8">SUM(C353:C362)</f>
        <v>13557</v>
      </c>
      <c r="D363" s="151">
        <f t="shared" si="8"/>
        <v>11</v>
      </c>
      <c r="E363" s="151">
        <f t="shared" si="8"/>
        <v>3199</v>
      </c>
      <c r="F363" s="151">
        <f t="shared" si="8"/>
        <v>333</v>
      </c>
      <c r="G363" s="151">
        <f t="shared" si="8"/>
        <v>17144</v>
      </c>
    </row>
    <row r="364" spans="1:7" x14ac:dyDescent="0.25">
      <c r="A364" s="150"/>
      <c r="B364" s="150"/>
      <c r="C364" s="150"/>
      <c r="D364" s="161"/>
      <c r="E364" s="161"/>
      <c r="F364" s="158"/>
    </row>
    <row r="368" spans="1:7" ht="45" x14ac:dyDescent="0.25">
      <c r="A368" s="150" t="s">
        <v>513</v>
      </c>
      <c r="B368" s="150" t="s">
        <v>514</v>
      </c>
      <c r="C368" s="150">
        <v>12</v>
      </c>
      <c r="D368" s="168"/>
      <c r="E368" s="168"/>
      <c r="F368" s="168"/>
      <c r="G368" s="169"/>
    </row>
    <row r="369" spans="1:9" x14ac:dyDescent="0.25">
      <c r="A369" s="150"/>
      <c r="B369" s="150"/>
      <c r="C369" s="150"/>
      <c r="D369" s="150"/>
      <c r="G369" s="157"/>
    </row>
    <row r="370" spans="1:9" x14ac:dyDescent="0.25">
      <c r="A370" s="150"/>
      <c r="B370" s="150"/>
      <c r="C370" s="150"/>
      <c r="D370" s="168"/>
      <c r="E370" s="168"/>
      <c r="F370" s="169"/>
      <c r="G370" s="157"/>
    </row>
    <row r="371" spans="1:9" ht="30" x14ac:dyDescent="0.25">
      <c r="A371" s="170"/>
      <c r="B371" s="170" t="s">
        <v>512</v>
      </c>
      <c r="C371" s="170"/>
      <c r="F371" s="157"/>
      <c r="G371" s="170"/>
    </row>
    <row r="372" spans="1:9" x14ac:dyDescent="0.25">
      <c r="A372" s="173" t="s">
        <v>137</v>
      </c>
      <c r="B372" s="173" t="s">
        <v>491</v>
      </c>
      <c r="C372" s="173" t="s">
        <v>492</v>
      </c>
      <c r="D372" s="173" t="s">
        <v>493</v>
      </c>
      <c r="E372" s="166" t="s">
        <v>494</v>
      </c>
      <c r="F372" s="173" t="s">
        <v>495</v>
      </c>
      <c r="G372" s="173" t="s">
        <v>35</v>
      </c>
    </row>
    <row r="373" spans="1:9" x14ac:dyDescent="0.25">
      <c r="A373" s="173"/>
      <c r="B373" s="173"/>
      <c r="C373" s="173"/>
      <c r="D373" s="166"/>
      <c r="E373" s="166"/>
      <c r="F373" s="166"/>
      <c r="G373" s="166"/>
      <c r="H373" s="172"/>
    </row>
    <row r="374" spans="1:9" ht="30" x14ac:dyDescent="0.25">
      <c r="A374" s="173" t="s">
        <v>384</v>
      </c>
      <c r="B374" s="173">
        <v>1</v>
      </c>
      <c r="C374" s="173">
        <v>101</v>
      </c>
      <c r="D374" s="166"/>
      <c r="E374" s="173">
        <v>33</v>
      </c>
      <c r="F374" s="173">
        <v>4</v>
      </c>
      <c r="G374" s="173">
        <v>139</v>
      </c>
    </row>
    <row r="375" spans="1:9" ht="30" x14ac:dyDescent="0.25">
      <c r="A375" s="173" t="s">
        <v>385</v>
      </c>
      <c r="C375" s="173">
        <v>4</v>
      </c>
      <c r="D375" s="166"/>
      <c r="E375" s="166"/>
      <c r="F375" s="166"/>
      <c r="G375" s="173">
        <v>4</v>
      </c>
    </row>
    <row r="376" spans="1:9" ht="30" x14ac:dyDescent="0.25">
      <c r="A376" s="173" t="s">
        <v>386</v>
      </c>
      <c r="C376" s="173">
        <v>19</v>
      </c>
      <c r="E376" s="173">
        <v>4</v>
      </c>
      <c r="F376" s="173">
        <v>2</v>
      </c>
      <c r="G376" s="173">
        <v>25</v>
      </c>
      <c r="H376" s="185"/>
    </row>
    <row r="377" spans="1:9" x14ac:dyDescent="0.25">
      <c r="A377" s="173" t="s">
        <v>387</v>
      </c>
      <c r="B377" s="173">
        <v>7</v>
      </c>
      <c r="C377" s="186">
        <v>4322</v>
      </c>
      <c r="D377" s="173">
        <v>7</v>
      </c>
      <c r="E377" s="166">
        <v>872</v>
      </c>
      <c r="F377" s="173">
        <v>107</v>
      </c>
      <c r="G377" s="189">
        <v>5315</v>
      </c>
      <c r="H377" s="185"/>
    </row>
    <row r="378" spans="1:9" x14ac:dyDescent="0.25">
      <c r="A378" s="173" t="s">
        <v>388</v>
      </c>
      <c r="B378" s="173">
        <v>3</v>
      </c>
      <c r="C378" s="173">
        <v>918</v>
      </c>
      <c r="E378" s="173">
        <v>182</v>
      </c>
      <c r="F378" s="173">
        <v>17</v>
      </c>
      <c r="G378" s="189">
        <v>1120</v>
      </c>
    </row>
    <row r="379" spans="1:9" ht="30" x14ac:dyDescent="0.25">
      <c r="A379" s="173" t="s">
        <v>389</v>
      </c>
      <c r="B379" s="173"/>
      <c r="C379" s="173">
        <v>65</v>
      </c>
      <c r="E379" s="173">
        <v>13</v>
      </c>
      <c r="F379" s="173">
        <v>2</v>
      </c>
      <c r="G379" s="190">
        <v>80</v>
      </c>
      <c r="I379" s="185"/>
    </row>
    <row r="380" spans="1:9" ht="30" x14ac:dyDescent="0.25">
      <c r="A380" s="173" t="s">
        <v>390</v>
      </c>
      <c r="B380" s="173">
        <v>71</v>
      </c>
      <c r="C380" s="186">
        <v>19979</v>
      </c>
      <c r="D380" s="173">
        <v>32</v>
      </c>
      <c r="E380" s="187">
        <v>4673</v>
      </c>
      <c r="F380" s="173">
        <v>454</v>
      </c>
      <c r="G380" s="189">
        <v>25209</v>
      </c>
    </row>
    <row r="381" spans="1:9" x14ac:dyDescent="0.25">
      <c r="A381" s="173" t="s">
        <v>391</v>
      </c>
      <c r="B381" s="173"/>
      <c r="C381" s="173">
        <v>15</v>
      </c>
      <c r="F381" s="173">
        <v>1</v>
      </c>
      <c r="G381" s="190">
        <v>16</v>
      </c>
    </row>
    <row r="382" spans="1:9" ht="30" x14ac:dyDescent="0.25">
      <c r="A382" s="173" t="s">
        <v>392</v>
      </c>
      <c r="B382" s="173"/>
      <c r="C382" s="173">
        <v>28</v>
      </c>
      <c r="E382" s="173">
        <v>7</v>
      </c>
      <c r="G382" s="190">
        <v>35</v>
      </c>
    </row>
    <row r="383" spans="1:9" x14ac:dyDescent="0.25">
      <c r="A383" s="173" t="s">
        <v>393</v>
      </c>
      <c r="B383" s="173"/>
      <c r="C383" s="173">
        <v>3</v>
      </c>
      <c r="D383" s="173"/>
      <c r="E383" s="173"/>
      <c r="F383" s="173">
        <v>1</v>
      </c>
      <c r="G383" s="190">
        <v>4</v>
      </c>
    </row>
    <row r="384" spans="1:9" ht="30" x14ac:dyDescent="0.25">
      <c r="A384" s="173" t="s">
        <v>394</v>
      </c>
      <c r="B384" s="173"/>
      <c r="C384" s="173">
        <v>4</v>
      </c>
      <c r="D384" s="173"/>
      <c r="E384" s="173">
        <v>2</v>
      </c>
      <c r="G384" s="190">
        <v>6</v>
      </c>
    </row>
    <row r="385" spans="1:8" x14ac:dyDescent="0.25">
      <c r="A385" s="173"/>
      <c r="B385" s="166"/>
      <c r="C385" s="166"/>
      <c r="D385" s="166"/>
      <c r="E385" s="166"/>
      <c r="F385" s="166"/>
      <c r="G385" s="167"/>
      <c r="H385" s="185"/>
    </row>
    <row r="386" spans="1:8" x14ac:dyDescent="0.25">
      <c r="A386" s="173" t="s">
        <v>35</v>
      </c>
      <c r="B386" s="188">
        <f>SUM(B374:B385)</f>
        <v>82</v>
      </c>
      <c r="C386" s="188">
        <f t="shared" ref="C386:G386" si="9">SUM(C374:C385)</f>
        <v>25458</v>
      </c>
      <c r="D386" s="188">
        <f t="shared" si="9"/>
        <v>39</v>
      </c>
      <c r="E386" s="188">
        <f t="shared" si="9"/>
        <v>5786</v>
      </c>
      <c r="F386" s="188">
        <f t="shared" si="9"/>
        <v>588</v>
      </c>
      <c r="G386" s="191">
        <f t="shared" si="9"/>
        <v>31953</v>
      </c>
    </row>
    <row r="387" spans="1:8" x14ac:dyDescent="0.25">
      <c r="A387" s="171"/>
      <c r="B387" s="171"/>
      <c r="C387" s="171"/>
      <c r="D387" s="161"/>
      <c r="E387" s="161"/>
      <c r="F387" s="158"/>
    </row>
    <row r="390" spans="1:8" ht="45" x14ac:dyDescent="0.25">
      <c r="A390" s="150" t="s">
        <v>395</v>
      </c>
      <c r="B390" s="168"/>
      <c r="C390" s="168"/>
      <c r="D390" s="168"/>
      <c r="E390" s="168"/>
      <c r="F390" s="169"/>
    </row>
    <row r="391" spans="1:8" x14ac:dyDescent="0.25">
      <c r="A391" s="150"/>
      <c r="B391" s="150"/>
      <c r="C391" s="150"/>
      <c r="F391" s="157"/>
    </row>
    <row r="392" spans="1:8" ht="30" x14ac:dyDescent="0.25">
      <c r="A392" s="150"/>
      <c r="B392" s="150" t="s">
        <v>512</v>
      </c>
      <c r="C392" s="150"/>
      <c r="F392" s="157"/>
    </row>
    <row r="393" spans="1:8" x14ac:dyDescent="0.25">
      <c r="A393" s="150" t="s">
        <v>137</v>
      </c>
      <c r="B393" s="150" t="s">
        <v>491</v>
      </c>
      <c r="C393" s="150" t="s">
        <v>492</v>
      </c>
      <c r="D393" s="150" t="s">
        <v>493</v>
      </c>
      <c r="E393" t="s">
        <v>494</v>
      </c>
      <c r="F393" s="150" t="s">
        <v>495</v>
      </c>
      <c r="G393" s="150" t="s">
        <v>35</v>
      </c>
    </row>
    <row r="394" spans="1:8" x14ac:dyDescent="0.25">
      <c r="A394" s="150"/>
      <c r="B394" s="150"/>
      <c r="C394" s="150"/>
      <c r="G394" s="157"/>
    </row>
    <row r="395" spans="1:8" x14ac:dyDescent="0.25">
      <c r="A395" s="150" t="s">
        <v>396</v>
      </c>
      <c r="B395" s="150">
        <v>1</v>
      </c>
      <c r="C395" s="150">
        <v>924</v>
      </c>
      <c r="D395" s="150">
        <v>1</v>
      </c>
      <c r="E395">
        <v>119</v>
      </c>
      <c r="F395" s="150">
        <v>21</v>
      </c>
      <c r="G395" s="160">
        <v>1066</v>
      </c>
    </row>
    <row r="396" spans="1:8" x14ac:dyDescent="0.25">
      <c r="A396" s="150" t="s">
        <v>397</v>
      </c>
      <c r="B396" s="150">
        <v>17</v>
      </c>
      <c r="C396" s="160">
        <v>12230</v>
      </c>
      <c r="D396" s="150">
        <v>9</v>
      </c>
      <c r="E396" s="159">
        <v>1993</v>
      </c>
      <c r="F396" s="150">
        <v>282</v>
      </c>
      <c r="G396" s="160">
        <v>14531</v>
      </c>
    </row>
    <row r="397" spans="1:8" ht="30" x14ac:dyDescent="0.25">
      <c r="A397" s="150" t="s">
        <v>398</v>
      </c>
      <c r="B397" s="150">
        <v>6</v>
      </c>
      <c r="C397" s="160">
        <v>2917</v>
      </c>
      <c r="D397" s="150">
        <v>1</v>
      </c>
      <c r="E397">
        <v>571</v>
      </c>
      <c r="F397" s="150">
        <v>86</v>
      </c>
      <c r="G397" s="160">
        <v>3581</v>
      </c>
    </row>
    <row r="398" spans="1:8" x14ac:dyDescent="0.25">
      <c r="A398" s="150" t="s">
        <v>399</v>
      </c>
      <c r="B398" s="150">
        <v>38</v>
      </c>
      <c r="C398" s="160">
        <v>13179</v>
      </c>
      <c r="D398" s="150">
        <v>5</v>
      </c>
      <c r="E398" s="159">
        <v>2692</v>
      </c>
      <c r="F398" s="150">
        <v>261</v>
      </c>
      <c r="G398" s="160">
        <v>16175</v>
      </c>
    </row>
    <row r="399" spans="1:8" ht="30" x14ac:dyDescent="0.25">
      <c r="A399" s="150" t="s">
        <v>400</v>
      </c>
      <c r="B399" s="150">
        <v>62</v>
      </c>
      <c r="C399" s="160">
        <v>25815</v>
      </c>
      <c r="D399" s="150">
        <v>11</v>
      </c>
      <c r="E399" s="159">
        <v>3671</v>
      </c>
      <c r="F399" s="150">
        <v>485</v>
      </c>
      <c r="G399" s="160">
        <v>30044</v>
      </c>
    </row>
    <row r="400" spans="1:8" x14ac:dyDescent="0.25">
      <c r="A400" s="150" t="s">
        <v>401</v>
      </c>
      <c r="B400" s="150">
        <v>29</v>
      </c>
      <c r="C400" s="160">
        <v>12648</v>
      </c>
      <c r="D400" s="150">
        <v>7</v>
      </c>
      <c r="E400" s="159">
        <v>2490</v>
      </c>
      <c r="F400" s="150">
        <v>406</v>
      </c>
      <c r="G400" s="160">
        <v>15580</v>
      </c>
    </row>
    <row r="401" spans="1:7" x14ac:dyDescent="0.25">
      <c r="A401" s="150" t="s">
        <v>402</v>
      </c>
      <c r="B401" s="150">
        <v>66</v>
      </c>
      <c r="C401" s="160">
        <v>25984</v>
      </c>
      <c r="D401" s="150">
        <v>9</v>
      </c>
      <c r="E401" s="159">
        <v>4636</v>
      </c>
      <c r="F401" s="150">
        <v>488</v>
      </c>
      <c r="G401" s="160">
        <v>31183</v>
      </c>
    </row>
    <row r="402" spans="1:7" x14ac:dyDescent="0.25">
      <c r="A402" s="150" t="s">
        <v>403</v>
      </c>
      <c r="B402" s="150">
        <v>4</v>
      </c>
      <c r="C402" s="160">
        <v>5170</v>
      </c>
      <c r="D402" s="150">
        <v>1</v>
      </c>
      <c r="E402">
        <v>887</v>
      </c>
      <c r="F402" s="150">
        <v>158</v>
      </c>
      <c r="G402" s="160">
        <v>6220</v>
      </c>
    </row>
    <row r="403" spans="1:7" x14ac:dyDescent="0.25">
      <c r="A403" s="150" t="s">
        <v>404</v>
      </c>
      <c r="B403" s="150">
        <v>60</v>
      </c>
      <c r="C403" s="160">
        <v>28734</v>
      </c>
      <c r="D403" s="150">
        <v>22</v>
      </c>
      <c r="E403" s="159">
        <v>4750</v>
      </c>
      <c r="F403" s="150">
        <v>584</v>
      </c>
      <c r="G403" s="160">
        <v>34150</v>
      </c>
    </row>
    <row r="404" spans="1:7" x14ac:dyDescent="0.25">
      <c r="A404" s="150" t="s">
        <v>405</v>
      </c>
      <c r="B404" s="150">
        <v>16</v>
      </c>
      <c r="C404" s="160">
        <v>5174</v>
      </c>
      <c r="D404" s="150">
        <v>2</v>
      </c>
      <c r="E404">
        <v>822</v>
      </c>
      <c r="F404" s="150">
        <v>144</v>
      </c>
      <c r="G404" s="160">
        <v>6158</v>
      </c>
    </row>
    <row r="405" spans="1:7" ht="30" x14ac:dyDescent="0.25">
      <c r="A405" s="150" t="s">
        <v>406</v>
      </c>
      <c r="B405" s="150">
        <v>58</v>
      </c>
      <c r="C405" s="160">
        <v>24111</v>
      </c>
      <c r="D405" s="150">
        <v>18</v>
      </c>
      <c r="E405" s="159">
        <v>4393</v>
      </c>
      <c r="F405" s="150">
        <v>550</v>
      </c>
      <c r="G405" s="160">
        <v>29130</v>
      </c>
    </row>
    <row r="406" spans="1:7" ht="30" x14ac:dyDescent="0.25">
      <c r="A406" s="150" t="s">
        <v>407</v>
      </c>
      <c r="B406" s="150">
        <v>39</v>
      </c>
      <c r="C406" s="160">
        <v>12333</v>
      </c>
      <c r="D406" s="150">
        <v>7</v>
      </c>
      <c r="E406" s="159">
        <v>2733</v>
      </c>
      <c r="F406" s="150">
        <v>301</v>
      </c>
      <c r="G406" s="160">
        <v>15413</v>
      </c>
    </row>
    <row r="407" spans="1:7" ht="30" x14ac:dyDescent="0.25">
      <c r="A407" s="150" t="s">
        <v>408</v>
      </c>
      <c r="B407" s="150">
        <v>33</v>
      </c>
      <c r="C407" s="160">
        <v>14458</v>
      </c>
      <c r="D407" s="150">
        <v>11</v>
      </c>
      <c r="E407" s="159">
        <v>2637</v>
      </c>
      <c r="F407" s="150">
        <v>377</v>
      </c>
      <c r="G407" s="160">
        <v>17516</v>
      </c>
    </row>
    <row r="408" spans="1:7" ht="30" x14ac:dyDescent="0.25">
      <c r="A408" s="150" t="s">
        <v>409</v>
      </c>
      <c r="B408" s="150">
        <v>7</v>
      </c>
      <c r="C408" s="160">
        <v>5267</v>
      </c>
      <c r="D408" s="150">
        <v>2</v>
      </c>
      <c r="E408">
        <v>771</v>
      </c>
      <c r="F408" s="150">
        <v>127</v>
      </c>
      <c r="G408" s="160">
        <v>6174</v>
      </c>
    </row>
    <row r="409" spans="1:7" ht="30" x14ac:dyDescent="0.25">
      <c r="A409" s="150" t="s">
        <v>410</v>
      </c>
      <c r="B409" s="150">
        <v>40</v>
      </c>
      <c r="C409" s="160">
        <v>16217</v>
      </c>
      <c r="D409" s="150">
        <v>5</v>
      </c>
      <c r="E409" s="159">
        <v>2774</v>
      </c>
      <c r="F409" s="150">
        <v>315</v>
      </c>
      <c r="G409" s="160">
        <v>19351</v>
      </c>
    </row>
    <row r="410" spans="1:7" x14ac:dyDescent="0.25">
      <c r="A410" s="150" t="s">
        <v>411</v>
      </c>
      <c r="B410" s="150">
        <v>143</v>
      </c>
      <c r="C410" s="160">
        <v>60425</v>
      </c>
      <c r="D410" s="150">
        <v>33</v>
      </c>
      <c r="E410" s="159">
        <v>13569</v>
      </c>
      <c r="F410" s="160">
        <v>1419</v>
      </c>
      <c r="G410" s="160">
        <v>75589</v>
      </c>
    </row>
    <row r="411" spans="1:7" x14ac:dyDescent="0.25">
      <c r="A411" s="150" t="s">
        <v>412</v>
      </c>
      <c r="B411" s="150">
        <v>56</v>
      </c>
      <c r="C411" s="160">
        <v>22154</v>
      </c>
      <c r="D411" s="150">
        <v>8</v>
      </c>
      <c r="E411" s="159">
        <v>3556</v>
      </c>
      <c r="F411" s="150">
        <v>449</v>
      </c>
      <c r="G411" s="160">
        <v>26223</v>
      </c>
    </row>
    <row r="412" spans="1:7" ht="30" x14ac:dyDescent="0.25">
      <c r="A412" s="150" t="s">
        <v>413</v>
      </c>
      <c r="B412" s="150">
        <v>74</v>
      </c>
      <c r="C412" s="160">
        <v>28470</v>
      </c>
      <c r="D412" s="150">
        <v>6</v>
      </c>
      <c r="E412" s="159">
        <v>3852</v>
      </c>
      <c r="F412" s="150">
        <v>642</v>
      </c>
      <c r="G412" s="160">
        <v>33044</v>
      </c>
    </row>
    <row r="413" spans="1:7" x14ac:dyDescent="0.25">
      <c r="A413" s="150" t="s">
        <v>414</v>
      </c>
      <c r="B413" s="150">
        <v>18</v>
      </c>
      <c r="C413" s="160">
        <v>10581</v>
      </c>
      <c r="D413" s="150">
        <v>3</v>
      </c>
      <c r="E413" s="159">
        <v>2744</v>
      </c>
      <c r="F413" s="150">
        <v>327</v>
      </c>
      <c r="G413" s="160">
        <v>13673</v>
      </c>
    </row>
    <row r="414" spans="1:7" x14ac:dyDescent="0.25">
      <c r="A414" s="150" t="s">
        <v>415</v>
      </c>
      <c r="B414" s="150">
        <v>22</v>
      </c>
      <c r="C414" s="160">
        <v>8601</v>
      </c>
      <c r="D414" s="150">
        <v>4</v>
      </c>
      <c r="E414" s="159">
        <v>1394</v>
      </c>
      <c r="F414" s="150">
        <v>378</v>
      </c>
      <c r="G414" s="160">
        <v>10399</v>
      </c>
    </row>
    <row r="415" spans="1:7" ht="30" x14ac:dyDescent="0.25">
      <c r="A415" s="150" t="s">
        <v>416</v>
      </c>
      <c r="B415" s="150">
        <v>47</v>
      </c>
      <c r="C415" s="160">
        <v>25934</v>
      </c>
      <c r="D415" s="150">
        <v>19</v>
      </c>
      <c r="E415" s="159">
        <v>11809</v>
      </c>
      <c r="F415" s="150">
        <v>995</v>
      </c>
      <c r="G415" s="160">
        <v>38804</v>
      </c>
    </row>
    <row r="416" spans="1:7" ht="45" x14ac:dyDescent="0.25">
      <c r="A416" s="150" t="s">
        <v>417</v>
      </c>
      <c r="B416" s="150">
        <v>13</v>
      </c>
      <c r="C416" s="160">
        <v>5898</v>
      </c>
      <c r="D416" s="150">
        <v>3</v>
      </c>
      <c r="E416" s="159">
        <v>1373</v>
      </c>
      <c r="F416" s="150">
        <v>225</v>
      </c>
      <c r="G416" s="160">
        <v>7512</v>
      </c>
    </row>
    <row r="417" spans="1:7" x14ac:dyDescent="0.25">
      <c r="A417" s="150" t="s">
        <v>418</v>
      </c>
      <c r="B417" s="150">
        <v>66</v>
      </c>
      <c r="C417" s="160">
        <v>19232</v>
      </c>
      <c r="D417" s="150">
        <v>7</v>
      </c>
      <c r="E417" s="159">
        <v>2796</v>
      </c>
      <c r="F417" s="150">
        <v>398</v>
      </c>
      <c r="G417" s="160">
        <v>22499</v>
      </c>
    </row>
    <row r="418" spans="1:7" x14ac:dyDescent="0.25">
      <c r="A418" s="150" t="s">
        <v>419</v>
      </c>
      <c r="B418" s="150">
        <v>56</v>
      </c>
      <c r="C418" s="160">
        <v>19634</v>
      </c>
      <c r="D418" s="150">
        <v>8</v>
      </c>
      <c r="E418" s="159">
        <v>3323</v>
      </c>
      <c r="F418" s="150">
        <v>387</v>
      </c>
      <c r="G418" s="160">
        <v>23408</v>
      </c>
    </row>
    <row r="419" spans="1:7" x14ac:dyDescent="0.25">
      <c r="A419" s="150" t="s">
        <v>420</v>
      </c>
      <c r="B419" s="150">
        <v>39</v>
      </c>
      <c r="C419" s="160">
        <v>20899</v>
      </c>
      <c r="D419" s="150">
        <v>11</v>
      </c>
      <c r="E419" s="159">
        <v>3948</v>
      </c>
      <c r="F419" s="150">
        <v>426</v>
      </c>
      <c r="G419" s="160">
        <v>25323</v>
      </c>
    </row>
    <row r="420" spans="1:7" x14ac:dyDescent="0.25">
      <c r="A420" s="150" t="s">
        <v>421</v>
      </c>
      <c r="B420" s="150">
        <v>181</v>
      </c>
      <c r="C420" s="160">
        <v>72617</v>
      </c>
      <c r="D420" s="150">
        <v>61</v>
      </c>
      <c r="E420" s="159">
        <v>16053</v>
      </c>
      <c r="F420" s="160">
        <v>1674</v>
      </c>
      <c r="G420" s="160">
        <v>90586</v>
      </c>
    </row>
    <row r="421" spans="1:7" ht="30" x14ac:dyDescent="0.25">
      <c r="A421" s="150" t="s">
        <v>422</v>
      </c>
      <c r="B421" s="150">
        <v>8</v>
      </c>
      <c r="C421" s="160">
        <v>2095</v>
      </c>
      <c r="E421" s="150">
        <v>515</v>
      </c>
      <c r="F421" s="150">
        <v>49</v>
      </c>
      <c r="G421" s="160">
        <v>2667</v>
      </c>
    </row>
    <row r="422" spans="1:7" x14ac:dyDescent="0.25">
      <c r="A422" s="150" t="s">
        <v>423</v>
      </c>
      <c r="B422" s="150">
        <v>54</v>
      </c>
      <c r="C422" s="160">
        <v>21093</v>
      </c>
      <c r="D422" s="150">
        <v>13</v>
      </c>
      <c r="E422" s="159">
        <v>3862</v>
      </c>
      <c r="F422" s="150">
        <v>467</v>
      </c>
      <c r="G422" s="160">
        <v>25489</v>
      </c>
    </row>
    <row r="423" spans="1:7" ht="30" x14ac:dyDescent="0.25">
      <c r="A423" s="150" t="s">
        <v>424</v>
      </c>
      <c r="B423" s="150">
        <v>20</v>
      </c>
      <c r="C423" s="160">
        <v>8171</v>
      </c>
      <c r="D423" s="150">
        <v>2</v>
      </c>
      <c r="E423" s="159">
        <v>1386</v>
      </c>
      <c r="F423" s="150">
        <v>233</v>
      </c>
      <c r="G423" s="160">
        <v>9812</v>
      </c>
    </row>
    <row r="424" spans="1:7" x14ac:dyDescent="0.25">
      <c r="A424" s="150" t="s">
        <v>425</v>
      </c>
      <c r="B424" s="150">
        <v>24</v>
      </c>
      <c r="C424" s="160">
        <v>9511</v>
      </c>
      <c r="D424" s="150">
        <v>2</v>
      </c>
      <c r="E424" s="159">
        <v>1446</v>
      </c>
      <c r="F424" s="150">
        <v>258</v>
      </c>
      <c r="G424" s="160">
        <v>11241</v>
      </c>
    </row>
    <row r="425" spans="1:7" ht="45" x14ac:dyDescent="0.25">
      <c r="A425" s="150" t="s">
        <v>426</v>
      </c>
      <c r="B425" s="150">
        <v>49</v>
      </c>
      <c r="C425" s="160">
        <v>22381</v>
      </c>
      <c r="D425" s="150">
        <v>17</v>
      </c>
      <c r="E425" s="159">
        <v>3608</v>
      </c>
      <c r="F425" s="150">
        <v>479</v>
      </c>
      <c r="G425" s="160">
        <v>26534</v>
      </c>
    </row>
    <row r="426" spans="1:7" x14ac:dyDescent="0.25">
      <c r="A426" s="150" t="s">
        <v>509</v>
      </c>
      <c r="B426" s="150">
        <v>22</v>
      </c>
      <c r="C426" s="160">
        <v>13162</v>
      </c>
      <c r="D426" s="150">
        <v>7</v>
      </c>
      <c r="E426" s="159">
        <v>2639</v>
      </c>
      <c r="F426" s="150">
        <v>275</v>
      </c>
      <c r="G426" s="160">
        <v>16105</v>
      </c>
    </row>
    <row r="427" spans="1:7" x14ac:dyDescent="0.25">
      <c r="A427" s="150" t="s">
        <v>510</v>
      </c>
      <c r="B427" s="150">
        <v>78</v>
      </c>
      <c r="C427" s="160">
        <v>34107</v>
      </c>
      <c r="D427" s="150">
        <v>13</v>
      </c>
      <c r="E427" s="159">
        <v>5884</v>
      </c>
      <c r="F427" s="150">
        <v>805</v>
      </c>
      <c r="G427" s="160">
        <v>40887</v>
      </c>
    </row>
    <row r="428" spans="1:7" x14ac:dyDescent="0.25">
      <c r="A428" s="150" t="s">
        <v>427</v>
      </c>
      <c r="B428" s="150">
        <v>7</v>
      </c>
      <c r="C428" s="160">
        <v>3175</v>
      </c>
      <c r="D428" s="150">
        <v>1</v>
      </c>
      <c r="E428">
        <v>611</v>
      </c>
      <c r="F428" s="150">
        <v>103</v>
      </c>
      <c r="G428" s="160">
        <v>3897</v>
      </c>
    </row>
    <row r="429" spans="1:7" ht="30" x14ac:dyDescent="0.25">
      <c r="A429" s="150" t="s">
        <v>428</v>
      </c>
      <c r="B429" s="150">
        <v>22</v>
      </c>
      <c r="C429" s="160">
        <v>12602</v>
      </c>
      <c r="D429" s="150">
        <v>7</v>
      </c>
      <c r="E429" s="159">
        <v>4503</v>
      </c>
      <c r="F429" s="150">
        <v>493</v>
      </c>
      <c r="G429" s="160">
        <v>17627</v>
      </c>
    </row>
    <row r="430" spans="1:7" x14ac:dyDescent="0.25">
      <c r="A430" s="150" t="s">
        <v>429</v>
      </c>
      <c r="B430" s="150">
        <v>82</v>
      </c>
      <c r="C430" s="160">
        <v>31452</v>
      </c>
      <c r="D430" s="150">
        <v>25</v>
      </c>
      <c r="E430" s="159">
        <v>5262</v>
      </c>
      <c r="F430" s="150">
        <v>839</v>
      </c>
      <c r="G430" s="160">
        <v>37660</v>
      </c>
    </row>
    <row r="431" spans="1:7" ht="30" x14ac:dyDescent="0.25">
      <c r="A431" s="150" t="s">
        <v>430</v>
      </c>
      <c r="B431" s="150">
        <v>139</v>
      </c>
      <c r="C431" s="160">
        <v>71068</v>
      </c>
      <c r="D431" s="150">
        <v>25</v>
      </c>
      <c r="E431" s="159">
        <v>11252</v>
      </c>
      <c r="F431" s="160">
        <v>1837</v>
      </c>
      <c r="G431" s="160">
        <v>84321</v>
      </c>
    </row>
    <row r="432" spans="1:7" x14ac:dyDescent="0.25">
      <c r="A432" s="150" t="s">
        <v>431</v>
      </c>
      <c r="B432" s="150">
        <v>46</v>
      </c>
      <c r="C432" s="160">
        <v>18143</v>
      </c>
      <c r="D432" s="150">
        <v>6</v>
      </c>
      <c r="E432" s="159">
        <v>3143</v>
      </c>
      <c r="F432" s="150">
        <v>568</v>
      </c>
      <c r="G432" s="160">
        <v>21906</v>
      </c>
    </row>
    <row r="433" spans="1:7" ht="30" x14ac:dyDescent="0.25">
      <c r="A433" s="150" t="s">
        <v>432</v>
      </c>
      <c r="B433" s="150">
        <v>49</v>
      </c>
      <c r="C433" s="160">
        <v>21030</v>
      </c>
      <c r="D433" s="150">
        <v>4</v>
      </c>
      <c r="E433" s="159">
        <v>3207</v>
      </c>
      <c r="F433" s="150">
        <v>438</v>
      </c>
      <c r="G433" s="160">
        <v>24728</v>
      </c>
    </row>
    <row r="434" spans="1:7" x14ac:dyDescent="0.25">
      <c r="A434" s="150" t="s">
        <v>433</v>
      </c>
      <c r="B434" s="150">
        <v>89</v>
      </c>
      <c r="C434" s="160">
        <v>28084</v>
      </c>
      <c r="D434" s="150">
        <v>6</v>
      </c>
      <c r="E434" s="159">
        <v>4734</v>
      </c>
      <c r="F434" s="150">
        <v>625</v>
      </c>
      <c r="G434" s="160">
        <v>33538</v>
      </c>
    </row>
    <row r="435" spans="1:7" x14ac:dyDescent="0.25">
      <c r="A435" s="150" t="s">
        <v>434</v>
      </c>
      <c r="B435" s="150">
        <v>50</v>
      </c>
      <c r="C435" s="160">
        <v>23517</v>
      </c>
      <c r="D435" s="150">
        <v>10</v>
      </c>
      <c r="E435" s="159">
        <v>3534</v>
      </c>
      <c r="F435" s="150">
        <v>544</v>
      </c>
      <c r="G435" s="160">
        <v>27655</v>
      </c>
    </row>
    <row r="436" spans="1:7" ht="30" x14ac:dyDescent="0.25">
      <c r="A436" s="150" t="s">
        <v>435</v>
      </c>
      <c r="B436" s="150">
        <v>87</v>
      </c>
      <c r="C436" s="160">
        <v>40881</v>
      </c>
      <c r="D436" s="150">
        <v>25</v>
      </c>
      <c r="E436" s="159">
        <v>6718</v>
      </c>
      <c r="F436" s="160">
        <v>1025</v>
      </c>
      <c r="G436" s="160">
        <v>48736</v>
      </c>
    </row>
    <row r="437" spans="1:7" ht="30" x14ac:dyDescent="0.25">
      <c r="A437" s="150" t="s">
        <v>436</v>
      </c>
      <c r="B437" s="150">
        <v>50</v>
      </c>
      <c r="C437" s="160">
        <v>19809</v>
      </c>
      <c r="D437" s="150">
        <v>8</v>
      </c>
      <c r="E437" s="159">
        <v>2971</v>
      </c>
      <c r="F437" s="150">
        <v>448</v>
      </c>
      <c r="G437" s="160">
        <v>23286</v>
      </c>
    </row>
    <row r="438" spans="1:7" ht="30" x14ac:dyDescent="0.25">
      <c r="A438" s="150" t="s">
        <v>437</v>
      </c>
      <c r="B438" s="150">
        <v>3</v>
      </c>
      <c r="C438" s="160">
        <v>2383</v>
      </c>
      <c r="D438" s="150">
        <v>1</v>
      </c>
      <c r="E438">
        <v>492</v>
      </c>
      <c r="F438" s="150">
        <v>53</v>
      </c>
      <c r="G438" s="160">
        <v>2932</v>
      </c>
    </row>
    <row r="439" spans="1:7" ht="30" x14ac:dyDescent="0.25">
      <c r="A439" s="150" t="s">
        <v>438</v>
      </c>
      <c r="B439" s="150">
        <v>49</v>
      </c>
      <c r="C439" s="160">
        <v>16683</v>
      </c>
      <c r="D439" s="150">
        <v>5</v>
      </c>
      <c r="E439" s="159">
        <v>3202</v>
      </c>
      <c r="F439" s="150">
        <v>431</v>
      </c>
      <c r="G439" s="160">
        <v>20370</v>
      </c>
    </row>
    <row r="440" spans="1:7" x14ac:dyDescent="0.25">
      <c r="A440" s="150" t="s">
        <v>439</v>
      </c>
      <c r="B440" s="150">
        <v>6</v>
      </c>
      <c r="C440" s="160">
        <v>1653</v>
      </c>
      <c r="D440" s="150">
        <v>2</v>
      </c>
      <c r="E440">
        <v>321</v>
      </c>
      <c r="F440" s="150">
        <v>47</v>
      </c>
      <c r="G440" s="160">
        <v>2029</v>
      </c>
    </row>
    <row r="441" spans="1:7" ht="30" x14ac:dyDescent="0.25">
      <c r="A441" s="150" t="s">
        <v>440</v>
      </c>
      <c r="B441" s="150">
        <v>45</v>
      </c>
      <c r="C441" s="160">
        <v>17432</v>
      </c>
      <c r="D441" s="150">
        <v>5</v>
      </c>
      <c r="E441" s="159">
        <v>2147</v>
      </c>
      <c r="F441" s="150">
        <v>292</v>
      </c>
      <c r="G441" s="160">
        <v>19921</v>
      </c>
    </row>
    <row r="442" spans="1:7" x14ac:dyDescent="0.25">
      <c r="A442" s="150" t="s">
        <v>441</v>
      </c>
      <c r="B442" s="150">
        <v>420</v>
      </c>
      <c r="C442" s="160">
        <v>53928</v>
      </c>
      <c r="D442" s="150">
        <v>14</v>
      </c>
      <c r="E442" s="159">
        <v>10554</v>
      </c>
      <c r="F442" s="160">
        <v>1765</v>
      </c>
      <c r="G442" s="160">
        <v>66681</v>
      </c>
    </row>
    <row r="443" spans="1:7" x14ac:dyDescent="0.25">
      <c r="A443" s="150" t="s">
        <v>442</v>
      </c>
      <c r="B443" s="150">
        <v>22</v>
      </c>
      <c r="C443" s="160">
        <v>10410</v>
      </c>
      <c r="D443" s="150">
        <v>10</v>
      </c>
      <c r="E443" s="159">
        <v>1956</v>
      </c>
      <c r="F443" s="150">
        <v>255</v>
      </c>
      <c r="G443" s="160">
        <v>12653</v>
      </c>
    </row>
    <row r="444" spans="1:7" x14ac:dyDescent="0.25">
      <c r="A444" s="150" t="s">
        <v>443</v>
      </c>
      <c r="B444" s="150">
        <v>6</v>
      </c>
      <c r="C444" s="160">
        <v>2581</v>
      </c>
      <c r="E444" s="150">
        <v>416</v>
      </c>
      <c r="F444" s="150">
        <v>58</v>
      </c>
      <c r="G444" s="160">
        <v>3061</v>
      </c>
    </row>
    <row r="445" spans="1:7" x14ac:dyDescent="0.25">
      <c r="A445" s="150" t="s">
        <v>444</v>
      </c>
      <c r="B445" s="150">
        <v>7</v>
      </c>
      <c r="C445" s="160">
        <v>4977</v>
      </c>
      <c r="E445" s="160">
        <v>2219</v>
      </c>
      <c r="F445" s="150">
        <v>223</v>
      </c>
      <c r="G445" s="160">
        <v>7426</v>
      </c>
    </row>
    <row r="446" spans="1:7" x14ac:dyDescent="0.25">
      <c r="A446" s="150" t="s">
        <v>511</v>
      </c>
      <c r="B446" s="150">
        <v>56</v>
      </c>
      <c r="C446" s="160">
        <v>28379</v>
      </c>
      <c r="D446" s="150">
        <v>13</v>
      </c>
      <c r="E446" s="159">
        <v>7415</v>
      </c>
      <c r="F446" s="150">
        <v>772</v>
      </c>
      <c r="G446" s="160">
        <v>36635</v>
      </c>
    </row>
    <row r="447" spans="1:7" x14ac:dyDescent="0.25">
      <c r="A447" s="150"/>
      <c r="G447" s="157"/>
    </row>
    <row r="448" spans="1:7" x14ac:dyDescent="0.25">
      <c r="A448" s="150" t="s">
        <v>35</v>
      </c>
      <c r="B448" s="160">
        <f>SUM(B395:B447)</f>
        <v>2681</v>
      </c>
      <c r="C448" s="160">
        <f t="shared" ref="C448:G448" si="10">SUM(C395:C447)</f>
        <v>1018313</v>
      </c>
      <c r="D448" s="160">
        <f t="shared" si="10"/>
        <v>495</v>
      </c>
      <c r="E448" s="160">
        <f t="shared" si="10"/>
        <v>194353</v>
      </c>
      <c r="F448" s="160">
        <f t="shared" si="10"/>
        <v>25287</v>
      </c>
      <c r="G448" s="160">
        <f t="shared" si="10"/>
        <v>1241129</v>
      </c>
    </row>
    <row r="449" spans="1:7" x14ac:dyDescent="0.25">
      <c r="A449" s="150"/>
      <c r="B449" s="150"/>
      <c r="C449" s="150"/>
      <c r="D449" s="161"/>
      <c r="F449" s="161"/>
      <c r="G449" s="158"/>
    </row>
    <row r="454" spans="1:7" ht="45" x14ac:dyDescent="0.25">
      <c r="A454" s="150" t="s">
        <v>445</v>
      </c>
      <c r="B454" s="168"/>
      <c r="C454" s="168"/>
      <c r="D454" s="168"/>
      <c r="E454" s="168"/>
      <c r="F454" s="169"/>
    </row>
    <row r="455" spans="1:7" x14ac:dyDescent="0.25">
      <c r="A455" s="150"/>
      <c r="B455" s="150"/>
      <c r="C455" s="150"/>
      <c r="F455" s="157"/>
    </row>
    <row r="456" spans="1:7" ht="30" x14ac:dyDescent="0.25">
      <c r="A456" s="150"/>
      <c r="B456" s="150" t="s">
        <v>512</v>
      </c>
      <c r="C456" s="150"/>
      <c r="F456" s="157"/>
    </row>
    <row r="457" spans="1:7" x14ac:dyDescent="0.25">
      <c r="A457" s="150" t="s">
        <v>137</v>
      </c>
      <c r="B457" s="150" t="s">
        <v>491</v>
      </c>
      <c r="C457" s="150" t="s">
        <v>492</v>
      </c>
      <c r="D457" s="150" t="s">
        <v>493</v>
      </c>
      <c r="E457" s="150" t="s">
        <v>494</v>
      </c>
      <c r="F457" s="150" t="s">
        <v>495</v>
      </c>
      <c r="G457" s="150" t="s">
        <v>35</v>
      </c>
    </row>
    <row r="458" spans="1:7" x14ac:dyDescent="0.25">
      <c r="A458" s="150"/>
      <c r="B458" s="150"/>
      <c r="C458" s="150"/>
      <c r="G458" s="157"/>
    </row>
    <row r="459" spans="1:7" x14ac:dyDescent="0.25">
      <c r="A459" s="150" t="s">
        <v>446</v>
      </c>
      <c r="B459" s="150">
        <v>2</v>
      </c>
      <c r="C459" s="160">
        <v>1040</v>
      </c>
      <c r="D459" s="150">
        <v>1</v>
      </c>
      <c r="E459" s="150">
        <v>159</v>
      </c>
      <c r="F459" s="150">
        <v>13</v>
      </c>
      <c r="G459" s="160">
        <v>1215</v>
      </c>
    </row>
    <row r="460" spans="1:7" x14ac:dyDescent="0.25">
      <c r="A460" s="150" t="s">
        <v>447</v>
      </c>
      <c r="B460" s="150">
        <v>9</v>
      </c>
      <c r="C460" s="160">
        <v>2600</v>
      </c>
      <c r="D460" s="150">
        <v>2</v>
      </c>
      <c r="E460" s="150">
        <v>421</v>
      </c>
      <c r="F460" s="150">
        <v>81</v>
      </c>
      <c r="G460" s="160">
        <v>3113</v>
      </c>
    </row>
    <row r="461" spans="1:7" x14ac:dyDescent="0.25">
      <c r="A461" s="150" t="s">
        <v>448</v>
      </c>
      <c r="B461" s="150">
        <v>22</v>
      </c>
      <c r="C461" s="160">
        <v>8352</v>
      </c>
      <c r="D461" s="150">
        <v>8</v>
      </c>
      <c r="E461" s="160">
        <v>1465</v>
      </c>
      <c r="F461" s="150">
        <v>187</v>
      </c>
      <c r="G461" s="160">
        <v>10034</v>
      </c>
    </row>
    <row r="462" spans="1:7" ht="30" x14ac:dyDescent="0.25">
      <c r="A462" s="150" t="s">
        <v>449</v>
      </c>
      <c r="B462" s="150">
        <v>5</v>
      </c>
      <c r="C462" s="160">
        <v>1993</v>
      </c>
      <c r="D462" s="150">
        <v>1</v>
      </c>
      <c r="E462" s="150">
        <v>282</v>
      </c>
      <c r="F462" s="150">
        <v>48</v>
      </c>
      <c r="G462" s="160">
        <v>2329</v>
      </c>
    </row>
    <row r="463" spans="1:7" x14ac:dyDescent="0.25">
      <c r="A463" s="150" t="s">
        <v>450</v>
      </c>
      <c r="B463" s="150">
        <v>17</v>
      </c>
      <c r="C463" s="160">
        <v>3454</v>
      </c>
      <c r="D463" s="150">
        <v>5</v>
      </c>
      <c r="E463" s="150">
        <v>556</v>
      </c>
      <c r="F463" s="150">
        <v>66</v>
      </c>
      <c r="G463" s="160">
        <v>4098</v>
      </c>
    </row>
    <row r="464" spans="1:7" x14ac:dyDescent="0.25">
      <c r="A464" s="150" t="s">
        <v>451</v>
      </c>
      <c r="B464" s="150">
        <v>10</v>
      </c>
      <c r="C464" s="160">
        <v>3912</v>
      </c>
      <c r="D464" s="150">
        <v>2</v>
      </c>
      <c r="E464" s="150">
        <v>567</v>
      </c>
      <c r="F464" s="150">
        <v>98</v>
      </c>
      <c r="G464" s="160">
        <v>4589</v>
      </c>
    </row>
    <row r="465" spans="1:7" x14ac:dyDescent="0.25">
      <c r="A465" s="150" t="s">
        <v>452</v>
      </c>
      <c r="B465" s="150">
        <v>7</v>
      </c>
      <c r="C465" s="160">
        <v>1486</v>
      </c>
      <c r="D465" s="150">
        <v>1</v>
      </c>
      <c r="E465" s="150">
        <v>250</v>
      </c>
      <c r="F465" s="150">
        <v>24</v>
      </c>
      <c r="G465" s="160">
        <v>1768</v>
      </c>
    </row>
    <row r="466" spans="1:7" x14ac:dyDescent="0.25">
      <c r="A466" s="150" t="s">
        <v>453</v>
      </c>
      <c r="B466" s="150">
        <v>19</v>
      </c>
      <c r="C466" s="160">
        <v>4468</v>
      </c>
      <c r="D466" s="150">
        <v>2</v>
      </c>
      <c r="E466" s="150">
        <v>955</v>
      </c>
      <c r="F466" s="150">
        <v>104</v>
      </c>
      <c r="G466" s="160">
        <v>5548</v>
      </c>
    </row>
    <row r="467" spans="1:7" ht="30" x14ac:dyDescent="0.25">
      <c r="A467" s="150" t="s">
        <v>454</v>
      </c>
      <c r="B467" s="150">
        <v>12</v>
      </c>
      <c r="C467" s="160">
        <v>6294</v>
      </c>
      <c r="D467" s="150">
        <v>5</v>
      </c>
      <c r="E467" s="160">
        <v>1104</v>
      </c>
      <c r="F467" s="150">
        <v>155</v>
      </c>
      <c r="G467" s="160">
        <v>7570</v>
      </c>
    </row>
    <row r="468" spans="1:7" x14ac:dyDescent="0.25">
      <c r="A468" s="150" t="s">
        <v>455</v>
      </c>
      <c r="B468" s="150">
        <v>20</v>
      </c>
      <c r="C468" s="160">
        <v>6998</v>
      </c>
      <c r="D468" s="150">
        <v>11</v>
      </c>
      <c r="E468" s="160">
        <v>1159</v>
      </c>
      <c r="F468" s="150">
        <v>156</v>
      </c>
      <c r="G468" s="160">
        <v>8344</v>
      </c>
    </row>
    <row r="469" spans="1:7" ht="60" x14ac:dyDescent="0.25">
      <c r="A469" s="150" t="s">
        <v>515</v>
      </c>
      <c r="B469" s="150">
        <v>13</v>
      </c>
      <c r="C469" s="160">
        <v>3804</v>
      </c>
      <c r="D469" s="150">
        <v>1</v>
      </c>
      <c r="E469" s="150">
        <v>560</v>
      </c>
      <c r="F469" s="150">
        <v>88</v>
      </c>
      <c r="G469" s="160">
        <v>4466</v>
      </c>
    </row>
    <row r="470" spans="1:7" x14ac:dyDescent="0.25">
      <c r="A470" s="150" t="s">
        <v>457</v>
      </c>
      <c r="B470" s="150">
        <v>97</v>
      </c>
      <c r="C470" s="160">
        <v>27778</v>
      </c>
      <c r="D470" s="150">
        <v>29</v>
      </c>
      <c r="E470" s="160">
        <v>4913</v>
      </c>
      <c r="F470" s="150">
        <v>600</v>
      </c>
      <c r="G470" s="160">
        <v>33417</v>
      </c>
    </row>
    <row r="471" spans="1:7" x14ac:dyDescent="0.25">
      <c r="A471" s="150"/>
      <c r="G471" s="157"/>
    </row>
    <row r="472" spans="1:7" x14ac:dyDescent="0.25">
      <c r="A472" s="150" t="s">
        <v>35</v>
      </c>
      <c r="B472" s="150">
        <v>233</v>
      </c>
      <c r="C472" s="160">
        <v>72179</v>
      </c>
      <c r="D472" s="150">
        <v>68</v>
      </c>
      <c r="E472" s="160">
        <v>12391</v>
      </c>
      <c r="F472" s="160">
        <v>1620</v>
      </c>
      <c r="G472" s="160">
        <v>86491</v>
      </c>
    </row>
    <row r="473" spans="1:7" x14ac:dyDescent="0.25">
      <c r="A473" s="150"/>
      <c r="B473" s="150"/>
      <c r="C473" s="150"/>
      <c r="F473" s="157"/>
    </row>
    <row r="474" spans="1:7" x14ac:dyDescent="0.25">
      <c r="A474" s="150"/>
      <c r="B474" s="161"/>
      <c r="C474" s="161"/>
      <c r="D474" s="161"/>
      <c r="E474" s="161"/>
      <c r="F474" s="158"/>
    </row>
    <row r="478" spans="1:7" ht="45" x14ac:dyDescent="0.25">
      <c r="A478" s="150" t="s">
        <v>513</v>
      </c>
      <c r="B478" s="150" t="s">
        <v>514</v>
      </c>
      <c r="C478" s="150">
        <v>15</v>
      </c>
      <c r="D478" s="168"/>
      <c r="E478" s="168"/>
      <c r="F478" s="169"/>
    </row>
    <row r="479" spans="1:7" x14ac:dyDescent="0.25">
      <c r="A479" s="150"/>
      <c r="B479" s="150"/>
      <c r="C479" s="150"/>
      <c r="D479" s="150"/>
      <c r="F479" s="157"/>
    </row>
    <row r="480" spans="1:7" ht="30" x14ac:dyDescent="0.25">
      <c r="A480" s="150"/>
      <c r="B480" s="150"/>
      <c r="C480" s="150" t="s">
        <v>512</v>
      </c>
      <c r="D480" s="150"/>
      <c r="F480" s="157"/>
    </row>
    <row r="481" spans="1:7" x14ac:dyDescent="0.25">
      <c r="A481" s="150" t="s">
        <v>137</v>
      </c>
      <c r="B481" s="150" t="s">
        <v>491</v>
      </c>
      <c r="C481" s="150" t="s">
        <v>492</v>
      </c>
      <c r="D481" s="150" t="s">
        <v>493</v>
      </c>
      <c r="E481" s="150" t="s">
        <v>494</v>
      </c>
      <c r="F481" s="150" t="s">
        <v>495</v>
      </c>
      <c r="G481" s="150" t="s">
        <v>35</v>
      </c>
    </row>
    <row r="482" spans="1:7" x14ac:dyDescent="0.25">
      <c r="A482" s="150"/>
      <c r="B482" s="150"/>
      <c r="C482" s="150"/>
      <c r="G482" s="157"/>
    </row>
    <row r="483" spans="1:7" x14ac:dyDescent="0.25">
      <c r="A483" s="150" t="s">
        <v>458</v>
      </c>
      <c r="B483" s="150">
        <v>109</v>
      </c>
      <c r="C483" s="160">
        <v>34285</v>
      </c>
      <c r="D483" s="150">
        <v>16</v>
      </c>
      <c r="E483" s="160">
        <v>5811</v>
      </c>
      <c r="F483" s="150">
        <v>828</v>
      </c>
      <c r="G483" s="160">
        <v>41049</v>
      </c>
    </row>
    <row r="484" spans="1:7" ht="30" x14ac:dyDescent="0.25">
      <c r="A484" s="150" t="s">
        <v>459</v>
      </c>
      <c r="B484" s="150"/>
      <c r="C484" s="150">
        <v>75</v>
      </c>
      <c r="E484" s="150">
        <v>15</v>
      </c>
      <c r="F484" s="150">
        <v>1</v>
      </c>
      <c r="G484" s="150">
        <v>91</v>
      </c>
    </row>
    <row r="485" spans="1:7" ht="30" x14ac:dyDescent="0.25">
      <c r="A485" s="150" t="s">
        <v>460</v>
      </c>
      <c r="B485" s="150">
        <v>1</v>
      </c>
      <c r="C485" s="150">
        <v>62</v>
      </c>
      <c r="E485" s="150">
        <v>21</v>
      </c>
      <c r="G485" s="150">
        <v>84</v>
      </c>
    </row>
    <row r="486" spans="1:7" x14ac:dyDescent="0.25">
      <c r="A486" s="150" t="s">
        <v>461</v>
      </c>
      <c r="B486" s="150"/>
      <c r="C486" s="150">
        <v>218</v>
      </c>
      <c r="E486" s="150">
        <v>58</v>
      </c>
      <c r="F486" s="150">
        <v>8</v>
      </c>
      <c r="G486" s="150">
        <v>284</v>
      </c>
    </row>
    <row r="487" spans="1:7" x14ac:dyDescent="0.25">
      <c r="A487" s="150" t="s">
        <v>35</v>
      </c>
      <c r="B487" s="151">
        <f>SUM(B483:B486)</f>
        <v>110</v>
      </c>
      <c r="C487" s="151">
        <f t="shared" ref="C487:F487" si="11">SUM(C483:C486)</f>
        <v>34640</v>
      </c>
      <c r="D487" s="151">
        <f t="shared" si="11"/>
        <v>16</v>
      </c>
      <c r="E487" s="151">
        <f t="shared" si="11"/>
        <v>5905</v>
      </c>
      <c r="F487" s="151">
        <f t="shared" si="11"/>
        <v>837</v>
      </c>
      <c r="G487" s="151">
        <f>SUM(G483:G486)</f>
        <v>41508</v>
      </c>
    </row>
    <row r="488" spans="1:7" x14ac:dyDescent="0.25">
      <c r="A488" s="150"/>
      <c r="B488" s="150"/>
      <c r="C488" s="150"/>
      <c r="D488" s="161"/>
      <c r="E488" s="161"/>
      <c r="F488" s="158"/>
    </row>
    <row r="492" spans="1:7" ht="45" x14ac:dyDescent="0.25">
      <c r="A492" s="150" t="s">
        <v>513</v>
      </c>
      <c r="B492" s="150" t="s">
        <v>514</v>
      </c>
      <c r="C492" s="150">
        <v>16</v>
      </c>
      <c r="D492" s="168"/>
      <c r="E492" s="168"/>
      <c r="F492" s="169"/>
    </row>
    <row r="493" spans="1:7" x14ac:dyDescent="0.25">
      <c r="A493" s="150"/>
      <c r="B493" s="150"/>
      <c r="C493" s="150"/>
      <c r="D493" s="150"/>
      <c r="F493" s="157"/>
    </row>
    <row r="494" spans="1:7" ht="30" x14ac:dyDescent="0.25">
      <c r="A494" s="150"/>
      <c r="B494" s="150"/>
      <c r="C494" s="150" t="s">
        <v>512</v>
      </c>
      <c r="D494" s="150"/>
      <c r="F494" s="157"/>
    </row>
    <row r="495" spans="1:7" x14ac:dyDescent="0.25">
      <c r="A495" s="150" t="s">
        <v>137</v>
      </c>
      <c r="B495" s="150" t="s">
        <v>491</v>
      </c>
      <c r="C495" s="150" t="s">
        <v>492</v>
      </c>
      <c r="D495" s="150" t="s">
        <v>493</v>
      </c>
      <c r="E495" s="150" t="s">
        <v>494</v>
      </c>
      <c r="F495" s="150" t="s">
        <v>495</v>
      </c>
      <c r="G495" s="150" t="s">
        <v>35</v>
      </c>
    </row>
    <row r="496" spans="1:7" x14ac:dyDescent="0.25">
      <c r="A496" s="150"/>
      <c r="B496" s="150"/>
      <c r="C496" s="150"/>
      <c r="G496" s="157"/>
    </row>
    <row r="497" spans="1:7" x14ac:dyDescent="0.25">
      <c r="A497" s="150" t="s">
        <v>462</v>
      </c>
      <c r="B497" s="150">
        <v>13</v>
      </c>
      <c r="C497" s="160">
        <v>4610</v>
      </c>
      <c r="D497" s="150">
        <v>1</v>
      </c>
      <c r="E497" s="160">
        <v>1258</v>
      </c>
      <c r="F497" s="150">
        <v>132</v>
      </c>
      <c r="G497" s="160">
        <v>6014</v>
      </c>
    </row>
    <row r="498" spans="1:7" x14ac:dyDescent="0.25">
      <c r="A498" s="150" t="s">
        <v>463</v>
      </c>
      <c r="B498" s="150">
        <v>107</v>
      </c>
      <c r="C498" s="160">
        <v>35823</v>
      </c>
      <c r="D498" s="150">
        <v>9</v>
      </c>
      <c r="E498" s="160">
        <v>8805</v>
      </c>
      <c r="F498" s="150">
        <v>912</v>
      </c>
      <c r="G498" s="160">
        <v>45656</v>
      </c>
    </row>
    <row r="499" spans="1:7" ht="30" x14ac:dyDescent="0.25">
      <c r="A499" s="150" t="s">
        <v>464</v>
      </c>
      <c r="B499" s="150">
        <v>18</v>
      </c>
      <c r="C499" s="160">
        <v>4008</v>
      </c>
      <c r="E499" s="150">
        <v>891</v>
      </c>
      <c r="F499" s="150">
        <v>106</v>
      </c>
      <c r="G499" s="160">
        <v>5023</v>
      </c>
    </row>
    <row r="500" spans="1:7" ht="30" x14ac:dyDescent="0.25">
      <c r="A500" s="150" t="s">
        <v>465</v>
      </c>
      <c r="B500" s="150">
        <v>5</v>
      </c>
      <c r="C500" s="160">
        <v>1172</v>
      </c>
      <c r="E500" s="150">
        <v>277</v>
      </c>
      <c r="F500" s="150">
        <v>24</v>
      </c>
      <c r="G500" s="160">
        <v>1478</v>
      </c>
    </row>
    <row r="501" spans="1:7" x14ac:dyDescent="0.25">
      <c r="A501" s="150" t="s">
        <v>466</v>
      </c>
      <c r="B501" s="150">
        <v>5</v>
      </c>
      <c r="C501" s="160">
        <v>3897</v>
      </c>
      <c r="E501" s="150">
        <v>822</v>
      </c>
      <c r="F501" s="150">
        <v>74</v>
      </c>
      <c r="G501" s="160">
        <v>4798</v>
      </c>
    </row>
    <row r="502" spans="1:7" x14ac:dyDescent="0.25">
      <c r="A502" s="150" t="s">
        <v>467</v>
      </c>
      <c r="B502" s="150">
        <v>18</v>
      </c>
      <c r="C502" s="160">
        <v>4370</v>
      </c>
      <c r="D502" s="150">
        <v>1</v>
      </c>
      <c r="E502" s="160">
        <v>1431</v>
      </c>
      <c r="F502" s="150">
        <v>147</v>
      </c>
      <c r="G502" s="160">
        <v>5967</v>
      </c>
    </row>
    <row r="503" spans="1:7" x14ac:dyDescent="0.25">
      <c r="A503" s="150" t="s">
        <v>468</v>
      </c>
      <c r="B503" s="150">
        <v>10</v>
      </c>
      <c r="C503" s="160">
        <v>2703</v>
      </c>
      <c r="D503" s="150">
        <v>1</v>
      </c>
      <c r="E503" s="150">
        <v>848</v>
      </c>
      <c r="F503" s="150">
        <v>73</v>
      </c>
      <c r="G503" s="160">
        <v>3635</v>
      </c>
    </row>
    <row r="504" spans="1:7" x14ac:dyDescent="0.25">
      <c r="A504" s="150" t="s">
        <v>469</v>
      </c>
      <c r="B504" s="150">
        <v>3</v>
      </c>
      <c r="C504" s="160">
        <v>1384</v>
      </c>
      <c r="E504" s="150">
        <v>494</v>
      </c>
      <c r="F504" s="150">
        <v>28</v>
      </c>
      <c r="G504" s="160">
        <v>1909</v>
      </c>
    </row>
    <row r="505" spans="1:7" x14ac:dyDescent="0.25">
      <c r="A505" s="150" t="s">
        <v>470</v>
      </c>
      <c r="B505" s="150">
        <v>2</v>
      </c>
      <c r="C505" s="160">
        <v>1686</v>
      </c>
      <c r="E505" s="150">
        <v>551</v>
      </c>
      <c r="F505" s="150">
        <v>51</v>
      </c>
      <c r="G505" s="160">
        <v>2290</v>
      </c>
    </row>
    <row r="506" spans="1:7" x14ac:dyDescent="0.25">
      <c r="A506" s="150" t="s">
        <v>471</v>
      </c>
      <c r="B506" s="150">
        <v>5</v>
      </c>
      <c r="C506" s="160">
        <v>2316</v>
      </c>
      <c r="E506" s="150">
        <v>695</v>
      </c>
      <c r="F506" s="150">
        <v>81</v>
      </c>
      <c r="G506" s="160">
        <v>3097</v>
      </c>
    </row>
    <row r="507" spans="1:7" ht="30" x14ac:dyDescent="0.25">
      <c r="A507" s="150" t="s">
        <v>472</v>
      </c>
      <c r="B507" s="150">
        <v>4</v>
      </c>
      <c r="C507" s="160">
        <v>1278</v>
      </c>
      <c r="E507" s="150">
        <v>260</v>
      </c>
      <c r="F507" s="150">
        <v>26</v>
      </c>
      <c r="G507" s="160">
        <v>1568</v>
      </c>
    </row>
    <row r="508" spans="1:7" x14ac:dyDescent="0.25">
      <c r="A508" s="150" t="s">
        <v>473</v>
      </c>
      <c r="B508" s="150">
        <v>15</v>
      </c>
      <c r="C508" s="160">
        <v>4075</v>
      </c>
      <c r="D508" s="150">
        <v>3</v>
      </c>
      <c r="E508" s="150">
        <v>910</v>
      </c>
      <c r="F508" s="150">
        <v>132</v>
      </c>
      <c r="G508" s="160">
        <v>5135</v>
      </c>
    </row>
    <row r="509" spans="1:7" x14ac:dyDescent="0.25">
      <c r="A509" s="150" t="s">
        <v>474</v>
      </c>
      <c r="B509" s="150">
        <v>9</v>
      </c>
      <c r="C509" s="160">
        <v>2735</v>
      </c>
      <c r="E509" s="150">
        <v>605</v>
      </c>
      <c r="F509" s="150">
        <v>57</v>
      </c>
      <c r="G509" s="160">
        <v>3406</v>
      </c>
    </row>
    <row r="510" spans="1:7" x14ac:dyDescent="0.25">
      <c r="A510" s="150" t="s">
        <v>475</v>
      </c>
      <c r="B510" s="150">
        <v>4</v>
      </c>
      <c r="C510" s="160">
        <v>1532</v>
      </c>
      <c r="D510" s="150">
        <v>1</v>
      </c>
      <c r="E510" s="150">
        <v>322</v>
      </c>
      <c r="F510" s="150">
        <v>37</v>
      </c>
      <c r="G510" s="160">
        <v>1896</v>
      </c>
    </row>
    <row r="511" spans="1:7" ht="30" x14ac:dyDescent="0.25">
      <c r="A511" s="150" t="s">
        <v>476</v>
      </c>
      <c r="B511" s="150">
        <v>34</v>
      </c>
      <c r="C511" s="160">
        <v>11662</v>
      </c>
      <c r="D511" s="150">
        <v>6</v>
      </c>
      <c r="E511" s="160">
        <v>2801</v>
      </c>
      <c r="F511" s="150">
        <v>253</v>
      </c>
      <c r="G511" s="160">
        <v>14756</v>
      </c>
    </row>
    <row r="512" spans="1:7" ht="30" x14ac:dyDescent="0.25">
      <c r="A512" s="150" t="s">
        <v>477</v>
      </c>
      <c r="B512" s="150">
        <v>2</v>
      </c>
      <c r="C512" s="150">
        <v>915</v>
      </c>
      <c r="E512" s="150">
        <v>208</v>
      </c>
      <c r="F512" s="150">
        <v>24</v>
      </c>
      <c r="G512" s="160">
        <v>1149</v>
      </c>
    </row>
    <row r="513" spans="1:7" ht="30" x14ac:dyDescent="0.25">
      <c r="A513" s="150" t="s">
        <v>478</v>
      </c>
      <c r="B513" s="150">
        <v>16</v>
      </c>
      <c r="C513" s="160">
        <v>3685</v>
      </c>
      <c r="E513" s="160">
        <v>1109</v>
      </c>
      <c r="F513" s="150">
        <v>141</v>
      </c>
      <c r="G513" s="160">
        <v>4951</v>
      </c>
    </row>
    <row r="514" spans="1:7" ht="30" x14ac:dyDescent="0.25">
      <c r="A514" s="150" t="s">
        <v>479</v>
      </c>
      <c r="B514" s="150">
        <v>10</v>
      </c>
      <c r="C514" s="160">
        <v>2256</v>
      </c>
      <c r="D514" s="150">
        <v>1</v>
      </c>
      <c r="E514" s="150">
        <v>614</v>
      </c>
      <c r="F514" s="150">
        <v>62</v>
      </c>
      <c r="G514" s="160">
        <v>2943</v>
      </c>
    </row>
    <row r="515" spans="1:7" x14ac:dyDescent="0.25">
      <c r="A515" s="150" t="s">
        <v>480</v>
      </c>
      <c r="B515" s="150">
        <v>5</v>
      </c>
      <c r="C515" s="160">
        <v>1271</v>
      </c>
      <c r="D515" s="150">
        <v>1</v>
      </c>
      <c r="E515" s="150">
        <v>240</v>
      </c>
      <c r="F515" s="150">
        <v>33</v>
      </c>
      <c r="G515" s="160">
        <v>1550</v>
      </c>
    </row>
    <row r="516" spans="1:7" x14ac:dyDescent="0.25">
      <c r="A516" s="150" t="s">
        <v>481</v>
      </c>
      <c r="B516" s="150">
        <v>11</v>
      </c>
      <c r="C516" s="160">
        <v>3744</v>
      </c>
      <c r="E516" s="150">
        <v>854</v>
      </c>
      <c r="F516" s="150">
        <v>95</v>
      </c>
      <c r="G516" s="160">
        <v>4704</v>
      </c>
    </row>
    <row r="517" spans="1:7" x14ac:dyDescent="0.25">
      <c r="A517" s="150" t="s">
        <v>482</v>
      </c>
      <c r="B517" s="150">
        <v>3</v>
      </c>
      <c r="C517" s="160">
        <v>2785</v>
      </c>
      <c r="D517" s="150">
        <v>1</v>
      </c>
      <c r="E517" s="150">
        <v>811</v>
      </c>
      <c r="F517" s="150">
        <v>75</v>
      </c>
      <c r="G517" s="160">
        <v>3675</v>
      </c>
    </row>
    <row r="518" spans="1:7" x14ac:dyDescent="0.25">
      <c r="A518" s="150" t="s">
        <v>35</v>
      </c>
      <c r="B518" s="151">
        <f>SUM(B497:B517)</f>
        <v>299</v>
      </c>
      <c r="C518" s="151">
        <f t="shared" ref="C518:G518" si="12">SUM(C497:C517)</f>
        <v>97907</v>
      </c>
      <c r="D518" s="151">
        <f t="shared" si="12"/>
        <v>25</v>
      </c>
      <c r="E518" s="151">
        <f t="shared" si="12"/>
        <v>24806</v>
      </c>
      <c r="F518" s="151">
        <f t="shared" si="12"/>
        <v>2563</v>
      </c>
      <c r="G518" s="151">
        <f t="shared" si="12"/>
        <v>125600</v>
      </c>
    </row>
    <row r="519" spans="1:7" x14ac:dyDescent="0.25">
      <c r="A519" s="150"/>
      <c r="B519" s="150"/>
      <c r="C519" s="150"/>
      <c r="D519" s="161"/>
      <c r="E519" s="161"/>
      <c r="F519" s="161"/>
      <c r="G519" s="15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21" customWidth="1"/>
    <col min="2" max="2" width="11.42578125" style="21"/>
    <col min="3" max="3" width="18.7109375" style="21" bestFit="1" customWidth="1"/>
    <col min="4" max="5" width="11.28515625" style="21" customWidth="1"/>
    <col min="6" max="6" width="11" style="21" customWidth="1"/>
    <col min="7" max="8" width="10.7109375" style="21" customWidth="1"/>
    <col min="9" max="9" width="18.7109375" style="21" bestFit="1" customWidth="1"/>
    <col min="10" max="10" width="9.5703125" style="106" customWidth="1"/>
    <col min="11" max="11" width="11.28515625" style="106" customWidth="1"/>
    <col min="12" max="14" width="11.42578125" style="21"/>
    <col min="15" max="15" width="18.7109375" style="21" bestFit="1" customWidth="1"/>
    <col min="16" max="22" width="11.42578125" style="21"/>
    <col min="23" max="23" width="14.42578125" style="21" bestFit="1" customWidth="1"/>
    <col min="24" max="16384" width="11.42578125" style="21"/>
  </cols>
  <sheetData>
    <row r="2" spans="1:18" ht="23.25" x14ac:dyDescent="0.25">
      <c r="B2" s="1" t="s">
        <v>77</v>
      </c>
      <c r="G2" s="106"/>
      <c r="J2" s="21"/>
    </row>
    <row r="3" spans="1:18" ht="23.25" x14ac:dyDescent="0.25">
      <c r="B3" s="1"/>
      <c r="G3" s="106"/>
      <c r="J3" s="21"/>
    </row>
    <row r="4" spans="1:18" ht="41.25" customHeight="1" x14ac:dyDescent="0.25">
      <c r="B4" s="552" t="s">
        <v>546</v>
      </c>
      <c r="C4" s="552"/>
      <c r="D4" s="552"/>
      <c r="E4" s="552"/>
      <c r="F4" s="552"/>
      <c r="G4" s="106"/>
      <c r="H4" s="552" t="s">
        <v>547</v>
      </c>
      <c r="I4" s="552"/>
      <c r="J4" s="552"/>
      <c r="K4" s="552"/>
      <c r="L4" s="552"/>
      <c r="N4" s="552" t="s">
        <v>548</v>
      </c>
      <c r="O4" s="552"/>
      <c r="P4" s="552"/>
      <c r="Q4" s="552"/>
      <c r="R4" s="552"/>
    </row>
    <row r="5" spans="1:18" x14ac:dyDescent="0.25">
      <c r="B5" s="3" t="s">
        <v>516</v>
      </c>
      <c r="C5" s="23"/>
      <c r="D5" s="23"/>
      <c r="E5" s="23"/>
      <c r="F5" s="23"/>
      <c r="H5" s="3" t="s">
        <v>516</v>
      </c>
      <c r="I5" s="23"/>
      <c r="J5" s="23"/>
      <c r="K5" s="23"/>
      <c r="L5" s="23"/>
      <c r="N5" s="3" t="s">
        <v>516</v>
      </c>
      <c r="O5" s="23"/>
      <c r="P5" s="23"/>
      <c r="Q5" s="23"/>
      <c r="R5" s="23"/>
    </row>
    <row r="6" spans="1:18" x14ac:dyDescent="0.25">
      <c r="B6" s="3"/>
      <c r="C6" s="23"/>
      <c r="D6" s="23"/>
      <c r="E6" s="23"/>
      <c r="F6" s="23"/>
      <c r="H6" s="29"/>
      <c r="I6" s="23"/>
      <c r="J6" s="23"/>
      <c r="K6" s="23"/>
      <c r="L6" s="23"/>
      <c r="N6" s="29"/>
      <c r="O6" s="23"/>
      <c r="P6" s="23"/>
      <c r="Q6" s="23"/>
      <c r="R6" s="23"/>
    </row>
    <row r="7" spans="1:18" x14ac:dyDescent="0.25">
      <c r="B7" s="553" t="s">
        <v>82</v>
      </c>
      <c r="C7" s="207" t="s">
        <v>483</v>
      </c>
      <c r="D7" s="207" t="s">
        <v>83</v>
      </c>
      <c r="E7" s="207" t="s">
        <v>84</v>
      </c>
      <c r="F7" s="162" t="s">
        <v>85</v>
      </c>
      <c r="H7" s="553" t="s">
        <v>82</v>
      </c>
      <c r="I7" s="207" t="s">
        <v>483</v>
      </c>
      <c r="J7" s="207" t="s">
        <v>83</v>
      </c>
      <c r="K7" s="207" t="s">
        <v>84</v>
      </c>
      <c r="L7" s="162" t="s">
        <v>85</v>
      </c>
      <c r="N7" s="553" t="s">
        <v>82</v>
      </c>
      <c r="O7" s="207" t="s">
        <v>483</v>
      </c>
      <c r="P7" s="207" t="s">
        <v>83</v>
      </c>
      <c r="Q7" s="207" t="s">
        <v>84</v>
      </c>
      <c r="R7" s="162" t="s">
        <v>85</v>
      </c>
    </row>
    <row r="8" spans="1:18" x14ac:dyDescent="0.25">
      <c r="B8" s="553"/>
      <c r="C8" s="164">
        <v>44835</v>
      </c>
      <c r="D8" s="101">
        <v>26497</v>
      </c>
      <c r="E8" s="101">
        <v>23095</v>
      </c>
      <c r="F8" s="165">
        <f t="shared" ref="F8:F10" si="0">SUM(D8:E8)</f>
        <v>49592</v>
      </c>
      <c r="H8" s="553"/>
      <c r="I8" s="164">
        <v>44835</v>
      </c>
      <c r="J8" s="101">
        <v>18824</v>
      </c>
      <c r="K8" s="101">
        <v>15337</v>
      </c>
      <c r="L8" s="165">
        <f t="shared" ref="L8:L11" si="1">SUM(J8:K8)</f>
        <v>34161</v>
      </c>
      <c r="N8" s="553"/>
      <c r="O8" s="164">
        <v>44835</v>
      </c>
      <c r="P8" s="101">
        <v>4420</v>
      </c>
      <c r="Q8" s="101">
        <v>4711</v>
      </c>
      <c r="R8" s="165">
        <f t="shared" ref="R8:R11" si="2">SUM(P8:Q8)</f>
        <v>9131</v>
      </c>
    </row>
    <row r="9" spans="1:18" x14ac:dyDescent="0.25">
      <c r="B9" s="553"/>
      <c r="C9" s="164">
        <v>44866</v>
      </c>
      <c r="D9" s="101">
        <v>25410</v>
      </c>
      <c r="E9" s="101">
        <v>22601</v>
      </c>
      <c r="F9" s="165">
        <f t="shared" si="0"/>
        <v>48011</v>
      </c>
      <c r="H9" s="553"/>
      <c r="I9" s="164">
        <v>44866</v>
      </c>
      <c r="J9" s="101">
        <v>12715</v>
      </c>
      <c r="K9" s="101">
        <v>11825</v>
      </c>
      <c r="L9" s="165">
        <f t="shared" si="1"/>
        <v>24540</v>
      </c>
      <c r="N9" s="553"/>
      <c r="O9" s="164">
        <v>44866</v>
      </c>
      <c r="P9" s="101">
        <v>3462</v>
      </c>
      <c r="Q9" s="101">
        <v>4015</v>
      </c>
      <c r="R9" s="165">
        <f t="shared" si="2"/>
        <v>7477</v>
      </c>
    </row>
    <row r="10" spans="1:18" x14ac:dyDescent="0.25">
      <c r="B10" s="553"/>
      <c r="C10" s="164">
        <v>44896</v>
      </c>
      <c r="D10" s="101">
        <v>20337</v>
      </c>
      <c r="E10" s="101">
        <v>18577</v>
      </c>
      <c r="F10" s="165">
        <f t="shared" si="0"/>
        <v>38914</v>
      </c>
      <c r="H10" s="553"/>
      <c r="I10" s="164">
        <v>44896</v>
      </c>
      <c r="J10" s="101">
        <v>6609</v>
      </c>
      <c r="K10" s="101">
        <v>5547</v>
      </c>
      <c r="L10" s="165">
        <f t="shared" si="1"/>
        <v>12156</v>
      </c>
      <c r="N10" s="553"/>
      <c r="O10" s="164">
        <v>44896</v>
      </c>
      <c r="P10" s="101">
        <v>19</v>
      </c>
      <c r="Q10" s="101">
        <v>29</v>
      </c>
      <c r="R10" s="165">
        <f t="shared" si="2"/>
        <v>48</v>
      </c>
    </row>
    <row r="11" spans="1:18" x14ac:dyDescent="0.25">
      <c r="B11" s="553"/>
      <c r="C11" s="163" t="s">
        <v>484</v>
      </c>
      <c r="D11" s="101">
        <f>SUM(D8:D10)</f>
        <v>72244</v>
      </c>
      <c r="E11" s="101">
        <f>SUM(E8:E10)</f>
        <v>64273</v>
      </c>
      <c r="F11" s="165">
        <f>SUM(D11:E11)</f>
        <v>136517</v>
      </c>
      <c r="H11" s="553"/>
      <c r="I11" s="163" t="s">
        <v>484</v>
      </c>
      <c r="J11" s="101">
        <f>SUM(J8:J10)</f>
        <v>38148</v>
      </c>
      <c r="K11" s="101">
        <f>SUM(K8:K10)</f>
        <v>32709</v>
      </c>
      <c r="L11" s="165">
        <f t="shared" si="1"/>
        <v>70857</v>
      </c>
      <c r="N11" s="553"/>
      <c r="O11" s="163" t="s">
        <v>484</v>
      </c>
      <c r="P11" s="101">
        <f>SUM(P8:P10)</f>
        <v>7901</v>
      </c>
      <c r="Q11" s="101">
        <f>SUM(Q8:Q10)</f>
        <v>8755</v>
      </c>
      <c r="R11" s="165">
        <f t="shared" si="2"/>
        <v>16656</v>
      </c>
    </row>
    <row r="15" spans="1:18" ht="39" customHeight="1" x14ac:dyDescent="0.25">
      <c r="B15" s="552" t="s">
        <v>78</v>
      </c>
      <c r="C15" s="552"/>
      <c r="D15" s="552"/>
      <c r="E15" s="552"/>
      <c r="F15" s="552"/>
      <c r="G15" s="23"/>
      <c r="H15" s="552" t="s">
        <v>79</v>
      </c>
      <c r="I15" s="552"/>
      <c r="J15" s="552"/>
      <c r="K15" s="552"/>
      <c r="L15" s="552"/>
      <c r="N15" s="552" t="s">
        <v>80</v>
      </c>
      <c r="O15" s="552"/>
      <c r="P15" s="552"/>
      <c r="Q15" s="552"/>
      <c r="R15" s="552"/>
    </row>
    <row r="16" spans="1:18" x14ac:dyDescent="0.25">
      <c r="A16" s="24"/>
      <c r="B16" s="3" t="s">
        <v>81</v>
      </c>
      <c r="C16" s="23"/>
      <c r="D16" s="23"/>
      <c r="E16" s="23"/>
      <c r="F16" s="23"/>
      <c r="G16" s="24"/>
      <c r="H16" s="29" t="s">
        <v>81</v>
      </c>
      <c r="I16" s="23"/>
      <c r="J16" s="23"/>
      <c r="K16" s="23"/>
      <c r="L16" s="23"/>
      <c r="N16" s="29" t="s">
        <v>81</v>
      </c>
      <c r="O16" s="23"/>
      <c r="P16" s="23"/>
      <c r="Q16" s="23"/>
      <c r="R16" s="23"/>
    </row>
    <row r="17" spans="1:18" ht="15.75" thickBot="1" x14ac:dyDescent="0.3">
      <c r="A17" s="24"/>
      <c r="B17" s="102"/>
      <c r="C17" s="24"/>
      <c r="D17" s="107"/>
      <c r="E17" s="107"/>
      <c r="F17" s="24"/>
      <c r="G17" s="24"/>
      <c r="I17" s="24"/>
      <c r="J17" s="107"/>
      <c r="K17" s="107"/>
      <c r="L17" s="24"/>
    </row>
    <row r="18" spans="1:18" ht="15.75" thickBot="1" x14ac:dyDescent="0.3">
      <c r="B18" s="555" t="s">
        <v>82</v>
      </c>
      <c r="C18" s="108" t="s">
        <v>67</v>
      </c>
      <c r="D18" s="109" t="s">
        <v>83</v>
      </c>
      <c r="E18" s="110" t="s">
        <v>84</v>
      </c>
      <c r="F18" s="111" t="s">
        <v>85</v>
      </c>
      <c r="G18" s="24"/>
      <c r="H18" s="555" t="s">
        <v>82</v>
      </c>
      <c r="I18" s="112" t="s">
        <v>67</v>
      </c>
      <c r="J18" s="109" t="s">
        <v>83</v>
      </c>
      <c r="K18" s="110" t="s">
        <v>84</v>
      </c>
      <c r="L18" s="111" t="s">
        <v>85</v>
      </c>
      <c r="N18" s="555" t="s">
        <v>82</v>
      </c>
      <c r="O18" s="113" t="s">
        <v>67</v>
      </c>
      <c r="P18" s="114" t="s">
        <v>83</v>
      </c>
      <c r="Q18" s="115" t="s">
        <v>84</v>
      </c>
      <c r="R18" s="116" t="s">
        <v>85</v>
      </c>
    </row>
    <row r="19" spans="1:18" x14ac:dyDescent="0.25">
      <c r="B19" s="556"/>
      <c r="C19" s="117">
        <v>2008</v>
      </c>
      <c r="D19" s="118">
        <v>107640</v>
      </c>
      <c r="E19" s="119">
        <v>31722</v>
      </c>
      <c r="F19" s="120">
        <f t="shared" ref="F19:F25" si="3">SUM(D19:E19)</f>
        <v>139362</v>
      </c>
      <c r="G19" s="24"/>
      <c r="H19" s="556"/>
      <c r="I19" s="121">
        <v>2008</v>
      </c>
      <c r="J19" s="118">
        <v>88629</v>
      </c>
      <c r="K19" s="119">
        <v>26452</v>
      </c>
      <c r="L19" s="120">
        <f>SUM(J19:K19)</f>
        <v>115081</v>
      </c>
      <c r="N19" s="556"/>
      <c r="O19" s="122">
        <v>2008</v>
      </c>
      <c r="P19" s="123">
        <v>18804</v>
      </c>
      <c r="Q19" s="124">
        <v>5186</v>
      </c>
      <c r="R19" s="125">
        <v>23990</v>
      </c>
    </row>
    <row r="20" spans="1:18" x14ac:dyDescent="0.25">
      <c r="B20" s="556"/>
      <c r="C20" s="126">
        <v>2009</v>
      </c>
      <c r="D20" s="127">
        <v>256079</v>
      </c>
      <c r="E20" s="128">
        <v>148361</v>
      </c>
      <c r="F20" s="129">
        <f t="shared" si="3"/>
        <v>404440</v>
      </c>
      <c r="G20" s="24"/>
      <c r="H20" s="556"/>
      <c r="I20" s="130">
        <v>2009</v>
      </c>
      <c r="J20" s="127">
        <v>225147</v>
      </c>
      <c r="K20" s="128">
        <v>140811</v>
      </c>
      <c r="L20" s="129">
        <f t="shared" ref="L20:L32" si="4">SUM(J20:K20)</f>
        <v>365958</v>
      </c>
      <c r="N20" s="556"/>
      <c r="O20" s="130">
        <v>2009</v>
      </c>
      <c r="P20" s="127">
        <v>30542</v>
      </c>
      <c r="Q20" s="131">
        <v>7415</v>
      </c>
      <c r="R20" s="129">
        <v>37957</v>
      </c>
    </row>
    <row r="21" spans="1:18" x14ac:dyDescent="0.25">
      <c r="B21" s="556"/>
      <c r="C21" s="126">
        <v>2010</v>
      </c>
      <c r="D21" s="127">
        <v>152798</v>
      </c>
      <c r="E21" s="128">
        <v>92877</v>
      </c>
      <c r="F21" s="129">
        <f t="shared" si="3"/>
        <v>245675</v>
      </c>
      <c r="G21" s="24"/>
      <c r="H21" s="556"/>
      <c r="I21" s="130">
        <v>2010</v>
      </c>
      <c r="J21" s="127">
        <v>119671</v>
      </c>
      <c r="K21" s="128">
        <v>77499</v>
      </c>
      <c r="L21" s="129">
        <f t="shared" si="4"/>
        <v>197170</v>
      </c>
      <c r="N21" s="556"/>
      <c r="O21" s="130">
        <v>2010</v>
      </c>
      <c r="P21" s="127">
        <v>32361</v>
      </c>
      <c r="Q21" s="131">
        <v>14916</v>
      </c>
      <c r="R21" s="129">
        <v>47277</v>
      </c>
    </row>
    <row r="22" spans="1:18" x14ac:dyDescent="0.25">
      <c r="B22" s="556"/>
      <c r="C22" s="126">
        <v>2011</v>
      </c>
      <c r="D22" s="127">
        <v>123376</v>
      </c>
      <c r="E22" s="128">
        <v>71415</v>
      </c>
      <c r="F22" s="129">
        <f t="shared" si="3"/>
        <v>194791</v>
      </c>
      <c r="G22" s="24"/>
      <c r="H22" s="556"/>
      <c r="I22" s="130">
        <v>2011</v>
      </c>
      <c r="J22" s="127">
        <v>84838</v>
      </c>
      <c r="K22" s="128">
        <v>54466</v>
      </c>
      <c r="L22" s="129">
        <f t="shared" si="4"/>
        <v>139304</v>
      </c>
      <c r="N22" s="556"/>
      <c r="O22" s="130">
        <v>2011</v>
      </c>
      <c r="P22" s="127">
        <v>37699</v>
      </c>
      <c r="Q22" s="131">
        <v>16497</v>
      </c>
      <c r="R22" s="129">
        <v>54196</v>
      </c>
    </row>
    <row r="23" spans="1:18" x14ac:dyDescent="0.25">
      <c r="B23" s="556"/>
      <c r="C23" s="126">
        <v>2012</v>
      </c>
      <c r="D23" s="127">
        <v>118771</v>
      </c>
      <c r="E23" s="128">
        <v>73499</v>
      </c>
      <c r="F23" s="129">
        <f t="shared" si="3"/>
        <v>192270</v>
      </c>
      <c r="G23" s="24"/>
      <c r="H23" s="556"/>
      <c r="I23" s="130">
        <v>2012</v>
      </c>
      <c r="J23" s="127">
        <v>95751</v>
      </c>
      <c r="K23" s="128">
        <v>64376</v>
      </c>
      <c r="L23" s="129">
        <f t="shared" si="4"/>
        <v>160127</v>
      </c>
      <c r="N23" s="556"/>
      <c r="O23" s="130">
        <v>2012</v>
      </c>
      <c r="P23" s="127">
        <v>22288</v>
      </c>
      <c r="Q23" s="131">
        <v>8812</v>
      </c>
      <c r="R23" s="129">
        <v>31100</v>
      </c>
    </row>
    <row r="24" spans="1:18" x14ac:dyDescent="0.25">
      <c r="B24" s="556"/>
      <c r="C24" s="126">
        <v>2013</v>
      </c>
      <c r="D24" s="127">
        <v>82046</v>
      </c>
      <c r="E24" s="128">
        <v>51988</v>
      </c>
      <c r="F24" s="129">
        <f t="shared" si="3"/>
        <v>134034</v>
      </c>
      <c r="G24" s="24"/>
      <c r="H24" s="556"/>
      <c r="I24" s="130">
        <v>2013</v>
      </c>
      <c r="J24" s="127">
        <v>65748</v>
      </c>
      <c r="K24" s="128">
        <v>44360</v>
      </c>
      <c r="L24" s="129">
        <f t="shared" si="4"/>
        <v>110108</v>
      </c>
      <c r="N24" s="556"/>
      <c r="O24" s="130">
        <v>2013</v>
      </c>
      <c r="P24" s="127">
        <v>15792</v>
      </c>
      <c r="Q24" s="131">
        <v>7374</v>
      </c>
      <c r="R24" s="129">
        <v>23166</v>
      </c>
    </row>
    <row r="25" spans="1:18" x14ac:dyDescent="0.25">
      <c r="B25" s="556"/>
      <c r="C25" s="126">
        <v>2014</v>
      </c>
      <c r="D25" s="127">
        <v>92858</v>
      </c>
      <c r="E25" s="128">
        <v>58706</v>
      </c>
      <c r="F25" s="129">
        <f t="shared" si="3"/>
        <v>151564</v>
      </c>
      <c r="G25" s="24"/>
      <c r="H25" s="556"/>
      <c r="I25" s="130">
        <v>2014</v>
      </c>
      <c r="J25" s="127">
        <v>70004</v>
      </c>
      <c r="K25" s="128">
        <v>47881</v>
      </c>
      <c r="L25" s="129">
        <f t="shared" si="4"/>
        <v>117885</v>
      </c>
      <c r="N25" s="556"/>
      <c r="O25" s="130">
        <v>2014</v>
      </c>
      <c r="P25" s="127">
        <v>22698</v>
      </c>
      <c r="Q25" s="131">
        <v>10710</v>
      </c>
      <c r="R25" s="129">
        <v>33408</v>
      </c>
    </row>
    <row r="26" spans="1:18" x14ac:dyDescent="0.25">
      <c r="B26" s="556"/>
      <c r="C26" s="126">
        <v>2015</v>
      </c>
      <c r="D26" s="127">
        <v>86238</v>
      </c>
      <c r="E26" s="128">
        <v>54740</v>
      </c>
      <c r="F26" s="129">
        <f>SUM(D26:E26)</f>
        <v>140978</v>
      </c>
      <c r="G26" s="24"/>
      <c r="H26" s="556"/>
      <c r="I26" s="130">
        <v>2015</v>
      </c>
      <c r="J26" s="127">
        <v>65990</v>
      </c>
      <c r="K26" s="128">
        <v>45355</v>
      </c>
      <c r="L26" s="129">
        <f t="shared" si="4"/>
        <v>111345</v>
      </c>
      <c r="N26" s="556"/>
      <c r="O26" s="130">
        <v>2015</v>
      </c>
      <c r="P26" s="127">
        <v>20102</v>
      </c>
      <c r="Q26" s="131">
        <v>9307</v>
      </c>
      <c r="R26" s="129">
        <v>29409</v>
      </c>
    </row>
    <row r="27" spans="1:18" x14ac:dyDescent="0.25">
      <c r="B27" s="556"/>
      <c r="C27" s="126">
        <v>2016</v>
      </c>
      <c r="D27" s="127">
        <v>86383</v>
      </c>
      <c r="E27" s="128">
        <v>52405</v>
      </c>
      <c r="F27" s="129">
        <f t="shared" ref="F27:F33" si="5">SUM(D27:E27)</f>
        <v>138788</v>
      </c>
      <c r="G27" s="24"/>
      <c r="H27" s="556"/>
      <c r="I27" s="130">
        <v>2016</v>
      </c>
      <c r="J27" s="127">
        <v>64506</v>
      </c>
      <c r="K27" s="128">
        <v>42193</v>
      </c>
      <c r="L27" s="129">
        <f t="shared" si="4"/>
        <v>106699</v>
      </c>
      <c r="N27" s="556"/>
      <c r="O27" s="130">
        <v>2016</v>
      </c>
      <c r="P27" s="127">
        <v>21719</v>
      </c>
      <c r="Q27" s="131">
        <v>10118</v>
      </c>
      <c r="R27" s="129">
        <v>31837</v>
      </c>
    </row>
    <row r="28" spans="1:18" x14ac:dyDescent="0.25">
      <c r="B28" s="556"/>
      <c r="C28" s="126">
        <v>2017</v>
      </c>
      <c r="D28" s="127">
        <v>95362</v>
      </c>
      <c r="E28" s="128">
        <v>61704</v>
      </c>
      <c r="F28" s="129">
        <f t="shared" si="5"/>
        <v>157066</v>
      </c>
      <c r="G28" s="24"/>
      <c r="H28" s="556"/>
      <c r="I28" s="130">
        <v>2017</v>
      </c>
      <c r="J28" s="127">
        <v>72374</v>
      </c>
      <c r="K28" s="128">
        <v>50736</v>
      </c>
      <c r="L28" s="129">
        <f t="shared" si="4"/>
        <v>123110</v>
      </c>
      <c r="N28" s="556"/>
      <c r="O28" s="130">
        <v>2017</v>
      </c>
      <c r="P28" s="127">
        <v>22804</v>
      </c>
      <c r="Q28" s="131">
        <v>10855</v>
      </c>
      <c r="R28" s="129">
        <v>33659</v>
      </c>
    </row>
    <row r="29" spans="1:18" x14ac:dyDescent="0.25">
      <c r="B29" s="556"/>
      <c r="C29" s="126">
        <v>2018</v>
      </c>
      <c r="D29" s="127">
        <v>107375</v>
      </c>
      <c r="E29" s="128">
        <v>71026</v>
      </c>
      <c r="F29" s="129">
        <f t="shared" si="5"/>
        <v>178401</v>
      </c>
      <c r="G29" s="24"/>
      <c r="H29" s="556"/>
      <c r="I29" s="130">
        <v>2018</v>
      </c>
      <c r="J29" s="127">
        <v>91770</v>
      </c>
      <c r="K29" s="128">
        <v>65379</v>
      </c>
      <c r="L29" s="129">
        <f t="shared" si="4"/>
        <v>157149</v>
      </c>
      <c r="N29" s="556"/>
      <c r="O29" s="130">
        <v>2018</v>
      </c>
      <c r="P29" s="127">
        <v>15382</v>
      </c>
      <c r="Q29" s="131">
        <v>5540</v>
      </c>
      <c r="R29" s="129">
        <v>20922</v>
      </c>
    </row>
    <row r="30" spans="1:18" x14ac:dyDescent="0.25">
      <c r="B30" s="556"/>
      <c r="C30" s="126">
        <v>2019</v>
      </c>
      <c r="D30" s="127">
        <v>98722</v>
      </c>
      <c r="E30" s="128">
        <v>66590</v>
      </c>
      <c r="F30" s="129">
        <f t="shared" si="5"/>
        <v>165312</v>
      </c>
      <c r="G30" s="24"/>
      <c r="H30" s="556"/>
      <c r="I30" s="130">
        <v>2019</v>
      </c>
      <c r="J30" s="127">
        <v>83709</v>
      </c>
      <c r="K30" s="128">
        <v>61500</v>
      </c>
      <c r="L30" s="129">
        <f t="shared" si="4"/>
        <v>145209</v>
      </c>
      <c r="N30" s="556"/>
      <c r="O30" s="130">
        <v>2019</v>
      </c>
      <c r="P30" s="127">
        <v>14748</v>
      </c>
      <c r="Q30" s="131">
        <v>4976</v>
      </c>
      <c r="R30" s="129">
        <v>19724</v>
      </c>
    </row>
    <row r="31" spans="1:18" x14ac:dyDescent="0.25">
      <c r="B31" s="556"/>
      <c r="C31" s="126">
        <v>2020</v>
      </c>
      <c r="D31" s="127">
        <v>126382</v>
      </c>
      <c r="E31" s="128">
        <v>93427</v>
      </c>
      <c r="F31" s="129">
        <f t="shared" si="5"/>
        <v>219809</v>
      </c>
      <c r="G31" s="24"/>
      <c r="H31" s="556"/>
      <c r="I31" s="130">
        <v>2020</v>
      </c>
      <c r="J31" s="127">
        <v>107846</v>
      </c>
      <c r="K31" s="128">
        <v>85846</v>
      </c>
      <c r="L31" s="129">
        <f t="shared" si="4"/>
        <v>193692</v>
      </c>
      <c r="N31" s="556"/>
      <c r="O31" s="130">
        <v>2020</v>
      </c>
      <c r="P31" s="127">
        <v>18220</v>
      </c>
      <c r="Q31" s="131">
        <v>7384</v>
      </c>
      <c r="R31" s="129">
        <v>25604</v>
      </c>
    </row>
    <row r="32" spans="1:18" x14ac:dyDescent="0.25">
      <c r="B32" s="556"/>
      <c r="C32" s="126">
        <v>2021</v>
      </c>
      <c r="D32" s="127">
        <v>165351</v>
      </c>
      <c r="E32" s="128">
        <v>114859</v>
      </c>
      <c r="F32" s="129">
        <f t="shared" si="5"/>
        <v>280210</v>
      </c>
      <c r="G32" s="24"/>
      <c r="H32" s="556"/>
      <c r="I32" s="130">
        <v>2021</v>
      </c>
      <c r="J32" s="127">
        <v>133904</v>
      </c>
      <c r="K32" s="128">
        <v>103140</v>
      </c>
      <c r="L32" s="129">
        <f t="shared" si="4"/>
        <v>237044</v>
      </c>
      <c r="N32" s="556"/>
      <c r="O32" s="130">
        <v>2021</v>
      </c>
      <c r="P32" s="127">
        <v>30908</v>
      </c>
      <c r="Q32" s="131">
        <v>11467</v>
      </c>
      <c r="R32" s="129">
        <v>42375</v>
      </c>
    </row>
    <row r="33" spans="1:23" ht="15.75" thickBot="1" x14ac:dyDescent="0.3">
      <c r="B33" s="556"/>
      <c r="C33" s="132">
        <v>2022</v>
      </c>
      <c r="D33" s="133">
        <v>331479</v>
      </c>
      <c r="E33" s="134">
        <v>322108</v>
      </c>
      <c r="F33" s="135">
        <f t="shared" si="5"/>
        <v>653587</v>
      </c>
      <c r="G33" s="24"/>
      <c r="H33" s="556"/>
      <c r="I33" s="136">
        <v>2022</v>
      </c>
      <c r="J33" s="133">
        <v>242068</v>
      </c>
      <c r="K33" s="134">
        <v>240971</v>
      </c>
      <c r="L33" s="135">
        <f>SUM(J33:K33)</f>
        <v>483039</v>
      </c>
      <c r="N33" s="556"/>
      <c r="O33" s="130">
        <v>2022</v>
      </c>
      <c r="P33" s="127">
        <v>50840</v>
      </c>
      <c r="Q33" s="131">
        <v>52551</v>
      </c>
      <c r="R33" s="129">
        <v>103391</v>
      </c>
    </row>
    <row r="34" spans="1:23" ht="15.75" thickBot="1" x14ac:dyDescent="0.3">
      <c r="A34" s="137"/>
      <c r="B34" s="557"/>
      <c r="C34" s="136" t="s">
        <v>35</v>
      </c>
      <c r="D34" s="133">
        <f>SUM(D19:D33)</f>
        <v>2030860</v>
      </c>
      <c r="E34" s="138">
        <f>SUM(E19:E33)</f>
        <v>1365427</v>
      </c>
      <c r="F34" s="135">
        <f t="shared" ref="F34" si="6">SUM(F19:F33)</f>
        <v>3396287</v>
      </c>
      <c r="G34" s="24"/>
      <c r="H34" s="557"/>
      <c r="I34" s="136" t="s">
        <v>35</v>
      </c>
      <c r="J34" s="133">
        <f>SUM(J19:J33)</f>
        <v>1611955</v>
      </c>
      <c r="K34" s="138">
        <f>SUM(K19:K33)</f>
        <v>1150965</v>
      </c>
      <c r="L34" s="135">
        <f t="shared" ref="L34" si="7">SUM(L19:L33)</f>
        <v>2762920</v>
      </c>
      <c r="M34" s="6"/>
      <c r="N34" s="557"/>
      <c r="O34" s="136" t="s">
        <v>35</v>
      </c>
      <c r="P34" s="133">
        <f>SUM(P19:P33)</f>
        <v>374907</v>
      </c>
      <c r="Q34" s="138">
        <f t="shared" ref="Q34:R34" si="8">SUM(Q19:Q33)</f>
        <v>183108</v>
      </c>
      <c r="R34" s="135">
        <f t="shared" si="8"/>
        <v>558015</v>
      </c>
    </row>
    <row r="35" spans="1:23" x14ac:dyDescent="0.25">
      <c r="B35" s="6"/>
      <c r="G35" s="24"/>
      <c r="H35" s="24"/>
      <c r="M35" s="28"/>
    </row>
    <row r="36" spans="1:23" ht="18" customHeight="1" x14ac:dyDescent="0.25">
      <c r="B36" s="6" t="s">
        <v>27</v>
      </c>
      <c r="T36" s="554"/>
      <c r="U36" s="554"/>
      <c r="V36" s="554"/>
      <c r="W36" s="554"/>
    </row>
    <row r="37" spans="1:23" ht="14.45" customHeight="1" x14ac:dyDescent="0.25">
      <c r="B37" s="469" t="s">
        <v>86</v>
      </c>
      <c r="C37" s="469"/>
      <c r="D37" s="469"/>
      <c r="E37" s="469"/>
      <c r="F37" s="469"/>
      <c r="G37" s="469"/>
      <c r="H37" s="469"/>
      <c r="I37" s="469"/>
      <c r="J37" s="469"/>
      <c r="K37" s="469"/>
      <c r="L37" s="469"/>
      <c r="M37" s="469"/>
      <c r="N37" s="469"/>
      <c r="O37" s="469"/>
      <c r="P37" s="469"/>
      <c r="Q37" s="469"/>
      <c r="R37" s="469"/>
      <c r="T37" s="554"/>
      <c r="U37" s="554"/>
      <c r="V37" s="554"/>
      <c r="W37" s="554"/>
    </row>
    <row r="38" spans="1:23" x14ac:dyDescent="0.25">
      <c r="B38" s="469"/>
      <c r="C38" s="469"/>
      <c r="D38" s="469"/>
      <c r="E38" s="469"/>
      <c r="F38" s="469"/>
      <c r="G38" s="469"/>
      <c r="H38" s="469"/>
      <c r="I38" s="469"/>
      <c r="J38" s="469"/>
      <c r="K38" s="469"/>
      <c r="L38" s="469"/>
      <c r="M38" s="469"/>
      <c r="N38" s="469"/>
      <c r="O38" s="469"/>
      <c r="P38" s="469"/>
      <c r="Q38" s="469"/>
      <c r="R38" s="469"/>
      <c r="T38" s="554"/>
      <c r="U38" s="554"/>
      <c r="V38" s="554"/>
      <c r="W38" s="554"/>
    </row>
    <row r="39" spans="1:23" x14ac:dyDescent="0.25">
      <c r="B39" s="469"/>
      <c r="C39" s="469"/>
      <c r="D39" s="469"/>
      <c r="E39" s="469"/>
      <c r="F39" s="469"/>
      <c r="G39" s="469"/>
      <c r="H39" s="469"/>
      <c r="I39" s="469"/>
      <c r="J39" s="469"/>
      <c r="K39" s="469"/>
      <c r="L39" s="469"/>
      <c r="M39" s="469"/>
      <c r="N39" s="469"/>
      <c r="O39" s="469"/>
      <c r="P39" s="469"/>
      <c r="Q39" s="469"/>
      <c r="R39" s="469"/>
      <c r="T39" s="554"/>
      <c r="U39" s="554"/>
      <c r="V39" s="554"/>
      <c r="W39" s="554"/>
    </row>
    <row r="40" spans="1:23" x14ac:dyDescent="0.25">
      <c r="B40" s="469"/>
      <c r="C40" s="469"/>
      <c r="D40" s="469"/>
      <c r="E40" s="469"/>
      <c r="F40" s="469"/>
      <c r="G40" s="469"/>
      <c r="H40" s="469"/>
      <c r="I40" s="469"/>
      <c r="J40" s="469"/>
      <c r="K40" s="469"/>
      <c r="L40" s="469"/>
      <c r="M40" s="469"/>
      <c r="N40" s="469"/>
      <c r="O40" s="469"/>
      <c r="P40" s="469"/>
      <c r="Q40" s="469"/>
      <c r="R40" s="469"/>
    </row>
    <row r="41" spans="1:23" x14ac:dyDescent="0.25">
      <c r="B41" s="469"/>
      <c r="C41" s="469"/>
      <c r="D41" s="469"/>
      <c r="E41" s="469"/>
      <c r="F41" s="469"/>
      <c r="G41" s="469"/>
      <c r="H41" s="469"/>
      <c r="I41" s="469"/>
      <c r="J41" s="469"/>
      <c r="K41" s="469"/>
      <c r="L41" s="469"/>
      <c r="M41" s="469"/>
      <c r="N41" s="469"/>
      <c r="O41" s="469"/>
      <c r="P41" s="469"/>
      <c r="Q41" s="469"/>
      <c r="R41" s="469"/>
    </row>
  </sheetData>
  <mergeCells count="14">
    <mergeCell ref="T36:W39"/>
    <mergeCell ref="B37:R41"/>
    <mergeCell ref="B15:F15"/>
    <mergeCell ref="H15:L15"/>
    <mergeCell ref="N15:R15"/>
    <mergeCell ref="B18:B34"/>
    <mergeCell ref="H18:H34"/>
    <mergeCell ref="N18:N34"/>
    <mergeCell ref="B4:F4"/>
    <mergeCell ref="H4:L4"/>
    <mergeCell ref="N4:R4"/>
    <mergeCell ref="B7:B11"/>
    <mergeCell ref="H7:H11"/>
    <mergeCell ref="N7:N11"/>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21" customWidth="1"/>
    <col min="2" max="2" width="21.140625" style="21" customWidth="1"/>
    <col min="3" max="3" width="10" style="21"/>
    <col min="4" max="4" width="28.7109375" style="21" customWidth="1"/>
    <col min="5" max="5" width="10" style="21"/>
    <col min="6" max="6" width="12" style="21" customWidth="1"/>
    <col min="7" max="8" width="10" style="21"/>
    <col min="9" max="9" width="18" style="21" customWidth="1"/>
    <col min="10" max="10" width="27.7109375" style="21" customWidth="1"/>
    <col min="11" max="11" width="14.140625" style="21" customWidth="1"/>
    <col min="12" max="16384" width="10" style="21"/>
  </cols>
  <sheetData>
    <row r="1" spans="2:16" ht="20.45" customHeight="1" x14ac:dyDescent="0.25"/>
    <row r="2" spans="2:16" ht="23.25" x14ac:dyDescent="0.25">
      <c r="B2" s="1" t="s">
        <v>88</v>
      </c>
      <c r="C2" s="140"/>
      <c r="D2" s="140"/>
      <c r="E2" s="140"/>
      <c r="F2" s="140"/>
      <c r="G2" s="140"/>
      <c r="H2" s="140"/>
      <c r="I2" s="140"/>
      <c r="J2" s="140"/>
      <c r="K2" s="140"/>
      <c r="L2" s="140"/>
      <c r="M2" s="140"/>
      <c r="N2" s="141"/>
      <c r="O2" s="141"/>
      <c r="P2" s="141"/>
    </row>
    <row r="3" spans="2:16" x14ac:dyDescent="0.25">
      <c r="B3" s="29" t="s">
        <v>89</v>
      </c>
    </row>
    <row r="5" spans="2:16" ht="20.45" customHeight="1" x14ac:dyDescent="0.25">
      <c r="B5" s="559" t="s">
        <v>90</v>
      </c>
      <c r="C5" s="559"/>
      <c r="D5" s="559"/>
      <c r="E5" s="559"/>
      <c r="F5" s="559"/>
      <c r="G5" s="142"/>
      <c r="H5" s="142"/>
      <c r="I5" s="560" t="s">
        <v>91</v>
      </c>
      <c r="J5" s="560"/>
      <c r="K5" s="560"/>
    </row>
    <row r="6" spans="2:16" x14ac:dyDescent="0.25">
      <c r="B6" s="143"/>
      <c r="C6" s="143"/>
      <c r="D6" s="143"/>
      <c r="E6" s="143"/>
      <c r="F6" s="143"/>
    </row>
    <row r="7" spans="2:16" ht="45" x14ac:dyDescent="0.25">
      <c r="B7" s="144" t="s">
        <v>92</v>
      </c>
      <c r="C7" s="144" t="s">
        <v>93</v>
      </c>
      <c r="D7" s="144" t="s">
        <v>94</v>
      </c>
      <c r="E7" s="144" t="s">
        <v>95</v>
      </c>
      <c r="F7" s="144" t="s">
        <v>96</v>
      </c>
      <c r="I7" s="144" t="s">
        <v>92</v>
      </c>
      <c r="J7" s="144" t="s">
        <v>94</v>
      </c>
      <c r="K7" s="144" t="s">
        <v>97</v>
      </c>
    </row>
    <row r="8" spans="2:16" ht="30" x14ac:dyDescent="0.25">
      <c r="B8" s="145" t="s">
        <v>98</v>
      </c>
      <c r="C8" s="146" t="s">
        <v>99</v>
      </c>
      <c r="D8" s="146" t="s">
        <v>100</v>
      </c>
      <c r="E8" s="147">
        <v>70000</v>
      </c>
      <c r="F8" s="147">
        <v>60000</v>
      </c>
      <c r="I8" s="148" t="s">
        <v>101</v>
      </c>
      <c r="J8" s="146" t="s">
        <v>102</v>
      </c>
      <c r="K8" s="147">
        <v>193935</v>
      </c>
    </row>
    <row r="9" spans="2:16" ht="30" x14ac:dyDescent="0.25">
      <c r="B9" s="145" t="s">
        <v>103</v>
      </c>
      <c r="C9" s="146" t="s">
        <v>99</v>
      </c>
      <c r="D9" s="146" t="s">
        <v>104</v>
      </c>
      <c r="E9" s="147">
        <v>120000</v>
      </c>
      <c r="F9" s="147">
        <v>75000</v>
      </c>
      <c r="I9" s="148" t="s">
        <v>105</v>
      </c>
      <c r="J9" s="146" t="s">
        <v>102</v>
      </c>
      <c r="K9" s="147">
        <v>206173</v>
      </c>
    </row>
    <row r="10" spans="2:16" ht="30" x14ac:dyDescent="0.25">
      <c r="B10" s="145" t="s">
        <v>106</v>
      </c>
      <c r="C10" s="146" t="s">
        <v>99</v>
      </c>
      <c r="D10" s="146" t="s">
        <v>107</v>
      </c>
      <c r="E10" s="147">
        <v>150000</v>
      </c>
      <c r="F10" s="147">
        <v>75000</v>
      </c>
      <c r="I10" s="148" t="s">
        <v>108</v>
      </c>
      <c r="J10" s="146" t="s">
        <v>109</v>
      </c>
      <c r="K10" s="147">
        <v>206173</v>
      </c>
    </row>
    <row r="11" spans="2:16" ht="30" x14ac:dyDescent="0.25">
      <c r="B11" s="145" t="s">
        <v>110</v>
      </c>
      <c r="C11" s="146" t="s">
        <v>99</v>
      </c>
      <c r="D11" s="146" t="s">
        <v>111</v>
      </c>
      <c r="E11" s="147">
        <v>200000</v>
      </c>
      <c r="F11" s="147">
        <v>75840</v>
      </c>
      <c r="I11" s="149" t="s">
        <v>112</v>
      </c>
    </row>
    <row r="12" spans="2:16" ht="30" x14ac:dyDescent="0.25">
      <c r="B12" s="145" t="s">
        <v>113</v>
      </c>
      <c r="C12" s="146" t="s">
        <v>99</v>
      </c>
      <c r="D12" s="146" t="s">
        <v>114</v>
      </c>
      <c r="E12" s="147">
        <v>255000</v>
      </c>
      <c r="F12" s="147">
        <v>78449</v>
      </c>
    </row>
    <row r="13" spans="2:16" ht="30" x14ac:dyDescent="0.25">
      <c r="B13" s="145" t="s">
        <v>115</v>
      </c>
      <c r="C13" s="146" t="s">
        <v>99</v>
      </c>
      <c r="D13" s="146" t="s">
        <v>114</v>
      </c>
      <c r="E13" s="147">
        <v>261758</v>
      </c>
      <c r="F13" s="147">
        <v>80528</v>
      </c>
    </row>
    <row r="14" spans="2:16" ht="30" x14ac:dyDescent="0.25">
      <c r="B14" s="145" t="s">
        <v>116</v>
      </c>
      <c r="C14" s="146" t="s">
        <v>99</v>
      </c>
      <c r="D14" s="146" t="s">
        <v>114</v>
      </c>
      <c r="E14" s="147">
        <v>266731</v>
      </c>
      <c r="F14" s="147">
        <v>82058</v>
      </c>
    </row>
    <row r="15" spans="2:16" ht="30" x14ac:dyDescent="0.25">
      <c r="B15" s="145" t="s">
        <v>117</v>
      </c>
      <c r="C15" s="146" t="s">
        <v>99</v>
      </c>
      <c r="D15" s="146" t="s">
        <v>114</v>
      </c>
      <c r="E15" s="147">
        <v>279427</v>
      </c>
      <c r="F15" s="147">
        <v>85964</v>
      </c>
    </row>
    <row r="16" spans="2:16" ht="30" x14ac:dyDescent="0.25">
      <c r="B16" s="145" t="s">
        <v>118</v>
      </c>
      <c r="C16" s="146" t="s">
        <v>99</v>
      </c>
      <c r="D16" s="146" t="s">
        <v>114</v>
      </c>
      <c r="E16" s="147">
        <v>291778</v>
      </c>
      <c r="F16" s="147">
        <v>89764</v>
      </c>
    </row>
    <row r="17" spans="2:6" ht="30" x14ac:dyDescent="0.25">
      <c r="B17" s="145" t="s">
        <v>119</v>
      </c>
      <c r="C17" s="146" t="s">
        <v>99</v>
      </c>
      <c r="D17" s="146" t="s">
        <v>114</v>
      </c>
      <c r="E17" s="147">
        <v>304062</v>
      </c>
      <c r="F17" s="147">
        <v>93543</v>
      </c>
    </row>
    <row r="18" spans="2:6" ht="30" x14ac:dyDescent="0.25">
      <c r="B18" s="145" t="s">
        <v>120</v>
      </c>
      <c r="C18" s="146" t="s">
        <v>99</v>
      </c>
      <c r="D18" s="146" t="s">
        <v>114</v>
      </c>
      <c r="E18" s="147">
        <v>304062</v>
      </c>
      <c r="F18" s="147">
        <v>102897</v>
      </c>
    </row>
    <row r="19" spans="2:6" ht="30" x14ac:dyDescent="0.25">
      <c r="B19" s="145" t="s">
        <v>121</v>
      </c>
      <c r="C19" s="146" t="s">
        <v>99</v>
      </c>
      <c r="D19" s="146" t="s">
        <v>114</v>
      </c>
      <c r="E19" s="147">
        <v>309231</v>
      </c>
      <c r="F19" s="147">
        <v>104646</v>
      </c>
    </row>
    <row r="20" spans="2:6" ht="30" x14ac:dyDescent="0.25">
      <c r="B20" s="145" t="s">
        <v>122</v>
      </c>
      <c r="C20" s="146" t="s">
        <v>99</v>
      </c>
      <c r="D20" s="146" t="s">
        <v>114</v>
      </c>
      <c r="E20" s="147">
        <v>317085</v>
      </c>
      <c r="F20" s="147">
        <v>107304</v>
      </c>
    </row>
    <row r="21" spans="2:6" ht="30" x14ac:dyDescent="0.25">
      <c r="B21" s="145" t="s">
        <v>123</v>
      </c>
      <c r="C21" s="146" t="s">
        <v>99</v>
      </c>
      <c r="D21" s="146" t="s">
        <v>114</v>
      </c>
      <c r="E21" s="147">
        <v>325656</v>
      </c>
      <c r="F21" s="147">
        <v>110201</v>
      </c>
    </row>
    <row r="22" spans="2:6" x14ac:dyDescent="0.25">
      <c r="B22" s="561" t="s">
        <v>124</v>
      </c>
      <c r="C22" s="146" t="s">
        <v>125</v>
      </c>
      <c r="D22" s="146" t="s">
        <v>114</v>
      </c>
      <c r="E22" s="147">
        <v>407058</v>
      </c>
      <c r="F22" s="147">
        <v>137751</v>
      </c>
    </row>
    <row r="23" spans="2:6" ht="30" x14ac:dyDescent="0.25">
      <c r="B23" s="562"/>
      <c r="C23" s="146" t="s">
        <v>126</v>
      </c>
      <c r="D23" s="146" t="s">
        <v>114</v>
      </c>
      <c r="E23" s="147">
        <v>423340</v>
      </c>
      <c r="F23" s="147">
        <v>143261</v>
      </c>
    </row>
    <row r="24" spans="2:6" x14ac:dyDescent="0.25">
      <c r="B24" s="563"/>
      <c r="C24" s="146" t="s">
        <v>127</v>
      </c>
      <c r="D24" s="146" t="s">
        <v>114</v>
      </c>
      <c r="E24" s="147">
        <v>488469</v>
      </c>
      <c r="F24" s="147">
        <v>165302</v>
      </c>
    </row>
    <row r="25" spans="2:6" x14ac:dyDescent="0.25">
      <c r="B25" s="558" t="s">
        <v>128</v>
      </c>
      <c r="C25" s="146" t="s">
        <v>125</v>
      </c>
      <c r="D25" s="146" t="s">
        <v>114</v>
      </c>
      <c r="E25" s="147">
        <v>417764</v>
      </c>
      <c r="F25" s="147">
        <v>141374</v>
      </c>
    </row>
    <row r="26" spans="2:6" ht="30" x14ac:dyDescent="0.25">
      <c r="B26" s="558"/>
      <c r="C26" s="146" t="s">
        <v>126</v>
      </c>
      <c r="D26" s="146" t="s">
        <v>114</v>
      </c>
      <c r="E26" s="147">
        <v>434474</v>
      </c>
      <c r="F26" s="147">
        <v>147029</v>
      </c>
    </row>
    <row r="27" spans="2:6" x14ac:dyDescent="0.25">
      <c r="B27" s="558"/>
      <c r="C27" s="146" t="s">
        <v>127</v>
      </c>
      <c r="D27" s="146" t="s">
        <v>114</v>
      </c>
      <c r="E27" s="147">
        <v>501316</v>
      </c>
      <c r="F27" s="147">
        <v>169649</v>
      </c>
    </row>
    <row r="28" spans="2:6" x14ac:dyDescent="0.25">
      <c r="B28" s="558" t="s">
        <v>129</v>
      </c>
      <c r="C28" s="146" t="s">
        <v>130</v>
      </c>
      <c r="D28" s="146" t="s">
        <v>114</v>
      </c>
      <c r="E28" s="147">
        <v>467894</v>
      </c>
      <c r="F28" s="147">
        <v>158339</v>
      </c>
    </row>
    <row r="29" spans="2:6" x14ac:dyDescent="0.25">
      <c r="B29" s="558"/>
      <c r="C29" s="146" t="s">
        <v>131</v>
      </c>
      <c r="D29" s="146" t="s">
        <v>114</v>
      </c>
      <c r="E29" s="147">
        <v>501316</v>
      </c>
      <c r="F29" s="147">
        <v>169649</v>
      </c>
    </row>
    <row r="30" spans="2:6" ht="21" customHeight="1" x14ac:dyDescent="0.25">
      <c r="B30" s="558" t="s">
        <v>132</v>
      </c>
      <c r="C30" s="146" t="s">
        <v>130</v>
      </c>
      <c r="D30" s="146" t="s">
        <v>114</v>
      </c>
      <c r="E30" s="147">
        <v>485674</v>
      </c>
      <c r="F30" s="147">
        <v>164356</v>
      </c>
    </row>
    <row r="31" spans="2:6" x14ac:dyDescent="0.25">
      <c r="B31" s="558"/>
      <c r="C31" s="146" t="s">
        <v>131</v>
      </c>
      <c r="D31" s="146" t="s">
        <v>114</v>
      </c>
      <c r="E31" s="147">
        <v>520366</v>
      </c>
      <c r="F31" s="147">
        <v>176096</v>
      </c>
    </row>
    <row r="32" spans="2:6" ht="30" x14ac:dyDescent="0.25">
      <c r="B32" s="145" t="s">
        <v>133</v>
      </c>
      <c r="C32" s="146" t="s">
        <v>99</v>
      </c>
      <c r="D32" s="146" t="s">
        <v>114</v>
      </c>
      <c r="E32" s="147">
        <v>520366</v>
      </c>
      <c r="F32" s="147">
        <v>176096</v>
      </c>
    </row>
    <row r="33" spans="2:6" ht="30" x14ac:dyDescent="0.25">
      <c r="B33" s="145" t="s">
        <v>134</v>
      </c>
      <c r="C33" s="146" t="s">
        <v>99</v>
      </c>
      <c r="D33" s="146" t="s">
        <v>114</v>
      </c>
      <c r="E33" s="147">
        <v>520366</v>
      </c>
      <c r="F33" s="147">
        <v>185000</v>
      </c>
    </row>
    <row r="34" spans="2:6" ht="30" x14ac:dyDescent="0.25">
      <c r="B34" s="145" t="s">
        <v>135</v>
      </c>
      <c r="C34" s="146" t="s">
        <v>99</v>
      </c>
      <c r="D34" s="146" t="s">
        <v>114</v>
      </c>
      <c r="E34" s="147">
        <v>573079</v>
      </c>
      <c r="F34" s="147">
        <v>193935</v>
      </c>
    </row>
    <row r="35" spans="2:6" ht="30" x14ac:dyDescent="0.25">
      <c r="B35" s="145" t="s">
        <v>136</v>
      </c>
      <c r="C35" s="146" t="s">
        <v>99</v>
      </c>
      <c r="D35" s="146" t="s">
        <v>114</v>
      </c>
      <c r="E35" s="147">
        <v>573079</v>
      </c>
      <c r="F35" s="147">
        <v>206173</v>
      </c>
    </row>
    <row r="36" spans="2:6" x14ac:dyDescent="0.25">
      <c r="B36" s="6" t="s">
        <v>112</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Indice General</vt:lpstr>
      <vt:lpstr>I. Beneficios pagados</vt:lpstr>
      <vt:lpstr>dinamica pgu</vt:lpstr>
      <vt:lpstr>N PBS</vt:lpstr>
      <vt:lpstr>MONTOS PBS</vt:lpstr>
      <vt:lpstr>1.1</vt:lpstr>
      <vt:lpstr>1.2</vt:lpstr>
      <vt:lpstr>1.3</vt:lpstr>
      <vt:lpstr>DINAMICA APS</vt:lpstr>
      <vt:lpstr>1.4</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Ivonne Patricia Bueno Velasco</cp:lastModifiedBy>
  <cp:lastPrinted>2023-05-19T19:08:08Z</cp:lastPrinted>
  <dcterms:created xsi:type="dcterms:W3CDTF">2023-05-09T16:34:00Z</dcterms:created>
  <dcterms:modified xsi:type="dcterms:W3CDTF">2023-08-21T19:07:58Z</dcterms:modified>
</cp:coreProperties>
</file>